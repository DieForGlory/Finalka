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08" yWindow="-108" windowWidth="23256" windowHeight="12576" tabRatio="659" firstSheet="2" activeTab="2" autoFilterDateGrouping="1"/>
  </bookViews>
  <sheets>
    <sheet name="Общий" sheetId="1" state="hidden" r:id="rId1"/>
    <sheet name="АЗС" sheetId="2" state="hidden" r:id="rId2"/>
    <sheet name="Азбука вкуса" sheetId="3" state="visible" r:id="rId3"/>
    <sheet name="MetroCC" sheetId="4" state="hidden" r:id="rId4"/>
    <sheet name="Фитнес" sheetId="5" state="hidden" r:id="rId5"/>
    <sheet name="БЦ" sheetId="6" state="hidden" r:id="rId6"/>
    <sheet name="ТРЦ" sheetId="7" state="hidden" r:id="rId7"/>
    <sheet name="Афимолл - Цетральный атриум" sheetId="8" state="hidden" r:id="rId8"/>
    <sheet name="Wi-Fi" sheetId="9" state="hidden" r:id="rId9"/>
    <sheet name="БЦ_ALL" sheetId="10" state="hidden" r:id="rId10"/>
    <sheet name="Адресная программа" sheetId="11" state="visible" r:id="rId11"/>
    <sheet name="Цены|Скидки" sheetId="12" state="visible" r:id="rId12"/>
    <sheet name="ТТ" sheetId="13" state="visible" r:id="rId13"/>
    <sheet name="Фото и ТТ Афимолл" sheetId="14" state="hidden" r:id="rId14"/>
    <sheet name="Автодор" sheetId="15" state="hidden" r:id="rId15"/>
    <sheet name="TT" sheetId="16" state="hidden" r:id="rId16"/>
    <sheet name="Радио" sheetId="17" state="hidden" r:id="rId17"/>
    <sheet name="Изменения" sheetId="18" state="hidden" r:id="rId18"/>
  </sheets>
  <definedNames>
    <definedName name="_xlnm._FilterDatabase" localSheetId="0" hidden="1">'Общий'!$B$21:$K$32</definedName>
    <definedName name="_xlnm._FilterDatabase" localSheetId="1" hidden="1">'АЗС'!$B$21:$O$85</definedName>
    <definedName name="_xlnm._FilterDatabase" localSheetId="2" hidden="1">'Азбука вкуса'!$B$20:$N$26</definedName>
    <definedName name="_xlnm._FilterDatabase" localSheetId="3" hidden="1">'MetroCC'!$B$21:$K$21</definedName>
    <definedName name="_xlnm._FilterDatabase" localSheetId="4" hidden="1">'Фитнес'!$B$21:$N$36</definedName>
    <definedName name="_xlnm._FilterDatabase" localSheetId="6" hidden="1">'ТРЦ'!$B$21:$N$26</definedName>
    <definedName name="_xlnm._FilterDatabase" localSheetId="8" hidden="1">'Wi-Fi'!$B$21:$K$34</definedName>
    <definedName name="_xlnm._FilterDatabase" localSheetId="9" hidden="1">'БЦ_ALL'!$B$21:$N$338</definedName>
    <definedName name="_xlnm._FilterDatabase" localSheetId="10" hidden="1">'Адресная программа'!$A$19:$T$4056</definedName>
    <definedName name="_xlnm._FilterDatabase" localSheetId="16" hidden="1">'Радио'!$B$20:$M$21</definedName>
    <definedName name="_xlnm._FilterDatabase" localSheetId="17" hidden="1">'Изменения'!$A$1:$F$1065</definedName>
  </definedNames>
  <calcPr calcId="191029" fullCalcOnLoad="1"/>
</workbook>
</file>

<file path=xl/styles.xml><?xml version="1.0" encoding="utf-8"?>
<styleSheet xmlns="http://schemas.openxmlformats.org/spreadsheetml/2006/main">
  <numFmts count="72">
    <numFmt numFmtId="164" formatCode="&quot;$&quot;#,##0_);[Red]\(&quot;$&quot;#,##0\)"/>
    <numFmt numFmtId="165" formatCode="_-* #,##0.00\ &quot;руб.&quot;_-;\-* #,##0.00\ &quot;руб.&quot;_-;_-* &quot;-&quot;??\ &quot;руб.&quot;_-;_-@_-"/>
    <numFmt numFmtId="166" formatCode="_-* #,##0\ &quot;руб.&quot;_-;\-* #,##0\ &quot;руб.&quot;_-;_-* &quot;-&quot;??\ &quot;руб.&quot;_-;_-@_-"/>
    <numFmt numFmtId="167" formatCode="#,##0&quot;р.&quot;"/>
    <numFmt numFmtId="168" formatCode="#,##0&quot;р.&quot;;\-#,##0&quot;р.&quot;"/>
    <numFmt numFmtId="169" formatCode="_-* #,##0.00\ &quot;₽&quot;_-;\-* #,##0.00\ &quot;₽&quot;_-;_-* &quot;-&quot;??\ &quot;₽&quot;_-;_-@_-"/>
    <numFmt numFmtId="170" formatCode="0.0%"/>
    <numFmt numFmtId="171" formatCode="#,##0\ _₽"/>
    <numFmt numFmtId="172" formatCode="#,##0.00&quot;р.&quot;"/>
    <numFmt numFmtId="173" formatCode="[$-FC19]dd\ mmmm\ yyyy\ \г\.;@"/>
    <numFmt numFmtId="174" formatCode="#,##0.00&quot;р.&quot;;\-#,##0.00&quot;р.&quot;"/>
    <numFmt numFmtId="175" formatCode="#,##0\ _р_у_б_."/>
    <numFmt numFmtId="176" formatCode="#,##0.0&quot;р.&quot;;\-#,##0.0&quot;р.&quot;"/>
    <numFmt numFmtId="177" formatCode="_-* #,##0\ &quot;₽&quot;_-;\-* #,##0\ &quot;₽&quot;_-;_-* &quot;-&quot;??\ &quot;₽&quot;_-;_-@_-"/>
    <numFmt numFmtId="178" formatCode="0.0"/>
    <numFmt numFmtId="179" formatCode="_-* #,##0.00\ [$₽-419]_-;\-* #,##0.00\ [$₽-419]_-;_-* &quot;-&quot;??\ [$₽-419]_-;_-@_-"/>
    <numFmt numFmtId="180" formatCode="#,##0.00_ ;\-#,##0.00\ "/>
    <numFmt numFmtId="181" formatCode="0.00000"/>
    <numFmt numFmtId="182" formatCode="_-* #,##0.00\ _₽_-;\-* #,##0.00\ _₽_-;_-* &quot;-&quot;??\ _₽_-;_-@_-"/>
    <numFmt numFmtId="183" formatCode="&quot;$&quot;#,##0.0_);[Red]\(&quot;$&quot;#,##0.0\)"/>
    <numFmt numFmtId="184" formatCode="@\ *."/>
    <numFmt numFmtId="185" formatCode="#,##0.0;\(#,##0.0\)"/>
    <numFmt numFmtId="186" formatCode="#,##0.00;\(#,##0.00\)"/>
    <numFmt numFmtId="187" formatCode="000000"/>
    <numFmt numFmtId="188" formatCode="0000"/>
    <numFmt numFmtId="189" formatCode="_-* #,##0.00_р_._-;\-* #,##0.00_р_._-;_-* &quot;-&quot;??_р_._-;_-@_-"/>
    <numFmt numFmtId="190" formatCode="_-* #,##0\ _р_._-;\-* #,##0\ _р_._-;_-* &quot;-&quot;\ _р_._-;_-@_-"/>
    <numFmt numFmtId="191" formatCode="##,#0_;\(#,##0\);&quot;-&quot;??_);@"/>
    <numFmt numFmtId="192" formatCode="*(#,##0\);*#\,##0_);&quot;-&quot;??_);@"/>
    <numFmt numFmtId="193" formatCode="_*\(#,##0\);_*#,##0_);&quot;-&quot;??_);@"/>
    <numFmt numFmtId="194" formatCode="* \(#,##0\);* #,##0_);&quot;-&quot;??_);@"/>
    <numFmt numFmtId="195" formatCode="#,##0_);\(#,##0\);&quot;-&quot;??_);@"/>
    <numFmt numFmtId="196" formatCode="* #,##0_);* \(#,##0\);&quot;-&quot;??_);@"/>
    <numFmt numFmtId="197" formatCode="_-* #,##0.00&quot;р.&quot;_-;\-* #,##0.00&quot;р.&quot;_-;_-* &quot;-&quot;??&quot;р.&quot;_-;_-@_-"/>
    <numFmt numFmtId="198" formatCode="\$#,##0\ ;\(\$#,##0\)"/>
    <numFmt numFmtId="199" formatCode="dd\.mm\.yyyy&quot;г.&quot;"/>
    <numFmt numFmtId="200" formatCode="mmmm\ d\,\ yyyy"/>
    <numFmt numFmtId="201" formatCode="_([$€]* #,##0.00_);_([$€]* \(#,##0.00\);_([$€]* &quot;-&quot;??_);_(@_)"/>
    <numFmt numFmtId="202" formatCode="[$-419]General"/>
    <numFmt numFmtId="203" formatCode="_(* #,##0_);_(* \(#,##0\);_(* &quot;-&quot;_)"/>
    <numFmt numFmtId="204" formatCode="_-* #,##0\ _₽_-;\-* #,##0\ _₽_-;_-* &quot;-&quot;\ _₽_-;_-@_-"/>
    <numFmt numFmtId="205" formatCode="_(&quot;$&quot;* #,##0.00_);_(&quot;$&quot;* \(#,##0.00\);_(&quot;$&quot;* &quot;-&quot;??_);_(@_)"/>
    <numFmt numFmtId="206" formatCode="0.0\ \x;&quot;NM &quot;"/>
    <numFmt numFmtId="207" formatCode="\ \ \ \ \ \ \ \ \ \ @"/>
    <numFmt numFmtId="208" formatCode="#,##0.00\ ;\(#,##0.00\)"/>
    <numFmt numFmtId="209" formatCode="0.00000%"/>
    <numFmt numFmtId="210" formatCode="0.0000000%"/>
    <numFmt numFmtId="211" formatCode="_-* #,##0_?_._-;\-* #,##0_?_._-;_-* &quot;-&quot;_?_._-;_-@_-"/>
    <numFmt numFmtId="212" formatCode="_-* #,##0.00_?_._-;\-* #,##0.00_?_._-;_-* &quot;-&quot;??_?_._-;_-@_-"/>
    <numFmt numFmtId="213" formatCode="0.0_)%;\(0.0\)%"/>
    <numFmt numFmtId="214" formatCode="0.00_)%;\(0.00\)%"/>
    <numFmt numFmtId="215" formatCode="0%_);\(0%\)"/>
    <numFmt numFmtId="216" formatCode="* \(#,##0.0\);* #,##0.0_);&quot;-&quot;??_);@"/>
    <numFmt numFmtId="217" formatCode="* \(#,##0.00\);* #,##0.00_);&quot;-&quot;??_);@"/>
    <numFmt numFmtId="218" formatCode="_(* \(#,##0.0\);_(* #,##0.0_);_(* &quot;-&quot;_);_(@_)"/>
    <numFmt numFmtId="219" formatCode="_(* \(#,##0.00\);_(* #,##0.00_);_(* &quot;-&quot;_);_(@_)"/>
    <numFmt numFmtId="220" formatCode="_(* \(#,##0.000\);_(* #,##0.000_);_(* &quot;-&quot;_);_(@_)"/>
    <numFmt numFmtId="221" formatCode="#,##0.000000;[Red]#,##0.000000"/>
    <numFmt numFmtId="222" formatCode="#,##0______;;&quot;------------      &quot;"/>
    <numFmt numFmtId="223" formatCode="&quot;See Note &quot;\ #"/>
    <numFmt numFmtId="224" formatCode="_ * #,##0_ ;_ * \(#,##0_ ;_ * &quot;-&quot;_ ;_ @_ "/>
    <numFmt numFmtId="225" formatCode="&quot;$&quot;#,##0.000000;[Red]&quot;$&quot;#,##0.000000"/>
    <numFmt numFmtId="226" formatCode="#,##0.0000000_$"/>
    <numFmt numFmtId="227" formatCode="&quot;$&quot;\ #,##0.00"/>
    <numFmt numFmtId="228" formatCode="_ * #,##0_ ;_ * \(#,##0_)\ ;_ * &quot;-&quot;_ ;_ @_ "/>
    <numFmt numFmtId="229" formatCode="&quot;$&quot;\ #,##0"/>
    <numFmt numFmtId="230" formatCode="&quot;$&quot;"/>
    <numFmt numFmtId="231" formatCode="_._.* #,##0_)_%;_._.* \(#,##0\)_%;_._.* \ _)_%"/>
    <numFmt numFmtId="232" formatCode="yyyy"/>
    <numFmt numFmtId="233" formatCode="yyyy\ &quot;год&quot;"/>
    <numFmt numFmtId="234" formatCode="_ &quot;$&quot;* #,##0.00_ ;_ &quot;$&quot;* \-#,##0.00_ ;_ &quot;$&quot;* &quot;-&quot;??_ ;_ @_ "/>
    <numFmt numFmtId="235" formatCode="#,##0_ ;[Red]\-#,##0\ "/>
  </numFmts>
  <fonts count="222"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indexed="8"/>
      <sz val="11"/>
    </font>
    <font>
      <name val="Arial Cyr"/>
      <charset val="204"/>
      <family val="2"/>
      <sz val="10"/>
    </font>
    <font>
      <name val="Calibri"/>
      <family val="2"/>
      <color indexed="8"/>
      <sz val="10"/>
    </font>
    <font>
      <name val="Arial Cyr"/>
      <charset val="204"/>
      <family val="2"/>
      <color indexed="8"/>
      <sz val="10"/>
    </font>
    <font>
      <name val="Calibri"/>
      <family val="2"/>
      <b val="1"/>
      <color indexed="81"/>
      <sz val="9"/>
    </font>
    <font>
      <name val="Tahoma"/>
      <charset val="204"/>
      <family val="2"/>
      <color indexed="81"/>
      <sz val="9"/>
    </font>
    <font>
      <name val="Tahoma"/>
      <charset val="204"/>
      <family val="2"/>
      <b val="1"/>
      <color indexed="81"/>
      <sz val="9"/>
    </font>
    <font>
      <name val="Calibri"/>
      <charset val="204"/>
      <family val="2"/>
      <color indexed="8"/>
      <sz val="9"/>
    </font>
    <font>
      <name val="Calibri"/>
      <charset val="204"/>
      <family val="2"/>
      <color indexed="9"/>
      <sz val="11"/>
    </font>
    <font>
      <name val="Arial"/>
      <family val="2"/>
      <color indexed="8"/>
      <sz val="10"/>
    </font>
    <font>
      <name val="Calibri"/>
      <charset val="204"/>
      <family val="2"/>
      <i val="1"/>
      <color indexed="23"/>
      <sz val="11"/>
    </font>
    <font>
      <name val="Calibri"/>
      <family val="2"/>
      <b val="1"/>
      <color indexed="8"/>
      <sz val="11"/>
    </font>
    <font>
      <name val="Times New Roman"/>
      <charset val="204"/>
      <family val="1"/>
      <sz val="10"/>
    </font>
    <font>
      <name val="Arial Cyr"/>
      <charset val="204"/>
      <sz val="10"/>
    </font>
    <font>
      <name val="Arial"/>
      <charset val="204"/>
      <family val="2"/>
      <sz val="10"/>
    </font>
    <font>
      <name val="Helv"/>
      <charset val="204"/>
      <sz val="10"/>
    </font>
    <font>
      <name val="Helv"/>
      <sz val="10"/>
    </font>
    <font>
      <name val="Courier"/>
      <family val="3"/>
      <color indexed="8"/>
      <sz val="1"/>
    </font>
    <font>
      <name val="Courier"/>
      <family val="3"/>
      <b val="1"/>
      <color indexed="8"/>
      <sz val="1"/>
    </font>
    <font>
      <name val="Helv"/>
      <sz val="8"/>
    </font>
    <font>
      <name val="Arial"/>
      <charset val="204"/>
      <family val="2"/>
      <color indexed="11"/>
      <sz val="9"/>
    </font>
    <font>
      <name val="Helv"/>
      <charset val="204"/>
      <sz val="8"/>
    </font>
    <font>
      <name val="Calibri"/>
      <family val="2"/>
      <color indexed="9"/>
      <sz val="11"/>
    </font>
    <font>
      <name val="Calibri"/>
      <family val="2"/>
      <color indexed="8"/>
      <sz val="11"/>
    </font>
    <font>
      <name val="Calibri"/>
      <family val="2"/>
      <color indexed="16"/>
      <sz val="11"/>
    </font>
    <font>
      <name val="Calibri"/>
      <family val="2"/>
      <b val="1"/>
      <color indexed="53"/>
      <sz val="11"/>
    </font>
    <font>
      <name val="Arial"/>
      <charset val="204"/>
      <family val="2"/>
      <b val="1"/>
      <sz val="10"/>
    </font>
    <font>
      <name val="Calibri"/>
      <family val="2"/>
      <b val="1"/>
      <color indexed="9"/>
      <sz val="11"/>
    </font>
    <font>
      <name val="MS Sans Serif"/>
      <charset val="204"/>
      <family val="2"/>
      <b val="1"/>
      <sz val="10"/>
    </font>
    <font>
      <name val="Times New Roman"/>
      <charset val="204"/>
      <family val="1"/>
      <sz val="12"/>
    </font>
    <font>
      <name val="Arial"/>
      <charset val="204"/>
      <family val="2"/>
      <color indexed="24"/>
      <sz val="10"/>
    </font>
    <font>
      <name val="Arial"/>
      <charset val="204"/>
      <family val="2"/>
      <b val="1"/>
      <sz val="13"/>
    </font>
    <font>
      <name val="Times New Roman"/>
      <family val="1"/>
      <sz val="10"/>
    </font>
    <font>
      <name val="Arial"/>
      <charset val="204"/>
      <family val="2"/>
      <color indexed="8"/>
      <sz val="10"/>
    </font>
    <font>
      <name val="Arial"/>
      <charset val="204"/>
      <family val="2"/>
      <color indexed="12"/>
      <sz val="10"/>
    </font>
    <font>
      <name val="Arial"/>
      <charset val="204"/>
      <family val="2"/>
      <sz val="9"/>
    </font>
    <font>
      <name val="Arial Cyr"/>
      <charset val="204"/>
      <family val="2"/>
      <b val="1"/>
      <sz val="10"/>
    </font>
    <font>
      <name val="StoneSerif"/>
      <charset val="204"/>
      <sz val="10"/>
    </font>
    <font>
      <name val="Baltica"/>
      <charset val="204"/>
      <sz val="10"/>
    </font>
    <font>
      <name val="Calibri"/>
      <family val="2"/>
      <color indexed="17"/>
      <sz val="11"/>
    </font>
    <font>
      <name val="Baltica"/>
      <charset val="204"/>
      <b val="1"/>
      <sz val="10"/>
    </font>
    <font>
      <name val="Helv"/>
      <i val="1"/>
      <sz val="11"/>
    </font>
    <font>
      <name val="Arial"/>
      <family val="2"/>
      <b val="1"/>
      <sz val="10"/>
    </font>
    <font>
      <name val="Arial"/>
      <charset val="204"/>
      <family val="2"/>
      <b val="1"/>
      <color indexed="24"/>
      <sz val="18"/>
    </font>
    <font>
      <name val="Arial"/>
      <charset val="204"/>
      <family val="2"/>
      <b val="1"/>
      <color indexed="24"/>
      <sz val="12"/>
    </font>
    <font>
      <name val="Calibri"/>
      <family val="2"/>
      <b val="1"/>
      <color indexed="62"/>
      <sz val="11"/>
    </font>
    <font>
      <name val="Geneva"/>
      <sz val="10"/>
    </font>
    <font>
      <name val="Calibri"/>
      <family val="2"/>
      <color indexed="53"/>
      <sz val="11"/>
    </font>
    <font>
      <name val="Calibri"/>
      <family val="2"/>
      <color indexed="60"/>
      <sz val="11"/>
    </font>
    <font>
      <name val="Geneva"/>
      <charset val="204"/>
      <sz val="10"/>
    </font>
    <font>
      <name val="TimesET"/>
      <charset val="204"/>
      <sz val="12"/>
    </font>
    <font>
      <name val="Calibri"/>
      <family val="2"/>
      <b val="1"/>
      <color indexed="63"/>
      <sz val="11"/>
    </font>
    <font>
      <name val="Tms Rmn"/>
      <charset val="204"/>
      <i val="1"/>
      <sz val="12"/>
    </font>
    <font>
      <name val="Arial"/>
      <family val="2"/>
      <b val="1"/>
      <color indexed="8"/>
      <sz val="10"/>
    </font>
    <font>
      <name val="Arial"/>
      <family val="2"/>
      <b val="1"/>
      <color indexed="39"/>
      <sz val="10"/>
    </font>
    <font>
      <name val="Arial"/>
      <family val="2"/>
      <b val="1"/>
      <color indexed="9"/>
      <sz val="11"/>
    </font>
    <font>
      <name val="Arial"/>
      <family val="2"/>
      <b val="1"/>
      <i val="1"/>
      <color indexed="9"/>
      <sz val="11"/>
    </font>
    <font>
      <name val="Arial"/>
      <charset val="204"/>
      <family val="2"/>
      <color indexed="8"/>
      <sz val="12"/>
    </font>
    <font>
      <name val="Arial"/>
      <charset val="204"/>
      <family val="2"/>
      <b val="1"/>
      <color indexed="8"/>
      <sz val="12"/>
    </font>
    <font>
      <name val="Arial"/>
      <charset val="204"/>
      <family val="2"/>
      <b val="1"/>
      <i val="1"/>
      <color indexed="15"/>
      <sz val="22"/>
    </font>
    <font>
      <name val="Arial"/>
      <family val="2"/>
      <color indexed="39"/>
      <sz val="10"/>
    </font>
    <font>
      <name val="Arial"/>
      <family val="2"/>
      <color indexed="9"/>
      <sz val="12"/>
    </font>
    <font>
      <name val="Arial"/>
      <family val="2"/>
      <i val="1"/>
      <color indexed="9"/>
      <sz val="12"/>
    </font>
    <font>
      <name val="Arial"/>
      <family val="2"/>
      <color indexed="9"/>
      <sz val="11"/>
    </font>
    <font>
      <name val="Arial"/>
      <family val="2"/>
      <i val="1"/>
      <color indexed="9"/>
      <sz val="11"/>
    </font>
    <font>
      <name val="Arial"/>
      <charset val="204"/>
      <family val="2"/>
      <b val="1"/>
      <i val="1"/>
      <color indexed="8"/>
      <sz val="12"/>
    </font>
    <font>
      <name val="Arial"/>
      <charset val="204"/>
      <family val="2"/>
      <color indexed="48"/>
      <sz val="19"/>
    </font>
    <font>
      <name val="Arial"/>
      <family val="2"/>
      <color indexed="10"/>
      <sz val="10"/>
    </font>
    <font>
      <name val="Cambria"/>
      <family val="2"/>
      <b val="1"/>
      <color indexed="62"/>
      <sz val="18"/>
    </font>
    <font>
      <name val="MS Sans Serif"/>
      <charset val="204"/>
      <family val="2"/>
      <sz val="10"/>
    </font>
    <font>
      <name val="Arial"/>
      <family val="2"/>
      <b val="1"/>
      <color indexed="10"/>
      <sz val="10"/>
    </font>
    <font>
      <name val="Cambria"/>
      <charset val="204"/>
      <family val="2"/>
      <b val="1"/>
      <color indexed="56"/>
      <sz val="18"/>
    </font>
    <font>
      <name val="Calibri"/>
      <family val="2"/>
      <color indexed="10"/>
      <sz val="11"/>
    </font>
    <font>
      <name val="Arial CYR"/>
      <charset val="204"/>
      <family val="2"/>
      <b val="1"/>
      <sz val="9"/>
    </font>
    <font>
      <name val="Times New Roman"/>
      <family val="1"/>
      <sz val="12"/>
    </font>
    <font>
      <name val="Modern"/>
      <charset val="255"/>
      <family val="3"/>
      <sz val="12"/>
    </font>
    <font>
      <name val="Verdana"/>
      <charset val="204"/>
      <family val="2"/>
      <color indexed="8"/>
      <sz val="8"/>
    </font>
    <font>
      <name val="Verdana"/>
      <charset val="204"/>
      <family val="2"/>
      <b val="1"/>
      <sz val="8"/>
    </font>
    <font>
      <name val="Verdana"/>
      <charset val="204"/>
      <family val="2"/>
      <b val="1"/>
      <sz val="8"/>
      <u val="single"/>
    </font>
    <font>
      <name val="Verdana"/>
      <charset val="204"/>
      <family val="2"/>
      <sz val="8"/>
    </font>
    <font>
      <name val="Verdana"/>
      <charset val="204"/>
      <family val="2"/>
      <sz val="8"/>
      <u val="single"/>
    </font>
    <font>
      <name val="Verdana"/>
      <charset val="204"/>
      <family val="2"/>
      <color indexed="10"/>
      <sz val="8"/>
    </font>
    <font>
      <name val="Verdana"/>
      <charset val="204"/>
      <family val="2"/>
      <b val="1"/>
      <color indexed="8"/>
      <sz val="8"/>
    </font>
    <font>
      <name val="Calibri"/>
      <charset val="204"/>
      <family val="2"/>
      <sz val="11"/>
    </font>
    <font>
      <name val="Verdana"/>
      <family val="2"/>
      <color indexed="10"/>
      <sz val="8"/>
    </font>
    <font>
      <name val="Verdana"/>
      <family val="2"/>
      <color indexed="8"/>
      <sz val="8"/>
    </font>
    <font>
      <name val="Verdana"/>
      <family val="2"/>
      <b val="1"/>
      <sz val="8"/>
    </font>
    <font>
      <name val="Verdana"/>
      <family val="2"/>
      <sz val="8"/>
    </font>
    <font>
      <name val="Verdana"/>
      <charset val="204"/>
      <family val="2"/>
      <b val="1"/>
      <sz val="10"/>
    </font>
    <font>
      <name val="Verdana"/>
      <charset val="204"/>
      <family val="2"/>
      <b val="1"/>
      <sz val="10"/>
      <u val="single"/>
    </font>
    <font>
      <name val="Times New Roman"/>
      <family val="1"/>
      <color indexed="8"/>
      <sz val="7"/>
    </font>
    <font>
      <name val="Arial Narrow"/>
      <family val="2"/>
      <color indexed="8"/>
      <sz val="12"/>
    </font>
    <font>
      <name val="Calibri"/>
      <charset val="204"/>
      <family val="2"/>
      <color indexed="10"/>
      <sz val="10"/>
    </font>
    <font>
      <name val="Arial Cyr"/>
      <sz val="10"/>
    </font>
    <font>
      <name val="Arial"/>
      <charset val="204"/>
      <family val="2"/>
      <sz val="8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9"/>
    </font>
    <font>
      <name val="Calibri"/>
      <family val="2"/>
      <color indexed="62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color indexed="20"/>
      <sz val="11"/>
    </font>
    <font>
      <name val="Calibri"/>
      <family val="2"/>
      <i val="1"/>
      <color indexed="23"/>
      <sz val="11"/>
    </font>
    <font>
      <name val="Calibri"/>
      <family val="2"/>
      <color indexed="52"/>
      <sz val="11"/>
    </font>
    <font>
      <name val="Arial"/>
      <charset val="204"/>
      <family val="2"/>
      <sz val="12"/>
    </font>
    <font>
      <name val="Arial"/>
      <charset val="204"/>
      <family val="2"/>
      <color indexed="36"/>
      <sz val="8"/>
      <u val="single"/>
    </font>
    <font>
      <name val="Arial"/>
      <charset val="204"/>
      <family val="2"/>
      <color indexed="12"/>
      <sz val="8"/>
      <u val="single"/>
    </font>
    <font>
      <name val="Times New Roman Cyr"/>
      <charset val="204"/>
      <b val="1"/>
      <color indexed="12"/>
      <sz val="10"/>
    </font>
    <font>
      <name val="NTTimes/Cyrillic"/>
      <b val="1"/>
      <color indexed="10"/>
      <sz val="8"/>
    </font>
    <font>
      <name val="Arial Cyr"/>
      <b val="1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Calibri"/>
      <charset val="204"/>
      <family val="2"/>
      <color rgb="FF000000"/>
      <sz val="11"/>
    </font>
    <font>
      <name val="Calibri"/>
      <charset val="1"/>
      <family val="2"/>
      <color rgb="FF008000"/>
      <sz val="11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family val="2"/>
      <color theme="10"/>
      <sz val="10"/>
      <u val="single"/>
    </font>
    <font>
      <name val="Calibri"/>
      <charset val="204"/>
      <family val="2"/>
      <color theme="10"/>
      <sz val="11"/>
      <u val="single"/>
    </font>
    <font>
      <name val="Arial Cyr"/>
      <charset val="204"/>
      <color theme="10"/>
      <sz val="10"/>
      <u val="single"/>
    </font>
    <font>
      <name val="Arial Cyr"/>
      <color theme="10"/>
      <sz val="10"/>
      <u val="single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 Light"/>
      <charset val="204"/>
      <family val="2"/>
      <color theme="3"/>
      <sz val="18"/>
      <scheme val="major"/>
    </font>
    <font>
      <name val="Calibri"/>
      <charset val="204"/>
      <family val="2"/>
      <color rgb="FF9C5700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indexed="8"/>
      <sz val="11"/>
      <scheme val="minor"/>
    </font>
    <font>
      <name val="Arial"/>
      <charset val="204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color rgb="FF006100"/>
      <sz val="11"/>
      <scheme val="minor"/>
    </font>
    <font>
      <name val="Times New Roman"/>
      <charset val="204"/>
      <family val="1"/>
      <b val="1"/>
      <color theme="1"/>
      <sz val="12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9"/>
      <scheme val="minor"/>
    </font>
    <font>
      <name val="Calibri"/>
      <family val="2"/>
      <color theme="1"/>
      <sz val="10"/>
    </font>
    <font>
      <name val="Calibri"/>
      <family val="2"/>
      <color theme="0"/>
      <sz val="10"/>
      <scheme val="minor"/>
    </font>
    <font>
      <name val="Arial"/>
      <family val="2"/>
      <b val="1"/>
      <color theme="0"/>
      <sz val="9"/>
    </font>
    <font>
      <name val="Arial"/>
      <charset val="204"/>
      <family val="2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Verdana"/>
      <charset val="204"/>
      <family val="2"/>
      <color theme="1"/>
      <sz val="8"/>
    </font>
    <font>
      <name val="Verdana"/>
      <charset val="204"/>
      <family val="2"/>
      <color rgb="FF808080"/>
      <sz val="8"/>
    </font>
    <font>
      <name val="Verdana"/>
      <charset val="204"/>
      <family val="2"/>
      <color theme="0" tint="-0.499984740745262"/>
      <sz val="8"/>
    </font>
    <font>
      <name val="Verdana"/>
      <charset val="204"/>
      <family val="2"/>
      <b val="1"/>
      <color rgb="FF808080"/>
      <sz val="8"/>
    </font>
    <font>
      <name val="Verdana"/>
      <charset val="204"/>
      <family val="2"/>
      <color rgb="FFFF0000"/>
      <sz val="8"/>
    </font>
    <font>
      <name val="Verdana"/>
      <charset val="204"/>
      <family val="2"/>
      <b val="1"/>
      <color theme="1"/>
      <sz val="8"/>
    </font>
    <font>
      <name val="Verdana"/>
      <charset val="204"/>
      <family val="2"/>
      <b val="1"/>
      <color rgb="FFFF0000"/>
      <sz val="8"/>
    </font>
    <font>
      <name val="Verdana"/>
      <charset val="204"/>
      <family val="2"/>
      <i val="1"/>
      <color rgb="FFFF0000"/>
      <sz val="8"/>
    </font>
    <font>
      <name val="Verdana"/>
      <charset val="204"/>
      <family val="2"/>
      <color rgb="FF000000"/>
      <sz val="8"/>
    </font>
    <font>
      <name val="Verdana"/>
      <family val="2"/>
      <color theme="1"/>
      <sz val="8"/>
    </font>
    <font>
      <name val="Calibri"/>
      <charset val="204"/>
      <family val="2"/>
      <i val="1"/>
      <color theme="1"/>
      <sz val="11"/>
      <scheme val="minor"/>
    </font>
    <font>
      <name val="Verdana"/>
      <family val="2"/>
      <color rgb="FF000000"/>
      <sz val="8"/>
    </font>
    <font>
      <name val="Verdana"/>
      <family val="2"/>
      <b val="1"/>
      <color rgb="FF000000"/>
      <sz val="8"/>
    </font>
    <font>
      <name val="Calibri"/>
      <charset val="204"/>
      <family val="2"/>
      <color theme="1"/>
      <sz val="8"/>
      <scheme val="minor"/>
    </font>
    <font>
      <name val="Verdana"/>
      <charset val="204"/>
      <family val="2"/>
      <b val="1"/>
      <color theme="0" tint="-0.499984740745262"/>
      <sz val="8"/>
    </font>
    <font>
      <name val="Verdana"/>
      <charset val="204"/>
      <family val="2"/>
      <color theme="0" tint="-0.249977111117893"/>
      <sz val="8"/>
    </font>
    <font>
      <name val="Arial Narrow"/>
      <family val="2"/>
      <b val="1"/>
      <color rgb="FFFF0000"/>
      <sz val="11"/>
    </font>
    <font>
      <name val="Arial Narrow"/>
      <family val="2"/>
      <i val="1"/>
      <color theme="1"/>
      <sz val="12"/>
      <u val="single"/>
    </font>
    <font>
      <name val="Symbol"/>
      <family val="1"/>
      <color theme="1"/>
      <sz val="12"/>
    </font>
    <font>
      <name val="Calibri"/>
      <family val="2"/>
      <color rgb="FFFF0000"/>
      <sz val="10"/>
      <u val="single"/>
    </font>
    <font>
      <name val="Calibri"/>
      <family val="2"/>
      <sz val="10"/>
      <scheme val="minor"/>
    </font>
    <font>
      <name val="Verdana"/>
      <charset val="204"/>
      <family val="2"/>
      <color rgb="FF0000D4"/>
      <sz val="8"/>
    </font>
    <font>
      <name val="Calibri"/>
      <family val="2"/>
      <color rgb="FF0000FF"/>
      <sz val="10"/>
      <u val="single"/>
    </font>
    <font>
      <name val="Verdana"/>
      <charset val="204"/>
      <family val="2"/>
      <color theme="0"/>
      <sz val="8"/>
    </font>
    <font>
      <name val="Verdana"/>
      <charset val="204"/>
      <family val="2"/>
      <b val="1"/>
      <color theme="0"/>
      <sz val="8"/>
    </font>
    <font>
      <name val="Arial"/>
      <charset val="204"/>
      <family val="2"/>
      <color theme="1"/>
      <sz val="8"/>
    </font>
    <font>
      <name val="Calibri"/>
      <charset val="204"/>
      <family val="2"/>
      <sz val="11"/>
      <scheme val="minor"/>
    </font>
    <font>
      <name val="Calibri"/>
      <charset val="204"/>
      <family val="2"/>
      <color theme="0"/>
      <sz val="10"/>
      <scheme val="minor"/>
    </font>
    <font>
      <name val="Verdana"/>
      <charset val="204"/>
      <family val="2"/>
      <color theme="0" tint="-0.3499862666707358"/>
      <sz val="8"/>
    </font>
    <font>
      <name val="Verdana"/>
      <charset val="204"/>
      <family val="2"/>
      <color rgb="FF0070C0"/>
      <sz val="8"/>
    </font>
    <font>
      <name val="Calibri"/>
      <charset val="204"/>
      <family val="2"/>
      <b val="1"/>
      <color theme="1"/>
      <sz val="9"/>
      <scheme val="minor"/>
    </font>
    <font>
      <name val="Calibri"/>
      <charset val="204"/>
      <family val="2"/>
      <color theme="0"/>
      <sz val="9"/>
      <scheme val="minor"/>
    </font>
    <font>
      <name val="Times New Roman"/>
      <charset val="204"/>
      <family val="1"/>
      <color theme="1"/>
      <sz val="12"/>
    </font>
    <font>
      <name val="Verdana"/>
      <charset val="204"/>
      <family val="2"/>
      <b val="1"/>
      <color theme="1"/>
      <sz val="10"/>
    </font>
    <font>
      <name val="Times New Roman"/>
      <charset val="204"/>
      <family val="1"/>
      <color theme="1"/>
      <sz val="11"/>
    </font>
    <font>
      <name val="Arial Narrow"/>
      <family val="2"/>
      <b val="1"/>
      <color theme="1"/>
      <sz val="14"/>
    </font>
    <font>
      <name val="Calibri"/>
      <charset val="204"/>
      <family val="2"/>
      <sz val="8"/>
      <scheme val="minor"/>
    </font>
    <font>
      <name val="Calibri"/>
      <family val="2"/>
      <color theme="0" tint="-0.499984740745262"/>
      <sz val="10"/>
      <u val="single"/>
    </font>
    <font>
      <name val="Times New Roman"/>
      <charset val="204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Arial"/>
      <family val="2"/>
      <sz val="8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theme="0"/>
      <sz val="9"/>
      <scheme val="minor"/>
    </font>
    <font>
      <name val="Calibri"/>
      <family val="2"/>
      <b val="1"/>
      <color rgb="FFFF0000"/>
      <sz val="11"/>
      <scheme val="minor"/>
    </font>
    <font>
      <name val="Verdana"/>
      <family val="2"/>
      <b val="1"/>
      <color theme="1"/>
      <sz val="8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b val="1"/>
      <color rgb="FFFF0000"/>
      <sz val="11"/>
      <scheme val="minor"/>
    </font>
    <font>
      <name val="Calibri"/>
      <charset val="204"/>
      <family val="2"/>
      <i val="1"/>
      <color theme="1"/>
      <sz val="11"/>
      <u val="single"/>
      <scheme val="minor"/>
    </font>
    <font>
      <name val="Calibri"/>
      <charset val="204"/>
      <family val="2"/>
      <color indexed="8"/>
      <sz val="7"/>
      <scheme val="minor"/>
    </font>
    <font>
      <name val="Calibri"/>
      <charset val="204"/>
      <family val="2"/>
      <color indexed="8"/>
      <sz val="12"/>
      <scheme val="minor"/>
    </font>
    <font>
      <name val="Trebuchet MS"/>
      <charset val="204"/>
      <family val="2"/>
      <color theme="1"/>
      <sz val="10.5"/>
    </font>
    <font>
      <name val="Calibri"/>
      <charset val="204"/>
      <family val="2"/>
      <b val="1"/>
      <color theme="1"/>
      <sz val="11"/>
    </font>
    <font>
      <name val="Trebuchet MS"/>
      <charset val="204"/>
      <family val="2"/>
      <b val="1"/>
      <color theme="1"/>
      <sz val="10"/>
    </font>
    <font>
      <name val="Trebuchet MS"/>
      <charset val="204"/>
      <family val="2"/>
      <i val="1"/>
      <color theme="1"/>
      <sz val="10.5"/>
    </font>
    <font>
      <name val="Calibri"/>
      <charset val="204"/>
      <family val="2"/>
      <b val="1"/>
      <color theme="10"/>
      <sz val="10"/>
      <u val="single"/>
    </font>
    <font>
      <name val="Calibri"/>
      <charset val="204"/>
      <family val="2"/>
      <color theme="10"/>
      <sz val="10"/>
      <u val="single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11"/>
      <scheme val="minor"/>
    </font>
    <font>
      <name val="Verdana"/>
      <charset val="204"/>
      <family val="2"/>
      <color theme="1"/>
      <sz val="10"/>
    </font>
    <font>
      <name val="Verdana"/>
      <charset val="204"/>
      <family val="2"/>
      <sz val="10"/>
    </font>
    <font>
      <name val="Verdana"/>
      <charset val="204"/>
      <family val="2"/>
      <color theme="0"/>
      <sz val="10"/>
    </font>
    <font>
      <name val="Verdana"/>
      <charset val="204"/>
      <family val="2"/>
      <color rgb="FFFF0000"/>
      <sz val="10"/>
    </font>
    <font>
      <name val="Arial"/>
      <family val="2"/>
      <color theme="0"/>
      <sz val="12"/>
    </font>
    <font>
      <name val="Calibri"/>
      <charset val="204"/>
      <family val="2"/>
      <color theme="1"/>
      <sz val="18"/>
      <scheme val="minor"/>
    </font>
    <font>
      <name val="Montserrat"/>
      <color theme="1"/>
      <sz val="11"/>
    </font>
    <font>
      <name val="Montserrat"/>
      <b val="1"/>
      <color theme="1"/>
      <sz val="11"/>
    </font>
    <font>
      <name val="Cambria"/>
      <family val="1"/>
      <color theme="1"/>
      <sz val="11"/>
    </font>
    <font>
      <name val="Calibri"/>
      <family val="2"/>
      <color theme="1"/>
      <sz val="11"/>
    </font>
    <font>
      <name val="Montserrat-Regular"/>
      <color rgb="FFFF0000"/>
      <sz val="12"/>
    </font>
  </fonts>
  <fills count="11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gray0625"/>
    </fill>
    <fill>
      <patternFill patternType="solid">
        <fgColor indexed="4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7"/>
      </patternFill>
    </fill>
    <fill>
      <patternFill patternType="solid">
        <fgColor indexed="11"/>
        <bgColor indexed="64"/>
      </patternFill>
    </fill>
    <fill>
      <patternFill patternType="solid">
        <fgColor indexed="40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47"/>
        <bgColor indexed="64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5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CC"/>
        <bgColor rgb="FFCCFFFF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22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ck">
        <color indexed="9"/>
      </top>
      <bottom style="medium">
        <color indexed="22"/>
      </bottom>
      <diagonal/>
    </border>
    <border>
      <left/>
      <right/>
      <top style="medium">
        <color indexed="41"/>
      </top>
      <bottom style="medium">
        <color indexed="48"/>
      </bottom>
      <diagonal/>
    </border>
    <border>
      <left/>
      <right/>
      <top style="medium">
        <color indexed="22"/>
      </top>
      <bottom/>
      <diagonal/>
    </border>
    <border>
      <left/>
      <right/>
      <top style="thick">
        <color indexed="9"/>
      </top>
      <bottom style="medium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764">
    <xf numFmtId="0" fontId="113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" fontId="110" fillId="0" borderId="0"/>
    <xf numFmtId="1" fontId="110" fillId="0" borderId="0"/>
    <xf numFmtId="1" fontId="110" fillId="0" borderId="0"/>
    <xf numFmtId="0" fontId="3" fillId="0" borderId="0"/>
    <xf numFmtId="0" fontId="3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11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3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3" fillId="0" borderId="0"/>
    <xf numFmtId="0" fontId="17" fillId="0" borderId="0"/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20" fillId="0" borderId="0" applyProtection="1">
      <protection locked="0" hidden="0"/>
    </xf>
    <xf numFmtId="0" fontId="20" fillId="0" borderId="0" applyProtection="1">
      <protection locked="0" hidden="0"/>
    </xf>
    <xf numFmtId="0" fontId="19" fillId="0" borderId="1" applyProtection="1">
      <protection locked="0" hidden="0"/>
    </xf>
    <xf numFmtId="0" fontId="19" fillId="0" borderId="0" applyProtection="1">
      <protection locked="0" hidden="0"/>
    </xf>
    <xf numFmtId="0" fontId="19" fillId="0" borderId="1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1" applyProtection="1">
      <protection locked="0" hidden="0"/>
    </xf>
    <xf numFmtId="0" fontId="19" fillId="0" borderId="0" applyProtection="1">
      <protection locked="0" hidden="0"/>
    </xf>
    <xf numFmtId="0" fontId="19" fillId="0" borderId="1" applyProtection="1">
      <protection locked="0" hidden="0"/>
    </xf>
    <xf numFmtId="0" fontId="19" fillId="0" borderId="0" applyProtection="1">
      <protection locked="0" hidden="0"/>
    </xf>
    <xf numFmtId="0" fontId="19" fillId="0" borderId="1" applyProtection="1">
      <protection locked="0" hidden="0"/>
    </xf>
    <xf numFmtId="0" fontId="19" fillId="0" borderId="0" applyProtection="1">
      <protection locked="0" hidden="0"/>
    </xf>
    <xf numFmtId="0" fontId="19" fillId="0" borderId="1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19" fillId="0" borderId="0" applyProtection="1">
      <protection locked="0" hidden="0"/>
    </xf>
    <xf numFmtId="0" fontId="20" fillId="0" borderId="0" applyProtection="1">
      <protection locked="0" hidden="0"/>
    </xf>
    <xf numFmtId="0" fontId="20" fillId="0" borderId="0" applyProtection="1">
      <protection locked="0" hidden="0"/>
    </xf>
    <xf numFmtId="184" fontId="14" fillId="0" borderId="0" applyAlignment="1">
      <alignment horizontal="center"/>
    </xf>
    <xf numFmtId="185" fontId="21" fillId="0" borderId="0" applyProtection="1">
      <protection locked="0" hidden="1"/>
    </xf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113" fillId="68" borderId="0"/>
    <xf numFmtId="0" fontId="25" fillId="8" borderId="0"/>
    <xf numFmtId="0" fontId="25" fillId="8" borderId="0"/>
    <xf numFmtId="0" fontId="113" fillId="69" borderId="0"/>
    <xf numFmtId="0" fontId="25" fillId="9" borderId="0"/>
    <xf numFmtId="0" fontId="25" fillId="9" borderId="0"/>
    <xf numFmtId="0" fontId="113" fillId="70" borderId="0"/>
    <xf numFmtId="0" fontId="25" fillId="9" borderId="0"/>
    <xf numFmtId="0" fontId="25" fillId="9" borderId="0"/>
    <xf numFmtId="0" fontId="113" fillId="71" borderId="0"/>
    <xf numFmtId="0" fontId="25" fillId="8" borderId="0"/>
    <xf numFmtId="0" fontId="25" fillId="8" borderId="0"/>
    <xf numFmtId="0" fontId="113" fillId="72" borderId="0"/>
    <xf numFmtId="0" fontId="25" fillId="6" borderId="0"/>
    <xf numFmtId="0" fontId="25" fillId="6" borderId="0"/>
    <xf numFmtId="0" fontId="113" fillId="73" borderId="0"/>
    <xf numFmtId="0" fontId="25" fillId="7" borderId="0"/>
    <xf numFmtId="0" fontId="25" fillId="7" borderId="0"/>
    <xf numFmtId="186" fontId="21" fillId="0" borderId="0" applyAlignment="1">
      <alignment horizontal="right"/>
    </xf>
    <xf numFmtId="0" fontId="2" fillId="11" borderId="0"/>
    <xf numFmtId="0" fontId="2" fillId="12" borderId="0"/>
    <xf numFmtId="0" fontId="2" fillId="13" borderId="0"/>
    <xf numFmtId="0" fontId="2" fillId="5" borderId="0"/>
    <xf numFmtId="0" fontId="2" fillId="11" borderId="0"/>
    <xf numFmtId="0" fontId="2" fillId="14" borderId="0"/>
    <xf numFmtId="0" fontId="113" fillId="74" borderId="0"/>
    <xf numFmtId="0" fontId="25" fillId="15" borderId="0"/>
    <xf numFmtId="0" fontId="25" fillId="15" borderId="0"/>
    <xf numFmtId="0" fontId="113" fillId="75" borderId="0"/>
    <xf numFmtId="0" fontId="25" fillId="9" borderId="0"/>
    <xf numFmtId="0" fontId="25" fillId="9" borderId="0"/>
    <xf numFmtId="0" fontId="113" fillId="76" borderId="0"/>
    <xf numFmtId="0" fontId="25" fillId="9" borderId="0"/>
    <xf numFmtId="0" fontId="25" fillId="9" borderId="0"/>
    <xf numFmtId="0" fontId="113" fillId="77" borderId="0"/>
    <xf numFmtId="0" fontId="25" fillId="15" borderId="0"/>
    <xf numFmtId="0" fontId="25" fillId="15" borderId="0"/>
    <xf numFmtId="0" fontId="113" fillId="78" borderId="0"/>
    <xf numFmtId="0" fontId="25" fillId="11" borderId="0"/>
    <xf numFmtId="0" fontId="25" fillId="11" borderId="0"/>
    <xf numFmtId="0" fontId="113" fillId="79" borderId="0"/>
    <xf numFmtId="0" fontId="25" fillId="7" borderId="0"/>
    <xf numFmtId="0" fontId="25" fillId="7" borderId="0"/>
    <xf numFmtId="0" fontId="10" fillId="17" borderId="0"/>
    <xf numFmtId="0" fontId="10" fillId="12" borderId="0"/>
    <xf numFmtId="0" fontId="10" fillId="13" borderId="0"/>
    <xf numFmtId="0" fontId="10" fillId="18" borderId="0"/>
    <xf numFmtId="0" fontId="10" fillId="19" borderId="0"/>
    <xf numFmtId="0" fontId="10" fillId="20" borderId="0"/>
    <xf numFmtId="0" fontId="24" fillId="19" borderId="0"/>
    <xf numFmtId="0" fontId="113" fillId="80" borderId="0"/>
    <xf numFmtId="0" fontId="24" fillId="19" borderId="0"/>
    <xf numFmtId="0" fontId="114" fillId="80" borderId="0"/>
    <xf numFmtId="0" fontId="114" fillId="80" borderId="0"/>
    <xf numFmtId="0" fontId="24" fillId="9" borderId="0"/>
    <xf numFmtId="0" fontId="113" fillId="81" borderId="0"/>
    <xf numFmtId="0" fontId="24" fillId="9" borderId="0"/>
    <xf numFmtId="0" fontId="114" fillId="81" borderId="0"/>
    <xf numFmtId="0" fontId="114" fillId="81" borderId="0"/>
    <xf numFmtId="0" fontId="24" fillId="9" borderId="0"/>
    <xf numFmtId="0" fontId="113" fillId="82" borderId="0"/>
    <xf numFmtId="0" fontId="24" fillId="9" borderId="0"/>
    <xf numFmtId="0" fontId="114" fillId="82" borderId="0"/>
    <xf numFmtId="0" fontId="114" fillId="82" borderId="0"/>
    <xf numFmtId="0" fontId="24" fillId="15" borderId="0"/>
    <xf numFmtId="0" fontId="113" fillId="83" borderId="0"/>
    <xf numFmtId="0" fontId="24" fillId="15" borderId="0"/>
    <xf numFmtId="0" fontId="114" fillId="83" borderId="0"/>
    <xf numFmtId="0" fontId="114" fillId="83" borderId="0"/>
    <xf numFmtId="0" fontId="24" fillId="19" borderId="0"/>
    <xf numFmtId="0" fontId="113" fillId="84" borderId="0"/>
    <xf numFmtId="0" fontId="24" fillId="19" borderId="0"/>
    <xf numFmtId="0" fontId="114" fillId="84" borderId="0"/>
    <xf numFmtId="0" fontId="114" fillId="84" borderId="0"/>
    <xf numFmtId="0" fontId="24" fillId="7" borderId="0"/>
    <xf numFmtId="0" fontId="113" fillId="85" borderId="0"/>
    <xf numFmtId="0" fontId="24" fillId="7" borderId="0"/>
    <xf numFmtId="0" fontId="114" fillId="85" borderId="0"/>
    <xf numFmtId="0" fontId="114" fillId="85" borderId="0"/>
    <xf numFmtId="187" fontId="22" fillId="0" borderId="0" applyAlignment="1">
      <alignment horizontal="center"/>
    </xf>
    <xf numFmtId="0" fontId="23" fillId="0" borderId="0" applyAlignment="1">
      <alignment horizontal="right"/>
    </xf>
    <xf numFmtId="0" fontId="24" fillId="22" borderId="0"/>
    <xf numFmtId="0" fontId="25" fillId="23" borderId="0"/>
    <xf numFmtId="0" fontId="25" fillId="24" borderId="0"/>
    <xf numFmtId="0" fontId="24" fillId="25" borderId="0"/>
    <xf numFmtId="0" fontId="24" fillId="26" borderId="0"/>
    <xf numFmtId="0" fontId="25" fillId="27" borderId="0"/>
    <xf numFmtId="0" fontId="25" fillId="28" borderId="0"/>
    <xf numFmtId="0" fontId="24" fillId="29" borderId="0"/>
    <xf numFmtId="0" fontId="24" fillId="29" borderId="0"/>
    <xf numFmtId="0" fontId="25" fillId="30" borderId="0"/>
    <xf numFmtId="0" fontId="25" fillId="31" borderId="0"/>
    <xf numFmtId="0" fontId="24" fillId="32" borderId="0"/>
    <xf numFmtId="0" fontId="24" fillId="33" borderId="0"/>
    <xf numFmtId="0" fontId="25" fillId="31" borderId="0"/>
    <xf numFmtId="0" fontId="25" fillId="32" borderId="0"/>
    <xf numFmtId="0" fontId="24" fillId="32" borderId="0"/>
    <xf numFmtId="0" fontId="24" fillId="34" borderId="0"/>
    <xf numFmtId="0" fontId="25" fillId="23" borderId="0"/>
    <xf numFmtId="0" fontId="25" fillId="24" borderId="0"/>
    <xf numFmtId="0" fontId="24" fillId="24" borderId="0"/>
    <xf numFmtId="0" fontId="24" fillId="35" borderId="0"/>
    <xf numFmtId="0" fontId="25" fillId="36" borderId="0"/>
    <xf numFmtId="0" fontId="25" fillId="28" borderId="0"/>
    <xf numFmtId="0" fontId="24" fillId="37" borderId="0"/>
    <xf numFmtId="0" fontId="26" fillId="28" borderId="0"/>
    <xf numFmtId="0" fontId="27" fillId="38" borderId="2"/>
    <xf numFmtId="0" fontId="28" fillId="0" borderId="0" applyAlignment="1" applyProtection="1">
      <alignment horizontal="center"/>
      <protection locked="0" hidden="0"/>
    </xf>
    <xf numFmtId="0" fontId="29" fillId="29" borderId="3"/>
    <xf numFmtId="188" fontId="16" fillId="0" borderId="4" applyAlignment="1" applyProtection="1">
      <alignment horizontal="center"/>
      <protection locked="0" hidden="0"/>
    </xf>
    <xf numFmtId="189" fontId="16" fillId="0" borderId="0"/>
    <xf numFmtId="190" fontId="106" fillId="0" borderId="0"/>
    <xf numFmtId="191" fontId="16" fillId="0" borderId="0"/>
    <xf numFmtId="192" fontId="16" fillId="0" borderId="0"/>
    <xf numFmtId="193" fontId="16" fillId="0" borderId="0"/>
    <xf numFmtId="189" fontId="16" fillId="0" borderId="0"/>
    <xf numFmtId="189" fontId="16" fillId="0" borderId="0"/>
    <xf numFmtId="0" fontId="30" fillId="0" borderId="0" applyAlignment="1">
      <alignment vertical="top"/>
    </xf>
    <xf numFmtId="182" fontId="31" fillId="0" borderId="0"/>
    <xf numFmtId="3" fontId="32" fillId="0" borderId="0"/>
    <xf numFmtId="0" fontId="33" fillId="0" borderId="0" applyProtection="1">
      <protection locked="0" hidden="0"/>
    </xf>
    <xf numFmtId="194" fontId="34" fillId="0" borderId="0"/>
    <xf numFmtId="194" fontId="34" fillId="0" borderId="5"/>
    <xf numFmtId="194" fontId="34" fillId="0" borderId="5"/>
    <xf numFmtId="194" fontId="34" fillId="0" borderId="1"/>
    <xf numFmtId="42" fontId="106" fillId="0" borderId="0"/>
    <xf numFmtId="195" fontId="16" fillId="0" borderId="0"/>
    <xf numFmtId="196" fontId="16" fillId="0" borderId="0"/>
    <xf numFmtId="194" fontId="16" fillId="0" borderId="0"/>
    <xf numFmtId="37" fontId="35" fillId="0" borderId="6"/>
    <xf numFmtId="37" fontId="35" fillId="0" borderId="6"/>
    <xf numFmtId="37" fontId="36" fillId="0" borderId="6" applyProtection="1">
      <protection locked="0" hidden="0"/>
    </xf>
    <xf numFmtId="37" fontId="36" fillId="0" borderId="6" applyProtection="1">
      <protection locked="0" hidden="0"/>
    </xf>
    <xf numFmtId="37" fontId="37" fillId="39" borderId="7"/>
    <xf numFmtId="37" fontId="36" fillId="0" borderId="6" applyProtection="1">
      <protection locked="0" hidden="0"/>
    </xf>
    <xf numFmtId="197" fontId="16" fillId="0" borderId="0"/>
    <xf numFmtId="198" fontId="32" fillId="0" borderId="0"/>
    <xf numFmtId="0" fontId="32" fillId="0" borderId="0"/>
    <xf numFmtId="15" fontId="38" fillId="0" borderId="8" applyAlignment="1">
      <alignment horizontal="centerContinuous"/>
    </xf>
    <xf numFmtId="199" fontId="38" fillId="0" borderId="8" applyAlignment="1">
      <alignment horizontal="centerContinuous"/>
    </xf>
    <xf numFmtId="200" fontId="39" fillId="0" borderId="0"/>
    <xf numFmtId="196" fontId="34" fillId="0" borderId="0"/>
    <xf numFmtId="196" fontId="34" fillId="0" borderId="5"/>
    <xf numFmtId="196" fontId="34" fillId="0" borderId="5"/>
    <xf numFmtId="196" fontId="34" fillId="0" borderId="1"/>
    <xf numFmtId="0" fontId="13" fillId="40" borderId="0"/>
    <xf numFmtId="0" fontId="13" fillId="41" borderId="0"/>
    <xf numFmtId="0" fontId="13" fillId="42" borderId="0"/>
    <xf numFmtId="201" fontId="16" fillId="0" borderId="0"/>
    <xf numFmtId="0" fontId="5" fillId="0" borderId="0"/>
    <xf numFmtId="0" fontId="98" fillId="0" borderId="0"/>
    <xf numFmtId="202" fontId="115" fillId="0" borderId="0"/>
    <xf numFmtId="0" fontId="12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182" fontId="40" fillId="0" borderId="0"/>
    <xf numFmtId="2" fontId="32" fillId="0" borderId="0"/>
    <xf numFmtId="0" fontId="107" fillId="0" borderId="0" applyAlignment="1" applyProtection="1">
      <alignment vertical="top"/>
      <protection locked="0" hidden="0"/>
    </xf>
    <xf numFmtId="0" fontId="41" fillId="43" borderId="0"/>
    <xf numFmtId="0" fontId="42" fillId="44" borderId="9"/>
    <xf numFmtId="0" fontId="43" fillId="0" borderId="0"/>
    <xf numFmtId="14" fontId="44" fillId="45" borderId="10" applyAlignment="1">
      <alignment horizontal="center" vertical="center" wrapText="1"/>
    </xf>
    <xf numFmtId="0" fontId="45" fillId="0" borderId="0"/>
    <xf numFmtId="0" fontId="46" fillId="0" borderId="0"/>
    <xf numFmtId="0" fontId="47" fillId="0" borderId="11"/>
    <xf numFmtId="0" fontId="47" fillId="0" borderId="0"/>
    <xf numFmtId="0" fontId="28" fillId="0" borderId="0" applyProtection="1">
      <protection locked="0" hidden="0"/>
    </xf>
    <xf numFmtId="0" fontId="28" fillId="0" borderId="12" applyProtection="1">
      <protection locked="0" hidden="0"/>
    </xf>
    <xf numFmtId="0" fontId="108" fillId="0" borderId="0" applyAlignment="1" applyProtection="1">
      <alignment vertical="top"/>
      <protection locked="0" hidden="0"/>
    </xf>
    <xf numFmtId="0" fontId="16" fillId="0" borderId="0"/>
    <xf numFmtId="37" fontId="48" fillId="46" borderId="0" applyProtection="1">
      <protection locked="0" hidden="0"/>
    </xf>
    <xf numFmtId="203" fontId="15" fillId="47" borderId="13" applyProtection="1">
      <protection locked="0" hidden="0"/>
    </xf>
    <xf numFmtId="3" fontId="21" fillId="0" borderId="0"/>
    <xf numFmtId="0" fontId="49" fillId="0" borderId="14"/>
    <xf numFmtId="0" fontId="18" fillId="0" borderId="0"/>
    <xf numFmtId="204" fontId="16" fillId="0" borderId="0"/>
    <xf numFmtId="182" fontId="16" fillId="0" borderId="0"/>
    <xf numFmtId="42" fontId="16" fillId="0" borderId="0"/>
    <xf numFmtId="205" fontId="16" fillId="0" borderId="0"/>
    <xf numFmtId="206" fontId="34" fillId="0" borderId="0"/>
    <xf numFmtId="0" fontId="50" fillId="37" borderId="0"/>
    <xf numFmtId="0" fontId="16" fillId="0" borderId="0"/>
    <xf numFmtId="207" fontId="15" fillId="0" borderId="0"/>
    <xf numFmtId="0" fontId="51" fillId="0" borderId="0"/>
    <xf numFmtId="0" fontId="23" fillId="0" borderId="0"/>
    <xf numFmtId="0" fontId="17" fillId="0" borderId="0"/>
    <xf numFmtId="0" fontId="16" fillId="36" borderId="15"/>
    <xf numFmtId="208" fontId="21" fillId="0" borderId="0" applyProtection="1">
      <protection locked="0" hidden="1"/>
    </xf>
    <xf numFmtId="209" fontId="52" fillId="0" borderId="0"/>
    <xf numFmtId="210" fontId="52" fillId="0" borderId="0"/>
    <xf numFmtId="211" fontId="15" fillId="0" borderId="0"/>
    <xf numFmtId="212" fontId="15" fillId="0" borderId="0"/>
    <xf numFmtId="0" fontId="53" fillId="38" borderId="16"/>
    <xf numFmtId="9" fontId="16" fillId="0" borderId="0"/>
    <xf numFmtId="213" fontId="16" fillId="0" borderId="0"/>
    <xf numFmtId="214" fontId="16" fillId="0" borderId="0"/>
    <xf numFmtId="215" fontId="16" fillId="0" borderId="0"/>
    <xf numFmtId="216" fontId="16" fillId="0" borderId="0"/>
    <xf numFmtId="217" fontId="16" fillId="0" borderId="0"/>
    <xf numFmtId="218" fontId="16" fillId="0" borderId="0"/>
    <xf numFmtId="219" fontId="16" fillId="0" borderId="0"/>
    <xf numFmtId="220" fontId="16" fillId="0" borderId="0"/>
    <xf numFmtId="221" fontId="16" fillId="0" borderId="0"/>
    <xf numFmtId="170" fontId="16" fillId="0" borderId="0"/>
    <xf numFmtId="222" fontId="54" fillId="0" borderId="17" applyAlignment="1" applyProtection="1">
      <alignment horizontal="right"/>
      <protection locked="0" hidden="0"/>
    </xf>
    <xf numFmtId="222" fontId="54" fillId="0" borderId="17" applyAlignment="1" applyProtection="1">
      <alignment horizontal="right"/>
      <protection locked="0" hidden="0"/>
    </xf>
    <xf numFmtId="4" fontId="55" fillId="16" borderId="18" applyAlignment="1">
      <alignment vertical="center"/>
    </xf>
    <xf numFmtId="4" fontId="56" fillId="16" borderId="18" applyAlignment="1">
      <alignment vertical="center"/>
    </xf>
    <xf numFmtId="4" fontId="57" fillId="48" borderId="19" applyAlignment="1">
      <alignment vertical="center"/>
    </xf>
    <xf numFmtId="4" fontId="58" fillId="48" borderId="19" applyAlignment="1">
      <alignment vertical="center"/>
    </xf>
    <xf numFmtId="4" fontId="57" fillId="49" borderId="19" applyAlignment="1">
      <alignment vertical="center"/>
    </xf>
    <xf numFmtId="4" fontId="58" fillId="49" borderId="19" applyAlignment="1">
      <alignment vertical="center"/>
    </xf>
    <xf numFmtId="4" fontId="55" fillId="16" borderId="18" applyAlignment="1">
      <alignment horizontal="left" vertical="center" indent="1"/>
    </xf>
    <xf numFmtId="0" fontId="55" fillId="16" borderId="18" applyAlignment="1">
      <alignment horizontal="left" vertical="top" indent="1"/>
    </xf>
    <xf numFmtId="0" fontId="16" fillId="50" borderId="0"/>
    <xf numFmtId="4" fontId="55" fillId="51" borderId="0" applyAlignment="1">
      <alignment horizontal="left" vertical="center" indent="1"/>
    </xf>
    <xf numFmtId="4" fontId="59" fillId="52" borderId="18" applyAlignment="1">
      <alignment horizontal="right" vertical="center"/>
    </xf>
    <xf numFmtId="4" fontId="11" fillId="3" borderId="18" applyAlignment="1">
      <alignment horizontal="right" vertical="center"/>
    </xf>
    <xf numFmtId="4" fontId="11" fillId="12" borderId="18" applyAlignment="1">
      <alignment horizontal="right" vertical="center"/>
    </xf>
    <xf numFmtId="4" fontId="11" fillId="53" borderId="18" applyAlignment="1">
      <alignment horizontal="right" vertical="center"/>
    </xf>
    <xf numFmtId="4" fontId="59" fillId="54" borderId="18" applyAlignment="1">
      <alignment horizontal="right" vertical="center"/>
    </xf>
    <xf numFmtId="4" fontId="11" fillId="14" borderId="18" applyAlignment="1">
      <alignment horizontal="right" vertical="center"/>
    </xf>
    <xf numFmtId="4" fontId="11" fillId="20" borderId="18" applyAlignment="1">
      <alignment horizontal="right" vertical="center"/>
    </xf>
    <xf numFmtId="4" fontId="11" fillId="55" borderId="18" applyAlignment="1">
      <alignment horizontal="right" vertical="center"/>
    </xf>
    <xf numFmtId="4" fontId="59" fillId="48" borderId="18" applyAlignment="1">
      <alignment horizontal="right" vertical="center"/>
    </xf>
    <xf numFmtId="4" fontId="11" fillId="21" borderId="18" applyAlignment="1">
      <alignment horizontal="right" vertical="center"/>
    </xf>
    <xf numFmtId="4" fontId="11" fillId="56" borderId="18" applyAlignment="1">
      <alignment horizontal="right" vertical="center"/>
    </xf>
    <xf numFmtId="4" fontId="11" fillId="13" borderId="18" applyAlignment="1">
      <alignment horizontal="right" vertical="center"/>
    </xf>
    <xf numFmtId="4" fontId="60" fillId="52" borderId="18" applyAlignment="1">
      <alignment horizontal="right" vertical="center"/>
    </xf>
    <xf numFmtId="4" fontId="55" fillId="57" borderId="20" applyAlignment="1">
      <alignment horizontal="left" vertical="center" indent="1"/>
    </xf>
    <xf numFmtId="4" fontId="55" fillId="57" borderId="20" applyAlignment="1">
      <alignment horizontal="left" vertical="center" indent="1"/>
    </xf>
    <xf numFmtId="4" fontId="11" fillId="58" borderId="0" applyAlignment="1">
      <alignment horizontal="left" vertical="center" indent="1"/>
    </xf>
    <xf numFmtId="4" fontId="60" fillId="59" borderId="0" applyAlignment="1">
      <alignment horizontal="left" vertical="center" indent="1"/>
    </xf>
    <xf numFmtId="4" fontId="11" fillId="51" borderId="18" applyAlignment="1">
      <alignment horizontal="right" vertical="center"/>
    </xf>
    <xf numFmtId="4" fontId="59" fillId="60" borderId="0" applyAlignment="1">
      <alignment horizontal="left" vertical="center" indent="1"/>
    </xf>
    <xf numFmtId="4" fontId="35" fillId="58" borderId="0" applyAlignment="1">
      <alignment horizontal="left" vertical="center" indent="1"/>
    </xf>
    <xf numFmtId="0" fontId="16" fillId="61" borderId="21"/>
    <xf numFmtId="0" fontId="16" fillId="62" borderId="22"/>
    <xf numFmtId="0" fontId="16" fillId="62" borderId="22"/>
    <xf numFmtId="0" fontId="61" fillId="63" borderId="23" applyAlignment="1">
      <alignment horizontal="left" vertical="center"/>
    </xf>
    <xf numFmtId="0" fontId="61" fillId="63" borderId="23" applyAlignment="1">
      <alignment horizontal="left" vertical="center"/>
    </xf>
    <xf numFmtId="0" fontId="16" fillId="61" borderId="24"/>
    <xf numFmtId="4" fontId="35" fillId="51" borderId="0" applyAlignment="1">
      <alignment horizontal="left" vertical="center" indent="1"/>
    </xf>
    <xf numFmtId="0" fontId="16" fillId="59" borderId="18" applyAlignment="1">
      <alignment horizontal="left" vertical="center" indent="1"/>
    </xf>
    <xf numFmtId="0" fontId="16" fillId="59" borderId="18" applyAlignment="1">
      <alignment horizontal="left" vertical="top" indent="1"/>
    </xf>
    <xf numFmtId="0" fontId="16" fillId="51" borderId="18" applyAlignment="1">
      <alignment horizontal="left" vertical="center" indent="1"/>
    </xf>
    <xf numFmtId="0" fontId="16" fillId="51" borderId="18" applyAlignment="1">
      <alignment horizontal="left" vertical="top" indent="1"/>
    </xf>
    <xf numFmtId="0" fontId="16" fillId="11" borderId="18" applyAlignment="1">
      <alignment horizontal="left" vertical="center" indent="1"/>
    </xf>
    <xf numFmtId="0" fontId="16" fillId="11" borderId="18" applyAlignment="1">
      <alignment horizontal="left" vertical="top" indent="1"/>
    </xf>
    <xf numFmtId="0" fontId="16" fillId="58" borderId="18" applyAlignment="1">
      <alignment horizontal="left" vertical="center" indent="1"/>
    </xf>
    <xf numFmtId="0" fontId="16" fillId="58" borderId="18" applyAlignment="1">
      <alignment horizontal="left" vertical="top" indent="1"/>
    </xf>
    <xf numFmtId="0" fontId="16" fillId="8" borderId="7" applyProtection="1">
      <protection locked="0" hidden="0"/>
    </xf>
    <xf numFmtId="4" fontId="11" fillId="10" borderId="18" applyAlignment="1">
      <alignment vertical="center"/>
    </xf>
    <xf numFmtId="4" fontId="62" fillId="10" borderId="18" applyAlignment="1">
      <alignment vertical="center"/>
    </xf>
    <xf numFmtId="4" fontId="63" fillId="48" borderId="25" applyAlignment="1">
      <alignment vertical="center"/>
    </xf>
    <xf numFmtId="4" fontId="64" fillId="48" borderId="25" applyAlignment="1">
      <alignment vertical="center"/>
    </xf>
    <xf numFmtId="4" fontId="63" fillId="49" borderId="25" applyAlignment="1">
      <alignment vertical="center"/>
    </xf>
    <xf numFmtId="4" fontId="64" fillId="49" borderId="25" applyAlignment="1">
      <alignment vertical="center"/>
    </xf>
    <xf numFmtId="4" fontId="11" fillId="10" borderId="18" applyAlignment="1">
      <alignment horizontal="left" vertical="center" indent="1"/>
    </xf>
    <xf numFmtId="0" fontId="11" fillId="10" borderId="18" applyAlignment="1">
      <alignment horizontal="left" vertical="top" indent="1"/>
    </xf>
    <xf numFmtId="4" fontId="11" fillId="58" borderId="18" applyAlignment="1">
      <alignment horizontal="right" vertical="center"/>
    </xf>
    <xf numFmtId="4" fontId="62" fillId="58" borderId="18" applyAlignment="1">
      <alignment horizontal="right" vertical="center"/>
    </xf>
    <xf numFmtId="4" fontId="65" fillId="48" borderId="25" applyAlignment="1">
      <alignment vertical="center"/>
    </xf>
    <xf numFmtId="4" fontId="66" fillId="48" borderId="25" applyAlignment="1">
      <alignment vertical="center"/>
    </xf>
    <xf numFmtId="4" fontId="65" fillId="49" borderId="25" applyAlignment="1">
      <alignment vertical="center"/>
    </xf>
    <xf numFmtId="4" fontId="66" fillId="52" borderId="25" applyAlignment="1">
      <alignment vertical="center"/>
    </xf>
    <xf numFmtId="4" fontId="11" fillId="51" borderId="18" applyAlignment="1">
      <alignment horizontal="left" vertical="center" indent="1"/>
    </xf>
    <xf numFmtId="4" fontId="60" fillId="60" borderId="18" applyAlignment="1">
      <alignment horizontal="right" vertical="center"/>
    </xf>
    <xf numFmtId="4" fontId="60" fillId="60" borderId="18" applyAlignment="1">
      <alignment horizontal="left" vertical="center" indent="1"/>
    </xf>
    <xf numFmtId="4" fontId="60" fillId="64" borderId="18" applyAlignment="1">
      <alignment horizontal="left" vertical="center" indent="1"/>
    </xf>
    <xf numFmtId="0" fontId="11" fillId="51" borderId="18" applyAlignment="1">
      <alignment horizontal="left" vertical="top" indent="1"/>
    </xf>
    <xf numFmtId="4" fontId="60" fillId="64" borderId="18" applyAlignment="1">
      <alignment vertical="center"/>
    </xf>
    <xf numFmtId="4" fontId="67" fillId="64" borderId="18" applyAlignment="1">
      <alignment vertical="center"/>
    </xf>
    <xf numFmtId="4" fontId="57" fillId="48" borderId="26" applyAlignment="1">
      <alignment vertical="center"/>
    </xf>
    <xf numFmtId="4" fontId="57" fillId="48" borderId="26" applyAlignment="1">
      <alignment vertical="center"/>
    </xf>
    <xf numFmtId="4" fontId="58" fillId="48" borderId="26" applyAlignment="1">
      <alignment vertical="center"/>
    </xf>
    <xf numFmtId="4" fontId="58" fillId="48" borderId="26" applyAlignment="1">
      <alignment vertical="center"/>
    </xf>
    <xf numFmtId="4" fontId="57" fillId="49" borderId="25" applyAlignment="1">
      <alignment vertical="center"/>
    </xf>
    <xf numFmtId="4" fontId="58" fillId="49" borderId="25" applyAlignment="1">
      <alignment vertical="center"/>
    </xf>
    <xf numFmtId="4" fontId="60" fillId="65" borderId="18" applyAlignment="1">
      <alignment horizontal="left" vertical="center" indent="1"/>
    </xf>
    <xf numFmtId="4" fontId="68" fillId="66" borderId="0" applyAlignment="1">
      <alignment horizontal="left" vertical="center" indent="1"/>
    </xf>
    <xf numFmtId="4" fontId="69" fillId="58" borderId="18" applyAlignment="1">
      <alignment horizontal="right" vertical="center"/>
    </xf>
    <xf numFmtId="0" fontId="70" fillId="0" borderId="0"/>
    <xf numFmtId="0" fontId="23" fillId="0" borderId="0" applyAlignment="1">
      <alignment horizontal="center"/>
    </xf>
    <xf numFmtId="0" fontId="71" fillId="0" borderId="0"/>
    <xf numFmtId="0" fontId="116" fillId="86" borderId="0"/>
    <xf numFmtId="0" fontId="16" fillId="63" borderId="13" applyAlignment="1">
      <alignment vertical="center" wrapText="1"/>
    </xf>
    <xf numFmtId="0" fontId="72" fillId="0" borderId="0" applyAlignment="1">
      <alignment horizontal="center" vertical="top"/>
    </xf>
    <xf numFmtId="0" fontId="73" fillId="0" borderId="0"/>
    <xf numFmtId="0" fontId="32" fillId="0" borderId="27"/>
    <xf numFmtId="0" fontId="32" fillId="0" borderId="27"/>
    <xf numFmtId="49" fontId="42" fillId="45" borderId="28" applyAlignment="1">
      <alignment horizontal="left"/>
    </xf>
    <xf numFmtId="49" fontId="42" fillId="45" borderId="28" applyAlignment="1">
      <alignment horizontal="left"/>
    </xf>
    <xf numFmtId="223" fontId="23" fillId="0" borderId="0" applyAlignment="1">
      <alignment horizontal="left"/>
    </xf>
    <xf numFmtId="0" fontId="74" fillId="0" borderId="0"/>
    <xf numFmtId="224" fontId="16" fillId="0" borderId="0"/>
    <xf numFmtId="225" fontId="16" fillId="0" borderId="0"/>
    <xf numFmtId="226" fontId="16" fillId="0" borderId="0"/>
    <xf numFmtId="227" fontId="16" fillId="0" borderId="0"/>
    <xf numFmtId="228" fontId="16" fillId="0" borderId="0"/>
    <xf numFmtId="229" fontId="16" fillId="0" borderId="0"/>
    <xf numFmtId="230" fontId="16" fillId="0" borderId="0"/>
    <xf numFmtId="231" fontId="16" fillId="0" borderId="0"/>
    <xf numFmtId="232" fontId="38" fillId="0" borderId="8" applyAlignment="1">
      <alignment horizontal="centerContinuous"/>
    </xf>
    <xf numFmtId="233" fontId="75" fillId="0" borderId="8" applyAlignment="1">
      <alignment horizontal="centerContinuous"/>
    </xf>
    <xf numFmtId="0" fontId="76" fillId="0" borderId="0" applyAlignment="1">
      <alignment horizontal="left" indent="1"/>
    </xf>
    <xf numFmtId="0" fontId="114" fillId="87" borderId="0"/>
    <xf numFmtId="0" fontId="24" fillId="19" borderId="0"/>
    <xf numFmtId="0" fontId="24" fillId="19" borderId="0"/>
    <xf numFmtId="0" fontId="114" fillId="88" borderId="0"/>
    <xf numFmtId="0" fontId="24" fillId="53" borderId="0"/>
    <xf numFmtId="0" fontId="24" fillId="53" borderId="0"/>
    <xf numFmtId="0" fontId="114" fillId="89" borderId="0"/>
    <xf numFmtId="0" fontId="24" fillId="21" borderId="0"/>
    <xf numFmtId="0" fontId="24" fillId="21" borderId="0"/>
    <xf numFmtId="0" fontId="114" fillId="90" borderId="0"/>
    <xf numFmtId="0" fontId="24" fillId="59" borderId="0"/>
    <xf numFmtId="0" fontId="24" fillId="59" borderId="0"/>
    <xf numFmtId="0" fontId="114" fillId="91" borderId="0"/>
    <xf numFmtId="0" fontId="24" fillId="19" borderId="0"/>
    <xf numFmtId="0" fontId="24" fillId="19" borderId="0"/>
    <xf numFmtId="0" fontId="114" fillId="92" borderId="0"/>
    <xf numFmtId="0" fontId="24" fillId="55" borderId="0"/>
    <xf numFmtId="0" fontId="24" fillId="55" borderId="0"/>
    <xf numFmtId="0" fontId="97" fillId="7" borderId="2"/>
    <xf numFmtId="0" fontId="117" fillId="93" borderId="74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9" fillId="7" borderId="2"/>
    <xf numFmtId="0" fontId="97" fillId="7" borderId="2"/>
    <xf numFmtId="0" fontId="97" fillId="7" borderId="2"/>
    <xf numFmtId="0" fontId="97" fillId="7" borderId="2"/>
    <xf numFmtId="0" fontId="97" fillId="7" borderId="2"/>
    <xf numFmtId="0" fontId="97" fillId="7" borderId="2"/>
    <xf numFmtId="0" fontId="97" fillId="7" borderId="2"/>
    <xf numFmtId="0" fontId="97" fillId="7" borderId="2"/>
    <xf numFmtId="0" fontId="97" fillId="7" borderId="2"/>
    <xf numFmtId="0" fontId="97" fillId="7" borderId="2"/>
    <xf numFmtId="0" fontId="97" fillId="7" borderId="2"/>
    <xf numFmtId="0" fontId="118" fillId="94" borderId="75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3" fillId="8" borderId="29"/>
    <xf numFmtId="0" fontId="119" fillId="94" borderId="74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00" fillId="8" borderId="2"/>
    <xf numFmtId="0" fontId="120" fillId="0" borderId="0" applyAlignment="1" applyProtection="1">
      <alignment vertical="top"/>
      <protection locked="0" hidden="0"/>
    </xf>
    <xf numFmtId="0" fontId="121" fillId="0" borderId="0" applyAlignment="1" applyProtection="1">
      <alignment vertical="top"/>
      <protection locked="0" hidden="0"/>
    </xf>
    <xf numFmtId="0" fontId="122" fillId="0" borderId="0" applyAlignment="1" applyProtection="1">
      <alignment vertical="top"/>
      <protection locked="0" hidden="0"/>
    </xf>
    <xf numFmtId="0" fontId="123" fillId="0" borderId="0" applyAlignment="1" applyProtection="1">
      <alignment vertical="top"/>
      <protection locked="0" hidden="0"/>
    </xf>
    <xf numFmtId="0" fontId="124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197" fontId="3" fillId="0" borderId="0"/>
    <xf numFmtId="197" fontId="113" fillId="0" borderId="0"/>
    <xf numFmtId="197" fontId="15" fillId="0" borderId="0"/>
    <xf numFmtId="197" fontId="15" fillId="0" borderId="0"/>
    <xf numFmtId="197" fontId="15" fillId="0" borderId="0"/>
    <xf numFmtId="197" fontId="2" fillId="0" borderId="0"/>
    <xf numFmtId="197" fontId="113" fillId="0" borderId="0"/>
    <xf numFmtId="197" fontId="15" fillId="0" borderId="0"/>
    <xf numFmtId="197" fontId="2" fillId="0" borderId="0"/>
    <xf numFmtId="197" fontId="15" fillId="0" borderId="0"/>
    <xf numFmtId="234" fontId="15" fillId="0" borderId="0"/>
    <xf numFmtId="165" fontId="4" fillId="0" borderId="0"/>
    <xf numFmtId="197" fontId="15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165" fontId="4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197" fontId="95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44" fontId="113" fillId="0" borderId="0"/>
    <xf numFmtId="165" fontId="112" fillId="0" borderId="0"/>
    <xf numFmtId="0" fontId="125" fillId="0" borderId="76"/>
    <xf numFmtId="0" fontId="101" fillId="0" borderId="30"/>
    <xf numFmtId="0" fontId="101" fillId="0" borderId="30"/>
    <xf numFmtId="0" fontId="126" fillId="0" borderId="77"/>
    <xf numFmtId="0" fontId="102" fillId="0" borderId="19"/>
    <xf numFmtId="0" fontId="102" fillId="0" borderId="19"/>
    <xf numFmtId="0" fontId="127" fillId="0" borderId="78"/>
    <xf numFmtId="0" fontId="47" fillId="0" borderId="31"/>
    <xf numFmtId="0" fontId="47" fillId="0" borderId="31"/>
    <xf numFmtId="0" fontId="127" fillId="0" borderId="0"/>
    <xf numFmtId="0" fontId="47" fillId="0" borderId="0"/>
    <xf numFmtId="0" fontId="47" fillId="0" borderId="0"/>
    <xf numFmtId="0" fontId="128" fillId="0" borderId="79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3" fillId="0" borderId="32"/>
    <xf numFmtId="0" fontId="129" fillId="95" borderId="80"/>
    <xf numFmtId="0" fontId="29" fillId="67" borderId="33"/>
    <xf numFmtId="0" fontId="29" fillId="67" borderId="33"/>
    <xf numFmtId="0" fontId="130" fillId="0" borderId="0"/>
    <xf numFmtId="0" fontId="70" fillId="0" borderId="0"/>
    <xf numFmtId="0" fontId="70" fillId="0" borderId="0"/>
    <xf numFmtId="0" fontId="131" fillId="96" borderId="0"/>
    <xf numFmtId="0" fontId="50" fillId="16" borderId="0"/>
    <xf numFmtId="0" fontId="50" fillId="16" borderId="0"/>
    <xf numFmtId="0" fontId="132" fillId="96" borderId="0"/>
    <xf numFmtId="0" fontId="13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95" fillId="0" borderId="0"/>
    <xf numFmtId="0" fontId="18" fillId="0" borderId="0"/>
    <xf numFmtId="0" fontId="134" fillId="0" borderId="0"/>
    <xf numFmtId="0" fontId="133" fillId="0" borderId="0"/>
    <xf numFmtId="0" fontId="135" fillId="0" borderId="0"/>
    <xf numFmtId="0" fontId="135" fillId="0" borderId="0"/>
    <xf numFmtId="0" fontId="136" fillId="0" borderId="0"/>
    <xf numFmtId="0" fontId="135" fillId="0" borderId="0"/>
    <xf numFmtId="0" fontId="135" fillId="0" borderId="0"/>
    <xf numFmtId="0" fontId="135" fillId="0" borderId="0"/>
    <xf numFmtId="0" fontId="2" fillId="0" borderId="0"/>
    <xf numFmtId="0" fontId="137" fillId="0" borderId="0"/>
    <xf numFmtId="0" fontId="25" fillId="0" borderId="0"/>
    <xf numFmtId="0" fontId="137" fillId="0" borderId="0"/>
    <xf numFmtId="0" fontId="135" fillId="0" borderId="0"/>
    <xf numFmtId="0" fontId="135" fillId="0" borderId="0"/>
    <xf numFmtId="0" fontId="98" fillId="0" borderId="0"/>
    <xf numFmtId="0" fontId="15" fillId="0" borderId="0"/>
    <xf numFmtId="0" fontId="113" fillId="0" borderId="0"/>
    <xf numFmtId="0" fontId="135" fillId="0" borderId="0"/>
    <xf numFmtId="0" fontId="135" fillId="0" borderId="0"/>
    <xf numFmtId="0" fontId="135" fillId="0" borderId="0"/>
    <xf numFmtId="0" fontId="98" fillId="0" borderId="0"/>
    <xf numFmtId="0" fontId="137" fillId="0" borderId="0"/>
    <xf numFmtId="0" fontId="3" fillId="0" borderId="0"/>
    <xf numFmtId="0" fontId="134" fillId="0" borderId="0"/>
    <xf numFmtId="0" fontId="113" fillId="0" borderId="0"/>
    <xf numFmtId="0" fontId="133" fillId="0" borderId="0"/>
    <xf numFmtId="0" fontId="135" fillId="0" borderId="0"/>
    <xf numFmtId="0" fontId="98" fillId="0" borderId="0"/>
    <xf numFmtId="0" fontId="113" fillId="0" borderId="0"/>
    <xf numFmtId="0" fontId="135" fillId="0" borderId="0"/>
    <xf numFmtId="0" fontId="16" fillId="0" borderId="0"/>
    <xf numFmtId="0" fontId="138" fillId="0" borderId="0"/>
    <xf numFmtId="0" fontId="133" fillId="0" borderId="0"/>
    <xf numFmtId="0" fontId="85" fillId="0" borderId="0"/>
    <xf numFmtId="0" fontId="113" fillId="0" borderId="0"/>
    <xf numFmtId="0" fontId="16" fillId="0" borderId="0"/>
    <xf numFmtId="0" fontId="113" fillId="0" borderId="0"/>
    <xf numFmtId="0" fontId="134" fillId="0" borderId="0"/>
    <xf numFmtId="0" fontId="16" fillId="0" borderId="0"/>
    <xf numFmtId="0" fontId="133" fillId="0" borderId="0"/>
    <xf numFmtId="0" fontId="15" fillId="0" borderId="0"/>
    <xf numFmtId="0" fontId="2" fillId="0" borderId="0"/>
    <xf numFmtId="0" fontId="113" fillId="0" borderId="0"/>
    <xf numFmtId="0" fontId="134" fillId="0" borderId="0"/>
    <xf numFmtId="0" fontId="113" fillId="0" borderId="0"/>
    <xf numFmtId="0" fontId="113" fillId="0" borderId="0"/>
    <xf numFmtId="0" fontId="113" fillId="0" borderId="0"/>
    <xf numFmtId="0" fontId="98" fillId="0" borderId="0"/>
    <xf numFmtId="0" fontId="25" fillId="0" borderId="0"/>
    <xf numFmtId="0" fontId="113" fillId="0" borderId="0"/>
    <xf numFmtId="0" fontId="113" fillId="0" borderId="0"/>
    <xf numFmtId="0" fontId="113" fillId="0" borderId="0"/>
    <xf numFmtId="0" fontId="139" fillId="97" borderId="0"/>
    <xf numFmtId="0" fontId="103" fillId="3" borderId="0"/>
    <xf numFmtId="0" fontId="103" fillId="3" borderId="0"/>
    <xf numFmtId="0" fontId="140" fillId="0" borderId="0"/>
    <xf numFmtId="0" fontId="104" fillId="0" borderId="0"/>
    <xf numFmtId="0" fontId="104" fillId="0" borderId="0"/>
    <xf numFmtId="0" fontId="113" fillId="98" borderId="81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98" fillId="10" borderId="15"/>
    <xf numFmtId="0" fontId="2" fillId="98" borderId="81"/>
    <xf numFmtId="9" fontId="52" fillId="0" borderId="0"/>
    <xf numFmtId="9" fontId="113" fillId="0" borderId="0"/>
    <xf numFmtId="9" fontId="3" fillId="0" borderId="0"/>
    <xf numFmtId="9" fontId="15" fillId="0" borderId="0"/>
    <xf numFmtId="9" fontId="113" fillId="0" borderId="0"/>
    <xf numFmtId="9" fontId="15" fillId="0" borderId="0"/>
    <xf numFmtId="9" fontId="2" fillId="0" borderId="0"/>
    <xf numFmtId="9" fontId="15" fillId="0" borderId="0"/>
    <xf numFmtId="9" fontId="113" fillId="0" borderId="0"/>
    <xf numFmtId="9" fontId="15" fillId="0" borderId="0"/>
    <xf numFmtId="9" fontId="2" fillId="0" borderId="0"/>
    <xf numFmtId="9" fontId="18" fillId="0" borderId="0"/>
    <xf numFmtId="9" fontId="138" fillId="0" borderId="0"/>
    <xf numFmtId="9" fontId="134" fillId="0" borderId="0"/>
    <xf numFmtId="9" fontId="112" fillId="0" borderId="0"/>
    <xf numFmtId="9" fontId="4" fillId="0" borderId="0"/>
    <xf numFmtId="9" fontId="15" fillId="0" borderId="0"/>
    <xf numFmtId="9" fontId="134" fillId="0" borderId="0"/>
    <xf numFmtId="9" fontId="112" fillId="0" borderId="0"/>
    <xf numFmtId="9" fontId="95" fillId="0" borderId="0"/>
    <xf numFmtId="9" fontId="134" fillId="0" borderId="0"/>
    <xf numFmtId="9" fontId="112" fillId="0" borderId="0"/>
    <xf numFmtId="9" fontId="2" fillId="0" borderId="0"/>
    <xf numFmtId="0" fontId="141" fillId="0" borderId="82"/>
    <xf numFmtId="0" fontId="105" fillId="0" borderId="34"/>
    <xf numFmtId="0" fontId="105" fillId="0" borderId="34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77" fillId="0" borderId="0"/>
    <xf numFmtId="0" fontId="142" fillId="0" borderId="0"/>
    <xf numFmtId="0" fontId="74" fillId="0" borderId="0"/>
    <xf numFmtId="0" fontId="74" fillId="0" borderId="0"/>
    <xf numFmtId="204" fontId="15" fillId="0" borderId="0"/>
    <xf numFmtId="235" fontId="109" fillId="39" borderId="7"/>
    <xf numFmtId="182" fontId="113" fillId="0" borderId="0"/>
    <xf numFmtId="182" fontId="113" fillId="0" borderId="0"/>
    <xf numFmtId="182" fontId="113" fillId="0" borderId="0"/>
    <xf numFmtId="189" fontId="3" fillId="0" borderId="0"/>
    <xf numFmtId="189" fontId="15" fillId="0" borderId="0"/>
    <xf numFmtId="189" fontId="113" fillId="0" borderId="0"/>
    <xf numFmtId="189" fontId="15" fillId="0" borderId="0"/>
    <xf numFmtId="189" fontId="2" fillId="0" borderId="0"/>
    <xf numFmtId="189" fontId="15" fillId="0" borderId="0"/>
    <xf numFmtId="182" fontId="113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9" fontId="113" fillId="0" borderId="0"/>
    <xf numFmtId="189" fontId="15" fillId="0" borderId="0"/>
    <xf numFmtId="189" fontId="2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9" fontId="15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6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182" fontId="113" fillId="0" borderId="0"/>
    <xf numFmtId="189" fontId="15" fillId="0" borderId="0"/>
    <xf numFmtId="182" fontId="113" fillId="0" borderId="0"/>
    <xf numFmtId="182" fontId="133" fillId="0" borderId="0"/>
    <xf numFmtId="182" fontId="133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133" fillId="0" borderId="0"/>
    <xf numFmtId="182" fontId="133" fillId="0" borderId="0"/>
    <xf numFmtId="182" fontId="133" fillId="0" borderId="0"/>
    <xf numFmtId="182" fontId="133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25" fillId="0" borderId="0"/>
    <xf numFmtId="182" fontId="133" fillId="0" borderId="0"/>
    <xf numFmtId="182" fontId="133" fillId="0" borderId="0"/>
    <xf numFmtId="182" fontId="133" fillId="0" borderId="0"/>
    <xf numFmtId="182" fontId="133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182" fontId="113" fillId="0" borderId="0"/>
    <xf numFmtId="182" fontId="113" fillId="0" borderId="0"/>
    <xf numFmtId="182" fontId="113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113" fillId="0" borderId="0"/>
    <xf numFmtId="0" fontId="143" fillId="99" borderId="0"/>
    <xf numFmtId="0" fontId="41" fillId="4" borderId="0"/>
    <xf numFmtId="0" fontId="41" fillId="4" borderId="0"/>
    <xf numFmtId="0" fontId="19" fillId="0" borderId="0" applyProtection="1">
      <protection locked="0" hidden="0"/>
    </xf>
    <xf numFmtId="0" fontId="34" fillId="0" borderId="0" applyAlignment="1">
      <alignment horizontal="center" wrapText="1"/>
    </xf>
    <xf numFmtId="0" fontId="113" fillId="80" borderId="0"/>
    <xf numFmtId="0" fontId="113" fillId="81" borderId="0"/>
    <xf numFmtId="0" fontId="113" fillId="82" borderId="0"/>
    <xf numFmtId="0" fontId="113" fillId="83" borderId="0"/>
    <xf numFmtId="0" fontId="113" fillId="84" borderId="0"/>
    <xf numFmtId="0" fontId="113" fillId="85" borderId="0"/>
    <xf numFmtId="0" fontId="191" fillId="0" borderId="0"/>
    <xf numFmtId="0" fontId="15" fillId="0" borderId="0"/>
    <xf numFmtId="0" fontId="113" fillId="0" borderId="0"/>
    <xf numFmtId="0" fontId="113" fillId="0" borderId="0"/>
    <xf numFmtId="0" fontId="37" fillId="100" borderId="84" applyAlignment="1">
      <alignment horizontal="center" vertical="center" wrapText="1"/>
    </xf>
    <xf numFmtId="0" fontId="113" fillId="0" borderId="0"/>
    <xf numFmtId="0" fontId="113" fillId="0" borderId="0"/>
    <xf numFmtId="0" fontId="113" fillId="0" borderId="0"/>
    <xf numFmtId="0" fontId="113" fillId="0" borderId="0"/>
    <xf numFmtId="0" fontId="192" fillId="0" borderId="0"/>
    <xf numFmtId="0" fontId="19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33" fillId="0" borderId="0"/>
    <xf numFmtId="0" fontId="15" fillId="0" borderId="0"/>
  </cellStyleXfs>
  <cellXfs count="103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4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/>
    </xf>
    <xf numFmtId="14" fontId="145" fillId="0" borderId="0" applyAlignment="1" pivotButton="0" quotePrefix="0" xfId="0">
      <alignment horizontal="center" vertical="center"/>
    </xf>
    <xf numFmtId="0" fontId="146" fillId="0" borderId="0" applyAlignment="1" pivotButton="0" quotePrefix="0" xfId="0">
      <alignment horizontal="left" vertical="center"/>
    </xf>
    <xf numFmtId="0" fontId="147" fillId="0" borderId="0" pivotButton="0" quotePrefix="0" xfId="0"/>
    <xf numFmtId="0" fontId="148" fillId="100" borderId="0" applyAlignment="1" applyProtection="1" pivotButton="0" quotePrefix="0" xfId="0">
      <alignment horizontal="right"/>
      <protection locked="0" hidden="0"/>
    </xf>
    <xf numFmtId="9" fontId="149" fillId="100" borderId="0" applyAlignment="1" applyProtection="1" pivotButton="0" quotePrefix="0" xfId="1425">
      <alignment horizontal="left" wrapText="1"/>
      <protection locked="0" hidden="0"/>
    </xf>
    <xf numFmtId="0" fontId="134" fillId="0" borderId="7" pivotButton="0" quotePrefix="0" xfId="0"/>
    <xf numFmtId="0" fontId="120" fillId="0" borderId="0" pivotButton="0" quotePrefix="0" xfId="866"/>
    <xf numFmtId="0" fontId="146" fillId="0" borderId="0" applyAlignment="1" pivotButton="0" quotePrefix="0" xfId="0">
      <alignment horizontal="center" vertical="center"/>
    </xf>
    <xf numFmtId="0" fontId="134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0" applyProtection="1" pivotButton="0" quotePrefix="0" xfId="0"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150" fillId="0" borderId="0" applyAlignment="1" pivotButton="0" quotePrefix="0" xfId="0">
      <alignment horizontal="center" vertical="center"/>
    </xf>
    <xf numFmtId="0" fontId="147" fillId="0" borderId="0" applyProtection="1" pivotButton="0" quotePrefix="0" xfId="0">
      <protection locked="1" hidden="1"/>
    </xf>
    <xf numFmtId="0" fontId="151" fillId="0" borderId="0" applyAlignment="1" pivotButton="0" quotePrefix="0" xfId="0">
      <alignment horizontal="center" vertical="center" wrapText="1"/>
    </xf>
    <xf numFmtId="9" fontId="152" fillId="0" borderId="0" applyAlignment="1" pivotButton="0" quotePrefix="0" xfId="0">
      <alignment horizontal="center"/>
    </xf>
    <xf numFmtId="9" fontId="147" fillId="0" borderId="0" applyAlignment="1" pivotButton="0" quotePrefix="0" xfId="0">
      <alignment vertical="center"/>
    </xf>
    <xf numFmtId="9" fontId="0" fillId="0" borderId="0" applyAlignment="1" pivotButton="0" quotePrefix="0" xfId="0">
      <alignment horizontal="center"/>
    </xf>
    <xf numFmtId="0" fontId="134" fillId="0" borderId="35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153" fillId="0" borderId="0" pivotButton="0" quotePrefix="0" xfId="0"/>
    <xf numFmtId="0" fontId="81" fillId="100" borderId="0" pivotButton="0" quotePrefix="0" xfId="0"/>
    <xf numFmtId="0" fontId="82" fillId="100" borderId="0" pivotButton="0" quotePrefix="0" xfId="0"/>
    <xf numFmtId="0" fontId="81" fillId="100" borderId="0" applyAlignment="1" applyProtection="1" pivotButton="0" quotePrefix="0" xfId="0">
      <alignment horizontal="right" vertical="center"/>
      <protection locked="1" hidden="1"/>
    </xf>
    <xf numFmtId="0" fontId="81" fillId="100" borderId="0" applyAlignment="1" applyProtection="1" pivotButton="0" quotePrefix="0" xfId="1333">
      <alignment horizontal="right"/>
      <protection locked="1" hidden="1"/>
    </xf>
    <xf numFmtId="164" fontId="81" fillId="100" borderId="0" applyAlignment="1" applyProtection="1" pivotButton="0" quotePrefix="0" xfId="0">
      <alignment horizontal="right"/>
      <protection locked="1" hidden="1"/>
    </xf>
    <xf numFmtId="0" fontId="81" fillId="100" borderId="0" applyProtection="1" pivotButton="0" quotePrefix="0" xfId="0">
      <protection locked="1" hidden="1"/>
    </xf>
    <xf numFmtId="1" fontId="81" fillId="100" borderId="0" applyAlignment="1" applyProtection="1" pivotButton="0" quotePrefix="0" xfId="0">
      <alignment horizontal="center"/>
      <protection locked="1" hidden="1"/>
    </xf>
    <xf numFmtId="165" fontId="81" fillId="100" borderId="0" applyAlignment="1" applyProtection="1" pivotButton="0" quotePrefix="0" xfId="0">
      <alignment horizontal="center"/>
      <protection locked="1" hidden="1"/>
    </xf>
    <xf numFmtId="166" fontId="81" fillId="100" borderId="0" applyProtection="1" pivotButton="0" quotePrefix="0" xfId="0">
      <protection locked="1" hidden="1"/>
    </xf>
    <xf numFmtId="0" fontId="153" fillId="0" borderId="0" applyProtection="1" pivotButton="0" quotePrefix="0" xfId="0">
      <protection locked="1" hidden="1"/>
    </xf>
    <xf numFmtId="166" fontId="79" fillId="100" borderId="0" applyProtection="1" pivotButton="0" quotePrefix="0" xfId="0">
      <protection locked="1" hidden="1"/>
    </xf>
    <xf numFmtId="165" fontId="81" fillId="100" borderId="0" applyAlignment="1" pivotButton="0" quotePrefix="0" xfId="0">
      <alignment horizontal="center"/>
    </xf>
    <xf numFmtId="166" fontId="81" fillId="100" borderId="0" pivotButton="0" quotePrefix="0" xfId="0"/>
    <xf numFmtId="165" fontId="81" fillId="100" borderId="0" applyAlignment="1" pivotButton="0" quotePrefix="0" xfId="0">
      <alignment horizontal="center" vertical="center"/>
    </xf>
    <xf numFmtId="3" fontId="154" fillId="100" borderId="0" applyAlignment="1" pivotButton="0" quotePrefix="0" xfId="0">
      <alignment vertical="center"/>
    </xf>
    <xf numFmtId="166" fontId="154" fillId="100" borderId="0" applyAlignment="1" pivotButton="0" quotePrefix="0" xfId="0">
      <alignment vertical="center"/>
    </xf>
    <xf numFmtId="0" fontId="153" fillId="100" borderId="0" pivotButton="0" quotePrefix="0" xfId="0"/>
    <xf numFmtId="0" fontId="153" fillId="100" borderId="0" applyProtection="1" pivotButton="0" quotePrefix="0" xfId="0">
      <protection locked="1" hidden="1"/>
    </xf>
    <xf numFmtId="3" fontId="81" fillId="100" borderId="0" applyAlignment="1" applyProtection="1" pivotButton="0" quotePrefix="0" xfId="1333">
      <alignment horizontal="left"/>
      <protection locked="1" hidden="1"/>
    </xf>
    <xf numFmtId="165" fontId="81" fillId="100" borderId="0" applyAlignment="1" applyProtection="1" pivotButton="0" quotePrefix="0" xfId="0">
      <alignment horizontal="center" vertical="center"/>
      <protection locked="1" hidden="1"/>
    </xf>
    <xf numFmtId="165" fontId="81" fillId="0" borderId="0" applyAlignment="1" applyProtection="1" pivotButton="0" quotePrefix="0" xfId="0">
      <alignment horizontal="center" vertical="center"/>
      <protection locked="1" hidden="1"/>
    </xf>
    <xf numFmtId="3" fontId="154" fillId="100" borderId="0" applyAlignment="1" applyProtection="1" pivotButton="0" quotePrefix="0" xfId="0">
      <alignment vertical="center"/>
      <protection locked="1" hidden="1"/>
    </xf>
    <xf numFmtId="166" fontId="154" fillId="100" borderId="0" applyAlignment="1" applyProtection="1" pivotButton="0" quotePrefix="0" xfId="0">
      <alignment vertical="center"/>
      <protection locked="1" hidden="1"/>
    </xf>
    <xf numFmtId="164" fontId="81" fillId="100" borderId="0" applyAlignment="1" applyProtection="1" pivotButton="0" quotePrefix="0" xfId="1333">
      <alignment horizontal="right"/>
      <protection locked="1" hidden="1"/>
    </xf>
    <xf numFmtId="0" fontId="81" fillId="100" borderId="0" applyProtection="1" pivotButton="0" quotePrefix="0" xfId="1333">
      <protection locked="1" hidden="1"/>
    </xf>
    <xf numFmtId="164" fontId="155" fillId="100" borderId="0" applyProtection="1" pivotButton="0" quotePrefix="0" xfId="1333">
      <protection locked="1" hidden="1"/>
    </xf>
    <xf numFmtId="167" fontId="79" fillId="100" borderId="0" applyProtection="1" pivotButton="0" quotePrefix="0" xfId="0">
      <protection locked="1" hidden="1"/>
    </xf>
    <xf numFmtId="3" fontId="156" fillId="100" borderId="0" applyAlignment="1" applyProtection="1" pivotButton="0" quotePrefix="0" xfId="0">
      <alignment vertical="center"/>
      <protection locked="1" hidden="1"/>
    </xf>
    <xf numFmtId="165" fontId="81" fillId="0" borderId="0" applyAlignment="1" pivotButton="0" quotePrefix="0" xfId="0">
      <alignment horizontal="center" vertical="center"/>
    </xf>
    <xf numFmtId="164" fontId="155" fillId="100" borderId="0" applyAlignment="1" applyProtection="1" pivotButton="0" quotePrefix="0" xfId="1333">
      <alignment horizontal="right"/>
      <protection locked="1" hidden="1"/>
    </xf>
    <xf numFmtId="1" fontId="81" fillId="100" borderId="0" applyAlignment="1" applyProtection="1" pivotButton="0" quotePrefix="0" xfId="1453">
      <alignment horizontal="left"/>
      <protection locked="1" hidden="1"/>
    </xf>
    <xf numFmtId="0" fontId="81" fillId="100" borderId="0" applyAlignment="1" applyProtection="1" pivotButton="0" quotePrefix="0" xfId="0">
      <alignment horizontal="left" vertical="center"/>
      <protection locked="1" hidden="1"/>
    </xf>
    <xf numFmtId="0" fontId="81" fillId="100" borderId="0" applyAlignment="1" applyProtection="1" pivotButton="0" quotePrefix="0" xfId="1333">
      <alignment horizontal="left"/>
      <protection locked="1" hidden="1"/>
    </xf>
    <xf numFmtId="1" fontId="81" fillId="100" borderId="0" applyAlignment="1" applyProtection="1" pivotButton="0" quotePrefix="0" xfId="1333">
      <alignment horizontal="left"/>
      <protection locked="1" hidden="1"/>
    </xf>
    <xf numFmtId="3" fontId="81" fillId="100" borderId="0" applyAlignment="1" applyProtection="1" pivotButton="0" quotePrefix="0" xfId="0">
      <alignment horizontal="left" vertical="center"/>
      <protection locked="1" hidden="1"/>
    </xf>
    <xf numFmtId="14" fontId="157" fillId="100" borderId="0" applyAlignment="1" applyProtection="1" pivotButton="0" quotePrefix="0" xfId="1333">
      <alignment horizontal="left" wrapText="1"/>
      <protection locked="1" hidden="1"/>
    </xf>
    <xf numFmtId="0" fontId="158" fillId="0" borderId="0" pivotButton="0" quotePrefix="0" xfId="0"/>
    <xf numFmtId="0" fontId="158" fillId="0" borderId="0" applyAlignment="1" pivotButton="0" quotePrefix="0" xfId="0">
      <alignment vertical="center"/>
    </xf>
    <xf numFmtId="0" fontId="158" fillId="101" borderId="7" applyAlignment="1" applyProtection="1" pivotButton="0" quotePrefix="0" xfId="0">
      <alignment horizontal="center" vertical="center" wrapText="1"/>
      <protection locked="1" hidden="1"/>
    </xf>
    <xf numFmtId="0" fontId="158" fillId="0" borderId="0" applyAlignment="1" applyProtection="1" pivotButton="0" quotePrefix="0" xfId="0">
      <alignment horizontal="left"/>
      <protection locked="1" hidden="1"/>
    </xf>
    <xf numFmtId="9" fontId="153" fillId="0" borderId="7" applyAlignment="1" applyProtection="1" pivotButton="0" quotePrefix="0" xfId="0">
      <alignment horizontal="center"/>
      <protection locked="1" hidden="1"/>
    </xf>
    <xf numFmtId="9" fontId="158" fillId="0" borderId="7" applyAlignment="1" applyProtection="1" pivotButton="0" quotePrefix="0" xfId="0">
      <alignment horizontal="center"/>
      <protection locked="1" hidden="1"/>
    </xf>
    <xf numFmtId="1" fontId="153" fillId="0" borderId="7" applyProtection="1" pivotButton="0" quotePrefix="0" xfId="0">
      <protection locked="1" hidden="1"/>
    </xf>
    <xf numFmtId="9" fontId="153" fillId="102" borderId="7" applyAlignment="1" applyProtection="1" pivotButton="0" quotePrefix="0" xfId="0">
      <alignment horizontal="center"/>
      <protection locked="1" hidden="1"/>
    </xf>
    <xf numFmtId="9" fontId="158" fillId="102" borderId="7" applyAlignment="1" applyProtection="1" pivotButton="0" quotePrefix="0" xfId="0">
      <alignment horizontal="center"/>
      <protection locked="1" hidden="1"/>
    </xf>
    <xf numFmtId="1" fontId="153" fillId="0" borderId="7" applyAlignment="1" applyProtection="1" pivotButton="0" quotePrefix="0" xfId="0">
      <alignment vertical="center"/>
      <protection locked="1" hidden="1"/>
    </xf>
    <xf numFmtId="9" fontId="159" fillId="0" borderId="7" applyAlignment="1" applyProtection="1" pivotButton="0" quotePrefix="0" xfId="0">
      <alignment horizontal="center"/>
      <protection locked="1" hidden="1"/>
    </xf>
    <xf numFmtId="9" fontId="159" fillId="102" borderId="7" applyAlignment="1" applyProtection="1" pivotButton="0" quotePrefix="0" xfId="0">
      <alignment horizontal="center"/>
      <protection locked="1" hidden="1"/>
    </xf>
    <xf numFmtId="9" fontId="160" fillId="0" borderId="0" applyAlignment="1" pivotButton="0" quotePrefix="0" xfId="0">
      <alignment horizontal="left"/>
    </xf>
    <xf numFmtId="9" fontId="158" fillId="0" borderId="0" applyAlignment="1" pivotButton="0" quotePrefix="0" xfId="0">
      <alignment horizontal="center"/>
    </xf>
    <xf numFmtId="9" fontId="153" fillId="0" borderId="0" applyAlignment="1" pivotButton="0" quotePrefix="0" xfId="0">
      <alignment vertical="center"/>
    </xf>
    <xf numFmtId="9" fontId="153" fillId="0" borderId="0" applyAlignment="1" pivotButton="0" quotePrefix="0" xfId="0">
      <alignment horizontal="center"/>
    </xf>
    <xf numFmtId="0" fontId="158" fillId="100" borderId="0" pivotButton="0" quotePrefix="0" xfId="0"/>
    <xf numFmtId="0" fontId="161" fillId="0" borderId="36" applyAlignment="1" pivotButton="0" quotePrefix="0" xfId="0">
      <alignment horizontal="center" vertical="center"/>
    </xf>
    <xf numFmtId="0" fontId="161" fillId="0" borderId="37" applyAlignment="1" pivotButton="0" quotePrefix="0" xfId="0">
      <alignment horizontal="center" vertical="center"/>
    </xf>
    <xf numFmtId="168" fontId="161" fillId="0" borderId="38" applyAlignment="1" pivotButton="0" quotePrefix="0" xfId="0">
      <alignment horizontal="center" vertical="center"/>
    </xf>
    <xf numFmtId="168" fontId="161" fillId="0" borderId="37" applyAlignment="1" pivotButton="0" quotePrefix="0" xfId="0">
      <alignment horizontal="center" vertical="center"/>
    </xf>
    <xf numFmtId="0" fontId="153" fillId="0" borderId="0" applyAlignment="1" pivotButton="0" quotePrefix="0" xfId="0">
      <alignment horizontal="center" vertical="center"/>
    </xf>
    <xf numFmtId="0" fontId="81" fillId="0" borderId="0" applyAlignment="1" applyProtection="1" pivotButton="0" quotePrefix="0" xfId="0">
      <alignment horizontal="center" vertical="center"/>
      <protection locked="0" hidden="1"/>
    </xf>
    <xf numFmtId="0" fontId="157" fillId="0" borderId="0" applyAlignment="1" pivotButton="0" quotePrefix="0" xfId="0">
      <alignment horizontal="left" vertical="center"/>
    </xf>
    <xf numFmtId="0" fontId="153" fillId="0" borderId="7" applyAlignment="1" pivotButton="0" quotePrefix="0" xfId="0">
      <alignment horizontal="center" vertical="center"/>
    </xf>
    <xf numFmtId="0" fontId="153" fillId="0" borderId="0" applyAlignment="1" pivotButton="0" quotePrefix="0" xfId="0">
      <alignment vertical="center" wrapText="1"/>
    </xf>
    <xf numFmtId="0" fontId="162" fillId="0" borderId="0" applyProtection="1" pivotButton="0" quotePrefix="0" xfId="0">
      <protection locked="1" hidden="1"/>
    </xf>
    <xf numFmtId="0" fontId="134" fillId="0" borderId="0" pivotButton="0" quotePrefix="0" xfId="0"/>
    <xf numFmtId="0" fontId="145" fillId="0" borderId="0" pivotButton="0" quotePrefix="0" xfId="0"/>
    <xf numFmtId="0" fontId="163" fillId="0" borderId="0" pivotButton="0" quotePrefix="0" xfId="0"/>
    <xf numFmtId="0" fontId="164" fillId="0" borderId="7" applyAlignment="1" pivotButton="0" quotePrefix="0" xfId="0">
      <alignment horizontal="center" vertical="center"/>
    </xf>
    <xf numFmtId="0" fontId="165" fillId="103" borderId="39" applyAlignment="1" applyProtection="1" pivotButton="0" quotePrefix="0" xfId="0">
      <alignment horizontal="center" vertical="center" wrapText="1"/>
      <protection locked="1" hidden="1"/>
    </xf>
    <xf numFmtId="9" fontId="164" fillId="0" borderId="40" applyAlignment="1" applyProtection="1" pivotButton="0" quotePrefix="0" xfId="0">
      <alignment horizontal="center" vertical="center"/>
      <protection locked="1" hidden="1"/>
    </xf>
    <xf numFmtId="9" fontId="164" fillId="104" borderId="40" applyAlignment="1" applyProtection="1" pivotButton="0" quotePrefix="0" xfId="0">
      <alignment horizontal="center" vertical="center"/>
      <protection locked="1" hidden="1"/>
    </xf>
    <xf numFmtId="0" fontId="166" fillId="0" borderId="0" pivotButton="0" quotePrefix="0" xfId="0"/>
    <xf numFmtId="169" fontId="128" fillId="0" borderId="38" applyAlignment="1" pivotButton="0" quotePrefix="0" xfId="871">
      <alignment horizontal="center" vertical="center"/>
    </xf>
    <xf numFmtId="1" fontId="79" fillId="101" borderId="36" applyAlignment="1" applyProtection="1" pivotButton="0" quotePrefix="0" xfId="1453">
      <alignment horizontal="center" vertical="center"/>
      <protection locked="1" hidden="1"/>
    </xf>
    <xf numFmtId="0" fontId="79" fillId="101" borderId="37" applyAlignment="1" applyProtection="1" pivotButton="0" quotePrefix="0" xfId="0">
      <alignment horizontal="center" vertical="center"/>
      <protection locked="1" hidden="1"/>
    </xf>
    <xf numFmtId="0" fontId="79" fillId="101" borderId="37" applyAlignment="1" applyProtection="1" pivotButton="0" quotePrefix="0" xfId="1333">
      <alignment horizontal="center" vertical="center"/>
      <protection locked="1" hidden="1"/>
    </xf>
    <xf numFmtId="1" fontId="79" fillId="101" borderId="37" applyAlignment="1" applyProtection="1" pivotButton="0" quotePrefix="0" xfId="1333">
      <alignment horizontal="center" vertical="center"/>
      <protection locked="1" hidden="1"/>
    </xf>
    <xf numFmtId="3" fontId="79" fillId="101" borderId="37" applyAlignment="1" applyProtection="1" pivotButton="0" quotePrefix="0" xfId="1333">
      <alignment horizontal="center" vertical="center"/>
      <protection locked="1" hidden="1"/>
    </xf>
    <xf numFmtId="14" fontId="159" fillId="101" borderId="37" applyAlignment="1" applyProtection="1" pivotButton="0" quotePrefix="0" xfId="1333">
      <alignment horizontal="center" vertical="center" wrapText="1"/>
      <protection locked="1" hidden="1"/>
    </xf>
    <xf numFmtId="14" fontId="159" fillId="101" borderId="38" applyAlignment="1" applyProtection="1" pivotButton="0" quotePrefix="0" xfId="1333">
      <alignment horizontal="center" vertical="center" wrapText="1"/>
      <protection locked="1" hidden="1"/>
    </xf>
    <xf numFmtId="0" fontId="79" fillId="101" borderId="42" applyAlignment="1" applyProtection="1" pivotButton="0" quotePrefix="0" xfId="0">
      <alignment horizontal="center" vertical="center" wrapText="1"/>
      <protection locked="1" hidden="1"/>
    </xf>
    <xf numFmtId="0" fontId="79" fillId="101" borderId="43" applyAlignment="1" applyProtection="1" pivotButton="0" quotePrefix="0" xfId="0">
      <alignment horizontal="center" vertical="center" wrapText="1"/>
      <protection locked="1" hidden="1"/>
    </xf>
    <xf numFmtId="0" fontId="79" fillId="101" borderId="44" applyAlignment="1" applyProtection="1" pivotButton="0" quotePrefix="0" xfId="0">
      <alignment horizontal="center" vertical="center" wrapText="1"/>
      <protection locked="1" hidden="1"/>
    </xf>
    <xf numFmtId="0" fontId="79" fillId="101" borderId="45" applyAlignment="1" applyProtection="1" pivotButton="0" quotePrefix="0" xfId="0">
      <alignment horizontal="center" vertical="center" wrapText="1"/>
      <protection locked="1" hidden="1"/>
    </xf>
    <xf numFmtId="0" fontId="158" fillId="100" borderId="0" applyAlignment="1" pivotButton="0" quotePrefix="0" xfId="0">
      <alignment vertical="center"/>
    </xf>
    <xf numFmtId="0" fontId="79" fillId="100" borderId="0" applyAlignment="1" pivotButton="0" quotePrefix="0" xfId="1333">
      <alignment vertical="center"/>
    </xf>
    <xf numFmtId="0" fontId="79" fillId="100" borderId="0" applyAlignment="1" pivotButton="0" quotePrefix="0" xfId="1333">
      <alignment horizontal="right" vertical="center"/>
    </xf>
    <xf numFmtId="3" fontId="79" fillId="100" borderId="0" applyAlignment="1" pivotButton="0" quotePrefix="0" xfId="1333">
      <alignment horizontal="left" vertical="center"/>
    </xf>
    <xf numFmtId="164" fontId="167" fillId="100" borderId="0" applyAlignment="1" pivotButton="0" quotePrefix="0" xfId="1333">
      <alignment vertical="center"/>
    </xf>
    <xf numFmtId="0" fontId="79" fillId="105" borderId="36" applyAlignment="1" applyProtection="1" pivotButton="0" quotePrefix="0" xfId="1333">
      <alignment horizontal="center" vertical="center"/>
      <protection locked="0" hidden="0"/>
    </xf>
    <xf numFmtId="0" fontId="79" fillId="105" borderId="37" applyAlignment="1" applyProtection="1" pivotButton="0" quotePrefix="0" xfId="1333">
      <alignment horizontal="center" vertical="center"/>
      <protection locked="0" hidden="0"/>
    </xf>
    <xf numFmtId="1" fontId="79" fillId="105" borderId="37" applyAlignment="1" applyProtection="1" pivotButton="0" quotePrefix="0" xfId="1333">
      <alignment horizontal="center" vertical="center" wrapText="1"/>
      <protection locked="0" hidden="0"/>
    </xf>
    <xf numFmtId="9" fontId="79" fillId="101" borderId="37" applyAlignment="1" applyProtection="1" pivotButton="0" quotePrefix="0" xfId="1333">
      <alignment horizontal="center" vertical="center" wrapText="1"/>
      <protection locked="1" hidden="1"/>
    </xf>
    <xf numFmtId="9" fontId="158" fillId="101" borderId="37" applyAlignment="1" applyProtection="1" pivotButton="0" quotePrefix="0" xfId="1425">
      <alignment horizontal="center" vertical="center"/>
      <protection locked="1" hidden="1"/>
    </xf>
    <xf numFmtId="167" fontId="79" fillId="105" borderId="37" applyAlignment="1" applyProtection="1" pivotButton="0" quotePrefix="0" xfId="1333">
      <alignment horizontal="center" vertical="center"/>
      <protection locked="1" hidden="1"/>
    </xf>
    <xf numFmtId="167" fontId="79" fillId="105" borderId="38" applyAlignment="1" applyProtection="1" pivotButton="0" quotePrefix="0" xfId="1333">
      <alignment horizontal="center" vertical="center"/>
      <protection locked="1" hidden="1"/>
    </xf>
    <xf numFmtId="3" fontId="79" fillId="101" borderId="37" applyAlignment="1" applyProtection="1" pivotButton="0" quotePrefix="0" xfId="0">
      <alignment horizontal="center" vertical="center"/>
      <protection locked="1" hidden="1"/>
    </xf>
    <xf numFmtId="167" fontId="79" fillId="101" borderId="37" applyAlignment="1" applyProtection="1" pivotButton="0" quotePrefix="0" xfId="0">
      <alignment horizontal="center" vertical="center"/>
      <protection locked="1" hidden="1"/>
    </xf>
    <xf numFmtId="9" fontId="81" fillId="100" borderId="28" applyAlignment="1" applyProtection="1" pivotButton="0" quotePrefix="0" xfId="0">
      <alignment horizontal="center" vertical="center"/>
      <protection locked="1" hidden="1"/>
    </xf>
    <xf numFmtId="0" fontId="153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34" fillId="0" borderId="7" applyAlignment="1" pivotButton="0" quotePrefix="0" xfId="0">
      <alignment horizontal="center"/>
    </xf>
    <xf numFmtId="0" fontId="153" fillId="0" borderId="35" applyAlignment="1" pivotButton="0" quotePrefix="0" xfId="0">
      <alignment horizontal="center"/>
    </xf>
    <xf numFmtId="0" fontId="158" fillId="0" borderId="35" applyAlignment="1" pivotButton="0" quotePrefix="0" xfId="0">
      <alignment horizontal="center" vertical="center"/>
    </xf>
    <xf numFmtId="0" fontId="153" fillId="0" borderId="47" applyAlignment="1" pivotButton="0" quotePrefix="0" xfId="0">
      <alignment horizontal="center"/>
    </xf>
    <xf numFmtId="0" fontId="161" fillId="0" borderId="47" pivotButton="0" quotePrefix="0" xfId="0"/>
    <xf numFmtId="0" fontId="153" fillId="0" borderId="47" applyAlignment="1" pivotButton="0" quotePrefix="0" xfId="0">
      <alignment wrapText="1"/>
    </xf>
    <xf numFmtId="0" fontId="158" fillId="106" borderId="42" applyAlignment="1" pivotButton="0" quotePrefix="0" xfId="0">
      <alignment horizontal="center" vertical="center"/>
    </xf>
    <xf numFmtId="0" fontId="158" fillId="106" borderId="43" applyAlignment="1" pivotButton="0" quotePrefix="0" xfId="0">
      <alignment horizontal="center" vertical="center"/>
    </xf>
    <xf numFmtId="0" fontId="158" fillId="106" borderId="45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1"/>
    </xf>
    <xf numFmtId="9" fontId="164" fillId="0" borderId="12" applyAlignment="1" applyProtection="1" pivotButton="0" quotePrefix="0" xfId="0">
      <alignment horizontal="center" vertical="center"/>
      <protection locked="1" hidden="1"/>
    </xf>
    <xf numFmtId="9" fontId="164" fillId="104" borderId="12" applyAlignment="1" applyProtection="1" pivotButton="0" quotePrefix="0" xfId="0">
      <alignment horizontal="center" vertical="center"/>
      <protection locked="1" hidden="1"/>
    </xf>
    <xf numFmtId="9" fontId="164" fillId="104" borderId="7" applyAlignment="1" applyProtection="1" pivotButton="0" quotePrefix="0" xfId="0">
      <alignment horizontal="center" vertical="center"/>
      <protection locked="1" hidden="1"/>
    </xf>
    <xf numFmtId="0" fontId="165" fillId="103" borderId="28" applyAlignment="1" applyProtection="1" pivotButton="0" quotePrefix="0" xfId="0">
      <alignment horizontal="center" vertical="center" wrapText="1"/>
      <protection locked="1" hidden="1"/>
    </xf>
    <xf numFmtId="0" fontId="165" fillId="103" borderId="36" applyAlignment="1" applyProtection="1" pivotButton="0" quotePrefix="0" xfId="0">
      <alignment horizontal="center" vertical="center" wrapText="1"/>
      <protection locked="1" hidden="1"/>
    </xf>
    <xf numFmtId="1" fontId="164" fillId="0" borderId="37" applyAlignment="1" applyProtection="1" pivotButton="0" quotePrefix="0" xfId="0">
      <alignment horizontal="center" vertical="center"/>
      <protection locked="1" hidden="1"/>
    </xf>
    <xf numFmtId="9" fontId="164" fillId="104" borderId="46" applyAlignment="1" applyProtection="1" pivotButton="0" quotePrefix="0" xfId="0">
      <alignment horizontal="center" vertical="center"/>
      <protection locked="1" hidden="1"/>
    </xf>
    <xf numFmtId="0" fontId="0" fillId="0" borderId="37" applyAlignment="1" pivotButton="0" quotePrefix="0" xfId="0">
      <alignment horizontal="center" vertical="center"/>
    </xf>
    <xf numFmtId="0" fontId="163" fillId="0" borderId="48" applyAlignment="1" pivotButton="0" quotePrefix="0" xfId="0">
      <alignment horizontal="right"/>
    </xf>
    <xf numFmtId="0" fontId="128" fillId="0" borderId="38" applyAlignment="1" pivotButton="0" quotePrefix="0" xfId="0">
      <alignment horizontal="center" vertical="center"/>
    </xf>
    <xf numFmtId="169" fontId="0" fillId="0" borderId="0" pivotButton="0" quotePrefix="0" xfId="0"/>
    <xf numFmtId="167" fontId="0" fillId="0" borderId="0" applyAlignment="1" pivotButton="0" quotePrefix="0" xfId="0">
      <alignment horizontal="center"/>
    </xf>
    <xf numFmtId="167" fontId="79" fillId="0" borderId="0" applyAlignment="1" applyProtection="1" pivotButton="0" quotePrefix="0" xfId="0">
      <alignment horizontal="center" vertical="center"/>
      <protection locked="1" hidden="1"/>
    </xf>
    <xf numFmtId="0" fontId="0" fillId="0" borderId="47" applyAlignment="1" pivotButton="0" quotePrefix="0" xfId="0">
      <alignment horizontal="center" vertical="center"/>
    </xf>
    <xf numFmtId="0" fontId="161" fillId="0" borderId="0" applyAlignment="1" pivotButton="0" quotePrefix="0" xfId="0">
      <alignment vertical="center" wrapText="1"/>
    </xf>
    <xf numFmtId="168" fontId="161" fillId="0" borderId="0" applyAlignment="1" pivotButton="0" quotePrefix="0" xfId="0">
      <alignment horizontal="center" vertical="center"/>
    </xf>
    <xf numFmtId="9" fontId="79" fillId="102" borderId="7" applyAlignment="1" pivotButton="0" quotePrefix="0" xfId="1414">
      <alignment horizontal="center" vertical="center"/>
    </xf>
    <xf numFmtId="170" fontId="79" fillId="102" borderId="7" applyAlignment="1" pivotButton="0" quotePrefix="0" xfId="1414">
      <alignment horizontal="center" vertical="center"/>
    </xf>
    <xf numFmtId="9" fontId="81" fillId="100" borderId="47" applyAlignment="1" applyProtection="1" pivotButton="0" quotePrefix="0" xfId="0">
      <alignment horizontal="center" vertical="center"/>
      <protection locked="1" hidden="1"/>
    </xf>
    <xf numFmtId="9" fontId="81" fillId="100" borderId="7" applyAlignment="1" applyProtection="1" pivotButton="0" quotePrefix="0" xfId="0">
      <alignment horizontal="center" vertical="center"/>
      <protection locked="1" hidden="1"/>
    </xf>
    <xf numFmtId="3" fontId="168" fillId="100" borderId="7" applyAlignment="1" applyProtection="1" pivotButton="0" quotePrefix="0" xfId="0">
      <alignment horizontal="right" vertical="center"/>
      <protection locked="1" hidden="1"/>
    </xf>
    <xf numFmtId="3" fontId="154" fillId="100" borderId="47" applyAlignment="1" applyProtection="1" pivotButton="0" quotePrefix="0" xfId="0">
      <alignment horizontal="right" vertical="center"/>
      <protection locked="1" hidden="1"/>
    </xf>
    <xf numFmtId="0" fontId="153" fillId="107" borderId="7" applyAlignment="1" pivotButton="0" quotePrefix="0" xfId="0">
      <alignment horizontal="center"/>
    </xf>
    <xf numFmtId="0" fontId="169" fillId="100" borderId="0" applyAlignment="1" pivotButton="0" quotePrefix="0" xfId="0">
      <alignment vertical="center"/>
    </xf>
    <xf numFmtId="0" fontId="0" fillId="100" borderId="0" pivotButton="0" quotePrefix="0" xfId="0"/>
    <xf numFmtId="0" fontId="170" fillId="100" borderId="0" applyAlignment="1" pivotButton="0" quotePrefix="0" xfId="0">
      <alignment vertical="center"/>
    </xf>
    <xf numFmtId="0" fontId="171" fillId="100" borderId="0" applyAlignment="1" pivotButton="0" quotePrefix="0" xfId="0">
      <alignment horizontal="left" vertical="center" indent="4"/>
    </xf>
    <xf numFmtId="0" fontId="128" fillId="0" borderId="0" pivotButton="0" quotePrefix="0" xfId="0"/>
    <xf numFmtId="0" fontId="0" fillId="0" borderId="0" applyAlignment="1" pivotButton="0" quotePrefix="0" xfId="0">
      <alignment vertical="center"/>
    </xf>
    <xf numFmtId="0" fontId="120" fillId="100" borderId="0" applyAlignment="1" pivotButton="0" quotePrefix="0" xfId="866">
      <alignment horizontal="left" vertical="center"/>
    </xf>
    <xf numFmtId="0" fontId="172" fillId="0" borderId="0" pivotButton="0" quotePrefix="0" xfId="866"/>
    <xf numFmtId="1" fontId="128" fillId="0" borderId="49" applyAlignment="1" pivotButton="0" quotePrefix="0" xfId="0">
      <alignment horizontal="center" vertical="center"/>
    </xf>
    <xf numFmtId="1" fontId="81" fillId="100" borderId="7" applyAlignment="1" applyProtection="1" pivotButton="0" quotePrefix="0" xfId="0">
      <alignment horizontal="center" vertical="center" wrapText="1"/>
      <protection locked="1" hidden="1"/>
    </xf>
    <xf numFmtId="10" fontId="81" fillId="100" borderId="7" applyAlignment="1" applyProtection="1" pivotButton="0" quotePrefix="0" xfId="0">
      <alignment horizontal="center" vertical="center"/>
      <protection locked="1" hidden="1"/>
    </xf>
    <xf numFmtId="164" fontId="167" fillId="100" borderId="7" applyAlignment="1" applyProtection="1" pivotButton="0" quotePrefix="0" xfId="1333">
      <alignment horizontal="right" vertical="center"/>
      <protection locked="1" hidden="1"/>
    </xf>
    <xf numFmtId="0" fontId="0" fillId="100" borderId="0" applyAlignment="1" pivotButton="0" quotePrefix="0" xfId="0">
      <alignment vertical="center"/>
    </xf>
    <xf numFmtId="0" fontId="90" fillId="100" borderId="0" applyAlignment="1" pivotButton="0" quotePrefix="0" xfId="0">
      <alignment vertical="center"/>
    </xf>
    <xf numFmtId="0" fontId="81" fillId="100" borderId="0" applyAlignment="1" pivotButton="0" quotePrefix="0" xfId="0">
      <alignment vertical="center"/>
    </xf>
    <xf numFmtId="165" fontId="173" fillId="100" borderId="0" applyAlignment="1" pivotButton="0" quotePrefix="0" xfId="0">
      <alignment horizontal="center" vertical="center"/>
    </xf>
    <xf numFmtId="166" fontId="173" fillId="100" borderId="0" applyAlignment="1" pivotButton="0" quotePrefix="0" xfId="0">
      <alignment vertical="center"/>
    </xf>
    <xf numFmtId="0" fontId="0" fillId="100" borderId="0" applyAlignment="1" applyProtection="1" pivotButton="0" quotePrefix="0" xfId="0">
      <alignment vertical="center"/>
      <protection locked="1" hidden="1"/>
    </xf>
    <xf numFmtId="0" fontId="173" fillId="100" borderId="0" applyAlignment="1" applyProtection="1" pivotButton="0" quotePrefix="0" xfId="0">
      <alignment vertical="center"/>
      <protection locked="1" hidden="1"/>
    </xf>
    <xf numFmtId="1" fontId="173" fillId="100" borderId="0" applyAlignment="1" applyProtection="1" pivotButton="0" quotePrefix="0" xfId="0">
      <alignment horizontal="center" vertical="center"/>
      <protection locked="1" hidden="1"/>
    </xf>
    <xf numFmtId="165" fontId="173" fillId="100" borderId="0" applyAlignment="1" applyProtection="1" pivotButton="0" quotePrefix="0" xfId="0">
      <alignment horizontal="center" vertical="center"/>
      <protection locked="1" hidden="1"/>
    </xf>
    <xf numFmtId="166" fontId="173" fillId="100" borderId="0" applyAlignment="1" applyProtection="1" pivotButton="0" quotePrefix="0" xfId="0">
      <alignment vertical="center"/>
      <protection locked="1" hidden="1"/>
    </xf>
    <xf numFmtId="0" fontId="153" fillId="100" borderId="0" applyAlignment="1" pivotButton="0" quotePrefix="0" xfId="0">
      <alignment vertical="center"/>
    </xf>
    <xf numFmtId="0" fontId="91" fillId="100" borderId="0" applyAlignment="1" applyProtection="1" pivotButton="0" quotePrefix="0" xfId="0">
      <alignment vertical="center"/>
      <protection locked="1" hidden="1"/>
    </xf>
    <xf numFmtId="0" fontId="81" fillId="100" borderId="0" applyAlignment="1" applyProtection="1" pivotButton="0" quotePrefix="0" xfId="0">
      <alignment vertical="center"/>
      <protection locked="1" hidden="1"/>
    </xf>
    <xf numFmtId="1" fontId="81" fillId="100" borderId="0" applyAlignment="1" applyProtection="1" pivotButton="0" quotePrefix="0" xfId="0">
      <alignment horizontal="center" vertical="center"/>
      <protection locked="1" hidden="1"/>
    </xf>
    <xf numFmtId="166" fontId="81" fillId="100" borderId="0" applyAlignment="1" applyProtection="1" pivotButton="0" quotePrefix="0" xfId="0">
      <alignment vertical="center"/>
      <protection locked="1" hidden="1"/>
    </xf>
    <xf numFmtId="0" fontId="174" fillId="100" borderId="0" applyAlignment="1" applyProtection="1" pivotButton="0" quotePrefix="0" xfId="0">
      <alignment vertical="center"/>
      <protection locked="1" hidden="1"/>
    </xf>
    <xf numFmtId="1" fontId="81" fillId="100" borderId="40" applyAlignment="1" applyProtection="1" pivotButton="0" quotePrefix="0" xfId="0">
      <alignment horizontal="center" vertical="center"/>
      <protection locked="1" hidden="1"/>
    </xf>
    <xf numFmtId="10" fontId="81" fillId="100" borderId="47" applyAlignment="1" applyProtection="1" pivotButton="0" quotePrefix="0" xfId="0">
      <alignment horizontal="center" vertical="center"/>
      <protection locked="1" hidden="1"/>
    </xf>
    <xf numFmtId="1" fontId="81" fillId="100" borderId="46" applyAlignment="1" applyProtection="1" pivotButton="0" quotePrefix="0" xfId="0">
      <alignment horizontal="center" vertical="center"/>
      <protection locked="1" hidden="1"/>
    </xf>
    <xf numFmtId="166" fontId="79" fillId="100" borderId="0" applyAlignment="1" applyProtection="1" pivotButton="0" quotePrefix="0" xfId="0">
      <alignment vertical="center"/>
      <protection locked="1" hidden="1"/>
    </xf>
    <xf numFmtId="0" fontId="120" fillId="100" borderId="0" applyAlignment="1" pivotButton="0" quotePrefix="0" xfId="866">
      <alignment vertical="center"/>
    </xf>
    <xf numFmtId="168" fontId="81" fillId="100" borderId="7" applyAlignment="1" applyProtection="1" pivotButton="0" quotePrefix="0" xfId="0">
      <alignment horizontal="center" vertical="center"/>
      <protection locked="1" hidden="1"/>
    </xf>
    <xf numFmtId="171" fontId="79" fillId="101" borderId="37" applyAlignment="1" applyProtection="1" pivotButton="0" quotePrefix="0" xfId="1333">
      <alignment horizontal="center" vertical="center" wrapText="1"/>
      <protection locked="1" hidden="1"/>
    </xf>
    <xf numFmtId="0" fontId="175" fillId="100" borderId="37" applyAlignment="1" pivotButton="0" quotePrefix="0" xfId="866">
      <alignment horizontal="center" vertical="center"/>
    </xf>
    <xf numFmtId="0" fontId="158" fillId="100" borderId="51" applyAlignment="1" pivotButton="0" quotePrefix="0" xfId="0">
      <alignment vertical="center"/>
    </xf>
    <xf numFmtId="172" fontId="81" fillId="100" borderId="7" applyAlignment="1" applyProtection="1" pivotButton="0" quotePrefix="0" xfId="871">
      <alignment horizontal="center" vertical="center"/>
      <protection locked="1" hidden="1"/>
    </xf>
    <xf numFmtId="172" fontId="81" fillId="100" borderId="7" applyAlignment="1" applyProtection="1" pivotButton="0" quotePrefix="0" xfId="0">
      <alignment horizontal="center" vertical="center"/>
      <protection locked="1" hidden="1"/>
    </xf>
    <xf numFmtId="0" fontId="153" fillId="0" borderId="0" applyAlignment="1" pivotButton="0" quotePrefix="0" xfId="0">
      <alignment vertical="center"/>
    </xf>
    <xf numFmtId="0" fontId="157" fillId="100" borderId="0" applyAlignment="1" pivotButton="0" quotePrefix="0" xfId="0">
      <alignment vertical="center"/>
    </xf>
    <xf numFmtId="0" fontId="176" fillId="100" borderId="0" applyAlignment="1" applyProtection="1" pivotButton="0" quotePrefix="0" xfId="0">
      <alignment horizontal="right" vertical="center"/>
      <protection locked="0" hidden="0"/>
    </xf>
    <xf numFmtId="9" fontId="176" fillId="100" borderId="0" applyAlignment="1" applyProtection="1" pivotButton="0" quotePrefix="0" xfId="1425">
      <alignment horizontal="left" vertical="center" wrapText="1"/>
      <protection locked="0" hidden="0"/>
    </xf>
    <xf numFmtId="9" fontId="153" fillId="100" borderId="0" applyAlignment="1" pivotButton="0" quotePrefix="0" xfId="1425">
      <alignment vertical="center"/>
    </xf>
    <xf numFmtId="0" fontId="153" fillId="0" borderId="0" applyAlignment="1" applyProtection="1" pivotButton="0" quotePrefix="0" xfId="0">
      <alignment vertical="center"/>
      <protection locked="0" hidden="0"/>
    </xf>
    <xf numFmtId="173" fontId="79" fillId="105" borderId="37" applyAlignment="1" applyProtection="1" pivotButton="0" quotePrefix="0" xfId="0">
      <alignment horizontal="center" vertical="center" wrapText="1"/>
      <protection locked="0" hidden="0"/>
    </xf>
    <xf numFmtId="9" fontId="79" fillId="101" borderId="37" applyAlignment="1" applyProtection="1" pivotButton="0" quotePrefix="0" xfId="1425">
      <alignment horizontal="center" vertical="center" wrapText="1"/>
      <protection locked="1" hidden="1"/>
    </xf>
    <xf numFmtId="0" fontId="81" fillId="100" borderId="0" applyAlignment="1" pivotButton="0" quotePrefix="0" xfId="1333">
      <alignment vertical="center"/>
    </xf>
    <xf numFmtId="0" fontId="81" fillId="100" borderId="0" applyAlignment="1" pivotButton="0" quotePrefix="0" xfId="1333">
      <alignment horizontal="right" vertical="center"/>
    </xf>
    <xf numFmtId="3" fontId="81" fillId="100" borderId="0" applyAlignment="1" pivotButton="0" quotePrefix="0" xfId="1333">
      <alignment horizontal="left" vertical="center"/>
    </xf>
    <xf numFmtId="164" fontId="155" fillId="100" borderId="0" applyAlignment="1" pivotButton="0" quotePrefix="0" xfId="1333">
      <alignment vertical="center"/>
    </xf>
    <xf numFmtId="0" fontId="153" fillId="0" borderId="0" applyAlignment="1" applyProtection="1" pivotButton="0" quotePrefix="0" xfId="0">
      <alignment vertical="center"/>
      <protection locked="1" hidden="1"/>
    </xf>
    <xf numFmtId="1" fontId="81" fillId="100" borderId="0" applyAlignment="1" applyProtection="1" pivotButton="0" quotePrefix="0" xfId="0">
      <alignment horizontal="right" vertical="center"/>
      <protection locked="1" hidden="1"/>
    </xf>
    <xf numFmtId="15" fontId="81" fillId="0" borderId="7" applyAlignment="1" applyProtection="1" pivotButton="0" quotePrefix="0" xfId="0">
      <alignment vertical="center" wrapText="1"/>
      <protection locked="1" hidden="1"/>
    </xf>
    <xf numFmtId="1" fontId="81" fillId="0" borderId="0" applyAlignment="1" applyProtection="1" pivotButton="0" quotePrefix="0" xfId="0">
      <alignment horizontal="center" vertical="center"/>
      <protection locked="1" hidden="1"/>
    </xf>
    <xf numFmtId="0" fontId="81" fillId="0" borderId="0" applyAlignment="1" applyProtection="1" pivotButton="0" quotePrefix="0" xfId="0">
      <alignment vertical="center"/>
      <protection locked="1" hidden="1"/>
    </xf>
    <xf numFmtId="166" fontId="81" fillId="0" borderId="0" applyAlignment="1" applyProtection="1" pivotButton="0" quotePrefix="0" xfId="0">
      <alignment vertical="center"/>
      <protection locked="1" hidden="1"/>
    </xf>
    <xf numFmtId="3" fontId="154" fillId="0" borderId="0" applyAlignment="1" applyProtection="1" pivotButton="0" quotePrefix="0" xfId="0">
      <alignment vertical="center"/>
      <protection locked="1" hidden="1"/>
    </xf>
    <xf numFmtId="166" fontId="154" fillId="0" borderId="0" applyAlignment="1" applyProtection="1" pivotButton="0" quotePrefix="0" xfId="0">
      <alignment vertical="center"/>
      <protection locked="1" hidden="1"/>
    </xf>
    <xf numFmtId="0" fontId="79" fillId="0" borderId="0" applyAlignment="1" applyProtection="1" pivotButton="0" quotePrefix="0" xfId="0">
      <alignment vertical="center"/>
      <protection locked="1" hidden="1"/>
    </xf>
    <xf numFmtId="0" fontId="79" fillId="0" borderId="0" applyAlignment="1" applyProtection="1" pivotButton="0" quotePrefix="0" xfId="0">
      <alignment horizontal="right" vertical="center"/>
      <protection locked="1" hidden="1"/>
    </xf>
    <xf numFmtId="1" fontId="79" fillId="0" borderId="52" applyAlignment="1" applyProtection="1" pivotButton="0" quotePrefix="0" xfId="0">
      <alignment horizontal="center" vertical="center"/>
      <protection locked="1" hidden="1"/>
    </xf>
    <xf numFmtId="166" fontId="79" fillId="0" borderId="0" applyAlignment="1" applyProtection="1" pivotButton="0" quotePrefix="0" xfId="0">
      <alignment vertical="center"/>
      <protection locked="1" hidden="1"/>
    </xf>
    <xf numFmtId="3" fontId="156" fillId="0" borderId="0" applyAlignment="1" applyProtection="1" pivotButton="0" quotePrefix="0" xfId="0">
      <alignment horizontal="right" vertical="center"/>
      <protection locked="1" hidden="1"/>
    </xf>
    <xf numFmtId="0" fontId="158" fillId="0" borderId="0" applyAlignment="1" applyProtection="1" pivotButton="0" quotePrefix="0" xfId="0">
      <alignment vertical="center"/>
      <protection locked="1" hidden="1"/>
    </xf>
    <xf numFmtId="172" fontId="79" fillId="105" borderId="37" applyAlignment="1" applyProtection="1" pivotButton="0" quotePrefix="0" xfId="871">
      <alignment horizontal="center" vertical="center"/>
      <protection locked="1" hidden="1"/>
    </xf>
    <xf numFmtId="172" fontId="79" fillId="105" borderId="38" applyAlignment="1" applyProtection="1" pivotButton="0" quotePrefix="0" xfId="871">
      <alignment horizontal="center" vertical="center"/>
      <protection locked="1" hidden="1"/>
    </xf>
    <xf numFmtId="172" fontId="79" fillId="0" borderId="0" applyAlignment="1" applyProtection="1" pivotButton="0" quotePrefix="0" xfId="871">
      <alignment horizontal="center" vertical="center"/>
      <protection locked="1" hidden="1"/>
    </xf>
    <xf numFmtId="172" fontId="79" fillId="0" borderId="52" applyAlignment="1" applyProtection="1" pivotButton="0" quotePrefix="0" xfId="871">
      <alignment horizontal="center" vertical="center"/>
      <protection locked="1" hidden="1"/>
    </xf>
    <xf numFmtId="172" fontId="156" fillId="0" borderId="0" applyAlignment="1" applyProtection="1" pivotButton="0" quotePrefix="0" xfId="871">
      <alignment horizontal="center" vertical="center"/>
      <protection locked="1" hidden="1"/>
    </xf>
    <xf numFmtId="0" fontId="175" fillId="0" borderId="50" applyAlignment="1" pivotButton="0" quotePrefix="0" xfId="866">
      <alignment horizontal="center" vertical="center"/>
    </xf>
    <xf numFmtId="164" fontId="79" fillId="0" borderId="0" applyAlignment="1" applyProtection="1" pivotButton="0" quotePrefix="0" xfId="1333">
      <alignment vertical="center"/>
      <protection locked="1" hidden="1"/>
    </xf>
    <xf numFmtId="172" fontId="79" fillId="105" borderId="37" applyAlignment="1" applyProtection="1" pivotButton="0" quotePrefix="0" xfId="1333">
      <alignment horizontal="center" vertical="center"/>
      <protection locked="1" hidden="1"/>
    </xf>
    <xf numFmtId="172" fontId="79" fillId="105" borderId="38" applyAlignment="1" applyProtection="1" pivotButton="0" quotePrefix="0" xfId="1333">
      <alignment horizontal="center" vertical="center"/>
      <protection locked="1" hidden="1"/>
    </xf>
    <xf numFmtId="172" fontId="79" fillId="100" borderId="0" applyAlignment="1" applyProtection="1" pivotButton="0" quotePrefix="0" xfId="0">
      <alignment horizontal="center"/>
      <protection locked="1" hidden="1"/>
    </xf>
    <xf numFmtId="172" fontId="79" fillId="100" borderId="0" applyAlignment="1" applyProtection="1" pivotButton="0" quotePrefix="0" xfId="0">
      <alignment horizontal="center" vertical="center"/>
      <protection locked="1" hidden="1"/>
    </xf>
    <xf numFmtId="172" fontId="156" fillId="100" borderId="0" applyAlignment="1" applyProtection="1" pivotButton="0" quotePrefix="0" xfId="0">
      <alignment horizontal="center" vertical="center"/>
      <protection locked="1" hidden="1"/>
    </xf>
    <xf numFmtId="0" fontId="80" fillId="100" borderId="0" applyAlignment="1" pivotButton="0" quotePrefix="0" xfId="0">
      <alignment vertical="center"/>
    </xf>
    <xf numFmtId="9" fontId="177" fillId="100" borderId="0" applyAlignment="1" applyProtection="1" pivotButton="0" quotePrefix="0" xfId="1425">
      <alignment horizontal="left" vertical="center" wrapText="1"/>
      <protection locked="0" hidden="0"/>
    </xf>
    <xf numFmtId="0" fontId="175" fillId="0" borderId="53" applyAlignment="1" pivotButton="0" quotePrefix="0" xfId="866">
      <alignment horizontal="center" vertical="center"/>
    </xf>
    <xf numFmtId="3" fontId="154" fillId="100" borderId="7" applyAlignment="1" applyProtection="1" pivotButton="0" quotePrefix="0" xfId="0">
      <alignment horizontal="right" vertical="center"/>
      <protection locked="1" hidden="1"/>
    </xf>
    <xf numFmtId="0" fontId="158" fillId="106" borderId="54" applyAlignment="1" pivotButton="0" quotePrefix="0" xfId="0">
      <alignment horizontal="center" vertical="center"/>
    </xf>
    <xf numFmtId="3" fontId="154" fillId="100" borderId="0" applyAlignment="1" applyProtection="1" pivotButton="0" quotePrefix="0" xfId="0">
      <alignment horizontal="right" vertical="center"/>
      <protection locked="1" hidden="1"/>
    </xf>
    <xf numFmtId="169" fontId="158" fillId="0" borderId="0" applyAlignment="1" pivotButton="0" quotePrefix="0" xfId="871">
      <alignment horizontal="center" vertical="center"/>
    </xf>
    <xf numFmtId="0" fontId="158" fillId="0" borderId="0" applyAlignment="1" pivotButton="0" quotePrefix="0" xfId="0">
      <alignment horizontal="center" vertical="center"/>
    </xf>
    <xf numFmtId="2" fontId="147" fillId="0" borderId="0" applyProtection="1" pivotButton="0" quotePrefix="0" xfId="0">
      <protection locked="1" hidden="1"/>
    </xf>
    <xf numFmtId="174" fontId="153" fillId="0" borderId="7" applyAlignment="1" applyProtection="1" pivotButton="0" quotePrefix="0" xfId="938">
      <alignment vertical="center"/>
      <protection locked="1" hidden="1"/>
    </xf>
    <xf numFmtId="168" fontId="154" fillId="100" borderId="7" applyAlignment="1" applyProtection="1" pivotButton="0" quotePrefix="0" xfId="0">
      <alignment horizontal="right" vertical="center"/>
      <protection locked="1" hidden="1"/>
    </xf>
    <xf numFmtId="175" fontId="96" fillId="0" borderId="7" applyAlignment="1" pivotButton="0" quotePrefix="0" xfId="0">
      <alignment vertical="center"/>
    </xf>
    <xf numFmtId="0" fontId="178" fillId="0" borderId="7" applyAlignment="1" pivotButton="0" quotePrefix="0" xfId="0">
      <alignment vertical="center"/>
    </xf>
    <xf numFmtId="168" fontId="81" fillId="100" borderId="7" applyAlignment="1" applyProtection="1" pivotButton="0" quotePrefix="0" xfId="938">
      <alignment horizontal="center" vertical="center"/>
      <protection locked="1" hidden="1"/>
    </xf>
    <xf numFmtId="169" fontId="153" fillId="0" borderId="0" applyAlignment="1" pivotButton="0" quotePrefix="0" xfId="871">
      <alignment horizontal="center" vertical="center"/>
    </xf>
    <xf numFmtId="0" fontId="178" fillId="0" borderId="47" applyAlignment="1" pivotButton="0" quotePrefix="0" xfId="0">
      <alignment vertical="center"/>
    </xf>
    <xf numFmtId="175" fontId="96" fillId="0" borderId="47" applyAlignment="1" pivotButton="0" quotePrefix="0" xfId="0">
      <alignment vertical="center"/>
    </xf>
    <xf numFmtId="1" fontId="96" fillId="0" borderId="47" applyAlignment="1" pivotButton="0" quotePrefix="0" xfId="869">
      <alignment horizontal="center" vertical="center" wrapText="1"/>
    </xf>
    <xf numFmtId="176" fontId="81" fillId="100" borderId="47" applyAlignment="1" applyProtection="1" pivotButton="0" quotePrefix="0" xfId="0">
      <alignment horizontal="center" vertical="center"/>
      <protection locked="1" hidden="1"/>
    </xf>
    <xf numFmtId="168" fontId="81" fillId="100" borderId="47" applyAlignment="1" applyProtection="1" pivotButton="0" quotePrefix="0" xfId="938">
      <alignment horizontal="center" vertical="center"/>
      <protection locked="1" hidden="1"/>
    </xf>
    <xf numFmtId="168" fontId="154" fillId="100" borderId="47" applyAlignment="1" applyProtection="1" pivotButton="0" quotePrefix="0" xfId="0">
      <alignment horizontal="right" vertical="center"/>
      <protection locked="1" hidden="1"/>
    </xf>
    <xf numFmtId="1" fontId="153" fillId="0" borderId="0" applyAlignment="1" pivotButton="0" quotePrefix="0" xfId="871">
      <alignment horizontal="right" vertical="center"/>
    </xf>
    <xf numFmtId="0" fontId="161" fillId="0" borderId="0" applyAlignment="1" applyProtection="1" pivotButton="0" quotePrefix="0" xfId="0">
      <alignment wrapText="1"/>
      <protection locked="1" hidden="1"/>
    </xf>
    <xf numFmtId="174" fontId="153" fillId="0" borderId="0" applyAlignment="1" applyProtection="1" pivotButton="0" quotePrefix="0" xfId="938">
      <alignment vertical="center"/>
      <protection locked="1" hidden="1"/>
    </xf>
    <xf numFmtId="0" fontId="153" fillId="0" borderId="47" applyAlignment="1" pivotButton="0" quotePrefix="0" xfId="0">
      <alignment horizontal="left"/>
    </xf>
    <xf numFmtId="177" fontId="153" fillId="0" borderId="0" applyAlignment="1" pivotButton="0" quotePrefix="0" xfId="871">
      <alignment horizontal="right" vertical="center"/>
    </xf>
    <xf numFmtId="0" fontId="153" fillId="0" borderId="7" applyAlignment="1" pivotButton="0" quotePrefix="0" xfId="0">
      <alignment horizontal="left"/>
    </xf>
    <xf numFmtId="0" fontId="134" fillId="0" borderId="7" applyAlignment="1" pivotButton="0" quotePrefix="0" xfId="0">
      <alignment vertical="center"/>
    </xf>
    <xf numFmtId="1" fontId="81" fillId="100" borderId="35" applyAlignment="1" applyProtection="1" pivotButton="0" quotePrefix="0" xfId="0">
      <alignment horizontal="center" vertical="center" wrapText="1"/>
      <protection locked="1" hidden="1"/>
    </xf>
    <xf numFmtId="172" fontId="81" fillId="100" borderId="35" applyAlignment="1" applyProtection="1" pivotButton="0" quotePrefix="0" xfId="871">
      <alignment horizontal="center" vertical="center"/>
      <protection locked="1" hidden="1"/>
    </xf>
    <xf numFmtId="9" fontId="81" fillId="100" borderId="35" applyAlignment="1" applyProtection="1" pivotButton="0" quotePrefix="0" xfId="0">
      <alignment horizontal="center" vertical="center"/>
      <protection locked="1" hidden="1"/>
    </xf>
    <xf numFmtId="10" fontId="81" fillId="100" borderId="35" applyAlignment="1" applyProtection="1" pivotButton="0" quotePrefix="0" xfId="0">
      <alignment horizontal="center" vertical="center"/>
      <protection locked="1" hidden="1"/>
    </xf>
    <xf numFmtId="172" fontId="81" fillId="100" borderId="35" applyAlignment="1" applyProtection="1" pivotButton="0" quotePrefix="0" xfId="0">
      <alignment horizontal="center" vertical="center"/>
      <protection locked="1" hidden="1"/>
    </xf>
    <xf numFmtId="0" fontId="120" fillId="100" borderId="55" applyAlignment="1" pivotButton="0" quotePrefix="0" xfId="866">
      <alignment horizontal="center" vertical="center"/>
    </xf>
    <xf numFmtId="0" fontId="120" fillId="100" borderId="7" applyAlignment="1" pivotButton="0" quotePrefix="0" xfId="866">
      <alignment horizontal="center" vertical="center"/>
    </xf>
    <xf numFmtId="9" fontId="0" fillId="0" borderId="47" applyAlignment="1" pivotButton="0" quotePrefix="0" xfId="0">
      <alignment horizontal="center" vertical="center"/>
    </xf>
    <xf numFmtId="10" fontId="89" fillId="100" borderId="47" applyAlignment="1" applyProtection="1" pivotButton="0" quotePrefix="0" xfId="0">
      <alignment horizontal="center" vertical="center"/>
      <protection locked="1" hidden="1"/>
    </xf>
    <xf numFmtId="172" fontId="81" fillId="100" borderId="0" applyAlignment="1" applyProtection="1" pivotButton="0" quotePrefix="0" xfId="0">
      <alignment horizontal="center" vertical="center"/>
      <protection locked="1" hidden="1"/>
    </xf>
    <xf numFmtId="0" fontId="161" fillId="0" borderId="0" applyAlignment="1" applyProtection="1" pivotButton="0" quotePrefix="0" xfId="0">
      <alignment horizontal="left" vertical="center" wrapText="1"/>
      <protection locked="1" hidden="1"/>
    </xf>
    <xf numFmtId="0" fontId="153" fillId="0" borderId="0" applyAlignment="1" applyProtection="1" pivotButton="0" quotePrefix="0" xfId="0">
      <alignment horizontal="left" vertical="center"/>
      <protection locked="1" hidden="1"/>
    </xf>
    <xf numFmtId="0" fontId="81" fillId="0" borderId="0" applyAlignment="1" pivotButton="0" quotePrefix="0" xfId="0">
      <alignment vertical="center"/>
    </xf>
    <xf numFmtId="1" fontId="81" fillId="0" borderId="0" applyAlignment="1" pivotButton="0" quotePrefix="0" xfId="0">
      <alignment vertical="center"/>
    </xf>
    <xf numFmtId="9" fontId="81" fillId="0" borderId="0" applyAlignment="1" pivotButton="0" quotePrefix="0" xfId="1414">
      <alignment vertical="center"/>
    </xf>
    <xf numFmtId="1" fontId="81" fillId="0" borderId="46" applyAlignment="1" applyProtection="1" pivotButton="0" quotePrefix="0" xfId="0">
      <alignment horizontal="center" vertical="center"/>
      <protection locked="1" hidden="1"/>
    </xf>
    <xf numFmtId="15" fontId="82" fillId="0" borderId="7" applyAlignment="1" applyProtection="1" pivotButton="0" quotePrefix="0" xfId="866">
      <alignment horizontal="center" vertical="center" wrapText="1"/>
      <protection locked="1" hidden="1"/>
    </xf>
    <xf numFmtId="1" fontId="81" fillId="0" borderId="7" applyAlignment="1" applyProtection="1" pivotButton="0" quotePrefix="0" xfId="0">
      <alignment horizontal="center" vertical="center" wrapText="1"/>
      <protection locked="1" hidden="1"/>
    </xf>
    <xf numFmtId="167" fontId="81" fillId="0" borderId="7" applyAlignment="1" applyProtection="1" pivotButton="0" quotePrefix="0" xfId="0">
      <alignment horizontal="center" vertical="center"/>
      <protection locked="1" hidden="1"/>
    </xf>
    <xf numFmtId="172" fontId="81" fillId="0" borderId="7" applyAlignment="1" applyProtection="1" pivotButton="0" quotePrefix="0" xfId="871">
      <alignment horizontal="center" vertical="center"/>
      <protection locked="1" hidden="1"/>
    </xf>
    <xf numFmtId="9" fontId="81" fillId="0" borderId="7" applyAlignment="1" applyProtection="1" pivotButton="0" quotePrefix="0" xfId="0">
      <alignment horizontal="center" vertical="center"/>
      <protection locked="1" hidden="1"/>
    </xf>
    <xf numFmtId="10" fontId="81" fillId="0" borderId="7" applyAlignment="1" applyProtection="1" pivotButton="0" quotePrefix="0" xfId="0">
      <alignment horizontal="center" vertical="center"/>
      <protection locked="1" hidden="1"/>
    </xf>
    <xf numFmtId="172" fontId="81" fillId="0" borderId="7" applyAlignment="1" applyProtection="1" pivotButton="0" quotePrefix="0" xfId="0">
      <alignment horizontal="center" vertical="center"/>
      <protection locked="1" hidden="1"/>
    </xf>
    <xf numFmtId="3" fontId="81" fillId="0" borderId="7" applyAlignment="1" applyProtection="1" pivotButton="0" quotePrefix="0" xfId="0">
      <alignment vertical="center"/>
      <protection locked="1" hidden="1"/>
    </xf>
    <xf numFmtId="172" fontId="81" fillId="0" borderId="37" applyAlignment="1" applyProtection="1" pivotButton="0" quotePrefix="0" xfId="0">
      <alignment horizontal="center" vertical="center"/>
      <protection locked="1" hidden="1"/>
    </xf>
    <xf numFmtId="1" fontId="81" fillId="0" borderId="48" applyAlignment="1" applyProtection="1" pivotButton="0" quotePrefix="0" xfId="0">
      <alignment horizontal="center" vertical="center"/>
      <protection locked="1" hidden="1"/>
    </xf>
    <xf numFmtId="15" fontId="82" fillId="0" borderId="49" applyAlignment="1" applyProtection="1" pivotButton="0" quotePrefix="0" xfId="866">
      <alignment horizontal="center" vertical="center" wrapText="1"/>
      <protection locked="1" hidden="1"/>
    </xf>
    <xf numFmtId="172" fontId="81" fillId="0" borderId="49" applyAlignment="1" applyProtection="1" pivotButton="0" quotePrefix="0" xfId="871">
      <alignment horizontal="center" vertical="center"/>
      <protection locked="1" hidden="1"/>
    </xf>
    <xf numFmtId="9" fontId="81" fillId="0" borderId="49" applyAlignment="1" applyProtection="1" pivotButton="0" quotePrefix="0" xfId="0">
      <alignment horizontal="center" vertical="center"/>
      <protection locked="1" hidden="1"/>
    </xf>
    <xf numFmtId="10" fontId="81" fillId="0" borderId="49" applyAlignment="1" applyProtection="1" pivotButton="0" quotePrefix="0" xfId="0">
      <alignment horizontal="center" vertical="center"/>
      <protection locked="1" hidden="1"/>
    </xf>
    <xf numFmtId="172" fontId="81" fillId="0" borderId="49" applyAlignment="1" applyProtection="1" pivotButton="0" quotePrefix="0" xfId="0">
      <alignment horizontal="center" vertical="center"/>
      <protection locked="1" hidden="1"/>
    </xf>
    <xf numFmtId="3" fontId="81" fillId="0" borderId="49" applyAlignment="1" applyProtection="1" pivotButton="0" quotePrefix="0" xfId="0">
      <alignment vertical="center"/>
      <protection locked="1" hidden="1"/>
    </xf>
    <xf numFmtId="172" fontId="81" fillId="0" borderId="38" applyAlignment="1" applyProtection="1" pivotButton="0" quotePrefix="0" xfId="0">
      <alignment horizontal="center" vertical="center"/>
      <protection locked="1" hidden="1"/>
    </xf>
    <xf numFmtId="2" fontId="147" fillId="0" borderId="0" pivotButton="0" quotePrefix="0" xfId="0"/>
    <xf numFmtId="0" fontId="155" fillId="100" borderId="0" applyAlignment="1" applyProtection="1" pivotButton="0" quotePrefix="0" xfId="1333">
      <alignment horizontal="right"/>
      <protection locked="1" hidden="1"/>
    </xf>
    <xf numFmtId="0" fontId="153" fillId="0" borderId="0" applyAlignment="1" pivotButton="0" quotePrefix="0" xfId="0">
      <alignment horizontal="right" vertical="center"/>
    </xf>
    <xf numFmtId="14" fontId="0" fillId="0" borderId="0" pivotButton="0" quotePrefix="0" xfId="0"/>
    <xf numFmtId="0" fontId="134" fillId="0" borderId="47" applyAlignment="1" pivotButton="0" quotePrefix="0" xfId="0">
      <alignment horizontal="center" vertical="center"/>
    </xf>
    <xf numFmtId="1" fontId="81" fillId="0" borderId="0" applyAlignment="1" applyProtection="1" pivotButton="0" quotePrefix="0" xfId="871">
      <alignment horizontal="right" vertical="center"/>
      <protection locked="1" hidden="1"/>
    </xf>
    <xf numFmtId="169" fontId="81" fillId="0" borderId="0" applyAlignment="1" applyProtection="1" pivotButton="0" quotePrefix="0" xfId="871">
      <alignment horizontal="center" vertical="center"/>
      <protection locked="1" hidden="1"/>
    </xf>
    <xf numFmtId="169" fontId="79" fillId="0" borderId="0" applyAlignment="1" applyProtection="1" pivotButton="0" quotePrefix="0" xfId="871">
      <alignment horizontal="center" vertical="center"/>
      <protection locked="1" hidden="1"/>
    </xf>
    <xf numFmtId="0" fontId="81" fillId="0" borderId="0" applyAlignment="1" applyProtection="1" pivotButton="0" quotePrefix="0" xfId="0">
      <alignment horizontal="right" vertical="center"/>
      <protection locked="1" hidden="1"/>
    </xf>
    <xf numFmtId="0" fontId="81" fillId="0" borderId="7" applyAlignment="1" applyProtection="1" pivotButton="0" quotePrefix="0" xfId="0">
      <alignment horizontal="center" vertical="center" wrapText="1"/>
      <protection locked="1" hidden="1"/>
    </xf>
    <xf numFmtId="178" fontId="79" fillId="101" borderId="37" applyAlignment="1" applyProtection="1" pivotButton="0" quotePrefix="0" xfId="1333">
      <alignment horizontal="center" vertical="center"/>
      <protection locked="1" hidden="1"/>
    </xf>
    <xf numFmtId="9" fontId="158" fillId="100" borderId="0" applyAlignment="1" pivotButton="0" quotePrefix="0" xfId="1414">
      <alignment vertical="center"/>
    </xf>
    <xf numFmtId="1" fontId="79" fillId="101" borderId="50" applyAlignment="1" applyProtection="1" pivotButton="0" quotePrefix="0" xfId="1453">
      <alignment horizontal="center" vertical="center"/>
      <protection locked="1" hidden="1"/>
    </xf>
    <xf numFmtId="0" fontId="153" fillId="0" borderId="39" pivotButton="0" quotePrefix="0" xfId="0"/>
    <xf numFmtId="9" fontId="153" fillId="0" borderId="36" pivotButton="0" quotePrefix="0" xfId="0"/>
    <xf numFmtId="0" fontId="153" fillId="0" borderId="46" pivotButton="0" quotePrefix="0" xfId="0"/>
    <xf numFmtId="9" fontId="153" fillId="0" borderId="37" pivotButton="0" quotePrefix="0" xfId="0"/>
    <xf numFmtId="0" fontId="0" fillId="0" borderId="0" applyAlignment="1" pivotButton="0" quotePrefix="0" xfId="0">
      <alignment horizontal="left" vertical="top" wrapText="1"/>
    </xf>
    <xf numFmtId="0" fontId="179" fillId="0" borderId="0" applyAlignment="1" pivotButton="0" quotePrefix="0" xfId="0">
      <alignment horizontal="center" vertical="center"/>
    </xf>
    <xf numFmtId="0" fontId="79" fillId="101" borderId="56" applyAlignment="1" applyProtection="1" pivotButton="0" quotePrefix="0" xfId="0">
      <alignment horizontal="center" vertical="center" wrapText="1"/>
      <protection locked="1" hidden="1"/>
    </xf>
    <xf numFmtId="0" fontId="79" fillId="101" borderId="57" applyAlignment="1" applyProtection="1" pivotButton="0" quotePrefix="0" xfId="0">
      <alignment horizontal="center" vertical="center" wrapText="1"/>
      <protection locked="1" hidden="1"/>
    </xf>
    <xf numFmtId="0" fontId="79" fillId="101" borderId="58" applyAlignment="1" applyProtection="1" pivotButton="0" quotePrefix="0" xfId="0">
      <alignment horizontal="center" vertical="center" wrapText="1"/>
      <protection locked="1" hidden="1"/>
    </xf>
    <xf numFmtId="0" fontId="79" fillId="100" borderId="59" applyAlignment="1" applyProtection="1" pivotButton="0" quotePrefix="0" xfId="1333">
      <alignment horizontal="right" vertical="center"/>
      <protection locked="1" hidden="1"/>
    </xf>
    <xf numFmtId="0" fontId="79" fillId="100" borderId="51" applyAlignment="1" applyProtection="1" pivotButton="0" quotePrefix="0" xfId="1333">
      <alignment horizontal="right" vertical="center"/>
      <protection locked="1" hidden="1"/>
    </xf>
    <xf numFmtId="164" fontId="79" fillId="100" borderId="0" applyAlignment="1" pivotButton="0" quotePrefix="0" xfId="1333">
      <alignment horizontal="right" vertical="center"/>
    </xf>
    <xf numFmtId="0" fontId="176" fillId="0" borderId="0" applyAlignment="1" applyProtection="1" pivotButton="0" quotePrefix="0" xfId="0">
      <alignment vertical="center"/>
      <protection locked="0" hidden="0"/>
    </xf>
    <xf numFmtId="0" fontId="114" fillId="0" borderId="0" pivotButton="0" quotePrefix="0" xfId="0"/>
    <xf numFmtId="1" fontId="153" fillId="0" borderId="0" applyAlignment="1" applyProtection="1" pivotButton="0" quotePrefix="0" xfId="0">
      <alignment vertical="center"/>
      <protection locked="1" hidden="1"/>
    </xf>
    <xf numFmtId="0" fontId="81" fillId="0" borderId="0" applyAlignment="1" applyProtection="1" pivotButton="0" quotePrefix="0" xfId="0">
      <alignment vertical="center"/>
      <protection locked="0" hidden="0"/>
    </xf>
    <xf numFmtId="0" fontId="114" fillId="100" borderId="0" pivotButton="0" quotePrefix="0" xfId="0"/>
    <xf numFmtId="9" fontId="180" fillId="100" borderId="0" pivotButton="0" quotePrefix="0" xfId="1425"/>
    <xf numFmtId="0" fontId="114" fillId="100" borderId="0" applyProtection="1" pivotButton="0" quotePrefix="0" xfId="0">
      <protection locked="1" hidden="1"/>
    </xf>
    <xf numFmtId="9" fontId="180" fillId="100" borderId="0" applyProtection="1" pivotButton="0" quotePrefix="0" xfId="1425">
      <protection locked="1" hidden="1"/>
    </xf>
    <xf numFmtId="0" fontId="114" fillId="0" borderId="0" applyProtection="1" pivotButton="0" quotePrefix="0" xfId="0">
      <protection locked="1" hidden="1"/>
    </xf>
    <xf numFmtId="0" fontId="114" fillId="0" borderId="0" applyAlignment="1" applyProtection="1" pivotButton="0" quotePrefix="0" xfId="0">
      <alignment vertical="center"/>
      <protection locked="1" hidden="1"/>
    </xf>
    <xf numFmtId="0" fontId="176" fillId="0" borderId="0" applyAlignment="1" pivotButton="0" quotePrefix="0" xfId="0">
      <alignment vertical="center"/>
    </xf>
    <xf numFmtId="0" fontId="176" fillId="100" borderId="0" applyAlignment="1" pivotButton="0" quotePrefix="0" xfId="0">
      <alignment vertical="center"/>
    </xf>
    <xf numFmtId="9" fontId="176" fillId="100" borderId="0" applyAlignment="1" pivotButton="0" quotePrefix="0" xfId="1425">
      <alignment vertical="center"/>
    </xf>
    <xf numFmtId="9" fontId="114" fillId="0" borderId="0" pivotButton="0" quotePrefix="0" xfId="1414"/>
    <xf numFmtId="9" fontId="176" fillId="100" borderId="0" applyAlignment="1" pivotButton="0" quotePrefix="0" xfId="0">
      <alignment vertical="center"/>
    </xf>
    <xf numFmtId="0" fontId="176" fillId="0" borderId="0" applyAlignment="1" applyProtection="1" pivotButton="0" quotePrefix="0" xfId="0">
      <alignment vertical="center"/>
      <protection locked="1" hidden="1"/>
    </xf>
    <xf numFmtId="0" fontId="177" fillId="0" borderId="0" applyAlignment="1" applyProtection="1" pivotButton="0" quotePrefix="0" xfId="0">
      <alignment vertical="center"/>
      <protection locked="1" hidden="1"/>
    </xf>
    <xf numFmtId="0" fontId="90" fillId="100" borderId="0" applyAlignment="1" applyProtection="1" pivotButton="0" quotePrefix="0" xfId="0">
      <alignment vertical="center"/>
      <protection locked="1" hidden="1"/>
    </xf>
    <xf numFmtId="9" fontId="155" fillId="100" borderId="7" applyAlignment="1" applyProtection="1" pivotButton="0" quotePrefix="0" xfId="0">
      <alignment horizontal="center" vertical="center"/>
      <protection locked="1" hidden="1"/>
    </xf>
    <xf numFmtId="3" fontId="155" fillId="100" borderId="7" applyAlignment="1" applyProtection="1" pivotButton="0" quotePrefix="0" xfId="0">
      <alignment horizontal="right" vertical="center"/>
      <protection locked="1" hidden="1"/>
    </xf>
    <xf numFmtId="172" fontId="155" fillId="100" borderId="7" applyAlignment="1" applyProtection="1" pivotButton="0" quotePrefix="0" xfId="871">
      <alignment horizontal="center" vertical="center"/>
      <protection locked="1" hidden="1"/>
    </xf>
    <xf numFmtId="15" fontId="155" fillId="0" borderId="7" applyAlignment="1" applyProtection="1" pivotButton="0" quotePrefix="0" xfId="0">
      <alignment vertical="center" wrapText="1"/>
      <protection locked="1" hidden="1"/>
    </xf>
    <xf numFmtId="0" fontId="178" fillId="0" borderId="40" applyAlignment="1" pivotButton="0" quotePrefix="0" xfId="0">
      <alignment vertical="center"/>
    </xf>
    <xf numFmtId="0" fontId="178" fillId="0" borderId="41" applyAlignment="1" pivotButton="0" quotePrefix="0" xfId="0">
      <alignment vertical="center"/>
    </xf>
    <xf numFmtId="15" fontId="81" fillId="0" borderId="49" applyAlignment="1" applyProtection="1" pivotButton="0" quotePrefix="0" xfId="0">
      <alignment vertical="center" wrapText="1"/>
      <protection locked="1" hidden="1"/>
    </xf>
    <xf numFmtId="1" fontId="96" fillId="0" borderId="60" applyAlignment="1" pivotButton="0" quotePrefix="0" xfId="869">
      <alignment horizontal="center" vertical="center" wrapText="1"/>
    </xf>
    <xf numFmtId="176" fontId="81" fillId="100" borderId="60" applyAlignment="1" applyProtection="1" pivotButton="0" quotePrefix="0" xfId="0">
      <alignment horizontal="center" vertical="center"/>
      <protection locked="1" hidden="1"/>
    </xf>
    <xf numFmtId="9" fontId="0" fillId="0" borderId="60" applyAlignment="1" pivotButton="0" quotePrefix="0" xfId="0">
      <alignment horizontal="center" vertical="center"/>
    </xf>
    <xf numFmtId="9" fontId="81" fillId="100" borderId="60" applyAlignment="1" applyProtection="1" pivotButton="0" quotePrefix="0" xfId="0">
      <alignment horizontal="center" vertical="center"/>
      <protection locked="1" hidden="1"/>
    </xf>
    <xf numFmtId="10" fontId="89" fillId="100" borderId="60" applyAlignment="1" applyProtection="1" pivotButton="0" quotePrefix="0" xfId="0">
      <alignment horizontal="center" vertical="center"/>
      <protection locked="1" hidden="1"/>
    </xf>
    <xf numFmtId="0" fontId="81" fillId="0" borderId="0" applyAlignment="1" pivotButton="0" quotePrefix="0" xfId="1333">
      <alignment vertical="center"/>
    </xf>
    <xf numFmtId="0" fontId="81" fillId="0" borderId="0" applyAlignment="1" pivotButton="0" quotePrefix="0" xfId="1333">
      <alignment horizontal="right" vertical="center"/>
    </xf>
    <xf numFmtId="3" fontId="81" fillId="0" borderId="0" applyAlignment="1" pivotButton="0" quotePrefix="0" xfId="1333">
      <alignment horizontal="left" vertical="center"/>
    </xf>
    <xf numFmtId="164" fontId="155" fillId="0" borderId="0" applyAlignment="1" pivotButton="0" quotePrefix="0" xfId="1333">
      <alignment vertical="center"/>
    </xf>
    <xf numFmtId="169" fontId="128" fillId="0" borderId="37" applyAlignment="1" pivotButton="0" quotePrefix="0" xfId="0">
      <alignment horizontal="center"/>
    </xf>
    <xf numFmtId="169" fontId="128" fillId="0" borderId="38" applyAlignment="1" pivotButton="0" quotePrefix="0" xfId="0">
      <alignment horizontal="center"/>
    </xf>
    <xf numFmtId="169" fontId="128" fillId="0" borderId="7" applyAlignment="1" pivotButton="0" quotePrefix="0" xfId="871">
      <alignment vertical="center"/>
    </xf>
    <xf numFmtId="0" fontId="164" fillId="0" borderId="0" applyAlignment="1" pivotButton="0" quotePrefix="0" xfId="0">
      <alignment horizontal="center" vertical="center"/>
    </xf>
    <xf numFmtId="9" fontId="164" fillId="0" borderId="0" applyAlignment="1" pivotButton="0" quotePrefix="0" xfId="0">
      <alignment horizontal="center" vertical="center"/>
    </xf>
    <xf numFmtId="0" fontId="90" fillId="0" borderId="0" applyAlignment="1" applyProtection="1" pivotButton="0" quotePrefix="0" xfId="0">
      <alignment vertical="center"/>
      <protection locked="1" hidden="1"/>
    </xf>
    <xf numFmtId="0" fontId="176" fillId="0" borderId="0" applyAlignment="1" applyProtection="1" pivotButton="0" quotePrefix="0" xfId="0">
      <alignment horizontal="right" vertical="center"/>
      <protection locked="0" hidden="0"/>
    </xf>
    <xf numFmtId="9" fontId="177" fillId="0" borderId="0" applyAlignment="1" applyProtection="1" pivotButton="0" quotePrefix="0" xfId="1425">
      <alignment horizontal="left" vertical="center" wrapText="1"/>
      <protection locked="0" hidden="0"/>
    </xf>
    <xf numFmtId="9" fontId="176" fillId="0" borderId="0" applyAlignment="1" pivotButton="0" quotePrefix="0" xfId="1425">
      <alignment vertical="center"/>
    </xf>
    <xf numFmtId="0" fontId="79" fillId="105" borderId="37" applyAlignment="1" pivotButton="0" quotePrefix="0" xfId="1333">
      <alignment horizontal="center" vertical="center"/>
    </xf>
    <xf numFmtId="0" fontId="178" fillId="0" borderId="39" applyAlignment="1" pivotButton="0" quotePrefix="0" xfId="0">
      <alignment vertical="center"/>
    </xf>
    <xf numFmtId="0" fontId="153" fillId="0" borderId="28" applyAlignment="1" pivotButton="0" quotePrefix="0" xfId="0">
      <alignment horizontal="left"/>
    </xf>
    <xf numFmtId="1" fontId="96" fillId="0" borderId="28" applyAlignment="1" pivotButton="0" quotePrefix="0" xfId="869">
      <alignment horizontal="center" vertical="center" wrapText="1"/>
    </xf>
    <xf numFmtId="176" fontId="81" fillId="100" borderId="28" applyAlignment="1" applyProtection="1" pivotButton="0" quotePrefix="0" xfId="0">
      <alignment horizontal="center" vertical="center"/>
      <protection locked="1" hidden="1"/>
    </xf>
    <xf numFmtId="9" fontId="0" fillId="0" borderId="28" applyAlignment="1" pivotButton="0" quotePrefix="0" xfId="0">
      <alignment horizontal="center" vertical="center"/>
    </xf>
    <xf numFmtId="10" fontId="89" fillId="100" borderId="28" applyAlignment="1" applyProtection="1" pivotButton="0" quotePrefix="0" xfId="0">
      <alignment horizontal="center" vertical="center"/>
      <protection locked="1" hidden="1"/>
    </xf>
    <xf numFmtId="168" fontId="81" fillId="100" borderId="36" applyAlignment="1" applyProtection="1" pivotButton="0" quotePrefix="0" xfId="0">
      <alignment horizontal="center" vertical="center"/>
      <protection locked="1" hidden="1"/>
    </xf>
    <xf numFmtId="179" fontId="0" fillId="0" borderId="7" applyAlignment="1" pivotButton="0" quotePrefix="0" xfId="0">
      <alignment horizontal="center" vertical="center"/>
    </xf>
    <xf numFmtId="168" fontId="81" fillId="100" borderId="61" applyAlignment="1" applyProtection="1" pivotButton="0" quotePrefix="0" xfId="938">
      <alignment horizontal="center" vertical="center"/>
      <protection locked="1" hidden="1"/>
    </xf>
    <xf numFmtId="170" fontId="81" fillId="100" borderId="47" applyAlignment="1" applyProtection="1" pivotButton="0" quotePrefix="0" xfId="0">
      <alignment horizontal="center" vertical="center"/>
      <protection locked="1" hidden="1"/>
    </xf>
    <xf numFmtId="0" fontId="182" fillId="0" borderId="7" applyAlignment="1" pivotButton="0" quotePrefix="0" xfId="0">
      <alignment horizontal="left"/>
    </xf>
    <xf numFmtId="174" fontId="81" fillId="100" borderId="47" applyAlignment="1" applyProtection="1" pivotButton="0" quotePrefix="0" xfId="0">
      <alignment horizontal="center" vertical="center"/>
      <protection locked="1" hidden="1"/>
    </xf>
    <xf numFmtId="174" fontId="81" fillId="100" borderId="7" applyAlignment="1" applyProtection="1" pivotButton="0" quotePrefix="0" xfId="0">
      <alignment horizontal="center" vertical="center"/>
      <protection locked="1" hidden="1"/>
    </xf>
    <xf numFmtId="180" fontId="81" fillId="100" borderId="47" applyAlignment="1" applyProtection="1" pivotButton="0" quotePrefix="0" xfId="0">
      <alignment horizontal="center" vertical="center"/>
      <protection locked="1" hidden="1"/>
    </xf>
    <xf numFmtId="174" fontId="81" fillId="100" borderId="60" applyAlignment="1" applyProtection="1" pivotButton="0" quotePrefix="0" xfId="0">
      <alignment horizontal="center" vertical="center"/>
      <protection locked="1" hidden="1"/>
    </xf>
    <xf numFmtId="174" fontId="81" fillId="100" borderId="28" applyAlignment="1" applyProtection="1" pivotButton="0" quotePrefix="0" xfId="0">
      <alignment horizontal="center" vertical="center"/>
      <protection locked="1" hidden="1"/>
    </xf>
    <xf numFmtId="15" fontId="120" fillId="108" borderId="7" applyAlignment="1" applyProtection="1" pivotButton="0" quotePrefix="0" xfId="866">
      <alignment horizontal="center" vertical="center" wrapText="1"/>
      <protection locked="1" hidden="1"/>
    </xf>
    <xf numFmtId="0" fontId="120" fillId="100" borderId="35" applyAlignment="1" pivotButton="0" quotePrefix="0" xfId="866">
      <alignment horizontal="center" vertical="center"/>
    </xf>
    <xf numFmtId="176" fontId="81" fillId="100" borderId="7" applyAlignment="1" applyProtection="1" pivotButton="0" quotePrefix="0" xfId="938">
      <alignment horizontal="center" vertical="center"/>
      <protection locked="1" hidden="1"/>
    </xf>
    <xf numFmtId="0" fontId="114" fillId="0" borderId="0" applyAlignment="1" pivotButton="0" quotePrefix="0" xfId="0">
      <alignment horizontal="center" vertical="center"/>
    </xf>
    <xf numFmtId="176" fontId="81" fillId="100" borderId="47" applyAlignment="1" applyProtection="1" pivotButton="0" quotePrefix="0" xfId="938">
      <alignment horizontal="center" vertical="center"/>
      <protection locked="1" hidden="1"/>
    </xf>
    <xf numFmtId="1" fontId="179" fillId="0" borderId="0" applyAlignment="1" pivotButton="0" quotePrefix="0" xfId="0">
      <alignment horizontal="center" vertical="center"/>
    </xf>
    <xf numFmtId="0" fontId="88" fillId="101" borderId="57" applyAlignment="1" applyProtection="1" pivotButton="0" quotePrefix="0" xfId="0">
      <alignment horizontal="center" vertical="center" wrapText="1"/>
      <protection locked="1" hidden="1"/>
    </xf>
    <xf numFmtId="180" fontId="81" fillId="100" borderId="28" applyAlignment="1" applyProtection="1" pivotButton="0" quotePrefix="0" xfId="0">
      <alignment horizontal="center" vertical="center"/>
      <protection locked="1" hidden="1"/>
    </xf>
    <xf numFmtId="168" fontId="81" fillId="100" borderId="37" applyAlignment="1" applyProtection="1" pivotButton="0" quotePrefix="0" xfId="0">
      <alignment horizontal="center" vertical="center"/>
      <protection locked="1" hidden="1"/>
    </xf>
    <xf numFmtId="168" fontId="81" fillId="100" borderId="38" applyAlignment="1" applyProtection="1" pivotButton="0" quotePrefix="0" xfId="0">
      <alignment horizontal="center" vertical="center"/>
      <protection locked="1" hidden="1"/>
    </xf>
    <xf numFmtId="1" fontId="81" fillId="100" borderId="49" applyAlignment="1" applyProtection="1" pivotButton="0" quotePrefix="0" xfId="0">
      <alignment horizontal="center" vertical="center" wrapText="1"/>
      <protection locked="1" hidden="1"/>
    </xf>
    <xf numFmtId="0" fontId="183" fillId="0" borderId="0" applyAlignment="1" pivotButton="0" quotePrefix="0" xfId="0">
      <alignment horizontal="center" wrapText="1"/>
    </xf>
    <xf numFmtId="0" fontId="134" fillId="0" borderId="0" applyAlignment="1" pivotButton="0" quotePrefix="0" xfId="0">
      <alignment horizontal="center" vertical="center"/>
    </xf>
    <xf numFmtId="0" fontId="134" fillId="0" borderId="0" applyAlignment="1" pivotButton="0" quotePrefix="0" xfId="0">
      <alignment horizontal="center"/>
    </xf>
    <xf numFmtId="0" fontId="142" fillId="0" borderId="0" applyAlignment="1" pivotButton="0" quotePrefix="0" xfId="0">
      <alignment horizontal="center" vertical="center"/>
    </xf>
    <xf numFmtId="0" fontId="184" fillId="0" borderId="0" applyAlignment="1" pivotButton="0" quotePrefix="0" xfId="0">
      <alignment horizontal="center" vertical="center" wrapText="1"/>
    </xf>
    <xf numFmtId="15" fontId="81" fillId="0" borderId="47" applyAlignment="1" applyProtection="1" pivotButton="0" quotePrefix="0" xfId="0">
      <alignment vertical="center" wrapText="1"/>
      <protection locked="1" hidden="1"/>
    </xf>
    <xf numFmtId="0" fontId="153" fillId="0" borderId="47" applyAlignment="1" pivotButton="0" quotePrefix="0" xfId="0">
      <alignment horizontal="center" vertical="center" wrapText="1"/>
    </xf>
    <xf numFmtId="0" fontId="161" fillId="0" borderId="47" applyAlignment="1" pivotButton="0" quotePrefix="0" xfId="0">
      <alignment horizontal="center"/>
    </xf>
    <xf numFmtId="49" fontId="153" fillId="0" borderId="0" applyAlignment="1" pivotButton="0" quotePrefix="0" xfId="0">
      <alignment horizontal="center" wrapText="1"/>
    </xf>
    <xf numFmtId="49" fontId="153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161" fillId="0" borderId="47" applyAlignment="1" pivotButton="0" quotePrefix="0" xfId="0">
      <alignment horizontal="left"/>
    </xf>
    <xf numFmtId="0" fontId="185" fillId="0" borderId="0" applyAlignment="1" pivotButton="0" quotePrefix="0" xfId="0">
      <alignment horizontal="left" wrapText="1"/>
    </xf>
    <xf numFmtId="0" fontId="14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0" fontId="158" fillId="101" borderId="37" applyAlignment="1" applyProtection="1" pivotButton="0" quotePrefix="0" xfId="1425">
      <alignment horizontal="center" vertical="center"/>
      <protection locked="1" hidden="1"/>
    </xf>
    <xf numFmtId="0" fontId="161" fillId="0" borderId="47" applyAlignment="1" pivotButton="0" quotePrefix="0" xfId="0">
      <alignment horizontal="left" wrapText="1"/>
    </xf>
    <xf numFmtId="0" fontId="134" fillId="0" borderId="7" applyAlignment="1" pivotButton="0" quotePrefix="0" xfId="0">
      <alignment horizontal="left" vertical="center"/>
    </xf>
    <xf numFmtId="3" fontId="154" fillId="100" borderId="7" applyAlignment="1" applyProtection="1" pivotButton="0" quotePrefix="0" xfId="0">
      <alignment vertical="center"/>
      <protection locked="1" hidden="1"/>
    </xf>
    <xf numFmtId="0" fontId="153" fillId="0" borderId="51" applyAlignment="1" pivotButton="0" quotePrefix="0" xfId="0">
      <alignment horizontal="center" wrapText="1"/>
    </xf>
    <xf numFmtId="0" fontId="153" fillId="0" borderId="7" applyAlignment="1" pivotButton="0" quotePrefix="0" xfId="0">
      <alignment wrapText="1"/>
    </xf>
    <xf numFmtId="0" fontId="153" fillId="0" borderId="47" applyAlignment="1" pivotButton="0" quotePrefix="0" xfId="0">
      <alignment horizontal="center" wrapText="1"/>
    </xf>
    <xf numFmtId="172" fontId="154" fillId="100" borderId="37" applyAlignment="1" applyProtection="1" pivotButton="0" quotePrefix="0" xfId="871">
      <alignment horizontal="center" vertical="center"/>
      <protection locked="1" hidden="1"/>
    </xf>
    <xf numFmtId="1" fontId="120" fillId="0" borderId="46" applyAlignment="1" applyProtection="1" pivotButton="0" quotePrefix="0" xfId="866">
      <alignment horizontal="center" vertical="center"/>
      <protection locked="1" hidden="1"/>
    </xf>
    <xf numFmtId="0" fontId="134" fillId="0" borderId="7" applyAlignment="1" pivotButton="0" quotePrefix="0" xfId="0">
      <alignment horizontal="left" vertical="center" wrapText="1"/>
    </xf>
    <xf numFmtId="0" fontId="153" fillId="0" borderId="64" applyAlignment="1" pivotButton="0" quotePrefix="0" xfId="0">
      <alignment horizontal="center"/>
    </xf>
    <xf numFmtId="0" fontId="161" fillId="0" borderId="7" pivotButton="0" quotePrefix="0" xfId="0"/>
    <xf numFmtId="0" fontId="153" fillId="0" borderId="7" applyAlignment="1" pivotButton="0" quotePrefix="0" xfId="0">
      <alignment horizontal="center" vertical="center" wrapText="1"/>
    </xf>
    <xf numFmtId="0" fontId="79" fillId="100" borderId="7" applyAlignment="1" applyProtection="1" pivotButton="0" quotePrefix="0" xfId="1333">
      <alignment horizontal="right" vertical="center"/>
      <protection locked="1" hidden="1"/>
    </xf>
    <xf numFmtId="164" fontId="79" fillId="100" borderId="28" applyAlignment="1" applyProtection="1" pivotButton="0" quotePrefix="0" xfId="1333">
      <alignment horizontal="right" vertical="center"/>
      <protection locked="1" hidden="1"/>
    </xf>
    <xf numFmtId="0" fontId="79" fillId="100" borderId="0" applyAlignment="1" applyProtection="1" pivotButton="0" quotePrefix="0" xfId="1333">
      <alignment horizontal="right" vertical="center"/>
      <protection locked="1" hidden="1"/>
    </xf>
    <xf numFmtId="0" fontId="79" fillId="100" borderId="0" applyAlignment="1" applyProtection="1" pivotButton="0" quotePrefix="0" xfId="1333">
      <alignment horizontal="center" vertical="center"/>
      <protection locked="1" hidden="1"/>
    </xf>
    <xf numFmtId="3" fontId="79" fillId="101" borderId="38" applyAlignment="1" applyProtection="1" pivotButton="0" quotePrefix="0" xfId="1333">
      <alignment horizontal="center" vertical="center"/>
      <protection locked="1" hidden="1"/>
    </xf>
    <xf numFmtId="0" fontId="158" fillId="100" borderId="67" applyAlignment="1" pivotButton="0" quotePrefix="0" xfId="0">
      <alignment vertical="center"/>
    </xf>
    <xf numFmtId="0" fontId="158" fillId="100" borderId="51" applyAlignment="1" applyProtection="1" pivotButton="0" quotePrefix="0" xfId="0">
      <alignment vertical="center"/>
      <protection locked="1" hidden="1"/>
    </xf>
    <xf numFmtId="0" fontId="79" fillId="101" borderId="36" applyAlignment="1" applyProtection="1" pivotButton="0" quotePrefix="0" xfId="1333">
      <alignment horizontal="center" vertical="center"/>
      <protection locked="0" hidden="0"/>
    </xf>
    <xf numFmtId="0" fontId="79" fillId="101" borderId="37" applyAlignment="1" applyProtection="1" pivotButton="0" quotePrefix="0" xfId="1333">
      <alignment horizontal="center" vertical="center"/>
      <protection locked="0" hidden="0"/>
    </xf>
    <xf numFmtId="1" fontId="79" fillId="101" borderId="37" applyAlignment="1" applyProtection="1" pivotButton="0" quotePrefix="0" xfId="1333">
      <alignment horizontal="center" vertical="center" wrapText="1"/>
      <protection locked="0" hidden="0"/>
    </xf>
    <xf numFmtId="1" fontId="120" fillId="100" borderId="37" applyAlignment="1" applyProtection="1" pivotButton="0" quotePrefix="0" xfId="866">
      <alignment horizontal="center" vertical="center" wrapText="1"/>
      <protection locked="0" hidden="0"/>
    </xf>
    <xf numFmtId="172" fontId="79" fillId="101" borderId="37" applyAlignment="1" applyProtection="1" pivotButton="0" quotePrefix="0" xfId="1333">
      <alignment horizontal="center" vertical="center"/>
      <protection locked="1" hidden="1"/>
    </xf>
    <xf numFmtId="172" fontId="79" fillId="101" borderId="38" applyAlignment="1" applyProtection="1" pivotButton="0" quotePrefix="0" xfId="1333">
      <alignment horizontal="center" vertical="center"/>
      <protection locked="1" hidden="1"/>
    </xf>
    <xf numFmtId="0" fontId="184" fillId="0" borderId="0" applyAlignment="1" pivotButton="0" quotePrefix="0" xfId="0">
      <alignment wrapText="1"/>
    </xf>
    <xf numFmtId="170" fontId="114" fillId="0" borderId="0" applyAlignment="1" pivotButton="0" quotePrefix="0" xfId="1414">
      <alignment horizontal="center" vertical="center"/>
    </xf>
    <xf numFmtId="0" fontId="184" fillId="0" borderId="0" applyAlignment="1" pivotButton="0" quotePrefix="0" xfId="0">
      <alignment wrapText="1" shrinkToFit="1"/>
    </xf>
    <xf numFmtId="0" fontId="153" fillId="0" borderId="47" applyAlignment="1" pivotButton="0" quotePrefix="0" xfId="0">
      <alignment horizontal="center" vertical="center"/>
    </xf>
    <xf numFmtId="0" fontId="134" fillId="0" borderId="47" applyAlignment="1" pivotButton="0" quotePrefix="0" xfId="0">
      <alignment horizontal="left" vertical="center"/>
    </xf>
    <xf numFmtId="0" fontId="161" fillId="0" borderId="7" applyAlignment="1" pivotButton="0" quotePrefix="0" xfId="0">
      <alignment horizontal="left"/>
    </xf>
    <xf numFmtId="0" fontId="134" fillId="0" borderId="47" applyAlignment="1" pivotButton="0" quotePrefix="0" xfId="0">
      <alignment vertical="center"/>
    </xf>
    <xf numFmtId="0" fontId="134" fillId="0" borderId="47" applyAlignment="1" pivotButton="0" quotePrefix="0" xfId="0">
      <alignment horizontal="left" vertical="center" wrapText="1"/>
    </xf>
    <xf numFmtId="1" fontId="120" fillId="0" borderId="46" applyAlignment="1" applyProtection="1" pivotButton="0" quotePrefix="0" xfId="866">
      <alignment horizontal="center" vertical="center" wrapText="1"/>
      <protection locked="1" hidden="1"/>
    </xf>
    <xf numFmtId="0" fontId="120" fillId="0" borderId="46" applyAlignment="1" pivotButton="0" quotePrefix="0" xfId="866">
      <alignment horizontal="center" vertical="center"/>
    </xf>
    <xf numFmtId="1" fontId="190" fillId="0" borderId="46" applyAlignment="1" applyProtection="1" pivotButton="0" quotePrefix="0" xfId="866">
      <alignment horizontal="center" vertical="center"/>
      <protection locked="1" hidden="1"/>
    </xf>
    <xf numFmtId="0" fontId="81" fillId="100" borderId="0" applyAlignment="1" applyProtection="1" pivotButton="0" quotePrefix="0" xfId="0">
      <alignment horizontal="right"/>
      <protection locked="1" hidden="1"/>
    </xf>
    <xf numFmtId="167" fontId="81" fillId="0" borderId="49" applyAlignment="1" applyProtection="1" pivotButton="0" quotePrefix="0" xfId="0">
      <alignment horizontal="center" vertical="center"/>
      <protection locked="1" hidden="1"/>
    </xf>
    <xf numFmtId="15" fontId="81" fillId="0" borderId="28" applyAlignment="1" applyProtection="1" pivotButton="0" quotePrefix="0" xfId="0">
      <alignment vertical="center" wrapText="1"/>
      <protection locked="1" hidden="1"/>
    </xf>
    <xf numFmtId="1" fontId="81" fillId="100" borderId="28" applyAlignment="1" applyProtection="1" pivotButton="0" quotePrefix="0" xfId="0">
      <alignment horizontal="center" vertical="center" wrapText="1"/>
      <protection locked="1" hidden="1"/>
    </xf>
    <xf numFmtId="172" fontId="81" fillId="100" borderId="28" applyAlignment="1" applyProtection="1" pivotButton="0" quotePrefix="0" xfId="871">
      <alignment horizontal="center" vertical="center"/>
      <protection locked="1" hidden="1"/>
    </xf>
    <xf numFmtId="172" fontId="81" fillId="100" borderId="49" applyAlignment="1" applyProtection="1" pivotButton="0" quotePrefix="0" xfId="871">
      <alignment horizontal="center" vertical="center"/>
      <protection locked="1" hidden="1"/>
    </xf>
    <xf numFmtId="9" fontId="81" fillId="100" borderId="49" applyAlignment="1" applyProtection="1" pivotButton="0" quotePrefix="0" xfId="0">
      <alignment horizontal="center" vertical="center"/>
      <protection locked="1" hidden="1"/>
    </xf>
    <xf numFmtId="172" fontId="154" fillId="100" borderId="36" applyAlignment="1" applyProtection="1" pivotButton="0" quotePrefix="0" xfId="871">
      <alignment horizontal="center" vertical="center"/>
      <protection locked="1" hidden="1"/>
    </xf>
    <xf numFmtId="3" fontId="154" fillId="100" borderId="28" applyAlignment="1" applyProtection="1" pivotButton="0" quotePrefix="0" xfId="0">
      <alignment vertical="center"/>
      <protection locked="1" hidden="1"/>
    </xf>
    <xf numFmtId="1" fontId="81" fillId="100" borderId="39" applyAlignment="1" applyProtection="1" pivotButton="0" quotePrefix="0" xfId="0">
      <alignment horizontal="center" vertical="center"/>
      <protection locked="1" hidden="1"/>
    </xf>
    <xf numFmtId="0" fontId="120" fillId="100" borderId="28" applyAlignment="1" pivotButton="0" quotePrefix="0" xfId="866">
      <alignment horizontal="center" vertical="center"/>
    </xf>
    <xf numFmtId="10" fontId="81" fillId="100" borderId="28" applyAlignment="1" applyProtection="1" pivotButton="0" quotePrefix="0" xfId="0">
      <alignment horizontal="center" vertical="center"/>
      <protection locked="1" hidden="1"/>
    </xf>
    <xf numFmtId="172" fontId="81" fillId="100" borderId="28" applyAlignment="1" applyProtection="1" pivotButton="0" quotePrefix="0" xfId="0">
      <alignment horizontal="center" vertical="center"/>
      <protection locked="1" hidden="1"/>
    </xf>
    <xf numFmtId="0" fontId="175" fillId="100" borderId="36" applyAlignment="1" pivotButton="0" quotePrefix="0" xfId="866">
      <alignment horizontal="center" vertical="center"/>
    </xf>
    <xf numFmtId="0" fontId="120" fillId="100" borderId="37" applyAlignment="1" pivotButton="0" quotePrefix="0" xfId="866">
      <alignment horizontal="center" vertical="center"/>
    </xf>
    <xf numFmtId="1" fontId="81" fillId="100" borderId="48" applyAlignment="1" applyProtection="1" pivotButton="0" quotePrefix="0" xfId="0">
      <alignment horizontal="center" vertical="center"/>
      <protection locked="1" hidden="1"/>
    </xf>
    <xf numFmtId="0" fontId="120" fillId="100" borderId="49" applyAlignment="1" pivotButton="0" quotePrefix="0" xfId="866">
      <alignment horizontal="center" vertical="center"/>
    </xf>
    <xf numFmtId="10" fontId="81" fillId="100" borderId="49" applyAlignment="1" applyProtection="1" pivotButton="0" quotePrefix="0" xfId="0">
      <alignment horizontal="center" vertical="center"/>
      <protection locked="1" hidden="1"/>
    </xf>
    <xf numFmtId="172" fontId="81" fillId="100" borderId="49" applyAlignment="1" applyProtection="1" pivotButton="0" quotePrefix="0" xfId="0">
      <alignment horizontal="center" vertical="center"/>
      <protection locked="1" hidden="1"/>
    </xf>
    <xf numFmtId="0" fontId="120" fillId="100" borderId="38" applyAlignment="1" pivotButton="0" quotePrefix="0" xfId="866">
      <alignment horizontal="center" vertical="center"/>
    </xf>
    <xf numFmtId="0" fontId="153" fillId="0" borderId="7" applyAlignment="1" applyProtection="1" pivotButton="0" quotePrefix="0" xfId="0">
      <alignment vertical="center"/>
      <protection locked="1" hidden="1"/>
    </xf>
    <xf numFmtId="0" fontId="79" fillId="101" borderId="85" applyAlignment="1" applyProtection="1" pivotButton="0" quotePrefix="0" xfId="0">
      <alignment horizontal="center" vertical="center" wrapText="1"/>
      <protection locked="1" hidden="1"/>
    </xf>
    <xf numFmtId="10" fontId="155" fillId="100" borderId="7" applyAlignment="1" applyProtection="1" pivotButton="0" quotePrefix="0" xfId="0">
      <alignment horizontal="center" vertical="center"/>
      <protection locked="1" hidden="1"/>
    </xf>
    <xf numFmtId="172" fontId="181" fillId="100" borderId="7" applyAlignment="1" applyProtection="1" pivotButton="0" quotePrefix="0" xfId="871">
      <alignment horizontal="center" vertical="center"/>
      <protection locked="1" hidden="1"/>
    </xf>
    <xf numFmtId="0" fontId="176" fillId="0" borderId="0" applyAlignment="1" pivotButton="0" quotePrefix="0" xfId="0">
      <alignment horizontal="right" vertical="center"/>
    </xf>
    <xf numFmtId="14" fontId="114" fillId="0" borderId="0" pivotButton="0" quotePrefix="0" xfId="0"/>
    <xf numFmtId="0" fontId="180" fillId="0" borderId="0" applyAlignment="1" pivotButton="0" quotePrefix="0" xfId="0">
      <alignment horizontal="center" vertical="center"/>
    </xf>
    <xf numFmtId="9" fontId="176" fillId="0" borderId="0" applyAlignment="1" pivotButton="0" quotePrefix="0" xfId="1414">
      <alignment vertical="center"/>
    </xf>
    <xf numFmtId="1" fontId="120" fillId="0" borderId="39" applyAlignment="1" applyProtection="1" pivotButton="0" quotePrefix="0" xfId="866">
      <alignment horizontal="center" vertical="center"/>
      <protection locked="1" hidden="1"/>
    </xf>
    <xf numFmtId="1" fontId="96" fillId="0" borderId="7" applyAlignment="1" pivotButton="0" quotePrefix="0" xfId="869">
      <alignment horizontal="center" vertical="center" wrapText="1"/>
    </xf>
    <xf numFmtId="168" fontId="81" fillId="100" borderId="50" applyAlignment="1" applyProtection="1" pivotButton="0" quotePrefix="0" xfId="0">
      <alignment horizontal="center" vertical="center"/>
      <protection locked="1" hidden="1"/>
    </xf>
    <xf numFmtId="0" fontId="153" fillId="0" borderId="60" applyAlignment="1" pivotButton="0" quotePrefix="0" xfId="0">
      <alignment horizontal="left"/>
    </xf>
    <xf numFmtId="1" fontId="96" fillId="0" borderId="49" applyAlignment="1" pivotButton="0" quotePrefix="0" xfId="869">
      <alignment horizontal="center" vertical="center" wrapText="1"/>
    </xf>
    <xf numFmtId="180" fontId="81" fillId="100" borderId="60" applyAlignment="1" applyProtection="1" pivotButton="0" quotePrefix="0" xfId="0">
      <alignment horizontal="center" vertical="center"/>
      <protection locked="1" hidden="1"/>
    </xf>
    <xf numFmtId="0" fontId="196" fillId="0" borderId="0" applyAlignment="1" pivotButton="0" quotePrefix="0" xfId="0">
      <alignment horizontal="right"/>
    </xf>
    <xf numFmtId="0" fontId="196" fillId="0" borderId="0" applyAlignment="1" pivotButton="0" quotePrefix="0" xfId="0">
      <alignment horizontal="center"/>
    </xf>
    <xf numFmtId="179" fontId="153" fillId="0" borderId="0" applyAlignment="1" pivotButton="0" quotePrefix="0" xfId="0">
      <alignment horizontal="center" vertical="center"/>
    </xf>
    <xf numFmtId="0" fontId="178" fillId="0" borderId="0" applyAlignment="1" pivotButton="0" quotePrefix="0" xfId="0">
      <alignment vertical="center"/>
    </xf>
    <xf numFmtId="0" fontId="153" fillId="0" borderId="0" applyAlignment="1" pivotButton="0" quotePrefix="0" xfId="0">
      <alignment horizontal="left"/>
    </xf>
    <xf numFmtId="176" fontId="81" fillId="100" borderId="0" applyAlignment="1" applyProtection="1" pivotButton="0" quotePrefix="0" xfId="938">
      <alignment horizontal="center" vertical="center"/>
      <protection locked="1" hidden="1"/>
    </xf>
    <xf numFmtId="168" fontId="81" fillId="100" borderId="0" applyAlignment="1" applyProtection="1" pivotButton="0" quotePrefix="0" xfId="938">
      <alignment horizontal="center" vertical="center"/>
      <protection locked="1" hidden="1"/>
    </xf>
    <xf numFmtId="9" fontId="81" fillId="100" borderId="0" applyAlignment="1" applyProtection="1" pivotButton="0" quotePrefix="0" xfId="0">
      <alignment horizontal="center" vertical="center"/>
      <protection locked="1" hidden="1"/>
    </xf>
    <xf numFmtId="10" fontId="81" fillId="100" borderId="0" applyAlignment="1" applyProtection="1" pivotButton="0" quotePrefix="0" xfId="0">
      <alignment horizontal="center" vertical="center"/>
      <protection locked="1" hidden="1"/>
    </xf>
    <xf numFmtId="174" fontId="81" fillId="100" borderId="0" applyAlignment="1" applyProtection="1" pivotButton="0" quotePrefix="0" xfId="0">
      <alignment horizontal="center" vertical="center"/>
      <protection locked="1" hidden="1"/>
    </xf>
    <xf numFmtId="168" fontId="154" fillId="100" borderId="0" applyAlignment="1" applyProtection="1" pivotButton="0" quotePrefix="0" xfId="0">
      <alignment horizontal="right" vertical="center"/>
      <protection locked="1" hidden="1"/>
    </xf>
    <xf numFmtId="0" fontId="153" fillId="0" borderId="48" pivotButton="0" quotePrefix="0" xfId="0"/>
    <xf numFmtId="9" fontId="153" fillId="0" borderId="38" pivotButton="0" quotePrefix="0" xfId="0"/>
    <xf numFmtId="0" fontId="81" fillId="0" borderId="7" applyAlignment="1" pivotButton="0" quotePrefix="0" xfId="0">
      <alignment horizontal="center" vertical="center" wrapText="1"/>
    </xf>
    <xf numFmtId="0" fontId="158" fillId="0" borderId="0" applyAlignment="1" applyProtection="1" pivotButton="0" quotePrefix="0" xfId="0">
      <alignment horizontal="center" vertical="center" wrapText="1"/>
      <protection locked="1" hidden="1"/>
    </xf>
    <xf numFmtId="174" fontId="153" fillId="0" borderId="0" applyAlignment="1" applyProtection="1" pivotButton="0" quotePrefix="0" xfId="938">
      <alignment vertical="center"/>
      <protection locked="1" hidden="1"/>
    </xf>
    <xf numFmtId="0" fontId="162" fillId="0" borderId="7" applyAlignment="1" pivotButton="0" quotePrefix="0" xfId="0">
      <alignment horizontal="center"/>
    </xf>
    <xf numFmtId="14" fontId="162" fillId="0" borderId="7" applyAlignment="1" pivotButton="0" quotePrefix="0" xfId="0">
      <alignment horizontal="center"/>
    </xf>
    <xf numFmtId="0" fontId="162" fillId="0" borderId="47" applyAlignment="1" pivotButton="0" quotePrefix="0" xfId="0">
      <alignment horizontal="center"/>
    </xf>
    <xf numFmtId="0" fontId="164" fillId="0" borderId="7" applyAlignment="1" pivotButton="0" quotePrefix="0" xfId="0">
      <alignment horizontal="center"/>
    </xf>
    <xf numFmtId="0" fontId="80" fillId="100" borderId="0" applyAlignment="1" pivotButton="0" quotePrefix="0" xfId="0">
      <alignment horizontal="center" vertical="center"/>
    </xf>
    <xf numFmtId="0" fontId="162" fillId="0" borderId="7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161" fillId="0" borderId="7" applyAlignment="1" pivotButton="0" quotePrefix="0" xfId="0">
      <alignment horizontal="center"/>
    </xf>
    <xf numFmtId="14" fontId="162" fillId="0" borderId="35" applyAlignment="1" pivotButton="0" quotePrefix="0" xfId="0">
      <alignment horizontal="center"/>
    </xf>
    <xf numFmtId="0" fontId="162" fillId="0" borderId="7" applyAlignment="1" pivotButton="0" quotePrefix="0" xfId="0">
      <alignment horizontal="center" vertical="center" wrapText="1"/>
    </xf>
    <xf numFmtId="0" fontId="199" fillId="100" borderId="0" applyAlignment="1" pivotButton="0" quotePrefix="0" xfId="1759">
      <alignment vertical="center"/>
    </xf>
    <xf numFmtId="0" fontId="113" fillId="100" borderId="0" pivotButton="0" quotePrefix="0" xfId="1759"/>
    <xf numFmtId="0" fontId="200" fillId="100" borderId="0" applyAlignment="1" pivotButton="0" quotePrefix="0" xfId="1759">
      <alignment vertical="center"/>
    </xf>
    <xf numFmtId="0" fontId="145" fillId="100" borderId="0" applyAlignment="1" pivotButton="0" quotePrefix="0" xfId="1759">
      <alignment horizontal="left" vertical="center" indent="4"/>
    </xf>
    <xf numFmtId="0" fontId="113" fillId="0" borderId="0" pivotButton="0" quotePrefix="0" xfId="1759"/>
    <xf numFmtId="0" fontId="113" fillId="0" borderId="0" applyAlignment="1" pivotButton="0" quotePrefix="0" xfId="1759">
      <alignment horizontal="left" vertical="top" indent="4"/>
    </xf>
    <xf numFmtId="0" fontId="113" fillId="0" borderId="0" applyAlignment="1" pivotButton="0" quotePrefix="0" xfId="1759">
      <alignment horizontal="left" vertical="center" indent="4"/>
    </xf>
    <xf numFmtId="0" fontId="203" fillId="0" borderId="0" applyAlignment="1" pivotButton="0" quotePrefix="0" xfId="1759">
      <alignment horizontal="left" vertical="center"/>
    </xf>
    <xf numFmtId="0" fontId="194" fillId="0" borderId="0" applyAlignment="1" pivotButton="0" quotePrefix="0" xfId="1759">
      <alignment horizontal="left" vertical="center" indent="4"/>
    </xf>
    <xf numFmtId="0" fontId="204" fillId="0" borderId="0" applyAlignment="1" pivotButton="0" quotePrefix="0" xfId="1759">
      <alignment vertical="center"/>
    </xf>
    <xf numFmtId="0" fontId="194" fillId="0" borderId="0" applyAlignment="1" pivotButton="0" quotePrefix="0" xfId="1759">
      <alignment vertical="center"/>
    </xf>
    <xf numFmtId="0" fontId="203" fillId="0" borderId="0" applyAlignment="1" pivotButton="0" quotePrefix="0" xfId="1759">
      <alignment horizontal="left" vertical="center" indent="4"/>
    </xf>
    <xf numFmtId="0" fontId="203" fillId="0" borderId="0" applyAlignment="1" pivotButton="0" quotePrefix="0" xfId="1759">
      <alignment vertical="center"/>
    </xf>
    <xf numFmtId="0" fontId="205" fillId="0" borderId="0" applyAlignment="1" pivotButton="0" quotePrefix="0" xfId="1759">
      <alignment horizontal="left" vertical="center"/>
    </xf>
    <xf numFmtId="0" fontId="206" fillId="0" borderId="0" applyAlignment="1" pivotButton="0" quotePrefix="0" xfId="1759">
      <alignment horizontal="left" vertical="center" indent="4"/>
    </xf>
    <xf numFmtId="0" fontId="207" fillId="0" borderId="0" applyAlignment="1" pivotButton="0" quotePrefix="0" xfId="866">
      <alignment horizontal="left" indent="4"/>
    </xf>
    <xf numFmtId="0" fontId="113" fillId="0" borderId="0" applyAlignment="1" pivotButton="0" quotePrefix="0" xfId="1759">
      <alignment vertical="center"/>
    </xf>
    <xf numFmtId="0" fontId="202" fillId="100" borderId="0" applyAlignment="1" pivotButton="0" quotePrefix="0" xfId="1759">
      <alignment horizontal="left" vertical="center" indent="1"/>
    </xf>
    <xf numFmtId="0" fontId="208" fillId="0" borderId="0" pivotButton="0" quotePrefix="0" xfId="866"/>
    <xf numFmtId="0" fontId="199" fillId="0" borderId="0" pivotButton="0" quotePrefix="0" xfId="1759"/>
    <xf numFmtId="0" fontId="113" fillId="0" borderId="0" applyAlignment="1" pivotButton="0" quotePrefix="0" xfId="1759">
      <alignment horizontal="left" vertical="center" indent="3"/>
    </xf>
    <xf numFmtId="0" fontId="184" fillId="0" borderId="0" applyAlignment="1" pivotButton="0" quotePrefix="0" xfId="0">
      <alignment horizontal="center" wrapText="1"/>
    </xf>
    <xf numFmtId="1" fontId="184" fillId="0" borderId="0" applyAlignment="1" pivotButton="0" quotePrefix="0" xfId="0">
      <alignment wrapText="1"/>
    </xf>
    <xf numFmtId="9" fontId="153" fillId="0" borderId="0" applyAlignment="1" applyProtection="1" pivotButton="0" quotePrefix="0" xfId="0">
      <alignment vertical="center"/>
      <protection locked="1" hidden="1"/>
    </xf>
    <xf numFmtId="0" fontId="81" fillId="0" borderId="0" applyAlignment="1" pivotButton="0" quotePrefix="0" xfId="0">
      <alignment horizontal="center" vertical="center"/>
    </xf>
    <xf numFmtId="0" fontId="81" fillId="0" borderId="0" applyAlignment="1" pivotButton="0" quotePrefix="0" xfId="0">
      <alignment vertical="center" wrapText="1"/>
    </xf>
    <xf numFmtId="0" fontId="79" fillId="106" borderId="56" applyAlignment="1" pivotButton="0" quotePrefix="0" xfId="0">
      <alignment horizontal="center" vertical="center"/>
    </xf>
    <xf numFmtId="0" fontId="197" fillId="101" borderId="7" applyAlignment="1" applyProtection="1" pivotButton="0" quotePrefix="0" xfId="0">
      <alignment horizontal="center" vertical="center" wrapText="1"/>
      <protection locked="1" hidden="1"/>
    </xf>
    <xf numFmtId="1" fontId="175" fillId="0" borderId="48" applyAlignment="1" applyProtection="1" pivotButton="0" quotePrefix="0" xfId="866">
      <alignment horizontal="center" vertical="center"/>
      <protection locked="1" hidden="1"/>
    </xf>
    <xf numFmtId="3" fontId="154" fillId="100" borderId="49" applyAlignment="1" applyProtection="1" pivotButton="0" quotePrefix="0" xfId="0">
      <alignment vertical="center"/>
      <protection locked="1" hidden="1"/>
    </xf>
    <xf numFmtId="172" fontId="154" fillId="100" borderId="38" applyAlignment="1" applyProtection="1" pivotButton="0" quotePrefix="0" xfId="871">
      <alignment horizontal="center" vertical="center"/>
      <protection locked="1" hidden="1"/>
    </xf>
    <xf numFmtId="0" fontId="120" fillId="0" borderId="0" applyAlignment="1" pivotButton="0" quotePrefix="0" xfId="866">
      <alignment vertical="center"/>
    </xf>
    <xf numFmtId="1" fontId="175" fillId="0" borderId="0" applyAlignment="1" applyProtection="1" pivotButton="0" quotePrefix="0" xfId="866">
      <alignment horizontal="center" vertical="center"/>
      <protection locked="1" hidden="1"/>
    </xf>
    <xf numFmtId="15" fontId="81" fillId="0" borderId="0" applyAlignment="1" applyProtection="1" pivotButton="0" quotePrefix="0" xfId="0">
      <alignment vertical="center" wrapText="1"/>
      <protection locked="1" hidden="1"/>
    </xf>
    <xf numFmtId="1" fontId="81" fillId="100" borderId="0" applyAlignment="1" applyProtection="1" pivotButton="0" quotePrefix="0" xfId="0">
      <alignment horizontal="center" vertical="center" wrapText="1"/>
      <protection locked="1" hidden="1"/>
    </xf>
    <xf numFmtId="172" fontId="81" fillId="100" borderId="0" applyAlignment="1" applyProtection="1" pivotButton="0" quotePrefix="0" xfId="871">
      <alignment horizontal="center" vertical="center"/>
      <protection locked="1" hidden="1"/>
    </xf>
    <xf numFmtId="1" fontId="175" fillId="0" borderId="46" applyAlignment="1" applyProtection="1" pivotButton="0" quotePrefix="0" xfId="866">
      <alignment horizontal="center" vertical="center"/>
      <protection locked="1" hidden="1"/>
    </xf>
    <xf numFmtId="172" fontId="81" fillId="100" borderId="63" applyAlignment="1" applyProtection="1" pivotButton="0" quotePrefix="0" xfId="871">
      <alignment horizontal="center" vertical="center"/>
      <protection locked="1" hidden="1"/>
    </xf>
    <xf numFmtId="172" fontId="81" fillId="100" borderId="38" applyAlignment="1" applyProtection="1" pivotButton="0" quotePrefix="0" xfId="871">
      <alignment horizontal="center" vertical="center"/>
      <protection locked="1" hidden="1"/>
    </xf>
    <xf numFmtId="172" fontId="81" fillId="100" borderId="37" applyAlignment="1" applyProtection="1" pivotButton="0" quotePrefix="0" xfId="871">
      <alignment horizontal="center" vertical="center"/>
      <protection locked="1" hidden="1"/>
    </xf>
    <xf numFmtId="0" fontId="79" fillId="101" borderId="39" applyAlignment="1" applyProtection="1" pivotButton="0" quotePrefix="0" xfId="0">
      <alignment horizontal="center" vertical="center" wrapText="1"/>
      <protection locked="1" hidden="1"/>
    </xf>
    <xf numFmtId="0" fontId="79" fillId="101" borderId="28" applyAlignment="1" applyProtection="1" pivotButton="0" quotePrefix="0" xfId="0">
      <alignment horizontal="center" vertical="center" wrapText="1"/>
      <protection locked="1" hidden="1"/>
    </xf>
    <xf numFmtId="0" fontId="79" fillId="101" borderId="36" applyAlignment="1" applyProtection="1" pivotButton="0" quotePrefix="0" xfId="0">
      <alignment horizontal="center" vertical="center" wrapText="1"/>
      <protection locked="1" hidden="1"/>
    </xf>
    <xf numFmtId="0" fontId="79" fillId="101" borderId="67" applyAlignment="1" applyProtection="1" pivotButton="0" quotePrefix="0" xfId="0">
      <alignment horizontal="center" vertical="center" wrapText="1"/>
      <protection locked="1" hidden="1"/>
    </xf>
    <xf numFmtId="172" fontId="81" fillId="100" borderId="51" applyAlignment="1" applyProtection="1" pivotButton="0" quotePrefix="0" xfId="871">
      <alignment horizontal="center" vertical="center"/>
      <protection locked="1" hidden="1"/>
    </xf>
    <xf numFmtId="0" fontId="195" fillId="106" borderId="61" applyAlignment="1" pivotButton="0" quotePrefix="0" xfId="0">
      <alignment horizontal="center" vertical="center" wrapText="1"/>
    </xf>
    <xf numFmtId="0" fontId="195" fillId="106" borderId="47" applyAlignment="1" pivotButton="0" quotePrefix="0" xfId="0">
      <alignment horizontal="center" vertical="center" wrapText="1"/>
    </xf>
    <xf numFmtId="0" fontId="195" fillId="106" borderId="47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9" fontId="81" fillId="100" borderId="57" applyAlignment="1" applyProtection="1" pivotButton="0" quotePrefix="0" xfId="0">
      <alignment horizontal="center" vertical="center"/>
      <protection locked="1" hidden="1"/>
    </xf>
    <xf numFmtId="2" fontId="152" fillId="0" borderId="0" applyAlignment="1" pivotButton="0" quotePrefix="0" xfId="0">
      <alignment horizontal="center"/>
    </xf>
    <xf numFmtId="0" fontId="153" fillId="0" borderId="7" applyAlignment="1" pivotButton="0" quotePrefix="0" xfId="0">
      <alignment horizontal="center" wrapText="1"/>
    </xf>
    <xf numFmtId="0" fontId="0" fillId="0" borderId="47" applyAlignment="1" pivotButton="0" quotePrefix="0" xfId="0">
      <alignment horizontal="center"/>
    </xf>
    <xf numFmtId="0" fontId="162" fillId="0" borderId="0" applyAlignment="1" pivotButton="0" quotePrefix="0" xfId="0">
      <alignment horizontal="center" wrapText="1"/>
    </xf>
    <xf numFmtId="0" fontId="158" fillId="100" borderId="0" applyAlignment="1" applyProtection="1" pivotButton="0" quotePrefix="0" xfId="0">
      <alignment horizontal="center" vertical="center"/>
      <protection locked="1" hidden="1"/>
    </xf>
    <xf numFmtId="0" fontId="79" fillId="109" borderId="36" applyAlignment="1" applyProtection="1" pivotButton="0" quotePrefix="0" xfId="1333">
      <alignment horizontal="center" vertical="center"/>
      <protection locked="0" hidden="0"/>
    </xf>
    <xf numFmtId="0" fontId="79" fillId="109" borderId="37" applyAlignment="1" applyProtection="1" pivotButton="0" quotePrefix="0" xfId="1333">
      <alignment horizontal="center" vertical="center"/>
      <protection locked="0" hidden="0"/>
    </xf>
    <xf numFmtId="173" fontId="79" fillId="109" borderId="37" applyAlignment="1" applyProtection="1" pivotButton="0" quotePrefix="0" xfId="0">
      <alignment horizontal="center" vertical="center" wrapText="1"/>
      <protection locked="0" hidden="0"/>
    </xf>
    <xf numFmtId="173" fontId="79" fillId="0" borderId="0" applyAlignment="1" applyProtection="1" pivotButton="0" quotePrefix="0" xfId="0">
      <alignment horizontal="center" vertical="center" wrapText="1"/>
      <protection locked="0" hidden="0"/>
    </xf>
    <xf numFmtId="1" fontId="79" fillId="109" borderId="37" applyAlignment="1" applyProtection="1" pivotButton="0" quotePrefix="0" xfId="1333">
      <alignment horizontal="center" vertical="center" wrapText="1"/>
      <protection locked="0" hidden="0"/>
    </xf>
    <xf numFmtId="9" fontId="79" fillId="109" borderId="55" applyAlignment="1" applyProtection="1" pivotButton="0" quotePrefix="0" xfId="1414">
      <alignment horizontal="center" vertical="center" wrapText="1"/>
      <protection locked="1" hidden="1"/>
    </xf>
    <xf numFmtId="0" fontId="175" fillId="0" borderId="37" applyAlignment="1" pivotButton="0" quotePrefix="0" xfId="866">
      <alignment horizontal="center" vertical="center"/>
    </xf>
    <xf numFmtId="10" fontId="79" fillId="101" borderId="37" applyAlignment="1" applyProtection="1" pivotButton="0" quotePrefix="0" xfId="1333">
      <alignment horizontal="center" vertical="center" wrapText="1"/>
      <protection locked="1" hidden="1"/>
    </xf>
    <xf numFmtId="0" fontId="158" fillId="0" borderId="47" applyAlignment="1" pivotButton="0" quotePrefix="0" xfId="0">
      <alignment horizontal="left" vertical="center"/>
    </xf>
    <xf numFmtId="169" fontId="153" fillId="0" borderId="0" applyAlignment="1" pivotButton="0" quotePrefix="0" xfId="871">
      <alignment horizontal="center" vertical="center"/>
    </xf>
    <xf numFmtId="10" fontId="153" fillId="0" borderId="0" applyAlignment="1" pivotButton="0" quotePrefix="0" xfId="1414">
      <alignment vertical="center"/>
    </xf>
    <xf numFmtId="169" fontId="158" fillId="0" borderId="0" applyAlignment="1" pivotButton="0" quotePrefix="0" xfId="871">
      <alignment horizontal="center" vertical="center"/>
    </xf>
    <xf numFmtId="169" fontId="157" fillId="0" borderId="0" applyAlignment="1" pivotButton="0" quotePrefix="0" xfId="871">
      <alignment horizontal="center" vertical="center"/>
    </xf>
    <xf numFmtId="9" fontId="158" fillId="0" borderId="0" applyAlignment="1" pivotButton="0" quotePrefix="0" xfId="1414">
      <alignment horizontal="center" vertical="center"/>
    </xf>
    <xf numFmtId="9" fontId="158" fillId="0" borderId="0" applyAlignment="1" pivotButton="0" quotePrefix="0" xfId="1414">
      <alignment horizontal="center" vertical="center"/>
    </xf>
    <xf numFmtId="0" fontId="158" fillId="0" borderId="0" applyProtection="1" pivotButton="0" quotePrefix="0" xfId="0">
      <protection locked="1" hidden="1"/>
    </xf>
    <xf numFmtId="0" fontId="153" fillId="0" borderId="0" applyAlignment="1" applyProtection="1" pivotButton="0" quotePrefix="0" xfId="0">
      <alignment horizontal="center" vertical="center"/>
      <protection locked="1" hidden="1"/>
    </xf>
    <xf numFmtId="9" fontId="153" fillId="0" borderId="0" applyAlignment="1" applyProtection="1" pivotButton="0" quotePrefix="0" xfId="1414">
      <alignment vertical="center"/>
      <protection locked="1" hidden="1"/>
    </xf>
    <xf numFmtId="9" fontId="153" fillId="0" borderId="0" applyAlignment="1" pivotButton="0" quotePrefix="0" xfId="1414">
      <alignment horizontal="center" vertical="center"/>
    </xf>
    <xf numFmtId="0" fontId="153" fillId="0" borderId="39" applyAlignment="1" applyProtection="1" pivotButton="0" quotePrefix="0" xfId="0">
      <alignment horizontal="left" vertical="center"/>
      <protection locked="1" hidden="1"/>
    </xf>
    <xf numFmtId="9" fontId="153" fillId="0" borderId="36" applyProtection="1" pivotButton="0" quotePrefix="0" xfId="0">
      <protection locked="1" hidden="1"/>
    </xf>
    <xf numFmtId="181" fontId="153" fillId="0" borderId="0" applyAlignment="1" applyProtection="1" pivotButton="0" quotePrefix="0" xfId="0">
      <alignment vertical="center"/>
      <protection locked="1" hidden="1"/>
    </xf>
    <xf numFmtId="181" fontId="153" fillId="0" borderId="0" applyAlignment="1" pivotButton="0" quotePrefix="0" xfId="0">
      <alignment vertical="center"/>
    </xf>
    <xf numFmtId="0" fontId="153" fillId="0" borderId="40" applyAlignment="1" applyProtection="1" pivotButton="0" quotePrefix="0" xfId="0">
      <alignment horizontal="left"/>
      <protection locked="1" hidden="1"/>
    </xf>
    <xf numFmtId="9" fontId="153" fillId="0" borderId="37" applyProtection="1" pivotButton="0" quotePrefix="0" xfId="0">
      <protection locked="1" hidden="1"/>
    </xf>
    <xf numFmtId="0" fontId="153" fillId="0" borderId="48" applyAlignment="1" applyProtection="1" pivotButton="0" quotePrefix="0" xfId="0">
      <alignment horizontal="left"/>
      <protection locked="1" hidden="1"/>
    </xf>
    <xf numFmtId="9" fontId="153" fillId="0" borderId="38" applyProtection="1" pivotButton="0" quotePrefix="0" xfId="0">
      <protection locked="1" hidden="1"/>
    </xf>
    <xf numFmtId="0" fontId="158" fillId="0" borderId="39" applyAlignment="1" applyProtection="1" pivotButton="0" quotePrefix="0" xfId="0">
      <alignment horizontal="center" vertical="center" wrapText="1"/>
      <protection locked="1" hidden="1"/>
    </xf>
    <xf numFmtId="0" fontId="158" fillId="0" borderId="28" applyAlignment="1" applyProtection="1" pivotButton="0" quotePrefix="0" xfId="0">
      <alignment horizontal="center" vertical="center" wrapText="1"/>
      <protection locked="1" hidden="1"/>
    </xf>
    <xf numFmtId="0" fontId="158" fillId="0" borderId="36" applyAlignment="1" applyProtection="1" pivotButton="0" quotePrefix="0" xfId="0">
      <alignment horizontal="center" vertical="center" wrapText="1"/>
      <protection locked="1" hidden="1"/>
    </xf>
    <xf numFmtId="9" fontId="153" fillId="0" borderId="0" applyAlignment="1" pivotButton="0" quotePrefix="0" xfId="1414">
      <alignment vertical="center"/>
    </xf>
    <xf numFmtId="0" fontId="153" fillId="0" borderId="46" applyAlignment="1" applyProtection="1" pivotButton="0" quotePrefix="0" xfId="0">
      <alignment horizontal="left" vertical="center"/>
      <protection locked="1" hidden="1"/>
    </xf>
    <xf numFmtId="49" fontId="153" fillId="0" borderId="7" applyAlignment="1" applyProtection="1" pivotButton="0" quotePrefix="0" xfId="0">
      <alignment horizontal="center" vertical="center"/>
      <protection locked="1" hidden="1"/>
    </xf>
    <xf numFmtId="9" fontId="153" fillId="0" borderId="7" applyAlignment="1" applyProtection="1" pivotButton="0" quotePrefix="0" xfId="0">
      <alignment horizontal="center" vertical="center"/>
      <protection locked="1" hidden="1"/>
    </xf>
    <xf numFmtId="169" fontId="153" fillId="0" borderId="37" applyAlignment="1" applyProtection="1" pivotButton="0" quotePrefix="0" xfId="871">
      <alignment horizontal="center" vertical="center"/>
      <protection locked="1" hidden="1"/>
    </xf>
    <xf numFmtId="9" fontId="153" fillId="0" borderId="0" applyAlignment="1" pivotButton="0" quotePrefix="0" xfId="1414">
      <alignment horizontal="center" vertical="center"/>
    </xf>
    <xf numFmtId="9" fontId="153" fillId="0" borderId="7" applyAlignment="1" applyProtection="1" pivotButton="0" quotePrefix="0" xfId="1414">
      <alignment horizontal="center" vertical="center"/>
      <protection locked="1" hidden="1"/>
    </xf>
    <xf numFmtId="169" fontId="153" fillId="0" borderId="0" applyAlignment="1" pivotButton="0" quotePrefix="0" xfId="871">
      <alignment horizontal="center" vertical="center"/>
    </xf>
    <xf numFmtId="0" fontId="153" fillId="0" borderId="48" applyAlignment="1" applyProtection="1" pivotButton="0" quotePrefix="0" xfId="0">
      <alignment horizontal="left" vertical="center"/>
      <protection locked="1" hidden="1"/>
    </xf>
    <xf numFmtId="49" fontId="153" fillId="0" borderId="49" applyAlignment="1" applyProtection="1" pivotButton="0" quotePrefix="0" xfId="0">
      <alignment horizontal="center" vertical="center"/>
      <protection locked="1" hidden="1"/>
    </xf>
    <xf numFmtId="9" fontId="153" fillId="0" borderId="49" applyAlignment="1" applyProtection="1" pivotButton="0" quotePrefix="0" xfId="1414">
      <alignment horizontal="center" vertical="center"/>
      <protection locked="1" hidden="1"/>
    </xf>
    <xf numFmtId="169" fontId="153" fillId="0" borderId="38" applyAlignment="1" applyProtection="1" pivotButton="0" quotePrefix="0" xfId="871">
      <alignment horizontal="center" vertical="center"/>
      <protection locked="1" hidden="1"/>
    </xf>
    <xf numFmtId="0" fontId="211" fillId="0" borderId="0" applyAlignment="1" pivotButton="0" quotePrefix="0" xfId="0">
      <alignment vertical="center"/>
    </xf>
    <xf numFmtId="0" fontId="212" fillId="0" borderId="0" applyAlignment="1" pivotButton="0" quotePrefix="0" xfId="0">
      <alignment vertical="center"/>
    </xf>
    <xf numFmtId="0" fontId="213" fillId="0" borderId="0" applyAlignment="1" pivotButton="0" quotePrefix="0" xfId="0">
      <alignment vertical="center"/>
    </xf>
    <xf numFmtId="4" fontId="211" fillId="0" borderId="0" applyAlignment="1" pivotButton="0" quotePrefix="0" xfId="0">
      <alignment vertical="center"/>
    </xf>
    <xf numFmtId="4" fontId="153" fillId="0" borderId="0" applyAlignment="1" pivotButton="0" quotePrefix="0" xfId="0">
      <alignment vertical="center"/>
    </xf>
    <xf numFmtId="1" fontId="81" fillId="100" borderId="47" applyAlignment="1" applyProtection="1" pivotButton="0" quotePrefix="0" xfId="0">
      <alignment horizontal="center" vertical="center"/>
      <protection locked="1" hidden="1"/>
    </xf>
    <xf numFmtId="1" fontId="79" fillId="0" borderId="0" applyAlignment="1" applyProtection="1" pivotButton="0" quotePrefix="0" xfId="1453">
      <alignment horizontal="center" vertical="center"/>
      <protection locked="1" hidden="1"/>
    </xf>
    <xf numFmtId="0" fontId="79" fillId="0" borderId="0" applyAlignment="1" applyProtection="1" pivotButton="0" quotePrefix="0" xfId="0">
      <alignment horizontal="center" vertical="center"/>
      <protection locked="1" hidden="1"/>
    </xf>
    <xf numFmtId="0" fontId="79" fillId="0" borderId="0" applyAlignment="1" applyProtection="1" pivotButton="0" quotePrefix="0" xfId="1333">
      <alignment horizontal="center" vertical="center"/>
      <protection locked="1" hidden="1"/>
    </xf>
    <xf numFmtId="178" fontId="79" fillId="0" borderId="0" applyAlignment="1" applyProtection="1" pivotButton="0" quotePrefix="0" xfId="1333">
      <alignment horizontal="center" vertical="center"/>
      <protection locked="1" hidden="1"/>
    </xf>
    <xf numFmtId="1" fontId="79" fillId="0" borderId="0" applyAlignment="1" applyProtection="1" pivotButton="0" quotePrefix="0" xfId="1333">
      <alignment horizontal="center" vertical="center"/>
      <protection locked="1" hidden="1"/>
    </xf>
    <xf numFmtId="3" fontId="79" fillId="0" borderId="0" applyAlignment="1" applyProtection="1" pivotButton="0" quotePrefix="0" xfId="1333">
      <alignment horizontal="center" vertical="center"/>
      <protection locked="1" hidden="1"/>
    </xf>
    <xf numFmtId="3" fontId="79" fillId="0" borderId="0" applyAlignment="1" applyProtection="1" pivotButton="0" quotePrefix="0" xfId="0">
      <alignment horizontal="center" vertical="center" wrapText="1"/>
      <protection locked="1" hidden="1"/>
    </xf>
    <xf numFmtId="0" fontId="158" fillId="0" borderId="0" applyAlignment="1" applyProtection="1" pivotButton="0" quotePrefix="0" xfId="0">
      <alignment horizontal="center" vertical="center"/>
      <protection locked="1" hidden="1"/>
    </xf>
    <xf numFmtId="14" fontId="159" fillId="0" borderId="0" applyAlignment="1" applyProtection="1" pivotButton="0" quotePrefix="0" xfId="1333">
      <alignment horizontal="center" vertical="center" wrapText="1"/>
      <protection locked="1" hidden="1"/>
    </xf>
    <xf numFmtId="0" fontId="197" fillId="106" borderId="7" applyAlignment="1" pivotButton="0" quotePrefix="0" xfId="0">
      <alignment horizontal="center" vertical="center"/>
    </xf>
    <xf numFmtId="0" fontId="197" fillId="106" borderId="7" applyAlignment="1" pivotButton="0" quotePrefix="0" xfId="0">
      <alignment horizontal="center" vertical="center" wrapText="1"/>
    </xf>
    <xf numFmtId="0" fontId="146" fillId="0" borderId="0" pivotButton="0" quotePrefix="0" xfId="0"/>
    <xf numFmtId="0" fontId="158" fillId="106" borderId="45" applyAlignment="1" pivotButton="0" quotePrefix="0" xfId="0">
      <alignment vertical="center"/>
    </xf>
    <xf numFmtId="0" fontId="153" fillId="0" borderId="47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53" fillId="0" borderId="35" applyAlignment="1" pivotButton="0" quotePrefix="0" xfId="0">
      <alignment horizontal="center" vertical="center"/>
    </xf>
    <xf numFmtId="0" fontId="161" fillId="0" borderId="47" applyAlignment="1" pivotButton="0" quotePrefix="0" xfId="0">
      <alignment horizontal="left" vertical="center"/>
    </xf>
    <xf numFmtId="14" fontId="162" fillId="0" borderId="7" applyAlignment="1" pivotButton="0" quotePrefix="0" xfId="0">
      <alignment horizontal="center" vertical="center"/>
    </xf>
    <xf numFmtId="0" fontId="161" fillId="0" borderId="7" applyAlignment="1" pivotButton="0" quotePrefix="0" xfId="0">
      <alignment horizontal="left" vertical="center"/>
    </xf>
    <xf numFmtId="0" fontId="162" fillId="0" borderId="47" applyAlignment="1" pivotButton="0" quotePrefix="0" xfId="0">
      <alignment horizontal="center" wrapText="1"/>
    </xf>
    <xf numFmtId="0" fontId="153" fillId="0" borderId="47" applyAlignment="1" pivotButton="0" quotePrefix="0" xfId="0">
      <alignment horizontal="left" vertical="center" wrapText="1"/>
    </xf>
    <xf numFmtId="0" fontId="157" fillId="0" borderId="0" applyAlignment="1" pivotButton="0" quotePrefix="0" xfId="0">
      <alignment vertical="center"/>
    </xf>
    <xf numFmtId="0" fontId="157" fillId="0" borderId="0" applyAlignment="1" applyProtection="1" pivotButton="0" quotePrefix="0" xfId="0">
      <alignment vertical="center"/>
      <protection locked="1" hidden="1"/>
    </xf>
    <xf numFmtId="0" fontId="214" fillId="0" borderId="0" applyAlignment="1" pivotButton="0" quotePrefix="0" xfId="0">
      <alignment vertical="center"/>
    </xf>
    <xf numFmtId="0" fontId="120" fillId="0" borderId="53" applyAlignment="1" pivotButton="0" quotePrefix="0" xfId="866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61" fillId="0" borderId="47" applyAlignment="1" pivotButton="0" quotePrefix="0" xfId="0">
      <alignment horizontal="left"/>
    </xf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153" fillId="0" borderId="47" applyAlignment="1" pivotButton="0" quotePrefix="0" xfId="0">
      <alignment horizontal="center" vertical="center" wrapText="1"/>
    </xf>
    <xf numFmtId="0" fontId="0" fillId="0" borderId="7" pivotButton="0" quotePrefix="0" xfId="0"/>
    <xf numFmtId="0" fontId="153" fillId="0" borderId="47" applyAlignment="1" pivotButton="0" quotePrefix="0" xfId="0">
      <alignment wrapText="1"/>
    </xf>
    <xf numFmtId="0" fontId="0" fillId="0" borderId="7" applyAlignment="1" pivotButton="0" quotePrefix="0" xfId="0">
      <alignment horizontal="center" vertical="center"/>
    </xf>
    <xf numFmtId="0" fontId="120" fillId="0" borderId="50" applyAlignment="1" pivotButton="0" quotePrefix="0" xfId="866">
      <alignment horizontal="center" vertical="center"/>
    </xf>
    <xf numFmtId="0" fontId="120" fillId="0" borderId="37" applyAlignment="1" pivotButton="0" quotePrefix="0" xfId="866">
      <alignment horizontal="center"/>
    </xf>
    <xf numFmtId="0" fontId="153" fillId="0" borderId="0" applyAlignment="1" pivotButton="0" quotePrefix="0" xfId="0">
      <alignment vertical="center"/>
    </xf>
    <xf numFmtId="0" fontId="0" fillId="0" borderId="7" applyAlignment="1" pivotButton="0" quotePrefix="0" xfId="0">
      <alignment horizontal="center" vertical="center"/>
    </xf>
    <xf numFmtId="0" fontId="161" fillId="112" borderId="47" applyAlignment="1" pivotButton="0" quotePrefix="0" xfId="0">
      <alignment horizontal="left"/>
    </xf>
    <xf numFmtId="0" fontId="176" fillId="0" borderId="0" applyAlignment="1" pivotButton="0" quotePrefix="0" xfId="0">
      <alignment horizontal="center" vertical="center"/>
    </xf>
    <xf numFmtId="0" fontId="195" fillId="0" borderId="0" applyAlignment="1" pivotButton="0" quotePrefix="0" xfId="0">
      <alignment horizontal="center" wrapText="1"/>
    </xf>
    <xf numFmtId="0" fontId="176" fillId="0" borderId="0" applyAlignment="1" pivotButton="0" quotePrefix="0" xfId="0">
      <alignment horizontal="center"/>
    </xf>
    <xf numFmtId="0" fontId="184" fillId="0" borderId="0" applyAlignment="1" pivotButton="0" quotePrefix="0" xfId="0">
      <alignment horizontal="center" vertical="center" wrapText="1" shrinkToFit="1"/>
    </xf>
    <xf numFmtId="0" fontId="215" fillId="111" borderId="0" applyAlignment="1" pivotButton="0" quotePrefix="0" xfId="0">
      <alignment vertical="top" wrapText="1"/>
    </xf>
    <xf numFmtId="0" fontId="114" fillId="0" borderId="0" applyAlignment="1" pivotButton="0" quotePrefix="0" xfId="0">
      <alignment horizontal="center"/>
    </xf>
    <xf numFmtId="1" fontId="114" fillId="0" borderId="0" applyAlignment="1" pivotButton="0" quotePrefix="0" xfId="0">
      <alignment horizontal="center"/>
    </xf>
    <xf numFmtId="1" fontId="114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216" fillId="0" borderId="0" applyAlignment="1" pivotButton="0" quotePrefix="0" xfId="0">
      <alignment horizontal="center"/>
    </xf>
    <xf numFmtId="0" fontId="217" fillId="0" borderId="0" pivotButton="0" quotePrefix="0" xfId="0"/>
    <xf numFmtId="0" fontId="217" fillId="0" borderId="0" applyAlignment="1" pivotButton="0" quotePrefix="0" xfId="0">
      <alignment vertical="center"/>
    </xf>
    <xf numFmtId="0" fontId="218" fillId="0" borderId="0" applyAlignment="1" pivotButton="0" quotePrefix="0" xfId="0">
      <alignment vertical="center"/>
    </xf>
    <xf numFmtId="0" fontId="219" fillId="0" borderId="0" applyAlignment="1" pivotButton="0" quotePrefix="0" xfId="0">
      <alignment vertical="center"/>
    </xf>
    <xf numFmtId="0" fontId="221" fillId="0" borderId="0" applyAlignment="1" pivotButton="0" quotePrefix="0" xfId="0">
      <alignment vertical="center"/>
    </xf>
    <xf numFmtId="0" fontId="0" fillId="0" borderId="7" applyAlignment="1" pivotButton="0" quotePrefix="0" xfId="0">
      <alignment horizontal="center" vertical="center"/>
    </xf>
    <xf numFmtId="164" fontId="79" fillId="100" borderId="68" applyAlignment="1" applyProtection="1" pivotButton="0" quotePrefix="0" xfId="0">
      <alignment horizontal="right" vertical="center"/>
      <protection locked="1" hidden="1"/>
    </xf>
    <xf numFmtId="164" fontId="79" fillId="100" borderId="51" applyAlignment="1" applyProtection="1" pivotButton="0" quotePrefix="0" xfId="0">
      <alignment horizontal="right" vertical="center"/>
      <protection locked="1" hidden="1"/>
    </xf>
    <xf numFmtId="0" fontId="158" fillId="100" borderId="0" applyAlignment="1" applyProtection="1" pivotButton="0" quotePrefix="0" xfId="0">
      <alignment horizontal="center" vertical="center"/>
      <protection locked="1" hidden="1"/>
    </xf>
    <xf numFmtId="164" fontId="79" fillId="100" borderId="59" applyAlignment="1" applyProtection="1" pivotButton="0" quotePrefix="0" xfId="1333">
      <alignment horizontal="center" vertical="center"/>
      <protection locked="1" hidden="1"/>
    </xf>
    <xf numFmtId="164" fontId="79" fillId="100" borderId="51" applyAlignment="1" applyProtection="1" pivotButton="0" quotePrefix="0" xfId="1333">
      <alignment horizontal="center" vertical="center"/>
      <protection locked="1" hidden="1"/>
    </xf>
    <xf numFmtId="164" fontId="167" fillId="100" borderId="83" applyAlignment="1" applyProtection="1" pivotButton="0" quotePrefix="0" xfId="1333">
      <alignment horizontal="right" vertical="center"/>
      <protection locked="1" hidden="1"/>
    </xf>
    <xf numFmtId="164" fontId="167" fillId="100" borderId="63" applyAlignment="1" applyProtection="1" pivotButton="0" quotePrefix="0" xfId="1333">
      <alignment horizontal="right" vertical="center"/>
      <protection locked="1" hidden="1"/>
    </xf>
    <xf numFmtId="164" fontId="79" fillId="100" borderId="63" applyAlignment="1" applyProtection="1" pivotButton="0" quotePrefix="0" xfId="0">
      <alignment horizontal="right" vertical="center"/>
      <protection locked="1" hidden="1"/>
    </xf>
    <xf numFmtId="164" fontId="79" fillId="100" borderId="49" applyAlignment="1" applyProtection="1" pivotButton="0" quotePrefix="0" xfId="0">
      <alignment horizontal="right" vertical="center"/>
      <protection locked="1" hidden="1"/>
    </xf>
    <xf numFmtId="164" fontId="79" fillId="100" borderId="59" applyAlignment="1" pivotButton="0" quotePrefix="0" xfId="1333">
      <alignment horizontal="right" vertical="center"/>
    </xf>
    <xf numFmtId="164" fontId="79" fillId="100" borderId="51" applyAlignment="1" pivotButton="0" quotePrefix="0" xfId="1333">
      <alignment horizontal="right" vertical="center"/>
    </xf>
    <xf numFmtId="0" fontId="158" fillId="100" borderId="86" applyAlignment="1" pivotButton="0" quotePrefix="0" xfId="0">
      <alignment horizontal="right" vertical="center"/>
    </xf>
    <xf numFmtId="0" fontId="158" fillId="100" borderId="85" applyAlignment="1" pivotButton="0" quotePrefix="0" xfId="0">
      <alignment horizontal="right" vertical="center"/>
    </xf>
    <xf numFmtId="164" fontId="79" fillId="100" borderId="59" applyAlignment="1" applyProtection="1" pivotButton="0" quotePrefix="0" xfId="0">
      <alignment horizontal="right" vertical="center"/>
      <protection locked="1" hidden="1"/>
    </xf>
    <xf numFmtId="164" fontId="79" fillId="100" borderId="62" applyAlignment="1" applyProtection="1" pivotButton="0" quotePrefix="0" xfId="0">
      <alignment horizontal="right" vertical="center"/>
      <protection locked="1" hidden="1"/>
    </xf>
    <xf numFmtId="0" fontId="158" fillId="109" borderId="46" applyAlignment="1" applyProtection="1" pivotButton="0" quotePrefix="0" xfId="0">
      <alignment horizontal="center" vertical="center"/>
      <protection locked="1" hidden="1"/>
    </xf>
    <xf numFmtId="0" fontId="158" fillId="109" borderId="7" applyAlignment="1" applyProtection="1" pivotButton="0" quotePrefix="0" xfId="0">
      <alignment horizontal="center" vertical="center"/>
      <protection locked="1" hidden="1"/>
    </xf>
    <xf numFmtId="0" fontId="158" fillId="109" borderId="37" applyAlignment="1" applyProtection="1" pivotButton="0" quotePrefix="0" xfId="0">
      <alignment horizontal="center" vertical="center"/>
      <protection locked="1" hidden="1"/>
    </xf>
    <xf numFmtId="164" fontId="79" fillId="100" borderId="59" applyAlignment="1" applyProtection="1" pivotButton="0" quotePrefix="0" xfId="1333">
      <alignment horizontal="right" vertical="center"/>
      <protection locked="1" hidden="1"/>
    </xf>
    <xf numFmtId="164" fontId="79" fillId="100" borderId="51" applyAlignment="1" applyProtection="1" pivotButton="0" quotePrefix="0" xfId="1333">
      <alignment horizontal="right" vertical="center"/>
      <protection locked="1" hidden="1"/>
    </xf>
    <xf numFmtId="164" fontId="79" fillId="100" borderId="46" applyAlignment="1" applyProtection="1" pivotButton="0" quotePrefix="0" xfId="1333">
      <alignment horizontal="right" vertical="center"/>
      <protection locked="1" hidden="1"/>
    </xf>
    <xf numFmtId="164" fontId="79" fillId="100" borderId="7" applyAlignment="1" applyProtection="1" pivotButton="0" quotePrefix="0" xfId="1333">
      <alignment horizontal="right" vertical="center"/>
      <protection locked="1" hidden="1"/>
    </xf>
    <xf numFmtId="164" fontId="79" fillId="109" borderId="46" applyAlignment="1" applyProtection="1" pivotButton="0" quotePrefix="0" xfId="1333">
      <alignment horizontal="center" vertical="center"/>
      <protection locked="1" hidden="1"/>
    </xf>
    <xf numFmtId="164" fontId="79" fillId="109" borderId="7" applyAlignment="1" applyProtection="1" pivotButton="0" quotePrefix="0" xfId="1333">
      <alignment horizontal="center" vertical="center"/>
      <protection locked="1" hidden="1"/>
    </xf>
    <xf numFmtId="164" fontId="79" fillId="109" borderId="37" applyAlignment="1" applyProtection="1" pivotButton="0" quotePrefix="0" xfId="1333">
      <alignment horizontal="center" vertical="center"/>
      <protection locked="1" hidden="1"/>
    </xf>
    <xf numFmtId="164" fontId="79" fillId="100" borderId="66" applyAlignment="1" pivotButton="0" quotePrefix="0" xfId="1333">
      <alignment horizontal="right" vertical="center"/>
    </xf>
    <xf numFmtId="164" fontId="79" fillId="100" borderId="67" applyAlignment="1" pivotButton="0" quotePrefix="0" xfId="1333">
      <alignment horizontal="right" vertical="center"/>
    </xf>
    <xf numFmtId="0" fontId="79" fillId="100" borderId="59" applyAlignment="1" pivotButton="0" quotePrefix="0" xfId="1333">
      <alignment horizontal="right" vertical="center"/>
    </xf>
    <xf numFmtId="0" fontId="79" fillId="100" borderId="51" applyAlignment="1" pivotButton="0" quotePrefix="0" xfId="1333">
      <alignment horizontal="right" vertical="center"/>
    </xf>
    <xf numFmtId="0" fontId="153" fillId="0" borderId="0" applyAlignment="1" applyProtection="1" pivotButton="0" quotePrefix="0" xfId="0">
      <alignment horizontal="left" vertical="center" wrapText="1"/>
      <protection locked="0" hidden="0"/>
    </xf>
    <xf numFmtId="164" fontId="79" fillId="100" borderId="46" applyAlignment="1" applyProtection="1" pivotButton="0" quotePrefix="0" xfId="0">
      <alignment horizontal="right" vertical="center"/>
      <protection locked="1" hidden="1"/>
    </xf>
    <xf numFmtId="164" fontId="79" fillId="100" borderId="7" applyAlignment="1" applyProtection="1" pivotButton="0" quotePrefix="0" xfId="0">
      <alignment horizontal="right" vertical="center"/>
      <protection locked="1" hidden="1"/>
    </xf>
    <xf numFmtId="0" fontId="79" fillId="100" borderId="46" applyAlignment="1" applyProtection="1" pivotButton="0" quotePrefix="0" xfId="1333">
      <alignment horizontal="right" vertical="center"/>
      <protection locked="1" hidden="1"/>
    </xf>
    <xf numFmtId="0" fontId="79" fillId="100" borderId="7" applyAlignment="1" applyProtection="1" pivotButton="0" quotePrefix="0" xfId="1333">
      <alignment horizontal="right" vertical="center"/>
      <protection locked="1" hidden="1"/>
    </xf>
    <xf numFmtId="182" fontId="79" fillId="100" borderId="46" applyAlignment="1" applyProtection="1" pivotButton="0" quotePrefix="0" xfId="1450">
      <alignment horizontal="right" vertical="center"/>
      <protection locked="1" hidden="1"/>
    </xf>
    <xf numFmtId="182" fontId="79" fillId="100" borderId="7" applyAlignment="1" applyProtection="1" pivotButton="0" quotePrefix="0" xfId="1450">
      <alignment horizontal="right" vertical="center"/>
      <protection locked="1" hidden="1"/>
    </xf>
    <xf numFmtId="0" fontId="153" fillId="0" borderId="0" applyAlignment="1" pivotButton="0" quotePrefix="0" xfId="0">
      <alignment vertical="center"/>
    </xf>
    <xf numFmtId="0" fontId="158" fillId="110" borderId="46" applyAlignment="1" applyProtection="1" pivotButton="0" quotePrefix="0" xfId="0">
      <alignment horizontal="center" vertical="center"/>
      <protection locked="1" hidden="1"/>
    </xf>
    <xf numFmtId="0" fontId="158" fillId="110" borderId="7" applyAlignment="1" applyProtection="1" pivotButton="0" quotePrefix="0" xfId="0">
      <alignment horizontal="center" vertical="center"/>
      <protection locked="1" hidden="1"/>
    </xf>
    <xf numFmtId="0" fontId="158" fillId="110" borderId="37" applyAlignment="1" applyProtection="1" pivotButton="0" quotePrefix="0" xfId="0">
      <alignment horizontal="center" vertical="center"/>
      <protection locked="1" hidden="1"/>
    </xf>
    <xf numFmtId="0" fontId="90" fillId="100" borderId="0" applyAlignment="1" applyProtection="1" pivotButton="0" quotePrefix="0" xfId="0">
      <alignment vertical="center"/>
      <protection locked="1" hidden="1"/>
    </xf>
    <xf numFmtId="164" fontId="79" fillId="110" borderId="46" applyAlignment="1" pivotButton="0" quotePrefix="0" xfId="1333">
      <alignment horizontal="center" vertical="center"/>
    </xf>
    <xf numFmtId="164" fontId="79" fillId="110" borderId="7" applyAlignment="1" pivotButton="0" quotePrefix="0" xfId="1333">
      <alignment horizontal="center" vertical="center"/>
    </xf>
    <xf numFmtId="164" fontId="79" fillId="110" borderId="37" applyAlignment="1" pivotButton="0" quotePrefix="0" xfId="1333">
      <alignment horizontal="center" vertical="center"/>
    </xf>
    <xf numFmtId="164" fontId="167" fillId="100" borderId="46" applyAlignment="1" applyProtection="1" pivotButton="0" quotePrefix="0" xfId="1333">
      <alignment horizontal="right" vertical="center"/>
      <protection locked="1" hidden="1"/>
    </xf>
    <xf numFmtId="164" fontId="167" fillId="100" borderId="7" applyAlignment="1" applyProtection="1" pivotButton="0" quotePrefix="0" xfId="1333">
      <alignment horizontal="right" vertical="center"/>
      <protection locked="1" hidden="1"/>
    </xf>
    <xf numFmtId="164" fontId="167" fillId="100" borderId="48" applyAlignment="1" applyProtection="1" pivotButton="0" quotePrefix="0" xfId="1333">
      <alignment horizontal="right" vertical="center"/>
      <protection locked="1" hidden="1"/>
    </xf>
    <xf numFmtId="164" fontId="167" fillId="100" borderId="49" applyAlignment="1" applyProtection="1" pivotButton="0" quotePrefix="0" xfId="1333">
      <alignment horizontal="right" vertical="center"/>
      <protection locked="1" hidden="1"/>
    </xf>
    <xf numFmtId="164" fontId="79" fillId="100" borderId="48" applyAlignment="1" applyProtection="1" pivotButton="0" quotePrefix="0" xfId="0">
      <alignment horizontal="right" vertical="center"/>
      <protection locked="1" hidden="1"/>
    </xf>
    <xf numFmtId="164" fontId="79" fillId="100" borderId="46" applyAlignment="1" pivotButton="0" quotePrefix="0" xfId="1333">
      <alignment horizontal="right" vertical="center"/>
    </xf>
    <xf numFmtId="164" fontId="79" fillId="100" borderId="7" applyAlignment="1" pivotButton="0" quotePrefix="0" xfId="1333">
      <alignment horizontal="right" vertical="center"/>
    </xf>
    <xf numFmtId="164" fontId="120" fillId="100" borderId="46" applyAlignment="1" pivotButton="0" quotePrefix="0" xfId="866">
      <alignment horizontal="center" vertical="center"/>
    </xf>
    <xf numFmtId="164" fontId="120" fillId="100" borderId="7" applyAlignment="1" pivotButton="0" quotePrefix="0" xfId="866">
      <alignment horizontal="center" vertical="center"/>
    </xf>
    <xf numFmtId="0" fontId="90" fillId="100" borderId="0" applyAlignment="1" pivotButton="0" quotePrefix="0" xfId="0">
      <alignment horizontal="left" vertical="center"/>
    </xf>
    <xf numFmtId="164" fontId="79" fillId="100" borderId="39" applyAlignment="1" pivotButton="0" quotePrefix="0" xfId="1333">
      <alignment horizontal="right" vertical="center"/>
    </xf>
    <xf numFmtId="164" fontId="79" fillId="100" borderId="28" applyAlignment="1" pivotButton="0" quotePrefix="0" xfId="1333">
      <alignment horizontal="right" vertical="center"/>
    </xf>
    <xf numFmtId="0" fontId="79" fillId="100" borderId="46" applyAlignment="1" pivotButton="0" quotePrefix="0" xfId="1333">
      <alignment horizontal="right" vertical="center"/>
    </xf>
    <xf numFmtId="0" fontId="79" fillId="100" borderId="7" applyAlignment="1" pivotButton="0" quotePrefix="0" xfId="1333">
      <alignment horizontal="right" vertical="center"/>
    </xf>
    <xf numFmtId="164" fontId="79" fillId="100" borderId="39" applyAlignment="1" applyProtection="1" pivotButton="0" quotePrefix="0" xfId="1333">
      <alignment horizontal="right" vertical="center"/>
      <protection locked="1" hidden="1"/>
    </xf>
    <xf numFmtId="164" fontId="79" fillId="100" borderId="28" applyAlignment="1" applyProtection="1" pivotButton="0" quotePrefix="0" xfId="1333">
      <alignment horizontal="right" vertical="center"/>
      <protection locked="1" hidden="1"/>
    </xf>
    <xf numFmtId="0" fontId="79" fillId="100" borderId="46" applyAlignment="1" applyProtection="1" pivotButton="0" quotePrefix="0" xfId="0">
      <alignment horizontal="right" vertical="center"/>
      <protection locked="1" hidden="1"/>
    </xf>
    <xf numFmtId="0" fontId="79" fillId="100" borderId="7" applyAlignment="1" applyProtection="1" pivotButton="0" quotePrefix="0" xfId="0">
      <alignment horizontal="right" vertical="center"/>
      <protection locked="1" hidden="1"/>
    </xf>
    <xf numFmtId="0" fontId="157" fillId="100" borderId="0" applyAlignment="1" applyProtection="1" pivotButton="0" quotePrefix="0" xfId="0">
      <alignment horizontal="center" vertical="center"/>
      <protection locked="1" hidden="1"/>
    </xf>
    <xf numFmtId="164" fontId="79" fillId="110" borderId="59" applyAlignment="1" applyProtection="1" pivotButton="0" quotePrefix="0" xfId="1333">
      <alignment horizontal="center" vertical="center"/>
      <protection locked="1" hidden="1"/>
    </xf>
    <xf numFmtId="164" fontId="79" fillId="110" borderId="68" applyAlignment="1" applyProtection="1" pivotButton="0" quotePrefix="0" xfId="1333">
      <alignment horizontal="center" vertical="center"/>
      <protection locked="1" hidden="1"/>
    </xf>
    <xf numFmtId="164" fontId="79" fillId="110" borderId="69" applyAlignment="1" applyProtection="1" pivotButton="0" quotePrefix="0" xfId="1333">
      <alignment horizontal="center" vertical="center"/>
      <protection locked="1" hidden="1"/>
    </xf>
    <xf numFmtId="164" fontId="79" fillId="110" borderId="46" applyAlignment="1" applyProtection="1" pivotButton="0" quotePrefix="0" xfId="1333">
      <alignment horizontal="center" vertical="center"/>
      <protection locked="1" hidden="1"/>
    </xf>
    <xf numFmtId="164" fontId="79" fillId="110" borderId="7" applyAlignment="1" applyProtection="1" pivotButton="0" quotePrefix="0" xfId="1333">
      <alignment horizontal="center" vertical="center"/>
      <protection locked="1" hidden="1"/>
    </xf>
    <xf numFmtId="164" fontId="79" fillId="110" borderId="37" applyAlignment="1" applyProtection="1" pivotButton="0" quotePrefix="0" xfId="1333">
      <alignment horizontal="center" vertical="center"/>
      <protection locked="1" hidden="1"/>
    </xf>
    <xf numFmtId="0" fontId="186" fillId="100" borderId="0" applyAlignment="1" pivotButton="0" quotePrefix="0" xfId="0">
      <alignment horizontal="left" vertical="center"/>
    </xf>
    <xf numFmtId="0" fontId="153" fillId="100" borderId="0" applyAlignment="1" applyProtection="1" pivotButton="0" quotePrefix="0" xfId="0">
      <alignment horizontal="center" vertical="center"/>
      <protection locked="1" hidden="1"/>
    </xf>
    <xf numFmtId="164" fontId="167" fillId="100" borderId="59" applyAlignment="1" applyProtection="1" pivotButton="0" quotePrefix="0" xfId="1333">
      <alignment horizontal="right" vertical="center"/>
      <protection locked="1" hidden="1"/>
    </xf>
    <xf numFmtId="164" fontId="167" fillId="100" borderId="51" applyAlignment="1" applyProtection="1" pivotButton="0" quotePrefix="0" xfId="1333">
      <alignment horizontal="right" vertical="center"/>
      <protection locked="1" hidden="1"/>
    </xf>
    <xf numFmtId="164" fontId="167" fillId="100" borderId="62" applyAlignment="1" applyProtection="1" pivotButton="0" quotePrefix="0" xfId="1333">
      <alignment horizontal="right" vertical="center"/>
      <protection locked="1" hidden="1"/>
    </xf>
    <xf numFmtId="0" fontId="79" fillId="100" borderId="59" applyAlignment="1" applyProtection="1" pivotButton="0" quotePrefix="0" xfId="1333">
      <alignment horizontal="right" vertical="center"/>
      <protection locked="1" hidden="1"/>
    </xf>
    <xf numFmtId="0" fontId="79" fillId="100" borderId="51" applyAlignment="1" applyProtection="1" pivotButton="0" quotePrefix="0" xfId="1333">
      <alignment horizontal="right" vertical="center"/>
      <protection locked="1" hidden="1"/>
    </xf>
    <xf numFmtId="0" fontId="158" fillId="110" borderId="59" applyAlignment="1" applyProtection="1" pivotButton="0" quotePrefix="0" xfId="0">
      <alignment horizontal="center" vertical="center"/>
      <protection locked="1" hidden="1"/>
    </xf>
    <xf numFmtId="0" fontId="158" fillId="110" borderId="68" applyAlignment="1" applyProtection="1" pivotButton="0" quotePrefix="0" xfId="0">
      <alignment horizontal="center" vertical="center"/>
      <protection locked="1" hidden="1"/>
    </xf>
    <xf numFmtId="0" fontId="158" fillId="110" borderId="69" applyAlignment="1" applyProtection="1" pivotButton="0" quotePrefix="0" xfId="0">
      <alignment horizontal="center" vertical="center"/>
      <protection locked="1" hidden="1"/>
    </xf>
    <xf numFmtId="164" fontId="79" fillId="100" borderId="70" applyAlignment="1" applyProtection="1" pivotButton="0" quotePrefix="0" xfId="1333">
      <alignment horizontal="right" vertical="center"/>
      <protection locked="1" hidden="1"/>
    </xf>
    <xf numFmtId="164" fontId="79" fillId="100" borderId="61" applyAlignment="1" applyProtection="1" pivotButton="0" quotePrefix="0" xfId="1333">
      <alignment horizontal="right" vertical="center"/>
      <protection locked="1" hidden="1"/>
    </xf>
    <xf numFmtId="182" fontId="79" fillId="100" borderId="59" applyAlignment="1" applyProtection="1" pivotButton="0" quotePrefix="0" xfId="1450">
      <alignment horizontal="right" vertical="center"/>
      <protection locked="1" hidden="1"/>
    </xf>
    <xf numFmtId="182" fontId="79" fillId="100" borderId="51" applyAlignment="1" applyProtection="1" pivotButton="0" quotePrefix="0" xfId="1450">
      <alignment horizontal="right" vertical="center"/>
      <protection locked="1" hidden="1"/>
    </xf>
    <xf numFmtId="164" fontId="175" fillId="100" borderId="46" applyAlignment="1" pivotButton="0" quotePrefix="0" xfId="866">
      <alignment horizontal="center" vertical="center"/>
    </xf>
    <xf numFmtId="164" fontId="175" fillId="100" borderId="7" applyAlignment="1" pivotButton="0" quotePrefix="0" xfId="866">
      <alignment horizontal="center" vertical="center"/>
    </xf>
    <xf numFmtId="183" fontId="79" fillId="110" borderId="46" applyAlignment="1" pivotButton="0" quotePrefix="0" xfId="1333">
      <alignment horizontal="center" vertical="center"/>
    </xf>
    <xf numFmtId="183" fontId="79" fillId="110" borderId="7" applyAlignment="1" pivotButton="0" quotePrefix="0" xfId="1333">
      <alignment horizontal="center" vertical="center"/>
    </xf>
    <xf numFmtId="183" fontId="79" fillId="110" borderId="37" applyAlignment="1" pivotButton="0" quotePrefix="0" xfId="1333">
      <alignment horizontal="center" vertical="center"/>
    </xf>
    <xf numFmtId="0" fontId="159" fillId="0" borderId="9" applyAlignment="1" applyProtection="1" pivotButton="0" quotePrefix="0" xfId="0">
      <alignment horizontal="left" vertical="center" wrapText="1"/>
      <protection locked="0" hidden="0"/>
    </xf>
    <xf numFmtId="0" fontId="159" fillId="0" borderId="0" applyAlignment="1" applyProtection="1" pivotButton="0" quotePrefix="0" xfId="0">
      <alignment horizontal="left" vertical="center" wrapText="1"/>
      <protection locked="0" hidden="0"/>
    </xf>
    <xf numFmtId="0" fontId="159" fillId="0" borderId="87" applyAlignment="1" applyProtection="1" pivotButton="0" quotePrefix="0" xfId="0">
      <alignment horizontal="left" vertical="center" wrapText="1"/>
      <protection locked="0" hidden="0"/>
    </xf>
    <xf numFmtId="164" fontId="175" fillId="100" borderId="64" applyAlignment="1" pivotButton="0" quotePrefix="0" xfId="866">
      <alignment horizontal="center" vertical="center"/>
    </xf>
    <xf numFmtId="183" fontId="79" fillId="110" borderId="50" applyAlignment="1" pivotButton="0" quotePrefix="0" xfId="1333">
      <alignment horizontal="center" vertical="center"/>
    </xf>
    <xf numFmtId="0" fontId="79" fillId="100" borderId="88" applyAlignment="1" applyProtection="1" pivotButton="0" quotePrefix="0" xfId="1333">
      <alignment horizontal="right" vertical="center"/>
      <protection locked="1" hidden="1"/>
    </xf>
    <xf numFmtId="0" fontId="79" fillId="100" borderId="89" applyAlignment="1" applyProtection="1" pivotButton="0" quotePrefix="0" xfId="1333">
      <alignment horizontal="right" vertical="center"/>
      <protection locked="1" hidden="1"/>
    </xf>
    <xf numFmtId="0" fontId="0" fillId="0" borderId="70" applyAlignment="1" pivotButton="0" quotePrefix="0" xfId="0">
      <alignment horizontal="right" vertical="center"/>
    </xf>
    <xf numFmtId="0" fontId="0" fillId="0" borderId="61" applyAlignment="1" pivotButton="0" quotePrefix="0" xfId="0">
      <alignment horizontal="right" vertical="center"/>
    </xf>
    <xf numFmtId="9" fontId="79" fillId="101" borderId="55" applyAlignment="1" applyProtection="1" pivotButton="0" quotePrefix="0" xfId="1425">
      <alignment horizontal="center" vertical="center" wrapText="1"/>
      <protection locked="1" hidden="1"/>
    </xf>
    <xf numFmtId="0" fontId="0" fillId="0" borderId="50" applyAlignment="1" pivotButton="0" quotePrefix="0" xfId="0">
      <alignment horizontal="center" vertical="center" wrapText="1"/>
    </xf>
    <xf numFmtId="0" fontId="79" fillId="100" borderId="5" applyAlignment="1" applyProtection="1" pivotButton="0" quotePrefix="0" xfId="1333">
      <alignment horizontal="right" vertical="center"/>
      <protection locked="1" hidden="1"/>
    </xf>
    <xf numFmtId="0" fontId="0" fillId="0" borderId="12" applyAlignment="1" pivotButton="0" quotePrefix="0" xfId="0">
      <alignment horizontal="right" vertical="center"/>
    </xf>
    <xf numFmtId="3" fontId="79" fillId="101" borderId="90" applyAlignment="1" applyProtection="1" pivotButton="0" quotePrefix="0" xfId="0">
      <alignment horizontal="center" vertical="center" wrapText="1"/>
      <protection locked="1" hidden="1"/>
    </xf>
    <xf numFmtId="0" fontId="0" fillId="0" borderId="91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left" vertical="center"/>
    </xf>
    <xf numFmtId="0" fontId="162" fillId="100" borderId="64" applyAlignment="1" pivotButton="0" quotePrefix="0" xfId="0">
      <alignment horizontal="center" vertical="center" wrapText="1"/>
    </xf>
    <xf numFmtId="0" fontId="162" fillId="100" borderId="68" applyAlignment="1" pivotButton="0" quotePrefix="0" xfId="0">
      <alignment horizontal="center" vertical="center" wrapText="1"/>
    </xf>
    <xf numFmtId="0" fontId="162" fillId="100" borderId="51" applyAlignment="1" pivotButton="0" quotePrefix="0" xfId="0">
      <alignment horizontal="center" vertical="center" wrapText="1"/>
    </xf>
    <xf numFmtId="0" fontId="164" fillId="0" borderId="64" applyAlignment="1" pivotButton="0" quotePrefix="0" xfId="0">
      <alignment horizontal="center" vertical="center" wrapText="1"/>
    </xf>
    <xf numFmtId="0" fontId="164" fillId="0" borderId="68" applyAlignment="1" pivotButton="0" quotePrefix="0" xfId="0">
      <alignment horizontal="center" vertical="center" wrapText="1"/>
    </xf>
    <xf numFmtId="0" fontId="164" fillId="0" borderId="51" applyAlignment="1" pivotButton="0" quotePrefix="0" xfId="0">
      <alignment horizontal="center" vertical="center" wrapText="1"/>
    </xf>
    <xf numFmtId="0" fontId="164" fillId="0" borderId="7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165" fillId="106" borderId="71" applyAlignment="1" pivotButton="0" quotePrefix="0" xfId="0">
      <alignment horizontal="center" wrapText="1"/>
    </xf>
    <xf numFmtId="0" fontId="165" fillId="106" borderId="72" applyAlignment="1" pivotButton="0" quotePrefix="0" xfId="0">
      <alignment horizontal="center" wrapText="1"/>
    </xf>
    <xf numFmtId="0" fontId="186" fillId="0" borderId="0" applyAlignment="1" pivotButton="0" quotePrefix="0" xfId="0">
      <alignment horizontal="left" vertical="center"/>
    </xf>
    <xf numFmtId="0" fontId="128" fillId="0" borderId="12" applyAlignment="1" pivotButton="0" quotePrefix="0" xfId="0">
      <alignment horizontal="left" vertical="center"/>
    </xf>
    <xf numFmtId="0" fontId="187" fillId="0" borderId="39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/>
    </xf>
    <xf numFmtId="0" fontId="187" fillId="0" borderId="4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15" fontId="179" fillId="0" borderId="59" applyAlignment="1" applyProtection="1" pivotButton="0" quotePrefix="0" xfId="0">
      <alignment horizontal="center" vertical="center" wrapText="1"/>
      <protection locked="1" hidden="1"/>
    </xf>
    <xf numFmtId="15" fontId="179" fillId="0" borderId="68" applyAlignment="1" applyProtection="1" pivotButton="0" quotePrefix="0" xfId="0">
      <alignment horizontal="center" vertical="center" wrapText="1"/>
      <protection locked="1" hidden="1"/>
    </xf>
    <xf numFmtId="15" fontId="179" fillId="0" borderId="51" applyAlignment="1" applyProtection="1" pivotButton="0" quotePrefix="0" xfId="0">
      <alignment horizontal="center" vertical="center" wrapText="1"/>
      <protection locked="1" hidden="1"/>
    </xf>
    <xf numFmtId="0" fontId="179" fillId="0" borderId="48" applyAlignment="1" applyProtection="1" pivotButton="0" quotePrefix="0" xfId="0">
      <alignment horizontal="center" vertical="center"/>
      <protection locked="0" hidden="1"/>
    </xf>
    <xf numFmtId="0" fontId="0" fillId="0" borderId="49" applyAlignment="1" pivotButton="0" quotePrefix="0" xfId="0">
      <alignment horizontal="center" vertical="center"/>
    </xf>
    <xf numFmtId="0" fontId="185" fillId="0" borderId="7" applyAlignment="1" applyProtection="1" pivotButton="0" quotePrefix="0" xfId="0">
      <alignment horizontal="center" vertical="center" wrapText="1"/>
      <protection locked="0" hidden="1"/>
    </xf>
    <xf numFmtId="0" fontId="0" fillId="0" borderId="7" applyAlignment="1" applyProtection="1" pivotButton="0" quotePrefix="0" xfId="0">
      <alignment horizontal="center" vertical="center"/>
      <protection locked="0" hidden="1"/>
    </xf>
    <xf numFmtId="0" fontId="0" fillId="0" borderId="64" applyAlignment="1" applyProtection="1" pivotButton="0" quotePrefix="0" xfId="0">
      <alignment horizontal="center" vertical="center"/>
      <protection locked="0" hidden="1"/>
    </xf>
    <xf numFmtId="0" fontId="0" fillId="0" borderId="37" applyAlignment="1" applyProtection="1" pivotButton="0" quotePrefix="0" xfId="0">
      <alignment horizontal="center" vertical="center"/>
      <protection locked="0" hidden="1"/>
    </xf>
    <xf numFmtId="0" fontId="185" fillId="0" borderId="64" applyAlignment="1" applyProtection="1" pivotButton="0" quotePrefix="0" xfId="0">
      <alignment horizontal="center" vertical="center" wrapText="1"/>
      <protection locked="0" hidden="0"/>
    </xf>
    <xf numFmtId="0" fontId="185" fillId="0" borderId="68" applyAlignment="1" applyProtection="1" pivotButton="0" quotePrefix="0" xfId="0">
      <alignment horizontal="center" vertical="center" wrapText="1"/>
      <protection locked="0" hidden="0"/>
    </xf>
    <xf numFmtId="0" fontId="185" fillId="0" borderId="69" applyAlignment="1" applyProtection="1" pivotButton="0" quotePrefix="0" xfId="0">
      <alignment horizontal="center" vertical="center" wrapText="1"/>
      <protection locked="0" hidden="0"/>
    </xf>
    <xf numFmtId="0" fontId="185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7" applyAlignment="1" applyProtection="1" pivotButton="0" quotePrefix="0" xfId="0">
      <alignment horizontal="center" vertical="center"/>
      <protection locked="0" hidden="0"/>
    </xf>
    <xf numFmtId="0" fontId="0" fillId="0" borderId="64" applyAlignment="1" applyProtection="1" pivotButton="0" quotePrefix="0" xfId="0">
      <alignment horizontal="center" vertical="center"/>
      <protection locked="0" hidden="0"/>
    </xf>
    <xf numFmtId="0" fontId="0" fillId="0" borderId="37" applyAlignment="1" applyProtection="1" pivotButton="0" quotePrefix="0" xfId="0">
      <alignment horizontal="center" vertical="center"/>
      <protection locked="0" hidden="0"/>
    </xf>
    <xf numFmtId="0" fontId="185" fillId="0" borderId="49" applyAlignment="1" pivotButton="0" quotePrefix="0" xfId="0">
      <alignment horizontal="center" vertical="center" wrapText="1"/>
    </xf>
    <xf numFmtId="0" fontId="0" fillId="0" borderId="65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15" fontId="179" fillId="0" borderId="46" applyAlignment="1" applyProtection="1" pivotButton="0" quotePrefix="0" xfId="0">
      <alignment horizontal="center" vertical="center" wrapText="1"/>
      <protection locked="1" hidden="1"/>
    </xf>
    <xf numFmtId="0" fontId="179" fillId="0" borderId="46" applyAlignment="1" applyProtection="1" pivotButton="0" quotePrefix="0" xfId="0">
      <alignment horizontal="center" vertical="center"/>
      <protection locked="0" hidden="1"/>
    </xf>
    <xf numFmtId="0" fontId="185" fillId="0" borderId="28" applyAlignment="1" applyProtection="1" pivotButton="0" quotePrefix="0" xfId="0">
      <alignment horizontal="center" vertical="center" wrapText="1"/>
      <protection locked="0" hidden="0"/>
    </xf>
    <xf numFmtId="0" fontId="145" fillId="0" borderId="28" applyAlignment="1" applyProtection="1" pivotButton="0" quotePrefix="0" xfId="0">
      <alignment horizontal="center" vertical="center"/>
      <protection locked="0" hidden="0"/>
    </xf>
    <xf numFmtId="0" fontId="0" fillId="0" borderId="28" applyAlignment="1" applyProtection="1" pivotButton="0" quotePrefix="0" xfId="0">
      <alignment horizontal="center" vertical="center"/>
      <protection locked="0" hidden="0"/>
    </xf>
    <xf numFmtId="0" fontId="0" fillId="0" borderId="73" applyAlignment="1" applyProtection="1" pivotButton="0" quotePrefix="0" xfId="0">
      <alignment horizontal="center" vertical="center"/>
      <protection locked="0" hidden="0"/>
    </xf>
    <xf numFmtId="0" fontId="0" fillId="0" borderId="36" applyAlignment="1" applyProtection="1" pivotButton="0" quotePrefix="0" xfId="0">
      <alignment horizontal="center" vertical="center"/>
      <protection locked="0" hidden="0"/>
    </xf>
    <xf numFmtId="0" fontId="145" fillId="0" borderId="7" applyAlignment="1" applyProtection="1" pivotButton="0" quotePrefix="0" xfId="0">
      <alignment horizontal="center" vertical="center"/>
      <protection locked="0" hidden="0"/>
    </xf>
    <xf numFmtId="14" fontId="185" fillId="0" borderId="7" applyAlignment="1" applyProtection="1" pivotButton="0" quotePrefix="0" xfId="0">
      <alignment horizontal="center" vertical="center" wrapText="1"/>
      <protection locked="0" hidden="0"/>
    </xf>
    <xf numFmtId="14" fontId="145" fillId="0" borderId="7" applyAlignment="1" applyProtection="1" pivotButton="0" quotePrefix="0" xfId="0">
      <alignment horizontal="center" vertical="center"/>
      <protection locked="0" hidden="0"/>
    </xf>
    <xf numFmtId="14" fontId="0" fillId="0" borderId="7" applyAlignment="1" applyProtection="1" pivotButton="0" quotePrefix="0" xfId="0">
      <alignment horizontal="center" vertical="center"/>
      <protection locked="0" hidden="0"/>
    </xf>
    <xf numFmtId="14" fontId="0" fillId="0" borderId="64" applyAlignment="1" applyProtection="1" pivotButton="0" quotePrefix="0" xfId="0">
      <alignment horizontal="center" vertical="center"/>
      <protection locked="0" hidden="0"/>
    </xf>
    <xf numFmtId="0" fontId="161" fillId="0" borderId="7" applyAlignment="1" applyProtection="1" pivotButton="0" quotePrefix="0" xfId="0">
      <alignment horizontal="left" vertical="center" wrapText="1"/>
      <protection locked="1" hidden="1"/>
    </xf>
    <xf numFmtId="0" fontId="153" fillId="0" borderId="7" applyAlignment="1" applyProtection="1" pivotButton="0" quotePrefix="0" xfId="0">
      <alignment horizontal="left" vertical="center"/>
      <protection locked="1" hidden="1"/>
    </xf>
    <xf numFmtId="0" fontId="161" fillId="0" borderId="7" applyAlignment="1" applyProtection="1" pivotButton="0" quotePrefix="0" xfId="0">
      <alignment vertical="center" wrapText="1"/>
      <protection locked="1" hidden="1"/>
    </xf>
    <xf numFmtId="0" fontId="153" fillId="0" borderId="7" applyAlignment="1" applyProtection="1" pivotButton="0" quotePrefix="0" xfId="0">
      <alignment vertical="center"/>
      <protection locked="1" hidden="1"/>
    </xf>
    <xf numFmtId="0" fontId="0" fillId="0" borderId="7" applyAlignment="1" pivotButton="0" quotePrefix="0" xfId="0">
      <alignment horizontal="left" vertical="top" wrapText="1"/>
    </xf>
    <xf numFmtId="0" fontId="161" fillId="0" borderId="59" applyAlignment="1" pivotButton="0" quotePrefix="0" xfId="0">
      <alignment vertical="center" wrapText="1"/>
    </xf>
    <xf numFmtId="0" fontId="161" fillId="0" borderId="51" applyAlignment="1" pivotButton="0" quotePrefix="0" xfId="0">
      <alignment vertical="center" wrapText="1"/>
    </xf>
    <xf numFmtId="0" fontId="161" fillId="0" borderId="62" applyAlignment="1" pivotButton="0" quotePrefix="0" xfId="0">
      <alignment vertical="center" wrapText="1"/>
    </xf>
    <xf numFmtId="0" fontId="161" fillId="0" borderId="63" applyAlignment="1" pivotButton="0" quotePrefix="0" xfId="0">
      <alignment vertical="center" wrapText="1"/>
    </xf>
    <xf numFmtId="0" fontId="161" fillId="0" borderId="66" applyAlignment="1" pivotButton="0" quotePrefix="0" xfId="0">
      <alignment vertical="center" wrapText="1"/>
    </xf>
    <xf numFmtId="0" fontId="161" fillId="0" borderId="67" applyAlignment="1" pivotButton="0" quotePrefix="0" xfId="0">
      <alignment vertical="center" wrapText="1"/>
    </xf>
    <xf numFmtId="0" fontId="158" fillId="101" borderId="7" applyAlignment="1" applyProtection="1" pivotButton="0" quotePrefix="0" xfId="0">
      <alignment vertical="center" wrapText="1"/>
      <protection locked="1" hidden="1"/>
    </xf>
    <xf numFmtId="0" fontId="161" fillId="0" borderId="7" applyAlignment="1" applyProtection="1" pivotButton="0" quotePrefix="0" xfId="0">
      <alignment wrapText="1"/>
      <protection locked="1" hidden="1"/>
    </xf>
    <xf numFmtId="0" fontId="153" fillId="0" borderId="7" applyProtection="1" pivotButton="0" quotePrefix="0" xfId="0">
      <protection locked="1" hidden="1"/>
    </xf>
    <xf numFmtId="0" fontId="198" fillId="100" borderId="0" applyAlignment="1" pivotButton="0" quotePrefix="0" xfId="1759">
      <alignment horizontal="center" vertical="center"/>
    </xf>
    <xf numFmtId="0" fontId="208" fillId="100" borderId="0" applyAlignment="1" pivotButton="0" quotePrefix="0" xfId="866">
      <alignment horizontal="left" vertical="center" indent="1"/>
    </xf>
    <xf numFmtId="0" fontId="216" fillId="0" borderId="0" applyAlignment="1" pivotButton="0" quotePrefix="0" xfId="0">
      <alignment horizontal="center"/>
    </xf>
    <xf numFmtId="0" fontId="120" fillId="0" borderId="9" applyAlignment="1" pivotButton="0" quotePrefix="0" xfId="866">
      <alignment horizontal="center"/>
    </xf>
    <xf numFmtId="0" fontId="120" fillId="0" borderId="0" applyAlignment="1" pivotButton="0" quotePrefix="0" xfId="866">
      <alignment horizontal="center"/>
    </xf>
    <xf numFmtId="0" fontId="188" fillId="100" borderId="0" applyAlignment="1" pivotButton="0" quotePrefix="0" xfId="0">
      <alignment horizontal="center" vertical="center"/>
    </xf>
    <xf numFmtId="0" fontId="120" fillId="100" borderId="0" applyAlignment="1" pivotButton="0" quotePrefix="0" xfId="866">
      <alignment horizontal="left" vertical="center"/>
    </xf>
    <xf numFmtId="0" fontId="153" fillId="0" borderId="0" applyAlignment="1" applyProtection="1" pivotButton="0" quotePrefix="0" xfId="0">
      <alignment vertical="center"/>
      <protection locked="0" hidden="0"/>
    </xf>
    <xf numFmtId="0" fontId="0" fillId="0" borderId="7" applyAlignment="1" pivotButton="0" quotePrefix="0" xfId="0">
      <alignment horizontal="center"/>
    </xf>
    <xf numFmtId="0" fontId="79" fillId="101" borderId="7" applyAlignment="1" applyProtection="1" pivotButton="0" quotePrefix="0" xfId="0">
      <alignment horizontal="center" vertical="center" wrapText="1"/>
      <protection locked="1" hidden="1"/>
    </xf>
    <xf numFmtId="1" fontId="81" fillId="0" borderId="7" applyAlignment="1" applyProtection="1" pivotButton="0" quotePrefix="0" xfId="0">
      <alignment horizontal="center" vertical="center"/>
      <protection locked="1" hidden="1"/>
    </xf>
    <xf numFmtId="172" fontId="81" fillId="0" borderId="35" applyAlignment="1" applyProtection="1" pivotButton="0" quotePrefix="0" xfId="0">
      <alignment horizontal="center" vertical="center"/>
      <protection locked="1" hidden="1"/>
    </xf>
    <xf numFmtId="172" fontId="79" fillId="0" borderId="7" applyAlignment="1" applyProtection="1" pivotButton="0" quotePrefix="0" xfId="0">
      <alignment horizontal="center" vertical="center"/>
      <protection locked="1" hidden="1"/>
    </xf>
    <xf numFmtId="1" fontId="81" fillId="0" borderId="35" applyAlignment="1" applyProtection="1" pivotButton="0" quotePrefix="0" xfId="0">
      <alignment horizontal="center" vertical="center" wrapText="1"/>
      <protection locked="1" hidden="1"/>
    </xf>
    <xf numFmtId="1" fontId="79" fillId="100" borderId="7" applyAlignment="1" applyProtection="1" pivotButton="0" quotePrefix="0" xfId="0">
      <alignment horizontal="center"/>
      <protection locked="1" hidden="1"/>
    </xf>
    <xf numFmtId="165" fontId="173" fillId="100" borderId="0" applyAlignment="1" pivotButton="0" quotePrefix="0" xfId="0">
      <alignment horizontal="center" vertical="center"/>
    </xf>
    <xf numFmtId="166" fontId="173" fillId="100" borderId="0" applyAlignment="1" pivotButton="0" quotePrefix="0" xfId="0">
      <alignment vertical="center"/>
    </xf>
    <xf numFmtId="0" fontId="0" fillId="0" borderId="67" pivotButton="0" quotePrefix="0" xfId="0"/>
    <xf numFmtId="0" fontId="0" fillId="0" borderId="51" pivotButton="0" quotePrefix="0" xfId="0"/>
    <xf numFmtId="0" fontId="0" fillId="0" borderId="51" applyProtection="1" pivotButton="0" quotePrefix="0" xfId="0">
      <protection locked="1" hidden="1"/>
    </xf>
    <xf numFmtId="171" fontId="79" fillId="101" borderId="37" applyAlignment="1" applyProtection="1" pivotButton="0" quotePrefix="0" xfId="1333">
      <alignment horizontal="center" vertical="center" wrapText="1"/>
      <protection locked="1" hidden="1"/>
    </xf>
    <xf numFmtId="0" fontId="0" fillId="0" borderId="63" applyProtection="1" pivotButton="0" quotePrefix="0" xfId="0">
      <protection locked="1" hidden="1"/>
    </xf>
    <xf numFmtId="0" fontId="0" fillId="0" borderId="68" applyProtection="1" pivotButton="0" quotePrefix="0" xfId="0">
      <protection locked="1" hidden="1"/>
    </xf>
    <xf numFmtId="0" fontId="0" fillId="0" borderId="85" pivotButton="0" quotePrefix="0" xfId="0"/>
    <xf numFmtId="164" fontId="79" fillId="100" borderId="46" applyAlignment="1" applyProtection="1" pivotButton="0" quotePrefix="0" xfId="1333">
      <alignment horizontal="center" vertical="center"/>
      <protection locked="1" hidden="1"/>
    </xf>
    <xf numFmtId="172" fontId="79" fillId="101" borderId="37" applyAlignment="1" applyProtection="1" pivotButton="0" quotePrefix="0" xfId="1333">
      <alignment horizontal="center" vertical="center"/>
      <protection locked="1" hidden="1"/>
    </xf>
    <xf numFmtId="172" fontId="79" fillId="101" borderId="38" applyAlignment="1" applyProtection="1" pivotButton="0" quotePrefix="0" xfId="1333">
      <alignment horizontal="center" vertical="center"/>
      <protection locked="1" hidden="1"/>
    </xf>
    <xf numFmtId="165" fontId="173" fillId="100" borderId="0" applyAlignment="1" applyProtection="1" pivotButton="0" quotePrefix="0" xfId="0">
      <alignment horizontal="center" vertical="center"/>
      <protection locked="1" hidden="1"/>
    </xf>
    <xf numFmtId="166" fontId="173" fillId="100" borderId="0" applyAlignment="1" applyProtection="1" pivotButton="0" quotePrefix="0" xfId="0">
      <alignment vertical="center"/>
      <protection locked="1" hidden="1"/>
    </xf>
    <xf numFmtId="165" fontId="81" fillId="100" borderId="0" applyAlignment="1" applyProtection="1" pivotButton="0" quotePrefix="0" xfId="0">
      <alignment horizontal="center" vertical="center"/>
      <protection locked="1" hidden="1"/>
    </xf>
    <xf numFmtId="166" fontId="81" fillId="100" borderId="0" applyAlignment="1" applyProtection="1" pivotButton="0" quotePrefix="0" xfId="0">
      <alignment vertical="center"/>
      <protection locked="1" hidden="1"/>
    </xf>
    <xf numFmtId="172" fontId="81" fillId="100" borderId="28" applyAlignment="1" applyProtection="1" pivotButton="0" quotePrefix="0" xfId="871">
      <alignment horizontal="center" vertical="center"/>
      <protection locked="1" hidden="1"/>
    </xf>
    <xf numFmtId="172" fontId="81" fillId="100" borderId="28" applyAlignment="1" applyProtection="1" pivotButton="0" quotePrefix="0" xfId="0">
      <alignment horizontal="center" vertical="center"/>
      <protection locked="1" hidden="1"/>
    </xf>
    <xf numFmtId="172" fontId="81" fillId="100" borderId="7" applyAlignment="1" applyProtection="1" pivotButton="0" quotePrefix="0" xfId="871">
      <alignment horizontal="center" vertical="center"/>
      <protection locked="1" hidden="1"/>
    </xf>
    <xf numFmtId="172" fontId="81" fillId="100" borderId="7" applyAlignment="1" applyProtection="1" pivotButton="0" quotePrefix="0" xfId="0">
      <alignment horizontal="center" vertical="center"/>
      <protection locked="1" hidden="1"/>
    </xf>
    <xf numFmtId="172" fontId="81" fillId="100" borderId="35" applyAlignment="1" applyProtection="1" pivotButton="0" quotePrefix="0" xfId="871">
      <alignment horizontal="center" vertical="center"/>
      <protection locked="1" hidden="1"/>
    </xf>
    <xf numFmtId="172" fontId="81" fillId="100" borderId="35" applyAlignment="1" applyProtection="1" pivotButton="0" quotePrefix="0" xfId="0">
      <alignment horizontal="center" vertical="center"/>
      <protection locked="1" hidden="1"/>
    </xf>
    <xf numFmtId="172" fontId="81" fillId="100" borderId="49" applyAlignment="1" applyProtection="1" pivotButton="0" quotePrefix="0" xfId="871">
      <alignment horizontal="center" vertical="center"/>
      <protection locked="1" hidden="1"/>
    </xf>
    <xf numFmtId="172" fontId="81" fillId="100" borderId="49" applyAlignment="1" applyProtection="1" pivotButton="0" quotePrefix="0" xfId="0">
      <alignment horizontal="center" vertical="center"/>
      <protection locked="1" hidden="1"/>
    </xf>
    <xf numFmtId="172" fontId="81" fillId="100" borderId="0" applyAlignment="1" applyProtection="1" pivotButton="0" quotePrefix="0" xfId="0">
      <alignment horizontal="center" vertical="center"/>
      <protection locked="1" hidden="1"/>
    </xf>
    <xf numFmtId="166" fontId="79" fillId="100" borderId="0" applyAlignment="1" applyProtection="1" pivotButton="0" quotePrefix="0" xfId="0">
      <alignment vertical="center"/>
      <protection locked="1" hidden="1"/>
    </xf>
    <xf numFmtId="172" fontId="79" fillId="100" borderId="0" applyAlignment="1" applyProtection="1" pivotButton="0" quotePrefix="0" xfId="0">
      <alignment horizontal="center" vertical="center"/>
      <protection locked="1" hidden="1"/>
    </xf>
    <xf numFmtId="0" fontId="0" fillId="0" borderId="67" applyProtection="1" pivotButton="0" quotePrefix="0" xfId="0">
      <protection locked="1" hidden="1"/>
    </xf>
    <xf numFmtId="0" fontId="0" fillId="0" borderId="68" pivotButton="0" quotePrefix="0" xfId="0"/>
    <xf numFmtId="182" fontId="79" fillId="100" borderId="46" applyAlignment="1" applyProtection="1" pivotButton="0" quotePrefix="0" xfId="1450">
      <alignment horizontal="right" vertical="center"/>
      <protection locked="1" hidden="1"/>
    </xf>
    <xf numFmtId="167" fontId="79" fillId="101" borderId="37" applyAlignment="1" applyProtection="1" pivotButton="0" quotePrefix="0" xfId="0">
      <alignment horizontal="center" vertical="center"/>
      <protection locked="1" hidden="1"/>
    </xf>
    <xf numFmtId="172" fontId="79" fillId="105" borderId="37" applyAlignment="1" applyProtection="1" pivotButton="0" quotePrefix="0" xfId="871">
      <alignment horizontal="center" vertical="center"/>
      <protection locked="1" hidden="1"/>
    </xf>
    <xf numFmtId="172" fontId="79" fillId="105" borderId="38" applyAlignment="1" applyProtection="1" pivotButton="0" quotePrefix="0" xfId="871">
      <alignment horizontal="center" vertical="center"/>
      <protection locked="1" hidden="1"/>
    </xf>
    <xf numFmtId="172" fontId="154" fillId="100" borderId="36" applyAlignment="1" applyProtection="1" pivotButton="0" quotePrefix="0" xfId="871">
      <alignment horizontal="center" vertical="center"/>
      <protection locked="1" hidden="1"/>
    </xf>
    <xf numFmtId="172" fontId="154" fillId="100" borderId="37" applyAlignment="1" applyProtection="1" pivotButton="0" quotePrefix="0" xfId="871">
      <alignment horizontal="center" vertical="center"/>
      <protection locked="1" hidden="1"/>
    </xf>
    <xf numFmtId="172" fontId="155" fillId="100" borderId="7" applyAlignment="1" applyProtection="1" pivotButton="0" quotePrefix="0" xfId="871">
      <alignment horizontal="center" vertical="center"/>
      <protection locked="1" hidden="1"/>
    </xf>
    <xf numFmtId="172" fontId="181" fillId="100" borderId="7" applyAlignment="1" applyProtection="1" pivotButton="0" quotePrefix="0" xfId="871">
      <alignment horizontal="center" vertical="center"/>
      <protection locked="1" hidden="1"/>
    </xf>
    <xf numFmtId="165" fontId="81" fillId="0" borderId="0" applyAlignment="1" applyProtection="1" pivotButton="0" quotePrefix="0" xfId="0">
      <alignment horizontal="center" vertical="center"/>
      <protection locked="1" hidden="1"/>
    </xf>
    <xf numFmtId="166" fontId="81" fillId="0" borderId="0" applyAlignment="1" applyProtection="1" pivotButton="0" quotePrefix="0" xfId="0">
      <alignment vertical="center"/>
      <protection locked="1" hidden="1"/>
    </xf>
    <xf numFmtId="166" fontId="154" fillId="0" borderId="0" applyAlignment="1" applyProtection="1" pivotButton="0" quotePrefix="0" xfId="0">
      <alignment vertical="center"/>
      <protection locked="1" hidden="1"/>
    </xf>
    <xf numFmtId="172" fontId="79" fillId="0" borderId="0" applyAlignment="1" applyProtection="1" pivotButton="0" quotePrefix="0" xfId="871">
      <alignment horizontal="center" vertical="center"/>
      <protection locked="1" hidden="1"/>
    </xf>
    <xf numFmtId="166" fontId="79" fillId="0" borderId="0" applyAlignment="1" applyProtection="1" pivotButton="0" quotePrefix="0" xfId="0">
      <alignment vertical="center"/>
      <protection locked="1" hidden="1"/>
    </xf>
    <xf numFmtId="172" fontId="79" fillId="0" borderId="52" applyAlignment="1" applyProtection="1" pivotButton="0" quotePrefix="0" xfId="871">
      <alignment horizontal="center" vertical="center"/>
      <protection locked="1" hidden="1"/>
    </xf>
    <xf numFmtId="172" fontId="156" fillId="0" borderId="0" applyAlignment="1" applyProtection="1" pivotButton="0" quotePrefix="0" xfId="871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165" fontId="81" fillId="100" borderId="0" applyAlignment="1" pivotButton="0" quotePrefix="0" xfId="0">
      <alignment horizontal="center"/>
    </xf>
    <xf numFmtId="166" fontId="81" fillId="100" borderId="0" pivotButton="0" quotePrefix="0" xfId="0"/>
    <xf numFmtId="165" fontId="81" fillId="100" borderId="0" applyAlignment="1" pivotButton="0" quotePrefix="0" xfId="0">
      <alignment horizontal="center" vertical="center"/>
    </xf>
    <xf numFmtId="165" fontId="81" fillId="0" borderId="0" applyAlignment="1" pivotButton="0" quotePrefix="0" xfId="0">
      <alignment horizontal="center" vertical="center"/>
    </xf>
    <xf numFmtId="166" fontId="154" fillId="100" borderId="0" applyAlignment="1" pivotButton="0" quotePrefix="0" xfId="0">
      <alignment vertical="center"/>
    </xf>
    <xf numFmtId="164" fontId="79" fillId="110" borderId="95" applyAlignment="1" applyProtection="1" pivotButton="0" quotePrefix="0" xfId="1333">
      <alignment horizontal="center" vertical="center"/>
      <protection locked="1" hidden="1"/>
    </xf>
    <xf numFmtId="0" fontId="0" fillId="0" borderId="69" applyProtection="1" pivotButton="0" quotePrefix="0" xfId="0">
      <protection locked="1" hidden="1"/>
    </xf>
    <xf numFmtId="172" fontId="79" fillId="105" borderId="37" applyAlignment="1" applyProtection="1" pivotButton="0" quotePrefix="0" xfId="1333">
      <alignment horizontal="center" vertical="center"/>
      <protection locked="1" hidden="1"/>
    </xf>
    <xf numFmtId="172" fontId="79" fillId="105" borderId="38" applyAlignment="1" applyProtection="1" pivotButton="0" quotePrefix="0" xfId="1333">
      <alignment horizontal="center" vertical="center"/>
      <protection locked="1" hidden="1"/>
    </xf>
    <xf numFmtId="165" fontId="81" fillId="100" borderId="0" applyAlignment="1" applyProtection="1" pivotButton="0" quotePrefix="0" xfId="0">
      <alignment horizontal="center"/>
      <protection locked="1" hidden="1"/>
    </xf>
    <xf numFmtId="166" fontId="81" fillId="100" borderId="0" applyProtection="1" pivotButton="0" quotePrefix="0" xfId="0">
      <protection locked="1" hidden="1"/>
    </xf>
    <xf numFmtId="166" fontId="154" fillId="100" borderId="0" applyAlignment="1" applyProtection="1" pivotButton="0" quotePrefix="0" xfId="0">
      <alignment vertical="center"/>
      <protection locked="1" hidden="1"/>
    </xf>
    <xf numFmtId="0" fontId="0" fillId="0" borderId="47" applyProtection="1" pivotButton="0" quotePrefix="0" xfId="0">
      <protection locked="1" hidden="1"/>
    </xf>
    <xf numFmtId="167" fontId="81" fillId="0" borderId="7" applyAlignment="1" applyProtection="1" pivotButton="0" quotePrefix="0" xfId="0">
      <alignment horizontal="center" vertical="center"/>
      <protection locked="1" hidden="1"/>
    </xf>
    <xf numFmtId="172" fontId="81" fillId="0" borderId="7" applyAlignment="1" applyProtection="1" pivotButton="0" quotePrefix="0" xfId="871">
      <alignment horizontal="center" vertical="center"/>
      <protection locked="1" hidden="1"/>
    </xf>
    <xf numFmtId="172" fontId="81" fillId="0" borderId="7" applyAlignment="1" applyProtection="1" pivotButton="0" quotePrefix="0" xfId="0">
      <alignment horizontal="center" vertical="center"/>
      <protection locked="1" hidden="1"/>
    </xf>
    <xf numFmtId="172" fontId="81" fillId="0" borderId="37" applyAlignment="1" applyProtection="1" pivotButton="0" quotePrefix="0" xfId="0">
      <alignment horizontal="center" vertical="center"/>
      <protection locked="1" hidden="1"/>
    </xf>
    <xf numFmtId="167" fontId="81" fillId="0" borderId="49" applyAlignment="1" applyProtection="1" pivotButton="0" quotePrefix="0" xfId="0">
      <alignment horizontal="center" vertical="center"/>
      <protection locked="1" hidden="1"/>
    </xf>
    <xf numFmtId="172" fontId="81" fillId="0" borderId="49" applyAlignment="1" applyProtection="1" pivotButton="0" quotePrefix="0" xfId="871">
      <alignment horizontal="center" vertical="center"/>
      <protection locked="1" hidden="1"/>
    </xf>
    <xf numFmtId="172" fontId="81" fillId="0" borderId="49" applyAlignment="1" applyProtection="1" pivotButton="0" quotePrefix="0" xfId="0">
      <alignment horizontal="center" vertical="center"/>
      <protection locked="1" hidden="1"/>
    </xf>
    <xf numFmtId="172" fontId="81" fillId="0" borderId="35" applyAlignment="1" applyProtection="1" pivotButton="0" quotePrefix="0" xfId="0">
      <alignment horizontal="center" vertical="center"/>
      <protection locked="1" hidden="1"/>
    </xf>
    <xf numFmtId="172" fontId="81" fillId="0" borderId="38" applyAlignment="1" applyProtection="1" pivotButton="0" quotePrefix="0" xfId="0">
      <alignment horizontal="center" vertical="center"/>
      <protection locked="1" hidden="1"/>
    </xf>
    <xf numFmtId="167" fontId="79" fillId="100" borderId="0" applyProtection="1" pivotButton="0" quotePrefix="0" xfId="0">
      <protection locked="1" hidden="1"/>
    </xf>
    <xf numFmtId="172" fontId="79" fillId="100" borderId="0" applyAlignment="1" applyProtection="1" pivotButton="0" quotePrefix="0" xfId="0">
      <alignment horizontal="center"/>
      <protection locked="1" hidden="1"/>
    </xf>
    <xf numFmtId="166" fontId="79" fillId="100" borderId="0" applyProtection="1" pivotButton="0" quotePrefix="0" xfId="0">
      <protection locked="1" hidden="1"/>
    </xf>
    <xf numFmtId="172" fontId="79" fillId="0" borderId="7" applyAlignment="1" applyProtection="1" pivotButton="0" quotePrefix="0" xfId="0">
      <alignment horizontal="center" vertical="center"/>
      <protection locked="1" hidden="1"/>
    </xf>
    <xf numFmtId="172" fontId="156" fillId="100" borderId="0" applyAlignment="1" applyProtection="1" pivotButton="0" quotePrefix="0" xfId="0">
      <alignment horizontal="center" vertical="center"/>
      <protection locked="1" hidden="1"/>
    </xf>
    <xf numFmtId="164" fontId="79" fillId="100" borderId="40" applyAlignment="1" applyProtection="1" pivotButton="0" quotePrefix="0" xfId="1333">
      <alignment horizontal="right" vertical="center"/>
      <protection locked="1" hidden="1"/>
    </xf>
    <xf numFmtId="0" fontId="0" fillId="0" borderId="61" applyProtection="1" pivotButton="0" quotePrefix="0" xfId="0">
      <protection locked="1" hidden="1"/>
    </xf>
    <xf numFmtId="178" fontId="79" fillId="101" borderId="37" applyAlignment="1" applyProtection="1" pivotButton="0" quotePrefix="0" xfId="1333">
      <alignment horizontal="center" vertical="center"/>
      <protection locked="1" hidden="1"/>
    </xf>
    <xf numFmtId="0" fontId="158" fillId="110" borderId="95" applyAlignment="1" applyProtection="1" pivotButton="0" quotePrefix="0" xfId="0">
      <alignment horizontal="center" vertical="center"/>
      <protection locked="1" hidden="1"/>
    </xf>
    <xf numFmtId="169" fontId="81" fillId="0" borderId="0" applyAlignment="1" applyProtection="1" pivotButton="0" quotePrefix="0" xfId="871">
      <alignment horizontal="center" vertical="center"/>
      <protection locked="1" hidden="1"/>
    </xf>
    <xf numFmtId="169" fontId="79" fillId="0" borderId="0" applyAlignment="1" applyProtection="1" pivotButton="0" quotePrefix="0" xfId="871">
      <alignment horizontal="center" vertical="center"/>
      <protection locked="1" hidden="1"/>
    </xf>
    <xf numFmtId="183" fontId="79" fillId="110" borderId="46" applyAlignment="1" pivotButton="0" quotePrefix="0" xfId="1333">
      <alignment horizontal="center" vertical="center"/>
    </xf>
    <xf numFmtId="175" fontId="96" fillId="0" borderId="47" applyAlignment="1" pivotButton="0" quotePrefix="0" xfId="0">
      <alignment vertical="center"/>
    </xf>
    <xf numFmtId="176" fontId="81" fillId="100" borderId="47" applyAlignment="1" applyProtection="1" pivotButton="0" quotePrefix="0" xfId="0">
      <alignment horizontal="center" vertical="center"/>
      <protection locked="1" hidden="1"/>
    </xf>
    <xf numFmtId="168" fontId="81" fillId="100" borderId="47" applyAlignment="1" applyProtection="1" pivotButton="0" quotePrefix="0" xfId="938">
      <alignment horizontal="center" vertical="center"/>
      <protection locked="1" hidden="1"/>
    </xf>
    <xf numFmtId="174" fontId="81" fillId="100" borderId="47" applyAlignment="1" applyProtection="1" pivotButton="0" quotePrefix="0" xfId="0">
      <alignment horizontal="center" vertical="center"/>
      <protection locked="1" hidden="1"/>
    </xf>
    <xf numFmtId="168" fontId="154" fillId="100" borderId="47" applyAlignment="1" applyProtection="1" pivotButton="0" quotePrefix="0" xfId="0">
      <alignment horizontal="right" vertical="center"/>
      <protection locked="1" hidden="1"/>
    </xf>
    <xf numFmtId="175" fontId="96" fillId="0" borderId="7" applyAlignment="1" pivotButton="0" quotePrefix="0" xfId="0">
      <alignment vertical="center"/>
    </xf>
    <xf numFmtId="174" fontId="81" fillId="100" borderId="7" applyAlignment="1" applyProtection="1" pivotButton="0" quotePrefix="0" xfId="0">
      <alignment horizontal="center" vertical="center"/>
      <protection locked="1" hidden="1"/>
    </xf>
    <xf numFmtId="168" fontId="154" fillId="100" borderId="7" applyAlignment="1" applyProtection="1" pivotButton="0" quotePrefix="0" xfId="0">
      <alignment horizontal="right" vertical="center"/>
      <protection locked="1" hidden="1"/>
    </xf>
    <xf numFmtId="168" fontId="81" fillId="100" borderId="7" applyAlignment="1" applyProtection="1" pivotButton="0" quotePrefix="0" xfId="0">
      <alignment horizontal="center" vertical="center"/>
      <protection locked="1" hidden="1"/>
    </xf>
    <xf numFmtId="169" fontId="158" fillId="0" borderId="0" applyAlignment="1" pivotButton="0" quotePrefix="0" xfId="871">
      <alignment horizontal="center" vertical="center"/>
    </xf>
    <xf numFmtId="169" fontId="153" fillId="0" borderId="0" applyAlignment="1" pivotButton="0" quotePrefix="0" xfId="871">
      <alignment horizontal="center" vertical="center"/>
    </xf>
    <xf numFmtId="168" fontId="81" fillId="100" borderId="7" applyAlignment="1" applyProtection="1" pivotButton="0" quotePrefix="0" xfId="938">
      <alignment horizontal="center" vertical="center"/>
      <protection locked="1" hidden="1"/>
    </xf>
    <xf numFmtId="177" fontId="153" fillId="0" borderId="0" applyAlignment="1" pivotButton="0" quotePrefix="0" xfId="871">
      <alignment horizontal="right" vertical="center"/>
    </xf>
    <xf numFmtId="179" fontId="0" fillId="0" borderId="7" applyAlignment="1" pivotButton="0" quotePrefix="0" xfId="0">
      <alignment horizontal="center" vertical="center"/>
    </xf>
    <xf numFmtId="168" fontId="81" fillId="100" borderId="61" applyAlignment="1" applyProtection="1" pivotButton="0" quotePrefix="0" xfId="938">
      <alignment horizontal="center" vertical="center"/>
      <protection locked="1" hidden="1"/>
    </xf>
    <xf numFmtId="170" fontId="81" fillId="100" borderId="47" applyAlignment="1" applyProtection="1" pivotButton="0" quotePrefix="0" xfId="0">
      <alignment horizontal="center" vertical="center"/>
      <protection locked="1" hidden="1"/>
    </xf>
    <xf numFmtId="0" fontId="159" fillId="0" borderId="99" applyAlignment="1" applyProtection="1" pivotButton="0" quotePrefix="0" xfId="0">
      <alignment horizontal="left" vertical="center" wrapText="1"/>
      <protection locked="0" hidden="0"/>
    </xf>
    <xf numFmtId="0" fontId="0" fillId="0" borderId="87" applyProtection="1" pivotButton="0" quotePrefix="0" xfId="0">
      <protection locked="0" hidden="0"/>
    </xf>
    <xf numFmtId="178" fontId="79" fillId="0" borderId="0" applyAlignment="1" applyProtection="1" pivotButton="0" quotePrefix="0" xfId="1333">
      <alignment horizontal="center" vertical="center"/>
      <protection locked="1" hidden="1"/>
    </xf>
    <xf numFmtId="0" fontId="0" fillId="0" borderId="89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3" fontId="79" fillId="101" borderId="69" applyAlignment="1" applyProtection="1" pivotButton="0" quotePrefix="0" xfId="0">
      <alignment horizontal="center" vertical="center" wrapText="1"/>
      <protection locked="1" hidden="1"/>
    </xf>
    <xf numFmtId="0" fontId="0" fillId="0" borderId="70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91" applyProtection="1" pivotButton="0" quotePrefix="0" xfId="0">
      <protection locked="1" hidden="1"/>
    </xf>
    <xf numFmtId="168" fontId="154" fillId="100" borderId="0" applyAlignment="1" applyProtection="1" pivotButton="0" quotePrefix="0" xfId="0">
      <alignment horizontal="right" vertical="center"/>
      <protection locked="1" hidden="1"/>
    </xf>
    <xf numFmtId="169" fontId="157" fillId="0" borderId="0" applyAlignment="1" pivotButton="0" quotePrefix="0" xfId="871">
      <alignment horizontal="center" vertical="center"/>
    </xf>
    <xf numFmtId="181" fontId="153" fillId="0" borderId="0" applyAlignment="1" applyProtection="1" pivotButton="0" quotePrefix="0" xfId="0">
      <alignment vertical="center"/>
      <protection locked="1" hidden="1"/>
    </xf>
    <xf numFmtId="181" fontId="153" fillId="0" borderId="0" applyAlignment="1" pivotButton="0" quotePrefix="0" xfId="0">
      <alignment vertical="center"/>
    </xf>
    <xf numFmtId="169" fontId="153" fillId="0" borderId="37" applyAlignment="1" applyProtection="1" pivotButton="0" quotePrefix="0" xfId="871">
      <alignment horizontal="center" vertical="center"/>
      <protection locked="1" hidden="1"/>
    </xf>
    <xf numFmtId="169" fontId="153" fillId="0" borderId="38" applyAlignment="1" applyProtection="1" pivotButton="0" quotePrefix="0" xfId="871">
      <alignment horizontal="center" vertical="center"/>
      <protection locked="1" hidden="1"/>
    </xf>
    <xf numFmtId="0" fontId="0" fillId="0" borderId="5" pivotButton="0" quotePrefix="0" xfId="0"/>
    <xf numFmtId="0" fontId="0" fillId="0" borderId="89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61" pivotButton="0" quotePrefix="0" xfId="0"/>
    <xf numFmtId="169" fontId="128" fillId="0" borderId="7" applyAlignment="1" pivotButton="0" quotePrefix="0" xfId="871">
      <alignment vertical="center"/>
    </xf>
    <xf numFmtId="0" fontId="165" fillId="106" borderId="52" applyAlignment="1" pivotButton="0" quotePrefix="0" xfId="0">
      <alignment horizontal="center" wrapText="1"/>
    </xf>
    <xf numFmtId="0" fontId="0" fillId="0" borderId="72" pivotButton="0" quotePrefix="0" xfId="0"/>
    <xf numFmtId="169" fontId="128" fillId="0" borderId="37" applyAlignment="1" pivotButton="0" quotePrefix="0" xfId="0">
      <alignment horizontal="center"/>
    </xf>
    <xf numFmtId="169" fontId="128" fillId="0" borderId="38" applyAlignment="1" pivotButton="0" quotePrefix="0" xfId="0">
      <alignment horizontal="center"/>
    </xf>
    <xf numFmtId="176" fontId="81" fillId="100" borderId="28" applyAlignment="1" applyProtection="1" pivotButton="0" quotePrefix="0" xfId="0">
      <alignment horizontal="center" vertical="center"/>
      <protection locked="1" hidden="1"/>
    </xf>
    <xf numFmtId="174" fontId="81" fillId="100" borderId="28" applyAlignment="1" applyProtection="1" pivotButton="0" quotePrefix="0" xfId="0">
      <alignment horizontal="center" vertical="center"/>
      <protection locked="1" hidden="1"/>
    </xf>
    <xf numFmtId="180" fontId="81" fillId="100" borderId="28" applyAlignment="1" applyProtection="1" pivotButton="0" quotePrefix="0" xfId="0">
      <alignment horizontal="center" vertical="center"/>
      <protection locked="1" hidden="1"/>
    </xf>
    <xf numFmtId="168" fontId="81" fillId="100" borderId="36" applyAlignment="1" applyProtection="1" pivotButton="0" quotePrefix="0" xfId="0">
      <alignment horizontal="center" vertical="center"/>
      <protection locked="1" hidden="1"/>
    </xf>
    <xf numFmtId="180" fontId="81" fillId="100" borderId="47" applyAlignment="1" applyProtection="1" pivotButton="0" quotePrefix="0" xfId="0">
      <alignment horizontal="center" vertical="center"/>
      <protection locked="1" hidden="1"/>
    </xf>
    <xf numFmtId="168" fontId="81" fillId="100" borderId="37" applyAlignment="1" applyProtection="1" pivotButton="0" quotePrefix="0" xfId="0">
      <alignment horizontal="center" vertical="center"/>
      <protection locked="1" hidden="1"/>
    </xf>
    <xf numFmtId="176" fontId="81" fillId="100" borderId="60" applyAlignment="1" applyProtection="1" pivotButton="0" quotePrefix="0" xfId="0">
      <alignment horizontal="center" vertical="center"/>
      <protection locked="1" hidden="1"/>
    </xf>
    <xf numFmtId="174" fontId="81" fillId="100" borderId="60" applyAlignment="1" applyProtection="1" pivotButton="0" quotePrefix="0" xfId="0">
      <alignment horizontal="center" vertical="center"/>
      <protection locked="1" hidden="1"/>
    </xf>
    <xf numFmtId="180" fontId="81" fillId="100" borderId="60" applyAlignment="1" applyProtection="1" pivotButton="0" quotePrefix="0" xfId="0">
      <alignment horizontal="center" vertical="center"/>
      <protection locked="1" hidden="1"/>
    </xf>
    <xf numFmtId="168" fontId="81" fillId="100" borderId="38" applyAlignment="1" applyProtection="1" pivotButton="0" quotePrefix="0" xfId="0">
      <alignment horizontal="center" vertical="center"/>
      <protection locked="1" hidden="1"/>
    </xf>
    <xf numFmtId="168" fontId="81" fillId="100" borderId="50" applyAlignment="1" applyProtection="1" pivotButton="0" quotePrefix="0" xfId="0">
      <alignment horizontal="center" vertical="center"/>
      <protection locked="1" hidden="1"/>
    </xf>
    <xf numFmtId="169" fontId="0" fillId="0" borderId="0" pivotButton="0" quotePrefix="0" xfId="0"/>
    <xf numFmtId="167" fontId="0" fillId="0" borderId="0" applyAlignment="1" pivotButton="0" quotePrefix="0" xfId="0">
      <alignment horizontal="center"/>
    </xf>
    <xf numFmtId="167" fontId="79" fillId="0" borderId="0" applyAlignment="1" applyProtection="1" pivotButton="0" quotePrefix="0" xfId="0">
      <alignment horizontal="center" vertical="center"/>
      <protection locked="1" hidden="1"/>
    </xf>
    <xf numFmtId="0" fontId="162" fillId="100" borderId="7" applyAlignment="1" pivotButton="0" quotePrefix="0" xfId="0">
      <alignment horizontal="center" vertical="center" wrapText="1"/>
    </xf>
    <xf numFmtId="0" fontId="0" fillId="0" borderId="92" pivotButton="0" quotePrefix="0" xfId="0"/>
    <xf numFmtId="0" fontId="0" fillId="0" borderId="70" pivotButton="0" quotePrefix="0" xfId="0"/>
    <xf numFmtId="0" fontId="0" fillId="0" borderId="83" pivotButton="0" quotePrefix="0" xfId="0"/>
    <xf numFmtId="0" fontId="0" fillId="0" borderId="63" pivotButton="0" quotePrefix="0" xfId="0"/>
    <xf numFmtId="169" fontId="128" fillId="0" borderId="38" applyAlignment="1" pivotButton="0" quotePrefix="0" xfId="871">
      <alignment horizontal="center" vertical="center"/>
    </xf>
    <xf numFmtId="176" fontId="81" fillId="100" borderId="47" applyAlignment="1" applyProtection="1" pivotButton="0" quotePrefix="0" xfId="938">
      <alignment horizontal="center" vertical="center"/>
      <protection locked="1" hidden="1"/>
    </xf>
    <xf numFmtId="176" fontId="81" fillId="100" borderId="7" applyAlignment="1" applyProtection="1" pivotButton="0" quotePrefix="0" xfId="938">
      <alignment horizontal="center" vertical="center"/>
      <protection locked="1" hidden="1"/>
    </xf>
    <xf numFmtId="176" fontId="81" fillId="100" borderId="0" applyAlignment="1" applyProtection="1" pivotButton="0" quotePrefix="0" xfId="938">
      <alignment horizontal="center" vertical="center"/>
      <protection locked="1" hidden="1"/>
    </xf>
    <xf numFmtId="168" fontId="81" fillId="100" borderId="0" applyAlignment="1" applyProtection="1" pivotButton="0" quotePrefix="0" xfId="938">
      <alignment horizontal="center" vertical="center"/>
      <protection locked="1" hidden="1"/>
    </xf>
    <xf numFmtId="174" fontId="81" fillId="100" borderId="0" applyAlignment="1" applyProtection="1" pivotButton="0" quotePrefix="0" xfId="0">
      <alignment horizontal="center" vertical="center"/>
      <protection locked="1" hidden="1"/>
    </xf>
    <xf numFmtId="0" fontId="0" fillId="0" borderId="101" pivotButton="0" quotePrefix="0" xfId="0"/>
    <xf numFmtId="0" fontId="0" fillId="0" borderId="101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0" fillId="0" borderId="68" applyProtection="1" pivotButton="0" quotePrefix="0" xfId="0">
      <protection locked="0" hidden="1"/>
    </xf>
    <xf numFmtId="0" fontId="0" fillId="0" borderId="51" applyProtection="1" pivotButton="0" quotePrefix="0" xfId="0">
      <protection locked="0" hidden="1"/>
    </xf>
    <xf numFmtId="0" fontId="185" fillId="0" borderId="37" applyAlignment="1" applyProtection="1" pivotButton="0" quotePrefix="0" xfId="0">
      <alignment horizontal="center" vertical="center" wrapText="1"/>
      <protection locked="0" hidden="0"/>
    </xf>
    <xf numFmtId="0" fontId="0" fillId="0" borderId="69" applyProtection="1" pivotButton="0" quotePrefix="0" xfId="0">
      <protection locked="0" hidden="0"/>
    </xf>
    <xf numFmtId="0" fontId="0" fillId="0" borderId="83" applyProtection="1" pivotButton="0" quotePrefix="0" xfId="0">
      <protection locked="0" hidden="1"/>
    </xf>
    <xf numFmtId="0" fontId="0" fillId="0" borderId="63" applyProtection="1" pivotButton="0" quotePrefix="0" xfId="0">
      <protection locked="0" hidden="1"/>
    </xf>
    <xf numFmtId="179" fontId="153" fillId="0" borderId="0" applyAlignment="1" pivotButton="0" quotePrefix="0" xfId="0">
      <alignment horizontal="center" vertical="center"/>
    </xf>
    <xf numFmtId="170" fontId="114" fillId="0" borderId="0" applyAlignment="1" pivotButton="0" quotePrefix="0" xfId="1414">
      <alignment horizontal="center" vertical="center"/>
    </xf>
    <xf numFmtId="174" fontId="153" fillId="0" borderId="7" applyAlignment="1" applyProtection="1" pivotButton="0" quotePrefix="0" xfId="938">
      <alignment vertical="center"/>
      <protection locked="1" hidden="1"/>
    </xf>
    <xf numFmtId="174" fontId="153" fillId="0" borderId="0" applyAlignment="1" applyProtection="1" pivotButton="0" quotePrefix="0" xfId="938">
      <alignment vertical="center"/>
      <protection locked="1" hidden="1"/>
    </xf>
    <xf numFmtId="0" fontId="161" fillId="0" borderId="39" applyAlignment="1" pivotButton="0" quotePrefix="0" xfId="0">
      <alignment vertical="center" wrapText="1"/>
    </xf>
    <xf numFmtId="0" fontId="161" fillId="0" borderId="46" applyAlignment="1" pivotButton="0" quotePrefix="0" xfId="0">
      <alignment vertical="center" wrapText="1"/>
    </xf>
    <xf numFmtId="168" fontId="161" fillId="0" borderId="37" applyAlignment="1" pivotButton="0" quotePrefix="0" xfId="0">
      <alignment horizontal="center" vertical="center"/>
    </xf>
    <xf numFmtId="0" fontId="161" fillId="0" borderId="48" applyAlignment="1" pivotButton="0" quotePrefix="0" xfId="0">
      <alignment vertical="center" wrapText="1"/>
    </xf>
    <xf numFmtId="168" fontId="161" fillId="0" borderId="38" applyAlignment="1" pivotButton="0" quotePrefix="0" xfId="0">
      <alignment horizontal="center" vertical="center"/>
    </xf>
    <xf numFmtId="168" fontId="161" fillId="0" borderId="0" applyAlignment="1" pivotButton="0" quotePrefix="0" xfId="0">
      <alignment horizontal="center" vertical="center"/>
    </xf>
    <xf numFmtId="170" fontId="79" fillId="102" borderId="7" applyAlignment="1" pivotButton="0" quotePrefix="0" xfId="1414">
      <alignment horizontal="center" vertical="center"/>
    </xf>
    <xf numFmtId="0" fontId="0" fillId="0" borderId="93" pivotButton="0" quotePrefix="0" xfId="0"/>
    <xf numFmtId="0" fontId="0" fillId="0" borderId="96" pivotButton="0" quotePrefix="0" xfId="0"/>
    <xf numFmtId="167" fontId="79" fillId="105" borderId="37" applyAlignment="1" applyProtection="1" pivotButton="0" quotePrefix="0" xfId="1333">
      <alignment horizontal="center" vertical="center"/>
      <protection locked="1" hidden="1"/>
    </xf>
    <xf numFmtId="167" fontId="79" fillId="105" borderId="38" applyAlignment="1" applyProtection="1" pivotButton="0" quotePrefix="0" xfId="1333">
      <alignment horizontal="center" vertical="center"/>
      <protection locked="1" hidden="1"/>
    </xf>
    <xf numFmtId="172" fontId="81" fillId="100" borderId="37" applyAlignment="1" applyProtection="1" pivotButton="0" quotePrefix="0" xfId="871">
      <alignment horizontal="center" vertical="center"/>
      <protection locked="1" hidden="1"/>
    </xf>
    <xf numFmtId="172" fontId="81" fillId="100" borderId="51" applyAlignment="1" applyProtection="1" pivotButton="0" quotePrefix="0" xfId="871">
      <alignment horizontal="center" vertical="center"/>
      <protection locked="1" hidden="1"/>
    </xf>
    <xf numFmtId="172" fontId="81" fillId="100" borderId="38" applyAlignment="1" applyProtection="1" pivotButton="0" quotePrefix="0" xfId="871">
      <alignment horizontal="center" vertical="center"/>
      <protection locked="1" hidden="1"/>
    </xf>
    <xf numFmtId="172" fontId="81" fillId="100" borderId="63" applyAlignment="1" applyProtection="1" pivotButton="0" quotePrefix="0" xfId="871">
      <alignment horizontal="center" vertical="center"/>
      <protection locked="1" hidden="1"/>
    </xf>
    <xf numFmtId="172" fontId="154" fillId="100" borderId="38" applyAlignment="1" applyProtection="1" pivotButton="0" quotePrefix="0" xfId="871">
      <alignment horizontal="center" vertical="center"/>
      <protection locked="1" hidden="1"/>
    </xf>
    <xf numFmtId="172" fontId="81" fillId="100" borderId="0" applyAlignment="1" applyProtection="1" pivotButton="0" quotePrefix="0" xfId="871">
      <alignment horizontal="center" vertical="center"/>
      <protection locked="1" hidden="1"/>
    </xf>
  </cellXfs>
  <cellStyles count="1764">
    <cellStyle name="Обычный" xfId="0" builtinId="0"/>
    <cellStyle name=" 1" xfId="1"/>
    <cellStyle name="_x000a_bidires=100_x000d_" xfId="2"/>
    <cellStyle name="]_x000d__x000a_Zoomed=1_x000d__x000a_Row=0_x000d__x000a_Column=0_x000d__x000a_Height=0_x000d__x000a_Width=0_x000d__x000a_FontName=FoxFont_x000d__x000a_FontStyle=0_x000d__x000a_FontSize=9_x000d__x000a_PrtFontName=FoxPrin" xfId="3"/>
    <cellStyle name="__Бурение_2009_Факт" xfId="4"/>
    <cellStyle name="_1171-20.2007 ПО Смета № 10_доп. экз.  " xfId="5"/>
    <cellStyle name="_1-П_2011_V7_АНПЗ_План ПИР (форма 9 4) на 2013-2015г г  под capex от 12 12 2012г " xfId="6"/>
    <cellStyle name="_1-П_2011_V7_АНПЗ_План ПИР (форма 9 4) на 2013-2017г г  на 07 11 2012г " xfId="7"/>
    <cellStyle name="_1-п_2012-2015 анпз_План ПИР (форма 9 4) на 2013-2015г г  под capex от 12 12 2012г " xfId="8"/>
    <cellStyle name="_1-п_2012-2015 анпз_План ПИР (форма 9 4) на 2013-2017г г  на 07 11 2012г " xfId="9"/>
    <cellStyle name="_5_Экономика_2015-2019_План" xfId="10"/>
    <cellStyle name="_5_Экономика_2015-2019_План 2" xfId="11"/>
    <cellStyle name="_8,2 от  25,10,07 ФормулярООО Краснодарнефтегаз (зап. на к.г.196)_анпз_форма 9 6  на 2012-2017г г  на 16 11 2012г " xfId="12"/>
    <cellStyle name="_999_Бизнес-План ОАО АНПЗ ВНК 2009 г " xfId="13"/>
    <cellStyle name="_999_План ПИР (форма 9 4) на 2013-2015г г  под capex от 12 12 2012г " xfId="14"/>
    <cellStyle name="_999_План ПИР (форма 9 4) на 2013-2017г г  на 07 11 2012г " xfId="15"/>
    <cellStyle name="_Assumptions_(27 07 07)_$60_draft v2 " xfId="16"/>
    <cellStyle name="_Assumptions_(27 07 07)_$60_draft v3 " xfId="17"/>
    <cellStyle name="_C_Cash_KMEZ_2006" xfId="18"/>
    <cellStyle name="_Consolidation 2005" xfId="19"/>
    <cellStyle name="_Control_оао анпз внк 21 раздел 2012 г  с изм  10 11 2011 г " xfId="20"/>
    <cellStyle name="_Control_План ПИР (форма 9 4) на 2013-2015г г  под capex от 12 12 2012г " xfId="21"/>
    <cellStyle name="_Control_План ПИР (форма 9 4) на 2013-2017г г  на 07 11 2012г " xfId="22"/>
    <cellStyle name="_Control_Форма 9 3 2011-2015 от 24 12 10г " xfId="23"/>
    <cellStyle name="_DCF_ДСК-3_имущ.комплекс" xfId="24"/>
    <cellStyle name="_DCF_Тулачермет" xfId="25"/>
    <cellStyle name="_F_Inventory_KMEZ_2006" xfId="26"/>
    <cellStyle name="_Footnotes" xfId="27"/>
    <cellStyle name="_H_Investments_KMEZ_2006" xfId="28"/>
    <cellStyle name="_HR_S1" xfId="29"/>
    <cellStyle name="_IFRS 7 Zabiralov" xfId="30"/>
    <cellStyle name="_intercompany_RP" xfId="31"/>
    <cellStyle name="_Investments" xfId="32"/>
    <cellStyle name="_K100_PP&amp;E_transformation_KMEZ_2006 v4" xfId="33"/>
    <cellStyle name="_KMEZ_Reporting package_KMEZ_2005" xfId="34"/>
    <cellStyle name="_KPI-5_баланс  " xfId="35"/>
    <cellStyle name="_KPI-5_Формы на 2004_1 " xfId="36"/>
    <cellStyle name="_KPI-5_Формы на 2004_1 (бюджетн) " xfId="37"/>
    <cellStyle name="_KPI-5_Целевая программа ПБ ИТУ Нов " xfId="38"/>
    <cellStyle name="_MMK Информационный запрос - 1 кв.2006г" xfId="39"/>
    <cellStyle name="_OFS 3d party 23-09-04 " xfId="40"/>
    <cellStyle name="_Page 4" xfId="41"/>
    <cellStyle name="_Q_Loans_RCC_KMEZ_2006" xfId="42"/>
    <cellStyle name="_RepairRules_ML" xfId="43"/>
    <cellStyle name="_Rospan Template 1_08082005 " xfId="44"/>
    <cellStyle name="_Rospan Template 2_01082005 " xfId="45"/>
    <cellStyle name="_RP-2000" xfId="46"/>
    <cellStyle name="_Sheet1" xfId="47"/>
    <cellStyle name="_Struct" xfId="48"/>
    <cellStyle name="_Struct (2)" xfId="49"/>
    <cellStyle name="_SZNP - Eqiuty Roll" xfId="50"/>
    <cellStyle name="_SZNP - rasshifrovki-002000-333" xfId="51"/>
    <cellStyle name="_SZNP - TRS-092000" xfId="52"/>
    <cellStyle name="_Trial balance for client" xfId="53"/>
    <cellStyle name="_Worksheet in (C) 3420-MMK Информационный Запрос 2 квартал 2006 года" xfId="54"/>
    <cellStyle name="_АЗП_БАЛАНС_2007_ожид" xfId="55"/>
    <cellStyle name="_Анализ OPEX по НПЗ_оао анпз внк 21 раздел 2012 г  с изм  10 11 2011 г " xfId="56"/>
    <cellStyle name="_Анализ OPEX по НПЗ_План ПИР (форма 9 4) на 2013-2015г г  под capex от 12 12 2012г " xfId="57"/>
    <cellStyle name="_Анализ OPEX по НПЗ_План ПИР (форма 9 4) на 2013-2017г г  на 07 11 2012г " xfId="58"/>
    <cellStyle name="_Анализ OPEX по НПЗ_Форма 9 3 2011-2015 от 24 12 10г " xfId="59"/>
    <cellStyle name="_аннуитет" xfId="60"/>
    <cellStyle name="_анпз_форма 9 6  на 2012-2017г г  на 16 11 2012г " xfId="61"/>
    <cellStyle name="_Ачинский НПЗ Формуляр56 2009-2013 ОАО АНПЗ_План ПИР (форма 9 4) на 2013-2015г г  под capex от 12 12 2012г " xfId="62"/>
    <cellStyle name="_Ачинский НПЗ Формуляр56 2009-2013 ОАО АНПЗ_План ПИР (форма 9 4) на 2013-2017г г  на 07 11 2012г " xfId="63"/>
    <cellStyle name="_бдпс на ноябрь 2007 " xfId="64"/>
    <cellStyle name="_Бизнес-план КрНГ 2006-2010 г._от 21.12.05_MIS_2007_оао анпз внк 21 раздел 2012 г  с изм  10 11 2011 г " xfId="65"/>
    <cellStyle name="_Бизнес-план КрНГ 2006-2010 г._от 21.12.05_MIS_2007_План ПИР (форма 9 4) на 2013-2015г г  под capex от 12 12 2012г " xfId="66"/>
    <cellStyle name="_Бизнес-план КрНГ 2006-2010 г._от 21.12.05_MIS_2007_План ПИР (форма 9 4) на 2013-2017г г  на 07 11 2012г " xfId="67"/>
    <cellStyle name="_Бизнес-план КрНГ 2006-2010 г._от 21.12.05_MIS_2007_Форма 9 3 2011-2015 от 24 12 10г " xfId="68"/>
    <cellStyle name="_Бизнес-план КрНГ 2006-2010 г._от 21.12.05_MIS_октябрь_2007_оао анпз внк 21 раздел 2012 г  с изм  10 11 2011 г " xfId="69"/>
    <cellStyle name="_Бизнес-план КрНГ 2006-2010 г._от 21.12.05_MIS_октябрь_2007_План ПИР (форма 9 4) на 2013-2015г г  под capex от 12 12 2012г " xfId="70"/>
    <cellStyle name="_Бизнес-план КрНГ 2006-2010 г._от 21.12.05_MIS_октябрь_2007_План ПИР (форма 9 4) на 2013-2017г г  на 07 11 2012г " xfId="71"/>
    <cellStyle name="_Бизнес-план КрНГ 2006-2010 г._от 21.12.05_MIS_октябрь_2007_Форма 9 3 2011-2015 от 24 12 10г " xfId="72"/>
    <cellStyle name="_Бизнес-план КрНГ 2006-2010 г._от 21.12.05_Инвестиции БП 2008 на 10.12.07_оао анпз внк 21 раздел 2012 г  с изм  10 11 2011 г " xfId="73"/>
    <cellStyle name="_Бизнес-план КрНГ 2006-2010 г._от 21.12.05_Инвестиции БП 2008 на 10.12.07_План ПИР (форма 9 4) на 2013-2015г г  под capex от 12 12 2012г " xfId="74"/>
    <cellStyle name="_Бизнес-план КрНГ 2006-2010 г._от 21.12.05_Инвестиции БП 2008 на 10.12.07_План ПИР (форма 9 4) на 2013-2017г г  на 07 11 2012г " xfId="75"/>
    <cellStyle name="_Бизнес-план КрНГ 2006-2010 г._от 21.12.05_Инвестиции БП 2008 на 10.12.07_Форма 9 3 2011-2015 от 24 12 10г " xfId="76"/>
    <cellStyle name="_Бизнес-план КрНГ 2006-2010 г._от 21.12.05_Латыш  уточн_оао анпз внк 21 раздел 2012 г  с изм  10 11 2011 г " xfId="77"/>
    <cellStyle name="_Бизнес-план КрНГ 2006-2010 г._от 21.12.05_Латыш  уточн_План ПИР (форма 9 4) на 2013-2015г г  под capex от 12 12 2012г " xfId="78"/>
    <cellStyle name="_Бизнес-план КрНГ 2006-2010 г._от 21.12.05_Латыш  уточн_План ПИР (форма 9 4) на 2013-2017г г  на 07 11 2012г " xfId="79"/>
    <cellStyle name="_Бизнес-план КрНГ 2006-2010 г._от 21.12.05_Латыш  уточн_Форма 9 3 2011-2015 от 24 12 10г " xfId="80"/>
    <cellStyle name="_Бизнес-план КрНГ 2006-2010 г._от 21.12.05_оао анпз внк 21 раздел 2012 г  с изм  10 11 2011 г " xfId="81"/>
    <cellStyle name="_Бизнес-план КрНГ 2006-2010 г._от 21.12.05_ПЕРЕРАБОТКА_оао анпз внк 21 раздел 2012 г  с изм  10 11 2011 г " xfId="82"/>
    <cellStyle name="_Бизнес-план КрНГ 2006-2010 г._от 21.12.05_ПЕРЕРАБОТКА_План ПИР (форма 9 4) на 2013-2015г г  под capex от 12 12 2012г " xfId="83"/>
    <cellStyle name="_Бизнес-план КрНГ 2006-2010 г._от 21.12.05_ПЕРЕРАБОТКА_План ПИР (форма 9 4) на 2013-2017г г  на 07 11 2012г " xfId="84"/>
    <cellStyle name="_Бизнес-план КрНГ 2006-2010 г._от 21.12.05_ПЕРЕРАБОТКА_Форма 9 3 2011-2015 от 24 12 10г " xfId="85"/>
    <cellStyle name="_Бизнес-план КрНГ 2006-2010 г._от 21.12.05_План ПИР (форма 9 4) на 2013-2015г г  под capex от 12 12 2012г " xfId="86"/>
    <cellStyle name="_Бизнес-план КрНГ 2006-2010 г._от 21.12.05_План ПИР (форма 9 4) на 2013-2017г г  на 07 11 2012г " xfId="87"/>
    <cellStyle name="_Бизнес-план КрНГ 2006-2010 г._от 21.12.05_Сальдо 1 ДУАЭиБП_оао анпз внк 21 раздел 2012 г  с изм  10 11 2011 г " xfId="88"/>
    <cellStyle name="_Бизнес-план КрНГ 2006-2010 г._от 21.12.05_Сальдо 1 ДУАЭиБП_План ПИР (форма 9 4) на 2013-2015г г  под capex от 12 12 2012г " xfId="89"/>
    <cellStyle name="_Бизнес-план КрНГ 2006-2010 г._от 21.12.05_Сальдо 1 ДУАЭиБП_План ПИР (форма 9 4) на 2013-2017г г  на 07 11 2012г " xfId="90"/>
    <cellStyle name="_Бизнес-план КрНГ 2006-2010 г._от 21.12.05_Сальдо 1 ДУАЭиБП_Форма 9 3 2011-2015 от 24 12 10г " xfId="91"/>
    <cellStyle name="_Бизнес-план КрНГ 2006-2010 г._от 21.12.05_САХНО 2007_оао анпз внк 21 раздел 2012 г  с изм  10 11 2011 г " xfId="92"/>
    <cellStyle name="_Бизнес-план КрНГ 2006-2010 г._от 21.12.05_САХНО 2007_План ПИР (форма 9 4) на 2013-2015г г  под capex от 12 12 2012г " xfId="93"/>
    <cellStyle name="_Бизнес-план КрНГ 2006-2010 г._от 21.12.05_САХНО 2007_План ПИР (форма 9 4) на 2013-2017г г  на 07 11 2012г " xfId="94"/>
    <cellStyle name="_Бизнес-план КрНГ 2006-2010 г._от 21.12.05_САХНО 2007_Форма 9 3 2011-2015 от 24 12 10г " xfId="95"/>
    <cellStyle name="_Бизнес-план КрНГ 2006-2010 г._от 21.12.05_ТЭП 02.08_оао анпз внк 21 раздел 2012 г  с изм  10 11 2011 г " xfId="96"/>
    <cellStyle name="_Бизнес-план КрНГ 2006-2010 г._от 21.12.05_ТЭП 02.08_План ПИР (форма 9 4) на 2013-2015г г  под capex от 12 12 2012г " xfId="97"/>
    <cellStyle name="_Бизнес-план КрНГ 2006-2010 г._от 21.12.05_ТЭП 02.08_План ПИР (форма 9 4) на 2013-2017г г  на 07 11 2012г " xfId="98"/>
    <cellStyle name="_Бизнес-план КрНГ 2006-2010 г._от 21.12.05_ТЭП 02.08_Форма 9 3 2011-2015 от 24 12 10г " xfId="99"/>
    <cellStyle name="_Бизнес-план КрНГ 2006-2010 г._от 21.12.05_ТЭП 04.08 v1_оао анпз внк 21 раздел 2012 г  с изм  10 11 2011 г " xfId="100"/>
    <cellStyle name="_Бизнес-план КрНГ 2006-2010 г._от 21.12.05_ТЭП 04.08 v1_План ПИР (форма 9 4) на 2013-2015г г  под capex от 12 12 2012г " xfId="101"/>
    <cellStyle name="_Бизнес-план КрНГ 2006-2010 г._от 21.12.05_ТЭП 04.08 v1_План ПИР (форма 9 4) на 2013-2017г г  на 07 11 2012г " xfId="102"/>
    <cellStyle name="_Бизнес-план КрНГ 2006-2010 г._от 21.12.05_ТЭП 04.08 v1_Форма 9 3 2011-2015 от 24 12 10г " xfId="103"/>
    <cellStyle name="_Бизнес-план КрНГ 2006-2010 г._от 21.12.05_ТЭП 04.08_оао анпз внк 21 раздел 2012 г  с изм  10 11 2011 г " xfId="104"/>
    <cellStyle name="_Бизнес-план КрНГ 2006-2010 г._от 21.12.05_ТЭП 04.08_План ПИР (форма 9 4) на 2013-2015г г  под capex от 12 12 2012г " xfId="105"/>
    <cellStyle name="_Бизнес-план КрНГ 2006-2010 г._от 21.12.05_ТЭП 04.08_План ПИР (форма 9 4) на 2013-2017г г  на 07 11 2012г " xfId="106"/>
    <cellStyle name="_Бизнес-план КрНГ 2006-2010 г._от 21.12.05_ТЭП 04.08_Форма 9 3 2011-2015 от 24 12 10г " xfId="107"/>
    <cellStyle name="_Бизнес-план КрНГ 2006-2010 г._от 21.12.05_ТЭП 12 мес.2007  1_оао анпз внк 21 раздел 2012 г  с изм  10 11 2011 г " xfId="108"/>
    <cellStyle name="_Бизнес-план КрНГ 2006-2010 г._от 21.12.05_ТЭП 12 мес.2007  1_План ПИР (форма 9 4) на 2013-2015г г  под capex от 12 12 2012г " xfId="109"/>
    <cellStyle name="_Бизнес-план КрНГ 2006-2010 г._от 21.12.05_ТЭП 12 мес.2007  1_План ПИР (форма 9 4) на 2013-2017г г  на 07 11 2012г " xfId="110"/>
    <cellStyle name="_Бизнес-план КрНГ 2006-2010 г._от 21.12.05_ТЭП 12 мес.2007  1_Форма 9 3 2011-2015 от 24 12 10г " xfId="111"/>
    <cellStyle name="_Бизнес-план КрНГ 2006-2010 г._от 21.12.05_Форма 9 3 2011-2015 от 24 12 10г " xfId="112"/>
    <cellStyle name="_Бюджет " xfId="113"/>
    <cellStyle name="_В слайды - отчетность по другим предприятиям " xfId="114"/>
    <cellStyle name="_ВСНК" xfId="115"/>
    <cellStyle name="_ВСНК_CAPEX(М)_2008_ФАКТ" xfId="116"/>
    <cellStyle name="_ВСНК_CAPEX_2008_факт" xfId="117"/>
    <cellStyle name="_Для экономистов_оао анпз внк 21 раздел 2012 г  с изм  10 11 2011 г " xfId="118"/>
    <cellStyle name="_Для экономистов_План ПИР (форма 9 4) на 2013-2015г г  под capex от 12 12 2012г " xfId="119"/>
    <cellStyle name="_Для экономистов_План ПИР (форма 9 4) на 2013-2017г г  на 07 11 2012г " xfId="120"/>
    <cellStyle name="_Для экономистов_Форма 9 3 2011-2015 от 24 12 10г " xfId="121"/>
    <cellStyle name="_Добыча нефти и себестоимость добычи_оао анпз внк 21 раздел 2012 г  с изм  10 11 2011 г " xfId="122"/>
    <cellStyle name="_Добыча нефти и себестоимость добычи_План ПИР (форма 9 4) на 2013-2015г г  под capex от 12 12 2012г " xfId="123"/>
    <cellStyle name="_Добыча нефти и себестоимость добычи_План ПИР (форма 9 4) на 2013-2017г г  на 07 11 2012г " xfId="124"/>
    <cellStyle name="_Добыча нефти и себестоимость добычи_Форма 9 3 2011-2015 от 24 12 10г " xfId="125"/>
    <cellStyle name="_Домодедово " xfId="126"/>
    <cellStyle name="_Доходный_сериалы_без олигарха" xfId="127"/>
    <cellStyle name="_заявка на закупку материалов 1 кв 2005  " xfId="128"/>
    <cellStyle name="_ИспМощн_Бюджет 2003(вар.1а) " xfId="129"/>
    <cellStyle name="_ИспМощн_Бюджет 2004(процессинг) " xfId="130"/>
    <cellStyle name="_ИспМощн_Бюджет 2004(сырье) " xfId="131"/>
    <cellStyle name="_Книга1" xfId="132"/>
    <cellStyle name="_Книга1_оао анпз внк 21 раздел 2012 г  с изм  10 11 2011 г " xfId="133"/>
    <cellStyle name="_Книга1_План ПИР (форма 9 4) на 2013-2015г г  под capex от 12 12 2012г " xfId="134"/>
    <cellStyle name="_Книга1_План ПИР (форма 9 4) на 2013-2017г г  на 07 11 2012г " xfId="135"/>
    <cellStyle name="_Книга1_Форма 9 3 2011-2015 от 24 12 10г " xfId="136"/>
    <cellStyle name="_Книга2_Комментарии по факту 7 мес. СНПЗ " xfId="137"/>
    <cellStyle name="_Книга2_Комментарии по факту 8 мес. СНПЗ " xfId="138"/>
    <cellStyle name="_Книга2_Свод апрель 2010 " xfId="139"/>
    <cellStyle name="_Книга2_Свод март 2010 " xfId="140"/>
    <cellStyle name="_Книга2_Свод февраль 2010 " xfId="141"/>
    <cellStyle name="_Комментарии по факту 7 мес. СНПЗ " xfId="142"/>
    <cellStyle name="_Комментарии по факту 8 мес. СНПЗ " xfId="143"/>
    <cellStyle name="_Копия Копия Форма 3П новая " xfId="144"/>
    <cellStyle name="_Копия РД 2005 23-10-04_3100-изм новые от Хальзова А.А. " xfId="145"/>
    <cellStyle name="_мероприятия по снижению затрат на 2007 год " xfId="146"/>
    <cellStyle name="_модель (version 1)_оао анпз внк 21 раздел 2012 г  с изм  10 11 2011 г " xfId="147"/>
    <cellStyle name="_модель (version 1)_План ПИР (форма 9 4) на 2013-2015г г  под capex от 12 12 2012г " xfId="148"/>
    <cellStyle name="_модель (version 1)_План ПИР (форма 9 4) на 2013-2017г г  на 07 11 2012г " xfId="149"/>
    <cellStyle name="_модель (version 1)_Форма 9 3 2011-2015 от 24 12 10г " xfId="150"/>
    <cellStyle name="_Налоги уточн._оао анпз внк 21 раздел 2012 г  с изм  10 11 2011 г " xfId="151"/>
    <cellStyle name="_Налоги уточн._План ПИР (форма 9 4) на 2013-2015г г  под capex от 12 12 2012г " xfId="152"/>
    <cellStyle name="_Налоги уточн._План ПИР (форма 9 4) на 2013-2017г г  на 07 11 2012г " xfId="153"/>
    <cellStyle name="_Налоги уточн._Форма 9 3 2011-2015 от 24 12 10г " xfId="154"/>
    <cellStyle name="_Налоги_оао анпз внк 21 раздел 2012 г  с изм  10 11 2011 г " xfId="155"/>
    <cellStyle name="_Налоги_План ПИР (форма 9 4) на 2013-2015г г  под capex от 12 12 2012г " xfId="156"/>
    <cellStyle name="_Налоги_План ПИР (форма 9 4) на 2013-2017г г  на 07 11 2012г " xfId="157"/>
    <cellStyle name="_Налоги_Форма 9 3 2011-2015 от 24 12 10г " xfId="158"/>
    <cellStyle name="_НГД  ТОР на 2010 г " xfId="159"/>
    <cellStyle name="_Обратн_Фин аренда_Арендатор" xfId="160"/>
    <cellStyle name="_объемы  бурения 2004г " xfId="161"/>
    <cellStyle name="_Объемы ППН ППД  2008г " xfId="162"/>
    <cellStyle name="_переработка_Латыш  уточн_оао анпз внк 21 раздел 2012 г  с изм  10 11 2011 г " xfId="163"/>
    <cellStyle name="_переработка_Латыш  уточн_План ПИР (форма 9 4) на 2013-2015г г  под capex от 12 12 2012г " xfId="164"/>
    <cellStyle name="_переработка_Латыш  уточн_План ПИР (форма 9 4) на 2013-2017г г  на 07 11 2012г " xfId="165"/>
    <cellStyle name="_переработка_Латыш  уточн_Форма 9 3 2011-2015 от 24 12 10г " xfId="166"/>
    <cellStyle name="_переработка_Сальдо 1 ДУАЭиБП_оао анпз внк 21 раздел 2012 г  с изм  10 11 2011 г " xfId="167"/>
    <cellStyle name="_переработка_Сальдо 1 ДУАЭиБП_План ПИР (форма 9 4) на 2013-2015г г  под capex от 12 12 2012г " xfId="168"/>
    <cellStyle name="_переработка_Сальдо 1 ДУАЭиБП_План ПИР (форма 9 4) на 2013-2017г г  на 07 11 2012г " xfId="169"/>
    <cellStyle name="_переработка_Сальдо 1 ДУАЭиБП_Форма 9 3 2011-2015 от 24 12 10г " xfId="170"/>
    <cellStyle name="_переработка_ТЭП 12 мес.2007  1_оао анпз внк 21 раздел 2012 г  с изм  10 11 2011 г " xfId="171"/>
    <cellStyle name="_переработка_ТЭП 12 мес.2007  1_План ПИР (форма 9 4) на 2013-2015г г  под capex от 12 12 2012г " xfId="172"/>
    <cellStyle name="_переработка_ТЭП 12 мес.2007  1_План ПИР (форма 9 4) на 2013-2017г г  на 07 11 2012г " xfId="173"/>
    <cellStyle name="_переработка_ТЭП 12 мес.2007  1_Форма 9 3 2011-2015 от 24 12 10г " xfId="174"/>
    <cellStyle name="_переработка_ТЭП 2009 v04 21 (Апр)_оао анпз внк 21 раздел 2012 г  с изм  10 11 2011 г " xfId="175"/>
    <cellStyle name="_переработка_ТЭП 2009 v04 21 (Апр)_План ПИР (форма 9 4) на 2013-2015г г  под capex от 12 12 2012г " xfId="176"/>
    <cellStyle name="_переработка_ТЭП 2009 v04 21 (Апр)_План ПИР (форма 9 4) на 2013-2017г г  на 07 11 2012г " xfId="177"/>
    <cellStyle name="_переработка_ТЭП 2009 v04 21 (Апр)_Форма 9 3 2011-2015 от 24 12 10г " xfId="178"/>
    <cellStyle name="_переработка_ТЭП сентябрь  2007 " xfId="179"/>
    <cellStyle name="_переработка_Франчайзинг_оао анпз внк 21 раздел 2012 г  с изм  10 11 2011 г " xfId="180"/>
    <cellStyle name="_переработка_Франчайзинг_План ПИР (форма 9 4) на 2013-2015г г  под capex от 12 12 2012г " xfId="181"/>
    <cellStyle name="_переработка_Франчайзинг_План ПИР (форма 9 4) на 2013-2017г г  на 07 11 2012г " xfId="182"/>
    <cellStyle name="_переработка_Франчайзинг_Форма 9 3 2011-2015 от 24 12 10г " xfId="183"/>
    <cellStyle name="_План НТР 2007_MIS_2007_оао анпз внк 21 раздел 2012 г  с изм  10 11 2011 г " xfId="184"/>
    <cellStyle name="_План НТР 2007_MIS_2007_План ПИР (форма 9 4) на 2013-2015г г  под capex от 12 12 2012г " xfId="185"/>
    <cellStyle name="_План НТР 2007_MIS_2007_План ПИР (форма 9 4) на 2013-2017г г  на 07 11 2012г " xfId="186"/>
    <cellStyle name="_План НТР 2007_MIS_2007_Форма 9 3 2011-2015 от 24 12 10г " xfId="187"/>
    <cellStyle name="_План НТР 2007_MIS_октябрь_2007_оао анпз внк 21 раздел 2012 г  с изм  10 11 2011 г " xfId="188"/>
    <cellStyle name="_План НТР 2007_MIS_октябрь_2007_План ПИР (форма 9 4) на 2013-2015г г  под capex от 12 12 2012г " xfId="189"/>
    <cellStyle name="_План НТР 2007_MIS_октябрь_2007_План ПИР (форма 9 4) на 2013-2017г г  на 07 11 2012г " xfId="190"/>
    <cellStyle name="_План НТР 2007_MIS_октябрь_2007_Форма 9 3 2011-2015 от 24 12 10г " xfId="191"/>
    <cellStyle name="_План НТР 2007_Инвестиции БП 2008 на 10.12.07_оао анпз внк 21 раздел 2012 г  с изм  10 11 2011 г " xfId="192"/>
    <cellStyle name="_План НТР 2007_Инвестиции БП 2008 на 10.12.07_План ПИР (форма 9 4) на 2013-2015г г  под capex от 12 12 2012г " xfId="193"/>
    <cellStyle name="_План НТР 2007_Инвестиции БП 2008 на 10.12.07_План ПИР (форма 9 4) на 2013-2017г г  на 07 11 2012г " xfId="194"/>
    <cellStyle name="_План НТР 2007_Инвестиции БП 2008 на 10.12.07_Форма 9 3 2011-2015 от 24 12 10г " xfId="195"/>
    <cellStyle name="_План НТР 2007_Латыш  уточн_оао анпз внк 21 раздел 2012 г  с изм  10 11 2011 г " xfId="196"/>
    <cellStyle name="_План НТР 2007_Латыш  уточн_План ПИР (форма 9 4) на 2013-2015г г  под capex от 12 12 2012г " xfId="197"/>
    <cellStyle name="_План НТР 2007_Латыш  уточн_План ПИР (форма 9 4) на 2013-2017г г  на 07 11 2012г " xfId="198"/>
    <cellStyle name="_План НТР 2007_Латыш  уточн_Форма 9 3 2011-2015 от 24 12 10г " xfId="199"/>
    <cellStyle name="_План НТР 2007_оао анпз внк 21 раздел 2012 г  с изм  10 11 2011 г " xfId="200"/>
    <cellStyle name="_План НТР 2007_ПЕРЕРАБОТКА_оао анпз внк 21 раздел 2012 г  с изм  10 11 2011 г " xfId="201"/>
    <cellStyle name="_План НТР 2007_ПЕРЕРАБОТКА_План ПИР (форма 9 4) на 2013-2015г г  под capex от 12 12 2012г " xfId="202"/>
    <cellStyle name="_План НТР 2007_ПЕРЕРАБОТКА_План ПИР (форма 9 4) на 2013-2017г г  на 07 11 2012г " xfId="203"/>
    <cellStyle name="_План НТР 2007_ПЕРЕРАБОТКА_Форма 9 3 2011-2015 от 24 12 10г " xfId="204"/>
    <cellStyle name="_План НТР 2007_План ПИР (форма 9 4) на 2013-2015г г  под capex от 12 12 2012г " xfId="205"/>
    <cellStyle name="_План НТР 2007_План ПИР (форма 9 4) на 2013-2017г г  на 07 11 2012г " xfId="206"/>
    <cellStyle name="_План НТР 2007_Сальдо 1 ДУАЭиБП_оао анпз внк 21 раздел 2012 г  с изм  10 11 2011 г " xfId="207"/>
    <cellStyle name="_План НТР 2007_Сальдо 1 ДУАЭиБП_План ПИР (форма 9 4) на 2013-2015г г  под capex от 12 12 2012г " xfId="208"/>
    <cellStyle name="_План НТР 2007_Сальдо 1 ДУАЭиБП_План ПИР (форма 9 4) на 2013-2017г г  на 07 11 2012г " xfId="209"/>
    <cellStyle name="_План НТР 2007_Сальдо 1 ДУАЭиБП_Форма 9 3 2011-2015 от 24 12 10г " xfId="210"/>
    <cellStyle name="_План НТР 2007_САХНО 2007_оао анпз внк 21 раздел 2012 г  с изм  10 11 2011 г " xfId="211"/>
    <cellStyle name="_План НТР 2007_САХНО 2007_План ПИР (форма 9 4) на 2013-2015г г  под capex от 12 12 2012г " xfId="212"/>
    <cellStyle name="_План НТР 2007_САХНО 2007_План ПИР (форма 9 4) на 2013-2017г г  на 07 11 2012г " xfId="213"/>
    <cellStyle name="_План НТР 2007_САХНО 2007_Форма 9 3 2011-2015 от 24 12 10г " xfId="214"/>
    <cellStyle name="_План НТР 2007_ТЭП 02.08_оао анпз внк 21 раздел 2012 г  с изм  10 11 2011 г " xfId="215"/>
    <cellStyle name="_План НТР 2007_ТЭП 02.08_План ПИР (форма 9 4) на 2013-2015г г  под capex от 12 12 2012г " xfId="216"/>
    <cellStyle name="_План НТР 2007_ТЭП 02.08_План ПИР (форма 9 4) на 2013-2017г г  на 07 11 2012г " xfId="217"/>
    <cellStyle name="_План НТР 2007_ТЭП 02.08_Форма 9 3 2011-2015 от 24 12 10г " xfId="218"/>
    <cellStyle name="_План НТР 2007_ТЭП 04.08 v1_оао анпз внк 21 раздел 2012 г  с изм  10 11 2011 г " xfId="219"/>
    <cellStyle name="_План НТР 2007_ТЭП 04.08 v1_План ПИР (форма 9 4) на 2013-2015г г  под capex от 12 12 2012г " xfId="220"/>
    <cellStyle name="_План НТР 2007_ТЭП 04.08 v1_План ПИР (форма 9 4) на 2013-2017г г  на 07 11 2012г " xfId="221"/>
    <cellStyle name="_План НТР 2007_ТЭП 04.08 v1_Форма 9 3 2011-2015 от 24 12 10г " xfId="222"/>
    <cellStyle name="_План НТР 2007_ТЭП 04.08_оао анпз внк 21 раздел 2012 г  с изм  10 11 2011 г " xfId="223"/>
    <cellStyle name="_План НТР 2007_ТЭП 04.08_План ПИР (форма 9 4) на 2013-2015г г  под capex от 12 12 2012г " xfId="224"/>
    <cellStyle name="_План НТР 2007_ТЭП 04.08_План ПИР (форма 9 4) на 2013-2017г г  на 07 11 2012г " xfId="225"/>
    <cellStyle name="_План НТР 2007_ТЭП 04.08_Форма 9 3 2011-2015 от 24 12 10г " xfId="226"/>
    <cellStyle name="_План НТР 2007_ТЭП 12 мес.2007  1_оао анпз внк 21 раздел 2012 г  с изм  10 11 2011 г " xfId="227"/>
    <cellStyle name="_План НТР 2007_ТЭП 12 мес.2007  1_План ПИР (форма 9 4) на 2013-2015г г  под capex от 12 12 2012г " xfId="228"/>
    <cellStyle name="_План НТР 2007_ТЭП 12 мес.2007  1_План ПИР (форма 9 4) на 2013-2017г г  на 07 11 2012г " xfId="229"/>
    <cellStyle name="_План НТР 2007_ТЭП 12 мес.2007  1_Форма 9 3 2011-2015 от 24 12 10г " xfId="230"/>
    <cellStyle name="_План НТР 2007_Форма 9 3 2011-2015 от 24 12 10г " xfId="231"/>
    <cellStyle name="_Показатели Роснефти до 2030_оао анпз внк 21 раздел 2012 г  с изм  10 11 2011 г " xfId="232"/>
    <cellStyle name="_Показатели Роснефти до 2030_План ПИР (форма 9 4) на 2013-2015г г  под capex от 12 12 2012г " xfId="233"/>
    <cellStyle name="_Показатели Роснефти до 2030_План ПИР (форма 9 4) на 2013-2017г г  на 07 11 2012г " xfId="234"/>
    <cellStyle name="_Показатели Роснефти до 2030_Форма 9 3 2011-2015 от 24 12 10г " xfId="235"/>
    <cellStyle name="_ПС_Бурение_2009-2013_План_v5" xfId="236"/>
    <cellStyle name="_Раз  11 Э и ПБ " xfId="237"/>
    <cellStyle name="_раздел 17 ППЭД " xfId="238"/>
    <cellStyle name="_Расчет по 1 кв  2005г " xfId="239"/>
    <cellStyle name="_Расчет рейтинга за текущий месяц_nl_MIS_2007_оао анпз внк 21 раздел 2012 г  с изм  10 11 2011 г " xfId="240"/>
    <cellStyle name="_Расчет рейтинга за текущий месяц_nl_MIS_2007_План ПИР (форма 9 4) на 2013-2015г г  под capex от 12 12 2012г " xfId="241"/>
    <cellStyle name="_Расчет рейтинга за текущий месяц_nl_MIS_2007_План ПИР (форма 9 4) на 2013-2017г г  на 07 11 2012г " xfId="242"/>
    <cellStyle name="_Расчет рейтинга за текущий месяц_nl_MIS_2007_Форма 9 3 2011-2015 от 24 12 10г " xfId="243"/>
    <cellStyle name="_Расчет рейтинга за текущий месяц_nl_MIS_октябрь_2007_оао анпз внк 21 раздел 2012 г  с изм  10 11 2011 г " xfId="244"/>
    <cellStyle name="_Расчет рейтинга за текущий месяц_nl_MIS_октябрь_2007_План ПИР (форма 9 4) на 2013-2015г г  под capex от 12 12 2012г " xfId="245"/>
    <cellStyle name="_Расчет рейтинга за текущий месяц_nl_MIS_октябрь_2007_План ПИР (форма 9 4) на 2013-2017г г  на 07 11 2012г " xfId="246"/>
    <cellStyle name="_Расчет рейтинга за текущий месяц_nl_MIS_октябрь_2007_Форма 9 3 2011-2015 от 24 12 10г " xfId="247"/>
    <cellStyle name="_Расчет рейтинга за текущий месяц_nl_Инвестиции БП 2008 на 10.12.07_оао анпз внк 21 раздел 2012 г  с изм  10 11 2011 г " xfId="248"/>
    <cellStyle name="_Расчет рейтинга за текущий месяц_nl_Инвестиции БП 2008 на 10.12.07_План ПИР (форма 9 4) на 2013-2015г г  под capex от 12 12 2012г " xfId="249"/>
    <cellStyle name="_Расчет рейтинга за текущий месяц_nl_Инвестиции БП 2008 на 10.12.07_План ПИР (форма 9 4) на 2013-2017г г  на 07 11 2012г " xfId="250"/>
    <cellStyle name="_Расчет рейтинга за текущий месяц_nl_Инвестиции БП 2008 на 10.12.07_Форма 9 3 2011-2015 от 24 12 10г " xfId="251"/>
    <cellStyle name="_Расчет рейтинга за текущий месяц_nl_Латыш  уточн_оао анпз внк 21 раздел 2012 г  с изм  10 11 2011 г " xfId="252"/>
    <cellStyle name="_Расчет рейтинга за текущий месяц_nl_Латыш  уточн_План ПИР (форма 9 4) на 2013-2015г г  под capex от 12 12 2012г " xfId="253"/>
    <cellStyle name="_Расчет рейтинга за текущий месяц_nl_Латыш  уточн_План ПИР (форма 9 4) на 2013-2017г г  на 07 11 2012г " xfId="254"/>
    <cellStyle name="_Расчет рейтинга за текущий месяц_nl_Латыш  уточн_Форма 9 3 2011-2015 от 24 12 10г " xfId="255"/>
    <cellStyle name="_Расчет рейтинга за текущий месяц_nl_оао анпз внк 21 раздел 2012 г  с изм  10 11 2011 г " xfId="256"/>
    <cellStyle name="_Расчет рейтинга за текущий месяц_nl_ПЕРЕРАБОТКА_оао анпз внк 21 раздел 2012 г  с изм  10 11 2011 г " xfId="257"/>
    <cellStyle name="_Расчет рейтинга за текущий месяц_nl_ПЕРЕРАБОТКА_План ПИР (форма 9 4) на 2013-2015г г  под capex от 12 12 2012г " xfId="258"/>
    <cellStyle name="_Расчет рейтинга за текущий месяц_nl_ПЕРЕРАБОТКА_План ПИР (форма 9 4) на 2013-2017г г  на 07 11 2012г " xfId="259"/>
    <cellStyle name="_Расчет рейтинга за текущий месяц_nl_ПЕРЕРАБОТКА_Форма 9 3 2011-2015 от 24 12 10г " xfId="260"/>
    <cellStyle name="_Расчет рейтинга за текущий месяц_nl_План ПИР (форма 9 4) на 2013-2015г г  под capex от 12 12 2012г " xfId="261"/>
    <cellStyle name="_Расчет рейтинга за текущий месяц_nl_План ПИР (форма 9 4) на 2013-2017г г  на 07 11 2012г " xfId="262"/>
    <cellStyle name="_Расчет рейтинга за текущий месяц_nl_Сальдо 1 ДУАЭиБП_оао анпз внк 21 раздел 2012 г  с изм  10 11 2011 г " xfId="263"/>
    <cellStyle name="_Расчет рейтинга за текущий месяц_nl_Сальдо 1 ДУАЭиБП_План ПИР (форма 9 4) на 2013-2015г г  под capex от 12 12 2012г " xfId="264"/>
    <cellStyle name="_Расчет рейтинга за текущий месяц_nl_Сальдо 1 ДУАЭиБП_План ПИР (форма 9 4) на 2013-2017г г  на 07 11 2012г " xfId="265"/>
    <cellStyle name="_Расчет рейтинга за текущий месяц_nl_Сальдо 1 ДУАЭиБП_Форма 9 3 2011-2015 от 24 12 10г " xfId="266"/>
    <cellStyle name="_Расчет рейтинга за текущий месяц_nl_САХНО 2007_оао анпз внк 21 раздел 2012 г  с изм  10 11 2011 г " xfId="267"/>
    <cellStyle name="_Расчет рейтинга за текущий месяц_nl_САХНО 2007_План ПИР (форма 9 4) на 2013-2015г г  под capex от 12 12 2012г " xfId="268"/>
    <cellStyle name="_Расчет рейтинга за текущий месяц_nl_САХНО 2007_План ПИР (форма 9 4) на 2013-2017г г  на 07 11 2012г " xfId="269"/>
    <cellStyle name="_Расчет рейтинга за текущий месяц_nl_САХНО 2007_Форма 9 3 2011-2015 от 24 12 10г " xfId="270"/>
    <cellStyle name="_Расчет рейтинга за текущий месяц_nl_ТЭП 02.08_оао анпз внк 21 раздел 2012 г  с изм  10 11 2011 г " xfId="271"/>
    <cellStyle name="_Расчет рейтинга за текущий месяц_nl_ТЭП 02.08_План ПИР (форма 9 4) на 2013-2015г г  под capex от 12 12 2012г " xfId="272"/>
    <cellStyle name="_Расчет рейтинга за текущий месяц_nl_ТЭП 02.08_План ПИР (форма 9 4) на 2013-2017г г  на 07 11 2012г " xfId="273"/>
    <cellStyle name="_Расчет рейтинга за текущий месяц_nl_ТЭП 02.08_Форма 9 3 2011-2015 от 24 12 10г " xfId="274"/>
    <cellStyle name="_Расчет рейтинга за текущий месяц_nl_ТЭП 04.08 v1_оао анпз внк 21 раздел 2012 г  с изм  10 11 2011 г " xfId="275"/>
    <cellStyle name="_Расчет рейтинга за текущий месяц_nl_ТЭП 04.08 v1_План ПИР (форма 9 4) на 2013-2015г г  под capex от 12 12 2012г " xfId="276"/>
    <cellStyle name="_Расчет рейтинга за текущий месяц_nl_ТЭП 04.08 v1_План ПИР (форма 9 4) на 2013-2017г г  на 07 11 2012г " xfId="277"/>
    <cellStyle name="_Расчет рейтинга за текущий месяц_nl_ТЭП 04.08 v1_Форма 9 3 2011-2015 от 24 12 10г " xfId="278"/>
    <cellStyle name="_Расчет рейтинга за текущий месяц_nl_ТЭП 04.08_оао анпз внк 21 раздел 2012 г  с изм  10 11 2011 г " xfId="279"/>
    <cellStyle name="_Расчет рейтинга за текущий месяц_nl_ТЭП 04.08_План ПИР (форма 9 4) на 2013-2015г г  под capex от 12 12 2012г " xfId="280"/>
    <cellStyle name="_Расчет рейтинга за текущий месяц_nl_ТЭП 04.08_План ПИР (форма 9 4) на 2013-2017г г  на 07 11 2012г " xfId="281"/>
    <cellStyle name="_Расчет рейтинга за текущий месяц_nl_ТЭП 04.08_Форма 9 3 2011-2015 от 24 12 10г " xfId="282"/>
    <cellStyle name="_Расчет рейтинга за текущий месяц_nl_ТЭП 12 мес.2007  1_оао анпз внк 21 раздел 2012 г  с изм  10 11 2011 г " xfId="283"/>
    <cellStyle name="_Расчет рейтинга за текущий месяц_nl_ТЭП 12 мес.2007  1_План ПИР (форма 9 4) на 2013-2015г г  под capex от 12 12 2012г " xfId="284"/>
    <cellStyle name="_Расчет рейтинга за текущий месяц_nl_ТЭП 12 мес.2007  1_План ПИР (форма 9 4) на 2013-2017г г  на 07 11 2012г " xfId="285"/>
    <cellStyle name="_Расчет рейтинга за текущий месяц_nl_ТЭП 12 мес.2007  1_Форма 9 3 2011-2015 от 24 12 10г " xfId="286"/>
    <cellStyle name="_Расчет рейтинга за текущий месяц_nl_Форма 9 3 2011-2015 от 24 12 10г " xfId="287"/>
    <cellStyle name="_Расчет цены на НПЗ в Чечне и Кабардино-Балкарии до 2030 г " xfId="288"/>
    <cellStyle name="_Расчет экомониторинг ОПЭ ЮТМ 2012 " xfId="289"/>
    <cellStyle name="_РД 2005 16-10-04_3100-изм новые " xfId="290"/>
    <cellStyle name="_РД 2005 25-10-04_3100-2009 " xfId="291"/>
    <cellStyle name="_РД 2005 26-10-04_3100 " xfId="292"/>
    <cellStyle name="_САХ-1_ГЕОЛОГИЯ_2008_ФАКТ" xfId="293"/>
    <cellStyle name="_Свод 2003  " xfId="294"/>
    <cellStyle name="_Свод апрель 2010 " xfId="295"/>
    <cellStyle name="_Свод март 2010 " xfId="296"/>
    <cellStyle name="_СВОД НПЗ и Нефтехимия  план КВ 2010 г " xfId="297"/>
    <cellStyle name="_Свод основных показателей_БП 2008 - 2012_new3 (2)_оао анпз внк 21 раздел 2012 г  с изм  10 11 2011 г " xfId="298"/>
    <cellStyle name="_Свод основных показателей_БП 2008 - 2012_new3 (2)_План ПИР (форма 9 4) на 2013-2015г г  под capex от 12 12 2012г " xfId="299"/>
    <cellStyle name="_Свод основных показателей_БП 2008 - 2012_new3 (2)_План ПИР (форма 9 4) на 2013-2017г г  на 07 11 2012г " xfId="300"/>
    <cellStyle name="_Свод основных показателей_БП 2008 - 2012_new3 (2)_Форма 9 3 2011-2015 от 24 12 10г " xfId="301"/>
    <cellStyle name="_Свод февраль 2010 " xfId="302"/>
    <cellStyle name="_ТЭП 2008г  по полугодиям на 01 12 07г " xfId="303"/>
    <cellStyle name="_Формы АСУ для БП на 2003год_ егор в кис " xfId="304"/>
    <cellStyle name="_Шаблон_Экономика_2010_План" xfId="305"/>
    <cellStyle name="”ќђќ‘ћ‚›‰" xfId="306"/>
    <cellStyle name="”љ‘ђћ‚ђќќ›‰" xfId="307"/>
    <cellStyle name="„…ќ…†ќ›‰" xfId="308"/>
    <cellStyle name="„ђ’ђ" xfId="309"/>
    <cellStyle name="‡ђѓћ‹ћ‚ћљ1" xfId="310"/>
    <cellStyle name="‡ђѓћ‹ћ‚ћљ2" xfId="311"/>
    <cellStyle name="’ћѓћ‚›‰" xfId="312"/>
    <cellStyle name="" xfId="313"/>
    <cellStyle name="" xfId="314"/>
    <cellStyle name=" 2" xfId="315"/>
    <cellStyle name="_Копия Приложение к справочнику_договоры_25 12 08 (2)" xfId="316"/>
    <cellStyle name="_Копия Приложение к справочнику_договоры_25 12 08 (2)" xfId="317"/>
    <cellStyle name="_Финансовые инструменты_банк_04_ 22.12.08" xfId="318"/>
    <cellStyle name="_Финансовые инструменты_банк_04_ 22.12.08" xfId="319"/>
    <cellStyle name="_Финансовые инструменты_банк_05_ 22.12.08" xfId="320"/>
    <cellStyle name="_Финансовые инструменты_банк_05_ 22.12.08" xfId="321"/>
    <cellStyle name="_Финансовые инструменты_банк_12_ 22.12.08" xfId="322"/>
    <cellStyle name="_Финансовые инструменты_банк_12_ 22.12.08" xfId="323"/>
    <cellStyle name="" xfId="324"/>
    <cellStyle name="" xfId="325"/>
    <cellStyle name="_Копия Приложение к справочнику_договоры_25 12 08 (2)" xfId="326"/>
    <cellStyle name="_Копия Приложение к справочнику_договоры_25 12 08 (2)" xfId="327"/>
    <cellStyle name="_Финансовые инструменты_банк_04_ 22.12.08" xfId="328"/>
    <cellStyle name="_Финансовые инструменты_банк_04_ 22.12.08" xfId="329"/>
    <cellStyle name="_Финансовые инструменты_банк_05_ 22.12.08" xfId="330"/>
    <cellStyle name="_Финансовые инструменты_банк_05_ 22.12.08" xfId="331"/>
    <cellStyle name="_Финансовые инструменты_банк_12_ 22.12.08" xfId="332"/>
    <cellStyle name="_Финансовые инструменты_банк_12_ 22.12.08" xfId="333"/>
    <cellStyle name="" xfId="334"/>
    <cellStyle name="1" xfId="335"/>
    <cellStyle name="2" xfId="336"/>
    <cellStyle name="0,00;0;" xfId="337"/>
    <cellStyle name="1decimal" xfId="338"/>
    <cellStyle name="20% - Accent1" xfId="339"/>
    <cellStyle name="20% - Accent2" xfId="340"/>
    <cellStyle name="20% - Accent3" xfId="341"/>
    <cellStyle name="20% - Accent4" xfId="342"/>
    <cellStyle name="20% - Accent5" xfId="343"/>
    <cellStyle name="20% - Accent6" xfId="344"/>
    <cellStyle name="20% — акцент1" xfId="345" builtinId="30"/>
    <cellStyle name="20% - Акцент1 2" xfId="346"/>
    <cellStyle name="20% - Акцент1 3" xfId="347"/>
    <cellStyle name="20% — акцент2" xfId="348" builtinId="34"/>
    <cellStyle name="20% - Акцент2 2" xfId="349"/>
    <cellStyle name="20% - Акцент2 3" xfId="350"/>
    <cellStyle name="20% — акцент3" xfId="351" builtinId="38"/>
    <cellStyle name="20% - Акцент3 2" xfId="352"/>
    <cellStyle name="20% - Акцент3 3" xfId="353"/>
    <cellStyle name="20% — акцент4" xfId="354" builtinId="42"/>
    <cellStyle name="20% - Акцент4 2" xfId="355"/>
    <cellStyle name="20% - Акцент4 3" xfId="356"/>
    <cellStyle name="20% — акцент5" xfId="357" builtinId="46"/>
    <cellStyle name="20% - Акцент5 2" xfId="358"/>
    <cellStyle name="20% - Акцент5 3" xfId="359"/>
    <cellStyle name="20% — акцент6" xfId="360" builtinId="50"/>
    <cellStyle name="20% - Акцент6 2" xfId="361"/>
    <cellStyle name="20% - Акцент6 3" xfId="362"/>
    <cellStyle name="2decimal" xfId="363"/>
    <cellStyle name="40% - Accent1" xfId="364"/>
    <cellStyle name="40% - Accent2" xfId="365"/>
    <cellStyle name="40% - Accent3" xfId="366"/>
    <cellStyle name="40% - Accent4" xfId="367"/>
    <cellStyle name="40% - Accent5" xfId="368"/>
    <cellStyle name="40% - Accent6" xfId="369"/>
    <cellStyle name="40% — акцент1" xfId="370" builtinId="31"/>
    <cellStyle name="40% - Акцент1 2" xfId="371"/>
    <cellStyle name="40% - Акцент1 3" xfId="372"/>
    <cellStyle name="40% — акцент2" xfId="373" builtinId="35"/>
    <cellStyle name="40% - Акцент2 2" xfId="374"/>
    <cellStyle name="40% - Акцент2 3" xfId="375"/>
    <cellStyle name="40% — акцент3" xfId="376" builtinId="39"/>
    <cellStyle name="40% - Акцент3 2" xfId="377"/>
    <cellStyle name="40% - Акцент3 3" xfId="378"/>
    <cellStyle name="40% — акцент4" xfId="379" builtinId="43"/>
    <cellStyle name="40% - Акцент4 2" xfId="380"/>
    <cellStyle name="40% - Акцент4 3" xfId="381"/>
    <cellStyle name="40% — акцент5" xfId="382" builtinId="47"/>
    <cellStyle name="40% - Акцент5 2" xfId="383"/>
    <cellStyle name="40% - Акцент5 3" xfId="384"/>
    <cellStyle name="40% — акцент6" xfId="385" builtinId="51"/>
    <cellStyle name="40% - Акцент6 2" xfId="386"/>
    <cellStyle name="40% - Акцент6 3" xfId="387"/>
    <cellStyle name="60% - Accent1" xfId="388"/>
    <cellStyle name="60% - Accent2" xfId="389"/>
    <cellStyle name="60% - Accent3" xfId="390"/>
    <cellStyle name="60% - Accent4" xfId="391"/>
    <cellStyle name="60% - Accent5" xfId="392"/>
    <cellStyle name="60% - Accent6" xfId="393"/>
    <cellStyle name="60% - Акцент1 2" xfId="394"/>
    <cellStyle name="60% — акцент1 2" xfId="395"/>
    <cellStyle name="60% - Акцент1 3" xfId="396"/>
    <cellStyle name="60% — акцент1 3" xfId="397"/>
    <cellStyle name="60% — акцент1 4" xfId="398"/>
    <cellStyle name="60% - Акцент2 2" xfId="399"/>
    <cellStyle name="60% — акцент2 2" xfId="400"/>
    <cellStyle name="60% - Акцент2 3" xfId="401"/>
    <cellStyle name="60% — акцент2 3" xfId="402"/>
    <cellStyle name="60% — акцент2 4" xfId="403"/>
    <cellStyle name="60% - Акцент3 2" xfId="404"/>
    <cellStyle name="60% — акцент3 2" xfId="405"/>
    <cellStyle name="60% - Акцент3 3" xfId="406"/>
    <cellStyle name="60% — акцент3 3" xfId="407"/>
    <cellStyle name="60% — акцент3 4" xfId="408"/>
    <cellStyle name="60% - Акцент4 2" xfId="409"/>
    <cellStyle name="60% — акцент4 2" xfId="410"/>
    <cellStyle name="60% - Акцент4 3" xfId="411"/>
    <cellStyle name="60% — акцент4 3" xfId="412"/>
    <cellStyle name="60% — акцент4 4" xfId="413"/>
    <cellStyle name="60% - Акцент5 2" xfId="414"/>
    <cellStyle name="60% — акцент5 2" xfId="415"/>
    <cellStyle name="60% - Акцент5 3" xfId="416"/>
    <cellStyle name="60% — акцент5 3" xfId="417"/>
    <cellStyle name="60% — акцент5 4" xfId="418"/>
    <cellStyle name="60% - Акцент6 2" xfId="419"/>
    <cellStyle name="60% — акцент6 2" xfId="420"/>
    <cellStyle name="60% - Акцент6 3" xfId="421"/>
    <cellStyle name="60% — акцент6 3" xfId="422"/>
    <cellStyle name="60% — акцент6 4" xfId="423"/>
    <cellStyle name="6Code" xfId="424"/>
    <cellStyle name="8pt" xfId="425"/>
    <cellStyle name="Accent1" xfId="426"/>
    <cellStyle name="Accent1 - 20%" xfId="427"/>
    <cellStyle name="Accent1 - 40%" xfId="428"/>
    <cellStyle name="Accent1 - 60%" xfId="429"/>
    <cellStyle name="Accent2" xfId="430"/>
    <cellStyle name="Accent2 - 20%" xfId="431"/>
    <cellStyle name="Accent2 - 40%" xfId="432"/>
    <cellStyle name="Accent2 - 60%" xfId="433"/>
    <cellStyle name="Accent3" xfId="434"/>
    <cellStyle name="Accent3 - 20%" xfId="435"/>
    <cellStyle name="Accent3 - 40%" xfId="436"/>
    <cellStyle name="Accent3 - 60%" xfId="437"/>
    <cellStyle name="Accent4" xfId="438"/>
    <cellStyle name="Accent4 - 20%" xfId="439"/>
    <cellStyle name="Accent4 - 40%" xfId="440"/>
    <cellStyle name="Accent4 - 60%" xfId="441"/>
    <cellStyle name="Accent5" xfId="442"/>
    <cellStyle name="Accent5 - 20%" xfId="443"/>
    <cellStyle name="Accent5 - 40%" xfId="444"/>
    <cellStyle name="Accent5 - 60%" xfId="445"/>
    <cellStyle name="Accent6" xfId="446"/>
    <cellStyle name="Accent6 - 20%" xfId="447"/>
    <cellStyle name="Accent6 - 40%" xfId="448"/>
    <cellStyle name="Accent6 - 60%" xfId="449"/>
    <cellStyle name="Bad" xfId="450"/>
    <cellStyle name="Calculation" xfId="451"/>
    <cellStyle name="Centered Heading" xfId="452"/>
    <cellStyle name="Check Cell" xfId="453"/>
    <cellStyle name="Code" xfId="454"/>
    <cellStyle name="Comma" xfId="455"/>
    <cellStyle name="Comma [0]" xfId="456"/>
    <cellStyle name="Comma 0.0" xfId="457"/>
    <cellStyle name="Comma 0.00" xfId="458"/>
    <cellStyle name="Comma 0.000" xfId="459"/>
    <cellStyle name="Comma 5" xfId="460"/>
    <cellStyle name="Comma 5 2" xfId="461"/>
    <cellStyle name="Comma[0]" xfId="462"/>
    <cellStyle name="Comma_Companyname_Reporting package_RCC_2005" xfId="463"/>
    <cellStyle name="Comma0" xfId="464"/>
    <cellStyle name="Company Name" xfId="465"/>
    <cellStyle name="Credit" xfId="466"/>
    <cellStyle name="Credit subtotal" xfId="467"/>
    <cellStyle name="Credit subtotal 2" xfId="468"/>
    <cellStyle name="Credit Total" xfId="469"/>
    <cellStyle name="Currency [0]" xfId="470"/>
    <cellStyle name="Currency 0.0" xfId="471"/>
    <cellStyle name="Currency 0.00" xfId="472"/>
    <cellStyle name="Currency 0.000" xfId="473"/>
    <cellStyle name="Currency EN" xfId="474"/>
    <cellStyle name="Currency EN 2" xfId="475"/>
    <cellStyle name="Currency RU" xfId="476"/>
    <cellStyle name="Currency RU 2" xfId="477"/>
    <cellStyle name="Currency RU calc" xfId="478"/>
    <cellStyle name="Currency RU_CP-P (2)" xfId="479"/>
    <cellStyle name="Currency_PWC PBCs for NNK" xfId="480"/>
    <cellStyle name="Currency0" xfId="481"/>
    <cellStyle name="Date" xfId="482"/>
    <cellStyle name="Date EN" xfId="483"/>
    <cellStyle name="Date RU" xfId="484"/>
    <cellStyle name="Date_IFRS 7 Zabiralov" xfId="485"/>
    <cellStyle name="Debit" xfId="486"/>
    <cellStyle name="Debit subtotal" xfId="487"/>
    <cellStyle name="Debit subtotal 2" xfId="488"/>
    <cellStyle name="Debit Total" xfId="489"/>
    <cellStyle name="Emphasis 1" xfId="490"/>
    <cellStyle name="Emphasis 2" xfId="491"/>
    <cellStyle name="Emphasis 3" xfId="492"/>
    <cellStyle name="Euro" xfId="493"/>
    <cellStyle name="Excel Built-in Normal" xfId="494"/>
    <cellStyle name="Excel Built-in Normal 2" xfId="495"/>
    <cellStyle name="Excel Built-in Normal 3" xfId="496"/>
    <cellStyle name="Explanatory Text" xfId="497"/>
    <cellStyle name="fghdfhgvhgvhOR" xfId="498"/>
    <cellStyle name="fghdfhgvhgvhOR 10" xfId="499"/>
    <cellStyle name="fghdfhgvhgvhOR 2" xfId="500"/>
    <cellStyle name="fghdfhgvhgvhOR 2 2" xfId="501"/>
    <cellStyle name="fghdfhgvhgvhOR 2 2 2" xfId="502"/>
    <cellStyle name="fghdfhgvhgvhOR 2 2 2 2" xfId="503"/>
    <cellStyle name="fghdfhgvhgvhOR 2 2 2 2 2" xfId="504"/>
    <cellStyle name="fghdfhgvhgvhOR 2 2 2 2 3" xfId="505"/>
    <cellStyle name="fghdfhgvhgvhOR 2 2 2 2 4" xfId="506"/>
    <cellStyle name="fghdfhgvhgvhOR 2 2 2 2 5" xfId="507"/>
    <cellStyle name="fghdfhgvhgvhOR 2 2 2 3" xfId="508"/>
    <cellStyle name="fghdfhgvhgvhOR 2 2 2 3 2" xfId="509"/>
    <cellStyle name="fghdfhgvhgvhOR 2 2 2 3 3" xfId="510"/>
    <cellStyle name="fghdfhgvhgvhOR 2 2 2 3 4" xfId="511"/>
    <cellStyle name="fghdfhgvhgvhOR 2 2 2 3 5" xfId="512"/>
    <cellStyle name="fghdfhgvhgvhOR 2 2 2 4" xfId="513"/>
    <cellStyle name="fghdfhgvhgvhOR 2 2 2 5" xfId="514"/>
    <cellStyle name="fghdfhgvhgvhOR 2 2 2 6" xfId="515"/>
    <cellStyle name="fghdfhgvhgvhOR 2 2 2 7" xfId="516"/>
    <cellStyle name="fghdfhgvhgvhOR 2 2 3" xfId="517"/>
    <cellStyle name="fghdfhgvhgvhOR 2 2 3 2" xfId="518"/>
    <cellStyle name="fghdfhgvhgvhOR 2 2 3 3" xfId="519"/>
    <cellStyle name="fghdfhgvhgvhOR 2 2 3 4" xfId="520"/>
    <cellStyle name="fghdfhgvhgvhOR 2 2 3 5" xfId="521"/>
    <cellStyle name="fghdfhgvhgvhOR 2 2 4" xfId="522"/>
    <cellStyle name="fghdfhgvhgvhOR 2 2 4 2" xfId="523"/>
    <cellStyle name="fghdfhgvhgvhOR 2 2 4 3" xfId="524"/>
    <cellStyle name="fghdfhgvhgvhOR 2 2 4 4" xfId="525"/>
    <cellStyle name="fghdfhgvhgvhOR 2 2 4 5" xfId="526"/>
    <cellStyle name="fghdfhgvhgvhOR 2 2 5" xfId="527"/>
    <cellStyle name="fghdfhgvhgvhOR 2 2 6" xfId="528"/>
    <cellStyle name="fghdfhgvhgvhOR 2 2 7" xfId="529"/>
    <cellStyle name="fghdfhgvhgvhOR 2 2 8" xfId="530"/>
    <cellStyle name="fghdfhgvhgvhOR 2 3" xfId="531"/>
    <cellStyle name="fghdfhgvhgvhOR 2 3 2" xfId="532"/>
    <cellStyle name="fghdfhgvhgvhOR 2 3 2 2" xfId="533"/>
    <cellStyle name="fghdfhgvhgvhOR 2 3 2 3" xfId="534"/>
    <cellStyle name="fghdfhgvhgvhOR 2 3 2 4" xfId="535"/>
    <cellStyle name="fghdfhgvhgvhOR 2 3 2 5" xfId="536"/>
    <cellStyle name="fghdfhgvhgvhOR 2 3 3" xfId="537"/>
    <cellStyle name="fghdfhgvhgvhOR 2 3 3 2" xfId="538"/>
    <cellStyle name="fghdfhgvhgvhOR 2 3 3 3" xfId="539"/>
    <cellStyle name="fghdfhgvhgvhOR 2 3 3 4" xfId="540"/>
    <cellStyle name="fghdfhgvhgvhOR 2 3 3 5" xfId="541"/>
    <cellStyle name="fghdfhgvhgvhOR 2 3 4" xfId="542"/>
    <cellStyle name="fghdfhgvhgvhOR 2 3 5" xfId="543"/>
    <cellStyle name="fghdfhgvhgvhOR 2 3 6" xfId="544"/>
    <cellStyle name="fghdfhgvhgvhOR 2 3 7" xfId="545"/>
    <cellStyle name="fghdfhgvhgvhOR 2 4" xfId="546"/>
    <cellStyle name="fghdfhgvhgvhOR 2 4 2" xfId="547"/>
    <cellStyle name="fghdfhgvhgvhOR 2 4 3" xfId="548"/>
    <cellStyle name="fghdfhgvhgvhOR 2 4 4" xfId="549"/>
    <cellStyle name="fghdfhgvhgvhOR 2 4 5" xfId="550"/>
    <cellStyle name="fghdfhgvhgvhOR 2 5" xfId="551"/>
    <cellStyle name="fghdfhgvhgvhOR 2 5 2" xfId="552"/>
    <cellStyle name="fghdfhgvhgvhOR 2 5 3" xfId="553"/>
    <cellStyle name="fghdfhgvhgvhOR 2 5 4" xfId="554"/>
    <cellStyle name="fghdfhgvhgvhOR 2 5 5" xfId="555"/>
    <cellStyle name="fghdfhgvhgvhOR 2 6" xfId="556"/>
    <cellStyle name="fghdfhgvhgvhOR 2 7" xfId="557"/>
    <cellStyle name="fghdfhgvhgvhOR 2 8" xfId="558"/>
    <cellStyle name="fghdfhgvhgvhOR 2 9" xfId="559"/>
    <cellStyle name="fghdfhgvhgvhOR 3" xfId="560"/>
    <cellStyle name="fghdfhgvhgvhOR 3 2" xfId="561"/>
    <cellStyle name="fghdfhgvhgvhOR 3 2 2" xfId="562"/>
    <cellStyle name="fghdfhgvhgvhOR 3 2 2 2" xfId="563"/>
    <cellStyle name="fghdfhgvhgvhOR 3 2 2 3" xfId="564"/>
    <cellStyle name="fghdfhgvhgvhOR 3 2 2 4" xfId="565"/>
    <cellStyle name="fghdfhgvhgvhOR 3 2 2 5" xfId="566"/>
    <cellStyle name="fghdfhgvhgvhOR 3 2 3" xfId="567"/>
    <cellStyle name="fghdfhgvhgvhOR 3 2 3 2" xfId="568"/>
    <cellStyle name="fghdfhgvhgvhOR 3 2 3 3" xfId="569"/>
    <cellStyle name="fghdfhgvhgvhOR 3 2 3 4" xfId="570"/>
    <cellStyle name="fghdfhgvhgvhOR 3 2 3 5" xfId="571"/>
    <cellStyle name="fghdfhgvhgvhOR 3 2 4" xfId="572"/>
    <cellStyle name="fghdfhgvhgvhOR 3 2 5" xfId="573"/>
    <cellStyle name="fghdfhgvhgvhOR 3 2 6" xfId="574"/>
    <cellStyle name="fghdfhgvhgvhOR 3 2 7" xfId="575"/>
    <cellStyle name="fghdfhgvhgvhOR 3 3" xfId="576"/>
    <cellStyle name="fghdfhgvhgvhOR 3 3 2" xfId="577"/>
    <cellStyle name="fghdfhgvhgvhOR 3 3 3" xfId="578"/>
    <cellStyle name="fghdfhgvhgvhOR 3 3 4" xfId="579"/>
    <cellStyle name="fghdfhgvhgvhOR 3 3 5" xfId="580"/>
    <cellStyle name="fghdfhgvhgvhOR 3 4" xfId="581"/>
    <cellStyle name="fghdfhgvhgvhOR 3 4 2" xfId="582"/>
    <cellStyle name="fghdfhgvhgvhOR 3 4 3" xfId="583"/>
    <cellStyle name="fghdfhgvhgvhOR 3 4 4" xfId="584"/>
    <cellStyle name="fghdfhgvhgvhOR 3 4 5" xfId="585"/>
    <cellStyle name="fghdfhgvhgvhOR 3 5" xfId="586"/>
    <cellStyle name="fghdfhgvhgvhOR 3 6" xfId="587"/>
    <cellStyle name="fghdfhgvhgvhOR 3 7" xfId="588"/>
    <cellStyle name="fghdfhgvhgvhOR 3 8" xfId="589"/>
    <cellStyle name="fghdfhgvhgvhOR 4" xfId="590"/>
    <cellStyle name="fghdfhgvhgvhOR 4 2" xfId="591"/>
    <cellStyle name="fghdfhgvhgvhOR 4 2 2" xfId="592"/>
    <cellStyle name="fghdfhgvhgvhOR 4 2 3" xfId="593"/>
    <cellStyle name="fghdfhgvhgvhOR 4 2 4" xfId="594"/>
    <cellStyle name="fghdfhgvhgvhOR 4 2 5" xfId="595"/>
    <cellStyle name="fghdfhgvhgvhOR 4 3" xfId="596"/>
    <cellStyle name="fghdfhgvhgvhOR 4 3 2" xfId="597"/>
    <cellStyle name="fghdfhgvhgvhOR 4 3 3" xfId="598"/>
    <cellStyle name="fghdfhgvhgvhOR 4 3 4" xfId="599"/>
    <cellStyle name="fghdfhgvhgvhOR 4 3 5" xfId="600"/>
    <cellStyle name="fghdfhgvhgvhOR 4 4" xfId="601"/>
    <cellStyle name="fghdfhgvhgvhOR 4 5" xfId="602"/>
    <cellStyle name="fghdfhgvhgvhOR 4 6" xfId="603"/>
    <cellStyle name="fghdfhgvhgvhOR 4 7" xfId="604"/>
    <cellStyle name="fghdfhgvhgvhOR 5" xfId="605"/>
    <cellStyle name="fghdfhgvhgvhOR 5 2" xfId="606"/>
    <cellStyle name="fghdfhgvhgvhOR 5 3" xfId="607"/>
    <cellStyle name="fghdfhgvhgvhOR 5 4" xfId="608"/>
    <cellStyle name="fghdfhgvhgvhOR 5 5" xfId="609"/>
    <cellStyle name="fghdfhgvhgvhOR 6" xfId="610"/>
    <cellStyle name="fghdfhgvhgvhOR 6 2" xfId="611"/>
    <cellStyle name="fghdfhgvhgvhOR 6 3" xfId="612"/>
    <cellStyle name="fghdfhgvhgvhOR 6 4" xfId="613"/>
    <cellStyle name="fghdfhgvhgvhOR 6 5" xfId="614"/>
    <cellStyle name="fghdfhgvhgvhOR 7" xfId="615"/>
    <cellStyle name="fghdfhgvhgvhOR 8" xfId="616"/>
    <cellStyle name="fghdfhgvhgvhOR 9" xfId="617"/>
    <cellStyle name="Fixed" xfId="618"/>
    <cellStyle name="Followed Hyperlink" xfId="619"/>
    <cellStyle name="Good" xfId="620"/>
    <cellStyle name="Green" xfId="621"/>
    <cellStyle name="Header" xfId="622"/>
    <cellStyle name="Heading" xfId="623"/>
    <cellStyle name="Heading 1" xfId="624"/>
    <cellStyle name="Heading 2" xfId="625"/>
    <cellStyle name="Heading 3" xfId="626"/>
    <cellStyle name="Heading 4" xfId="627"/>
    <cellStyle name="Heading No Underline" xfId="628"/>
    <cellStyle name="Heading With Underline" xfId="629"/>
    <cellStyle name="Hyperlink" xfId="630"/>
    <cellStyle name="Iau?iue_NotesFA" xfId="631"/>
    <cellStyle name="Input" xfId="632"/>
    <cellStyle name="InputValue" xfId="633"/>
    <cellStyle name="Integer" xfId="634"/>
    <cellStyle name="Linked Cell" xfId="635"/>
    <cellStyle name="Main text" xfId="636"/>
    <cellStyle name="Milliers [0]_B.S.96" xfId="637"/>
    <cellStyle name="Milliers_B.S.96" xfId="638"/>
    <cellStyle name="Monйtaire [0]_B.S.96" xfId="639"/>
    <cellStyle name="Monйtaire_B.S.96" xfId="640"/>
    <cellStyle name="Multiple" xfId="641"/>
    <cellStyle name="Neutral" xfId="642"/>
    <cellStyle name="normal" xfId="643"/>
    <cellStyle name="Normal - Style1" xfId="644"/>
    <cellStyle name="Normal_!RRCASH&amp;" xfId="645"/>
    <cellStyle name="Normal1" xfId="646"/>
    <cellStyle name="normбlnм_laroux" xfId="647"/>
    <cellStyle name="Note" xfId="648"/>
    <cellStyle name="Number" xfId="649"/>
    <cellStyle name="Oeiainiaue [0]_NotesFA" xfId="650"/>
    <cellStyle name="Oeiainiaue_NotesFA" xfId="651"/>
    <cellStyle name="Ouny?e [0]_Oi?a IAIE" xfId="652"/>
    <cellStyle name="Ouny?e_Oi?a IAIE" xfId="653"/>
    <cellStyle name="Output" xfId="654"/>
    <cellStyle name="Percent" xfId="655"/>
    <cellStyle name="Percent %" xfId="656"/>
    <cellStyle name="Percent % Long Underline" xfId="657"/>
    <cellStyle name="Percent (0)" xfId="658"/>
    <cellStyle name="Percent 0.0%" xfId="659"/>
    <cellStyle name="Percent 0.0% Long Underline" xfId="660"/>
    <cellStyle name="Percent 0.00%" xfId="661"/>
    <cellStyle name="Percent 0.00% Long Underline" xfId="662"/>
    <cellStyle name="Percent 0.000%" xfId="663"/>
    <cellStyle name="Percent 0.000% Long Underline" xfId="664"/>
    <cellStyle name="Pourcentage_Profit &amp; Loss" xfId="665"/>
    <cellStyle name="prochrek" xfId="666"/>
    <cellStyle name="prochrek 2" xfId="667"/>
    <cellStyle name="SAPBEXaggData" xfId="668"/>
    <cellStyle name="SAPBEXaggDataEmph" xfId="669"/>
    <cellStyle name="SAPBEXaggExc1" xfId="670"/>
    <cellStyle name="SAPBEXaggExc1Emph" xfId="671"/>
    <cellStyle name="SAPBEXaggExc2" xfId="672"/>
    <cellStyle name="SAPBEXaggExc2Emph" xfId="673"/>
    <cellStyle name="SAPBEXaggItem" xfId="674"/>
    <cellStyle name="SAPBEXaggItemX" xfId="675"/>
    <cellStyle name="SAPBEXbackground" xfId="676"/>
    <cellStyle name="SAPBEXchaText" xfId="677"/>
    <cellStyle name="SAPBEXexcBad" xfId="678"/>
    <cellStyle name="SAPBEXexcBad7" xfId="679"/>
    <cellStyle name="SAPBEXexcBad8" xfId="680"/>
    <cellStyle name="SAPBEXexcBad9" xfId="681"/>
    <cellStyle name="SAPBEXexcCritical" xfId="682"/>
    <cellStyle name="SAPBEXexcCritical4" xfId="683"/>
    <cellStyle name="SAPBEXexcCritical5" xfId="684"/>
    <cellStyle name="SAPBEXexcCritical6" xfId="685"/>
    <cellStyle name="SAPBEXexcGood" xfId="686"/>
    <cellStyle name="SAPBEXexcGood1" xfId="687"/>
    <cellStyle name="SAPBEXexcGood2" xfId="688"/>
    <cellStyle name="SAPBEXexcGood3" xfId="689"/>
    <cellStyle name="SAPBEXexcVeryBad" xfId="690"/>
    <cellStyle name="SAPBEXfilterDrill" xfId="691"/>
    <cellStyle name="SAPBEXfilterDrill 2" xfId="692"/>
    <cellStyle name="SAPBEXfilterItem" xfId="693"/>
    <cellStyle name="SAPBEXfilterText" xfId="694"/>
    <cellStyle name="SAPBEXformats" xfId="695"/>
    <cellStyle name="SAPBEXheaderData" xfId="696"/>
    <cellStyle name="SAPBEXheaderItem" xfId="697"/>
    <cellStyle name="SAPBEXheaderRowOne" xfId="698"/>
    <cellStyle name="SAPBEXheaderRowThree" xfId="699"/>
    <cellStyle name="SAPBEXheaderRowThree 2" xfId="700"/>
    <cellStyle name="SAPBEXheaderRowTwo" xfId="701"/>
    <cellStyle name="SAPBEXheaderRowTwo 2" xfId="702"/>
    <cellStyle name="SAPBEXheaderSingleRow" xfId="703"/>
    <cellStyle name="SAPBEXheaderText" xfId="704"/>
    <cellStyle name="SAPBEXHLevel0" xfId="705"/>
    <cellStyle name="SAPBEXHLevel0X" xfId="706"/>
    <cellStyle name="SAPBEXHLevel1" xfId="707"/>
    <cellStyle name="SAPBEXHLevel1X" xfId="708"/>
    <cellStyle name="SAPBEXHLevel2" xfId="709"/>
    <cellStyle name="SAPBEXHLevel2X" xfId="710"/>
    <cellStyle name="SAPBEXHLevel3" xfId="711"/>
    <cellStyle name="SAPBEXHLevel3X" xfId="712"/>
    <cellStyle name="SAPBEXinputData" xfId="713"/>
    <cellStyle name="SAPBEXresData" xfId="714"/>
    <cellStyle name="SAPBEXresDataEmph" xfId="715"/>
    <cellStyle name="SAPBEXresExc1" xfId="716"/>
    <cellStyle name="SAPBEXresExc1Emph" xfId="717"/>
    <cellStyle name="SAPBEXresExc2" xfId="718"/>
    <cellStyle name="SAPBEXresExc2Emph" xfId="719"/>
    <cellStyle name="SAPBEXresItem" xfId="720"/>
    <cellStyle name="SAPBEXresItemX" xfId="721"/>
    <cellStyle name="SAPBEXstdData" xfId="722"/>
    <cellStyle name="SAPBEXstdDataEmph" xfId="723"/>
    <cellStyle name="SAPBEXstdExc1" xfId="724"/>
    <cellStyle name="SAPBEXstdExc1Emph" xfId="725"/>
    <cellStyle name="SAPBEXstdExc2" xfId="726"/>
    <cellStyle name="SAPBEXstdExc2Emph" xfId="727"/>
    <cellStyle name="SAPBEXstdItem" xfId="728"/>
    <cellStyle name="SAPBEXstdItemHeader" xfId="729"/>
    <cellStyle name="SAPBEXstdItemLeft" xfId="730"/>
    <cellStyle name="SAPBEXstdItemLeftChart" xfId="731"/>
    <cellStyle name="SAPBEXstdItemX" xfId="732"/>
    <cellStyle name="SAPBEXsubData" xfId="733"/>
    <cellStyle name="SAPBEXsubDataEmph" xfId="734"/>
    <cellStyle name="SAPBEXsubExc1" xfId="735"/>
    <cellStyle name="SAPBEXsubExc1 2" xfId="736"/>
    <cellStyle name="SAPBEXsubExc1Emph" xfId="737"/>
    <cellStyle name="SAPBEXsubExc1Emph 2" xfId="738"/>
    <cellStyle name="SAPBEXsubExc2" xfId="739"/>
    <cellStyle name="SAPBEXsubExc2Emph" xfId="740"/>
    <cellStyle name="SAPBEXsubItem" xfId="741"/>
    <cellStyle name="SAPBEXtitle" xfId="742"/>
    <cellStyle name="SAPBEXundefined" xfId="743"/>
    <cellStyle name="Sheet Title" xfId="744"/>
    <cellStyle name="small" xfId="745"/>
    <cellStyle name="Standard_BS14" xfId="746"/>
    <cellStyle name="TableStyleLight1" xfId="747"/>
    <cellStyle name="TblText" xfId="748"/>
    <cellStyle name="Tickmark" xfId="749"/>
    <cellStyle name="Title" xfId="750"/>
    <cellStyle name="Total" xfId="751"/>
    <cellStyle name="Total 2" xfId="752"/>
    <cellStyle name="Ujke,jq" xfId="753"/>
    <cellStyle name="Ujke,jq 2" xfId="754"/>
    <cellStyle name="Unit" xfId="755"/>
    <cellStyle name="Warning Text" xfId="756"/>
    <cellStyle name="XComma" xfId="757"/>
    <cellStyle name="XComma 0.0" xfId="758"/>
    <cellStyle name="XComma 0.00" xfId="759"/>
    <cellStyle name="XComma 0.000" xfId="760"/>
    <cellStyle name="XCurrency" xfId="761"/>
    <cellStyle name="XCurrency 0.0" xfId="762"/>
    <cellStyle name="XCurrency 0.00" xfId="763"/>
    <cellStyle name="XCurrency 0.000" xfId="764"/>
    <cellStyle name="Year EN" xfId="765"/>
    <cellStyle name="Year RU" xfId="766"/>
    <cellStyle name="Абзац" xfId="767"/>
    <cellStyle name="Акцент1" xfId="768" builtinId="29"/>
    <cellStyle name="Акцент1 2" xfId="769"/>
    <cellStyle name="Акцент1 3" xfId="770"/>
    <cellStyle name="Акцент2" xfId="771" builtinId="33"/>
    <cellStyle name="Акцент2 2" xfId="772"/>
    <cellStyle name="Акцент2 3" xfId="773"/>
    <cellStyle name="Акцент3" xfId="774" builtinId="37"/>
    <cellStyle name="Акцент3 2" xfId="775"/>
    <cellStyle name="Акцент3 3" xfId="776"/>
    <cellStyle name="Акцент4" xfId="777" builtinId="41"/>
    <cellStyle name="Акцент4 2" xfId="778"/>
    <cellStyle name="Акцент4 3" xfId="779"/>
    <cellStyle name="Акцент5" xfId="780" builtinId="45"/>
    <cellStyle name="Акцент5 2" xfId="781"/>
    <cellStyle name="Акцент5 3" xfId="782"/>
    <cellStyle name="Акцент6" xfId="783" builtinId="49"/>
    <cellStyle name="Акцент6 2" xfId="784"/>
    <cellStyle name="Акцент6 3" xfId="785"/>
    <cellStyle name="Ввод" xfId="786"/>
    <cellStyle name="Ввод " xfId="787" builtinId="20"/>
    <cellStyle name="Ввод  2" xfId="788"/>
    <cellStyle name="Ввод  2 10" xfId="789"/>
    <cellStyle name="Ввод  2 11" xfId="790"/>
    <cellStyle name="Ввод  2 2" xfId="791"/>
    <cellStyle name="Ввод  2 3" xfId="792"/>
    <cellStyle name="Ввод  2 4" xfId="793"/>
    <cellStyle name="Ввод  2 5" xfId="794"/>
    <cellStyle name="Ввод  2 6" xfId="795"/>
    <cellStyle name="Ввод  2 7" xfId="796"/>
    <cellStyle name="Ввод  2 8" xfId="797"/>
    <cellStyle name="Ввод  2 9" xfId="798"/>
    <cellStyle name="Ввод  3" xfId="799"/>
    <cellStyle name="Ввод  3 10" xfId="800"/>
    <cellStyle name="Ввод  3 11" xfId="801"/>
    <cellStyle name="Ввод  3 2" xfId="802"/>
    <cellStyle name="Ввод  3 3" xfId="803"/>
    <cellStyle name="Ввод  3 4" xfId="804"/>
    <cellStyle name="Ввод  3 5" xfId="805"/>
    <cellStyle name="Ввод  3 6" xfId="806"/>
    <cellStyle name="Ввод  3 7" xfId="807"/>
    <cellStyle name="Ввод  3 8" xfId="808"/>
    <cellStyle name="Ввод  3 9" xfId="809"/>
    <cellStyle name="Ввод 10" xfId="810"/>
    <cellStyle name="Ввод 11" xfId="811"/>
    <cellStyle name="Ввод 2" xfId="812"/>
    <cellStyle name="Ввод 3" xfId="813"/>
    <cellStyle name="Ввод 4" xfId="814"/>
    <cellStyle name="Ввод 5" xfId="815"/>
    <cellStyle name="Ввод 6" xfId="816"/>
    <cellStyle name="Ввод 7" xfId="817"/>
    <cellStyle name="Ввод 8" xfId="818"/>
    <cellStyle name="Ввод 9" xfId="819"/>
    <cellStyle name="Вывод" xfId="820" builtinId="21"/>
    <cellStyle name="Вывод 2" xfId="821"/>
    <cellStyle name="Вывод 2 10" xfId="822"/>
    <cellStyle name="Вывод 2 11" xfId="823"/>
    <cellStyle name="Вывод 2 2" xfId="824"/>
    <cellStyle name="Вывод 2 3" xfId="825"/>
    <cellStyle name="Вывод 2 4" xfId="826"/>
    <cellStyle name="Вывод 2 5" xfId="827"/>
    <cellStyle name="Вывод 2 6" xfId="828"/>
    <cellStyle name="Вывод 2 7" xfId="829"/>
    <cellStyle name="Вывод 2 8" xfId="830"/>
    <cellStyle name="Вывод 2 9" xfId="831"/>
    <cellStyle name="Вывод 3" xfId="832"/>
    <cellStyle name="Вывод 3 10" xfId="833"/>
    <cellStyle name="Вывод 3 11" xfId="834"/>
    <cellStyle name="Вывод 3 2" xfId="835"/>
    <cellStyle name="Вывод 3 3" xfId="836"/>
    <cellStyle name="Вывод 3 4" xfId="837"/>
    <cellStyle name="Вывод 3 5" xfId="838"/>
    <cellStyle name="Вывод 3 6" xfId="839"/>
    <cellStyle name="Вывод 3 7" xfId="840"/>
    <cellStyle name="Вывод 3 8" xfId="841"/>
    <cellStyle name="Вывод 3 9" xfId="842"/>
    <cellStyle name="Вычисление" xfId="843" builtinId="22"/>
    <cellStyle name="Вычисление 2" xfId="844"/>
    <cellStyle name="Вычисление 2 10" xfId="845"/>
    <cellStyle name="Вычисление 2 11" xfId="846"/>
    <cellStyle name="Вычисление 2 2" xfId="847"/>
    <cellStyle name="Вычисление 2 3" xfId="848"/>
    <cellStyle name="Вычисление 2 4" xfId="849"/>
    <cellStyle name="Вычисление 2 5" xfId="850"/>
    <cellStyle name="Вычисление 2 6" xfId="851"/>
    <cellStyle name="Вычисление 2 7" xfId="852"/>
    <cellStyle name="Вычисление 2 8" xfId="853"/>
    <cellStyle name="Вычисление 2 9" xfId="854"/>
    <cellStyle name="Вычисление 3" xfId="855"/>
    <cellStyle name="Вычисление 3 10" xfId="856"/>
    <cellStyle name="Вычисление 3 11" xfId="857"/>
    <cellStyle name="Вычисление 3 2" xfId="858"/>
    <cellStyle name="Вычисление 3 3" xfId="859"/>
    <cellStyle name="Вычисление 3 4" xfId="860"/>
    <cellStyle name="Вычисление 3 5" xfId="861"/>
    <cellStyle name="Вычисление 3 6" xfId="862"/>
    <cellStyle name="Вычисление 3 7" xfId="863"/>
    <cellStyle name="Вычисление 3 8" xfId="864"/>
    <cellStyle name="Вычисление 3 9" xfId="865"/>
    <cellStyle name="Гиперссылка" xfId="866" builtinId="8"/>
    <cellStyle name="Гиперссылка 2" xfId="867"/>
    <cellStyle name="Гиперссылка 2 2" xfId="868"/>
    <cellStyle name="Гиперссылка 3" xfId="869"/>
    <cellStyle name="Гиперссылка 4" xfId="870"/>
    <cellStyle name="Денежный" xfId="871" builtinId="4"/>
    <cellStyle name="Денежный 10" xfId="872"/>
    <cellStyle name="Денежный 10 2" xfId="873"/>
    <cellStyle name="Денежный 10 2 2" xfId="874"/>
    <cellStyle name="Денежный 10 2 2 2" xfId="875"/>
    <cellStyle name="Денежный 10 2 3" xfId="876"/>
    <cellStyle name="Денежный 10 2 4" xfId="877"/>
    <cellStyle name="Денежный 10 2 5" xfId="878"/>
    <cellStyle name="Денежный 10 2 6" xfId="879"/>
    <cellStyle name="Денежный 10 2 7" xfId="880"/>
    <cellStyle name="Денежный 10 3" xfId="881"/>
    <cellStyle name="Денежный 10 3 2" xfId="882"/>
    <cellStyle name="Денежный 10 3 2 2" xfId="883"/>
    <cellStyle name="Денежный 10 3 3" xfId="884"/>
    <cellStyle name="Денежный 10 3 4" xfId="885"/>
    <cellStyle name="Денежный 10 3 5" xfId="886"/>
    <cellStyle name="Денежный 10 3 6" xfId="887"/>
    <cellStyle name="Денежный 10 3 7" xfId="888"/>
    <cellStyle name="Денежный 10 4" xfId="889"/>
    <cellStyle name="Денежный 10 4 2" xfId="890"/>
    <cellStyle name="Денежный 10 5" xfId="891"/>
    <cellStyle name="Денежный 10 6" xfId="892"/>
    <cellStyle name="Денежный 10 7" xfId="893"/>
    <cellStyle name="Денежный 10 8" xfId="894"/>
    <cellStyle name="Денежный 10 9" xfId="895"/>
    <cellStyle name="Денежный 11" xfId="896"/>
    <cellStyle name="Денежный 11 2" xfId="897"/>
    <cellStyle name="Денежный 11 2 2" xfId="898"/>
    <cellStyle name="Денежный 11 3" xfId="899"/>
    <cellStyle name="Денежный 11 4" xfId="900"/>
    <cellStyle name="Денежный 11 5" xfId="901"/>
    <cellStyle name="Денежный 11 6" xfId="902"/>
    <cellStyle name="Денежный 11 7" xfId="903"/>
    <cellStyle name="Денежный 12" xfId="904"/>
    <cellStyle name="Денежный 12 2" xfId="905"/>
    <cellStyle name="Денежный 12 2 2" xfId="906"/>
    <cellStyle name="Денежный 12 3" xfId="907"/>
    <cellStyle name="Денежный 12 4" xfId="908"/>
    <cellStyle name="Денежный 12 5" xfId="909"/>
    <cellStyle name="Денежный 12 6" xfId="910"/>
    <cellStyle name="Денежный 12 7" xfId="911"/>
    <cellStyle name="Денежный 13" xfId="912"/>
    <cellStyle name="Денежный 13 2" xfId="913"/>
    <cellStyle name="Денежный 13 2 2" xfId="914"/>
    <cellStyle name="Денежный 13 3" xfId="915"/>
    <cellStyle name="Денежный 13 4" xfId="916"/>
    <cellStyle name="Денежный 13 5" xfId="917"/>
    <cellStyle name="Денежный 13 6" xfId="918"/>
    <cellStyle name="Денежный 13 7" xfId="919"/>
    <cellStyle name="Денежный 14" xfId="920"/>
    <cellStyle name="Денежный 14 2" xfId="921"/>
    <cellStyle name="Денежный 15" xfId="922"/>
    <cellStyle name="Денежный 16" xfId="923"/>
    <cellStyle name="Денежный 17" xfId="924"/>
    <cellStyle name="Денежный 18" xfId="925"/>
    <cellStyle name="Денежный 19" xfId="926"/>
    <cellStyle name="Денежный 2" xfId="927"/>
    <cellStyle name="Денежный 2 2" xfId="928"/>
    <cellStyle name="Денежный 2 2 2" xfId="929"/>
    <cellStyle name="Денежный 2 2 3" xfId="930"/>
    <cellStyle name="Денежный 2 2 4" xfId="931"/>
    <cellStyle name="Денежный 2 2 5" xfId="932"/>
    <cellStyle name="Денежный 2 3" xfId="933"/>
    <cellStyle name="Денежный 2 3 2" xfId="934"/>
    <cellStyle name="Денежный 2 3 3" xfId="935"/>
    <cellStyle name="Денежный 2 4" xfId="936"/>
    <cellStyle name="Денежный 2 5" xfId="937"/>
    <cellStyle name="Денежный 3" xfId="938"/>
    <cellStyle name="Денежный 3 2" xfId="939"/>
    <cellStyle name="Денежный 4" xfId="940"/>
    <cellStyle name="Денежный 4 10" xfId="941"/>
    <cellStyle name="Денежный 4 11" xfId="942"/>
    <cellStyle name="Денежный 4 12" xfId="943"/>
    <cellStyle name="Денежный 4 13" xfId="944"/>
    <cellStyle name="Денежный 4 14" xfId="945"/>
    <cellStyle name="Денежный 4 2" xfId="946"/>
    <cellStyle name="Денежный 4 2 10" xfId="947"/>
    <cellStyle name="Денежный 4 2 11" xfId="948"/>
    <cellStyle name="Денежный 4 2 2" xfId="949"/>
    <cellStyle name="Денежный 4 2 2 2" xfId="950"/>
    <cellStyle name="Денежный 4 2 2 2 2" xfId="951"/>
    <cellStyle name="Денежный 4 2 2 2 2 2" xfId="952"/>
    <cellStyle name="Денежный 4 2 2 2 3" xfId="953"/>
    <cellStyle name="Денежный 4 2 2 2 4" xfId="954"/>
    <cellStyle name="Денежный 4 2 2 2 5" xfId="955"/>
    <cellStyle name="Денежный 4 2 2 2 6" xfId="956"/>
    <cellStyle name="Денежный 4 2 2 2 7" xfId="957"/>
    <cellStyle name="Денежный 4 2 2 3" xfId="958"/>
    <cellStyle name="Денежный 4 2 2 3 2" xfId="959"/>
    <cellStyle name="Денежный 4 2 2 3 2 2" xfId="960"/>
    <cellStyle name="Денежный 4 2 2 3 3" xfId="961"/>
    <cellStyle name="Денежный 4 2 2 3 4" xfId="962"/>
    <cellStyle name="Денежный 4 2 2 3 5" xfId="963"/>
    <cellStyle name="Денежный 4 2 2 3 6" xfId="964"/>
    <cellStyle name="Денежный 4 2 2 3 7" xfId="965"/>
    <cellStyle name="Денежный 4 2 2 4" xfId="966"/>
    <cellStyle name="Денежный 4 2 2 4 2" xfId="967"/>
    <cellStyle name="Денежный 4 2 2 5" xfId="968"/>
    <cellStyle name="Денежный 4 2 2 6" xfId="969"/>
    <cellStyle name="Денежный 4 2 2 7" xfId="970"/>
    <cellStyle name="Денежный 4 2 2 8" xfId="971"/>
    <cellStyle name="Денежный 4 2 2 9" xfId="972"/>
    <cellStyle name="Денежный 4 2 3" xfId="973"/>
    <cellStyle name="Денежный 4 2 3 2" xfId="974"/>
    <cellStyle name="Денежный 4 2 3 2 2" xfId="975"/>
    <cellStyle name="Денежный 4 2 3 3" xfId="976"/>
    <cellStyle name="Денежный 4 2 3 4" xfId="977"/>
    <cellStyle name="Денежный 4 2 3 5" xfId="978"/>
    <cellStyle name="Денежный 4 2 3 6" xfId="979"/>
    <cellStyle name="Денежный 4 2 3 7" xfId="980"/>
    <cellStyle name="Денежный 4 2 4" xfId="981"/>
    <cellStyle name="Денежный 4 2 4 2" xfId="982"/>
    <cellStyle name="Денежный 4 2 4 2 2" xfId="983"/>
    <cellStyle name="Денежный 4 2 4 3" xfId="984"/>
    <cellStyle name="Денежный 4 2 4 4" xfId="985"/>
    <cellStyle name="Денежный 4 2 4 5" xfId="986"/>
    <cellStyle name="Денежный 4 2 4 6" xfId="987"/>
    <cellStyle name="Денежный 4 2 4 7" xfId="988"/>
    <cellStyle name="Денежный 4 2 5" xfId="989"/>
    <cellStyle name="Денежный 4 2 5 2" xfId="990"/>
    <cellStyle name="Денежный 4 2 5 2 2" xfId="991"/>
    <cellStyle name="Денежный 4 2 5 3" xfId="992"/>
    <cellStyle name="Денежный 4 2 5 4" xfId="993"/>
    <cellStyle name="Денежный 4 2 5 5" xfId="994"/>
    <cellStyle name="Денежный 4 2 5 6" xfId="995"/>
    <cellStyle name="Денежный 4 2 5 7" xfId="996"/>
    <cellStyle name="Денежный 4 2 6" xfId="997"/>
    <cellStyle name="Денежный 4 2 6 2" xfId="998"/>
    <cellStyle name="Денежный 4 2 7" xfId="999"/>
    <cellStyle name="Денежный 4 2 8" xfId="1000"/>
    <cellStyle name="Денежный 4 2 9" xfId="1001"/>
    <cellStyle name="Денежный 4 3" xfId="1002"/>
    <cellStyle name="Денежный 4 3 10" xfId="1003"/>
    <cellStyle name="Денежный 4 3 11" xfId="1004"/>
    <cellStyle name="Денежный 4 3 2" xfId="1005"/>
    <cellStyle name="Денежный 4 3 2 2" xfId="1006"/>
    <cellStyle name="Денежный 4 3 2 2 2" xfId="1007"/>
    <cellStyle name="Денежный 4 3 2 2 2 2" xfId="1008"/>
    <cellStyle name="Денежный 4 3 2 2 3" xfId="1009"/>
    <cellStyle name="Денежный 4 3 2 2 4" xfId="1010"/>
    <cellStyle name="Денежный 4 3 2 2 5" xfId="1011"/>
    <cellStyle name="Денежный 4 3 2 2 6" xfId="1012"/>
    <cellStyle name="Денежный 4 3 2 2 7" xfId="1013"/>
    <cellStyle name="Денежный 4 3 2 3" xfId="1014"/>
    <cellStyle name="Денежный 4 3 2 3 2" xfId="1015"/>
    <cellStyle name="Денежный 4 3 2 3 2 2" xfId="1016"/>
    <cellStyle name="Денежный 4 3 2 3 3" xfId="1017"/>
    <cellStyle name="Денежный 4 3 2 3 4" xfId="1018"/>
    <cellStyle name="Денежный 4 3 2 3 5" xfId="1019"/>
    <cellStyle name="Денежный 4 3 2 3 6" xfId="1020"/>
    <cellStyle name="Денежный 4 3 2 3 7" xfId="1021"/>
    <cellStyle name="Денежный 4 3 2 4" xfId="1022"/>
    <cellStyle name="Денежный 4 3 2 4 2" xfId="1023"/>
    <cellStyle name="Денежный 4 3 2 5" xfId="1024"/>
    <cellStyle name="Денежный 4 3 2 6" xfId="1025"/>
    <cellStyle name="Денежный 4 3 2 7" xfId="1026"/>
    <cellStyle name="Денежный 4 3 2 8" xfId="1027"/>
    <cellStyle name="Денежный 4 3 2 9" xfId="1028"/>
    <cellStyle name="Денежный 4 3 3" xfId="1029"/>
    <cellStyle name="Денежный 4 3 3 2" xfId="1030"/>
    <cellStyle name="Денежный 4 3 3 2 2" xfId="1031"/>
    <cellStyle name="Денежный 4 3 3 3" xfId="1032"/>
    <cellStyle name="Денежный 4 3 3 4" xfId="1033"/>
    <cellStyle name="Денежный 4 3 3 5" xfId="1034"/>
    <cellStyle name="Денежный 4 3 3 6" xfId="1035"/>
    <cellStyle name="Денежный 4 3 3 7" xfId="1036"/>
    <cellStyle name="Денежный 4 3 4" xfId="1037"/>
    <cellStyle name="Денежный 4 3 4 2" xfId="1038"/>
    <cellStyle name="Денежный 4 3 4 2 2" xfId="1039"/>
    <cellStyle name="Денежный 4 3 4 3" xfId="1040"/>
    <cellStyle name="Денежный 4 3 4 4" xfId="1041"/>
    <cellStyle name="Денежный 4 3 4 5" xfId="1042"/>
    <cellStyle name="Денежный 4 3 4 6" xfId="1043"/>
    <cellStyle name="Денежный 4 3 4 7" xfId="1044"/>
    <cellStyle name="Денежный 4 3 5" xfId="1045"/>
    <cellStyle name="Денежный 4 3 5 2" xfId="1046"/>
    <cellStyle name="Денежный 4 3 5 2 2" xfId="1047"/>
    <cellStyle name="Денежный 4 3 5 3" xfId="1048"/>
    <cellStyle name="Денежный 4 3 5 4" xfId="1049"/>
    <cellStyle name="Денежный 4 3 5 5" xfId="1050"/>
    <cellStyle name="Денежный 4 3 5 6" xfId="1051"/>
    <cellStyle name="Денежный 4 3 5 7" xfId="1052"/>
    <cellStyle name="Денежный 4 3 6" xfId="1053"/>
    <cellStyle name="Денежный 4 3 6 2" xfId="1054"/>
    <cellStyle name="Денежный 4 3 7" xfId="1055"/>
    <cellStyle name="Денежный 4 3 8" xfId="1056"/>
    <cellStyle name="Денежный 4 3 9" xfId="1057"/>
    <cellStyle name="Денежный 4 4" xfId="1058"/>
    <cellStyle name="Денежный 4 5" xfId="1059"/>
    <cellStyle name="Денежный 4 5 2" xfId="1060"/>
    <cellStyle name="Денежный 4 5 2 2" xfId="1061"/>
    <cellStyle name="Денежный 4 5 2 2 2" xfId="1062"/>
    <cellStyle name="Денежный 4 5 2 3" xfId="1063"/>
    <cellStyle name="Денежный 4 5 2 4" xfId="1064"/>
    <cellStyle name="Денежный 4 5 2 5" xfId="1065"/>
    <cellStyle name="Денежный 4 5 2 6" xfId="1066"/>
    <cellStyle name="Денежный 4 5 2 7" xfId="1067"/>
    <cellStyle name="Денежный 4 5 3" xfId="1068"/>
    <cellStyle name="Денежный 4 5 3 2" xfId="1069"/>
    <cellStyle name="Денежный 4 5 3 2 2" xfId="1070"/>
    <cellStyle name="Денежный 4 5 3 3" xfId="1071"/>
    <cellStyle name="Денежный 4 5 3 4" xfId="1072"/>
    <cellStyle name="Денежный 4 5 3 5" xfId="1073"/>
    <cellStyle name="Денежный 4 5 3 6" xfId="1074"/>
    <cellStyle name="Денежный 4 5 3 7" xfId="1075"/>
    <cellStyle name="Денежный 4 5 4" xfId="1076"/>
    <cellStyle name="Денежный 4 5 4 2" xfId="1077"/>
    <cellStyle name="Денежный 4 5 5" xfId="1078"/>
    <cellStyle name="Денежный 4 5 6" xfId="1079"/>
    <cellStyle name="Денежный 4 5 7" xfId="1080"/>
    <cellStyle name="Денежный 4 5 8" xfId="1081"/>
    <cellStyle name="Денежный 4 5 9" xfId="1082"/>
    <cellStyle name="Денежный 4 6" xfId="1083"/>
    <cellStyle name="Денежный 4 6 2" xfId="1084"/>
    <cellStyle name="Денежный 4 6 2 2" xfId="1085"/>
    <cellStyle name="Денежный 4 6 3" xfId="1086"/>
    <cellStyle name="Денежный 4 6 4" xfId="1087"/>
    <cellStyle name="Денежный 4 6 5" xfId="1088"/>
    <cellStyle name="Денежный 4 6 6" xfId="1089"/>
    <cellStyle name="Денежный 4 6 7" xfId="1090"/>
    <cellStyle name="Денежный 4 7" xfId="1091"/>
    <cellStyle name="Денежный 4 7 2" xfId="1092"/>
    <cellStyle name="Денежный 4 7 2 2" xfId="1093"/>
    <cellStyle name="Денежный 4 7 3" xfId="1094"/>
    <cellStyle name="Денежный 4 7 4" xfId="1095"/>
    <cellStyle name="Денежный 4 7 5" xfId="1096"/>
    <cellStyle name="Денежный 4 7 6" xfId="1097"/>
    <cellStyle name="Денежный 4 7 7" xfId="1098"/>
    <cellStyle name="Денежный 4 8" xfId="1099"/>
    <cellStyle name="Денежный 4 8 2" xfId="1100"/>
    <cellStyle name="Денежный 4 8 2 2" xfId="1101"/>
    <cellStyle name="Денежный 4 8 3" xfId="1102"/>
    <cellStyle name="Денежный 4 8 4" xfId="1103"/>
    <cellStyle name="Денежный 4 8 5" xfId="1104"/>
    <cellStyle name="Денежный 4 8 6" xfId="1105"/>
    <cellStyle name="Денежный 4 8 7" xfId="1106"/>
    <cellStyle name="Денежный 4 9" xfId="1107"/>
    <cellStyle name="Денежный 4 9 2" xfId="1108"/>
    <cellStyle name="Денежный 5" xfId="1109"/>
    <cellStyle name="Денежный 5 10" xfId="1110"/>
    <cellStyle name="Денежный 5 11" xfId="1111"/>
    <cellStyle name="Денежный 5 2" xfId="1112"/>
    <cellStyle name="Денежный 5 2 2" xfId="1113"/>
    <cellStyle name="Денежный 5 2 2 2" xfId="1114"/>
    <cellStyle name="Денежный 5 2 2 2 2" xfId="1115"/>
    <cellStyle name="Денежный 5 2 2 3" xfId="1116"/>
    <cellStyle name="Денежный 5 2 2 4" xfId="1117"/>
    <cellStyle name="Денежный 5 2 2 5" xfId="1118"/>
    <cellStyle name="Денежный 5 2 2 6" xfId="1119"/>
    <cellStyle name="Денежный 5 2 2 7" xfId="1120"/>
    <cellStyle name="Денежный 5 2 3" xfId="1121"/>
    <cellStyle name="Денежный 5 2 3 2" xfId="1122"/>
    <cellStyle name="Денежный 5 2 3 2 2" xfId="1123"/>
    <cellStyle name="Денежный 5 2 3 3" xfId="1124"/>
    <cellStyle name="Денежный 5 2 3 4" xfId="1125"/>
    <cellStyle name="Денежный 5 2 3 5" xfId="1126"/>
    <cellStyle name="Денежный 5 2 3 6" xfId="1127"/>
    <cellStyle name="Денежный 5 2 3 7" xfId="1128"/>
    <cellStyle name="Денежный 5 2 4" xfId="1129"/>
    <cellStyle name="Денежный 5 2 4 2" xfId="1130"/>
    <cellStyle name="Денежный 5 2 5" xfId="1131"/>
    <cellStyle name="Денежный 5 2 6" xfId="1132"/>
    <cellStyle name="Денежный 5 2 7" xfId="1133"/>
    <cellStyle name="Денежный 5 2 8" xfId="1134"/>
    <cellStyle name="Денежный 5 2 9" xfId="1135"/>
    <cellStyle name="Денежный 5 3" xfId="1136"/>
    <cellStyle name="Денежный 5 3 2" xfId="1137"/>
    <cellStyle name="Денежный 5 3 2 2" xfId="1138"/>
    <cellStyle name="Денежный 5 3 3" xfId="1139"/>
    <cellStyle name="Денежный 5 3 4" xfId="1140"/>
    <cellStyle name="Денежный 5 3 5" xfId="1141"/>
    <cellStyle name="Денежный 5 3 6" xfId="1142"/>
    <cellStyle name="Денежный 5 3 7" xfId="1143"/>
    <cellStyle name="Денежный 5 4" xfId="1144"/>
    <cellStyle name="Денежный 5 4 2" xfId="1145"/>
    <cellStyle name="Денежный 5 4 2 2" xfId="1146"/>
    <cellStyle name="Денежный 5 4 3" xfId="1147"/>
    <cellStyle name="Денежный 5 4 4" xfId="1148"/>
    <cellStyle name="Денежный 5 4 5" xfId="1149"/>
    <cellStyle name="Денежный 5 4 6" xfId="1150"/>
    <cellStyle name="Денежный 5 4 7" xfId="1151"/>
    <cellStyle name="Денежный 5 5" xfId="1152"/>
    <cellStyle name="Денежный 5 5 2" xfId="1153"/>
    <cellStyle name="Денежный 5 5 2 2" xfId="1154"/>
    <cellStyle name="Денежный 5 5 3" xfId="1155"/>
    <cellStyle name="Денежный 5 5 4" xfId="1156"/>
    <cellStyle name="Денежный 5 5 5" xfId="1157"/>
    <cellStyle name="Денежный 5 5 6" xfId="1158"/>
    <cellStyle name="Денежный 5 5 7" xfId="1159"/>
    <cellStyle name="Денежный 5 6" xfId="1160"/>
    <cellStyle name="Денежный 5 6 2" xfId="1161"/>
    <cellStyle name="Денежный 5 7" xfId="1162"/>
    <cellStyle name="Денежный 5 8" xfId="1163"/>
    <cellStyle name="Денежный 5 9" xfId="1164"/>
    <cellStyle name="Денежный 6" xfId="1165"/>
    <cellStyle name="Денежный 6 10" xfId="1166"/>
    <cellStyle name="Денежный 6 11" xfId="1167"/>
    <cellStyle name="Денежный 6 2" xfId="1168"/>
    <cellStyle name="Денежный 6 2 2" xfId="1169"/>
    <cellStyle name="Денежный 6 2 2 2" xfId="1170"/>
    <cellStyle name="Денежный 6 2 2 2 2" xfId="1171"/>
    <cellStyle name="Денежный 6 2 2 3" xfId="1172"/>
    <cellStyle name="Денежный 6 2 2 4" xfId="1173"/>
    <cellStyle name="Денежный 6 2 2 5" xfId="1174"/>
    <cellStyle name="Денежный 6 2 2 6" xfId="1175"/>
    <cellStyle name="Денежный 6 2 2 7" xfId="1176"/>
    <cellStyle name="Денежный 6 2 3" xfId="1177"/>
    <cellStyle name="Денежный 6 2 3 2" xfId="1178"/>
    <cellStyle name="Денежный 6 2 3 2 2" xfId="1179"/>
    <cellStyle name="Денежный 6 2 3 3" xfId="1180"/>
    <cellStyle name="Денежный 6 2 3 4" xfId="1181"/>
    <cellStyle name="Денежный 6 2 3 5" xfId="1182"/>
    <cellStyle name="Денежный 6 2 3 6" xfId="1183"/>
    <cellStyle name="Денежный 6 2 3 7" xfId="1184"/>
    <cellStyle name="Денежный 6 2 4" xfId="1185"/>
    <cellStyle name="Денежный 6 2 4 2" xfId="1186"/>
    <cellStyle name="Денежный 6 2 5" xfId="1187"/>
    <cellStyle name="Денежный 6 2 6" xfId="1188"/>
    <cellStyle name="Денежный 6 2 7" xfId="1189"/>
    <cellStyle name="Денежный 6 2 8" xfId="1190"/>
    <cellStyle name="Денежный 6 2 9" xfId="1191"/>
    <cellStyle name="Денежный 6 3" xfId="1192"/>
    <cellStyle name="Денежный 6 3 2" xfId="1193"/>
    <cellStyle name="Денежный 6 3 2 2" xfId="1194"/>
    <cellStyle name="Денежный 6 3 3" xfId="1195"/>
    <cellStyle name="Денежный 6 3 4" xfId="1196"/>
    <cellStyle name="Денежный 6 3 5" xfId="1197"/>
    <cellStyle name="Денежный 6 3 6" xfId="1198"/>
    <cellStyle name="Денежный 6 3 7" xfId="1199"/>
    <cellStyle name="Денежный 6 4" xfId="1200"/>
    <cellStyle name="Денежный 6 4 2" xfId="1201"/>
    <cellStyle name="Денежный 6 4 2 2" xfId="1202"/>
    <cellStyle name="Денежный 6 4 3" xfId="1203"/>
    <cellStyle name="Денежный 6 4 4" xfId="1204"/>
    <cellStyle name="Денежный 6 4 5" xfId="1205"/>
    <cellStyle name="Денежный 6 4 6" xfId="1206"/>
    <cellStyle name="Денежный 6 4 7" xfId="1207"/>
    <cellStyle name="Денежный 6 5" xfId="1208"/>
    <cellStyle name="Денежный 6 5 2" xfId="1209"/>
    <cellStyle name="Денежный 6 5 2 2" xfId="1210"/>
    <cellStyle name="Денежный 6 5 3" xfId="1211"/>
    <cellStyle name="Денежный 6 5 4" xfId="1212"/>
    <cellStyle name="Денежный 6 5 5" xfId="1213"/>
    <cellStyle name="Денежный 6 5 6" xfId="1214"/>
    <cellStyle name="Денежный 6 5 7" xfId="1215"/>
    <cellStyle name="Денежный 6 6" xfId="1216"/>
    <cellStyle name="Денежный 6 6 2" xfId="1217"/>
    <cellStyle name="Денежный 6 7" xfId="1218"/>
    <cellStyle name="Денежный 6 8" xfId="1219"/>
    <cellStyle name="Денежный 6 9" xfId="1220"/>
    <cellStyle name="Денежный 7" xfId="1221"/>
    <cellStyle name="Денежный 8" xfId="1222"/>
    <cellStyle name="Денежный 8 10" xfId="1223"/>
    <cellStyle name="Денежный 8 11" xfId="1224"/>
    <cellStyle name="Денежный 8 2" xfId="1225"/>
    <cellStyle name="Денежный 8 2 2" xfId="1226"/>
    <cellStyle name="Денежный 8 2 2 2" xfId="1227"/>
    <cellStyle name="Денежный 8 2 2 2 2" xfId="1228"/>
    <cellStyle name="Денежный 8 2 2 3" xfId="1229"/>
    <cellStyle name="Денежный 8 2 2 4" xfId="1230"/>
    <cellStyle name="Денежный 8 2 2 5" xfId="1231"/>
    <cellStyle name="Денежный 8 2 2 6" xfId="1232"/>
    <cellStyle name="Денежный 8 2 2 7" xfId="1233"/>
    <cellStyle name="Денежный 8 2 3" xfId="1234"/>
    <cellStyle name="Денежный 8 2 3 2" xfId="1235"/>
    <cellStyle name="Денежный 8 2 3 2 2" xfId="1236"/>
    <cellStyle name="Денежный 8 2 3 3" xfId="1237"/>
    <cellStyle name="Денежный 8 2 3 4" xfId="1238"/>
    <cellStyle name="Денежный 8 2 3 5" xfId="1239"/>
    <cellStyle name="Денежный 8 2 3 6" xfId="1240"/>
    <cellStyle name="Денежный 8 2 3 7" xfId="1241"/>
    <cellStyle name="Денежный 8 2 4" xfId="1242"/>
    <cellStyle name="Денежный 8 2 4 2" xfId="1243"/>
    <cellStyle name="Денежный 8 2 5" xfId="1244"/>
    <cellStyle name="Денежный 8 2 6" xfId="1245"/>
    <cellStyle name="Денежный 8 2 7" xfId="1246"/>
    <cellStyle name="Денежный 8 2 8" xfId="1247"/>
    <cellStyle name="Денежный 8 2 9" xfId="1248"/>
    <cellStyle name="Денежный 8 3" xfId="1249"/>
    <cellStyle name="Денежный 8 3 2" xfId="1250"/>
    <cellStyle name="Денежный 8 3 2 2" xfId="1251"/>
    <cellStyle name="Денежный 8 3 3" xfId="1252"/>
    <cellStyle name="Денежный 8 3 4" xfId="1253"/>
    <cellStyle name="Денежный 8 3 5" xfId="1254"/>
    <cellStyle name="Денежный 8 3 6" xfId="1255"/>
    <cellStyle name="Денежный 8 3 7" xfId="1256"/>
    <cellStyle name="Денежный 8 4" xfId="1257"/>
    <cellStyle name="Денежный 8 4 2" xfId="1258"/>
    <cellStyle name="Денежный 8 4 2 2" xfId="1259"/>
    <cellStyle name="Денежный 8 4 3" xfId="1260"/>
    <cellStyle name="Денежный 8 4 4" xfId="1261"/>
    <cellStyle name="Денежный 8 4 5" xfId="1262"/>
    <cellStyle name="Денежный 8 4 6" xfId="1263"/>
    <cellStyle name="Денежный 8 4 7" xfId="1264"/>
    <cellStyle name="Денежный 8 5" xfId="1265"/>
    <cellStyle name="Денежный 8 5 2" xfId="1266"/>
    <cellStyle name="Денежный 8 5 2 2" xfId="1267"/>
    <cellStyle name="Денежный 8 5 3" xfId="1268"/>
    <cellStyle name="Денежный 8 5 4" xfId="1269"/>
    <cellStyle name="Денежный 8 5 5" xfId="1270"/>
    <cellStyle name="Денежный 8 5 6" xfId="1271"/>
    <cellStyle name="Денежный 8 5 7" xfId="1272"/>
    <cellStyle name="Денежный 8 6" xfId="1273"/>
    <cellStyle name="Денежный 8 6 2" xfId="1274"/>
    <cellStyle name="Денежный 8 7" xfId="1275"/>
    <cellStyle name="Денежный 8 8" xfId="1276"/>
    <cellStyle name="Денежный 8 9" xfId="1277"/>
    <cellStyle name="Денежный 9" xfId="1278"/>
    <cellStyle name="Заголовок 1" xfId="1279" builtinId="16"/>
    <cellStyle name="Заголовок 1 2" xfId="1280"/>
    <cellStyle name="Заголовок 1 3" xfId="1281"/>
    <cellStyle name="Заголовок 2" xfId="1282" builtinId="17"/>
    <cellStyle name="Заголовок 2 2" xfId="1283"/>
    <cellStyle name="Заголовок 2 3" xfId="1284"/>
    <cellStyle name="Заголовок 3" xfId="1285" builtinId="18"/>
    <cellStyle name="Заголовок 3 2" xfId="1286"/>
    <cellStyle name="Заголовок 3 3" xfId="1287"/>
    <cellStyle name="Заголовок 4" xfId="1288" builtinId="19"/>
    <cellStyle name="Заголовок 4 2" xfId="1289"/>
    <cellStyle name="Заголовок 4 3" xfId="1290"/>
    <cellStyle name="Итог" xfId="1291" builtinId="25"/>
    <cellStyle name="Итог 2" xfId="1292"/>
    <cellStyle name="Итог 2 10" xfId="1293"/>
    <cellStyle name="Итог 2 11" xfId="1294"/>
    <cellStyle name="Итог 2 2" xfId="1295"/>
    <cellStyle name="Итог 2 3" xfId="1296"/>
    <cellStyle name="Итог 2 4" xfId="1297"/>
    <cellStyle name="Итог 2 5" xfId="1298"/>
    <cellStyle name="Итог 2 6" xfId="1299"/>
    <cellStyle name="Итог 2 7" xfId="1300"/>
    <cellStyle name="Итог 2 8" xfId="1301"/>
    <cellStyle name="Итог 2 9" xfId="1302"/>
    <cellStyle name="Итог 3" xfId="1303"/>
    <cellStyle name="Итог 3 10" xfId="1304"/>
    <cellStyle name="Итог 3 11" xfId="1305"/>
    <cellStyle name="Итог 3 2" xfId="1306"/>
    <cellStyle name="Итог 3 3" xfId="1307"/>
    <cellStyle name="Итог 3 4" xfId="1308"/>
    <cellStyle name="Итог 3 5" xfId="1309"/>
    <cellStyle name="Итог 3 6" xfId="1310"/>
    <cellStyle name="Итог 3 7" xfId="1311"/>
    <cellStyle name="Итог 3 8" xfId="1312"/>
    <cellStyle name="Итог 3 9" xfId="1313"/>
    <cellStyle name="Контрольная ячейка" xfId="1314" builtinId="23"/>
    <cellStyle name="Контрольная ячейка 2" xfId="1315"/>
    <cellStyle name="Контрольная ячейка 3" xfId="1316"/>
    <cellStyle name="Название" xfId="1317" builtinId="15"/>
    <cellStyle name="Название 2" xfId="1318"/>
    <cellStyle name="Название 3" xfId="1319"/>
    <cellStyle name="Нейтральный 2" xfId="1320"/>
    <cellStyle name="Нейтральный 2 2" xfId="1321"/>
    <cellStyle name="Нейтральный 3" xfId="1322"/>
    <cellStyle name="Нейтральный 4" xfId="1323"/>
    <cellStyle name="Обычный 10" xfId="1324"/>
    <cellStyle name="Обычный 10 2" xfId="1325"/>
    <cellStyle name="Обычный 10 2 2" xfId="1326"/>
    <cellStyle name="Обычный 10 3" xfId="1327"/>
    <cellStyle name="Обычный 10 4" xfId="1328"/>
    <cellStyle name="Обычный 11" xfId="1329"/>
    <cellStyle name="Обычный 11 2" xfId="1330"/>
    <cellStyle name="Обычный 12" xfId="1331"/>
    <cellStyle name="Обычный 12 2" xfId="1332"/>
    <cellStyle name="Обычный 2" xfId="1333"/>
    <cellStyle name="Обычный 2 2" xfId="1334"/>
    <cellStyle name="Обычный 2 2 2" xfId="1335"/>
    <cellStyle name="Обычный 2 2 2 2" xfId="1336"/>
    <cellStyle name="Обычный 2 2 2 3" xfId="1337"/>
    <cellStyle name="Обычный 2 2 2 4" xfId="1338"/>
    <cellStyle name="Обычный 2 2 2 5" xfId="1339"/>
    <cellStyle name="Обычный 2 2 2 6" xfId="1340"/>
    <cellStyle name="Обычный 2 2 2 7" xfId="1341"/>
    <cellStyle name="Обычный 2 2 3" xfId="1342"/>
    <cellStyle name="Обычный 2 2 3 2" xfId="1343"/>
    <cellStyle name="Обычный 2 2 4" xfId="1344"/>
    <cellStyle name="Обычный 2 2 5" xfId="1345"/>
    <cellStyle name="Обычный 2 3" xfId="1346"/>
    <cellStyle name="Обычный 2 3 2" xfId="1347"/>
    <cellStyle name="Обычный 2 3 2 2" xfId="1348"/>
    <cellStyle name="Обычный 2 3 3" xfId="1349"/>
    <cellStyle name="Обычный 2 3 4" xfId="1350"/>
    <cellStyle name="Обычный 2 3 5" xfId="1351"/>
    <cellStyle name="Обычный 2 3 6" xfId="1352"/>
    <cellStyle name="Обычный 2 4" xfId="1353"/>
    <cellStyle name="Обычный 2 4 2" xfId="1354"/>
    <cellStyle name="Обычный 2 4 3" xfId="1355"/>
    <cellStyle name="Обычный 2 5" xfId="1356"/>
    <cellStyle name="Обычный 2 5 2" xfId="1357"/>
    <cellStyle name="Обычный 2 5 3" xfId="1358"/>
    <cellStyle name="Обычный 2 6" xfId="1359"/>
    <cellStyle name="Обычный 2 7" xfId="1360"/>
    <cellStyle name="Обычный 2 8" xfId="1361"/>
    <cellStyle name="Обычный 3" xfId="1362"/>
    <cellStyle name="Обычный 3 2" xfId="1363"/>
    <cellStyle name="Обычный 3 2 2" xfId="1364"/>
    <cellStyle name="Обычный 3 3" xfId="1365"/>
    <cellStyle name="Обычный 3 4" xfId="1366"/>
    <cellStyle name="Обычный 4" xfId="1367"/>
    <cellStyle name="Обычный 4 2" xfId="1368"/>
    <cellStyle name="Обычный 4 3" xfId="1369"/>
    <cellStyle name="Обычный 5" xfId="1370"/>
    <cellStyle name="Обычный 5 2" xfId="1371"/>
    <cellStyle name="Обычный 5 3" xfId="1372"/>
    <cellStyle name="Обычный 6" xfId="1373"/>
    <cellStyle name="Обычный 6 2" xfId="1374"/>
    <cellStyle name="Обычный 6 2 2" xfId="1375"/>
    <cellStyle name="Обычный 7" xfId="1376"/>
    <cellStyle name="Обычный 8" xfId="1377"/>
    <cellStyle name="Обычный 8 2" xfId="1378"/>
    <cellStyle name="Обычный 9" xfId="1379"/>
    <cellStyle name="Обычный 9 2" xfId="1380"/>
    <cellStyle name="Обычный 9 2 2" xfId="1381"/>
    <cellStyle name="Обычный 9 3" xfId="1382"/>
    <cellStyle name="Плохой" xfId="1383" builtinId="27"/>
    <cellStyle name="Плохой 2" xfId="1384"/>
    <cellStyle name="Плохой 3" xfId="1385"/>
    <cellStyle name="Пояснение" xfId="1386" builtinId="53"/>
    <cellStyle name="Пояснение 2" xfId="1387"/>
    <cellStyle name="Пояснение 3" xfId="1388"/>
    <cellStyle name="Примечание" xfId="1389" builtinId="10"/>
    <cellStyle name="Примечание 2" xfId="1390"/>
    <cellStyle name="Примечание 2 10" xfId="1391"/>
    <cellStyle name="Примечание 2 11" xfId="1392"/>
    <cellStyle name="Примечание 2 2" xfId="1393"/>
    <cellStyle name="Примечание 2 3" xfId="1394"/>
    <cellStyle name="Примечание 2 4" xfId="1395"/>
    <cellStyle name="Примечание 2 5" xfId="1396"/>
    <cellStyle name="Примечание 2 6" xfId="1397"/>
    <cellStyle name="Примечание 2 7" xfId="1398"/>
    <cellStyle name="Примечание 2 8" xfId="1399"/>
    <cellStyle name="Примечание 2 9" xfId="1400"/>
    <cellStyle name="Примечание 3" xfId="1401"/>
    <cellStyle name="Примечание 3 10" xfId="1402"/>
    <cellStyle name="Примечание 3 11" xfId="1403"/>
    <cellStyle name="Примечание 3 2" xfId="1404"/>
    <cellStyle name="Примечание 3 3" xfId="1405"/>
    <cellStyle name="Примечание 3 4" xfId="1406"/>
    <cellStyle name="Примечание 3 5" xfId="1407"/>
    <cellStyle name="Примечание 3 6" xfId="1408"/>
    <cellStyle name="Примечание 3 7" xfId="1409"/>
    <cellStyle name="Примечание 3 8" xfId="1410"/>
    <cellStyle name="Примечание 3 9" xfId="1411"/>
    <cellStyle name="Примечание 4" xfId="1412"/>
    <cellStyle name="Процент_11п" xfId="1413"/>
    <cellStyle name="Процентный" xfId="1414" builtinId="5"/>
    <cellStyle name="Процентный 2" xfId="1415"/>
    <cellStyle name="Процентный 2 2" xfId="1416"/>
    <cellStyle name="Процентный 2 2 2" xfId="1417"/>
    <cellStyle name="Процентный 2 2 2 2" xfId="1418"/>
    <cellStyle name="Процентный 2 2 2 3" xfId="1419"/>
    <cellStyle name="Процентный 2 2 3" xfId="1420"/>
    <cellStyle name="Процентный 2 3" xfId="1421"/>
    <cellStyle name="Процентный 2 3 2" xfId="1422"/>
    <cellStyle name="Процентный 2 3 3" xfId="1423"/>
    <cellStyle name="Процентный 2 4" xfId="1424"/>
    <cellStyle name="Процентный 3" xfId="1425"/>
    <cellStyle name="Процентный 3 2" xfId="1426"/>
    <cellStyle name="Процентный 3 2 2" xfId="1427"/>
    <cellStyle name="Процентный 3 3" xfId="1428"/>
    <cellStyle name="Процентный 4" xfId="1429"/>
    <cellStyle name="Процентный 4 2" xfId="1430"/>
    <cellStyle name="Процентный 4 2 2" xfId="1431"/>
    <cellStyle name="Процентный 5" xfId="1432"/>
    <cellStyle name="Процентный 6" xfId="1433"/>
    <cellStyle name="Процентный 6 2" xfId="1434"/>
    <cellStyle name="Процентный 7" xfId="1435"/>
    <cellStyle name="Связанная ячейка" xfId="1436" builtinId="24"/>
    <cellStyle name="Связанная ячейка 2" xfId="1437"/>
    <cellStyle name="Связанная ячейка 3" xfId="1438"/>
    <cellStyle name="Стиль 1" xfId="1439"/>
    <cellStyle name="Стиль 1 2" xfId="1440"/>
    <cellStyle name="Стиль 1 3" xfId="1441"/>
    <cellStyle name="Стиль 1 4" xfId="1442"/>
    <cellStyle name="Стиль 1_РН-Сервис_Экономика_2013_NEW_changed_29072013_2003" xfId="1443"/>
    <cellStyle name="ТЕКСТ" xfId="1444"/>
    <cellStyle name="Текст предупреждения" xfId="1445" builtinId="11"/>
    <cellStyle name="Текст предупреждения 2" xfId="1446"/>
    <cellStyle name="Текст предупреждения 3" xfId="1447"/>
    <cellStyle name="Тысячи [0]_1 ноября" xfId="1448"/>
    <cellStyle name="Тысячи_ прибыль " xfId="1449"/>
    <cellStyle name="Финансовый" xfId="1450" builtinId="3"/>
    <cellStyle name="Финансовый 10" xfId="1451"/>
    <cellStyle name="Финансовый 11" xfId="1452"/>
    <cellStyle name="Финансовый 2" xfId="1453"/>
    <cellStyle name="Финансовый 2 2" xfId="1454"/>
    <cellStyle name="Финансовый 2 2 2" xfId="1455"/>
    <cellStyle name="Финансовый 2 2 2 2" xfId="1456"/>
    <cellStyle name="Финансовый 2 2 2 3" xfId="1457"/>
    <cellStyle name="Финансовый 2 2 3" xfId="1458"/>
    <cellStyle name="Финансовый 2 2 4" xfId="1459"/>
    <cellStyle name="Финансовый 2 2 4 2" xfId="1460"/>
    <cellStyle name="Финансовый 2 2 4 2 2" xfId="1461"/>
    <cellStyle name="Финансовый 2 2 4 2 2 2" xfId="1462"/>
    <cellStyle name="Финансовый 2 2 4 2 2 3" xfId="1463"/>
    <cellStyle name="Финансовый 2 2 4 2 2 4" xfId="1464"/>
    <cellStyle name="Финансовый 2 2 4 2 2 5" xfId="1465"/>
    <cellStyle name="Финансовый 2 2 4 2 3" xfId="1466"/>
    <cellStyle name="Финансовый 2 2 4 2 3 2" xfId="1467"/>
    <cellStyle name="Финансовый 2 2 4 2 3 3" xfId="1468"/>
    <cellStyle name="Финансовый 2 2 4 2 3 4" xfId="1469"/>
    <cellStyle name="Финансовый 2 2 4 2 3 5" xfId="1470"/>
    <cellStyle name="Финансовый 2 2 4 2 4" xfId="1471"/>
    <cellStyle name="Финансовый 2 2 4 2 5" xfId="1472"/>
    <cellStyle name="Финансовый 2 2 4 2 6" xfId="1473"/>
    <cellStyle name="Финансовый 2 2 4 2 7" xfId="1474"/>
    <cellStyle name="Финансовый 2 2 4 3" xfId="1475"/>
    <cellStyle name="Финансовый 2 2 4 3 2" xfId="1476"/>
    <cellStyle name="Финансовый 2 2 4 3 3" xfId="1477"/>
    <cellStyle name="Финансовый 2 2 4 3 4" xfId="1478"/>
    <cellStyle name="Финансовый 2 2 4 3 5" xfId="1479"/>
    <cellStyle name="Финансовый 2 2 4 4" xfId="1480"/>
    <cellStyle name="Финансовый 2 2 4 4 2" xfId="1481"/>
    <cellStyle name="Финансовый 2 2 4 4 3" xfId="1482"/>
    <cellStyle name="Финансовый 2 2 4 4 4" xfId="1483"/>
    <cellStyle name="Финансовый 2 2 4 4 5" xfId="1484"/>
    <cellStyle name="Финансовый 2 2 4 5" xfId="1485"/>
    <cellStyle name="Финансовый 2 2 4 6" xfId="1486"/>
    <cellStyle name="Финансовый 2 2 4 7" xfId="1487"/>
    <cellStyle name="Финансовый 2 2 4 8" xfId="1488"/>
    <cellStyle name="Финансовый 2 3" xfId="1489"/>
    <cellStyle name="Финансовый 2 3 2" xfId="1490"/>
    <cellStyle name="Финансовый 2 3 3" xfId="1491"/>
    <cellStyle name="Финансовый 2 4" xfId="1492"/>
    <cellStyle name="Финансовый 2 4 2" xfId="1493"/>
    <cellStyle name="Финансовый 2 4 2 2" xfId="1494"/>
    <cellStyle name="Финансовый 2 4 2 2 2" xfId="1495"/>
    <cellStyle name="Финансовый 2 4 2 2 3" xfId="1496"/>
    <cellStyle name="Финансовый 2 4 2 2 4" xfId="1497"/>
    <cellStyle name="Финансовый 2 4 2 2 5" xfId="1498"/>
    <cellStyle name="Финансовый 2 4 2 3" xfId="1499"/>
    <cellStyle name="Финансовый 2 4 2 3 2" xfId="1500"/>
    <cellStyle name="Финансовый 2 4 2 3 3" xfId="1501"/>
    <cellStyle name="Финансовый 2 4 2 3 4" xfId="1502"/>
    <cellStyle name="Финансовый 2 4 2 3 5" xfId="1503"/>
    <cellStyle name="Финансовый 2 4 2 4" xfId="1504"/>
    <cellStyle name="Финансовый 2 4 2 5" xfId="1505"/>
    <cellStyle name="Финансовый 2 4 2 6" xfId="1506"/>
    <cellStyle name="Финансовый 2 4 2 7" xfId="1507"/>
    <cellStyle name="Финансовый 2 4 3" xfId="1508"/>
    <cellStyle name="Финансовый 2 4 3 2" xfId="1509"/>
    <cellStyle name="Финансовый 2 4 3 3" xfId="1510"/>
    <cellStyle name="Финансовый 2 4 3 4" xfId="1511"/>
    <cellStyle name="Финансовый 2 4 3 5" xfId="1512"/>
    <cellStyle name="Финансовый 2 4 4" xfId="1513"/>
    <cellStyle name="Финансовый 2 4 4 2" xfId="1514"/>
    <cellStyle name="Финансовый 2 4 4 3" xfId="1515"/>
    <cellStyle name="Финансовый 2 4 4 4" xfId="1516"/>
    <cellStyle name="Финансовый 2 4 4 5" xfId="1517"/>
    <cellStyle name="Финансовый 2 4 5" xfId="1518"/>
    <cellStyle name="Финансовый 2 4 6" xfId="1519"/>
    <cellStyle name="Финансовый 2 4 7" xfId="1520"/>
    <cellStyle name="Финансовый 2 4 8" xfId="1521"/>
    <cellStyle name="Финансовый 3" xfId="1522"/>
    <cellStyle name="Финансовый 3 10" xfId="1523"/>
    <cellStyle name="Финансовый 3 11" xfId="1524"/>
    <cellStyle name="Финансовый 3 2" xfId="1525"/>
    <cellStyle name="Финансовый 3 2 2" xfId="1526"/>
    <cellStyle name="Финансовый 3 2 2 2" xfId="1527"/>
    <cellStyle name="Финансовый 3 2 2 2 2" xfId="1528"/>
    <cellStyle name="Финансовый 3 2 2 2 3" xfId="1529"/>
    <cellStyle name="Финансовый 3 2 2 2 4" xfId="1530"/>
    <cellStyle name="Финансовый 3 2 2 2 5" xfId="1531"/>
    <cellStyle name="Финансовый 3 2 2 3" xfId="1532"/>
    <cellStyle name="Финансовый 3 2 2 3 2" xfId="1533"/>
    <cellStyle name="Финансовый 3 2 2 3 3" xfId="1534"/>
    <cellStyle name="Финансовый 3 2 2 3 4" xfId="1535"/>
    <cellStyle name="Финансовый 3 2 2 3 5" xfId="1536"/>
    <cellStyle name="Финансовый 3 2 2 4" xfId="1537"/>
    <cellStyle name="Финансовый 3 2 2 5" xfId="1538"/>
    <cellStyle name="Финансовый 3 2 2 6" xfId="1539"/>
    <cellStyle name="Финансовый 3 2 2 7" xfId="1540"/>
    <cellStyle name="Финансовый 3 2 3" xfId="1541"/>
    <cellStyle name="Финансовый 3 2 3 2" xfId="1542"/>
    <cellStyle name="Финансовый 3 2 3 3" xfId="1543"/>
    <cellStyle name="Финансовый 3 2 3 4" xfId="1544"/>
    <cellStyle name="Финансовый 3 2 3 5" xfId="1545"/>
    <cellStyle name="Финансовый 3 2 4" xfId="1546"/>
    <cellStyle name="Финансовый 3 2 4 2" xfId="1547"/>
    <cellStyle name="Финансовый 3 2 4 3" xfId="1548"/>
    <cellStyle name="Финансовый 3 2 4 4" xfId="1549"/>
    <cellStyle name="Финансовый 3 2 4 5" xfId="1550"/>
    <cellStyle name="Финансовый 3 2 5" xfId="1551"/>
    <cellStyle name="Финансовый 3 2 6" xfId="1552"/>
    <cellStyle name="Финансовый 3 2 7" xfId="1553"/>
    <cellStyle name="Финансовый 3 2 8" xfId="1554"/>
    <cellStyle name="Финансовый 3 3" xfId="1555"/>
    <cellStyle name="Финансовый 3 4" xfId="1556"/>
    <cellStyle name="Финансовый 3 4 2" xfId="1557"/>
    <cellStyle name="Финансовый 3 4 2 2" xfId="1558"/>
    <cellStyle name="Финансовый 3 4 2 2 2" xfId="1559"/>
    <cellStyle name="Финансовый 3 4 2 2 3" xfId="1560"/>
    <cellStyle name="Финансовый 3 4 2 2 4" xfId="1561"/>
    <cellStyle name="Финансовый 3 4 2 2 5" xfId="1562"/>
    <cellStyle name="Финансовый 3 4 2 3" xfId="1563"/>
    <cellStyle name="Финансовый 3 4 2 3 2" xfId="1564"/>
    <cellStyle name="Финансовый 3 4 2 3 3" xfId="1565"/>
    <cellStyle name="Финансовый 3 4 2 3 4" xfId="1566"/>
    <cellStyle name="Финансовый 3 4 2 3 5" xfId="1567"/>
    <cellStyle name="Финансовый 3 4 2 4" xfId="1568"/>
    <cellStyle name="Финансовый 3 4 2 5" xfId="1569"/>
    <cellStyle name="Финансовый 3 4 2 6" xfId="1570"/>
    <cellStyle name="Финансовый 3 4 2 7" xfId="1571"/>
    <cellStyle name="Финансовый 3 4 3" xfId="1572"/>
    <cellStyle name="Финансовый 3 4 3 2" xfId="1573"/>
    <cellStyle name="Финансовый 3 4 3 3" xfId="1574"/>
    <cellStyle name="Финансовый 3 4 3 4" xfId="1575"/>
    <cellStyle name="Финансовый 3 4 3 5" xfId="1576"/>
    <cellStyle name="Финансовый 3 4 4" xfId="1577"/>
    <cellStyle name="Финансовый 3 4 4 2" xfId="1578"/>
    <cellStyle name="Финансовый 3 4 4 3" xfId="1579"/>
    <cellStyle name="Финансовый 3 4 4 4" xfId="1580"/>
    <cellStyle name="Финансовый 3 4 4 5" xfId="1581"/>
    <cellStyle name="Финансовый 3 4 5" xfId="1582"/>
    <cellStyle name="Финансовый 3 4 6" xfId="1583"/>
    <cellStyle name="Финансовый 3 4 7" xfId="1584"/>
    <cellStyle name="Финансовый 3 4 8" xfId="1585"/>
    <cellStyle name="Финансовый 3 5" xfId="1586"/>
    <cellStyle name="Финансовый 3 5 2" xfId="1587"/>
    <cellStyle name="Финансовый 3 5 2 2" xfId="1588"/>
    <cellStyle name="Финансовый 3 5 2 3" xfId="1589"/>
    <cellStyle name="Финансовый 3 5 2 4" xfId="1590"/>
    <cellStyle name="Финансовый 3 5 2 5" xfId="1591"/>
    <cellStyle name="Финансовый 3 5 3" xfId="1592"/>
    <cellStyle name="Финансовый 3 5 3 2" xfId="1593"/>
    <cellStyle name="Финансовый 3 5 3 3" xfId="1594"/>
    <cellStyle name="Финансовый 3 5 3 4" xfId="1595"/>
    <cellStyle name="Финансовый 3 5 3 5" xfId="1596"/>
    <cellStyle name="Финансовый 3 5 4" xfId="1597"/>
    <cellStyle name="Финансовый 3 5 5" xfId="1598"/>
    <cellStyle name="Финансовый 3 5 6" xfId="1599"/>
    <cellStyle name="Финансовый 3 5 7" xfId="1600"/>
    <cellStyle name="Финансовый 3 6" xfId="1601"/>
    <cellStyle name="Финансовый 3 6 2" xfId="1602"/>
    <cellStyle name="Финансовый 3 6 3" xfId="1603"/>
    <cellStyle name="Финансовый 3 6 4" xfId="1604"/>
    <cellStyle name="Финансовый 3 6 5" xfId="1605"/>
    <cellStyle name="Финансовый 3 7" xfId="1606"/>
    <cellStyle name="Финансовый 3 7 2" xfId="1607"/>
    <cellStyle name="Финансовый 3 7 3" xfId="1608"/>
    <cellStyle name="Финансовый 3 7 4" xfId="1609"/>
    <cellStyle name="Финансовый 3 7 5" xfId="1610"/>
    <cellStyle name="Финансовый 3 8" xfId="1611"/>
    <cellStyle name="Финансовый 3 9" xfId="1612"/>
    <cellStyle name="Финансовый 4" xfId="1613"/>
    <cellStyle name="Финансовый 5" xfId="1614"/>
    <cellStyle name="Финансовый 5 2" xfId="1615"/>
    <cellStyle name="Финансовый 5 2 2" xfId="1616"/>
    <cellStyle name="Финансовый 5 2 2 2" xfId="1617"/>
    <cellStyle name="Финансовый 5 2 2 2 2" xfId="1618"/>
    <cellStyle name="Финансовый 5 2 2 2 3" xfId="1619"/>
    <cellStyle name="Финансовый 5 2 2 2 4" xfId="1620"/>
    <cellStyle name="Финансовый 5 2 2 2 5" xfId="1621"/>
    <cellStyle name="Финансовый 5 2 2 3" xfId="1622"/>
    <cellStyle name="Финансовый 5 2 2 3 2" xfId="1623"/>
    <cellStyle name="Финансовый 5 2 2 3 3" xfId="1624"/>
    <cellStyle name="Финансовый 5 2 2 3 4" xfId="1625"/>
    <cellStyle name="Финансовый 5 2 2 3 5" xfId="1626"/>
    <cellStyle name="Финансовый 5 2 2 4" xfId="1627"/>
    <cellStyle name="Финансовый 5 2 2 5" xfId="1628"/>
    <cellStyle name="Финансовый 5 2 2 6" xfId="1629"/>
    <cellStyle name="Финансовый 5 2 2 7" xfId="1630"/>
    <cellStyle name="Финансовый 5 2 3" xfId="1631"/>
    <cellStyle name="Финансовый 5 2 3 2" xfId="1632"/>
    <cellStyle name="Финансовый 5 2 3 3" xfId="1633"/>
    <cellStyle name="Финансовый 5 2 3 4" xfId="1634"/>
    <cellStyle name="Финансовый 5 2 3 5" xfId="1635"/>
    <cellStyle name="Финансовый 5 2 4" xfId="1636"/>
    <cellStyle name="Финансовый 5 2 4 2" xfId="1637"/>
    <cellStyle name="Финансовый 5 2 4 3" xfId="1638"/>
    <cellStyle name="Финансовый 5 2 4 4" xfId="1639"/>
    <cellStyle name="Финансовый 5 2 4 5" xfId="1640"/>
    <cellStyle name="Финансовый 5 2 5" xfId="1641"/>
    <cellStyle name="Финансовый 5 2 6" xfId="1642"/>
    <cellStyle name="Финансовый 5 2 7" xfId="1643"/>
    <cellStyle name="Финансовый 5 2 8" xfId="1644"/>
    <cellStyle name="Финансовый 5 3" xfId="1645"/>
    <cellStyle name="Финансовый 5 3 2" xfId="1646"/>
    <cellStyle name="Финансовый 5 3 2 2" xfId="1647"/>
    <cellStyle name="Финансовый 5 3 2 3" xfId="1648"/>
    <cellStyle name="Финансовый 5 3 2 4" xfId="1649"/>
    <cellStyle name="Финансовый 5 3 2 5" xfId="1650"/>
    <cellStyle name="Финансовый 5 3 3" xfId="1651"/>
    <cellStyle name="Финансовый 5 3 3 2" xfId="1652"/>
    <cellStyle name="Финансовый 5 3 3 3" xfId="1653"/>
    <cellStyle name="Финансовый 5 3 3 4" xfId="1654"/>
    <cellStyle name="Финансовый 5 3 3 5" xfId="1655"/>
    <cellStyle name="Финансовый 5 3 4" xfId="1656"/>
    <cellStyle name="Финансовый 5 3 5" xfId="1657"/>
    <cellStyle name="Финансовый 5 3 6" xfId="1658"/>
    <cellStyle name="Финансовый 5 3 7" xfId="1659"/>
    <cellStyle name="Финансовый 5 4" xfId="1660"/>
    <cellStyle name="Финансовый 5 4 2" xfId="1661"/>
    <cellStyle name="Финансовый 5 4 3" xfId="1662"/>
    <cellStyle name="Финансовый 5 4 4" xfId="1663"/>
    <cellStyle name="Финансовый 5 4 5" xfId="1664"/>
    <cellStyle name="Финансовый 5 5" xfId="1665"/>
    <cellStyle name="Финансовый 5 5 2" xfId="1666"/>
    <cellStyle name="Финансовый 5 5 3" xfId="1667"/>
    <cellStyle name="Финансовый 5 5 4" xfId="1668"/>
    <cellStyle name="Финансовый 5 5 5" xfId="1669"/>
    <cellStyle name="Финансовый 5 6" xfId="1670"/>
    <cellStyle name="Финансовый 5 7" xfId="1671"/>
    <cellStyle name="Финансовый 5 8" xfId="1672"/>
    <cellStyle name="Финансовый 5 9" xfId="1673"/>
    <cellStyle name="Финансовый 6" xfId="1674"/>
    <cellStyle name="Финансовый 6 2" xfId="1675"/>
    <cellStyle name="Финансовый 6 2 2" xfId="1676"/>
    <cellStyle name="Финансовый 6 2 2 2" xfId="1677"/>
    <cellStyle name="Финансовый 6 2 2 3" xfId="1678"/>
    <cellStyle name="Финансовый 6 2 2 4" xfId="1679"/>
    <cellStyle name="Финансовый 6 2 2 5" xfId="1680"/>
    <cellStyle name="Финансовый 6 2 3" xfId="1681"/>
    <cellStyle name="Финансовый 6 2 3 2" xfId="1682"/>
    <cellStyle name="Финансовый 6 2 3 3" xfId="1683"/>
    <cellStyle name="Финансовый 6 2 3 4" xfId="1684"/>
    <cellStyle name="Финансовый 6 2 3 5" xfId="1685"/>
    <cellStyle name="Финансовый 6 2 4" xfId="1686"/>
    <cellStyle name="Финансовый 6 2 5" xfId="1687"/>
    <cellStyle name="Финансовый 6 2 6" xfId="1688"/>
    <cellStyle name="Финансовый 6 2 7" xfId="1689"/>
    <cellStyle name="Финансовый 6 3" xfId="1690"/>
    <cellStyle name="Финансовый 6 3 2" xfId="1691"/>
    <cellStyle name="Финансовый 6 3 3" xfId="1692"/>
    <cellStyle name="Финансовый 6 3 4" xfId="1693"/>
    <cellStyle name="Финансовый 6 3 5" xfId="1694"/>
    <cellStyle name="Финансовый 6 4" xfId="1695"/>
    <cellStyle name="Финансовый 6 4 2" xfId="1696"/>
    <cellStyle name="Финансовый 6 4 3" xfId="1697"/>
    <cellStyle name="Финансовый 6 4 4" xfId="1698"/>
    <cellStyle name="Финансовый 6 4 5" xfId="1699"/>
    <cellStyle name="Финансовый 6 5" xfId="1700"/>
    <cellStyle name="Финансовый 6 6" xfId="1701"/>
    <cellStyle name="Финансовый 6 7" xfId="1702"/>
    <cellStyle name="Финансовый 6 8" xfId="1703"/>
    <cellStyle name="Финансовый 7" xfId="1704"/>
    <cellStyle name="Финансовый 7 2" xfId="1705"/>
    <cellStyle name="Финансовый 7 2 2" xfId="1706"/>
    <cellStyle name="Финансовый 7 2 3" xfId="1707"/>
    <cellStyle name="Финансовый 7 2 4" xfId="1708"/>
    <cellStyle name="Финансовый 7 2 5" xfId="1709"/>
    <cellStyle name="Финансовый 7 3" xfId="1710"/>
    <cellStyle name="Финансовый 7 3 2" xfId="1711"/>
    <cellStyle name="Финансовый 7 3 3" xfId="1712"/>
    <cellStyle name="Финансовый 7 3 4" xfId="1713"/>
    <cellStyle name="Финансовый 7 3 5" xfId="1714"/>
    <cellStyle name="Финансовый 7 4" xfId="1715"/>
    <cellStyle name="Финансовый 7 5" xfId="1716"/>
    <cellStyle name="Финансовый 7 6" xfId="1717"/>
    <cellStyle name="Финансовый 7 7" xfId="1718"/>
    <cellStyle name="Финансовый 8" xfId="1719"/>
    <cellStyle name="Финансовый 8 2" xfId="1720"/>
    <cellStyle name="Финансовый 8 3" xfId="1721"/>
    <cellStyle name="Финансовый 8 4" xfId="1722"/>
    <cellStyle name="Финансовый 8 5" xfId="1723"/>
    <cellStyle name="Финансовый 9" xfId="1724"/>
    <cellStyle name="Хороший" xfId="1725" builtinId="26"/>
    <cellStyle name="Хороший 2" xfId="1726"/>
    <cellStyle name="Хороший 3" xfId="1727"/>
    <cellStyle name="Џђћ–…ќ’ќ›‰" xfId="1728"/>
    <cellStyle name="Шрифт-10" xfId="1729"/>
    <cellStyle name="60% — акцент1 5" xfId="1730"/>
    <cellStyle name="60% — акцент2 5" xfId="1731"/>
    <cellStyle name="60% — акцент3 5" xfId="1732"/>
    <cellStyle name="60% — акцент4 5" xfId="1733"/>
    <cellStyle name="60% — акцент5 5" xfId="1734"/>
    <cellStyle name="60% — акцент6 5" xfId="1735"/>
    <cellStyle name="Обычный 4 2 2" xfId="1736"/>
    <cellStyle name="Обычный 8 3" xfId="1737"/>
    <cellStyle name="Обычный 2 5 4" xfId="1738"/>
    <cellStyle name="Обычный 3 5" xfId="1739"/>
    <cellStyle name="Стиль 1 5" xfId="1740"/>
    <cellStyle name="Обычный 5 5" xfId="1741"/>
    <cellStyle name="Обычный 2 2 6" xfId="1742"/>
    <cellStyle name="Обычный 3 2 4" xfId="1743"/>
    <cellStyle name="Обычный 5 2 4" xfId="1744"/>
    <cellStyle name="Гиперссылка 2 3" xfId="1745"/>
    <cellStyle name="Обычный 6 3" xfId="1746"/>
    <cellStyle name="Обычный 5 3 3" xfId="1747"/>
    <cellStyle name="Обычный 2 2 2 8" xfId="1748"/>
    <cellStyle name="Обычный 3 2 2 3" xfId="1749"/>
    <cellStyle name="Обычный 5 2 2" xfId="1750"/>
    <cellStyle name="Обычный 3 4 2" xfId="1751"/>
    <cellStyle name="Обычный 5 4" xfId="1752"/>
    <cellStyle name="Обычный 2 2 3 3" xfId="1753"/>
    <cellStyle name="Обычный 3 2 3" xfId="1754"/>
    <cellStyle name="Обычный 5 2 3" xfId="1755"/>
    <cellStyle name="Обычный 3 3 2" xfId="1756"/>
    <cellStyle name="Обычный 5 3 2" xfId="1757"/>
    <cellStyle name="Обычный 2 2 2 2 2" xfId="1758"/>
    <cellStyle name="Обычный 3 2 2 2" xfId="1759"/>
    <cellStyle name="Обычный 5 2 2 2" xfId="1760"/>
    <cellStyle name="Обычный 7 2" xfId="1761"/>
    <cellStyle name="Обычный 9 4" xfId="1762"/>
    <cellStyle name="Обычный 7 3" xfId="1763"/>
  </cellStyles>
  <dxfs count="39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LMG</author>
  </authors>
  <commentList>
    <comment ref="D9" authorId="0" shapeId="0">
      <text>
        <t>LMG:
Активная гиперссылка на Googlemap, кликните правой кнопкой мыши для просмотра</t>
      </text>
    </comment>
  </commentList>
</comments>
</file>

<file path=xl/comments/comment2.xml><?xml version="1.0" encoding="utf-8"?>
<comments xmlns="http://schemas.openxmlformats.org/spreadsheetml/2006/main">
  <authors>
    <author>Alexandr Arzumanov</author>
  </authors>
  <commentList>
    <comment ref="S608" authorId="0" shapeId="0">
      <text>
        <t>сб-вск: 9.00-23.00</t>
      </text>
    </comment>
    <comment ref="S609" authorId="0" shapeId="0">
      <text>
        <t>сб-вск: 8.00-00.00</t>
      </text>
    </comment>
    <comment ref="S614" authorId="0" shapeId="0">
      <text>
        <t>сб-вск: 9.00-21.00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wrap="square" rtlCol="0" anchor="ctr">
        <a:noAutofit/>
      </a:bodyPr>
      <a:lstStyle>
        <a:defPPr algn="ctr">
          <a:defRPr sz="1100" b="0" i="0" u="none" strike="noStrike">
            <a:solidFill>
              <a:sysClr val="windowText" lastClr="000000"/>
            </a:solidFill>
            <a:latin typeface="Calibri"/>
            <a:cs typeface="Calibri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/u/0/viewer?mid=1_4hYt1C1ZeW_VgjSiAMseKa6K4R7Tdk&amp;ll=55.09480780375694%2C76.150353625&amp;z=3" TargetMode="External" Id="rId1" /><Relationship Type="http://schemas.openxmlformats.org/officeDocument/2006/relationships/hyperlink" Target="http://www.logicmedia.ru/foto/AZS.jpg" TargetMode="External" Id="rId2" /><Relationship Type="http://schemas.openxmlformats.org/officeDocument/2006/relationships/hyperlink" Target="http://www.logicmedia.ru/foto/AV.jpg" TargetMode="External" Id="rId3" /><Relationship Type="http://schemas.openxmlformats.org/officeDocument/2006/relationships/hyperlink" Target="http://www.logicmedia.ru/foto/Target_A.pdf" TargetMode="External" Id="rId4" /><Relationship Type="http://schemas.openxmlformats.org/officeDocument/2006/relationships/hyperlink" Target="http://www.logicmedia.ru/foto/TT_logic.pdf" TargetMode="External" Id="rId5" /><Relationship Type="http://schemas.openxmlformats.org/officeDocument/2006/relationships/hyperlink" Target="http://www.logicmedia.ru/foto/info_fotootchet.pdf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d/u/0/viewer?mid=1_4hYt1C1ZeW_VgjSiAMseKa6K4R7Tdk&amp;ll=55.09480780375694%2C76.150353625&amp;z=3" TargetMode="External" Id="rId1" /><Relationship Type="http://schemas.openxmlformats.org/officeDocument/2006/relationships/hyperlink" Target="https://logicmedia.ru/foto/AZS3.jpg" TargetMode="External" Id="rId2" /><Relationship Type="http://schemas.openxmlformats.org/officeDocument/2006/relationships/hyperlink" Target="https://www.google.com/maps/d/u/0/viewer?mid=1XDu9qC0t_Ww3R-SsnePwPaZHteUB5Q4&amp;ll=55.6542732943998%2C37.577394460115585&amp;z=7" TargetMode="External" Id="rId3" /><Relationship Type="http://schemas.openxmlformats.org/officeDocument/2006/relationships/hyperlink" Target="https://www.google.com/maps/d/u/0/viewer?mid=1XDu9qC0t_Ww3R-SsnePwPaZHteUB5Q4&amp;ll=55.6542732943998%2C37.577394460115585&amp;z=7" TargetMode="External" Id="rId4" /><Relationship Type="http://schemas.openxmlformats.org/officeDocument/2006/relationships/hyperlink" Target="https://www.google.com/maps/d/u/0/viewer?mid=1XDu9qC0t_Ww3R-SsnePwPaZHteUB5Q4&amp;ll=55.6542732943998%2C37.577394460115585&amp;z=7" TargetMode="External" Id="rId5" /><Relationship Type="http://schemas.openxmlformats.org/officeDocument/2006/relationships/hyperlink" Target="https://www.google.com/maps/d/u/0/viewer?mid=1cTWRH2HNFt3HFRqplSM8sdlTpDZ_2NA&amp;ll=59.3952991791575%2C30.067027121155732&amp;z=5" TargetMode="External" Id="rId6" /><Relationship Type="http://schemas.openxmlformats.org/officeDocument/2006/relationships/hyperlink" Target="https://www.google.com/maps/d/u/0/viewer?mid=1cTWRH2HNFt3HFRqplSM8sdlTpDZ_2NA&amp;ll=59.3952991791575%2C30.067027121155732&amp;z=5" TargetMode="External" Id="rId7" /><Relationship Type="http://schemas.openxmlformats.org/officeDocument/2006/relationships/hyperlink" Target="https://www.google.com/maps/d/u/0/viewer?mid=19D_cSxclvmazoaCUjz91ZmU3-p2XD18&amp;ll=62.82183166142739%2C40.515060319454065&amp;z=6" TargetMode="External" Id="rId8" /><Relationship Type="http://schemas.openxmlformats.org/officeDocument/2006/relationships/hyperlink" Target="https://www.google.com/maps/d/u/0/viewer?mid=13_juJo6pLD3Dibk4D8omp7XaETL5d-c&amp;ll=43.04433706934769%2C41.00413966577438&amp;z=7" TargetMode="External" Id="rId9" /><Relationship Type="http://schemas.openxmlformats.org/officeDocument/2006/relationships/hyperlink" Target="https://www.google.com/maps/d/u/0/viewer?mid=1-eGdarh0IMionywdWh0qrf0lga7lM5w&amp;ll=54.41423501027576%2C84.57632057421873&amp;z=7" TargetMode="External" Id="rId10" /><Relationship Type="http://schemas.openxmlformats.org/officeDocument/2006/relationships/hyperlink" Target="https://www.google.com/maps/d/u/0/viewer?mid=1-eGdarh0IMionywdWh0qrf0lga7lM5w&amp;ll=54.41423501027576%2C84.57632057421873&amp;z=7" TargetMode="External" Id="rId11" /><Relationship Type="http://schemas.openxmlformats.org/officeDocument/2006/relationships/hyperlink" Target="https://www.google.com/maps/d/u/0/viewer?mid=1-uaSUg4hDFazN3dQawU_IJsQQ0V2q44&amp;ll=50.598711760913766%2C36.59025808333077&amp;z=10" TargetMode="External" Id="rId12" /><Relationship Type="http://schemas.openxmlformats.org/officeDocument/2006/relationships/hyperlink" Target="https://www.google.com/maps/d/u/0/viewer?mid=1aaGVeOCHsG-SnCDfnulIx_vIHhyUUOY&amp;ll=53.31130077527791%2C34.379852952475254&amp;z=10" TargetMode="External" Id="rId13" /><Relationship Type="http://schemas.openxmlformats.org/officeDocument/2006/relationships/hyperlink" Target="https://www.google.com/maps/d/u/0/viewer?mid=1RVHIxs4ny32ZUUvG3B-K4LsBYfdrjcVQ&amp;ll=56.04087361045467%2C40.36881680778895&amp;z=9" TargetMode="External" Id="rId14" /><Relationship Type="http://schemas.openxmlformats.org/officeDocument/2006/relationships/hyperlink" Target="https://www.google.com/maps/d/u/0/viewer?mid=1Od0IJZbRTcp2yCDFQl_QYgE7cjkH6gQ&amp;ll=56.077784586709754%2C38.14149798954199&amp;z=6" TargetMode="External" Id="rId15" /><Relationship Type="http://schemas.openxmlformats.org/officeDocument/2006/relationships/hyperlink" Target="https://www.google.com/maps/d/u/0/viewer?mid=1DWVoAU7oIExcCCFxBRnKtkAxs-5UrQY&amp;ll=43.091972937500955%2C44.41067529945676&amp;z=9" TargetMode="External" Id="rId16" /><Relationship Type="http://schemas.openxmlformats.org/officeDocument/2006/relationships/hyperlink" Target="https://www.google.com/maps/d/u/0/viewer?mid=1qLX4i4EpKqXuz5zPEumbTaNyIFRylF8&amp;ll=48.771070462311464%2C44.4079845624293&amp;z=9" TargetMode="External" Id="rId17" /><Relationship Type="http://schemas.openxmlformats.org/officeDocument/2006/relationships/hyperlink" Target="https://www.google.com/maps/d/u/0/viewer?mid=1hWBqY97H6s9Paj_8KgHL6IcBXh9UM9E&amp;ll=51.244914193749736%2C39.555063&amp;z=9" TargetMode="External" Id="rId18" /><Relationship Type="http://schemas.openxmlformats.org/officeDocument/2006/relationships/hyperlink" Target="https://www.google.com/maps/d/u/0/viewer?mid=1BZJfevhW4Z_xbO3zDBbAgom6nFEshN4&amp;ll=57.1989535366435%2C60.28635155477723&amp;z=8" TargetMode="External" Id="rId19" /><Relationship Type="http://schemas.openxmlformats.org/officeDocument/2006/relationships/hyperlink" Target="https://www.google.com/maps/d/u/0/viewer?mid=1BZJfevhW4Z_xbO3zDBbAgom6nFEshN4&amp;ll=57.1989535366435%2C60.28635155477723&amp;z=8" TargetMode="External" Id="rId20" /><Relationship Type="http://schemas.openxmlformats.org/officeDocument/2006/relationships/hyperlink" Target="https://www.google.com/maps/d/u/0/viewer?mid=1-v5xs5kotVXEf_gLN9fhQxlB74XMCOA&amp;ll=56.86396416456528%2C53.195137757332866&amp;z=10" TargetMode="External" Id="rId21" /><Relationship Type="http://schemas.openxmlformats.org/officeDocument/2006/relationships/hyperlink" Target="https://www.google.com/maps/d/u/0/viewer?mid=1LevgYGoZrtWkYnAIN-kn2ZI4pnV2YsQ&amp;ll=52.39279556337135%2C104.04743468028914&amp;z=9" TargetMode="External" Id="rId22" /><Relationship Type="http://schemas.openxmlformats.org/officeDocument/2006/relationships/hyperlink" Target="https://www.google.com/maps/d/u/0/viewer?mid=1GmabbLPCNBT81UKcuAZf-ifyAD5cIIE&amp;ll=54.93716021456868%2C36.43619055208852&amp;z=8" TargetMode="External" Id="rId23" /><Relationship Type="http://schemas.openxmlformats.org/officeDocument/2006/relationships/hyperlink" Target="https://www.google.com/maps/d/u/0/viewer?mid=1BPwHASDBQmaQe5vQkP86KzebILAkcfs&amp;ll=55.77314019760157%2C48.78752142900572&amp;z=9" TargetMode="External" Id="rId24" /><Relationship Type="http://schemas.openxmlformats.org/officeDocument/2006/relationships/hyperlink" Target="https://www.google.com/maps/d/u/0/viewer?mid=1BPwHASDBQmaQe5vQkP86KzebILAkcfs&amp;ll=55.77314019760157%2C48.78752142900572&amp;z=9" TargetMode="External" Id="rId25" /><Relationship Type="http://schemas.openxmlformats.org/officeDocument/2006/relationships/hyperlink" Target="https://www.google.com/maps/d/u/0/viewer?mid=1BPwHASDBQmaQe5vQkP86KzebILAkcfs&amp;ll=55.77314019760157%2C48.78752142900572&amp;z=9" TargetMode="External" Id="rId26" /><Relationship Type="http://schemas.openxmlformats.org/officeDocument/2006/relationships/hyperlink" Target="https://www.google.com/maps/d/u/0/edit?mid=1zGflLdXXj4tU19fCkFB4FTPu4xo1gIU&amp;usp=sharing" TargetMode="External" Id="rId27" /><Relationship Type="http://schemas.openxmlformats.org/officeDocument/2006/relationships/hyperlink" Target="https://www.google.com/maps/d/u/0/viewer?mid=1v0nQu-VSrDjamZ-L9vvJXm6ZocCNOGg&amp;ll=57.74905924204462%2C40.921672845932626&amp;z=10" TargetMode="External" Id="rId28" /><Relationship Type="http://schemas.openxmlformats.org/officeDocument/2006/relationships/hyperlink" Target="https://www.google.com/maps/d/edit?mid=1zGJmNUqLmIksxsmpP5tz_sf-hyWco48&amp;usp=sharing" TargetMode="External" Id="rId29" /><Relationship Type="http://schemas.openxmlformats.org/officeDocument/2006/relationships/hyperlink" Target="https://www.google.com/maps/d/u/0/viewer?mid=1L9YIAtJwRDa0TpVpEjBGowMX2g6uBsI&amp;ll=45.215585164867775%2C39.10869002534315&amp;z=6" TargetMode="External" Id="rId30" /><Relationship Type="http://schemas.openxmlformats.org/officeDocument/2006/relationships/hyperlink" Target="https://www.google.com/maps/d/u/0/viewer?mid=1L9YIAtJwRDa0TpVpEjBGowMX2g6uBsI&amp;ll=45.215585164867775%2C39.10869002534315&amp;z=6" TargetMode="External" Id="rId31" /><Relationship Type="http://schemas.openxmlformats.org/officeDocument/2006/relationships/hyperlink" Target="https://www.google.com/maps/d/u/0/viewer?mid=11cy9I9fI2dblih2dn4-Vl3JP3TX5v6pj&amp;ll=51.7038793341583%2C36.13876667330766&amp;z=10" TargetMode="External" Id="rId32" /><Relationship Type="http://schemas.openxmlformats.org/officeDocument/2006/relationships/hyperlink" Target="https://www.google.com/maps/d/u/0/viewer?mid=1ucS6im6Fw1P55Cg3ekzy0KPhosY1_4w&amp;ll=52.57500915647064%2C39.576873166979794&amp;z=10" TargetMode="External" Id="rId33" /><Relationship Type="http://schemas.openxmlformats.org/officeDocument/2006/relationships/hyperlink" Target="https://www.google.com/maps/d/u/0/viewer?mid=1E01U36yD9W5keWyHpAp11U2Be4qFMJ0&amp;ll=56.24175548986991%2C43.35207181731389&amp;z=9" TargetMode="External" Id="rId34" /><Relationship Type="http://schemas.openxmlformats.org/officeDocument/2006/relationships/hyperlink" Target="https://www.google.com/maps/d/u/0/edit?mid=1yUTztUQXQIv9DKp4Au5ThDErtJcsUxE&amp;usp=sharing" TargetMode="External" Id="rId35" /><Relationship Type="http://schemas.openxmlformats.org/officeDocument/2006/relationships/hyperlink" Target="https://www.google.com/maps/d/u/0/viewer?mid=1z7kcyxKG9vkimwCJ0ZS0c7W60uHkVOo&amp;ll=54.96802700155688%2C83.23554897217281&amp;z=8" TargetMode="External" Id="rId36" /><Relationship Type="http://schemas.openxmlformats.org/officeDocument/2006/relationships/hyperlink" Target="https://www.google.com/maps/d/u/0/viewer?mid=1f9JJCXGUpW3QabCpqRY1nw3lrKEwS-U&amp;ll=52.9774327793472%2C35.999998443005936&amp;z=10" TargetMode="External" Id="rId37" /><Relationship Type="http://schemas.openxmlformats.org/officeDocument/2006/relationships/hyperlink" Target="https://www.google.com/maps/d/u/0/viewer?mid=1ZjbWq9ul725XhUjVtilEJsQsLURzTGg&amp;ll=51.793326564514906%2C55.14937256714056&amp;z=11" TargetMode="External" Id="rId38" /><Relationship Type="http://schemas.openxmlformats.org/officeDocument/2006/relationships/hyperlink" Target="https://www.google.com/maps/d/u/0/viewer?mid=1SOjKy3FnLgpR2An5tLlsqjTCsDfV2LQ&amp;ll=55.20001950748048%2C73.19098542968752&amp;z=8" TargetMode="External" Id="rId39" /><Relationship Type="http://schemas.openxmlformats.org/officeDocument/2006/relationships/hyperlink" Target="https://www.google.com/maps/d/u/0/viewer?mid=1hP500TKKrnDW0P1_V0uUDrAq_rQJmGo&amp;ll=53.325230171311%2C44.93131100000002&amp;z=8" TargetMode="External" Id="rId40" /><Relationship Type="http://schemas.openxmlformats.org/officeDocument/2006/relationships/hyperlink" Target="https://www.google.com/maps/d/u/0/viewer?mid=1y_CRmkHr58W5EVUVyqaHECMemUx4SUw&amp;ll=47.216337767316105%2C39.481980130850495&amp;z=9" TargetMode="External" Id="rId41" /><Relationship Type="http://schemas.openxmlformats.org/officeDocument/2006/relationships/hyperlink" Target="https://www.google.com/maps/d/u/0/viewer?mid=1y_CRmkHr58W5EVUVyqaHECMemUx4SUw&amp;ll=47.216337767316105%2C39.481980130850495&amp;z=9" TargetMode="External" Id="rId42" /><Relationship Type="http://schemas.openxmlformats.org/officeDocument/2006/relationships/hyperlink" Target="https://www.google.com/maps/d/u/0/viewer?mid=1y_CRmkHr58W5EVUVyqaHECMemUx4SUw&amp;ll=47.216337767316105%2C39.481980130850495&amp;z=9" TargetMode="External" Id="rId43" /><Relationship Type="http://schemas.openxmlformats.org/officeDocument/2006/relationships/hyperlink" Target="https://www.google.com/maps/d/u/0/viewer?mid=1vKu8_ASXmJvotcOVbL-lLNdT_uFKc5I&amp;ll=54.432095039644736%2C39.85647706640625&amp;z=8" TargetMode="External" Id="rId44" /><Relationship Type="http://schemas.openxmlformats.org/officeDocument/2006/relationships/hyperlink" Target="https://www.google.com/maps/d/u/0/viewer?mid=18PT2ZSQKTNIRDeAh0ruszUH4R7_FYcg&amp;ll=53.3411570149614%2C49.79471150000003&amp;z=9" TargetMode="External" Id="rId45" /><Relationship Type="http://schemas.openxmlformats.org/officeDocument/2006/relationships/hyperlink" Target="https://www.google.com/maps/d/u/0/viewer?mid=18PT2ZSQKTNIRDeAh0ruszUH4R7_FYcg&amp;ll=53.3411570149614%2C49.79471150000003&amp;z=9" TargetMode="External" Id="rId46" /><Relationship Type="http://schemas.openxmlformats.org/officeDocument/2006/relationships/hyperlink" Target="https://www.google.com/maps/d/u/0/viewer?mid=18PT2ZSQKTNIRDeAh0ruszUH4R7_FYcg&amp;ll=53.3411570149614%2C49.79471150000003&amp;z=9" TargetMode="External" Id="rId47" /><Relationship Type="http://schemas.openxmlformats.org/officeDocument/2006/relationships/hyperlink" Target="https://www.google.com/maps/d/u/0/viewer?mid=1FsuFXEK2idoAMMTPyVHP_hKMP3_Rgng&amp;ll=51.47158903529617%2C45.81424847894308&amp;z=8" TargetMode="External" Id="rId48" /><Relationship Type="http://schemas.openxmlformats.org/officeDocument/2006/relationships/hyperlink" Target="https://www.google.com/maps/d/u/0/viewer?mid=1E_0ddSVMWCqWBW9SrSFsBgFiXY2iqHo&amp;ll=54.791982536049545%2C32.047223423339865&amp;z=11" TargetMode="External" Id="rId49" /><Relationship Type="http://schemas.openxmlformats.org/officeDocument/2006/relationships/hyperlink" Target="https://www.google.com/maps/d/u/0/viewer?mid=1Kp1K9WiMTK2JxHBaxHlb__5Vv6jZd9w&amp;ll=44.7795522742446%2C42.15800549999998&amp;z=9" TargetMode="External" Id="rId50" /><Relationship Type="http://schemas.openxmlformats.org/officeDocument/2006/relationships/hyperlink" Target="https://www.google.com/maps/d/viewer?mid=1MSHYcYqKx0KlN6cUcZ2croxOR8WIEoM&amp;ll=61.27677572108797%2C73.37176371274225&amp;z=11" TargetMode="External" Id="rId51" /><Relationship Type="http://schemas.openxmlformats.org/officeDocument/2006/relationships/hyperlink" Target="https://www.google.com/maps/d/u/0/viewer?mid=1fdpaJC12rINbEmDJ4V-TU58icNj-foQ&amp;ll=52.71478502953482%2C41.45728139445051&amp;z=11" TargetMode="External" Id="rId52" /><Relationship Type="http://schemas.openxmlformats.org/officeDocument/2006/relationships/hyperlink" Target="https://www.google.com/maps/d/u/0/viewer?mid=1wn9d3Vzqj9hO1GGh-GkxG4W8-yFaWtM&amp;ll=56.84866294348995%2C35.66775621594607&amp;z=8" TargetMode="External" Id="rId53" /><Relationship Type="http://schemas.openxmlformats.org/officeDocument/2006/relationships/hyperlink" Target="https://www.google.com/maps/d/viewer?mid=1q9lyNdKwS5PSA-ojOPsFPPQtCNMjKrw&amp;ll=54.052231971465815%2C37.72604772348919&amp;z=8" TargetMode="External" Id="rId54" /><Relationship Type="http://schemas.openxmlformats.org/officeDocument/2006/relationships/hyperlink" Target="https://www.google.com/maps/d/u/0/viewer?mid=1iBqKTeK66ThiW-Ln-G2v0nf0GXlVIUQ&amp;ll=56.51772015075411%2C84.91670252572953&amp;z=11" TargetMode="External" Id="rId55" /><Relationship Type="http://schemas.openxmlformats.org/officeDocument/2006/relationships/hyperlink" Target="https://www.google.com/maps/d/u/0/viewer?mid=1z1t-Dae-2zcxdMs9v91v4uKm09anYTI&amp;ll=57.11844537166598%2C65.28812804357315&amp;z=9" TargetMode="External" Id="rId56" /><Relationship Type="http://schemas.openxmlformats.org/officeDocument/2006/relationships/hyperlink" Target="https://www.google.com/maps/d/u/0/viewer?mid=1ZT99rzvnu4GMb7Vipo9p0q5CR0DE4bk&amp;ll=51.839153964063264%2C107.58738986173896&amp;z=11" TargetMode="External" Id="rId57" /><Relationship Type="http://schemas.openxmlformats.org/officeDocument/2006/relationships/hyperlink" Target="https://www.google.com/maps/d/u/0/viewer?mid=1sCWNy5vun1ii7VLP3b64qO-nNe5hlO0&amp;ll=54.29058971563136%2C48.34381169537527&amp;z=10" TargetMode="External" Id="rId58" /><Relationship Type="http://schemas.openxmlformats.org/officeDocument/2006/relationships/hyperlink" Target="https://www.google.com/maps/d/u/0/viewer?mid=1sCWNy5vun1ii7VLP3b64qO-nNe5hlO0&amp;ll=54.29058971563136%2C48.34381169537527&amp;z=10" TargetMode="External" Id="rId59" /><Relationship Type="http://schemas.openxmlformats.org/officeDocument/2006/relationships/hyperlink" Target="https://www.google.com/maps/d/u/0/viewer?mid=1sCWNy5vun1ii7VLP3b64qO-nNe5hlO0&amp;ll=54.29058971563136%2C48.34381169537527&amp;z=10" TargetMode="External" Id="rId60" /><Relationship Type="http://schemas.openxmlformats.org/officeDocument/2006/relationships/hyperlink" Target="https://www.google.com/maps/d/u/0/viewer?mid=1h51iErfHF2XJZx8tyqG0tbWxW835f1w&amp;ll=54.71505413205543%2C55.96337373513875&amp;z=10" TargetMode="External" Id="rId61" /><Relationship Type="http://schemas.openxmlformats.org/officeDocument/2006/relationships/hyperlink" Target="https://www.google.com/maps/d/u/0/viewer?mid=1hpiY1rJhJJREjl_hhhjH4ksMISYMEeo&amp;ll=53.707703558900214%2C91.49825316967777&amp;z=11" TargetMode="External" Id="rId62" /><Relationship Type="http://schemas.openxmlformats.org/officeDocument/2006/relationships/hyperlink" Target="https://www.google.com/maps/d/edit?mid=1ymTH7xvssJOKHHw1og8uGtdBHajNEm0&amp;usp=sharing" TargetMode="External" Id="rId63" /><Relationship Type="http://schemas.openxmlformats.org/officeDocument/2006/relationships/hyperlink" Target="https://www.google.com/maps/d/edit?mid=1ymTH7xvssJOKHHw1og8uGtdBHajNEm0&amp;usp=sharing" TargetMode="External" Id="rId64" /><Relationship Type="http://schemas.openxmlformats.org/officeDocument/2006/relationships/hyperlink" Target="https://www.google.com/maps/d/u/0/viewer?mid=1joJBlhmA75QqbgNhxhkGEtRWpkg_ync&amp;ll=57.60019964491906%2C39.97648648418635&amp;z=10" TargetMode="External" Id="rId65" /><Relationship Type="http://schemas.openxmlformats.org/officeDocument/2006/relationships/hyperlink" Target="https://www.google.com/maps/d/u/0/viewer?mid=1joJBlhmA75QqbgNhxhkGEtRWpkg_ync&amp;ll=57.60019964491906%2C39.97648648418635&amp;z=10" TargetMode="External" Id="rId66" /><Relationship Type="http://schemas.openxmlformats.org/officeDocument/2006/relationships/hyperlink" Target="https://www.google.com/maps/d/u/0/viewer?mid=1p-oh9gcbPgDD4ydYuAcHc5N8OzuMUcrE&amp;ll=52.95040983734168%2C55.487263296150196&amp;z=3" TargetMode="External" Id="rId6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d/edit?mid=12fNld-RytjC1JYN16XoqCFY0iiY6K3c&amp;usp=sharing" TargetMode="External" Id="rId1" /><Relationship Type="http://schemas.openxmlformats.org/officeDocument/2006/relationships/hyperlink" Target="https://logicmedia.ru/foto/AV.jpg" TargetMode="External" Id="rId2" /><Relationship Type="http://schemas.openxmlformats.org/officeDocument/2006/relationships/hyperlink" Target="https://www.google.com/maps/d/edit?mid=17-hhLLr0FLKIdaQTobMtm-82vYYqh2aJ&amp;ll=55.559840470293906%2C38.15722814649257&amp;z=8" TargetMode="External" Id="rId3" /><Relationship Type="http://schemas.openxmlformats.org/officeDocument/2006/relationships/hyperlink" Target="https://www.google.com/maps/d/edit?mid=1bl5qLrKoMCETiJBWdNQsRM9Q0hGkCDMO&amp;ll=59.98089413897172%2C30.441050620830083&amp;z=10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d/edit?hl=ru&amp;authuser=0&amp;mid=1LVwqEyIV2jMl8C4TQ3BMaBTATt0&amp;ll=55.65074080250497%2C37.55002207808775&amp;z=9" TargetMode="External" Id="rId1" /><Relationship Type="http://schemas.openxmlformats.org/officeDocument/2006/relationships/hyperlink" Target="https://www.google.com/maps/d/edit?hl=ru&amp;authuser=0&amp;mid=1LVwqEyIV2jMl8C4TQ3BMaBTATt0&amp;ll=55.65074080250497%2C37.55002207808775&amp;z=9" TargetMode="External" Id="rId2" /><Relationship Type="http://schemas.openxmlformats.org/officeDocument/2006/relationships/hyperlink" Target="https://www.google.com/maps/d/edit?hl=ru&amp;authuser=0&amp;mid=1LVwqEyIV2jMl8C4TQ3BMaBTATt0&amp;ll=55.65074080250497%2C37.55002207808775&amp;z=9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/d/u/0/edit?mid=12TNAVxUPCSnFsIbS4RGIwpBI23YilDU&amp;usp=sharing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://www.clumba.ru/mediaplan/TC/afimoll_1-new.jpg" TargetMode="External" Id="rId1" /><Relationship Type="http://schemas.openxmlformats.org/officeDocument/2006/relationships/hyperlink" Target="http://www.clumba.ru/mediaplan/TC/afimoll_2-new-1.jpg" TargetMode="External" Id="rId2" /><Relationship Type="http://schemas.openxmlformats.org/officeDocument/2006/relationships/hyperlink" Target="http://www.clumba.ru/mediaplan/TC/afimoll_3-new.jpg" TargetMode="External" Id="rId3" /><Relationship Type="http://schemas.openxmlformats.org/officeDocument/2006/relationships/hyperlink" Target="http://www.clumba.ru/mediaplan/TC/afimol_new2_4.pdf" TargetMode="External" Id="rId4" /><Relationship Type="http://schemas.openxmlformats.org/officeDocument/2006/relationships/hyperlink" Target="http://www.clumba.ru/mediaplan/TC/afimol_new2_5.pdf" TargetMode="External" Id="rId5" /></Relationships>
</file>

<file path=xl/worksheets/_rels/sheet11.xml.rels><Relationships xmlns="http://schemas.openxmlformats.org/package/2006/relationships"><Relationship Type="http://schemas.openxmlformats.org/officeDocument/2006/relationships/hyperlink" Target="https://img.clumba.ru/mediaplan/FC/Ivan'kovskoe_all.jpg" TargetMode="External" Id="rId1" /><Relationship Type="http://schemas.openxmlformats.org/officeDocument/2006/relationships/hyperlink" Target="http://www.clumba.ru/WORLDCLASS/FITNESS_LED/MSC_FC59_TV01.jpg" TargetMode="External" Id="rId2" /><Relationship Type="http://schemas.openxmlformats.org/officeDocument/2006/relationships/hyperlink" Target="http://www.clumba.ru/WORLDCLASS/FITNESS_LED/MO_FC19_TV01.jpg" TargetMode="External" Id="rId3" /><Relationship Type="http://schemas.openxmlformats.org/officeDocument/2006/relationships/hyperlink" Target="http://www.clumba.ru/WORLDCLASS/FITNESS_LED/MSC_FC58_TV01.jpg" TargetMode="External" Id="rId4" /><Relationship Type="http://schemas.openxmlformats.org/officeDocument/2006/relationships/hyperlink" Target="http://www.clumba.ru/WORLDCLASS/FITNESS_LED/MSC_FC37_TV01.jpg" TargetMode="External" Id="rId5" /><Relationship Type="http://schemas.openxmlformats.org/officeDocument/2006/relationships/hyperlink" Target="http://www.clumba.ru/WORLDCLASS/FITNESS_LED/MO_FC09_TV01.jpg" TargetMode="External" Id="rId6" /><Relationship Type="http://schemas.openxmlformats.org/officeDocument/2006/relationships/hyperlink" Target="http://www.clumba.ru/WORLDCLASS/FITNESS_LED/MO_FC16_TV01.jpg" TargetMode="External" Id="rId7" /><Relationship Type="http://schemas.openxmlformats.org/officeDocument/2006/relationships/hyperlink" Target="https://img.clumba.ru/mediaplan/FC/IstraCenter_all.JPG" TargetMode="External" Id="rId8" /><Relationship Type="http://schemas.openxmlformats.org/officeDocument/2006/relationships/hyperlink" Target="https://img.clumba.ru/mediaplan/FC/Minskoe_schosse_all.jpeg" TargetMode="External" Id="rId9" /><Relationship Type="http://schemas.openxmlformats.org/officeDocument/2006/relationships/hyperlink" Target="https://img.clumba.ru/mediaplan/FC/NovayaRiga_all.JPG" TargetMode="External" Id="rId10" /><Relationship Type="http://schemas.openxmlformats.org/officeDocument/2006/relationships/hyperlink" Target="http://www.clumba.ru/WORLDCLASS/FITNESS_LED/MO_FC17_TV01.jpg" TargetMode="External" Id="rId11" /><Relationship Type="http://schemas.openxmlformats.org/officeDocument/2006/relationships/hyperlink" Target="http://www.clumba.ru/WORLDCLASS/FITNESS_LED/MSC_FC48_TV01.jpg" TargetMode="External" Id="rId12" /><Relationship Type="http://schemas.openxmlformats.org/officeDocument/2006/relationships/hyperlink" Target="https://img.clumba.ru/mediaplan/FC/krasnogorsk_TV1.JPG" TargetMode="External" Id="rId13" /><Relationship Type="http://schemas.openxmlformats.org/officeDocument/2006/relationships/hyperlink" Target="https://img.clumba.ru/mediaplan/FC/Mozhaiskoye_TV1.jpg" TargetMode="External" Id="rId14" /><Relationship Type="http://schemas.openxmlformats.org/officeDocument/2006/relationships/hyperlink" Target="http://www.clumba.ru/WORLDCLASS/FITNESS_LED/MSC_FC51_TV01.jpg" TargetMode="External" Id="rId15" /><Relationship Type="http://schemas.openxmlformats.org/officeDocument/2006/relationships/hyperlink" Target="http://www.clumba.ru/WORLDCLASS/FITNESS_LED/MSC_FC50_TV01.jpg" TargetMode="External" Id="rId16" /><Relationship Type="http://schemas.openxmlformats.org/officeDocument/2006/relationships/hyperlink" Target="http://www.clumba.ru/WORLDCLASS/BASE_LED/MSC_WC35_TV01.jpeg" TargetMode="External" Id="rId17" /><Relationship Type="http://schemas.openxmlformats.org/officeDocument/2006/relationships/hyperlink" Target="http://www.clumba.ru/WORLDCLASS/FITNESS_LED/MSC_FC46_TV01.jpg" TargetMode="External" Id="rId18" /><Relationship Type="http://schemas.openxmlformats.org/officeDocument/2006/relationships/hyperlink" Target="https://img.clumba.ru/mediaplan/FC/Novogorsk_all.JPG" TargetMode="External" Id="rId19" /><Relationship Type="http://schemas.openxmlformats.org/officeDocument/2006/relationships/hyperlink" Target="https://img.clumba.ru/mediaplan/WCL/all/Atlantic_all.jfif" TargetMode="External" Id="rId20" /><Relationship Type="http://schemas.openxmlformats.org/officeDocument/2006/relationships/hyperlink" Target="https://img.clumba.ru/mediaplan/WCL/all/VorobyovyGory_all.JPG" TargetMode="External" Id="rId21" /><Relationship Type="http://schemas.openxmlformats.org/officeDocument/2006/relationships/hyperlink" Target="https://img.clumba.ru/mediaplan/WCL/all/Varshavka_all.JPG" TargetMode="External" Id="rId22" /><Relationship Type="http://schemas.openxmlformats.org/officeDocument/2006/relationships/hyperlink" Target="https://img.clumba.ru/mediaplan/WCL/all/Vlasova_all.JPG" TargetMode="External" Id="rId23" /><Relationship Type="http://schemas.openxmlformats.org/officeDocument/2006/relationships/hyperlink" Target="https://img.clumba.ru/mediaplan/WCL/all/GorodStolits_all.JPG" TargetMode="External" Id="rId24" /><Relationship Type="http://schemas.openxmlformats.org/officeDocument/2006/relationships/hyperlink" Target="https://img.clumba.ru/mediaplan/WCL/all/Zhitnaya_all.JPG" TargetMode="External" Id="rId25" /><Relationship Type="http://schemas.openxmlformats.org/officeDocument/2006/relationships/hyperlink" Target="http://www.clumba.ru/WORLDCLASS/BASE_LED/ZIA_WC01_TV01.JPG" TargetMode="External" Id="rId26" /><Relationship Type="http://schemas.openxmlformats.org/officeDocument/2006/relationships/hyperlink" Target="https://img.clumba.ru/mediaplan/WCL/all/ladys_all.jfif" TargetMode="External" Id="rId27" /><Relationship Type="http://schemas.openxmlformats.org/officeDocument/2006/relationships/hyperlink" Target="https://img.clumba.ru/mediaplan/WCL/all/Kapitoliy_all.JPG" TargetMode="External" Id="rId28" /><Relationship Type="http://schemas.openxmlformats.org/officeDocument/2006/relationships/hyperlink" Target="https://img.clumba.ru/mediaplan/WCL/all/ZemlyanoyVal_all.JPG" TargetMode="External" Id="rId29" /><Relationship Type="http://schemas.openxmlformats.org/officeDocument/2006/relationships/hyperlink" Target="https://img.clumba.ru/mediaplan/WCL/all/Kashirskiy_all.jpeg" TargetMode="External" Id="rId30" /><Relationship Type="http://schemas.openxmlformats.org/officeDocument/2006/relationships/hyperlink" Target="https://img.clumba.ru/mediaplan/WCL/all/Krestovskiy_all.jfif" TargetMode="External" Id="rId31" /><Relationship Type="http://schemas.openxmlformats.org/officeDocument/2006/relationships/hyperlink" Target="https://img.clumba.ru/mediaplan/WCL/all/Kuntsevo_all.JPG" TargetMode="External" Id="rId32" /><Relationship Type="http://schemas.openxmlformats.org/officeDocument/2006/relationships/hyperlink" Target="https://img.clumba.ru/mediaplan/WCL/all/SmolenskiyPassazh_all.JPG" TargetMode="External" Id="rId33" /><Relationship Type="http://schemas.openxmlformats.org/officeDocument/2006/relationships/hyperlink" Target="http://www.clumba.ru/WORLDCLASS/FITNESS_LED/MSC_WC32_TV01.jpg" TargetMode="External" Id="rId34" /><Relationship Type="http://schemas.openxmlformats.org/officeDocument/2006/relationships/hyperlink" Target="https://img.clumba.ru/mediaplan/WCL/all/Lodochnaya_all.JPG" TargetMode="External" Id="rId35" /><Relationship Type="http://schemas.openxmlformats.org/officeDocument/2006/relationships/hyperlink" Target="https://img.clumba.ru/mediaplan/WCL/all/Metropolis_all.JPG" TargetMode="External" Id="rId36" /><Relationship Type="http://schemas.openxmlformats.org/officeDocument/2006/relationships/hyperlink" Target="https://img.clumba.ru/mediaplan/WCL/all/Mitino_all.JPG" TargetMode="External" Id="rId37" /><Relationship Type="http://schemas.openxmlformats.org/officeDocument/2006/relationships/hyperlink" Target="https://img.clumba.ru/mediaplan/WCL/all/Nametkina_all.jpg" TargetMode="External" Id="rId38" /><Relationship Type="http://schemas.openxmlformats.org/officeDocument/2006/relationships/hyperlink" Target="http://www.clumba.ru/WORLDCLASS/BASE_LED/MSC_WC30_TV01.JPG" TargetMode="External" Id="rId39" /><Relationship Type="http://schemas.openxmlformats.org/officeDocument/2006/relationships/hyperlink" Target="https://img.clumba.ru/mediaplan/WCL/all/Pavlovo_all.JPG" TargetMode="External" Id="rId40" /><Relationship Type="http://schemas.openxmlformats.org/officeDocument/2006/relationships/hyperlink" Target="https://img.clumba.ru/mediaplan/WCL/all/Polezhaevskaya_all.JPG" TargetMode="External" Id="rId41" /><Relationship Type="http://schemas.openxmlformats.org/officeDocument/2006/relationships/hyperlink" Target="https://img.clumba.ru/mediaplan/WCL/all/Romanov_all.JPG" TargetMode="External" Id="rId42" /><Relationship Type="http://schemas.openxmlformats.org/officeDocument/2006/relationships/hyperlink" Target="https://img.clumba.ru/mediaplan/WCL/all/Sevastopolskiy_all.JPG" TargetMode="External" Id="rId43" /><Relationship Type="http://schemas.openxmlformats.org/officeDocument/2006/relationships/hyperlink" Target="https://img.clumba.ru/mediaplan/WCL/all/Sennaya_all.jfif" TargetMode="External" Id="rId44" /><Relationship Type="http://schemas.openxmlformats.org/officeDocument/2006/relationships/hyperlink" Target="https://img.clumba.ru/mediaplan/WCL/all/Stachek_all.jfif" TargetMode="External" Id="rId45" /><Relationship Type="http://schemas.openxmlformats.org/officeDocument/2006/relationships/hyperlink" Target="https://img.clumba.ru/mediaplan/WCL/all/Strogino_all.JPG" TargetMode="External" Id="rId46" /><Relationship Type="http://schemas.openxmlformats.org/officeDocument/2006/relationships/hyperlink" Target="https://img.clumba.ru/mediaplan/WCL/all/Taganskiy_all.jpg" TargetMode="External" Id="rId47" /><Relationship Type="http://schemas.openxmlformats.org/officeDocument/2006/relationships/hyperlink" Target="https://img.clumba.ru/mediaplan/WCL/all/Tverskaya_all.JPG" TargetMode="External" Id="rId48" /><Relationship Type="http://schemas.openxmlformats.org/officeDocument/2006/relationships/hyperlink" Target="https://img.clumba.ru/mediaplan/WCL/all/Trikolor_all.jpeg" TargetMode="External" Id="rId49" /><Relationship Type="http://schemas.openxmlformats.org/officeDocument/2006/relationships/hyperlink" Target="https://img.clumba.ru/mediaplan/WCL/all/TriumfPalas_all.JPG" TargetMode="External" Id="rId50" /><Relationship Type="http://schemas.openxmlformats.org/officeDocument/2006/relationships/hyperlink" Target="https://img.clumba.ru/mediaplan/WCL/all/Tulskaya_all.JPG" TargetMode="External" Id="rId51" /><Relationship Type="http://schemas.openxmlformats.org/officeDocument/2006/relationships/hyperlink" Target="http://www.clumba.ru/WORLDCLASS/BASE_LED/UFA_WC01_TV01.JPG" TargetMode="External" Id="rId52" /><Relationship Type="http://schemas.openxmlformats.org/officeDocument/2006/relationships/hyperlink" Target="https://img.clumba.ru/mediaplan/WCL/all/CenterEkat_all.jpg" TargetMode="External" Id="rId53" /><Relationship Type="http://schemas.openxmlformats.org/officeDocument/2006/relationships/hyperlink" Target="https://img.clumba.ru/mediaplan/WCL/all/Sheremetyevskaya_all.jpeg" TargetMode="External" Id="rId54" /><Relationship Type="http://schemas.openxmlformats.org/officeDocument/2006/relationships/hyperlink" Target="https://img.clumba.ru/mediaplan/WCL/all/Yartsevskaya_all.JPG" TargetMode="External" Id="rId55" /><Relationship Type="http://schemas.openxmlformats.org/officeDocument/2006/relationships/hyperlink" Target="http://www.clumba.ru/WORLDCLASS/FITNESS_LED/MSC_FC33_TV01.jpg" TargetMode="External" Id="rId56" /><Relationship Type="http://schemas.openxmlformats.org/officeDocument/2006/relationships/hyperlink" Target="http://www.clumba.ru/WORLDCLASS/FITNESS_LED/MSC_FC10_TV01.jpg" TargetMode="External" Id="rId57" /><Relationship Type="http://schemas.openxmlformats.org/officeDocument/2006/relationships/hyperlink" Target="http://www.clumba.ru/WORLDCLASS/FITNESS_LED/MSC_FC01_TV01.jpg" TargetMode="External" Id="rId58" /><Relationship Type="http://schemas.openxmlformats.org/officeDocument/2006/relationships/hyperlink" Target="http://www.clumba.ru/WORLDCLASS/FITNESS_LED/MSC_FC16_TV01.jpg" TargetMode="External" Id="rId59" /><Relationship Type="http://schemas.openxmlformats.org/officeDocument/2006/relationships/hyperlink" Target="http://www.clumba.ru/WORLDCLASS/FITNESS_LED/MSC_FC02_TV01.jpg" TargetMode="External" Id="rId60" /><Relationship Type="http://schemas.openxmlformats.org/officeDocument/2006/relationships/hyperlink" Target="http://www.clumba.ru/WORLDCLASS/FITNESS_LED/MSC_FC08_TV01.jpg" TargetMode="External" Id="rId61" /><Relationship Type="http://schemas.openxmlformats.org/officeDocument/2006/relationships/hyperlink" Target="http://www.clumba.ru/WORLDCLASS/FITNESS_LED/MSC_FC18_TV01.jpg" TargetMode="External" Id="rId62" /><Relationship Type="http://schemas.openxmlformats.org/officeDocument/2006/relationships/hyperlink" Target="http://www.clumba.ru/WORLDCLASS/FITNESS_LED/MO_FC01_TV01.jpg" TargetMode="External" Id="rId63" /><Relationship Type="http://schemas.openxmlformats.org/officeDocument/2006/relationships/hyperlink" Target="http://www.clumba.ru/WORLDCLASS/FITNESS_LED/MSC_FC03_TV01.jpg" TargetMode="External" Id="rId64" /><Relationship Type="http://schemas.openxmlformats.org/officeDocument/2006/relationships/hyperlink" Target="http://www.clumba.ru/WORLDCLASS/FITNESS_LED/MSC_FC17_TV01.JPG" TargetMode="External" Id="rId65" /><Relationship Type="http://schemas.openxmlformats.org/officeDocument/2006/relationships/hyperlink" Target="http://www.clumba.ru/WORLDCLASS/FITNESS_LED/MSC_FC04_TV01.jpg" TargetMode="External" Id="rId66" /><Relationship Type="http://schemas.openxmlformats.org/officeDocument/2006/relationships/hyperlink" Target="http://www.clumba.ru/WORLDCLASS/FITNESS_LED/MO_FC02_TV01.jpg" TargetMode="External" Id="rId67" /><Relationship Type="http://schemas.openxmlformats.org/officeDocument/2006/relationships/hyperlink" Target="http://www.clumba.ru/WORLDCLASS/FITNESS_LED/MO_FC07_TV01.jpg" TargetMode="External" Id="rId68" /><Relationship Type="http://schemas.openxmlformats.org/officeDocument/2006/relationships/hyperlink" Target="http://www.clumba.ru/WORLDCLASS/FITNESS_LED/MSC_FC74_TV01.jpeg" TargetMode="External" Id="rId69" /><Relationship Type="http://schemas.openxmlformats.org/officeDocument/2006/relationships/hyperlink" Target="http://www.clumba.ru/WORLDCLASS/FITNESS_LED/MSC_FC72_TV01.jpeg" TargetMode="External" Id="rId70" /><Relationship Type="http://schemas.openxmlformats.org/officeDocument/2006/relationships/hyperlink" Target="http://www.clumba.ru/WORLDCLASS/FITNESS_LED/MSC_FC31_TV01.jpg" TargetMode="External" Id="rId71" /><Relationship Type="http://schemas.openxmlformats.org/officeDocument/2006/relationships/hyperlink" Target="http://www.clumba.ru/WORLDCLASS/FITNESS_LED/MSC_FC32_TV01.jpg" TargetMode="External" Id="rId72" /><Relationship Type="http://schemas.openxmlformats.org/officeDocument/2006/relationships/hyperlink" Target="http://www.clumba.ru/WORLDCLASS/FITNESS_LED/MO_FC06_TV01.jpg" TargetMode="External" Id="rId73" /><Relationship Type="http://schemas.openxmlformats.org/officeDocument/2006/relationships/hyperlink" Target="http://www.clumba.ru/WORLDCLASS/FITNESS_LED/MO_FC21_TV01.jpeg" TargetMode="External" Id="rId74" /><Relationship Type="http://schemas.openxmlformats.org/officeDocument/2006/relationships/hyperlink" Target="http://www.clumba.ru/WORLDCLASS/FITNESS_LED/MO_FC04_TV01.jpg" TargetMode="External" Id="rId75" /><Relationship Type="http://schemas.openxmlformats.org/officeDocument/2006/relationships/hyperlink" Target="http://www.clumba.ru/WORLDCLASS/FITNESS_LED/MSC_FC39_TV01.jpg" TargetMode="External" Id="rId76" /><Relationship Type="http://schemas.openxmlformats.org/officeDocument/2006/relationships/hyperlink" Target="http://www.clumba.ru/WORLDCLASS/FITNESS_LED/MSC_FC38_TV01.jpg" TargetMode="External" Id="rId77" /><Relationship Type="http://schemas.openxmlformats.org/officeDocument/2006/relationships/hyperlink" Target="http://www.clumba.ru/WORLDCLASS/FITNESS_LED/MSC_FC23_TV01.jpg" TargetMode="External" Id="rId78" /><Relationship Type="http://schemas.openxmlformats.org/officeDocument/2006/relationships/hyperlink" Target="http://www.clumba.ru/WORLDCLASS/FITNESS_LED/MSC_FC73_TV01.jpeg" TargetMode="External" Id="rId79" /><Relationship Type="http://schemas.openxmlformats.org/officeDocument/2006/relationships/hyperlink" Target="http://www.clumba.ru/WORLDCLASS/FITNESS_LED/MSC_FC25_TV01.jpg" TargetMode="External" Id="rId80" /><Relationship Type="http://schemas.openxmlformats.org/officeDocument/2006/relationships/hyperlink" Target="http://www.clumba.ru/WORLDCLASS/FITNESS_LED/MSC_FC24_TV01.jpg" TargetMode="External" Id="rId81" /><Relationship Type="http://schemas.openxmlformats.org/officeDocument/2006/relationships/hyperlink" Target="http://www.clumba.ru/WORLDCLASS/FITNESS_LED/MSC_FC28_TV01.jpg" TargetMode="External" Id="rId82" /><Relationship Type="http://schemas.openxmlformats.org/officeDocument/2006/relationships/hyperlink" Target="http://www.clumba.ru/WORLDCLASS/FITNESS_LED/MSC_FC30_TV01.jpg" TargetMode="External" Id="rId83" /><Relationship Type="http://schemas.openxmlformats.org/officeDocument/2006/relationships/hyperlink" Target="http://www.clumba.ru/WORLDCLASS/FITNESS_LED/MSC_FC34_TV01.jpg" TargetMode="External" Id="rId84" /><Relationship Type="http://schemas.openxmlformats.org/officeDocument/2006/relationships/hyperlink" Target="http://www.clumba.ru/WORLDCLASS/FITNESS_LED/MSC_FC22_TV01.jpg" TargetMode="External" Id="rId85" /><Relationship Type="http://schemas.openxmlformats.org/officeDocument/2006/relationships/hyperlink" Target="http://www.clumba.ru/WORLDCLASS/FITNESS_LED/MSC_FC29_TV01.jpg" TargetMode="External" Id="rId86" /><Relationship Type="http://schemas.openxmlformats.org/officeDocument/2006/relationships/hyperlink" Target="http://www.clumba.ru/WORLDCLASS/FITNESS_LED/MSC_FC27_TV01.jpg" TargetMode="External" Id="rId87" /><Relationship Type="http://schemas.openxmlformats.org/officeDocument/2006/relationships/hyperlink" Target="http://www.clumba.ru/WORLDCLASS/FITNESS_LED/MO_FC05_TV01.jpg" TargetMode="External" Id="rId88" /><Relationship Type="http://schemas.openxmlformats.org/officeDocument/2006/relationships/hyperlink" Target="http://www.clumba.ru/WORLDCLASS/FITNESS_LED/MO_FC10_TV01.jpg" TargetMode="External" Id="rId89" /><Relationship Type="http://schemas.openxmlformats.org/officeDocument/2006/relationships/hyperlink" Target="http://www.clumba.ru/WORLDCLASS/FITNESS_LED/MSC_FC71_TV01.jpeg" TargetMode="External" Id="rId90" /><Relationship Type="http://schemas.openxmlformats.org/officeDocument/2006/relationships/hyperlink" Target="https://img.clumba.ru/mediaplan/FC/MSC_FC35_TV01.jpg" TargetMode="External" Id="rId91" /><Relationship Type="http://schemas.openxmlformats.org/officeDocument/2006/relationships/hyperlink" Target="http://www.clumba.ru/WORLDCLASS/FITNESS_LED/MO_FC08_TV01.jpg" TargetMode="External" Id="rId92" /><Relationship Type="http://schemas.openxmlformats.org/officeDocument/2006/relationships/hyperlink" Target="http://www.clumba.ru/WORLDCLASS/FITNESS_LED/MSC_FC26_TV01.jpg" TargetMode="External" Id="rId93" /><Relationship Type="http://schemas.openxmlformats.org/officeDocument/2006/relationships/hyperlink" Target="http://www.clumba.ru/mediaplan/BC/PhotoAll/GoldenGate_all.jpg" TargetMode="External" Id="rId94" /><Relationship Type="http://schemas.openxmlformats.org/officeDocument/2006/relationships/hyperlink" Target="https://img.clumba.ru/mediaplan/BC/overall/AlekseyevskayaBashnya_overall.jpg" TargetMode="External" Id="rId95" /><Relationship Type="http://schemas.openxmlformats.org/officeDocument/2006/relationships/hyperlink" Target="https://img.clumba.ru/BC/face/Aeroport_F.jpg" TargetMode="External" Id="rId96" /><Relationship Type="http://schemas.openxmlformats.org/officeDocument/2006/relationships/hyperlink" Target="https://img.clumba.ru/mediaplan/BC/overall/Aeroport_overall.jpg" TargetMode="External" Id="rId97" /><Relationship Type="http://schemas.openxmlformats.org/officeDocument/2006/relationships/hyperlink" Target="https://img.clumba.ru/mediaplan/BC/overall/BetaCenter_overall.jpg" TargetMode="External" Id="rId98" /><Relationship Type="http://schemas.openxmlformats.org/officeDocument/2006/relationships/hyperlink" Target="https://img.clumba.ru/mediaplan/BC/overall/BrentCity_overall.jpg" TargetMode="External" Id="rId99" /><Relationship Type="http://schemas.openxmlformats.org/officeDocument/2006/relationships/hyperlink" Target="https://img.clumba.ru/BC/face/Victory_Plaza_F.jpg" TargetMode="External" Id="rId100" /><Relationship Type="http://schemas.openxmlformats.org/officeDocument/2006/relationships/hyperlink" Target="https://img.clumba.ru/mediaplan/BC/overall/ViktoriPlaza_overall.jpg" TargetMode="External" Id="rId101" /><Relationship Type="http://schemas.openxmlformats.org/officeDocument/2006/relationships/hyperlink" Target="https://img.clumba.ru/mediaplan/BC/overall/Brigantina_overall.jpg" TargetMode="External" Id="rId102" /><Relationship Type="http://schemas.openxmlformats.org/officeDocument/2006/relationships/hyperlink" Target="https://img.clumba.ru/BC/face/VoltCentre_F.jpg" TargetMode="External" Id="rId103" /><Relationship Type="http://schemas.openxmlformats.org/officeDocument/2006/relationships/hyperlink" Target="https://img.clumba.ru/mediaplan/BC/overall/VoltCentere_overall.jpg" TargetMode="External" Id="rId104" /><Relationship Type="http://schemas.openxmlformats.org/officeDocument/2006/relationships/hyperlink" Target="https://img.clumba.ru/BC/face/DanilovPlaza_F.jpg" TargetMode="External" Id="rId105" /><Relationship Type="http://schemas.openxmlformats.org/officeDocument/2006/relationships/hyperlink" Target="https://img.clumba.ru/mediaplan/BC/overall/DanilovPlaza_overall.jpg" TargetMode="External" Id="rId106" /><Relationship Type="http://schemas.openxmlformats.org/officeDocument/2006/relationships/hyperlink" Target="https://img.clumba.ru/mediaplan/BC/overall/Krasnopresnenskiy_overall.jpg" TargetMode="External" Id="rId107" /><Relationship Type="http://schemas.openxmlformats.org/officeDocument/2006/relationships/hyperlink" Target="https://img.clumba.ru/mediaplan/BC/overall/DanilovskiyFort_overall.jpg" TargetMode="External" Id="rId108" /><Relationship Type="http://schemas.openxmlformats.org/officeDocument/2006/relationships/hyperlink" Target="https://img.clumba.ru/mediaplan/BC/overall/IFD_overall.jpg" TargetMode="External" Id="rId109" /><Relationship Type="http://schemas.openxmlformats.org/officeDocument/2006/relationships/hyperlink" Target="https://img.clumba.ru/mediaplan/BC/overall/Kaleidoscope_overall.jpg" TargetMode="External" Id="rId110" /><Relationship Type="http://schemas.openxmlformats.org/officeDocument/2006/relationships/hyperlink" Target="https://img.clumba.ru/mediaplan/BC/overall/KvartalCity_overall.jpg" TargetMode="External" Id="rId111" /><Relationship Type="http://schemas.openxmlformats.org/officeDocument/2006/relationships/hyperlink" Target="https://img.clumba.ru/mediaplan/BC/overall/KarakorumPlaza_overall.jpg" TargetMode="External" Id="rId112" /><Relationship Type="http://schemas.openxmlformats.org/officeDocument/2006/relationships/hyperlink" Target="https://img.clumba.ru/mediaplan/BC/overall/KitayGorod_overall.jpg" TargetMode="External" Id="rId113" /><Relationship Type="http://schemas.openxmlformats.org/officeDocument/2006/relationships/hyperlink" Target="https://img.clumba.ru/mediaplan/BC/overall/KrutitskiyVal_overall.jpg" TargetMode="External" Id="rId114" /><Relationship Type="http://schemas.openxmlformats.org/officeDocument/2006/relationships/hyperlink" Target="https://img.clumba.ru/mediaplan/BC/overall/KrimskiyVal_overall.jpg" TargetMode="External" Id="rId115" /><Relationship Type="http://schemas.openxmlformats.org/officeDocument/2006/relationships/hyperlink" Target="https://img.clumba.ru/mediaplan/BC/overall/naArgunovskoy_overall.jpg" TargetMode="External" Id="rId116" /><Relationship Type="http://schemas.openxmlformats.org/officeDocument/2006/relationships/hyperlink" Target="https://img.clumba.ru/mediaplan/BC/overall/naTsvetnom_overall.jpg" TargetMode="External" Id="rId117" /><Relationship Type="http://schemas.openxmlformats.org/officeDocument/2006/relationships/hyperlink" Target="https://img.clumba.ru/mediaplan/BC/overall/Novoslobodskiy_overall.jpg" TargetMode="External" Id="rId118" /><Relationship Type="http://schemas.openxmlformats.org/officeDocument/2006/relationships/hyperlink" Target="https://img.clumba.ru/mediaplan/BC/overall/naShirokoy_overall.jpg" TargetMode="External" Id="rId119" /><Relationship Type="http://schemas.openxmlformats.org/officeDocument/2006/relationships/hyperlink" Target="https://img.clumba.ru/mediaplan/BC/overall/Novosuschevsky_overall.jpg" TargetMode="External" Id="rId120" /><Relationship Type="http://schemas.openxmlformats.org/officeDocument/2006/relationships/hyperlink" Target="https://img.clumba.ru/mediaplan/BC/overall/OOC_overall.jpg" TargetMode="External" Id="rId121" /><Relationship Type="http://schemas.openxmlformats.org/officeDocument/2006/relationships/hyperlink" Target="http://www.clumba.ru/mediaplan/BC/PhotoAll/RezidentsiaNaRublevke_all.jpg" TargetMode="External" Id="rId122" /><Relationship Type="http://schemas.openxmlformats.org/officeDocument/2006/relationships/hyperlink" Target="https://img.clumba.ru/mediaplan/BC/overall/SAFA_overall.jpg" TargetMode="External" Id="rId123" /><Relationship Type="http://schemas.openxmlformats.org/officeDocument/2006/relationships/hyperlink" Target="https://img.clumba.ru/mediaplan/BC/overall/Stantsiya_overall.jpg" TargetMode="External" Id="rId124" /><Relationship Type="http://schemas.openxmlformats.org/officeDocument/2006/relationships/hyperlink" Target="https://img.clumba.ru/BC/Trio.jpg" TargetMode="External" Id="rId125" /><Relationship Type="http://schemas.openxmlformats.org/officeDocument/2006/relationships/hyperlink" Target="https://img.clumba.ru/BC/face/&#1057;herryTower_F.jpg" TargetMode="External" Id="rId126" /><Relationship Type="http://schemas.openxmlformats.org/officeDocument/2006/relationships/hyperlink" Target="https://img.clumba.ru/BC/CherryTown.jpg" TargetMode="External" Id="rId127" /><Relationship Type="http://schemas.openxmlformats.org/officeDocument/2006/relationships/hyperlink" Target="https://img.clumba.ru/mediaplan/BC/overall/LegendaTsvetnogo_overall.jpg" TargetMode="External" Id="rId128" /><Relationship Type="http://schemas.openxmlformats.org/officeDocument/2006/relationships/hyperlink" Target="https://img.clumba.ru/mediaplan/BC/overall/Puteyskiy_overall.jpg" TargetMode="External" Id="rId129" /><Relationship Type="http://schemas.openxmlformats.org/officeDocument/2006/relationships/hyperlink" Target="https://img.clumba.ru/BC/face/RiverPlace_F.jpg" TargetMode="External" Id="rId130" /><Relationship Type="http://schemas.openxmlformats.org/officeDocument/2006/relationships/hyperlink" Target="https://img.clumba.ru/mediaplan/BC/overall/RiverPlace_overall.jpg" TargetMode="External" Id="rId131" /><Relationship Type="http://schemas.openxmlformats.org/officeDocument/2006/relationships/hyperlink" Target="https://img.clumba.ru/mediaplan/BC/overall/Svyatogor4_overall.jpg" TargetMode="External" Id="rId132" /><Relationship Type="http://schemas.openxmlformats.org/officeDocument/2006/relationships/hyperlink" Target="https://img.clumba.ru/mediaplan/BC/overall/Kozhevnicheskiy_overall.jpg" TargetMode="External" Id="rId133" /><Relationship Type="http://schemas.openxmlformats.org/officeDocument/2006/relationships/hyperlink" Target="https://img.clumba.ru/BC/face/DezhnevPlaza_F.jpg" TargetMode="External" Id="rId134" /><Relationship Type="http://schemas.openxmlformats.org/officeDocument/2006/relationships/hyperlink" Target="https://img.clumba.ru/mediaplan/BC/overall/DezhnevPlaza_overall.jpg" TargetMode="External" Id="rId135" /><Relationship Type="http://schemas.openxmlformats.org/officeDocument/2006/relationships/hyperlink" Target="http://www.clumba.ru/mediaplan/BC/PhotoAll/SokolPlaza_all.jpg" TargetMode="External" Id="rId136" /><Relationship Type="http://schemas.openxmlformats.org/officeDocument/2006/relationships/hyperlink" Target="https://img.clumba.ru/mediaplan/BC/overall/DaimondHall_overall.jpg" TargetMode="External" Id="rId137" /><Relationship Type="http://schemas.openxmlformats.org/officeDocument/2006/relationships/hyperlink" Target="https://img.clumba.ru/BC/face/Akademicheskiy_F.jpg" TargetMode="External" Id="rId138" /><Relationship Type="http://schemas.openxmlformats.org/officeDocument/2006/relationships/hyperlink" Target="https://img.clumba.ru/mediaplan/BC/overall/Akademicheskiy_overall.jpg" TargetMode="External" Id="rId139" /><Relationship Type="http://schemas.openxmlformats.org/officeDocument/2006/relationships/hyperlink" Target="http://www.clumba.ru/mediaplan/BC/PhotoAll/Kalibr_all.jpg" TargetMode="External" Id="rId140" /><Relationship Type="http://schemas.openxmlformats.org/officeDocument/2006/relationships/hyperlink" Target="http://www.clumba.ru/mediaplan/BC/PhotoAll/Rubin_all.jpg" TargetMode="External" Id="rId141" /><Relationship Type="http://schemas.openxmlformats.org/officeDocument/2006/relationships/hyperlink" Target="https://img.clumba.ru/mediaplan/BC/overall/Neverovskogo_overall.jpg" TargetMode="External" Id="rId142" /><Relationship Type="http://schemas.openxmlformats.org/officeDocument/2006/relationships/hyperlink" Target="https://img.clumba.ru/BC/face/CapitalTower_F.jpg" TargetMode="External" Id="rId143" /><Relationship Type="http://schemas.openxmlformats.org/officeDocument/2006/relationships/hyperlink" Target="https://img.clumba.ru/mediaplan/BC/overall/CapitalTower_overall.jpg" TargetMode="External" Id="rId144" /><Relationship Type="http://schemas.openxmlformats.org/officeDocument/2006/relationships/hyperlink" Target="https://img.clumba.ru/mediaplan/BC/overall/MidlandPlazaa_overall.jpg" TargetMode="External" Id="rId145" /><Relationship Type="http://schemas.openxmlformats.org/officeDocument/2006/relationships/hyperlink" Target="https://img.clumba.ru/mediaplan/BC/overall/CRUP_overall.jpg" TargetMode="External" Id="rId146" /><Relationship Type="http://schemas.openxmlformats.org/officeDocument/2006/relationships/hyperlink" Target="https://img.clumba.ru/mediaplan/BC/overall/Liniya_overall.jpg" TargetMode="External" Id="rId147" /><Relationship Type="http://schemas.openxmlformats.org/officeDocument/2006/relationships/hyperlink" Target="https://img.clumba.ru/BC/Kolskaya/1.jpg" TargetMode="External" Id="rId148" /><Relationship Type="http://schemas.openxmlformats.org/officeDocument/2006/relationships/hyperlink" Target="https://img.clumba.ru/mediaplan/BC/overall/Taganskiy_overall.jpg" TargetMode="External" Id="rId149" /><Relationship Type="http://schemas.openxmlformats.org/officeDocument/2006/relationships/hyperlink" Target="https://img.clumba.ru/mediaplan/BC/overall/Varshavskiy_overall.jpg" TargetMode="External" Id="rId150" /><Relationship Type="http://schemas.openxmlformats.org/officeDocument/2006/relationships/hyperlink" Target="https://img.clumba.ru/mediaplan/BC/overall/Nagatinskiy_overall.jpg" TargetMode="External" Id="rId151" /><Relationship Type="http://schemas.openxmlformats.org/officeDocument/2006/relationships/hyperlink" Target="https://img.clumba.ru/mediaplan/BC/overall/SavelovGrad_overall.jpg" TargetMode="External" Id="rId152" /><Relationship Type="http://schemas.openxmlformats.org/officeDocument/2006/relationships/hyperlink" Target="https://img.clumba.ru/mediaplan/BC/overall/ZemlyanoyVal_overall.jpg" TargetMode="External" Id="rId153" /><Relationship Type="http://schemas.openxmlformats.org/officeDocument/2006/relationships/hyperlink" Target="https://img.clumba.ru/mediaplan/BC/overall/FerroPlaza_overall.jpg" TargetMode="External" Id="rId154" /><Relationship Type="http://schemas.openxmlformats.org/officeDocument/2006/relationships/hyperlink" Target="https://img.clumba.ru/BC/face/GasField_F.jpg" TargetMode="External" Id="rId155" /><Relationship Type="http://schemas.openxmlformats.org/officeDocument/2006/relationships/hyperlink" Target="https://img.clumba.ru/mediaplan/BC/overall/GasField_overall.jpg" TargetMode="External" Id="rId156" /><Relationship Type="http://schemas.openxmlformats.org/officeDocument/2006/relationships/hyperlink" Target="https://img.clumba.ru/BC/face/A1_F.jpg" TargetMode="External" Id="rId157" /><Relationship Type="http://schemas.openxmlformats.org/officeDocument/2006/relationships/hyperlink" Target="https://img.clumba.ru/mediaplan/BC/overall/A1_overall.jpg" TargetMode="External" Id="rId158" /><Relationship Type="http://schemas.openxmlformats.org/officeDocument/2006/relationships/hyperlink" Target="https://img.clumba.ru/mediaplan/BC/overall/Svyatogor1_overall.jpg" TargetMode="External" Id="rId159" /><Relationship Type="http://schemas.openxmlformats.org/officeDocument/2006/relationships/hyperlink" Target="https://img.clumba.ru/mediaplan/BC/overall/Svyatogor2_overall.jpg" TargetMode="External" Id="rId160" /><Relationship Type="http://schemas.openxmlformats.org/officeDocument/2006/relationships/hyperlink" Target="https://img.clumba.ru/mediaplan/BC/overall/KaskadMebel_overall.jpg" TargetMode="External" Id="rId161" /><Relationship Type="http://schemas.openxmlformats.org/officeDocument/2006/relationships/hyperlink" Target="https://img.clumba.ru/mediaplan/BC/overall/Pollars_overall.jpg" TargetMode="External" Id="rId162" /><Relationship Type="http://schemas.openxmlformats.org/officeDocument/2006/relationships/hyperlink" Target="http://www.clumba.ru/mediaplan/BC/PhotoAll/NordPlazaa_all.jpg" TargetMode="External" Id="rId163" /><Relationship Type="http://schemas.openxmlformats.org/officeDocument/2006/relationships/hyperlink" Target="https://img.clumba.ru/mediaplan/BC/overall/PallayNK_overall.jpg" TargetMode="External" Id="rId164" /><Relationship Type="http://schemas.openxmlformats.org/officeDocument/2006/relationships/hyperlink" Target="https://img.clumba.ru/mediaplan/BC/overall/SibirskiyAlyans_overall.jpg" TargetMode="External" Id="rId165" /><Relationship Type="http://schemas.openxmlformats.org/officeDocument/2006/relationships/hyperlink" Target="https://img.clumba.ru/mediaplan/BC/overall/DerbenevskayaPlaza_overall.jpg" TargetMode="External" Id="rId166" /><Relationship Type="http://schemas.openxmlformats.org/officeDocument/2006/relationships/hyperlink" Target="http://www.clumba.ru/mediaplan/BC/PhotoAll/naBakuninskoy_all.jpg" TargetMode="External" Id="rId167" /><Relationship Type="http://schemas.openxmlformats.org/officeDocument/2006/relationships/hyperlink" Target="http://www.clumba.ru/mediaplan/BC/PhotoAll/naKozhevnicheskoy_all.jpg" TargetMode="External" Id="rId168" /><Relationship Type="http://schemas.openxmlformats.org/officeDocument/2006/relationships/hyperlink" Target="http://www.clumba.ru/mediaplan/BC/PhotoAll/CityResurs_all.jpg" TargetMode="External" Id="rId169" /><Relationship Type="http://schemas.openxmlformats.org/officeDocument/2006/relationships/hyperlink" Target="https://img.clumba.ru/mediaplan/BC/overall/Verond_overall.jpg" TargetMode="External" Id="rId170" /><Relationship Type="http://schemas.openxmlformats.org/officeDocument/2006/relationships/hyperlink" Target="https://img.clumba.ru/mediaplan/BC/overall/TeplyStan_overall.jpg" TargetMode="External" Id="rId171" /><Relationship Type="http://schemas.openxmlformats.org/officeDocument/2006/relationships/hyperlink" Target="https://img.clumba.ru/mediaplan/BC/overall/MondPlaza_overall.jpg" TargetMode="External" Id="rId172" /><Relationship Type="http://schemas.openxmlformats.org/officeDocument/2006/relationships/hyperlink" Target="http://www.clumba.ru/mediaplan/BC/PhotoAll/KrasniyBogatirr_al.jpg" TargetMode="External" Id="rId173" /><Relationship Type="http://schemas.openxmlformats.org/officeDocument/2006/relationships/hyperlink" Target="http://www.clumba.ru/mediaplan/BC/PhotoAll/ISKRI_all.jpg" TargetMode="External" Id="rId174" /><Relationship Type="http://schemas.openxmlformats.org/officeDocument/2006/relationships/hyperlink" Target="https://img.clumba.ru/BC/face/DCIskra_F.jpg" TargetMode="External" Id="rId175" /><Relationship Type="http://schemas.openxmlformats.org/officeDocument/2006/relationships/hyperlink" Target="https://img.clumba.ru/mediaplan/BC/overall/DCISKRA_overall.jpg" TargetMode="External" Id="rId176" /><Relationship Type="http://schemas.openxmlformats.org/officeDocument/2006/relationships/hyperlink" Target="https://img.clumba.ru/mediaplan/BC/overall/Atmosphera_overall2.jpg" TargetMode="External" Id="rId177" /><Relationship Type="http://schemas.openxmlformats.org/officeDocument/2006/relationships/hyperlink" Target="https://img.clumba.ru/BC/face/Velka_F.jpg" TargetMode="External" Id="rId178" /><Relationship Type="http://schemas.openxmlformats.org/officeDocument/2006/relationships/hyperlink" Target="https://img.clumba.ru/mediaplan/BC/overall/Velka_overall.jpg" TargetMode="External" Id="rId179" /><Relationship Type="http://schemas.openxmlformats.org/officeDocument/2006/relationships/hyperlink" Target="http://www.clumba.ru/mediaplan/BC/PhotoAll/RyazanskiyProsoekt_all.jpg" TargetMode="External" Id="rId180" /><Relationship Type="http://schemas.openxmlformats.org/officeDocument/2006/relationships/hyperlink" Target="https://img.clumba.ru/mediaplan/BC/overall/Rostek_overall.jpg" TargetMode="External" Id="rId181" /><Relationship Type="http://schemas.openxmlformats.org/officeDocument/2006/relationships/hyperlink" Target="https://img.clumba.ru/BC/face/1kilometr_F.jpg" TargetMode="External" Id="rId182" /><Relationship Type="http://schemas.openxmlformats.org/officeDocument/2006/relationships/hyperlink" Target="https://img.clumba.ru/mediaplan/BC/overall/1kilometr_overall.jpg" TargetMode="External" Id="rId183" /><Relationship Type="http://schemas.openxmlformats.org/officeDocument/2006/relationships/hyperlink" Target="https://img.clumba.ru/mediaplan/BC/overall/BashniRyazanka_overall.jpg" TargetMode="External" Id="rId184" /><Relationship Type="http://schemas.openxmlformats.org/officeDocument/2006/relationships/hyperlink" Target="https://img.clumba.ru/mediaplan/BC/overall/Vavilon_overall.jpg" TargetMode="External" Id="rId185" /><Relationship Type="http://schemas.openxmlformats.org/officeDocument/2006/relationships/hyperlink" Target="http://www.clumba.ru/mediaplan/BC/PhotoAll/Hameleon_all.jpg" TargetMode="External" Id="rId186" /><Relationship Type="http://schemas.openxmlformats.org/officeDocument/2006/relationships/hyperlink" Target="http://www.clumba.ru/mediaplan/BC/PhotoAll/Dzhoul_all.jpg" TargetMode="External" Id="rId187" /><Relationship Type="http://schemas.openxmlformats.org/officeDocument/2006/relationships/hyperlink" Target="https://img.clumba.ru/mediaplan/BC/overall/naBarabannom3_overall.jpg" TargetMode="External" Id="rId188" /><Relationship Type="http://schemas.openxmlformats.org/officeDocument/2006/relationships/hyperlink" Target="https://img.clumba.ru/mediaplan/BC/overall/MscShelk_overall.jpg" TargetMode="External" Id="rId189" /><Relationship Type="http://schemas.openxmlformats.org/officeDocument/2006/relationships/hyperlink" Target="http://www.clumba.ru/mediaplan/BC/PhotoAll/Lubyanskiy_all.jpeg.jpg" TargetMode="External" Id="rId190" /><Relationship Type="http://schemas.openxmlformats.org/officeDocument/2006/relationships/hyperlink" Target="https://img.clumba.ru/mediaplan/BC/overall/Sizons_overall.jpg" TargetMode="External" Id="rId191" /><Relationship Type="http://schemas.openxmlformats.org/officeDocument/2006/relationships/hyperlink" Target="https://img.clumba.ru/mediaplan/BC/overall/Alterkom_overall.jpg" TargetMode="External" Id="rId192" /><Relationship Type="http://schemas.openxmlformats.org/officeDocument/2006/relationships/hyperlink" Target="https://img.clumba.ru/mediaplan/BC/overall/PokrovkaM_overall.jpg" TargetMode="External" Id="rId193" /><Relationship Type="http://schemas.openxmlformats.org/officeDocument/2006/relationships/hyperlink" Target="https://img.clumba.ru/BC/face/Imidzh_F.jpg" TargetMode="External" Id="rId194" /><Relationship Type="http://schemas.openxmlformats.org/officeDocument/2006/relationships/hyperlink" Target="http://www.clumba.ru/mediaplan/BC/PhotoAll/imidzh_all.jpg" TargetMode="External" Id="rId195" /><Relationship Type="http://schemas.openxmlformats.org/officeDocument/2006/relationships/hyperlink" Target="https://img.clumba.ru/BC/face/Alkor_F.jpg" TargetMode="External" Id="rId196" /><Relationship Type="http://schemas.openxmlformats.org/officeDocument/2006/relationships/hyperlink" Target="https://img.clumba.ru/mediaplan/BC/overall/Alkor_overall.jpg" TargetMode="External" Id="rId197" /><Relationship Type="http://schemas.openxmlformats.org/officeDocument/2006/relationships/hyperlink" Target="https://img.clumba.ru/BC/face/KantriPark_F.jpg" TargetMode="External" Id="rId198" /><Relationship Type="http://schemas.openxmlformats.org/officeDocument/2006/relationships/hyperlink" Target="https://img.clumba.ru/mediaplan/BC/overall/KantryPark_overall.jpg" TargetMode="External" Id="rId199" /><Relationship Type="http://schemas.openxmlformats.org/officeDocument/2006/relationships/hyperlink" Target="https://img.clumba.ru/BC/face/Gefest_F.jpg" TargetMode="External" Id="rId200" /><Relationship Type="http://schemas.openxmlformats.org/officeDocument/2006/relationships/hyperlink" Target="https://img.clumba.ru/mediaplan/BC/overall/Gefest_overall.jpg" TargetMode="External" Id="rId201" /><Relationship Type="http://schemas.openxmlformats.org/officeDocument/2006/relationships/hyperlink" Target="http://www.clumba.ru/mediaplan/BC/PhotoAll/PersonaGrata_all.jpg" TargetMode="External" Id="rId202" /><Relationship Type="http://schemas.openxmlformats.org/officeDocument/2006/relationships/hyperlink" Target="http://www.clumba.ru/mediaplan/BC/PhotoAll/NordHaus_all.jpg" TargetMode="External" Id="rId203" /><Relationship Type="http://schemas.openxmlformats.org/officeDocument/2006/relationships/hyperlink" Target="https://img.clumba.ru/BC/face/ABC_F.jpg" TargetMode="External" Id="rId204" /><Relationship Type="http://schemas.openxmlformats.org/officeDocument/2006/relationships/hyperlink" Target="https://img.clumba.ru/mediaplan/BC/overall/ABC_overall.jpg" TargetMode="External" Id="rId205" /><Relationship Type="http://schemas.openxmlformats.org/officeDocument/2006/relationships/hyperlink" Target="https://img.clumba.ru/mediaplan/BC/overall/Kolibris_overall.jpg" TargetMode="External" Id="rId206" /><Relationship Type="http://schemas.openxmlformats.org/officeDocument/2006/relationships/hyperlink" Target="https://img.clumba.ru/BC/face/Vega_F.jpg" TargetMode="External" Id="rId207" /><Relationship Type="http://schemas.openxmlformats.org/officeDocument/2006/relationships/hyperlink" Target="https://img.clumba.ru/mediaplan/BC/overall/Vega_overall.jpg" TargetMode="External" Id="rId208" /><Relationship Type="http://schemas.openxmlformats.org/officeDocument/2006/relationships/hyperlink" Target="http://www.clumba.ru/mediaplan/BC/PhotoAll/Linkor_all.jpg" TargetMode="External" Id="rId209" /><Relationship Type="http://schemas.openxmlformats.org/officeDocument/2006/relationships/hyperlink" Target="http://www.clumba.ru/mediaplan/BC/PhotoAll/Tavolga_TV1_32.jpeg" TargetMode="External" Id="rId210" /><Relationship Type="http://schemas.openxmlformats.org/officeDocument/2006/relationships/hyperlink" Target="https://img.clumba.ru/BC/face/GorodTDK_F.jpg" TargetMode="External" Id="rId211" /><Relationship Type="http://schemas.openxmlformats.org/officeDocument/2006/relationships/hyperlink" Target="https://img.clumba.ru/mediaplan/BC/overall/GorodTDK_overall.jpg" TargetMode="External" Id="rId212" /><Relationship Type="http://schemas.openxmlformats.org/officeDocument/2006/relationships/hyperlink" Target="https://img.clumba.ru/mediaplan/BC/overall/Telegraf_overall.jpg" TargetMode="External" Id="rId213" /><Relationship Type="http://schemas.openxmlformats.org/officeDocument/2006/relationships/hyperlink" Target="https://img.clumba.ru/BC/face/WestEast_F.jpg" TargetMode="External" Id="rId214" /><Relationship Type="http://schemas.openxmlformats.org/officeDocument/2006/relationships/hyperlink" Target="https://img.clumba.ru/mediaplan/BC/overall/WestEast_overall.jpg" TargetMode="External" Id="rId215" /><Relationship Type="http://schemas.openxmlformats.org/officeDocument/2006/relationships/hyperlink" Target="https://img.clumba.ru/mediaplan/BC/overall/LesnoyCity_overall.jpg" TargetMode="External" Id="rId216" /><Relationship Type="http://schemas.openxmlformats.org/officeDocument/2006/relationships/hyperlink" Target="http://www.clumba.ru/mediaplan/BC/PhotoAll/BusinessDepo_all.jpg" TargetMode="External" Id="rId217" /><Relationship Type="http://schemas.openxmlformats.org/officeDocument/2006/relationships/hyperlink" Target="https://img.clumba.ru/mediaplan/BC/overall/Velka_overall.jpg" TargetMode="External" Id="rId218" /><Relationship Type="http://schemas.openxmlformats.org/officeDocument/2006/relationships/hyperlink" Target="https://img.clumba.ru/mediaplan/BC/overall/Volgogradskiy_overall.jpg" TargetMode="External" Id="rId219" /><Relationship Type="http://schemas.openxmlformats.org/officeDocument/2006/relationships/hyperlink" Target="https://img.clumba.ru/mediaplan/BC/overall/OlimpicPark_overall.jpg" TargetMode="External" Id="rId220" /><Relationship Type="http://schemas.openxmlformats.org/officeDocument/2006/relationships/hyperlink" Target="http://www.clumba.ru/mediaplan/BC/PhotoAll/Alyans_all.jpg" TargetMode="External" Id="rId221" /><Relationship Type="http://schemas.openxmlformats.org/officeDocument/2006/relationships/hyperlink" Target="http://www.clumba.ru/mediaplan/BC/PhotoAll/Mayak_all.jpeg" TargetMode="External" Id="rId222" /><Relationship Type="http://schemas.openxmlformats.org/officeDocument/2006/relationships/hyperlink" Target="http://www.clumba.ru/mediaplan/BC/PhotoAll/Molodezhnaya48_all.jpeg" TargetMode="External" Id="rId223" /><Relationship Type="http://schemas.openxmlformats.org/officeDocument/2006/relationships/hyperlink" Target="https://img.clumba.ru/mediaplan/BC/overall/Nauchniy13_overall.jpg" TargetMode="External" Id="rId224" /><Relationship Type="http://schemas.openxmlformats.org/officeDocument/2006/relationships/hyperlink" Target="http://img.clumba.ru/mediaplan/BC/Photo/SmartPark_all.jpeg" TargetMode="External" Id="rId225" /><Relationship Type="http://schemas.openxmlformats.org/officeDocument/2006/relationships/hyperlink" Target="http://img.clumba.ru/mediaplan/BC/Photo/Uley_all.jpeg" TargetMode="External" Id="rId226" /><Relationship Type="http://schemas.openxmlformats.org/officeDocument/2006/relationships/hyperlink" Target="http://img.clumba.ru/mediaplan/BC/Photo/Strelbishchenskiy_all.jpeg" TargetMode="External" Id="rId227" /><Relationship Type="http://schemas.openxmlformats.org/officeDocument/2006/relationships/hyperlink" Target="https://img.clumba.ru/mediaplan/BC/Photo/PoklonkaPlace_all.jpg" TargetMode="External" Id="rId228" /><Relationship Type="http://schemas.openxmlformats.org/officeDocument/2006/relationships/hyperlink" Target="http://www.clumba.ru/mediaplan/BC/PhotoAll/Pravda_all.jpg" TargetMode="External" Id="rId229" /><Relationship Type="http://schemas.openxmlformats.org/officeDocument/2006/relationships/hyperlink" Target="https://img.clumba.ru/BC/face/Butirskiy_F.jpg" TargetMode="External" Id="rId230" /><Relationship Type="http://schemas.openxmlformats.org/officeDocument/2006/relationships/hyperlink" Target="https://img.clumba.ru/mediaplan/BC/overall/Butirskiy_overall.jpg" TargetMode="External" Id="rId231" /><Relationship Type="http://schemas.openxmlformats.org/officeDocument/2006/relationships/hyperlink" Target="http://www.clumba.ru/mediaplan/BC/PhotoAll/naMaslovke_all.jpg" TargetMode="External" Id="rId232" /><Relationship Type="http://schemas.openxmlformats.org/officeDocument/2006/relationships/hyperlink" Target="https://img.clumba.ru/mediaplan/BC/overall/naYauze_overall.jpg" TargetMode="External" Id="rId233" /><Relationship Type="http://schemas.openxmlformats.org/officeDocument/2006/relationships/hyperlink" Target="http://www.clumba.ru/mediaplan/BC/PhotoAll/Skakovay_all.jpg" TargetMode="External" Id="rId234" /><Relationship Type="http://schemas.openxmlformats.org/officeDocument/2006/relationships/hyperlink" Target="https://img.clumba.ru/mediaplan/BC/overall/YamskoePole_overall.jpg" TargetMode="External" Id="rId235" /><Relationship Type="http://schemas.openxmlformats.org/officeDocument/2006/relationships/hyperlink" Target="https://img.clumba.ru/mediaplan/BC/overall/Pravdi8_overall.jpg" TargetMode="External" Id="rId236" /><Relationship Type="http://schemas.openxmlformats.org/officeDocument/2006/relationships/hyperlink" Target="http://www.clumba.ru/mediaplan/BC/PhotoAll/OrlikovPlaza_all.jpg" TargetMode="External" Id="rId237" /><Relationship Type="http://schemas.openxmlformats.org/officeDocument/2006/relationships/hyperlink" Target="https://img.clumba.ru/BC/face/Agat_F.jpg" TargetMode="External" Id="rId238" /><Relationship Type="http://schemas.openxmlformats.org/officeDocument/2006/relationships/hyperlink" Target="https://img.clumba.ru/mediaplan/BC/overall/Agat_overall.jpg" TargetMode="External" Id="rId239" /><Relationship Type="http://schemas.openxmlformats.org/officeDocument/2006/relationships/hyperlink" Target="https://img.clumba.ru/mediaplan/BC/overall/LoftVil_overall.jpg" TargetMode="External" Id="rId240" /><Relationship Type="http://schemas.openxmlformats.org/officeDocument/2006/relationships/hyperlink" Target="https://img.clumba.ru/BC/face/CenterT_F.jpg" TargetMode="External" Id="rId241" /><Relationship Type="http://schemas.openxmlformats.org/officeDocument/2006/relationships/hyperlink" Target="http://www.clumba.ru/mediaplan/BC/PhotoAll/CenterT_all.jpg" TargetMode="External" Id="rId242" /><Relationship Type="http://schemas.openxmlformats.org/officeDocument/2006/relationships/hyperlink" Target="http://www.clumba.ru/mediaplan/BC/PhotoAll/Petrovskiy_TV1_32.jpg" TargetMode="External" Id="rId243" /><Relationship Type="http://schemas.openxmlformats.org/officeDocument/2006/relationships/hyperlink" Target="https://img.clumba.ru/mediaplan/BC/overall/KUB_overall.jpg" TargetMode="External" Id="rId244" /><Relationship Type="http://schemas.openxmlformats.org/officeDocument/2006/relationships/hyperlink" Target="http://www.clumba.ru/mediaplan/BC/PhotoAll/VostochVorota_all.jpg" TargetMode="External" Id="rId245" /><Relationship Type="http://schemas.openxmlformats.org/officeDocument/2006/relationships/hyperlink" Target="https://img.clumba.ru/BC/face/AuRum_F.jpg" TargetMode="External" Id="rId246" /><Relationship Type="http://schemas.openxmlformats.org/officeDocument/2006/relationships/hyperlink" Target="https://img.clumba.ru/mediaplan/BC/overall/AuRum_overall.jpg" TargetMode="External" Id="rId247" /><Relationship Type="http://schemas.openxmlformats.org/officeDocument/2006/relationships/hyperlink" Target="http://www.clumba.ru/mediaplan/BC/PhotoAll/Seligerskaya_All.jpg" TargetMode="External" Id="rId248" /><Relationship Type="http://schemas.openxmlformats.org/officeDocument/2006/relationships/hyperlink" Target="http://www.clumba.ru/mediaplan/BC/PhotoAll/Favorit_all.jpg" TargetMode="External" Id="rId249" /><Relationship Type="http://schemas.openxmlformats.org/officeDocument/2006/relationships/hyperlink" Target="https://img.clumba.ru/mediaplan/BC/overall/Stendal_overall.jpg" TargetMode="External" Id="rId250" /><Relationship Type="http://schemas.openxmlformats.org/officeDocument/2006/relationships/hyperlink" Target="https://img.clumba.ru/mediaplan/BC/overall/ProgressPlaza_overall.jpg" TargetMode="External" Id="rId251" /><Relationship Type="http://schemas.openxmlformats.org/officeDocument/2006/relationships/hyperlink" Target="http://www.clumba.ru/mediaplan/BC/PhotoAll/Nizhegorodskiy_all.jpg" TargetMode="External" Id="rId252" /><Relationship Type="http://schemas.openxmlformats.org/officeDocument/2006/relationships/hyperlink" Target="https://img.clumba.ru/BC/face/Vyatka_F.jpg" TargetMode="External" Id="rId253" /><Relationship Type="http://schemas.openxmlformats.org/officeDocument/2006/relationships/hyperlink" Target="https://img.clumba.ru/mediaplan/BC/overall/Vyatka_overall.jpg" TargetMode="External" Id="rId254" /><Relationship Type="http://schemas.openxmlformats.org/officeDocument/2006/relationships/hyperlink" Target="http://www.clumba.ru/mediaplan/BC/PhotoAll/Smirnovskiy_all.jpg" TargetMode="External" Id="rId255" /><Relationship Type="http://schemas.openxmlformats.org/officeDocument/2006/relationships/hyperlink" Target="https://img.clumba.ru/BC/face/YauzaTower_F.jpg" TargetMode="External" Id="rId256" /><Relationship Type="http://schemas.openxmlformats.org/officeDocument/2006/relationships/hyperlink" Target="https://img.clumba.ru/mediaplan/BC/overall/YauzaTower_overall.jpg" TargetMode="External" Id="rId257" /><Relationship Type="http://schemas.openxmlformats.org/officeDocument/2006/relationships/hyperlink" Target="https://img.clumba.ru/mediaplan/BC/overall/Rostek_overall.jpg" TargetMode="External" Id="rId258" /><Relationship Type="http://schemas.openxmlformats.org/officeDocument/2006/relationships/hyperlink" Target="https://img.clumba.ru/BC/face/FourWinds_F.jpg" TargetMode="External" Id="rId259" /><Relationship Type="http://schemas.openxmlformats.org/officeDocument/2006/relationships/hyperlink" Target="https://img.clumba.ru/mediaplan/BC/overall/FourWinds_overall.jpg" TargetMode="External" Id="rId260" /><Relationship Type="http://schemas.openxmlformats.org/officeDocument/2006/relationships/hyperlink" Target="http://img.clumba.ru/mediaplan/TI/1/145.jpg" TargetMode="External" Id="rId261" /><Relationship Type="http://schemas.openxmlformats.org/officeDocument/2006/relationships/hyperlink" Target="http://img.clumba.ru/mediaplan/TI/1/99.jpg" TargetMode="External" Id="rId262" /><Relationship Type="http://schemas.openxmlformats.org/officeDocument/2006/relationships/hyperlink" Target="http://img.clumba.ru/mediaplan/TI/1/100.jpg" TargetMode="External" Id="rId263" /><Relationship Type="http://schemas.openxmlformats.org/officeDocument/2006/relationships/hyperlink" Target="http://img.clumba.ru/mediaplan/TI/1/101.jpg" TargetMode="External" Id="rId264" /><Relationship Type="http://schemas.openxmlformats.org/officeDocument/2006/relationships/hyperlink" Target="http://img.clumba.ru/mediaplan/TI/1/146.jpg" TargetMode="External" Id="rId265" /><Relationship Type="http://schemas.openxmlformats.org/officeDocument/2006/relationships/hyperlink" Target="http://img.clumba.ru/mediaplan/TI/1/102.jpg" TargetMode="External" Id="rId266" /><Relationship Type="http://schemas.openxmlformats.org/officeDocument/2006/relationships/hyperlink" Target="http://img.clumba.ru/mediaplan/TI/1/147.jpg" TargetMode="External" Id="rId267" /><Relationship Type="http://schemas.openxmlformats.org/officeDocument/2006/relationships/hyperlink" Target="http://img.clumba.ru/mediaplan/TI/1/148.jpg" TargetMode="External" Id="rId268" /><Relationship Type="http://schemas.openxmlformats.org/officeDocument/2006/relationships/hyperlink" Target="http://img.clumba.ru/mediaplan/TI/1/149.jpg" TargetMode="External" Id="rId269" /><Relationship Type="http://schemas.openxmlformats.org/officeDocument/2006/relationships/hyperlink" Target="http://img.clumba.ru/mediaplan/TI/1/103.jpg" TargetMode="External" Id="rId270" /><Relationship Type="http://schemas.openxmlformats.org/officeDocument/2006/relationships/hyperlink" Target="http://img.clumba.ru/mediaplan/TI/1/150.jpg" TargetMode="External" Id="rId271" /><Relationship Type="http://schemas.openxmlformats.org/officeDocument/2006/relationships/hyperlink" Target="http://img.clumba.ru/mediaplan/TI/1/151.jpg" TargetMode="External" Id="rId272" /><Relationship Type="http://schemas.openxmlformats.org/officeDocument/2006/relationships/hyperlink" Target="http://img.clumba.ru/mediaplan/TI/1/104.jpg" TargetMode="External" Id="rId273" /><Relationship Type="http://schemas.openxmlformats.org/officeDocument/2006/relationships/hyperlink" Target="http://img.clumba.ru/mediaplan/TI/1/105.jpg" TargetMode="External" Id="rId274" /><Relationship Type="http://schemas.openxmlformats.org/officeDocument/2006/relationships/hyperlink" Target="http://img.clumba.ru/mediaplan/TI/1/106.jpg" TargetMode="External" Id="rId275" /><Relationship Type="http://schemas.openxmlformats.org/officeDocument/2006/relationships/hyperlink" Target="http://img.clumba.ru/mediaplan/TI/1/153.jpg" TargetMode="External" Id="rId276" /><Relationship Type="http://schemas.openxmlformats.org/officeDocument/2006/relationships/hyperlink" Target="http://img.clumba.ru/mediaplan/TI/1/107.jpg" TargetMode="External" Id="rId277" /><Relationship Type="http://schemas.openxmlformats.org/officeDocument/2006/relationships/hyperlink" Target="http://img.clumba.ru/mediaplan/TI/1/154.jpg" TargetMode="External" Id="rId278" /><Relationship Type="http://schemas.openxmlformats.org/officeDocument/2006/relationships/hyperlink" Target="http://img.clumba.ru/mediaplan/TI/1/155.jpg" TargetMode="External" Id="rId279" /><Relationship Type="http://schemas.openxmlformats.org/officeDocument/2006/relationships/hyperlink" Target="http://img.clumba.ru/mediaplan/TI/1/156.jpg" TargetMode="External" Id="rId280" /><Relationship Type="http://schemas.openxmlformats.org/officeDocument/2006/relationships/hyperlink" Target="http://img.clumba.ru/mediaplan/TI/1/108.jpg" TargetMode="External" Id="rId281" /><Relationship Type="http://schemas.openxmlformats.org/officeDocument/2006/relationships/hyperlink" Target="http://img.clumba.ru/mediaplan/TI/1/157.jpg" TargetMode="External" Id="rId282" /><Relationship Type="http://schemas.openxmlformats.org/officeDocument/2006/relationships/hyperlink" Target="http://img.clumba.ru/mediaplan/TI/1/109.jpg" TargetMode="External" Id="rId283" /><Relationship Type="http://schemas.openxmlformats.org/officeDocument/2006/relationships/hyperlink" Target="http://img.clumba.ru/mediaplan/TI/1/158.jpg" TargetMode="External" Id="rId284" /><Relationship Type="http://schemas.openxmlformats.org/officeDocument/2006/relationships/hyperlink" Target="http://img.clumba.ru/mediaplan/TI/1/159.jpg" TargetMode="External" Id="rId285" /><Relationship Type="http://schemas.openxmlformats.org/officeDocument/2006/relationships/hyperlink" Target="http://img.clumba.ru/mediaplan/TI/1/110.jpg" TargetMode="External" Id="rId286" /><Relationship Type="http://schemas.openxmlformats.org/officeDocument/2006/relationships/hyperlink" Target="http://img.clumba.ru/mediaplan/TI/1/160.jpg" TargetMode="External" Id="rId287" /><Relationship Type="http://schemas.openxmlformats.org/officeDocument/2006/relationships/hyperlink" Target="http://img.clumba.ru/mediaplan/TI/1/161.jpg" TargetMode="External" Id="rId288" /><Relationship Type="http://schemas.openxmlformats.org/officeDocument/2006/relationships/hyperlink" Target="http://img.clumba.ru/mediaplan/TI/1/111.jpg" TargetMode="External" Id="rId289" /><Relationship Type="http://schemas.openxmlformats.org/officeDocument/2006/relationships/hyperlink" Target="http://img.clumba.ru/mediaplan/TI/1/162.jpg" TargetMode="External" Id="rId290" /><Relationship Type="http://schemas.openxmlformats.org/officeDocument/2006/relationships/hyperlink" Target="http://img.clumba.ru/mediaplan/TI/1/163.jpg" TargetMode="External" Id="rId291" /><Relationship Type="http://schemas.openxmlformats.org/officeDocument/2006/relationships/hyperlink" Target="http://img.clumba.ru/mediaplan/TI/1/112.jpg" TargetMode="External" Id="rId292" /><Relationship Type="http://schemas.openxmlformats.org/officeDocument/2006/relationships/hyperlink" Target="http://img.clumba.ru/mediaplan/TI/1/164.jpg" TargetMode="External" Id="rId293" /><Relationship Type="http://schemas.openxmlformats.org/officeDocument/2006/relationships/hyperlink" Target="http://img.clumba.ru/mediaplan/TI/1/114.jpg" TargetMode="External" Id="rId294" /><Relationship Type="http://schemas.openxmlformats.org/officeDocument/2006/relationships/hyperlink" Target="http://img.clumba.ru/mediaplan/TI/1/165.jpg" TargetMode="External" Id="rId295" /><Relationship Type="http://schemas.openxmlformats.org/officeDocument/2006/relationships/hyperlink" Target="http://img.clumba.ru/mediaplan/TI/1/115.jpg" TargetMode="External" Id="rId296" /><Relationship Type="http://schemas.openxmlformats.org/officeDocument/2006/relationships/hyperlink" Target="http://img.clumba.ru/mediaplan/TI/1/166.jpg" TargetMode="External" Id="rId297" /><Relationship Type="http://schemas.openxmlformats.org/officeDocument/2006/relationships/hyperlink" Target="http://img.clumba.ru/mediaplan/TI/1/167.jpg" TargetMode="External" Id="rId298" /><Relationship Type="http://schemas.openxmlformats.org/officeDocument/2006/relationships/hyperlink" Target="http://img.clumba.ru/mediaplan/TI/1/168.jpg" TargetMode="External" Id="rId299" /><Relationship Type="http://schemas.openxmlformats.org/officeDocument/2006/relationships/hyperlink" Target="http://img.clumba.ru/mediaplan/TI/1/169.jpg" TargetMode="External" Id="rId300" /><Relationship Type="http://schemas.openxmlformats.org/officeDocument/2006/relationships/hyperlink" Target="http://img.clumba.ru/mediaplan/TI/1/170.jpg" TargetMode="External" Id="rId301" /><Relationship Type="http://schemas.openxmlformats.org/officeDocument/2006/relationships/hyperlink" Target="http://img.clumba.ru/mediaplan/TI/1/171.jpg" TargetMode="External" Id="rId302" /><Relationship Type="http://schemas.openxmlformats.org/officeDocument/2006/relationships/hyperlink" Target="http://img.clumba.ru/mediaplan/TI/1/172.jpg" TargetMode="External" Id="rId303" /><Relationship Type="http://schemas.openxmlformats.org/officeDocument/2006/relationships/hyperlink" Target="http://img.clumba.ru/mediaplan/TI/1/173.jpg" TargetMode="External" Id="rId304" /><Relationship Type="http://schemas.openxmlformats.org/officeDocument/2006/relationships/hyperlink" Target="http://img.clumba.ru/mediaplan/TI/1/174.jpg" TargetMode="External" Id="rId305" /><Relationship Type="http://schemas.openxmlformats.org/officeDocument/2006/relationships/hyperlink" Target="http://img.clumba.ru/mediaplan/TI/1/116.jpg" TargetMode="External" Id="rId306" /><Relationship Type="http://schemas.openxmlformats.org/officeDocument/2006/relationships/hyperlink" Target="http://img.clumba.ru/mediaplan/TI/1/117.jpg" TargetMode="External" Id="rId307" /><Relationship Type="http://schemas.openxmlformats.org/officeDocument/2006/relationships/hyperlink" Target="http://img.clumba.ru/mediaplan/TI/1/176.jpg" TargetMode="External" Id="rId308" /><Relationship Type="http://schemas.openxmlformats.org/officeDocument/2006/relationships/hyperlink" Target="http://img.clumba.ru/mediaplan/TI/1/118.jpg" TargetMode="External" Id="rId309" /><Relationship Type="http://schemas.openxmlformats.org/officeDocument/2006/relationships/hyperlink" Target="http://img.clumba.ru/mediaplan/TI/1/119.jpg" TargetMode="External" Id="rId310" /><Relationship Type="http://schemas.openxmlformats.org/officeDocument/2006/relationships/hyperlink" Target="http://img.clumba.ru/mediaplan/TI/1/177.jpg" TargetMode="External" Id="rId311" /><Relationship Type="http://schemas.openxmlformats.org/officeDocument/2006/relationships/hyperlink" Target="http://img.clumba.ru/mediaplan/TI/1/178.jpg" TargetMode="External" Id="rId312" /><Relationship Type="http://schemas.openxmlformats.org/officeDocument/2006/relationships/hyperlink" Target="http://img.clumba.ru/mediaplan/TI/1/179.jpg" TargetMode="External" Id="rId313" /><Relationship Type="http://schemas.openxmlformats.org/officeDocument/2006/relationships/hyperlink" Target="http://img.clumba.ru/mediaplan/TI/1/120.jpg" TargetMode="External" Id="rId314" /><Relationship Type="http://schemas.openxmlformats.org/officeDocument/2006/relationships/hyperlink" Target="http://img.clumba.ru/mediaplan/TI/1/180.jpg" TargetMode="External" Id="rId315" /><Relationship Type="http://schemas.openxmlformats.org/officeDocument/2006/relationships/hyperlink" Target="http://img.clumba.ru/mediaplan/TI/1/181.jpg" TargetMode="External" Id="rId316" /><Relationship Type="http://schemas.openxmlformats.org/officeDocument/2006/relationships/hyperlink" Target="http://img.clumba.ru/mediaplan/TI/1/121.jpg" TargetMode="External" Id="rId317" /><Relationship Type="http://schemas.openxmlformats.org/officeDocument/2006/relationships/hyperlink" Target="http://img.clumba.ru/mediaplan/TI/1/182.jpg" TargetMode="External" Id="rId318" /><Relationship Type="http://schemas.openxmlformats.org/officeDocument/2006/relationships/hyperlink" Target="http://img.clumba.ru/mediaplan/TI/1/122.jpg" TargetMode="External" Id="rId319" /><Relationship Type="http://schemas.openxmlformats.org/officeDocument/2006/relationships/hyperlink" Target="http://img.clumba.ru/mediaplan/TI/1/183.jpg" TargetMode="External" Id="rId320" /><Relationship Type="http://schemas.openxmlformats.org/officeDocument/2006/relationships/hyperlink" Target="http://img.clumba.ru/BC/Chapaev.jpg" TargetMode="External" Id="rId321" /><Relationship Type="http://schemas.openxmlformats.org/officeDocument/2006/relationships/hyperlink" Target="http://img.clumba.ru/mediaplan/TI/1/185.jpg" TargetMode="External" Id="rId322" /><Relationship Type="http://schemas.openxmlformats.org/officeDocument/2006/relationships/hyperlink" Target="http://img.clumba.ru/mediaplan/TI/3/186.jpg" TargetMode="External" Id="rId323" /><Relationship Type="http://schemas.openxmlformats.org/officeDocument/2006/relationships/hyperlink" Target="http://img.clumba.ru/mediaplan/TI/1/187.jpg" TargetMode="External" Id="rId324" /><Relationship Type="http://schemas.openxmlformats.org/officeDocument/2006/relationships/hyperlink" Target="http://img.clumba.ru/mediaplan/TI/1/188.jpg" TargetMode="External" Id="rId325" /><Relationship Type="http://schemas.openxmlformats.org/officeDocument/2006/relationships/hyperlink" Target="http://img.clumba.ru/mediaplan/TI/1/189.jpg" TargetMode="External" Id="rId326" /><Relationship Type="http://schemas.openxmlformats.org/officeDocument/2006/relationships/hyperlink" Target="http://img.clumba.ru/mediaplan/TI/1/190.jpg" TargetMode="External" Id="rId327" /><Relationship Type="http://schemas.openxmlformats.org/officeDocument/2006/relationships/hyperlink" Target="http://img.clumba.ru/mediaplan/TI/1/123.jpg" TargetMode="External" Id="rId328" /><Relationship Type="http://schemas.openxmlformats.org/officeDocument/2006/relationships/hyperlink" Target="http://img.clumba.ru/mediaplan/TI/1/191.jpg" TargetMode="External" Id="rId329" /><Relationship Type="http://schemas.openxmlformats.org/officeDocument/2006/relationships/hyperlink" Target="http://img.clumba.ru/mediaplan/TI/1/192.jpg" TargetMode="External" Id="rId330" /><Relationship Type="http://schemas.openxmlformats.org/officeDocument/2006/relationships/hyperlink" Target="http://img.clumba.ru/mediaplan/TI/1/124.jpg" TargetMode="External" Id="rId331" /><Relationship Type="http://schemas.openxmlformats.org/officeDocument/2006/relationships/hyperlink" Target="http://img.clumba.ru/mediaplan/TI/1/193.jpg" TargetMode="External" Id="rId332" /><Relationship Type="http://schemas.openxmlformats.org/officeDocument/2006/relationships/hyperlink" Target="http://img.clumba.ru/mediaplan/TI/1/125.jpg" TargetMode="External" Id="rId333" /><Relationship Type="http://schemas.openxmlformats.org/officeDocument/2006/relationships/hyperlink" Target="http://img.clumba.ru/mediaplan/TI/1/126.jpg" TargetMode="External" Id="rId334" /><Relationship Type="http://schemas.openxmlformats.org/officeDocument/2006/relationships/hyperlink" Target="http://img.clumba.ru/mediaplan/TI/1/194.jpg" TargetMode="External" Id="rId335" /><Relationship Type="http://schemas.openxmlformats.org/officeDocument/2006/relationships/hyperlink" Target="http://img.clumba.ru/mediaplan/TI/1/195.jpg" TargetMode="External" Id="rId336" /><Relationship Type="http://schemas.openxmlformats.org/officeDocument/2006/relationships/hyperlink" Target="http://img.clumba.ru/mediaplan/TI/1/196.jpg" TargetMode="External" Id="rId337" /><Relationship Type="http://schemas.openxmlformats.org/officeDocument/2006/relationships/hyperlink" Target="http://img.clumba.ru/mediaplan/TI/1/197.jpg" TargetMode="External" Id="rId338" /><Relationship Type="http://schemas.openxmlformats.org/officeDocument/2006/relationships/hyperlink" Target="http://img.clumba.ru/mediaplan/TI/1/199.jpg" TargetMode="External" Id="rId339" /><Relationship Type="http://schemas.openxmlformats.org/officeDocument/2006/relationships/hyperlink" Target="http://img.clumba.ru/mediaplan/TI/1/198.jpg" TargetMode="External" Id="rId340" /><Relationship Type="http://schemas.openxmlformats.org/officeDocument/2006/relationships/hyperlink" Target="http://img.clumba.ru/mediaplan/TI/1/127.jpg" TargetMode="External" Id="rId341" /><Relationship Type="http://schemas.openxmlformats.org/officeDocument/2006/relationships/hyperlink" Target="http://img.clumba.ru/mediaplan/TI/1/128.jpg" TargetMode="External" Id="rId342" /><Relationship Type="http://schemas.openxmlformats.org/officeDocument/2006/relationships/hyperlink" Target="http://img.clumba.ru/mediaplan/TI/1/200.jpg" TargetMode="External" Id="rId343" /><Relationship Type="http://schemas.openxmlformats.org/officeDocument/2006/relationships/hyperlink" Target="http://img.clumba.ru/mediaplan/TI/1/129.jpg" TargetMode="External" Id="rId344" /><Relationship Type="http://schemas.openxmlformats.org/officeDocument/2006/relationships/hyperlink" Target="http://img.clumba.ru/mediaplan/TI/1/201.jpg" TargetMode="External" Id="rId345" /><Relationship Type="http://schemas.openxmlformats.org/officeDocument/2006/relationships/hyperlink" Target="http://img.clumba.ru/mediaplan/TI/1/202.jpg" TargetMode="External" Id="rId346" /><Relationship Type="http://schemas.openxmlformats.org/officeDocument/2006/relationships/hyperlink" Target="http://img.clumba.ru/mediaplan/TI/1/130.jpg" TargetMode="External" Id="rId347" /><Relationship Type="http://schemas.openxmlformats.org/officeDocument/2006/relationships/hyperlink" Target="http://img.clumba.ru/mediaplan/TI/1/131.jpg" TargetMode="External" Id="rId348" /><Relationship Type="http://schemas.openxmlformats.org/officeDocument/2006/relationships/hyperlink" Target="http://img.clumba.ru/mediaplan/TI/1/132.jpg" TargetMode="External" Id="rId349" /><Relationship Type="http://schemas.openxmlformats.org/officeDocument/2006/relationships/hyperlink" Target="http://img.clumba.ru/mediaplan/TI/1/203.jpg" TargetMode="External" Id="rId350" /><Relationship Type="http://schemas.openxmlformats.org/officeDocument/2006/relationships/hyperlink" Target="http://img.clumba.ru/mediaplan/TI/1/133.jpg" TargetMode="External" Id="rId351" /><Relationship Type="http://schemas.openxmlformats.org/officeDocument/2006/relationships/hyperlink" Target="http://img.clumba.ru/mediaplan/TI/1/134.jpg" TargetMode="External" Id="rId352" /><Relationship Type="http://schemas.openxmlformats.org/officeDocument/2006/relationships/hyperlink" Target="http://img.clumba.ru/mediaplan/TI/1/136.jpg" TargetMode="External" Id="rId353" /><Relationship Type="http://schemas.openxmlformats.org/officeDocument/2006/relationships/hyperlink" Target="http://img.clumba.ru/mediaplan/TI/1/135.jpg" TargetMode="External" Id="rId354" /><Relationship Type="http://schemas.openxmlformats.org/officeDocument/2006/relationships/hyperlink" Target="http://img.clumba.ru/mediaplan/TI/1/204.jpg" TargetMode="External" Id="rId355" /><Relationship Type="http://schemas.openxmlformats.org/officeDocument/2006/relationships/hyperlink" Target="http://img.clumba.ru/mediaplan/TI/1/205.jpg" TargetMode="External" Id="rId356" /><Relationship Type="http://schemas.openxmlformats.org/officeDocument/2006/relationships/hyperlink" Target="http://img.clumba.ru/mediaplan/TI/1/137.jpg" TargetMode="External" Id="rId357" /><Relationship Type="http://schemas.openxmlformats.org/officeDocument/2006/relationships/hyperlink" Target="http://img.clumba.ru/mediaplan/TI/1/206.jpg" TargetMode="External" Id="rId358" /><Relationship Type="http://schemas.openxmlformats.org/officeDocument/2006/relationships/hyperlink" Target="http://img.clumba.ru/mediaplan/TI/1/138.jpg" TargetMode="External" Id="rId359" /><Relationship Type="http://schemas.openxmlformats.org/officeDocument/2006/relationships/hyperlink" Target="http://img.clumba.ru/mediaplan/TI/1/207.jpg" TargetMode="External" Id="rId360" /><Relationship Type="http://schemas.openxmlformats.org/officeDocument/2006/relationships/hyperlink" Target="http://img.clumba.ru/mediaplan/TI/1/208.jpg" TargetMode="External" Id="rId361" /><Relationship Type="http://schemas.openxmlformats.org/officeDocument/2006/relationships/hyperlink" Target="http://img.clumba.ru/mediaplan/TI/1/209.jpg" TargetMode="External" Id="rId362" /><Relationship Type="http://schemas.openxmlformats.org/officeDocument/2006/relationships/hyperlink" Target="http://img.clumba.ru/mediaplan/TI/1/139.jpg" TargetMode="External" Id="rId363" /><Relationship Type="http://schemas.openxmlformats.org/officeDocument/2006/relationships/hyperlink" Target="http://img.clumba.ru/mediaplan/TI/1/210.jpg" TargetMode="External" Id="rId364" /><Relationship Type="http://schemas.openxmlformats.org/officeDocument/2006/relationships/hyperlink" Target="http://img.clumba.ru/mediaplan/TI/1/144.jpg" TargetMode="External" Id="rId365" /><Relationship Type="http://schemas.openxmlformats.org/officeDocument/2006/relationships/hyperlink" Target="http://img.clumba.ru/mediaplan/TI/1/211.jpg" TargetMode="External" Id="rId366" /><Relationship Type="http://schemas.openxmlformats.org/officeDocument/2006/relationships/hyperlink" Target="http://img.clumba.ru/mediaplan/TI/1/212.jpg" TargetMode="External" Id="rId367" /><Relationship Type="http://schemas.openxmlformats.org/officeDocument/2006/relationships/hyperlink" Target="http://img.clumba.ru/mediaplan/TI/1/213.jpg" TargetMode="External" Id="rId368" /><Relationship Type="http://schemas.openxmlformats.org/officeDocument/2006/relationships/hyperlink" Target="http://img.clumba.ru/mediaplan/TI/1/214.jpg" TargetMode="External" Id="rId369" /><Relationship Type="http://schemas.openxmlformats.org/officeDocument/2006/relationships/hyperlink" Target="http://img.clumba.ru/mediaplan/TI/1/215.jpg" TargetMode="External" Id="rId370" /><Relationship Type="http://schemas.openxmlformats.org/officeDocument/2006/relationships/hyperlink" Target="http://img.clumba.ru/mediaplan/TI/1/216.jpg" TargetMode="External" Id="rId371" /><Relationship Type="http://schemas.openxmlformats.org/officeDocument/2006/relationships/hyperlink" Target="http://img.clumba.ru/mediaplan/TI/1/217.jpg" TargetMode="External" Id="rId372" /><Relationship Type="http://schemas.openxmlformats.org/officeDocument/2006/relationships/hyperlink" Target="http://img.clumba.ru/mediaplan/TI/1/218.jpg" TargetMode="External" Id="rId373" /><Relationship Type="http://schemas.openxmlformats.org/officeDocument/2006/relationships/hyperlink" Target="http://img.clumba.ru/mediaplan/TI/1/141.jpg" TargetMode="External" Id="rId374" /><Relationship Type="http://schemas.openxmlformats.org/officeDocument/2006/relationships/hyperlink" Target="http://img.clumba.ru/mediaplan/TI/1/219.jpg" TargetMode="External" Id="rId375" /><Relationship Type="http://schemas.openxmlformats.org/officeDocument/2006/relationships/hyperlink" Target="http://img.clumba.ru/mediaplan/TI/1/221.jpg" TargetMode="External" Id="rId376" /><Relationship Type="http://schemas.openxmlformats.org/officeDocument/2006/relationships/hyperlink" Target="http://img.clumba.ru/mediaplan/TI/1/220.jpg" TargetMode="External" Id="rId377" /><Relationship Type="http://schemas.openxmlformats.org/officeDocument/2006/relationships/hyperlink" Target="http://img.clumba.ru/mediaplan/TI/1/222.jpg" TargetMode="External" Id="rId378" /><Relationship Type="http://schemas.openxmlformats.org/officeDocument/2006/relationships/hyperlink" Target="http://img.clumba.ru/mediaplan/TI/1/223.jpg" TargetMode="External" Id="rId379" /><Relationship Type="http://schemas.openxmlformats.org/officeDocument/2006/relationships/hyperlink" Target="http://img.clumba.ru/mediaplan/TI/1/224.jpg" TargetMode="External" Id="rId380" /><Relationship Type="http://schemas.openxmlformats.org/officeDocument/2006/relationships/hyperlink" Target="http://img.clumba.ru/mediaplan/TI/1/Senator_Tkachi_65.jpg" TargetMode="External" Id="rId381" /><Relationship Type="http://schemas.openxmlformats.org/officeDocument/2006/relationships/hyperlink" Target="http://img.clumba.ru/mediaplan/TI/1/226.jpg" TargetMode="External" Id="rId382" /><Relationship Type="http://schemas.openxmlformats.org/officeDocument/2006/relationships/hyperlink" Target="http://img.clumba.ru/mediaplan/TI/1/227.jpg" TargetMode="External" Id="rId383" /><Relationship Type="http://schemas.openxmlformats.org/officeDocument/2006/relationships/hyperlink" Target="http://img.clumba.ru/mediaplan/TI/1/142.jpg" TargetMode="External" Id="rId384" /><Relationship Type="http://schemas.openxmlformats.org/officeDocument/2006/relationships/hyperlink" Target="http://img.clumba.ru/mediaplan/TI/1/228.jpg" TargetMode="External" Id="rId385" /><Relationship Type="http://schemas.openxmlformats.org/officeDocument/2006/relationships/hyperlink" Target="http://img.clumba.ru/mediaplan/TI/1/143.jpg" TargetMode="External" Id="rId386" /><Relationship Type="http://schemas.openxmlformats.org/officeDocument/2006/relationships/hyperlink" Target="http://img.clumba.ru/mediaplan/TI/1/229.jpg" TargetMode="External" Id="rId387" /><Relationship Type="http://schemas.openxmlformats.org/officeDocument/2006/relationships/hyperlink" Target="http://img.clumba.ru/mediaplan/TI/1/.jpg" TargetMode="External" Id="rId388" /><Relationship Type="http://schemas.openxmlformats.org/officeDocument/2006/relationships/hyperlink" Target="http://img.clumba.ru/mediaplan/TI/1/98.jpg" TargetMode="External" Id="rId389" /><Relationship Type="http://schemas.openxmlformats.org/officeDocument/2006/relationships/hyperlink" Target="http://www.clumba.ru/mediaplan/TC/afimoll_1-new.jpg" TargetMode="External" Id="rId390" /><Relationship Type="http://schemas.openxmlformats.org/officeDocument/2006/relationships/hyperlink" Target="http://www.clumba.ru/aizmedia/malls_photo_new/l153.jpg" TargetMode="External" Id="rId391" /><Relationship Type="http://schemas.openxmlformats.org/officeDocument/2006/relationships/hyperlink" Target="http://www.clumba.ru/aizmedia/malls_photo_new/XL.jpg" TargetMode="External" Id="rId392" /><Relationship Type="http://schemas.openxmlformats.org/officeDocument/2006/relationships/hyperlink" Target="http://www.clumba.ru/aizmedia/malls_photo_new/vesna_1.jpg" TargetMode="External" Id="rId393" /><Relationship Type="http://schemas.openxmlformats.org/officeDocument/2006/relationships/hyperlink" Target="http://www.clumba.ru/aizmedia/malls_photo_new/vesna_2.jpg" TargetMode="External" Id="rId394" /><Relationship Type="http://schemas.openxmlformats.org/officeDocument/2006/relationships/hyperlink" Target="http://www.clumba.ru/aizmedia/malls_photo_new/edelweys.jpg" TargetMode="External" Id="rId395" /><Relationship Type="http://schemas.openxmlformats.org/officeDocument/2006/relationships/hyperlink" Target="http://www.clumba.ru/mediaplan/TC/afimoll_2-new-1.jpg" TargetMode="External" Id="rId396" /><Relationship Type="http://schemas.openxmlformats.org/officeDocument/2006/relationships/hyperlink" Target="http://www.clumba.ru/mediaplan/TC/afimoll_3-new.jpg" TargetMode="External" Id="rId397" /><Relationship Type="http://schemas.openxmlformats.org/officeDocument/2006/relationships/hyperlink" Target="http://www.clumba.ru/mediaplan/TC/afimol_new2_4.pdf" TargetMode="External" Id="rId398" /><Relationship Type="http://schemas.openxmlformats.org/officeDocument/2006/relationships/hyperlink" Target="http://www.clumba.ru/mediaplan/TC/afimol_new2_5.pdf" TargetMode="External" Id="rId399" /><Relationship Type="http://schemas.openxmlformats.org/officeDocument/2006/relationships/hyperlink" Target="http://www.clumba.ru/aizmedia/malls_photo_new/kapitoliy_leningrad.jpg" TargetMode="External" Id="rId400" /><Relationship Type="http://schemas.openxmlformats.org/officeDocument/2006/relationships/hyperlink" Target="http://www.clumba.ru/mediaplan/TC/evropark_new.pdf" TargetMode="External" Id="rId401" /><Relationship Type="http://schemas.openxmlformats.org/officeDocument/2006/relationships/hyperlink" Target="http://www.clumba.ru/aizmedia/malls_photo_new/okhotniy_ryad_1.jpg" TargetMode="External" Id="rId402" /><Relationship Type="http://schemas.openxmlformats.org/officeDocument/2006/relationships/hyperlink" Target="http://www.clumba.ru/aizmedia/malls_photo_new/okhotniy_ryad_2.jpg" TargetMode="External" Id="rId403" /><Relationship Type="http://schemas.openxmlformats.org/officeDocument/2006/relationships/hyperlink" Target="http://www.clumba.ru/aizmedia/malls_photo_new/gorod_ryazanka_1.jpg" TargetMode="External" Id="rId404" /><Relationship Type="http://schemas.openxmlformats.org/officeDocument/2006/relationships/hyperlink" Target="http://www.clumba.ru/aizmedia/malls_photo_new/gorod_ryazanka_2.jpg" TargetMode="External" Id="rId405" /><Relationship Type="http://schemas.openxmlformats.org/officeDocument/2006/relationships/hyperlink" Target="http://www.clumba.ru/mediaplan/TC/gorod_lefortovo_1.jpg" TargetMode="External" Id="rId406" /><Relationship Type="http://schemas.openxmlformats.org/officeDocument/2006/relationships/hyperlink" Target="http://www.clumba.ru/mediaplan/TC/gorod_lefortovo_2.jpg" TargetMode="External" Id="rId407" /><Relationship Type="http://schemas.openxmlformats.org/officeDocument/2006/relationships/hyperlink" Target="http://www.clumba.ru/aizmedia/malls_photo_new/rechnoy_1.jpg" TargetMode="External" Id="rId408" /><Relationship Type="http://schemas.openxmlformats.org/officeDocument/2006/relationships/hyperlink" Target="http://www.clumba.ru/aizmedia/malls_photo_new/rechnoy_2.jpg" TargetMode="External" Id="rId409" /><Relationship Type="http://schemas.openxmlformats.org/officeDocument/2006/relationships/hyperlink" Target="http://www.clumba.ru/mediaplan/TC/kaluzskiy_1_new.output-1.jpg" TargetMode="External" Id="rId410" /><Relationship Type="http://schemas.openxmlformats.org/officeDocument/2006/relationships/hyperlink" Target="http://www.clumba.ru/mediaplan/TC/kaluzskiy_2_new%20(1)-1.jpg" TargetMode="External" Id="rId411" /><Relationship Type="http://schemas.openxmlformats.org/officeDocument/2006/relationships/hyperlink" Target="http://www.clumba.ru/aizmedia/malls_photo_new/schokolad_1.jpg" TargetMode="External" Id="rId412" /><Relationship Type="http://schemas.openxmlformats.org/officeDocument/2006/relationships/hyperlink" Target="http://www.clumba.ru/aizmedia/malls_photo_new/schokolad_2.jpg" TargetMode="External" Id="rId413" /><Relationship Type="http://schemas.openxmlformats.org/officeDocument/2006/relationships/hyperlink" Target="http://www.clumba.ru/aizmedia/malls_photo_new/chas_pik.jpg" TargetMode="External" Id="rId414" /><Relationship Type="http://schemas.openxmlformats.org/officeDocument/2006/relationships/hyperlink" Target="http://www.clumba.ru/aizmedia/malls_photo_new/nash_govorovo_1.jpg" TargetMode="External" Id="rId415" /><Relationship Type="http://schemas.openxmlformats.org/officeDocument/2006/relationships/hyperlink" Target="http://www.clumba.ru/aizmedia/malls_photo_new/nash_govorovo_2.jpg" TargetMode="External" Id="rId416" /><Relationship Type="http://schemas.openxmlformats.org/officeDocument/2006/relationships/hyperlink" Target="http://www.clumba.ru/aizmedia/malls_photo_new/nash_dmitr.jpg" TargetMode="External" Id="rId417" /><Relationship Type="http://schemas.openxmlformats.org/officeDocument/2006/relationships/hyperlink" Target="http://www.clumba.ru/aizmedia/malls_photo_new/oblaka.jpg" TargetMode="External" Id="rId418" /><Relationship Type="http://schemas.openxmlformats.org/officeDocument/2006/relationships/hyperlink" Target="http://www.clumba.ru/aizmedia/malls_photo_new/filion_1.jpg" TargetMode="External" Id="rId419" /><Relationship Type="http://schemas.openxmlformats.org/officeDocument/2006/relationships/hyperlink" Target="http://www.clumba.ru/aizmedia/malls_photo_new/filion_2.jpg" TargetMode="External" Id="rId420" /><Relationship Type="http://schemas.openxmlformats.org/officeDocument/2006/relationships/hyperlink" Target="http://www.clumba.ru/aizmedia/malls_photo_new/filion_3.jpg" TargetMode="External" Id="rId421" /><Relationship Type="http://schemas.openxmlformats.org/officeDocument/2006/relationships/hyperlink" Target="http://www.clumba.ru/aizmedia/malls_photo_new/weypark.jpg" TargetMode="External" Id="rId422" /><Relationship Type="http://schemas.openxmlformats.org/officeDocument/2006/relationships/hyperlink" Target="http://www.clumba.ru/aizmedia/malls_photo_new/gallerea_aeroport_1.jpg" TargetMode="External" Id="rId423" /><Relationship Type="http://schemas.openxmlformats.org/officeDocument/2006/relationships/hyperlink" Target="http://www.clumba.ru/aizmedia/malls_photo_new/gallerea_aeroport_2.jpg" TargetMode="External" Id="rId424" /><Relationship Type="http://schemas.openxmlformats.org/officeDocument/2006/relationships/hyperlink" Target="http://www.clumba.ru/aizmedia/malls_photo_new/dmd_1.jpg" TargetMode="External" Id="rId425" /><Relationship Type="http://schemas.openxmlformats.org/officeDocument/2006/relationships/hyperlink" Target="http://www.clumba.ru/aizmedia/malls_photo_new/dmd_2.jpg" TargetMode="External" Id="rId426" /><Relationship Type="http://schemas.openxmlformats.org/officeDocument/2006/relationships/hyperlink" Target="http://www.clumba.ru/aizmedia/malls_photo_new/erevan_plaza_1.jpg" TargetMode="External" Id="rId427" /><Relationship Type="http://schemas.openxmlformats.org/officeDocument/2006/relationships/hyperlink" Target="http://www.clumba.ru/aizmedia/malls_photo_new/erevan_plaza_2.jpg" TargetMode="External" Id="rId428" /><Relationship Type="http://schemas.openxmlformats.org/officeDocument/2006/relationships/hyperlink" Target="http://www.clumba.ru/aizmedia/malls_photo_new/kolomenskiy.jpg" TargetMode="External" Id="rId429" /><Relationship Type="http://schemas.openxmlformats.org/officeDocument/2006/relationships/hyperlink" Target="http://www.clumba.ru/aizmedia/malls_photo_new/moskvorechie_1.jpg" TargetMode="External" Id="rId430" /><Relationship Type="http://schemas.openxmlformats.org/officeDocument/2006/relationships/hyperlink" Target="http://www.clumba.ru/aizmedia/malls_photo_new/moskvorechie_2.jpg" TargetMode="External" Id="rId431" /><Relationship Type="http://schemas.openxmlformats.org/officeDocument/2006/relationships/hyperlink" Target="http://www.clumba.ru/aizmedia/malls_photo_new/prajskiy_grad.jpg" TargetMode="External" Id="rId432" /><Relationship Type="http://schemas.openxmlformats.org/officeDocument/2006/relationships/hyperlink" Target="http://www.clumba.ru/aizmedia/malls_photo_new/raykin_plaza_1.jpg" TargetMode="External" Id="rId433" /><Relationship Type="http://schemas.openxmlformats.org/officeDocument/2006/relationships/hyperlink" Target="http://www.clumba.ru/aizmedia/malls_photo_new/raykin_plaza_2.jpg" TargetMode="External" Id="rId434" /><Relationship Type="http://schemas.openxmlformats.org/officeDocument/2006/relationships/hyperlink" Target="http://www.clumba.ru/aizmedia/malls_photo_new/RIO_Sevastop.jpg" TargetMode="External" Id="rId435" /><Relationship Type="http://schemas.openxmlformats.org/officeDocument/2006/relationships/hyperlink" Target="http://www.clumba.ru/aizmedia/malls_photo_new/riteyl_park.jpg" TargetMode="External" Id="rId436" /><Relationship Type="http://schemas.openxmlformats.org/officeDocument/2006/relationships/hyperlink" Target="http://www.clumba.ru/aizmedia/malls_photo_new/troyka_1.jpg" TargetMode="External" Id="rId437" /><Relationship Type="http://schemas.openxmlformats.org/officeDocument/2006/relationships/hyperlink" Target="http://www.clumba.ru/aizmedia/malls_photo_new/troyka_2.jpg" TargetMode="External" Id="rId438" /><Relationship Type="http://schemas.openxmlformats.org/officeDocument/2006/relationships/hyperlink" Target="http://www.clumba.ru/aizmedia/malls_photo_new/tulskiy.jpg" TargetMode="External" Id="rId439" /><Relationship Type="http://schemas.openxmlformats.org/officeDocument/2006/relationships/hyperlink" Target="http://www.indoorgroup.ru/wp-content/uploads/BC-mediaplane/Gregory_Cars.jpg" TargetMode="External" Id="rId440" /><Relationship Type="http://schemas.openxmlformats.org/officeDocument/2006/relationships/hyperlink" Target="http://www.indoorgroup.ru/wp-content/uploads/BC-mediaplane/Senator_B_Morskaya_30-scaled.jpg" TargetMode="External" Id="rId441" /><Relationship Type="http://schemas.openxmlformats.org/officeDocument/2006/relationships/hyperlink" Target="http://img.clumba.ru/mediaplan/TI/1/Senator_Tkachi.jpg" TargetMode="External" Id="rId442" /><Relationship Type="http://schemas.openxmlformats.org/officeDocument/2006/relationships/hyperlink" Target="http://www.indoorgroup.ru/wp-content/uploads/BC-mediaplane/citycentre.jpg" TargetMode="External" Id="rId443" /><Relationship Type="http://schemas.openxmlformats.org/officeDocument/2006/relationships/hyperlink" Target="http://www.indoorgroup.ru/wp-content/uploads/BC-mediaplane/Business-Box-scaled.jpg" TargetMode="External" Id="rId444" /><Relationship Type="http://schemas.openxmlformats.org/officeDocument/2006/relationships/hyperlink" Target="http://www.indoorgroup.ru/wp-content/uploads/Premium/Senator_6_Krasnoarmeiskaya_Pr.jpg" TargetMode="External" Id="rId445" /><Relationship Type="http://schemas.openxmlformats.org/officeDocument/2006/relationships/hyperlink" Target="https://img.clumba.ru/BC/BarklayPark.jpg" TargetMode="External" Id="rId446" /><Relationship Type="http://schemas.openxmlformats.org/officeDocument/2006/relationships/hyperlink" Target="https://img.clumba.ru/BC/Kalanchevskaya_Plaza.jpg" TargetMode="External" Id="rId447" /><Relationship Type="http://schemas.openxmlformats.org/officeDocument/2006/relationships/hyperlink" Target="https://img.clumba.ru/BC/Omega2_all.jpeg" TargetMode="External" Id="rId448" /><Relationship Type="http://schemas.openxmlformats.org/officeDocument/2006/relationships/hyperlink" Target="https://img.clumba.ru/BC/SimonovPlaza.jpg" TargetMode="External" Id="rId449" /><Relationship Type="http://schemas.openxmlformats.org/officeDocument/2006/relationships/hyperlink" Target="https://img.clumba.ru/BC/Slobodskoy.jpg" TargetMode="External" Id="rId450" /><Relationship Type="http://schemas.openxmlformats.org/officeDocument/2006/relationships/hyperlink" Target="http://img.clumba.ru/mediaplan/TI/1/Benua_s.jpg" TargetMode="External" Id="rId451" /><Relationship Type="http://schemas.openxmlformats.org/officeDocument/2006/relationships/hyperlink" Target="http://img.clumba.ru/mediaplan/TI/1/Zima_s.jpg" TargetMode="External" Id="rId452" /><Relationship Type="http://schemas.openxmlformats.org/officeDocument/2006/relationships/hyperlink" Target="http://img.clumba.ru/mediaplan/TI/1/Langenzipen_s.jpg" TargetMode="External" Id="rId453" /><Relationship Type="http://schemas.openxmlformats.org/officeDocument/2006/relationships/hyperlink" Target="http://img.clumba.ru/mediaplan/TI/1/Leto_s.jpg" TargetMode="External" Id="rId454" /><Relationship Type="http://schemas.openxmlformats.org/officeDocument/2006/relationships/hyperlink" Target="http://img.clumba.ru/mediaplan/TI/1/Onukhov_s.jpg" TargetMode="External" Id="rId455" /><Relationship Type="http://schemas.openxmlformats.org/officeDocument/2006/relationships/hyperlink" Target="http://img.clumba.ru/mediaplan/TI/1/Osen_s.jpg" TargetMode="External" Id="rId456" /><Relationship Type="http://schemas.openxmlformats.org/officeDocument/2006/relationships/hyperlink" Target="http://img.clumba.ru/mediaplan/TI/1/T-4_s.jpg" TargetMode="External" Id="rId457" /><Relationship Type="http://schemas.openxmlformats.org/officeDocument/2006/relationships/hyperlink" Target="http://img.clumba.ru/mediaplan/TI/1/Evrika_s.jpg" TargetMode="External" Id="rId458" /><Relationship Type="http://schemas.openxmlformats.org/officeDocument/2006/relationships/hyperlink" Target="https://img.clumba.ru/BC/RTS_Semenovskiy.jpg" TargetMode="External" Id="rId459" /><Relationship Type="http://schemas.openxmlformats.org/officeDocument/2006/relationships/hyperlink" Target="https://img.clumba.ru/BC/SilverHouse_all.jpg" TargetMode="External" Id="rId460" /><Relationship Type="http://schemas.openxmlformats.org/officeDocument/2006/relationships/hyperlink" Target="https://img.clumba.ru/BC/Izmailovsky_all_.jpg" TargetMode="External" Id="rId461" /><Relationship Type="http://schemas.openxmlformats.org/officeDocument/2006/relationships/hyperlink" Target="https://img.clumba.ru/BC/UdaltsovaPlaza_all.jpg" TargetMode="External" Id="rId462" /><Relationship Type="http://schemas.openxmlformats.org/officeDocument/2006/relationships/hyperlink" Target="https://img.clumba.ru/BC/BarclayPlaza_all.jpg" TargetMode="External" Id="rId463" /><Relationship Type="http://schemas.openxmlformats.org/officeDocument/2006/relationships/hyperlink" Target="https://img.clumba.ru/BC/AvilonPlaza_all.jpg" TargetMode="External" Id="rId464" /><Relationship Type="http://schemas.openxmlformats.org/officeDocument/2006/relationships/hyperlink" Target="https://img.clumba.ru/BC/Magistral_plaza.jpg" TargetMode="External" Id="rId465" /><Relationship Type="http://schemas.openxmlformats.org/officeDocument/2006/relationships/hyperlink" Target="https://img.clumba.ru/BC/Victorypark.jpg" TargetMode="External" Id="rId466" /><Relationship Type="http://schemas.openxmlformats.org/officeDocument/2006/relationships/hyperlink" Target="https://img.clumba.ru/BC/Westplaza.jpg" TargetMode="External" Id="rId467" /><Relationship Type="http://schemas.openxmlformats.org/officeDocument/2006/relationships/hyperlink" Target="https://img.clumba.ru/BC/west_plaza_1.jpg" TargetMode="External" Id="rId468" /><Relationship Type="http://schemas.openxmlformats.org/officeDocument/2006/relationships/hyperlink" Target="https://img.clumba.ru/BC/west_plaza_2.jpg" TargetMode="External" Id="rId469" /><Relationship Type="http://schemas.openxmlformats.org/officeDocument/2006/relationships/hyperlink" Target="https://img.clumba.ru/BC/z-plaza.jpg" TargetMode="External" Id="rId470" /><Relationship Type="http://schemas.openxmlformats.org/officeDocument/2006/relationships/hyperlink" Target="https://img.clumba.ru/BC/Line_park.jpg" TargetMode="External" Id="rId471" /><Relationship Type="http://schemas.openxmlformats.org/officeDocument/2006/relationships/hyperlink" Target="https://img.clumba.ru/BC/west_east_2.jpg" TargetMode="External" Id="rId472" /><Relationship Type="http://schemas.openxmlformats.org/officeDocument/2006/relationships/hyperlink" Target="https://img.clumba.ru/BC/SSSR_Volkovskoe.jpg" TargetMode="External" Id="rId473" /><Relationship Type="http://schemas.openxmlformats.org/officeDocument/2006/relationships/hyperlink" Target="https://img.clumba.ru/BC/Palmira.jpg" TargetMode="External" Id="rId474" /><Relationship Type="http://schemas.openxmlformats.org/officeDocument/2006/relationships/hyperlink" Target="https://img.clumba.ru/BC/Park_mira.jpg" TargetMode="External" Id="rId475" /><Relationship Type="http://schemas.openxmlformats.org/officeDocument/2006/relationships/hyperlink" Target="https://img.clumba.ru/BC/west_east_2.jpg" TargetMode="External" Id="rId476" /><Relationship Type="http://schemas.openxmlformats.org/officeDocument/2006/relationships/hyperlink" Target="https://img.clumba.ru/BC/Senator-BM-22-24.jpg" TargetMode="External" Id="rId477" /><Relationship Type="http://schemas.openxmlformats.org/officeDocument/2006/relationships/hyperlink" Target="https://www.indoorgroup.ru/wp-content/uploads/BC-mediaplane/TV-Polis-led-scaled.jpg" TargetMode="External" Id="rId478" /><Relationship Type="http://schemas.openxmlformats.org/officeDocument/2006/relationships/hyperlink" Target="https://indoorgroup.ru/upload/foto/Ferrum_lift.jpg" TargetMode="External" Id="rId479" /><Relationship Type="http://schemas.openxmlformats.org/officeDocument/2006/relationships/hyperlink" Target="http://img.clumba.ru/mediaplan/TI/1/Senator_Tkachi.jpg" TargetMode="External" Id="rId480" /><Relationship Type="http://schemas.openxmlformats.org/officeDocument/2006/relationships/hyperlink" Target="https://img.clumba.ru/WCL/SSSR_VIdnoe.jpeg" TargetMode="External" Id="rId481" /><Relationship Type="http://schemas.openxmlformats.org/officeDocument/2006/relationships/hyperlink" Target="http://img.clumba.ru/mediaplan/TI/1/130.jpg" TargetMode="External" Id="rId482" /><Relationship Type="http://schemas.openxmlformats.org/officeDocument/2006/relationships/hyperlink" Target="https://indoorgroup.ru/upload/Millionnaya5.jpg" TargetMode="External" Id="rId483" /><Relationship Type="http://schemas.openxmlformats.org/officeDocument/2006/relationships/hyperlink" Target="https://indoorgroup.ru/upload/Millionnaya6.jpg" TargetMode="External" Id="rId484" /><Relationship Type="http://schemas.openxmlformats.org/officeDocument/2006/relationships/hyperlink" Target="http://www.clumba.ru/mediaplan/TC/afimol_new2_5.pdf" TargetMode="External" Id="rId485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hyperlink" Target="https://yadi.sk/i/5oxp5bHC7n3xig" TargetMode="External" Id="rId1" /><Relationship Type="http://schemas.openxmlformats.org/officeDocument/2006/relationships/hyperlink" Target="https://www.youtube.com/channel/UCfnfHWvr9JH7SO5RwaJcnPA/feed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google.com/maps/d/edit?mid=1qZdrSQ-983-idR6F_Q_59JLcNTSogusT&amp;usp=sharing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google.com/maps/d/u/0/viewer?mid=1p-oh9gcbPgDD4ydYuAcHc5N8OzuMUcrE&amp;ll=52.95040983734168%2C55.487263296150196&amp;z=3" TargetMode="External" Id="rId1" /><Relationship Type="http://schemas.openxmlformats.org/officeDocument/2006/relationships/hyperlink" Target="http://www.logicmedia.ru/foto/AZS3.jpg" TargetMode="Externa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http://www.clumba.ru/mediaplan/TC/afimoll_1-new.jpg" TargetMode="External" Id="rId1" /><Relationship Type="http://schemas.openxmlformats.org/officeDocument/2006/relationships/hyperlink" Target="http://www.clumba.ru/mediaplan/TC/afimoll_2-new-1.jpg" TargetMode="External" Id="rId2" /><Relationship Type="http://schemas.openxmlformats.org/officeDocument/2006/relationships/hyperlink" Target="https://img.clumba.ru/BC/face/RiverPlace_F.jpg" TargetMode="External" Id="rId3" /><Relationship Type="http://schemas.openxmlformats.org/officeDocument/2006/relationships/hyperlink" Target="https://img.clumba.ru/BC/face/RiverPlace_F.jpg" TargetMode="External" Id="rId4" /><Relationship Type="http://schemas.openxmlformats.org/officeDocument/2006/relationships/hyperlink" Target="https://img.clumba.ru/BC/face/Butirskiy_F.jpg" TargetMode="External" Id="rId5" /></Relationships>
</file>

<file path=xl/worksheets/sheet1.xml><?xml version="1.0" encoding="utf-8"?>
<worksheet xmlns="http://schemas.openxmlformats.org/spreadsheetml/2006/main">
  <sheetPr codeName="Лист8">
    <outlinePr summaryBelow="1" summaryRight="1"/>
    <pageSetUpPr/>
  </sheetPr>
  <dimension ref="B2:EP38"/>
  <sheetViews>
    <sheetView zoomScale="90" zoomScaleNormal="90" workbookViewId="0">
      <selection activeCell="D3" sqref="D3"/>
    </sheetView>
  </sheetViews>
  <sheetFormatPr baseColWidth="8" defaultColWidth="9.21875" defaultRowHeight="14.4"/>
  <cols>
    <col width="4.5546875" customWidth="1" style="173" min="1" max="2"/>
    <col width="22.77734375" customWidth="1" style="173" min="3" max="3"/>
    <col width="19.77734375" customWidth="1" style="173" min="4" max="4"/>
    <col width="22.21875" customWidth="1" style="173" min="5" max="5"/>
    <col width="12.77734375" customWidth="1" style="173" min="6" max="6"/>
    <col width="15.21875" customWidth="1" style="173" min="7" max="7"/>
    <col width="11.77734375" customWidth="1" style="173" min="8" max="8"/>
    <col width="18.21875" customWidth="1" style="173" min="9" max="9"/>
    <col width="17.77734375" customWidth="1" style="173" min="10" max="10"/>
    <col width="16.21875" customWidth="1" style="173" min="11" max="11"/>
    <col width="18" customWidth="1" style="173" min="12" max="12"/>
    <col width="9.21875" customWidth="1" style="173" min="13" max="16384"/>
  </cols>
  <sheetData>
    <row r="1" ht="40.5" customHeight="1"/>
    <row r="2" ht="25.5" customHeight="1" thickBot="1">
      <c r="B2" s="174" t="inlineStr">
        <is>
          <t xml:space="preserve">Общий медиаплан </t>
        </is>
      </c>
      <c r="C2" s="175" t="n"/>
      <c r="D2" s="175" t="n"/>
      <c r="E2" s="852" t="n"/>
      <c r="F2" s="853" t="n"/>
      <c r="G2" s="853" t="n"/>
    </row>
    <row r="3">
      <c r="B3" s="719" t="inlineStr">
        <is>
          <t>Клиент:</t>
        </is>
      </c>
      <c r="C3" s="854" t="n"/>
      <c r="D3" s="430" t="n"/>
      <c r="E3" s="428" t="n"/>
      <c r="F3" s="724" t="inlineStr">
        <is>
          <t>Всего экранов:</t>
        </is>
      </c>
      <c r="G3" s="99">
        <f>D32</f>
        <v/>
      </c>
    </row>
    <row r="4">
      <c r="B4" s="721" t="inlineStr">
        <is>
          <t>Бренд:</t>
        </is>
      </c>
      <c r="C4" s="855" t="n"/>
      <c r="D4" s="431" t="n"/>
      <c r="E4" s="197" t="n"/>
      <c r="F4" s="698" t="inlineStr">
        <is>
          <t>Кол-во дней размещения:</t>
        </is>
      </c>
      <c r="G4" s="101">
        <f>D6-D5+1</f>
        <v/>
      </c>
    </row>
    <row r="5">
      <c r="B5" s="714" t="inlineStr">
        <is>
          <t>Начало РК:</t>
        </is>
      </c>
      <c r="C5" s="855" t="n"/>
      <c r="D5" s="206" t="n">
        <v>45689</v>
      </c>
      <c r="E5" s="197" t="n"/>
      <c r="F5" s="698" t="inlineStr">
        <is>
          <t>Показов всего за период:</t>
        </is>
      </c>
      <c r="G5" s="103">
        <f>АЗС!L12+'Азбука вкуса'!K12+Фитнес!K12+БЦ!K12+ТРЦ!K12+Автодор!K12+MetroCC!I14</f>
        <v/>
      </c>
    </row>
    <row r="6">
      <c r="B6" s="714" t="inlineStr">
        <is>
          <t>Окончание РК:</t>
        </is>
      </c>
      <c r="C6" s="855" t="n"/>
      <c r="D6" s="206" t="n">
        <v>45716</v>
      </c>
      <c r="E6" s="666" t="inlineStr">
        <is>
          <t>OTS:</t>
        </is>
      </c>
      <c r="F6" s="856" t="n"/>
      <c r="G6" s="857">
        <f>АЗС!L13+'Азбука вкуса'!K13+Фитнес!K13+БЦ!K13+ТРЦ!K13+Автодор!K13+MetroCC!I13</f>
        <v/>
      </c>
    </row>
    <row r="7" ht="15" customHeight="1" thickBot="1">
      <c r="B7" s="714" t="inlineStr">
        <is>
          <t>Ролик1, сек:</t>
        </is>
      </c>
      <c r="C7" s="855" t="n"/>
      <c r="D7" s="432" t="n">
        <v>15</v>
      </c>
      <c r="E7" s="672" t="inlineStr">
        <is>
          <t>CPT:</t>
        </is>
      </c>
      <c r="F7" s="858" t="n"/>
      <c r="G7" s="427">
        <f>(D16-I29)/G6*1000</f>
        <v/>
      </c>
    </row>
    <row r="8">
      <c r="B8" s="714" t="inlineStr">
        <is>
          <t>Ролик2, сек:</t>
        </is>
      </c>
      <c r="C8" s="855" t="n"/>
      <c r="D8" s="432" t="n"/>
      <c r="E8" s="429" t="n"/>
      <c r="F8" s="710" t="inlineStr">
        <is>
          <t>Предоставление ролика до:</t>
        </is>
      </c>
      <c r="G8" s="104">
        <f>D5-3</f>
        <v/>
      </c>
    </row>
    <row r="9" ht="15" customHeight="1" thickBot="1">
      <c r="B9" s="714" t="inlineStr">
        <is>
          <t>Карта охвата (ALL):</t>
        </is>
      </c>
      <c r="C9" s="855" t="n"/>
      <c r="D9" s="433" t="inlineStr">
        <is>
          <t>ССЫЛКА = &gt;</t>
        </is>
      </c>
      <c r="E9" s="671" t="inlineStr">
        <is>
          <t>Оплата до:</t>
        </is>
      </c>
      <c r="F9" s="858" t="n"/>
      <c r="G9" s="105">
        <f>D5-5</f>
        <v/>
      </c>
    </row>
    <row r="10">
      <c r="B10" s="687" t="inlineStr">
        <is>
          <t>Применяемые скидки (последовательно)</t>
        </is>
      </c>
      <c r="C10" s="859" t="n"/>
      <c r="D10" s="856" t="n"/>
      <c r="E10" s="676" t="n"/>
      <c r="F10" s="860" t="n"/>
      <c r="G10" s="426" t="n"/>
    </row>
    <row r="11">
      <c r="B11" s="685" t="inlineStr">
        <is>
          <t>За кол-во (средн):</t>
        </is>
      </c>
      <c r="C11" s="856" t="n"/>
      <c r="D11" s="118">
        <f>(E22*F22+E23*F23+E24*F24+E25*F25+E26*F26+E27*F27+E29*F29)/E32</f>
        <v/>
      </c>
      <c r="E11" s="110" t="n"/>
      <c r="F11" s="425" t="n"/>
      <c r="G11" s="426" t="n"/>
    </row>
    <row r="12">
      <c r="B12" s="685" t="inlineStr">
        <is>
          <t>За период:</t>
        </is>
      </c>
      <c r="C12" s="856" t="n"/>
      <c r="D12" s="118">
        <f>SUBTOTAL(1,G22:G29)</f>
        <v/>
      </c>
    </row>
    <row r="13">
      <c r="B13" s="861" t="n"/>
      <c r="C13" s="856" t="n"/>
      <c r="D13" s="118" t="n"/>
    </row>
    <row r="14">
      <c r="B14" s="861" t="n"/>
      <c r="C14" s="856" t="n"/>
      <c r="D14" s="118" t="n"/>
    </row>
    <row r="15">
      <c r="B15" s="680" t="inlineStr">
        <is>
          <t>Стоимость размещения</t>
        </is>
      </c>
      <c r="C15" s="859" t="n"/>
      <c r="D15" s="856" t="n"/>
      <c r="E15" s="667" t="n"/>
      <c r="F15" s="15" t="n"/>
      <c r="G15" s="15" t="n"/>
    </row>
    <row r="16" ht="15.75" customHeight="1">
      <c r="B16" s="695" t="inlineStr">
        <is>
          <t>Всего, руб. NET:</t>
        </is>
      </c>
      <c r="C16" s="856" t="n"/>
      <c r="D16" s="862">
        <f>I32</f>
        <v/>
      </c>
      <c r="CM16" t="inlineStr">
        <is>
          <t>20%</t>
        </is>
      </c>
      <c r="EP16" t="inlineStr">
        <is>
          <t>20%</t>
        </is>
      </c>
    </row>
    <row r="17" ht="15" customHeight="1" thickBot="1">
      <c r="B17" s="713" t="inlineStr">
        <is>
          <t>Всего, руб. GROSS:</t>
        </is>
      </c>
      <c r="C17" s="858" t="n"/>
      <c r="D17" s="863">
        <f>J32</f>
        <v/>
      </c>
      <c r="CM17" t="inlineStr">
        <is>
          <t>20%</t>
        </is>
      </c>
      <c r="EP17" t="inlineStr">
        <is>
          <t>20%</t>
        </is>
      </c>
    </row>
    <row r="18">
      <c r="B18" s="178" t="n"/>
      <c r="C18" s="179" t="n"/>
      <c r="D18" s="180" t="n"/>
      <c r="E18" s="864" t="n"/>
      <c r="F18" s="865" t="n"/>
      <c r="G18" s="865" t="n"/>
      <c r="CM18" t="inlineStr">
        <is>
          <t>20%</t>
        </is>
      </c>
      <c r="EP18" t="inlineStr">
        <is>
          <t>20%</t>
        </is>
      </c>
    </row>
    <row r="19">
      <c r="B19" s="184" t="inlineStr">
        <is>
          <t>Расчет стоимости кампании</t>
        </is>
      </c>
      <c r="C19" s="179" t="n"/>
      <c r="D19" s="180" t="n"/>
      <c r="E19" s="864" t="n"/>
      <c r="F19" s="865" t="n"/>
      <c r="G19" s="865" t="n"/>
      <c r="CM19" t="inlineStr">
        <is>
          <t>20%</t>
        </is>
      </c>
      <c r="EP19" t="inlineStr">
        <is>
          <t>20%</t>
        </is>
      </c>
    </row>
    <row r="20" ht="9" customFormat="1" customHeight="1" s="183" thickBot="1">
      <c r="C20" s="185" t="n"/>
      <c r="D20" s="186" t="n"/>
      <c r="E20" s="866" t="n"/>
      <c r="F20" s="867" t="n"/>
      <c r="G20" s="867" t="n"/>
      <c r="CM20" t="inlineStr">
        <is>
          <t>20%</t>
        </is>
      </c>
      <c r="EP20" t="inlineStr">
        <is>
          <t>20%</t>
        </is>
      </c>
    </row>
    <row r="21" ht="55.05" customFormat="1" customHeight="1" s="183" thickBot="1">
      <c r="B21" s="106" t="inlineStr">
        <is>
          <t>№</t>
        </is>
      </c>
      <c r="C21" s="107" t="inlineStr">
        <is>
          <t>Площадки</t>
        </is>
      </c>
      <c r="D21" s="108" t="inlineStr">
        <is>
          <t>Количество</t>
        </is>
      </c>
      <c r="E21" s="107" t="inlineStr">
        <is>
          <t>Стоимость размещения по выбранной АП за период, без НДС</t>
        </is>
      </c>
      <c r="F21" s="108" t="inlineStr">
        <is>
          <t>Скидка за кол-во</t>
        </is>
      </c>
      <c r="G21" s="107" t="inlineStr">
        <is>
          <t>Скидка за период</t>
        </is>
      </c>
      <c r="H21" s="108" t="inlineStr">
        <is>
          <t>Итоговая скидка</t>
        </is>
      </c>
      <c r="I21" s="107" t="inlineStr">
        <is>
          <t xml:space="preserve"> Стоимость c учетом всех скидок, без НДС</t>
        </is>
      </c>
      <c r="J21" s="108" t="inlineStr">
        <is>
          <t xml:space="preserve"> Стоимость c учетом всех скидок, вкл. НДС</t>
        </is>
      </c>
      <c r="K21" s="107" t="inlineStr">
        <is>
          <t>Сумма НДС (20%)</t>
        </is>
      </c>
      <c r="L21" s="109" t="inlineStr">
        <is>
          <t>Фото</t>
        </is>
      </c>
      <c r="CM21" t="inlineStr">
        <is>
          <t>20%</t>
        </is>
      </c>
      <c r="EP21" t="inlineStr">
        <is>
          <t>20%</t>
        </is>
      </c>
    </row>
    <row r="22" ht="16.05" customFormat="1" customHeight="1" s="183">
      <c r="B22" s="456" t="n">
        <v>1</v>
      </c>
      <c r="C22" s="457" t="inlineStr">
        <is>
          <t>АЗС</t>
        </is>
      </c>
      <c r="D22" s="450">
        <f>АЗС!D88</f>
        <v/>
      </c>
      <c r="E22" s="868">
        <f>АЗС!F88</f>
        <v/>
      </c>
      <c r="F22" s="124">
        <f>АЗС!D11</f>
        <v/>
      </c>
      <c r="G22" s="124">
        <f>АЗС!D12</f>
        <v/>
      </c>
      <c r="H22" s="458">
        <f>SUBTOTAL(1,АЗС!J22:J85)</f>
        <v/>
      </c>
      <c r="I22" s="869">
        <f>АЗС!K88</f>
        <v/>
      </c>
      <c r="J22" s="869">
        <f>АЗС!L88</f>
        <v/>
      </c>
      <c r="K22" s="869">
        <f>АЗС!M88</f>
        <v/>
      </c>
      <c r="L22" s="460" t="inlineStr">
        <is>
          <t>фото АЗС</t>
        </is>
      </c>
      <c r="CM22" t="inlineStr">
        <is>
          <t>20%</t>
        </is>
      </c>
      <c r="EP22" t="inlineStr">
        <is>
          <t>20%</t>
        </is>
      </c>
    </row>
    <row r="23" ht="16.5" customFormat="1" customHeight="1" s="183">
      <c r="B23" s="191" t="n">
        <v>2</v>
      </c>
      <c r="C23" s="384" t="inlineStr">
        <is>
          <t>Азбука Вкуса</t>
        </is>
      </c>
      <c r="D23" s="170">
        <f>'Азбука вкуса'!D26</f>
        <v/>
      </c>
      <c r="E23" s="870">
        <f>'Азбука вкуса'!F26</f>
        <v/>
      </c>
      <c r="F23" s="157">
        <f>'Азбука вкуса'!D11</f>
        <v/>
      </c>
      <c r="G23" s="157">
        <f>'Азбука вкуса'!D12</f>
        <v/>
      </c>
      <c r="H23" s="171">
        <f>SUBTOTAL(1,'Азбука вкуса'!I22:I24)</f>
        <v/>
      </c>
      <c r="I23" s="871">
        <f>'Азбука вкуса'!J26</f>
        <v/>
      </c>
      <c r="J23" s="871">
        <f>'Азбука вкуса'!K26</f>
        <v/>
      </c>
      <c r="K23" s="871">
        <f>'Азбука вкуса'!L26</f>
        <v/>
      </c>
      <c r="L23" s="196" t="inlineStr">
        <is>
          <t>фото Азбука вкуса</t>
        </is>
      </c>
      <c r="CM23" t="inlineStr">
        <is>
          <t>20%</t>
        </is>
      </c>
      <c r="EP23" t="inlineStr">
        <is>
          <t>20%</t>
        </is>
      </c>
    </row>
    <row r="24" ht="16.5" customFormat="1" customHeight="1" s="183">
      <c r="B24" s="191" t="n">
        <v>3</v>
      </c>
      <c r="C24" s="272" t="inlineStr">
        <is>
          <t>Metro C&amp;C</t>
        </is>
      </c>
      <c r="D24" s="170">
        <f>MetroCC!I4</f>
        <v/>
      </c>
      <c r="E24" s="870">
        <f>MetroCC!F40</f>
        <v/>
      </c>
      <c r="F24" s="157">
        <f>MetroCC!D10</f>
        <v/>
      </c>
      <c r="G24" s="157">
        <f>MetroCC!D11</f>
        <v/>
      </c>
      <c r="H24" s="171">
        <f>MetroCC!D14</f>
        <v/>
      </c>
      <c r="I24" s="871">
        <f>MetroCC!D16</f>
        <v/>
      </c>
      <c r="J24" s="871">
        <f>MetroCC!D17</f>
        <v/>
      </c>
      <c r="K24" s="871">
        <f>MetroCC!I40</f>
        <v/>
      </c>
      <c r="L24" s="461" t="n"/>
      <c r="CM24" t="inlineStr">
        <is>
          <t>20%</t>
        </is>
      </c>
      <c r="EP24" t="inlineStr">
        <is>
          <t>20%</t>
        </is>
      </c>
    </row>
    <row r="25" ht="16.05" customFormat="1" customHeight="1" s="183">
      <c r="B25" s="189" t="n">
        <v>4</v>
      </c>
      <c r="C25" s="385" t="inlineStr">
        <is>
          <t>Фитнес центры</t>
        </is>
      </c>
      <c r="D25" s="266">
        <f>Фитнес!D38</f>
        <v/>
      </c>
      <c r="E25" s="872">
        <f>Фитнес!F38</f>
        <v/>
      </c>
      <c r="F25" s="268">
        <f>Фитнес!D11</f>
        <v/>
      </c>
      <c r="G25" s="268">
        <f>Фитнес!D12</f>
        <v/>
      </c>
      <c r="H25" s="269">
        <f>SUBTOTAL(1,Фитнес!I22:I36)</f>
        <v/>
      </c>
      <c r="I25" s="873">
        <f>Фитнес!J38</f>
        <v/>
      </c>
      <c r="J25" s="873">
        <f>Фитнес!K38</f>
        <v/>
      </c>
      <c r="K25" s="873">
        <f>Фитнес!L38</f>
        <v/>
      </c>
      <c r="L25" s="271" t="n"/>
      <c r="CM25" t="inlineStr">
        <is>
          <t>20%</t>
        </is>
      </c>
      <c r="EP25" t="inlineStr">
        <is>
          <t>20%</t>
        </is>
      </c>
    </row>
    <row r="26" ht="16.05" customFormat="1" customHeight="1" s="183">
      <c r="B26" s="191" t="n">
        <v>5</v>
      </c>
      <c r="C26" s="272" t="inlineStr">
        <is>
          <t>БЦ</t>
        </is>
      </c>
      <c r="D26" s="170">
        <f>БЦ!D25</f>
        <v/>
      </c>
      <c r="E26" s="870">
        <f>БЦ!F25</f>
        <v/>
      </c>
      <c r="F26" s="157">
        <f>БЦ!D11</f>
        <v/>
      </c>
      <c r="G26" s="157">
        <f>БЦ!D12</f>
        <v/>
      </c>
      <c r="H26" s="171">
        <f>SUBTOTAL(1,БЦ!I22:I23)</f>
        <v/>
      </c>
      <c r="I26" s="871">
        <f>БЦ!J25</f>
        <v/>
      </c>
      <c r="J26" s="871">
        <f>БЦ!K25</f>
        <v/>
      </c>
      <c r="K26" s="871">
        <f>БЦ!L25</f>
        <v/>
      </c>
      <c r="L26" s="461" t="n"/>
      <c r="CM26" t="inlineStr">
        <is>
          <t>20%</t>
        </is>
      </c>
      <c r="EP26" t="inlineStr">
        <is>
          <t>20%</t>
        </is>
      </c>
    </row>
    <row r="27" ht="16.05" customFormat="1" customHeight="1" s="183">
      <c r="B27" s="191" t="n">
        <v>6</v>
      </c>
      <c r="C27" s="272" t="inlineStr">
        <is>
          <t>ТРЦ</t>
        </is>
      </c>
      <c r="D27" s="170">
        <f>ТРЦ!K3</f>
        <v/>
      </c>
      <c r="E27" s="870">
        <f>ТРЦ!F28</f>
        <v/>
      </c>
      <c r="F27" s="157">
        <f>ТРЦ!D11</f>
        <v/>
      </c>
      <c r="G27" s="157">
        <f>ТРЦ!D12</f>
        <v/>
      </c>
      <c r="H27" s="171">
        <f>SUBTOTAL(1,ТРЦ!I24:I26)</f>
        <v/>
      </c>
      <c r="I27" s="871">
        <f>ТРЦ!D16</f>
        <v/>
      </c>
      <c r="J27" s="871">
        <f>ТРЦ!D17</f>
        <v/>
      </c>
      <c r="K27" s="871">
        <f>ТРЦ!L28</f>
        <v/>
      </c>
      <c r="L27" s="461" t="n"/>
      <c r="CM27" t="inlineStr">
        <is>
          <t>20%</t>
        </is>
      </c>
      <c r="EP27" t="inlineStr">
        <is>
          <t>20%</t>
        </is>
      </c>
    </row>
    <row r="28" ht="16.05" customFormat="1" customHeight="1" s="183">
      <c r="B28" s="191" t="n">
        <v>7</v>
      </c>
      <c r="C28" s="272" t="inlineStr">
        <is>
          <t>Афимолл Центр. атриум</t>
        </is>
      </c>
      <c r="D28" s="170">
        <f>'Афимолл - Цетральный атриум'!J3</f>
        <v/>
      </c>
      <c r="E28" s="870">
        <f>'Афимолл - Цетральный атриум'!F22</f>
        <v/>
      </c>
      <c r="F28" s="157" t="n">
        <v>0</v>
      </c>
      <c r="G28" s="157" t="n">
        <v>0</v>
      </c>
      <c r="H28" s="171">
        <f>'Афимолл - Цетральный атриум'!G22</f>
        <v/>
      </c>
      <c r="I28" s="871">
        <f>'Афимолл - Цетральный атриум'!H22</f>
        <v/>
      </c>
      <c r="J28" s="871">
        <f>'Афимолл - Цетральный атриум'!I22</f>
        <v/>
      </c>
      <c r="K28" s="871">
        <f>'Афимолл - Цетральный атриум'!J22</f>
        <v/>
      </c>
      <c r="L28" s="461" t="n"/>
      <c r="CM28" t="inlineStr">
        <is>
          <t>20%</t>
        </is>
      </c>
      <c r="EP28" t="inlineStr">
        <is>
          <t>20%</t>
        </is>
      </c>
    </row>
    <row r="29" ht="16.05" customFormat="1" customHeight="1" s="183">
      <c r="B29" s="191" t="n">
        <v>8</v>
      </c>
      <c r="C29" s="272" t="inlineStr">
        <is>
          <t>Wifi аналитика</t>
        </is>
      </c>
      <c r="D29" s="170">
        <f>'Wi-Fi'!D36</f>
        <v/>
      </c>
      <c r="E29" s="870">
        <f>'Wi-Fi'!E36</f>
        <v/>
      </c>
      <c r="F29" s="157">
        <f>'Wi-Fi'!D11</f>
        <v/>
      </c>
      <c r="G29" s="157">
        <f>'Wi-Fi'!D12</f>
        <v/>
      </c>
      <c r="H29" s="171">
        <f>SUBTOTAL(1,'Wi-Fi'!H22:H34)</f>
        <v/>
      </c>
      <c r="I29" s="871">
        <f>'Wi-Fi'!D16</f>
        <v/>
      </c>
      <c r="J29" s="871">
        <f>'Wi-Fi'!D17</f>
        <v/>
      </c>
      <c r="K29" s="871">
        <f>'Wi-Fi'!K36</f>
        <v/>
      </c>
      <c r="L29" s="461" t="n"/>
      <c r="CM29" t="inlineStr">
        <is>
          <t>20%</t>
        </is>
      </c>
      <c r="EP29" t="inlineStr">
        <is>
          <t>20%</t>
        </is>
      </c>
    </row>
    <row r="30" ht="16.05" customFormat="1" customHeight="1" s="183" thickBot="1">
      <c r="B30" s="462" t="n">
        <v>9</v>
      </c>
      <c r="C30" s="463" t="inlineStr">
        <is>
          <t>Радио</t>
        </is>
      </c>
      <c r="D30" s="394">
        <f>Радио!D25</f>
        <v/>
      </c>
      <c r="E30" s="874">
        <f>Радио!F25</f>
        <v/>
      </c>
      <c r="F30" s="453">
        <f>Радио!D11</f>
        <v/>
      </c>
      <c r="G30" s="453" t="n">
        <v>0</v>
      </c>
      <c r="H30" s="453">
        <f>Радио!D11</f>
        <v/>
      </c>
      <c r="I30" s="875">
        <f>Радио!I25</f>
        <v/>
      </c>
      <c r="J30" s="875">
        <f>Радио!J25</f>
        <v/>
      </c>
      <c r="K30" s="875">
        <f>Радио!K25</f>
        <v/>
      </c>
      <c r="L30" s="466" t="n"/>
      <c r="CM30" t="inlineStr">
        <is>
          <t>20%</t>
        </is>
      </c>
      <c r="EP30" t="inlineStr">
        <is>
          <t>20%</t>
        </is>
      </c>
    </row>
    <row r="31" ht="16.05" customFormat="1" customHeight="1" s="183">
      <c r="CM31" t="inlineStr">
        <is>
          <t>20%</t>
        </is>
      </c>
      <c r="EP31" t="inlineStr">
        <is>
          <t>20%</t>
        </is>
      </c>
    </row>
    <row r="32" ht="16.05" customFormat="1" customHeight="1" s="183">
      <c r="B32" s="185" t="n"/>
      <c r="C32" s="185" t="n"/>
      <c r="D32" s="186">
        <f>SUM(D22:D29)</f>
        <v/>
      </c>
      <c r="E32" s="876">
        <f>SUM(E22:E30)</f>
        <v/>
      </c>
      <c r="F32" s="877" t="n"/>
      <c r="G32" s="877" t="n"/>
      <c r="H32" s="877" t="n"/>
      <c r="I32" s="876">
        <f>SUM(I22:I30)</f>
        <v/>
      </c>
      <c r="J32" s="878">
        <f>SUM(J22:J30)</f>
        <v/>
      </c>
      <c r="K32" s="876">
        <f>SUM(K22:K30)</f>
        <v/>
      </c>
      <c r="CM32" t="inlineStr">
        <is>
          <t>20%</t>
        </is>
      </c>
      <c r="EP32" t="inlineStr">
        <is>
          <t>20%</t>
        </is>
      </c>
    </row>
    <row r="33" ht="10.2" customFormat="1" customHeight="1" s="183">
      <c r="CM33" t="inlineStr">
        <is>
          <t>20%</t>
        </is>
      </c>
      <c r="EP33" t="inlineStr">
        <is>
          <t>20%</t>
        </is>
      </c>
    </row>
    <row r="34">
      <c r="B34" s="193" t="inlineStr">
        <is>
          <t>Скачать описание целевой аудитории</t>
        </is>
      </c>
      <c r="C34" s="193" t="n"/>
      <c r="D34" s="193" t="n"/>
      <c r="CM34" t="inlineStr">
        <is>
          <t>20%</t>
        </is>
      </c>
      <c r="EP34" t="inlineStr">
        <is>
          <t>20%</t>
        </is>
      </c>
    </row>
    <row r="35">
      <c r="CM35" t="inlineStr">
        <is>
          <t>20%</t>
        </is>
      </c>
      <c r="EP35" t="inlineStr">
        <is>
          <t>20%</t>
        </is>
      </c>
    </row>
    <row r="36">
      <c r="B36" s="193" t="inlineStr">
        <is>
          <t>Скачать технические требования</t>
        </is>
      </c>
      <c r="C36" s="193" t="n"/>
      <c r="D36" s="193" t="n"/>
      <c r="CM36" t="inlineStr">
        <is>
          <t>20%</t>
        </is>
      </c>
      <c r="EP36" t="inlineStr">
        <is>
          <t>20%</t>
        </is>
      </c>
    </row>
    <row r="37">
      <c r="CM37" t="inlineStr">
        <is>
          <t>20%</t>
        </is>
      </c>
      <c r="EP37" t="inlineStr">
        <is>
          <t>20%</t>
        </is>
      </c>
    </row>
    <row r="38">
      <c r="B38" s="193" t="inlineStr">
        <is>
          <t>Скачать информацию по предоставлению фотоотчетов</t>
        </is>
      </c>
      <c r="C38" s="193" t="n"/>
      <c r="D38" s="193" t="n"/>
      <c r="CM38" t="inlineStr">
        <is>
          <t>20%</t>
        </is>
      </c>
      <c r="EP38" t="inlineStr">
        <is>
          <t>20%</t>
        </is>
      </c>
    </row>
  </sheetData>
  <autoFilter ref="B21:K32"/>
  <mergeCells count="20">
    <mergeCell ref="B16:C16"/>
    <mergeCell ref="B7:C7"/>
    <mergeCell ref="B3:C3"/>
    <mergeCell ref="E15:G15"/>
    <mergeCell ref="B12:C12"/>
    <mergeCell ref="B10:D10"/>
    <mergeCell ref="B11:C11"/>
    <mergeCell ref="E10:F10"/>
    <mergeCell ref="B14:C14"/>
    <mergeCell ref="B17:C17"/>
    <mergeCell ref="B15:D15"/>
    <mergeCell ref="E9:F9"/>
    <mergeCell ref="B8:C8"/>
    <mergeCell ref="B13:C13"/>
    <mergeCell ref="E6:F6"/>
    <mergeCell ref="B9:C9"/>
    <mergeCell ref="B6:C6"/>
    <mergeCell ref="E7:F7"/>
    <mergeCell ref="B5:C5"/>
    <mergeCell ref="B4:C4"/>
  </mergeCells>
  <dataValidations disablePrompts="1" count="1">
    <dataValidation sqref="G10" showDropDown="0" showInputMessage="1" showErrorMessage="1" allowBlank="1" type="list">
      <formula1>"Да,Нет"</formula1>
    </dataValidation>
  </dataValidations>
  <hyperlinks>
    <hyperlink xmlns:r="http://schemas.openxmlformats.org/officeDocument/2006/relationships" ref="D9" r:id="rId1"/>
    <hyperlink ref="C22" location="АЗС!A1" display="АЗС"/>
    <hyperlink xmlns:r="http://schemas.openxmlformats.org/officeDocument/2006/relationships" ref="L22" r:id="rId2"/>
    <hyperlink ref="C23" location="'Азбука вкуса'!A1" display="Азбука Вкуса"/>
    <hyperlink xmlns:r="http://schemas.openxmlformats.org/officeDocument/2006/relationships" ref="L23" r:id="rId3"/>
    <hyperlink ref="C24" location="MetroCC!A1" display="Metro C&amp;C"/>
    <hyperlink ref="C25" location="Фитнес!A1" display="Фитнес центры"/>
    <hyperlink ref="C26" location="БЦ!A1" display="БЦ"/>
    <hyperlink ref="C27" location="ТРЦ!A1" display="ТРЦ"/>
    <hyperlink ref="C29" location="'Wi-Fi'!A1" display="Wifi аналитика"/>
    <hyperlink ref="C30" location="Радио!A1" display="Радио"/>
    <hyperlink xmlns:r="http://schemas.openxmlformats.org/officeDocument/2006/relationships" ref="B34" r:id="rId4"/>
    <hyperlink xmlns:r="http://schemas.openxmlformats.org/officeDocument/2006/relationships" ref="B36" r:id="rId5"/>
    <hyperlink xmlns:r="http://schemas.openxmlformats.org/officeDocument/2006/relationships" ref="B38" r:id="rId6"/>
  </hyperlinks>
  <pageMargins left="0.7" right="0.7" top="0.75" bottom="0.75" header="0.3" footer="0.3"/>
  <pageSetup orientation="landscape" paperSize="9" horizontalDpi="4294967295" verticalDpi="429496729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Лист2">
    <outlinePr summaryBelow="1" summaryRight="1"/>
    <pageSetUpPr/>
  </sheetPr>
  <dimension ref="B1:AR95"/>
  <sheetViews>
    <sheetView showGridLines="0" topLeftCell="A7" zoomScale="90" zoomScaleNormal="90" workbookViewId="0">
      <selection activeCell="B22" sqref="B22"/>
    </sheetView>
  </sheetViews>
  <sheetFormatPr baseColWidth="8" defaultColWidth="8.77734375" defaultRowHeight="10.2" outlineLevelRow="1"/>
  <cols>
    <col width="5" customWidth="1" style="701" min="1" max="1"/>
    <col width="22.5546875" customWidth="1" style="701" min="2" max="2"/>
    <col width="17.21875" customWidth="1" style="701" min="3" max="3"/>
    <col width="20.44140625" customWidth="1" style="701" min="4" max="4"/>
    <col outlineLevel="1" width="20.21875" customWidth="1" style="701" min="5" max="5"/>
    <col outlineLevel="1" width="20.77734375" customWidth="1" style="701" min="6" max="6"/>
    <col outlineLevel="1" width="12.77734375" customWidth="1" style="701" min="7" max="7"/>
    <col outlineLevel="1" width="10" customWidth="1" style="701" min="8" max="8"/>
    <col hidden="1" outlineLevel="1" width="10" customWidth="1" style="701" min="9" max="9"/>
    <col width="13.21875" customWidth="1" style="701" min="10" max="10"/>
    <col width="24.21875" customWidth="1" style="701" min="11" max="11"/>
    <col width="19.21875" customWidth="1" style="701" min="12" max="12"/>
    <col outlineLevel="1" width="17" customWidth="1" style="701" min="13" max="13"/>
    <col outlineLevel="1" width="15.77734375" customWidth="1" style="701" min="14" max="14"/>
    <col outlineLevel="1" width="13" customWidth="1" style="701" min="15" max="15"/>
    <col width="8.77734375" customWidth="1" style="701" min="16" max="39"/>
    <col width="8.77734375" customWidth="1" style="701" min="40" max="40"/>
    <col hidden="1" width="9.21875" customWidth="1" style="701" min="41" max="43"/>
    <col hidden="1" width="8.77734375" customWidth="1" style="701" min="44" max="44"/>
    <col hidden="1" style="701" min="45" max="45"/>
    <col width="8.77734375" customWidth="1" style="701" min="46" max="16384"/>
  </cols>
  <sheetData>
    <row r="1" ht="42.75" customHeight="1">
      <c r="B1" s="175" t="n"/>
      <c r="AO1" s="334" t="n"/>
      <c r="AP1" s="334" t="n"/>
      <c r="AQ1" s="334" t="n"/>
      <c r="AR1" s="334" t="n"/>
    </row>
    <row r="2" ht="22.5" customHeight="1" thickBot="1">
      <c r="B2" s="718" t="inlineStr">
        <is>
          <t>Сети АЗС</t>
        </is>
      </c>
      <c r="E2" s="201" t="n"/>
      <c r="F2" s="201" t="n"/>
      <c r="G2" s="201" t="n"/>
      <c r="H2" s="201" t="n"/>
      <c r="I2" s="201" t="n"/>
      <c r="J2" s="727" t="n"/>
      <c r="K2" s="15" t="n"/>
      <c r="L2" s="15" t="n"/>
      <c r="M2" s="183" t="n"/>
      <c r="N2" s="183" t="n"/>
      <c r="O2" s="183" t="n"/>
      <c r="AC2" s="202" t="n"/>
      <c r="AD2" s="203" t="n"/>
      <c r="AO2" s="335" t="inlineStr">
        <is>
          <t>ПК</t>
        </is>
      </c>
      <c r="AP2" s="336" t="n">
        <v>0</v>
      </c>
      <c r="AQ2" s="335" t="n"/>
      <c r="AR2" s="334" t="n"/>
    </row>
    <row r="3" ht="15" customHeight="1">
      <c r="B3" s="719" t="inlineStr">
        <is>
          <t xml:space="preserve">Клиент:  </t>
        </is>
      </c>
      <c r="C3" s="854" t="n"/>
      <c r="D3" s="115" t="n"/>
      <c r="E3" s="110" t="n"/>
      <c r="F3" s="110" t="n"/>
      <c r="G3" s="110" t="n"/>
      <c r="H3" s="110" t="n"/>
      <c r="I3" s="110" t="n"/>
      <c r="J3" s="723" t="inlineStr">
        <is>
          <t xml:space="preserve">Всего экранов:  </t>
        </is>
      </c>
      <c r="K3" s="879" t="n"/>
      <c r="L3" s="99">
        <f>D88</f>
        <v/>
      </c>
      <c r="M3" s="183" t="n"/>
      <c r="N3" s="183" t="n"/>
      <c r="O3" s="183" t="n"/>
      <c r="AC3" s="202" t="n"/>
      <c r="AD3" s="203" t="n"/>
      <c r="AO3" s="335" t="inlineStr">
        <is>
          <t>РА</t>
        </is>
      </c>
      <c r="AP3" s="336" t="n">
        <v>0.05</v>
      </c>
      <c r="AQ3" s="335" t="inlineStr">
        <is>
          <t>Доп скидка</t>
        </is>
      </c>
      <c r="AR3" s="334" t="n"/>
    </row>
    <row r="4" ht="15" customHeight="1">
      <c r="B4" s="721" t="inlineStr">
        <is>
          <t xml:space="preserve">Бренд:  </t>
        </is>
      </c>
      <c r="C4" s="855" t="n"/>
      <c r="D4" s="116" t="n"/>
      <c r="E4" s="110" t="n"/>
      <c r="F4" s="110" t="n"/>
      <c r="G4" s="110" t="n"/>
      <c r="H4" s="110" t="n"/>
      <c r="I4" s="110" t="n"/>
      <c r="J4" s="725" t="inlineStr">
        <is>
          <t>Часов работы одного экрана в сутки:</t>
        </is>
      </c>
      <c r="K4" s="856" t="n"/>
      <c r="L4" s="100" t="n">
        <v>24</v>
      </c>
      <c r="M4" s="183" t="n"/>
      <c r="N4" s="183" t="n"/>
      <c r="O4" s="183" t="n"/>
      <c r="AC4" s="844" t="n"/>
      <c r="AD4" s="844" t="n"/>
      <c r="AO4" s="335" t="n"/>
      <c r="AP4" s="336" t="n">
        <v>0.1</v>
      </c>
      <c r="AQ4" s="335" t="inlineStr">
        <is>
          <t>Welcome скидка</t>
        </is>
      </c>
      <c r="AR4" s="334" t="n"/>
    </row>
    <row r="5" ht="15" customHeight="1">
      <c r="B5" s="714" t="inlineStr">
        <is>
          <t xml:space="preserve">Начало РК:  </t>
        </is>
      </c>
      <c r="C5" s="855" t="n"/>
      <c r="D5" s="206">
        <f>Общий!D5</f>
        <v/>
      </c>
      <c r="E5" s="110" t="n"/>
      <c r="F5" s="110" t="n"/>
      <c r="G5" s="110" t="n"/>
      <c r="H5" s="110" t="n"/>
      <c r="I5" s="110" t="n"/>
      <c r="J5" s="697" t="inlineStr">
        <is>
          <t>Продолжительность блока в минутах:</t>
        </is>
      </c>
      <c r="K5" s="856" t="n"/>
      <c r="L5" s="101" t="n">
        <v>3</v>
      </c>
      <c r="M5" s="183" t="n"/>
      <c r="N5" s="183" t="n"/>
      <c r="O5" s="183" t="n"/>
      <c r="AO5" s="335" t="n"/>
      <c r="AP5" s="336" t="n">
        <v>0.15</v>
      </c>
      <c r="AQ5" s="335" t="inlineStr">
        <is>
          <t>Сезонная скидка</t>
        </is>
      </c>
      <c r="AR5" s="334" t="n"/>
    </row>
    <row r="6" ht="15" customHeight="1">
      <c r="B6" s="714" t="inlineStr">
        <is>
          <t xml:space="preserve">Окончание РК:  </t>
        </is>
      </c>
      <c r="C6" s="855" t="n"/>
      <c r="D6" s="206">
        <f>Общий!D6</f>
        <v/>
      </c>
      <c r="E6" s="110" t="n"/>
      <c r="F6" s="110" t="n"/>
      <c r="G6" s="110" t="n"/>
      <c r="H6" s="110" t="n"/>
      <c r="I6" s="110" t="n"/>
      <c r="J6" s="697" t="inlineStr">
        <is>
          <t>Блоков в сутки на одном экране:</t>
        </is>
      </c>
      <c r="K6" s="856" t="n"/>
      <c r="L6" s="101">
        <f>L4*60/L5</f>
        <v/>
      </c>
      <c r="M6" s="183" t="n"/>
      <c r="N6" s="183" t="n"/>
      <c r="O6" s="183" t="n"/>
      <c r="AO6" s="335" t="n"/>
      <c r="AP6" s="336" t="n">
        <v>0.2</v>
      </c>
      <c r="AQ6" s="335" t="n"/>
      <c r="AR6" s="334" t="n"/>
    </row>
    <row r="7" ht="15" customHeight="1">
      <c r="B7" s="714" t="inlineStr">
        <is>
          <t xml:space="preserve">Ролик1, сек:  </t>
        </is>
      </c>
      <c r="C7" s="855" t="n"/>
      <c r="D7" s="117">
        <f>Общий!D7</f>
        <v/>
      </c>
      <c r="E7" s="110" t="n"/>
      <c r="F7" s="110" t="n"/>
      <c r="G7" s="110" t="n"/>
      <c r="H7" s="110" t="n"/>
      <c r="I7" s="110" t="n"/>
      <c r="J7" s="697" t="inlineStr">
        <is>
          <t>Кол-во дней размещения:</t>
        </is>
      </c>
      <c r="K7" s="856" t="n"/>
      <c r="L7" s="101">
        <f>D6-D5+1</f>
        <v/>
      </c>
      <c r="M7" s="183" t="n"/>
      <c r="N7" s="183" t="n"/>
      <c r="O7" s="183" t="n"/>
      <c r="AO7" s="335" t="n"/>
      <c r="AP7" s="336" t="n">
        <v>0.25</v>
      </c>
      <c r="AQ7" s="335" t="n"/>
      <c r="AR7" s="334" t="n"/>
    </row>
    <row r="8" ht="15" customHeight="1">
      <c r="B8" s="714" t="inlineStr">
        <is>
          <t xml:space="preserve">Ролик2, сек:  </t>
        </is>
      </c>
      <c r="C8" s="855" t="n"/>
      <c r="D8" s="117" t="n"/>
      <c r="E8" s="110" t="n"/>
      <c r="F8" s="110" t="n"/>
      <c r="G8" s="110" t="n"/>
      <c r="H8" s="110" t="n"/>
      <c r="I8" s="110" t="n"/>
      <c r="J8" s="697" t="inlineStr">
        <is>
          <t>Кол-во роликов в блоке:</t>
        </is>
      </c>
      <c r="K8" s="856" t="n"/>
      <c r="L8" s="101">
        <f>COUNT(D$7,D$8,D$9)</f>
        <v/>
      </c>
      <c r="M8" s="183" t="n"/>
      <c r="N8" s="183" t="n"/>
      <c r="O8" s="183" t="n"/>
      <c r="AO8" s="335" t="n"/>
      <c r="AP8" s="335" t="n"/>
      <c r="AQ8" s="335" t="n"/>
      <c r="AR8" s="334" t="n"/>
    </row>
    <row r="9" ht="15" customHeight="1">
      <c r="B9" s="716" t="inlineStr">
        <is>
          <t>Карта охвата (ALL)</t>
        </is>
      </c>
      <c r="C9" s="855" t="n"/>
      <c r="D9" s="644" t="inlineStr">
        <is>
          <t>фото АЗС</t>
        </is>
      </c>
      <c r="E9" s="110" t="n"/>
      <c r="F9" s="110" t="n"/>
      <c r="G9" s="110" t="n"/>
      <c r="H9" s="110" t="n"/>
      <c r="I9" s="110" t="n"/>
      <c r="J9" s="697" t="inlineStr">
        <is>
          <t>Итого секунд в блоке:</t>
        </is>
      </c>
      <c r="K9" s="856" t="n"/>
      <c r="L9" s="102">
        <f>SUM(D7:D9)</f>
        <v/>
      </c>
      <c r="M9" s="183" t="n"/>
      <c r="N9" s="183" t="n"/>
      <c r="O9" s="183" t="n"/>
      <c r="AO9" s="335" t="n"/>
      <c r="AP9" s="335" t="n"/>
      <c r="AQ9" s="335" t="n"/>
      <c r="AR9" s="334" t="n"/>
    </row>
    <row r="10" ht="15" customHeight="1">
      <c r="B10" s="706" t="inlineStr">
        <is>
          <t>Применяемые скидки (последовательно)</t>
        </is>
      </c>
      <c r="C10" s="880" t="n"/>
      <c r="D10" s="855" t="n"/>
      <c r="E10" s="110" t="n"/>
      <c r="F10" s="110" t="n"/>
      <c r="G10" s="110" t="n"/>
      <c r="H10" s="110" t="n"/>
      <c r="I10" s="110" t="n"/>
      <c r="J10" s="881" t="inlineStr">
        <is>
          <t>Показов в день на одном экране:</t>
        </is>
      </c>
      <c r="K10" s="856" t="n"/>
      <c r="L10" s="101">
        <f>L6*L8</f>
        <v/>
      </c>
      <c r="M10" s="183" t="n"/>
      <c r="N10" s="183" t="n"/>
      <c r="O10" s="183" t="n"/>
      <c r="AO10" s="335" t="n"/>
      <c r="AP10" s="336" t="n">
        <v>0</v>
      </c>
      <c r="AQ10" s="335" t="n"/>
      <c r="AR10" s="334" t="n"/>
    </row>
    <row r="11" ht="15" customHeight="1">
      <c r="B11" s="685" t="inlineStr">
        <is>
          <t>За кол-во экранов(средн):</t>
        </is>
      </c>
      <c r="C11" s="856" t="n"/>
      <c r="D11" s="118">
        <f>SUBTOTAL(1,G22:G85)</f>
        <v/>
      </c>
      <c r="E11" s="110" t="n"/>
      <c r="F11" s="110" t="n"/>
      <c r="G11" s="110" t="n"/>
      <c r="H11" s="110" t="n"/>
      <c r="I11" s="110" t="n"/>
      <c r="J11" s="697" t="inlineStr">
        <is>
          <t>Минут в день на одном экране:</t>
        </is>
      </c>
      <c r="K11" s="856" t="n"/>
      <c r="L11" s="101">
        <f>L6*L9/60</f>
        <v/>
      </c>
      <c r="M11" s="183" t="n"/>
      <c r="N11" s="183" t="n"/>
      <c r="O11" s="183" t="n"/>
      <c r="AO11" s="335" t="n"/>
      <c r="AP11" s="336" t="n">
        <v>0.05</v>
      </c>
      <c r="AQ11" s="335" t="n"/>
      <c r="AR11" s="334" t="n"/>
    </row>
    <row r="12" ht="15" customHeight="1">
      <c r="B12" s="685" t="inlineStr">
        <is>
          <t>За период:</t>
        </is>
      </c>
      <c r="C12" s="856" t="n"/>
      <c r="D12" s="118">
        <f>IF(L7&gt;69,'Цены|Скидки'!$C$100,IF(L7&gt;39,'Цены|Скидки'!$C$99,0%))</f>
        <v/>
      </c>
      <c r="E12" s="110" t="n"/>
      <c r="F12" s="110" t="n"/>
      <c r="G12" s="110" t="n"/>
      <c r="H12" s="110" t="n"/>
      <c r="I12" s="110" t="n"/>
      <c r="J12" s="697" t="inlineStr">
        <is>
          <t>Показов на всех экранах за период:</t>
        </is>
      </c>
      <c r="K12" s="856" t="n"/>
      <c r="L12" s="103">
        <f>L10*L7*L3</f>
        <v/>
      </c>
      <c r="M12" s="183" t="n"/>
      <c r="N12" s="183" t="n"/>
      <c r="O12" s="183" t="n"/>
      <c r="AO12" s="335" t="n"/>
      <c r="AP12" s="336" t="n">
        <v>0.1</v>
      </c>
      <c r="AQ12" s="335" t="n"/>
      <c r="AR12" s="334" t="n"/>
    </row>
    <row r="13" ht="15" customHeight="1">
      <c r="B13" s="685">
        <f>IF(AC2="РА","Скидка для РА:"," ")</f>
        <v/>
      </c>
      <c r="C13" s="856" t="n"/>
      <c r="D13" s="119">
        <f>IF(AC2="РА",AD2," ")</f>
        <v/>
      </c>
      <c r="E13" s="110" t="n"/>
      <c r="F13" s="110" t="n"/>
      <c r="G13" s="110" t="n"/>
      <c r="H13" s="110" t="n"/>
      <c r="I13" s="110" t="n"/>
      <c r="J13" s="695" t="inlineStr">
        <is>
          <t>OTS:</t>
        </is>
      </c>
      <c r="K13" s="856" t="n"/>
      <c r="L13" s="122">
        <f>N88</f>
        <v/>
      </c>
      <c r="M13" s="183" t="n"/>
      <c r="N13" s="183" t="n"/>
      <c r="O13" s="183" t="n"/>
      <c r="AO13" s="335" t="n"/>
      <c r="AP13" s="336" t="n">
        <v>0.15</v>
      </c>
      <c r="AQ13" s="335" t="n"/>
      <c r="AR13" s="334" t="n"/>
    </row>
    <row r="14" ht="15" customHeight="1">
      <c r="B14" s="697">
        <f>IF(AC3=0," ",AC3)</f>
        <v/>
      </c>
      <c r="C14" s="856" t="n"/>
      <c r="D14" s="207">
        <f>IF(OR(AC3="Доп скидка",AC3="Сезонная скидка",AC3="Welcome скидка")=TRUE,AD3," ")</f>
        <v/>
      </c>
      <c r="E14" s="110" t="n"/>
      <c r="F14" s="110" t="n"/>
      <c r="G14" s="110" t="n"/>
      <c r="H14" s="110" t="n"/>
      <c r="I14" s="110" t="n"/>
      <c r="J14" s="695" t="inlineStr">
        <is>
          <t>CPT:</t>
        </is>
      </c>
      <c r="K14" s="856" t="n"/>
      <c r="L14" s="882">
        <f>O88</f>
        <v/>
      </c>
      <c r="M14" s="183" t="n"/>
      <c r="N14" s="183" t="n"/>
      <c r="O14" s="183" t="n"/>
      <c r="AO14" s="335" t="n"/>
      <c r="AP14" s="336" t="n">
        <v>0.2</v>
      </c>
      <c r="AQ14" s="335" t="n"/>
      <c r="AR14" s="334" t="n"/>
    </row>
    <row r="15" ht="15.75" customHeight="1">
      <c r="B15" s="702" t="inlineStr">
        <is>
          <t>Стоимость размещения</t>
        </is>
      </c>
      <c r="C15" s="859" t="n"/>
      <c r="D15" s="856" t="n"/>
      <c r="E15" s="110" t="n"/>
      <c r="F15" s="110" t="n"/>
      <c r="G15" s="110" t="n"/>
      <c r="H15" s="110" t="n"/>
      <c r="I15" s="110" t="n"/>
      <c r="J15" s="695" t="inlineStr">
        <is>
          <t>% предоставляемого фотоотчета:</t>
        </is>
      </c>
      <c r="K15" s="856" t="n"/>
      <c r="L15" s="882" t="n"/>
      <c r="M15" s="183" t="n"/>
      <c r="N15" s="183" t="n"/>
      <c r="O15" s="183" t="n"/>
      <c r="AO15" s="335" t="n"/>
      <c r="AP15" s="336" t="n">
        <v>0.25</v>
      </c>
      <c r="AQ15" s="335" t="n"/>
      <c r="AR15" s="334" t="n"/>
    </row>
    <row r="16" ht="15" customHeight="1">
      <c r="B16" s="695" t="inlineStr">
        <is>
          <t>Всего, руб. NET:</t>
        </is>
      </c>
      <c r="C16" s="856" t="n"/>
      <c r="D16" s="883">
        <f>K88</f>
        <v/>
      </c>
      <c r="E16" s="110" t="n"/>
      <c r="F16" s="110" t="n"/>
      <c r="G16" s="110" t="n"/>
      <c r="H16" s="110" t="n"/>
      <c r="I16" s="110" t="n"/>
      <c r="J16" s="709" t="inlineStr">
        <is>
          <t>Предоставление ролика до:</t>
        </is>
      </c>
      <c r="K16" s="856" t="n"/>
      <c r="L16" s="104">
        <f>D5-3</f>
        <v/>
      </c>
      <c r="M16" s="183" t="n"/>
      <c r="N16" s="183" t="n"/>
      <c r="O16" s="183" t="n"/>
      <c r="AO16" s="335" t="n"/>
      <c r="AP16" s="336" t="n"/>
      <c r="AQ16" s="335" t="n"/>
      <c r="AR16" s="334" t="n"/>
    </row>
    <row r="17" ht="15" customHeight="1" thickBot="1">
      <c r="B17" s="713" t="inlineStr">
        <is>
          <t>Всего, руб. GROSS:</t>
        </is>
      </c>
      <c r="C17" s="858" t="n"/>
      <c r="D17" s="884">
        <f>L88</f>
        <v/>
      </c>
      <c r="E17" s="111" t="n"/>
      <c r="F17" s="112" t="n"/>
      <c r="G17" s="113" t="n"/>
      <c r="H17" s="114" t="n"/>
      <c r="I17" s="114" t="n"/>
      <c r="J17" s="711" t="inlineStr">
        <is>
          <t>Оплата до:</t>
        </is>
      </c>
      <c r="K17" s="858" t="n"/>
      <c r="L17" s="105">
        <f>D5-5</f>
        <v/>
      </c>
      <c r="M17" s="183" t="n"/>
      <c r="N17" s="183" t="n"/>
      <c r="O17" s="183" t="n"/>
      <c r="AO17" s="335" t="n"/>
      <c r="AP17" s="336" t="n"/>
      <c r="AQ17" s="335" t="n"/>
      <c r="AR17" s="334" t="n"/>
    </row>
    <row r="18" ht="10.5" customHeight="1">
      <c r="B18" s="208" t="n"/>
      <c r="C18" s="183" t="n"/>
      <c r="D18" s="183" t="n"/>
      <c r="E18" s="208" t="n"/>
      <c r="F18" s="209" t="n"/>
      <c r="G18" s="210" t="n"/>
      <c r="H18" s="211" t="n"/>
      <c r="I18" s="211" t="n"/>
      <c r="J18" s="183" t="n"/>
      <c r="K18" s="183" t="n"/>
      <c r="L18" s="183" t="n"/>
      <c r="M18" s="183" t="n"/>
      <c r="N18" s="183" t="n"/>
      <c r="O18" s="183" t="n"/>
      <c r="AO18" s="335" t="inlineStr">
        <is>
          <t>Автобренд</t>
        </is>
      </c>
      <c r="AP18" s="335" t="n"/>
      <c r="AQ18" s="335" t="n"/>
      <c r="AR18" s="334" t="n"/>
    </row>
    <row r="19" ht="12.6" customFormat="1" customHeight="1" s="212">
      <c r="B19" s="705" t="inlineStr">
        <is>
          <t>Расчет стоимости кампании на АЗС</t>
        </is>
      </c>
      <c r="C19" s="15" t="n"/>
      <c r="D19" s="15" t="n"/>
      <c r="E19" s="29" t="n"/>
      <c r="F19" s="29" t="n"/>
      <c r="G19" s="29" t="n"/>
      <c r="H19" s="185" t="n"/>
      <c r="I19" s="185" t="n"/>
      <c r="J19" s="185" t="n"/>
      <c r="K19" s="185" t="n"/>
      <c r="L19" s="188" t="n"/>
      <c r="M19" s="188" t="n"/>
      <c r="N19" s="185" t="n"/>
      <c r="O19" s="185" t="n"/>
      <c r="R19" s="701" t="n"/>
      <c r="AO19" s="339" t="n"/>
      <c r="AP19" s="339" t="n"/>
      <c r="AQ19" s="339" t="n"/>
      <c r="AR19" s="339" t="n"/>
    </row>
    <row r="20" ht="12" customFormat="1" customHeight="1" s="212" thickBot="1">
      <c r="B20" s="185" t="n"/>
      <c r="C20" s="185" t="n"/>
      <c r="D20" s="213" t="n"/>
      <c r="E20" s="29" t="n"/>
      <c r="F20" s="29" t="n"/>
      <c r="G20" s="29" t="n"/>
      <c r="H20" s="185" t="n"/>
      <c r="I20" s="185" t="n"/>
      <c r="J20" s="185" t="n"/>
      <c r="K20" s="185" t="n"/>
      <c r="L20" s="185" t="n"/>
      <c r="M20" s="185" t="n"/>
      <c r="N20" s="185" t="n"/>
      <c r="O20" s="185" t="n"/>
    </row>
    <row r="21" ht="55.05" customFormat="1" customHeight="1" s="212" thickBot="1">
      <c r="B21" s="320" t="inlineStr">
        <is>
          <t>Регион</t>
        </is>
      </c>
      <c r="C21" s="319" t="inlineStr">
        <is>
          <t>Сеть</t>
        </is>
      </c>
      <c r="D21" s="319" t="inlineStr">
        <is>
          <t>Количество     экранов</t>
        </is>
      </c>
      <c r="E21" s="319" t="inlineStr">
        <is>
          <t>Стоимость размещения в сутки на одном экране, без НДС</t>
        </is>
      </c>
      <c r="F21" s="319" t="inlineStr">
        <is>
          <t>Стоимость размещения по выбранной АП за период, без НДС</t>
        </is>
      </c>
      <c r="G21" s="319" t="inlineStr">
        <is>
          <t>Скидка за кол-во экранов</t>
        </is>
      </c>
      <c r="H21" s="318" t="inlineStr">
        <is>
          <t>Скидка за период</t>
        </is>
      </c>
      <c r="I21" s="468" t="inlineStr">
        <is>
          <t>Скидка за кол-во регионов</t>
        </is>
      </c>
      <c r="J21" s="320" t="inlineStr">
        <is>
          <t>Итоговая скидка</t>
        </is>
      </c>
      <c r="K21" s="319" t="inlineStr">
        <is>
          <t xml:space="preserve"> Стоимость c учетом всех скидок, без НДС</t>
        </is>
      </c>
      <c r="L21" s="319" t="inlineStr">
        <is>
          <t xml:space="preserve"> Стоимость c учетом всех скидок, вкл. НДС</t>
        </is>
      </c>
      <c r="M21" s="319" t="inlineStr">
        <is>
          <t>Сумма НДС (20%)</t>
        </is>
      </c>
      <c r="N21" s="319" t="inlineStr">
        <is>
          <t>OTS</t>
        </is>
      </c>
      <c r="O21" s="318" t="inlineStr">
        <is>
          <t>CPT</t>
        </is>
      </c>
    </row>
    <row r="22" outlineLevel="1" ht="16.05" customFormat="1" customHeight="1" s="212">
      <c r="B22" s="475" t="inlineStr">
        <is>
          <t>Москва</t>
        </is>
      </c>
      <c r="C22" s="449" t="inlineStr">
        <is>
          <t>Роснефть</t>
        </is>
      </c>
      <c r="D22" s="450">
        <f>IF(C22="АЗС",SUMIFS('Адресная программа'!$O$20:$O$4940,'Адресная программа'!$L$20:$L$4940,1,'Адресная программа'!$C$20:$C$4940,АЗС!B22,'Адресная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программа'!$C$20:$C$4940,АЗС!B22,'Адресная программа'!$G$20:$G$4940,АЗС!C22,'Адресная программа'!$F$20:$F$4940,"АЗС"))</f>
        <v/>
      </c>
      <c r="E22" s="868">
        <f>'Цены|Скидки'!$D$11/15*$L$9</f>
        <v/>
      </c>
      <c r="F22" s="868">
        <f>E22*$L$7*D22</f>
        <v/>
      </c>
      <c r="G22" s="556">
        <f>IF(SUM($D$22:$D$23)=SUMIFS('Адресная программа'!$K$20:$K$4940,'Адресная программа'!$L$20:$L$4940,1,'Адресная программа'!$C$20:$C$4940,АЗС!B22,'Адресная программа'!$G$20:$G$4940,"&lt;&gt;Газпромнефть",'Адресная программа'!$F$20:$F$4940,"АЗС"),'Цены|Скидки'!$C$31,IF(SUM($D$22:$D$23)&gt;=(SUMIFS('Адресная программа'!$K$20:$K$4940,'Адресная программа'!$L$20:$L$4940,1,'Адресная программа'!$C$20:$C$4940,АЗС!B22,'Адресная программа'!$G$20:$G$4940,"&lt;&gt;Газпромнефть",'Адресная программа'!$F$20:$F$4940,"АЗС")*'Цены|Скидки'!$B$32),'Цены|Скидки'!$C$32,IF(SUM($D$22:$D$23)&gt;=(SUMIFS('Адресная программа'!$K$20:$K$4940,'Адресная программа'!$L$20:$L$4940,1,'Адресная программа'!$C$20:$C$4940,АЗС!B22,'Адресная программа'!$G$20:$G$4940,"&lt;&gt;Газпромнефть",'Адресная программа'!$F$20:$F$4940,"АЗС")*'Цены|Скидки'!$B$33),'Цены|Скидки'!$C$33,IF(SUM($D$22:$D$23)&gt;=(SUMIFS('Адресная программа'!$K$20:$K$4940,'Адресная программа'!$L$20:$L$4940,1,'Адресная программа'!$C$20:$C$4940,АЗС!B22,'Адресная программа'!$G$20:$G$4940,"&lt;&gt;Газпромнефть",'Адресная программа'!$F$20:$F$4940,"АЗС")*'Цены|Скидки'!$B$34),'Цены|Скидки'!$C$34,IF(SUM($D$22:$D$23)&gt;=(SUMIFS('Адресная программа'!$K$20:$K$4940,'Адресная программа'!$L$20:$L$4940,1,'Адресная программа'!$C$20:$C$4940,АЗС!B22,'Адресная программа'!$G$20:$G$4940,"&lt;&gt;Газпромнефть",'Адресная программа'!$F$20:$F$4940,"АЗС")*'Цены|Скидки'!$B$35),'Цены|Скидки'!$C$35,IF(SUM($D$22:$D$23)&gt;=(SUMIFS('Адресная программа'!$K$20:$K$4940,'Адресная программа'!$L$20:$L$4940,1,'Адресная программа'!$C$20:$C$4940,АЗС!B22,'Адресная программа'!$G$20:$G$4940,"&lt;&gt;Газпромнефть",'Адресная программа'!$F$20:$F$4940,"АЗС")*'Цены|Скидки'!$B$36),'Цены|Скидки'!$C$36,0%))))))</f>
        <v/>
      </c>
      <c r="H22" s="124">
        <f>$D$12</f>
        <v/>
      </c>
      <c r="I22" s="124" t="n"/>
      <c r="J22" s="458">
        <f>IF(SUM($D$22:$D$23)=0,0,1-SUM($K$22:$K$23)/SUM($F$22:$F$23))</f>
        <v/>
      </c>
      <c r="K22" s="868">
        <f>F22*(1-G22)*(1-H22)*(1-IF($AC$2="РА",$AD$2,0))*(1-IF(OR($AC$3="Доп скидка",$AC$3="Сезонная скидка",$AC$3="Welcome скидка")=TRUE,$AD$3,0))</f>
        <v/>
      </c>
      <c r="L22" s="868">
        <f>K22+M22</f>
        <v/>
      </c>
      <c r="M22" s="868">
        <f>K22*0.2</f>
        <v/>
      </c>
      <c r="N22" s="455">
        <f>D22*$L$7*1210</f>
        <v/>
      </c>
      <c r="O22" s="885">
        <f>IF(N22=0,0,(K22/N22*1000)/$D$7*10)</f>
        <v/>
      </c>
    </row>
    <row r="23" outlineLevel="1" ht="16.05" customFormat="1" customHeight="1" s="212">
      <c r="B23" s="418" t="inlineStr">
        <is>
          <t>Москва</t>
        </is>
      </c>
      <c r="C23" s="214" t="inlineStr">
        <is>
          <t>Нефтьмагистраль</t>
        </is>
      </c>
      <c r="D23" s="170">
        <f>IF(C23="АЗС",SUMIFS('Адресная программа'!$O$20:$O$4940,'Адресная программа'!$L$20:$L$4940,1,'Адресная программа'!$C$20:$C$4940,АЗС!B23,'Адресная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программа'!$C$20:$C$4940,АЗС!B23,'Адресная программа'!$G$20:$G$4940,АЗС!C23,'Адресная программа'!$F$20:$F$4940,"АЗС"))</f>
        <v/>
      </c>
      <c r="E23" s="870">
        <f>'Цены|Скидки'!$D$11/15*$L$9</f>
        <v/>
      </c>
      <c r="F23" s="870">
        <f>E23*$L$7*D23</f>
        <v/>
      </c>
      <c r="G23" s="157">
        <f>IF(SUM($D$22:$D$23)=SUMIFS('Адресная программа'!$K$20:$K$4940,'Адресная программа'!$L$20:$L$4940,1,'Адресная программа'!$C$20:$C$4940,АЗС!B23,'Адресная программа'!$G$20:$G$4940,"&lt;&gt;Газпромнефть",'Адресная программа'!$F$20:$F$4940,"АЗС"),'Цены|Скидки'!$C$31,IF(SUM($D$22:$D$23)&gt;=(SUMIFS('Адресная программа'!$K$20:$K$4940,'Адресная программа'!$L$20:$L$4940,1,'Адресная программа'!$C$20:$C$4940,АЗС!B23,'Адресная программа'!$G$20:$G$4940,"&lt;&gt;Газпромнефть",'Адресная программа'!$F$20:$F$4940,"АЗС")*'Цены|Скидки'!$B$32),'Цены|Скидки'!$C$32,IF(SUM($D$22:$D$23)&gt;=(SUMIFS('Адресная программа'!$K$20:$K$4940,'Адресная программа'!$L$20:$L$4940,1,'Адресная программа'!$C$20:$C$4940,АЗС!B23,'Адресная программа'!$G$20:$G$4940,"&lt;&gt;Газпромнефть",'Адресная программа'!$F$20:$F$4940,"АЗС")*'Цены|Скидки'!$B$33),'Цены|Скидки'!$C$33,IF(SUM($D$22:$D$23)&gt;=(SUMIFS('Адресная программа'!$K$20:$K$4940,'Адресная программа'!$L$20:$L$4940,1,'Адресная программа'!$C$20:$C$4940,АЗС!B23,'Адресная программа'!$G$20:$G$4940,"&lt;&gt;Газпромнефть",'Адресная программа'!$F$20:$F$4940,"АЗС")*'Цены|Скидки'!$B$34),'Цены|Скидки'!$C$34,IF(SUM($D$22:$D$23)&gt;=(SUMIFS('Адресная программа'!$K$20:$K$4940,'Адресная программа'!$L$20:$L$4940,1,'Адресная программа'!$C$20:$C$4940,АЗС!B23,'Адресная программа'!$G$20:$G$4940,"&lt;&gt;Газпромнефть",'Адресная программа'!$F$20:$F$4940,"АЗС")*'Цены|Скидки'!$B$35),'Цены|Скидки'!$C$35,IF(SUM($D$22:$D$23)&gt;=(SUMIFS('Адресная программа'!$K$20:$K$4940,'Адресная программа'!$L$20:$L$4940,1,'Адресная программа'!$C$20:$C$4940,АЗС!B23,'Адресная программа'!$G$20:$G$4940,"&lt;&gt;Газпромнефть",'Адресная программа'!$F$20:$F$4940,"АЗС")*'Цены|Скидки'!$B$36),'Цены|Скидки'!$C$36,0%))))))</f>
        <v/>
      </c>
      <c r="H23" s="157">
        <f>$D$12</f>
        <v/>
      </c>
      <c r="I23" s="157" t="n"/>
      <c r="J23" s="171">
        <f>IF(SUM($D$22:$D$23)=0,0,1-SUM($K$22:$K$23)/SUM($F$22:$F$23))</f>
        <v/>
      </c>
      <c r="K23" s="870">
        <f>F23*(1-G23)*(1-H23)*(1-IF($AC$2="РА",$AD$2,0))*(1-IF(OR($AC$3="Доп скидка",$AC$3="Сезонная скидка",$AC$3="Welcome скидка")=TRUE,$AD$3,0))</f>
        <v/>
      </c>
      <c r="L23" s="870">
        <f>K23+M23</f>
        <v/>
      </c>
      <c r="M23" s="870">
        <f>K23*0.2</f>
        <v/>
      </c>
      <c r="N23" s="413">
        <f>D23*$L$7*1210</f>
        <v/>
      </c>
      <c r="O23" s="886">
        <f>IF(N23=0,0,(K23/N23*1000)/$D$7*10)</f>
        <v/>
      </c>
    </row>
    <row r="24" outlineLevel="1" ht="16.05" customFormat="1" customHeight="1" s="212">
      <c r="B24" s="418" t="inlineStr">
        <is>
          <t>Москва</t>
        </is>
      </c>
      <c r="C24" s="214" t="inlineStr">
        <is>
          <t>Газпромнефть</t>
        </is>
      </c>
      <c r="D24" s="170">
        <f>IF(C24="АЗС",SUMIFS('Адресная программа'!$O$20:$O$4940,'Адресная программа'!$L$20:$L$4940,1,'Адресная программа'!$C$20:$C$4940,АЗС!B24,'Адресная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программа'!$C$20:$C$4940,АЗС!B24,'Адресная программа'!$G$20:$G$4940,АЗС!C24,'Адресная программа'!$F$20:$F$4940,"АЗС"))</f>
        <v/>
      </c>
      <c r="E24" s="870">
        <f>'Цены|Скидки'!G11/15*$L$9</f>
        <v/>
      </c>
      <c r="F24" s="870">
        <f>E24*$L$7*D24</f>
        <v/>
      </c>
      <c r="G24" s="157">
        <f>IF(D24=SUMIFS('Адресная программа'!$K$20:$K$4940,'Адресная программа'!$L$20:$L$4940,1,'Адресная программа'!$C$20:$C$4940,АЗС!B24,'Адресная программа'!$G$20:$G$4940,"=Газпромнефть",'Адресная программа'!$F$20:$F$4940,"АЗС"),'Цены|Скидки'!$C$43,IF(D24&gt;=(SUMIFS('Адресная программа'!$K$20:$K$4940,'Адресная программа'!$L$20:$L$4940,1,'Адресная программа'!$C$20:$C$4940,АЗС!B24,'Адресная программа'!$G$20:$G$4940,"=Газпромнефть",'Адресная программа'!$F$20:$F$4940,"АЗС")*'Цены|Скидки'!$B$44),'Цены|Скидки'!$C$44,IF(D24&gt;=(SUMIFS('Адресная программа'!$K$20:$K$4940,'Адресная программа'!$L$20:$L$4940,1,'Адресная программа'!$C$20:$C$4940,АЗС!B24,'Адресная программа'!$G$20:$G$4940,"=Газпромнефть",'Адресная программа'!$F$20:$F$4940,"АЗС")*'Цены|Скидки'!$B$45),'Цены|Скидки'!$C$45,IF(D24&gt;=(SUMIFS('Адресная программа'!$K$20:$K$4940,'Адресная программа'!$L$20:$L$4940,1,'Адресная программа'!$C$20:$C$4940,АЗС!B24,'Адресная программа'!$G$20:$G$4940,"=Газпромнефть",'Адресная программа'!$F$20:$F$4940,"АЗС")*'Цены|Скидки'!$B$46),'Цены|Скидки'!$C$46,0%))))</f>
        <v/>
      </c>
      <c r="H24" s="157">
        <f>$D$12</f>
        <v/>
      </c>
      <c r="I24" s="157">
        <f>'Адресная программа'!Y19</f>
        <v/>
      </c>
      <c r="J24" s="171">
        <f>IF(D24=0,0,1-K24/F24)</f>
        <v/>
      </c>
      <c r="K24" s="870">
        <f>F24*(1-G24)*(1-H24)*(1-IF($AC$2="РА",$AD$2,0))*(1-IF(OR($AC$3="Доп скидка",$AC$3="Сезонная скидка",$AC$3="Welcome скидка")=TRUE,$AD$3,0))*(1-'Адресная программа'!Y19)</f>
        <v/>
      </c>
      <c r="L24" s="870">
        <f>K24+M24</f>
        <v/>
      </c>
      <c r="M24" s="870">
        <f>K24*0.2</f>
        <v/>
      </c>
      <c r="N24" s="413">
        <f>D24*$L$7*1485</f>
        <v/>
      </c>
      <c r="O24" s="886">
        <f>IF(N24=0,0,(K24/N24*1000)/$D$7*10)</f>
        <v/>
      </c>
    </row>
    <row r="25" outlineLevel="1" ht="16.05" customFormat="1" customHeight="1" s="212">
      <c r="B25" s="418" t="inlineStr">
        <is>
          <t>Санкт-Петербург</t>
        </is>
      </c>
      <c r="C25" s="214" t="inlineStr">
        <is>
          <t>Роснефть</t>
        </is>
      </c>
      <c r="D25" s="170">
        <f>IF(C25="АЗС",SUMIFS('Адресная программа'!$O$20:$O$4940,'Адресная программа'!$L$20:$L$4940,1,'Адресная программа'!$C$20:$C$4940,АЗС!B25,'Адресная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программа'!$C$20:$C$4940,АЗС!B25,'Адресная программа'!$G$20:$G$4940,АЗС!C25,'Адресная программа'!$F$20:$F$4940,"АЗС"))</f>
        <v/>
      </c>
      <c r="E25" s="870">
        <f>'Цены|Скидки'!$E$11/15*$L$9</f>
        <v/>
      </c>
      <c r="F25" s="870">
        <f>E25*$L$7*D25</f>
        <v/>
      </c>
      <c r="G25" s="157">
        <f>IF(SUM($D$25:$D$25)=SUMIFS('Адресная программа'!$K$20:$K$4940,'Адресная программа'!$L$20:$L$4940,1,'Адресная программа'!$C$20:$C$4940,АЗС!B25,'Адресная программа'!$G$20:$G$4940,"&lt;&gt;Газпромнефть",'Адресная программа'!$F$20:$F$4940,"АЗС"),'Цены|Скидки'!$C$31,IF(SUM($D$25:$D$25)&gt;=(SUMIFS('Адресная программа'!$K$20:$K$4940,'Адресная программа'!$L$20:$L$4940,1,'Адресная программа'!$C$20:$C$4940,АЗС!B25,'Адресная программа'!$G$20:$G$4940,"&lt;&gt;Газпромнефть",'Адресная программа'!$F$20:$F$4940,"АЗС")*'Цены|Скидки'!$B$32),'Цены|Скидки'!$C$32,IF(SUM($D$25:$D$25)&gt;=(SUMIFS('Адресная программа'!$K$20:$K$4940,'Адресная программа'!$L$20:$L$4940,1,'Адресная программа'!$C$20:$C$4940,АЗС!B25,'Адресная программа'!$G$20:$G$4940,"&lt;&gt;Газпромнефть",'Адресная программа'!$F$20:$F$4940,"АЗС")*'Цены|Скидки'!$B$33),'Цены|Скидки'!$C$33,IF(SUM($D$25:$D$25)&gt;=(SUMIFS('Адресная программа'!$K$20:$K$4940,'Адресная программа'!$L$20:$L$4940,1,'Адресная программа'!$C$20:$C$4940,АЗС!B25,'Адресная программа'!$G$20:$G$4940,"&lt;&gt;Газпромнефть",'Адресная программа'!$F$20:$F$4940,"АЗС")*'Цены|Скидки'!$B$34),'Цены|Скидки'!$C$34,IF(SUM($D$25:$D$25)&gt;=(SUMIFS('Адресная программа'!$K$20:$K$4940,'Адресная программа'!$L$20:$L$4940,1,'Адресная программа'!$C$20:$C$4940,АЗС!B25,'Адресная программа'!$G$20:$G$4940,"&lt;&gt;Газпромнефть",'Адресная программа'!$F$20:$F$4940,"АЗС")*'Цены|Скидки'!$B$35),'Цены|Скидки'!$C$35,IF(SUM($D$25:$D$25)&gt;=(SUMIFS('Адресная программа'!$K$20:$K$4940,'Адресная программа'!$L$20:$L$4940,1,'Адресная программа'!$C$20:$C$4940,АЗС!B25,'Адресная программа'!$G$20:$G$4940,"&lt;&gt;Газпромнефть",'Адресная программа'!$F$20:$F$4940,"АЗС")*'Цены|Скидки'!$B$36),'Цены|Скидки'!$C$36,0%))))))</f>
        <v/>
      </c>
      <c r="H25" s="157">
        <f>$D$12</f>
        <v/>
      </c>
      <c r="I25" s="157" t="n"/>
      <c r="J25" s="171">
        <f>IF(SUM($D$25:$D$25)=0,0,1-SUM($K$25:$K$25)/SUM($F$25:$F$25))</f>
        <v/>
      </c>
      <c r="K25" s="870">
        <f>F25*(1-G25)*(1-H25)*(1-IF($AC$2="РА",$AD$2,0))*(1-IF(OR($AC$3="Доп скидка",$AC$3="Сезонная скидка",$AC$3="Welcome скидка")=TRUE,$AD$3,0))</f>
        <v/>
      </c>
      <c r="L25" s="870">
        <f>K25+M25</f>
        <v/>
      </c>
      <c r="M25" s="870">
        <f>K25*0.2</f>
        <v/>
      </c>
      <c r="N25" s="413">
        <f>D25*$L$7*1210</f>
        <v/>
      </c>
      <c r="O25" s="886">
        <f>IF(N25=0,0,(K25/N25*1000)/$D$7*10)</f>
        <v/>
      </c>
    </row>
    <row r="26" outlineLevel="1" ht="16.05" customFormat="1" customHeight="1" s="212">
      <c r="B26" s="418" t="inlineStr">
        <is>
          <t>Санкт-Петербург</t>
        </is>
      </c>
      <c r="C26" s="214" t="inlineStr">
        <is>
          <t>Газпромнефть</t>
        </is>
      </c>
      <c r="D26" s="170">
        <f>IF(C26="АЗС",SUMIFS('Адресная программа'!$O$20:$O$4940,'Адресная программа'!$L$20:$L$4940,1,'Адресная программа'!$C$20:$C$4940,АЗС!B26,'Адресная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программа'!$C$20:$C$4940,АЗС!B26,'Адресная программа'!$G$20:$G$4940,АЗС!C26,'Адресная программа'!$F$20:$F$4940,"АЗС"))</f>
        <v/>
      </c>
      <c r="E26" s="870">
        <f>'Цены|Скидки'!H11/15*$L$9</f>
        <v/>
      </c>
      <c r="F26" s="870">
        <f>E26*$L$7*D26</f>
        <v/>
      </c>
      <c r="G26" s="157">
        <f>IF(D26=SUMIFS('Адресная программа'!$K$20:$K$4940,'Адресная программа'!$L$20:$L$4940,1,'Адресная программа'!$C$20:$C$4940,АЗС!B26,'Адресная программа'!$G$20:$G$4940,"=Газпромнефть",'Адресная программа'!$F$20:$F$4940,"АЗС"),'Цены|Скидки'!$C$43,IF(D26&gt;=(SUMIFS('Адресная программа'!$K$20:$K$4940,'Адресная программа'!$L$20:$L$4940,1,'Адресная программа'!$C$20:$C$4940,АЗС!B26,'Адресная программа'!$G$20:$G$4940,"=Газпромнефть",'Адресная программа'!$F$20:$F$4940,"АЗС")*'Цены|Скидки'!$B$44),'Цены|Скидки'!$C$44,IF(D26&gt;=(SUMIFS('Адресная программа'!$K$20:$K$4940,'Адресная программа'!$L$20:$L$4940,1,'Адресная программа'!$C$20:$C$4940,АЗС!B26,'Адресная программа'!$G$20:$G$4940,"=Газпромнефть",'Адресная программа'!$F$20:$F$4940,"АЗС")*'Цены|Скидки'!$B$45),'Цены|Скидки'!$C$45,IF(D26&gt;=(SUMIFS('Адресная программа'!$K$20:$K$4940,'Адресная программа'!$L$20:$L$4940,1,'Адресная программа'!$C$20:$C$4940,АЗС!B26,'Адресная программа'!$G$20:$G$4940,"=Газпромнефть",'Адресная программа'!$F$20:$F$4940,"АЗС")*'Цены|Скидки'!$B$46),'Цены|Скидки'!$C$46,0%))))</f>
        <v/>
      </c>
      <c r="H26" s="157">
        <f>$D$12</f>
        <v/>
      </c>
      <c r="I26" s="157">
        <f>'Адресная программа'!Y19</f>
        <v/>
      </c>
      <c r="J26" s="171">
        <f>IF(D26=0,0,1-K26/F26)</f>
        <v/>
      </c>
      <c r="K26" s="870">
        <f>F26*(1-G26)*(1-H26)*(1-IF($AC$2="РА",$AD$2,0))*(1-IF(OR($AC$3="Доп скидка",$AC$3="Сезонная скидка",$AC$3="Welcome скидка")=TRUE,$AD$3,0))*(1-'Адресная программа'!Y19)</f>
        <v/>
      </c>
      <c r="L26" s="870">
        <f>K26+M26</f>
        <v/>
      </c>
      <c r="M26" s="870">
        <f>K26*0.2</f>
        <v/>
      </c>
      <c r="N26" s="413">
        <f>D26*$L$7*1375</f>
        <v/>
      </c>
      <c r="O26" s="886">
        <f>IF(N26=0,0,(K26/N26*1000)/$D$7*10)</f>
        <v/>
      </c>
    </row>
    <row r="27" ht="16.05" customFormat="1" customHeight="1" s="212">
      <c r="B27" s="418" t="inlineStr">
        <is>
          <t>Архангельск</t>
        </is>
      </c>
      <c r="C27" s="214" t="inlineStr">
        <is>
          <t>Роснефть</t>
        </is>
      </c>
      <c r="D27" s="170">
        <f>IF(C27="АЗС",SUMIFS('Адресная программа'!$O$20:$O$4940,'Адресная программа'!$L$20:$L$4940,1,'Адресная программа'!$C$20:$C$4940,АЗС!B27,'Адресная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программа'!$C$20:$C$4940,АЗС!B27,'Адресная программа'!$G$20:$G$4940,АЗС!C27,'Адресная программа'!$F$20:$F$4940,"АЗС"))</f>
        <v/>
      </c>
      <c r="E27" s="870">
        <f>'Цены|Скидки'!$F$11/15*$L$9</f>
        <v/>
      </c>
      <c r="F27" s="870">
        <f>E27*$L$7*D27</f>
        <v/>
      </c>
      <c r="G27" s="157">
        <f>IF(D27=SUMIFS('Адресная программа'!$K$20:$K$4940,'Адресная программа'!$L$20:$L$4940,1,'Адресная программа'!$C$20:$C$4940,АЗС!B27,'Адресная программа'!$G$20:$G$4940,"&lt;&gt;Газпромнефть",'Адресная программа'!$F$20:$F$4940,"АЗС"),'Цены|Скидки'!$C$31,IF(D27&gt;=(SUMIFS('Адресная программа'!$K$20:$K$4940,'Адресная программа'!$L$20:$L$4940,1,'Адресная программа'!$C$20:$C$4940,АЗС!B27,'Адресная программа'!$G$20:$G$4940,"&lt;&gt;Газпромнефть",'Адресная программа'!$F$20:$F$4940,"АЗС")*'Цены|Скидки'!$B$32),'Цены|Скидки'!$C$32,IF(D27&gt;=(SUMIFS('Адресная программа'!$K$20:$K$4940,'Адресная программа'!$L$20:$L$4940,1,'Адресная программа'!$C$20:$C$4940,АЗС!B27,'Адресная программа'!$G$20:$G$4940,"&lt;&gt;Газпромнефть",'Адресная программа'!$F$20:$F$4940,"АЗС")*'Цены|Скидки'!$B$33),'Цены|Скидки'!$C$33,IF(D27&gt;=(SUMIFS('Адресная программа'!$K$20:$K$4940,'Адресная программа'!$L$20:$L$4940,1,'Адресная программа'!$C$20:$C$4940,АЗС!B27,'Адресная программа'!$G$20:$G$4940,"&lt;&gt;Газпромнефть",'Адресная программа'!$F$20:$F$4940,"АЗС")*'Цены|Скидки'!$B$34),'Цены|Скидки'!$C$34,0%))))</f>
        <v/>
      </c>
      <c r="H27" s="157">
        <f>D$12</f>
        <v/>
      </c>
      <c r="I27" s="157" t="n"/>
      <c r="J27" s="171">
        <f>IF(D27=0,0,1-K27/F27)</f>
        <v/>
      </c>
      <c r="K27" s="870">
        <f>F27*(1-G27)*(1-H27)*(1-IF($AC$2="РА",$AD$2,0))*(1-IF(OR($AC$3="Доп скидка",$AC$3="Сезонная скидка",$AC$3="Welcome скидка")=TRUE,$AD$3,0))</f>
        <v/>
      </c>
      <c r="L27" s="870">
        <f>K27+M27</f>
        <v/>
      </c>
      <c r="M27" s="870">
        <f>K27*0.2</f>
        <v/>
      </c>
      <c r="N27" s="241">
        <f>D27*L$7*1045</f>
        <v/>
      </c>
      <c r="O27" s="886">
        <f>IF(N27=0,0,(K27/N27*1000)/$D$7*10)</f>
        <v/>
      </c>
    </row>
    <row r="28" ht="16.05" customFormat="1" customHeight="1" s="212">
      <c r="B28" s="418" t="inlineStr">
        <is>
          <t>Абхазия</t>
        </is>
      </c>
      <c r="C28" s="214" t="inlineStr">
        <is>
          <t>Подорожник</t>
        </is>
      </c>
      <c r="D28" s="170">
        <f>IF(C28="АЗС",SUMIFS('Адресная программа'!$O$20:$O$4940,'Адресная программа'!$L$20:$L$4940,1,'Адресная программа'!$C$20:$C$4940,АЗС!B28,'Адресная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программа'!$C$20:$C$4940,АЗС!B28,'Адресная программа'!$G$20:$G$4940,АЗС!C28,'Адресная программа'!$F$20:$F$4940,"АЗС"))</f>
        <v/>
      </c>
      <c r="E28" s="870">
        <f>'Цены|Скидки'!$F$11/15*$L$9</f>
        <v/>
      </c>
      <c r="F28" s="870">
        <f>E28*$L$7*D28</f>
        <v/>
      </c>
      <c r="G28" s="157">
        <f>IF(D28=SUMIFS('Адресная программа'!$K$20:$K$4940,'Адресная программа'!$L$20:$L$4940,1,'Адресная программа'!$C$20:$C$4940,АЗС!B28,'Адресная программа'!$G$20:$G$4940,"&lt;&gt;Газпромнефть",'Адресная программа'!$F$20:$F$4940,"АЗС"),'Цены|Скидки'!$C$31,IF(D28&gt;=(SUMIFS('Адресная программа'!$K$20:$K$4940,'Адресная программа'!$L$20:$L$4940,1,'Адресная программа'!$C$20:$C$4940,АЗС!B28,'Адресная программа'!$G$20:$G$4940,"&lt;&gt;Газпромнефть",'Адресная программа'!$F$20:$F$4940,"АЗС")*'Цены|Скидки'!$B$32),'Цены|Скидки'!$C$32,IF(D28&gt;=(SUMIFS('Адресная программа'!$K$20:$K$4940,'Адресная программа'!$L$20:$L$4940,1,'Адресная программа'!$C$20:$C$4940,АЗС!B28,'Адресная программа'!$G$20:$G$4940,"&lt;&gt;Газпромнефть",'Адресная программа'!$F$20:$F$4940,"АЗС")*'Цены|Скидки'!$B$33),'Цены|Скидки'!$C$33,IF(D28&gt;=(SUMIFS('Адресная программа'!$K$20:$K$4940,'Адресная программа'!$L$20:$L$4940,1,'Адресная программа'!$C$20:$C$4940,АЗС!B28,'Адресная программа'!$G$20:$G$4940,"&lt;&gt;Газпромнефть",'Адресная программа'!$F$20:$F$4940,"АЗС")*'Цены|Скидки'!$B$34),'Цены|Скидки'!$C$34,0%))))</f>
        <v/>
      </c>
      <c r="H28" s="157">
        <f>D$12</f>
        <v/>
      </c>
      <c r="I28" s="157" t="n"/>
      <c r="J28" s="171">
        <f>IF(D28=0,0,1-K28/F28)</f>
        <v/>
      </c>
      <c r="K28" s="870">
        <f>F28*(1-G28)*(1-H28)*(1-IF($AC$2="РА",$AD$2,0))*(1-IF(OR($AC$3="Доп скидка",$AC$3="Сезонная скидка",$AC$3="Welcome скидка")=TRUE,$AD$3,0))</f>
        <v/>
      </c>
      <c r="L28" s="870">
        <f>K28+M28</f>
        <v/>
      </c>
      <c r="M28" s="870">
        <f>K28*0.2</f>
        <v/>
      </c>
      <c r="N28" s="241">
        <f>D28*L$7*1045</f>
        <v/>
      </c>
      <c r="O28" s="886">
        <f>IF(N28=0,0,(K28/N28*1000)/$D$7*10)</f>
        <v/>
      </c>
    </row>
    <row r="29" ht="16.05" customFormat="1" customHeight="1" s="212">
      <c r="B29" s="418" t="inlineStr">
        <is>
          <t>Алтайский край</t>
        </is>
      </c>
      <c r="C29" s="214" t="inlineStr">
        <is>
          <t>Роснефть</t>
        </is>
      </c>
      <c r="D29" s="170">
        <f>IF(C29="АЗС",SUMIFS('Адресная программа'!$O$20:$O$4940,'Адресная программа'!$L$20:$L$4940,1,'Адресная программа'!$C$20:$C$4940,АЗС!B29,'Адресная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программа'!$C$20:$C$4940,АЗС!B29,'Адресная программа'!$G$20:$G$4940,АЗС!C29,'Адресная программа'!$F$20:$F$4940,"АЗС"))</f>
        <v/>
      </c>
      <c r="E29" s="870">
        <f>'Цены|Скидки'!$F$11/15*$L$9</f>
        <v/>
      </c>
      <c r="F29" s="870">
        <f>E29*$L$7*D29</f>
        <v/>
      </c>
      <c r="G29" s="157">
        <f>IF(D29=SUMIFS('Адресная программа'!$K$20:$K$4940,'Адресная программа'!$L$20:$L$4940,1,'Адресная программа'!$C$20:$C$4940,АЗС!B29,'Адресная программа'!$G$20:$G$4940,"&lt;&gt;Газпромнефть",'Адресная программа'!$F$20:$F$4940,"АЗС"),'Цены|Скидки'!$C$31,IF(D29&gt;=(SUMIFS('Адресная программа'!$K$20:$K$4940,'Адресная программа'!$L$20:$L$4940,1,'Адресная программа'!$C$20:$C$4940,АЗС!B29,'Адресная программа'!$G$20:$G$4940,"&lt;&gt;Газпромнефть",'Адресная программа'!$F$20:$F$4940,"АЗС")*'Цены|Скидки'!$B$32),'Цены|Скидки'!$C$32,IF(D29&gt;=(SUMIFS('Адресная программа'!$K$20:$K$4940,'Адресная программа'!$L$20:$L$4940,1,'Адресная программа'!$C$20:$C$4940,АЗС!B29,'Адресная программа'!$G$20:$G$4940,"&lt;&gt;Газпромнефть",'Адресная программа'!$F$20:$F$4940,"АЗС")*'Цены|Скидки'!$B$33),'Цены|Скидки'!$C$33,IF(D29&gt;=(SUMIFS('Адресная программа'!$K$20:$K$4940,'Адресная программа'!$L$20:$L$4940,1,'Адресная программа'!$C$20:$C$4940,АЗС!B29,'Адресная программа'!$G$20:$G$4940,"&lt;&gt;Газпромнефть",'Адресная программа'!$F$20:$F$4940,"АЗС")*'Цены|Скидки'!$B$34),'Цены|Скидки'!$C$34,0%))))</f>
        <v/>
      </c>
      <c r="H29" s="157">
        <f>D$12</f>
        <v/>
      </c>
      <c r="I29" s="157" t="n"/>
      <c r="J29" s="171">
        <f>IF(D29=0,0,1-K29/F29)</f>
        <v/>
      </c>
      <c r="K29" s="870">
        <f>F29*(1-G29)*(1-H29)*(1-IF($AC$2="РА",$AD$2,0))*(1-IF(OR($AC$3="Доп скидка",$AC$3="Сезонная скидка",$AC$3="Welcome скидка")=TRUE,$AD$3,0))</f>
        <v/>
      </c>
      <c r="L29" s="870">
        <f>K29+M29</f>
        <v/>
      </c>
      <c r="M29" s="870">
        <f>K29*0.2</f>
        <v/>
      </c>
      <c r="N29" s="241">
        <f>D29*$L$7*1210</f>
        <v/>
      </c>
      <c r="O29" s="886">
        <f>IF(N29=0,0,(K29/N29*1000)/$D$7*10)</f>
        <v/>
      </c>
    </row>
    <row r="30" ht="23.25" customFormat="1" customHeight="1" s="212">
      <c r="B30" s="444" t="inlineStr">
        <is>
          <t>Алтайский край</t>
        </is>
      </c>
      <c r="C30" s="214" t="inlineStr">
        <is>
          <t>Газпромнефть</t>
        </is>
      </c>
      <c r="D30" s="170">
        <f>IF(C30="АЗС",SUMIFS('Адресная программа'!$O$20:$O$4940,'Адресная программа'!$L$20:$L$4940,1,'Адресная программа'!$C$20:$C$4940,АЗС!B30,'Адресная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программа'!$C$20:$C$4940,АЗС!B30,'Адресная программа'!$G$20:$G$4940,АЗС!C30,'Адресная программа'!$F$20:$F$4940,"АЗС"))</f>
        <v/>
      </c>
      <c r="E30" s="870">
        <f>'Цены|Скидки'!$I$11/15*$L$9</f>
        <v/>
      </c>
      <c r="F30" s="870">
        <f>E30*$L$7*D30</f>
        <v/>
      </c>
      <c r="G30" s="157">
        <f>IF(D30=SUMIFS('Адресная программа'!$K$20:$K$4940,'Адресная программа'!$L$20:$L$4940,1,'Адресная программа'!$C$20:$C$4940,АЗС!B30,'Адресная программа'!$G$20:$G$4940,"=Газпромнефть",'Адресная программа'!$F$20:$F$4940,"АЗС"),'Цены|Скидки'!$C$43,IF(D30&gt;=(SUMIFS('Адресная программа'!$K$20:$K$4940,'Адресная программа'!$L$20:$L$4940,1,'Адресная программа'!$C$20:$C$4940,АЗС!B30,'Адресная программа'!$G$20:$G$4940,"=Газпромнефть",'Адресная программа'!$F$20:$F$4940,"АЗС")*'Цены|Скидки'!$B$44),'Цены|Скидки'!$C$44,IF(D30&gt;=(SUMIFS('Адресная программа'!$K$20:$K$4940,'Адресная программа'!$L$20:$L$4940,1,'Адресная программа'!$C$20:$C$4940,АЗС!B30,'Адресная программа'!$G$20:$G$4940,"=Газпромнефть",'Адресная программа'!$F$20:$F$4940,"АЗС")*'Цены|Скидки'!$B$45),'Цены|Скидки'!$C$45,IF(D30&gt;=(SUMIFS('Адресная программа'!$K$20:$K$4940,'Адресная программа'!$L$20:$L$4940,1,'Адресная программа'!$C$20:$C$4940,АЗС!B30,'Адресная программа'!$G$20:$G$4940,"=Газпромнефть",'Адресная программа'!$F$20:$F$4940,"АЗС")*'Цены|Скидки'!$B$46),'Цены|Скидки'!$C$46,0%))))</f>
        <v/>
      </c>
      <c r="H30" s="157">
        <f>$D$12</f>
        <v/>
      </c>
      <c r="I30" s="157">
        <f>'Адресная программа'!Y19</f>
        <v/>
      </c>
      <c r="J30" s="171">
        <f>IF(D30=0,0,1-K30/F30)</f>
        <v/>
      </c>
      <c r="K30" s="870">
        <f>F30*(1-G30)*(1-H30)*(1-IF($AC$2="РА",$AD$2,0))*(1-IF(OR($AC$3="Доп скидка",$AC$3="Сезонная скидка",$AC$3="Welcome скидка")=TRUE,$AD$3,0))*(1-'Адресная программа'!Y19)</f>
        <v/>
      </c>
      <c r="L30" s="870">
        <f>K30+M30</f>
        <v/>
      </c>
      <c r="M30" s="870">
        <f>K30*0.2</f>
        <v/>
      </c>
      <c r="N30" s="241">
        <f>D30*$L$7*1210</f>
        <v/>
      </c>
      <c r="O30" s="886">
        <f>IF(N30=0,0,(K30/N30*1000)/$D$7*10)</f>
        <v/>
      </c>
    </row>
    <row r="31" ht="16.05" customFormat="1" customHeight="1" s="212">
      <c r="B31" s="418" t="inlineStr">
        <is>
          <t>Белгород</t>
        </is>
      </c>
      <c r="C31" s="214" t="inlineStr">
        <is>
          <t>Роснефть</t>
        </is>
      </c>
      <c r="D31" s="170">
        <f>IF(C31="АЗС",SUMIFS('Адресная программа'!$O$20:$O$4940,'Адресная программа'!$L$20:$L$4940,1,'Адресная программа'!$C$20:$C$4940,АЗС!B31,'Адресная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программа'!$C$20:$C$4940,АЗС!B31,'Адресная программа'!$G$20:$G$4940,АЗС!C31,'Адресная программа'!$F$20:$F$4940,"АЗС"))</f>
        <v/>
      </c>
      <c r="E31" s="870">
        <f>'Цены|Скидки'!$F$11/15*$L$9</f>
        <v/>
      </c>
      <c r="F31" s="870">
        <f>E31*$L$7*D31</f>
        <v/>
      </c>
      <c r="G31" s="157">
        <f>IF(D31=SUMIFS('Адресная программа'!$K$20:$K$4940,'Адресная программа'!$L$20:$L$4940,1,'Адресная программа'!$C$20:$C$4940,АЗС!B31,'Адресная программа'!$G$20:$G$4940,"&lt;&gt;Газпромнефть",'Адресная программа'!$F$20:$F$4940,"АЗС"),'Цены|Скидки'!$C$31,IF(D31&gt;=(SUMIFS('Адресная программа'!$K$20:$K$4940,'Адресная программа'!$L$20:$L$4940,1,'Адресная программа'!$C$20:$C$4940,АЗС!B31,'Адресная программа'!$G$20:$G$4940,"&lt;&gt;Газпромнефть",'Адресная программа'!$F$20:$F$4940,"АЗС")*'Цены|Скидки'!$B$32),'Цены|Скидки'!$C$32,IF(D31&gt;=(SUMIFS('Адресная программа'!$K$20:$K$4940,'Адресная программа'!$L$20:$L$4940,1,'Адресная программа'!$C$20:$C$4940,АЗС!B31,'Адресная программа'!$G$20:$G$4940,"&lt;&gt;Газпромнефть",'Адресная программа'!$F$20:$F$4940,"АЗС")*'Цены|Скидки'!$B$33),'Цены|Скидки'!$C$33,IF(D31&gt;=(SUMIFS('Адресная программа'!$K$20:$K$4940,'Адресная программа'!$L$20:$L$4940,1,'Адресная программа'!$C$20:$C$4940,АЗС!B31,'Адресная программа'!$G$20:$G$4940,"&lt;&gt;Газпромнефть",'Адресная программа'!$F$20:$F$4940,"АЗС")*'Цены|Скидки'!$B$34),'Цены|Скидки'!$C$34,0%))))</f>
        <v/>
      </c>
      <c r="H31" s="157">
        <f>D$12</f>
        <v/>
      </c>
      <c r="I31" s="157" t="n"/>
      <c r="J31" s="171">
        <f>IF(D31=0,0,1-K31/F31)</f>
        <v/>
      </c>
      <c r="K31" s="870">
        <f>F31*(1-G31)*(1-H31)*(1-IF($AC$2="РА",$AD$2,0))*(1-IF(OR($AC$3="Доп скидка",$AC$3="Сезонная скидка",$AC$3="Welcome скидка")=TRUE,$AD$3,0))</f>
        <v/>
      </c>
      <c r="L31" s="870">
        <f>K31+M31</f>
        <v/>
      </c>
      <c r="M31" s="870">
        <f>K31*0.2</f>
        <v/>
      </c>
      <c r="N31" s="241">
        <f>D31*L$7*1195</f>
        <v/>
      </c>
      <c r="O31" s="886">
        <f>IF(N31=0,0,(K31/N31*1000)/$D$7*10)</f>
        <v/>
      </c>
    </row>
    <row r="32" ht="16.05" customFormat="1" customHeight="1" s="212">
      <c r="B32" s="418" t="inlineStr">
        <is>
          <t>Брянск</t>
        </is>
      </c>
      <c r="C32" s="214" t="inlineStr">
        <is>
          <t>Роснефть</t>
        </is>
      </c>
      <c r="D32" s="170">
        <f>IF(C32="АЗС",SUMIFS('Адресная программа'!$O$20:$O$4940,'Адресная программа'!$L$20:$L$4940,1,'Адресная программа'!$C$20:$C$4940,АЗС!B32,'Адресная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программа'!$C$20:$C$4940,АЗС!B32,'Адресная программа'!$G$20:$G$4940,АЗС!C32,'Адресная программа'!$F$20:$F$4940,"АЗС"))</f>
        <v/>
      </c>
      <c r="E32" s="870">
        <f>'Цены|Скидки'!$F$11/15*$L$9</f>
        <v/>
      </c>
      <c r="F32" s="870">
        <f>E32*$L$7*D32</f>
        <v/>
      </c>
      <c r="G32" s="157">
        <f>IF(D32=SUMIFS('Адресная программа'!$K$20:$K$4940,'Адресная программа'!$L$20:$L$4940,1,'Адресная программа'!$C$20:$C$4940,АЗС!B32,'Адресная программа'!$G$20:$G$4940,"&lt;&gt;Газпромнефть",'Адресная программа'!$F$20:$F$4940,"АЗС"),'Цены|Скидки'!$C$31,IF(D32&gt;=(SUMIFS('Адресная программа'!$K$20:$K$4940,'Адресная программа'!$L$20:$L$4940,1,'Адресная программа'!$C$20:$C$4940,АЗС!B32,'Адресная программа'!$G$20:$G$4940,"&lt;&gt;Газпромнефть",'Адресная программа'!$F$20:$F$4940,"АЗС")*'Цены|Скидки'!$B$32),'Цены|Скидки'!$C$32,IF(D32&gt;=(SUMIFS('Адресная программа'!$K$20:$K$4940,'Адресная программа'!$L$20:$L$4940,1,'Адресная программа'!$C$20:$C$4940,АЗС!B32,'Адресная программа'!$G$20:$G$4940,"&lt;&gt;Газпромнефть",'Адресная программа'!$F$20:$F$4940,"АЗС")*'Цены|Скидки'!$B$33),'Цены|Скидки'!$C$33,IF(D32&gt;=(SUMIFS('Адресная программа'!$K$20:$K$4940,'Адресная программа'!$L$20:$L$4940,1,'Адресная программа'!$C$20:$C$4940,АЗС!B32,'Адресная программа'!$G$20:$G$4940,"&lt;&gt;Газпромнефть",'Адресная программа'!$F$20:$F$4940,"АЗС")*'Цены|Скидки'!$B$34),'Цены|Скидки'!$C$34,0%))))</f>
        <v/>
      </c>
      <c r="H32" s="157">
        <f>D$12</f>
        <v/>
      </c>
      <c r="I32" s="157" t="n"/>
      <c r="J32" s="171">
        <f>IF(D32=0,0,1-K32/F32)</f>
        <v/>
      </c>
      <c r="K32" s="870">
        <f>F32*(1-G32)*(1-H32)*(1-IF($AC$2="РА",$AD$2,0))*(1-IF(OR($AC$3="Доп скидка",$AC$3="Сезонная скидка",$AC$3="Welcome скидка")=TRUE,$AD$3,0))</f>
        <v/>
      </c>
      <c r="L32" s="870">
        <f>K32+M32</f>
        <v/>
      </c>
      <c r="M32" s="870">
        <f>K32*0.2</f>
        <v/>
      </c>
      <c r="N32" s="241">
        <f>D32*L$7*1015</f>
        <v/>
      </c>
      <c r="O32" s="886">
        <f>IF(N32=0,0,(K32/N32*1000)/$D$7*10)</f>
        <v/>
      </c>
    </row>
    <row r="33" ht="16.05" customFormat="1" customHeight="1" s="212">
      <c r="B33" s="418" t="inlineStr">
        <is>
          <t>Владимир</t>
        </is>
      </c>
      <c r="C33" s="214" t="inlineStr">
        <is>
          <t>Роснефть</t>
        </is>
      </c>
      <c r="D33" s="170">
        <f>IF(C33="АЗС",SUMIFS('Адресная программа'!$O$20:$O$4940,'Адресная программа'!$L$20:$L$4940,1,'Адресная программа'!$C$20:$C$4940,АЗС!B33,'Адресная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программа'!$C$20:$C$4940,АЗС!B33,'Адресная программа'!$G$20:$G$4940,АЗС!C33,'Адресная программа'!$F$20:$F$4940,"АЗС"))</f>
        <v/>
      </c>
      <c r="E33" s="870">
        <f>'Цены|Скидки'!$F$11/15*$L$9</f>
        <v/>
      </c>
      <c r="F33" s="870">
        <f>E33*$L$7*D33</f>
        <v/>
      </c>
      <c r="G33" s="157">
        <f>IF(D33=SUMIFS('Адресная программа'!$K$20:$K$4940,'Адресная программа'!$L$20:$L$4940,1,'Адресная программа'!$C$20:$C$4940,АЗС!B33,'Адресная программа'!$G$20:$G$4940,"&lt;&gt;Газпромнефть",'Адресная программа'!$F$20:$F$4940,"АЗС"),'Цены|Скидки'!$C$31,IF(D33&gt;=(SUMIFS('Адресная программа'!$K$20:$K$4940,'Адресная программа'!$L$20:$L$4940,1,'Адресная программа'!$C$20:$C$4940,АЗС!B33,'Адресная программа'!$G$20:$G$4940,"&lt;&gt;Газпромнефть",'Адресная программа'!$F$20:$F$4940,"АЗС")*'Цены|Скидки'!$B$32),'Цены|Скидки'!$C$32,IF(D33&gt;=(SUMIFS('Адресная программа'!$K$20:$K$4940,'Адресная программа'!$L$20:$L$4940,1,'Адресная программа'!$C$20:$C$4940,АЗС!B33,'Адресная программа'!$G$20:$G$4940,"&lt;&gt;Газпромнефть",'Адресная программа'!$F$20:$F$4940,"АЗС")*'Цены|Скидки'!$B$33),'Цены|Скидки'!$C$33,IF(D33&gt;=(SUMIFS('Адресная программа'!$K$20:$K$4940,'Адресная программа'!$L$20:$L$4940,1,'Адресная программа'!$C$20:$C$4940,АЗС!B33,'Адресная программа'!$G$20:$G$4940,"&lt;&gt;Газпромнефть",'Адресная программа'!$F$20:$F$4940,"АЗС")*'Цены|Скидки'!$B$34),'Цены|Скидки'!$C$34,0%))))</f>
        <v/>
      </c>
      <c r="H33" s="157">
        <f>D$12</f>
        <v/>
      </c>
      <c r="I33" s="157" t="n"/>
      <c r="J33" s="171">
        <f>IF(D33=0,0,1-K33/F33)</f>
        <v/>
      </c>
      <c r="K33" s="870">
        <f>F33*(1-G33)*(1-H33)*(1-IF($AC$2="РА",$AD$2,0))*(1-IF(OR($AC$3="Доп скидка",$AC$3="Сезонная скидка",$AC$3="Welcome скидка")=TRUE,$AD$3,0))</f>
        <v/>
      </c>
      <c r="L33" s="870">
        <f>K33+M33</f>
        <v/>
      </c>
      <c r="M33" s="870">
        <f>K33*0.2</f>
        <v/>
      </c>
      <c r="N33" s="241">
        <f>D33*L$7*1090</f>
        <v/>
      </c>
      <c r="O33" s="886">
        <f>IF(N33=0,0,(K33/N33*1000)/$D$7*10)</f>
        <v/>
      </c>
    </row>
    <row r="34" ht="60" customFormat="1" customHeight="1" s="212">
      <c r="B34" s="444" t="inlineStr">
        <is>
          <t>ЦФО (Калуга, Тула, Тверь, Рязань,Смоленск,Владимир,Воронеж, Ярославль)</t>
        </is>
      </c>
      <c r="C34" s="214" t="inlineStr">
        <is>
          <t>Газпромнефть</t>
        </is>
      </c>
      <c r="D34" s="170">
        <f>IF(C34="АЗС",SUMIFS('Адресная программа'!$O$20:$O$4940,'Адресная программа'!$L$20:$L$4940,1,'Адресная программа'!$C$20:$C$4940,АЗС!B34,'Адресная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программа'!$C$20:$C$4940,АЗС!B34,'Адресная программа'!$G$20:$G$4940,АЗС!C34,'Адресная программа'!$F$20:$F$4940,"АЗС"))</f>
        <v/>
      </c>
      <c r="E34" s="870">
        <f>'Цены|Скидки'!$I$11/15*$L$9</f>
        <v/>
      </c>
      <c r="F34" s="870">
        <f>E34*$L$7*D34</f>
        <v/>
      </c>
      <c r="G34" s="157">
        <f>IF(D34=SUMIFS('Адресная программа'!$K$20:$K$4940,'Адресная программа'!$L$20:$L$4940,1,'Адресная программа'!$C$20:$C$4940,АЗС!B34,'Адресная программа'!$G$20:$G$4940,"=Газпромнефть",'Адресная программа'!$F$20:$F$4940,"АЗС"),'Цены|Скидки'!$C$43,IF(D34&gt;=(SUMIFS('Адресная программа'!$K$20:$K$4940,'Адресная программа'!$L$20:$L$4940,1,'Адресная программа'!$C$20:$C$4940,АЗС!B34,'Адресная программа'!$G$20:$G$4940,"=Газпромнефть",'Адресная программа'!$F$20:$F$4940,"АЗС")*'Цены|Скидки'!$B$44),'Цены|Скидки'!$C$44,IF(D34&gt;=(SUMIFS('Адресная программа'!$K$20:$K$4940,'Адресная программа'!$L$20:$L$4940,1,'Адресная программа'!$C$20:$C$4940,АЗС!B34,'Адресная программа'!$G$20:$G$4940,"=Газпромнефть",'Адресная программа'!$F$20:$F$4940,"АЗС")*'Цены|Скидки'!$B$45),'Цены|Скидки'!$C$45,IF(D34&gt;=(SUMIFS('Адресная программа'!$K$20:$K$4940,'Адресная программа'!$L$20:$L$4940,1,'Адресная программа'!$C$20:$C$4940,АЗС!B34,'Адресная программа'!$G$20:$G$4940,"=Газпромнефть",'Адресная программа'!$F$20:$F$4940,"АЗС")*'Цены|Скидки'!$B$46),'Цены|Скидки'!$C$46,0%))))</f>
        <v/>
      </c>
      <c r="H34" s="157">
        <f>D$12</f>
        <v/>
      </c>
      <c r="I34" s="157">
        <f>'Адресная программа'!Y19</f>
        <v/>
      </c>
      <c r="J34" s="171">
        <f>IF(D34=0,0,1-K34/F34)</f>
        <v/>
      </c>
      <c r="K34" s="870">
        <f>F34*(1-G34)*(1-H34)*(1-IF($AC$2="РА",$AD$2,0))*(1-IF(OR($AC$3="Доп скидка",$AC$3="Сезонная скидка",$AC$3="Welcome скидка")=TRUE,$AD$3,0))*(1-'Адресная программа'!Y19)</f>
        <v/>
      </c>
      <c r="L34" s="870">
        <f>K34+M34</f>
        <v/>
      </c>
      <c r="M34" s="870">
        <f>K34*0.2</f>
        <v/>
      </c>
      <c r="N34" s="241">
        <f>D34*L$7*1090</f>
        <v/>
      </c>
      <c r="O34" s="886">
        <f>IF(N34=0,0,(K34/N34*1000)/$D$7*10)</f>
        <v/>
      </c>
    </row>
    <row r="35" ht="16.05" customFormat="1" customHeight="1" s="212">
      <c r="B35" s="418" t="inlineStr">
        <is>
          <t>Владикавказ</t>
        </is>
      </c>
      <c r="C35" s="214" t="inlineStr">
        <is>
          <t>Лукойл</t>
        </is>
      </c>
      <c r="D35" s="170">
        <f>IF(C35="АЗС",SUMIFS('Адресная программа'!$O$20:$O$4940,'Адресная программа'!$L$20:$L$4940,1,'Адресная программа'!$C$20:$C$4940,АЗС!B35,'Адресная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программа'!$C$20:$C$4940,АЗС!B35,'Адресная программа'!$G$20:$G$4940,АЗС!C35,'Адресная программа'!$F$20:$F$4940,"АЗС"))</f>
        <v/>
      </c>
      <c r="E35" s="870">
        <f>'Цены|Скидки'!$F$11/15*$L$9</f>
        <v/>
      </c>
      <c r="F35" s="870">
        <f>E35*$L$7*D35</f>
        <v/>
      </c>
      <c r="G35" s="157">
        <f>IF(D35=SUMIFS('Адресная программа'!$K$20:$K$4940,'Адресная программа'!$L$20:$L$4940,1,'Адресная программа'!$C$20:$C$4940,АЗС!B35,'Адресная программа'!$G$20:$G$4940,"&lt;&gt;Газпромнефть",'Адресная программа'!$F$20:$F$4940,"АЗС"),'Цены|Скидки'!$C$31,IF(D35&gt;=(SUMIFS('Адресная программа'!$K$20:$K$4940,'Адресная программа'!$L$20:$L$4940,1,'Адресная программа'!$C$20:$C$4940,АЗС!B35,'Адресная программа'!$G$20:$G$4940,"&lt;&gt;Газпромнефть",'Адресная программа'!$F$20:$F$4940,"АЗС")*'Цены|Скидки'!$B$32),'Цены|Скидки'!$C$32,IF(D35&gt;=(SUMIFS('Адресная программа'!$K$20:$K$4940,'Адресная программа'!$L$20:$L$4940,1,'Адресная программа'!$C$20:$C$4940,АЗС!B35,'Адресная программа'!$G$20:$G$4940,"&lt;&gt;Газпромнефть",'Адресная программа'!$F$20:$F$4940,"АЗС")*'Цены|Скидки'!$B$33),'Цены|Скидки'!$C$33,IF(D35&gt;=(SUMIFS('Адресная программа'!$K$20:$K$4940,'Адресная программа'!$L$20:$L$4940,1,'Адресная программа'!$C$20:$C$4940,АЗС!B35,'Адресная программа'!$G$20:$G$4940,"&lt;&gt;Газпромнефть",'Адресная программа'!$F$20:$F$4940,"АЗС")*'Цены|Скидки'!$B$34),'Цены|Скидки'!$C$34,0%))))</f>
        <v/>
      </c>
      <c r="H35" s="157">
        <f>D$12</f>
        <v/>
      </c>
      <c r="I35" s="157" t="n"/>
      <c r="J35" s="171">
        <f>IF(D35=0,0,1-K35/F35)</f>
        <v/>
      </c>
      <c r="K35" s="870">
        <f>F35*(1-G35)*(1-H35)*(1-IF($AC$2="РА",$AD$2,0))*(1-IF(OR($AC$3="Доп скидка",$AC$3="Сезонная скидка",$AC$3="Welcome скидка")=TRUE,$AD$3,0))</f>
        <v/>
      </c>
      <c r="L35" s="870">
        <f>K35+M35</f>
        <v/>
      </c>
      <c r="M35" s="870">
        <f>K35*0.2</f>
        <v/>
      </c>
      <c r="N35" s="241">
        <f>D35*$L$7*1045</f>
        <v/>
      </c>
      <c r="O35" s="886">
        <f>IF(N35=0,0,(K35/N35*1000)/$D$7*10)</f>
        <v/>
      </c>
    </row>
    <row r="36" ht="16.05" customFormat="1" customHeight="1" s="212">
      <c r="B36" s="418" t="inlineStr">
        <is>
          <t>Волгоград</t>
        </is>
      </c>
      <c r="C36" s="214" t="inlineStr">
        <is>
          <t>Роснефть</t>
        </is>
      </c>
      <c r="D36" s="170">
        <f>IF(C36="АЗС",SUMIFS('Адресная программа'!$O$20:$O$4940,'Адресная программа'!$L$20:$L$4940,1,'Адресная программа'!$C$20:$C$4940,АЗС!B36,'Адресная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программа'!$C$20:$C$4940,АЗС!B36,'Адресная программа'!$G$20:$G$4940,АЗС!C36,'Адресная программа'!$F$20:$F$4940,"АЗС"))</f>
        <v/>
      </c>
      <c r="E36" s="870">
        <f>'Цены|Скидки'!$F$11/15*$L$9</f>
        <v/>
      </c>
      <c r="F36" s="870">
        <f>E36*$L$7*D36</f>
        <v/>
      </c>
      <c r="G36" s="157">
        <f>IF(D36=SUMIFS('Адресная программа'!$K$20:$K$4940,'Адресная программа'!$L$20:$L$4940,1,'Адресная программа'!$C$20:$C$4940,АЗС!B36,'Адресная программа'!$G$20:$G$4940,"&lt;&gt;Газпромнефть",'Адресная программа'!$F$20:$F$4940,"АЗС"),'Цены|Скидки'!$C$31,IF(D36&gt;=(SUMIFS('Адресная программа'!$K$20:$K$4940,'Адресная программа'!$L$20:$L$4940,1,'Адресная программа'!$C$20:$C$4940,АЗС!B36,'Адресная программа'!$G$20:$G$4940,"&lt;&gt;Газпромнефть",'Адресная программа'!$F$20:$F$4940,"АЗС")*'Цены|Скидки'!$B$32),'Цены|Скидки'!$C$32,IF(D36&gt;=(SUMIFS('Адресная программа'!$K$20:$K$4940,'Адресная программа'!$L$20:$L$4940,1,'Адресная программа'!$C$20:$C$4940,АЗС!B36,'Адресная программа'!$G$20:$G$4940,"&lt;&gt;Газпромнефть",'Адресная программа'!$F$20:$F$4940,"АЗС")*'Цены|Скидки'!$B$33),'Цены|Скидки'!$C$33,IF(D36&gt;=(SUMIFS('Адресная программа'!$K$20:$K$4940,'Адресная программа'!$L$20:$L$4940,1,'Адресная программа'!$C$20:$C$4940,АЗС!B36,'Адресная программа'!$G$20:$G$4940,"&lt;&gt;Газпромнефть",'Адресная программа'!$F$20:$F$4940,"АЗС")*'Цены|Скидки'!$B$34),'Цены|Скидки'!$C$34,0%))))</f>
        <v/>
      </c>
      <c r="H36" s="157">
        <f>D$12</f>
        <v/>
      </c>
      <c r="I36" s="157" t="n"/>
      <c r="J36" s="171">
        <f>IF(D36=0,0,1-K36/F36)</f>
        <v/>
      </c>
      <c r="K36" s="870">
        <f>F36*(1-G36)*(1-H36)*(1-IF($AC$2="РА",$AD$2,0))*(1-IF(OR($AC$3="Доп скидка",$AC$3="Сезонная скидка",$AC$3="Welcome скидка")=TRUE,$AD$3,0))</f>
        <v/>
      </c>
      <c r="L36" s="870">
        <f>K36+M36</f>
        <v/>
      </c>
      <c r="M36" s="870">
        <f>K36*0.2</f>
        <v/>
      </c>
      <c r="N36" s="241">
        <f>D36*$L$7*1045</f>
        <v/>
      </c>
      <c r="O36" s="886">
        <f>IF(N36=0,0,(K36/N36*1000)/$D$7*10)</f>
        <v/>
      </c>
    </row>
    <row r="37" ht="16.05" customFormat="1" customHeight="1" s="212">
      <c r="B37" s="418" t="inlineStr">
        <is>
          <t>Воронеж</t>
        </is>
      </c>
      <c r="C37" s="214" t="inlineStr">
        <is>
          <t>Роснефть</t>
        </is>
      </c>
      <c r="D37" s="170">
        <f>IF(C37="АЗС",SUMIFS('Адресная программа'!$O$20:$O$4940,'Адресная программа'!$L$20:$L$4940,1,'Адресная программа'!$C$20:$C$4940,АЗС!B37,'Адресная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программа'!$C$20:$C$4940,АЗС!B37,'Адресная программа'!$G$20:$G$4940,АЗС!C37,'Адресная программа'!$F$20:$F$4940,"АЗС"))</f>
        <v/>
      </c>
      <c r="E37" s="870">
        <f>'Цены|Скидки'!$F$11/15*$L$9</f>
        <v/>
      </c>
      <c r="F37" s="870">
        <f>E37*$L$7*D37</f>
        <v/>
      </c>
      <c r="G37" s="157">
        <f>IF(D37=SUMIFS('Адресная программа'!$K$20:$K$4940,'Адресная программа'!$L$20:$L$4940,1,'Адресная программа'!$C$20:$C$4940,АЗС!B37,'Адресная программа'!$G$20:$G$4940,"&lt;&gt;Газпромнефть",'Адресная программа'!$F$20:$F$4940,"АЗС"),'Цены|Скидки'!$C$31,IF(D37&gt;=(SUMIFS('Адресная программа'!$K$20:$K$4940,'Адресная программа'!$L$20:$L$4940,1,'Адресная программа'!$C$20:$C$4940,АЗС!B37,'Адресная программа'!$G$20:$G$4940,"&lt;&gt;Газпромнефть",'Адресная программа'!$F$20:$F$4940,"АЗС")*'Цены|Скидки'!$B$32),'Цены|Скидки'!$C$32,IF(D37&gt;=(SUMIFS('Адресная программа'!$K$20:$K$4940,'Адресная программа'!$L$20:$L$4940,1,'Адресная программа'!$C$20:$C$4940,АЗС!B37,'Адресная программа'!$G$20:$G$4940,"&lt;&gt;Газпромнефть",'Адресная программа'!$F$20:$F$4940,"АЗС")*'Цены|Скидки'!$B$33),'Цены|Скидки'!$C$33,IF(D37&gt;=(SUMIFS('Адресная программа'!$K$20:$K$4940,'Адресная программа'!$L$20:$L$4940,1,'Адресная программа'!$C$20:$C$4940,АЗС!B37,'Адресная программа'!$G$20:$G$4940,"&lt;&gt;Газпромнефть",'Адресная программа'!$F$20:$F$4940,"АЗС")*'Цены|Скидки'!$B$34),'Цены|Скидки'!$C$34,0%))))</f>
        <v/>
      </c>
      <c r="H37" s="157">
        <f>D$12</f>
        <v/>
      </c>
      <c r="I37" s="157" t="n"/>
      <c r="J37" s="171">
        <f>IF(D37=0,0,1-K37/F37)</f>
        <v/>
      </c>
      <c r="K37" s="870">
        <f>F37*(1-G37)*(1-H37)*(1-IF($AC$2="РА",$AD$2,0))*(1-IF(OR($AC$3="Доп скидка",$AC$3="Сезонная скидка",$AC$3="Welcome скидка")=TRUE,$AD$3,0))</f>
        <v/>
      </c>
      <c r="L37" s="870">
        <f>K37+M37</f>
        <v/>
      </c>
      <c r="M37" s="870">
        <f>K37*0.2</f>
        <v/>
      </c>
      <c r="N37" s="241">
        <f>D37*L$7*1155</f>
        <v/>
      </c>
      <c r="O37" s="886">
        <f>IF(N37=0,0,(K37/N37*1000)/$D$7*10)</f>
        <v/>
      </c>
    </row>
    <row r="38" ht="16.05" customFormat="1" customHeight="1" s="212">
      <c r="B38" s="418" t="inlineStr">
        <is>
          <t>Екатеринбург</t>
        </is>
      </c>
      <c r="C38" s="214" t="inlineStr">
        <is>
          <t>Башнефть</t>
        </is>
      </c>
      <c r="D38" s="170">
        <f>IF(C38="АЗС",SUMIFS('Адресная программа'!$O$20:$O$4940,'Адресная программа'!$L$20:$L$4940,1,'Адресная программа'!$C$20:$C$4940,АЗС!B38,'Адресная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программа'!$C$20:$C$4940,АЗС!B38,'Адресная программа'!$G$20:$G$4940,АЗС!C38,'Адресная программа'!$F$20:$F$4940,"АЗС"))</f>
        <v/>
      </c>
      <c r="E38" s="870">
        <f>'Цены|Скидки'!$F$11/15*$L$9</f>
        <v/>
      </c>
      <c r="F38" s="870">
        <f>E38*$L$7*D38</f>
        <v/>
      </c>
      <c r="G38" s="157">
        <f>IF(D38=SUMIFS('Адресная программа'!$K$20:$K$4940,'Адресная программа'!$L$20:$L$4940,1,'Адресная программа'!$C$20:$C$4940,АЗС!B38,'Адресная программа'!$G$20:$G$4940,"&lt;&gt;Газпромнефть",'Адресная программа'!$F$20:$F$4940,"АЗС"),'Цены|Скидки'!$C$31,IF(D38&gt;=(SUMIFS('Адресная программа'!$K$20:$K$4940,'Адресная программа'!$L$20:$L$4940,1,'Адресная программа'!$C$20:$C$4940,АЗС!B38,'Адресная программа'!$G$20:$G$4940,"&lt;&gt;Газпромнефть",'Адресная программа'!$F$20:$F$4940,"АЗС")*'Цены|Скидки'!$B$32),'Цены|Скидки'!$C$32,IF(D38&gt;=(SUMIFS('Адресная программа'!$K$20:$K$4940,'Адресная программа'!$L$20:$L$4940,1,'Адресная программа'!$C$20:$C$4940,АЗС!B38,'Адресная программа'!$G$20:$G$4940,"&lt;&gt;Газпромнефть",'Адресная программа'!$F$20:$F$4940,"АЗС")*'Цены|Скидки'!$B$33),'Цены|Скидки'!$C$33,IF(D38&gt;=(SUMIFS('Адресная программа'!$K$20:$K$4940,'Адресная программа'!$L$20:$L$4940,1,'Адресная программа'!$C$20:$C$4940,АЗС!B38,'Адресная программа'!$G$20:$G$4940,"&lt;&gt;Газпромнефть",'Адресная программа'!$F$20:$F$4940,"АЗС")*'Цены|Скидки'!$B$34),'Цены|Скидки'!$C$34,0%))))</f>
        <v/>
      </c>
      <c r="H38" s="157">
        <f>D$12</f>
        <v/>
      </c>
      <c r="I38" s="157" t="n"/>
      <c r="J38" s="171">
        <f>IF(D38=0,0,1-K38/F38)</f>
        <v/>
      </c>
      <c r="K38" s="870">
        <f>F38*(1-G38)*(1-H38)*(1-IF($AC$2="РА",$AD$2,0))*(1-IF(OR($AC$3="Доп скидка",$AC$3="Сезонная скидка",$AC$3="Welcome скидка")=TRUE,$AD$3,0))</f>
        <v/>
      </c>
      <c r="L38" s="870">
        <f>K38+M38</f>
        <v/>
      </c>
      <c r="M38" s="887">
        <f>K38*0.2</f>
        <v/>
      </c>
      <c r="N38" s="241">
        <f>D38*L$7*1260</f>
        <v/>
      </c>
      <c r="O38" s="886">
        <f>IF(N38=0,0,(K38/N38*1000)/$D$7*10)</f>
        <v/>
      </c>
    </row>
    <row r="39" ht="16.05" customFormat="1" customHeight="1" s="212">
      <c r="B39" s="418" t="inlineStr">
        <is>
          <t>Екатеринбург</t>
        </is>
      </c>
      <c r="C39" s="214" t="inlineStr">
        <is>
          <t>Газпромнефть</t>
        </is>
      </c>
      <c r="D39" s="170">
        <f>IF(C39="АЗС",SUMIFS('Адресная программа'!$O$20:$O$4940,'Адресная программа'!$L$20:$L$4940,1,'Адресная программа'!$C$20:$C$4940,АЗС!B39,'Адресная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программа'!$C$20:$C$4940,АЗС!B39,'Адресная программа'!$G$20:$G$4940,АЗС!C39,'Адресная программа'!$F$20:$F$4940,"АЗС"))</f>
        <v/>
      </c>
      <c r="E39" s="870">
        <f>'Цены|Скидки'!$I$11/15*$L$9</f>
        <v/>
      </c>
      <c r="F39" s="870">
        <f>E39*$L$7*D39</f>
        <v/>
      </c>
      <c r="G39" s="157">
        <f>IF(D39=SUMIFS('Адресная программа'!$K$20:$K$4940,'Адресная программа'!$L$20:$L$4940,1,'Адресная программа'!$C$20:$C$4940,АЗС!B39,'Адресная программа'!$G$20:$G$4940,"=Газпромнефть",'Адресная программа'!$F$20:$F$4940,"АЗС"),'Цены|Скидки'!$C$43,IF(D39&gt;=(SUMIFS('Адресная программа'!$K$20:$K$4940,'Адресная программа'!$L$20:$L$4940,1,'Адресная программа'!$C$20:$C$4940,АЗС!B39,'Адресная программа'!$G$20:$G$4940,"=Газпромнефть",'Адресная программа'!$F$20:$F$4940,"АЗС")*'Цены|Скидки'!$B$44),'Цены|Скидки'!$C$44,IF(D39&gt;=(SUMIFS('Адресная программа'!$K$20:$K$4940,'Адресная программа'!$L$20:$L$4940,1,'Адресная программа'!$C$20:$C$4940,АЗС!B39,'Адресная программа'!$G$20:$G$4940,"=Газпромнефть",'Адресная программа'!$F$20:$F$4940,"АЗС")*'Цены|Скидки'!$B$45),'Цены|Скидки'!$C$45,IF(D39&gt;=(SUMIFS('Адресная программа'!$K$20:$K$4940,'Адресная программа'!$L$20:$L$4940,1,'Адресная программа'!$C$20:$C$4940,АЗС!B39,'Адресная программа'!$G$20:$G$4940,"=Газпромнефть",'Адресная программа'!$F$20:$F$4940,"АЗС")*'Цены|Скидки'!$B$46),'Цены|Скидки'!$C$46,0%))))</f>
        <v/>
      </c>
      <c r="H39" s="157">
        <f>$D$12</f>
        <v/>
      </c>
      <c r="I39" s="157">
        <f>'Адресная программа'!Y19</f>
        <v/>
      </c>
      <c r="J39" s="171">
        <f>IF(D39=0,0,1-K39/F39)</f>
        <v/>
      </c>
      <c r="K39" s="870">
        <f>F39*(1-G39)*(1-H39)*(1-IF($AC$2="РА",$AD$2,0))*(1-IF(OR($AC$3="Доп скидка",$AC$3="Сезонная скидка",$AC$3="Welcome скидка")=TRUE,$AD$3,0))*(1-'Адресная программа'!Y19)</f>
        <v/>
      </c>
      <c r="L39" s="870">
        <f>K39+M39</f>
        <v/>
      </c>
      <c r="M39" s="870">
        <f>K39*0.2</f>
        <v/>
      </c>
      <c r="N39" s="241">
        <f>D39*$L$7*1210</f>
        <v/>
      </c>
      <c r="O39" s="886">
        <f>IF(N39=0,0,(K39/N39*1000)/$D$7*10)</f>
        <v/>
      </c>
    </row>
    <row r="40" ht="16.05" customFormat="1" customHeight="1" s="212">
      <c r="B40" s="418" t="inlineStr">
        <is>
          <t>Ижевск</t>
        </is>
      </c>
      <c r="C40" s="214" t="inlineStr">
        <is>
          <t>Башнефть</t>
        </is>
      </c>
      <c r="D40" s="170">
        <f>IF(C40="АЗС",SUMIFS('Адресная программа'!$O$20:$O$4940,'Адресная программа'!$L$20:$L$4940,1,'Адресная программа'!$C$20:$C$4940,АЗС!B40,'Адресная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программа'!$C$20:$C$4940,АЗС!B40,'Адресная программа'!$G$20:$G$4940,АЗС!C40,'Адресная программа'!$F$20:$F$4940,"АЗС"))</f>
        <v/>
      </c>
      <c r="E40" s="870">
        <f>'Цены|Скидки'!$F$11/15*$L$9</f>
        <v/>
      </c>
      <c r="F40" s="870">
        <f>E40*$L$7*D40</f>
        <v/>
      </c>
      <c r="G40" s="157">
        <f>IF(D40=SUMIFS('Адресная программа'!$K$20:$K$4940,'Адресная программа'!$L$20:$L$4940,1,'Адресная программа'!$C$20:$C$4940,АЗС!B40,'Адресная программа'!$G$20:$G$4940,"&lt;&gt;Газпромнефть",'Адресная программа'!$F$20:$F$4940,"АЗС"),'Цены|Скидки'!$C$31,IF(D40&gt;=(SUMIFS('Адресная программа'!$K$20:$K$4940,'Адресная программа'!$L$20:$L$4940,1,'Адресная программа'!$C$20:$C$4940,АЗС!B40,'Адресная программа'!$G$20:$G$4940,"&lt;&gt;Газпромнефть",'Адресная программа'!$F$20:$F$4940,"АЗС")*'Цены|Скидки'!$B$32),'Цены|Скидки'!$C$32,IF(D40&gt;=(SUMIFS('Адресная программа'!$K$20:$K$4940,'Адресная программа'!$L$20:$L$4940,1,'Адресная программа'!$C$20:$C$4940,АЗС!B40,'Адресная программа'!$G$20:$G$4940,"&lt;&gt;Газпромнефть",'Адресная программа'!$F$20:$F$4940,"АЗС")*'Цены|Скидки'!$B$33),'Цены|Скидки'!$C$33,IF(D40&gt;=(SUMIFS('Адресная программа'!$K$20:$K$4940,'Адресная программа'!$L$20:$L$4940,1,'Адресная программа'!$C$20:$C$4940,АЗС!B40,'Адресная программа'!$G$20:$G$4940,"&lt;&gt;Газпромнефть",'Адресная программа'!$F$20:$F$4940,"АЗС")*'Цены|Скидки'!$B$34),'Цены|Скидки'!$C$34,0%))))</f>
        <v/>
      </c>
      <c r="H40" s="157">
        <f>D$12</f>
        <v/>
      </c>
      <c r="I40" s="157" t="n"/>
      <c r="J40" s="171">
        <f>IF(D40=0,0,1-K40/F40)</f>
        <v/>
      </c>
      <c r="K40" s="870">
        <f>F40*(1-G40)*(1-H40)*(1-IF($AC$2="РА",$AD$2,0))*(1-IF(OR($AC$3="Доп скидка",$AC$3="Сезонная скидка",$AC$3="Welcome скидка")=TRUE,$AD$3,0))</f>
        <v/>
      </c>
      <c r="L40" s="870">
        <f>K40+M40</f>
        <v/>
      </c>
      <c r="M40" s="870">
        <f>K40*0.2</f>
        <v/>
      </c>
      <c r="N40" s="241">
        <f>D40*L$7*1085</f>
        <v/>
      </c>
      <c r="O40" s="886">
        <f>IF(N40=0,0,(K40/N40*1000)/$D$7*10)</f>
        <v/>
      </c>
    </row>
    <row r="41" ht="16.05" customFormat="1" customHeight="1" s="212">
      <c r="B41" s="418" t="inlineStr">
        <is>
          <t>Иркутск</t>
        </is>
      </c>
      <c r="C41" s="214" t="inlineStr">
        <is>
          <t>Роснефть</t>
        </is>
      </c>
      <c r="D41" s="170">
        <f>IF(C41="АЗС",SUMIFS('Адресная программа'!$O$20:$O$4940,'Адресная программа'!$L$20:$L$4940,1,'Адресная программа'!$C$20:$C$4940,АЗС!B41,'Адресная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программа'!$C$20:$C$4940,АЗС!B41,'Адресная программа'!$G$20:$G$4940,АЗС!C41,'Адресная программа'!$F$20:$F$4940,"АЗС"))</f>
        <v/>
      </c>
      <c r="E41" s="870">
        <f>'Цены|Скидки'!$F$11/15*$L$9</f>
        <v/>
      </c>
      <c r="F41" s="870">
        <f>E41*$L$7*D41</f>
        <v/>
      </c>
      <c r="G41" s="157">
        <f>IF(D41=SUMIFS('Адресная программа'!$K$20:$K$4940,'Адресная программа'!$L$20:$L$4940,1,'Адресная программа'!$C$20:$C$4940,АЗС!B41,'Адресная программа'!$G$20:$G$4940,"&lt;&gt;Газпромнефть",'Адресная программа'!$F$20:$F$4940,"АЗС"),'Цены|Скидки'!$C$31,IF(D41&gt;=(SUMIFS('Адресная программа'!$K$20:$K$4940,'Адресная программа'!$L$20:$L$4940,1,'Адресная программа'!$C$20:$C$4940,АЗС!B41,'Адресная программа'!$G$20:$G$4940,"&lt;&gt;Газпромнефть",'Адресная программа'!$F$20:$F$4940,"АЗС")*'Цены|Скидки'!$B$32),'Цены|Скидки'!$C$32,IF(D41&gt;=(SUMIFS('Адресная программа'!$K$20:$K$4940,'Адресная программа'!$L$20:$L$4940,1,'Адресная программа'!$C$20:$C$4940,АЗС!B41,'Адресная программа'!$G$20:$G$4940,"&lt;&gt;Газпромнефть",'Адресная программа'!$F$20:$F$4940,"АЗС")*'Цены|Скидки'!$B$33),'Цены|Скидки'!$C$33,IF(D41&gt;=(SUMIFS('Адресная программа'!$K$20:$K$4940,'Адресная программа'!$L$20:$L$4940,1,'Адресная программа'!$C$20:$C$4940,АЗС!B41,'Адресная программа'!$G$20:$G$4940,"&lt;&gt;Газпромнефть",'Адресная программа'!$F$20:$F$4940,"АЗС")*'Цены|Скидки'!$B$34),'Цены|Скидки'!$C$34,0%))))</f>
        <v/>
      </c>
      <c r="H41" s="157">
        <f>D$12</f>
        <v/>
      </c>
      <c r="I41" s="157" t="n"/>
      <c r="J41" s="171">
        <f>IF(D41=0,0,1-K41/F41)</f>
        <v/>
      </c>
      <c r="K41" s="870">
        <f>F41*(1-G41)*(1-H41)*(1-IF($AC$2="РА",$AD$2,0))*(1-IF(OR($AC$3="Доп скидка",$AC$3="Сезонная скидка",$AC$3="Welcome скидка")=TRUE,$AD$3,0))</f>
        <v/>
      </c>
      <c r="L41" s="870">
        <f>K41+M41</f>
        <v/>
      </c>
      <c r="M41" s="870">
        <f>K41*0.2</f>
        <v/>
      </c>
      <c r="N41" s="241">
        <f>D41*L$7*1085</f>
        <v/>
      </c>
      <c r="O41" s="886">
        <f>IF(N41=0,0,(K41/N41*1000)/$D$7*10)</f>
        <v/>
      </c>
    </row>
    <row r="42" ht="16.05" customFormat="1" customHeight="1" s="212">
      <c r="B42" s="418" t="inlineStr">
        <is>
          <t>Калуга</t>
        </is>
      </c>
      <c r="C42" s="214" t="inlineStr">
        <is>
          <t>Роснефть</t>
        </is>
      </c>
      <c r="D42" s="170">
        <f>IF(C42="АЗС",SUMIFS('Адресная программа'!$O$20:$O$4940,'Адресная программа'!$L$20:$L$4940,1,'Адресная программа'!$C$20:$C$4940,АЗС!B42,'Адресная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программа'!$C$20:$C$4940,АЗС!B42,'Адресная программа'!$G$20:$G$4940,АЗС!C42,'Адресная программа'!$F$20:$F$4940,"АЗС"))</f>
        <v/>
      </c>
      <c r="E42" s="870">
        <f>'Цены|Скидки'!$F$11/15*$L$9</f>
        <v/>
      </c>
      <c r="F42" s="870">
        <f>E42*$L$7*D42</f>
        <v/>
      </c>
      <c r="G42" s="157">
        <f>IF(D42=SUMIFS('Адресная программа'!$K$20:$K$4940,'Адресная программа'!$L$20:$L$4940,1,'Адресная программа'!$C$20:$C$4940,АЗС!B42,'Адресная программа'!$G$20:$G$4940,"&lt;&gt;Газпромнефть",'Адресная программа'!$F$20:$F$4940,"АЗС"),'Цены|Скидки'!$C$31,IF(D42&gt;=(SUMIFS('Адресная программа'!$K$20:$K$4940,'Адресная программа'!$L$20:$L$4940,1,'Адресная программа'!$C$20:$C$4940,АЗС!B42,'Адресная программа'!$G$20:$G$4940,"&lt;&gt;Газпромнефть",'Адресная программа'!$F$20:$F$4940,"АЗС")*'Цены|Скидки'!$B$32),'Цены|Скидки'!$C$32,IF(D42&gt;=(SUMIFS('Адресная программа'!$K$20:$K$4940,'Адресная программа'!$L$20:$L$4940,1,'Адресная программа'!$C$20:$C$4940,АЗС!B42,'Адресная программа'!$G$20:$G$4940,"&lt;&gt;Газпромнефть",'Адресная программа'!$F$20:$F$4940,"АЗС")*'Цены|Скидки'!$B$33),'Цены|Скидки'!$C$33,IF(D42&gt;=(SUMIFS('Адресная программа'!$K$20:$K$4940,'Адресная программа'!$L$20:$L$4940,1,'Адресная программа'!$C$20:$C$4940,АЗС!B42,'Адресная программа'!$G$20:$G$4940,"&lt;&gt;Газпромнефть",'Адресная программа'!$F$20:$F$4940,"АЗС")*'Цены|Скидки'!$B$34),'Цены|Скидки'!$C$34,0%))))</f>
        <v/>
      </c>
      <c r="H42" s="157">
        <f>D$12</f>
        <v/>
      </c>
      <c r="I42" s="157" t="n"/>
      <c r="J42" s="171">
        <f>IF(D42=0,0,1-K42/F42)</f>
        <v/>
      </c>
      <c r="K42" s="870">
        <f>F42*(1-G42)*(1-H42)*(1-IF($AC$2="РА",$AD$2,0))*(1-IF(OR($AC$3="Доп скидка",$AC$3="Сезонная скидка",$AC$3="Welcome скидка")=TRUE,$AD$3,0))</f>
        <v/>
      </c>
      <c r="L42" s="870">
        <f>K42+M42</f>
        <v/>
      </c>
      <c r="M42" s="887">
        <f>K42*0.2</f>
        <v/>
      </c>
      <c r="N42" s="241">
        <f>D42*L$7*1085</f>
        <v/>
      </c>
      <c r="O42" s="886">
        <f>IF(N42=0,0,(K42/N42*1000)/$D$7*10)</f>
        <v/>
      </c>
    </row>
    <row r="43" ht="16.05" customFormat="1" customHeight="1" s="212">
      <c r="B43" s="418" t="inlineStr">
        <is>
          <t>Татарстан</t>
        </is>
      </c>
      <c r="C43" s="214" t="inlineStr">
        <is>
          <t>АЗС</t>
        </is>
      </c>
      <c r="D43" s="170">
        <f>IF(C43="АЗС",SUMIFS('Адресная программа'!$O$20:$O$4940,'Адресная программа'!$L$20:$L$4940,1,'Адресная программа'!$C$20:$C$4940,АЗС!B43,'Адресная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программа'!$C$20:$C$4940,АЗС!B43,'Адресная программа'!$G$20:$G$4940,АЗС!C43,'Адресная программа'!$F$20:$F$4940,"АЗС"))</f>
        <v/>
      </c>
      <c r="E43" s="870">
        <f>'Цены|Скидки'!$F$11/15*$L$9</f>
        <v/>
      </c>
      <c r="F43" s="870">
        <f>E43*$L$7*D43</f>
        <v/>
      </c>
      <c r="G43" s="157">
        <f>IF(D43=SUMIFS('Адресная программа'!$K$20:$K$4940,'Адресная программа'!$L$20:$L$4940,1,'Адресная программа'!$C$20:$C$4940,АЗС!B43,'Адресная программа'!$G$20:$G$4940,"&lt;&gt;Газпромнефть",'Адресная программа'!$F$20:$F$4940,"АЗС"),'Цены|Скидки'!$C$31,IF(D43&gt;=(SUMIFS('Адресная программа'!$K$20:$K$4940,'Адресная программа'!$L$20:$L$4940,1,'Адресная программа'!$C$20:$C$4940,АЗС!B43,'Адресная программа'!$G$20:$G$4940,"&lt;&gt;Газпромнефть",'Адресная программа'!$F$20:$F$4940,"АЗС")*'Цены|Скидки'!$B$32),'Цены|Скидки'!$C$32,IF(D43&gt;=(SUMIFS('Адресная программа'!$K$20:$K$4940,'Адресная программа'!$L$20:$L$4940,1,'Адресная программа'!$C$20:$C$4940,АЗС!B43,'Адресная программа'!$G$20:$G$4940,"&lt;&gt;Газпромнефть",'Адресная программа'!$F$20:$F$4940,"АЗС")*'Цены|Скидки'!$B$33),'Цены|Скидки'!$C$33,IF(D43&gt;=(SUMIFS('Адресная программа'!$K$20:$K$4940,'Адресная программа'!$L$20:$L$4940,1,'Адресная программа'!$C$20:$C$4940,АЗС!B43,'Адресная программа'!$G$20:$G$4940,"&lt;&gt;Газпромнефть",'Адресная программа'!$F$20:$F$4940,"АЗС")*'Цены|Скидки'!$B$34),'Цены|Скидки'!$C$34,0%))))</f>
        <v/>
      </c>
      <c r="H43" s="157">
        <f>D$12</f>
        <v/>
      </c>
      <c r="I43" s="157" t="n"/>
      <c r="J43" s="171">
        <f>IF(D43=0,0,1-K43/F43)</f>
        <v/>
      </c>
      <c r="K43" s="870">
        <f>F43*(1-G43)*(1-H43)*(1-IF($AC$2="РА",$AD$2,0))*(1-IF(OR($AC$3="Доп скидка",$AC$3="Сезонная скидка",$AC$3="Welcome скидка")=TRUE,$AD$3,0))</f>
        <v/>
      </c>
      <c r="L43" s="870">
        <f>K43+M43</f>
        <v/>
      </c>
      <c r="M43" s="887">
        <f>K43*0.2</f>
        <v/>
      </c>
      <c r="N43" s="241">
        <f>D43*L$7*1210</f>
        <v/>
      </c>
      <c r="O43" s="886">
        <f>IF(N43=0,0,(K43/N43*1000)/$D$7*10)</f>
        <v/>
      </c>
    </row>
    <row r="44" outlineLevel="1" ht="16.05" customFormat="1" customHeight="1" s="212">
      <c r="B44" s="446" t="inlineStr">
        <is>
          <t>Татарстан</t>
        </is>
      </c>
      <c r="C44" s="345" t="inlineStr">
        <is>
          <t>Башнефть</t>
        </is>
      </c>
      <c r="D44" s="170">
        <f>IF(C44="АЗС",SUMIFS('Адресная программа'!$O$20:$O$4940,'Адресная программа'!$L$20:$L$4940,1,'Адресная программа'!$C$20:$C$4940,АЗС!B44,'Адресная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программа'!$C$20:$C$4940,АЗС!B44,'Адресная программа'!$G$20:$G$4940,АЗС!C44,'Адресная программа'!$F$20:$F$4940,"АЗС"))</f>
        <v/>
      </c>
      <c r="E44" s="870">
        <f>'Цены|Скидки'!$F$11/15*$L$9</f>
        <v/>
      </c>
      <c r="F44" s="870">
        <f>E44*$L$7*D44</f>
        <v/>
      </c>
      <c r="G44" s="342">
        <f>IF(SUM($D$44:$D$45)=SUMIFS('Адресная программа'!$K$20:$K$4940,'Адресная программа'!$L$20:$L$4940,1,'Адресная программа'!$C$20:$C$4940,АЗС!B44,'Адресная программа'!$G$20:$G$4940,"&lt;&gt;Газпромнефть",'Адресная программа'!$F$20:$F$4940,"АЗС"),'Цены|Скидки'!$C$31,IF(SUM($D$44:$D$45)&gt;=(SUMIFS('Адресная программа'!$K$20:$K$4940,'Адресная программа'!$L$20:$L$4940,1,'Адресная программа'!$C$20:$C$4940,АЗС!B44,'Адресная программа'!$G$20:$G$4940,"&lt;&gt;Газпромнефть",'Адресная программа'!$F$20:$F$4940,"АЗС")*'Цены|Скидки'!$B$32),'Цены|Скидки'!$C$32,IF(SUM($D$44:$D$45)&gt;=(SUMIFS('Адресная программа'!$K$20:$K$4940,'Адресная программа'!$L$20:$L$4940,1,'Адресная программа'!$C$20:$C$4940,АЗС!B44,'Адресная программа'!$G$20:$G$4940,"&lt;&gt;Газпромнефть",'Адресная программа'!$F$20:$F$4940,"АЗС")*'Цены|Скидки'!$B$33),'Цены|Скидки'!$C$33,IF(SUM($D$44:$D$45)&gt;=(SUMIFS('Адресная программа'!$K$20:$K$4940,'Адресная программа'!$L$20:$L$4940,1,'Адресная программа'!$C$20:$C$4940,АЗС!B44,'Адресная программа'!$G$20:$G$4940,"&lt;&gt;Газпромнефть",'Адресная программа'!$F$20:$F$4940,"АЗС")*'Цены|Скидки'!$B$34),'Цены|Скидки'!$C$34,IF(SUM($D$44:$D$45)&gt;=(SUMIFS('Адресная программа'!$K$20:$K$4940,'Адресная программа'!$L$20:$L$4940,1,'Адресная программа'!$C$20:$C$4940,АЗС!B44,'Адресная программа'!$G$20:$G$4940,"&lt;&gt;Газпромнефть",'Адресная программа'!$F$20:$F$4940,"АЗС")*'Цены|Скидки'!$B$36-1),'Цены|Скидки'!$C$36,0%)))))</f>
        <v/>
      </c>
      <c r="H44" s="342">
        <f>D$12</f>
        <v/>
      </c>
      <c r="I44" s="342" t="n"/>
      <c r="J44" s="469">
        <f>IF(D44=0,0,1-K44/F44)</f>
        <v/>
      </c>
      <c r="K44" s="887">
        <f>F44*(1-G44)*(1-H44)*(1-IF($AC$2="РА",$AD$2,0))*(1-IF(OR($AC$3="Доп скидка",$AC$3="Сезонная скидка",$AC$3="Welcome скидка")=TRUE,$AD$3,0))</f>
        <v/>
      </c>
      <c r="L44" s="887">
        <f>K44+M44</f>
        <v/>
      </c>
      <c r="M44" s="887">
        <f>K44*0.2</f>
        <v/>
      </c>
      <c r="N44" s="343">
        <f>D44*L$7*1210</f>
        <v/>
      </c>
      <c r="O44" s="886">
        <f>IF(N44=0,0,(K44/N44*1000)/$D$7*10)</f>
        <v/>
      </c>
    </row>
    <row r="45" outlineLevel="1" ht="16.05" customFormat="1" customHeight="1" s="212">
      <c r="B45" s="446" t="inlineStr">
        <is>
          <t>Татарстан</t>
        </is>
      </c>
      <c r="C45" s="345" t="inlineStr">
        <is>
          <t>ТАИФ</t>
        </is>
      </c>
      <c r="D45" s="170">
        <f>IF(C45="АЗС",SUMIFS('Адресная программа'!$O$20:$O$4940,'Адресная программа'!$L$20:$L$4940,1,'Адресная программа'!$C$20:$C$4940,АЗС!B45,'Адресная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программа'!$C$20:$C$4940,АЗС!B45,'Адресная программа'!$G$20:$G$4940,АЗС!C45,'Адресная программа'!$F$20:$F$4940,"АЗС"))</f>
        <v/>
      </c>
      <c r="E45" s="870">
        <f>'Цены|Скидки'!$F$11/15*$L$9</f>
        <v/>
      </c>
      <c r="F45" s="870">
        <f>E45*$L$7*D45</f>
        <v/>
      </c>
      <c r="G45" s="342">
        <f>IF(SUM($D$44:$D$45)=SUMIFS('Адресная программа'!$K$20:$K$4940,'Адресная программа'!$L$20:$L$4940,1,'Адресная программа'!$C$20:$C$4940,АЗС!B45,'Адресная программа'!$G$20:$G$4940,"&lt;&gt;Газпромнефть",'Адресная программа'!$F$20:$F$4940,"АЗС"),'Цены|Скидки'!$C$31,IF(SUM($D$44:$D$45)&gt;=(SUMIFS('Адресная программа'!$K$20:$K$4940,'Адресная программа'!$L$20:$L$4940,1,'Адресная программа'!$C$20:$C$4940,АЗС!B45,'Адресная программа'!$G$20:$G$4940,"&lt;&gt;Газпромнефть",'Адресная программа'!$F$20:$F$4940,"АЗС")*'Цены|Скидки'!$B$32),'Цены|Скидки'!$C$32,IF(SUM($D$44:$D$45)&gt;=(SUMIFS('Адресная программа'!$K$20:$K$4940,'Адресная программа'!$L$20:$L$4940,1,'Адресная программа'!$C$20:$C$4940,АЗС!B45,'Адресная программа'!$G$20:$G$4940,"&lt;&gt;Газпромнефть",'Адресная программа'!$F$20:$F$4940,"АЗС")*'Цены|Скидки'!$B$33),'Цены|Скидки'!$C$33,IF(SUM($D$44:$D$45)&gt;=(SUMIFS('Адресная программа'!$K$20:$K$4940,'Адресная программа'!$L$20:$L$4940,1,'Адресная программа'!$C$20:$C$4940,АЗС!B45,'Адресная программа'!$G$20:$G$4940,"&lt;&gt;Газпромнефть",'Адресная программа'!$F$20:$F$4940,"АЗС")*'Цены|Скидки'!$B$34),'Цены|Скидки'!$C$34,IF(SUM($D$44:$D$45)&gt;=(SUMIFS('Адресная программа'!$K$20:$K$4940,'Адресная программа'!$L$20:$L$4940,1,'Адресная программа'!$C$20:$C$4940,АЗС!B45,'Адресная программа'!$G$20:$G$4940,"&lt;&gt;Газпромнефть",'Адресная программа'!$F$20:$F$4940,"АЗС")*'Цены|Скидки'!$B$36-1),'Цены|Скидки'!$C$36,0%)))))</f>
        <v/>
      </c>
      <c r="H45" s="342">
        <f>D$12</f>
        <v/>
      </c>
      <c r="I45" s="342" t="n"/>
      <c r="J45" s="469">
        <f>IF(D45=0,0,1-K45/F45)</f>
        <v/>
      </c>
      <c r="K45" s="887">
        <f>F45*(1-G45)*(1-H45)*(1-IF($AC$2="РА",$AD$2,0))*(1-IF(OR($AC$3="Доп скидка",$AC$3="Сезонная скидка",$AC$3="Welcome скидка")=TRUE,$AD$3,0))</f>
        <v/>
      </c>
      <c r="L45" s="887">
        <f>K45+M45</f>
        <v/>
      </c>
      <c r="M45" s="887">
        <f>K45*0.2</f>
        <v/>
      </c>
      <c r="N45" s="343">
        <f>D45*L$7*1210</f>
        <v/>
      </c>
      <c r="O45" s="886">
        <f>IF(N45=0,0,(K45/N45*1000)/$D$7*10)</f>
        <v/>
      </c>
    </row>
    <row r="46" ht="16.05" customFormat="1" customHeight="1" s="212">
      <c r="B46" s="418" t="inlineStr">
        <is>
          <t>Карелия</t>
        </is>
      </c>
      <c r="C46" s="214" t="inlineStr">
        <is>
          <t>Роснефть</t>
        </is>
      </c>
      <c r="D46" s="170">
        <f>IF(C46="АЗС",SUMIFS('Адресная программа'!$O$20:$O$4940,'Адресная программа'!$L$20:$L$4940,1,'Адресная программа'!$C$20:$C$4940,АЗС!B46,'Адресная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программа'!$C$20:$C$4940,АЗС!B46,'Адресная программа'!$G$20:$G$4940,АЗС!C46,'Адресная программа'!$F$20:$F$4940,"АЗС"))</f>
        <v/>
      </c>
      <c r="E46" s="870">
        <f>'Цены|Скидки'!$F$11/15*$L$9</f>
        <v/>
      </c>
      <c r="F46" s="870">
        <f>E46*$L$7*D46</f>
        <v/>
      </c>
      <c r="G46" s="157">
        <f>IF(D46=SUMIFS('Адресная программа'!$K$20:$K$4940,'Адресная программа'!$L$20:$L$4940,1,'Адресная программа'!$C$20:$C$4940,АЗС!B46,'Адресная программа'!$G$20:$G$4940,"&lt;&gt;Газпромнефть",'Адресная программа'!$F$20:$F$4940,"АЗС"),'Цены|Скидки'!$C$31,IF(D46&gt;=(SUMIFS('Адресная программа'!$K$20:$K$4940,'Адресная программа'!$L$20:$L$4940,1,'Адресная программа'!$C$20:$C$4940,АЗС!B46,'Адресная программа'!$G$20:$G$4940,"&lt;&gt;Газпромнефть",'Адресная программа'!$F$20:$F$4940,"АЗС")*'Цены|Скидки'!$B$32),'Цены|Скидки'!$C$32,IF(D46&gt;=(SUMIFS('Адресная программа'!$K$20:$K$4940,'Адресная программа'!$L$20:$L$4940,1,'Адресная программа'!$C$20:$C$4940,АЗС!B46,'Адресная программа'!$G$20:$G$4940,"&lt;&gt;Газпромнефть",'Адресная программа'!$F$20:$F$4940,"АЗС")*'Цены|Скидки'!$B$33),'Цены|Скидки'!$C$33,IF(D46&gt;=(SUMIFS('Адресная программа'!$K$20:$K$4940,'Адресная программа'!$L$20:$L$4940,1,'Адресная программа'!$C$20:$C$4940,АЗС!B46,'Адресная программа'!$G$20:$G$4940,"&lt;&gt;Газпромнефть",'Адресная программа'!$F$20:$F$4940,"АЗС")*'Цены|Скидки'!$B$34),'Цены|Скидки'!$C$34,0%))))</f>
        <v/>
      </c>
      <c r="H46" s="157">
        <f>D$12</f>
        <v/>
      </c>
      <c r="I46" s="157" t="n"/>
      <c r="J46" s="171">
        <f>IF(D46=0,0,1-K46/F46)</f>
        <v/>
      </c>
      <c r="K46" s="870">
        <f>F46*(1-G46)*(1-H46)*(1-IF($AC$2="РА",$AD$2,0))*(1-IF(OR($AC$3="Доп скидка",$AC$3="Сезонная скидка",$AC$3="Welcome скидка")=TRUE,$AD$3,0))</f>
        <v/>
      </c>
      <c r="L46" s="870">
        <f>K46+M46</f>
        <v/>
      </c>
      <c r="M46" s="870">
        <f>K46*0.2</f>
        <v/>
      </c>
      <c r="N46" s="241">
        <f>D46*L$7*935</f>
        <v/>
      </c>
      <c r="O46" s="886">
        <f>IF(N46=0,0,(K46/N46*1000)/$D$7*10)</f>
        <v/>
      </c>
    </row>
    <row r="47" ht="16.05" customFormat="1" customHeight="1" s="212">
      <c r="B47" s="418" t="inlineStr">
        <is>
          <t>Кострома</t>
        </is>
      </c>
      <c r="C47" s="214" t="inlineStr">
        <is>
          <t>Роснефть</t>
        </is>
      </c>
      <c r="D47" s="170">
        <f>IF(C47="АЗС",SUMIFS('Адресная программа'!$O$20:$O$4940,'Адресная программа'!$L$20:$L$4940,1,'Адресная программа'!$C$20:$C$4940,АЗС!B47,'Адресная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программа'!$C$20:$C$4940,АЗС!B47,'Адресная программа'!$G$20:$G$4940,АЗС!C47,'Адресная программа'!$F$20:$F$4940,"АЗС"))</f>
        <v/>
      </c>
      <c r="E47" s="870">
        <f>'Цены|Скидки'!$F$11/15*$L$9</f>
        <v/>
      </c>
      <c r="F47" s="870">
        <f>E47*$L$7*D47</f>
        <v/>
      </c>
      <c r="G47" s="157">
        <f>IF(D47=SUMIFS('Адресная программа'!$K$20:$K$4940,'Адресная программа'!$L$20:$L$4940,1,'Адресная программа'!$C$20:$C$4940,АЗС!B47,'Адресная программа'!$G$20:$G$4940,"&lt;&gt;Газпромнефть",'Адресная программа'!$F$20:$F$4940,"АЗС"),'Цены|Скидки'!$C$31,IF(D47&gt;=(SUMIFS('Адресная программа'!$K$20:$K$4940,'Адресная программа'!$L$20:$L$4940,1,'Адресная программа'!$C$20:$C$4940,АЗС!B47,'Адресная программа'!$G$20:$G$4940,"&lt;&gt;Газпромнефть",'Адресная программа'!$F$20:$F$4940,"АЗС")*'Цены|Скидки'!$B$32),'Цены|Скидки'!$C$32,IF(D47&gt;=(SUMIFS('Адресная программа'!$K$20:$K$4940,'Адресная программа'!$L$20:$L$4940,1,'Адресная программа'!$C$20:$C$4940,АЗС!B47,'Адресная программа'!$G$20:$G$4940,"&lt;&gt;Газпромнефть",'Адресная программа'!$F$20:$F$4940,"АЗС")*'Цены|Скидки'!$B$33),'Цены|Скидки'!$C$33,IF(D47&gt;=(SUMIFS('Адресная программа'!$K$20:$K$4940,'Адресная программа'!$L$20:$L$4940,1,'Адресная программа'!$C$20:$C$4940,АЗС!B47,'Адресная программа'!$G$20:$G$4940,"&lt;&gt;Газпромнефть",'Адресная программа'!$F$20:$F$4940,"АЗС")*'Цены|Скидки'!$B$34),'Цены|Скидки'!$C$34,0%))))</f>
        <v/>
      </c>
      <c r="H47" s="157">
        <f>D$12</f>
        <v/>
      </c>
      <c r="I47" s="157" t="n"/>
      <c r="J47" s="171">
        <f>IF(D47=0,0,1-K47/F47)</f>
        <v/>
      </c>
      <c r="K47" s="870">
        <f>F47*(1-G47)*(1-H47)*(1-IF($AC$2="РА",$AD$2,0))*(1-IF(OR($AC$3="Доп скидка",$AC$3="Сезонная скидка",$AC$3="Welcome скидка")=TRUE,$AD$3,0))</f>
        <v/>
      </c>
      <c r="L47" s="870">
        <f>K47+M47</f>
        <v/>
      </c>
      <c r="M47" s="870">
        <f>K47*0.2</f>
        <v/>
      </c>
      <c r="N47" s="241">
        <f>D47*L$7*1155</f>
        <v/>
      </c>
      <c r="O47" s="886">
        <f>IF(N47=0,0,(K47/N47*1000)/$D$7*10)</f>
        <v/>
      </c>
    </row>
    <row r="48" ht="16.05" customFormat="1" customHeight="1" s="212">
      <c r="B48" s="418" t="inlineStr">
        <is>
          <t>Красноярск</t>
        </is>
      </c>
      <c r="C48" s="214" t="inlineStr">
        <is>
          <t>Газпромнефть</t>
        </is>
      </c>
      <c r="D48" s="170">
        <f>IF(C48="АЗС",SUMIFS('Адресная программа'!$O$20:$O$4940,'Адресная программа'!$L$20:$L$4940,1,'Адресная программа'!$C$20:$C$4940,АЗС!B48,'Адресная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программа'!$C$20:$C$4940,АЗС!B48,'Адресная программа'!$G$20:$G$4940,АЗС!C48,'Адресная программа'!$F$20:$F$4940,"АЗС"))</f>
        <v/>
      </c>
      <c r="E48" s="870">
        <f>'Цены|Скидки'!$I$11/15*$L$9</f>
        <v/>
      </c>
      <c r="F48" s="870">
        <f>E48*$L$7*D48</f>
        <v/>
      </c>
      <c r="G48" s="157">
        <f>IF(D48=SUMIFS('Адресная программа'!$K$20:$K$4940,'Адресная программа'!$L$20:$L$4940,1,'Адресная программа'!$C$20:$C$4940,АЗС!B48,'Адресная программа'!$G$20:$G$4940,"=Газпромнефть",'Адресная программа'!$F$20:$F$4940,"АЗС"),'Цены|Скидки'!$C$43,IF(D48&gt;=(SUMIFS('Адресная программа'!$K$20:$K$4940,'Адресная программа'!$L$20:$L$4940,1,'Адресная программа'!$C$20:$C$4940,АЗС!B48,'Адресная программа'!$G$20:$G$4940,"=Газпромнефть",'Адресная программа'!$F$20:$F$4940,"АЗС")*'Цены|Скидки'!$B$44),'Цены|Скидки'!$C$44,IF(D48&gt;=(SUMIFS('Адресная программа'!$K$20:$K$4940,'Адресная программа'!$L$20:$L$4940,1,'Адресная программа'!$C$20:$C$4940,АЗС!B48,'Адресная программа'!$G$20:$G$4940,"=Газпромнефть",'Адресная программа'!$F$20:$F$4940,"АЗС")*'Цены|Скидки'!$B$45),'Цены|Скидки'!$C$45,IF(D48&gt;=(SUMIFS('Адресная программа'!$K$20:$K$4940,'Адресная программа'!$L$20:$L$4940,1,'Адресная программа'!$C$20:$C$4940,АЗС!B48,'Адресная программа'!$G$20:$G$4940,"=Газпромнефть",'Адресная программа'!$F$20:$F$4940,"АЗС")*'Цены|Скидки'!$B$46),'Цены|Скидки'!$C$46,0%))))</f>
        <v/>
      </c>
      <c r="H48" s="157">
        <f>$D$12</f>
        <v/>
      </c>
      <c r="I48" s="157">
        <f>'Адресная программа'!Y19</f>
        <v/>
      </c>
      <c r="J48" s="171">
        <f>IF(D48=0,0,1-K48/F48)</f>
        <v/>
      </c>
      <c r="K48" s="870">
        <f>F48*(1-G48)*(1-H48)*(1-IF($AC$2="РА",$AD$2,0))*(1-IF(OR($AC$3="Доп скидка",$AC$3="Сезонная скидка",$AC$3="Welcome скидка")=TRUE,$AD$3,0))*(1-'Адресная программа'!Y19)</f>
        <v/>
      </c>
      <c r="L48" s="870">
        <f>K48+M48</f>
        <v/>
      </c>
      <c r="M48" s="870">
        <f>K48*0.2</f>
        <v/>
      </c>
      <c r="N48" s="241">
        <f>D48*$L$7*1210</f>
        <v/>
      </c>
      <c r="O48" s="886">
        <f>IF(N48=0,0,(K48/N48*1000)/$D$7*10)</f>
        <v/>
      </c>
    </row>
    <row r="49" ht="16.05" customFormat="1" customHeight="1" s="212">
      <c r="B49" s="418" t="inlineStr">
        <is>
          <t>Краснодар</t>
        </is>
      </c>
      <c r="C49" s="214" t="inlineStr">
        <is>
          <t>Роснефть</t>
        </is>
      </c>
      <c r="D49" s="170">
        <f>IF(C49="АЗС",SUMIFS('Адресная программа'!$O$20:$O$4940,'Адресная программа'!$L$20:$L$4940,1,'Адресная программа'!$C$20:$C$4940,АЗС!B49,'Адресная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программа'!$C$20:$C$4940,АЗС!B49,'Адресная программа'!$G$20:$G$4940,АЗС!C49,'Адресная программа'!$F$20:$F$4940,"АЗС"))</f>
        <v/>
      </c>
      <c r="E49" s="870">
        <f>'Цены|Скидки'!$F$11/15*$L$9</f>
        <v/>
      </c>
      <c r="F49" s="870">
        <f>E49*$L$7*D49</f>
        <v/>
      </c>
      <c r="G49" s="157">
        <f>IF(D49=SUMIFS('Адресная программа'!$K$20:$K$4940,'Адресная программа'!$L$20:$L$4940,1,'Адресная программа'!$C$20:$C$4940,АЗС!B49,'Адресная программа'!$G$20:$G$4940,"&lt;&gt;Газпромнефть",'Адресная программа'!$F$20:$F$4940,"АЗС"),'Цены|Скидки'!$C$31,IF(D49&gt;=(SUMIFS('Адресная программа'!$K$20:$K$4940,'Адресная программа'!$L$20:$L$4940,1,'Адресная программа'!$C$20:$C$4940,АЗС!B49,'Адресная программа'!$G$20:$G$4940,"&lt;&gt;Газпромнефть",'Адресная программа'!$F$20:$F$4940,"АЗС")*'Цены|Скидки'!$B$32),'Цены|Скидки'!$C$32,IF(D49&gt;=(SUMIFS('Адресная программа'!$K$20:$K$4940,'Адресная программа'!$L$20:$L$4940,1,'Адресная программа'!$C$20:$C$4940,АЗС!B49,'Адресная программа'!$G$20:$G$4940,"&lt;&gt;Газпромнефть",'Адресная программа'!$F$20:$F$4940,"АЗС")*'Цены|Скидки'!$B$33),'Цены|Скидки'!$C$33,IF(D49&gt;=(SUMIFS('Адресная программа'!$K$20:$K$4940,'Адресная программа'!$L$20:$L$4940,1,'Адресная программа'!$C$20:$C$4940,АЗС!B49,'Адресная программа'!$G$20:$G$4940,"&lt;&gt;Газпромнефть",'Адресная программа'!$F$20:$F$4940,"АЗС")*'Цены|Скидки'!$B$34),'Цены|Скидки'!$C$34,0%))))</f>
        <v/>
      </c>
      <c r="H49" s="157">
        <f>D$12</f>
        <v/>
      </c>
      <c r="I49" s="157" t="n"/>
      <c r="J49" s="171">
        <f>IF(D49=0,0,1-K49/F49)</f>
        <v/>
      </c>
      <c r="K49" s="870">
        <f>F49*(1-G49)*(1-H49)*(1-IF($AC$2="РА",$AD$2,0))*(1-IF(OR($AC$3="Доп скидка",$AC$3="Сезонная скидка",$AC$3="Welcome скидка")=TRUE,$AD$3,0))</f>
        <v/>
      </c>
      <c r="L49" s="870">
        <f>K49+M49</f>
        <v/>
      </c>
      <c r="M49" s="870">
        <f>K49*0.2</f>
        <v/>
      </c>
      <c r="N49" s="241">
        <f>D49*L$7*1260</f>
        <v/>
      </c>
      <c r="O49" s="886">
        <f>IF(N49=0,0,(K49/N49*1000)/$D$7*10)</f>
        <v/>
      </c>
    </row>
    <row r="50" ht="16.05" customFormat="1" customHeight="1" s="212">
      <c r="B50" s="418" t="inlineStr">
        <is>
          <t>Краснодар</t>
        </is>
      </c>
      <c r="C50" s="214" t="inlineStr">
        <is>
          <t>Газпромнефть</t>
        </is>
      </c>
      <c r="D50" s="170">
        <f>IF(C50="АЗС",SUMIFS('Адресная программа'!$O$20:$O$4940,'Адресная программа'!$L$20:$L$4940,1,'Адресная программа'!$C$20:$C$4940,АЗС!B50,'Адресная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программа'!$C$20:$C$4940,АЗС!B50,'Адресная программа'!$G$20:$G$4940,АЗС!C50,'Адресная программа'!$F$20:$F$4940,"АЗС"))</f>
        <v/>
      </c>
      <c r="E50" s="870">
        <f>'Цены|Скидки'!$I$11/15*$L$9</f>
        <v/>
      </c>
      <c r="F50" s="870">
        <f>E50*$L$7*D50</f>
        <v/>
      </c>
      <c r="G50" s="157">
        <f>IF(D50=SUMIFS('Адресная программа'!$K$20:$K$4940,'Адресная программа'!$L$20:$L$4940,1,'Адресная программа'!$C$20:$C$4940,АЗС!B50,'Адресная программа'!$G$20:$G$4940,"=Газпромнефть",'Адресная программа'!$F$20:$F$4940,"АЗС"),'Цены|Скидки'!$C$43,IF(D50&gt;=(SUMIFS('Адресная программа'!$K$20:$K$4940,'Адресная программа'!$L$20:$L$4940,1,'Адресная программа'!$C$20:$C$4940,АЗС!B50,'Адресная программа'!$G$20:$G$4940,"=Газпромнефть",'Адресная программа'!$F$20:$F$4940,"АЗС")*'Цены|Скидки'!$B$44),'Цены|Скидки'!$C$44,IF(D50&gt;=(SUMIFS('Адресная программа'!$K$20:$K$4940,'Адресная программа'!$L$20:$L$4940,1,'Адресная программа'!$C$20:$C$4940,АЗС!B50,'Адресная программа'!$G$20:$G$4940,"=Газпромнефть",'Адресная программа'!$F$20:$F$4940,"АЗС")*'Цены|Скидки'!$B$45),'Цены|Скидки'!$C$45,IF(D50&gt;=(SUMIFS('Адресная программа'!$K$20:$K$4940,'Адресная программа'!$L$20:$L$4940,1,'Адресная программа'!$C$20:$C$4940,АЗС!B50,'Адресная программа'!$G$20:$G$4940,"=Газпромнефть",'Адресная программа'!$F$20:$F$4940,"АЗС")*'Цены|Скидки'!$B$46),'Цены|Скидки'!$C$46,0%))))</f>
        <v/>
      </c>
      <c r="H50" s="157">
        <f>$D$12</f>
        <v/>
      </c>
      <c r="I50" s="157">
        <f>'Адресная программа'!Y19</f>
        <v/>
      </c>
      <c r="J50" s="171">
        <f>IF(D50=0,0,1-K50/F50)</f>
        <v/>
      </c>
      <c r="K50" s="870">
        <f>F50*(1-G50)*(1-H50)*(1-IF($AC$2="РА",$AD$2,0))*(1-IF(OR($AC$3="Доп скидка",$AC$3="Сезонная скидка",$AC$3="Welcome скидка")=TRUE,$AD$3,0))*(1-'Адресная программа'!Y19)</f>
        <v/>
      </c>
      <c r="L50" s="870">
        <f>K50+M50</f>
        <v/>
      </c>
      <c r="M50" s="870">
        <f>K50*0.2</f>
        <v/>
      </c>
      <c r="N50" s="241">
        <f>D50*$L$7*1210</f>
        <v/>
      </c>
      <c r="O50" s="886">
        <f>IF(N50=0,0,(K50/N50*1000)/$D$7*10)</f>
        <v/>
      </c>
    </row>
    <row r="51" ht="16.05" customFormat="1" customHeight="1" s="212">
      <c r="B51" s="418" t="inlineStr">
        <is>
          <t>Курск</t>
        </is>
      </c>
      <c r="C51" s="214" t="inlineStr">
        <is>
          <t>Роснефть</t>
        </is>
      </c>
      <c r="D51" s="170">
        <f>IF(C51="АЗС",SUMIFS('Адресная программа'!$O$20:$O$4940,'Адресная программа'!$L$20:$L$4940,1,'Адресная программа'!$C$20:$C$4940,АЗС!B51,'Адресная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программа'!$C$20:$C$4940,АЗС!B51,'Адресная программа'!$G$20:$G$4940,АЗС!C51,'Адресная программа'!$F$20:$F$4940,"АЗС"))</f>
        <v/>
      </c>
      <c r="E51" s="870">
        <f>'Цены|Скидки'!$F$11/15*$L$9</f>
        <v/>
      </c>
      <c r="F51" s="870">
        <f>E51*$L$7*D51</f>
        <v/>
      </c>
      <c r="G51" s="157">
        <f>IF(D51=SUMIFS('Адресная программа'!$K$20:$K$4940,'Адресная программа'!$L$20:$L$4940,1,'Адресная программа'!$C$20:$C$4940,АЗС!B51,'Адресная программа'!$G$20:$G$4940,"&lt;&gt;Газпромнефть",'Адресная программа'!$F$20:$F$4940,"АЗС"),'Цены|Скидки'!$C$31,IF(D51&gt;=(SUMIFS('Адресная программа'!$K$20:$K$4940,'Адресная программа'!$L$20:$L$4940,1,'Адресная программа'!$C$20:$C$4940,АЗС!B51,'Адресная программа'!$G$20:$G$4940,"&lt;&gt;Газпромнефть",'Адресная программа'!$F$20:$F$4940,"АЗС")*'Цены|Скидки'!$B$32),'Цены|Скидки'!$C$32,IF(D51&gt;=(SUMIFS('Адресная программа'!$K$20:$K$4940,'Адресная программа'!$L$20:$L$4940,1,'Адресная программа'!$C$20:$C$4940,АЗС!B51,'Адресная программа'!$G$20:$G$4940,"&lt;&gt;Газпромнефть",'Адресная программа'!$F$20:$F$4940,"АЗС")*'Цены|Скидки'!$B$33),'Цены|Скидки'!$C$33,IF(D51&gt;=(SUMIFS('Адресная программа'!$K$20:$K$4940,'Адресная программа'!$L$20:$L$4940,1,'Адресная программа'!$C$20:$C$4940,АЗС!B51,'Адресная программа'!$G$20:$G$4940,"&lt;&gt;Газпромнефть",'Адресная программа'!$F$20:$F$4940,"АЗС")*'Цены|Скидки'!$B$34),'Цены|Скидки'!$C$34,0%))))</f>
        <v/>
      </c>
      <c r="H51" s="157">
        <f>D$12</f>
        <v/>
      </c>
      <c r="I51" s="157" t="n"/>
      <c r="J51" s="171">
        <f>IF(D51=0,0,1-K51/F51)</f>
        <v/>
      </c>
      <c r="K51" s="870">
        <f>F51*(1-G51)*(1-H51)*(1-IF($AC$2="РА",$AD$2,0))*(1-IF(OR($AC$3="Доп скидка",$AC$3="Сезонная скидка",$AC$3="Welcome скидка")=TRUE,$AD$3,0))</f>
        <v/>
      </c>
      <c r="L51" s="870">
        <f>K51+M51</f>
        <v/>
      </c>
      <c r="M51" s="870">
        <f>K51*0.2</f>
        <v/>
      </c>
      <c r="N51" s="241">
        <f>D51*L$7*1050</f>
        <v/>
      </c>
      <c r="O51" s="886">
        <f>IF(N51=0,0,(K51/N51*1000)/$D$7*10)</f>
        <v/>
      </c>
    </row>
    <row r="52" ht="16.05" customFormat="1" customHeight="1" s="212">
      <c r="B52" s="418" t="inlineStr">
        <is>
          <t>Липецк</t>
        </is>
      </c>
      <c r="C52" s="214" t="inlineStr">
        <is>
          <t>Роснефть</t>
        </is>
      </c>
      <c r="D52" s="170">
        <f>IF(C52="АЗС",SUMIFS('Адресная программа'!$O$20:$O$4940,'Адресная программа'!$L$20:$L$4940,1,'Адресная программа'!$C$20:$C$4940,АЗС!B52,'Адресная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программа'!$C$20:$C$4940,АЗС!B52,'Адресная программа'!$G$20:$G$4940,АЗС!C52,'Адресная программа'!$F$20:$F$4940,"АЗС"))</f>
        <v/>
      </c>
      <c r="E52" s="870">
        <f>'Цены|Скидки'!$F$11/15*$L$9</f>
        <v/>
      </c>
      <c r="F52" s="870">
        <f>E52*$L$7*D52</f>
        <v/>
      </c>
      <c r="G52" s="157">
        <f>IF(D52=SUMIFS('Адресная программа'!$K$20:$K$4940,'Адресная программа'!$L$20:$L$4940,1,'Адресная программа'!$C$20:$C$4940,АЗС!B52,'Адресная программа'!$G$20:$G$4940,"&lt;&gt;Газпромнефть",'Адресная программа'!$F$20:$F$4940,"АЗС"),'Цены|Скидки'!$C$31,IF(D52&gt;=(SUMIFS('Адресная программа'!$K$20:$K$4940,'Адресная программа'!$L$20:$L$4940,1,'Адресная программа'!$C$20:$C$4940,АЗС!B52,'Адресная программа'!$G$20:$G$4940,"&lt;&gt;Газпромнефть",'Адресная программа'!$F$20:$F$4940,"АЗС")*'Цены|Скидки'!$B$32),'Цены|Скидки'!$C$32,IF(D52&gt;=(SUMIFS('Адресная программа'!$K$20:$K$4940,'Адресная программа'!$L$20:$L$4940,1,'Адресная программа'!$C$20:$C$4940,АЗС!B52,'Адресная программа'!$G$20:$G$4940,"&lt;&gt;Газпромнефть",'Адресная программа'!$F$20:$F$4940,"АЗС")*'Цены|Скидки'!$B$33),'Цены|Скидки'!$C$33,IF(D52&gt;=(SUMIFS('Адресная программа'!$K$20:$K$4940,'Адресная программа'!$L$20:$L$4940,1,'Адресная программа'!$C$20:$C$4940,АЗС!B52,'Адресная программа'!$G$20:$G$4940,"&lt;&gt;Газпромнефть",'Адресная программа'!$F$20:$F$4940,"АЗС")*'Цены|Скидки'!$B$34),'Цены|Скидки'!$C$34,0%))))</f>
        <v/>
      </c>
      <c r="H52" s="157">
        <f>D$12</f>
        <v/>
      </c>
      <c r="I52" s="157" t="n"/>
      <c r="J52" s="171">
        <f>IF(D52=0,0,1-K52/F52)</f>
        <v/>
      </c>
      <c r="K52" s="870">
        <f>F52*(1-G52)*(1-H52)*(1-IF($AC$2="РА",$AD$2,0))*(1-IF(OR($AC$3="Доп скидка",$AC$3="Сезонная скидка",$AC$3="Welcome скидка")=TRUE,$AD$3,0))</f>
        <v/>
      </c>
      <c r="L52" s="870">
        <f>K52+M52</f>
        <v/>
      </c>
      <c r="M52" s="887">
        <f>K52*0.2</f>
        <v/>
      </c>
      <c r="N52" s="241">
        <f>D52*L$7*1045</f>
        <v/>
      </c>
      <c r="O52" s="886">
        <f>IF(N52=0,0,(K52/N52*1000)/$D$7*10)</f>
        <v/>
      </c>
    </row>
    <row r="53" ht="16.05" customFormat="1" customHeight="1" s="212">
      <c r="B53" s="418" t="inlineStr">
        <is>
          <t>Нижний Новгород</t>
        </is>
      </c>
      <c r="C53" s="826" t="inlineStr">
        <is>
          <t>Роснефть</t>
        </is>
      </c>
      <c r="D53" s="170">
        <f>IF(C53="АЗС",SUMIFS('Адресная программа'!$O$20:$O$4940,'Адресная программа'!$L$20:$L$4940,1,'Адресная программа'!$C$20:$C$4940,АЗС!B53,'Адресная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программа'!$C$20:$C$4940,АЗС!B53,'Адресная программа'!$G$20:$G$4940,АЗС!C53,'Адресная программа'!$F$20:$F$4940,"АЗС"))</f>
        <v/>
      </c>
      <c r="E53" s="870">
        <f>'Цены|Скидки'!$F$11/15*$L$9</f>
        <v/>
      </c>
      <c r="F53" s="870">
        <f>E53*$L$7*D53</f>
        <v/>
      </c>
      <c r="G53" s="157">
        <f>IF(D53=SUMIFS('Адресная программа'!$K$20:$K$4940,'Адресная программа'!$L$20:$L$4940,1,'Адресная программа'!$C$20:$C$4940,АЗС!B53,'Адресная программа'!$G$20:$G$4940,"&lt;&gt;Газпромнефть",'Адресная программа'!$F$20:$F$4940,"АЗС"),'Цены|Скидки'!$C$31,IF(D53&gt;=(SUMIFS('Адресная программа'!$K$20:$K$4940,'Адресная программа'!$L$20:$L$4940,1,'Адресная программа'!$C$20:$C$4940,АЗС!B53,'Адресная программа'!$G$20:$G$4940,"&lt;&gt;Газпромнефть",'Адресная программа'!$F$20:$F$4940,"АЗС")*'Цены|Скидки'!$B$32),'Цены|Скидки'!$C$32,IF(D53&gt;=(SUMIFS('Адресная программа'!$K$20:$K$4940,'Адресная программа'!$L$20:$L$4940,1,'Адресная программа'!$C$20:$C$4940,АЗС!B53,'Адресная программа'!$G$20:$G$4940,"&lt;&gt;Газпромнефть",'Адресная программа'!$F$20:$F$4940,"АЗС")*'Цены|Скидки'!$B$33),'Цены|Скидки'!$C$33,IF(D53&gt;=(SUMIFS('Адресная программа'!$K$20:$K$4940,'Адресная программа'!$L$20:$L$4940,1,'Адресная программа'!$C$20:$C$4940,АЗС!B53,'Адресная программа'!$G$20:$G$4940,"&lt;&gt;Газпромнефть",'Адресная программа'!$F$20:$F$4940,"АЗС")*'Цены|Скидки'!$B$34),'Цены|Скидки'!$C$34,0%))))</f>
        <v/>
      </c>
      <c r="H53" s="157">
        <f>D$12</f>
        <v/>
      </c>
      <c r="I53" s="157" t="n"/>
      <c r="J53" s="171">
        <f>IF(D53=0,0,1-K53/F53)</f>
        <v/>
      </c>
      <c r="K53" s="870">
        <f>F53*(1-G53)*(1-H53)*(1-IF($AC$2="РА",$AD$2,0))*(1-IF(OR($AC$3="Доп скидка",$AC$3="Сезонная скидка",$AC$3="Welcome скидка")=TRUE,$AD$3,0))</f>
        <v/>
      </c>
      <c r="L53" s="870">
        <f>K53+M53</f>
        <v/>
      </c>
      <c r="M53" s="870">
        <f>K53*0.2</f>
        <v/>
      </c>
      <c r="N53" s="241">
        <f>D53*L$7*1320</f>
        <v/>
      </c>
      <c r="O53" s="886">
        <f>IF(N53=0,0,(K53/N53*1000)/$D$7*10)</f>
        <v/>
      </c>
    </row>
    <row r="54" ht="24.75" customFormat="1" customHeight="1" s="212">
      <c r="B54" s="444" t="inlineStr">
        <is>
          <t>Приволжье (Нижний Новгород, Казань)</t>
        </is>
      </c>
      <c r="C54" s="214" t="inlineStr">
        <is>
          <t>Газпромнефть</t>
        </is>
      </c>
      <c r="D54" s="170">
        <f>IF(C54="АЗС",SUMIFS('Адресная программа'!$O$20:$O$4940,'Адресная программа'!$L$20:$L$4940,1,'Адресная программа'!$C$20:$C$4940,АЗС!B54,'Адресная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программа'!$C$20:$C$4940,АЗС!B54,'Адресная программа'!$G$20:$G$4940,АЗС!C54,'Адресная программа'!$F$20:$F$4940,"АЗС"))</f>
        <v/>
      </c>
      <c r="E54" s="870">
        <f>'Цены|Скидки'!$I$11/15*$L$9</f>
        <v/>
      </c>
      <c r="F54" s="870">
        <f>E54*$L$7*D54</f>
        <v/>
      </c>
      <c r="G54" s="157">
        <f>IF(D54=SUMIFS('Адресная программа'!$K$20:$K$4940,'Адресная программа'!$L$20:$L$4940,1,'Адресная программа'!$C$20:$C$4940,АЗС!B54,'Адресная программа'!$G$20:$G$4940,"=Газпромнефть",'Адресная программа'!$F$20:$F$4940,"АЗС"),'Цены|Скидки'!$C$43,IF(D54&gt;=(SUMIFS('Адресная программа'!$K$20:$K$4940,'Адресная программа'!$L$20:$L$4940,1,'Адресная программа'!$C$20:$C$4940,АЗС!B54,'Адресная программа'!$G$20:$G$4940,"=Газпромнефть",'Адресная программа'!$F$20:$F$4940,"АЗС")*'Цены|Скидки'!$B$44),'Цены|Скидки'!$C$44,IF(D54&gt;=(SUMIFS('Адресная программа'!$K$20:$K$4940,'Адресная программа'!$L$20:$L$4940,1,'Адресная программа'!$C$20:$C$4940,АЗС!B54,'Адресная программа'!$G$20:$G$4940,"=Газпромнефть",'Адресная программа'!$F$20:$F$4940,"АЗС")*'Цены|Скидки'!$B$45),'Цены|Скидки'!$C$45,IF(D54&gt;=(SUMIFS('Адресная программа'!$K$20:$K$4940,'Адресная программа'!$L$20:$L$4940,1,'Адресная программа'!$C$20:$C$4940,АЗС!B54,'Адресная программа'!$G$20:$G$4940,"=Газпромнефть",'Адресная программа'!$F$20:$F$4940,"АЗС")*'Цены|Скидки'!$B$46),'Цены|Скидки'!$C$46,0%))))</f>
        <v/>
      </c>
      <c r="H54" s="157">
        <f>$D$12</f>
        <v/>
      </c>
      <c r="I54" s="157">
        <f>'Адресная программа'!Y19</f>
        <v/>
      </c>
      <c r="J54" s="171">
        <f>IF(D54=0,0,1-K54/F54)</f>
        <v/>
      </c>
      <c r="K54" s="870">
        <f>F54*(1-G54)*(1-H54)*(1-IF($AC$2="РА",$AD$2,0))*(1-IF(OR($AC$3="Доп скидка",$AC$3="Сезонная скидка",$AC$3="Welcome скидка")=TRUE,$AD$3,0))*(1-'Адресная программа'!Y19)</f>
        <v/>
      </c>
      <c r="L54" s="870">
        <f>K54+M54</f>
        <v/>
      </c>
      <c r="M54" s="870">
        <f>K54*0.2</f>
        <v/>
      </c>
      <c r="N54" s="241">
        <f>D54*$L$7*1210</f>
        <v/>
      </c>
      <c r="O54" s="886">
        <f>IF(N54=0,0,(K54/N54*1000)/$D$7*10)</f>
        <v/>
      </c>
    </row>
    <row r="55" ht="16.05" customFormat="1" customHeight="1" s="212">
      <c r="B55" s="418" t="inlineStr">
        <is>
          <t>Новосибирск</t>
        </is>
      </c>
      <c r="C55" s="214" t="inlineStr">
        <is>
          <t>Газпромнефть</t>
        </is>
      </c>
      <c r="D55" s="170">
        <f>IF(C55="АЗС",SUMIFS('Адресная программа'!$O$20:$O$4940,'Адресная программа'!$L$20:$L$4940,1,'Адресная программа'!$C$20:$C$4940,АЗС!B55,'Адресная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программа'!$C$20:$C$4940,АЗС!B55,'Адресная программа'!$G$20:$G$4940,АЗС!C55,'Адресная программа'!$F$20:$F$4940,"АЗС"))</f>
        <v/>
      </c>
      <c r="E55" s="870">
        <f>'Цены|Скидки'!$I$11/15*$L$9</f>
        <v/>
      </c>
      <c r="F55" s="870">
        <f>E55*$L$7*D55</f>
        <v/>
      </c>
      <c r="G55" s="157">
        <f>IF(D55=SUMIFS('Адресная программа'!$K$20:$K$4940,'Адресная программа'!$L$20:$L$4940,1,'Адресная программа'!$C$20:$C$4940,АЗС!B55,'Адресная программа'!$G$20:$G$4940,"=Газпромнефть",'Адресная программа'!$F$20:$F$4940,"АЗС"),'Цены|Скидки'!$C$43,IF(D55&gt;=(SUMIFS('Адресная программа'!$K$20:$K$4940,'Адресная программа'!$L$20:$L$4940,1,'Адресная программа'!$C$20:$C$4940,АЗС!B55,'Адресная программа'!$G$20:$G$4940,"=Газпромнефть",'Адресная программа'!$F$20:$F$4940,"АЗС")*'Цены|Скидки'!$B$44),'Цены|Скидки'!$C$44,IF(D55&gt;=(SUMIFS('Адресная программа'!$K$20:$K$4940,'Адресная программа'!$L$20:$L$4940,1,'Адресная программа'!$C$20:$C$4940,АЗС!B55,'Адресная программа'!$G$20:$G$4940,"=Газпромнефть",'Адресная программа'!$F$20:$F$4940,"АЗС")*'Цены|Скидки'!$B$45),'Цены|Скидки'!$C$45,IF(D55&gt;=(SUMIFS('Адресная программа'!$K$20:$K$4940,'Адресная программа'!$L$20:$L$4940,1,'Адресная программа'!$C$20:$C$4940,АЗС!B55,'Адресная программа'!$G$20:$G$4940,"=Газпромнефть",'Адресная программа'!$F$20:$F$4940,"АЗС")*'Цены|Скидки'!$B$46),'Цены|Скидки'!$C$46,0%))))</f>
        <v/>
      </c>
      <c r="H55" s="157">
        <f>$D$12</f>
        <v/>
      </c>
      <c r="I55" s="157">
        <f>'Адресная программа'!Y19</f>
        <v/>
      </c>
      <c r="J55" s="171">
        <f>IF(D55=0,0,1-K55/F55)</f>
        <v/>
      </c>
      <c r="K55" s="870">
        <f>F55*(1-G55)*(1-H55)*(1-IF($AC$2="РА",$AD$2,0))*(1-IF(OR($AC$3="Доп скидка",$AC$3="Сезонная скидка",$AC$3="Welcome скидка")=TRUE,$AD$3,0))*(1-'Адресная программа'!Y19)</f>
        <v/>
      </c>
      <c r="L55" s="870">
        <f>K55+M55</f>
        <v/>
      </c>
      <c r="M55" s="870">
        <f>K55*0.2</f>
        <v/>
      </c>
      <c r="N55" s="241">
        <f>D55*$L$7*1210</f>
        <v/>
      </c>
      <c r="O55" s="886">
        <f>IF(N55=0,0,(K55/N55*1000)/$D$7*10)</f>
        <v/>
      </c>
    </row>
    <row r="56" ht="16.05" customFormat="1" customHeight="1" s="212">
      <c r="B56" s="418" t="inlineStr">
        <is>
          <t>Орел</t>
        </is>
      </c>
      <c r="C56" s="826" t="inlineStr">
        <is>
          <t>Роснефть</t>
        </is>
      </c>
      <c r="D56" s="170">
        <f>IF(C56="АЗС",SUMIFS('Адресная программа'!$O$20:$O$4940,'Адресная программа'!$L$20:$L$4940,1,'Адресная программа'!$C$20:$C$4940,АЗС!B56,'Адресная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программа'!$C$20:$C$4940,АЗС!B56,'Адресная программа'!$G$20:$G$4940,АЗС!C56,'Адресная программа'!$F$20:$F$4940,"АЗС"))</f>
        <v/>
      </c>
      <c r="E56" s="870">
        <f>'Цены|Скидки'!$F$11/15*$L$9</f>
        <v/>
      </c>
      <c r="F56" s="870">
        <f>E56*$L$7*D56</f>
        <v/>
      </c>
      <c r="G56" s="157">
        <f>IF(D56=SUMIFS('Адресная программа'!$K$20:$K$4940,'Адресная программа'!$L$20:$L$4940,1,'Адресная программа'!$C$20:$C$4940,АЗС!B56,'Адресная программа'!$G$20:$G$4940,"&lt;&gt;Газпромнефть",'Адресная программа'!$F$20:$F$4940,"АЗС"),'Цены|Скидки'!$C$31,IF(D56&gt;=(SUMIFS('Адресная программа'!$K$20:$K$4940,'Адресная программа'!$L$20:$L$4940,1,'Адресная программа'!$C$20:$C$4940,АЗС!B56,'Адресная программа'!$G$20:$G$4940,"&lt;&gt;Газпромнефть",'Адресная программа'!$F$20:$F$4940,"АЗС")*'Цены|Скидки'!$B$32),'Цены|Скидки'!$C$32,IF(D56&gt;=(SUMIFS('Адресная программа'!$K$20:$K$4940,'Адресная программа'!$L$20:$L$4940,1,'Адресная программа'!$C$20:$C$4940,АЗС!B56,'Адресная программа'!$G$20:$G$4940,"&lt;&gt;Газпромнефть",'Адресная программа'!$F$20:$F$4940,"АЗС")*'Цены|Скидки'!$B$33),'Цены|Скидки'!$C$33,IF(D56&gt;=(SUMIFS('Адресная программа'!$K$20:$K$4940,'Адресная программа'!$L$20:$L$4940,1,'Адресная программа'!$C$20:$C$4940,АЗС!B56,'Адресная программа'!$G$20:$G$4940,"&lt;&gt;Газпромнефть",'Адресная программа'!$F$20:$F$4940,"АЗС")*'Цены|Скидки'!$B$34),'Цены|Скидки'!$C$34,0%))))</f>
        <v/>
      </c>
      <c r="H56" s="157">
        <f>D$12</f>
        <v/>
      </c>
      <c r="I56" s="157" t="n"/>
      <c r="J56" s="171">
        <f>IF(D56=0,0,1-K56/F56)</f>
        <v/>
      </c>
      <c r="K56" s="870">
        <f>F56*(1-G56)*(1-H56)*(1-IF($AC$2="РА",$AD$2,0))*(1-IF(OR($AC$3="Доп скидка",$AC$3="Сезонная скидка",$AC$3="Welcome скидка")=TRUE,$AD$3,0))</f>
        <v/>
      </c>
      <c r="L56" s="870">
        <f>K56+M56</f>
        <v/>
      </c>
      <c r="M56" s="870">
        <f>K56*0.2</f>
        <v/>
      </c>
      <c r="N56" s="241">
        <f>D56*L$7*1045</f>
        <v/>
      </c>
      <c r="O56" s="886">
        <f>IF(N56=0,0,(K56/N56*1000)/$D$7*10)</f>
        <v/>
      </c>
    </row>
    <row r="57" ht="16.05" customFormat="1" customHeight="1" s="212">
      <c r="B57" s="418" t="inlineStr">
        <is>
          <t>Оренбург</t>
        </is>
      </c>
      <c r="C57" s="214" t="inlineStr">
        <is>
          <t>Башнефть</t>
        </is>
      </c>
      <c r="D57" s="170">
        <f>IF(C57="АЗС",SUMIFS('Адресная программа'!$O$20:$O$4940,'Адресная программа'!$L$20:$L$4940,1,'Адресная программа'!$C$20:$C$4940,АЗС!B57,'Адресная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программа'!$C$20:$C$4940,АЗС!B57,'Адресная программа'!$G$20:$G$4940,АЗС!C57,'Адресная программа'!$F$20:$F$4940,"АЗС"))</f>
        <v/>
      </c>
      <c r="E57" s="870">
        <f>'Цены|Скидки'!$F$11/15*$L$9</f>
        <v/>
      </c>
      <c r="F57" s="870">
        <f>E57*$L$7*D57</f>
        <v/>
      </c>
      <c r="G57" s="157">
        <f>IF(D57=SUMIFS('Адресная программа'!$K$20:$K$4940,'Адресная программа'!$L$20:$L$4940,1,'Адресная программа'!$C$20:$C$4940,АЗС!B57,'Адресная программа'!$G$20:$G$4940,"&lt;&gt;Газпромнефть",'Адресная программа'!$F$20:$F$4940,"АЗС"),'Цены|Скидки'!$C$31,IF(D57&gt;=(SUMIFS('Адресная программа'!$K$20:$K$4940,'Адресная программа'!$L$20:$L$4940,1,'Адресная программа'!$C$20:$C$4940,АЗС!B57,'Адресная программа'!$G$20:$G$4940,"&lt;&gt;Газпромнефть",'Адресная программа'!$F$20:$F$4940,"АЗС")*'Цены|Скидки'!$B$32),'Цены|Скидки'!$C$32,IF(D57&gt;=(SUMIFS('Адресная программа'!$K$20:$K$4940,'Адресная программа'!$L$20:$L$4940,1,'Адресная программа'!$C$20:$C$4940,АЗС!B57,'Адресная программа'!$G$20:$G$4940,"&lt;&gt;Газпромнефть",'Адресная программа'!$F$20:$F$4940,"АЗС")*'Цены|Скидки'!$B$33),'Цены|Скидки'!$C$33,IF(D57&gt;=(SUMIFS('Адресная программа'!$K$20:$K$4940,'Адресная программа'!$L$20:$L$4940,1,'Адресная программа'!$C$20:$C$4940,АЗС!B57,'Адресная программа'!$G$20:$G$4940,"&lt;&gt;Газпромнефть",'Адресная программа'!$F$20:$F$4940,"АЗС")*'Цены|Скидки'!$B$34),'Цены|Скидки'!$C$34,0%))))</f>
        <v/>
      </c>
      <c r="H57" s="157">
        <f>D$12</f>
        <v/>
      </c>
      <c r="I57" s="157" t="n"/>
      <c r="J57" s="171">
        <f>IF(D57=0,0,1-K57/F57)</f>
        <v/>
      </c>
      <c r="K57" s="870">
        <f>F57*(1-G57)*(1-H57)*(1-IF($AC$2="РА",$AD$2,0))*(1-IF(OR($AC$3="Доп скидка",$AC$3="Сезонная скидка",$AC$3="Welcome скидка")=TRUE,$AD$3,0))</f>
        <v/>
      </c>
      <c r="L57" s="870">
        <f>K57+M57</f>
        <v/>
      </c>
      <c r="M57" s="887">
        <f>K57*0.2</f>
        <v/>
      </c>
      <c r="N57" s="241">
        <f>D57*L$7*1085</f>
        <v/>
      </c>
      <c r="O57" s="886">
        <f>IF(N57=0,0,(K57/N57*1000)/$D$7*10)</f>
        <v/>
      </c>
    </row>
    <row r="58" ht="16.05" customFormat="1" customHeight="1" s="212">
      <c r="B58" s="418" t="inlineStr">
        <is>
          <t>Омск</t>
        </is>
      </c>
      <c r="C58" s="214" t="inlineStr">
        <is>
          <t>Газпромнефть</t>
        </is>
      </c>
      <c r="D58" s="170">
        <f>IF(C58="АЗС",SUMIFS('Адресная программа'!$O$20:$O$4940,'Адресная программа'!$L$20:$L$4940,1,'Адресная программа'!$C$20:$C$4940,АЗС!B58,'Адресная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программа'!$C$20:$C$4940,АЗС!B58,'Адресная программа'!$G$20:$G$4940,АЗС!C58,'Адресная программа'!$F$20:$F$4940,"АЗС"))</f>
        <v/>
      </c>
      <c r="E58" s="870">
        <f>'Цены|Скидки'!$I$11/15*$L$9</f>
        <v/>
      </c>
      <c r="F58" s="870">
        <f>E58*$L$7*D58</f>
        <v/>
      </c>
      <c r="G58" s="157">
        <f>IF(D58=SUMIFS('Адресная программа'!$K$20:$K$4940,'Адресная программа'!$L$20:$L$4940,1,'Адресная программа'!$C$20:$C$4940,АЗС!B58,'Адресная программа'!$G$20:$G$4940,"=Газпромнефть",'Адресная программа'!$F$20:$F$4940,"АЗС"),'Цены|Скидки'!$C$43,IF(D58&gt;=(SUMIFS('Адресная программа'!$K$20:$K$4940,'Адресная программа'!$L$20:$L$4940,1,'Адресная программа'!$C$20:$C$4940,АЗС!B58,'Адресная программа'!$G$20:$G$4940,"=Газпромнефть",'Адресная программа'!$F$20:$F$4940,"АЗС")*'Цены|Скидки'!$B$44),'Цены|Скидки'!$C$44,IF(D58&gt;=(SUMIFS('Адресная программа'!$K$20:$K$4940,'Адресная программа'!$L$20:$L$4940,1,'Адресная программа'!$C$20:$C$4940,АЗС!B58,'Адресная программа'!$G$20:$G$4940,"=Газпромнефть",'Адресная программа'!$F$20:$F$4940,"АЗС")*'Цены|Скидки'!$B$45),'Цены|Скидки'!$C$45,IF(D58&gt;=(SUMIFS('Адресная программа'!$K$20:$K$4940,'Адресная программа'!$L$20:$L$4940,1,'Адресная программа'!$C$20:$C$4940,АЗС!B58,'Адресная программа'!$G$20:$G$4940,"=Газпромнефть",'Адресная программа'!$F$20:$F$4940,"АЗС")*'Цены|Скидки'!$B$46),'Цены|Скидки'!$C$46,0%))))</f>
        <v/>
      </c>
      <c r="H58" s="157">
        <f>$D$12</f>
        <v/>
      </c>
      <c r="I58" s="157">
        <f>'Адресная программа'!Y19</f>
        <v/>
      </c>
      <c r="J58" s="171">
        <f>IF(D58=0,0,1-K58/F58)</f>
        <v/>
      </c>
      <c r="K58" s="870">
        <f>F58*(1-G58)*(1-H58)*(1-IF($AC$2="РА",$AD$2,0))*(1-IF(OR($AC$3="Доп скидка",$AC$3="Сезонная скидка",$AC$3="Welcome скидка")=TRUE,$AD$3,0))*(1-'Адресная программа'!Y19)</f>
        <v/>
      </c>
      <c r="L58" s="870">
        <f>K58+M58</f>
        <v/>
      </c>
      <c r="M58" s="870">
        <f>K58*0.2</f>
        <v/>
      </c>
      <c r="N58" s="241">
        <f>D58*$L$7*1210</f>
        <v/>
      </c>
      <c r="O58" s="886">
        <f>IF(N58=0,0,(K58/N58*1000)/$D$7*10)</f>
        <v/>
      </c>
    </row>
    <row r="59" ht="16.05" customFormat="1" customHeight="1" s="212">
      <c r="B59" s="418" t="inlineStr">
        <is>
          <t>Пенза</t>
        </is>
      </c>
      <c r="C59" s="345" t="inlineStr">
        <is>
          <t>Роснефть</t>
        </is>
      </c>
      <c r="D59" s="170">
        <f>IF(C59="АЗС",SUMIFS('Адресная программа'!$O$20:$O$4940,'Адресная программа'!$L$20:$L$4940,1,'Адресная программа'!$C$20:$C$4940,АЗС!B59,'Адресная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программа'!$C$20:$C$4940,АЗС!B59,'Адресная программа'!$G$20:$G$4940,АЗС!C59,'Адресная программа'!$F$20:$F$4940,"АЗС"))</f>
        <v/>
      </c>
      <c r="E59" s="870">
        <f>'Цены|Скидки'!$F$11/15*$L$9</f>
        <v/>
      </c>
      <c r="F59" s="870">
        <f>E59*$L$7*D59</f>
        <v/>
      </c>
      <c r="G59" s="157">
        <f>IF(D59=SUMIFS('Адресная программа'!$K$20:$K$4940,'Адресная программа'!$L$20:$L$4940,1,'Адресная программа'!$C$20:$C$4940,АЗС!B59,'Адресная программа'!$G$20:$G$4940,"&lt;&gt;Газпромнефть",'Адресная программа'!$F$20:$F$4940,"АЗС"),'Цены|Скидки'!$C$31,IF(D59&gt;=(SUMIFS('Адресная программа'!$K$20:$K$4940,'Адресная программа'!$L$20:$L$4940,1,'Адресная программа'!$C$20:$C$4940,АЗС!B59,'Адресная программа'!$G$20:$G$4940,"&lt;&gt;Газпромнефть",'Адресная программа'!$F$20:$F$4940,"АЗС")*'Цены|Скидки'!$B$32),'Цены|Скидки'!$C$32,IF(D59&gt;=(SUMIFS('Адресная программа'!$K$20:$K$4940,'Адресная программа'!$L$20:$L$4940,1,'Адресная программа'!$C$20:$C$4940,АЗС!B59,'Адресная программа'!$G$20:$G$4940,"&lt;&gt;Газпромнефть",'Адресная программа'!$F$20:$F$4940,"АЗС")*'Цены|Скидки'!$B$33),'Цены|Скидки'!$C$33,IF(D59&gt;=(SUMIFS('Адресная программа'!$K$20:$K$4940,'Адресная программа'!$L$20:$L$4940,1,'Адресная программа'!$C$20:$C$4940,АЗС!B59,'Адресная программа'!$G$20:$G$4940,"&lt;&gt;Газпромнефть",'Адресная программа'!$F$20:$F$4940,"АЗС")*'Цены|Скидки'!$B$34),'Цены|Скидки'!$C$34,0%))))</f>
        <v/>
      </c>
      <c r="H59" s="157">
        <f>D$12</f>
        <v/>
      </c>
      <c r="I59" s="157" t="n"/>
      <c r="J59" s="171">
        <f>IF(D59=0,0,1-K59/F59)</f>
        <v/>
      </c>
      <c r="K59" s="870">
        <f>F59*(1-G59)*(1-H59)*(1-IF($AC$2="РА",$AD$2,0))*(1-IF(OR($AC$3="Доп скидка",$AC$3="Сезонная скидка",$AC$3="Welcome скидка")=TRUE,$AD$3,0))</f>
        <v/>
      </c>
      <c r="L59" s="870">
        <f>K59+M59</f>
        <v/>
      </c>
      <c r="M59" s="870">
        <f>K59*0.2</f>
        <v/>
      </c>
      <c r="N59" s="241">
        <f>D59*L$7*1210</f>
        <v/>
      </c>
      <c r="O59" s="886">
        <f>IF(N59=0,0,(K59/N59*1000)/$D$7*10)</f>
        <v/>
      </c>
    </row>
    <row r="60" ht="16.05" customFormat="1" customHeight="1" s="212">
      <c r="B60" s="418" t="inlineStr">
        <is>
          <t>Ростов-на-Дону</t>
        </is>
      </c>
      <c r="C60" s="214" t="inlineStr">
        <is>
          <t>АЗС</t>
        </is>
      </c>
      <c r="D60" s="170">
        <f>IF(C60="АЗС",SUMIFS('Адресная программа'!$O$20:$O$4940,'Адресная программа'!$L$20:$L$4940,1,'Адресная программа'!$C$20:$C$4940,АЗС!B60,'Адресная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программа'!$C$20:$C$4940,АЗС!B60,'Адресная программа'!$G$20:$G$4940,АЗС!C60,'Адресная программа'!$F$20:$F$4940,"АЗС"))</f>
        <v/>
      </c>
      <c r="E60" s="870">
        <f>'Цены|Скидки'!$F$11/15*$L$9</f>
        <v/>
      </c>
      <c r="F60" s="870">
        <f>E60*$L$7*D60</f>
        <v/>
      </c>
      <c r="G60" s="157">
        <f>IF(D60=SUMIFS('Адресная программа'!$K$20:$K$4940,'Адресная программа'!$L$20:$L$4940,1,'Адресная программа'!$C$20:$C$4940,АЗС!B60,'Адресная программа'!$G$20:$G$4940,"&lt;&gt;Газпромнефть",'Адресная программа'!$F$20:$F$4940,"АЗС"),'Цены|Скидки'!$C$31,IF(D60&gt;=(SUMIFS('Адресная программа'!$K$20:$K$4940,'Адресная программа'!$L$20:$L$4940,1,'Адресная программа'!$C$20:$C$4940,АЗС!B60,'Адресная программа'!$G$20:$G$4940,"&lt;&gt;Газпромнефть",'Адресная программа'!$F$20:$F$4940,"АЗС")*'Цены|Скидки'!$B$32),'Цены|Скидки'!$C$32,IF(D60&gt;=(SUMIFS('Адресная программа'!$K$20:$K$4940,'Адресная программа'!$L$20:$L$4940,1,'Адресная программа'!$C$20:$C$4940,АЗС!B60,'Адресная программа'!$G$20:$G$4940,"&lt;&gt;Газпромнефть",'Адресная программа'!$F$20:$F$4940,"АЗС")*'Цены|Скидки'!$B$33),'Цены|Скидки'!$C$33,IF(D60&gt;=(SUMIFS('Адресная программа'!$K$20:$K$4940,'Адресная программа'!$L$20:$L$4940,1,'Адресная программа'!$C$20:$C$4940,АЗС!B60,'Адресная программа'!$G$20:$G$4940,"&lt;&gt;Газпромнефть",'Адресная программа'!$F$20:$F$4940,"АЗС")*'Цены|Скидки'!$B$34),'Цены|Скидки'!$C$34,0%))))</f>
        <v/>
      </c>
      <c r="H60" s="157">
        <f>D$12</f>
        <v/>
      </c>
      <c r="I60" s="157" t="n"/>
      <c r="J60" s="171">
        <f>IF(D60=0,0,1-K60/F60)</f>
        <v/>
      </c>
      <c r="K60" s="870">
        <f>F60*(1-G60)*(1-H60)*(1-IF($AC$2="РА",$AD$2,0))*(1-IF(OR($AC$3="Доп скидка",$AC$3="Сезонная скидка",$AC$3="Welcome скидка")=TRUE,$AD$3,0))</f>
        <v/>
      </c>
      <c r="L60" s="870">
        <f>K60+M60</f>
        <v/>
      </c>
      <c r="M60" s="870">
        <f>K60*0.2</f>
        <v/>
      </c>
      <c r="N60" s="241">
        <f>D60*L$7*1260</f>
        <v/>
      </c>
      <c r="O60" s="886">
        <f>IF(N60=0,0,(K60/N60*1000)/$D$7*10)</f>
        <v/>
      </c>
    </row>
    <row r="61" outlineLevel="1" ht="16.05" customFormat="1" customHeight="1" s="212">
      <c r="B61" s="446" t="inlineStr">
        <is>
          <t>Ростов-на-Дону</t>
        </is>
      </c>
      <c r="C61" s="345" t="inlineStr">
        <is>
          <t>Роснефть</t>
        </is>
      </c>
      <c r="D61" s="170">
        <f>IF(C61="АЗС",SUMIFS('Адресная программа'!$O$20:$O$4940,'Адресная программа'!$L$20:$L$4940,1,'Адресная программа'!$C$20:$C$4940,АЗС!B61,'Адресная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программа'!$C$20:$C$4940,АЗС!B61,'Адресная программа'!$G$20:$G$4940,АЗС!C61,'Адресная программа'!$F$20:$F$4940,"АЗС"))</f>
        <v/>
      </c>
      <c r="E61" s="870">
        <f>'Цены|Скидки'!$F$11/15*$L$9</f>
        <v/>
      </c>
      <c r="F61" s="870">
        <f>E61*$L$7*D61</f>
        <v/>
      </c>
      <c r="G61" s="342">
        <f>IF(SUM($D$61:$D$62)=SUMIFS('Адресная программа'!$K$20:$K$4940,'Адресная программа'!$L$20:$L$4940,1,'Адресная программа'!$C$20:$C$4940,АЗС!B61,'Адресная программа'!$G$20:$G$4940,"&lt;&gt;Газпромнефть",'Адресная программа'!$F$20:$F$4940,"АЗС"),'Цены|Скидки'!$C$31,IF(SUM($D$61:$D$62)&gt;=(SUMIFS('Адресная программа'!$K$20:$K$4940,'Адресная программа'!$L$20:$L$4940,1,'Адресная программа'!$C$20:$C$4940,АЗС!B61,'Адресная программа'!$G$20:$G$4940,"&lt;&gt;Газпромнефть",'Адресная программа'!$F$20:$F$4940,"АЗС")*'Цены|Скидки'!$B$32),'Цены|Скидки'!$C$32,IF(SUM($D$61:$D$62)&gt;=(SUMIFS('Адресная программа'!$K$20:$K$4940,'Адресная программа'!$L$20:$L$4940,1,'Адресная программа'!$C$20:$C$4940,АЗС!B61,'Адресная программа'!$G$20:$G$4940,"&lt;&gt;Газпромнефть",'Адресная программа'!$F$20:$F$4940,"АЗС")*'Цены|Скидки'!$B$33),'Цены|Скидки'!$C$33,IF(SUM($D$61:$D$62)&gt;=(SUMIFS('Адресная программа'!$K$20:$K$4940,'Адресная программа'!$L$20:$L$4940,1,'Адресная программа'!$C$20:$C$4940,АЗС!B61,'Адресная программа'!$G$20:$G$4940,"&lt;&gt;Газпромнефть",'Адресная программа'!$F$20:$F$4940,"АЗС")*'Цены|Скидки'!$B$34),'Цены|Скидки'!$C$34,IF(SUM($D$61:$D$62)&gt;=(SUMIFS('Адресная программа'!$K$20:$K$4940,'Адресная программа'!$L$20:$L$4940,1,'Адресная программа'!$C$20:$C$4940,АЗС!B61,'Адресная программа'!$G$20:$G$4940,"&lt;&gt;Газпромнефть",'Адресная программа'!$F$20:$F$4940,"АЗС")*'Цены|Скидки'!$B$36-1),'Цены|Скидки'!$C$36,0%)))))</f>
        <v/>
      </c>
      <c r="H61" s="342">
        <f>D$12</f>
        <v/>
      </c>
      <c r="I61" s="342" t="n"/>
      <c r="J61" s="469">
        <f>IF(D61=0,0,1-K61/F61)</f>
        <v/>
      </c>
      <c r="K61" s="887">
        <f>F61*(1-G61)*(1-H61)*(1-IF($AC$2="РА",$AD$2,0))*(1-IF(OR($AC$3="Доп скидка",$AC$3="Сезонная скидка",$AC$3="Welcome скидка")=TRUE,$AD$3,0))</f>
        <v/>
      </c>
      <c r="L61" s="887">
        <f>K61+M61</f>
        <v/>
      </c>
      <c r="M61" s="887">
        <f>K61*0.2</f>
        <v/>
      </c>
      <c r="N61" s="343">
        <f>D61*L$7*1260</f>
        <v/>
      </c>
      <c r="O61" s="886">
        <f>IF(N61=0,0,(K61/N61*1000)/$D$7*10)</f>
        <v/>
      </c>
    </row>
    <row r="62" outlineLevel="1" ht="16.05" customFormat="1" customHeight="1" s="212">
      <c r="B62" s="446" t="inlineStr">
        <is>
          <t>Ростов-на-Дону</t>
        </is>
      </c>
      <c r="C62" s="345" t="inlineStr">
        <is>
          <t>Эксон Ойл</t>
        </is>
      </c>
      <c r="D62" s="170">
        <f>IF(C62="АЗС",SUMIFS('Адресная программа'!$O$20:$O$4940,'Адресная программа'!$L$20:$L$4940,1,'Адресная программа'!$C$20:$C$4940,АЗС!B62,'Адресная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программа'!$C$20:$C$4940,АЗС!B62,'Адресная программа'!$G$20:$G$4940,АЗС!C62,'Адресная программа'!$F$20:$F$4940,"АЗС"))</f>
        <v/>
      </c>
      <c r="E62" s="870">
        <f>'Цены|Скидки'!$F$11/15*$L$9</f>
        <v/>
      </c>
      <c r="F62" s="870">
        <f>E62*$L$7*D62</f>
        <v/>
      </c>
      <c r="G62" s="342">
        <f>IF(SUM($D$61:$D$62)=SUMIFS('Адресная программа'!$K$20:$K$4940,'Адресная программа'!$L$20:$L$4940,1,'Адресная программа'!$C$20:$C$4940,АЗС!B62,'Адресная программа'!$G$20:$G$4940,"&lt;&gt;Газпромнефть",'Адресная программа'!$F$20:$F$4940,"АЗС"),'Цены|Скидки'!$C$31,IF(SUM($D$61:$D$62)&gt;=(SUMIFS('Адресная программа'!$K$20:$K$4940,'Адресная программа'!$L$20:$L$4940,1,'Адресная программа'!$C$20:$C$4940,АЗС!B62,'Адресная программа'!$G$20:$G$4940,"&lt;&gt;Газпромнефть",'Адресная программа'!$F$20:$F$4940,"АЗС")*'Цены|Скидки'!$B$32),'Цены|Скидки'!$C$32,IF(SUM($D$61:$D$62)&gt;=(SUMIFS('Адресная программа'!$K$20:$K$4940,'Адресная программа'!$L$20:$L$4940,1,'Адресная программа'!$C$20:$C$4940,АЗС!B62,'Адресная программа'!$G$20:$G$4940,"&lt;&gt;Газпромнефть",'Адресная программа'!$F$20:$F$4940,"АЗС")*'Цены|Скидки'!$B$33),'Цены|Скидки'!$C$33,IF(SUM($D$61:$D$62)&gt;=(SUMIFS('Адресная программа'!$K$20:$K$4940,'Адресная программа'!$L$20:$L$4940,1,'Адресная программа'!$C$20:$C$4940,АЗС!B62,'Адресная программа'!$G$20:$G$4940,"&lt;&gt;Газпромнефть",'Адресная программа'!$F$20:$F$4940,"АЗС")*'Цены|Скидки'!$B$34),'Цены|Скидки'!$C$34,IF(SUM($D$61:$D$62)&gt;=(SUMIFS('Адресная программа'!$K$20:$K$4940,'Адресная программа'!$L$20:$L$4940,1,'Адресная программа'!$C$20:$C$4940,АЗС!B62,'Адресная программа'!$G$20:$G$4940,"&lt;&gt;Газпромнефть",'Адресная программа'!$F$20:$F$4940,"АЗС")*'Цены|Скидки'!$B$36-1),'Цены|Скидки'!$C$36,0%)))))</f>
        <v/>
      </c>
      <c r="H62" s="342">
        <f>D$12</f>
        <v/>
      </c>
      <c r="I62" s="342" t="n"/>
      <c r="J62" s="469">
        <f>IF(D62=0,0,1-K62/F62)</f>
        <v/>
      </c>
      <c r="K62" s="887">
        <f>F62*(1-G62)*(1-H62)*(1-IF($AC$2="РА",$AD$2,0))*(1-IF(OR($AC$3="Доп скидка",$AC$3="Сезонная скидка",$AC$3="Welcome скидка")=TRUE,$AD$3,0))</f>
        <v/>
      </c>
      <c r="L62" s="887">
        <f>K62+M62</f>
        <v/>
      </c>
      <c r="M62" s="887">
        <f>K62*0.2</f>
        <v/>
      </c>
      <c r="N62" s="343">
        <f>D62*L$7*1260</f>
        <v/>
      </c>
      <c r="O62" s="886">
        <f>IF(N62=0,0,(K62/N62*1000)/$D$7*10)</f>
        <v/>
      </c>
    </row>
    <row r="63" ht="16.05" customFormat="1" customHeight="1" s="212">
      <c r="B63" s="418" t="inlineStr">
        <is>
          <t>Рязань</t>
        </is>
      </c>
      <c r="C63" s="214" t="inlineStr">
        <is>
          <t>Роснефть</t>
        </is>
      </c>
      <c r="D63" s="170">
        <f>IF(C63="АЗС",SUMIFS('Адресная программа'!$O$20:$O$4940,'Адресная программа'!$L$20:$L$4940,1,'Адресная программа'!$C$20:$C$4940,АЗС!B63,'Адресная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программа'!$C$20:$C$4940,АЗС!B63,'Адресная программа'!$G$20:$G$4940,АЗС!C63,'Адресная программа'!$F$20:$F$4940,"АЗС"))</f>
        <v/>
      </c>
      <c r="E63" s="870">
        <f>'Цены|Скидки'!$F$11/15*$L$9</f>
        <v/>
      </c>
      <c r="F63" s="870">
        <f>E63*$L$7*D63</f>
        <v/>
      </c>
      <c r="G63" s="157">
        <f>IF(D63=SUMIFS('Адресная программа'!$K$20:$K$4940,'Адресная программа'!$L$20:$L$4940,1,'Адресная программа'!$C$20:$C$4940,АЗС!B63,'Адресная программа'!$G$20:$G$4940,"&lt;&gt;Газпромнефть",'Адресная программа'!$F$20:$F$4940,"АЗС"),'Цены|Скидки'!$C$31,IF(D63&gt;=(SUMIFS('Адресная программа'!$K$20:$K$4940,'Адресная программа'!$L$20:$L$4940,1,'Адресная программа'!$C$20:$C$4940,АЗС!B63,'Адресная программа'!$G$20:$G$4940,"&lt;&gt;Газпромнефть",'Адресная программа'!$F$20:$F$4940,"АЗС")*'Цены|Скидки'!$B$32),'Цены|Скидки'!$C$32,IF(D63&gt;=(SUMIFS('Адресная программа'!$K$20:$K$4940,'Адресная программа'!$L$20:$L$4940,1,'Адресная программа'!$C$20:$C$4940,АЗС!B63,'Адресная программа'!$G$20:$G$4940,"&lt;&gt;Газпромнефть",'Адресная программа'!$F$20:$F$4940,"АЗС")*'Цены|Скидки'!$B$33),'Цены|Скидки'!$C$33,IF(D63&gt;=(SUMIFS('Адресная программа'!$K$20:$K$4940,'Адресная программа'!$L$20:$L$4940,1,'Адресная программа'!$C$20:$C$4940,АЗС!B63,'Адресная программа'!$G$20:$G$4940,"&lt;&gt;Газпромнефть",'Адресная программа'!$F$20:$F$4940,"АЗС")*'Цены|Скидки'!$B$34),'Цены|Скидки'!$C$34,0%))))</f>
        <v/>
      </c>
      <c r="H63" s="157">
        <f>D$12</f>
        <v/>
      </c>
      <c r="I63" s="157" t="n"/>
      <c r="J63" s="171">
        <f>IF(D63=0,0,1-K63/F63)</f>
        <v/>
      </c>
      <c r="K63" s="870">
        <f>F63*(1-G63)*(1-H63)*(1-IF($AC$2="РА",$AD$2,0))*(1-IF(OR($AC$3="Доп скидка",$AC$3="Сезонная скидка",$AC$3="Welcome скидка")=TRUE,$AD$3,0))</f>
        <v/>
      </c>
      <c r="L63" s="870">
        <f>K63+M63</f>
        <v/>
      </c>
      <c r="M63" s="887">
        <f>K63*0.2</f>
        <v/>
      </c>
      <c r="N63" s="241">
        <f>D63*$L$7*1210</f>
        <v/>
      </c>
      <c r="O63" s="886">
        <f>IF(N63=0,0,(K63/N63*1000)/$D$7*10)</f>
        <v/>
      </c>
    </row>
    <row r="64" ht="16.05" customFormat="1" customHeight="1" s="212">
      <c r="B64" s="418" t="inlineStr">
        <is>
          <t>Самара</t>
        </is>
      </c>
      <c r="C64" s="214" t="inlineStr">
        <is>
          <t>АЗС</t>
        </is>
      </c>
      <c r="D64" s="170">
        <f>IF(C64="АЗС",SUMIFS('Адресная программа'!$O$20:$O$4940,'Адресная программа'!$L$20:$L$4940,1,'Адресная программа'!$C$20:$C$4940,АЗС!B64,'Адресная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программа'!$C$20:$C$4940,АЗС!B64,'Адресная программа'!$G$20:$G$4940,АЗС!C64,'Адресная программа'!$F$20:$F$4940,"АЗС"))</f>
        <v/>
      </c>
      <c r="E64" s="870">
        <f>'Цены|Скидки'!$F$11/15*$L$9</f>
        <v/>
      </c>
      <c r="F64" s="870">
        <f>E64*$L$7*D64</f>
        <v/>
      </c>
      <c r="G64" s="157">
        <f>IF(D64=SUMIFS('Адресная программа'!$K$20:$K$4940,'Адресная программа'!$L$20:$L$4940,1,'Адресная программа'!$C$20:$C$4940,АЗС!B64,'Адресная программа'!$G$20:$G$4940,"&lt;&gt;Газпромнефть",'Адресная программа'!$F$20:$F$4940,"АЗС"),'Цены|Скидки'!$C$31,IF(D64&gt;=(SUMIFS('Адресная программа'!$K$20:$K$4940,'Адресная программа'!$L$20:$L$4940,1,'Адресная программа'!$C$20:$C$4940,АЗС!B64,'Адресная программа'!$G$20:$G$4940,"&lt;&gt;Газпромнефть",'Адресная программа'!$F$20:$F$4940,"АЗС")*'Цены|Скидки'!$B$32),'Цены|Скидки'!$C$32,IF(D64&gt;=(SUMIFS('Адресная программа'!$K$20:$K$4940,'Адресная программа'!$L$20:$L$4940,1,'Адресная программа'!$C$20:$C$4940,АЗС!B64,'Адресная программа'!$G$20:$G$4940,"&lt;&gt;Газпромнефть",'Адресная программа'!$F$20:$F$4940,"АЗС")*'Цены|Скидки'!$B$33),'Цены|Скидки'!$C$33,IF(D64&gt;=(SUMIFS('Адресная программа'!$K$20:$K$4940,'Адресная программа'!$L$20:$L$4940,1,'Адресная программа'!$C$20:$C$4940,АЗС!B64,'Адресная программа'!$G$20:$G$4940,"&lt;&gt;Газпромнефть",'Адресная программа'!$F$20:$F$4940,"АЗС")*'Цены|Скидки'!$B$34),'Цены|Скидки'!$C$34,0%))))</f>
        <v/>
      </c>
      <c r="H64" s="157">
        <f>D$12</f>
        <v/>
      </c>
      <c r="I64" s="157" t="n"/>
      <c r="J64" s="171">
        <f>IF(D64=0,0,1-K64/F64)</f>
        <v/>
      </c>
      <c r="K64" s="870">
        <f>F64*(1-G64)*(1-H64)*(1-IF($AC$2="РА",$AD$2,0))*(1-IF(OR($AC$3="Доп скидка",$AC$3="Сезонная скидка",$AC$3="Welcome скидка")=TRUE,$AD$3,0))</f>
        <v/>
      </c>
      <c r="L64" s="870">
        <f>K64+M64</f>
        <v/>
      </c>
      <c r="M64" s="887">
        <f>K64*0.2</f>
        <v/>
      </c>
      <c r="N64" s="241">
        <f>D64*L$7*1260</f>
        <v/>
      </c>
      <c r="O64" s="886">
        <f>IF(N64=0,0,(K64/N64*1000)/$D$7*10)</f>
        <v/>
      </c>
    </row>
    <row r="65" outlineLevel="1" ht="16.05" customFormat="1" customHeight="1" s="212">
      <c r="B65" s="446" t="inlineStr">
        <is>
          <t>Самара</t>
        </is>
      </c>
      <c r="C65" s="345" t="inlineStr">
        <is>
          <t>Роснефть</t>
        </is>
      </c>
      <c r="D65" s="170">
        <f>IF(C65="АЗС",SUMIFS('Адресная программа'!$O$20:$O$4940,'Адресная программа'!$L$20:$L$4940,1,'Адресная программа'!$C$20:$C$4940,АЗС!B65,'Адресная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программа'!$C$20:$C$4940,АЗС!B65,'Адресная программа'!$G$20:$G$4940,АЗС!C65,'Адресная программа'!$F$20:$F$4940,"АЗС"))</f>
        <v/>
      </c>
      <c r="E65" s="870">
        <f>'Цены|Скидки'!$F$11/15*$L$9</f>
        <v/>
      </c>
      <c r="F65" s="870">
        <f>E65*$L$7*D65</f>
        <v/>
      </c>
      <c r="G65" s="342">
        <f>IF(SUM($D$65:$D$66)=SUMIFS('Адресная программа'!$K$20:$K$4940,'Адресная программа'!$L$20:$L$4940,1,'Адресная программа'!$C$20:$C$4940,АЗС!B65,'Адресная программа'!$G$20:$G$4940,"&lt;&gt;Газпромнефть",'Адресная программа'!$F$20:$F$4940,"АЗС"),'Цены|Скидки'!$C$31,IF(SUM($D$65:$D$66)&gt;=(SUMIFS('Адресная программа'!$K$20:$K$4940,'Адресная программа'!$L$20:$L$4940,1,'Адресная программа'!$C$20:$C$4940,АЗС!B65,'Адресная программа'!$G$20:$G$4940,"&lt;&gt;Газпромнефть",'Адресная программа'!$F$20:$F$4940,"АЗС")*'Цены|Скидки'!$B$32),'Цены|Скидки'!$C$32,IF(SUM($D$65:$D$66)&gt;=(SUMIFS('Адресная программа'!$K$20:$K$4940,'Адресная программа'!$L$20:$L$4940,1,'Адресная программа'!$C$20:$C$4940,АЗС!B65,'Адресная программа'!$G$20:$G$4940,"&lt;&gt;Газпромнефть",'Адресная программа'!$F$20:$F$4940,"АЗС")*'Цены|Скидки'!$B$33),'Цены|Скидки'!$C$33,IF(SUM($D$65:$D$66)&gt;=(SUMIFS('Адресная программа'!$K$20:$K$4940,'Адресная программа'!$L$20:$L$4940,1,'Адресная программа'!$C$20:$C$4940,АЗС!B65,'Адресная программа'!$G$20:$G$4940,"&lt;&gt;Газпромнефть",'Адресная программа'!$F$20:$F$4940,"АЗС")*'Цены|Скидки'!$B$34),'Цены|Скидки'!$C$34,IF(SUM($D$65:$D$66)&gt;=(SUMIFS('Адресная программа'!$K$20:$K$4940,'Адресная программа'!$L$20:$L$4940,1,'Адресная программа'!$C$20:$C$4940,АЗС!B65,'Адресная программа'!$G$20:$G$4940,"&lt;&gt;Газпромнефть",'Адресная программа'!$F$20:$F$4940,"АЗС")*'Цены|Скидки'!$B$36-1),'Цены|Скидки'!$C$36,0%)))))</f>
        <v/>
      </c>
      <c r="H65" s="342">
        <f>D$12</f>
        <v/>
      </c>
      <c r="I65" s="342" t="n"/>
      <c r="J65" s="469">
        <f>IF(D65=0,0,1-K65/F65)</f>
        <v/>
      </c>
      <c r="K65" s="887">
        <f>F65*(1-G65)*(1-H65)*(1-IF($AC$2="РА",$AD$2,0))*(1-IF(OR($AC$3="Доп скидка",$AC$3="Сезонная скидка",$AC$3="Welcome скидка")=TRUE,$AD$3,0))</f>
        <v/>
      </c>
      <c r="L65" s="887">
        <f>K65+M65</f>
        <v/>
      </c>
      <c r="M65" s="887">
        <f>K65*0.2</f>
        <v/>
      </c>
      <c r="N65" s="343">
        <f>D65*L$7*1260</f>
        <v/>
      </c>
      <c r="O65" s="886">
        <f>IF(N65=0,0,(K65/N65*1000)/$D$7*10)</f>
        <v/>
      </c>
    </row>
    <row r="66" outlineLevel="1" ht="16.05" customFormat="1" customHeight="1" s="212">
      <c r="B66" s="446" t="inlineStr">
        <is>
          <t>Самара</t>
        </is>
      </c>
      <c r="C66" s="345" t="inlineStr">
        <is>
          <t>Башнефть</t>
        </is>
      </c>
      <c r="D66" s="170">
        <f>IF(C66="АЗС",SUMIFS('Адресная программа'!$O$20:$O$4940,'Адресная программа'!$L$20:$L$4940,1,'Адресная программа'!$C$20:$C$4940,АЗС!B66,'Адресная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программа'!$C$20:$C$4940,АЗС!B66,'Адресная программа'!$G$20:$G$4940,АЗС!C66,'Адресная программа'!$F$20:$F$4940,"АЗС"))</f>
        <v/>
      </c>
      <c r="E66" s="870">
        <f>'Цены|Скидки'!$F$11/15*$L$9</f>
        <v/>
      </c>
      <c r="F66" s="870">
        <f>E66*$L$7*D66</f>
        <v/>
      </c>
      <c r="G66" s="342">
        <f>IF(SUM($D$65:$D$66)=SUMIFS('Адресная программа'!$K$20:$K$4940,'Адресная программа'!$L$20:$L$4940,1,'Адресная программа'!$C$20:$C$4940,АЗС!B66,'Адресная программа'!$G$20:$G$4940,"&lt;&gt;Газпромнефть",'Адресная программа'!$F$20:$F$4940,"АЗС"),'Цены|Скидки'!$C$31,IF(SUM($D$65:$D$66)&gt;=(SUMIFS('Адресная программа'!$K$20:$K$4940,'Адресная программа'!$L$20:$L$4940,1,'Адресная программа'!$C$20:$C$4940,АЗС!B66,'Адресная программа'!$G$20:$G$4940,"&lt;&gt;Газпромнефть",'Адресная программа'!$F$20:$F$4940,"АЗС")*'Цены|Скидки'!$B$32),'Цены|Скидки'!$C$32,IF(SUM($D$65:$D$66)&gt;=(SUMIFS('Адресная программа'!$K$20:$K$4940,'Адресная программа'!$L$20:$L$4940,1,'Адресная программа'!$C$20:$C$4940,АЗС!B66,'Адресная программа'!$G$20:$G$4940,"&lt;&gt;Газпромнефть",'Адресная программа'!$F$20:$F$4940,"АЗС")*'Цены|Скидки'!$B$33),'Цены|Скидки'!$C$33,IF(SUM($D$65:$D$66)&gt;=(SUMIFS('Адресная программа'!$K$20:$K$4940,'Адресная программа'!$L$20:$L$4940,1,'Адресная программа'!$C$20:$C$4940,АЗС!B66,'Адресная программа'!$G$20:$G$4940,"&lt;&gt;Газпромнефть",'Адресная программа'!$F$20:$F$4940,"АЗС")*'Цены|Скидки'!$B$34),'Цены|Скидки'!$C$34,IF(SUM($D$65:$D$66)&gt;=(SUMIFS('Адресная программа'!$K$20:$K$4940,'Адресная программа'!$L$20:$L$4940,1,'Адресная программа'!$C$20:$C$4940,АЗС!B66,'Адресная программа'!$G$20:$G$4940,"&lt;&gt;Газпромнефть",'Адресная программа'!$F$20:$F$4940,"АЗС")*'Цены|Скидки'!$B$36-1),'Цены|Скидки'!$C$36,0%)))))</f>
        <v/>
      </c>
      <c r="H66" s="342">
        <f>D$12</f>
        <v/>
      </c>
      <c r="I66" s="342" t="n"/>
      <c r="J66" s="469">
        <f>IF(D66=0,0,1-K66/F66)</f>
        <v/>
      </c>
      <c r="K66" s="887">
        <f>F66*(1-G66)*(1-H66)*(1-IF($AC$2="РА",$AD$2,0))*(1-IF(OR($AC$3="Доп скидка",$AC$3="Сезонная скидка",$AC$3="Welcome скидка")=TRUE,$AD$3,0))</f>
        <v/>
      </c>
      <c r="L66" s="887">
        <f>K66+M66</f>
        <v/>
      </c>
      <c r="M66" s="887">
        <f>K66*0.2</f>
        <v/>
      </c>
      <c r="N66" s="343">
        <f>D66*L$7*1260</f>
        <v/>
      </c>
      <c r="O66" s="886">
        <f>IF(N66=0,0,(K66/N66*1000)/$D$7*10)</f>
        <v/>
      </c>
    </row>
    <row r="67" ht="16.05" customFormat="1" customHeight="1" s="212">
      <c r="B67" s="418" t="inlineStr">
        <is>
          <t>Саратов</t>
        </is>
      </c>
      <c r="C67" s="214" t="inlineStr">
        <is>
          <t>Роснефть</t>
        </is>
      </c>
      <c r="D67" s="170">
        <f>IF(C67="АЗС",SUMIFS('Адресная программа'!$O$20:$O$4940,'Адресная программа'!$L$20:$L$4940,1,'Адресная программа'!$C$20:$C$4940,АЗС!B67,'Адресная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программа'!$C$20:$C$4940,АЗС!B67,'Адресная программа'!$G$20:$G$4940,АЗС!C67,'Адресная программа'!$F$20:$F$4940,"АЗС"))</f>
        <v/>
      </c>
      <c r="E67" s="870">
        <f>'Цены|Скидки'!$F$11/15*$L$9</f>
        <v/>
      </c>
      <c r="F67" s="870">
        <f>E67*$L$7*D67</f>
        <v/>
      </c>
      <c r="G67" s="157">
        <f>IF(D67=SUMIFS('Адресная программа'!$K$20:$K$4940,'Адресная программа'!$L$20:$L$4940,1,'Адресная программа'!$C$20:$C$4940,АЗС!B67,'Адресная программа'!$G$20:$G$4940,"&lt;&gt;Газпромнефть",'Адресная программа'!$F$20:$F$4940,"АЗС"),'Цены|Скидки'!$C$31,IF(D67&gt;=(SUMIFS('Адресная программа'!$K$20:$K$4940,'Адресная программа'!$L$20:$L$4940,1,'Адресная программа'!$C$20:$C$4940,АЗС!B67,'Адресная программа'!$G$20:$G$4940,"&lt;&gt;Газпромнефть",'Адресная программа'!$F$20:$F$4940,"АЗС")*'Цены|Скидки'!$B$32),'Цены|Скидки'!$C$32,IF(D67&gt;=(SUMIFS('Адресная программа'!$K$20:$K$4940,'Адресная программа'!$L$20:$L$4940,1,'Адресная программа'!$C$20:$C$4940,АЗС!B67,'Адресная программа'!$G$20:$G$4940,"&lt;&gt;Газпромнефть",'Адресная программа'!$F$20:$F$4940,"АЗС")*'Цены|Скидки'!$B$33),'Цены|Скидки'!$C$33,IF(D67&gt;=(SUMIFS('Адресная программа'!$K$20:$K$4940,'Адресная программа'!$L$20:$L$4940,1,'Адресная программа'!$C$20:$C$4940,АЗС!B67,'Адресная программа'!$G$20:$G$4940,"&lt;&gt;Газпромнефть",'Адресная программа'!$F$20:$F$4940,"АЗС")*'Цены|Скидки'!$B$34),'Цены|Скидки'!$C$34,0%))))</f>
        <v/>
      </c>
      <c r="H67" s="157">
        <f>D$12</f>
        <v/>
      </c>
      <c r="I67" s="157" t="n"/>
      <c r="J67" s="171">
        <f>IF(D67=0,0,1-K67/F67)</f>
        <v/>
      </c>
      <c r="K67" s="870">
        <f>F67*(1-G67)*(1-H67)*(1-IF($AC$2="РА",$AD$2,0))*(1-IF(OR($AC$3="Доп скидка",$AC$3="Сезонная скидка",$AC$3="Welcome скидка")=TRUE,$AD$3,0))</f>
        <v/>
      </c>
      <c r="L67" s="870">
        <f>K67+M67</f>
        <v/>
      </c>
      <c r="M67" s="870">
        <f>K67*0.2</f>
        <v/>
      </c>
      <c r="N67" s="241">
        <f>D67*L$7*1045</f>
        <v/>
      </c>
      <c r="O67" s="886">
        <f>IF(N67=0,0,(K67/N67*1000)/$D$7*10)</f>
        <v/>
      </c>
    </row>
    <row r="68" ht="16.05" customFormat="1" customHeight="1" s="212">
      <c r="B68" s="418" t="inlineStr">
        <is>
          <t>Смоленск</t>
        </is>
      </c>
      <c r="C68" s="214" t="inlineStr">
        <is>
          <t>Роснефть</t>
        </is>
      </c>
      <c r="D68" s="170">
        <f>IF(C68="АЗС",SUMIFS('Адресная программа'!$O$20:$O$4940,'Адресная программа'!$L$20:$L$4940,1,'Адресная программа'!$C$20:$C$4940,АЗС!B68,'Адресная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программа'!$C$20:$C$4940,АЗС!B68,'Адресная программа'!$G$20:$G$4940,АЗС!C68,'Адресная программа'!$F$20:$F$4940,"АЗС"))</f>
        <v/>
      </c>
      <c r="E68" s="870">
        <f>'Цены|Скидки'!$F$11/15*$L$9</f>
        <v/>
      </c>
      <c r="F68" s="870">
        <f>E68*$L$7*D68</f>
        <v/>
      </c>
      <c r="G68" s="157">
        <f>IF(D68=SUMIFS('Адресная программа'!$K$20:$K$4940,'Адресная программа'!$L$20:$L$4940,1,'Адресная программа'!$C$20:$C$4940,АЗС!B68,'Адресная программа'!$G$20:$G$4940,"&lt;&gt;Газпромнефть",'Адресная программа'!$F$20:$F$4940,"АЗС"),'Цены|Скидки'!$C$31,IF(D68&gt;=(SUMIFS('Адресная программа'!$K$20:$K$4940,'Адресная программа'!$L$20:$L$4940,1,'Адресная программа'!$C$20:$C$4940,АЗС!B68,'Адресная программа'!$G$20:$G$4940,"&lt;&gt;Газпромнефть",'Адресная программа'!$F$20:$F$4940,"АЗС")*'Цены|Скидки'!$B$32),'Цены|Скидки'!$C$32,IF(D68&gt;=(SUMIFS('Адресная программа'!$K$20:$K$4940,'Адресная программа'!$L$20:$L$4940,1,'Адресная программа'!$C$20:$C$4940,АЗС!B68,'Адресная программа'!$G$20:$G$4940,"&lt;&gt;Газпромнефть",'Адресная программа'!$F$20:$F$4940,"АЗС")*'Цены|Скидки'!$B$33),'Цены|Скидки'!$C$33,IF(D68&gt;=(SUMIFS('Адресная программа'!$K$20:$K$4940,'Адресная программа'!$L$20:$L$4940,1,'Адресная программа'!$C$20:$C$4940,АЗС!B68,'Адресная программа'!$G$20:$G$4940,"&lt;&gt;Газпромнефть",'Адресная программа'!$F$20:$F$4940,"АЗС")*'Цены|Скидки'!$B$34),'Цены|Скидки'!$C$34,0%))))</f>
        <v/>
      </c>
      <c r="H68" s="157">
        <f>D$12</f>
        <v/>
      </c>
      <c r="I68" s="157" t="n"/>
      <c r="J68" s="171">
        <f>IF(D68=0,0,1-K68/F68)</f>
        <v/>
      </c>
      <c r="K68" s="870">
        <f>F68*(1-G68)*(1-H68)*(1-IF($AC$2="РА",$AD$2,0))*(1-IF(OR($AC$3="Доп скидка",$AC$3="Сезонная скидка",$AC$3="Welcome скидка")=TRUE,$AD$3,0))</f>
        <v/>
      </c>
      <c r="L68" s="870">
        <f>K68+M68</f>
        <v/>
      </c>
      <c r="M68" s="887">
        <f>K68*0.2</f>
        <v/>
      </c>
      <c r="N68" s="241">
        <f>D68*L$7*950</f>
        <v/>
      </c>
      <c r="O68" s="886">
        <f>IF(N68=0,0,(K68/N68*1000)/$D$7*10)</f>
        <v/>
      </c>
      <c r="S68" s="530" t="n"/>
    </row>
    <row r="69" ht="16.05" customFormat="1" customHeight="1" s="212">
      <c r="B69" s="445" t="inlineStr">
        <is>
          <t>Ставрополь</t>
        </is>
      </c>
      <c r="C69" s="214" t="inlineStr">
        <is>
          <t>Роснефть</t>
        </is>
      </c>
      <c r="D69" s="170">
        <f>IF(C69="АЗС",SUMIFS('Адресная программа'!$O$20:$O$4940,'Адресная программа'!$L$20:$L$4940,1,'Адресная программа'!$C$20:$C$4940,АЗС!B69,'Адресная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программа'!$C$20:$C$4940,АЗС!B69,'Адресная программа'!$G$20:$G$4940,АЗС!C69,'Адресная программа'!$F$20:$F$4940,"АЗС"))</f>
        <v/>
      </c>
      <c r="E69" s="870">
        <f>'Цены|Скидки'!$F$11/15*$L$9</f>
        <v/>
      </c>
      <c r="F69" s="870">
        <f>E69*$L$7*D69</f>
        <v/>
      </c>
      <c r="G69" s="157">
        <f>IF(D69=SUMIFS('Адресная программа'!$K$20:$K$4940,'Адресная программа'!$L$20:$L$4940,1,'Адресная программа'!$C$20:$C$4940,АЗС!B69,'Адресная программа'!$G$20:$G$4940,"&lt;&gt;Газпромнефть",'Адресная программа'!$F$20:$F$4940,"АЗС"),'Цены|Скидки'!$C$31,IF(D69&gt;=(SUMIFS('Адресная программа'!$K$20:$K$4940,'Адресная программа'!$L$20:$L$4940,1,'Адресная программа'!$C$20:$C$4940,АЗС!B69,'Адресная программа'!$G$20:$G$4940,"&lt;&gt;Газпромнефть",'Адресная программа'!$F$20:$F$4940,"АЗС")*'Цены|Скидки'!$B$32),'Цены|Скидки'!$C$32,IF(D69&gt;=(SUMIFS('Адресная программа'!$K$20:$K$4940,'Адресная программа'!$L$20:$L$4940,1,'Адресная программа'!$C$20:$C$4940,АЗС!B69,'Адресная программа'!$G$20:$G$4940,"&lt;&gt;Газпромнефть",'Адресная программа'!$F$20:$F$4940,"АЗС")*'Цены|Скидки'!$B$33),'Цены|Скидки'!$C$33,IF(D69&gt;=(SUMIFS('Адресная программа'!$K$20:$K$4940,'Адресная программа'!$L$20:$L$4940,1,'Адресная программа'!$C$20:$C$4940,АЗС!B69,'Адресная программа'!$G$20:$G$4940,"&lt;&gt;Газпромнефть",'Адресная программа'!$F$20:$F$4940,"АЗС")*'Цены|Скидки'!$B$34),'Цены|Скидки'!$C$34,0%))))</f>
        <v/>
      </c>
      <c r="H69" s="157">
        <f>D$12</f>
        <v/>
      </c>
      <c r="I69" s="157" t="n"/>
      <c r="J69" s="171">
        <f>IF(D69=0,0,1-K69/F69)</f>
        <v/>
      </c>
      <c r="K69" s="870">
        <f>F69*(1-G69)*(1-H69)*(1-IF($AC$2="РА",$AD$2,0))*(1-IF(OR($AC$3="Доп скидка",$AC$3="Сезонная скидка",$AC$3="Welcome скидка")=TRUE,$AD$3,0))</f>
        <v/>
      </c>
      <c r="L69" s="870">
        <f>K69+M69</f>
        <v/>
      </c>
      <c r="M69" s="887">
        <f>K69*0.2</f>
        <v/>
      </c>
      <c r="N69" s="241">
        <f>D69*L$7*935</f>
        <v/>
      </c>
      <c r="O69" s="886">
        <f>IF(N69=0,0,(K69/N69*1000)/$D$7*10)</f>
        <v/>
      </c>
    </row>
    <row r="70" ht="16.05" customFormat="1" customHeight="1" s="212">
      <c r="B70" s="445" t="inlineStr">
        <is>
          <t>Сургут</t>
        </is>
      </c>
      <c r="C70" s="214" t="inlineStr">
        <is>
          <t>Эталон</t>
        </is>
      </c>
      <c r="D70" s="170">
        <f>IF(C70="АЗС",SUMIFS('Адресная программа'!$O$20:$O$4940,'Адресная программа'!$L$20:$L$4940,1,'Адресная программа'!$C$20:$C$4940,АЗС!B70,'Адресная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программа'!$C$20:$C$4940,АЗС!B70,'Адресная программа'!$G$20:$G$4940,АЗС!C70,'Адресная программа'!$F$20:$F$4940,"АЗС"))</f>
        <v/>
      </c>
      <c r="E70" s="870">
        <f>'Цены|Скидки'!I11/15*$L$9</f>
        <v/>
      </c>
      <c r="F70" s="870">
        <f>E70*$L$7*D70</f>
        <v/>
      </c>
      <c r="G70" s="157">
        <f>IF(D70=SUMIFS('Адресная программа'!$K$20:$K$4940,'Адресная программа'!$L$20:$L$4940,1,'Адресная программа'!$C$20:$C$4940,АЗС!B70,'Адресная программа'!$G$20:$G$4940,"&lt;&gt;Газпромнефть",'Адресная программа'!$F$20:$F$4940,"АЗС"),'Цены|Скидки'!$C$31,IF(D70&gt;=(SUMIFS('Адресная программа'!$K$20:$K$4940,'Адресная программа'!$L$20:$L$4940,1,'Адресная программа'!$C$20:$C$4940,АЗС!B70,'Адресная программа'!$G$20:$G$4940,"&lt;&gt;Газпромнефть",'Адресная программа'!$F$20:$F$4940,"АЗС")*'Цены|Скидки'!$B$32),'Цены|Скидки'!$C$32,IF(D70&gt;=(SUMIFS('Адресная программа'!$K$20:$K$4940,'Адресная программа'!$L$20:$L$4940,1,'Адресная программа'!$C$20:$C$4940,АЗС!B70,'Адресная программа'!$G$20:$G$4940,"&lt;&gt;Газпромнефть",'Адресная программа'!$F$20:$F$4940,"АЗС")*'Цены|Скидки'!$B$33),'Цены|Скидки'!$C$33,IF(D70&gt;=(SUMIFS('Адресная программа'!$K$20:$K$4940,'Адресная программа'!$L$20:$L$4940,1,'Адресная программа'!$C$20:$C$4940,АЗС!B70,'Адресная программа'!$G$20:$G$4940,"&lt;&gt;Газпромнефть",'Адресная программа'!$F$20:$F$4940,"АЗС")*'Цены|Скидки'!$B$34),'Цены|Скидки'!$C$34,0%))))</f>
        <v/>
      </c>
      <c r="H70" s="157">
        <f>D$12</f>
        <v/>
      </c>
      <c r="I70" s="157" t="n"/>
      <c r="J70" s="171">
        <f>IF(D70=0,0,1-K70/F70)</f>
        <v/>
      </c>
      <c r="K70" s="870">
        <f>F70*(1-G70)*(1-H70)*(1-IF($AC$2="РА",$AD$2,0))*(1-IF(OR($AC$3="Доп скидка",$AC$3="Сезонная скидка",$AC$3="Welcome скидка")=TRUE,$AD$3,0))</f>
        <v/>
      </c>
      <c r="L70" s="870">
        <f>K70+M70</f>
        <v/>
      </c>
      <c r="M70" s="888">
        <f>K70*0.2</f>
        <v/>
      </c>
      <c r="N70" s="158">
        <f>D70*L$7*1210</f>
        <v/>
      </c>
      <c r="O70" s="886">
        <f>IF(N70=0,0,(K70/N70*1000)/$D$7*10)</f>
        <v/>
      </c>
    </row>
    <row r="71" ht="16.05" customFormat="1" customHeight="1" s="212">
      <c r="B71" s="418" t="inlineStr">
        <is>
          <t>Тамбов</t>
        </is>
      </c>
      <c r="C71" s="214" t="inlineStr">
        <is>
          <t>Роснефть</t>
        </is>
      </c>
      <c r="D71" s="170">
        <f>IF(C71="АЗС",SUMIFS('Адресная программа'!$O$20:$O$4940,'Адресная программа'!$L$20:$L$4940,1,'Адресная программа'!$C$20:$C$4940,АЗС!B71,'Адресная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программа'!$C$20:$C$4940,АЗС!B71,'Адресная программа'!$G$20:$G$4940,АЗС!C71,'Адресная программа'!$F$20:$F$4940,"АЗС"))</f>
        <v/>
      </c>
      <c r="E71" s="870">
        <f>'Цены|Скидки'!$F$11/15*$L$9</f>
        <v/>
      </c>
      <c r="F71" s="870">
        <f>E71*$L$7*D71</f>
        <v/>
      </c>
      <c r="G71" s="157">
        <f>IF(D71=SUMIFS('Адресная программа'!$K$20:$K$4940,'Адресная программа'!$L$20:$L$4940,1,'Адресная программа'!$C$20:$C$4940,АЗС!B71,'Адресная программа'!$G$20:$G$4940,"&lt;&gt;Газпромнефть",'Адресная программа'!$F$20:$F$4940,"АЗС"),'Цены|Скидки'!$C$31,IF(D71&gt;=(SUMIFS('Адресная программа'!$K$20:$K$4940,'Адресная программа'!$L$20:$L$4940,1,'Адресная программа'!$C$20:$C$4940,АЗС!B71,'Адресная программа'!$G$20:$G$4940,"&lt;&gt;Газпромнефть",'Адресная программа'!$F$20:$F$4940,"АЗС")*'Цены|Скидки'!$B$32),'Цены|Скидки'!$C$32,IF(D71&gt;=(SUMIFS('Адресная программа'!$K$20:$K$4940,'Адресная программа'!$L$20:$L$4940,1,'Адресная программа'!$C$20:$C$4940,АЗС!B71,'Адресная программа'!$G$20:$G$4940,"&lt;&gt;Газпромнефть",'Адресная программа'!$F$20:$F$4940,"АЗС")*'Цены|Скидки'!$B$33),'Цены|Скидки'!$C$33,IF(D71&gt;=(SUMIFS('Адресная программа'!$K$20:$K$4940,'Адресная программа'!$L$20:$L$4940,1,'Адресная программа'!$C$20:$C$4940,АЗС!B71,'Адресная программа'!$G$20:$G$4940,"&lt;&gt;Газпромнефть",'Адресная программа'!$F$20:$F$4940,"АЗС")*'Цены|Скидки'!$B$34),'Цены|Скидки'!$C$34,0%))))</f>
        <v/>
      </c>
      <c r="H71" s="157">
        <f>D$12</f>
        <v/>
      </c>
      <c r="I71" s="157" t="n"/>
      <c r="J71" s="171">
        <f>IF(D71=0,0,1-K71/F71)</f>
        <v/>
      </c>
      <c r="K71" s="870">
        <f>F71*(1-G71)*(1-H71)*(1-IF($AC$2="РА",$AD$2,0))*(1-IF(OR($AC$3="Доп скидка",$AC$3="Сезонная скидка",$AC$3="Welcome скидка")=TRUE,$AD$3,0))</f>
        <v/>
      </c>
      <c r="L71" s="870">
        <f>K71+M71</f>
        <v/>
      </c>
      <c r="M71" s="888">
        <f>K71*0.2</f>
        <v/>
      </c>
      <c r="N71" s="241">
        <f>D71*L$7*1155</f>
        <v/>
      </c>
      <c r="O71" s="886">
        <f>IF(N71=0,0,(K71/N71*1000)/$D$7*10)</f>
        <v/>
      </c>
    </row>
    <row r="72" ht="16.05" customFormat="1" customHeight="1" s="212">
      <c r="B72" s="418" t="inlineStr">
        <is>
          <t>Тверь</t>
        </is>
      </c>
      <c r="C72" s="214" t="inlineStr">
        <is>
          <t>Роснефть</t>
        </is>
      </c>
      <c r="D72" s="170">
        <f>IF(C72="АЗС",SUMIFS('Адресная программа'!$O$20:$O$4940,'Адресная программа'!$L$20:$L$4940,1,'Адресная программа'!$C$20:$C$4940,АЗС!B72,'Адресная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программа'!$C$20:$C$4940,АЗС!B72,'Адресная программа'!$G$20:$G$4940,АЗС!C72,'Адресная программа'!$F$20:$F$4940,"АЗС"))</f>
        <v/>
      </c>
      <c r="E72" s="870">
        <f>'Цены|Скидки'!$F$11/15*$L$9</f>
        <v/>
      </c>
      <c r="F72" s="870">
        <f>E72*$L$7*D72</f>
        <v/>
      </c>
      <c r="G72" s="157">
        <f>IF(D72=SUMIFS('Адресная программа'!$K$20:$K$4940,'Адресная программа'!$L$20:$L$4940,1,'Адресная программа'!$C$20:$C$4940,АЗС!B72,'Адресная программа'!$G$20:$G$4940,"&lt;&gt;Газпромнефть",'Адресная программа'!$F$20:$F$4940,"АЗС"),'Цены|Скидки'!$C$31,IF(D72&gt;=(SUMIFS('Адресная программа'!$K$20:$K$4940,'Адресная программа'!$L$20:$L$4940,1,'Адресная программа'!$C$20:$C$4940,АЗС!B72,'Адресная программа'!$G$20:$G$4940,"&lt;&gt;Газпромнефть",'Адресная программа'!$F$20:$F$4940,"АЗС")*'Цены|Скидки'!$B$32),'Цены|Скидки'!$C$32,IF(D72&gt;=(SUMIFS('Адресная программа'!$K$20:$K$4940,'Адресная программа'!$L$20:$L$4940,1,'Адресная программа'!$C$20:$C$4940,АЗС!B72,'Адресная программа'!$G$20:$G$4940,"&lt;&gt;Газпромнефть",'Адресная программа'!$F$20:$F$4940,"АЗС")*'Цены|Скидки'!$B$33),'Цены|Скидки'!$C$33,IF(D72&gt;=(SUMIFS('Адресная программа'!$K$20:$K$4940,'Адресная программа'!$L$20:$L$4940,1,'Адресная программа'!$C$20:$C$4940,АЗС!B72,'Адресная программа'!$G$20:$G$4940,"&lt;&gt;Газпромнефть",'Адресная программа'!$F$20:$F$4940,"АЗС")*'Цены|Скидки'!$B$34),'Цены|Скидки'!$C$34,0%))))</f>
        <v/>
      </c>
      <c r="H72" s="157">
        <f>D$12</f>
        <v/>
      </c>
      <c r="I72" s="157" t="n"/>
      <c r="J72" s="171">
        <f>IF(D72=0,0,1-K72/F72)</f>
        <v/>
      </c>
      <c r="K72" s="870">
        <f>F72*(1-G72)*(1-H72)*(1-IF($AC$2="РА",$AD$2,0))*(1-IF(OR($AC$3="Доп скидка",$AC$3="Сезонная скидка",$AC$3="Welcome скидка")=TRUE,$AD$3,0))</f>
        <v/>
      </c>
      <c r="L72" s="870">
        <f>K72+M72</f>
        <v/>
      </c>
      <c r="M72" s="888">
        <f>K72*0.2</f>
        <v/>
      </c>
      <c r="N72" s="241">
        <f>D72*L$7*1320</f>
        <v/>
      </c>
      <c r="O72" s="886">
        <f>IF(N72=0,0,(K72/N72*1000)/$D$7*10)</f>
        <v/>
      </c>
    </row>
    <row r="73" ht="16.05" customFormat="1" customHeight="1" s="212">
      <c r="B73" s="418" t="inlineStr">
        <is>
          <t>Тула</t>
        </is>
      </c>
      <c r="C73" s="214" t="inlineStr">
        <is>
          <t>Роснефть</t>
        </is>
      </c>
      <c r="D73" s="170">
        <f>IF(C73="АЗС",SUMIFS('Адресная программа'!$O$20:$O$4940,'Адресная программа'!$L$20:$L$4940,1,'Адресная программа'!$C$20:$C$4940,АЗС!B73,'Адресная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программа'!$C$20:$C$4940,АЗС!B73,'Адресная программа'!$G$20:$G$4940,АЗС!C73,'Адресная программа'!$F$20:$F$4940,"АЗС"))</f>
        <v/>
      </c>
      <c r="E73" s="870">
        <f>'Цены|Скидки'!$F$11/15*$L$9</f>
        <v/>
      </c>
      <c r="F73" s="870">
        <f>E73*$L$7*D73</f>
        <v/>
      </c>
      <c r="G73" s="157">
        <f>IF(D73=SUMIFS('Адресная программа'!$K$20:$K$4940,'Адресная программа'!$L$20:$L$4940,1,'Адресная программа'!$C$20:$C$4940,АЗС!B73,'Адресная программа'!$G$20:$G$4940,"&lt;&gt;Газпромнефть",'Адресная программа'!$F$20:$F$4940,"АЗС"),'Цены|Скидки'!$C$31,IF(D73&gt;=(SUMIFS('Адресная программа'!$K$20:$K$4940,'Адресная программа'!$L$20:$L$4940,1,'Адресная программа'!$C$20:$C$4940,АЗС!B73,'Адресная программа'!$G$20:$G$4940,"&lt;&gt;Газпромнефть",'Адресная программа'!$F$20:$F$4940,"АЗС")*'Цены|Скидки'!$B$32),'Цены|Скидки'!$C$32,IF(D73&gt;=(SUMIFS('Адресная программа'!$K$20:$K$4940,'Адресная программа'!$L$20:$L$4940,1,'Адресная программа'!$C$20:$C$4940,АЗС!B73,'Адресная программа'!$G$20:$G$4940,"&lt;&gt;Газпромнефть",'Адресная программа'!$F$20:$F$4940,"АЗС")*'Цены|Скидки'!$B$33),'Цены|Скидки'!$C$33,IF(D73&gt;=(SUMIFS('Адресная программа'!$K$20:$K$4940,'Адресная программа'!$L$20:$L$4940,1,'Адресная программа'!$C$20:$C$4940,АЗС!B73,'Адресная программа'!$G$20:$G$4940,"&lt;&gt;Газпромнефть",'Адресная программа'!$F$20:$F$4940,"АЗС")*'Цены|Скидки'!$B$34),'Цены|Скидки'!$C$34,0%))))</f>
        <v/>
      </c>
      <c r="H73" s="157">
        <f>D$12</f>
        <v/>
      </c>
      <c r="I73" s="157" t="n"/>
      <c r="J73" s="171">
        <f>IF(D73=0,0,1-K73/F73)</f>
        <v/>
      </c>
      <c r="K73" s="870">
        <f>F73*(1-G73)*(1-H73)*(1-IF($AC$2="РА",$AD$2,0))*(1-IF(OR($AC$3="Доп скидка",$AC$3="Сезонная скидка",$AC$3="Welcome скидка")=TRUE,$AD$3,0))</f>
        <v/>
      </c>
      <c r="L73" s="870">
        <f>K73+M73</f>
        <v/>
      </c>
      <c r="M73" s="888">
        <f>K73*0.2</f>
        <v/>
      </c>
      <c r="N73" s="241">
        <f>D73*L$7*1100</f>
        <v/>
      </c>
      <c r="O73" s="886">
        <f>IF(N73=0,0,(K73/N73*1000)/$D$7*10)</f>
        <v/>
      </c>
    </row>
    <row r="74" ht="16.05" customFormat="1" customHeight="1" s="212">
      <c r="B74" s="418" t="inlineStr">
        <is>
          <t>Томск</t>
        </is>
      </c>
      <c r="C74" s="214" t="inlineStr">
        <is>
          <t>Роснефть</t>
        </is>
      </c>
      <c r="D74" s="170">
        <f>IF(C74="АЗС",SUMIFS('Адресная программа'!$O$20:$O$4940,'Адресная программа'!$L$20:$L$4940,1,'Адресная программа'!$C$20:$C$4940,АЗС!B74,'Адресная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программа'!$C$20:$C$4940,АЗС!B74,'Адресная программа'!$G$20:$G$4940,АЗС!C74,'Адресная программа'!$F$20:$F$4940,"АЗС"))</f>
        <v/>
      </c>
      <c r="E74" s="870">
        <f>'Цены|Скидки'!$F$11/15*$L$9</f>
        <v/>
      </c>
      <c r="F74" s="870">
        <f>E74*$L$7*D74</f>
        <v/>
      </c>
      <c r="G74" s="157">
        <f>IF(D74=SUMIFS('Адресная программа'!$K$20:$K$4940,'Адресная программа'!$L$20:$L$4940,1,'Адресная программа'!$C$20:$C$4940,АЗС!B74,'Адресная программа'!$G$20:$G$4940,"&lt;&gt;Газпромнефть",'Адресная программа'!$F$20:$F$4940,"АЗС"),'Цены|Скидки'!$C$31,IF(D74&gt;=(SUMIFS('Адресная программа'!$K$20:$K$4940,'Адресная программа'!$L$20:$L$4940,1,'Адресная программа'!$C$20:$C$4940,АЗС!B74,'Адресная программа'!$G$20:$G$4940,"&lt;&gt;Газпромнефть",'Адресная программа'!$F$20:$F$4940,"АЗС")*'Цены|Скидки'!$B$32),'Цены|Скидки'!$C$32,IF(D74&gt;=(SUMIFS('Адресная программа'!$K$20:$K$4940,'Адресная программа'!$L$20:$L$4940,1,'Адресная программа'!$C$20:$C$4940,АЗС!B74,'Адресная программа'!$G$20:$G$4940,"&lt;&gt;Газпромнефть",'Адресная программа'!$F$20:$F$4940,"АЗС")*'Цены|Скидки'!$B$33),'Цены|Скидки'!$C$33,IF(D74&gt;=(SUMIFS('Адресная программа'!$K$20:$K$4940,'Адресная программа'!$L$20:$L$4940,1,'Адресная программа'!$C$20:$C$4940,АЗС!B74,'Адресная программа'!$G$20:$G$4940,"&lt;&gt;Газпромнефть",'Адресная программа'!$F$20:$F$4940,"АЗС")*'Цены|Скидки'!$B$34),'Цены|Скидки'!$C$34,0%))))</f>
        <v/>
      </c>
      <c r="H74" s="157">
        <f>D$12</f>
        <v/>
      </c>
      <c r="I74" s="157" t="n"/>
      <c r="J74" s="171">
        <f>IF(D74=0,0,1-K74/F74)</f>
        <v/>
      </c>
      <c r="K74" s="870">
        <f>F74*(1-G74)*(1-H74)*(1-IF($AC$2="РА",$AD$2,0))*(1-IF(OR($AC$3="Доп скидка",$AC$3="Сезонная скидка",$AC$3="Welcome скидка")=TRUE,$AD$3,0))</f>
        <v/>
      </c>
      <c r="L74" s="870">
        <f>K74+M74</f>
        <v/>
      </c>
      <c r="M74" s="870">
        <f>K74*0.2</f>
        <v/>
      </c>
      <c r="N74" s="241">
        <f>D74*L$7*1045</f>
        <v/>
      </c>
      <c r="O74" s="886">
        <f>IF(N74=0,0,(K74/N74*1000)/$D$7*10)</f>
        <v/>
      </c>
    </row>
    <row r="75" ht="16.05" customFormat="1" customHeight="1" s="212">
      <c r="B75" s="445" t="inlineStr">
        <is>
          <t>Тюмень</t>
        </is>
      </c>
      <c r="C75" s="214" t="inlineStr">
        <is>
          <t>Газпромнефть</t>
        </is>
      </c>
      <c r="D75" s="170">
        <f>IF(C75="АЗС",SUMIFS('Адресная программа'!$O$20:$O$4940,'Адресная программа'!$L$20:$L$4940,1,'Адресная программа'!$C$20:$C$4940,АЗС!B75,'Адресная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программа'!$C$20:$C$4940,АЗС!B75,'Адресная программа'!$G$20:$G$4940,АЗС!C75,'Адресная программа'!$F$20:$F$4940,"АЗС"))</f>
        <v/>
      </c>
      <c r="E75" s="870">
        <f>'Цены|Скидки'!$I$11/15*$L$9</f>
        <v/>
      </c>
      <c r="F75" s="870">
        <f>E75*$L$7*D75</f>
        <v/>
      </c>
      <c r="G75" s="157">
        <f>IF(D75=SUMIFS('Адресная программа'!$K$20:$K$4940,'Адресная программа'!$L$20:$L$4940,1,'Адресная программа'!$C$20:$C$4940,АЗС!B75,'Адресная программа'!$G$20:$G$4940,"=Газпромнефть",'Адресная программа'!$F$20:$F$4940,"АЗС"),'Цены|Скидки'!$C$43,IF(D75&gt;=(SUMIFS('Адресная программа'!$K$20:$K$4940,'Адресная программа'!$L$20:$L$4940,1,'Адресная программа'!$C$20:$C$4940,АЗС!B75,'Адресная программа'!$G$20:$G$4940,"=Газпромнефть",'Адресная программа'!$F$20:$F$4940,"АЗС")*'Цены|Скидки'!$B$44),'Цены|Скидки'!$C$44,IF(D75&gt;=(SUMIFS('Адресная программа'!$K$20:$K$4940,'Адресная программа'!$L$20:$L$4940,1,'Адресная программа'!$C$20:$C$4940,АЗС!B75,'Адресная программа'!$G$20:$G$4940,"=Газпромнефть",'Адресная программа'!$F$20:$F$4940,"АЗС")*'Цены|Скидки'!$B$45),'Цены|Скидки'!$C$45,IF(D75&gt;=(SUMIFS('Адресная программа'!$K$20:$K$4940,'Адресная программа'!$L$20:$L$4940,1,'Адресная программа'!$C$20:$C$4940,АЗС!B75,'Адресная программа'!$G$20:$G$4940,"=Газпромнефть",'Адресная программа'!$F$20:$F$4940,"АЗС")*'Цены|Скидки'!$B$46),'Цены|Скидки'!$C$46,0%))))</f>
        <v/>
      </c>
      <c r="H75" s="157">
        <f>$D$12</f>
        <v/>
      </c>
      <c r="I75" s="157">
        <f>'Адресная программа'!Y19</f>
        <v/>
      </c>
      <c r="J75" s="171">
        <f>IF(D75=0,0,1-K75/F75)</f>
        <v/>
      </c>
      <c r="K75" s="870">
        <f>F75*(1-G75)*(1-H75)*(1-IF($AC$2="РА",$AD$2,0))*(1-IF(OR($AC$3="Доп скидка",$AC$3="Сезонная скидка",$AC$3="Welcome скидка")=TRUE,$AD$3,0))*(1-'Адресная программа'!Y19)</f>
        <v/>
      </c>
      <c r="L75" s="870">
        <f>K75+M75</f>
        <v/>
      </c>
      <c r="M75" s="870">
        <f>K75*0.2</f>
        <v/>
      </c>
      <c r="N75" s="241">
        <f>D75*$L$7*1045</f>
        <v/>
      </c>
      <c r="O75" s="886">
        <f>IF(N75=0,0,(K75/N75*1000)/$D$7*10)</f>
        <v/>
      </c>
    </row>
    <row r="76" ht="16.05" customFormat="1" customHeight="1" s="212">
      <c r="B76" s="445" t="inlineStr">
        <is>
          <t>Улан-Удэ</t>
        </is>
      </c>
      <c r="C76" s="214" t="inlineStr">
        <is>
          <t>Роснефть</t>
        </is>
      </c>
      <c r="D76" s="170">
        <f>IF(C76="АЗС",SUMIFS('Адресная программа'!$O$20:$O$4940,'Адресная программа'!$L$20:$L$4940,1,'Адресная программа'!$C$20:$C$4940,АЗС!B76,'Адресная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программа'!$C$20:$C$4940,АЗС!B76,'Адресная программа'!$G$20:$G$4940,АЗС!C76,'Адресная программа'!$F$20:$F$4940,"АЗС"))</f>
        <v/>
      </c>
      <c r="E76" s="870">
        <f>'Цены|Скидки'!$F$11/15*$L$9</f>
        <v/>
      </c>
      <c r="F76" s="870">
        <f>E76*$L$7*D76</f>
        <v/>
      </c>
      <c r="G76" s="157">
        <f>IF(D76=SUMIFS('Адресная программа'!$K$20:$K$4940,'Адресная программа'!$L$20:$L$4940,1,'Адресная программа'!$C$20:$C$4940,АЗС!B76,'Адресная программа'!$G$20:$G$4940,"&lt;&gt;Газпромнефть",'Адресная программа'!$F$20:$F$4940,"АЗС"),'Цены|Скидки'!$C$31,IF(D76&gt;=(SUMIFS('Адресная программа'!$K$20:$K$4940,'Адресная программа'!$L$20:$L$4940,1,'Адресная программа'!$C$20:$C$4940,АЗС!B76,'Адресная программа'!$G$20:$G$4940,"&lt;&gt;Газпромнефть",'Адресная программа'!$F$20:$F$4940,"АЗС")*'Цены|Скидки'!$B$32),'Цены|Скидки'!$C$32,IF(D76&gt;=(SUMIFS('Адресная программа'!$K$20:$K$4940,'Адресная программа'!$L$20:$L$4940,1,'Адресная программа'!$C$20:$C$4940,АЗС!B76,'Адресная программа'!$G$20:$G$4940,"&lt;&gt;Газпромнефть",'Адресная программа'!$F$20:$F$4940,"АЗС")*'Цены|Скидки'!$B$33),'Цены|Скидки'!$C$33,IF(D76&gt;=(SUMIFS('Адресная программа'!$K$20:$K$4940,'Адресная программа'!$L$20:$L$4940,1,'Адресная программа'!$C$20:$C$4940,АЗС!B76,'Адресная программа'!$G$20:$G$4940,"&lt;&gt;Газпромнефть",'Адресная программа'!$F$20:$F$4940,"АЗС")*'Цены|Скидки'!$B$34),'Цены|Скидки'!$C$34,0%))))</f>
        <v/>
      </c>
      <c r="H76" s="157">
        <f>D$12</f>
        <v/>
      </c>
      <c r="I76" s="157" t="n"/>
      <c r="J76" s="171">
        <f>IF(D76=0,0,1-K76/F76)</f>
        <v/>
      </c>
      <c r="K76" s="870">
        <f>F76*(1-G76)*(1-H76)*(1-IF($AC$2="РА",$AD$2,0))*(1-IF(OR($AC$3="Доп скидка",$AC$3="Сезонная скидка",$AC$3="Welcome скидка")=TRUE,$AD$3,0))</f>
        <v/>
      </c>
      <c r="L76" s="870">
        <f>K76+M76</f>
        <v/>
      </c>
      <c r="M76" s="870">
        <f>K76*0.2</f>
        <v/>
      </c>
      <c r="N76" s="241">
        <f>D76*L$7*1100</f>
        <v/>
      </c>
      <c r="O76" s="886">
        <f>IF(N76=0,0,(K76/N76*1000)/$D$7*10)</f>
        <v/>
      </c>
    </row>
    <row r="77" ht="16.05" customFormat="1" customHeight="1" s="212">
      <c r="B77" s="418" t="inlineStr">
        <is>
          <t>Ульяновск</t>
        </is>
      </c>
      <c r="C77" s="214" t="inlineStr">
        <is>
          <t>АЗС</t>
        </is>
      </c>
      <c r="D77" s="170">
        <f>IF(C77="АЗС",SUMIFS('Адресная программа'!$O$20:$O$4940,'Адресная программа'!$L$20:$L$4940,1,'Адресная программа'!$C$20:$C$4940,АЗС!B77,'Адресная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программа'!$C$20:$C$4940,АЗС!B77,'Адресная программа'!$G$20:$G$4940,АЗС!C77,'Адресная программа'!$F$20:$F$4940,"АЗС"))</f>
        <v/>
      </c>
      <c r="E77" s="870">
        <f>'Цены|Скидки'!$F$11/15*$L$9</f>
        <v/>
      </c>
      <c r="F77" s="870">
        <f>E77*$L$7*D77</f>
        <v/>
      </c>
      <c r="G77" s="157">
        <f>IF(D77=SUMIFS('Адресная программа'!$K$20:$K$4940,'Адресная программа'!$L$20:$L$4940,1,'Адресная программа'!$C$20:$C$4940,АЗС!B77,'Адресная программа'!$G$20:$G$4940,"&lt;&gt;Газпромнефть",'Адресная программа'!$F$20:$F$4940,"АЗС"),'Цены|Скидки'!$C$31,IF(D77&gt;=(SUMIFS('Адресная программа'!$K$20:$K$4940,'Адресная программа'!$L$20:$L$4940,1,'Адресная программа'!$C$20:$C$4940,АЗС!B77,'Адресная программа'!$G$20:$G$4940,"&lt;&gt;Газпромнефть",'Адресная программа'!$F$20:$F$4940,"АЗС")*'Цены|Скидки'!$B$32),'Цены|Скидки'!$C$32,IF(D77&gt;=(SUMIFS('Адресная программа'!$K$20:$K$4940,'Адресная программа'!$L$20:$L$4940,1,'Адресная программа'!$C$20:$C$4940,АЗС!B77,'Адресная программа'!$G$20:$G$4940,"&lt;&gt;Газпромнефть",'Адресная программа'!$F$20:$F$4940,"АЗС")*'Цены|Скидки'!$B$33),'Цены|Скидки'!$C$33,IF(D77&gt;=(SUMIFS('Адресная программа'!$K$20:$K$4940,'Адресная программа'!$L$20:$L$4940,1,'Адресная программа'!$C$20:$C$4940,АЗС!B77,'Адресная программа'!$G$20:$G$4940,"&lt;&gt;Газпромнефть",'Адресная программа'!$F$20:$F$4940,"АЗС")*'Цены|Скидки'!$B$34),'Цены|Скидки'!$C$34,0%))))</f>
        <v/>
      </c>
      <c r="H77" s="157">
        <f>D$12</f>
        <v/>
      </c>
      <c r="I77" s="157" t="n"/>
      <c r="J77" s="171">
        <f>IF(D77=0,0,1-K77/F77)</f>
        <v/>
      </c>
      <c r="K77" s="870">
        <f>F77*(1-G77)*(1-H77)*(1-IF($AC$2="РА",$AD$2,0))*(1-IF(OR($AC$3="Доп скидка",$AC$3="Сезонная скидка",$AC$3="Welcome скидка")=TRUE,$AD$3,0))</f>
        <v/>
      </c>
      <c r="L77" s="870">
        <f>K77+M77</f>
        <v/>
      </c>
      <c r="M77" s="870">
        <f>K77*0.2</f>
        <v/>
      </c>
      <c r="N77" s="241">
        <f>D77*L$7*1260</f>
        <v/>
      </c>
      <c r="O77" s="886">
        <f>IF(N77=0,0,(K77/N77*1000)/$D$7*10)</f>
        <v/>
      </c>
    </row>
    <row r="78" outlineLevel="1" ht="16.05" customFormat="1" customHeight="1" s="212">
      <c r="B78" s="446" t="inlineStr">
        <is>
          <t>Ульяновск</t>
        </is>
      </c>
      <c r="C78" s="345" t="inlineStr">
        <is>
          <t>Роснефть</t>
        </is>
      </c>
      <c r="D78" s="170">
        <f>IF(C78="АЗС",SUMIFS('Адресная программа'!$O$20:$O$4940,'Адресная программа'!$L$20:$L$4940,1,'Адресная программа'!$C$20:$C$4940,АЗС!B78,'Адресная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программа'!$C$20:$C$4940,АЗС!B78,'Адресная программа'!$G$20:$G$4940,АЗС!C78,'Адресная программа'!$F$20:$F$4940,"АЗС"))</f>
        <v/>
      </c>
      <c r="E78" s="870">
        <f>'Цены|Скидки'!$F$11/15*$L$9</f>
        <v/>
      </c>
      <c r="F78" s="870">
        <f>E78*$L$7*D78</f>
        <v/>
      </c>
      <c r="G78" s="342">
        <f>IF(SUM($D$78:$D$79)=SUMIFS('Адресная программа'!$K$20:$K$4940,'Адресная программа'!$L$20:$L$4940,1,'Адресная программа'!$C$20:$C$4940,АЗС!B78,'Адресная программа'!$G$20:$G$4940,"&lt;&gt;Газпромнефть",'Адресная программа'!$F$20:$F$4940,"АЗС"),'Цены|Скидки'!$C$31,IF(SUM($D$78:$D$79)&gt;=(SUMIFS('Адресная программа'!$K$20:$K$4940,'Адресная программа'!$L$20:$L$4940,1,'Адресная программа'!$C$20:$C$4940,АЗС!B78,'Адресная программа'!$G$20:$G$4940,"&lt;&gt;Газпромнефть",'Адресная программа'!$F$20:$F$4940,"АЗС")*'Цены|Скидки'!$B$32),'Цены|Скидки'!$C$32,IF(SUM($D$78:$D$79)&gt;=(SUMIFS('Адресная программа'!$K$20:$K$4940,'Адресная программа'!$L$20:$L$4940,1,'Адресная программа'!$C$20:$C$4940,АЗС!B78,'Адресная программа'!$G$20:$G$4940,"&lt;&gt;Газпромнефть",'Адресная программа'!$F$20:$F$4940,"АЗС")*'Цены|Скидки'!$B$33),'Цены|Скидки'!$C$33,IF(SUM($D$78:$D$79)&gt;=(SUMIFS('Адресная программа'!$K$20:$K$4940,'Адресная программа'!$L$20:$L$4940,1,'Адресная программа'!$C$20:$C$4940,АЗС!B78,'Адресная программа'!$G$20:$G$4940,"&lt;&gt;Газпромнефть",'Адресная программа'!$F$20:$F$4940,"АЗС")*'Цены|Скидки'!$B$34),'Цены|Скидки'!$C$34,IF(SUM($D$78:$D$79)&gt;=(SUMIFS('Адресная программа'!$K$20:$K$4940,'Адресная программа'!$L$20:$L$4940,1,'Адресная программа'!$C$20:$C$4940,АЗС!B78,'Адресная программа'!$G$20:$G$4940,"&lt;&gt;Газпромнефть",'Адресная программа'!$F$20:$F$4940,"АЗС")*'Цены|Скидки'!$B$36-1),'Цены|Скидки'!$C$36,0%)))))</f>
        <v/>
      </c>
      <c r="H78" s="342">
        <f>D$12</f>
        <v/>
      </c>
      <c r="I78" s="342" t="n"/>
      <c r="J78" s="469">
        <f>IF(D78=0,0,1-K78/F78)</f>
        <v/>
      </c>
      <c r="K78" s="887">
        <f>F78*(1-G78)*(1-H78)*(1-IF($AC$2="РА",$AD$2,0))*(1-IF(OR($AC$3="Доп скидка",$AC$3="Сезонная скидка",$AC$3="Welcome скидка")=TRUE,$AD$3,0))</f>
        <v/>
      </c>
      <c r="L78" s="887">
        <f>K78+M78</f>
        <v/>
      </c>
      <c r="M78" s="888">
        <f>K78*0.2</f>
        <v/>
      </c>
      <c r="N78" s="343">
        <f>D78*L$7*1260</f>
        <v/>
      </c>
      <c r="O78" s="886">
        <f>IF(N78=0,0,(K78/N78*1000)/$D$7*10)</f>
        <v/>
      </c>
    </row>
    <row r="79" outlineLevel="1" ht="16.05" customFormat="1" customHeight="1" s="212">
      <c r="B79" s="446" t="inlineStr">
        <is>
          <t>Ульяновск</t>
        </is>
      </c>
      <c r="C79" s="345" t="inlineStr">
        <is>
          <t>Башнефть</t>
        </is>
      </c>
      <c r="D79" s="170">
        <f>IF(C79="АЗС",SUMIFS('Адресная программа'!$O$20:$O$4940,'Адресная программа'!$L$20:$L$4940,1,'Адресная программа'!$C$20:$C$4940,АЗС!B79,'Адресная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программа'!$C$20:$C$4940,АЗС!B79,'Адресная программа'!$G$20:$G$4940,АЗС!C79,'Адресная программа'!$F$20:$F$4940,"АЗС"))</f>
        <v/>
      </c>
      <c r="E79" s="870">
        <f>'Цены|Скидки'!$F$11/15*$L$9</f>
        <v/>
      </c>
      <c r="F79" s="870">
        <f>E79*$L$7*D79</f>
        <v/>
      </c>
      <c r="G79" s="342">
        <f>IF(SUM($D$78:$D$79)=SUMIFS('Адресная программа'!$K$20:$K$4940,'Адресная программа'!$L$20:$L$4940,1,'Адресная программа'!$C$20:$C$4940,АЗС!B79,'Адресная программа'!$G$20:$G$4940,"&lt;&gt;Газпромнефть",'Адресная программа'!$F$20:$F$4940,"АЗС"),'Цены|Скидки'!$C$31,IF(SUM($D$78:$D$79)&gt;=(SUMIFS('Адресная программа'!$K$20:$K$4940,'Адресная программа'!$L$20:$L$4940,1,'Адресная программа'!$C$20:$C$4940,АЗС!B79,'Адресная программа'!$G$20:$G$4940,"&lt;&gt;Газпромнефть",'Адресная программа'!$F$20:$F$4940,"АЗС")*'Цены|Скидки'!$B$32),'Цены|Скидки'!$C$32,IF(SUM($D$78:$D$79)&gt;=(SUMIFS('Адресная программа'!$K$20:$K$4940,'Адресная программа'!$L$20:$L$4940,1,'Адресная программа'!$C$20:$C$4940,АЗС!B79,'Адресная программа'!$G$20:$G$4940,"&lt;&gt;Газпромнефть",'Адресная программа'!$F$20:$F$4940,"АЗС")*'Цены|Скидки'!$B$33),'Цены|Скидки'!$C$33,IF(SUM($D$78:$D$79)&gt;=(SUMIFS('Адресная программа'!$K$20:$K$4940,'Адресная программа'!$L$20:$L$4940,1,'Адресная программа'!$C$20:$C$4940,АЗС!B79,'Адресная программа'!$G$20:$G$4940,"&lt;&gt;Газпромнефть",'Адресная программа'!$F$20:$F$4940,"АЗС")*'Цены|Скидки'!$B$34),'Цены|Скидки'!$C$34,IF(SUM($D$78:$D$79)&gt;=(SUMIFS('Адресная программа'!$K$20:$K$4940,'Адресная программа'!$L$20:$L$4940,1,'Адресная программа'!$C$20:$C$4940,АЗС!B79,'Адресная программа'!$G$20:$G$4940,"&lt;&gt;Газпромнефть",'Адресная программа'!$F$20:$F$4940,"АЗС")*'Цены|Скидки'!$B$36-1),'Цены|Скидки'!$C$36,0%)))))</f>
        <v/>
      </c>
      <c r="H79" s="342">
        <f>D$12</f>
        <v/>
      </c>
      <c r="I79" s="342" t="n"/>
      <c r="J79" s="469">
        <f>IF(D79=0,0,1-K79/F79)</f>
        <v/>
      </c>
      <c r="K79" s="887">
        <f>F79*(1-G79)*(1-H79)*(1-IF($AC$2="РА",$AD$2,0))*(1-IF(OR($AC$3="Доп скидка",$AC$3="Сезонная скидка",$AC$3="Welcome скидка")=TRUE,$AD$3,0))</f>
        <v/>
      </c>
      <c r="L79" s="887">
        <f>K79+M79</f>
        <v/>
      </c>
      <c r="M79" s="888">
        <f>K79*0.2</f>
        <v/>
      </c>
      <c r="N79" s="343">
        <f>D79*L$7*1260</f>
        <v/>
      </c>
      <c r="O79" s="886">
        <f>IF(N79=0,0,(K79/N79*1000)/$D$7*10)</f>
        <v/>
      </c>
    </row>
    <row r="80" ht="16.05" customFormat="1" customHeight="1" s="212">
      <c r="B80" s="418" t="inlineStr">
        <is>
          <t>Уфа</t>
        </is>
      </c>
      <c r="C80" s="214" t="inlineStr">
        <is>
          <t>Башнефть</t>
        </is>
      </c>
      <c r="D80" s="170">
        <f>IF(C80="АЗС",SUMIFS('Адресная программа'!$O$20:$O$4940,'Адресная программа'!$L$20:$L$4940,1,'Адресная программа'!$C$20:$C$4940,АЗС!B80,'Адресная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программа'!$C$20:$C$4940,АЗС!B80,'Адресная программа'!$G$20:$G$4940,АЗС!C80,'Адресная программа'!$F$20:$F$4940,"АЗС"))</f>
        <v/>
      </c>
      <c r="E80" s="870">
        <f>'Цены|Скидки'!$F$11/15*$L$9</f>
        <v/>
      </c>
      <c r="F80" s="870">
        <f>E80*$L$7*D80</f>
        <v/>
      </c>
      <c r="G80" s="157">
        <f>IF(D80=SUMIFS('Адресная программа'!$K$20:$K$4940,'Адресная программа'!$L$20:$L$4940,1,'Адресная программа'!$C$20:$C$4940,АЗС!B80,'Адресная программа'!$G$20:$G$4940,"&lt;&gt;Газпромнефть",'Адресная программа'!$F$20:$F$4940,"АЗС"),'Цены|Скидки'!$C$31,IF(D80&gt;=(SUMIFS('Адресная программа'!$K$20:$K$4940,'Адресная программа'!$L$20:$L$4940,1,'Адресная программа'!$C$20:$C$4940,АЗС!B80,'Адресная программа'!$G$20:$G$4940,"&lt;&gt;Газпромнефть",'Адресная программа'!$F$20:$F$4940,"АЗС")*'Цены|Скидки'!$B$32),'Цены|Скидки'!$C$32,IF(D80&gt;=(SUMIFS('Адресная программа'!$K$20:$K$4940,'Адресная программа'!$L$20:$L$4940,1,'Адресная программа'!$C$20:$C$4940,АЗС!B80,'Адресная программа'!$G$20:$G$4940,"&lt;&gt;Газпромнефть",'Адресная программа'!$F$20:$F$4940,"АЗС")*'Цены|Скидки'!$B$33),'Цены|Скидки'!$C$33,IF(D80&gt;=(SUMIFS('Адресная программа'!$K$20:$K$4940,'Адресная программа'!$L$20:$L$4940,1,'Адресная программа'!$C$20:$C$4940,АЗС!B80,'Адресная программа'!$G$20:$G$4940,"&lt;&gt;Газпромнефть",'Адресная программа'!$F$20:$F$4940,"АЗС")*'Цены|Скидки'!$B$34),'Цены|Скидки'!$C$34,0%))))</f>
        <v/>
      </c>
      <c r="H80" s="157">
        <f>D$12</f>
        <v/>
      </c>
      <c r="I80" s="157" t="n"/>
      <c r="J80" s="171">
        <f>IF(D80=0,0,1-K80/F80)</f>
        <v/>
      </c>
      <c r="K80" s="870">
        <f>F80*(1-G80)*(1-H80)*(1-IF($AC$2="РА",$AD$2,0))*(1-IF(OR($AC$3="Доп скидка",$AC$3="Сезонная скидка",$AC$3="Welcome скидка")=TRUE,$AD$3,0))</f>
        <v/>
      </c>
      <c r="L80" s="870">
        <f>K80+M80</f>
        <v/>
      </c>
      <c r="M80" s="888">
        <f>K80*0.2</f>
        <v/>
      </c>
      <c r="N80" s="241">
        <f>D80*L$7*1375</f>
        <v/>
      </c>
      <c r="O80" s="886">
        <f>IF(N80=0,0,(K80/N80*1000)/$D$7*10)</f>
        <v/>
      </c>
    </row>
    <row r="81" ht="16.05" customFormat="1" customHeight="1" s="212">
      <c r="B81" s="445" t="inlineStr">
        <is>
          <t>Хакасия</t>
        </is>
      </c>
      <c r="C81" s="214" t="inlineStr">
        <is>
          <t>Роснефть</t>
        </is>
      </c>
      <c r="D81" s="170">
        <f>IF(C81="АЗС",SUMIFS('Адресная программа'!$O$20:$O$4940,'Адресная программа'!$L$20:$L$4940,1,'Адресная программа'!$C$20:$C$4940,АЗС!B81,'Адресная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программа'!$C$20:$C$4940,АЗС!B81,'Адресная программа'!$G$20:$G$4940,АЗС!C81,'Адресная программа'!$F$20:$F$4940,"АЗС"))</f>
        <v/>
      </c>
      <c r="E81" s="870">
        <f>'Цены|Скидки'!$F$11/15*$L$9</f>
        <v/>
      </c>
      <c r="F81" s="870">
        <f>E81*$L$7*D81</f>
        <v/>
      </c>
      <c r="G81" s="157">
        <f>IF(D81=SUMIFS('Адресная программа'!$K$20:$K$4940,'Адресная программа'!$L$20:$L$4940,1,'Адресная программа'!$C$20:$C$4940,АЗС!B81,'Адресная программа'!$G$20:$G$4940,"&lt;&gt;Газпромнефть",'Адресная программа'!$F$20:$F$4940,"АЗС"),'Цены|Скидки'!$C$31,IF(D81&gt;=(SUMIFS('Адресная программа'!$K$20:$K$4940,'Адресная программа'!$L$20:$L$4940,1,'Адресная программа'!$C$20:$C$4940,АЗС!B81,'Адресная программа'!$G$20:$G$4940,"&lt;&gt;Газпромнефть",'Адресная программа'!$F$20:$F$4940,"АЗС")*'Цены|Скидки'!$B$32),'Цены|Скидки'!$C$32,IF(D81&gt;=(SUMIFS('Адресная программа'!$K$20:$K$4940,'Адресная программа'!$L$20:$L$4940,1,'Адресная программа'!$C$20:$C$4940,АЗС!B81,'Адресная программа'!$G$20:$G$4940,"&lt;&gt;Газпромнефть",'Адресная программа'!$F$20:$F$4940,"АЗС")*'Цены|Скидки'!$B$33),'Цены|Скидки'!$C$33,IF(D81&gt;=(SUMIFS('Адресная программа'!$K$20:$K$4940,'Адресная программа'!$L$20:$L$4940,1,'Адресная программа'!$C$20:$C$4940,АЗС!B81,'Адресная программа'!$G$20:$G$4940,"&lt;&gt;Газпромнефть",'Адресная программа'!$F$20:$F$4940,"АЗС")*'Цены|Скидки'!$B$34),'Цены|Скидки'!$C$34,0%))))</f>
        <v/>
      </c>
      <c r="H81" s="157">
        <f>D$12</f>
        <v/>
      </c>
      <c r="I81" s="157" t="n"/>
      <c r="J81" s="171">
        <f>IF(D81=0,0,1-K81/F81)</f>
        <v/>
      </c>
      <c r="K81" s="870">
        <f>F81*(1-G81)*(1-H81)*(1-IF($AC$2="РА",$AD$2,0))*(1-IF(OR($AC$3="Доп скидка",$AC$3="Сезонная скидка",$AC$3="Welcome скидка")=TRUE,$AD$3,0))</f>
        <v/>
      </c>
      <c r="L81" s="870">
        <f>K81+M81</f>
        <v/>
      </c>
      <c r="M81" s="870">
        <f>K81*0.2</f>
        <v/>
      </c>
      <c r="N81" s="241">
        <f>D81*L$7*805</f>
        <v/>
      </c>
      <c r="O81" s="886">
        <f>IF(N81=0,0,(K81/N81*1000)/$D$7*10)</f>
        <v/>
      </c>
    </row>
    <row r="82" ht="16.05" customFormat="1" customHeight="1" s="212">
      <c r="B82" s="418" t="inlineStr">
        <is>
          <t>Челябинск</t>
        </is>
      </c>
      <c r="C82" s="214" t="inlineStr">
        <is>
          <t>Башнефть</t>
        </is>
      </c>
      <c r="D82" s="170">
        <f>IF(C82="АЗС",SUMIFS('Адресная программа'!$O$20:$O$4940,'Адресная программа'!$L$20:$L$4940,1,'Адресная программа'!$C$20:$C$4940,АЗС!B82,'Адресная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программа'!$C$20:$C$4940,АЗС!B82,'Адресная программа'!$G$20:$G$4940,АЗС!C82,'Адресная программа'!$F$20:$F$4940,"АЗС"))</f>
        <v/>
      </c>
      <c r="E82" s="870">
        <f>'Цены|Скидки'!$F$11/15*$L$9</f>
        <v/>
      </c>
      <c r="F82" s="870">
        <f>E82*$L$7*D82</f>
        <v/>
      </c>
      <c r="G82" s="157">
        <f>IF(D82=SUMIFS('Адресная программа'!$K$20:$K$4940,'Адресная программа'!$L$20:$L$4940,1,'Адресная программа'!$C$20:$C$4940,АЗС!B82,'Адресная программа'!$G$20:$G$4940,"&lt;&gt;Газпромнефть",'Адресная программа'!$F$20:$F$4940,"АЗС"),'Цены|Скидки'!$C$31,IF(D82&gt;=(SUMIFS('Адресная программа'!$K$20:$K$4940,'Адресная программа'!$L$20:$L$4940,1,'Адресная программа'!$C$20:$C$4940,АЗС!B82,'Адресная программа'!$G$20:$G$4940,"&lt;&gt;Газпромнефть",'Адресная программа'!$F$20:$F$4940,"АЗС")*'Цены|Скидки'!$B$32),'Цены|Скидки'!$C$32,IF(D82&gt;=(SUMIFS('Адресная программа'!$K$20:$K$4940,'Адресная программа'!$L$20:$L$4940,1,'Адресная программа'!$C$20:$C$4940,АЗС!B82,'Адресная программа'!$G$20:$G$4940,"&lt;&gt;Газпромнефть",'Адресная программа'!$F$20:$F$4940,"АЗС")*'Цены|Скидки'!$B$33),'Цены|Скидки'!$C$33,IF(D82&gt;=(SUMIFS('Адресная программа'!$K$20:$K$4940,'Адресная программа'!$L$20:$L$4940,1,'Адресная программа'!$C$20:$C$4940,АЗС!B82,'Адресная программа'!$G$20:$G$4940,"&lt;&gt;Газпромнефть",'Адресная программа'!$F$20:$F$4940,"АЗС")*'Цены|Скидки'!$B$34),'Цены|Скидки'!$C$34,0%))))</f>
        <v/>
      </c>
      <c r="H82" s="157">
        <f>D$12</f>
        <v/>
      </c>
      <c r="I82" s="157" t="n"/>
      <c r="J82" s="171">
        <f>IF(D82=0,0,1-K82/F82)</f>
        <v/>
      </c>
      <c r="K82" s="870">
        <f>F82*(1-G82)*(1-H82)*(1-IF($AC$2="РА",$AD$2,0))*(1-IF(OR($AC$3="Доп скидка",$AC$3="Сезонная скидка",$AC$3="Welcome скидка")=TRUE,$AD$3,0))</f>
        <v/>
      </c>
      <c r="L82" s="870">
        <f>K82+M82</f>
        <v/>
      </c>
      <c r="M82" s="870">
        <f>K82*0.2</f>
        <v/>
      </c>
      <c r="N82" s="241">
        <f>D82*L$7*1045</f>
        <v/>
      </c>
      <c r="O82" s="886">
        <f>IF(N82=0,0,(K82/N82*1000)/$D$7*10)</f>
        <v/>
      </c>
    </row>
    <row r="83" ht="16.05" customFormat="1" customHeight="1" s="212">
      <c r="B83" s="418" t="inlineStr">
        <is>
          <t>Челябинск</t>
        </is>
      </c>
      <c r="C83" s="214" t="inlineStr">
        <is>
          <t>Газпромнефть</t>
        </is>
      </c>
      <c r="D83" s="170">
        <f>IF(C83="АЗС",SUMIFS('Адресная программа'!$O$20:$O$4940,'Адресная программа'!$L$20:$L$4940,1,'Адресная программа'!$C$20:$C$4940,АЗС!B83,'Адресная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программа'!$C$20:$C$4940,АЗС!B83,'Адресная программа'!$G$20:$G$4940,АЗС!C83,'Адресная программа'!$F$20:$F$4940,"АЗС"))</f>
        <v/>
      </c>
      <c r="E83" s="870">
        <f>'Цены|Скидки'!$I$11/15*$L$9</f>
        <v/>
      </c>
      <c r="F83" s="870">
        <f>E83*$L$7*D83</f>
        <v/>
      </c>
      <c r="G83" s="157">
        <f>IF(D83=SUMIFS('Адресная программа'!$K$20:$K$4940,'Адресная программа'!$L$20:$L$4940,1,'Адресная программа'!$C$20:$C$4940,АЗС!B83,'Адресная программа'!$G$20:$G$4940,"=Газпромнефть",'Адресная программа'!$F$20:$F$4940,"АЗС"),'Цены|Скидки'!$C$43,IF(D83&gt;=(SUMIFS('Адресная программа'!$K$20:$K$4940,'Адресная программа'!$L$20:$L$4940,1,'Адресная программа'!$C$20:$C$4940,АЗС!B83,'Адресная программа'!$G$20:$G$4940,"=Газпромнефть",'Адресная программа'!$F$20:$F$4940,"АЗС")*'Цены|Скидки'!$B$44),'Цены|Скидки'!$C$44,IF(D83&gt;=(SUMIFS('Адресная программа'!$K$20:$K$4940,'Адресная программа'!$L$20:$L$4940,1,'Адресная программа'!$C$20:$C$4940,АЗС!B83,'Адресная программа'!$G$20:$G$4940,"=Газпромнефть",'Адресная программа'!$F$20:$F$4940,"АЗС")*'Цены|Скидки'!$B$45),'Цены|Скидки'!$C$45,IF(D83&gt;=(SUMIFS('Адресная программа'!$K$20:$K$4940,'Адресная программа'!$L$20:$L$4940,1,'Адресная программа'!$C$20:$C$4940,АЗС!B83,'Адресная программа'!$G$20:$G$4940,"=Газпромнефть",'Адресная программа'!$F$20:$F$4940,"АЗС")*'Цены|Скидки'!$B$46),'Цены|Скидки'!$C$46,0%))))</f>
        <v/>
      </c>
      <c r="H83" s="157">
        <f>$D$12</f>
        <v/>
      </c>
      <c r="I83" s="157">
        <f>'Адресная программа'!Y19</f>
        <v/>
      </c>
      <c r="J83" s="171">
        <f>IF(D83=0,0,1-K83/F83)</f>
        <v/>
      </c>
      <c r="K83" s="870">
        <f>F83*(1-G83)*(1-H83)*(1-IF($AC$2="РА",$AD$2,0))*(1-IF(OR($AC$3="Доп скидка",$AC$3="Сезонная скидка",$AC$3="Welcome скидка")=TRUE,$AD$3,0))*(1-'Адресная программа'!Y19)</f>
        <v/>
      </c>
      <c r="L83" s="870">
        <f>K83+M83</f>
        <v/>
      </c>
      <c r="M83" s="870">
        <f>K83*0.2</f>
        <v/>
      </c>
      <c r="N83" s="241">
        <f>D83*$L$7*1210</f>
        <v/>
      </c>
      <c r="O83" s="886">
        <f>IF(N83=0,0,(K83/N83*1000)/$D$7*10)</f>
        <v/>
      </c>
    </row>
    <row r="84" ht="16.05" customFormat="1" customHeight="1" s="212">
      <c r="B84" s="418" t="inlineStr">
        <is>
          <t>Ярославль</t>
        </is>
      </c>
      <c r="C84" s="214" t="inlineStr">
        <is>
          <t>Газпромнефть</t>
        </is>
      </c>
      <c r="D84" s="170">
        <f>IF(C84="АЗС",SUMIFS('Адресная программа'!$O$20:$O$4940,'Адресная программа'!$L$20:$L$4940,1,'Адресная программа'!$C$20:$C$4940,АЗС!B84,'Адресная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программа'!$C$20:$C$4940,АЗС!B84,'Адресная программа'!$G$20:$G$4940,АЗС!C84,'Адресная программа'!$F$20:$F$4940,"АЗС"))</f>
        <v/>
      </c>
      <c r="E84" s="870">
        <f>'Цены|Скидки'!$I$11/15*$L$9</f>
        <v/>
      </c>
      <c r="F84" s="870">
        <f>E84*$L$7*D84</f>
        <v/>
      </c>
      <c r="G84" s="157">
        <f>IF(D84=SUMIFS('Адресная программа'!$K$20:$K$4940,'Адресная программа'!$L$20:$L$4940,1,'Адресная программа'!$C$20:$C$4940,АЗС!B84,'Адресная программа'!$G$20:$G$4940,"=Газпромнефть",'Адресная программа'!$F$20:$F$4940,"АЗС"),'Цены|Скидки'!$C$43,IF(D84&gt;=(SUMIFS('Адресная программа'!$K$20:$K$4940,'Адресная программа'!$L$20:$L$4940,1,'Адресная программа'!$C$20:$C$4940,АЗС!B84,'Адресная программа'!$G$20:$G$4940,"=Газпромнефть",'Адресная программа'!$F$20:$F$4940,"АЗС")*'Цены|Скидки'!$B$44),'Цены|Скидки'!$C$44,IF(D84&gt;=(SUMIFS('Адресная программа'!$K$20:$K$4940,'Адресная программа'!$L$20:$L$4940,1,'Адресная программа'!$C$20:$C$4940,АЗС!B84,'Адресная программа'!$G$20:$G$4940,"=Газпромнефть",'Адресная программа'!$F$20:$F$4940,"АЗС")*'Цены|Скидки'!$B$45),'Цены|Скидки'!$C$45,IF(D84&gt;=(SUMIFS('Адресная программа'!$K$20:$K$4940,'Адресная программа'!$L$20:$L$4940,1,'Адресная программа'!$C$20:$C$4940,АЗС!B84,'Адресная программа'!$G$20:$G$4940,"=Газпромнефть",'Адресная программа'!$F$20:$F$4940,"АЗС")*'Цены|Скидки'!$B$46),'Цены|Скидки'!$C$46,0%))))</f>
        <v/>
      </c>
      <c r="H84" s="157">
        <f>$D$12</f>
        <v/>
      </c>
      <c r="I84" s="157">
        <f>'Адресная программа'!Y19</f>
        <v/>
      </c>
      <c r="J84" s="171">
        <f>IF(D84=0,0,1-K84/F84)</f>
        <v/>
      </c>
      <c r="K84" s="870">
        <f>F84*(1-G84)*(1-H84)*(1-IF($AC$2="РА",$AD$2,0))*(1-IF(OR($AC$3="Доп скидка",$AC$3="Сезонная скидка",$AC$3="Welcome скидка")=TRUE,$AD$3,0))*(1-'Адресная программа'!Y19)</f>
        <v/>
      </c>
      <c r="L84" s="870">
        <f>K84+M84</f>
        <v/>
      </c>
      <c r="M84" s="870">
        <f>K84*0.2</f>
        <v/>
      </c>
      <c r="N84" s="241">
        <f>D84*$L$7*1210</f>
        <v/>
      </c>
      <c r="O84" s="886">
        <f>IF(N84=0,0,(K84/N84*1000)/$D$7*10)</f>
        <v/>
      </c>
    </row>
    <row r="85" ht="16.05" customFormat="1" customHeight="1" s="212">
      <c r="B85" s="418" t="inlineStr">
        <is>
          <t>Ярославль</t>
        </is>
      </c>
      <c r="C85" s="214" t="inlineStr">
        <is>
          <t>Роснефть</t>
        </is>
      </c>
      <c r="D85" s="170">
        <f>IF(C85="АЗС",SUMIFS('Адресная программа'!$O$20:$O$4940,'Адресная программа'!$L$20:$L$4940,1,'Адресная программа'!$C$20:$C$4940,АЗС!B85,'Адресная программа'!$F$20:$F$4940,"АЗС",'Адресная программа'!$G$20:$G$4940,"&lt;&gt;Газпромнефть"),SUMIFS('Адресная программа'!$O$20:$O$4940,'Адресная программа'!$L$20:$L$4940,1,'Адресная программа'!$C$20:$C$4940,АЗС!B85,'Адресная программа'!$G$20:$G$4940,АЗС!C85,'Адресная программа'!$F$20:$F$4940,"АЗС"))</f>
        <v/>
      </c>
      <c r="E85" s="870">
        <f>'Цены|Скидки'!$F$11/15*$L$9</f>
        <v/>
      </c>
      <c r="F85" s="870">
        <f>E85*$L$7*D85</f>
        <v/>
      </c>
      <c r="G85" s="157">
        <f>IF(D85=SUMIFS('Адресная программа'!$K$20:$K$4940,'Адресная программа'!$L$20:$L$4940,1,'Адресная программа'!$C$20:$C$4940,АЗС!B85,'Адресная программа'!$G$20:$G$4940,"&lt;&gt;Газпромнефть",'Адресная программа'!$F$20:$F$4940,"АЗС"),'Цены|Скидки'!$C$31,IF(D85&gt;=(SUMIFS('Адресная программа'!$K$20:$K$4940,'Адресная программа'!$L$20:$L$4940,1,'Адресная программа'!$C$20:$C$4940,АЗС!B85,'Адресная программа'!$G$20:$G$4940,"&lt;&gt;Газпромнефть",'Адресная программа'!$F$20:$F$4940,"АЗС")*'Цены|Скидки'!$B$32),'Цены|Скидки'!$C$32,IF(D85&gt;=(SUMIFS('Адресная программа'!$K$20:$K$4940,'Адресная программа'!$L$20:$L$4940,1,'Адресная программа'!$C$20:$C$4940,АЗС!B85,'Адресная программа'!$G$20:$G$4940,"&lt;&gt;Газпромнефть",'Адресная программа'!$F$20:$F$4940,"АЗС")*'Цены|Скидки'!$B$33),'Цены|Скидки'!$C$33,IF(D85&gt;=(SUMIFS('Адресная программа'!$K$20:$K$4940,'Адресная программа'!$L$20:$L$4940,1,'Адресная программа'!$C$20:$C$4940,АЗС!B85,'Адресная программа'!$G$20:$G$4940,"&lt;&gt;Газпромнефть",'Адресная программа'!$F$20:$F$4940,"АЗС")*'Цены|Скидки'!$B$34),'Цены|Скидки'!$C$34,0%))))</f>
        <v/>
      </c>
      <c r="H85" s="157">
        <f>$D$12</f>
        <v/>
      </c>
      <c r="I85" s="157" t="n"/>
      <c r="J85" s="171">
        <f>IF(D85=0,0,1-K85/F85)</f>
        <v/>
      </c>
      <c r="K85" s="870">
        <f>F85*(1-G85)*(1-H85)*(1-IF($AC$2="РА",$AD$2,0))*(1-IF(OR($AC$3="Доп скидка",$AC$3="Сезонная скидка",$AC$3="Welcome скидка")=TRUE,$AD$3,0))*(1-'Адресная программа'!Y20)</f>
        <v/>
      </c>
      <c r="L85" s="870">
        <f>K85+M85</f>
        <v/>
      </c>
      <c r="M85" s="870">
        <f>K85*0.2</f>
        <v/>
      </c>
      <c r="N85" s="241">
        <f>D85*$L$7*1210</f>
        <v/>
      </c>
      <c r="O85" s="886">
        <f>IF(N85=0,0,(K85/N85*1000)/$D$7*10)</f>
        <v/>
      </c>
    </row>
    <row r="86" ht="16.05" customFormat="1" customHeight="1" s="212"/>
    <row r="87" ht="16.05" customFormat="1" customHeight="1" s="212" thickBot="1">
      <c r="B87" s="215" t="n"/>
      <c r="C87" s="216" t="n"/>
      <c r="D87" s="215" t="n"/>
      <c r="E87" s="216" t="n"/>
      <c r="F87" s="889" t="n"/>
      <c r="G87" s="890" t="n"/>
      <c r="H87" s="890" t="n"/>
      <c r="I87" s="890" t="n"/>
      <c r="J87" s="890" t="n"/>
      <c r="K87" s="889" t="n"/>
      <c r="L87" s="889" t="n"/>
      <c r="M87" s="889" t="n"/>
      <c r="N87" s="218" t="n"/>
      <c r="O87" s="891" t="n"/>
    </row>
    <row r="88" ht="16.05" customFormat="1" customHeight="1" s="225" thickBot="1">
      <c r="B88" s="220" t="n"/>
      <c r="C88" s="221" t="inlineStr">
        <is>
          <t>Итого:</t>
        </is>
      </c>
      <c r="D88" s="222">
        <f>SUMIF(C22:C85,"&lt;&gt;АЗС",D22:D85)</f>
        <v/>
      </c>
      <c r="E88" s="220" t="n"/>
      <c r="F88" s="892">
        <f>SUMIF(C22:C85,"&lt;&gt;АЗС",F22:F85)</f>
        <v/>
      </c>
      <c r="G88" s="893" t="n"/>
      <c r="H88" s="893" t="n"/>
      <c r="I88" s="893" t="n"/>
      <c r="J88" s="893" t="n"/>
      <c r="K88" s="892">
        <f>SUMIF($C$22:$C$85,"&lt;&gt;АЗС",K22:K85)</f>
        <v/>
      </c>
      <c r="L88" s="894">
        <f>SUMIF($C$22:$C$85,"&lt;&gt;АЗС",L22:L85)</f>
        <v/>
      </c>
      <c r="M88" s="892">
        <f>SUMIF($C$22:$C$85,"&lt;&gt;АЗС",M22:M85)</f>
        <v/>
      </c>
      <c r="N88" s="224">
        <f>SUMIF($C$22:$C$85,"&lt;&gt;АЗС",N22:N85)</f>
        <v/>
      </c>
      <c r="O88" s="895">
        <f>SUM((K88/N88*1000)/$D$7*10)</f>
        <v/>
      </c>
      <c r="AN88" s="212" t="n"/>
      <c r="AO88" s="212" t="n"/>
      <c r="AP88" s="212" t="n"/>
      <c r="AQ88" s="212" t="n"/>
    </row>
    <row r="91">
      <c r="C91" t="inlineStr">
        <is>
          <t>https://www.google.com/maps/d/u/0/viewer?mid=1p-oh9gcbPgDD4ydYuAcHc5N8OzuMUcrE&amp;ll=52.95040983734168%2C55.487263296150196&amp;z=3</t>
        </is>
      </c>
    </row>
    <row r="92">
      <c r="C92" s="701" t="n"/>
    </row>
    <row r="93">
      <c r="C93" s="701" t="n"/>
    </row>
    <row r="94">
      <c r="B94" s="844" t="inlineStr">
        <is>
          <t>* CPT за 10 секундный ролик</t>
        </is>
      </c>
    </row>
    <row r="95" ht="42.75" customHeight="1">
      <c r="B95" s="694" t="inlineStr">
        <is>
          <t>* В ходе рекламной кампании, по независящим от оператора причинам, без предварительного уведомления могут происходить изменения в адресной программе размещения (закрытие АЗС по техническим причинам, или на реконструкцию). В подобной ситуации оператор оставляет за собой право компенсировать рекламодателю не размещенные объемы путем предоставления аналогичных замен, дополнительных выходов, увеличения сроков размещения (что из этого возможно).</t>
        </is>
      </c>
      <c r="C95" s="896" t="n"/>
      <c r="D95" s="896" t="n"/>
      <c r="E95" s="896" t="n"/>
      <c r="F95" s="896" t="n"/>
      <c r="G95" s="896" t="n"/>
      <c r="H95" s="896" t="n"/>
      <c r="I95" s="896" t="n"/>
      <c r="J95" s="896" t="n"/>
      <c r="K95" s="896" t="n"/>
      <c r="L95" s="896" t="n"/>
      <c r="M95" s="896" t="n"/>
      <c r="N95" s="896" t="n"/>
      <c r="O95" s="896" t="n"/>
    </row>
  </sheetData>
  <autoFilter ref="B21:O85"/>
  <mergeCells count="36">
    <mergeCell ref="C92:D92"/>
    <mergeCell ref="B16:C16"/>
    <mergeCell ref="B7:C7"/>
    <mergeCell ref="J5:K5"/>
    <mergeCell ref="B3:C3"/>
    <mergeCell ref="J14:K14"/>
    <mergeCell ref="J10:K10"/>
    <mergeCell ref="J13:K13"/>
    <mergeCell ref="J9:K9"/>
    <mergeCell ref="B10:D10"/>
    <mergeCell ref="B12:C12"/>
    <mergeCell ref="B19:D19"/>
    <mergeCell ref="B11:C11"/>
    <mergeCell ref="J6:K6"/>
    <mergeCell ref="J15:K15"/>
    <mergeCell ref="C93:D93"/>
    <mergeCell ref="B14:C14"/>
    <mergeCell ref="B17:C17"/>
    <mergeCell ref="B15:D15"/>
    <mergeCell ref="B8:C8"/>
    <mergeCell ref="B13:C13"/>
    <mergeCell ref="J4:K4"/>
    <mergeCell ref="J2:L2"/>
    <mergeCell ref="J11:K11"/>
    <mergeCell ref="J16:K16"/>
    <mergeCell ref="J7:K7"/>
    <mergeCell ref="B9:C9"/>
    <mergeCell ref="J3:K3"/>
    <mergeCell ref="B6:C6"/>
    <mergeCell ref="J12:K12"/>
    <mergeCell ref="B5:C5"/>
    <mergeCell ref="B95:O95"/>
    <mergeCell ref="J8:K8"/>
    <mergeCell ref="B4:C4"/>
    <mergeCell ref="B2:D2"/>
    <mergeCell ref="J17:K17"/>
  </mergeCells>
  <dataValidations count="4">
    <dataValidation sqref="AC2" showDropDown="0" showInputMessage="1" showErrorMessage="1" allowBlank="1" type="list">
      <formula1>$AO$2:$AO$3</formula1>
    </dataValidation>
    <dataValidation sqref="AD2" showDropDown="0" showInputMessage="1" showErrorMessage="1" allowBlank="1" type="list">
      <formula1>$AP$2:$AP$7</formula1>
    </dataValidation>
    <dataValidation sqref="AC3" showDropDown="0" showInputMessage="1" showErrorMessage="1" allowBlank="1" type="list">
      <formula1>$AQ$3:$AQ$5</formula1>
    </dataValidation>
    <dataValidation sqref="AD3" showDropDown="0" showInputMessage="1" showErrorMessage="1" allowBlank="1" type="list">
      <formula1>$AP$10:$AP$15</formula1>
    </dataValidation>
  </dataValidations>
  <hyperlinks>
    <hyperlink xmlns:r="http://schemas.openxmlformats.org/officeDocument/2006/relationships" ref="B9" display="Карта охвата (ALL)" r:id="rId1"/>
    <hyperlink xmlns:r="http://schemas.openxmlformats.org/officeDocument/2006/relationships" ref="D9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  <hyperlink xmlns:r="http://schemas.openxmlformats.org/officeDocument/2006/relationships" ref="B32" r:id="rId13"/>
    <hyperlink xmlns:r="http://schemas.openxmlformats.org/officeDocument/2006/relationships" ref="B33" r:id="rId14"/>
    <hyperlink xmlns:r="http://schemas.openxmlformats.org/officeDocument/2006/relationships" ref="B34" r:id="rId15"/>
    <hyperlink xmlns:r="http://schemas.openxmlformats.org/officeDocument/2006/relationships" ref="B35" r:id="rId16"/>
    <hyperlink xmlns:r="http://schemas.openxmlformats.org/officeDocument/2006/relationships" ref="B36" r:id="rId17"/>
    <hyperlink xmlns:r="http://schemas.openxmlformats.org/officeDocument/2006/relationships" ref="B37" r:id="rId18"/>
    <hyperlink xmlns:r="http://schemas.openxmlformats.org/officeDocument/2006/relationships" ref="B38" r:id="rId19"/>
    <hyperlink xmlns:r="http://schemas.openxmlformats.org/officeDocument/2006/relationships" ref="B39" r:id="rId20"/>
    <hyperlink xmlns:r="http://schemas.openxmlformats.org/officeDocument/2006/relationships" ref="B40" r:id="rId21"/>
    <hyperlink xmlns:r="http://schemas.openxmlformats.org/officeDocument/2006/relationships" ref="B41" r:id="rId22"/>
    <hyperlink xmlns:r="http://schemas.openxmlformats.org/officeDocument/2006/relationships" ref="B42" r:id="rId23"/>
    <hyperlink xmlns:r="http://schemas.openxmlformats.org/officeDocument/2006/relationships" ref="B43" r:id="rId24"/>
    <hyperlink xmlns:r="http://schemas.openxmlformats.org/officeDocument/2006/relationships" ref="B44" r:id="rId25"/>
    <hyperlink xmlns:r="http://schemas.openxmlformats.org/officeDocument/2006/relationships" ref="B45" r:id="rId26"/>
    <hyperlink xmlns:r="http://schemas.openxmlformats.org/officeDocument/2006/relationships" ref="B46" r:id="rId27"/>
    <hyperlink xmlns:r="http://schemas.openxmlformats.org/officeDocument/2006/relationships" ref="B47" r:id="rId28"/>
    <hyperlink xmlns:r="http://schemas.openxmlformats.org/officeDocument/2006/relationships" ref="B48" r:id="rId29"/>
    <hyperlink xmlns:r="http://schemas.openxmlformats.org/officeDocument/2006/relationships" ref="B49" r:id="rId30"/>
    <hyperlink xmlns:r="http://schemas.openxmlformats.org/officeDocument/2006/relationships" ref="B50" r:id="rId31"/>
    <hyperlink xmlns:r="http://schemas.openxmlformats.org/officeDocument/2006/relationships" ref="B51" r:id="rId32"/>
    <hyperlink xmlns:r="http://schemas.openxmlformats.org/officeDocument/2006/relationships" ref="B52" r:id="rId33"/>
    <hyperlink xmlns:r="http://schemas.openxmlformats.org/officeDocument/2006/relationships" ref="B53" r:id="rId34"/>
    <hyperlink xmlns:r="http://schemas.openxmlformats.org/officeDocument/2006/relationships" ref="B54" r:id="rId35"/>
    <hyperlink xmlns:r="http://schemas.openxmlformats.org/officeDocument/2006/relationships" ref="B55" r:id="rId36"/>
    <hyperlink xmlns:r="http://schemas.openxmlformats.org/officeDocument/2006/relationships" ref="B56" r:id="rId37"/>
    <hyperlink xmlns:r="http://schemas.openxmlformats.org/officeDocument/2006/relationships" ref="B57" r:id="rId38"/>
    <hyperlink xmlns:r="http://schemas.openxmlformats.org/officeDocument/2006/relationships" ref="B58" r:id="rId39"/>
    <hyperlink xmlns:r="http://schemas.openxmlformats.org/officeDocument/2006/relationships" ref="B59" r:id="rId40"/>
    <hyperlink xmlns:r="http://schemas.openxmlformats.org/officeDocument/2006/relationships" ref="B60" r:id="rId41"/>
    <hyperlink xmlns:r="http://schemas.openxmlformats.org/officeDocument/2006/relationships" ref="B61" r:id="rId42"/>
    <hyperlink xmlns:r="http://schemas.openxmlformats.org/officeDocument/2006/relationships" ref="B62" r:id="rId43"/>
    <hyperlink xmlns:r="http://schemas.openxmlformats.org/officeDocument/2006/relationships" ref="B63" r:id="rId44"/>
    <hyperlink xmlns:r="http://schemas.openxmlformats.org/officeDocument/2006/relationships" ref="B64" r:id="rId45"/>
    <hyperlink xmlns:r="http://schemas.openxmlformats.org/officeDocument/2006/relationships" ref="B65" r:id="rId46"/>
    <hyperlink xmlns:r="http://schemas.openxmlformats.org/officeDocument/2006/relationships" ref="B66" r:id="rId47"/>
    <hyperlink xmlns:r="http://schemas.openxmlformats.org/officeDocument/2006/relationships" ref="B67" r:id="rId48"/>
    <hyperlink xmlns:r="http://schemas.openxmlformats.org/officeDocument/2006/relationships" ref="B68" r:id="rId49"/>
    <hyperlink xmlns:r="http://schemas.openxmlformats.org/officeDocument/2006/relationships" ref="B69" r:id="rId50"/>
    <hyperlink xmlns:r="http://schemas.openxmlformats.org/officeDocument/2006/relationships" ref="B70" r:id="rId51"/>
    <hyperlink xmlns:r="http://schemas.openxmlformats.org/officeDocument/2006/relationships" ref="B71" r:id="rId52"/>
    <hyperlink xmlns:r="http://schemas.openxmlformats.org/officeDocument/2006/relationships" ref="B72" r:id="rId53"/>
    <hyperlink xmlns:r="http://schemas.openxmlformats.org/officeDocument/2006/relationships" ref="B73" r:id="rId54"/>
    <hyperlink xmlns:r="http://schemas.openxmlformats.org/officeDocument/2006/relationships" ref="B74" r:id="rId55"/>
    <hyperlink xmlns:r="http://schemas.openxmlformats.org/officeDocument/2006/relationships" ref="B75" r:id="rId56"/>
    <hyperlink xmlns:r="http://schemas.openxmlformats.org/officeDocument/2006/relationships" ref="B76" r:id="rId57"/>
    <hyperlink xmlns:r="http://schemas.openxmlformats.org/officeDocument/2006/relationships" ref="B77" r:id="rId58"/>
    <hyperlink xmlns:r="http://schemas.openxmlformats.org/officeDocument/2006/relationships" ref="B78" r:id="rId59"/>
    <hyperlink xmlns:r="http://schemas.openxmlformats.org/officeDocument/2006/relationships" ref="B79" r:id="rId60"/>
    <hyperlink xmlns:r="http://schemas.openxmlformats.org/officeDocument/2006/relationships" ref="B80" r:id="rId61"/>
    <hyperlink xmlns:r="http://schemas.openxmlformats.org/officeDocument/2006/relationships" ref="B81" r:id="rId62"/>
    <hyperlink xmlns:r="http://schemas.openxmlformats.org/officeDocument/2006/relationships" ref="B82" r:id="rId63"/>
    <hyperlink xmlns:r="http://schemas.openxmlformats.org/officeDocument/2006/relationships" ref="B83" r:id="rId64"/>
    <hyperlink xmlns:r="http://schemas.openxmlformats.org/officeDocument/2006/relationships" ref="B84" r:id="rId65"/>
    <hyperlink xmlns:r="http://schemas.openxmlformats.org/officeDocument/2006/relationships" ref="B85" r:id="rId66"/>
    <hyperlink xmlns:r="http://schemas.openxmlformats.org/officeDocument/2006/relationships" ref="C91" display="География МАЗК и АЗС на карте Google (пройдите по гиперссылке) =&gt;" r:id="rId67"/>
  </hyperlink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 codeName="Лист4" filterMode="1">
    <outlinePr summaryBelow="1" summaryRight="1"/>
    <pageSetUpPr/>
  </sheetPr>
  <dimension ref="B1:AW32"/>
  <sheetViews>
    <sheetView showGridLines="0" tabSelected="1" zoomScale="90" zoomScaleNormal="90" workbookViewId="0">
      <selection activeCell="B9" sqref="B9:C9"/>
    </sheetView>
  </sheetViews>
  <sheetFormatPr baseColWidth="8" defaultColWidth="8.77734375" defaultRowHeight="14.4"/>
  <cols>
    <col width="3.77734375" customWidth="1" min="1" max="1"/>
    <col width="16" customWidth="1" min="2" max="2"/>
    <col width="23.77734375" customWidth="1" min="3" max="3"/>
    <col width="20.44140625" customWidth="1" min="4" max="4"/>
    <col outlineLevel="1" width="20.21875" customWidth="1" min="5" max="5"/>
    <col outlineLevel="1" width="26.77734375" customWidth="1" min="6" max="6"/>
    <col outlineLevel="1" width="12.77734375" customWidth="1" min="7" max="8"/>
    <col width="14.21875" customWidth="1" min="9" max="9"/>
    <col width="22.77734375" customWidth="1" min="10" max="10"/>
    <col width="20.5546875" customWidth="1" min="11" max="11"/>
    <col outlineLevel="1" width="15.77734375" customWidth="1" min="12" max="12"/>
    <col outlineLevel="1" width="12.77734375" customWidth="1" min="13" max="13"/>
    <col outlineLevel="1" width="13.5546875" customWidth="1" min="14" max="14"/>
    <col width="8.77734375" customWidth="1" min="39" max="39"/>
    <col hidden="1" width="8.77734375" customWidth="1" style="325" min="40" max="42"/>
  </cols>
  <sheetData>
    <row r="1" ht="42" customHeight="1">
      <c r="B1" s="28" t="n"/>
      <c r="C1" s="27" t="n"/>
      <c r="D1" s="27" t="n"/>
      <c r="E1" s="27" t="n"/>
      <c r="F1" s="897" t="n"/>
      <c r="G1" s="898" t="n"/>
      <c r="H1" s="898" t="n"/>
      <c r="I1" s="898" t="n"/>
      <c r="J1" s="899" t="n"/>
      <c r="K1" s="900" t="n"/>
      <c r="L1" s="899" t="n"/>
      <c r="M1" s="41" t="n"/>
      <c r="N1" s="901" t="n"/>
      <c r="AN1" s="328" t="inlineStr">
        <is>
          <t>ПК</t>
        </is>
      </c>
      <c r="AO1" s="329" t="n">
        <v>0</v>
      </c>
      <c r="AP1" s="328" t="n"/>
    </row>
    <row r="2" ht="24" customHeight="1" thickBot="1">
      <c r="B2" s="734" t="inlineStr">
        <is>
          <t>Супермаркеты «Азбука вкуса»</t>
        </is>
      </c>
      <c r="E2" s="43" t="n"/>
      <c r="F2" s="43" t="n"/>
      <c r="G2" s="43" t="n"/>
      <c r="H2" s="43" t="n"/>
      <c r="I2" s="735" t="n"/>
      <c r="J2" s="15" t="n"/>
      <c r="K2" s="15" t="n"/>
      <c r="L2" s="43" t="n"/>
      <c r="M2" s="43" t="n"/>
      <c r="N2" s="43" t="n"/>
      <c r="AC2" s="8" t="inlineStr">
        <is>
          <t>РА</t>
        </is>
      </c>
      <c r="AD2" s="9" t="n">
        <v>0.1</v>
      </c>
      <c r="AN2" s="328" t="inlineStr">
        <is>
          <t>РА</t>
        </is>
      </c>
      <c r="AO2" s="329" t="n">
        <v>0.05</v>
      </c>
      <c r="AP2" s="328" t="inlineStr">
        <is>
          <t>Доп скидка</t>
        </is>
      </c>
    </row>
    <row r="3">
      <c r="B3" s="719" t="inlineStr">
        <is>
          <t xml:space="preserve">Клиент:  </t>
        </is>
      </c>
      <c r="C3" s="854" t="n"/>
      <c r="D3" s="115" t="inlineStr">
        <is>
          <t>Sminex</t>
        </is>
      </c>
      <c r="E3" s="43" t="n"/>
      <c r="F3" s="50" t="n"/>
      <c r="G3" s="57" t="n"/>
      <c r="H3" s="43" t="n"/>
      <c r="I3" s="723" t="inlineStr">
        <is>
          <t xml:space="preserve">Всего экранов:  </t>
        </is>
      </c>
      <c r="J3" s="879" t="n"/>
      <c r="K3" s="99">
        <f>D26</f>
        <v/>
      </c>
      <c r="L3" s="43" t="n"/>
      <c r="M3" s="43" t="n"/>
      <c r="N3" s="43" t="n"/>
      <c r="AC3" s="8" t="n"/>
      <c r="AD3" s="9" t="n"/>
      <c r="AN3" s="328" t="n"/>
      <c r="AO3" s="329" t="n">
        <v>0.1</v>
      </c>
      <c r="AP3" s="328" t="inlineStr">
        <is>
          <t>Welcome скидка</t>
        </is>
      </c>
    </row>
    <row r="4">
      <c r="B4" s="721" t="inlineStr">
        <is>
          <t xml:space="preserve">Бренд:  </t>
        </is>
      </c>
      <c r="C4" s="855" t="n"/>
      <c r="D4" s="116" t="inlineStr">
        <is>
          <t>Sminex</t>
        </is>
      </c>
      <c r="E4" s="43" t="n"/>
      <c r="F4" s="29" t="n"/>
      <c r="G4" s="58" t="n"/>
      <c r="H4" s="43" t="n"/>
      <c r="I4" s="725" t="inlineStr">
        <is>
          <t>Часов работы одного экрана в сутки:</t>
        </is>
      </c>
      <c r="J4" s="856" t="n"/>
      <c r="K4" s="100" t="n">
        <v>24</v>
      </c>
      <c r="L4" s="43" t="n"/>
      <c r="M4" s="43" t="n"/>
      <c r="N4" s="43" t="n"/>
      <c r="AN4" s="328" t="n"/>
      <c r="AO4" s="329" t="n">
        <v>0.15</v>
      </c>
      <c r="AP4" s="328" t="inlineStr">
        <is>
          <t>Сезонная скидка</t>
        </is>
      </c>
    </row>
    <row r="5">
      <c r="B5" s="714" t="inlineStr">
        <is>
          <t xml:space="preserve">Начало РК:  </t>
        </is>
      </c>
      <c r="C5" s="855" t="n"/>
      <c r="D5" s="206" t="n">
        <v>45748</v>
      </c>
      <c r="E5" s="43" t="n"/>
      <c r="F5" s="30" t="n"/>
      <c r="G5" s="59" t="n"/>
      <c r="H5" s="43" t="n"/>
      <c r="I5" s="697" t="inlineStr">
        <is>
          <t>Продолжительность блока в минутах:</t>
        </is>
      </c>
      <c r="J5" s="856" t="n"/>
      <c r="K5" s="101" t="n">
        <v>3</v>
      </c>
      <c r="L5" s="43" t="n"/>
      <c r="M5" s="43" t="n"/>
      <c r="N5" s="43" t="n"/>
      <c r="AN5" s="328" t="n"/>
      <c r="AO5" s="329" t="n">
        <v>0.2</v>
      </c>
      <c r="AP5" s="328" t="n"/>
    </row>
    <row r="6">
      <c r="B6" s="714" t="inlineStr">
        <is>
          <t xml:space="preserve">Окончание РК:  </t>
        </is>
      </c>
      <c r="C6" s="855" t="n"/>
      <c r="D6" s="206" t="n">
        <v>45838</v>
      </c>
      <c r="E6" s="43" t="n"/>
      <c r="F6" s="30" t="n"/>
      <c r="G6" s="59" t="n"/>
      <c r="H6" s="43" t="n"/>
      <c r="I6" s="697" t="inlineStr">
        <is>
          <t>Блоков в сутки на одном экране:</t>
        </is>
      </c>
      <c r="J6" s="856" t="n"/>
      <c r="K6" s="101">
        <f>K4*60/K5</f>
        <v/>
      </c>
      <c r="L6" s="43" t="n"/>
      <c r="M6" s="43" t="n"/>
      <c r="N6" s="43" t="n"/>
      <c r="AN6" s="328" t="n"/>
      <c r="AO6" s="329" t="n">
        <v>0.25</v>
      </c>
      <c r="AP6" s="328" t="n"/>
    </row>
    <row r="7">
      <c r="B7" s="714" t="inlineStr">
        <is>
          <t xml:space="preserve">Ролик1, сек:  </t>
        </is>
      </c>
      <c r="C7" s="855" t="n"/>
      <c r="D7" s="117" t="n">
        <v>15</v>
      </c>
      <c r="E7" s="43" t="n"/>
      <c r="F7" s="30" t="n"/>
      <c r="G7" s="59" t="n"/>
      <c r="H7" s="43" t="n"/>
      <c r="I7" s="697" t="inlineStr">
        <is>
          <t>Кол-во дней размещения:</t>
        </is>
      </c>
      <c r="J7" s="856" t="n"/>
      <c r="K7" s="101">
        <f>D6-D5+1</f>
        <v/>
      </c>
      <c r="L7" s="43" t="n"/>
      <c r="M7" s="43" t="n"/>
      <c r="N7" s="43" t="n"/>
      <c r="AN7" s="328" t="n"/>
      <c r="AO7" s="328" t="n"/>
      <c r="AP7" s="328" t="n"/>
    </row>
    <row r="8">
      <c r="B8" s="714" t="n"/>
      <c r="C8" s="855" t="n"/>
      <c r="D8" s="117" t="n"/>
      <c r="E8" s="43" t="n"/>
      <c r="F8" s="30" t="n"/>
      <c r="G8" s="59" t="n"/>
      <c r="H8" s="43" t="n"/>
      <c r="I8" s="697" t="inlineStr">
        <is>
          <t>Кол-во роликов в блоке:</t>
        </is>
      </c>
      <c r="J8" s="856" t="n"/>
      <c r="K8" s="101">
        <f>COUNT(D$7,D$8,D$9)</f>
        <v/>
      </c>
      <c r="L8" s="43" t="n"/>
      <c r="M8" s="43" t="n"/>
      <c r="N8" s="43" t="n"/>
      <c r="AN8" s="328" t="n"/>
      <c r="AO8" s="328" t="n"/>
      <c r="AP8" s="328" t="n"/>
    </row>
    <row r="9">
      <c r="B9" s="716" t="inlineStr">
        <is>
          <t>КАРТА ОХВАТА</t>
        </is>
      </c>
      <c r="C9" s="855" t="n"/>
      <c r="D9" s="645" t="inlineStr">
        <is>
          <t>фото Азбука вкуса</t>
        </is>
      </c>
      <c r="E9" s="43" t="n"/>
      <c r="F9" s="30" t="n"/>
      <c r="G9" s="60" t="n"/>
      <c r="H9" s="43" t="n"/>
      <c r="I9" s="697" t="inlineStr">
        <is>
          <t>Итого секунд в блоке:</t>
        </is>
      </c>
      <c r="J9" s="856" t="n"/>
      <c r="K9" s="102">
        <f>SUM(D7:D9)</f>
        <v/>
      </c>
      <c r="L9" s="43" t="n"/>
      <c r="M9" s="43" t="n"/>
      <c r="N9" s="43" t="n"/>
      <c r="AN9" s="328" t="n"/>
      <c r="AO9" s="329" t="n">
        <v>0</v>
      </c>
      <c r="AP9" s="328" t="n"/>
    </row>
    <row r="10">
      <c r="B10" s="731" t="inlineStr">
        <is>
          <t>Применяемые скидки (последовательно)</t>
        </is>
      </c>
      <c r="C10" s="859" t="n"/>
      <c r="D10" s="856" t="n"/>
      <c r="E10" s="43" t="n"/>
      <c r="F10" s="30" t="n"/>
      <c r="G10" s="59" t="n"/>
      <c r="H10" s="43" t="n"/>
      <c r="I10" s="697" t="inlineStr">
        <is>
          <t>Показов в день на одном экране:</t>
        </is>
      </c>
      <c r="J10" s="856" t="n"/>
      <c r="K10" s="101">
        <f>K6*K8</f>
        <v/>
      </c>
      <c r="L10" s="43" t="n"/>
      <c r="M10" s="43" t="n"/>
      <c r="N10" s="43" t="n"/>
      <c r="AN10" s="328" t="n"/>
      <c r="AO10" s="329" t="n">
        <v>0.05</v>
      </c>
      <c r="AP10" s="328" t="n"/>
    </row>
    <row r="11">
      <c r="B11" s="685" t="inlineStr">
        <is>
          <t>За кол-во экранов(средн):</t>
        </is>
      </c>
      <c r="C11" s="856" t="n"/>
      <c r="D11" s="118">
        <f>SUBTOTAL(1,G22:G25)</f>
        <v/>
      </c>
      <c r="E11" s="43" t="n"/>
      <c r="F11" s="30" t="n"/>
      <c r="G11" s="59" t="n"/>
      <c r="H11" s="43" t="n"/>
      <c r="I11" s="697" t="inlineStr">
        <is>
          <t>Минут в день на одном экране:</t>
        </is>
      </c>
      <c r="J11" s="856" t="n"/>
      <c r="K11" s="101">
        <f>K6*K9/60</f>
        <v/>
      </c>
      <c r="L11" s="43" t="n"/>
      <c r="M11" s="43" t="n"/>
      <c r="N11" s="43" t="n"/>
      <c r="AN11" s="328" t="n"/>
      <c r="AO11" s="329" t="n">
        <v>0.1</v>
      </c>
      <c r="AP11" s="328" t="n"/>
    </row>
    <row r="12">
      <c r="B12" s="685" t="inlineStr">
        <is>
          <t>За период:</t>
        </is>
      </c>
      <c r="C12" s="856" t="n"/>
      <c r="D12" s="118">
        <f>IF(K7&gt;69,'Цены|Скидки'!$C$100,IF(K7&gt;39,'Цены|Скидки'!$C$99,0%))</f>
        <v/>
      </c>
      <c r="E12" s="43" t="n"/>
      <c r="F12" s="30" t="n"/>
      <c r="G12" s="45" t="n"/>
      <c r="H12" s="43" t="n"/>
      <c r="I12" s="697" t="inlineStr">
        <is>
          <t>Показов на всех экранах за период:</t>
        </is>
      </c>
      <c r="J12" s="856" t="n"/>
      <c r="K12" s="103">
        <f>K10*K7*K3</f>
        <v/>
      </c>
      <c r="L12" s="43" t="n"/>
      <c r="M12" s="43" t="n"/>
      <c r="N12" s="43" t="n"/>
      <c r="AN12" s="328" t="n"/>
      <c r="AO12" s="329" t="n">
        <v>0.15</v>
      </c>
      <c r="AP12" s="328" t="n"/>
    </row>
    <row r="13">
      <c r="B13" s="685">
        <f>IF(AC2="РА","Скидка для РА:"," ")</f>
        <v/>
      </c>
      <c r="C13" s="856" t="n"/>
      <c r="D13" s="119">
        <f>IF(AC2="РА",AD2," ")</f>
        <v/>
      </c>
      <c r="E13" s="43" t="n"/>
      <c r="F13" s="447" t="n"/>
      <c r="G13" s="61" t="n"/>
      <c r="H13" s="43" t="n"/>
      <c r="I13" s="695" t="inlineStr">
        <is>
          <t>OTS:</t>
        </is>
      </c>
      <c r="J13" s="856" t="n"/>
      <c r="K13" s="122">
        <f>M26</f>
        <v/>
      </c>
      <c r="L13" s="43" t="n"/>
      <c r="M13" s="43" t="n"/>
      <c r="N13" s="43" t="n"/>
      <c r="AN13" s="328" t="n"/>
      <c r="AO13" s="329" t="n">
        <v>0.2</v>
      </c>
      <c r="AP13" s="328" t="n"/>
    </row>
    <row r="14" ht="15.75" customHeight="1">
      <c r="B14" s="685">
        <f>IF(AC3=0," ",AC3)</f>
        <v/>
      </c>
      <c r="C14" s="856" t="n"/>
      <c r="D14" s="119">
        <f>IF(OR(AC3="Доп скидка",AC3="Сезонная скидка",AC3="Welcome скидка")=TRUE,AD3," ")</f>
        <v/>
      </c>
      <c r="E14" s="43" t="n"/>
      <c r="F14" s="31" t="n"/>
      <c r="G14" s="61" t="n"/>
      <c r="H14" s="43" t="n"/>
      <c r="I14" s="695" t="inlineStr">
        <is>
          <t>CPT:</t>
        </is>
      </c>
      <c r="J14" s="856" t="n"/>
      <c r="K14" s="882">
        <f>N26</f>
        <v/>
      </c>
      <c r="L14" s="43" t="n"/>
      <c r="M14" s="43" t="n"/>
      <c r="N14" s="43" t="n"/>
      <c r="AN14" s="328" t="n"/>
      <c r="AO14" s="329" t="n">
        <v>0.25</v>
      </c>
      <c r="AP14" s="328" t="n"/>
    </row>
    <row r="15" ht="9.75" customHeight="1">
      <c r="B15" s="902" t="inlineStr">
        <is>
          <t>Стоимость размещения</t>
        </is>
      </c>
      <c r="C15" s="859" t="n"/>
      <c r="D15" s="903" t="n"/>
      <c r="E15" s="232" t="n"/>
      <c r="F15" s="232" t="n"/>
      <c r="G15" s="232" t="n"/>
      <c r="H15" s="232" t="n"/>
      <c r="I15" s="902" t="n"/>
      <c r="J15" s="859" t="n"/>
      <c r="K15" s="903" t="n"/>
      <c r="L15" s="43" t="n"/>
      <c r="M15" s="43" t="n"/>
      <c r="N15" s="43" t="n"/>
      <c r="AN15" s="328" t="n"/>
      <c r="AP15" s="328" t="n"/>
    </row>
    <row r="16" customFormat="1" s="15">
      <c r="B16" s="695" t="inlineStr">
        <is>
          <t>Всего, руб. NET:</t>
        </is>
      </c>
      <c r="C16" s="856" t="n"/>
      <c r="D16" s="904">
        <f>J26</f>
        <v/>
      </c>
      <c r="E16" s="44" t="n"/>
      <c r="F16" s="300" t="n"/>
      <c r="G16" s="62" t="n"/>
      <c r="H16" s="44" t="n"/>
      <c r="I16" s="709" t="inlineStr">
        <is>
          <t>Предоставление ролика до:</t>
        </is>
      </c>
      <c r="J16" s="856" t="n"/>
      <c r="K16" s="104">
        <f>D5-3</f>
        <v/>
      </c>
      <c r="L16" s="44" t="n"/>
      <c r="M16" s="44" t="n"/>
      <c r="N16" s="44" t="n"/>
      <c r="AN16" s="330" t="n"/>
      <c r="AO16" s="331" t="n"/>
      <c r="AP16" s="330" t="n"/>
      <c r="AW16" t="n">
        <v>16</v>
      </c>
    </row>
    <row r="17" ht="15" customFormat="1" customHeight="1" s="15" thickBot="1">
      <c r="B17" s="713" t="inlineStr">
        <is>
          <t>Всего, руб. GROSS:</t>
        </is>
      </c>
      <c r="C17" s="858" t="n"/>
      <c r="D17" s="905">
        <f>K26</f>
        <v/>
      </c>
      <c r="E17" s="51" t="n"/>
      <c r="F17" s="56" t="n"/>
      <c r="G17" s="62" t="n"/>
      <c r="H17" s="52" t="n"/>
      <c r="I17" s="711" t="inlineStr">
        <is>
          <t>Оплата до:</t>
        </is>
      </c>
      <c r="J17" s="858" t="n"/>
      <c r="K17" s="105">
        <f>D5-5</f>
        <v/>
      </c>
      <c r="L17" s="44" t="n"/>
      <c r="M17" s="44" t="n"/>
      <c r="N17" s="44" t="n"/>
      <c r="AN17" s="330" t="inlineStr">
        <is>
          <t>Автобренд</t>
        </is>
      </c>
      <c r="AO17" s="330" t="n"/>
      <c r="AP17" s="330" t="n"/>
      <c r="AW17" t="n">
        <v>1</v>
      </c>
    </row>
    <row r="18" customFormat="1" s="15">
      <c r="B18" s="36" t="n"/>
      <c r="C18" s="32" t="n"/>
      <c r="D18" s="33" t="n"/>
      <c r="E18" s="32" t="n"/>
      <c r="F18" s="906" t="n"/>
      <c r="G18" s="907" t="n"/>
      <c r="H18" s="907" t="n"/>
      <c r="I18" s="907" t="n"/>
      <c r="J18" s="866" t="n"/>
      <c r="K18" s="889" t="n"/>
      <c r="L18" s="866" t="n"/>
      <c r="M18" s="48" t="n"/>
      <c r="N18" s="908" t="n"/>
      <c r="AN18" s="332" t="n"/>
      <c r="AO18" s="332" t="n"/>
      <c r="AP18" s="332" t="n"/>
      <c r="AW18" t="n">
        <v>17</v>
      </c>
    </row>
    <row r="19" ht="21" customFormat="1" customHeight="1" s="15">
      <c r="B19" s="705" t="inlineStr">
        <is>
          <t>Расчет стоимости кампании в «Азбука вкуса»</t>
        </is>
      </c>
      <c r="C19" s="32" t="n"/>
      <c r="D19" s="33" t="n"/>
      <c r="E19" s="32" t="n"/>
      <c r="F19" s="906" t="n"/>
      <c r="G19" s="907" t="n"/>
      <c r="H19" s="907" t="n"/>
      <c r="I19" s="907" t="n"/>
      <c r="J19" s="866" t="n"/>
      <c r="K19" s="889" t="n"/>
      <c r="L19" s="866" t="n"/>
      <c r="M19" s="48" t="n"/>
      <c r="N19" s="908" t="n"/>
      <c r="AN19" s="332" t="n"/>
      <c r="AO19" s="332" t="n"/>
      <c r="AP19" s="332" t="n"/>
    </row>
    <row r="20" ht="15.75" customFormat="1" customHeight="1" s="15">
      <c r="B20" s="846" t="inlineStr">
        <is>
          <t>Регион</t>
        </is>
      </c>
      <c r="C20" s="846" t="inlineStr">
        <is>
          <t>Сеть</t>
        </is>
      </c>
      <c r="D20" s="846" t="inlineStr">
        <is>
          <t>Количество экранов</t>
        </is>
      </c>
      <c r="E20" s="846" t="inlineStr">
        <is>
          <t>Стоимость размещения в сутки на 1 экране, без НДС</t>
        </is>
      </c>
      <c r="F20" s="846" t="inlineStr">
        <is>
          <t>Стоимость размещения по выбранной АП за период, без НДС</t>
        </is>
      </c>
      <c r="G20" s="846" t="inlineStr">
        <is>
          <t>Скидка за кол-во экранов</t>
        </is>
      </c>
      <c r="H20" s="846" t="inlineStr">
        <is>
          <t>Скидка за период</t>
        </is>
      </c>
      <c r="I20" s="846" t="inlineStr">
        <is>
          <t>Итоговая скидка</t>
        </is>
      </c>
      <c r="J20" s="846" t="inlineStr">
        <is>
          <t xml:space="preserve"> Стоимость c учетом всех скидок, без НДС</t>
        </is>
      </c>
      <c r="K20" s="846" t="inlineStr">
        <is>
          <t xml:space="preserve"> Стоимость c учетом всех скидок, вкл.  НДС</t>
        </is>
      </c>
      <c r="L20" s="846" t="inlineStr">
        <is>
          <t>Сумма НДС (20%)</t>
        </is>
      </c>
      <c r="M20" s="846" t="inlineStr">
        <is>
          <t>OTS</t>
        </is>
      </c>
      <c r="N20" s="846" t="inlineStr">
        <is>
          <t>CPT</t>
        </is>
      </c>
      <c r="AN20" s="332" t="n"/>
      <c r="AO20" s="332" t="n"/>
      <c r="AP20" s="332" t="n"/>
    </row>
    <row r="21" ht="35.1" customFormat="1" customHeight="1" s="15">
      <c r="B21" s="909" t="n"/>
      <c r="C21" s="909" t="n"/>
      <c r="D21" s="909" t="n"/>
      <c r="E21" s="909" t="n"/>
      <c r="F21" s="909" t="n"/>
      <c r="G21" s="909" t="n"/>
      <c r="H21" s="909" t="n"/>
      <c r="I21" s="909" t="n"/>
      <c r="J21" s="909" t="n"/>
      <c r="K21" s="909" t="n"/>
      <c r="L21" s="909" t="n"/>
      <c r="M21" s="909" t="n"/>
      <c r="N21" s="909" t="n"/>
      <c r="AN21" s="332" t="n"/>
      <c r="AO21" s="332" t="n"/>
      <c r="AP21" s="332" t="n"/>
    </row>
    <row r="22" ht="15" customFormat="1" customHeight="1" s="16">
      <c r="B22" s="847" t="inlineStr">
        <is>
          <t>Москва</t>
        </is>
      </c>
      <c r="C22" s="282" t="inlineStr">
        <is>
          <t>Азбука Вкуса</t>
        </is>
      </c>
      <c r="D22" s="283">
        <f>SUMIFS('Адресная программа'!$O$388:$O$4169,'Адресная программа'!$C$388:$C$4169,'Азбука вкуса'!B22,'Адресная программа'!$G$388:$G$4169,'Азбука вкуса'!C22)</f>
        <v/>
      </c>
      <c r="E22" s="910">
        <f>F22/$K$7/D22</f>
        <v/>
      </c>
      <c r="F22" s="911">
        <f>SUMIFS('Адресная программа'!$T$20:$T$4940,'Адресная программа'!$C$20:$C$4940,'Азбука вкуса'!B22,'Адресная программа'!$G$20:$G$4940,'Азбука вкуса'!C22,'Адресная программа'!$N$20:$N$4940,1)*$K$7*60/$K$5*$K$9*'Цены|Скидки'!D11/15/480</f>
        <v/>
      </c>
      <c r="G22" s="286">
        <f>IF(D22=SUMIFS('Адресная программа'!$K$20:$K$4940,'Адресная программа'!$G$20:$G$4940,'Азбука вкуса'!C22,'Адресная программа'!$C$20:$C$4940,'Азбука вкуса'!B22,'Адресная программа'!$L$20:$L$4940,1),'Цены|Скидки'!$C$31,IF(D22&gt;(SUMIFS('Адресная программа'!$K$20:$K$4940,'Адресная программа'!$G$20:$G$4940,'Азбука вкуса'!C22,'Адресная программа'!$C$20:$C$4940,'Азбука вкуса'!B22,'Адресная программа'!$L$20:$L$4940,1)*'Цены|Скидки'!$B$32-1),'Цены|Скидки'!$C$32,IF(D22&gt;(SUMIFS('Адресная программа'!$K$20:$K$4940,'Адресная программа'!$G$20:$G$4940,'Азбука вкуса'!C22,'Адресная программа'!$C$20:$C$4940,'Азбука вкуса'!B22,'Адресная программа'!$L$20:$L$4940,1)*'Цены|Скидки'!$B$33-1),'Цены|Скидки'!$C$33,IF(D22&gt;(SUMIFS('Адресная программа'!$K$20:$K$4940,'Адресная программа'!$G$20:$G$4940,'Азбука вкуса'!C22,'Адресная программа'!$C$20:$C$4940,'Азбука вкуса'!B22,'Адресная программа'!$L$20:$L$4940,1)*'Цены|Скидки'!$B$34-1),'Цены|Скидки'!$C$34,IF(D22&gt;(SUMIFS('Адресная программа'!$K$20:$K$4940,'Адресная программа'!$G$20:$G$4940,'Азбука вкуса'!C22,'Адресная программа'!$C$20:$C$4940,'Азбука вкуса'!B22,'Адресная программа'!$L$20:$L$4940,1)*'Цены|Скидки'!$B$35-1),'Цены|Скидки'!$C$35,IF(D22&gt;(SUMIFS('Адресная программа'!$K$20:$K$4940,'Адресная программа'!$G$20:$G$4940,'Азбука вкуса'!C22,'Адресная программа'!$C$20:$C$4940,'Азбука вкуса'!B22,'Адресная программа'!$L$20:$L$4940,1)*'Цены|Скидки'!$B$36-1),'Цены|Скидки'!$C$36,0%))))))</f>
        <v/>
      </c>
      <c r="H22" s="286">
        <f>$D$12</f>
        <v/>
      </c>
      <c r="I22" s="287">
        <f>IF(F22=0,0,1-J22/F22)</f>
        <v/>
      </c>
      <c r="J22" s="912">
        <f>F22*(1-G22)*(1-H22)*(1-IF(AC$2="РА",AD$2,0))*(1-IF(OR(AC$3="Доп скидка",AC$3="Сезонная скидка",AC$3="Welcome скидка")=TRUE,AD$3,0))</f>
        <v/>
      </c>
      <c r="K22" s="912">
        <f>J22+L22</f>
        <v/>
      </c>
      <c r="L22" s="912">
        <f>J22*0.2</f>
        <v/>
      </c>
      <c r="M22" s="289">
        <f>D22*K$7*1000</f>
        <v/>
      </c>
      <c r="N22" s="912">
        <f>J22/M22*1000</f>
        <v/>
      </c>
      <c r="AN22" s="333" t="n"/>
      <c r="AO22" s="333" t="n"/>
      <c r="AP22" s="333" t="n"/>
    </row>
    <row r="23" ht="15" customFormat="1" customHeight="1" s="16">
      <c r="B23" s="847" t="inlineStr">
        <is>
          <t>Москва</t>
        </is>
      </c>
      <c r="C23" s="282" t="inlineStr">
        <is>
          <t>Энотека АВ</t>
        </is>
      </c>
      <c r="D23" s="283">
        <f>SUMIFS('Адресная программа'!$O$388:$O$4169,'Адресная программа'!$C$388:$C$4169,'Азбука вкуса'!B23,'Адресная программа'!$G$388:$G$4169,'Азбука вкуса'!C23)</f>
        <v/>
      </c>
      <c r="E23" s="910">
        <f>F23/$K$7/D23</f>
        <v/>
      </c>
      <c r="F23" s="911">
        <f>SUMIFS('Адресная программа'!$T$20:$T$4940,'Адресная программа'!$C$20:$C$4940,'Азбука вкуса'!B23,'Адресная программа'!$G$20:$G$4940,'Азбука вкуса'!C23,'Адресная программа'!$N$20:$N$4940,1)*$K$7*60/$K$5*$K$9*'Цены|Скидки'!D11/15/480</f>
        <v/>
      </c>
      <c r="G23" s="286">
        <f>IF(D23=SUMIFS('Адресная программа'!$K$20:$K$4940,'Адресная программа'!$G$20:$G$4940,'Азбука вкуса'!C23,'Адресная программа'!$C$20:$C$4940,'Азбука вкуса'!B23,'Адресная программа'!$L$20:$L$4940,1),'Цены|Скидки'!$C$31,IF(D23&gt;(SUMIFS('Адресная программа'!$K$20:$K$4940,'Адресная программа'!$G$20:$G$4940,'Азбука вкуса'!C23,'Адресная программа'!$C$20:$C$4940,'Азбука вкуса'!B23,'Адресная программа'!$L$20:$L$4940,1)*'Цены|Скидки'!$B$32-1),'Цены|Скидки'!$C$32,IF(D23&gt;(SUMIFS('Адресная программа'!$K$20:$K$4940,'Адресная программа'!$G$20:$G$4940,'Азбука вкуса'!C23,'Адресная программа'!$C$20:$C$4940,'Азбука вкуса'!B23,'Адресная программа'!$L$20:$L$4940,1)*'Цены|Скидки'!$B$33-1),'Цены|Скидки'!$C$33,IF(D23&gt;(SUMIFS('Адресная программа'!$K$20:$K$4940,'Адресная программа'!$G$20:$G$4940,'Азбука вкуса'!C23,'Адресная программа'!$C$20:$C$4940,'Азбука вкуса'!B23,'Адресная программа'!$L$20:$L$4940,1)*'Цены|Скидки'!$B$34-1),'Цены|Скидки'!$C$34,IF(D23&gt;(SUMIFS('Адресная программа'!$K$20:$K$4940,'Адресная программа'!$G$20:$G$4940,'Азбука вкуса'!C23,'Адресная программа'!$C$20:$C$4940,'Азбука вкуса'!B23,'Адресная программа'!$L$20:$L$4940,1)*'Цены|Скидки'!$B$35-1),'Цены|Скидки'!$C$35,IF(D23&gt;(SUMIFS('Адресная программа'!$K$20:$K$4940,'Адресная программа'!$G$20:$G$4940,'Азбука вкуса'!C23,'Адресная программа'!$C$20:$C$4940,'Азбука вкуса'!B23,'Адресная программа'!$L$20:$L$4940,1)*'Цены|Скидки'!$B$36-1),'Цены|Скидки'!$C$36,0%))))))</f>
        <v/>
      </c>
      <c r="H23" s="286">
        <f>$D$12</f>
        <v/>
      </c>
      <c r="I23" s="287">
        <f>IF(F23=0,0,1-J23/F23)</f>
        <v/>
      </c>
      <c r="J23" s="912">
        <f>F23*(1-G23)*(1-H23)*(1-IF(AC$2="РА",AD$2,0))*(1-IF(OR(AC$3="Доп скидка",AC$3="Сезонная скидка",AC$3="Welcome скидка")=TRUE,AD$3,0))</f>
        <v/>
      </c>
      <c r="K23" s="912">
        <f>J23+L23</f>
        <v/>
      </c>
      <c r="L23" s="912">
        <f>J23*0.2</f>
        <v/>
      </c>
      <c r="M23" s="289">
        <f>D23*K$7*1000</f>
        <v/>
      </c>
      <c r="N23" s="912">
        <f>J23/M23*1000</f>
        <v/>
      </c>
      <c r="AN23" s="333" t="n"/>
      <c r="AO23" s="333" t="n"/>
      <c r="AP23" s="333" t="n"/>
    </row>
    <row r="24" hidden="1" ht="18" customFormat="1" customHeight="1" s="16">
      <c r="B24" s="281" t="inlineStr">
        <is>
          <t>Санкт-Петербург</t>
        </is>
      </c>
      <c r="C24" s="282" t="inlineStr">
        <is>
          <t>Азбука Вкуса</t>
        </is>
      </c>
      <c r="D24" s="283">
        <f>SUMIFS('Адресная программа'!$O$388:$O$4169,'Адресная программа'!$C$388:$C$4169,'Азбука вкуса'!B24,'Адресная программа'!$G$388:$G$4169,'Азбука вкуса'!C24)</f>
        <v/>
      </c>
      <c r="E24" s="910">
        <f>F24/$K$7/D24</f>
        <v/>
      </c>
      <c r="F24" s="911">
        <f>SUMIFS('Адресная программа'!$T$20:$T$4940,'Адресная программа'!$C$20:$C$4940,'Азбука вкуса'!B24,'Адресная программа'!$G$20:$G$4940,'Азбука вкуса'!C24,'Адресная программа'!$N$20:$N$4940,1)*$K$7*60/$K$5*$K$9*'Цены|Скидки'!E11/15/480</f>
        <v/>
      </c>
      <c r="G24" s="286" t="n"/>
      <c r="H24" s="286" t="n"/>
      <c r="I24" s="287">
        <f>IF(F24=0,0,1-J24/F24)</f>
        <v/>
      </c>
      <c r="J24" s="912">
        <f>F24*(1-G24)*(1-H24)*(1-IF(AC$2="РА",AD$2,0))*(1-IF(OR(AC$3="Доп скидка",AC$3="Сезонная скидка",AC$3="Welcome скидка")=TRUE,AD$3,0))</f>
        <v/>
      </c>
      <c r="K24" s="912">
        <f>J24+L24</f>
        <v/>
      </c>
      <c r="L24" s="912">
        <f>J24*0.2</f>
        <v/>
      </c>
      <c r="M24" s="289">
        <f>D24*K$7*1000</f>
        <v/>
      </c>
      <c r="N24" s="913">
        <f>J24/M24*1000</f>
        <v/>
      </c>
      <c r="AN24" s="333" t="n"/>
      <c r="AO24" s="333" t="n"/>
      <c r="AP24" s="333" t="n"/>
    </row>
    <row r="25" hidden="1" ht="18" customFormat="1" customHeight="1" s="16" thickBot="1">
      <c r="B25" s="291" t="inlineStr">
        <is>
          <t>Санкт-Петербург</t>
        </is>
      </c>
      <c r="C25" s="292" t="inlineStr">
        <is>
          <t>Энотека АВ</t>
        </is>
      </c>
      <c r="D25" s="850">
        <f>SUMIFS('Адресная программа'!$O$388:$O$4169,'Адресная программа'!$C$388:$C$4169,'Азбука вкуса'!B25,'Адресная программа'!$G$388:$G$4169,'Азбука вкуса'!C25)</f>
        <v/>
      </c>
      <c r="E25" s="914">
        <f>F25/$K$7/D25</f>
        <v/>
      </c>
      <c r="F25" s="915">
        <f>SUMIFS('Адресная программа'!$T$20:$T$4940,'Адресная программа'!$C$20:$C$4940,'Азбука вкуса'!B25,'Адресная программа'!$G$20:$G$4940,'Азбука вкуса'!C25,'Адресная программа'!$N$20:$N$4940,1)*$K$7*60/$K$5*$K$9*'Цены|Скидки'!E11/15/480</f>
        <v/>
      </c>
      <c r="G25" s="294" t="n"/>
      <c r="H25" s="294" t="n"/>
      <c r="I25" s="295">
        <f>IF(F25=0,0,1-J25/F25)</f>
        <v/>
      </c>
      <c r="J25" s="916">
        <f>F25*(1-G25)*(1-H25)*(1-IF(AC$2="РА",AD$2,0))*(1-IF(OR(AC$3="Доп скидка",AC$3="Сезонная скидка",AC$3="Welcome скидка")=TRUE,AD$3,0))</f>
        <v/>
      </c>
      <c r="K25" s="917">
        <f>J25+L25</f>
        <v/>
      </c>
      <c r="L25" s="916">
        <f>J25*0.2</f>
        <v/>
      </c>
      <c r="M25" s="297">
        <f>D25*K$7*1000</f>
        <v/>
      </c>
      <c r="N25" s="918">
        <f>J25/M25*1000</f>
        <v/>
      </c>
      <c r="AN25" s="333" t="n"/>
      <c r="AO25" s="333" t="n"/>
      <c r="AP25" s="333" t="n"/>
    </row>
    <row r="26" ht="16.05" customFormat="1" customHeight="1" s="15">
      <c r="B26" s="32" t="n"/>
      <c r="C26" s="32" t="n"/>
      <c r="D26" s="851">
        <f>SUM(D22:D25)</f>
        <v/>
      </c>
      <c r="E26" s="919" t="n"/>
      <c r="F26" s="920">
        <f>SUM(F22:F25)</f>
        <v/>
      </c>
      <c r="G26" s="921" t="n"/>
      <c r="H26" s="921" t="n"/>
      <c r="I26" s="921" t="n"/>
      <c r="J26" s="878">
        <f>SUM(J22:J25)</f>
        <v/>
      </c>
      <c r="K26" s="922">
        <f>SUM(K22:K25)</f>
        <v/>
      </c>
      <c r="L26" s="878">
        <f>SUM(L22:L25)</f>
        <v/>
      </c>
      <c r="M26" s="54">
        <f>SUM(M22:M25)</f>
        <v/>
      </c>
      <c r="N26" s="923">
        <f>J26/M26*1000</f>
        <v/>
      </c>
      <c r="AN26" s="332" t="n"/>
      <c r="AO26" s="332" t="n"/>
      <c r="AP26" s="332" t="n"/>
    </row>
    <row r="30">
      <c r="C30" s="7" t="n"/>
      <c r="D30" s="7" t="n"/>
      <c r="E30" s="7" t="n"/>
      <c r="F30" s="7" t="n"/>
    </row>
    <row r="31">
      <c r="C31" s="7" t="n"/>
      <c r="D31" s="7" t="n"/>
      <c r="E31" s="299" t="n"/>
      <c r="F31" s="7" t="n"/>
    </row>
    <row r="32">
      <c r="D32" s="7" t="n"/>
      <c r="E32" s="7" t="n"/>
      <c r="F32" s="7" t="n"/>
    </row>
  </sheetData>
  <autoFilter ref="B20:N26">
    <filterColumn colId="2" hiddenButton="0" showButton="1">
      <filters blank="1">
        <filter val="1"/>
        <filter val="16"/>
        <filter val="17"/>
      </filters>
    </filterColumn>
  </autoFilter>
  <mergeCells count="45">
    <mergeCell ref="M20:M21"/>
    <mergeCell ref="B16:C16"/>
    <mergeCell ref="I6:J6"/>
    <mergeCell ref="B7:C7"/>
    <mergeCell ref="B3:C3"/>
    <mergeCell ref="C20:C21"/>
    <mergeCell ref="E20:E21"/>
    <mergeCell ref="I11:J11"/>
    <mergeCell ref="F20:F21"/>
    <mergeCell ref="B12:C12"/>
    <mergeCell ref="B10:D10"/>
    <mergeCell ref="I16:J16"/>
    <mergeCell ref="B11:C11"/>
    <mergeCell ref="I7:J7"/>
    <mergeCell ref="J20:J21"/>
    <mergeCell ref="B2:D2"/>
    <mergeCell ref="L20:L21"/>
    <mergeCell ref="B14:C14"/>
    <mergeCell ref="B17:C17"/>
    <mergeCell ref="B15:D15"/>
    <mergeCell ref="B8:C8"/>
    <mergeCell ref="G20:G21"/>
    <mergeCell ref="I3:J3"/>
    <mergeCell ref="B13:C13"/>
    <mergeCell ref="I12:J12"/>
    <mergeCell ref="I20:I21"/>
    <mergeCell ref="I5:J5"/>
    <mergeCell ref="B20:B21"/>
    <mergeCell ref="I14:J14"/>
    <mergeCell ref="I8:J8"/>
    <mergeCell ref="B9:C9"/>
    <mergeCell ref="D20:D21"/>
    <mergeCell ref="I17:J17"/>
    <mergeCell ref="I15:K15"/>
    <mergeCell ref="B6:C6"/>
    <mergeCell ref="I4:J4"/>
    <mergeCell ref="I2:K2"/>
    <mergeCell ref="I10:J10"/>
    <mergeCell ref="B5:C5"/>
    <mergeCell ref="H20:H21"/>
    <mergeCell ref="N20:N21"/>
    <mergeCell ref="I9:J9"/>
    <mergeCell ref="I13:J13"/>
    <mergeCell ref="B4:C4"/>
    <mergeCell ref="K20:K21"/>
  </mergeCells>
  <dataValidations count="2">
    <dataValidation sqref="AC3" showDropDown="0" showInputMessage="1" showErrorMessage="1" allowBlank="1" type="list">
      <formula1>$AP$2:$AP$4</formula1>
    </dataValidation>
    <dataValidation sqref="AC2" showDropDown="0" showInputMessage="1" showErrorMessage="1" allowBlank="1" type="list">
      <formula1>$AN$1:$AN$2</formula1>
    </dataValidation>
  </dataValidations>
  <hyperlinks>
    <hyperlink xmlns:r="http://schemas.openxmlformats.org/officeDocument/2006/relationships" ref="B9" display="КАРТА ОХВАТА" r:id="rId1"/>
    <hyperlink xmlns:r="http://schemas.openxmlformats.org/officeDocument/2006/relationships" ref="D9" r:id="rId2"/>
    <hyperlink xmlns:r="http://schemas.openxmlformats.org/officeDocument/2006/relationships" ref="C22" display="Москва АВ" r:id="rId3"/>
    <hyperlink xmlns:r="http://schemas.openxmlformats.org/officeDocument/2006/relationships" ref="C24" display="Санкт-Петербург АВ" r:id="rId4"/>
  </hyperlinks>
  <pageMargins left="0.7" right="0.7" top="0.75" bottom="0.75" header="0.3" footer="0.3"/>
  <pageSetup orientation="portrait" paperSize="9" horizontalDpi="360" verticalDpi="360"/>
</worksheet>
</file>

<file path=xl/worksheets/sheet4.xml><?xml version="1.0" encoding="utf-8"?>
<worksheet xmlns="http://schemas.openxmlformats.org/spreadsheetml/2006/main">
  <sheetPr codeName="Лист7">
    <outlinePr summaryBelow="1" summaryRight="1"/>
    <pageSetUpPr/>
  </sheetPr>
  <dimension ref="B1:AQ46"/>
  <sheetViews>
    <sheetView showGridLines="0" zoomScale="90" zoomScaleNormal="90" workbookViewId="0">
      <selection activeCell="I6" sqref="I6"/>
    </sheetView>
  </sheetViews>
  <sheetFormatPr baseColWidth="8" defaultColWidth="8.77734375" defaultRowHeight="10.2"/>
  <cols>
    <col width="5" customWidth="1" style="701" min="1" max="1"/>
    <col width="22.5546875" customWidth="1" style="701" min="2" max="2"/>
    <col width="17.21875" customWidth="1" style="701" min="3" max="3"/>
    <col width="19.44140625" customWidth="1" style="701" min="4" max="4"/>
    <col width="20.21875" customWidth="1" style="701" min="5" max="5"/>
    <col width="20.77734375" customWidth="1" style="701" min="6" max="6"/>
    <col width="24.21875" customWidth="1" style="701" min="7" max="7"/>
    <col width="19.21875" customWidth="1" style="701" min="8" max="8"/>
    <col width="18.77734375" customWidth="1" style="701" min="9" max="9"/>
    <col width="16.44140625" customWidth="1" style="701" min="10" max="10"/>
    <col width="13" customWidth="1" style="701" min="11" max="11"/>
    <col width="8.77734375" customWidth="1" style="701" min="12" max="32"/>
    <col width="8.77734375" customWidth="1" style="278" min="33" max="33"/>
    <col width="8.77734375" customWidth="1" style="278" min="34" max="34"/>
    <col hidden="1" width="9.21875" customWidth="1" style="334" min="35" max="38"/>
    <col hidden="1" width="8.77734375" customWidth="1" style="334" min="39" max="41"/>
    <col width="8.77734375" customWidth="1" style="278" min="42" max="42"/>
    <col width="8.77734375" customWidth="1" style="278" min="43" max="43"/>
    <col width="8.77734375" customWidth="1" style="701" min="44" max="16384"/>
  </cols>
  <sheetData>
    <row r="1" ht="58.5" customHeight="1">
      <c r="B1" s="175" t="n"/>
    </row>
    <row r="2" ht="20.25" customHeight="1" thickBot="1">
      <c r="B2" s="174" t="inlineStr">
        <is>
          <t>Торговые центры Metro C&amp;C</t>
        </is>
      </c>
      <c r="C2" s="323" t="n"/>
      <c r="E2" s="201" t="n"/>
      <c r="F2" s="201" t="n"/>
      <c r="G2" s="727" t="n"/>
      <c r="H2" s="15" t="n"/>
      <c r="I2" s="183" t="n"/>
      <c r="AB2" s="324" t="inlineStr">
        <is>
          <t>НЕ Поставщик</t>
        </is>
      </c>
      <c r="AC2" s="202" t="n"/>
      <c r="AD2" s="203" t="n">
        <v>0.15</v>
      </c>
      <c r="AI2" s="335" t="inlineStr">
        <is>
          <t>ПК</t>
        </is>
      </c>
      <c r="AJ2" s="336" t="n">
        <v>0</v>
      </c>
      <c r="AK2" s="336" t="inlineStr">
        <is>
          <t>НЕ Поставщик</t>
        </is>
      </c>
      <c r="AL2" s="335" t="n"/>
      <c r="AM2" s="325" t="inlineStr">
        <is>
          <t>Применяемые скидки (последовательно)</t>
        </is>
      </c>
      <c r="AN2" s="325" t="n"/>
      <c r="AO2" s="325" t="n"/>
    </row>
    <row r="3" ht="15" customHeight="1">
      <c r="B3" s="719" t="inlineStr">
        <is>
          <t xml:space="preserve">Клиент:  </t>
        </is>
      </c>
      <c r="C3" s="854" t="n"/>
      <c r="D3" s="115" t="n"/>
      <c r="E3" s="110" t="n"/>
      <c r="F3" s="110" t="n"/>
      <c r="G3" s="723" t="inlineStr">
        <is>
          <t xml:space="preserve">Всего ТЦ:  </t>
        </is>
      </c>
      <c r="H3" s="879" t="n"/>
      <c r="I3" s="99">
        <f>C40</f>
        <v/>
      </c>
      <c r="AC3" s="202" t="n"/>
      <c r="AD3" s="203" t="n">
        <v>0</v>
      </c>
      <c r="AI3" s="335" t="inlineStr">
        <is>
          <t>РА</t>
        </is>
      </c>
      <c r="AJ3" s="336" t="n">
        <v>0.05</v>
      </c>
      <c r="AK3" s="336" t="inlineStr">
        <is>
          <t>Поставщик</t>
        </is>
      </c>
      <c r="AL3" s="335" t="inlineStr">
        <is>
          <t>Доп скидка</t>
        </is>
      </c>
      <c r="AM3" s="325" t="inlineStr">
        <is>
          <t>За кол-во экранов(средн):</t>
        </is>
      </c>
      <c r="AN3" s="325" t="n"/>
      <c r="AO3" s="337">
        <f>IF(SUM($C$22:$C$38)=SUMIFS('Адресная программа'!$L$20:$L$4931,'Адресная программа'!$G$20:$G$4931,"Metro C&amp;C",'Адресная программа'!$L$20:$L$4931,1),'Цены|Скидки'!C93,IF(SUM($C$22:$C$38)&gt;(SUMIFS('Адресная программа'!$L$20:$L$4931,'Адресная программа'!$G$20:$G$4931,"Metro C&amp;C",'Адресная программа'!$L$20:$L$4931,1)*'Цены|Скидки'!B94-1),'Цены|Скидки'!C94,IF(SUM($C$22:$C$38)&gt;(SUMIFS('Адресная программа'!$L$20:$L$4931,'Адресная программа'!$G$20:$G$4931,"Metro C&amp;C",'Адресная программа'!$L$20:$L$4931,1)*'Цены|Скидки'!B95-1),'Цены|Скидки'!C95,IF(SUM($C$22:$C$38)&gt;(SUMIFS('Адресная программа'!$L$20:$L$4931,'Адресная программа'!$G$20:$G$4931,"Metro C&amp;C",'Адресная программа'!$L$20:$L$4931,1)*'Цены|Скидки'!B96-1),'Цены|Скидки'!C96,0))))</f>
        <v/>
      </c>
    </row>
    <row r="4" ht="15" customHeight="1">
      <c r="B4" s="721" t="inlineStr">
        <is>
          <t xml:space="preserve">Бренд:  </t>
        </is>
      </c>
      <c r="C4" s="855" t="n"/>
      <c r="D4" s="116" t="n"/>
      <c r="E4" s="110" t="n"/>
      <c r="F4" s="110" t="n"/>
      <c r="G4" s="924" t="inlineStr">
        <is>
          <t xml:space="preserve">Всего экранов:  </t>
        </is>
      </c>
      <c r="H4" s="925" t="n"/>
      <c r="I4" s="311">
        <f>D40</f>
        <v/>
      </c>
      <c r="W4" s="844" t="n"/>
      <c r="X4" s="844" t="n"/>
      <c r="AI4" s="335" t="n"/>
      <c r="AJ4" s="336" t="n">
        <v>0.1</v>
      </c>
      <c r="AK4" s="336" t="n"/>
      <c r="AL4" s="335" t="inlineStr">
        <is>
          <t>Welcome скидка</t>
        </is>
      </c>
      <c r="AM4" s="325" t="inlineStr">
        <is>
          <t>За период:</t>
        </is>
      </c>
      <c r="AN4" s="325" t="n"/>
      <c r="AO4" s="337">
        <f>IF(I7&gt;69,'Цены|Скидки'!$C$100,IF(I7&gt;39,'Цены|Скидки'!$C$99,0%))</f>
        <v/>
      </c>
    </row>
    <row r="5" ht="15" customHeight="1">
      <c r="B5" s="714" t="inlineStr">
        <is>
          <t xml:space="preserve">Начало РК:  </t>
        </is>
      </c>
      <c r="C5" s="855" t="n"/>
      <c r="D5" s="206">
        <f>Общий!D5</f>
        <v/>
      </c>
      <c r="E5" s="110" t="n"/>
      <c r="F5" s="110" t="n"/>
      <c r="G5" s="697" t="inlineStr">
        <is>
          <t>Продолжительность блока в минутах:</t>
        </is>
      </c>
      <c r="H5" s="856" t="n"/>
      <c r="I5" s="101" t="n">
        <v>3</v>
      </c>
      <c r="AI5" s="335" t="n"/>
      <c r="AJ5" s="336" t="n">
        <v>0.15</v>
      </c>
      <c r="AK5" s="336" t="n"/>
      <c r="AL5" s="335" t="inlineStr">
        <is>
          <t>Сезонная скидка</t>
        </is>
      </c>
      <c r="AM5" s="325" t="inlineStr">
        <is>
          <t>Итоговая скидка:</t>
        </is>
      </c>
      <c r="AN5" s="325" t="n"/>
      <c r="AO5" s="337">
        <f>IF(SUM($C$22:$C$38)=0,0,1-SUM($G$22:$G$38)/SUM($F$22:$F$38))</f>
        <v/>
      </c>
    </row>
    <row r="6" ht="15" customHeight="1">
      <c r="B6" s="714" t="inlineStr">
        <is>
          <t xml:space="preserve">Окончание РК:  </t>
        </is>
      </c>
      <c r="C6" s="855" t="n"/>
      <c r="D6" s="206">
        <f>Общий!D6</f>
        <v/>
      </c>
      <c r="E6" s="110" t="n"/>
      <c r="F6" s="110" t="n"/>
      <c r="G6" s="697" t="inlineStr">
        <is>
          <t>Блоков в сутки на одном экране:</t>
        </is>
      </c>
      <c r="H6" s="856" t="n"/>
      <c r="I6" s="101">
        <f>17*60/I5</f>
        <v/>
      </c>
      <c r="AI6" s="335" t="n"/>
      <c r="AJ6" s="338" t="n">
        <v>0.2</v>
      </c>
      <c r="AK6" s="338" t="n"/>
      <c r="AL6" s="335" t="n"/>
    </row>
    <row r="7" ht="15" customHeight="1">
      <c r="B7" s="714" t="inlineStr">
        <is>
          <t xml:space="preserve">Ролик1, сек:  </t>
        </is>
      </c>
      <c r="C7" s="855" t="n"/>
      <c r="D7" s="117">
        <f>Общий!D7</f>
        <v/>
      </c>
      <c r="E7" s="110" t="n"/>
      <c r="F7" s="110" t="n"/>
      <c r="G7" s="697" t="inlineStr">
        <is>
          <t>Кол-во дней размещения:</t>
        </is>
      </c>
      <c r="H7" s="856" t="n"/>
      <c r="I7" s="101">
        <f>D6-D5+1</f>
        <v/>
      </c>
      <c r="AI7" s="335" t="n"/>
      <c r="AJ7" s="338" t="n">
        <v>0.25</v>
      </c>
      <c r="AK7" s="338" t="n"/>
      <c r="AL7" s="335" t="n"/>
    </row>
    <row r="8" ht="15" customHeight="1">
      <c r="B8" s="714" t="inlineStr">
        <is>
          <t xml:space="preserve">Ролик2, сек:  </t>
        </is>
      </c>
      <c r="C8" s="855" t="n"/>
      <c r="D8" s="117" t="n"/>
      <c r="E8" s="110" t="n"/>
      <c r="F8" s="110" t="n"/>
      <c r="G8" s="697" t="inlineStr">
        <is>
          <t>Кол-во роликов в блоке:</t>
        </is>
      </c>
      <c r="H8" s="856" t="n"/>
      <c r="I8" s="101">
        <f>COUNT(D$7,D$8)</f>
        <v/>
      </c>
      <c r="AI8" s="335" t="n"/>
      <c r="AJ8" s="335" t="n"/>
      <c r="AK8" s="335" t="n"/>
      <c r="AL8" s="335" t="n"/>
    </row>
    <row r="9" ht="15" customHeight="1">
      <c r="B9" s="706">
        <f>IF(AB2=AK2,AM2,IF(AC2=AI3,AM2,""))</f>
        <v/>
      </c>
      <c r="C9" s="880" t="n"/>
      <c r="D9" s="855" t="n"/>
      <c r="E9" s="110" t="n"/>
      <c r="F9" s="110" t="n"/>
      <c r="G9" s="697" t="inlineStr">
        <is>
          <t>Итого секунд в блоке:</t>
        </is>
      </c>
      <c r="H9" s="856" t="n"/>
      <c r="I9" s="102">
        <f>SUM(D7:D8)</f>
        <v/>
      </c>
      <c r="AI9" s="335" t="n"/>
      <c r="AJ9" s="336" t="n">
        <v>0</v>
      </c>
      <c r="AK9" s="336" t="n"/>
      <c r="AL9" s="335" t="n"/>
    </row>
    <row r="10" ht="15" customHeight="1">
      <c r="B10" s="685">
        <f>IF(AB2=AK2,AM3,"")</f>
        <v/>
      </c>
      <c r="C10" s="856" t="n"/>
      <c r="D10" s="118">
        <f>IF(AB2=AK2,AO3,"")</f>
        <v/>
      </c>
      <c r="E10" s="310" t="n"/>
      <c r="F10" s="110" t="n"/>
      <c r="G10" s="881" t="inlineStr">
        <is>
          <t>Показов в день на одном экране:</t>
        </is>
      </c>
      <c r="H10" s="856" t="n"/>
      <c r="I10" s="101">
        <f>I6*I8</f>
        <v/>
      </c>
      <c r="AI10" s="335" t="n"/>
      <c r="AJ10" s="336" t="n">
        <v>0.05</v>
      </c>
      <c r="AK10" s="336" t="n"/>
      <c r="AL10" s="335" t="n"/>
    </row>
    <row r="11" ht="15" customHeight="1">
      <c r="B11" s="685">
        <f>IF(AB2=AK2,AM4,"")</f>
        <v/>
      </c>
      <c r="C11" s="856" t="n"/>
      <c r="D11" s="118">
        <f>IF(AB2=AK2,AO4,"")</f>
        <v/>
      </c>
      <c r="E11" s="110" t="n"/>
      <c r="F11" s="110" t="n"/>
      <c r="G11" s="697" t="inlineStr">
        <is>
          <t>Минут в день на одном экране:</t>
        </is>
      </c>
      <c r="H11" s="856" t="n"/>
      <c r="I11" s="926">
        <f>I6*I9/60</f>
        <v/>
      </c>
      <c r="AI11" s="335" t="n"/>
      <c r="AJ11" s="336" t="n">
        <v>0.1</v>
      </c>
      <c r="AK11" s="336" t="n"/>
      <c r="AL11" s="335" t="n"/>
    </row>
    <row r="12" ht="15" customHeight="1">
      <c r="B12" s="685">
        <f>IF(AC2="РА","Скидка для РА:"," ")</f>
        <v/>
      </c>
      <c r="C12" s="856" t="n"/>
      <c r="D12" s="118">
        <f>IF(AC2="РА",AD2," ")</f>
        <v/>
      </c>
      <c r="E12" s="110" t="n"/>
      <c r="F12" s="110" t="n"/>
      <c r="G12" s="927" t="n"/>
      <c r="H12" s="859" t="n"/>
      <c r="I12" s="903" t="n"/>
      <c r="AI12" s="335" t="n"/>
      <c r="AJ12" s="336" t="n">
        <v>0.15</v>
      </c>
      <c r="AK12" s="336" t="n"/>
      <c r="AL12" s="335" t="n"/>
    </row>
    <row r="13" ht="15" customHeight="1">
      <c r="B13" s="685">
        <f>IF(AC3=0," ",AC3)</f>
        <v/>
      </c>
      <c r="C13" s="856" t="n"/>
      <c r="D13" s="118">
        <f>IF(OR(AC3="Доп скидка",AC3="Сезонная скидка",AC3="Welcome скидка")=TRUE,AD3," ")</f>
        <v/>
      </c>
      <c r="E13" s="110" t="n"/>
      <c r="F13" s="110" t="n"/>
      <c r="G13" s="739" t="n"/>
      <c r="H13" s="740" t="inlineStr">
        <is>
          <t>OTS:</t>
        </is>
      </c>
      <c r="I13" s="102">
        <f>J40</f>
        <v/>
      </c>
      <c r="AI13" s="335" t="n"/>
      <c r="AJ13" s="336" t="n">
        <v>0.2</v>
      </c>
      <c r="AK13" s="336" t="n"/>
      <c r="AL13" s="335" t="n"/>
    </row>
    <row r="14" ht="15" customHeight="1">
      <c r="B14" s="685">
        <f>IF(AB2=AK2,AM5,IF(AC2=AI3,AM5,""))</f>
        <v/>
      </c>
      <c r="C14" s="856" t="n"/>
      <c r="D14" s="410">
        <f>IF(AB2=AK2,AO5,IF(AC2=AI3,AO5,""))</f>
        <v/>
      </c>
      <c r="E14" s="110" t="n"/>
      <c r="F14" s="110" t="n"/>
      <c r="G14" s="697" t="inlineStr">
        <is>
          <t>Показов на всех экранах за период:</t>
        </is>
      </c>
      <c r="H14" s="856" t="n"/>
      <c r="I14" s="103">
        <f>I10*I7*I4</f>
        <v/>
      </c>
      <c r="AI14" s="335" t="n"/>
      <c r="AJ14" s="336" t="n">
        <v>0.25</v>
      </c>
      <c r="AK14" s="336" t="n"/>
      <c r="AL14" s="335" t="n"/>
    </row>
    <row r="15" ht="15.75" customHeight="1">
      <c r="B15" s="702" t="inlineStr">
        <is>
          <t>Стоимость размещения</t>
        </is>
      </c>
      <c r="C15" s="859" t="n"/>
      <c r="D15" s="856" t="n"/>
      <c r="E15" s="110" t="n"/>
      <c r="F15" s="110" t="n"/>
      <c r="G15" s="927" t="n"/>
      <c r="H15" s="859" t="n"/>
      <c r="I15" s="903" t="n"/>
      <c r="AI15" s="335" t="n"/>
      <c r="AK15" s="336" t="n"/>
      <c r="AL15" s="335" t="n"/>
    </row>
    <row r="16" ht="15" customHeight="1">
      <c r="B16" s="695" t="inlineStr">
        <is>
          <t>Всего, руб. NET:</t>
        </is>
      </c>
      <c r="C16" s="856" t="n"/>
      <c r="D16" s="883">
        <f>G40</f>
        <v/>
      </c>
      <c r="E16" s="110" t="n"/>
      <c r="F16" s="110" t="n"/>
      <c r="G16" s="709" t="inlineStr">
        <is>
          <t>Предоставление ролика до:</t>
        </is>
      </c>
      <c r="H16" s="856" t="n"/>
      <c r="I16" s="104">
        <f>D5-3</f>
        <v/>
      </c>
      <c r="AI16" s="335" t="n"/>
      <c r="AJ16" s="336" t="n"/>
      <c r="AK16" s="336" t="n"/>
      <c r="AL16" s="335" t="n"/>
    </row>
    <row r="17" ht="15" customHeight="1" thickBot="1">
      <c r="B17" s="713" t="inlineStr">
        <is>
          <t>Всего, руб. GROSS:</t>
        </is>
      </c>
      <c r="C17" s="858" t="n"/>
      <c r="D17" s="884">
        <f>H40</f>
        <v/>
      </c>
      <c r="E17" s="111" t="n"/>
      <c r="F17" s="112" t="n"/>
      <c r="G17" s="711" t="inlineStr">
        <is>
          <t>Оплата до:</t>
        </is>
      </c>
      <c r="H17" s="858" t="n"/>
      <c r="I17" s="105">
        <f>D5-5</f>
        <v/>
      </c>
      <c r="AI17" s="335" t="n"/>
      <c r="AJ17" s="336" t="n"/>
      <c r="AK17" s="336" t="n"/>
      <c r="AL17" s="335" t="n"/>
    </row>
    <row r="18" ht="10.5" customHeight="1">
      <c r="B18" s="208" t="n"/>
      <c r="C18" s="183" t="n"/>
      <c r="D18" s="183" t="n"/>
      <c r="E18" s="208" t="n"/>
      <c r="F18" s="209" t="n"/>
      <c r="G18" s="183" t="n"/>
      <c r="H18" s="183" t="n"/>
      <c r="I18" s="183" t="n"/>
      <c r="AI18" s="335" t="inlineStr">
        <is>
          <t>Автобренд</t>
        </is>
      </c>
      <c r="AJ18" s="335" t="n"/>
      <c r="AK18" s="335" t="n"/>
      <c r="AL18" s="335" t="n"/>
    </row>
    <row r="19" ht="12.6" customFormat="1" customHeight="1" s="212">
      <c r="B19" s="705" t="inlineStr">
        <is>
          <t>Расчет стоимости кампании</t>
        </is>
      </c>
      <c r="C19" s="15" t="n"/>
      <c r="D19" s="15" t="n"/>
      <c r="E19" s="29" t="n"/>
      <c r="F19" s="29" t="n"/>
      <c r="G19" s="185" t="n"/>
      <c r="H19" s="188" t="n"/>
      <c r="I19" s="188" t="n"/>
      <c r="AG19" s="216" t="n"/>
      <c r="AH19" s="216" t="n"/>
      <c r="AI19" s="339" t="n"/>
      <c r="AJ19" s="339" t="n"/>
      <c r="AK19" s="339" t="n"/>
      <c r="AL19" s="339" t="n"/>
      <c r="AM19" s="339" t="n"/>
      <c r="AN19" s="339" t="n"/>
      <c r="AO19" s="339" t="n"/>
      <c r="AP19" s="216" t="n"/>
      <c r="AQ19" s="216" t="n"/>
    </row>
    <row r="20" ht="10.5" customFormat="1" customHeight="1" s="212" thickBot="1">
      <c r="B20" s="185" t="n"/>
      <c r="C20" s="185" t="n"/>
      <c r="D20" s="213" t="n"/>
      <c r="E20" s="29" t="n"/>
      <c r="F20" s="29" t="n"/>
      <c r="G20" s="185" t="n"/>
      <c r="H20" s="185" t="n"/>
      <c r="I20" s="185" t="n"/>
      <c r="AG20" s="216" t="n"/>
      <c r="AH20" s="216" t="n"/>
      <c r="AI20" s="339" t="n"/>
      <c r="AJ20" s="339" t="n"/>
      <c r="AK20" s="339" t="n"/>
      <c r="AL20" s="339" t="n"/>
      <c r="AM20" s="339" t="n"/>
      <c r="AN20" s="339" t="n"/>
      <c r="AO20" s="339" t="n"/>
      <c r="AP20" s="216" t="n"/>
      <c r="AQ20" s="216" t="n"/>
    </row>
    <row r="21" ht="55.05" customFormat="1" customHeight="1" s="212">
      <c r="B21" s="320" t="inlineStr">
        <is>
          <t>Регион</t>
        </is>
      </c>
      <c r="C21" s="319" t="inlineStr">
        <is>
          <t>Количество магазинов</t>
        </is>
      </c>
      <c r="D21" s="319" t="inlineStr">
        <is>
          <t>Количество экранов</t>
        </is>
      </c>
      <c r="E21" s="319" t="inlineStr">
        <is>
          <t>Стоимость размещения в сутки в одном ТЦ, без НДС</t>
        </is>
      </c>
      <c r="F21" s="319" t="inlineStr">
        <is>
          <t>Стоимость размещения по выбранной АП за период, без НДС</t>
        </is>
      </c>
      <c r="G21" s="319" t="inlineStr">
        <is>
          <t xml:space="preserve"> Стоимость c учетом всех скидок, без НДС</t>
        </is>
      </c>
      <c r="H21" s="319" t="inlineStr">
        <is>
          <t xml:space="preserve"> Стоимость c учетом всех скидок, вкл. НДС</t>
        </is>
      </c>
      <c r="I21" s="319" t="inlineStr">
        <is>
          <t>Сумма НДС (20%)</t>
        </is>
      </c>
      <c r="J21" s="319" t="inlineStr">
        <is>
          <t>OTS</t>
        </is>
      </c>
      <c r="K21" s="318" t="inlineStr">
        <is>
          <t>CPT*</t>
        </is>
      </c>
      <c r="AG21" s="216" t="n"/>
      <c r="AH21" s="216" t="n"/>
      <c r="AI21" s="339" t="n"/>
      <c r="AJ21" s="339" t="n"/>
      <c r="AK21" s="339" t="n"/>
      <c r="AL21" s="339" t="n"/>
      <c r="AM21" s="339" t="n"/>
      <c r="AN21" s="339" t="n"/>
      <c r="AO21" s="339" t="n"/>
      <c r="AP21" s="216" t="n"/>
      <c r="AQ21" s="216" t="n"/>
    </row>
    <row r="22" ht="16.05" customFormat="1" customHeight="1" s="212">
      <c r="B22" s="125" t="inlineStr">
        <is>
          <t>Москва</t>
        </is>
      </c>
      <c r="C22" s="308">
        <f>COUNTIFS('Адресная программа'!$V$20:$V$4169,B22,'Адресная программа'!$G$20:$G$4169,"Metro C&amp;C")</f>
        <v/>
      </c>
      <c r="D22" s="283">
        <f>SUMIFS('Адресная программа'!$O$20:$O$4169,'Адресная программа'!$V$20:$V$4169,B22,'Адресная программа'!$G$20:$G$4169,"Metro C&amp;C")</f>
        <v/>
      </c>
      <c r="E22" s="911">
        <f>IF(C22=0,0,AVERAGEIFS('Адресная программа'!$T$20:$T$4169,'Адресная программа'!$V$20:$V$4169,B22,'Адресная программа'!$G$20:$G$4169,"Metro C&amp;C"))/15*$I$9</f>
        <v/>
      </c>
      <c r="F22" s="911">
        <f>E22*$I$7*C22</f>
        <v/>
      </c>
      <c r="G22" s="911">
        <f>IF($D$10="",IF($AC$2="РА",F22*(1-$AD$2),F22),F22*(1-$AO$3)*(1-$AO$4)*(1-IF($AC$2="РА",$AD$2,0))*(1-IF(OR($AC$3="Доп скидка",$AC$3="Сезонная скидка",$AC$3="Welcome скидка")=TRUE,$AD$3,0)))</f>
        <v/>
      </c>
      <c r="H22" s="911">
        <f>G22+I22</f>
        <v/>
      </c>
      <c r="I22" s="911">
        <f>G22*0.2</f>
        <v/>
      </c>
      <c r="J22" s="72">
        <f>SUMIFS('Адресная программа'!$U$3366:$U$4209,'Адресная программа'!$V$3366:$V$4209,B22,'Адресная программа'!$G$3366:$G$4209,"Metro C&amp;C")/30*$I$7</f>
        <v/>
      </c>
      <c r="K22" s="72">
        <f>IF(J22=0,0,(G22/J22*1000)/$D$7*10)</f>
        <v/>
      </c>
      <c r="AG22" s="216" t="n"/>
      <c r="AH22" s="216" t="n"/>
      <c r="AI22" s="339" t="n"/>
      <c r="AJ22" s="339" t="n"/>
      <c r="AK22" s="339" t="n"/>
      <c r="AL22" s="339" t="n"/>
      <c r="AM22" s="339" t="n"/>
      <c r="AN22" s="339" t="n"/>
      <c r="AO22" s="339" t="n"/>
      <c r="AP22" s="216" t="n"/>
      <c r="AQ22" s="216" t="n"/>
    </row>
    <row r="23" ht="16.05" customFormat="1" customHeight="1" s="212">
      <c r="B23" s="125" t="inlineStr">
        <is>
          <t>Санкт-Петербург</t>
        </is>
      </c>
      <c r="C23" s="308">
        <f>COUNTIFS('Адресная программа'!$V$20:$V$4169,B23,'Адресная программа'!$G$20:$G$4169,"Metro C&amp;C")</f>
        <v/>
      </c>
      <c r="D23" s="283">
        <f>SUMIFS('Адресная программа'!$O$20:$O$4169,'Адресная программа'!$V$20:$V$4169,B23,'Адресная программа'!$G$20:$G$4169,"Metro C&amp;C")</f>
        <v/>
      </c>
      <c r="E23" s="911">
        <f>IF(C23=0,0,AVERAGEIFS('Адресная программа'!$T$20:$T$4169,'Адресная программа'!$V$20:$V$4169,B23,'Адресная программа'!$G$20:$G$4169,"Metro C&amp;C"))/15*$I$9</f>
        <v/>
      </c>
      <c r="F23" s="911">
        <f>E23*$I$7*C23</f>
        <v/>
      </c>
      <c r="G23" s="911">
        <f>IF($D$10="",IF($AC$2="РА",F23*(1-$AD$2),F23),F23*(1-$AO$3)*(1-$AO$4)*(1-IF($AC$2="РА",$AD$2,0))*(1-IF(OR($AC$3="Доп скидка",$AC$3="Сезонная скидка",$AC$3="Welcome скидка")=TRUE,$AD$3,0)))</f>
        <v/>
      </c>
      <c r="H23" s="911">
        <f>G23+I23</f>
        <v/>
      </c>
      <c r="I23" s="911">
        <f>G23*0.2</f>
        <v/>
      </c>
      <c r="J23" s="72">
        <f>SUMIFS('Адресная программа'!$U$3366:$U$4209,'Адресная программа'!$V$3366:$V$4209,B23,'Адресная программа'!$G$3366:$G$4209,"Metro C&amp;C")/30*$I$7</f>
        <v/>
      </c>
      <c r="K23" s="72">
        <f>IF(J23=0,0,(G23/J23*1000)/$D$7*10)</f>
        <v/>
      </c>
      <c r="AG23" s="216" t="n"/>
      <c r="AH23" s="216" t="n"/>
      <c r="AI23" s="339" t="n"/>
      <c r="AJ23" s="339" t="n"/>
      <c r="AK23" s="339" t="n"/>
      <c r="AL23" s="339" t="n"/>
      <c r="AM23" s="339" t="n"/>
      <c r="AN23" s="339" t="n"/>
      <c r="AO23" s="339" t="n"/>
      <c r="AP23" s="216" t="n"/>
      <c r="AQ23" s="216" t="n"/>
    </row>
    <row r="24" ht="16.05" customFormat="1" customHeight="1" s="212">
      <c r="B24" s="125" t="inlineStr">
        <is>
          <t>Волгоград</t>
        </is>
      </c>
      <c r="C24" s="308">
        <f>COUNTIFS('Адресная программа'!$V$20:$V$4169,B24,'Адресная программа'!$G$20:$G$4169,"Metro C&amp;C")</f>
        <v/>
      </c>
      <c r="D24" s="283">
        <f>SUMIFS('Адресная программа'!$O$20:$O$4169,'Адресная программа'!$V$20:$V$4169,B24,'Адресная программа'!$G$20:$G$4169,"Metro C&amp;C")</f>
        <v/>
      </c>
      <c r="E24" s="911">
        <f>IF(C24=0,0,AVERAGEIFS('Адресная программа'!$T$20:$T$4169,'Адресная программа'!$V$20:$V$4169,B24,'Адресная программа'!$G$20:$G$4169,"Metro C&amp;C"))/15*$I$9</f>
        <v/>
      </c>
      <c r="F24" s="911">
        <f>E24*$I$7*C24</f>
        <v/>
      </c>
      <c r="G24" s="911">
        <f>IF($D$10="",IF($AC$2="РА",F24*(1-$AD$2),F24),F24*(1-$AO$3)*(1-$AO$4)*(1-IF($AC$2="РА",$AD$2,0))*(1-IF(OR($AC$3="Доп скидка",$AC$3="Сезонная скидка",$AC$3="Welcome скидка")=TRUE,$AD$3,0)))</f>
        <v/>
      </c>
      <c r="H24" s="911">
        <f>G24+I24</f>
        <v/>
      </c>
      <c r="I24" s="911">
        <f>G24*0.2</f>
        <v/>
      </c>
      <c r="J24" s="72">
        <f>SUMIFS('Адресная программа'!$U$3366:$U$4209,'Адресная программа'!$V$3366:$V$4209,B24,'Адресная программа'!$G$3366:$G$4209,"Metro C&amp;C")/30*$I$7</f>
        <v/>
      </c>
      <c r="K24" s="72">
        <f>IF(J24=0,0,(G24/J24*1000)/$D$7*10)</f>
        <v/>
      </c>
      <c r="AG24" s="216" t="n"/>
      <c r="AH24" s="216" t="n"/>
      <c r="AI24" s="339" t="n"/>
      <c r="AJ24" s="339" t="n"/>
      <c r="AK24" s="339" t="n"/>
      <c r="AL24" s="339" t="n"/>
      <c r="AM24" s="339" t="n"/>
      <c r="AN24" s="339" t="n"/>
      <c r="AO24" s="339" t="n"/>
      <c r="AP24" s="216" t="n"/>
      <c r="AQ24" s="216" t="n"/>
    </row>
    <row r="25" ht="16.05" customFormat="1" customHeight="1" s="212">
      <c r="B25" s="125" t="inlineStr">
        <is>
          <t>Воронеж</t>
        </is>
      </c>
      <c r="C25" s="308">
        <f>COUNTIFS('Адресная программа'!$V$20:$V$4169,B25,'Адресная программа'!$G$20:$G$4169,"Metro C&amp;C")</f>
        <v/>
      </c>
      <c r="D25" s="283">
        <f>SUMIFS('Адресная программа'!$O$20:$O$4169,'Адресная программа'!$V$20:$V$4169,B25,'Адресная программа'!$G$20:$G$4169,"Metro C&amp;C")</f>
        <v/>
      </c>
      <c r="E25" s="911">
        <f>IF(C25=0,0,AVERAGEIFS('Адресная программа'!$T$20:$T$4169,'Адресная программа'!$V$20:$V$4169,B25,'Адресная программа'!$G$20:$G$4169,"Metro C&amp;C"))/15*$I$9</f>
        <v/>
      </c>
      <c r="F25" s="911">
        <f>E25*$I$7*C25</f>
        <v/>
      </c>
      <c r="G25" s="911">
        <f>IF($D$10="",IF($AC$2="РА",F25*(1-$AD$2),F25),F25*(1-$AO$3)*(1-$AO$4)*(1-IF($AC$2="РА",$AD$2,0))*(1-IF(OR($AC$3="Доп скидка",$AC$3="Сезонная скидка",$AC$3="Welcome скидка")=TRUE,$AD$3,0)))</f>
        <v/>
      </c>
      <c r="H25" s="911">
        <f>G25+I25</f>
        <v/>
      </c>
      <c r="I25" s="911">
        <f>G25*0.2</f>
        <v/>
      </c>
      <c r="J25" s="72">
        <f>SUMIFS('Адресная программа'!$U$3366:$U$4209,'Адресная программа'!$V$3366:$V$4209,B25,'Адресная программа'!$G$3366:$G$4209,"Metro C&amp;C")/30*$I$7</f>
        <v/>
      </c>
      <c r="K25" s="72">
        <f>IF(J25=0,0,(G25/J25*1000)/$D$7*10)</f>
        <v/>
      </c>
      <c r="AG25" s="216" t="n"/>
      <c r="AH25" s="216" t="n"/>
      <c r="AI25" s="339" t="n"/>
      <c r="AJ25" s="339" t="n"/>
      <c r="AK25" s="339" t="n"/>
      <c r="AL25" s="339" t="n"/>
      <c r="AM25" s="339" t="n"/>
      <c r="AN25" s="339" t="n"/>
      <c r="AO25" s="339" t="n"/>
      <c r="AP25" s="216" t="n"/>
      <c r="AQ25" s="216" t="n"/>
    </row>
    <row r="26" ht="16.05" customFormat="1" customHeight="1" s="212">
      <c r="B26" s="125" t="inlineStr">
        <is>
          <t>Екатеринбург</t>
        </is>
      </c>
      <c r="C26" s="308">
        <f>COUNTIFS('Адресная программа'!$V$20:$V$4169,B26,'Адресная программа'!$G$20:$G$4169,"Metro C&amp;C")</f>
        <v/>
      </c>
      <c r="D26" s="283">
        <f>SUMIFS('Адресная программа'!$O$20:$O$4169,'Адресная программа'!$V$20:$V$4169,B26,'Адресная программа'!$G$20:$G$4169,"Metro C&amp;C")</f>
        <v/>
      </c>
      <c r="E26" s="911">
        <f>IF(C26=0,0,AVERAGEIFS('Адресная программа'!$T$20:$T$4169,'Адресная программа'!$V$20:$V$4169,B26,'Адресная программа'!$G$20:$G$4169,"Metro C&amp;C"))/15*$I$9</f>
        <v/>
      </c>
      <c r="F26" s="911">
        <f>E26*$I$7*C26</f>
        <v/>
      </c>
      <c r="G26" s="911">
        <f>IF($D$10="",IF($AC$2="РА",F26*(1-$AD$2),F26),F26*(1-$AO$3)*(1-$AO$4)*(1-IF($AC$2="РА",$AD$2,0))*(1-IF(OR($AC$3="Доп скидка",$AC$3="Сезонная скидка",$AC$3="Welcome скидка")=TRUE,$AD$3,0)))</f>
        <v/>
      </c>
      <c r="H26" s="911">
        <f>G26+I26</f>
        <v/>
      </c>
      <c r="I26" s="911">
        <f>G26*0.2</f>
        <v/>
      </c>
      <c r="J26" s="72">
        <f>SUMIFS('Адресная программа'!$U$3366:$U$4209,'Адресная программа'!$V$3366:$V$4209,B26,'Адресная программа'!$G$3366:$G$4209,"Metro C&amp;C")/30*$I$7</f>
        <v/>
      </c>
      <c r="K26" s="72">
        <f>IF(J26=0,0,(G26/J26*1000)/$D$7*10)</f>
        <v/>
      </c>
      <c r="AG26" s="216" t="n"/>
      <c r="AH26" s="216" t="n"/>
      <c r="AI26" s="339" t="n"/>
      <c r="AJ26" s="339" t="n"/>
      <c r="AK26" s="339" t="n"/>
      <c r="AL26" s="339" t="n"/>
      <c r="AM26" s="339" t="n"/>
      <c r="AN26" s="339" t="n"/>
      <c r="AO26" s="339" t="n"/>
      <c r="AP26" s="216" t="n"/>
      <c r="AQ26" s="216" t="n"/>
    </row>
    <row r="27" ht="16.05" customFormat="1" customHeight="1" s="212">
      <c r="B27" s="125" t="inlineStr">
        <is>
          <t>Татарстан</t>
        </is>
      </c>
      <c r="C27" s="308">
        <f>COUNTIFS('Адресная программа'!$V$20:$V$4169,B27,'Адресная программа'!$G$20:$G$4169,"Metro C&amp;C")</f>
        <v/>
      </c>
      <c r="D27" s="283">
        <f>SUMIFS('Адресная программа'!$O$20:$O$4169,'Адресная программа'!$V$20:$V$4169,B27,'Адресная программа'!$G$20:$G$4169,"Metro C&amp;C")</f>
        <v/>
      </c>
      <c r="E27" s="911">
        <f>IF(C27=0,0,AVERAGEIFS('Адресная программа'!$T$20:$T$4169,'Адресная программа'!$V$20:$V$4169,B27,'Адресная программа'!$G$20:$G$4169,"Metro C&amp;C"))/15*$I$9</f>
        <v/>
      </c>
      <c r="F27" s="911">
        <f>E27*$I$7*C27</f>
        <v/>
      </c>
      <c r="G27" s="911">
        <f>IF($D$10="",IF($AC$2="РА",F27*(1-$AD$2),F27),F27*(1-$AO$3)*(1-$AO$4)*(1-IF($AC$2="РА",$AD$2,0))*(1-IF(OR($AC$3="Доп скидка",$AC$3="Сезонная скидка",$AC$3="Welcome скидка")=TRUE,$AD$3,0)))</f>
        <v/>
      </c>
      <c r="H27" s="911">
        <f>G27+I27</f>
        <v/>
      </c>
      <c r="I27" s="911">
        <f>G27*0.2</f>
        <v/>
      </c>
      <c r="J27" s="72">
        <f>SUMIFS('Адресная программа'!$U$3366:$U$4209,'Адресная программа'!$V$3366:$V$4209,B27,'Адресная программа'!$G$3366:$G$4209,"Metro C&amp;C")/30*$I$7</f>
        <v/>
      </c>
      <c r="K27" s="72">
        <f>IF(J27=0,0,(G27/J27*1000)/$D$7*10)</f>
        <v/>
      </c>
      <c r="AG27" s="216" t="n"/>
      <c r="AH27" s="216" t="n"/>
      <c r="AI27" s="339" t="n"/>
      <c r="AJ27" s="339" t="n"/>
      <c r="AK27" s="339" t="n"/>
      <c r="AL27" s="339" t="n"/>
      <c r="AM27" s="339" t="n"/>
      <c r="AN27" s="339" t="n"/>
      <c r="AO27" s="339" t="n"/>
      <c r="AP27" s="216" t="n"/>
      <c r="AQ27" s="216" t="n"/>
    </row>
    <row r="28" ht="16.05" customFormat="1" customHeight="1" s="212">
      <c r="B28" s="125" t="inlineStr">
        <is>
          <t>Краснодар</t>
        </is>
      </c>
      <c r="C28" s="308">
        <f>COUNTIFS('Адресная программа'!$V$20:$V$4169,B28,'Адресная программа'!$G$20:$G$4169,"Metro C&amp;C")</f>
        <v/>
      </c>
      <c r="D28" s="283">
        <f>SUMIFS('Адресная программа'!$O$20:$O$4169,'Адресная программа'!$V$20:$V$4169,B28,'Адресная программа'!$G$20:$G$4169,"Metro C&amp;C")</f>
        <v/>
      </c>
      <c r="E28" s="911">
        <f>IF(C28=0,0,AVERAGEIFS('Адресная программа'!$T$20:$T$4169,'Адресная программа'!$V$20:$V$4169,B28,'Адресная программа'!$G$20:$G$4169,"Metro C&amp;C"))/15*$I$9</f>
        <v/>
      </c>
      <c r="F28" s="911">
        <f>E28*$I$7*C28</f>
        <v/>
      </c>
      <c r="G28" s="911">
        <f>IF($D$10="",IF($AC$2="РА",F28*(1-$AD$2),F28),F28*(1-$AO$3)*(1-$AO$4)*(1-IF($AC$2="РА",$AD$2,0))*(1-IF(OR($AC$3="Доп скидка",$AC$3="Сезонная скидка",$AC$3="Welcome скидка")=TRUE,$AD$3,0)))</f>
        <v/>
      </c>
      <c r="H28" s="911">
        <f>G28+I28</f>
        <v/>
      </c>
      <c r="I28" s="911">
        <f>G28*0.2</f>
        <v/>
      </c>
      <c r="J28" s="72">
        <f>SUMIFS('Адресная программа'!$U$3366:$U$4209,'Адресная программа'!$V$3366:$V$4209,B28,'Адресная программа'!$G$3366:$G$4209,"Metro C&amp;C")/30*$I$7</f>
        <v/>
      </c>
      <c r="K28" s="72">
        <f>IF(J28=0,0,(G28/J28*1000)/$D$7*10)</f>
        <v/>
      </c>
      <c r="AG28" s="216" t="n"/>
      <c r="AH28" s="216" t="n"/>
      <c r="AI28" s="339" t="n"/>
      <c r="AJ28" s="339" t="n"/>
      <c r="AK28" s="339" t="n"/>
      <c r="AL28" s="339" t="n"/>
      <c r="AM28" s="339" t="n"/>
      <c r="AN28" s="339" t="n"/>
      <c r="AO28" s="339" t="n"/>
      <c r="AP28" s="216" t="n"/>
      <c r="AQ28" s="216" t="n"/>
    </row>
    <row r="29" ht="16.05" customFormat="1" customHeight="1" s="212">
      <c r="B29" s="125" t="inlineStr">
        <is>
          <t>Красноярск</t>
        </is>
      </c>
      <c r="C29" s="308">
        <f>COUNTIFS('Адресная программа'!$V$20:$V$4169,B29,'Адресная программа'!$G$20:$G$4169,"Metro C&amp;C")</f>
        <v/>
      </c>
      <c r="D29" s="283">
        <f>SUMIFS('Адресная программа'!$O$20:$O$4169,'Адресная программа'!$V$20:$V$4169,B29,'Адресная программа'!$G$20:$G$4169,"Metro C&amp;C")</f>
        <v/>
      </c>
      <c r="E29" s="911">
        <f>IF(C29=0,0,AVERAGEIFS('Адресная программа'!$T$20:$T$4169,'Адресная программа'!$V$20:$V$4169,B29,'Адресная программа'!$G$20:$G$4169,"Metro C&amp;C"))/15*$I$9</f>
        <v/>
      </c>
      <c r="F29" s="911">
        <f>E29*$I$7*C29</f>
        <v/>
      </c>
      <c r="G29" s="911">
        <f>IF($D$10="",IF($AC$2="РА",F29*(1-$AD$2),F29),F29*(1-$AO$3)*(1-$AO$4)*(1-IF($AC$2="РА",$AD$2,0))*(1-IF(OR($AC$3="Доп скидка",$AC$3="Сезонная скидка",$AC$3="Welcome скидка")=TRUE,$AD$3,0)))</f>
        <v/>
      </c>
      <c r="H29" s="911">
        <f>G29+I29</f>
        <v/>
      </c>
      <c r="I29" s="911">
        <f>G29*0.2</f>
        <v/>
      </c>
      <c r="J29" s="72">
        <f>SUMIFS('Адресная программа'!$U$3366:$U$4209,'Адресная программа'!$V$3366:$V$4209,B29,'Адресная программа'!$G$3366:$G$4209,"Metro C&amp;C")/30*$I$7</f>
        <v/>
      </c>
      <c r="K29" s="72">
        <f>IF(J29=0,0,(G29/J29*1000)/$D$7*10)</f>
        <v/>
      </c>
      <c r="AG29" s="216" t="n"/>
      <c r="AH29" s="216" t="n"/>
      <c r="AI29" s="339" t="n"/>
      <c r="AJ29" s="339" t="n"/>
      <c r="AK29" s="339" t="n"/>
      <c r="AL29" s="339" t="n"/>
      <c r="AM29" s="339" t="n"/>
      <c r="AN29" s="339" t="n"/>
      <c r="AO29" s="339" t="n"/>
      <c r="AP29" s="216" t="n"/>
      <c r="AQ29" s="216" t="n"/>
    </row>
    <row r="30" ht="16.05" customFormat="1" customHeight="1" s="212">
      <c r="B30" s="125" t="inlineStr">
        <is>
          <t>Нижний Новгород</t>
        </is>
      </c>
      <c r="C30" s="308">
        <f>COUNTIFS('Адресная программа'!$V$20:$V$4169,B30,'Адресная программа'!$G$20:$G$4169,"Metro C&amp;C")</f>
        <v/>
      </c>
      <c r="D30" s="283">
        <f>SUMIFS('Адресная программа'!$O$20:$O$4169,'Адресная программа'!$V$20:$V$4169,B30,'Адресная программа'!$G$20:$G$4169,"Metro C&amp;C")</f>
        <v/>
      </c>
      <c r="E30" s="911">
        <f>IF(C30=0,0,AVERAGEIFS('Адресная программа'!$T$20:$T$4169,'Адресная программа'!$V$20:$V$4169,B30,'Адресная программа'!$G$20:$G$4169,"Metro C&amp;C"))/15*$I$9</f>
        <v/>
      </c>
      <c r="F30" s="911">
        <f>E30*$I$7*C30</f>
        <v/>
      </c>
      <c r="G30" s="911">
        <f>IF($D$10="",IF($AC$2="РА",F30*(1-$AD$2),F30),F30*(1-$AO$3)*(1-$AO$4)*(1-IF($AC$2="РА",$AD$2,0))*(1-IF(OR($AC$3="Доп скидка",$AC$3="Сезонная скидка",$AC$3="Welcome скидка")=TRUE,$AD$3,0)))</f>
        <v/>
      </c>
      <c r="H30" s="911">
        <f>G30+I30</f>
        <v/>
      </c>
      <c r="I30" s="911">
        <f>G30*0.2</f>
        <v/>
      </c>
      <c r="J30" s="72">
        <f>SUMIFS('Адресная программа'!$U$3366:$U$4209,'Адресная программа'!$V$3366:$V$4209,B30,'Адресная программа'!$G$3366:$G$4209,"Metro C&amp;C")/30*$I$7</f>
        <v/>
      </c>
      <c r="K30" s="72">
        <f>IF(J30=0,0,(G30/J30*1000)/$D$7*10)</f>
        <v/>
      </c>
      <c r="AG30" s="216" t="n"/>
      <c r="AH30" s="216" t="n"/>
      <c r="AI30" s="339" t="n"/>
      <c r="AJ30" s="339" t="n"/>
      <c r="AK30" s="339" t="n"/>
      <c r="AL30" s="339" t="n"/>
      <c r="AM30" s="339" t="n"/>
      <c r="AN30" s="339" t="n"/>
      <c r="AO30" s="339" t="n"/>
      <c r="AP30" s="216" t="n"/>
      <c r="AQ30" s="216" t="n"/>
    </row>
    <row r="31" ht="16.05" customFormat="1" customHeight="1" s="212">
      <c r="B31" s="125" t="inlineStr">
        <is>
          <t>Новосибирск</t>
        </is>
      </c>
      <c r="C31" s="308">
        <f>COUNTIFS('Адресная программа'!$V$20:$V$4169,B31,'Адресная программа'!$G$20:$G$4169,"Metro C&amp;C")</f>
        <v/>
      </c>
      <c r="D31" s="283">
        <f>SUMIFS('Адресная программа'!$O$20:$O$4169,'Адресная программа'!$V$20:$V$4169,B31,'Адресная программа'!$G$20:$G$4169,"Metro C&amp;C")</f>
        <v/>
      </c>
      <c r="E31" s="911">
        <f>IF(C31=0,0,AVERAGEIFS('Адресная программа'!$T$20:$T$4169,'Адресная программа'!$V$20:$V$4169,B31,'Адресная программа'!$G$20:$G$4169,"Metro C&amp;C"))/15*$I$9</f>
        <v/>
      </c>
      <c r="F31" s="911">
        <f>E31*$I$7*C31</f>
        <v/>
      </c>
      <c r="G31" s="911">
        <f>IF($D$10="",IF($AC$2="РА",F31*(1-$AD$2),F31),F31*(1-$AO$3)*(1-$AO$4)*(1-IF($AC$2="РА",$AD$2,0))*(1-IF(OR($AC$3="Доп скидка",$AC$3="Сезонная скидка",$AC$3="Welcome скидка")=TRUE,$AD$3,0)))</f>
        <v/>
      </c>
      <c r="H31" s="911">
        <f>G31+I31</f>
        <v/>
      </c>
      <c r="I31" s="911">
        <f>G31*0.2</f>
        <v/>
      </c>
      <c r="J31" s="72">
        <f>SUMIFS('Адресная программа'!$U$3366:$U$4209,'Адресная программа'!$V$3366:$V$4209,B31,'Адресная программа'!$G$3366:$G$4209,"Metro C&amp;C")/30*$I$7</f>
        <v/>
      </c>
      <c r="K31" s="72">
        <f>IF(J31=0,0,(G31/J31*1000)/$D$7*10)</f>
        <v/>
      </c>
      <c r="AG31" s="216" t="n"/>
      <c r="AH31" s="216" t="n"/>
      <c r="AI31" s="339" t="n"/>
      <c r="AJ31" s="339" t="n"/>
      <c r="AK31" s="339" t="n"/>
      <c r="AL31" s="339" t="n"/>
      <c r="AM31" s="339" t="n"/>
      <c r="AN31" s="339" t="n"/>
      <c r="AO31" s="339" t="n"/>
      <c r="AP31" s="216" t="n"/>
      <c r="AQ31" s="216" t="n"/>
    </row>
    <row r="32" ht="16.05" customFormat="1" customHeight="1" s="212">
      <c r="B32" s="125" t="inlineStr">
        <is>
          <t>Омск</t>
        </is>
      </c>
      <c r="C32" s="308">
        <f>COUNTIFS('Адресная программа'!$V$20:$V$4169,B32,'Адресная программа'!$G$20:$G$4169,"Metro C&amp;C")</f>
        <v/>
      </c>
      <c r="D32" s="283">
        <f>SUMIFS('Адресная программа'!$O$20:$O$4169,'Адресная программа'!$V$20:$V$4169,B32,'Адресная программа'!$G$20:$G$4169,"Metro C&amp;C")</f>
        <v/>
      </c>
      <c r="E32" s="911">
        <f>IF(C32=0,0,AVERAGEIFS('Адресная программа'!$T$20:$T$4169,'Адресная программа'!$V$20:$V$4169,B32,'Адресная программа'!$G$20:$G$4169,"Metro C&amp;C"))/15*$I$9</f>
        <v/>
      </c>
      <c r="F32" s="911">
        <f>E32*$I$7*C32</f>
        <v/>
      </c>
      <c r="G32" s="911">
        <f>IF($D$10="",IF($AC$2="РА",F32*(1-$AD$2),F32),F32*(1-$AO$3)*(1-$AO$4)*(1-IF($AC$2="РА",$AD$2,0))*(1-IF(OR($AC$3="Доп скидка",$AC$3="Сезонная скидка",$AC$3="Welcome скидка")=TRUE,$AD$3,0)))</f>
        <v/>
      </c>
      <c r="H32" s="911">
        <f>G32+I32</f>
        <v/>
      </c>
      <c r="I32" s="911">
        <f>G32*0.2</f>
        <v/>
      </c>
      <c r="J32" s="72">
        <f>SUMIFS('Адресная программа'!$U$3366:$U$4209,'Адресная программа'!$V$3366:$V$4209,B32,'Адресная программа'!$G$3366:$G$4209,"Metro C&amp;C")/30*$I$7</f>
        <v/>
      </c>
      <c r="K32" s="72">
        <f>IF(J32=0,0,(G32/J32*1000)/$D$7*10)</f>
        <v/>
      </c>
      <c r="AG32" s="216" t="n"/>
      <c r="AH32" s="216" t="n"/>
      <c r="AI32" s="339" t="n"/>
      <c r="AJ32" s="339" t="n"/>
      <c r="AK32" s="339" t="n"/>
      <c r="AL32" s="339" t="n"/>
      <c r="AM32" s="339" t="n"/>
      <c r="AN32" s="339" t="n"/>
      <c r="AO32" s="339" t="n"/>
      <c r="AP32" s="216" t="n"/>
      <c r="AQ32" s="216" t="n"/>
    </row>
    <row r="33" ht="16.05" customFormat="1" customHeight="1" s="212">
      <c r="B33" s="125" t="inlineStr">
        <is>
          <t>Пермь</t>
        </is>
      </c>
      <c r="C33" s="308">
        <f>COUNTIFS('Адресная программа'!$V$20:$V$4169,B33,'Адресная программа'!$G$20:$G$4169,"Metro C&amp;C")</f>
        <v/>
      </c>
      <c r="D33" s="283">
        <f>SUMIFS('Адресная программа'!$O$20:$O$4169,'Адресная программа'!$V$20:$V$4169,B33,'Адресная программа'!$G$20:$G$4169,"Metro C&amp;C")</f>
        <v/>
      </c>
      <c r="E33" s="911">
        <f>IF(C33=0,0,AVERAGEIFS('Адресная программа'!$T$20:$T$4169,'Адресная программа'!$V$20:$V$4169,B33,'Адресная программа'!$G$20:$G$4169,"Metro C&amp;C"))/15*$I$9</f>
        <v/>
      </c>
      <c r="F33" s="911">
        <f>E33*$I$7*C33</f>
        <v/>
      </c>
      <c r="G33" s="911">
        <f>IF($D$10="",IF($AC$2="РА",F33*(1-$AD$2),F33),F33*(1-$AO$3)*(1-$AO$4)*(1-IF($AC$2="РА",$AD$2,0))*(1-IF(OR($AC$3="Доп скидка",$AC$3="Сезонная скидка",$AC$3="Welcome скидка")=TRUE,$AD$3,0)))</f>
        <v/>
      </c>
      <c r="H33" s="911">
        <f>G33+I33</f>
        <v/>
      </c>
      <c r="I33" s="911">
        <f>G33*0.2</f>
        <v/>
      </c>
      <c r="J33" s="72">
        <f>SUMIFS('Адресная программа'!$U$3366:$U$4209,'Адресная программа'!$V$3366:$V$4209,B33,'Адресная программа'!$G$3366:$G$4209,"Metro C&amp;C")/30*$I$7</f>
        <v/>
      </c>
      <c r="K33" s="72">
        <f>IF(J33=0,0,(G33/J33*1000)/$D$7*10)</f>
        <v/>
      </c>
      <c r="AG33" s="216" t="n"/>
      <c r="AH33" s="216" t="n"/>
      <c r="AI33" s="339" t="n"/>
      <c r="AJ33" s="339" t="n"/>
      <c r="AK33" s="339" t="n"/>
      <c r="AL33" s="339" t="n"/>
      <c r="AM33" s="339" t="n"/>
      <c r="AN33" s="339" t="n"/>
      <c r="AO33" s="339" t="n"/>
      <c r="AP33" s="216" t="n"/>
      <c r="AQ33" s="216" t="n"/>
    </row>
    <row r="34" ht="16.05" customFormat="1" customHeight="1" s="212">
      <c r="B34" s="125" t="inlineStr">
        <is>
          <t>Ростов-на-Дону</t>
        </is>
      </c>
      <c r="C34" s="308">
        <f>COUNTIFS('Адресная программа'!$V$20:$V$4169,B34,'Адресная программа'!$G$20:$G$4169,"Metro C&amp;C")</f>
        <v/>
      </c>
      <c r="D34" s="283">
        <f>SUMIFS('Адресная программа'!$O$20:$O$4169,'Адресная программа'!$V$20:$V$4169,B34,'Адресная программа'!$G$20:$G$4169,"Metro C&amp;C")</f>
        <v/>
      </c>
      <c r="E34" s="911">
        <f>IF(C34=0,0,AVERAGEIFS('Адресная программа'!$T$20:$T$4169,'Адресная программа'!$V$20:$V$4169,B34,'Адресная программа'!$G$20:$G$4169,"Metro C&amp;C"))/15*$I$9</f>
        <v/>
      </c>
      <c r="F34" s="911">
        <f>E34*$I$7*C34</f>
        <v/>
      </c>
      <c r="G34" s="911">
        <f>IF($D$10="",IF($AC$2="РА",F34*(1-$AD$2),F34),F34*(1-$AO$3)*(1-$AO$4)*(1-IF($AC$2="РА",$AD$2,0))*(1-IF(OR($AC$3="Доп скидка",$AC$3="Сезонная скидка",$AC$3="Welcome скидка")=TRUE,$AD$3,0)))</f>
        <v/>
      </c>
      <c r="H34" s="911">
        <f>G34+I34</f>
        <v/>
      </c>
      <c r="I34" s="911">
        <f>G34*0.2</f>
        <v/>
      </c>
      <c r="J34" s="72">
        <f>SUMIFS('Адресная программа'!$U$3366:$U$4209,'Адресная программа'!$V$3366:$V$4209,B34,'Адресная программа'!$G$3366:$G$4209,"Metro C&amp;C")/30*$I$7</f>
        <v/>
      </c>
      <c r="K34" s="72">
        <f>IF(J34=0,0,(G34/J34*1000)/$D$7*10)</f>
        <v/>
      </c>
      <c r="AG34" s="216" t="n"/>
      <c r="AH34" s="216" t="n"/>
      <c r="AI34" s="339" t="n"/>
      <c r="AJ34" s="339" t="n"/>
      <c r="AK34" s="339" t="n"/>
      <c r="AL34" s="339" t="n"/>
      <c r="AM34" s="339" t="n"/>
      <c r="AN34" s="339" t="n"/>
      <c r="AO34" s="339" t="n"/>
      <c r="AP34" s="216" t="n"/>
      <c r="AQ34" s="216" t="n"/>
    </row>
    <row r="35" ht="16.05" customFormat="1" customHeight="1" s="212">
      <c r="B35" s="125" t="inlineStr">
        <is>
          <t>Самара</t>
        </is>
      </c>
      <c r="C35" s="308">
        <f>COUNTIFS('Адресная программа'!$V$20:$V$4169,B35,'Адресная программа'!$G$20:$G$4169,"Metro C&amp;C")</f>
        <v/>
      </c>
      <c r="D35" s="283">
        <f>SUMIFS('Адресная программа'!$O$20:$O$4169,'Адресная программа'!$V$20:$V$4169,B35,'Адресная программа'!$G$20:$G$4169,"Metro C&amp;C")</f>
        <v/>
      </c>
      <c r="E35" s="911">
        <f>IF(C35=0,0,AVERAGEIFS('Адресная программа'!$T$20:$T$4169,'Адресная программа'!$V$20:$V$4169,B35,'Адресная программа'!$G$20:$G$4169,"Metro C&amp;C"))/15*$I$9</f>
        <v/>
      </c>
      <c r="F35" s="911">
        <f>E35*$I$7*C35</f>
        <v/>
      </c>
      <c r="G35" s="911">
        <f>IF($D$10="",IF($AC$2="РА",F35*(1-$AD$2),F35),F35*(1-$AO$3)*(1-$AO$4)*(1-IF($AC$2="РА",$AD$2,0))*(1-IF(OR($AC$3="Доп скидка",$AC$3="Сезонная скидка",$AC$3="Welcome скидка")=TRUE,$AD$3,0)))</f>
        <v/>
      </c>
      <c r="H35" s="911">
        <f>G35+I35</f>
        <v/>
      </c>
      <c r="I35" s="911">
        <f>G35*0.2</f>
        <v/>
      </c>
      <c r="J35" s="72">
        <f>SUMIFS('Адресная программа'!$U$3366:$U$4209,'Адресная программа'!$V$3366:$V$4209,B35,'Адресная программа'!$G$3366:$G$4209,"Metro C&amp;C")/30*$I$7</f>
        <v/>
      </c>
      <c r="K35" s="72">
        <f>IF(J35=0,0,(G35/J35*1000)/$D$7*10)</f>
        <v/>
      </c>
      <c r="AG35" s="216" t="n"/>
      <c r="AH35" s="216" t="n"/>
      <c r="AI35" s="339" t="n"/>
      <c r="AJ35" s="339" t="n"/>
      <c r="AK35" s="339" t="n"/>
      <c r="AL35" s="339" t="n"/>
      <c r="AM35" s="339" t="n"/>
      <c r="AN35" s="339" t="n"/>
      <c r="AO35" s="339" t="n"/>
      <c r="AP35" s="216" t="n"/>
      <c r="AQ35" s="216" t="n"/>
    </row>
    <row r="36" ht="16.05" customFormat="1" customHeight="1" s="212">
      <c r="B36" s="125" t="inlineStr">
        <is>
          <t>Ульяновск</t>
        </is>
      </c>
      <c r="C36" s="308">
        <f>COUNTIFS('Адресная программа'!$V$20:$V$4169,B36,'Адресная программа'!$G$20:$G$4169,"Metro C&amp;C")</f>
        <v/>
      </c>
      <c r="D36" s="283">
        <f>SUMIFS('Адресная программа'!$O$20:$O$4169,'Адресная программа'!$V$20:$V$4169,B36,'Адресная программа'!$G$20:$G$4169,"Metro C&amp;C")</f>
        <v/>
      </c>
      <c r="E36" s="911">
        <f>IF(C36=0,0,AVERAGEIFS('Адресная программа'!$T$20:$T$4169,'Адресная программа'!$V$20:$V$4169,B36,'Адресная программа'!$G$20:$G$4169,"Metro C&amp;C"))/15*$I$9</f>
        <v/>
      </c>
      <c r="F36" s="911">
        <f>E36*$I$7*C36</f>
        <v/>
      </c>
      <c r="G36" s="911">
        <f>IF($D$10="",IF($AC$2="РА",F36*(1-$AD$2),F36),F36*(1-$AO$3)*(1-$AO$4)*(1-IF($AC$2="РА",$AD$2,0))*(1-IF(OR($AC$3="Доп скидка",$AC$3="Сезонная скидка",$AC$3="Welcome скидка")=TRUE,$AD$3,0)))</f>
        <v/>
      </c>
      <c r="H36" s="911">
        <f>G36+I36</f>
        <v/>
      </c>
      <c r="I36" s="911">
        <f>G36*0.2</f>
        <v/>
      </c>
      <c r="J36" s="72">
        <f>SUMIFS('Адресная программа'!$U$3366:$U$4209,'Адресная программа'!$V$3366:$V$4209,B36,'Адресная программа'!$G$3366:$G$4209,"Metro C&amp;C")/30*$I$7</f>
        <v/>
      </c>
      <c r="K36" s="72">
        <f>IF(J36=0,0,(G36/J36*1000)/$D$7*10)</f>
        <v/>
      </c>
      <c r="AG36" s="216" t="n"/>
      <c r="AH36" s="216" t="n"/>
      <c r="AI36" s="339" t="n"/>
      <c r="AJ36" s="339" t="n"/>
      <c r="AK36" s="339" t="n"/>
      <c r="AL36" s="339" t="n"/>
      <c r="AM36" s="339" t="n"/>
      <c r="AN36" s="339" t="n"/>
      <c r="AO36" s="339" t="n"/>
      <c r="AP36" s="216" t="n"/>
      <c r="AQ36" s="216" t="n"/>
    </row>
    <row r="37" ht="16.05" customFormat="1" customHeight="1" s="212">
      <c r="B37" s="125" t="inlineStr">
        <is>
          <t>Уфа</t>
        </is>
      </c>
      <c r="C37" s="308">
        <f>COUNTIFS('Адресная программа'!$V$20:$V$4169,B37,'Адресная программа'!$G$20:$G$4169,"Metro C&amp;C")</f>
        <v/>
      </c>
      <c r="D37" s="283">
        <f>SUMIFS('Адресная программа'!$O$20:$O$4169,'Адресная программа'!$V$20:$V$4169,B37,'Адресная программа'!$G$20:$G$4169,"Metro C&amp;C")</f>
        <v/>
      </c>
      <c r="E37" s="911">
        <f>IF(C37=0,0,AVERAGEIFS('Адресная программа'!$T$20:$T$4169,'Адресная программа'!$V$20:$V$4169,B37,'Адресная программа'!$G$20:$G$4169,"Metro C&amp;C"))/15*$I$9</f>
        <v/>
      </c>
      <c r="F37" s="911">
        <f>E37*$I$7*C37</f>
        <v/>
      </c>
      <c r="G37" s="911">
        <f>IF($D$10="",IF($AC$2="РА",F37*(1-$AD$2),F37),F37*(1-$AO$3)*(1-$AO$4)*(1-IF($AC$2="РА",$AD$2,0))*(1-IF(OR($AC$3="Доп скидка",$AC$3="Сезонная скидка",$AC$3="Welcome скидка")=TRUE,$AD$3,0)))</f>
        <v/>
      </c>
      <c r="H37" s="911">
        <f>G37+I37</f>
        <v/>
      </c>
      <c r="I37" s="911">
        <f>G37*0.2</f>
        <v/>
      </c>
      <c r="J37" s="72">
        <f>SUMIFS('Адресная программа'!$U$3366:$U$4209,'Адресная программа'!$V$3366:$V$4209,B37,'Адресная программа'!$G$3366:$G$4209,"Metro C&amp;C")/30*$I$7</f>
        <v/>
      </c>
      <c r="K37" s="72">
        <f>IF(J37=0,0,(G37/J37*1000)/$D$7*10)</f>
        <v/>
      </c>
      <c r="AG37" s="216" t="n"/>
      <c r="AH37" s="216" t="n"/>
      <c r="AI37" s="339" t="n"/>
      <c r="AJ37" s="339" t="n"/>
      <c r="AK37" s="339" t="n"/>
      <c r="AL37" s="339" t="n"/>
      <c r="AM37" s="339" t="n"/>
      <c r="AN37" s="339" t="n"/>
      <c r="AO37" s="339" t="n"/>
      <c r="AP37" s="216" t="n"/>
      <c r="AQ37" s="216" t="n"/>
    </row>
    <row r="38" ht="16.05" customFormat="1" customHeight="1" s="212">
      <c r="B38" s="125" t="inlineStr">
        <is>
          <t>Челябинск</t>
        </is>
      </c>
      <c r="C38" s="308">
        <f>COUNTIFS('Адресная программа'!$V$20:$V$4169,B38,'Адресная программа'!$G$20:$G$4169,"Metro C&amp;C")</f>
        <v/>
      </c>
      <c r="D38" s="283">
        <f>SUMIFS('Адресная программа'!$O$20:$O$4169,'Адресная программа'!$V$20:$V$4169,B38,'Адресная программа'!$G$20:$G$4169,"Metro C&amp;C")</f>
        <v/>
      </c>
      <c r="E38" s="911">
        <f>IF(C38=0,0,AVERAGEIFS('Адресная программа'!$T$20:$T$4169,'Адресная программа'!$V$20:$V$4169,B38,'Адресная программа'!$G$20:$G$4169,"Metro C&amp;C"))/15*$I$9</f>
        <v/>
      </c>
      <c r="F38" s="911">
        <f>E38*$I$7*C38</f>
        <v/>
      </c>
      <c r="G38" s="911">
        <f>IF($D$10="",IF($AC$2="РА",F38*(1-$AD$2),F38),F38*(1-$AO$3)*(1-$AO$4)*(1-IF($AC$2="РА",$AD$2,0))*(1-IF(OR($AC$3="Доп скидка",$AC$3="Сезонная скидка",$AC$3="Welcome скидка")=TRUE,$AD$3,0)))</f>
        <v/>
      </c>
      <c r="H38" s="911">
        <f>G38+I38</f>
        <v/>
      </c>
      <c r="I38" s="911">
        <f>G38*0.2</f>
        <v/>
      </c>
      <c r="J38" s="72">
        <f>SUMIFS('Адресная программа'!$U$3366:$U$4209,'Адресная программа'!$V$3366:$V$4209,B38,'Адресная программа'!$G$3366:$G$4209,"Metro C&amp;C")/30*$I$7</f>
        <v/>
      </c>
      <c r="K38" s="72">
        <f>IF(J38=0,0,(G38/J38*1000)/$D$7*10)</f>
        <v/>
      </c>
      <c r="AG38" s="216" t="n"/>
      <c r="AH38" s="216" t="n"/>
      <c r="AI38" s="339" t="n"/>
      <c r="AJ38" s="339" t="n"/>
      <c r="AK38" s="339" t="n"/>
      <c r="AL38" s="339" t="n"/>
      <c r="AM38" s="339" t="n"/>
      <c r="AN38" s="339" t="n"/>
      <c r="AO38" s="339" t="n"/>
      <c r="AP38" s="216" t="n"/>
      <c r="AQ38" s="216" t="n"/>
    </row>
    <row r="39" ht="16.05" customFormat="1" customHeight="1" s="212">
      <c r="B39" s="215" t="n"/>
      <c r="C39" s="216" t="n"/>
      <c r="D39" s="215" t="n"/>
      <c r="E39" s="216" t="n"/>
      <c r="F39" s="889" t="n"/>
      <c r="G39" s="889" t="n"/>
      <c r="H39" s="889" t="n"/>
      <c r="I39" s="889" t="n"/>
      <c r="K39" s="326" t="n"/>
      <c r="AG39" s="216" t="n"/>
      <c r="AH39" s="216" t="n"/>
      <c r="AI39" s="339" t="n"/>
      <c r="AJ39" s="339" t="n"/>
      <c r="AK39" s="339" t="n"/>
      <c r="AL39" s="339" t="n"/>
      <c r="AM39" s="339" t="n"/>
      <c r="AN39" s="339" t="n"/>
      <c r="AO39" s="339" t="n"/>
      <c r="AP39" s="216" t="n"/>
      <c r="AQ39" s="216" t="n"/>
    </row>
    <row r="40" ht="16.05" customFormat="1" customHeight="1" s="225">
      <c r="B40" s="307" t="inlineStr">
        <is>
          <t>Итого:</t>
        </is>
      </c>
      <c r="C40" s="215">
        <f>SUBTOTAL(9,C22:C38)</f>
        <v/>
      </c>
      <c r="D40" s="215">
        <f>SUBTOTAL(9,D22:D38)</f>
        <v/>
      </c>
      <c r="E40" s="215" t="n"/>
      <c r="F40" s="928">
        <f>SUBTOTAL(9,F22:F38)</f>
        <v/>
      </c>
      <c r="G40" s="928">
        <f>SUBTOTAL(9,G22:G38)</f>
        <v/>
      </c>
      <c r="H40" s="929">
        <f>SUBTOTAL(9,H22:H38)</f>
        <v/>
      </c>
      <c r="I40" s="928">
        <f>SUBTOTAL(9,I22:I38)</f>
        <v/>
      </c>
      <c r="J40" s="304">
        <f>SUBTOTAL(9,J22:J38)</f>
        <v/>
      </c>
      <c r="K40" s="326">
        <f>IF(J40=0,0,(G40/J40*1000)/$D$7*10)</f>
        <v/>
      </c>
      <c r="AG40" s="220" t="n"/>
      <c r="AH40" s="216" t="n"/>
      <c r="AI40" s="339" t="n"/>
      <c r="AJ40" s="339" t="n"/>
      <c r="AK40" s="339" t="n"/>
      <c r="AL40" s="339" t="n"/>
      <c r="AM40" s="340" t="n"/>
      <c r="AN40" s="340" t="n"/>
      <c r="AO40" s="340" t="n"/>
      <c r="AP40" s="220" t="n"/>
      <c r="AQ40" s="220" t="n"/>
    </row>
    <row r="42" customFormat="1" s="844">
      <c r="AG42" s="327" t="n"/>
      <c r="AH42" s="327" t="n"/>
      <c r="AI42" s="324" t="n"/>
      <c r="AJ42" s="324" t="n"/>
      <c r="AK42" s="324" t="n"/>
      <c r="AL42" s="324" t="n"/>
      <c r="AM42" s="324" t="n"/>
      <c r="AN42" s="324" t="n"/>
      <c r="AO42" s="324" t="n"/>
      <c r="AP42" s="327" t="n"/>
      <c r="AQ42" s="327" t="n"/>
    </row>
    <row r="43" customFormat="1" s="844">
      <c r="B43" s="844" t="inlineStr">
        <is>
          <t>*CPT за 10 секундный ролик</t>
        </is>
      </c>
      <c r="AG43" s="327" t="n"/>
      <c r="AH43" s="327" t="n"/>
      <c r="AI43" s="324" t="n"/>
      <c r="AJ43" s="324" t="n"/>
      <c r="AK43" s="324" t="n"/>
      <c r="AL43" s="324" t="n"/>
      <c r="AM43" s="324" t="n"/>
      <c r="AN43" s="324" t="n"/>
      <c r="AO43" s="324" t="n"/>
      <c r="AP43" s="327" t="n"/>
      <c r="AQ43" s="327" t="n"/>
    </row>
    <row r="44">
      <c r="C44" s="701" t="n"/>
    </row>
    <row r="45">
      <c r="C45" s="701" t="n"/>
    </row>
    <row r="46">
      <c r="C46" s="701" t="n"/>
    </row>
  </sheetData>
  <autoFilter ref="B21:K21"/>
  <mergeCells count="34">
    <mergeCell ref="B16:C16"/>
    <mergeCell ref="B7:C7"/>
    <mergeCell ref="G2:H2"/>
    <mergeCell ref="B3:C3"/>
    <mergeCell ref="G11:H11"/>
    <mergeCell ref="C45:D45"/>
    <mergeCell ref="G8:H8"/>
    <mergeCell ref="G17:H17"/>
    <mergeCell ref="G15:I15"/>
    <mergeCell ref="B12:C12"/>
    <mergeCell ref="B19:D19"/>
    <mergeCell ref="G7:H7"/>
    <mergeCell ref="B11:C11"/>
    <mergeCell ref="G10:H10"/>
    <mergeCell ref="B9:D9"/>
    <mergeCell ref="B14:C14"/>
    <mergeCell ref="C44:D44"/>
    <mergeCell ref="G6:H6"/>
    <mergeCell ref="B17:C17"/>
    <mergeCell ref="B15:D15"/>
    <mergeCell ref="B8:C8"/>
    <mergeCell ref="G3:H3"/>
    <mergeCell ref="B13:C13"/>
    <mergeCell ref="C46:D46"/>
    <mergeCell ref="B10:C10"/>
    <mergeCell ref="G5:H5"/>
    <mergeCell ref="G14:H14"/>
    <mergeCell ref="G12:I12"/>
    <mergeCell ref="G4:H4"/>
    <mergeCell ref="B6:C6"/>
    <mergeCell ref="G16:H16"/>
    <mergeCell ref="B5:C5"/>
    <mergeCell ref="G9:H9"/>
    <mergeCell ref="B4:C4"/>
  </mergeCells>
  <dataValidations count="4">
    <dataValidation sqref="D8" showDropDown="0" showInputMessage="1" showErrorMessage="1" allowBlank="1" type="list">
      <formula1>"5,10,15,20,25,30"</formula1>
    </dataValidation>
    <dataValidation sqref="AB2" showDropDown="0" showInputMessage="1" showErrorMessage="1" allowBlank="1" type="list">
      <formula1>$AK$2:$AK$3</formula1>
    </dataValidation>
    <dataValidation sqref="AC3" showDropDown="0" showInputMessage="1" showErrorMessage="1" allowBlank="1" type="list">
      <formula1>$AL$3:$AL$5</formula1>
    </dataValidation>
    <dataValidation sqref="AC2" showDropDown="0" showInputMessage="1" showErrorMessage="1" allowBlank="1" type="list">
      <formula1>$AI$2:$AI$3</formula1>
    </dataValidation>
  </dataValidations>
  <hyperlinks>
    <hyperlink xmlns:r="http://schemas.openxmlformats.org/officeDocument/2006/relationships" ref="B22" r:id="rId1"/>
    <hyperlink xmlns:r="http://schemas.openxmlformats.org/officeDocument/2006/relationships" ref="B23" display="Москва" r:id="rId2"/>
    <hyperlink xmlns:r="http://schemas.openxmlformats.org/officeDocument/2006/relationships" ref="B24" display="Москва" r:id="rId3"/>
  </hyperlinks>
  <pageMargins left="0.7" right="0.7" top="0.75" bottom="0.75" header="0.3" footer="0.3"/>
  <pageSetup orientation="portrait" paperSize="9" horizontalDpi="1200" verticalDpi="1200"/>
</worksheet>
</file>

<file path=xl/worksheets/sheet5.xml><?xml version="1.0" encoding="utf-8"?>
<worksheet xmlns="http://schemas.openxmlformats.org/spreadsheetml/2006/main">
  <sheetPr codeName="Лист10" filterMode="1">
    <outlinePr summaryBelow="1" summaryRight="1"/>
    <pageSetUpPr/>
  </sheetPr>
  <dimension ref="B1:AU38"/>
  <sheetViews>
    <sheetView showGridLines="0" zoomScale="90" zoomScaleNormal="90" workbookViewId="0">
      <selection activeCell="B10" sqref="B10:D10"/>
    </sheetView>
  </sheetViews>
  <sheetFormatPr baseColWidth="8" defaultColWidth="8.77734375" defaultRowHeight="10.2"/>
  <cols>
    <col width="6.5546875" customWidth="1" style="701" min="1" max="1"/>
    <col width="20.77734375" customWidth="1" style="701" min="2" max="2"/>
    <col width="23.77734375" customWidth="1" style="701" min="3" max="3"/>
    <col width="20.21875" customWidth="1" style="701" min="4" max="4"/>
    <col outlineLevel="1" width="20.21875" customWidth="1" style="701" min="5" max="5"/>
    <col outlineLevel="1" width="18" customWidth="1" style="701" min="6" max="6"/>
    <col outlineLevel="1" width="14" customWidth="1" style="701" min="7" max="7"/>
    <col outlineLevel="1" width="11.5546875" customWidth="1" style="701" min="8" max="8"/>
    <col width="18.77734375" customWidth="1" style="701" min="9" max="9"/>
    <col width="20.44140625" customWidth="1" style="701" min="10" max="10"/>
    <col width="16.5546875" customWidth="1" style="701" min="11" max="11"/>
    <col hidden="1" outlineLevel="1" width="15.77734375" customWidth="1" style="701" min="12" max="12"/>
    <col hidden="1" outlineLevel="1" width="11.21875" customWidth="1" style="701" min="13" max="13"/>
    <col hidden="1" outlineLevel="1" width="15.77734375" customWidth="1" style="701" min="14" max="14"/>
    <col collapsed="1" width="21.21875" customWidth="1" style="701" min="15" max="15"/>
    <col width="15" customWidth="1" style="701" min="16" max="16"/>
    <col width="8.77734375" customWidth="1" style="701" min="17" max="38"/>
    <col width="8.77734375" customWidth="1" style="701" min="39" max="39"/>
    <col hidden="1" width="9.21875" customWidth="1" style="701" min="40" max="42"/>
    <col hidden="1" width="8.77734375" customWidth="1" style="701" min="43" max="43"/>
    <col width="13.77734375" customWidth="1" style="701" min="44" max="45"/>
    <col width="8.77734375" customWidth="1" style="701" min="46" max="16384"/>
  </cols>
  <sheetData>
    <row r="1" ht="37.5" customHeight="1">
      <c r="B1" s="238" t="n"/>
      <c r="AR1" s="278" t="n"/>
      <c r="AS1" s="278" t="n"/>
      <c r="AT1" s="278" t="n"/>
      <c r="AU1" s="278" t="n"/>
    </row>
    <row r="2" ht="22.5" customHeight="1" thickBot="1">
      <c r="B2" s="734" t="inlineStr">
        <is>
          <t>Сеть фитнес центров</t>
        </is>
      </c>
      <c r="E2" s="183" t="n"/>
      <c r="F2" s="183" t="n"/>
      <c r="G2" s="183" t="n"/>
      <c r="H2" s="183" t="n"/>
      <c r="I2" s="667" t="n"/>
      <c r="J2" s="15" t="n"/>
      <c r="K2" s="15" t="n"/>
      <c r="L2" s="183" t="n"/>
      <c r="M2" s="183" t="n"/>
      <c r="N2" s="183" t="n"/>
      <c r="AC2" s="202" t="inlineStr">
        <is>
          <t>РА</t>
        </is>
      </c>
      <c r="AD2" s="239" t="n">
        <v>0.1</v>
      </c>
      <c r="AN2" s="183" t="inlineStr">
        <is>
          <t>ПК</t>
        </is>
      </c>
      <c r="AO2" s="204" t="n">
        <v>0</v>
      </c>
      <c r="AP2" s="183" t="n"/>
      <c r="AR2" s="278" t="n"/>
      <c r="AS2" s="278" t="n"/>
      <c r="AT2" s="278" t="n"/>
      <c r="AU2" s="278" t="n"/>
    </row>
    <row r="3" ht="15" customHeight="1">
      <c r="B3" s="719" t="inlineStr">
        <is>
          <t xml:space="preserve">Клиент:  </t>
        </is>
      </c>
      <c r="C3" s="854" t="n"/>
      <c r="D3" s="115" t="inlineStr">
        <is>
          <t>Sminex</t>
        </is>
      </c>
      <c r="E3" s="183" t="n"/>
      <c r="F3" s="183" t="n"/>
      <c r="G3" s="183" t="n"/>
      <c r="H3" s="183" t="n"/>
      <c r="I3" s="723" t="inlineStr">
        <is>
          <t xml:space="preserve">Всего экранов:  </t>
        </is>
      </c>
      <c r="J3" s="879" t="n"/>
      <c r="K3" s="99">
        <f>D38</f>
        <v/>
      </c>
      <c r="L3" s="183" t="n"/>
      <c r="M3" s="183" t="n"/>
      <c r="N3" s="183" t="n"/>
      <c r="AC3" s="202" t="n"/>
      <c r="AD3" s="239" t="n"/>
      <c r="AN3" s="183" t="inlineStr">
        <is>
          <t>РА</t>
        </is>
      </c>
      <c r="AO3" s="204" t="n">
        <v>0.05</v>
      </c>
      <c r="AP3" s="183" t="inlineStr">
        <is>
          <t>Доп скидка</t>
        </is>
      </c>
      <c r="AR3" s="278" t="n"/>
      <c r="AS3" s="278" t="n"/>
      <c r="AT3" s="278" t="n"/>
      <c r="AU3" s="278" t="n"/>
    </row>
    <row r="4" ht="15" customHeight="1">
      <c r="B4" s="721" t="inlineStr">
        <is>
          <t xml:space="preserve">Бренд:  </t>
        </is>
      </c>
      <c r="C4" s="855" t="n"/>
      <c r="D4" s="116" t="inlineStr">
        <is>
          <t>Sminex</t>
        </is>
      </c>
      <c r="E4" s="183" t="n"/>
      <c r="F4" s="183" t="n"/>
      <c r="G4" s="183" t="n"/>
      <c r="H4" s="183" t="n"/>
      <c r="I4" s="725" t="inlineStr">
        <is>
          <t>Часов работы одного экрана в сутки:</t>
        </is>
      </c>
      <c r="J4" s="856" t="n"/>
      <c r="K4" s="100" t="n">
        <v>16</v>
      </c>
      <c r="L4" s="183" t="n"/>
      <c r="M4" s="183" t="n"/>
      <c r="N4" s="183" t="n"/>
      <c r="AB4" s="844" t="n"/>
      <c r="AC4" s="844" t="n"/>
      <c r="AN4" s="183" t="n"/>
      <c r="AO4" s="204" t="n">
        <v>0.1</v>
      </c>
      <c r="AP4" s="183" t="inlineStr">
        <is>
          <t>Welcome скидка</t>
        </is>
      </c>
      <c r="AR4" s="279" t="n"/>
      <c r="AS4" s="279" t="n"/>
      <c r="AT4" s="278" t="n"/>
      <c r="AU4" s="278" t="n"/>
    </row>
    <row r="5" ht="15" customHeight="1">
      <c r="B5" s="714" t="inlineStr">
        <is>
          <t xml:space="preserve">Начало РК:  </t>
        </is>
      </c>
      <c r="C5" s="855" t="n"/>
      <c r="D5" s="206" t="n">
        <v>45748</v>
      </c>
      <c r="E5" s="183" t="n"/>
      <c r="F5" s="183" t="n"/>
      <c r="G5" s="183" t="n"/>
      <c r="H5" s="183" t="n"/>
      <c r="I5" s="697" t="inlineStr">
        <is>
          <t>Продолжительность блока в минутах:</t>
        </is>
      </c>
      <c r="J5" s="856" t="n"/>
      <c r="K5" s="101" t="n">
        <v>2</v>
      </c>
      <c r="L5" s="183" t="n"/>
      <c r="M5" s="183" t="n"/>
      <c r="N5" s="183" t="n"/>
      <c r="AN5" s="183" t="n"/>
      <c r="AO5" s="204" t="n">
        <v>0.15</v>
      </c>
      <c r="AP5" s="183" t="inlineStr">
        <is>
          <t>Сезонная скидка</t>
        </is>
      </c>
      <c r="AR5" s="280" t="n"/>
      <c r="AS5" s="280" t="n"/>
      <c r="AT5" s="278" t="n"/>
      <c r="AU5" s="278" t="n"/>
    </row>
    <row r="6" ht="15" customHeight="1">
      <c r="B6" s="714" t="inlineStr">
        <is>
          <t xml:space="preserve">Окончание РК:  </t>
        </is>
      </c>
      <c r="C6" s="855" t="n"/>
      <c r="D6" s="206" t="n">
        <v>45838</v>
      </c>
      <c r="E6" s="183" t="n"/>
      <c r="F6" s="183" t="n"/>
      <c r="G6" s="183" t="n"/>
      <c r="H6" s="183" t="n"/>
      <c r="I6" s="697" t="inlineStr">
        <is>
          <t>Блоков в сутки на одном экране:</t>
        </is>
      </c>
      <c r="J6" s="856" t="n"/>
      <c r="K6" s="101">
        <f>K4*60/K5</f>
        <v/>
      </c>
      <c r="L6" s="183" t="n"/>
      <c r="M6" s="183" t="n"/>
      <c r="N6" s="183" t="n"/>
      <c r="AN6" s="183" t="n"/>
      <c r="AO6" s="204" t="n">
        <v>0.2</v>
      </c>
      <c r="AP6" s="183" t="n"/>
      <c r="AR6" s="278" t="n"/>
      <c r="AS6" s="278" t="n"/>
      <c r="AT6" s="278" t="n"/>
      <c r="AU6" s="278" t="n"/>
    </row>
    <row r="7" ht="15" customHeight="1">
      <c r="B7" s="714" t="inlineStr">
        <is>
          <t xml:space="preserve">Ролик1, сек:  </t>
        </is>
      </c>
      <c r="C7" s="855" t="n"/>
      <c r="D7" s="117" t="n">
        <v>15</v>
      </c>
      <c r="E7" s="183" t="n"/>
      <c r="F7" s="183" t="n"/>
      <c r="G7" s="183" t="n"/>
      <c r="H7" s="183" t="n"/>
      <c r="I7" s="697" t="inlineStr">
        <is>
          <t>Кол-во дней размещения:</t>
        </is>
      </c>
      <c r="J7" s="856" t="n"/>
      <c r="K7" s="101">
        <f>D6-D5+1</f>
        <v/>
      </c>
      <c r="L7" s="183" t="n"/>
      <c r="M7" s="183" t="n"/>
      <c r="N7" s="183" t="n"/>
      <c r="AN7" s="183" t="n"/>
      <c r="AO7" s="204" t="n">
        <v>0.25</v>
      </c>
      <c r="AP7" s="183" t="n"/>
      <c r="AR7" s="278" t="n"/>
      <c r="AS7" s="278" t="n"/>
      <c r="AT7" s="278" t="n"/>
      <c r="AU7" s="278" t="n"/>
    </row>
    <row r="8" ht="15" customHeight="1">
      <c r="B8" s="714" t="n"/>
      <c r="C8" s="855" t="n"/>
      <c r="D8" s="117" t="n"/>
      <c r="E8" s="183" t="n"/>
      <c r="F8" s="183" t="n"/>
      <c r="G8" s="183" t="n"/>
      <c r="H8" s="183" t="n"/>
      <c r="I8" s="697" t="inlineStr">
        <is>
          <t>Кол-во роликов в блоке:</t>
        </is>
      </c>
      <c r="J8" s="856" t="n"/>
      <c r="K8" s="101">
        <f>COUNT(D$7,D$8,D$9)</f>
        <v/>
      </c>
      <c r="L8" s="183" t="n"/>
      <c r="M8" s="183" t="n"/>
      <c r="N8" s="183" t="n"/>
      <c r="AN8" s="183" t="n"/>
      <c r="AO8" s="183" t="n"/>
      <c r="AP8" s="183" t="n"/>
      <c r="AR8" s="280" t="n"/>
      <c r="AS8" s="280" t="n"/>
      <c r="AT8" s="278" t="n"/>
      <c r="AU8" s="278" t="n"/>
    </row>
    <row r="9" ht="15" customHeight="1" thickBot="1">
      <c r="B9" s="748" t="n"/>
      <c r="C9" s="855" t="n"/>
      <c r="D9" s="240" t="n"/>
      <c r="E9" s="183" t="n"/>
      <c r="F9" s="183" t="n"/>
      <c r="G9" s="183" t="n"/>
      <c r="H9" s="183" t="n"/>
      <c r="I9" s="697" t="inlineStr">
        <is>
          <t>Итого секунд в блоке:</t>
        </is>
      </c>
      <c r="J9" s="856" t="n"/>
      <c r="K9" s="102">
        <f>SUM(D7:D9)</f>
        <v/>
      </c>
      <c r="L9" s="183" t="n"/>
      <c r="M9" s="183" t="n"/>
      <c r="N9" s="183" t="n"/>
      <c r="AN9" s="183" t="n"/>
      <c r="AO9" s="183" t="n"/>
      <c r="AP9" s="183" t="n"/>
      <c r="AR9" s="278" t="n"/>
      <c r="AS9" s="278" t="n"/>
      <c r="AT9" s="278" t="n"/>
      <c r="AU9" s="278" t="n"/>
    </row>
    <row r="10" ht="15" customHeight="1">
      <c r="B10" s="930" t="inlineStr">
        <is>
          <t>Применяемые скидки (последовательно)</t>
        </is>
      </c>
      <c r="C10" s="880" t="n"/>
      <c r="D10" s="855" t="n"/>
      <c r="E10" s="183" t="n"/>
      <c r="F10" s="183" t="n"/>
      <c r="G10" s="183" t="n"/>
      <c r="H10" s="183" t="n"/>
      <c r="I10" s="697" t="inlineStr">
        <is>
          <t>Показов в день на одном экране:</t>
        </is>
      </c>
      <c r="J10" s="856" t="n"/>
      <c r="K10" s="101">
        <f>K6*K8</f>
        <v/>
      </c>
      <c r="L10" s="183" t="n"/>
      <c r="M10" s="183" t="n"/>
      <c r="N10" s="183" t="n"/>
      <c r="AN10" s="183" t="n"/>
      <c r="AO10" s="204" t="n">
        <v>0</v>
      </c>
      <c r="AP10" s="183" t="n"/>
      <c r="AR10" s="278" t="n"/>
      <c r="AS10" s="278" t="n"/>
      <c r="AT10" s="278" t="n"/>
      <c r="AU10" s="278" t="n"/>
    </row>
    <row r="11" ht="15" customHeight="1">
      <c r="B11" s="685" t="inlineStr">
        <is>
          <t>За кол-во экранов(средн):</t>
        </is>
      </c>
      <c r="C11" s="856" t="n"/>
      <c r="D11" s="118">
        <f>IF(SUMIFS('Адресная программа'!$O$20:$O$4940,'Адресная программа'!$F$20:$F$4940,"Фитнес",'Адресная программа'!$L$20:$L$4940,1)&gt;=SUMIFS('Адресная программа'!$K$20:$K$4940,'Адресная программа'!$F$20:$F$4940,"Фитнес",'Адресная программа'!$L$20:$L$4940,1),'Цены|Скидки'!C52,IF(SUMIFS('Адресная программа'!$O$20:$O$4940,'Адресная программа'!$F$20:$F$4940,"Фитнес",'Адресная программа'!$L$20:$L$4940,1)&gt;(SUMIFS('Адресная программа'!$K$20:$K$4940,'Адресная программа'!$F$20:$F$4940,"Фитнес",'Адресная программа'!$L$20:$L$4940,1)*'Цены|Скидки'!B53-1),'Цены|Скидки'!C53,IF(SUMIFS('Адресная программа'!$O$20:$O$4940,'Адресная программа'!$F$20:$F$4940,"Фитнес",'Адресная программа'!$L$20:$L$4940,1)&gt;(SUMIFS('Адресная программа'!$K$20:$K$4940,'Адресная программа'!$F$20:$F$4940,"Фитнес",'Адресная программа'!$L$20:$L$4940,1)*'Цены|Скидки'!B54-1),'Цены|Скидки'!C54,IF(SUMIFS('Адресная программа'!$O$20:$O$4940,'Адресная программа'!$F$20:$F$4940,"Фитнес",'Адресная программа'!$L$20:$L$4940,1)&gt;(SUMIFS('Адресная программа'!$K$20:$K$4940,'Адресная программа'!$F$20:$F$4940,"Фитнес",'Адресная программа'!$L$20:$L$4940,1)*'Цены|Скидки'!B55-1),'Цены|Скидки'!C55,0%))))</f>
        <v/>
      </c>
      <c r="E11" s="183" t="n"/>
      <c r="F11" s="183" t="n"/>
      <c r="G11" s="183" t="n"/>
      <c r="H11" s="183" t="n"/>
      <c r="I11" s="697" t="inlineStr">
        <is>
          <t>Минут в день на одном экране:</t>
        </is>
      </c>
      <c r="J11" s="856" t="n"/>
      <c r="K11" s="101">
        <f>K6*K9/60</f>
        <v/>
      </c>
      <c r="L11" s="183" t="n"/>
      <c r="M11" s="183" t="n"/>
      <c r="N11" s="183" t="n"/>
      <c r="AN11" s="183" t="n"/>
      <c r="AO11" s="204" t="n">
        <v>0.05</v>
      </c>
      <c r="AP11" s="183" t="n"/>
      <c r="AR11" s="278" t="n"/>
      <c r="AS11" s="278" t="n"/>
      <c r="AT11" s="278" t="n"/>
      <c r="AU11" s="278" t="n"/>
    </row>
    <row r="12" ht="15" customHeight="1">
      <c r="B12" s="685" t="inlineStr">
        <is>
          <t>За период:</t>
        </is>
      </c>
      <c r="C12" s="856" t="n"/>
      <c r="D12" s="118">
        <f>IF(K7&gt;69,'Цены|Скидки'!$C$100,IF(K7&gt;39,'Цены|Скидки'!$C$99,0%))</f>
        <v/>
      </c>
      <c r="E12" s="183" t="n"/>
      <c r="F12" s="183" t="n"/>
      <c r="G12" s="183" t="n"/>
      <c r="H12" s="183" t="n"/>
      <c r="I12" s="697" t="inlineStr">
        <is>
          <t>Показов на всех экранах за период:</t>
        </is>
      </c>
      <c r="J12" s="856" t="n"/>
      <c r="K12" s="103">
        <f>K10*K7*K3</f>
        <v/>
      </c>
      <c r="L12" s="183" t="n"/>
      <c r="M12" s="183" t="n"/>
      <c r="N12" s="183" t="n"/>
      <c r="AN12" s="183" t="n"/>
      <c r="AO12" s="204" t="n">
        <v>0.1</v>
      </c>
      <c r="AP12" s="183" t="n"/>
      <c r="AR12" s="278" t="n"/>
      <c r="AS12" s="278" t="n"/>
      <c r="AT12" s="278" t="n"/>
      <c r="AU12" s="278" t="n"/>
    </row>
    <row r="13" ht="15" customHeight="1">
      <c r="B13" s="685">
        <f>IF(AC2="РА","Скидка для РА:"," ")</f>
        <v/>
      </c>
      <c r="C13" s="856" t="n"/>
      <c r="D13" s="119">
        <f>IF(AC2="РА",AD2," ")</f>
        <v/>
      </c>
      <c r="E13" s="183" t="n"/>
      <c r="F13" s="183" t="n"/>
      <c r="G13" s="183" t="n"/>
      <c r="H13" s="183" t="n"/>
      <c r="I13" s="695" t="inlineStr">
        <is>
          <t>OTS:</t>
        </is>
      </c>
      <c r="J13" s="856" t="n"/>
      <c r="K13" s="122">
        <f>M38</f>
        <v/>
      </c>
      <c r="L13" s="183" t="n"/>
      <c r="M13" s="183" t="n"/>
      <c r="N13" s="183" t="n"/>
      <c r="AN13" s="183" t="n"/>
      <c r="AO13" s="204" t="n">
        <v>0.15</v>
      </c>
      <c r="AP13" s="183" t="n"/>
      <c r="AR13" s="278" t="n"/>
      <c r="AS13" s="278" t="n"/>
      <c r="AT13" s="278" t="n"/>
      <c r="AU13" s="278" t="n"/>
    </row>
    <row r="14" ht="15" customHeight="1">
      <c r="B14" s="697">
        <f>IF(AC3=0," ",AC3)</f>
        <v/>
      </c>
      <c r="C14" s="856" t="n"/>
      <c r="D14" s="207">
        <f>IF(OR(AC3="Доп скидка",AC3="Сезонная скидка",AC3="Welcome скидка")=TRUE,AD3," ")</f>
        <v/>
      </c>
      <c r="E14" s="183" t="n"/>
      <c r="F14" s="183" t="n"/>
      <c r="G14" s="183" t="n"/>
      <c r="H14" s="183" t="n"/>
      <c r="I14" s="695" t="inlineStr">
        <is>
          <t>CPT:</t>
        </is>
      </c>
      <c r="J14" s="856" t="n"/>
      <c r="K14" s="882">
        <f>N38</f>
        <v/>
      </c>
      <c r="L14" s="183" t="n"/>
      <c r="M14" s="183" t="n"/>
      <c r="N14" s="183" t="n"/>
      <c r="AN14" s="183" t="n"/>
      <c r="AO14" s="204" t="n">
        <v>0.2</v>
      </c>
      <c r="AP14" s="183" t="n"/>
      <c r="AR14" s="278" t="n"/>
      <c r="AS14" s="278" t="n"/>
      <c r="AT14" s="278" t="n"/>
      <c r="AU14" s="278" t="n"/>
    </row>
    <row r="15">
      <c r="B15" s="702" t="inlineStr">
        <is>
          <t>Стоимость размещения</t>
        </is>
      </c>
      <c r="C15" s="859" t="n"/>
      <c r="D15" s="856" t="n"/>
      <c r="E15" s="183" t="n"/>
      <c r="F15" s="183" t="n"/>
      <c r="G15" s="183" t="n"/>
      <c r="H15" s="183" t="n"/>
      <c r="I15" s="702" t="n"/>
      <c r="J15" s="859" t="n"/>
      <c r="K15" s="856" t="n"/>
      <c r="L15" s="183" t="n"/>
      <c r="M15" s="183" t="n"/>
      <c r="N15" s="183" t="n"/>
      <c r="AN15" s="183" t="n"/>
      <c r="AO15" s="204" t="n">
        <v>0.25</v>
      </c>
      <c r="AP15" s="183" t="n"/>
      <c r="AR15" s="278" t="n"/>
      <c r="AS15" s="278" t="n"/>
      <c r="AT15" s="278" t="n"/>
      <c r="AU15" s="278" t="n"/>
    </row>
    <row r="16" ht="15" customHeight="1">
      <c r="B16" s="695" t="inlineStr">
        <is>
          <t>Всего, руб. NET:</t>
        </is>
      </c>
      <c r="C16" s="856" t="n"/>
      <c r="D16" s="904">
        <f>J38</f>
        <v/>
      </c>
      <c r="E16" s="183" t="n"/>
      <c r="F16" s="183" t="n"/>
      <c r="G16" s="183" t="n"/>
      <c r="H16" s="183" t="n"/>
      <c r="I16" s="709" t="inlineStr">
        <is>
          <t>Предоставление ролика до:</t>
        </is>
      </c>
      <c r="J16" s="856" t="n"/>
      <c r="K16" s="104">
        <f>D5-3</f>
        <v/>
      </c>
      <c r="L16" s="183" t="n"/>
      <c r="M16" s="183" t="n"/>
      <c r="N16" s="183" t="n"/>
      <c r="AN16" s="183" t="n"/>
      <c r="AO16" s="204" t="n"/>
      <c r="AP16" s="183" t="n"/>
    </row>
    <row r="17" ht="15" customHeight="1" thickBot="1">
      <c r="B17" s="713" t="inlineStr">
        <is>
          <t>Всего, руб. GROSS:</t>
        </is>
      </c>
      <c r="C17" s="858" t="n"/>
      <c r="D17" s="905">
        <f>K38</f>
        <v/>
      </c>
      <c r="E17" s="208" t="n"/>
      <c r="F17" s="209" t="n"/>
      <c r="G17" s="210" t="n"/>
      <c r="H17" s="211" t="n"/>
      <c r="I17" s="711" t="inlineStr">
        <is>
          <t>Оплата до:</t>
        </is>
      </c>
      <c r="J17" s="858" t="n"/>
      <c r="K17" s="105">
        <f>D5-5</f>
        <v/>
      </c>
      <c r="L17" s="183" t="n"/>
      <c r="M17" s="183" t="n"/>
      <c r="N17" s="183" t="n"/>
      <c r="AN17" s="183" t="n"/>
      <c r="AO17" s="204" t="n"/>
      <c r="AP17" s="183" t="n"/>
    </row>
    <row r="18" ht="10.5" customHeight="1">
      <c r="B18" s="111" t="n"/>
      <c r="C18" s="183" t="n"/>
      <c r="D18" s="183" t="n"/>
      <c r="E18" s="111" t="n"/>
      <c r="F18" s="112" t="n"/>
      <c r="G18" s="210" t="n"/>
      <c r="H18" s="114" t="n"/>
      <c r="I18" s="183" t="n"/>
      <c r="J18" s="183" t="n"/>
      <c r="K18" s="183" t="n"/>
      <c r="L18" s="183" t="n"/>
      <c r="M18" s="183" t="n"/>
      <c r="N18" s="183" t="n"/>
      <c r="AN18" s="183" t="inlineStr">
        <is>
          <t>Автобренд</t>
        </is>
      </c>
      <c r="AO18" s="183" t="n"/>
      <c r="AP18" s="183" t="n"/>
    </row>
    <row r="19" ht="10.5" customHeight="1">
      <c r="B19" s="111" t="n"/>
      <c r="C19" s="183" t="n"/>
      <c r="D19" s="183" t="n"/>
      <c r="E19" s="111" t="n"/>
      <c r="F19" s="112" t="n"/>
      <c r="G19" s="210" t="n"/>
      <c r="H19" s="114" t="n"/>
      <c r="I19" s="183" t="n"/>
      <c r="J19" s="183" t="n"/>
      <c r="K19" s="183" t="n"/>
      <c r="L19" s="183" t="n"/>
      <c r="M19" s="183" t="n"/>
      <c r="N19" s="183" t="n"/>
      <c r="AN19" s="183" t="n"/>
      <c r="AO19" s="183" t="n"/>
      <c r="AP19" s="183" t="n"/>
    </row>
    <row r="20" ht="22.5" customFormat="1" customHeight="1" s="212" thickBot="1">
      <c r="B20" s="705" t="inlineStr">
        <is>
          <t>Расчет стоимости кампании в фитнес центрах</t>
        </is>
      </c>
      <c r="C20" s="15" t="n"/>
      <c r="D20" s="15" t="n"/>
      <c r="E20" s="29" t="n"/>
      <c r="F20" s="29" t="n"/>
      <c r="G20" s="29" t="n"/>
      <c r="H20" s="185" t="n"/>
      <c r="I20" s="185" t="n"/>
      <c r="J20" s="185" t="n"/>
      <c r="K20" s="188" t="n"/>
      <c r="L20" s="188" t="n"/>
      <c r="M20" s="185" t="n"/>
      <c r="N20" s="185" t="n"/>
    </row>
    <row r="21" ht="49.5" customFormat="1" customHeight="1" s="212" thickBot="1">
      <c r="B21" s="106" t="inlineStr">
        <is>
          <t>Регион</t>
        </is>
      </c>
      <c r="C21" s="107" t="inlineStr">
        <is>
          <t>Сеть</t>
        </is>
      </c>
      <c r="D21" s="107" t="inlineStr">
        <is>
          <t>Количество     экранов</t>
        </is>
      </c>
      <c r="E21" s="107" t="inlineStr">
        <is>
          <t>Стоимость размещения в сутки на 1 экране, без НДС</t>
        </is>
      </c>
      <c r="F21" s="107" t="inlineStr">
        <is>
          <t>Стоимость размещения по выбранной АП за период, без НДС</t>
        </is>
      </c>
      <c r="G21" s="107" t="inlineStr">
        <is>
          <t>Скидка за кол-во экранов</t>
        </is>
      </c>
      <c r="H21" s="107" t="inlineStr">
        <is>
          <t>Скидка за период</t>
        </is>
      </c>
      <c r="I21" s="107" t="inlineStr">
        <is>
          <t>Итоговая скидка</t>
        </is>
      </c>
      <c r="J21" s="107" t="inlineStr">
        <is>
          <t xml:space="preserve"> Стоимость c учетом всех скидок, без НДС</t>
        </is>
      </c>
      <c r="K21" s="107" t="inlineStr">
        <is>
          <t xml:space="preserve"> Стоимость c учетом всех скидок, вкл. НДС</t>
        </is>
      </c>
      <c r="L21" s="107" t="inlineStr">
        <is>
          <t>Сумма НДС (20%)</t>
        </is>
      </c>
      <c r="M21" s="107" t="inlineStr">
        <is>
          <t>OTS</t>
        </is>
      </c>
      <c r="N21" s="109" t="inlineStr">
        <is>
          <t>CPT</t>
        </is>
      </c>
    </row>
    <row r="22" hidden="1" ht="12" customFormat="1" customHeight="1" s="212">
      <c r="B22" s="253" t="inlineStr">
        <is>
          <t>Москва</t>
        </is>
      </c>
      <c r="C22" s="931" t="inlineStr">
        <is>
          <t>World Class</t>
        </is>
      </c>
      <c r="D22" s="255">
        <f>SUMIFS('Адресная программа'!$O$20:$O$4021,'Адресная программа'!$G$20:$G$4021,C22,'Адресная программа'!$C$20:$C$4021,B22)</f>
        <v/>
      </c>
      <c r="E22" s="932">
        <f>IF(D22=0,0,AVERAGEIFS('Адресная программа'!$S$20:$S$4028,'Адресная программа'!$C$20:$C$4028,Фитнес!B22,'Адресная программа'!$N$20:$N$4028,1,'Адресная программа'!$G$20:$G$4028,Фитнес!C22))/15*$K$9</f>
        <v/>
      </c>
      <c r="F22" s="933">
        <f>SUMIFS('Адресная программа'!$T$20:$T$4028,'Адресная программа'!$G$20:$G$4028,Фитнес!C22,'Адресная программа'!$C$20:$C$4028,Фитнес!B22)*$K$7/15*$K$9</f>
        <v/>
      </c>
      <c r="G22" s="156">
        <f>$D$11</f>
        <v/>
      </c>
      <c r="H22" s="156">
        <f>D$12</f>
        <v/>
      </c>
      <c r="I22" s="190">
        <f>IF(D22=0,0,1-J22/F22)</f>
        <v/>
      </c>
      <c r="J22" s="934">
        <f>F22*(1-G22)*(1-H22)*(1-IF($AC$2="РА",$AD$2,0))*(1-IF(OR($AC$3="Доп скидка",$AC$3="Сезонная скидка",$AC$3="Welcome скидка")=TRUE,$AD$3,0))</f>
        <v/>
      </c>
      <c r="K22" s="934">
        <f>J22+L22</f>
        <v/>
      </c>
      <c r="L22" s="934">
        <f>J22*0.2</f>
        <v/>
      </c>
      <c r="M22" s="159">
        <f>(SUMIFS('Адресная программа'!$H$20:$H$4028,'Адресная программа'!$G$20:$G$4028,Фитнес!C22,'Адресная программа'!$C$20:$C$4028,Фитнес!B22,'Адресная программа'!$N$20:$N$4028,1)/31*$K$7)</f>
        <v/>
      </c>
      <c r="N22" s="935">
        <f>IF(M22=0,0,J22/M22*1000)</f>
        <v/>
      </c>
    </row>
    <row r="23" hidden="1">
      <c r="B23" s="250" t="inlineStr">
        <is>
          <t>Санкт-Петербург</t>
        </is>
      </c>
      <c r="C23" s="936" t="inlineStr">
        <is>
          <t>World Class</t>
        </is>
      </c>
      <c r="D23" s="255">
        <f>SUMIFS('Адресная программа'!$O$20:$O$4021,'Адресная программа'!$G$20:$G$4021,C23,'Адресная программа'!$C$20:$C$4021,B23)</f>
        <v/>
      </c>
      <c r="E23" s="932">
        <f>IF(D23=0,0,AVERAGEIFS('Адресная программа'!$S$20:$S$4028,'Адресная программа'!$C$20:$C$4028,Фитнес!B23,'Адресная программа'!$N$20:$N$4028,1,'Адресная программа'!$G$20:$G$4028,Фитнес!C23))/15*$K$9</f>
        <v/>
      </c>
      <c r="F23" s="933">
        <f>SUMIFS('Адресная программа'!$T$20:$T$4028,'Адресная программа'!$G$20:$G$4028,Фитнес!C23,'Адресная программа'!$C$20:$C$4028,Фитнес!B23)*$K$7/15*$K$9</f>
        <v/>
      </c>
      <c r="G23" s="157">
        <f>$D$11</f>
        <v/>
      </c>
      <c r="H23" s="157">
        <f>D$12</f>
        <v/>
      </c>
      <c r="I23" s="171">
        <f>IF(D23=0,0,1-J23/F23)</f>
        <v/>
      </c>
      <c r="J23" s="937">
        <f>F23*(1-G23)*(1-H23)*(1-IF($AC$2="РА",$AD$2,0))*(1-IF(OR($AC$3="Доп скидка",$AC$3="Сезонная скидка",$AC$3="Welcome скидка")=TRUE,$AD$3,0))</f>
        <v/>
      </c>
      <c r="K23" s="934">
        <f>J23+L23</f>
        <v/>
      </c>
      <c r="L23" s="934">
        <f>J23*0.2</f>
        <v/>
      </c>
      <c r="M23" s="159">
        <f>(SUMIFS('Адресная программа'!$H$20:$H$4028,'Адресная программа'!$G$20:$G$4028,Фитнес!C23,'Адресная программа'!$C$20:$C$4028,Фитнес!B23,'Адресная программа'!$N$20:$N$4028,1)/31*$K$7)</f>
        <v/>
      </c>
      <c r="N23" s="938">
        <f>IF(M23=0,0,J23/M23*1000)</f>
        <v/>
      </c>
    </row>
    <row r="24">
      <c r="B24" s="250" t="inlineStr">
        <is>
          <t>Уфа</t>
        </is>
      </c>
      <c r="C24" s="936" t="inlineStr">
        <is>
          <t>World Class</t>
        </is>
      </c>
      <c r="D24" s="255">
        <f>SUMIFS('Адресная программа'!$O$20:$O$4021,'Адресная программа'!$G$20:$G$4021,C24,'Адресная программа'!$C$20:$C$4021,B24)</f>
        <v/>
      </c>
      <c r="E24" s="932">
        <f>IF(D24=0,0,AVERAGEIFS('Адресная программа'!$S$20:$S$4028,'Адресная программа'!$C$20:$C$4028,Фитнес!B24,'Адресная программа'!$N$20:$N$4028,1,'Адресная программа'!$G$20:$G$4028,Фитнес!C24))/15*$K$9</f>
        <v/>
      </c>
      <c r="F24" s="933">
        <f>SUMIFS('Адресная программа'!$T$20:$T$4028,'Адресная программа'!$G$20:$G$4028,Фитнес!C24,'Адресная программа'!$C$20:$C$4028,Фитнес!B24)*$K$7/15*$K$9</f>
        <v/>
      </c>
      <c r="G24" s="157">
        <f>$D$11</f>
        <v/>
      </c>
      <c r="H24" s="157">
        <f>D$12</f>
        <v/>
      </c>
      <c r="I24" s="171">
        <f>IF(D24=0,0,1-J24/F24)</f>
        <v/>
      </c>
      <c r="J24" s="937">
        <f>F24*(1-G24)*(1-H24)*(1-IF($AC$2="РА",$AD$2,0))*(1-IF(OR($AC$3="Доп скидка",$AC$3="Сезонная скидка",$AC$3="Welcome скидка")=TRUE,$AD$3,0))</f>
        <v/>
      </c>
      <c r="K24" s="934">
        <f>J24+L24</f>
        <v/>
      </c>
      <c r="L24" s="934">
        <f>J24*0.2</f>
        <v/>
      </c>
      <c r="M24" s="159">
        <f>(SUMIFS('Адресная программа'!$H$20:$H$4028,'Адресная программа'!$G$20:$G$4028,Фитнес!C24,'Адресная программа'!$C$20:$C$4028,Фитнес!B24,'Адресная программа'!$N$20:$N$4028,1)/31*$K$7)</f>
        <v/>
      </c>
      <c r="N24" s="938">
        <f>IF(M24=0,0,J24/M24*1000)</f>
        <v/>
      </c>
    </row>
    <row r="25" hidden="1">
      <c r="B25" s="250" t="inlineStr">
        <is>
          <t>Москва</t>
        </is>
      </c>
      <c r="C25" s="936" t="inlineStr">
        <is>
          <t>С.С.С.Р</t>
        </is>
      </c>
      <c r="D25" s="255">
        <f>SUMIFS('Адресная программа'!$O$20:$O$4021,'Адресная программа'!$G$20:$G$4021,C25,'Адресная программа'!$C$20:$C$4021,B25)</f>
        <v/>
      </c>
      <c r="E25" s="932">
        <f>IF(D25=0,0,AVERAGEIFS('Адресная программа'!$S$20:$S$4028,'Адресная программа'!$C$20:$C$4028,Фитнес!B25,'Адресная программа'!$N$20:$N$4028,1,'Адресная программа'!$G$20:$G$4028,Фитнес!C25))/15*$K$9</f>
        <v/>
      </c>
      <c r="F25" s="933">
        <f>SUMIFS('Адресная программа'!$T$20:$T$4028,'Адресная программа'!$G$20:$G$4028,Фитнес!C25,'Адресная программа'!$C$20:$C$4028,Фитнес!B25)*$K$7/15*$K$9</f>
        <v/>
      </c>
      <c r="G25" s="157">
        <f>$D$11</f>
        <v/>
      </c>
      <c r="H25" s="157">
        <f>D$12</f>
        <v/>
      </c>
      <c r="I25" s="171">
        <f>IF(D25=0,0,1-J25/F25)</f>
        <v/>
      </c>
      <c r="J25" s="937">
        <f>F25*(1-G25)*(1-H25)*(1-IF($AC$2="РА",$AD$2,0))*(1-IF(OR($AC$3="Доп скидка",$AC$3="Сезонная скидка",$AC$3="Welcome скидка")=TRUE,$AD$3,0))</f>
        <v/>
      </c>
      <c r="K25" s="934">
        <f>J25+L25</f>
        <v/>
      </c>
      <c r="L25" s="934">
        <f>J25*0.2</f>
        <v/>
      </c>
      <c r="M25" s="159">
        <f>(SUMIFS('Адресная программа'!$H$20:$H$4028,'Адресная программа'!$G$20:$G$4028,Фитнес!C25,'Адресная программа'!$C$20:$C$4028,Фитнес!B25,'Адресная программа'!$N$20:$N$4028,1)/31*$K$7)</f>
        <v/>
      </c>
      <c r="N25" s="938">
        <f>IF(M25=0,0,J25/M25*1000)</f>
        <v/>
      </c>
    </row>
    <row r="26" hidden="1">
      <c r="B26" s="250" t="inlineStr">
        <is>
          <t>Москва</t>
        </is>
      </c>
      <c r="C26" s="936" t="inlineStr">
        <is>
          <t>Зебра</t>
        </is>
      </c>
      <c r="D26" s="255">
        <f>SUMIFS('Адресная программа'!$O$2938:$O$4021,'Адресная программа'!$G$2938:$G$4021,C26,'Адресная программа'!$C$2938:$C$4021,B26)</f>
        <v/>
      </c>
      <c r="E26" s="932">
        <f>IF(D26=0,0,AVERAGEIFS('Адресная программа'!$S$2939:$S$3030,'Адресная программа'!$C$2939:$C$3030,Фитнес!B26,'Адресная программа'!$N$2939:$N$3030,1,'Адресная программа'!$G$2939:$G$3030,Фитнес!C26))</f>
        <v/>
      </c>
      <c r="F26" s="933">
        <f>SUMIFS('Адресная программа'!$T$2938:$T$3030,'Адресная программа'!$G$2938:$G$3030,Фитнес!C26,'Адресная программа'!$C$2938:$C$3030,Фитнес!B26)*$K$7/15*$K$9</f>
        <v/>
      </c>
      <c r="G26" s="157">
        <f>$D$11</f>
        <v/>
      </c>
      <c r="H26" s="157">
        <f>D$12</f>
        <v/>
      </c>
      <c r="I26" s="171">
        <f>IF(D26=0,0,1-J26/F26)</f>
        <v/>
      </c>
      <c r="J26" s="939">
        <f>F26*(1-G26)*(1-H26)*(1-IF($AC$2="РА",$AD$2,0))*(1-IF(OR($AC$3="Доп скидка",$AC$3="Сезонная скидка",$AC$3="Welcome скидка")=TRUE,$AD$3,0))</f>
        <v/>
      </c>
      <c r="K26" s="934">
        <f>J26+L26</f>
        <v/>
      </c>
      <c r="L26" s="934">
        <f>J26*0.2</f>
        <v/>
      </c>
      <c r="M26" s="159">
        <f>(SUMIFS('Адресная программа'!$H$2938:$H$3030,'Адресная программа'!$G$2938:$G$3030,Фитнес!C26,'Адресная программа'!$C$2938:$C$3030,Фитнес!B26,'Адресная программа'!$N$2938:$N$3030,1)/31*$K$7)</f>
        <v/>
      </c>
      <c r="N26" s="938">
        <f>IF(M26=0,0,J26/M26*1000)</f>
        <v/>
      </c>
    </row>
    <row r="27" hidden="1">
      <c r="B27" s="250" t="inlineStr">
        <is>
          <t>Москва</t>
        </is>
      </c>
      <c r="C27" s="936" t="inlineStr">
        <is>
          <t>Fit Остров</t>
        </is>
      </c>
      <c r="D27" s="255">
        <f>SUMIFS('Адресная программа'!$O$20:$O$4021,'Адресная программа'!$G$20:$G$4021,C27,'Адресная программа'!$C$20:$C$4021,B27)</f>
        <v/>
      </c>
      <c r="E27" s="932">
        <f>IF(D27=0,0,AVERAGEIFS('Адресная программа'!$S$20:$S$4028,'Адресная программа'!$C$20:$C$4028,Фитнес!B27,'Адресная программа'!$N$20:$N$4028,1,'Адресная программа'!$G$20:$G$4028,Фитнес!C27))/15*$K$9</f>
        <v/>
      </c>
      <c r="F27" s="933">
        <f>SUMIFS('Адресная программа'!$T$20:$T$4028,'Адресная программа'!$G$20:$G$4028,Фитнес!C27,'Адресная программа'!$C$20:$C$4028,Фитнес!B27)*$K$7/15*$K$9</f>
        <v/>
      </c>
      <c r="G27" s="157">
        <f>$D$11</f>
        <v/>
      </c>
      <c r="H27" s="157">
        <f>D$12</f>
        <v/>
      </c>
      <c r="I27" s="171">
        <f>IF(D27=0,0,1-J27/F27)</f>
        <v/>
      </c>
      <c r="J27" s="937">
        <f>F27*(1-G27)*(1-H27)*(1-IF($AC$2="РА",$AD$2,0))*(1-IF(OR($AC$3="Доп скидка",$AC$3="Сезонная скидка",$AC$3="Welcome скидка")=TRUE,$AD$3,0))</f>
        <v/>
      </c>
      <c r="K27" s="934">
        <f>J27+L27</f>
        <v/>
      </c>
      <c r="L27" s="934">
        <f>J27*0.2</f>
        <v/>
      </c>
      <c r="M27" s="159">
        <f>(SUMIFS('Адресная программа'!$H$20:$H$4028,'Адресная программа'!$G$20:$G$4028,Фитнес!C27,'Адресная программа'!$C$20:$C$4028,Фитнес!B27,'Адресная программа'!$N$20:$N$4028,1)/31*$K$7)</f>
        <v/>
      </c>
      <c r="N27" s="938">
        <f>IF(M27=0,0,J27/M27*1000)</f>
        <v/>
      </c>
    </row>
    <row r="28" hidden="1">
      <c r="B28" s="250" t="inlineStr">
        <is>
          <t>Москва</t>
        </is>
      </c>
      <c r="C28" s="936" t="inlineStr">
        <is>
          <t>Спорт Квартал</t>
        </is>
      </c>
      <c r="D28" s="255">
        <f>SUMIFS('Адресная программа'!$O$2938:$O$4021,'Адресная программа'!$G$2938:$G$4021,C28,'Адресная программа'!$C$2938:$C$4021,B28)</f>
        <v/>
      </c>
      <c r="E28" s="932">
        <f>IF(D28=0,0,AVERAGEIFS('Адресная программа'!$S$2939:$S$3030,'Адресная программа'!$C$2939:$C$3030,Фитнес!B28,'Адресная программа'!$N$2939:$N$3030,1,'Адресная программа'!$G$2939:$G$3030,Фитнес!C28))</f>
        <v/>
      </c>
      <c r="F28" s="933">
        <f>SUMIFS('Адресная программа'!$T$2938:$T$3030,'Адресная программа'!$G$2938:$G$3030,Фитнес!C28,'Адресная программа'!$C$2938:$C$3030,Фитнес!B28)*$K$7/15*$K$9</f>
        <v/>
      </c>
      <c r="G28" s="157">
        <f>$D$11</f>
        <v/>
      </c>
      <c r="H28" s="157">
        <f>D$12</f>
        <v/>
      </c>
      <c r="I28" s="171">
        <f>IF(D28=0,0,1-J28/F28)</f>
        <v/>
      </c>
      <c r="J28" s="939">
        <f>F28*(1-G28)*(1-H28)*(1-IF($AC$2="РА",$AD$2,0))*(1-IF(OR($AC$3="Доп скидка",$AC$3="Сезонная скидка",$AC$3="Welcome скидка")=TRUE,$AD$3,0))</f>
        <v/>
      </c>
      <c r="K28" s="934">
        <f>J28+L28</f>
        <v/>
      </c>
      <c r="L28" s="934">
        <f>J28*0.2</f>
        <v/>
      </c>
      <c r="M28" s="159">
        <f>(SUMIFS('Адресная программа'!$H$2938:$H$3030,'Адресная программа'!$G$2938:$G$3030,Фитнес!C28,'Адресная программа'!$C$2938:$C$3030,Фитнес!B28,'Адресная программа'!$N$2938:$N$3030,1)/31*$K$7)</f>
        <v/>
      </c>
      <c r="N28" s="938">
        <f>IF(M28=0,0,J28/M28*1000)</f>
        <v/>
      </c>
    </row>
    <row r="29" hidden="1">
      <c r="B29" s="250" t="inlineStr">
        <is>
          <t>Москва</t>
        </is>
      </c>
      <c r="C29" s="936" t="inlineStr">
        <is>
          <t>Фитнес-центр</t>
        </is>
      </c>
      <c r="D29" s="255">
        <f>SUMIFS('Адресная программа'!$O$2938:$O$4021,'Адресная программа'!$G$2938:$G$4021,C29,'Адресная программа'!$C$2938:$C$4021,B29)</f>
        <v/>
      </c>
      <c r="E29" s="932">
        <f>IF(D29=0,0,AVERAGEIFS('Адресная программа'!$S$2939:$S$3030,'Адресная программа'!$C$2939:$C$3030,Фитнес!B29,'Адресная программа'!$N$2939:$N$3030,1,'Адресная программа'!$G$2939:$G$3030,Фитнес!C29))</f>
        <v/>
      </c>
      <c r="F29" s="933">
        <f>SUMIFS('Адресная программа'!$T$2938:$T$3030,'Адресная программа'!$G$2938:$G$3030,Фитнес!C29,'Адресная программа'!$C$2938:$C$3030,Фитнес!B29)*$K$7/15*$K$9</f>
        <v/>
      </c>
      <c r="G29" s="157">
        <f>$D$11</f>
        <v/>
      </c>
      <c r="H29" s="157">
        <f>D$12</f>
        <v/>
      </c>
      <c r="I29" s="171">
        <f>IF(D29=0,0,1-J29/F29)</f>
        <v/>
      </c>
      <c r="J29" s="939">
        <f>F29*(1-G29)*(1-H29)*(1-IF($AC$2="РА",$AD$2,0))*(1-IF(OR($AC$3="Доп скидка",$AC$3="Сезонная скидка",$AC$3="Welcome скидка")=TRUE,$AD$3,0))</f>
        <v/>
      </c>
      <c r="K29" s="934">
        <f>J29+L29</f>
        <v/>
      </c>
      <c r="L29" s="934">
        <f>J29*0.2</f>
        <v/>
      </c>
      <c r="M29" s="159">
        <f>(SUMIFS('Адресная программа'!$H$2938:$H$3030,'Адресная программа'!$G$2938:$G$3030,Фитнес!C29,'Адресная программа'!$C$2938:$C$3030,Фитнес!B29,'Адресная программа'!$N$2938:$N$3030,1)/31*$K$7)</f>
        <v/>
      </c>
      <c r="N29" s="938">
        <f>IF(M29=0,0,J29/M29*1000)</f>
        <v/>
      </c>
    </row>
    <row r="30" hidden="1">
      <c r="B30" s="250" t="inlineStr">
        <is>
          <t>Москва</t>
        </is>
      </c>
      <c r="C30" s="936" t="inlineStr">
        <is>
          <t>FITNESS ONE</t>
        </is>
      </c>
      <c r="D30" s="255">
        <f>SUMIFS('Адресная программа'!$O$20:$O$4021,'Адресная программа'!$G$20:$G$4021,C30,'Адресная программа'!$C$20:$C$4021,B30)</f>
        <v/>
      </c>
      <c r="E30" s="932">
        <f>IF(D30=0,0,AVERAGEIFS('Адресная программа'!$S$20:$S$4028,'Адресная программа'!$C$20:$C$4028,Фитнес!B30,'Адресная программа'!$N$20:$N$4028,1,'Адресная программа'!$G$20:$G$4028,Фитнес!C30))/15*$K$9</f>
        <v/>
      </c>
      <c r="F30" s="933">
        <f>SUMIFS('Адресная программа'!$T$20:$T$4028,'Адресная программа'!$G$20:$G$4028,Фитнес!C30,'Адресная программа'!$C$20:$C$4028,Фитнес!B30)*$K$7/15*$K$9</f>
        <v/>
      </c>
      <c r="G30" s="157">
        <f>$D$11</f>
        <v/>
      </c>
      <c r="H30" s="157">
        <f>D$12</f>
        <v/>
      </c>
      <c r="I30" s="171">
        <f>IF(D30=0,0,1-J30/F30)</f>
        <v/>
      </c>
      <c r="J30" s="937">
        <f>F30*(1-G30)*(1-H30)*(1-IF($AC$2="РА",$AD$2,0))*(1-IF(OR($AC$3="Доп скидка",$AC$3="Сезонная скидка",$AC$3="Welcome скидка")=TRUE,$AD$3,0))</f>
        <v/>
      </c>
      <c r="K30" s="934">
        <f>J30+L30</f>
        <v/>
      </c>
      <c r="L30" s="934">
        <f>J30*0.2</f>
        <v/>
      </c>
      <c r="M30" s="159">
        <f>(SUMIFS('Адресная программа'!$H$20:$H$4028,'Адресная программа'!$G$20:$G$4028,Фитнес!C30,'Адресная программа'!$C$20:$C$4028,Фитнес!B30,'Адресная программа'!$N$20:$N$4028,1)/31*$K$7)</f>
        <v/>
      </c>
      <c r="N30" s="938">
        <f>IF(M30=0,0,J30/M30*1000)</f>
        <v/>
      </c>
    </row>
    <row r="31" hidden="1">
      <c r="B31" s="250" t="inlineStr">
        <is>
          <t>Москва</t>
        </is>
      </c>
      <c r="C31" s="936" t="inlineStr">
        <is>
          <t>Republíka</t>
        </is>
      </c>
      <c r="D31" s="255">
        <f>SUMIFS('Адресная программа'!$O$2938:$O$4021,'Адресная программа'!$G$2938:$G$4021,C31,'Адресная программа'!$C$2938:$C$4021,B31)</f>
        <v/>
      </c>
      <c r="E31" s="932">
        <f>IF(D31=0,0,AVERAGEIFS('Адресная программа'!$S$2939:$S$3030,'Адресная программа'!$C$2939:$C$3030,Фитнес!B31,'Адресная программа'!$N$2939:$N$3030,1,'Адресная программа'!$G$2939:$G$3030,Фитнес!C31))</f>
        <v/>
      </c>
      <c r="F31" s="933">
        <f>SUMIFS('Адресная программа'!$T$2938:$T$3030,'Адресная программа'!$G$2938:$G$3030,Фитнес!C31,'Адресная программа'!$C$2938:$C$3030,Фитнес!B31)*$K$7/15*$K$9</f>
        <v/>
      </c>
      <c r="G31" s="157">
        <f>$D$11</f>
        <v/>
      </c>
      <c r="H31" s="157">
        <f>D$12</f>
        <v/>
      </c>
      <c r="I31" s="171">
        <f>IF(D31=0,0,1-J31/F31)</f>
        <v/>
      </c>
      <c r="J31" s="937">
        <f>F31*(1-G31)*(1-H31)*(1-IF($AC$2="РА",$AD$2,0))*(1-IF(OR($AC$3="Доп скидка",$AC$3="Сезонная скидка",$AC$3="Welcome скидка")=TRUE,$AD$3,0))</f>
        <v/>
      </c>
      <c r="K31" s="934">
        <f>J31+L31</f>
        <v/>
      </c>
      <c r="L31" s="934">
        <f>J31*0.2</f>
        <v/>
      </c>
      <c r="M31" s="159">
        <f>(SUMIFS('Адресная программа'!$H$2938:$H$3030,'Адресная программа'!$G$2938:$G$3030,Фитнес!C31,'Адресная программа'!$C$2938:$C$3030,Фитнес!B31,'Адресная программа'!$N$2938:$N$3030,1)/31*$K$7)</f>
        <v/>
      </c>
      <c r="N31" s="938">
        <f>IF(M31=0,0,J31/M31*1000)</f>
        <v/>
      </c>
    </row>
    <row r="32" hidden="1">
      <c r="B32" s="250" t="inlineStr">
        <is>
          <t>Москва</t>
        </is>
      </c>
      <c r="C32" s="936" t="inlineStr">
        <is>
          <t>MOSFITNESS</t>
        </is>
      </c>
      <c r="D32" s="255">
        <f>SUMIFS('Адресная программа'!$O$2938:$O$4021,'Адресная программа'!$G$2938:$G$4021,C32,'Адресная программа'!$C$2938:$C$4021,B32)</f>
        <v/>
      </c>
      <c r="E32" s="932">
        <f>IF(D32=0,0,AVERAGEIFS('Адресная программа'!$S$2939:$S$3030,'Адресная программа'!$C$2939:$C$3030,Фитнес!B32,'Адресная программа'!$N$2939:$N$3030,1,'Адресная программа'!$G$2939:$G$3030,Фитнес!C32))</f>
        <v/>
      </c>
      <c r="F32" s="933">
        <f>SUMIFS('Адресная программа'!$T$2938:$T$3030,'Адресная программа'!$G$2938:$G$3030,Фитнес!C32,'Адресная программа'!$C$2938:$C$3030,Фитнес!B32)*$K$7/15*$K$9</f>
        <v/>
      </c>
      <c r="G32" s="157">
        <f>$D$11</f>
        <v/>
      </c>
      <c r="H32" s="157">
        <f>D$12</f>
        <v/>
      </c>
      <c r="I32" s="171">
        <f>IF(D32=0,0,1-J32/F32)</f>
        <v/>
      </c>
      <c r="J32" s="937">
        <f>F32*(1-G32)*(1-H32)*(1-IF($AC$2="РА",$AD$2,0))*(1-IF(OR($AC$3="Доп скидка",$AC$3="Сезонная скидка",$AC$3="Welcome скидка")=TRUE,$AD$3,0))</f>
        <v/>
      </c>
      <c r="K32" s="934">
        <f>J32+L32</f>
        <v/>
      </c>
      <c r="L32" s="934">
        <f>J32*0.2</f>
        <v/>
      </c>
      <c r="M32" s="159">
        <f>(SUMIFS('Адресная программа'!$H$2938:$H$3030,'Адресная программа'!$G$2938:$G$3030,Фитнес!C32,'Адресная программа'!$C$2938:$C$3030,Фитнес!B32,'Адресная программа'!$N$2938:$N$3030,1)/31*$K$7)</f>
        <v/>
      </c>
      <c r="N32" s="938">
        <f>IF(M32=0,0,J32/M32*1000)</f>
        <v/>
      </c>
    </row>
    <row r="33" hidden="1">
      <c r="B33" s="250" t="inlineStr">
        <is>
          <t>Москва</t>
        </is>
      </c>
      <c r="C33" s="936" t="inlineStr">
        <is>
          <t>Ideal Fitness</t>
        </is>
      </c>
      <c r="D33" s="255">
        <f>SUMIFS('Адресная программа'!$O$20:$O$4021,'Адресная программа'!$G$20:$G$4021,C33,'Адресная программа'!$C$20:$C$4021,B33)</f>
        <v/>
      </c>
      <c r="E33" s="932">
        <f>IF(D33=0,0,AVERAGEIFS('Адресная программа'!$S$20:$S$4028,'Адресная программа'!$C$20:$C$4028,Фитнес!B33,'Адресная программа'!$N$20:$N$4028,1,'Адресная программа'!$G$20:$G$4028,Фитнес!C33))/15*$K$9</f>
        <v/>
      </c>
      <c r="F33" s="933">
        <f>SUMIFS('Адресная программа'!$T$20:$T$4028,'Адресная программа'!$G$20:$G$4028,Фитнес!C33,'Адресная программа'!$C$20:$C$4028,Фитнес!B33)*$K$7/15*$K$9</f>
        <v/>
      </c>
      <c r="G33" s="157">
        <f>$D$11</f>
        <v/>
      </c>
      <c r="H33" s="157">
        <f>D$12</f>
        <v/>
      </c>
      <c r="I33" s="171">
        <f>IF(D33=0,0,1-J33/F33)</f>
        <v/>
      </c>
      <c r="J33" s="937">
        <f>F33*(1-G33)*(1-H33)*(1-IF($AC$2="РА",$AD$2,0))*(1-IF(OR($AC$3="Доп скидка",$AC$3="Сезонная скидка",$AC$3="Welcome скидка")=TRUE,$AD$3,0))</f>
        <v/>
      </c>
      <c r="K33" s="934">
        <f>J33+L33</f>
        <v/>
      </c>
      <c r="L33" s="934">
        <f>J33*0.2</f>
        <v/>
      </c>
      <c r="M33" s="159">
        <f>(SUMIFS('Адресная программа'!$H$20:$H$4028,'Адресная программа'!$G$20:$G$4028,Фитнес!C33,'Адресная программа'!$C$20:$C$4028,Фитнес!B33,'Адресная программа'!$N$20:$N$4028,1)/31*$K$7)</f>
        <v/>
      </c>
      <c r="N33" s="938">
        <f>IF(M33=0,0,J33/M33*1000)</f>
        <v/>
      </c>
    </row>
    <row r="34" hidden="1">
      <c r="B34" s="250" t="inlineStr">
        <is>
          <t>Москва</t>
        </is>
      </c>
      <c r="C34" s="936" t="inlineStr">
        <is>
          <t>CityFitness</t>
        </is>
      </c>
      <c r="D34" s="255">
        <f>SUMIFS('Адресная программа'!$O$2938:$O$4021,'Адресная программа'!$G$2938:$G$4021,C34,'Адресная программа'!$C$2938:$C$4021,B34)</f>
        <v/>
      </c>
      <c r="E34" s="932">
        <f>IF(D34=0,0,AVERAGEIFS('Адресная программа'!$S$2939:$S$3030,'Адресная программа'!$C$2939:$C$3030,Фитнес!B34,'Адресная программа'!$N$2939:$N$3030,1,'Адресная программа'!$G$2939:$G$3030,Фитнес!C34))</f>
        <v/>
      </c>
      <c r="F34" s="933">
        <f>SUMIFS('Адресная программа'!$T$2938:$T$3030,'Адресная программа'!$G$2938:$G$3030,Фитнес!C34,'Адресная программа'!$C$2938:$C$3030,Фитнес!B34)*$K$7/15*$K$9</f>
        <v/>
      </c>
      <c r="G34" s="157">
        <f>$D$11</f>
        <v/>
      </c>
      <c r="H34" s="157">
        <f>D$12</f>
        <v/>
      </c>
      <c r="I34" s="171">
        <f>IF(D34=0,0,1-J34/F34)</f>
        <v/>
      </c>
      <c r="J34" s="937">
        <f>F34*(1-G34)*(1-H34)*(1-IF($AC$2="РА",$AD$2,0))*(1-IF(OR($AC$3="Доп скидка",$AC$3="Сезонная скидка",$AC$3="Welcome скидка")=TRUE,$AD$3,0))</f>
        <v/>
      </c>
      <c r="K34" s="934">
        <f>J34+L34</f>
        <v/>
      </c>
      <c r="L34" s="934">
        <f>J34*0.2</f>
        <v/>
      </c>
      <c r="M34" s="159">
        <f>(SUMIFS('Адресная программа'!$H$2938:$H$3030,'Адресная программа'!$G$2938:$G$3030,Фитнес!C34,'Адресная программа'!$C$2938:$C$3030,Фитнес!B34,'Адресная программа'!$N$2938:$N$3030,1)/31*$K$7)</f>
        <v/>
      </c>
      <c r="N34" s="938">
        <f>IF(M34=0,0,J34/M34*1000)</f>
        <v/>
      </c>
    </row>
    <row r="35" hidden="1">
      <c r="B35" s="250" t="inlineStr">
        <is>
          <t>Москва</t>
        </is>
      </c>
      <c r="C35" s="936" t="inlineStr">
        <is>
          <t>FIRST&amp;ONLY</t>
        </is>
      </c>
      <c r="D35" s="255">
        <f>SUMIFS('Адресная программа'!$O$20:$O$4021,'Адресная программа'!$G$20:$G$4021,C35,'Адресная программа'!$C$20:$C$4021,B35)</f>
        <v/>
      </c>
      <c r="E35" s="932">
        <f>IF(D35=0,0,AVERAGEIFS('Адресная программа'!$S$20:$S$4028,'Адресная программа'!$C$20:$C$4028,Фитнес!B35,'Адресная программа'!$N$20:$N$4028,1,'Адресная программа'!$G$20:$G$4028,Фитнес!C35))/15*$K$9</f>
        <v/>
      </c>
      <c r="F35" s="933">
        <f>SUMIFS('Адресная программа'!$T$20:$T$4028,'Адресная программа'!$G$20:$G$4028,Фитнес!C35,'Адресная программа'!$C$20:$C$4028,Фитнес!B35)*$K$7/15*$K$9</f>
        <v/>
      </c>
      <c r="G35" s="157">
        <f>$D$11</f>
        <v/>
      </c>
      <c r="H35" s="157">
        <f>D$12</f>
        <v/>
      </c>
      <c r="I35" s="171">
        <f>IF(D35=0,0,1-J35/F35)</f>
        <v/>
      </c>
      <c r="J35" s="937">
        <f>F35*(1-G35)*(1-H35)*(1-IF($AC$2="РА",$AD$2,0))*(1-IF(OR($AC$3="Доп скидка",$AC$3="Сезонная скидка",$AC$3="Welcome скидка")=TRUE,$AD$3,0))</f>
        <v/>
      </c>
      <c r="K35" s="934">
        <f>J35+L35</f>
        <v/>
      </c>
      <c r="L35" s="934">
        <f>J35*0.2</f>
        <v/>
      </c>
      <c r="M35" s="159">
        <f>(SUMIFS('Адресная программа'!$H$20:$H$4028,'Адресная программа'!$G$20:$G$4028,Фитнес!C35,'Адресная программа'!$C$20:$C$4028,Фитнес!B35,'Адресная программа'!$N$20:$N$4028,1)/31*$K$7)</f>
        <v/>
      </c>
      <c r="N35" s="938">
        <f>IF(M35=0,0,J35/M35*1000)</f>
        <v/>
      </c>
    </row>
    <row r="36" hidden="1" ht="18.75" customHeight="1">
      <c r="B36" s="250" t="inlineStr">
        <is>
          <t>Москва</t>
        </is>
      </c>
      <c r="C36" s="936" t="inlineStr">
        <is>
          <t>N-ERGO</t>
        </is>
      </c>
      <c r="D36" s="255">
        <f>SUMIFS('Адресная программа'!$O$2938:$O$4021,'Адресная программа'!$G$2938:$G$4021,C36,'Адресная программа'!$C$2938:$C$4021,B36)</f>
        <v/>
      </c>
      <c r="E36" s="932">
        <f>IF(D36=0,0,AVERAGEIFS('Адресная программа'!$S$2939:$S$3030,'Адресная программа'!$C$2939:$C$3030,Фитнес!B36,'Адресная программа'!$N$2939:$N$3030,1,'Адресная программа'!$G$2939:$G$3030,Фитнес!C36))</f>
        <v/>
      </c>
      <c r="F36" s="933">
        <f>SUMIFS('Адресная программа'!$T$2938:$T$3030,'Адресная программа'!$G$2938:$G$3030,Фитнес!C36,'Адресная программа'!$C$2938:$C$3030,Фитнес!B36)*$K$7/15*$K$9</f>
        <v/>
      </c>
      <c r="G36" s="157">
        <f>$D$11</f>
        <v/>
      </c>
      <c r="H36" s="157">
        <f>D$12</f>
        <v/>
      </c>
      <c r="I36" s="171">
        <f>IF(D36=0,0,1-J36/F36)</f>
        <v/>
      </c>
      <c r="J36" s="939">
        <f>F36*(1-G36)*(1-H36)*(1-IF($AC$2="РА",$AD$2,0))*(1-IF(OR($AC$3="Доп скидка",$AC$3="Сезонная скидка",$AC$3="Welcome скидка")=TRUE,$AD$3,0))</f>
        <v/>
      </c>
      <c r="K36" s="934">
        <f>J36+L36</f>
        <v/>
      </c>
      <c r="L36" s="934">
        <f>J36*0.2</f>
        <v/>
      </c>
      <c r="M36" s="159">
        <f>(SUMIFS('Адресная программа'!$H$2938:$H$3030,'Адресная программа'!$G$2938:$G$3030,Фитнес!C36,'Адресная программа'!$C$2938:$C$3030,Фитнес!B36,'Адресная программа'!$N$2938:$N$3030,1)/31*$K$7)</f>
        <v/>
      </c>
      <c r="N36" s="938">
        <f>IF(M36=0,0,J36/M36*1000)</f>
        <v/>
      </c>
    </row>
    <row r="37">
      <c r="M37" s="243" t="n"/>
    </row>
    <row r="38">
      <c r="D38" s="245">
        <f>SUBTOTAL(9,D22:D36)</f>
        <v/>
      </c>
      <c r="F38" s="940">
        <f>SUBTOTAL(9,F22:F36)</f>
        <v/>
      </c>
      <c r="J38" s="940">
        <f>SUBTOTAL(9,J22:J36)</f>
        <v/>
      </c>
      <c r="K38" s="940">
        <f>SUBTOTAL(9,K22:K36)</f>
        <v/>
      </c>
      <c r="L38" s="941">
        <f>SUBTOTAL(9,L22:L36)</f>
        <v/>
      </c>
      <c r="M38" s="259">
        <f>(SUMIFS('Адресная программа'!H2938:H3030,'Адресная программа'!N2938:N3030,"1"))/31*$K$7</f>
        <v/>
      </c>
      <c r="N38" s="259">
        <f>IF(M38=0,0,J38/M38*1000)</f>
        <v/>
      </c>
    </row>
  </sheetData>
  <autoFilter ref="B21:N36">
    <filterColumn colId="2" hiddenButton="0" showButton="1">
      <filters>
        <filter val="1"/>
      </filters>
    </filterColumn>
  </autoFilter>
  <mergeCells count="33">
    <mergeCell ref="B16:C16"/>
    <mergeCell ref="I6:J6"/>
    <mergeCell ref="B7:C7"/>
    <mergeCell ref="B3:C3"/>
    <mergeCell ref="I11:J11"/>
    <mergeCell ref="B12:C12"/>
    <mergeCell ref="B10:D10"/>
    <mergeCell ref="B11:C11"/>
    <mergeCell ref="I16:J16"/>
    <mergeCell ref="I7:J7"/>
    <mergeCell ref="B14:C14"/>
    <mergeCell ref="B17:C17"/>
    <mergeCell ref="B15:D15"/>
    <mergeCell ref="B8:C8"/>
    <mergeCell ref="B20:D20"/>
    <mergeCell ref="I3:J3"/>
    <mergeCell ref="B13:C13"/>
    <mergeCell ref="I12:J12"/>
    <mergeCell ref="I5:J5"/>
    <mergeCell ref="I8:J8"/>
    <mergeCell ref="B9:C9"/>
    <mergeCell ref="I14:J14"/>
    <mergeCell ref="I17:J17"/>
    <mergeCell ref="I15:K15"/>
    <mergeCell ref="B6:C6"/>
    <mergeCell ref="I4:J4"/>
    <mergeCell ref="I2:K2"/>
    <mergeCell ref="B5:C5"/>
    <mergeCell ref="I10:J10"/>
    <mergeCell ref="I9:J9"/>
    <mergeCell ref="I13:J13"/>
    <mergeCell ref="B4:C4"/>
    <mergeCell ref="B2:D2"/>
  </mergeCells>
  <dataValidations count="2">
    <dataValidation sqref="AC3" showDropDown="0" showInputMessage="1" showErrorMessage="1" allowBlank="1" type="list">
      <formula1>$AP$3:$AP$5</formula1>
    </dataValidation>
    <dataValidation sqref="AC2" showDropDown="0" showInputMessage="1" showErrorMessage="1" allowBlank="1" type="list">
      <formula1>$AN$2:$AN$3</formula1>
    </dataValidation>
  </dataValidations>
  <pageMargins left="0.7" right="0.7" top="0.75" bottom="0.75" header="0.3" footer="0.3"/>
  <pageSetup orientation="portrait" paperSize="9" horizontalDpi="1200" verticalDpi="1200"/>
</worksheet>
</file>

<file path=xl/worksheets/sheet6.xml><?xml version="1.0" encoding="utf-8"?>
<worksheet xmlns="http://schemas.openxmlformats.org/spreadsheetml/2006/main">
  <sheetPr codeName="Лист11">
    <outlinePr summaryBelow="1" summaryRight="1"/>
    <pageSetUpPr/>
  </sheetPr>
  <dimension ref="B1:AR25"/>
  <sheetViews>
    <sheetView showGridLines="0" zoomScale="90" zoomScaleNormal="90" workbookViewId="0">
      <selection activeCell="B9" sqref="B9:C9"/>
    </sheetView>
  </sheetViews>
  <sheetFormatPr baseColWidth="8" defaultColWidth="8.77734375" defaultRowHeight="10.2"/>
  <cols>
    <col width="6.5546875" customWidth="1" style="701" min="1" max="1"/>
    <col width="20.77734375" customWidth="1" style="701" min="2" max="2"/>
    <col width="23.77734375" customWidth="1" style="701" min="3" max="3"/>
    <col width="20.21875" customWidth="1" style="701" min="4" max="4"/>
    <col outlineLevel="1" width="20.21875" customWidth="1" style="701" min="5" max="5"/>
    <col outlineLevel="1" width="18" customWidth="1" style="701" min="6" max="6"/>
    <col outlineLevel="1" width="14" customWidth="1" style="701" min="7" max="7"/>
    <col outlineLevel="1" width="11.5546875" customWidth="1" style="701" min="8" max="8"/>
    <col width="18.77734375" customWidth="1" style="701" min="9" max="9"/>
    <col width="20.44140625" customWidth="1" style="701" min="10" max="10"/>
    <col width="16.5546875" customWidth="1" style="701" min="11" max="11"/>
    <col outlineLevel="1" width="15.77734375" customWidth="1" style="701" min="12" max="12"/>
    <col outlineLevel="1" width="14.21875" customWidth="1" style="701" min="13" max="13"/>
    <col outlineLevel="1" width="15.77734375" customWidth="1" style="701" min="14" max="14"/>
    <col width="21.21875" customWidth="1" style="701" min="15" max="15"/>
    <col width="15" customWidth="1" style="701" min="16" max="16"/>
    <col width="8.77734375" customWidth="1" style="701" min="17" max="38"/>
    <col width="8.77734375" customWidth="1" style="701" min="39" max="39"/>
    <col hidden="1" width="9.21875" customWidth="1" style="334" min="40" max="42"/>
    <col hidden="1" width="8.77734375" customWidth="1" style="334" min="43" max="43"/>
    <col hidden="1" width="15.77734375" customWidth="1" style="334" min="44" max="44"/>
    <col width="8.77734375" customWidth="1" style="701" min="45" max="45"/>
    <col width="8.77734375" customWidth="1" style="701" min="46" max="16384"/>
  </cols>
  <sheetData>
    <row r="1" ht="37.5" customHeight="1">
      <c r="B1" s="501" t="n"/>
      <c r="AR1" s="471" t="inlineStr">
        <is>
          <t>Праздники</t>
        </is>
      </c>
    </row>
    <row r="2" ht="22.5" customHeight="1" thickBot="1">
      <c r="B2" s="734" t="inlineStr">
        <is>
          <t>Сеть бизнес центров</t>
        </is>
      </c>
      <c r="E2" s="183" t="n"/>
      <c r="F2" s="183" t="n"/>
      <c r="G2" s="183" t="n"/>
      <c r="H2" s="183" t="n"/>
      <c r="I2" s="667" t="n"/>
      <c r="J2" s="15" t="n"/>
      <c r="K2" s="15" t="n"/>
      <c r="L2" s="183" t="n"/>
      <c r="M2" s="183" t="n"/>
      <c r="N2" s="183" t="n"/>
      <c r="AC2" s="202" t="n"/>
      <c r="AD2" s="239" t="n"/>
      <c r="AN2" s="335" t="inlineStr">
        <is>
          <t>ПК</t>
        </is>
      </c>
      <c r="AO2" s="336" t="n">
        <v>0</v>
      </c>
      <c r="AP2" s="335" t="n"/>
      <c r="AR2" s="472" t="n">
        <v>45658</v>
      </c>
    </row>
    <row r="3" ht="15" customHeight="1">
      <c r="B3" s="719" t="inlineStr">
        <is>
          <t xml:space="preserve">Клиент:  </t>
        </is>
      </c>
      <c r="C3" s="854" t="n"/>
      <c r="D3" s="115" t="n"/>
      <c r="E3" s="183" t="n"/>
      <c r="F3" s="183" t="n"/>
      <c r="G3" s="183" t="n"/>
      <c r="H3" s="183" t="n"/>
      <c r="I3" s="723" t="inlineStr">
        <is>
          <t xml:space="preserve">Всего экранов:  </t>
        </is>
      </c>
      <c r="J3" s="879" t="n"/>
      <c r="K3" s="99">
        <f>D25</f>
        <v/>
      </c>
      <c r="L3" s="183" t="n"/>
      <c r="M3" s="183" t="n"/>
      <c r="N3" s="183" t="n"/>
      <c r="AC3" s="202" t="n"/>
      <c r="AD3" s="239" t="n"/>
      <c r="AN3" s="335" t="inlineStr">
        <is>
          <t>РА</t>
        </is>
      </c>
      <c r="AO3" s="336" t="n">
        <v>0.05</v>
      </c>
      <c r="AP3" s="335" t="inlineStr">
        <is>
          <t>Доп скидка</t>
        </is>
      </c>
      <c r="AR3" s="472" t="n">
        <v>45659</v>
      </c>
    </row>
    <row r="4" ht="15" customHeight="1">
      <c r="B4" s="721" t="inlineStr">
        <is>
          <t xml:space="preserve">Бренд:  </t>
        </is>
      </c>
      <c r="C4" s="855" t="n"/>
      <c r="D4" s="116" t="n"/>
      <c r="E4" s="183" t="n"/>
      <c r="F4" s="183" t="n"/>
      <c r="G4" s="183" t="n"/>
      <c r="H4" s="183" t="n"/>
      <c r="I4" s="725" t="inlineStr">
        <is>
          <t>Часов работы одного экрана в сутки:</t>
        </is>
      </c>
      <c r="J4" s="856" t="n"/>
      <c r="K4" s="100" t="n">
        <v>12</v>
      </c>
      <c r="L4" s="183" t="n"/>
      <c r="M4" s="183" t="n"/>
      <c r="N4" s="183" t="n"/>
      <c r="AB4" s="844" t="n"/>
      <c r="AC4" s="844" t="n"/>
      <c r="AD4" s="474" t="n">
        <v>0.2</v>
      </c>
      <c r="AN4" s="335" t="n"/>
      <c r="AO4" s="336" t="n">
        <v>0.1</v>
      </c>
      <c r="AP4" s="335" t="inlineStr">
        <is>
          <t>Welcome скидка</t>
        </is>
      </c>
      <c r="AR4" s="472" t="n">
        <v>45660</v>
      </c>
    </row>
    <row r="5" ht="15" customHeight="1">
      <c r="B5" s="714" t="inlineStr">
        <is>
          <t xml:space="preserve">Начало РК:  </t>
        </is>
      </c>
      <c r="C5" s="855" t="n"/>
      <c r="D5" s="206">
        <f>Общий!D5</f>
        <v/>
      </c>
      <c r="E5" s="183" t="n"/>
      <c r="F5" s="183" t="n"/>
      <c r="G5" s="183" t="n"/>
      <c r="H5" s="183" t="n"/>
      <c r="I5" s="697" t="inlineStr">
        <is>
          <t>Продолжительность блока в минутах:</t>
        </is>
      </c>
      <c r="J5" s="856" t="n"/>
      <c r="K5" s="101" t="n">
        <v>2</v>
      </c>
      <c r="L5" s="183" t="n"/>
      <c r="M5" s="183" t="n"/>
      <c r="N5" s="183" t="n"/>
      <c r="AN5" s="335" t="n"/>
      <c r="AO5" s="336" t="n">
        <v>0.15</v>
      </c>
      <c r="AP5" s="335" t="inlineStr">
        <is>
          <t>Сезонная скидка</t>
        </is>
      </c>
      <c r="AR5" s="472" t="n">
        <v>45661</v>
      </c>
    </row>
    <row r="6" ht="15" customHeight="1">
      <c r="B6" s="714" t="inlineStr">
        <is>
          <t xml:space="preserve">Окончание РК:  </t>
        </is>
      </c>
      <c r="C6" s="855" t="n"/>
      <c r="D6" s="206">
        <f>Общий!D6</f>
        <v/>
      </c>
      <c r="E6" s="183" t="n"/>
      <c r="F6" s="183" t="n"/>
      <c r="G6" s="183" t="n"/>
      <c r="H6" s="183" t="n"/>
      <c r="I6" s="697" t="inlineStr">
        <is>
          <t>Блоков в сутки на одном экране:</t>
        </is>
      </c>
      <c r="J6" s="856" t="n"/>
      <c r="K6" s="101">
        <f>K4*60/K5</f>
        <v/>
      </c>
      <c r="L6" s="183" t="n"/>
      <c r="M6" s="183" t="n"/>
      <c r="N6" s="183" t="n"/>
      <c r="AN6" s="335" t="n"/>
      <c r="AO6" s="336" t="n">
        <v>0.2</v>
      </c>
      <c r="AP6" s="335" t="n"/>
      <c r="AR6" s="472" t="n">
        <v>45662</v>
      </c>
    </row>
    <row r="7" ht="15" customHeight="1">
      <c r="B7" s="714" t="inlineStr">
        <is>
          <t xml:space="preserve">Ролик1, сек:  </t>
        </is>
      </c>
      <c r="C7" s="855" t="n"/>
      <c r="D7" s="117">
        <f>Общий!D7</f>
        <v/>
      </c>
      <c r="E7" s="183" t="n"/>
      <c r="F7" s="183" t="n"/>
      <c r="G7" s="183" t="n"/>
      <c r="H7" s="183" t="n"/>
      <c r="I7" s="697" t="inlineStr">
        <is>
          <t>Кол-во рабочих дней размещения:</t>
        </is>
      </c>
      <c r="J7" s="856" t="n"/>
      <c r="K7" s="102">
        <f>NETWORKDAYS.INTL(D5,D6,1,AR2:AR17)</f>
        <v/>
      </c>
      <c r="L7" s="183" t="n"/>
      <c r="M7" s="183" t="n"/>
      <c r="N7" s="183" t="n"/>
      <c r="AN7" s="335" t="n"/>
      <c r="AO7" s="336" t="n">
        <v>0.25</v>
      </c>
      <c r="AP7" s="335" t="n"/>
      <c r="AR7" s="472" t="n">
        <v>45663</v>
      </c>
    </row>
    <row r="8" ht="15" customHeight="1">
      <c r="B8" s="714" t="inlineStr">
        <is>
          <t xml:space="preserve">Ролик2, сек:  </t>
        </is>
      </c>
      <c r="C8" s="855" t="n"/>
      <c r="D8" s="117" t="n"/>
      <c r="E8" s="183" t="n"/>
      <c r="F8" s="183" t="n"/>
      <c r="G8" s="183" t="n"/>
      <c r="H8" s="183" t="n"/>
      <c r="I8" s="697" t="inlineStr">
        <is>
          <t>Кол-во роликов в блоке:</t>
        </is>
      </c>
      <c r="J8" s="856" t="n"/>
      <c r="K8" s="101">
        <f>COUNT(D$7,D$8,D$9)</f>
        <v/>
      </c>
      <c r="L8" s="183" t="n"/>
      <c r="M8" s="183" t="n"/>
      <c r="N8" s="183" t="n"/>
      <c r="AN8" s="335" t="n"/>
      <c r="AO8" s="335" t="n"/>
      <c r="AP8" s="335" t="n"/>
      <c r="AR8" s="472" t="n">
        <v>45664</v>
      </c>
    </row>
    <row r="9" ht="15" customHeight="1" thickBot="1">
      <c r="B9" s="748" t="n"/>
      <c r="C9" s="855" t="n"/>
      <c r="D9" s="635" t="inlineStr">
        <is>
          <t>Карта</t>
        </is>
      </c>
      <c r="E9" s="183" t="n"/>
      <c r="F9" s="183" t="n"/>
      <c r="G9" s="183" t="n"/>
      <c r="H9" s="183" t="n"/>
      <c r="I9" s="697" t="inlineStr">
        <is>
          <t>Итого секунд в блоке:</t>
        </is>
      </c>
      <c r="J9" s="856" t="n"/>
      <c r="K9" s="102">
        <f>SUM(D7:D9)</f>
        <v/>
      </c>
      <c r="L9" s="183" t="n"/>
      <c r="M9" s="183" t="n"/>
      <c r="N9" s="183" t="n"/>
      <c r="AN9" s="335" t="n"/>
      <c r="AO9" s="335" t="n"/>
      <c r="AP9" s="335" t="n"/>
      <c r="AR9" s="472" t="n">
        <v>45665</v>
      </c>
    </row>
    <row r="10" ht="15" customHeight="1">
      <c r="B10" s="930" t="inlineStr">
        <is>
          <t>Применяемые скидки (последовательно)</t>
        </is>
      </c>
      <c r="C10" s="880" t="n"/>
      <c r="D10" s="855" t="n"/>
      <c r="E10" s="183" t="n"/>
      <c r="F10" s="183" t="n"/>
      <c r="G10" s="183" t="n"/>
      <c r="H10" s="183" t="n"/>
      <c r="I10" s="697" t="inlineStr">
        <is>
          <t>Показов в день на одном экране:</t>
        </is>
      </c>
      <c r="J10" s="856" t="n"/>
      <c r="K10" s="101">
        <f>K6*K8</f>
        <v/>
      </c>
      <c r="L10" s="183" t="n"/>
      <c r="M10" s="183" t="n"/>
      <c r="N10" s="183" t="n"/>
      <c r="AN10" s="335" t="n"/>
      <c r="AO10" s="336" t="n">
        <v>0</v>
      </c>
      <c r="AP10" s="335" t="n"/>
      <c r="AR10" s="472" t="n">
        <v>45711</v>
      </c>
    </row>
    <row r="11" ht="15" customHeight="1">
      <c r="B11" s="685" t="inlineStr">
        <is>
          <t>За кол-во экранов(средн):</t>
        </is>
      </c>
      <c r="C11" s="856" t="n"/>
      <c r="D11" s="118">
        <f>AVERAGE(G22:G23)</f>
        <v/>
      </c>
      <c r="E11" s="183" t="n"/>
      <c r="F11" s="183" t="n"/>
      <c r="G11" s="183" t="n"/>
      <c r="H11" s="183" t="n"/>
      <c r="I11" s="697" t="inlineStr">
        <is>
          <t>Минут в день на одном экране:</t>
        </is>
      </c>
      <c r="J11" s="856" t="n"/>
      <c r="K11" s="101">
        <f>K6*K9/60</f>
        <v/>
      </c>
      <c r="L11" s="183" t="n"/>
      <c r="M11" s="183" t="n"/>
      <c r="N11" s="183" t="n"/>
      <c r="AN11" s="335" t="n"/>
      <c r="AO11" s="336" t="n">
        <v>0.05</v>
      </c>
      <c r="AP11" s="335" t="n"/>
      <c r="AR11" s="472" t="n">
        <v>45724</v>
      </c>
    </row>
    <row r="12" ht="15" customHeight="1">
      <c r="B12" s="685" t="inlineStr">
        <is>
          <t>За период:</t>
        </is>
      </c>
      <c r="C12" s="856" t="n"/>
      <c r="D12" s="118">
        <f>IF(K7&gt;69,'Цены|Скидки'!$C$100,IF(K7&gt;39,'Цены|Скидки'!$C$99,0%))</f>
        <v/>
      </c>
      <c r="E12" s="183" t="n"/>
      <c r="F12" s="183" t="n"/>
      <c r="G12" s="183" t="n"/>
      <c r="H12" s="183" t="n"/>
      <c r="I12" s="697" t="inlineStr">
        <is>
          <t>Показов на всех экранах за период:</t>
        </is>
      </c>
      <c r="J12" s="856" t="n"/>
      <c r="K12" s="103">
        <f>K10*K7*K3</f>
        <v/>
      </c>
      <c r="L12" s="183" t="n"/>
      <c r="M12" s="183" t="n"/>
      <c r="N12" s="183" t="n"/>
      <c r="AN12" s="335" t="n"/>
      <c r="AO12" s="336" t="n">
        <v>0.1</v>
      </c>
      <c r="AP12" s="335" t="n"/>
      <c r="AR12" s="472" t="n">
        <v>45778</v>
      </c>
    </row>
    <row r="13" ht="15" customHeight="1">
      <c r="B13" s="685">
        <f>IF(AC2="РА","Скидка для РА:"," ")</f>
        <v/>
      </c>
      <c r="C13" s="856" t="n"/>
      <c r="D13" s="119">
        <f>IF(AC2="РА",AD2," ")</f>
        <v/>
      </c>
      <c r="E13" s="183" t="n"/>
      <c r="F13" s="183" t="n"/>
      <c r="G13" s="183" t="n"/>
      <c r="H13" s="183" t="n"/>
      <c r="I13" s="695" t="inlineStr">
        <is>
          <t>OTS:</t>
        </is>
      </c>
      <c r="J13" s="856" t="n"/>
      <c r="K13" s="122">
        <f>M25</f>
        <v/>
      </c>
      <c r="L13" s="183" t="n"/>
      <c r="M13" s="183" t="n"/>
      <c r="N13" s="183" t="n"/>
      <c r="AN13" s="335" t="n"/>
      <c r="AO13" s="336" t="n">
        <v>0.15</v>
      </c>
      <c r="AP13" s="335" t="n"/>
      <c r="AR13" s="472" t="n">
        <v>45779</v>
      </c>
    </row>
    <row r="14" ht="15" customHeight="1">
      <c r="B14" s="697">
        <f>IF(AC3=0," ",AC3)</f>
        <v/>
      </c>
      <c r="C14" s="856" t="n"/>
      <c r="D14" s="207">
        <f>IF(OR(AC3="Доп скидка",AC3="Сезонная скидка",AC3="Welcome скидка")=TRUE,AD3," ")</f>
        <v/>
      </c>
      <c r="E14" s="183" t="n"/>
      <c r="F14" s="183" t="n"/>
      <c r="G14" s="183" t="n"/>
      <c r="H14" s="183" t="n"/>
      <c r="I14" s="695" t="inlineStr">
        <is>
          <t>CPT:</t>
        </is>
      </c>
      <c r="J14" s="856" t="n"/>
      <c r="K14" s="882">
        <f>N25</f>
        <v/>
      </c>
      <c r="L14" s="183" t="n"/>
      <c r="M14" s="183" t="n"/>
      <c r="N14" s="183" t="n"/>
      <c r="AN14" s="335" t="n"/>
      <c r="AO14" s="336" t="n">
        <v>0.2</v>
      </c>
      <c r="AP14" s="335" t="n"/>
      <c r="AR14" s="472" t="n">
        <v>45786</v>
      </c>
    </row>
    <row r="15" ht="14.4" customHeight="1">
      <c r="B15" s="702" t="inlineStr">
        <is>
          <t>Стоимость размещения</t>
        </is>
      </c>
      <c r="C15" s="859" t="n"/>
      <c r="D15" s="856" t="n"/>
      <c r="E15" s="183" t="n"/>
      <c r="F15" s="183" t="n"/>
      <c r="G15" s="183" t="n"/>
      <c r="H15" s="183" t="n"/>
      <c r="I15" s="702" t="n"/>
      <c r="J15" s="859" t="n"/>
      <c r="K15" s="856" t="n"/>
      <c r="L15" s="183" t="n"/>
      <c r="M15" s="183" t="n"/>
      <c r="N15" s="183" t="n"/>
      <c r="AN15" s="335" t="n"/>
      <c r="AO15" s="336" t="n">
        <v>0.25</v>
      </c>
      <c r="AP15" s="335" t="n"/>
      <c r="AR15" s="472" t="n">
        <v>45820</v>
      </c>
    </row>
    <row r="16" ht="15" customHeight="1">
      <c r="B16" s="695" t="inlineStr">
        <is>
          <t>Всего, руб. NET:</t>
        </is>
      </c>
      <c r="C16" s="856" t="n"/>
      <c r="D16" s="904">
        <f>J25</f>
        <v/>
      </c>
      <c r="E16" s="183" t="n"/>
      <c r="F16" s="183" t="n"/>
      <c r="G16" s="183" t="n"/>
      <c r="H16" s="183" t="n"/>
      <c r="I16" s="709" t="inlineStr">
        <is>
          <t>Предоставление ролика до:</t>
        </is>
      </c>
      <c r="J16" s="856" t="n"/>
      <c r="K16" s="104">
        <f>D5-3</f>
        <v/>
      </c>
      <c r="L16" s="183" t="n"/>
      <c r="M16" s="183" t="n"/>
      <c r="N16" s="183" t="n"/>
      <c r="AN16" s="335" t="n"/>
      <c r="AO16" s="336" t="n"/>
      <c r="AP16" s="335" t="n"/>
      <c r="AR16" s="472" t="n">
        <v>45821</v>
      </c>
    </row>
    <row r="17" ht="15" customHeight="1" thickBot="1">
      <c r="B17" s="713" t="inlineStr">
        <is>
          <t>Всего, руб. GROSS:</t>
        </is>
      </c>
      <c r="C17" s="858" t="n"/>
      <c r="D17" s="905">
        <f>K25</f>
        <v/>
      </c>
      <c r="E17" s="208" t="n"/>
      <c r="F17" s="209" t="n"/>
      <c r="G17" s="210" t="n"/>
      <c r="H17" s="211" t="n"/>
      <c r="I17" s="711" t="inlineStr">
        <is>
          <t>Оплата до:</t>
        </is>
      </c>
      <c r="J17" s="858" t="n"/>
      <c r="K17" s="105">
        <f>D5-5</f>
        <v/>
      </c>
      <c r="L17" s="183" t="n"/>
      <c r="M17" s="183" t="n"/>
      <c r="N17" s="183" t="n"/>
      <c r="AN17" s="335" t="n"/>
      <c r="AO17" s="336" t="n"/>
      <c r="AP17" s="335" t="n"/>
      <c r="AR17" s="472" t="n">
        <v>45965</v>
      </c>
    </row>
    <row r="18" ht="10.5" customHeight="1">
      <c r="B18" s="111" t="n"/>
      <c r="C18" s="183" t="n"/>
      <c r="D18" s="183" t="n"/>
      <c r="E18" s="111" t="n"/>
      <c r="F18" s="112" t="n"/>
      <c r="G18" s="210" t="n"/>
      <c r="H18" s="114" t="n"/>
      <c r="I18" s="183" t="n"/>
      <c r="J18" s="183" t="n"/>
      <c r="K18" s="183" t="n"/>
      <c r="L18" s="183" t="n"/>
      <c r="M18" s="183" t="n"/>
      <c r="N18" s="183" t="n"/>
      <c r="AN18" s="335" t="inlineStr">
        <is>
          <t>Автобренд</t>
        </is>
      </c>
      <c r="AO18" s="335" t="n"/>
      <c r="AP18" s="335" t="n"/>
      <c r="AR18" s="472" t="n">
        <v>46022</v>
      </c>
    </row>
    <row r="19" ht="10.5" customHeight="1">
      <c r="B19" s="111" t="n"/>
      <c r="C19" s="183" t="n"/>
      <c r="D19" s="183" t="n"/>
      <c r="E19" s="111" t="n"/>
      <c r="F19" s="112" t="n"/>
      <c r="G19" s="210" t="n"/>
      <c r="H19" s="114" t="n"/>
      <c r="I19" s="183" t="n"/>
      <c r="J19" s="183" t="n"/>
      <c r="K19" s="183" t="n"/>
      <c r="L19" s="183" t="n"/>
      <c r="M19" s="183" t="n"/>
      <c r="N19" s="183" t="n"/>
      <c r="AN19" s="335" t="n"/>
      <c r="AO19" s="335" t="n"/>
      <c r="AP19" s="335" t="n"/>
    </row>
    <row r="20" ht="18.75" customFormat="1" customHeight="1" s="212" thickBot="1">
      <c r="B20" s="705" t="inlineStr">
        <is>
          <t>Расчет стоимости кампании в бизнес центрах</t>
        </is>
      </c>
      <c r="C20" s="15" t="n"/>
      <c r="D20" s="15" t="n"/>
      <c r="E20" s="29" t="n"/>
      <c r="F20" s="29" t="n"/>
      <c r="G20" s="29" t="n"/>
      <c r="H20" s="185" t="n"/>
      <c r="I20" s="185" t="n"/>
      <c r="J20" s="185" t="n"/>
      <c r="K20" s="188" t="n"/>
      <c r="L20" s="188" t="n"/>
      <c r="M20" s="185" t="n"/>
      <c r="N20" s="185" t="n"/>
      <c r="AN20" s="339" t="n"/>
      <c r="AO20" s="339" t="n"/>
      <c r="AP20" s="339" t="n"/>
      <c r="AQ20" s="339" t="n"/>
      <c r="AR20" s="339" t="n"/>
    </row>
    <row r="21" ht="49.5" customFormat="1" customHeight="1" s="212" thickBot="1">
      <c r="B21" s="106" t="inlineStr">
        <is>
          <t>Регион</t>
        </is>
      </c>
      <c r="C21" s="107" t="inlineStr">
        <is>
          <t>Сеть</t>
        </is>
      </c>
      <c r="D21" s="107" t="inlineStr">
        <is>
          <t>Количество     экранов</t>
        </is>
      </c>
      <c r="E21" s="107" t="inlineStr">
        <is>
          <t>Стоимость размещения в сутки на 1 экране, без НДС</t>
        </is>
      </c>
      <c r="F21" s="107" t="inlineStr">
        <is>
          <t>Стоимость размещения по выбранной АП за период, без НДС</t>
        </is>
      </c>
      <c r="G21" s="107" t="inlineStr">
        <is>
          <t>Скидка за кол-во экранов</t>
        </is>
      </c>
      <c r="H21" s="107" t="inlineStr">
        <is>
          <t>Скидка за период</t>
        </is>
      </c>
      <c r="I21" s="107" t="inlineStr">
        <is>
          <t>Итоговая скидка</t>
        </is>
      </c>
      <c r="J21" s="107" t="inlineStr">
        <is>
          <t xml:space="preserve"> Стоимость c учетом всех скидок, без НДС</t>
        </is>
      </c>
      <c r="K21" s="107" t="inlineStr">
        <is>
          <t xml:space="preserve"> Стоимость c учетом всех скидок, вкл. НДС</t>
        </is>
      </c>
      <c r="L21" s="107" t="inlineStr">
        <is>
          <t>Сумма НДС (20%)</t>
        </is>
      </c>
      <c r="M21" s="107" t="inlineStr">
        <is>
          <t>OTS</t>
        </is>
      </c>
      <c r="N21" s="109" t="inlineStr">
        <is>
          <t>CPT</t>
        </is>
      </c>
      <c r="AN21" s="339" t="n"/>
      <c r="AO21" s="339" t="n"/>
      <c r="AP21" s="339" t="n"/>
      <c r="AQ21" s="339" t="n"/>
      <c r="AR21" s="339" t="n"/>
    </row>
    <row r="22" ht="12" customFormat="1" customHeight="1" s="212">
      <c r="B22" s="253" t="inlineStr">
        <is>
          <t>Москва</t>
        </is>
      </c>
      <c r="C22" s="262" t="inlineStr">
        <is>
          <t>Бизнес центр</t>
        </is>
      </c>
      <c r="D22" s="255">
        <f>SUMIFS('Адресная программа'!$O$20:$O$4286,'Адресная программа'!$C$20:$C$4286,БЦ!B22,'Адресная программа'!G20:G4286,БЦ!C22)</f>
        <v/>
      </c>
      <c r="E22" s="932">
        <f>IF(D22=0,0,AVERAGEIFS('Адресная программа'!$S$20:$S$4286,'Адресная программа'!$N$20:$N$4286,1,'Адресная программа'!$C$20:$C$4286,БЦ!B22,'Адресная программа'!$F$20:$F$4286,БЦ!C22))/15*D7</f>
        <v/>
      </c>
      <c r="F22" s="942">
        <f>SUMIFS('Адресная программа'!$T$20:$T$4286,'Адресная программа'!$G$20:$G$4286,БЦ!C22,'Адресная программа'!$C$20:$C$4286,БЦ!B22)*$K$7/15*$K$9</f>
        <v/>
      </c>
      <c r="G22" s="156">
        <f>IF(SUMIFS('Адресная программа'!$O$20:$O$4940,'Адресная программа'!$N$20:$N$4940,1,'Адресная программа'!$C$20:$C$4940,БЦ!B22,'Адресная программа'!$G$20:$G$4940,БЦ!C22)=SUMIFS('Адресная программа'!$K$20:$K$4940,'Адресная программа'!$L$20:$L$4940,1,'Адресная программа'!$C$20:$C$4940,БЦ!B22,'Адресная программа'!$G$20:$G$4940,БЦ!C22),'Цены|Скидки'!$C$52,IF(SUMIFS('Адресная программа'!$O$20:$O$4940,'Адресная программа'!$N$20:$N$4940,1,'Адресная программа'!$C$20:$C$4940,БЦ!B22,'Адресная программа'!$G$20:$G$4940,БЦ!C22)&gt;(SUMIFS('Адресная программа'!$K$20:$K$4940,'Адресная программа'!$L$20:$L$4940,1,'Адресная программа'!$C$20:$C$4940,БЦ!B22,'Адресная программа'!$G$20:$G$4940,БЦ!C22)*'Цены|Скидки'!$B$53-1),'Цены|Скидки'!$C$53,IF(SUMIFS('Адресная программа'!$O$20:$O$4940,'Адресная программа'!$N$20:$N$4940,1,'Адресная программа'!$C$20:$C$4940,БЦ!B22,'Адресная программа'!$G$20:$G$4940,БЦ!C22)&gt;(SUMIFS('Адресная программа'!$K$20:$K$4940,'Адресная программа'!$L$20:$L$4940,1,'Адресная программа'!$C$20:$C$4940,БЦ!B22,'Адресная программа'!$G$20:$G$4940,БЦ!C22)*'Цены|Скидки'!$B$54-1),'Цены|Скидки'!$C$54,IF(SUMIFS('Адресная программа'!$O$20:$O$4940,'Адресная программа'!$N$20:$N$4940,1,'Адресная программа'!$C$20:$C$4940,БЦ!B22,'Адресная программа'!$G$20:$G$4940,БЦ!C22)&gt;(SUMIFS('Адресная программа'!$K$20:$K$4940,'Адресная программа'!$L$20:$L$4940,1,'Адресная программа'!$C$20:$C$4940,БЦ!B22,'Адресная программа'!$G$20:$G$4940,БЦ!C22)*'Цены|Скидки'!$B$55-1),'Цены|Скидки'!$C$55,0%))))</f>
        <v/>
      </c>
      <c r="H22" s="156">
        <f>D$12</f>
        <v/>
      </c>
      <c r="I22" s="190">
        <f>IF(D22=0,0,1-J22/F22)</f>
        <v/>
      </c>
      <c r="J22" s="934">
        <f>F22*(1-G22)*(1-H22)*(1-IF($AC$2="РА",$AD$2,0))*(1-IF(OR($AC$3="Доп скидка",$AC$3="Сезонная скидка",$AC$3="Welcome скидка")=TRUE,$AD$3,0))</f>
        <v/>
      </c>
      <c r="K22" s="934">
        <f>J22+L22</f>
        <v/>
      </c>
      <c r="L22" s="934">
        <f>J22*$AD$4</f>
        <v/>
      </c>
      <c r="M22" s="159">
        <f>(SUMIFS('Адресная программа'!$H$20:$H$4288,'Адресная программа'!$G$20:$G$4288,БЦ!C22,'Адресная программа'!$C$20:$C$4288,БЦ!B22,'Адресная программа'!N20:N4288,1)*$K$7)</f>
        <v/>
      </c>
      <c r="N22" s="935">
        <f>IF(M22=0,0,J22/M22*1000)</f>
        <v/>
      </c>
      <c r="AN22" s="339" t="n"/>
      <c r="AO22" s="339" t="n"/>
      <c r="AP22" s="339" t="n"/>
      <c r="AQ22" s="339" t="n"/>
      <c r="AR22" s="339" t="n"/>
    </row>
    <row r="23">
      <c r="B23" s="250" t="inlineStr">
        <is>
          <t>Санкт-Петербург</t>
        </is>
      </c>
      <c r="C23" s="262" t="inlineStr">
        <is>
          <t>Бизнес центр</t>
        </is>
      </c>
      <c r="D23" s="255">
        <f>SUMIFS('Адресная программа'!$O$20:$O$4286,'Адресная программа'!$C$20:$C$4286,БЦ!B23,'Адресная программа'!G20:G4286,БЦ!C23)</f>
        <v/>
      </c>
      <c r="E23" s="932">
        <f>IF(D23=0,0,AVERAGEIFS('Адресная программа'!$S$20:$S$4286,'Адресная программа'!$N$20:$N$4286,1,'Адресная программа'!$C$20:$C$4286,БЦ!B23,'Адресная программа'!$F$20:$F$4286,БЦ!C23))/15*D7</f>
        <v/>
      </c>
      <c r="F23" s="942">
        <f>SUMIFS('Адресная программа'!$T$20:$T$4286,'Адресная программа'!$G$20:$G$4286,БЦ!C23,'Адресная программа'!$C$20:$C$4286,БЦ!B23)*$K$7/15*$K$9</f>
        <v/>
      </c>
      <c r="G23" s="156">
        <f>IF(SUMIFS('Адресная программа'!$O$20:$O$4940,'Адресная программа'!$N$20:$N$4940,1,'Адресная программа'!$C$20:$C$4940,БЦ!B23,'Адресная программа'!$G$20:$G$4940,БЦ!C23)=SUMIFS('Адресная программа'!$K$20:$K$4940,'Адресная программа'!$L$20:$L$4940,1,'Адресная программа'!$C$20:$C$4940,БЦ!B23,'Адресная программа'!$G$20:$G$4940,БЦ!C23),'Цены|Скидки'!$C$52,IF(SUMIFS('Адресная программа'!$O$20:$O$4940,'Адресная программа'!$N$20:$N$4940,1,'Адресная программа'!$C$20:$C$4940,БЦ!B23,'Адресная программа'!$G$20:$G$4940,БЦ!C23)&gt;(SUMIFS('Адресная программа'!$K$20:$K$4940,'Адресная программа'!$L$20:$L$4940,1,'Адресная программа'!$C$20:$C$4940,БЦ!B23,'Адресная программа'!$G$20:$G$4940,БЦ!C23)*'Цены|Скидки'!$B$53-1),'Цены|Скидки'!$C$53,IF(SUMIFS('Адресная программа'!$O$20:$O$4940,'Адресная программа'!$N$20:$N$4940,1,'Адресная программа'!$C$20:$C$4940,БЦ!B23,'Адресная программа'!$G$20:$G$4940,БЦ!C23)&gt;(SUMIFS('Адресная программа'!$K$20:$K$4940,'Адресная программа'!$L$20:$L$4940,1,'Адресная программа'!$C$20:$C$4940,БЦ!B23,'Адресная программа'!$G$20:$G$4940,БЦ!C23)*'Цены|Скидки'!$B$54-1),'Цены|Скидки'!$C$54,IF(SUMIFS('Адресная программа'!$O$20:$O$4940,'Адресная программа'!$N$20:$N$4940,1,'Адресная программа'!$C$20:$C$4940,БЦ!B23,'Адресная программа'!$G$20:$G$4940,БЦ!C23)&gt;(SUMIFS('Адресная программа'!$K$20:$K$4940,'Адресная программа'!$L$20:$L$4940,1,'Адресная программа'!$C$20:$C$4940,БЦ!B23,'Адресная программа'!$G$20:$G$4940,БЦ!C23)*'Цены|Скидки'!$B$55-1),'Цены|Скидки'!$C$55,0%))))</f>
        <v/>
      </c>
      <c r="H23" s="157">
        <f>D$12</f>
        <v/>
      </c>
      <c r="I23" s="171">
        <f>IF(D23=0,0,1-J23/F23)</f>
        <v/>
      </c>
      <c r="J23" s="937">
        <f>F23*(1-G23)*(1-H23)*(1-IF($AC$2="РА",$AD$2,0))*(1-IF(OR($AC$3="Доп скидка",$AC$3="Сезонная скидка",$AC$3="Welcome скидка")=TRUE,$AD$3,0))</f>
        <v/>
      </c>
      <c r="K23" s="934">
        <f>J23+L23</f>
        <v/>
      </c>
      <c r="L23" s="934">
        <f>J23*$AD$4</f>
        <v/>
      </c>
      <c r="M23" s="159">
        <f>(SUMIFS('Адресная программа'!$H$20:$H$4288,'Адресная программа'!$G$20:$G$4288,БЦ!C23,'Адресная программа'!$C$20:$C$4288,БЦ!B23,'Адресная программа'!$N$20:$N$4288,1)*$K$7)</f>
        <v/>
      </c>
      <c r="N23" s="938">
        <f>IF(M23=0,0,J23/M23*1000)</f>
        <v/>
      </c>
    </row>
    <row r="24">
      <c r="M24" s="243" t="n"/>
    </row>
    <row r="25">
      <c r="D25" s="84">
        <f>SUBTOTAL(9,D22:D23)</f>
        <v/>
      </c>
      <c r="F25" s="941">
        <f>SUBTOTAL(9,F22:F23)</f>
        <v/>
      </c>
      <c r="J25" s="941">
        <f>SUBTOTAL(9,J22:J23)</f>
        <v/>
      </c>
      <c r="K25" s="940">
        <f>SUBTOTAL(9,K22:K23)</f>
        <v/>
      </c>
      <c r="L25" s="941">
        <f>SUBTOTAL(9,L22:L23)</f>
        <v/>
      </c>
      <c r="M25" s="259">
        <f>SUBTOTAL(9,M22:M23)</f>
        <v/>
      </c>
      <c r="N25" s="943">
        <f>IF(M25=0,0,J25/M25*1000)</f>
        <v/>
      </c>
    </row>
  </sheetData>
  <mergeCells count="33">
    <mergeCell ref="B16:C16"/>
    <mergeCell ref="I6:J6"/>
    <mergeCell ref="B7:C7"/>
    <mergeCell ref="B3:C3"/>
    <mergeCell ref="I11:J11"/>
    <mergeCell ref="B12:C12"/>
    <mergeCell ref="B10:D10"/>
    <mergeCell ref="B11:C11"/>
    <mergeCell ref="I16:J16"/>
    <mergeCell ref="I7:J7"/>
    <mergeCell ref="B14:C14"/>
    <mergeCell ref="B17:C17"/>
    <mergeCell ref="B15:D15"/>
    <mergeCell ref="B8:C8"/>
    <mergeCell ref="B20:D20"/>
    <mergeCell ref="I3:J3"/>
    <mergeCell ref="B13:C13"/>
    <mergeCell ref="I12:J12"/>
    <mergeCell ref="I5:J5"/>
    <mergeCell ref="I8:J8"/>
    <mergeCell ref="B9:C9"/>
    <mergeCell ref="I14:J14"/>
    <mergeCell ref="I17:J17"/>
    <mergeCell ref="I15:K15"/>
    <mergeCell ref="B6:C6"/>
    <mergeCell ref="I4:J4"/>
    <mergeCell ref="I2:K2"/>
    <mergeCell ref="B5:C5"/>
    <mergeCell ref="I10:J10"/>
    <mergeCell ref="I9:J9"/>
    <mergeCell ref="I13:J13"/>
    <mergeCell ref="B4:C4"/>
    <mergeCell ref="B2:D2"/>
  </mergeCells>
  <dataValidations disablePrompts="1" count="2">
    <dataValidation sqref="AC2" showDropDown="0" showInputMessage="1" showErrorMessage="1" allowBlank="1" type="list">
      <formula1>$AN$2:$AN$3</formula1>
    </dataValidation>
    <dataValidation sqref="AC3" showDropDown="0" showInputMessage="1" showErrorMessage="1" allowBlank="1" type="list">
      <formula1>$AP$3:$AP$5</formula1>
    </dataValidation>
  </dataValidations>
  <hyperlinks>
    <hyperlink xmlns:r="http://schemas.openxmlformats.org/officeDocument/2006/relationships" ref="D9" r:id="rId1"/>
  </hyperlinks>
  <pageMargins left="0.7" right="0.7" top="0.75" bottom="0.75" header="0.3" footer="0.3"/>
  <pageSetup orientation="portrait" paperSize="9" horizontalDpi="1200" verticalDpi="1200"/>
</worksheet>
</file>

<file path=xl/worksheets/sheet7.xml><?xml version="1.0" encoding="utf-8"?>
<worksheet xmlns="http://schemas.openxmlformats.org/spreadsheetml/2006/main">
  <sheetPr codeName="Лист12">
    <outlinePr summaryBelow="1" summaryRight="1"/>
    <pageSetUpPr/>
  </sheetPr>
  <dimension ref="B1:AP28"/>
  <sheetViews>
    <sheetView showGridLines="0" zoomScale="90" zoomScaleNormal="90" workbookViewId="0">
      <selection activeCell="B9" sqref="B9:C9"/>
    </sheetView>
  </sheetViews>
  <sheetFormatPr baseColWidth="8" defaultColWidth="8.77734375" defaultRowHeight="10.2"/>
  <cols>
    <col width="6.5546875" customWidth="1" style="701" min="1" max="1"/>
    <col width="20.77734375" customWidth="1" style="701" min="2" max="2"/>
    <col width="23.77734375" customWidth="1" style="701" min="3" max="3"/>
    <col width="20.21875" customWidth="1" style="701" min="4" max="4"/>
    <col outlineLevel="1" width="20.21875" customWidth="1" style="701" min="5" max="5"/>
    <col outlineLevel="1" width="18" customWidth="1" style="701" min="6" max="6"/>
    <col outlineLevel="1" width="14" customWidth="1" style="701" min="7" max="7"/>
    <col outlineLevel="1" width="11.5546875" customWidth="1" style="701" min="8" max="8"/>
    <col width="18.77734375" customWidth="1" style="701" min="9" max="9"/>
    <col width="20.44140625" customWidth="1" style="701" min="10" max="10"/>
    <col width="17.77734375" customWidth="1" style="701" min="11" max="11"/>
    <col outlineLevel="1" width="15.77734375" customWidth="1" style="701" min="12" max="12"/>
    <col outlineLevel="1" width="14.21875" customWidth="1" style="701" min="13" max="13"/>
    <col outlineLevel="1" width="15.77734375" customWidth="1" style="701" min="14" max="14"/>
    <col width="21.21875" customWidth="1" style="701" min="15" max="15"/>
    <col width="15" customWidth="1" style="701" min="16" max="16"/>
    <col width="8.77734375" customWidth="1" style="701" min="17" max="38"/>
    <col width="8.77734375" customWidth="1" style="701" min="39" max="39"/>
    <col hidden="1" width="9.21875" customWidth="1" style="701" min="40" max="42"/>
    <col hidden="1" width="8.77734375" customWidth="1" style="701" min="43" max="43"/>
    <col width="8.77734375" customWidth="1" style="701" min="44" max="16384"/>
  </cols>
  <sheetData>
    <row r="1" ht="37.5" customHeight="1">
      <c r="B1" s="238" t="n"/>
    </row>
    <row r="2" ht="22.5" customHeight="1" thickBot="1">
      <c r="B2" s="734" t="inlineStr">
        <is>
          <t>Сеть Торгово-равлекательных центров</t>
        </is>
      </c>
      <c r="E2" s="183" t="n"/>
      <c r="F2" s="183" t="n"/>
      <c r="G2" s="183" t="n"/>
      <c r="H2" s="183" t="n"/>
      <c r="I2" s="667" t="n"/>
      <c r="J2" s="15" t="n"/>
      <c r="K2" s="15" t="n"/>
      <c r="L2" s="183" t="n"/>
      <c r="M2" s="183" t="n"/>
      <c r="N2" s="183" t="n"/>
      <c r="AC2" s="202" t="n"/>
      <c r="AD2" s="239" t="n">
        <v>0.25</v>
      </c>
      <c r="AN2" s="183" t="inlineStr">
        <is>
          <t>ПК</t>
        </is>
      </c>
      <c r="AO2" s="204" t="n">
        <v>0</v>
      </c>
      <c r="AP2" s="183" t="n"/>
    </row>
    <row r="3" ht="15" customHeight="1">
      <c r="B3" s="719" t="inlineStr">
        <is>
          <t xml:space="preserve">Клиент:  </t>
        </is>
      </c>
      <c r="C3" s="854" t="n"/>
      <c r="D3" s="115" t="n"/>
      <c r="E3" s="183" t="n"/>
      <c r="F3" s="183" t="n"/>
      <c r="G3" s="183" t="n"/>
      <c r="H3" s="183" t="n"/>
      <c r="I3" s="723" t="inlineStr">
        <is>
          <t xml:space="preserve">Всего экранов:  </t>
        </is>
      </c>
      <c r="J3" s="879" t="n"/>
      <c r="K3" s="99">
        <f>SUMIF('Адресная программа'!G3304:G3306,"ТРЦ",'Адресная программа'!N3304:N3306)</f>
        <v/>
      </c>
      <c r="L3" s="183" t="n"/>
      <c r="M3" s="183" t="n"/>
      <c r="N3" s="183" t="n"/>
      <c r="AC3" s="202" t="n"/>
      <c r="AD3" s="239" t="n"/>
      <c r="AN3" s="183" t="inlineStr">
        <is>
          <t>РА</t>
        </is>
      </c>
      <c r="AO3" s="204" t="n">
        <v>0.05</v>
      </c>
      <c r="AP3" s="183" t="inlineStr">
        <is>
          <t>Доп скидка</t>
        </is>
      </c>
    </row>
    <row r="4" ht="15" customHeight="1">
      <c r="B4" s="721" t="inlineStr">
        <is>
          <t xml:space="preserve">Бренд:  </t>
        </is>
      </c>
      <c r="C4" s="855" t="n"/>
      <c r="D4" s="116" t="n"/>
      <c r="E4" s="183" t="n"/>
      <c r="F4" s="183" t="n"/>
      <c r="G4" s="183" t="n"/>
      <c r="H4" s="183" t="n"/>
      <c r="I4" s="725" t="inlineStr">
        <is>
          <t>Часов работы одного экрана в сутки:</t>
        </is>
      </c>
      <c r="J4" s="856" t="n"/>
      <c r="K4" s="100" t="n">
        <v>12</v>
      </c>
      <c r="L4" s="183" t="n"/>
      <c r="M4" s="183" t="n"/>
      <c r="N4" s="183" t="n"/>
      <c r="AB4" s="844" t="n"/>
      <c r="AC4" s="844" t="n"/>
      <c r="AN4" s="183" t="n"/>
      <c r="AO4" s="204" t="n">
        <v>0.1</v>
      </c>
      <c r="AP4" s="183" t="inlineStr">
        <is>
          <t>Welcome скидка</t>
        </is>
      </c>
    </row>
    <row r="5" ht="15" customHeight="1">
      <c r="B5" s="714" t="inlineStr">
        <is>
          <t xml:space="preserve">Начало РК:  </t>
        </is>
      </c>
      <c r="C5" s="855" t="n"/>
      <c r="D5" s="206">
        <f>Общий!D5</f>
        <v/>
      </c>
      <c r="E5" s="183" t="n"/>
      <c r="F5" s="183" t="n"/>
      <c r="G5" s="183" t="n"/>
      <c r="H5" s="183" t="n"/>
      <c r="I5" s="697" t="inlineStr">
        <is>
          <t>Продолжительность блока в минутах:</t>
        </is>
      </c>
      <c r="J5" s="856" t="n"/>
      <c r="K5" s="101" t="n">
        <v>5</v>
      </c>
      <c r="L5" s="183" t="n"/>
      <c r="M5" s="183" t="n"/>
      <c r="N5" s="183" t="n"/>
      <c r="AN5" s="183" t="n"/>
      <c r="AO5" s="204" t="n">
        <v>0.15</v>
      </c>
      <c r="AP5" s="183" t="inlineStr">
        <is>
          <t>Сезонная скидка</t>
        </is>
      </c>
    </row>
    <row r="6" ht="15" customHeight="1">
      <c r="B6" s="714" t="inlineStr">
        <is>
          <t xml:space="preserve">Окончание РК:  </t>
        </is>
      </c>
      <c r="C6" s="855" t="n"/>
      <c r="D6" s="206">
        <f>Общий!D6</f>
        <v/>
      </c>
      <c r="E6" s="183" t="n"/>
      <c r="F6" s="183" t="n"/>
      <c r="G6" s="183" t="n"/>
      <c r="H6" s="183" t="n"/>
      <c r="I6" s="697" t="inlineStr">
        <is>
          <t>Блоков в сутки на одном экране:</t>
        </is>
      </c>
      <c r="J6" s="856" t="n"/>
      <c r="K6" s="101">
        <f>K4*60/K5</f>
        <v/>
      </c>
      <c r="L6" s="183" t="n"/>
      <c r="M6" s="183" t="n"/>
      <c r="N6" s="183" t="n"/>
      <c r="AN6" s="183" t="n"/>
      <c r="AO6" s="204" t="n">
        <v>0.2</v>
      </c>
      <c r="AP6" s="183" t="n"/>
    </row>
    <row r="7" ht="15" customHeight="1">
      <c r="B7" s="714" t="inlineStr">
        <is>
          <t xml:space="preserve">Ролик1, сек:  </t>
        </is>
      </c>
      <c r="C7" s="855" t="n"/>
      <c r="D7" s="117">
        <f>Общий!D7</f>
        <v/>
      </c>
      <c r="E7" s="183" t="n"/>
      <c r="F7" s="183" t="n"/>
      <c r="G7" s="183" t="n"/>
      <c r="H7" s="183" t="n"/>
      <c r="I7" s="697" t="inlineStr">
        <is>
          <t>Кол-во дней размещения:</t>
        </is>
      </c>
      <c r="J7" s="856" t="n"/>
      <c r="K7" s="102">
        <f>D6-D5+1</f>
        <v/>
      </c>
      <c r="L7" s="183" t="n"/>
      <c r="M7" s="183" t="n"/>
      <c r="N7" s="183" t="n"/>
      <c r="AN7" s="183" t="n"/>
      <c r="AO7" s="204" t="n">
        <v>0.25</v>
      </c>
      <c r="AP7" s="183" t="n"/>
    </row>
    <row r="8" ht="15" customHeight="1">
      <c r="B8" s="714" t="inlineStr">
        <is>
          <t xml:space="preserve">Ролик2, сек:  </t>
        </is>
      </c>
      <c r="C8" s="855" t="n"/>
      <c r="D8" s="117" t="n"/>
      <c r="E8" s="183" t="n"/>
      <c r="F8" s="183" t="n"/>
      <c r="G8" s="183" t="n"/>
      <c r="H8" s="183" t="n"/>
      <c r="I8" s="697" t="inlineStr">
        <is>
          <t>Выходов в блоке:</t>
        </is>
      </c>
      <c r="J8" s="856" t="n"/>
      <c r="K8" s="101" t="n">
        <v>1</v>
      </c>
      <c r="L8" s="183" t="n"/>
      <c r="M8" s="183" t="n"/>
      <c r="N8" s="183" t="n"/>
      <c r="AN8" s="183" t="n"/>
      <c r="AO8" s="183" t="n"/>
      <c r="AP8" s="183" t="n"/>
    </row>
    <row r="9" ht="15" customHeight="1" thickBot="1">
      <c r="B9" s="748" t="n"/>
      <c r="C9" s="855" t="n"/>
      <c r="D9" s="240" t="n"/>
      <c r="E9" s="183" t="n"/>
      <c r="F9" s="183" t="n"/>
      <c r="G9" s="183" t="n"/>
      <c r="H9" s="183" t="n"/>
      <c r="I9" s="697" t="inlineStr">
        <is>
          <t>Итого секунд в блоке:</t>
        </is>
      </c>
      <c r="J9" s="856" t="n"/>
      <c r="K9" s="102">
        <f>SUM(D7:D9)</f>
        <v/>
      </c>
      <c r="L9" s="183" t="n"/>
      <c r="M9" s="183" t="n"/>
      <c r="N9" s="183" t="n"/>
      <c r="AN9" s="183" t="n"/>
      <c r="AO9" s="183" t="n"/>
      <c r="AP9" s="183" t="n"/>
    </row>
    <row r="10" ht="15" customHeight="1">
      <c r="B10" s="930" t="inlineStr">
        <is>
          <t>Применяемые скидки (последовательно)</t>
        </is>
      </c>
      <c r="C10" s="880" t="n"/>
      <c r="D10" s="855" t="n"/>
      <c r="E10" s="183" t="n"/>
      <c r="F10" s="183" t="n"/>
      <c r="G10" s="183" t="n"/>
      <c r="H10" s="183" t="n"/>
      <c r="I10" s="697" t="inlineStr">
        <is>
          <t>Показов в день на одном экране:</t>
        </is>
      </c>
      <c r="J10" s="856" t="n"/>
      <c r="K10" s="101">
        <f>K6*K8</f>
        <v/>
      </c>
      <c r="L10" s="183" t="n"/>
      <c r="M10" s="183" t="n"/>
      <c r="N10" s="183" t="n"/>
      <c r="AN10" s="183" t="n"/>
      <c r="AO10" s="204" t="n">
        <v>0</v>
      </c>
      <c r="AP10" s="183" t="n"/>
    </row>
    <row r="11" ht="15" customHeight="1">
      <c r="B11" s="685" t="inlineStr">
        <is>
          <t>За кол-во экранов(средн):</t>
        </is>
      </c>
      <c r="C11" s="856" t="n"/>
      <c r="D11" s="118">
        <f>IF(SUMIFS('Адресная программа'!$O$20:$O$4940,'Адресная программа'!$L$20:$L$4940,1,'Адресная программа'!$F$20:$F$4940,"ТРЦ")=SUMIFS('Адресная программа'!$L$20:$L$4940,'Адресная программа'!$L$20:$L$4940,1,'Адресная программа'!$F$20:$F$4940,"ТРЦ"),'Цены|Скидки'!C52,IF(SUMIFS('Адресная программа'!$O$20:$O$4940,'Адресная программа'!$L$20:$L$4940,1,'Адресная программа'!$F$20:$F$4940,"ТРЦ")&gt;(SUMIFS('Адресная программа'!$L$20:$L$4940,'Адресная программа'!$L$20:$L$4940,1,'Адресная программа'!$F$20:$F$4940,"ТРЦ")*'Цены|Скидки'!B53-1),'Цены|Скидки'!C53,IF(SUMIFS('Адресная программа'!$O$20:$O$4940,'Адресная программа'!$L$20:$L$4940,1,'Адресная программа'!$F$20:$F$4940,"ТРЦ")&gt;(SUMIFS('Адресная программа'!$L$20:$L$4940,'Адресная программа'!$L$20:$L$4940,1,'Адресная программа'!$F$20:$F$4940,"ТРЦ")*'Цены|Скидки'!B54-1),'Цены|Скидки'!C54,IF(SUMIFS('Адресная программа'!$O$20:$O$4940,'Адресная программа'!$L$20:$L$4940,1,'Адресная программа'!$F$20:$F$4940,"ТРЦ")&gt;(SUMIFS('Адресная программа'!$L$20:$L$4940,'Адресная программа'!$L$20:$L$4940,1,'Адресная программа'!$F$20:$F$4940,"ТРЦ")*'Цены|Скидки'!B55-1),'Цены|Скидки'!C55,0%))))</f>
        <v/>
      </c>
      <c r="E11" s="183" t="n"/>
      <c r="F11" s="183" t="n"/>
      <c r="G11" s="183" t="n"/>
      <c r="H11" s="183" t="n"/>
      <c r="I11" s="697" t="inlineStr">
        <is>
          <t>Минут в день на одном экране:</t>
        </is>
      </c>
      <c r="J11" s="856" t="n"/>
      <c r="K11" s="101">
        <f>K6*K9/60</f>
        <v/>
      </c>
      <c r="L11" s="183" t="n"/>
      <c r="M11" s="183" t="n"/>
      <c r="N11" s="183" t="n"/>
      <c r="AN11" s="183" t="n"/>
      <c r="AO11" s="204" t="n">
        <v>0.05</v>
      </c>
      <c r="AP11" s="183" t="n"/>
    </row>
    <row r="12" ht="15" customHeight="1">
      <c r="B12" s="685" t="inlineStr">
        <is>
          <t>За период:</t>
        </is>
      </c>
      <c r="C12" s="856" t="n"/>
      <c r="D12" s="118">
        <f>IF(K7&gt;69,'Цены|Скидки'!$C$100,IF(K7&gt;39,'Цены|Скидки'!$C$99,0%))</f>
        <v/>
      </c>
      <c r="E12" s="183" t="n"/>
      <c r="F12" s="183" t="n"/>
      <c r="G12" s="183" t="n"/>
      <c r="H12" s="183" t="n"/>
      <c r="I12" s="697" t="inlineStr">
        <is>
          <t>Показов на всех экранах за период:</t>
        </is>
      </c>
      <c r="J12" s="856" t="n"/>
      <c r="K12" s="103">
        <f>K10*K7*K3</f>
        <v/>
      </c>
      <c r="L12" s="183" t="n"/>
      <c r="M12" s="183" t="n"/>
      <c r="N12" s="183" t="n"/>
      <c r="AN12" s="183" t="n"/>
      <c r="AO12" s="204" t="n">
        <v>0.1</v>
      </c>
      <c r="AP12" s="183" t="n"/>
    </row>
    <row r="13" ht="15" customHeight="1">
      <c r="B13" s="685">
        <f>IF(AC2="РА","Скидка для РА:"," ")</f>
        <v/>
      </c>
      <c r="C13" s="856" t="n"/>
      <c r="D13" s="119">
        <f>IF(AC2="РА",AD2," ")</f>
        <v/>
      </c>
      <c r="E13" s="183" t="n"/>
      <c r="F13" s="183" t="n"/>
      <c r="G13" s="183" t="n"/>
      <c r="H13" s="183" t="n"/>
      <c r="I13" s="695" t="inlineStr">
        <is>
          <t>OTS:</t>
        </is>
      </c>
      <c r="J13" s="856" t="n"/>
      <c r="K13" s="122">
        <f>M28</f>
        <v/>
      </c>
      <c r="L13" s="183" t="n"/>
      <c r="M13" s="183" t="n"/>
      <c r="N13" s="183" t="n"/>
      <c r="AN13" s="183" t="n"/>
      <c r="AO13" s="204" t="n">
        <v>0.15</v>
      </c>
      <c r="AP13" s="183" t="n"/>
    </row>
    <row r="14" ht="15" customHeight="1">
      <c r="B14" s="697">
        <f>IF(AC3=0," ",AC3)</f>
        <v/>
      </c>
      <c r="C14" s="856" t="n"/>
      <c r="D14" s="207">
        <f>IF(OR(AC3="Доп скидка",AC3="Сезонная скидка",AC3="Welcome скидка")=TRUE,AD3," ")</f>
        <v/>
      </c>
      <c r="E14" s="183" t="n"/>
      <c r="F14" s="183" t="n"/>
      <c r="G14" s="183" t="n"/>
      <c r="H14" s="183" t="n"/>
      <c r="I14" s="695" t="inlineStr">
        <is>
          <t>CPT:</t>
        </is>
      </c>
      <c r="J14" s="856" t="n"/>
      <c r="K14" s="882">
        <f>N28</f>
        <v/>
      </c>
      <c r="L14" s="183" t="n"/>
      <c r="M14" s="183" t="n"/>
      <c r="N14" s="183" t="n"/>
      <c r="AN14" s="183" t="n"/>
      <c r="AO14" s="204" t="n">
        <v>0.2</v>
      </c>
      <c r="AP14" s="183" t="n"/>
    </row>
    <row r="15">
      <c r="B15" s="702" t="inlineStr">
        <is>
          <t>Стоимость размещения</t>
        </is>
      </c>
      <c r="C15" s="859" t="n"/>
      <c r="D15" s="856" t="n"/>
      <c r="E15" s="183" t="n"/>
      <c r="F15" s="183" t="n"/>
      <c r="G15" s="183" t="n"/>
      <c r="H15" s="183" t="n"/>
      <c r="I15" s="702" t="n"/>
      <c r="J15" s="859" t="n"/>
      <c r="K15" s="856" t="n"/>
      <c r="L15" s="183" t="n"/>
      <c r="M15" s="183" t="n"/>
      <c r="N15" s="183" t="n"/>
      <c r="AN15" s="183" t="n"/>
      <c r="AO15" s="204" t="n">
        <v>0.25</v>
      </c>
      <c r="AP15" s="183" t="n"/>
    </row>
    <row r="16" ht="15" customHeight="1">
      <c r="B16" s="695" t="inlineStr">
        <is>
          <t>Всего, руб. NET:</t>
        </is>
      </c>
      <c r="C16" s="856" t="n"/>
      <c r="D16" s="904">
        <f>J28</f>
        <v/>
      </c>
      <c r="E16" s="183" t="n"/>
      <c r="F16" s="183" t="n"/>
      <c r="G16" s="183" t="n"/>
      <c r="H16" s="183" t="n"/>
      <c r="I16" s="709" t="inlineStr">
        <is>
          <t>Предоставление ролика до:</t>
        </is>
      </c>
      <c r="J16" s="856" t="n"/>
      <c r="K16" s="104">
        <f>D5-3</f>
        <v/>
      </c>
      <c r="L16" s="183" t="n"/>
      <c r="M16" s="183" t="n"/>
      <c r="N16" s="183" t="n"/>
      <c r="AN16" s="183" t="n"/>
      <c r="AO16" s="204" t="n"/>
      <c r="AP16" s="183" t="n"/>
    </row>
    <row r="17" ht="15" customHeight="1" thickBot="1">
      <c r="B17" s="713" t="inlineStr">
        <is>
          <t>Всего, руб. GROSS:</t>
        </is>
      </c>
      <c r="C17" s="858" t="n"/>
      <c r="D17" s="905">
        <f>K28</f>
        <v/>
      </c>
      <c r="E17" s="208" t="n"/>
      <c r="F17" s="209" t="n"/>
      <c r="G17" s="210" t="n"/>
      <c r="H17" s="211" t="n"/>
      <c r="I17" s="711" t="inlineStr">
        <is>
          <t>Оплата до:</t>
        </is>
      </c>
      <c r="J17" s="858" t="n"/>
      <c r="K17" s="105">
        <f>D5-5</f>
        <v/>
      </c>
      <c r="L17" s="183" t="n"/>
      <c r="M17" s="183" t="n"/>
      <c r="N17" s="183" t="n"/>
      <c r="AN17" s="183" t="n"/>
      <c r="AO17" s="204" t="n"/>
      <c r="AP17" s="183" t="n"/>
    </row>
    <row r="18" ht="10.5" customHeight="1">
      <c r="B18" s="111" t="n"/>
      <c r="C18" s="183" t="n"/>
      <c r="D18" s="183" t="n"/>
      <c r="E18" s="111" t="n"/>
      <c r="F18" s="112" t="n"/>
      <c r="G18" s="210" t="n"/>
      <c r="H18" s="114" t="n"/>
      <c r="I18" s="183" t="n"/>
      <c r="J18" s="183" t="n"/>
      <c r="K18" s="183" t="n"/>
      <c r="L18" s="183" t="n"/>
      <c r="M18" s="183" t="n"/>
      <c r="N18" s="183" t="n"/>
      <c r="AN18" s="183" t="inlineStr">
        <is>
          <t>Автобренд</t>
        </is>
      </c>
      <c r="AO18" s="183" t="n"/>
      <c r="AP18" s="183" t="n"/>
    </row>
    <row r="19" ht="10.5" customHeight="1">
      <c r="B19" s="111" t="n"/>
      <c r="C19" s="183" t="n"/>
      <c r="D19" s="183" t="n"/>
      <c r="E19" s="111" t="n"/>
      <c r="F19" s="112" t="n"/>
      <c r="G19" s="210" t="n"/>
      <c r="H19" s="114" t="n"/>
      <c r="I19" s="183" t="n"/>
      <c r="J19" s="183" t="n"/>
      <c r="K19" s="183" t="n"/>
      <c r="L19" s="183" t="n"/>
      <c r="M19" s="183" t="n"/>
      <c r="N19" s="183" t="n"/>
      <c r="AN19" s="183" t="n"/>
      <c r="AO19" s="183" t="n"/>
      <c r="AP19" s="183" t="n"/>
    </row>
    <row r="20" ht="20.25" customFormat="1" customHeight="1" s="212" thickBot="1">
      <c r="B20" s="705" t="inlineStr">
        <is>
          <t>Расчет стоимости кампании в ТРЦ</t>
        </is>
      </c>
      <c r="C20" s="15" t="n"/>
      <c r="D20" s="15" t="n"/>
      <c r="E20" s="29" t="n"/>
      <c r="F20" s="29" t="n"/>
      <c r="G20" s="29" t="n"/>
      <c r="H20" s="185" t="n"/>
      <c r="I20" s="185" t="n"/>
      <c r="J20" s="185" t="n"/>
      <c r="K20" s="188" t="n"/>
      <c r="L20" s="188" t="n"/>
      <c r="M20" s="185" t="n"/>
      <c r="N20" s="185" t="n"/>
    </row>
    <row r="21" ht="49.5" customFormat="1" customHeight="1" s="212" thickBot="1">
      <c r="B21" s="106" t="inlineStr">
        <is>
          <t>Название</t>
        </is>
      </c>
      <c r="C21" s="107" t="inlineStr">
        <is>
          <t>Размер видеостены</t>
        </is>
      </c>
      <c r="D21" s="107" t="inlineStr">
        <is>
          <t>Проходимость в день</t>
        </is>
      </c>
      <c r="E21" s="107" t="inlineStr">
        <is>
          <t>Стоимость размещения в сутки на 1 экране, без НДС</t>
        </is>
      </c>
      <c r="F21" s="107" t="inlineStr">
        <is>
          <t>Стоимость размещения по выбранной АП за период, без НДС</t>
        </is>
      </c>
      <c r="G21" s="107" t="inlineStr">
        <is>
          <t>Скидка за кол-во экранов</t>
        </is>
      </c>
      <c r="H21" s="107" t="inlineStr">
        <is>
          <t>Скидка за период</t>
        </is>
      </c>
      <c r="I21" s="107" t="inlineStr">
        <is>
          <t>Итоговая скидка</t>
        </is>
      </c>
      <c r="J21" s="107" t="inlineStr">
        <is>
          <t xml:space="preserve"> Стоимость c учетом всех скидок, без НДС</t>
        </is>
      </c>
      <c r="K21" s="107" t="inlineStr">
        <is>
          <t xml:space="preserve"> Стоимость c учетом всех скидок, вкл. НДС</t>
        </is>
      </c>
      <c r="L21" s="107" t="inlineStr">
        <is>
          <t>Сумма НДС (20%)</t>
        </is>
      </c>
      <c r="M21" s="107" t="inlineStr">
        <is>
          <t>OTS</t>
        </is>
      </c>
      <c r="N21" s="109" t="inlineStr">
        <is>
          <t>CPT</t>
        </is>
      </c>
    </row>
    <row r="22" hidden="1" ht="12" customHeight="1">
      <c r="B22" s="378" t="inlineStr">
        <is>
          <t xml:space="preserve">Афимолл Сити </t>
        </is>
      </c>
      <c r="C22" s="13" t="inlineStr">
        <is>
          <t>4,86x2,74</t>
        </is>
      </c>
      <c r="D22" s="791" t="n">
        <v>73770</v>
      </c>
      <c r="E22" s="944">
        <f>5265/15*K9</f>
        <v/>
      </c>
      <c r="F22" s="945">
        <f>IF('Адресная программа'!N3297=1,E22*$K$7*$K$8,0)</f>
        <v/>
      </c>
      <c r="G22" s="156">
        <f>$D$11</f>
        <v/>
      </c>
      <c r="H22" s="156">
        <f>D$12</f>
        <v/>
      </c>
      <c r="I22" s="946">
        <f>IF(F22=0,0,1-J22/F22)</f>
        <v/>
      </c>
      <c r="J22" s="934">
        <f>F22*(1-$D$11)*(1-$D$12)*(1-IF($AC$2="РА",$AD$2,0))*(1-IF(OR($AC$3="Доп скидка",$AC$3="Сезонная скидка",$AC$3="Welcome скидка")=TRUE,$AD$3,0))</f>
        <v/>
      </c>
      <c r="K22" s="934">
        <f>J22+L22</f>
        <v/>
      </c>
      <c r="L22" s="934">
        <f>J22*0.2</f>
        <v/>
      </c>
      <c r="M22" s="159">
        <f>IF(F22=0,0,(D22*$K$7)*(90/($K$5*60)))</f>
        <v/>
      </c>
      <c r="N22" s="935">
        <f>IF(M22=0,0,J22/M22*1000)</f>
        <v/>
      </c>
    </row>
    <row r="23" hidden="1" ht="12" customHeight="1">
      <c r="B23" s="378" t="inlineStr">
        <is>
          <t xml:space="preserve">Афимолл Сити </t>
        </is>
      </c>
      <c r="C23" s="13" t="inlineStr">
        <is>
          <t>4,86x2,74</t>
        </is>
      </c>
      <c r="D23" s="791" t="n">
        <v>73770</v>
      </c>
      <c r="E23" s="944">
        <f>5265/15*K9</f>
        <v/>
      </c>
      <c r="F23" s="945">
        <f>IF('Адресная программа'!N3303=1,E23*$K$7*$K$8,0)</f>
        <v/>
      </c>
      <c r="G23" s="156">
        <f>$D$11</f>
        <v/>
      </c>
      <c r="H23" s="156">
        <f>D$12</f>
        <v/>
      </c>
      <c r="I23" s="946">
        <f>IF(F23=0,0,1-J23/F23)</f>
        <v/>
      </c>
      <c r="J23" s="934">
        <f>F23*(1-$D$11)*(1-$D$12)*(1-IF($AC$2="РА",$AD$2,0))*(1-IF(OR($AC$3="Доп скидка",$AC$3="Сезонная скидка",$AC$3="Welcome скидка")=TRUE,$AD$3,0))</f>
        <v/>
      </c>
      <c r="K23" s="934">
        <f>J23+L23</f>
        <v/>
      </c>
      <c r="L23" s="934">
        <f>J23*0.2</f>
        <v/>
      </c>
      <c r="M23" s="159">
        <f>IF(F23=0,0,(D23*$K$7)*(90/($K$5*60)))</f>
        <v/>
      </c>
      <c r="N23" s="935">
        <f>IF(M23=0,0,J23/M23*1000)</f>
        <v/>
      </c>
    </row>
    <row r="24" ht="12" customHeight="1">
      <c r="B24" s="378" t="inlineStr">
        <is>
          <t xml:space="preserve">Афимолл Сити </t>
        </is>
      </c>
      <c r="C24" s="13" t="inlineStr">
        <is>
          <t>3,67x2,08</t>
        </is>
      </c>
      <c r="D24" s="791" t="n">
        <v>73770</v>
      </c>
      <c r="E24" s="944">
        <f>5265/15*K9</f>
        <v/>
      </c>
      <c r="F24" s="945">
        <f>IF(VLOOKUP("MSK_TRC_Afimoll_Siti_3",'Адресная программа'!J20:O6000,6,)=1,E24*$K$7*$K$8,0)</f>
        <v/>
      </c>
      <c r="G24" s="156">
        <f>$D$11</f>
        <v/>
      </c>
      <c r="H24" s="156">
        <f>D$12</f>
        <v/>
      </c>
      <c r="I24" s="946">
        <f>IF(F24=0,0,1-J24/F24)</f>
        <v/>
      </c>
      <c r="J24" s="934">
        <f>F24*(1-$D$11)*(1-$D$12)*(1-IF($AC$2="РА",$AD$2,0))*(1-IF(OR($AC$3="Доп скидка",$AC$3="Сезонная скидка",$AC$3="Welcome скидка")=TRUE,$AD$3,0))</f>
        <v/>
      </c>
      <c r="K24" s="934">
        <f>J24+L24</f>
        <v/>
      </c>
      <c r="L24" s="934">
        <f>J24*0.2</f>
        <v/>
      </c>
      <c r="M24" s="159">
        <f>IF(F24=0,0,(D24*$K$7)*(90/($K$5*60)))</f>
        <v/>
      </c>
      <c r="N24" s="935">
        <f>IF(M24=0,0,J24/M24*1000)</f>
        <v/>
      </c>
    </row>
    <row r="25" ht="12" customHeight="1">
      <c r="B25" s="378" t="inlineStr">
        <is>
          <t xml:space="preserve">Афимолл Сити </t>
        </is>
      </c>
      <c r="C25" s="13" t="inlineStr">
        <is>
          <t>4,7x1,3</t>
        </is>
      </c>
      <c r="D25" s="791" t="n">
        <v>73770</v>
      </c>
      <c r="E25" s="944">
        <f>1980/15*K9</f>
        <v/>
      </c>
      <c r="F25" s="945">
        <f>IF(VLOOKUP("MSK_TRC_Afimoll_Siti_4",'Адресная программа'!J20:O6000,6,)=1,E25*$K$7*$K$8,0)</f>
        <v/>
      </c>
      <c r="G25" s="156">
        <f>$D$11</f>
        <v/>
      </c>
      <c r="H25" s="156">
        <f>D$12</f>
        <v/>
      </c>
      <c r="I25" s="946">
        <f>IF(F25=0,0,1-J25/F25)</f>
        <v/>
      </c>
      <c r="J25" s="934">
        <f>F25*(1-$D$11)*(1-$D$12)*(1-IF($AC$2="РА",$AD$2,0))*(1-IF(OR($AC$3="Доп скидка",$AC$3="Сезонная скидка",$AC$3="Welcome скидка")=TRUE,$AD$3,0))</f>
        <v/>
      </c>
      <c r="K25" s="934">
        <f>J25+L25</f>
        <v/>
      </c>
      <c r="L25" s="934">
        <f>J25*0.2</f>
        <v/>
      </c>
      <c r="M25" s="159">
        <f>IF(F25=0,0,(D25*$K$7)*(90/($K$5*60)))</f>
        <v/>
      </c>
      <c r="N25" s="935">
        <f>IF(M25=0,0,J25/M25*1000)</f>
        <v/>
      </c>
    </row>
    <row r="26" ht="12" customHeight="1">
      <c r="B26" s="378" t="inlineStr">
        <is>
          <t xml:space="preserve">Афимолл Сити </t>
        </is>
      </c>
      <c r="C26" s="13" t="inlineStr">
        <is>
          <t>4,7x1,3</t>
        </is>
      </c>
      <c r="D26" s="791" t="n">
        <v>73770</v>
      </c>
      <c r="E26" s="944">
        <f>1980/15*K9</f>
        <v/>
      </c>
      <c r="F26" s="945">
        <f>IF(VLOOKUP("MSK_TRC_Afimoll_Siti_5",'Адресная программа'!J20:O6000,6,)=1,E26*$K$7*$K$8,0)</f>
        <v/>
      </c>
      <c r="G26" s="156">
        <f>$D$11</f>
        <v/>
      </c>
      <c r="H26" s="156">
        <f>D$12</f>
        <v/>
      </c>
      <c r="I26" s="946">
        <f>IF(F26=0,0,1-J26/F26)</f>
        <v/>
      </c>
      <c r="J26" s="934">
        <f>F26*(1-$D$11)*(1-$D$12)*(1-IF($AC$2="РА",$AD$2,0))*(1-IF(OR($AC$3="Доп скидка",$AC$3="Сезонная скидка",$AC$3="Welcome скидка")=TRUE,$AD$3,0))</f>
        <v/>
      </c>
      <c r="K26" s="934">
        <f>J26+L26</f>
        <v/>
      </c>
      <c r="L26" s="934">
        <f>J26*0.2</f>
        <v/>
      </c>
      <c r="M26" s="159">
        <f>IF(F26=0,0,(D26*$K$7)*(90/($K$5*60)))</f>
        <v/>
      </c>
      <c r="N26" s="935">
        <f>IF(M26=0,0,J26/M26*1000)</f>
        <v/>
      </c>
    </row>
    <row r="28">
      <c r="F28" s="941">
        <f>SUBTOTAL(9,F22:F26)</f>
        <v/>
      </c>
      <c r="J28" s="941">
        <f>SUBTOTAL(9,J22:J26)</f>
        <v/>
      </c>
      <c r="K28" s="940">
        <f>SUBTOTAL(9,K22:K26)</f>
        <v/>
      </c>
      <c r="L28" s="941">
        <f>SUBTOTAL(9,L22:L26)</f>
        <v/>
      </c>
      <c r="M28" s="259">
        <f>SUBTOTAL(9,M22:M26)</f>
        <v/>
      </c>
      <c r="N28" s="943">
        <f>IF(M28=0,0,J28/M28*1000)</f>
        <v/>
      </c>
    </row>
  </sheetData>
  <autoFilter ref="B21:N26"/>
  <mergeCells count="33">
    <mergeCell ref="B16:C16"/>
    <mergeCell ref="I6:J6"/>
    <mergeCell ref="B7:C7"/>
    <mergeCell ref="B3:C3"/>
    <mergeCell ref="I11:J11"/>
    <mergeCell ref="B12:C12"/>
    <mergeCell ref="B10:D10"/>
    <mergeCell ref="I16:J16"/>
    <mergeCell ref="B11:C11"/>
    <mergeCell ref="I7:J7"/>
    <mergeCell ref="B14:C14"/>
    <mergeCell ref="B17:C17"/>
    <mergeCell ref="B15:D15"/>
    <mergeCell ref="B8:C8"/>
    <mergeCell ref="B20:D20"/>
    <mergeCell ref="I3:J3"/>
    <mergeCell ref="B13:C13"/>
    <mergeCell ref="I12:J12"/>
    <mergeCell ref="I5:J5"/>
    <mergeCell ref="I8:J8"/>
    <mergeCell ref="B9:C9"/>
    <mergeCell ref="I14:J14"/>
    <mergeCell ref="I17:J17"/>
    <mergeCell ref="I15:K15"/>
    <mergeCell ref="B6:C6"/>
    <mergeCell ref="I4:J4"/>
    <mergeCell ref="I2:K2"/>
    <mergeCell ref="I10:J10"/>
    <mergeCell ref="B5:C5"/>
    <mergeCell ref="I9:J9"/>
    <mergeCell ref="I13:J13"/>
    <mergeCell ref="B4:C4"/>
    <mergeCell ref="B2:D2"/>
  </mergeCells>
  <dataValidations count="2">
    <dataValidation sqref="AC3" showDropDown="0" showInputMessage="1" showErrorMessage="1" allowBlank="1" type="list">
      <formula1>$AP$3:$AP$5</formula1>
    </dataValidation>
    <dataValidation sqref="AC2" showDropDown="0" showInputMessage="1" showErrorMessage="1" allowBlank="1" type="list">
      <formula1>$AN$2:$AN$3</formula1>
    </dataValidation>
  </dataValidations>
  <hyperlinks>
    <hyperlink xmlns:r="http://schemas.openxmlformats.org/officeDocument/2006/relationships" ref="B22" display="http://www.clumba.ru/mediaplan/TC/afimoll_1-new.jpg" r:id="rId1"/>
    <hyperlink xmlns:r="http://schemas.openxmlformats.org/officeDocument/2006/relationships" ref="B23" display="http://www.clumba.ru/mediaplan/TC/afimoll_2-new-1.jpg" r:id="rId2"/>
    <hyperlink xmlns:r="http://schemas.openxmlformats.org/officeDocument/2006/relationships" ref="B24" display="http://www.clumba.ru/mediaplan/TC/afimoll_3-new.jpg" r:id="rId3"/>
    <hyperlink xmlns:r="http://schemas.openxmlformats.org/officeDocument/2006/relationships" ref="B25" display="http://www.clumba.ru/mediaplan/TC/afimol_new2_4.pdf" r:id="rId4"/>
    <hyperlink xmlns:r="http://schemas.openxmlformats.org/officeDocument/2006/relationships" ref="B26" display="http://www.clumba.ru/mediaplan/TC/afimol_new2_5.pdf" r:id="rId5"/>
  </hyperlinks>
  <pageMargins left="0.7" right="0.7" top="0.75" bottom="0.75" header="0.3" footer="0.3"/>
  <pageSetup orientation="portrait" paperSize="9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AR47"/>
  <sheetViews>
    <sheetView showGridLines="0" zoomScale="90" zoomScaleNormal="90" zoomScalePageLayoutView="125" workbookViewId="0">
      <selection activeCell="B9" sqref="B9:C9"/>
    </sheetView>
  </sheetViews>
  <sheetFormatPr baseColWidth="8" defaultColWidth="8.77734375" defaultRowHeight="10.2"/>
  <cols>
    <col width="6.44140625" customWidth="1" style="701" min="1" max="1"/>
    <col width="20.77734375" customWidth="1" style="701" min="2" max="2"/>
    <col width="23.77734375" customWidth="1" style="701" min="3" max="3"/>
    <col width="20.21875" customWidth="1" style="701" min="4" max="4"/>
    <col outlineLevel="1" width="20.21875" customWidth="1" style="701" min="5" max="5"/>
    <col outlineLevel="1" width="18" customWidth="1" style="701" min="6" max="6"/>
    <col outlineLevel="1" width="11.44140625" customWidth="1" style="701" min="7" max="7"/>
    <col width="18.77734375" customWidth="1" style="701" min="8" max="8"/>
    <col width="20.44140625" customWidth="1" style="701" min="9" max="9"/>
    <col width="25.21875" customWidth="1" style="701" min="10" max="10"/>
    <col width="15.44140625" customWidth="1" style="701" min="11" max="11"/>
    <col width="13.77734375" customWidth="1" style="701" min="12" max="12"/>
    <col width="13.21875" customWidth="1" style="701" min="13" max="13"/>
    <col width="15" customWidth="1" style="701" min="14" max="14"/>
    <col width="8.77734375" customWidth="1" style="701" min="15" max="27"/>
    <col width="12.21875" customWidth="1" style="701" min="28" max="28"/>
    <col width="8.77734375" customWidth="1" style="701" min="29" max="35"/>
    <col width="8.77734375" customWidth="1" style="278" min="36" max="36"/>
    <col width="8.77734375" customWidth="1" style="632" min="37" max="38"/>
    <col hidden="1" width="9.21875" customWidth="1" style="334" min="39" max="41"/>
    <col width="8.77734375" customWidth="1" style="632" min="42" max="43"/>
    <col width="8.77734375" customWidth="1" style="278" min="44" max="44"/>
    <col width="8.77734375" customWidth="1" style="701" min="45" max="16384"/>
  </cols>
  <sheetData>
    <row r="1" ht="43.5" customHeight="1">
      <c r="B1" s="238" t="n"/>
    </row>
    <row r="2" ht="22.05" customHeight="1" thickBot="1">
      <c r="B2" s="734" t="inlineStr">
        <is>
          <t>Размещение на цифровых носителях в ТРК АФИМОЛЛ</t>
        </is>
      </c>
      <c r="E2" s="183" t="n"/>
      <c r="F2" s="183" t="n"/>
      <c r="G2" s="183" t="n"/>
      <c r="H2" s="667" t="n"/>
      <c r="I2" s="15" t="n"/>
      <c r="J2" s="15" t="n"/>
      <c r="K2" s="667" t="n"/>
      <c r="L2" s="183" t="n"/>
      <c r="AC2" s="202" t="n"/>
      <c r="AD2" s="239" t="n"/>
      <c r="AM2" s="335" t="n"/>
      <c r="AN2" s="336" t="n">
        <v>0</v>
      </c>
      <c r="AO2" s="335" t="n"/>
    </row>
    <row r="3" ht="15" customHeight="1">
      <c r="B3" s="719" t="inlineStr">
        <is>
          <t xml:space="preserve">Клиент:  </t>
        </is>
      </c>
      <c r="C3" s="854" t="n"/>
      <c r="D3" s="562" t="n"/>
      <c r="E3" s="183" t="n"/>
      <c r="F3" s="183" t="n"/>
      <c r="G3" s="183" t="n"/>
      <c r="H3" s="723" t="inlineStr">
        <is>
          <t xml:space="preserve">Всего экранов:  </t>
        </is>
      </c>
      <c r="I3" s="879" t="n"/>
      <c r="J3" s="99">
        <f>D22</f>
        <v/>
      </c>
      <c r="K3" s="610" t="n"/>
      <c r="L3" s="183" t="n"/>
      <c r="AC3" s="202" t="n"/>
      <c r="AD3" s="239" t="n"/>
      <c r="AM3" s="335" t="inlineStr">
        <is>
          <t>РА</t>
        </is>
      </c>
      <c r="AN3" s="336" t="n">
        <v>0.05</v>
      </c>
      <c r="AO3" s="335" t="inlineStr">
        <is>
          <t>Доп скидка</t>
        </is>
      </c>
    </row>
    <row r="4" ht="15" customHeight="1">
      <c r="B4" s="721" t="inlineStr">
        <is>
          <t xml:space="preserve">Бренд:  </t>
        </is>
      </c>
      <c r="C4" s="855" t="n"/>
      <c r="D4" s="563" t="n"/>
      <c r="E4" s="183" t="n"/>
      <c r="F4" s="183" t="n"/>
      <c r="G4" s="183" t="n"/>
      <c r="H4" s="725" t="inlineStr">
        <is>
          <t>Часов работы одного экрана в сутки:</t>
        </is>
      </c>
      <c r="I4" s="856" t="n"/>
      <c r="J4" s="100" t="n">
        <v>13</v>
      </c>
      <c r="K4" s="611" t="n"/>
      <c r="L4" s="183" t="n"/>
      <c r="AA4" s="844" t="n"/>
      <c r="AB4" s="844" t="n"/>
      <c r="AM4" s="335" t="n"/>
      <c r="AN4" s="336" t="n">
        <v>0.1</v>
      </c>
      <c r="AO4" s="335" t="inlineStr">
        <is>
          <t>Welcome скидка</t>
        </is>
      </c>
    </row>
    <row r="5" ht="15" customHeight="1">
      <c r="B5" s="714" t="inlineStr">
        <is>
          <t xml:space="preserve">Начало РК:  </t>
        </is>
      </c>
      <c r="C5" s="855" t="n"/>
      <c r="D5" s="564">
        <f>Общий!D5</f>
        <v/>
      </c>
      <c r="E5" s="565" t="n"/>
      <c r="F5" s="565" t="n"/>
      <c r="G5" s="183" t="n"/>
      <c r="H5" s="697" t="inlineStr">
        <is>
          <t>Продолжительность блока в минутах:</t>
        </is>
      </c>
      <c r="I5" s="856" t="n"/>
      <c r="J5" s="101">
        <f>IF(MAX(MIN(EOMONTH("01.12.2025",0),D6)-MAX("01.12.2025",D5)+1,0)=J7,5,IF(MAX(MIN(EOMONTH("01.12.2025",0),D6)-MAX("01.12.2025",D5)+1,0)=0,3,"3"))</f>
        <v/>
      </c>
      <c r="K5" s="612" t="n"/>
      <c r="L5" s="183" t="n"/>
      <c r="AM5" s="335" t="n"/>
      <c r="AN5" s="336" t="n">
        <v>0.15</v>
      </c>
      <c r="AO5" s="335" t="inlineStr">
        <is>
          <t>Сезонная скидка</t>
        </is>
      </c>
    </row>
    <row r="6" ht="15" customHeight="1">
      <c r="B6" s="714" t="inlineStr">
        <is>
          <t xml:space="preserve">Окончание РК:  </t>
        </is>
      </c>
      <c r="C6" s="855" t="n"/>
      <c r="D6" s="564">
        <f>Общий!D6</f>
        <v/>
      </c>
      <c r="E6" s="947">
        <f>IF(J7&lt;14,"Минимальный период размещения 14 дней","")</f>
        <v/>
      </c>
      <c r="F6" s="896" t="n"/>
      <c r="G6" s="948" t="n"/>
      <c r="H6" s="697" t="inlineStr">
        <is>
          <t>Блоков в сутки на одном экране:</t>
        </is>
      </c>
      <c r="I6" s="856" t="n"/>
      <c r="J6" s="926">
        <f>J4*60/J5</f>
        <v/>
      </c>
      <c r="K6" s="949" t="n"/>
      <c r="AM6" s="335" t="n"/>
      <c r="AN6" s="336" t="n"/>
      <c r="AO6" s="335" t="n"/>
    </row>
    <row r="7" ht="15" customHeight="1">
      <c r="B7" s="714" t="inlineStr">
        <is>
          <t xml:space="preserve">Ролик, сек:  </t>
        </is>
      </c>
      <c r="C7" s="855" t="n"/>
      <c r="D7" s="566" t="n">
        <v>15</v>
      </c>
      <c r="E7" s="183" t="n"/>
      <c r="F7" s="183" t="n"/>
      <c r="G7" s="183" t="n"/>
      <c r="H7" s="697" t="inlineStr">
        <is>
          <t>Кол-во дней размещения:</t>
        </is>
      </c>
      <c r="I7" s="856" t="n"/>
      <c r="J7" s="102">
        <f>D6-D5+1</f>
        <v/>
      </c>
      <c r="K7" s="614" t="n"/>
      <c r="L7" s="183" t="n"/>
      <c r="AM7" s="335" t="inlineStr">
        <is>
          <t>Коэфф</t>
        </is>
      </c>
      <c r="AN7" s="335">
        <f>IF(I7&lt;25,1.2,IF(I7&lt;30,1.1,1))</f>
        <v/>
      </c>
      <c r="AO7" s="335" t="n"/>
    </row>
    <row r="8" ht="15" customHeight="1">
      <c r="B8" s="714" t="inlineStr">
        <is>
          <t xml:space="preserve">Доля эфира:  </t>
        </is>
      </c>
      <c r="C8" s="855" t="n"/>
      <c r="D8" s="567">
        <f>IF(D7=B34,C34,IF(D7=B35,C35,IF(D7=B36,C36,IF(D7=B37,C37,IF(D7=B38,C38,IF(D7=B39,C39,C40))))))</f>
        <v/>
      </c>
      <c r="E8" s="183" t="n"/>
      <c r="F8" s="183" t="n"/>
      <c r="G8" s="183" t="n"/>
      <c r="H8" s="697" t="inlineStr">
        <is>
          <t>Кол-во роликов в блоке:</t>
        </is>
      </c>
      <c r="I8" s="856" t="n"/>
      <c r="J8" s="101" t="n">
        <v>1</v>
      </c>
      <c r="K8" s="612" t="n"/>
      <c r="L8" s="183" t="n"/>
      <c r="AM8" s="335" t="n"/>
      <c r="AN8" s="335" t="n"/>
      <c r="AO8" s="335" t="n"/>
    </row>
    <row r="9" ht="15" customHeight="1">
      <c r="B9" s="748" t="n"/>
      <c r="C9" s="855" t="n"/>
      <c r="D9" s="568" t="n"/>
      <c r="E9" s="183" t="n"/>
      <c r="F9" s="183" t="n"/>
      <c r="G9" s="183" t="n"/>
      <c r="H9" s="697" t="inlineStr">
        <is>
          <t>Итого секунд в блоке:</t>
        </is>
      </c>
      <c r="I9" s="856" t="n"/>
      <c r="J9" s="102">
        <f>SUM(D7:D8)</f>
        <v/>
      </c>
      <c r="K9" s="614" t="n"/>
      <c r="L9" s="183" t="n"/>
      <c r="AM9" s="335" t="n"/>
      <c r="AN9" s="335" t="n"/>
      <c r="AO9" s="335" t="n"/>
    </row>
    <row r="10" ht="15" customHeight="1">
      <c r="B10" s="930" t="inlineStr">
        <is>
          <t>Применяемые скидки (последовательно)</t>
        </is>
      </c>
      <c r="C10" s="880" t="n"/>
      <c r="D10" s="855" t="n"/>
      <c r="E10" s="183" t="n"/>
      <c r="F10" s="183" t="n"/>
      <c r="G10" s="183" t="n"/>
      <c r="H10" s="697" t="inlineStr">
        <is>
          <t>Показов в день на одном экране:</t>
        </is>
      </c>
      <c r="I10" s="856" t="n"/>
      <c r="J10" s="926">
        <f>J6*J8</f>
        <v/>
      </c>
      <c r="K10" s="949" t="n"/>
      <c r="L10" s="183" t="n"/>
      <c r="AM10" s="335" t="n"/>
      <c r="AN10" s="336" t="n">
        <v>0</v>
      </c>
      <c r="AO10" s="335" t="n"/>
    </row>
    <row r="11" ht="15" customHeight="1">
      <c r="B11" s="685" t="inlineStr">
        <is>
          <t>Итоговая скидка:</t>
        </is>
      </c>
      <c r="C11" s="856" t="n"/>
      <c r="D11" s="569">
        <f>AVERAGE(G22:G22)</f>
        <v/>
      </c>
      <c r="E11" s="183" t="n"/>
      <c r="F11" s="183" t="n"/>
      <c r="G11" s="183" t="n"/>
      <c r="H11" s="697" t="inlineStr">
        <is>
          <t>Минут в день на одном экране:</t>
        </is>
      </c>
      <c r="I11" s="856" t="n"/>
      <c r="J11" s="926">
        <f>J6*J9/60</f>
        <v/>
      </c>
      <c r="K11" s="949" t="n"/>
      <c r="L11" s="183" t="n"/>
      <c r="AM11" s="335" t="n"/>
      <c r="AN11" s="336" t="n">
        <v>0.05</v>
      </c>
      <c r="AO11" s="335" t="n"/>
    </row>
    <row r="12" ht="15" customHeight="1">
      <c r="B12" s="685">
        <f>IF(AC2="РА","Скидка для РА:"," ")</f>
        <v/>
      </c>
      <c r="C12" s="856" t="n"/>
      <c r="D12" s="119">
        <f>IF(AC2="РА",AD2," ")</f>
        <v/>
      </c>
      <c r="E12" s="183" t="n"/>
      <c r="F12" s="183" t="n"/>
      <c r="G12" s="183" t="n"/>
      <c r="H12" s="697" t="inlineStr">
        <is>
          <t>Показов на всех экранах за период:</t>
        </is>
      </c>
      <c r="I12" s="856" t="n"/>
      <c r="J12" s="103">
        <f>(J3*(J7-(MAX(MIN(EOMONTH("01.12.2025",0),D6)-MAX("01.12.2025",D5)+1,0)))*J10)+(J3*(MAX(MIN(EOMONTH("01.12.2025",0),D6)-MAX("01.12.2025",D5)+1,0))*((J4*60/5)*J8))</f>
        <v/>
      </c>
      <c r="K12" s="615" t="n"/>
      <c r="L12" s="183" t="n"/>
      <c r="AM12" s="335" t="n"/>
      <c r="AN12" s="336" t="n">
        <v>0.1</v>
      </c>
      <c r="AO12" s="335" t="n"/>
    </row>
    <row r="13" ht="10.5" customHeight="1">
      <c r="B13" s="697">
        <f>IF(AC3=0," ",AC3)</f>
        <v/>
      </c>
      <c r="C13" s="950" t="n"/>
      <c r="D13" s="207">
        <f>IF(OR(AC3="Доп скидка",AC3="Сезонная скидка",AC3="Welcome скидка")=TRUE,AD3," ")</f>
        <v/>
      </c>
      <c r="E13" s="183" t="n"/>
      <c r="F13" s="183" t="n"/>
      <c r="G13" s="183" t="n"/>
      <c r="H13" s="739" t="inlineStr">
        <is>
          <t xml:space="preserve">Размер конструкции: </t>
        </is>
      </c>
      <c r="I13" s="951" t="n"/>
      <c r="J13" s="952" t="inlineStr">
        <is>
          <t>1-й ярус: 150,72х2,08м 
2-й ярус: 159,04х2,08м</t>
        </is>
      </c>
      <c r="K13" s="616" t="n"/>
      <c r="L13" s="183" t="n"/>
      <c r="AM13" s="335" t="n"/>
      <c r="AN13" s="336" t="n">
        <v>0.15</v>
      </c>
      <c r="AO13" s="335" t="n"/>
    </row>
    <row r="14" ht="13.5" customHeight="1">
      <c r="B14" s="953" t="n"/>
      <c r="C14" s="925" t="n"/>
      <c r="D14" s="954" t="n"/>
      <c r="E14" s="183" t="n"/>
      <c r="F14" s="183" t="n"/>
      <c r="G14" s="183" t="n"/>
      <c r="H14" s="953" t="n"/>
      <c r="I14" s="955" t="n"/>
      <c r="J14" s="956" t="n"/>
      <c r="K14" s="616" t="n"/>
      <c r="L14" s="183" t="n"/>
      <c r="AM14" s="335" t="n"/>
      <c r="AN14" s="336" t="n">
        <v>0.2</v>
      </c>
      <c r="AO14" s="335" t="n"/>
    </row>
    <row r="15">
      <c r="B15" s="702" t="inlineStr">
        <is>
          <t>Стоимость размещения</t>
        </is>
      </c>
      <c r="C15" s="859" t="n"/>
      <c r="D15" s="856" t="n"/>
      <c r="E15" s="183" t="n"/>
      <c r="F15" s="183" t="n"/>
      <c r="G15" s="183" t="n"/>
      <c r="H15" s="927" t="inlineStr">
        <is>
          <t>Фото</t>
        </is>
      </c>
      <c r="I15" s="859" t="n"/>
      <c r="J15" s="903" t="n"/>
      <c r="K15" s="617" t="n"/>
      <c r="L15" s="183" t="n"/>
      <c r="AM15" s="335" t="n"/>
      <c r="AN15" s="336" t="n">
        <v>0.25</v>
      </c>
      <c r="AO15" s="335" t="n"/>
    </row>
    <row r="16" ht="15" customHeight="1">
      <c r="B16" s="695" t="inlineStr">
        <is>
          <t>Всего, руб. NET:</t>
        </is>
      </c>
      <c r="C16" s="856" t="n"/>
      <c r="D16" s="904">
        <f>H22</f>
        <v/>
      </c>
      <c r="E16" s="183" t="n"/>
      <c r="F16" s="183" t="n"/>
      <c r="G16" s="183" t="n"/>
      <c r="H16" s="709" t="inlineStr">
        <is>
          <t>Предоставление ролика до:</t>
        </is>
      </c>
      <c r="I16" s="856" t="n"/>
      <c r="J16" s="104">
        <f>D5-3</f>
        <v/>
      </c>
      <c r="K16" s="618" t="n"/>
      <c r="L16" s="183" t="n"/>
      <c r="AM16" s="335" t="n"/>
      <c r="AN16" s="336" t="n">
        <v>0.3</v>
      </c>
      <c r="AO16" s="335" t="n"/>
    </row>
    <row r="17" ht="15" customHeight="1" thickBot="1">
      <c r="B17" s="713" t="inlineStr">
        <is>
          <t>Всего, руб. GROSS:</t>
        </is>
      </c>
      <c r="C17" s="858" t="n"/>
      <c r="D17" s="905">
        <f>I22</f>
        <v/>
      </c>
      <c r="E17" s="208" t="n"/>
      <c r="F17" s="209" t="n"/>
      <c r="G17" s="211" t="n"/>
      <c r="H17" s="711" t="inlineStr">
        <is>
          <t>Оплата до:</t>
        </is>
      </c>
      <c r="I17" s="858" t="n"/>
      <c r="J17" s="105">
        <f>D5-5</f>
        <v/>
      </c>
      <c r="K17" s="618" t="n"/>
      <c r="L17" s="183" t="n"/>
      <c r="AM17" s="335" t="n"/>
      <c r="AO17" s="335" t="n"/>
    </row>
    <row r="18" ht="10.5" customHeight="1">
      <c r="B18" s="111" t="n"/>
      <c r="C18" s="183" t="n"/>
      <c r="D18" s="183" t="n"/>
      <c r="E18" s="111" t="n"/>
      <c r="F18" s="112" t="n"/>
      <c r="G18" s="114" t="n"/>
      <c r="H18" s="183" t="n"/>
      <c r="I18" s="183" t="n"/>
      <c r="J18" s="183" t="n"/>
      <c r="K18" s="183" t="n"/>
      <c r="L18" s="183" t="n"/>
      <c r="AM18" s="335" t="inlineStr">
        <is>
          <t>Автобренд</t>
        </is>
      </c>
      <c r="AN18" s="335" t="n"/>
      <c r="AO18" s="335" t="n"/>
    </row>
    <row r="19" ht="10.5" customHeight="1">
      <c r="B19" s="111" t="n"/>
      <c r="C19" s="183" t="n"/>
      <c r="D19" s="183" t="n"/>
      <c r="E19" s="111" t="n"/>
      <c r="F19" s="112" t="n"/>
      <c r="G19" s="114" t="n"/>
      <c r="H19" s="183" t="n"/>
      <c r="I19" s="183" t="n"/>
      <c r="J19" s="183" t="n"/>
      <c r="K19" s="183" t="n"/>
      <c r="L19" s="183" t="n"/>
      <c r="AM19" s="335" t="n"/>
      <c r="AN19" s="335" t="n"/>
      <c r="AO19" s="335" t="n"/>
    </row>
    <row r="20" ht="18.75" customFormat="1" customHeight="1" s="212" thickBot="1">
      <c r="B20" s="705" t="inlineStr">
        <is>
          <t>Расчет стоимости кампании</t>
        </is>
      </c>
      <c r="C20" s="15" t="n"/>
      <c r="D20" s="15" t="n"/>
      <c r="E20" s="29" t="n"/>
      <c r="F20" s="29" t="n"/>
      <c r="G20" s="185" t="n"/>
      <c r="H20" s="185" t="n"/>
      <c r="I20" s="185" t="n"/>
      <c r="J20" s="188" t="n"/>
      <c r="K20" s="188" t="n"/>
      <c r="L20" s="185" t="n"/>
      <c r="AJ20" s="216" t="n"/>
      <c r="AK20" s="633" t="n"/>
      <c r="AL20" s="633" t="n"/>
      <c r="AM20" s="339" t="n"/>
      <c r="AN20" s="339" t="n"/>
      <c r="AO20" s="339" t="n"/>
      <c r="AP20" s="633" t="n"/>
      <c r="AQ20" s="633" t="n"/>
      <c r="AR20" s="216" t="n"/>
    </row>
    <row r="21" ht="65.09999999999999" customFormat="1" customHeight="1" s="212" thickBot="1">
      <c r="B21" s="106" t="inlineStr">
        <is>
          <t>Название</t>
        </is>
      </c>
      <c r="C21" s="107" t="inlineStr">
        <is>
          <t>Местоположение</t>
        </is>
      </c>
      <c r="D21" s="107" t="inlineStr">
        <is>
          <t>Количество     экранов</t>
        </is>
      </c>
      <c r="E21" s="107" t="inlineStr">
        <is>
          <t>Cтоимость размещения за 1 день (с учетом объемной скидки), без НДС</t>
        </is>
      </c>
      <c r="F21" s="107" t="inlineStr">
        <is>
          <t>Стоимость размещения за период (с учетом скидки за период), без НДС</t>
        </is>
      </c>
      <c r="G21" s="107" t="inlineStr">
        <is>
          <t>Итоговая скидка</t>
        </is>
      </c>
      <c r="H21" s="107" t="inlineStr">
        <is>
          <t xml:space="preserve"> Стоимость c учетом всех скидок, без НДС</t>
        </is>
      </c>
      <c r="I21" s="107" t="inlineStr">
        <is>
          <t xml:space="preserve"> Стоимость c учетом всех скидок, вкл. НДС</t>
        </is>
      </c>
      <c r="J21" s="107" t="inlineStr">
        <is>
          <t>Сумма НДС (20%)</t>
        </is>
      </c>
      <c r="K21" s="107" t="inlineStr">
        <is>
          <t>Проходимость</t>
        </is>
      </c>
      <c r="L21" s="107" t="inlineStr">
        <is>
          <t>OTS</t>
        </is>
      </c>
      <c r="M21" s="109" t="inlineStr">
        <is>
          <t>CPT</t>
        </is>
      </c>
      <c r="AJ21" s="216" t="n"/>
      <c r="AK21" s="633" t="n"/>
      <c r="AL21" s="633" t="n"/>
      <c r="AM21" s="339" t="n"/>
      <c r="AN21" s="339" t="n"/>
      <c r="AO21" s="339" t="n"/>
      <c r="AP21" s="633" t="n"/>
      <c r="AQ21" s="633" t="n"/>
      <c r="AR21" s="216" t="n"/>
    </row>
    <row r="22" ht="15" customFormat="1" customHeight="1" s="212">
      <c r="B22" s="570" t="inlineStr">
        <is>
          <t>ТРК Афимолл</t>
        </is>
      </c>
      <c r="C22" s="570" t="inlineStr">
        <is>
          <t>Центральный атриум</t>
        </is>
      </c>
      <c r="D22" s="255">
        <f>IF(F22=0,0,2)</f>
        <v/>
      </c>
      <c r="E22" s="934">
        <f>IF(VLOOKUP("MSK_TRC_Afimoll_Siti_6",'Адресная программа'!J20:O6000,6,)=2,IF(D7=15,E34,IF(D7=30,E35,IF(D7=60,E36,IF(D7=90,E37,IF(D7=120,E38,IF(D7=150,E39,IF(D7=180,E40,))))))),0)</f>
        <v/>
      </c>
      <c r="F22" s="933">
        <f>IF(MAX(MIN(EOMONTH("01.12.2025",0),D6)-MAX("01.12.2025",D5)+1,0)=0,E22*J7,(MAX(MIN(EOMONTH("01.12.2025",0),D6)-MAX("01.12.2025",D5)+1,0)*(E22*1.2))+(J7-MAX(MIN(EOMONTH("01.12.2025",0),D6)-MAX("01.12.2025",D5)+1,0))*E22)</f>
        <v/>
      </c>
      <c r="G22" s="190">
        <f>IF(E22=0,0,IF(MONTH(D5)=12,1-H22/(D7/15*E34*1.2*J7),1-H22/(D7/15*E34*J7)))</f>
        <v/>
      </c>
      <c r="H22" s="934">
        <f>IF('Адресная программа'!O3930=2,IF(MAX(MIN(EOMONTH("01.12.2025",0),D6)-MAX("01.12.2025",D5)+1,0)=0,IF(D7=15,E34,IF(D7=30,E35,IF(D7=60,E36,IF(D7=90,E37,IF(D7=120,E38,IF(D7=150,E39,IF(D7=180,E40,)))))))*J7,(MAX(MIN(EOMONTH("01.12.2025",0),D6)-MAX("01.12.2025",D5)+1,0)*(IF(D7=15,E34,IF(D7=30,E35,IF(D7=60,E36,IF(D7=90,E37,IF(D7=120,E38,IF(D7=150,E39,IF(D7=180,E40,)))))))*1.2))+(J7-MAX(MIN(EOMONTH("01.12.2025",0),D6)-MAX("01.12.2025",D5)+1,0))*IF(D7=15,E34,IF(D7=30,E35,IF(D7=60,E36,IF(D7=90,E37,IF(D7=120,E38,IF(D7=150,E39,IF(D7=180,E40,))))))))*(1-IF(J7&gt;69,C31,IF(J7&gt;39,C30,IF(J7&gt;21,C29,0%))))*(1-IF($AC$2="РА",$AD$2,0))*(1-IF(OR($AC$3="Доп скидка",$AC$3="Сезонная скидка",$AC$3="Welcome скидка")=TRUE,$AD$3,0)),0)</f>
        <v/>
      </c>
      <c r="I22" s="934">
        <f>H22+J22</f>
        <v/>
      </c>
      <c r="J22" s="934">
        <f>H22*0.2</f>
        <v/>
      </c>
      <c r="K22" s="609" t="n">
        <v>73770</v>
      </c>
      <c r="L22" s="159">
        <f>IF(F22=0,0,(K22*$J$7)*(90/($J$5*60))*J3)</f>
        <v/>
      </c>
      <c r="M22" s="935">
        <f>IF(L22=0,0,H22/L22*1000)</f>
        <v/>
      </c>
      <c r="AJ22" s="216" t="n"/>
      <c r="AK22" s="633" t="n"/>
      <c r="AL22" s="633" t="n"/>
      <c r="AM22" s="339" t="n"/>
      <c r="AN22" s="339" t="n"/>
      <c r="AO22" s="339" t="n"/>
      <c r="AP22" s="633" t="n"/>
      <c r="AQ22" s="633" t="n"/>
      <c r="AR22" s="216" t="n"/>
    </row>
    <row r="23">
      <c r="L23" s="243" t="n"/>
      <c r="M23" s="957" t="n"/>
    </row>
    <row r="24">
      <c r="D24" s="84" t="n"/>
      <c r="F24" s="941" t="n"/>
      <c r="G24" s="572" t="n"/>
      <c r="H24" s="941" t="n"/>
      <c r="I24" s="940" t="n"/>
      <c r="J24" s="941" t="n"/>
      <c r="K24" s="941" t="n"/>
      <c r="L24" s="243" t="n"/>
      <c r="M24" s="957" t="n"/>
    </row>
    <row r="25" ht="13.8" customHeight="1">
      <c r="B25" s="90" t="inlineStr">
        <is>
          <t>* В декабре действует повышающий коэф. 1,2.</t>
        </is>
      </c>
      <c r="D25" s="84" t="n"/>
      <c r="F25" s="941" t="n"/>
      <c r="H25" s="941" t="n"/>
      <c r="I25" s="940" t="n"/>
      <c r="J25" s="941" t="n"/>
      <c r="K25" s="941" t="n"/>
    </row>
    <row r="26" ht="13.8" customHeight="1">
      <c r="B26" s="90" t="inlineStr">
        <is>
          <t>* Минимальный срок размещения 14 дней</t>
        </is>
      </c>
      <c r="D26" s="84" t="n"/>
      <c r="F26" s="941" t="n"/>
      <c r="H26" s="958" t="n"/>
      <c r="I26" s="940" t="n"/>
      <c r="J26" s="941" t="n"/>
      <c r="K26" s="941" t="n"/>
    </row>
    <row r="27" ht="13.8" customHeight="1">
      <c r="B27" s="90" t="n"/>
      <c r="D27" s="84" t="n"/>
      <c r="F27" s="941" t="n"/>
      <c r="H27" s="941" t="n"/>
      <c r="I27" s="576" t="n"/>
      <c r="J27" s="576" t="n"/>
      <c r="K27" s="576" t="n"/>
      <c r="L27" s="576" t="n"/>
      <c r="M27" s="576" t="n"/>
    </row>
    <row r="28" ht="15.75" customHeight="1" thickBot="1">
      <c r="B28" s="577" t="inlineStr">
        <is>
          <t>Скидка за период размещения:</t>
        </is>
      </c>
      <c r="C28" s="36" t="n"/>
      <c r="D28" s="578" t="n"/>
      <c r="E28" s="579" t="n"/>
      <c r="F28" s="597" t="n"/>
      <c r="H28" s="941" t="n"/>
      <c r="I28" s="940" t="n"/>
      <c r="J28" s="941" t="n"/>
      <c r="K28" s="941" t="n"/>
      <c r="L28" s="940" t="n"/>
    </row>
    <row r="29">
      <c r="B29" s="581" t="inlineStr">
        <is>
          <t>от 22 дней</t>
        </is>
      </c>
      <c r="C29" s="582" t="n">
        <v>0.1</v>
      </c>
      <c r="D29" s="959" t="n"/>
      <c r="E29" s="326" t="n"/>
      <c r="F29" s="960" t="n"/>
      <c r="H29" s="941" t="n"/>
      <c r="I29" s="940" t="n"/>
      <c r="J29" s="941" t="n"/>
      <c r="K29" s="941" t="n"/>
      <c r="L29" s="940" t="n"/>
    </row>
    <row r="30">
      <c r="B30" s="585" t="inlineStr">
        <is>
          <t>от 40 дней</t>
        </is>
      </c>
      <c r="C30" s="586" t="n">
        <v>0.15</v>
      </c>
      <c r="D30" s="212" t="n"/>
      <c r="E30" s="212" t="n"/>
      <c r="F30" s="960" t="n"/>
      <c r="H30" s="941" t="n"/>
      <c r="I30" s="940" t="n"/>
      <c r="J30" s="941" t="n"/>
      <c r="K30" s="941" t="n"/>
      <c r="L30" s="940" t="n"/>
    </row>
    <row r="31" ht="10.8" customHeight="1" thickBot="1">
      <c r="B31" s="587" t="inlineStr">
        <is>
          <t>от 70 дней</t>
        </is>
      </c>
      <c r="C31" s="588" t="n">
        <v>0.2</v>
      </c>
      <c r="D31" s="212" t="n"/>
      <c r="E31" s="212" t="n"/>
      <c r="H31" s="941" t="n"/>
      <c r="I31" s="940" t="n"/>
      <c r="J31" s="941" t="n"/>
      <c r="K31" s="941" t="n"/>
      <c r="L31" s="940" t="n"/>
    </row>
    <row r="32" ht="10.8" customHeight="1" thickBot="1">
      <c r="B32" s="212" t="n"/>
      <c r="C32" s="212" t="n"/>
      <c r="D32" s="212" t="n"/>
      <c r="E32" s="212" t="n"/>
      <c r="H32" s="941" t="n"/>
      <c r="I32" s="940" t="n"/>
      <c r="J32" s="941" t="n"/>
      <c r="K32" s="941" t="n"/>
      <c r="L32" s="940" t="n"/>
    </row>
    <row r="33" ht="32.25" customHeight="1">
      <c r="B33" s="589" t="inlineStr">
        <is>
          <t>Хронометраж ролика, сек</t>
        </is>
      </c>
      <c r="C33" s="590" t="inlineStr">
        <is>
          <t>Доля эфира</t>
        </is>
      </c>
      <c r="D33" s="590" t="inlineStr">
        <is>
          <t>Объмная скидка</t>
        </is>
      </c>
      <c r="E33" s="591" t="inlineStr">
        <is>
          <t>Стоимость размещения ролика в день, без НДС</t>
        </is>
      </c>
      <c r="F33" s="592" t="n"/>
    </row>
    <row r="34">
      <c r="B34" s="593" t="n">
        <v>15</v>
      </c>
      <c r="C34" s="594" t="inlineStr">
        <is>
          <t>1/12</t>
        </is>
      </c>
      <c r="D34" s="595" t="n">
        <v>0</v>
      </c>
      <c r="E34" s="961" t="n">
        <v>49700</v>
      </c>
      <c r="F34" s="597" t="n"/>
    </row>
    <row r="35">
      <c r="B35" s="593" t="n">
        <v>30</v>
      </c>
      <c r="C35" s="594" t="inlineStr">
        <is>
          <t>1/6</t>
        </is>
      </c>
      <c r="D35" s="598">
        <f>(B35/B$34*E$34-E35)/(B35/B$34*E$34)</f>
        <v/>
      </c>
      <c r="E35" s="961" t="n">
        <v>70990</v>
      </c>
      <c r="F35" s="941" t="n"/>
    </row>
    <row r="36">
      <c r="B36" s="593" t="n">
        <v>60</v>
      </c>
      <c r="C36" s="594" t="inlineStr">
        <is>
          <t>1/3</t>
        </is>
      </c>
      <c r="D36" s="598">
        <f>(B36/B$34*E$34-E36)/(B36/B$34*E$34)</f>
        <v/>
      </c>
      <c r="E36" s="961" t="n">
        <v>117130</v>
      </c>
      <c r="F36" s="941" t="n"/>
    </row>
    <row r="37">
      <c r="B37" s="593" t="n">
        <v>90</v>
      </c>
      <c r="C37" s="594" t="inlineStr">
        <is>
          <t>1/2</t>
        </is>
      </c>
      <c r="D37" s="598">
        <f>(B37/B$34*E$34-E37)/(B37/B$34*E$34)</f>
        <v/>
      </c>
      <c r="E37" s="961" t="n">
        <v>157950</v>
      </c>
      <c r="F37" s="941" t="n"/>
    </row>
    <row r="38">
      <c r="B38" s="593" t="n">
        <v>120</v>
      </c>
      <c r="C38" s="594" t="inlineStr">
        <is>
          <t>2/3</t>
        </is>
      </c>
      <c r="D38" s="598">
        <f>(B38/B$34*E$34-E38)/(B38/B$34*E$34)</f>
        <v/>
      </c>
      <c r="E38" s="961" t="n">
        <v>198765</v>
      </c>
      <c r="F38" s="941" t="n"/>
    </row>
    <row r="39">
      <c r="B39" s="593" t="n">
        <v>150</v>
      </c>
      <c r="C39" s="594" t="inlineStr">
        <is>
          <t>5/6</t>
        </is>
      </c>
      <c r="D39" s="598">
        <f>(B39/B$34*E$34-E39)/(B39/B$34*E$34)</f>
        <v/>
      </c>
      <c r="E39" s="961" t="n">
        <v>239585</v>
      </c>
    </row>
    <row r="40" ht="10.8" customHeight="1" thickBot="1">
      <c r="B40" s="600" t="n">
        <v>180</v>
      </c>
      <c r="C40" s="601" t="inlineStr">
        <is>
          <t>1/1</t>
        </is>
      </c>
      <c r="D40" s="602">
        <f>(B40/B$34*E$34-E40)/(B40/B$34*E$34)</f>
        <v/>
      </c>
      <c r="E40" s="962" t="n">
        <v>283950</v>
      </c>
    </row>
    <row r="43" ht="17.1" customFormat="1" customHeight="1" s="604">
      <c r="AJ43" s="605" t="n"/>
      <c r="AK43" s="634" t="n"/>
      <c r="AL43" s="634" t="n"/>
      <c r="AM43" s="606" t="n"/>
      <c r="AN43" s="606" t="n"/>
      <c r="AO43" s="606" t="n"/>
      <c r="AP43" s="634" t="n"/>
      <c r="AQ43" s="634" t="n"/>
      <c r="AR43" s="605" t="n"/>
    </row>
    <row r="44" ht="17.1" customFormat="1" customHeight="1" s="604">
      <c r="F44" s="607" t="n"/>
      <c r="AJ44" s="605" t="n"/>
      <c r="AK44" s="634" t="n"/>
      <c r="AL44" s="634" t="n"/>
      <c r="AM44" s="606" t="n"/>
      <c r="AN44" s="606" t="n"/>
      <c r="AO44" s="606" t="n"/>
      <c r="AP44" s="634" t="n"/>
      <c r="AQ44" s="634" t="n"/>
      <c r="AR44" s="605" t="n"/>
    </row>
    <row r="45" ht="17.1" customFormat="1" customHeight="1" s="604">
      <c r="F45" s="607" t="n"/>
      <c r="AJ45" s="605" t="n"/>
      <c r="AK45" s="634" t="n"/>
      <c r="AL45" s="634" t="n"/>
      <c r="AM45" s="606" t="n"/>
      <c r="AN45" s="606" t="n"/>
      <c r="AO45" s="606" t="n"/>
      <c r="AP45" s="634" t="n"/>
      <c r="AQ45" s="634" t="n"/>
      <c r="AR45" s="605" t="n"/>
    </row>
    <row r="46" ht="17.1" customFormat="1" customHeight="1" s="604">
      <c r="F46" s="607" t="n"/>
      <c r="AJ46" s="605" t="n"/>
      <c r="AK46" s="634" t="n"/>
      <c r="AL46" s="634" t="n"/>
      <c r="AM46" s="606" t="n"/>
      <c r="AN46" s="606" t="n"/>
      <c r="AO46" s="606" t="n"/>
      <c r="AP46" s="634" t="n"/>
      <c r="AQ46" s="634" t="n"/>
      <c r="AR46" s="605" t="n"/>
    </row>
    <row r="47">
      <c r="F47" s="608" t="n"/>
    </row>
  </sheetData>
  <mergeCells count="34">
    <mergeCell ref="J13:J14"/>
    <mergeCell ref="B16:C16"/>
    <mergeCell ref="B13:C14"/>
    <mergeCell ref="B7:C7"/>
    <mergeCell ref="B3:C3"/>
    <mergeCell ref="H10:I10"/>
    <mergeCell ref="H4:I4"/>
    <mergeCell ref="H2:J2"/>
    <mergeCell ref="H9:I9"/>
    <mergeCell ref="E6:G6"/>
    <mergeCell ref="H13:I14"/>
    <mergeCell ref="B12:C12"/>
    <mergeCell ref="B10:D10"/>
    <mergeCell ref="H6:I6"/>
    <mergeCell ref="B11:C11"/>
    <mergeCell ref="D13:D14"/>
    <mergeCell ref="B17:C17"/>
    <mergeCell ref="B15:D15"/>
    <mergeCell ref="B8:C8"/>
    <mergeCell ref="B20:D20"/>
    <mergeCell ref="H17:I17"/>
    <mergeCell ref="H15:J15"/>
    <mergeCell ref="H11:I11"/>
    <mergeCell ref="H16:I16"/>
    <mergeCell ref="H7:I7"/>
    <mergeCell ref="B9:C9"/>
    <mergeCell ref="H3:I3"/>
    <mergeCell ref="B6:C6"/>
    <mergeCell ref="H12:I12"/>
    <mergeCell ref="B5:C5"/>
    <mergeCell ref="H5:I5"/>
    <mergeCell ref="H8:I8"/>
    <mergeCell ref="B4:C4"/>
    <mergeCell ref="B2:D2"/>
  </mergeCells>
  <dataValidations count="5">
    <dataValidation sqref="D7" showDropDown="0" showInputMessage="1" showErrorMessage="1" allowBlank="1" type="list">
      <formula1>"15,30,60,90,120,150,180"</formula1>
    </dataValidation>
    <dataValidation sqref="AC2" showDropDown="0" showInputMessage="1" showErrorMessage="1" allowBlank="1" type="list">
      <formula1>$AM$3</formula1>
    </dataValidation>
    <dataValidation sqref="AD2" showDropDown="0" showInputMessage="1" showErrorMessage="1" allowBlank="1" type="list">
      <formula1>$AN$2:$AN$5</formula1>
    </dataValidation>
    <dataValidation sqref="AC3" showDropDown="0" showInputMessage="1" showErrorMessage="1" allowBlank="1" type="list">
      <formula1>$AO$3:$AO$5</formula1>
    </dataValidation>
    <dataValidation sqref="AD3" showDropDown="0" showInputMessage="1" showErrorMessage="1" allowBlank="1" type="list">
      <formula1>$AN$10:$AN$16</formula1>
    </dataValidation>
  </dataValidations>
  <pageMargins left="0.7" right="0.7" top="0.75" bottom="0.75" header="0.3" footer="0.3"/>
  <pageSetup orientation="portrait" paperSize="9" horizontalDpi="1200" verticalDpi="1200"/>
</worksheet>
</file>

<file path=xl/worksheets/sheet9.xml><?xml version="1.0" encoding="utf-8"?>
<worksheet xmlns="http://schemas.openxmlformats.org/spreadsheetml/2006/main">
  <sheetPr codeName="Лист5" filterMode="1">
    <outlinePr summaryBelow="1" summaryRight="1"/>
    <pageSetUpPr/>
  </sheetPr>
  <dimension ref="B1:AP56"/>
  <sheetViews>
    <sheetView zoomScale="90" zoomScaleNormal="90" workbookViewId="0">
      <selection activeCell="B9" sqref="B9:C9"/>
    </sheetView>
  </sheetViews>
  <sheetFormatPr baseColWidth="8" defaultColWidth="11.44140625" defaultRowHeight="14.4"/>
  <cols>
    <col width="6.5546875" customWidth="1" min="1" max="1"/>
    <col width="18.21875" customWidth="1" min="2" max="2"/>
    <col width="15.77734375" customWidth="1" min="3" max="3"/>
    <col width="19.77734375" customWidth="1" min="4" max="4"/>
    <col width="17.44140625" customWidth="1" min="5" max="5"/>
    <col width="15.77734375" customWidth="1" min="6" max="6"/>
    <col width="10.77734375" customWidth="1" min="7" max="7"/>
    <col width="20.5546875" customWidth="1" min="8" max="8"/>
    <col width="17.77734375" customWidth="1" min="9" max="9"/>
    <col width="17.44140625" customWidth="1" min="10" max="10"/>
    <col width="19" customWidth="1" min="11" max="11"/>
    <col width="13.21875" bestFit="1" customWidth="1" min="12" max="12"/>
    <col hidden="1" style="325" min="40" max="42"/>
  </cols>
  <sheetData>
    <row r="1">
      <c r="AN1" s="334" t="n"/>
      <c r="AO1" s="334" t="n"/>
      <c r="AP1" s="334" t="n"/>
    </row>
    <row r="2">
      <c r="J2" s="481" t="inlineStr">
        <is>
          <t>Продажа Wifi:</t>
        </is>
      </c>
      <c r="K2" s="482" t="inlineStr">
        <is>
          <t>Нет</t>
        </is>
      </c>
      <c r="AC2" s="364" t="n"/>
      <c r="AD2" s="365" t="n"/>
      <c r="AN2" s="334" t="inlineStr">
        <is>
          <t>ПК</t>
        </is>
      </c>
      <c r="AO2" s="366" t="n">
        <v>0</v>
      </c>
      <c r="AP2" s="334" t="n"/>
    </row>
    <row r="3">
      <c r="AC3" s="364" t="n"/>
      <c r="AD3" s="365" t="n"/>
      <c r="AK3" s="701" t="n"/>
      <c r="AN3" s="334" t="inlineStr">
        <is>
          <t>РА</t>
        </is>
      </c>
      <c r="AO3" s="366" t="n">
        <v>0.05</v>
      </c>
      <c r="AP3" s="334" t="inlineStr">
        <is>
          <t>Доп скидка</t>
        </is>
      </c>
    </row>
    <row r="4" ht="15" customHeight="1" thickBot="1">
      <c r="B4" s="786" t="inlineStr">
        <is>
          <t>Аудитория</t>
        </is>
      </c>
      <c r="E4" s="701" t="n"/>
      <c r="F4" s="701" t="n"/>
      <c r="G4" s="701" t="n"/>
      <c r="H4" s="701" t="n"/>
      <c r="I4" s="225" t="n"/>
      <c r="J4" s="225" t="n"/>
      <c r="K4" s="225" t="n"/>
      <c r="AK4" s="701" t="n"/>
      <c r="AN4" s="334" t="n"/>
      <c r="AO4" s="366" t="n">
        <v>0.1</v>
      </c>
      <c r="AP4" s="334" t="inlineStr">
        <is>
          <t>Welcome скидка</t>
        </is>
      </c>
    </row>
    <row r="5" ht="15" customHeight="1">
      <c r="B5" s="719" t="inlineStr">
        <is>
          <t xml:space="preserve">Клиент:  </t>
        </is>
      </c>
      <c r="C5" s="854" t="n"/>
      <c r="D5" s="115" t="n"/>
      <c r="E5" s="701" t="n"/>
      <c r="F5" s="780" t="inlineStr">
        <is>
          <t>Базовая стоимость аренды оборудования и программного обеспечения для предоставления услуги выгрузки по сегменту</t>
        </is>
      </c>
      <c r="G5" s="963" t="n"/>
      <c r="H5" s="963" t="n"/>
      <c r="I5" s="963" t="n"/>
      <c r="J5" s="963" t="n"/>
      <c r="K5" s="964" t="n"/>
      <c r="AN5" s="334" t="n"/>
      <c r="AO5" s="366" t="n">
        <v>0.15</v>
      </c>
      <c r="AP5" s="334" t="inlineStr">
        <is>
          <t>Сезонная скидка</t>
        </is>
      </c>
    </row>
    <row r="6">
      <c r="B6" s="721" t="inlineStr">
        <is>
          <t xml:space="preserve">Бренд:  </t>
        </is>
      </c>
      <c r="C6" s="855" t="n"/>
      <c r="D6" s="116" t="n"/>
      <c r="E6" s="701" t="n"/>
      <c r="F6" s="965" t="n"/>
      <c r="G6" s="966" t="n"/>
      <c r="H6" s="966" t="n"/>
      <c r="I6" s="966" t="n"/>
      <c r="J6" s="966" t="n"/>
      <c r="K6" s="967" t="n"/>
      <c r="AN6" s="334" t="n"/>
      <c r="AO6" s="366" t="n">
        <v>0.2</v>
      </c>
      <c r="AP6" s="334" t="n"/>
    </row>
    <row r="7" ht="15.75" customHeight="1">
      <c r="B7" s="714" t="inlineStr">
        <is>
          <t xml:space="preserve">Начало РК:  </t>
        </is>
      </c>
      <c r="C7" s="855" t="n"/>
      <c r="D7" s="206">
        <f>Общий!D5</f>
        <v/>
      </c>
      <c r="E7" s="701" t="n"/>
      <c r="F7" s="780" t="inlineStr">
        <is>
          <t>Стоимость услуги 1-го дня по 1 адресу:</t>
        </is>
      </c>
      <c r="G7" s="880" t="n"/>
      <c r="H7" s="880" t="n"/>
      <c r="I7" s="880" t="n"/>
      <c r="J7" s="855" t="n"/>
      <c r="K7" s="968" t="n">
        <v>79</v>
      </c>
      <c r="AN7" s="334" t="n"/>
      <c r="AO7" s="366" t="n">
        <v>0.25</v>
      </c>
      <c r="AP7" s="334" t="n"/>
    </row>
    <row r="8">
      <c r="B8" s="714" t="inlineStr">
        <is>
          <t xml:space="preserve">Окончание РК:  </t>
        </is>
      </c>
      <c r="C8" s="855" t="n"/>
      <c r="D8" s="206">
        <f>Общий!D6</f>
        <v/>
      </c>
      <c r="E8" s="701" t="n"/>
      <c r="F8" s="701" t="n"/>
      <c r="G8" s="89" t="inlineStr">
        <is>
          <t>* - стоимость без учёта НДС 20 %</t>
        </is>
      </c>
      <c r="H8" s="701" t="n"/>
      <c r="AN8" s="334" t="n"/>
      <c r="AO8" s="334" t="n"/>
      <c r="AP8" s="334" t="n"/>
    </row>
    <row r="9" ht="15" customHeight="1" thickBot="1">
      <c r="B9" s="714" t="inlineStr">
        <is>
          <t>Период кол-во дней:</t>
        </is>
      </c>
      <c r="C9" s="855" t="n"/>
      <c r="D9" s="367">
        <f>(D8-D7)+1</f>
        <v/>
      </c>
      <c r="E9" s="701" t="n"/>
      <c r="F9" s="92" t="inlineStr">
        <is>
          <t>Система скидок</t>
        </is>
      </c>
      <c r="AN9" s="334" t="n"/>
      <c r="AO9" s="334" t="n"/>
      <c r="AP9" s="334" t="n"/>
    </row>
    <row r="10" ht="31.2" customHeight="1" thickBot="1">
      <c r="B10" s="930" t="inlineStr">
        <is>
          <t>Применяемые скидки (последовательно)</t>
        </is>
      </c>
      <c r="C10" s="880" t="n"/>
      <c r="D10" s="855" t="n"/>
      <c r="E10" s="701" t="n"/>
      <c r="F10" s="94" t="inlineStr">
        <is>
          <t>% выборки от общего кол-ва адресов</t>
        </is>
      </c>
      <c r="G10" s="141" t="inlineStr">
        <is>
          <t>Скидка за кол-во адресов</t>
        </is>
      </c>
      <c r="H10" s="142" t="inlineStr">
        <is>
          <t>Рассчет по кол-ву станций</t>
        </is>
      </c>
      <c r="J10" s="969" t="inlineStr">
        <is>
          <t>Скидка за период размещения:</t>
        </is>
      </c>
      <c r="K10" s="970" t="n"/>
      <c r="AN10" s="334" t="n"/>
      <c r="AO10" s="366" t="n">
        <v>0</v>
      </c>
      <c r="AP10" s="334" t="n"/>
    </row>
    <row r="11">
      <c r="B11" s="685" t="inlineStr">
        <is>
          <t>За кол-во экранов(средн):</t>
        </is>
      </c>
      <c r="C11" s="856" t="n"/>
      <c r="D11" s="118">
        <f>SUBTOTAL(1,F22:F34)</f>
        <v/>
      </c>
      <c r="E11" s="701" t="n"/>
      <c r="F11" s="95" t="n">
        <v>0.75</v>
      </c>
      <c r="G11" s="138" t="n">
        <v>0.15</v>
      </c>
      <c r="H11" s="143">
        <f>F11*$G$15</f>
        <v/>
      </c>
      <c r="J11" s="312" t="inlineStr">
        <is>
          <t>от 40-69 дней</t>
        </is>
      </c>
      <c r="K11" s="313" t="n">
        <v>0.05</v>
      </c>
      <c r="AN11" s="334" t="n"/>
      <c r="AO11" s="366" t="n">
        <v>0.05</v>
      </c>
      <c r="AP11" s="334" t="n"/>
    </row>
    <row r="12" ht="15" customHeight="1" thickBot="1">
      <c r="B12" s="685" t="inlineStr">
        <is>
          <t>За период:</t>
        </is>
      </c>
      <c r="C12" s="856" t="n"/>
      <c r="D12" s="118">
        <f>IF(D9&gt;69,K12,IF(D9&gt;39,K11,0%))</f>
        <v/>
      </c>
      <c r="E12" s="701" t="n"/>
      <c r="F12" s="96" t="n">
        <v>0.5</v>
      </c>
      <c r="G12" s="139" t="n">
        <v>0.1</v>
      </c>
      <c r="H12" s="143">
        <f>F12*$G$15</f>
        <v/>
      </c>
      <c r="J12" s="492" t="inlineStr">
        <is>
          <t>от 70 дней</t>
        </is>
      </c>
      <c r="K12" s="493" t="n">
        <v>0.1</v>
      </c>
      <c r="AN12" s="334" t="n"/>
      <c r="AO12" s="366" t="n">
        <v>0.1</v>
      </c>
      <c r="AP12" s="334" t="n"/>
    </row>
    <row r="13">
      <c r="B13" s="685">
        <f>IF(AC2="РА","Скидка для РА:"," ")</f>
        <v/>
      </c>
      <c r="C13" s="856" t="n"/>
      <c r="D13" s="119">
        <f>IF(AC2="РА",AD2," ")</f>
        <v/>
      </c>
      <c r="E13" s="701" t="n"/>
      <c r="F13" s="95" t="n">
        <v>0.25</v>
      </c>
      <c r="G13" s="138" t="n">
        <v>0.05</v>
      </c>
      <c r="H13" s="143">
        <f>F13*$G$15</f>
        <v/>
      </c>
      <c r="J13" s="361" t="n"/>
      <c r="K13" s="362" t="n"/>
      <c r="AN13" s="334" t="n"/>
      <c r="AO13" s="366" t="n">
        <v>0.15</v>
      </c>
      <c r="AP13" s="334" t="n"/>
    </row>
    <row r="14">
      <c r="B14" s="697">
        <f>IF(AC3=0," ",AC3)</f>
        <v/>
      </c>
      <c r="C14" s="856" t="n"/>
      <c r="D14" s="207">
        <f>IF(OR(AC3="Доп скидка",AC3="Сезонная скидка",AC3="Welcome скидка")=TRUE,AD3," ")</f>
        <v/>
      </c>
      <c r="E14" s="701" t="n"/>
      <c r="F14" s="144" t="inlineStr">
        <is>
          <t>менее 25%</t>
        </is>
      </c>
      <c r="G14" s="140" t="n">
        <v>0</v>
      </c>
      <c r="H14" s="145" t="n"/>
      <c r="AN14" s="334" t="n"/>
      <c r="AO14" s="366" t="n">
        <v>0.2</v>
      </c>
      <c r="AP14" s="334" t="n"/>
    </row>
    <row r="15" ht="15" customHeight="1" thickBot="1">
      <c r="B15" s="702" t="inlineStr">
        <is>
          <t>Стоимость размещения</t>
        </is>
      </c>
      <c r="C15" s="859" t="n"/>
      <c r="D15" s="856" t="n"/>
      <c r="E15" s="701" t="n"/>
      <c r="F15" s="146" t="inlineStr">
        <is>
          <t>Всего точек:</t>
        </is>
      </c>
      <c r="G15" s="169">
        <f>COUNTIFS('Адресная программа'!$B$20:$B$4169,"WF",'Адресная программа'!$L$20:$L$4169,1)</f>
        <v/>
      </c>
      <c r="H15" s="147" t="n"/>
      <c r="AN15" s="334" t="n"/>
      <c r="AO15" s="366" t="n">
        <v>0.25</v>
      </c>
      <c r="AP15" s="334" t="n"/>
    </row>
    <row r="16">
      <c r="B16" s="695" t="inlineStr">
        <is>
          <t>Всего, руб. NET:</t>
        </is>
      </c>
      <c r="C16" s="856" t="n"/>
      <c r="D16" s="971">
        <f>I36</f>
        <v/>
      </c>
      <c r="E16" s="701" t="n"/>
      <c r="AN16" s="334" t="n"/>
      <c r="AO16" s="366" t="n"/>
      <c r="AP16" s="334" t="n"/>
    </row>
    <row r="17" ht="15" customHeight="1" thickBot="1">
      <c r="B17" s="713" t="inlineStr">
        <is>
          <t>Всего, руб. GROSS:</t>
        </is>
      </c>
      <c r="C17" s="858" t="n"/>
      <c r="D17" s="972">
        <f>J36</f>
        <v/>
      </c>
      <c r="E17" s="354" t="n"/>
      <c r="F17" s="355" t="n"/>
      <c r="G17" s="356" t="n"/>
      <c r="H17" s="357" t="n"/>
      <c r="AN17" s="334" t="n"/>
      <c r="AO17" s="366" t="n"/>
      <c r="AP17" s="334" t="n"/>
    </row>
    <row r="18">
      <c r="B18" s="361" t="n"/>
      <c r="C18" s="362" t="n"/>
      <c r="D18" s="362" t="n"/>
      <c r="AK18" s="701" t="n"/>
      <c r="AN18" s="334" t="inlineStr">
        <is>
          <t>Автобренд</t>
        </is>
      </c>
      <c r="AO18" s="334" t="n"/>
      <c r="AP18" s="334" t="n"/>
    </row>
    <row r="19">
      <c r="B19" s="363" t="inlineStr">
        <is>
          <t>Расчет стоимости выгрузки аудиторного сегмента</t>
        </is>
      </c>
      <c r="C19" s="363" t="n"/>
      <c r="D19" s="363" t="n"/>
      <c r="AK19" s="701" t="n"/>
    </row>
    <row r="20" ht="15" customHeight="1" thickBot="1">
      <c r="AK20" s="701" t="n"/>
    </row>
    <row r="21" ht="31.2" customHeight="1" thickBot="1">
      <c r="B21" s="320" t="inlineStr">
        <is>
          <t>Регион</t>
        </is>
      </c>
      <c r="C21" s="319" t="inlineStr">
        <is>
          <t>Сеть</t>
        </is>
      </c>
      <c r="D21" s="390" t="inlineStr">
        <is>
          <t>Количество     адресов</t>
        </is>
      </c>
      <c r="E21" s="390" t="inlineStr">
        <is>
          <t>Базова стоимость услуги</t>
        </is>
      </c>
      <c r="F21" s="390" t="inlineStr">
        <is>
          <t>Скидка за обьем</t>
        </is>
      </c>
      <c r="G21" s="390" t="inlineStr">
        <is>
          <t>скидка за период</t>
        </is>
      </c>
      <c r="H21" s="319" t="inlineStr">
        <is>
          <t>Итоговая скидка</t>
        </is>
      </c>
      <c r="I21" s="319" t="inlineStr">
        <is>
          <t xml:space="preserve"> Стоимость c учетом всех скидок, без НДС</t>
        </is>
      </c>
      <c r="J21" s="319" t="inlineStr">
        <is>
          <t xml:space="preserve"> Стоимость c учетом всех скидок, вкл. НДС</t>
        </is>
      </c>
      <c r="K21" s="318" t="inlineStr">
        <is>
          <t>Сумма НДС (20%)</t>
        </is>
      </c>
    </row>
    <row r="22">
      <c r="B22" s="368" t="inlineStr">
        <is>
          <t>Москва</t>
        </is>
      </c>
      <c r="C22" s="369" t="inlineStr">
        <is>
          <t>Роснефть</t>
        </is>
      </c>
      <c r="D22" s="370">
        <f>IF($K$2="Да",COUNTIFS('Адресная программа'!$B$20:$B$4169,"WF",'Адресная программа'!$C$20:$C$4169,'Wi-Fi'!B22,'Адресная программа'!$N$20:$N$4169,1,'Адресная программа'!$G$20:$G$4169,C22),0)</f>
        <v/>
      </c>
      <c r="E22" s="973">
        <f>D22*D$9*K$7</f>
        <v/>
      </c>
      <c r="F22" s="372">
        <f>IF(SUM(D$22:D$34)&lt;G$15*F$13,G$14,IF(SUM(D$22:D$34)&lt;F$12*G$15,G$13,IF(SUM(D$22:D$34)&lt;F$11*G$15,G$12,G$11)))</f>
        <v/>
      </c>
      <c r="G22" s="124">
        <f>IF(D$9&lt;15,0%,IF(D$9&lt;32,5%,IF(D$9&lt;61,10%,15%)))</f>
        <v/>
      </c>
      <c r="H22" s="373">
        <f>IF(D22=0,0,1-I22/E22)</f>
        <v/>
      </c>
      <c r="I22" s="974">
        <f>E22*(1-F22)*(1-G22)*(1-IF($AC$2="РА",$AD$2,0))*(1-IF(OR($AC$3="Доп скидка",$AC$3="Сезонная скидка",$AC$3="Welcome скидка")=TRUE,$AD$3,0))</f>
        <v/>
      </c>
      <c r="J22" s="975">
        <f>I22+K22</f>
        <v/>
      </c>
      <c r="K22" s="976">
        <f>I22*0.2</f>
        <v/>
      </c>
    </row>
    <row r="23">
      <c r="B23" s="346" t="inlineStr">
        <is>
          <t>Москва</t>
        </is>
      </c>
      <c r="C23" s="214" t="inlineStr">
        <is>
          <t>Лукойл</t>
        </is>
      </c>
      <c r="D23" s="476">
        <f>IF($K$2="Да",COUNTIFS('Адресная программа'!$B$20:$B$4169,"WF",'Адресная программа'!$C$20:$C$4169,'Wi-Fi'!B23,'Адресная программа'!$N$20:$N$4169,1,'Адресная программа'!$G$20:$G$4169,C23),0)</f>
        <v/>
      </c>
      <c r="E23" s="932">
        <f>D23*D$9*K$7</f>
        <v/>
      </c>
      <c r="F23" s="273">
        <f>IF(SUM(D$22:D$34)&lt;G$15*F$13,G$14,IF(SUM(D$22:D$34)&lt;F$12*G$15,G$13,IF(SUM(D$22:D$34)&lt;F$11*G$15,G$12,G$11)))</f>
        <v/>
      </c>
      <c r="G23" s="156">
        <f>IF(D$9&lt;15,0%,IF(D$9&lt;32,5%,IF(D$9&lt;61,10%,15%)))</f>
        <v/>
      </c>
      <c r="H23" s="274">
        <f>IF(D23=0,0,1-I23/E23)</f>
        <v/>
      </c>
      <c r="I23" s="934">
        <f>E23*(1-F23)*(1-G23)*(1-IF($AC$2="РА",$AD$2,0))*(1-IF(OR($AC$3="Доп скидка",$AC$3="Сезонная скидка",$AC$3="Welcome скидка")=TRUE,$AD$3,0))</f>
        <v/>
      </c>
      <c r="J23" s="977">
        <f>I23+K23</f>
        <v/>
      </c>
      <c r="K23" s="978">
        <f>I23*0.2</f>
        <v/>
      </c>
    </row>
    <row r="24">
      <c r="B24" s="346" t="inlineStr">
        <is>
          <t>Москва</t>
        </is>
      </c>
      <c r="C24" s="400" t="inlineStr">
        <is>
          <t>ЕКА</t>
        </is>
      </c>
      <c r="D24" s="476">
        <f>IF($K$2="Да",COUNTIFS('Адресная программа'!$B$20:$B$4169,"WF",'Адресная программа'!$C$20:$C$4169,'Wi-Fi'!B24,'Адресная программа'!$N$20:$N$4169,1,'Адресная программа'!$G$20:$G$4169,C24),0)</f>
        <v/>
      </c>
      <c r="E24" s="932">
        <f>D24*D$9*K$7</f>
        <v/>
      </c>
      <c r="F24" s="273">
        <f>IF(SUM(D$22:D$34)&lt;G$15*F$13,G$14,IF(SUM(D$22:D$34)&lt;F$12*G$15,G$13,IF(SUM(D$22:D$34)&lt;F$11*G$15,G$12,G$11)))</f>
        <v/>
      </c>
      <c r="G24" s="156">
        <f>IF(D$9&lt;15,0%,IF(D$9&lt;32,5%,IF(D$9&lt;61,10%,15%)))</f>
        <v/>
      </c>
      <c r="H24" s="274">
        <f>IF(D24=0,0,1-I24/E24)</f>
        <v/>
      </c>
      <c r="I24" s="934">
        <f>E24*(1-F24)*(1-G24)*(1-IF($AC$2="РА",$AD$2,0))*(1-IF(OR($AC$3="Доп скидка",$AC$3="Сезонная скидка",$AC$3="Welcome скидка")=TRUE,$AD$3,0))</f>
        <v/>
      </c>
      <c r="J24" s="977">
        <f>I24+K24</f>
        <v/>
      </c>
      <c r="K24" s="978">
        <f>I24*0.2</f>
        <v/>
      </c>
    </row>
    <row r="25">
      <c r="B25" s="346" t="inlineStr">
        <is>
          <t>Москва</t>
        </is>
      </c>
      <c r="C25" s="262" t="inlineStr">
        <is>
          <t>Азбука вкуса</t>
        </is>
      </c>
      <c r="D25" s="476">
        <f>IF($K$2="Да",COUNTIFS('Адресная программа'!$B$20:$B$4169,"WF",'Адресная программа'!$C$20:$C$4169,'Wi-Fi'!B25,'Адресная программа'!$N$20:$N$4169,1,'Адресная программа'!$G$20:$G$4169,C25),0)</f>
        <v/>
      </c>
      <c r="E25" s="932">
        <f>D25*D$9*K$7</f>
        <v/>
      </c>
      <c r="F25" s="273">
        <f>IF(SUM(D$22:D$34)&lt;G$15*F$13,G$14,IF(SUM(D$22:D$34)&lt;F$12*G$15,G$13,IF(SUM(D$22:D$34)&lt;F$11*G$15,G$12,G$11)))</f>
        <v/>
      </c>
      <c r="G25" s="156">
        <f>IF(D$9&lt;15,0%,IF(D$9&lt;32,5%,IF(D$9&lt;61,10%,15%)))</f>
        <v/>
      </c>
      <c r="H25" s="274">
        <f>IF(D25=0,0,1-I25/E25)</f>
        <v/>
      </c>
      <c r="I25" s="934">
        <f>E25*(1-F25)*(1-G25)*(1-IF($AC$2="РА",$AD$2,0))*(1-IF(OR($AC$3="Доп скидка",$AC$3="Сезонная скидка",$AC$3="Welcome скидка")=TRUE,$AD$3,0))</f>
        <v/>
      </c>
      <c r="J25" s="977">
        <f>I25+K25</f>
        <v/>
      </c>
      <c r="K25" s="978">
        <f>I25*0.2</f>
        <v/>
      </c>
    </row>
    <row r="26">
      <c r="B26" s="346" t="inlineStr">
        <is>
          <t>Москва</t>
        </is>
      </c>
      <c r="C26" s="262" t="inlineStr">
        <is>
          <t>Metro C&amp;C</t>
        </is>
      </c>
      <c r="D26" s="476">
        <f>IF($K$2="Да",COUNTIFS('Адресная программа'!$B$20:$B$4169,"WF",'Адресная программа'!$C$20:$C$4169,'Wi-Fi'!B26,'Адресная программа'!$N$20:$N$4169,1,'Адресная программа'!$G$20:$G$4169,C26),0)</f>
        <v/>
      </c>
      <c r="E26" s="932">
        <f>D26*D$9*K$7</f>
        <v/>
      </c>
      <c r="F26" s="273">
        <f>IF(SUM(D$22:D$34)&lt;G$15*F$13,G$14,IF(SUM(D$22:D$34)&lt;F$12*G$15,G$13,IF(SUM(D$22:D$34)&lt;F$11*G$15,G$12,G$11)))</f>
        <v/>
      </c>
      <c r="G26" s="156">
        <f>IF(D$9&lt;15,0%,IF(D$9&lt;32,5%,IF(D$9&lt;61,10%,15%)))</f>
        <v/>
      </c>
      <c r="H26" s="274">
        <f>IF(D26=0,0,1-I26/E26)</f>
        <v/>
      </c>
      <c r="I26" s="934">
        <f>E26*(1-F26)*(1-G26)*(1-IF($AC$2="РА",$AD$2,0))*(1-IF(OR($AC$3="Доп скидка",$AC$3="Сезонная скидка",$AC$3="Welcome скидка")=TRUE,$AD$3,0))</f>
        <v/>
      </c>
      <c r="J26" s="977">
        <f>I26+K26</f>
        <v/>
      </c>
      <c r="K26" s="978">
        <f>I26*0.2</f>
        <v/>
      </c>
    </row>
    <row r="27">
      <c r="B27" s="346" t="inlineStr">
        <is>
          <t>Москва</t>
        </is>
      </c>
      <c r="C27" s="262" t="inlineStr">
        <is>
          <t>Бизнес центр</t>
        </is>
      </c>
      <c r="D27" s="476">
        <f>IF($K$2="Да",COUNTIFS('Адресная программа'!$B$20:$B$4169,"WF",'Адресная программа'!$C$20:$C$4169,'Wi-Fi'!B27,'Адресная программа'!$N$20:$N$4169,1,'Адресная программа'!$G$20:$G$4169,C27),0)</f>
        <v/>
      </c>
      <c r="E27" s="932">
        <f>D27*D$9*K$7</f>
        <v/>
      </c>
      <c r="F27" s="273">
        <f>IF(SUM(D$22:D$34)&lt;G$15*F$13,G$14,IF(SUM(D$22:D$34)&lt;F$12*G$15,G$13,IF(SUM(D$22:D$34)&lt;F$11*G$15,G$12,G$11)))</f>
        <v/>
      </c>
      <c r="G27" s="156">
        <f>IF(D$9&lt;15,0%,IF(D$9&lt;32,5%,IF(D$9&lt;61,10%,15%)))</f>
        <v/>
      </c>
      <c r="H27" s="274">
        <f>IF(D27=0,0,1-I27/E27)</f>
        <v/>
      </c>
      <c r="I27" s="934">
        <f>E27*(1-F27)*(1-G27)*(1-IF($AC$2="РА",$AD$2,0))*(1-IF(OR($AC$3="Доп скидка",$AC$3="Сезонная скидка",$AC$3="Welcome скидка")=TRUE,$AD$3,0))</f>
        <v/>
      </c>
      <c r="J27" s="977">
        <f>I27+K27</f>
        <v/>
      </c>
      <c r="K27" s="978">
        <f>I27*0.2</f>
        <v/>
      </c>
    </row>
    <row r="28">
      <c r="B28" s="346" t="inlineStr">
        <is>
          <t>Санкт-Петербург</t>
        </is>
      </c>
      <c r="C28" s="262" t="inlineStr">
        <is>
          <t>Азбука вкуса</t>
        </is>
      </c>
      <c r="D28" s="476">
        <f>IF($K$2="Да",COUNTIFS('Адресная программа'!$B$20:$B$4169,"WF",'Адресная программа'!$C$20:$C$4169,'Wi-Fi'!B28,'Адресная программа'!$N$20:$N$4169,1,'Адресная программа'!$G$20:$G$4169,C28),0)</f>
        <v/>
      </c>
      <c r="E28" s="932">
        <f>D28*D$9*K$7</f>
        <v/>
      </c>
      <c r="F28" s="273">
        <f>IF(SUM(D$22:D$34)&lt;G$15*F$13,G$14,IF(SUM(D$22:D$34)&lt;F$12*G$15,G$13,IF(SUM(D$22:D$34)&lt;F$11*G$15,G$12,G$11)))</f>
        <v/>
      </c>
      <c r="G28" s="156">
        <f>IF(D$9&lt;15,0%,IF(D$9&lt;32,5%,IF(D$9&lt;61,10%,15%)))</f>
        <v/>
      </c>
      <c r="H28" s="274">
        <f>IF(D28=0,0,1-I28/E28)</f>
        <v/>
      </c>
      <c r="I28" s="934">
        <f>E28*(1-F28)*(1-G28)*(1-IF($AC$2="РА",$AD$2,0))*(1-IF(OR($AC$3="Доп скидка",$AC$3="Сезонная скидка",$AC$3="Welcome скидка")=TRUE,$AD$3,0))</f>
        <v/>
      </c>
      <c r="J28" s="977">
        <f>I28+K28</f>
        <v/>
      </c>
      <c r="K28" s="978">
        <f>I28*0.2</f>
        <v/>
      </c>
    </row>
    <row r="29" ht="15" customHeight="1" thickBot="1">
      <c r="B29" s="347" t="inlineStr">
        <is>
          <t>Санкт-Петербург</t>
        </is>
      </c>
      <c r="C29" s="478" t="inlineStr">
        <is>
          <t>Бизнес центр</t>
        </is>
      </c>
      <c r="D29" s="479">
        <f>IF($K$2="Да",COUNTIFS('Адресная программа'!$B$20:$B$4169,"WF",'Адресная программа'!$C$20:$C$4169,'Wi-Fi'!B29,'Адресная программа'!$N$20:$N$4169,1,'Адресная программа'!$G$20:$G$4169,C29),0)</f>
        <v/>
      </c>
      <c r="E29" s="979">
        <f>D29*D$9*K$7</f>
        <v/>
      </c>
      <c r="F29" s="351">
        <f>IF(SUM(D$22:D$34)&lt;G$15*F$13,G$14,IF(SUM(D$22:D$34)&lt;F$12*G$15,G$13,IF(SUM(D$22:D$34)&lt;F$11*G$15,G$12,G$11)))</f>
        <v/>
      </c>
      <c r="G29" s="352">
        <f>IF(D$9&lt;15,0%,IF(D$9&lt;32,5%,IF(D$9&lt;61,10%,15%)))</f>
        <v/>
      </c>
      <c r="H29" s="353">
        <f>IF(D29=0,0,1-I29/E29)</f>
        <v/>
      </c>
      <c r="I29" s="980">
        <f>E29*(1-F29)*(1-G29)*(1-IF($AC$2="РА",$AD$2,0))*(1-IF(OR($AC$3="Доп скидка",$AC$3="Сезонная скидка",$AC$3="Welcome скидка")=TRUE,$AD$3,0))</f>
        <v/>
      </c>
      <c r="J29" s="981">
        <f>I29+K29</f>
        <v/>
      </c>
      <c r="K29" s="982">
        <f>I29*0.2</f>
        <v/>
      </c>
    </row>
    <row r="30" hidden="1">
      <c r="B30" s="346" t="inlineStr">
        <is>
          <t>Владимир</t>
        </is>
      </c>
      <c r="C30" s="400" t="inlineStr">
        <is>
          <t>Лукойл</t>
        </is>
      </c>
      <c r="D30" s="255">
        <f>COUNTIFS('Адресная программа'!$B$20:$B$4169,"WF",'Адресная программа'!$C$20:$C$4169,'Wi-Fi'!B30,'Адресная программа'!$N$20:$N$4169,1,'Адресная программа'!$G$20:$G$4169,C30)</f>
        <v/>
      </c>
      <c r="E30" s="932">
        <f>D30*D$9*K$7</f>
        <v/>
      </c>
      <c r="F30" s="273">
        <f>IF(SUM(D$22:D$34)&lt;G$15*F$13,G$14,IF(SUM(D$22:D$34)&lt;F$12*G$15,G$13,IF(SUM(D$22:D$34)&lt;F$11*G$15,G$12,G$11)))</f>
        <v/>
      </c>
      <c r="G30" s="156">
        <f>IF(D$9&lt;15,0%,IF(D$9&lt;32,5%,IF(D$9&lt;61,10%,15%)))</f>
        <v/>
      </c>
      <c r="H30" s="274">
        <f>IF(D30=0,0,1-I30/E30)</f>
        <v/>
      </c>
      <c r="I30" s="934">
        <f>E30*(1-F30)*(1-G30)*(1-IF($AC$2="РА",$AD$2,0))*(1-IF(OR($AC$3="Доп скидка",$AC$3="Сезонная скидка",$AC$3="Welcome скидка")=TRUE,$AD$3,0))</f>
        <v/>
      </c>
      <c r="J30" s="977">
        <f>I30+K30</f>
        <v/>
      </c>
      <c r="K30" s="983">
        <f>I30*0.2</f>
        <v/>
      </c>
    </row>
    <row r="31" hidden="1">
      <c r="B31" s="346" t="inlineStr">
        <is>
          <t>Нижний Новгород</t>
        </is>
      </c>
      <c r="C31" s="214" t="inlineStr">
        <is>
          <t>Лукойл</t>
        </is>
      </c>
      <c r="D31" s="255">
        <f>COUNTIFS('Адресная программа'!$B$20:$B$4169,"WF",'Адресная программа'!$C$20:$C$4169,'Wi-Fi'!B31,'Адресная программа'!$N$20:$N$4169,1,'Адресная программа'!$G$20:$G$4169,C31)</f>
        <v/>
      </c>
      <c r="E31" s="932">
        <f>D31*D$9*K$7</f>
        <v/>
      </c>
      <c r="F31" s="273">
        <f>IF(SUM(D$22:D$34)&lt;G$15*F$13,G$14,IF(SUM(D$22:D$34)&lt;F$12*G$15,G$13,IF(SUM(D$22:D$34)&lt;F$11*G$15,G$12,G$11)))</f>
        <v/>
      </c>
      <c r="G31" s="156">
        <f>IF(D$9&lt;15,0%,IF(D$9&lt;32,5%,IF(D$9&lt;61,10%,15%)))</f>
        <v/>
      </c>
      <c r="H31" s="274">
        <f>IF(D31=0,0,1-I31/E31)</f>
        <v/>
      </c>
      <c r="I31" s="934">
        <f>E31*(1-F31)*(1-G31)*(1-IF($AC$2="РА",$AD$2,0))*(1-IF(OR($AC$3="Доп скидка",$AC$3="Сезонная скидка",$AC$3="Welcome скидка")=TRUE,$AD$3,0))</f>
        <v/>
      </c>
      <c r="J31" s="977">
        <f>I31+K31</f>
        <v/>
      </c>
      <c r="K31" s="978">
        <f>I31*0.2</f>
        <v/>
      </c>
    </row>
    <row r="32" hidden="1">
      <c r="B32" s="346" t="inlineStr">
        <is>
          <t>Саранск</t>
        </is>
      </c>
      <c r="C32" s="214" t="inlineStr">
        <is>
          <t>Лукойл</t>
        </is>
      </c>
      <c r="D32" s="255">
        <f>COUNTIFS('Адресная программа'!$B$20:$B$4169,"WF",'Адресная программа'!$C$20:$C$4169,'Wi-Fi'!B32,'Адресная программа'!$N$20:$N$4169,1,'Адресная программа'!$G$20:$G$4169,C32)</f>
        <v/>
      </c>
      <c r="E32" s="932">
        <f>D32*D$9*K$7</f>
        <v/>
      </c>
      <c r="F32" s="273">
        <f>IF(SUM(D$22:D$34)&lt;G$15*F$13,G$14,IF(SUM(D$22:D$34)&lt;F$12*G$15,G$13,IF(SUM(D$22:D$34)&lt;F$11*G$15,G$12,G$11)))</f>
        <v/>
      </c>
      <c r="G32" s="156">
        <f>IF(D$9&lt;15,0%,IF(D$9&lt;32,5%,IF(D$9&lt;61,10%,15%)))</f>
        <v/>
      </c>
      <c r="H32" s="274">
        <f>IF(D32=0,0,1-I32/E32)</f>
        <v/>
      </c>
      <c r="I32" s="934">
        <f>E32*(1-F32)*(1-G32)*(1-IF($AC$2="РА",$AD$2,0))*(1-IF(OR($AC$3="Доп скидка",$AC$3="Сезонная скидка",$AC$3="Welcome скидка")=TRUE,$AD$3,0))</f>
        <v/>
      </c>
      <c r="J32" s="977">
        <f>I32+K32</f>
        <v/>
      </c>
      <c r="K32" s="978">
        <f>I32*0.2</f>
        <v/>
      </c>
    </row>
    <row r="33" hidden="1">
      <c r="B33" s="346" t="inlineStr">
        <is>
          <t>Смоленск</t>
        </is>
      </c>
      <c r="C33" s="214" t="inlineStr">
        <is>
          <t>Лукойл</t>
        </is>
      </c>
      <c r="D33" s="255">
        <f>COUNTIFS('Адресная программа'!$B$20:$B$4169,"WF",'Адресная программа'!$C$20:$C$4169,'Wi-Fi'!B33,'Адресная программа'!$N$20:$N$4169,1,'Адресная программа'!$G$20:$G$4169,C33)</f>
        <v/>
      </c>
      <c r="E33" s="932">
        <f>D33*D$9*K$7</f>
        <v/>
      </c>
      <c r="F33" s="273">
        <f>IF(SUM(D$22:D$34)&lt;G$15*F$13,G$14,IF(SUM(D$22:D$34)&lt;F$12*G$15,G$13,IF(SUM(D$22:D$34)&lt;F$11*G$15,G$12,G$11)))</f>
        <v/>
      </c>
      <c r="G33" s="156">
        <f>IF(D$9&lt;15,0%,IF(D$9&lt;32,5%,IF(D$9&lt;61,10%,15%)))</f>
        <v/>
      </c>
      <c r="H33" s="274">
        <f>IF(D33=0,0,1-I33/E33)</f>
        <v/>
      </c>
      <c r="I33" s="934">
        <f>E33*(1-F33)*(1-G33)*(1-IF($AC$2="РА",$AD$2,0))*(1-IF(OR($AC$3="Доп скидка",$AC$3="Сезонная скидка",$AC$3="Welcome скидка")=TRUE,$AD$3,0))</f>
        <v/>
      </c>
      <c r="J33" s="977">
        <f>I33+K33</f>
        <v/>
      </c>
      <c r="K33" s="978">
        <f>I33*0.2</f>
        <v/>
      </c>
    </row>
    <row r="34" hidden="1" ht="15" customHeight="1" thickBot="1">
      <c r="B34" s="347" t="inlineStr">
        <is>
          <t>Чебоксары</t>
        </is>
      </c>
      <c r="C34" s="348" t="inlineStr">
        <is>
          <t>Лукойл</t>
        </is>
      </c>
      <c r="D34" s="349">
        <f>COUNTIFS('Адресная программа'!$B$20:$B$4169,"WF",'Адресная программа'!$C$20:$C$4169,'Wi-Fi'!B34,'Адресная программа'!$N$20:$N$4169,1,'Адресная программа'!$G$20:$G$4169,C34)</f>
        <v/>
      </c>
      <c r="E34" s="979">
        <f>D34*D$9*K$7</f>
        <v/>
      </c>
      <c r="F34" s="351">
        <f>IF(SUM(D$22:D$34)&lt;G$15*F$13,G$14,IF(SUM(D$22:D$34)&lt;F$12*G$15,G$13,IF(SUM(D$22:D$34)&lt;F$11*G$15,G$12,G$11)))</f>
        <v/>
      </c>
      <c r="G34" s="352">
        <f>IF(D$9&lt;15,0%,IF(D$9&lt;32,5%,IF(D$9&lt;61,10%,15%)))</f>
        <v/>
      </c>
      <c r="H34" s="353">
        <f>IF(D34=0,0,1-I34/E34)</f>
        <v/>
      </c>
      <c r="I34" s="980">
        <f>E34*(1-F34)*(1-G34)*(1-IF($AC$2="РА",$AD$2,0))*(1-IF(OR($AC$3="Доп скидка",$AC$3="Сезонная скидка",$AC$3="Welcome скидка")=TRUE,$AD$3,0))</f>
        <v/>
      </c>
      <c r="J34" s="980">
        <f>I34+K34</f>
        <v/>
      </c>
      <c r="K34" s="982">
        <f>I34*0.2</f>
        <v/>
      </c>
    </row>
    <row r="35">
      <c r="B35" s="701" t="n"/>
      <c r="C35" s="701" t="n"/>
      <c r="D35" s="701" t="n"/>
      <c r="E35" s="701" t="n"/>
      <c r="F35" s="701" t="n"/>
      <c r="G35" s="701" t="n"/>
      <c r="H35" s="701" t="n"/>
      <c r="I35" s="701" t="n"/>
      <c r="J35" s="701" t="n"/>
      <c r="K35" s="701" t="n"/>
    </row>
    <row r="36">
      <c r="B36" s="701" t="n"/>
      <c r="C36" s="701" t="n"/>
      <c r="D36" s="84">
        <f>SUBTOTAL(9,D22:D34)</f>
        <v/>
      </c>
      <c r="E36" s="941">
        <f>SUBTOTAL(9,E22:E34)</f>
        <v/>
      </c>
      <c r="G36" s="701" t="n"/>
      <c r="H36" s="701" t="n"/>
      <c r="I36" s="941">
        <f>SUBTOTAL(9,I22:I34)</f>
        <v/>
      </c>
      <c r="J36" s="940">
        <f>SUBTOTAL(9,J22:J34)</f>
        <v/>
      </c>
      <c r="K36" s="941">
        <f>SUBTOTAL(9,K22:K34)</f>
        <v/>
      </c>
    </row>
    <row r="37">
      <c r="F37" s="984" t="n"/>
      <c r="J37" s="985" t="n"/>
      <c r="K37" s="986" t="n"/>
    </row>
    <row r="38">
      <c r="B38" s="787" t="inlineStr">
        <is>
          <t>Дополнительные условия на размещение:</t>
        </is>
      </c>
      <c r="C38" s="966" t="n"/>
      <c r="D38" s="966" t="n"/>
      <c r="E38" s="966" t="n"/>
      <c r="F38" s="97" t="n"/>
    </row>
    <row r="39" ht="30" customHeight="1">
      <c r="B39" s="987" t="inlineStr">
        <is>
          <t>Услуга предоставляетя  при условии размещения видео рекламы по выбранным адресам</t>
        </is>
      </c>
      <c r="C39" s="880" t="n"/>
      <c r="D39" s="880" t="n"/>
      <c r="E39" s="880" t="n"/>
      <c r="F39" s="855" t="n"/>
    </row>
    <row r="40" ht="42" customHeight="1">
      <c r="B40" s="987" t="inlineStr">
        <is>
          <t>Подтверждение услуги со стороны Заказчика не поздне 15 рабочих дней до старта формирования сегмента</t>
        </is>
      </c>
      <c r="C40" s="880" t="n"/>
      <c r="D40" s="880" t="n"/>
      <c r="E40" s="880" t="n"/>
      <c r="F40" s="855" t="n"/>
    </row>
    <row r="41" ht="29.1" customHeight="1">
      <c r="B41" s="775" t="inlineStr">
        <is>
          <t>Для передачи сегмента, заказчик обязуется предоставить ЛОГИН от сервиса Яндекса</t>
        </is>
      </c>
      <c r="C41" s="880" t="n"/>
      <c r="D41" s="880" t="n"/>
      <c r="E41" s="880" t="n"/>
      <c r="F41" s="855" t="n"/>
    </row>
    <row r="42" ht="29.1" customHeight="1">
      <c r="B42" s="775" t="inlineStr">
        <is>
          <t>Минимальное кол-во адресов для формирования сегмента</t>
        </is>
      </c>
      <c r="C42" s="880" t="n"/>
      <c r="D42" s="880" t="n"/>
      <c r="E42" s="855" t="n"/>
      <c r="F42" s="93" t="inlineStr">
        <is>
          <t>10 адресов</t>
        </is>
      </c>
    </row>
    <row r="43" ht="38.1" customHeight="1">
      <c r="B43" s="775" t="inlineStr">
        <is>
          <t>Минимальный период оказания услуги</t>
        </is>
      </c>
      <c r="C43" s="880" t="n"/>
      <c r="D43" s="880" t="n"/>
      <c r="E43" s="855" t="n"/>
      <c r="F43" s="93" t="inlineStr">
        <is>
          <t>7 дней</t>
        </is>
      </c>
    </row>
    <row r="44" ht="15" customHeight="1" thickBot="1">
      <c r="B44" s="97" t="n"/>
      <c r="C44" s="97" t="n"/>
      <c r="D44" s="97" t="n"/>
      <c r="E44" s="97" t="n"/>
      <c r="F44" s="97" t="n"/>
    </row>
    <row r="45">
      <c r="B45" s="776" t="inlineStr">
        <is>
          <t>Базовая стоимость аренды оборудования и программного обеспечения для предоставления услуги выгрузки по сегменту</t>
        </is>
      </c>
      <c r="C45" s="860" t="n"/>
      <c r="D45" s="860" t="n"/>
      <c r="E45" s="860" t="n"/>
      <c r="F45" s="988" t="n"/>
    </row>
    <row r="46">
      <c r="B46" s="989" t="n"/>
      <c r="C46" s="966" t="n"/>
      <c r="D46" s="966" t="n"/>
      <c r="E46" s="966" t="n"/>
      <c r="F46" s="967" t="n"/>
    </row>
    <row r="47" ht="15" customHeight="1" thickBot="1">
      <c r="B47" s="782" t="inlineStr">
        <is>
          <t>Стоимость услуги 1-го дня по 1 адресу:</t>
        </is>
      </c>
      <c r="C47" s="990" t="n"/>
      <c r="D47" s="990" t="n"/>
      <c r="E47" s="991" t="n"/>
      <c r="F47" s="992" t="n">
        <v>79</v>
      </c>
    </row>
    <row r="48">
      <c r="B48" s="89" t="inlineStr">
        <is>
          <t>* - стоимость без учёта НДС 20 %</t>
        </is>
      </c>
    </row>
    <row r="49">
      <c r="B49" s="97" t="n"/>
      <c r="C49" s="97" t="n"/>
      <c r="D49" s="97" t="n"/>
      <c r="E49" s="97" t="n"/>
      <c r="F49" s="97" t="n"/>
    </row>
    <row r="50" ht="15.6" customHeight="1">
      <c r="B50" s="91" t="inlineStr">
        <is>
          <t>Выгрузка сегмента на основаннии собранных MAC адресов*</t>
        </is>
      </c>
      <c r="C50" s="97" t="n"/>
      <c r="D50" s="97" t="n"/>
      <c r="E50" s="97" t="n"/>
      <c r="F50" s="97" t="n"/>
    </row>
    <row r="51">
      <c r="B51" s="90" t="inlineStr">
        <is>
          <t>*Формируется в Яндекс Аудитории</t>
        </is>
      </c>
      <c r="C51" s="97" t="n"/>
      <c r="D51" s="97" t="n"/>
      <c r="E51" s="97" t="n"/>
      <c r="F51" s="97" t="n"/>
    </row>
    <row r="52">
      <c r="B52" s="97" t="n"/>
      <c r="C52" s="97" t="n"/>
      <c r="D52" s="97" t="n"/>
      <c r="E52" s="97" t="n"/>
      <c r="F52" s="97" t="n"/>
    </row>
    <row r="53">
      <c r="B53" s="97" t="n"/>
      <c r="C53" s="97" t="n"/>
      <c r="D53" s="97" t="n"/>
      <c r="E53" s="97" t="n"/>
      <c r="F53" s="97" t="n"/>
    </row>
    <row r="54">
      <c r="B54" s="97" t="n"/>
      <c r="C54" s="97" t="n"/>
      <c r="D54" s="97" t="n"/>
      <c r="E54" s="97" t="n"/>
      <c r="F54" s="97" t="n"/>
    </row>
    <row r="55">
      <c r="B55" s="97" t="n"/>
      <c r="C55" s="97" t="n"/>
      <c r="D55" s="97" t="n"/>
      <c r="E55" s="97" t="n"/>
      <c r="F55" s="97" t="n"/>
    </row>
    <row r="56">
      <c r="B56" s="768" t="inlineStr">
        <is>
          <t>Пример отчета по сегменту:</t>
        </is>
      </c>
      <c r="F56" s="97" t="n"/>
    </row>
  </sheetData>
  <autoFilter ref="B21:K34">
    <filterColumn colId="2" hiddenButton="0" showButton="1">
      <filters>
        <filter val="1"/>
        <filter val="12"/>
        <filter val="138"/>
        <filter val="152"/>
        <filter val="157"/>
        <filter val="19"/>
        <filter val="35"/>
        <filter val="87"/>
      </filters>
    </filterColumn>
  </autoFilter>
  <mergeCells count="26">
    <mergeCell ref="B16:C16"/>
    <mergeCell ref="B7:C7"/>
    <mergeCell ref="J10:K10"/>
    <mergeCell ref="B12:C12"/>
    <mergeCell ref="B10:D10"/>
    <mergeCell ref="F7:J7"/>
    <mergeCell ref="B39:F39"/>
    <mergeCell ref="B11:C11"/>
    <mergeCell ref="B14:C14"/>
    <mergeCell ref="B45:F46"/>
    <mergeCell ref="B47:E47"/>
    <mergeCell ref="B17:C17"/>
    <mergeCell ref="B15:D15"/>
    <mergeCell ref="B8:C8"/>
    <mergeCell ref="B13:C13"/>
    <mergeCell ref="B56:E56"/>
    <mergeCell ref="F5:K6"/>
    <mergeCell ref="B43:E43"/>
    <mergeCell ref="B4:D4"/>
    <mergeCell ref="B9:C9"/>
    <mergeCell ref="B42:E42"/>
    <mergeCell ref="B40:F40"/>
    <mergeCell ref="B6:C6"/>
    <mergeCell ref="B5:C5"/>
    <mergeCell ref="B38:E38"/>
    <mergeCell ref="B41:F41"/>
  </mergeCells>
  <dataValidations count="5">
    <dataValidation sqref="AC2" showDropDown="0" showInputMessage="1" showErrorMessage="1" allowBlank="1" type="list">
      <formula1>$AN$2:$AN$3</formula1>
    </dataValidation>
    <dataValidation sqref="AC3" showDropDown="0" showInputMessage="1" showErrorMessage="1" allowBlank="1" type="list">
      <formula1>$AP$3:$AP$5</formula1>
    </dataValidation>
    <dataValidation sqref="AD2" showDropDown="0" showInputMessage="1" showErrorMessage="1" allowBlank="1" type="list">
      <formula1>$AO$2:$AO$7</formula1>
    </dataValidation>
    <dataValidation sqref="AD3" showDropDown="0" showInputMessage="1" showErrorMessage="1" allowBlank="1" type="list">
      <formula1>$AO$10:$AO$15</formula1>
    </dataValidation>
    <dataValidation sqref="K2" showDropDown="0" showInputMessage="1" showErrorMessage="1" allowBlank="1" type="list">
      <formula1>"Да,Нет"</formula1>
    </dataValidation>
  </dataValidations>
  <pageMargins left="0.75" right="0.75" top="1" bottom="1" header="0.5" footer="0.5"/>
  <pageSetup orientation="portrait" paperSize="9" horizontalDpi="4294967292" verticalDpi="4294967292"/>
</worksheet>
</file>

<file path=xl/worksheets/sheet10.xml><?xml version="1.0" encoding="utf-8"?>
<worksheet xmlns="http://schemas.openxmlformats.org/spreadsheetml/2006/main">
  <sheetPr codeName="Лист14">
    <outlinePr summaryBelow="1" summaryRight="1"/>
    <pageSetUpPr/>
  </sheetPr>
  <dimension ref="B1:AR343"/>
  <sheetViews>
    <sheetView showGridLines="0" zoomScale="90" zoomScaleNormal="90" workbookViewId="0">
      <selection activeCell="D3" sqref="D3"/>
    </sheetView>
  </sheetViews>
  <sheetFormatPr baseColWidth="8" defaultColWidth="8.77734375" defaultRowHeight="10.2"/>
  <cols>
    <col width="6.5546875" customWidth="1" style="701" min="1" max="1"/>
    <col width="17.21875" customWidth="1" style="701" min="2" max="2"/>
    <col width="34.44140625" customWidth="1" style="701" min="3" max="3"/>
    <col width="20.21875" customWidth="1" style="701" min="4" max="4"/>
    <col outlineLevel="1" width="20.21875" customWidth="1" style="701" min="5" max="5"/>
    <col outlineLevel="1" width="18" customWidth="1" style="701" min="6" max="6"/>
    <col outlineLevel="1" width="14" customWidth="1" style="701" min="7" max="7"/>
    <col outlineLevel="1" width="11.5546875" customWidth="1" style="701" min="8" max="8"/>
    <col width="18.77734375" customWidth="1" style="701" min="9" max="9"/>
    <col width="20.44140625" customWidth="1" style="701" min="10" max="10"/>
    <col width="16.5546875" customWidth="1" style="701" min="11" max="11"/>
    <col outlineLevel="1" width="15.77734375" customWidth="1" style="701" min="12" max="12"/>
    <col outlineLevel="1" width="14.21875" customWidth="1" style="701" min="13" max="13"/>
    <col outlineLevel="1" width="15.77734375" customWidth="1" style="701" min="14" max="14"/>
    <col width="9.44140625" customWidth="1" style="278" min="15" max="15"/>
    <col width="15" customWidth="1" style="701" min="16" max="16"/>
    <col width="8.77734375" customWidth="1" style="701" min="17" max="38"/>
    <col width="8.77734375" customWidth="1" style="701" min="39" max="39"/>
    <col hidden="1" width="9.21875" customWidth="1" style="701" min="40" max="42"/>
    <col hidden="1" width="8.77734375" customWidth="1" style="701" min="43" max="43"/>
    <col hidden="1" width="15.77734375" customWidth="1" style="701" min="44" max="44"/>
    <col width="8.77734375" customWidth="1" style="701" min="45" max="16384"/>
  </cols>
  <sheetData>
    <row r="1" ht="37.5" customHeight="1">
      <c r="B1" s="238" t="n"/>
      <c r="AR1" s="301" t="inlineStr">
        <is>
          <t>Праздники</t>
        </is>
      </c>
    </row>
    <row r="2" ht="22.5" customHeight="1" thickBot="1">
      <c r="B2" s="734" t="inlineStr">
        <is>
          <t>Сеть бизнес центров</t>
        </is>
      </c>
      <c r="E2" s="183" t="n"/>
      <c r="F2" s="183" t="n"/>
      <c r="G2" s="183" t="n"/>
      <c r="H2" s="183" t="n"/>
      <c r="I2" s="667" t="n"/>
      <c r="J2" s="15" t="n"/>
      <c r="K2" s="15" t="n"/>
      <c r="L2" s="183" t="n"/>
      <c r="M2" s="183" t="n"/>
      <c r="N2" s="183" t="n"/>
      <c r="AC2" s="202" t="n"/>
      <c r="AD2" s="239" t="n"/>
      <c r="AN2" s="183" t="inlineStr">
        <is>
          <t>ПК</t>
        </is>
      </c>
      <c r="AO2" s="204" t="n">
        <v>0</v>
      </c>
      <c r="AP2" s="183" t="n"/>
      <c r="AR2" s="302" t="n">
        <v>44929</v>
      </c>
    </row>
    <row r="3" ht="15" customHeight="1">
      <c r="B3" s="719" t="inlineStr">
        <is>
          <t xml:space="preserve">Клиент:  </t>
        </is>
      </c>
      <c r="C3" s="854" t="n"/>
      <c r="D3" s="115" t="n"/>
      <c r="E3" s="183" t="n"/>
      <c r="F3" s="183" t="n"/>
      <c r="G3" s="183" t="n"/>
      <c r="H3" s="183" t="n"/>
      <c r="I3" s="723" t="inlineStr">
        <is>
          <t xml:space="preserve">Всего экранов:  </t>
        </is>
      </c>
      <c r="J3" s="879" t="n"/>
      <c r="K3" s="99">
        <f>D343</f>
        <v/>
      </c>
      <c r="L3" s="183" t="n"/>
      <c r="M3" s="183" t="n"/>
      <c r="N3" s="183" t="n"/>
      <c r="AC3" s="202" t="n"/>
      <c r="AD3" s="239" t="n"/>
      <c r="AN3" s="183" t="inlineStr">
        <is>
          <t>РА</t>
        </is>
      </c>
      <c r="AO3" s="204" t="n">
        <v>0.05</v>
      </c>
      <c r="AP3" s="183" t="inlineStr">
        <is>
          <t>Доп скидка</t>
        </is>
      </c>
      <c r="AR3" s="302" t="n">
        <v>44930</v>
      </c>
    </row>
    <row r="4" ht="15" customHeight="1">
      <c r="B4" s="721" t="inlineStr">
        <is>
          <t xml:space="preserve">Бренд:  </t>
        </is>
      </c>
      <c r="C4" s="855" t="n"/>
      <c r="D4" s="116" t="n"/>
      <c r="E4" s="183" t="n"/>
      <c r="F4" s="183" t="n"/>
      <c r="G4" s="183" t="n"/>
      <c r="H4" s="183" t="n"/>
      <c r="I4" s="725" t="inlineStr">
        <is>
          <t>Часов работы одного экрана в сутки:</t>
        </is>
      </c>
      <c r="J4" s="856" t="n"/>
      <c r="K4" s="100" t="n">
        <v>12</v>
      </c>
      <c r="L4" s="183" t="n"/>
      <c r="M4" s="183" t="n"/>
      <c r="N4" s="183" t="n"/>
      <c r="AB4" s="844" t="n"/>
      <c r="AC4" s="844" t="n"/>
      <c r="AN4" s="183" t="n"/>
      <c r="AO4" s="204" t="n">
        <v>0.1</v>
      </c>
      <c r="AP4" s="183" t="inlineStr">
        <is>
          <t>Welcome скидка</t>
        </is>
      </c>
      <c r="AR4" s="302" t="n">
        <v>44931</v>
      </c>
    </row>
    <row r="5" ht="15" customHeight="1">
      <c r="B5" s="714" t="inlineStr">
        <is>
          <t xml:space="preserve">Начало РК:  </t>
        </is>
      </c>
      <c r="C5" s="855" t="n"/>
      <c r="D5" s="206">
        <f>Общий!D5</f>
        <v/>
      </c>
      <c r="E5" s="183" t="n"/>
      <c r="F5" s="183" t="n"/>
      <c r="G5" s="183" t="n"/>
      <c r="H5" s="183" t="n"/>
      <c r="I5" s="697" t="inlineStr">
        <is>
          <t>Продолжительность блока в минутах:</t>
        </is>
      </c>
      <c r="J5" s="856" t="n"/>
      <c r="K5" s="101" t="n">
        <v>2</v>
      </c>
      <c r="L5" s="183" t="n"/>
      <c r="M5" s="183" t="n"/>
      <c r="N5" s="183" t="n"/>
      <c r="AN5" s="183" t="n"/>
      <c r="AO5" s="204" t="n">
        <v>0.15</v>
      </c>
      <c r="AP5" s="183" t="inlineStr">
        <is>
          <t>Сезонная скидка</t>
        </is>
      </c>
      <c r="AR5" s="302" t="n">
        <v>44932</v>
      </c>
    </row>
    <row r="6" ht="15" customHeight="1">
      <c r="B6" s="714" t="inlineStr">
        <is>
          <t xml:space="preserve">Окончание РК:  </t>
        </is>
      </c>
      <c r="C6" s="855" t="n"/>
      <c r="D6" s="206">
        <f>Общий!D6</f>
        <v/>
      </c>
      <c r="E6" s="183" t="n"/>
      <c r="F6" s="183" t="n"/>
      <c r="G6" s="183" t="n"/>
      <c r="H6" s="183" t="n"/>
      <c r="I6" s="697" t="inlineStr">
        <is>
          <t>Блоков в сутки на одном экране:</t>
        </is>
      </c>
      <c r="J6" s="856" t="n"/>
      <c r="K6" s="101">
        <f>K4*60/K5</f>
        <v/>
      </c>
      <c r="L6" s="183" t="n"/>
      <c r="M6" s="183" t="n"/>
      <c r="N6" s="183" t="n"/>
      <c r="AN6" s="183" t="n"/>
      <c r="AO6" s="204" t="n">
        <v>0.2</v>
      </c>
      <c r="AP6" s="183" t="n"/>
      <c r="AR6" s="302" t="n">
        <v>44933</v>
      </c>
    </row>
    <row r="7" ht="15" customHeight="1">
      <c r="B7" s="714" t="inlineStr">
        <is>
          <t xml:space="preserve">Ролик1, сек:  </t>
        </is>
      </c>
      <c r="C7" s="855" t="n"/>
      <c r="D7" s="117">
        <f>Общий!D7</f>
        <v/>
      </c>
      <c r="E7" s="183" t="n"/>
      <c r="F7" s="183" t="n"/>
      <c r="G7" s="183" t="n"/>
      <c r="H7" s="183" t="n"/>
      <c r="I7" s="697" t="inlineStr">
        <is>
          <t>Кол-во рабочих дней размещения:</t>
        </is>
      </c>
      <c r="J7" s="856" t="n"/>
      <c r="K7" s="102">
        <f>NETWORKDAYS.INTL(D5,D6,1,AR2:AR15)</f>
        <v/>
      </c>
      <c r="L7" s="183" t="n"/>
      <c r="M7" s="183" t="n"/>
      <c r="N7" s="183" t="n"/>
      <c r="AN7" s="183" t="n"/>
      <c r="AO7" s="204" t="n">
        <v>0.25</v>
      </c>
      <c r="AP7" s="183" t="n"/>
      <c r="AR7" s="302" t="n">
        <v>44980</v>
      </c>
    </row>
    <row r="8" ht="15" customHeight="1">
      <c r="B8" s="714" t="inlineStr">
        <is>
          <t xml:space="preserve">Ролик2, сек:  </t>
        </is>
      </c>
      <c r="C8" s="855" t="n"/>
      <c r="D8" s="117" t="n"/>
      <c r="E8" s="183" t="n"/>
      <c r="F8" s="183" t="n"/>
      <c r="G8" s="183" t="n"/>
      <c r="H8" s="183" t="n"/>
      <c r="I8" s="697" t="inlineStr">
        <is>
          <t>Кол-во роликов в блоке:</t>
        </is>
      </c>
      <c r="J8" s="856" t="n"/>
      <c r="K8" s="101">
        <f>COUNT(D$7,D$8,D$9)</f>
        <v/>
      </c>
      <c r="L8" s="183" t="n"/>
      <c r="M8" s="183" t="n"/>
      <c r="N8" s="183" t="n"/>
      <c r="AN8" s="183" t="n"/>
      <c r="AO8" s="183" t="n"/>
      <c r="AP8" s="183" t="n"/>
      <c r="AR8" s="302" t="n">
        <v>44981</v>
      </c>
    </row>
    <row r="9" ht="15" customHeight="1" thickBot="1">
      <c r="B9" s="748" t="n"/>
      <c r="C9" s="855" t="n"/>
      <c r="D9" s="240" t="n"/>
      <c r="E9" s="183" t="n"/>
      <c r="F9" s="183" t="n"/>
      <c r="G9" s="183" t="n"/>
      <c r="H9" s="183" t="n"/>
      <c r="I9" s="697" t="inlineStr">
        <is>
          <t>Итого секунд в блоке:</t>
        </is>
      </c>
      <c r="J9" s="856" t="n"/>
      <c r="K9" s="102">
        <f>SUM(D7:D9)</f>
        <v/>
      </c>
      <c r="L9" s="183" t="n"/>
      <c r="M9" s="183" t="n"/>
      <c r="N9" s="183" t="n"/>
      <c r="AN9" s="183" t="n"/>
      <c r="AO9" s="183" t="n"/>
      <c r="AP9" s="183" t="n"/>
      <c r="AR9" s="302" t="n">
        <v>44993</v>
      </c>
    </row>
    <row r="10" ht="15" customHeight="1">
      <c r="B10" s="930" t="inlineStr">
        <is>
          <t>Применяемые скидки (последовательно)</t>
        </is>
      </c>
      <c r="C10" s="880" t="n"/>
      <c r="D10" s="855" t="n"/>
      <c r="E10" s="183" t="n"/>
      <c r="F10" s="183" t="n"/>
      <c r="G10" s="183" t="n"/>
      <c r="H10" s="183" t="n"/>
      <c r="I10" s="697" t="inlineStr">
        <is>
          <t>Показов в день на одном экране:</t>
        </is>
      </c>
      <c r="J10" s="856" t="n"/>
      <c r="K10" s="101">
        <f>K6*K8</f>
        <v/>
      </c>
      <c r="L10" s="183" t="n"/>
      <c r="M10" s="183" t="n"/>
      <c r="N10" s="183" t="n"/>
      <c r="AN10" s="183" t="n"/>
      <c r="AO10" s="204" t="n">
        <v>0</v>
      </c>
      <c r="AP10" s="183" t="n"/>
      <c r="AR10" s="302" t="n">
        <v>45047</v>
      </c>
    </row>
    <row r="11" ht="15" customHeight="1">
      <c r="B11" s="685" t="inlineStr">
        <is>
          <t>За кол-во экранов(средн):</t>
        </is>
      </c>
      <c r="C11" s="856" t="n"/>
      <c r="D11" s="118">
        <f>AVERAGE(G22:G23)</f>
        <v/>
      </c>
      <c r="E11" s="183" t="n"/>
      <c r="F11" s="183" t="n"/>
      <c r="G11" s="183" t="n"/>
      <c r="H11" s="183" t="n"/>
      <c r="I11" s="697" t="inlineStr">
        <is>
          <t>Минут в день на одном экране:</t>
        </is>
      </c>
      <c r="J11" s="856" t="n"/>
      <c r="K11" s="101">
        <f>K6*K9/60</f>
        <v/>
      </c>
      <c r="L11" s="183" t="n"/>
      <c r="M11" s="183" t="n"/>
      <c r="N11" s="183" t="n"/>
      <c r="AN11" s="183" t="n"/>
      <c r="AO11" s="204" t="n">
        <v>0.05</v>
      </c>
      <c r="AP11" s="183" t="n"/>
      <c r="AR11" s="302" t="n">
        <v>45054</v>
      </c>
    </row>
    <row r="12" ht="15" customHeight="1">
      <c r="B12" s="685" t="inlineStr">
        <is>
          <t>За период:</t>
        </is>
      </c>
      <c r="C12" s="856" t="n"/>
      <c r="D12" s="118">
        <f>IF(K7&lt;14,0%,IF(K7&lt;45,5%,IF(K7&lt;75,10%,10%)))</f>
        <v/>
      </c>
      <c r="E12" s="183" t="n"/>
      <c r="F12" s="183" t="n"/>
      <c r="G12" s="183" t="n"/>
      <c r="H12" s="183" t="n"/>
      <c r="I12" s="697" t="inlineStr">
        <is>
          <t>Показов на всех экранах за период:</t>
        </is>
      </c>
      <c r="J12" s="856" t="n"/>
      <c r="K12" s="103">
        <f>K10*K7*K3</f>
        <v/>
      </c>
      <c r="L12" s="183" t="n"/>
      <c r="M12" s="183" t="n"/>
      <c r="N12" s="183" t="n"/>
      <c r="AN12" s="183" t="n"/>
      <c r="AO12" s="204" t="n">
        <v>0.1</v>
      </c>
      <c r="AP12" s="183" t="n"/>
      <c r="AR12" s="302" t="n">
        <v>45055</v>
      </c>
    </row>
    <row r="13" ht="15" customHeight="1">
      <c r="B13" s="685">
        <f>IF(AC2="РА","Скидка для РА:"," ")</f>
        <v/>
      </c>
      <c r="C13" s="856" t="n"/>
      <c r="D13" s="119">
        <f>IF(AC2="РА",AD2," ")</f>
        <v/>
      </c>
      <c r="E13" s="183" t="n"/>
      <c r="F13" s="183" t="n"/>
      <c r="G13" s="183" t="n"/>
      <c r="H13" s="183" t="n"/>
      <c r="I13" s="695" t="inlineStr">
        <is>
          <t>OTS:</t>
        </is>
      </c>
      <c r="J13" s="856" t="n"/>
      <c r="K13" s="122">
        <f>M343</f>
        <v/>
      </c>
      <c r="L13" s="183" t="n"/>
      <c r="M13" s="183" t="n"/>
      <c r="N13" s="183" t="n"/>
      <c r="AN13" s="183" t="n"/>
      <c r="AO13" s="204" t="n">
        <v>0.15</v>
      </c>
      <c r="AP13" s="183" t="n"/>
      <c r="AR13" s="302" t="n">
        <v>45089</v>
      </c>
    </row>
    <row r="14" ht="15" customHeight="1">
      <c r="B14" s="697">
        <f>IF(AC3=0," ",AC3)</f>
        <v/>
      </c>
      <c r="C14" s="856" t="n"/>
      <c r="D14" s="207">
        <f>IF(OR(AC3="Доп скидка",AC3="Сезонная скидка",AC3="Welcome скидка")=TRUE,AD3," ")</f>
        <v/>
      </c>
      <c r="E14" s="183" t="n"/>
      <c r="F14" s="183" t="n"/>
      <c r="G14" s="183" t="n"/>
      <c r="H14" s="183" t="n"/>
      <c r="I14" s="695" t="inlineStr">
        <is>
          <t>CPT:</t>
        </is>
      </c>
      <c r="J14" s="856" t="n"/>
      <c r="K14" s="882">
        <f>N343</f>
        <v/>
      </c>
      <c r="L14" s="183" t="n"/>
      <c r="M14" s="183" t="n"/>
      <c r="N14" s="183" t="n"/>
      <c r="AN14" s="183" t="n"/>
      <c r="AO14" s="204" t="n">
        <v>0.2</v>
      </c>
      <c r="AP14" s="183" t="n"/>
      <c r="AR14" s="302" t="n">
        <v>45236</v>
      </c>
    </row>
    <row r="15" ht="14.4" customHeight="1">
      <c r="B15" s="702" t="inlineStr">
        <is>
          <t>Стоимость размещения</t>
        </is>
      </c>
      <c r="C15" s="859" t="n"/>
      <c r="D15" s="856" t="n"/>
      <c r="E15" s="183" t="n"/>
      <c r="F15" s="183" t="n"/>
      <c r="G15" s="183" t="n"/>
      <c r="H15" s="183" t="n"/>
      <c r="I15" s="702" t="n"/>
      <c r="J15" s="859" t="n"/>
      <c r="K15" s="856" t="n"/>
      <c r="L15" s="183" t="n"/>
      <c r="M15" s="183" t="n"/>
      <c r="N15" s="183" t="n"/>
      <c r="AN15" s="183" t="n"/>
      <c r="AO15" s="204" t="n">
        <v>0.25</v>
      </c>
      <c r="AP15" s="183" t="n"/>
      <c r="AR15" s="302" t="n"/>
    </row>
    <row r="16" ht="15" customHeight="1">
      <c r="B16" s="695" t="inlineStr">
        <is>
          <t>Всего, руб. NET:</t>
        </is>
      </c>
      <c r="C16" s="856" t="n"/>
      <c r="D16" s="904">
        <f>J343</f>
        <v/>
      </c>
      <c r="E16" s="183" t="n"/>
      <c r="F16" s="183" t="n"/>
      <c r="G16" s="183" t="n"/>
      <c r="H16" s="183" t="n"/>
      <c r="I16" s="709" t="inlineStr">
        <is>
          <t>Предоставление ролика до:</t>
        </is>
      </c>
      <c r="J16" s="856" t="n"/>
      <c r="K16" s="104">
        <f>D5-3</f>
        <v/>
      </c>
      <c r="L16" s="183" t="n"/>
      <c r="M16" s="183" t="n"/>
      <c r="N16" s="183" t="n"/>
      <c r="AN16" s="183" t="n"/>
      <c r="AO16" s="204" t="n"/>
      <c r="AP16" s="183" t="n"/>
    </row>
    <row r="17" ht="15" customHeight="1" thickBot="1">
      <c r="B17" s="713" t="inlineStr">
        <is>
          <t>Всего, руб. GROSS:</t>
        </is>
      </c>
      <c r="C17" s="858" t="n"/>
      <c r="D17" s="905">
        <f>K343</f>
        <v/>
      </c>
      <c r="E17" s="208" t="n"/>
      <c r="F17" s="209" t="n"/>
      <c r="G17" s="210" t="n"/>
      <c r="H17" s="211" t="n"/>
      <c r="I17" s="711" t="inlineStr">
        <is>
          <t>Оплата до:</t>
        </is>
      </c>
      <c r="J17" s="858" t="n"/>
      <c r="K17" s="105">
        <f>D5-5</f>
        <v/>
      </c>
      <c r="L17" s="183" t="n"/>
      <c r="M17" s="183" t="n"/>
      <c r="N17" s="183" t="n"/>
      <c r="AN17" s="183" t="n"/>
      <c r="AO17" s="204" t="n"/>
      <c r="AP17" s="183" t="n"/>
    </row>
    <row r="18" ht="10.5" customHeight="1">
      <c r="B18" s="111" t="n"/>
      <c r="C18" s="183" t="n"/>
      <c r="D18" s="183" t="n"/>
      <c r="E18" s="111" t="n"/>
      <c r="F18" s="112" t="n"/>
      <c r="G18" s="210" t="n"/>
      <c r="H18" s="114" t="n"/>
      <c r="I18" s="183" t="n"/>
      <c r="J18" s="183" t="n"/>
      <c r="K18" s="183" t="n"/>
      <c r="L18" s="183" t="n"/>
      <c r="M18" s="183" t="n"/>
      <c r="N18" s="183" t="n"/>
      <c r="AN18" s="183" t="inlineStr">
        <is>
          <t>Автобренд</t>
        </is>
      </c>
      <c r="AO18" s="183" t="n"/>
      <c r="AP18" s="183" t="n"/>
    </row>
    <row r="19" ht="10.5" customHeight="1">
      <c r="B19" s="111" t="n"/>
      <c r="C19" s="183" t="n"/>
      <c r="D19" s="183" t="n"/>
      <c r="E19" s="111" t="n"/>
      <c r="F19" s="112" t="n"/>
      <c r="G19" s="210" t="n"/>
      <c r="H19" s="114" t="n"/>
      <c r="I19" s="183" t="n"/>
      <c r="J19" s="183" t="n"/>
      <c r="K19" s="183" t="n"/>
      <c r="L19" s="183" t="n"/>
      <c r="M19" s="183" t="n"/>
      <c r="N19" s="183" t="n"/>
      <c r="AN19" s="183" t="n"/>
      <c r="AO19" s="183" t="n"/>
      <c r="AP19" s="183" t="n"/>
    </row>
    <row r="20" ht="18.75" customFormat="1" customHeight="1" s="212" thickBot="1">
      <c r="B20" s="705" t="inlineStr">
        <is>
          <t>Расчет стоимости кампании в бизнес центрах</t>
        </is>
      </c>
      <c r="C20" s="15" t="n"/>
      <c r="D20" s="15" t="n"/>
      <c r="E20" s="29" t="n"/>
      <c r="F20" s="29" t="n"/>
      <c r="G20" s="29" t="n"/>
      <c r="H20" s="185" t="n"/>
      <c r="I20" s="185" t="n"/>
      <c r="J20" s="185" t="n"/>
      <c r="K20" s="188" t="n"/>
      <c r="L20" s="188" t="n"/>
      <c r="M20" s="185" t="n"/>
      <c r="N20" s="185" t="n"/>
      <c r="O20" s="216" t="n"/>
    </row>
    <row r="21" ht="49.5" customFormat="1" customHeight="1" s="212" thickBot="1">
      <c r="B21" s="106" t="inlineStr">
        <is>
          <t>Регион</t>
        </is>
      </c>
      <c r="C21" s="107" t="inlineStr">
        <is>
          <t>Сеть</t>
        </is>
      </c>
      <c r="D21" s="107" t="inlineStr">
        <is>
          <t>Количество     экранов</t>
        </is>
      </c>
      <c r="E21" s="107" t="inlineStr">
        <is>
          <t>Базовая стоимость размещения 15 сек ролика в сутки на 1 экране, без НДС</t>
        </is>
      </c>
      <c r="F21" s="107" t="inlineStr">
        <is>
          <t>Стоимость размещения по выбранной АП за период, без НДС</t>
        </is>
      </c>
      <c r="G21" s="107" t="inlineStr">
        <is>
          <t>Скидка за кол-во экранов</t>
        </is>
      </c>
      <c r="H21" s="107" t="inlineStr">
        <is>
          <t>Скидка за период</t>
        </is>
      </c>
      <c r="I21" s="107" t="inlineStr">
        <is>
          <t>Итоговая скидка</t>
        </is>
      </c>
      <c r="J21" s="107" t="inlineStr">
        <is>
          <t xml:space="preserve"> Стоимость c учетом всех скидок, без НДС</t>
        </is>
      </c>
      <c r="K21" s="107" t="inlineStr">
        <is>
          <t xml:space="preserve"> Стоимость c учетом всех скидок, вкл. НДС</t>
        </is>
      </c>
      <c r="L21" s="107" t="inlineStr">
        <is>
          <t>Сумма НДС (20%)</t>
        </is>
      </c>
      <c r="M21" s="107" t="inlineStr">
        <is>
          <t>OTS</t>
        </is>
      </c>
      <c r="N21" s="109" t="inlineStr">
        <is>
          <t>CPT</t>
        </is>
      </c>
      <c r="O21" s="216" t="n"/>
    </row>
    <row r="22" ht="12" customFormat="1" customHeight="1" s="212">
      <c r="B22" s="253" t="inlineStr">
        <is>
          <t>Москва</t>
        </is>
      </c>
      <c r="C22" s="262" t="inlineStr">
        <is>
          <t>Golden Gate</t>
        </is>
      </c>
      <c r="D22" s="303">
        <f>SUMIFS('Адресная программа'!$K$2975:$K$4468,'Адресная программа'!$I$2975:$I$4468,БЦ_ALL!C22,'Адресная программа'!$C$2975:$C$4468,БЦ_ALL!B22,'Адресная программа'!$N$2975:$N$4468,1)</f>
        <v/>
      </c>
      <c r="E22" s="993">
        <f>'Цены|Скидки'!$D$25</f>
        <v/>
      </c>
      <c r="F22" s="933">
        <f>SUM(E22*D22*$K$7/15*$K$9)</f>
        <v/>
      </c>
      <c r="G22" s="156">
        <f>IF(SUMIFS('Адресная программа'!$O$20:$O$4940,'Адресная программа'!$N$20:$N$4940,1,'Адресная программа'!$C$20:$C$4940,B22,'Адресная программа'!$G$20:$G$4940,"Бизнес центр")=SUMIFS('Адресная программа'!$K$20:$K$4940,'Адресная программа'!$L$20:$L$4940,1,'Адресная программа'!$C$20:$C$4940,B22,'Адресная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программа'!$C$20:$C$4940,B22,'Адресная программа'!$G$20:$G$4940,"Бизнес центр")&gt;(SUMIFS('Адресная программа'!$K$20:$K$4940,'Адресная программа'!$L$20:$L$4940,1,'Адресная программа'!$C$20:$C$4940,B22,'Адресная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программа'!$C$20:$C$4940,B22,'Адресная программа'!$G$20:$G$4940,"Бизнес центр")&gt;(SUMIFS('Адресная программа'!$K$20:$K$4940,'Адресная программа'!$L$20:$L$4940,1,'Адресная программа'!$C$20:$C$4940,B22,'Адресная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программа'!$C$20:$C$4940,B22,'Адресная программа'!$G$20:$G$4940,"Бизнес центр")&gt;(SUMIFS('Адресная программа'!$K$20:$K$4940,'Адресная программа'!$L$20:$L$4940,1,'Адресная программа'!$C$20:$C$4940,B22,'Адресная программа'!$G$20:$G$4940,"Бизнес центр")*'Цены|Скидки'!$B$55-1),'Цены|Скидки'!$C$55,0%))))</f>
        <v/>
      </c>
      <c r="H22" s="156">
        <f>D$12</f>
        <v/>
      </c>
      <c r="I22" s="190">
        <f>IF(D22=0,0,1-J22/F22)</f>
        <v/>
      </c>
      <c r="J22" s="934">
        <f>F22*(1-G22)*(1-H22)*(1-IF($AC$2="РА",$AD$2,0))*(1-IF(OR($AC$3="Доп скидка",$AC$3="Сезонная скидка",$AC$3="Welcome скидка")=TRUE,$AD$3,0))</f>
        <v/>
      </c>
      <c r="K22" s="934">
        <f>ROUND(J22+L22,2)</f>
        <v/>
      </c>
      <c r="L22" s="934">
        <f>J22*БЦ!$AD$4</f>
        <v/>
      </c>
      <c r="M22" s="159">
        <f>(SUMIFS('Адресная программа'!$H$20:$H$4288,'Адресная программа'!$I$20:$I$4288,БЦ_ALL!C22,'Адресная программа'!$C$20:$C$4288,БЦ_ALL!B22,'Адресная программа'!$N$20:$N$4288,1)*$K$7)</f>
        <v/>
      </c>
      <c r="N22" s="935">
        <f>IF(M22=0,0,J22/M22*1000)</f>
        <v/>
      </c>
      <c r="O22" s="216" t="n"/>
    </row>
    <row r="23" ht="13.8" customHeight="1">
      <c r="B23" s="253" t="inlineStr">
        <is>
          <t>Москва</t>
        </is>
      </c>
      <c r="C23" s="264" t="inlineStr">
        <is>
          <t>Алексеевская Башня</t>
        </is>
      </c>
      <c r="D23" s="303">
        <f>SUMIFS('Адресная программа'!$K$2975:$K$4468,'Адресная программа'!$I$2975:$I$4468,БЦ_ALL!C23,'Адресная программа'!$C$2975:$C$4468,БЦ_ALL!B23,'Адресная программа'!$N$2975:$N$4468,1)</f>
        <v/>
      </c>
      <c r="E23" s="994">
        <f>'Цены|Скидки'!$D$25</f>
        <v/>
      </c>
      <c r="F23" s="942">
        <f>SUM(E23*D23*$K$7/15*$K$9)</f>
        <v/>
      </c>
      <c r="G23" s="156">
        <f>IF(SUMIFS('Адресная программа'!$O$20:$O$4940,'Адресная программа'!$N$20:$N$4940,1,'Адресная программа'!$C$20:$C$4940,B23,'Адресная программа'!$G$20:$G$4940,"Бизнес центр")=SUMIFS('Адресная программа'!$K$20:$K$4940,'Адресная программа'!$L$20:$L$4940,1,'Адресная программа'!$C$20:$C$4940,B23,'Адресная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программа'!$C$20:$C$4940,B23,'Адресная программа'!$G$20:$G$4940,"Бизнес центр")&gt;(SUMIFS('Адресная программа'!$K$20:$K$4940,'Адресная программа'!$L$20:$L$4940,1,'Адресная программа'!$C$20:$C$4940,B23,'Адресная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программа'!$C$20:$C$4940,B23,'Адресная программа'!$G$20:$G$4940,"Бизнес центр")&gt;(SUMIFS('Адресная программа'!$K$20:$K$4940,'Адресная программа'!$L$20:$L$4940,1,'Адресная программа'!$C$20:$C$4940,B23,'Адресная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программа'!$C$20:$C$4940,B23,'Адресная программа'!$G$20:$G$4940,"Бизнес центр")&gt;(SUMIFS('Адресная программа'!$K$20:$K$4940,'Адресная программа'!$L$20:$L$4940,1,'Адресная программа'!$C$20:$C$4940,B23,'Адресная программа'!$G$20:$G$4940,"Бизнес центр")*'Цены|Скидки'!$B$55-1),'Цены|Скидки'!$C$55,0%))))</f>
        <v/>
      </c>
      <c r="H23" s="156">
        <f>D$12</f>
        <v/>
      </c>
      <c r="I23" s="190">
        <f>IF(D23=0,0,1-J23/F23)</f>
        <v/>
      </c>
      <c r="J23" s="934">
        <f>F23*(1-G23)*(1-H23)*(1-IF($AC$2="РА",$AD$2,0))*(1-IF(OR($AC$3="Доп скидка",$AC$3="Сезонная скидка",$AC$3="Welcome скидка")=TRUE,$AD$3,0))</f>
        <v/>
      </c>
      <c r="K23" s="934">
        <f>ROUND(J23+L23,2)</f>
        <v/>
      </c>
      <c r="L23" s="934">
        <f>J23*БЦ!$AD$4</f>
        <v/>
      </c>
      <c r="M23" s="159">
        <f>(SUMIFS('Адресная программа'!$H$20:$H$4288,'Адресная программа'!$I$20:$I$4288,БЦ_ALL!C23,'Адресная программа'!$C$20:$C$4288,БЦ_ALL!B23,'Адресная программа'!$N$20:$N$4288,1)*$K$7)</f>
        <v/>
      </c>
      <c r="N23" s="935">
        <f>IF(M23=0,0,J23/M23*1000)</f>
        <v/>
      </c>
    </row>
    <row r="24" ht="13.8" customHeight="1">
      <c r="B24" s="253" t="inlineStr">
        <is>
          <t>Москва</t>
        </is>
      </c>
      <c r="C24" s="264" t="inlineStr">
        <is>
          <t>Аэропорт</t>
        </is>
      </c>
      <c r="D24" s="303">
        <f>SUMIFS('Адресная программа'!$K$2975:$K$4468,'Адресная программа'!$I$2975:$I$4468,БЦ_ALL!C24,'Адресная программа'!$C$2975:$C$4468,БЦ_ALL!B24,'Адресная программа'!$N$2975:$N$4468,1)</f>
        <v/>
      </c>
      <c r="E24" s="994">
        <f>'Цены|Скидки'!$D$25</f>
        <v/>
      </c>
      <c r="F24" s="942">
        <f>SUM(E24*D24*$K$7/15*$K$9)</f>
        <v/>
      </c>
      <c r="G24" s="156">
        <f>IF(SUMIFS('Адресная программа'!$O$20:$O$4940,'Адресная программа'!$N$20:$N$4940,1,'Адресная программа'!$C$20:$C$4940,B24,'Адресная программа'!$G$20:$G$4940,"Бизнес центр")=SUMIFS('Адресная программа'!$K$20:$K$4940,'Адресная программа'!$L$20:$L$4940,1,'Адресная программа'!$C$20:$C$4940,B24,'Адресная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программа'!$C$20:$C$4940,B24,'Адресная программа'!$G$20:$G$4940,"Бизнес центр")&gt;(SUMIFS('Адресная программа'!$K$20:$K$4940,'Адресная программа'!$L$20:$L$4940,1,'Адресная программа'!$C$20:$C$4940,B24,'Адресная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программа'!$C$20:$C$4940,B24,'Адресная программа'!$G$20:$G$4940,"Бизнес центр")&gt;(SUMIFS('Адресная программа'!$K$20:$K$4940,'Адресная программа'!$L$20:$L$4940,1,'Адресная программа'!$C$20:$C$4940,B24,'Адресная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программа'!$C$20:$C$4940,B24,'Адресная программа'!$G$20:$G$4940,"Бизнес центр")&gt;(SUMIFS('Адресная программа'!$K$20:$K$4940,'Адресная программа'!$L$20:$L$4940,1,'Адресная программа'!$C$20:$C$4940,B24,'Адресная программа'!$G$20:$G$4940,"Бизнес центр")*'Цены|Скидки'!$B$55-1),'Цены|Скидки'!$C$55,0%))))</f>
        <v/>
      </c>
      <c r="H24" s="156">
        <f>D$12</f>
        <v/>
      </c>
      <c r="I24" s="190">
        <f>IF(D24=0,0,1-J24/F24)</f>
        <v/>
      </c>
      <c r="J24" s="934">
        <f>F24*(1-G24)*(1-H24)*(1-IF($AC$2="РА",$AD$2,0))*(1-IF(OR($AC$3="Доп скидка",$AC$3="Сезонная скидка",$AC$3="Welcome скидка")=TRUE,$AD$3,0))</f>
        <v/>
      </c>
      <c r="K24" s="934">
        <f>ROUND(J24+L24,2)</f>
        <v/>
      </c>
      <c r="L24" s="934">
        <f>J24*БЦ!$AD$4</f>
        <v/>
      </c>
      <c r="M24" s="159">
        <f>(SUMIFS('Адресная программа'!$H$20:$H$4288,'Адресная программа'!$I$20:$I$4288,БЦ_ALL!C24,'Адресная программа'!$C$20:$C$4288,БЦ_ALL!B24,'Адресная программа'!$N$20:$N$4288,1)*$K$7)</f>
        <v/>
      </c>
      <c r="N24" s="935">
        <f>IF(M24=0,0,J24/M24*1000)</f>
        <v/>
      </c>
    </row>
    <row r="25" ht="13.8" customHeight="1">
      <c r="B25" s="253" t="inlineStr">
        <is>
          <t>Москва</t>
        </is>
      </c>
      <c r="C25" s="264" t="inlineStr">
        <is>
          <t>Бета  Центр</t>
        </is>
      </c>
      <c r="D25" s="303">
        <f>SUMIFS('Адресная программа'!$K$2975:$K$4468,'Адресная программа'!$I$2975:$I$4468,БЦ_ALL!C25,'Адресная программа'!$C$2975:$C$4468,БЦ_ALL!B25,'Адресная программа'!$N$2975:$N$4468,1)</f>
        <v/>
      </c>
      <c r="E25" s="994">
        <f>'Цены|Скидки'!$D$25</f>
        <v/>
      </c>
      <c r="F25" s="942">
        <f>SUM(E25*D25*$K$7/15*$K$9)</f>
        <v/>
      </c>
      <c r="G25" s="156">
        <f>IF(SUMIFS('Адресная программа'!$O$20:$O$4940,'Адресная программа'!$N$20:$N$4940,1,'Адресная программа'!$C$20:$C$4940,B25,'Адресная программа'!$G$20:$G$4940,"Бизнес центр")=SUMIFS('Адресная программа'!$K$20:$K$4940,'Адресная программа'!$L$20:$L$4940,1,'Адресная программа'!$C$20:$C$4940,B25,'Адресная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программа'!$C$20:$C$4940,B25,'Адресная программа'!$G$20:$G$4940,"Бизнес центр")&gt;(SUMIFS('Адресная программа'!$K$20:$K$4940,'Адресная программа'!$L$20:$L$4940,1,'Адресная программа'!$C$20:$C$4940,B25,'Адресная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программа'!$C$20:$C$4940,B25,'Адресная программа'!$G$20:$G$4940,"Бизнес центр")&gt;(SUMIFS('Адресная программа'!$K$20:$K$4940,'Адресная программа'!$L$20:$L$4940,1,'Адресная программа'!$C$20:$C$4940,B25,'Адресная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программа'!$C$20:$C$4940,B25,'Адресная программа'!$G$20:$G$4940,"Бизнес центр")&gt;(SUMIFS('Адресная программа'!$K$20:$K$4940,'Адресная программа'!$L$20:$L$4940,1,'Адресная программа'!$C$20:$C$4940,B25,'Адресная программа'!$G$20:$G$4940,"Бизнес центр")*'Цены|Скидки'!$B$55-1),'Цены|Скидки'!$C$55,0%))))</f>
        <v/>
      </c>
      <c r="H25" s="156">
        <f>D$12</f>
        <v/>
      </c>
      <c r="I25" s="190">
        <f>IF(D25=0,0,1-J25/F25)</f>
        <v/>
      </c>
      <c r="J25" s="934">
        <f>F25*(1-G25)*(1-H25)*(1-IF($AC$2="РА",$AD$2,0))*(1-IF(OR($AC$3="Доп скидка",$AC$3="Сезонная скидка",$AC$3="Welcome скидка")=TRUE,$AD$3,0))</f>
        <v/>
      </c>
      <c r="K25" s="934">
        <f>ROUND(J25+L25,2)</f>
        <v/>
      </c>
      <c r="L25" s="934">
        <f>J25*БЦ!$AD$4</f>
        <v/>
      </c>
      <c r="M25" s="159">
        <f>(SUMIFS('Адресная программа'!$H$20:$H$4288,'Адресная программа'!$I$20:$I$4288,БЦ_ALL!C25,'Адресная программа'!$C$20:$C$4288,БЦ_ALL!B25,'Адресная программа'!$N$20:$N$4288,1)*$K$7)</f>
        <v/>
      </c>
      <c r="N25" s="935">
        <f>IF(M25=0,0,J25/M25*1000)</f>
        <v/>
      </c>
    </row>
    <row r="26" ht="13.8" customHeight="1">
      <c r="B26" s="253" t="inlineStr">
        <is>
          <t>Москва</t>
        </is>
      </c>
      <c r="C26" s="264" t="inlineStr">
        <is>
          <t>Брент Сити</t>
        </is>
      </c>
      <c r="D26" s="303">
        <f>SUMIFS('Адресная программа'!$K$2975:$K$4468,'Адресная программа'!$I$2975:$I$4468,БЦ_ALL!C26,'Адресная программа'!$C$2975:$C$4468,БЦ_ALL!B26,'Адресная программа'!$N$2975:$N$4468,1)</f>
        <v/>
      </c>
      <c r="E26" s="994">
        <f>'Цены|Скидки'!$D$25</f>
        <v/>
      </c>
      <c r="F26" s="942">
        <f>SUM(E26*D26*$K$7/15*$K$9)</f>
        <v/>
      </c>
      <c r="G26" s="156">
        <f>IF(SUMIFS('Адресная программа'!$O$20:$O$4940,'Адресная программа'!$N$20:$N$4940,1,'Адресная программа'!$C$20:$C$4940,B26,'Адресная программа'!$G$20:$G$4940,"Бизнес центр")=SUMIFS('Адресная программа'!$K$20:$K$4940,'Адресная программа'!$L$20:$L$4940,1,'Адресная программа'!$C$20:$C$4940,B26,'Адресная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программа'!$C$20:$C$4940,B26,'Адресная программа'!$G$20:$G$4940,"Бизнес центр")&gt;(SUMIFS('Адресная программа'!$K$20:$K$4940,'Адресная программа'!$L$20:$L$4940,1,'Адресная программа'!$C$20:$C$4940,B26,'Адресная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программа'!$C$20:$C$4940,B26,'Адресная программа'!$G$20:$G$4940,"Бизнес центр")&gt;(SUMIFS('Адресная программа'!$K$20:$K$4940,'Адресная программа'!$L$20:$L$4940,1,'Адресная программа'!$C$20:$C$4940,B26,'Адресная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программа'!$C$20:$C$4940,B26,'Адресная программа'!$G$20:$G$4940,"Бизнес центр")&gt;(SUMIFS('Адресная программа'!$K$20:$K$4940,'Адресная программа'!$L$20:$L$4940,1,'Адресная программа'!$C$20:$C$4940,B26,'Адресная программа'!$G$20:$G$4940,"Бизнес центр")*'Цены|Скидки'!$B$55-1),'Цены|Скидки'!$C$55,0%))))</f>
        <v/>
      </c>
      <c r="H26" s="156">
        <f>D$12</f>
        <v/>
      </c>
      <c r="I26" s="190">
        <f>IF(D26=0,0,1-J26/F26)</f>
        <v/>
      </c>
      <c r="J26" s="934">
        <f>F26*(1-G26)*(1-H26)*(1-IF($AC$2="РА",$AD$2,0))*(1-IF(OR($AC$3="Доп скидка",$AC$3="Сезонная скидка",$AC$3="Welcome скидка")=TRUE,$AD$3,0))</f>
        <v/>
      </c>
      <c r="K26" s="934">
        <f>ROUND(J26+L26,2)</f>
        <v/>
      </c>
      <c r="L26" s="934">
        <f>J26*БЦ!$AD$4</f>
        <v/>
      </c>
      <c r="M26" s="159">
        <f>(SUMIFS('Адресная программа'!$H$20:$H$4288,'Адресная программа'!$I$20:$I$4288,БЦ_ALL!C26,'Адресная программа'!$C$20:$C$4288,БЦ_ALL!B26,'Адресная программа'!$N$20:$N$4288,1)*$K$7)</f>
        <v/>
      </c>
      <c r="N26" s="935">
        <f>IF(M26=0,0,J26/M26*1000)</f>
        <v/>
      </c>
    </row>
    <row r="27" ht="13.8" customHeight="1">
      <c r="B27" s="253" t="inlineStr">
        <is>
          <t>Москва</t>
        </is>
      </c>
      <c r="C27" s="264" t="inlineStr">
        <is>
          <t>Бригантина</t>
        </is>
      </c>
      <c r="D27" s="303">
        <f>SUMIFS('Адресная программа'!$K$2975:$K$4468,'Адресная программа'!$I$2975:$I$4468,БЦ_ALL!C27,'Адресная программа'!$C$2975:$C$4468,БЦ_ALL!B27,'Адресная программа'!$N$2975:$N$4468,1)</f>
        <v/>
      </c>
      <c r="E27" s="994">
        <f>'Цены|Скидки'!$D$25</f>
        <v/>
      </c>
      <c r="F27" s="942">
        <f>SUM(E27*D27*$K$7/15*$K$9)</f>
        <v/>
      </c>
      <c r="G27" s="156">
        <f>IF('Адресная программа'!$V$9='Адресная программа'!$U$9,'Цены|Скидки'!$C$52,IF('Адресная программа'!$V$9&gt;('Адресная программа'!$U$9*'Цены|Скидки'!$B$53-1),'Цены|Скидки'!$C$53,IF('Адресная программа'!$V$9&gt;('Адресная программа'!$U$9*'Цены|Скидки'!$B$54-1),'Цены|Скидки'!$C$54,IF('Адресная программа'!$V$9&gt;('Адресная программа'!$U$9*'Цены|Скидки'!$B$55-1),'Цены|Скидки'!$C$55,0%))))</f>
        <v/>
      </c>
      <c r="H27" s="156">
        <f>D$12</f>
        <v/>
      </c>
      <c r="I27" s="190">
        <f>IF(D27=0,0,1-J27/F27)</f>
        <v/>
      </c>
      <c r="J27" s="934">
        <f>F27*(1-G27)*(1-H27)*(1-IF($AC$2="РА",$AD$2,0))*(1-IF(OR($AC$3="Доп скидка",$AC$3="Сезонная скидка",$AC$3="Welcome скидка")=TRUE,$AD$3,0))</f>
        <v/>
      </c>
      <c r="K27" s="934">
        <f>ROUND(J27+L27,2)</f>
        <v/>
      </c>
      <c r="L27" s="934">
        <f>J27*0.2</f>
        <v/>
      </c>
      <c r="M27" s="159">
        <f>(SUMIFS('Адресная программа'!$H$3031:$H$4288,'Адресная программа'!$I$3031:$I$4288,БЦ_ALL!C27,'Адресная программа'!$C$3031:$C$4288,БЦ_ALL!B27,'Адресная программа'!$N$3031:$N$4288,1)*$K$7)</f>
        <v/>
      </c>
      <c r="N27" s="935">
        <f>IF(M27=0,0,J27/M27*1000)</f>
        <v/>
      </c>
    </row>
    <row r="28" ht="13.8" customHeight="1">
      <c r="B28" s="253" t="inlineStr">
        <is>
          <t>Москва</t>
        </is>
      </c>
      <c r="C28" s="264" t="inlineStr">
        <is>
          <t>Виктори Плаза</t>
        </is>
      </c>
      <c r="D28" s="303">
        <f>SUMIFS('Адресная программа'!$K$2975:$K$4468,'Адресная программа'!$I$2975:$I$4468,БЦ_ALL!C28,'Адресная программа'!$C$2975:$C$4468,БЦ_ALL!B28,'Адресная программа'!$N$2975:$N$4468,1)</f>
        <v/>
      </c>
      <c r="E28" s="994">
        <f>'Цены|Скидки'!$D$25</f>
        <v/>
      </c>
      <c r="F28" s="942">
        <f>SUM(E28*D28*$K$7/15*$K$9)</f>
        <v/>
      </c>
      <c r="G28" s="156">
        <f>IF(SUMIFS('Адресная программа'!$O$20:$O$4940,'Адресная программа'!$N$20:$N$4940,1,'Адресная программа'!$C$20:$C$4940,B28,'Адресная программа'!$G$20:$G$4940,"Бизнес центр")=SUMIFS('Адресная программа'!$K$20:$K$4940,'Адресная программа'!$L$20:$L$4940,1,'Адресная программа'!$C$20:$C$4940,B28,'Адресная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программа'!$C$20:$C$4940,B28,'Адресная программа'!$G$20:$G$4940,"Бизнес центр")&gt;(SUMIFS('Адресная программа'!$K$20:$K$4940,'Адресная программа'!$L$20:$L$4940,1,'Адресная программа'!$C$20:$C$4940,B28,'Адресная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программа'!$C$20:$C$4940,B28,'Адресная программа'!$G$20:$G$4940,"Бизнес центр")&gt;(SUMIFS('Адресная программа'!$K$20:$K$4940,'Адресная программа'!$L$20:$L$4940,1,'Адресная программа'!$C$20:$C$4940,B28,'Адресная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программа'!$C$20:$C$4940,B28,'Адресная программа'!$G$20:$G$4940,"Бизнес центр")&gt;(SUMIFS('Адресная программа'!$K$20:$K$4940,'Адресная программа'!$L$20:$L$4940,1,'Адресная программа'!$C$20:$C$4940,B28,'Адресная программа'!$G$20:$G$4940,"Бизнес центр")*'Цены|Скидки'!$B$55-1),'Цены|Скидки'!$C$55,0%))))</f>
        <v/>
      </c>
      <c r="H28" s="156">
        <f>D$12</f>
        <v/>
      </c>
      <c r="I28" s="190">
        <f>IF(D28=0,0,1-J28/F28)</f>
        <v/>
      </c>
      <c r="J28" s="934">
        <f>F28*(1-G28)*(1-H28)*(1-IF($AC$2="РА",$AD$2,0))*(1-IF(OR($AC$3="Доп скидка",$AC$3="Сезонная скидка",$AC$3="Welcome скидка")=TRUE,$AD$3,0))</f>
        <v/>
      </c>
      <c r="K28" s="934">
        <f>ROUND(J28+L28,2)</f>
        <v/>
      </c>
      <c r="L28" s="934">
        <f>J28*БЦ!$AD$4</f>
        <v/>
      </c>
      <c r="M28" s="159">
        <f>(SUMIFS('Адресная программа'!$H$20:$H$4288,'Адресная программа'!$I$20:$I$4288,БЦ_ALL!C28,'Адресная программа'!$C$20:$C$4288,БЦ_ALL!B28,'Адресная программа'!$N$20:$N$4288,1)*$K$7)</f>
        <v/>
      </c>
      <c r="N28" s="935">
        <f>IF(M28=0,0,J28/M28*1000)</f>
        <v/>
      </c>
    </row>
    <row r="29" ht="13.8" customHeight="1">
      <c r="B29" s="253" t="inlineStr">
        <is>
          <t>Москва</t>
        </is>
      </c>
      <c r="C29" s="264" t="inlineStr">
        <is>
          <t>Вольт центр</t>
        </is>
      </c>
      <c r="D29" s="303">
        <f>SUMIFS('Адресная программа'!$K$2975:$K$4468,'Адресная программа'!$I$2975:$I$4468,БЦ_ALL!C29,'Адресная программа'!$C$2975:$C$4468,БЦ_ALL!B29,'Адресная программа'!$N$2975:$N$4468,1)</f>
        <v/>
      </c>
      <c r="E29" s="994">
        <f>'Цены|Скидки'!$D$25</f>
        <v/>
      </c>
      <c r="F29" s="942">
        <f>SUM(E29*D29*$K$7/15*$K$9)</f>
        <v/>
      </c>
      <c r="G29" s="156">
        <f>IF(SUMIFS('Адресная программа'!$O$20:$O$4940,'Адресная программа'!$N$20:$N$4940,1,'Адресная программа'!$C$20:$C$4940,B29,'Адресная программа'!$G$20:$G$4940,"Бизнес центр")=SUMIFS('Адресная программа'!$K$20:$K$4940,'Адресная программа'!$L$20:$L$4940,1,'Адресная программа'!$C$20:$C$4940,B29,'Адресная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программа'!$C$20:$C$4940,B29,'Адресная программа'!$G$20:$G$4940,"Бизнес центр")&gt;(SUMIFS('Адресная программа'!$K$20:$K$4940,'Адресная программа'!$L$20:$L$4940,1,'Адресная программа'!$C$20:$C$4940,B29,'Адресная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программа'!$C$20:$C$4940,B29,'Адресная программа'!$G$20:$G$4940,"Бизнес центр")&gt;(SUMIFS('Адресная программа'!$K$20:$K$4940,'Адресная программа'!$L$20:$L$4940,1,'Адресная программа'!$C$20:$C$4940,B29,'Адресная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программа'!$C$20:$C$4940,B29,'Адресная программа'!$G$20:$G$4940,"Бизнес центр")&gt;(SUMIFS('Адресная программа'!$K$20:$K$4940,'Адресная программа'!$L$20:$L$4940,1,'Адресная программа'!$C$20:$C$4940,B29,'Адресная программа'!$G$20:$G$4940,"Бизнес центр")*'Цены|Скидки'!$B$55-1),'Цены|Скидки'!$C$55,0%))))</f>
        <v/>
      </c>
      <c r="H29" s="156">
        <f>D$12</f>
        <v/>
      </c>
      <c r="I29" s="190">
        <f>IF(D29=0,0,1-J29/F29)</f>
        <v/>
      </c>
      <c r="J29" s="934">
        <f>F29*(1-G29)*(1-H29)*(1-IF($AC$2="РА",$AD$2,0))*(1-IF(OR($AC$3="Доп скидка",$AC$3="Сезонная скидка",$AC$3="Welcome скидка")=TRUE,$AD$3,0))</f>
        <v/>
      </c>
      <c r="K29" s="934">
        <f>ROUND(J29+L29,2)</f>
        <v/>
      </c>
      <c r="L29" s="934">
        <f>J29*БЦ!$AD$4</f>
        <v/>
      </c>
      <c r="M29" s="159">
        <f>(SUMIFS('Адресная программа'!$H$20:$H$4288,'Адресная программа'!$I$20:$I$4288,БЦ_ALL!C29,'Адресная программа'!$C$20:$C$4288,БЦ_ALL!B29,'Адресная программа'!$N$20:$N$4288,1)*$K$7)</f>
        <v/>
      </c>
      <c r="N29" s="935">
        <f>IF(M29=0,0,J29/M29*1000)</f>
        <v/>
      </c>
    </row>
    <row r="30" ht="13.8" customHeight="1">
      <c r="B30" s="253" t="inlineStr">
        <is>
          <t>Москва</t>
        </is>
      </c>
      <c r="C30" s="264" t="inlineStr">
        <is>
          <t>Данилов Плаза</t>
        </is>
      </c>
      <c r="D30" s="303">
        <f>SUMIFS('Адресная программа'!$K$2975:$K$4468,'Адресная программа'!$I$2975:$I$4468,БЦ_ALL!C30,'Адресная программа'!$C$2975:$C$4468,БЦ_ALL!B30,'Адресная программа'!$N$2975:$N$4468,1)</f>
        <v/>
      </c>
      <c r="E30" s="994">
        <f>'Цены|Скидки'!$D$25</f>
        <v/>
      </c>
      <c r="F30" s="942">
        <f>SUM(E30*D30*$K$7/15*$K$9)</f>
        <v/>
      </c>
      <c r="G30" s="156">
        <f>IF(SUMIFS('Адресная программа'!$O$20:$O$4940,'Адресная программа'!$N$20:$N$4940,1,'Адресная программа'!$C$20:$C$4940,B30,'Адресная программа'!$G$20:$G$4940,"Бизнес центр")=SUMIFS('Адресная программа'!$K$20:$K$4940,'Адресная программа'!$L$20:$L$4940,1,'Адресная программа'!$C$20:$C$4940,B30,'Адресная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программа'!$C$20:$C$4940,B30,'Адресная программа'!$G$20:$G$4940,"Бизнес центр")&gt;(SUMIFS('Адресная программа'!$K$20:$K$4940,'Адресная программа'!$L$20:$L$4940,1,'Адресная программа'!$C$20:$C$4940,B30,'Адресная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программа'!$C$20:$C$4940,B30,'Адресная программа'!$G$20:$G$4940,"Бизнес центр")&gt;(SUMIFS('Адресная программа'!$K$20:$K$4940,'Адресная программа'!$L$20:$L$4940,1,'Адресная программа'!$C$20:$C$4940,B30,'Адресная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программа'!$C$20:$C$4940,B30,'Адресная программа'!$G$20:$G$4940,"Бизнес центр")&gt;(SUMIFS('Адресная программа'!$K$20:$K$4940,'Адресная программа'!$L$20:$L$4940,1,'Адресная программа'!$C$20:$C$4940,B30,'Адресная программа'!$G$20:$G$4940,"Бизнес центр")*'Цены|Скидки'!$B$55-1),'Цены|Скидки'!$C$55,0%))))</f>
        <v/>
      </c>
      <c r="H30" s="156">
        <f>D$12</f>
        <v/>
      </c>
      <c r="I30" s="190">
        <f>IF(D30=0,0,1-J30/F30)</f>
        <v/>
      </c>
      <c r="J30" s="934">
        <f>F30*(1-G30)*(1-H30)*(1-IF($AC$2="РА",$AD$2,0))*(1-IF(OR($AC$3="Доп скидка",$AC$3="Сезонная скидка",$AC$3="Welcome скидка")=TRUE,$AD$3,0))</f>
        <v/>
      </c>
      <c r="K30" s="934">
        <f>ROUND(J30+L30,2)</f>
        <v/>
      </c>
      <c r="L30" s="934">
        <f>J30*БЦ!$AD$4</f>
        <v/>
      </c>
      <c r="M30" s="159">
        <f>(SUMIFS('Адресная программа'!$H$20:$H$4288,'Адресная программа'!$I$20:$I$4288,БЦ_ALL!C30,'Адресная программа'!$C$20:$C$4288,БЦ_ALL!B30,'Адресная программа'!$N$20:$N$4288,1)*$K$7)</f>
        <v/>
      </c>
      <c r="N30" s="935">
        <f>IF(M30=0,0,J30/M30*1000)</f>
        <v/>
      </c>
    </row>
    <row r="31" ht="13.8" customHeight="1">
      <c r="B31" s="253" t="inlineStr">
        <is>
          <t>Москва</t>
        </is>
      </c>
      <c r="C31" s="264" t="inlineStr">
        <is>
          <t>Даниловский форт</t>
        </is>
      </c>
      <c r="D31" s="303">
        <f>SUMIFS('Адресная программа'!$K$2975:$K$4468,'Адресная программа'!$I$2975:$I$4468,БЦ_ALL!C31,'Адресная программа'!$C$2975:$C$4468,БЦ_ALL!B31,'Адресная программа'!$N$2975:$N$4468,1)</f>
        <v/>
      </c>
      <c r="E31" s="994">
        <f>'Цены|Скидки'!$D$25</f>
        <v/>
      </c>
      <c r="F31" s="942">
        <f>SUM(E31*D31*$K$7/15*$K$9)</f>
        <v/>
      </c>
      <c r="G31" s="156">
        <f>IF('Адресная программа'!$V$9='Адресная программа'!$U$9,'Цены|Скидки'!$C$52,IF('Адресная программа'!$V$9&gt;('Адресная программа'!$U$9*'Цены|Скидки'!$B$53-1),'Цены|Скидки'!$C$53,IF('Адресная программа'!$V$9&gt;('Адресная программа'!$U$9*'Цены|Скидки'!$B$54-1),'Цены|Скидки'!$C$54,IF('Адресная программа'!$V$9&gt;('Адресная программа'!$U$9*'Цены|Скидки'!$B$55-1),'Цены|Скидки'!$C$55,0%))))</f>
        <v/>
      </c>
      <c r="H31" s="156">
        <f>D$12</f>
        <v/>
      </c>
      <c r="I31" s="190">
        <f>IF(D31=0,0,1-J31/F31)</f>
        <v/>
      </c>
      <c r="J31" s="934">
        <f>F31*(1-G31)*(1-H31)*(1-IF($AC$2="РА",$AD$2,0))*(1-IF(OR($AC$3="Доп скидка",$AC$3="Сезонная скидка",$AC$3="Welcome скидка")=TRUE,$AD$3,0))</f>
        <v/>
      </c>
      <c r="K31" s="934">
        <f>ROUND(J31+L31,2)</f>
        <v/>
      </c>
      <c r="L31" s="934">
        <f>J31*0.2</f>
        <v/>
      </c>
      <c r="M31" s="159">
        <f>(SUMIFS('Адресная программа'!$H$3031:$H$4288,'Адресная программа'!$I$3031:$I$4288,БЦ_ALL!C31,'Адресная программа'!$C$3031:$C$4288,БЦ_ALL!B31,'Адресная программа'!$N$3031:$N$4288,1)*$K$7)</f>
        <v/>
      </c>
      <c r="N31" s="935">
        <f>IF(M31=0,0,J31/M31*1000)</f>
        <v/>
      </c>
    </row>
    <row r="32" ht="13.8" customHeight="1">
      <c r="B32" s="253" t="inlineStr">
        <is>
          <t>Москва</t>
        </is>
      </c>
      <c r="C32" s="264" t="inlineStr">
        <is>
          <t>Краснопресненский</t>
        </is>
      </c>
      <c r="D32" s="303">
        <f>SUMIFS('Адресная программа'!$K$2975:$K$4468,'Адресная программа'!$I$2975:$I$4468,БЦ_ALL!C32,'Адресная программа'!$C$2975:$C$4468,БЦ_ALL!B32,'Адресная программа'!$N$2975:$N$4468,1)</f>
        <v/>
      </c>
      <c r="E32" s="994">
        <f>'Цены|Скидки'!$D$25</f>
        <v/>
      </c>
      <c r="F32" s="942">
        <f>SUM(E32*D32*$K$7/15*$K$9)</f>
        <v/>
      </c>
      <c r="G32" s="156">
        <f>IF(SUMIFS('Адресная программа'!$O$20:$O$4940,'Адресная программа'!$N$20:$N$4940,1,'Адресная программа'!$C$20:$C$4940,B32,'Адресная программа'!$G$20:$G$4940,"Бизнес центр")=SUMIFS('Адресная программа'!$K$20:$K$4940,'Адресная программа'!$L$20:$L$4940,1,'Адресная программа'!$C$20:$C$4940,B32,'Адресная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программа'!$C$20:$C$4940,B32,'Адресная программа'!$G$20:$G$4940,"Бизнес центр")&gt;(SUMIFS('Адресная программа'!$K$20:$K$4940,'Адресная программа'!$L$20:$L$4940,1,'Адресная программа'!$C$20:$C$4940,B32,'Адресная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программа'!$C$20:$C$4940,B32,'Адресная программа'!$G$20:$G$4940,"Бизнес центр")&gt;(SUMIFS('Адресная программа'!$K$20:$K$4940,'Адресная программа'!$L$20:$L$4940,1,'Адресная программа'!$C$20:$C$4940,B32,'Адресная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программа'!$C$20:$C$4940,B32,'Адресная программа'!$G$20:$G$4940,"Бизнес центр")&gt;(SUMIFS('Адресная программа'!$K$20:$K$4940,'Адресная программа'!$L$20:$L$4940,1,'Адресная программа'!$C$20:$C$4940,B32,'Адресная программа'!$G$20:$G$4940,"Бизнес центр")*'Цены|Скидки'!$B$55-1),'Цены|Скидки'!$C$55,0%))))</f>
        <v/>
      </c>
      <c r="H32" s="156">
        <f>D$12</f>
        <v/>
      </c>
      <c r="I32" s="190">
        <f>IF(D32=0,0,1-J32/F32)</f>
        <v/>
      </c>
      <c r="J32" s="934">
        <f>F32*(1-G32)*(1-H32)*(1-IF($AC$2="РА",$AD$2,0))*(1-IF(OR($AC$3="Доп скидка",$AC$3="Сезонная скидка",$AC$3="Welcome скидка")=TRUE,$AD$3,0))</f>
        <v/>
      </c>
      <c r="K32" s="934">
        <f>ROUND(J32+L32,2)</f>
        <v/>
      </c>
      <c r="L32" s="934">
        <f>J32*БЦ!$AD$4</f>
        <v/>
      </c>
      <c r="M32" s="159">
        <f>(SUMIFS('Адресная программа'!$H$20:$H$4288,'Адресная программа'!$I$20:$I$4288,БЦ_ALL!C32,'Адресная программа'!$C$20:$C$4288,БЦ_ALL!B32,'Адресная программа'!$N$20:$N$4288,1)*$K$7)</f>
        <v/>
      </c>
      <c r="N32" s="935">
        <f>IF(M32=0,0,J32/M32*1000)</f>
        <v/>
      </c>
    </row>
    <row r="33" ht="13.8" customHeight="1">
      <c r="B33" s="253" t="inlineStr">
        <is>
          <t>Москва</t>
        </is>
      </c>
      <c r="C33" s="264" t="inlineStr">
        <is>
          <t>КАПИТАЛ</t>
        </is>
      </c>
      <c r="D33" s="303">
        <f>SUMIFS('Адресная программа'!$K$2975:$K$4468,'Адресная программа'!$I$2975:$I$4468,БЦ_ALL!C33,'Адресная программа'!$C$2975:$C$4468,БЦ_ALL!B33,'Адресная программа'!$N$2975:$N$4468,1)</f>
        <v/>
      </c>
      <c r="E33" s="994">
        <f>'Цены|Скидки'!$D$25</f>
        <v/>
      </c>
      <c r="F33" s="942">
        <f>SUM(E33*D33*$K$7/15*$K$9)</f>
        <v/>
      </c>
      <c r="G33" s="156">
        <f>IF(SUMIFS('Адресная программа'!$O$20:$O$4940,'Адресная программа'!$N$20:$N$4940,1,'Адресная программа'!$C$20:$C$4940,B33,'Адресная программа'!$G$20:$G$4940,"Бизнес центр")=SUMIFS('Адресная программа'!$K$20:$K$4940,'Адресная программа'!$L$20:$L$4940,1,'Адресная программа'!$C$20:$C$4940,B33,'Адресная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программа'!$C$20:$C$4940,B33,'Адресная программа'!$G$20:$G$4940,"Бизнес центр")&gt;(SUMIFS('Адресная программа'!$K$20:$K$4940,'Адресная программа'!$L$20:$L$4940,1,'Адресная программа'!$C$20:$C$4940,B33,'Адресная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программа'!$C$20:$C$4940,B33,'Адресная программа'!$G$20:$G$4940,"Бизнес центр")&gt;(SUMIFS('Адресная программа'!$K$20:$K$4940,'Адресная программа'!$L$20:$L$4940,1,'Адресная программа'!$C$20:$C$4940,B33,'Адресная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программа'!$C$20:$C$4940,B33,'Адресная программа'!$G$20:$G$4940,"Бизнес центр")&gt;(SUMIFS('Адресная программа'!$K$20:$K$4940,'Адресная программа'!$L$20:$L$4940,1,'Адресная программа'!$C$20:$C$4940,B33,'Адресная программа'!$G$20:$G$4940,"Бизнес центр")*'Цены|Скидки'!$B$55-1),'Цены|Скидки'!$C$55,0%))))</f>
        <v/>
      </c>
      <c r="H33" s="156">
        <f>D$12</f>
        <v/>
      </c>
      <c r="I33" s="190">
        <f>IF(D33=0,0,1-J33/F33)</f>
        <v/>
      </c>
      <c r="J33" s="934">
        <f>F33*(1-G33)*(1-H33)*(1-IF($AC$2="РА",$AD$2,0))*(1-IF(OR($AC$3="Доп скидка",$AC$3="Сезонная скидка",$AC$3="Welcome скидка")=TRUE,$AD$3,0))</f>
        <v/>
      </c>
      <c r="K33" s="934">
        <f>ROUND(J33+L33,2)</f>
        <v/>
      </c>
      <c r="L33" s="934">
        <f>J33*БЦ!$AD$4</f>
        <v/>
      </c>
      <c r="M33" s="159">
        <f>(SUMIFS('Адресная программа'!$H$20:$H$4288,'Адресная программа'!$I$20:$I$4288,БЦ_ALL!C33,'Адресная программа'!$C$20:$C$4288,БЦ_ALL!B33,'Адресная программа'!$N$20:$N$4288,1)*$K$7)</f>
        <v/>
      </c>
      <c r="N33" s="935">
        <f>IF(M33=0,0,J33/M33*1000)</f>
        <v/>
      </c>
    </row>
    <row r="34" ht="13.8" customHeight="1">
      <c r="B34" s="253" t="inlineStr">
        <is>
          <t>Москва</t>
        </is>
      </c>
      <c r="C34" s="264" t="inlineStr">
        <is>
          <t>Калейдоскоп</t>
        </is>
      </c>
      <c r="D34" s="303">
        <f>SUMIFS('Адресная программа'!$K$2975:$K$4468,'Адресная программа'!$I$2975:$I$4468,БЦ_ALL!C34,'Адресная программа'!$C$2975:$C$4468,БЦ_ALL!B34,'Адресная программа'!$N$2975:$N$4468,1)</f>
        <v/>
      </c>
      <c r="E34" s="994">
        <f>'Цены|Скидки'!$D$25</f>
        <v/>
      </c>
      <c r="F34" s="942">
        <f>SUM(E34*D34*$K$7/15*$K$9)</f>
        <v/>
      </c>
      <c r="G34" s="156">
        <f>IF(SUMIFS('Адресная программа'!$O$20:$O$4940,'Адресная программа'!$N$20:$N$4940,1,'Адресная программа'!$C$20:$C$4940,B34,'Адресная программа'!$G$20:$G$4940,"Бизнес центр")=SUMIFS('Адресная программа'!$K$20:$K$4940,'Адресная программа'!$L$20:$L$4940,1,'Адресная программа'!$C$20:$C$4940,B34,'Адресная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программа'!$C$20:$C$4940,B34,'Адресная программа'!$G$20:$G$4940,"Бизнес центр")&gt;(SUMIFS('Адресная программа'!$K$20:$K$4940,'Адресная программа'!$L$20:$L$4940,1,'Адресная программа'!$C$20:$C$4940,B34,'Адресная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программа'!$C$20:$C$4940,B34,'Адресная программа'!$G$20:$G$4940,"Бизнес центр")&gt;(SUMIFS('Адресная программа'!$K$20:$K$4940,'Адресная программа'!$L$20:$L$4940,1,'Адресная программа'!$C$20:$C$4940,B34,'Адресная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программа'!$C$20:$C$4940,B34,'Адресная программа'!$G$20:$G$4940,"Бизнес центр")&gt;(SUMIFS('Адресная программа'!$K$20:$K$4940,'Адресная программа'!$L$20:$L$4940,1,'Адресная программа'!$C$20:$C$4940,B34,'Адресная программа'!$G$20:$G$4940,"Бизнес центр")*'Цены|Скидки'!$B$55-1),'Цены|Скидки'!$C$55,0%))))</f>
        <v/>
      </c>
      <c r="H34" s="156">
        <f>D$12</f>
        <v/>
      </c>
      <c r="I34" s="190">
        <f>IF(D34=0,0,1-J34/F34)</f>
        <v/>
      </c>
      <c r="J34" s="934">
        <f>F34*(1-G34)*(1-H34)*(1-IF($AC$2="РА",$AD$2,0))*(1-IF(OR($AC$3="Доп скидка",$AC$3="Сезонная скидка",$AC$3="Welcome скидка")=TRUE,$AD$3,0))</f>
        <v/>
      </c>
      <c r="K34" s="934">
        <f>ROUND(J34+L34,2)</f>
        <v/>
      </c>
      <c r="L34" s="934">
        <f>J34*БЦ!$AD$4</f>
        <v/>
      </c>
      <c r="M34" s="159">
        <f>(SUMIFS('Адресная программа'!$H$20:$H$4288,'Адресная программа'!$I$20:$I$4288,БЦ_ALL!C34,'Адресная программа'!$C$20:$C$4288,БЦ_ALL!B34,'Адресная программа'!$N$20:$N$4288,1)*$K$7)</f>
        <v/>
      </c>
      <c r="N34" s="935">
        <f>IF(M34=0,0,J34/M34*1000)</f>
        <v/>
      </c>
    </row>
    <row r="35" ht="13.8" customHeight="1">
      <c r="B35" s="253" t="inlineStr">
        <is>
          <t>Москва</t>
        </is>
      </c>
      <c r="C35" s="264" t="inlineStr">
        <is>
          <t>Каракорум Плаза</t>
        </is>
      </c>
      <c r="D35" s="303">
        <f>SUMIFS('Адресная программа'!$K$2975:$K$4468,'Адресная программа'!$I$2975:$I$4468,БЦ_ALL!C35,'Адресная программа'!$C$2975:$C$4468,БЦ_ALL!B35,'Адресная программа'!$N$2975:$N$4468,1)</f>
        <v/>
      </c>
      <c r="E35" s="994">
        <f>'Цены|Скидки'!$D$25</f>
        <v/>
      </c>
      <c r="F35" s="942">
        <f>SUM(E35*D35*$K$7/15*$K$9)</f>
        <v/>
      </c>
      <c r="G35" s="156">
        <f>IF(COUNTIFS('Адресная программа'!$N$20:$N$4940,1,'Адресная программа'!$C$20:$C$4940,B35,'Адресная программа'!$G$20:$G$4940,"Бизнес центр")=COUNTIFS('Адресная программа'!$L$20:$L$4940,1,'Адресная программа'!$C$20:$C$4940,B35,'Адресная программа'!$G$20:$G$4940,"Бизнес центр"),'Цены|Скидки'!$C$52,IF(COUNTIFS('Адресная программа'!$N$20:$N$4940,1,'Адресная программа'!$C$20:$C$4940,B35,'Адресная программа'!$G$20:$G$4940,"Бизнес центр")&gt;(COUNTIFS('Адресная программа'!$L$20:$L$4940,1,'Адресная программа'!$C$20:$C$4940,B35,'Адресная программа'!$G$20:$G$4940,"Бизнес центр")*'Цены|Скидки'!$B$53-1),'Цены|Скидки'!$C$53,IF(COUNTIFS('Адресная программа'!$N$20:$N$4940,1,'Адресная программа'!$C$20:$C$4940,B35,'Адресная программа'!$G$20:$G$4940,"Бизнес центр")&gt;(COUNTIFS('Адресная программа'!$L$20:$L$4940,1,'Адресная программа'!$C$20:$C$4940,B35,'Адресная программа'!$G$20:$G$4940,"Бизнес центр")*'Цены|Скидки'!$B$54-1),'Цены|Скидки'!$C$54,IF(COUNTIFS('Адресная программа'!$N$20:$N$4940,1,'Адресная программа'!$C$20:$C$4940,B35,'Адресная программа'!$G$20:$G$4940,"Бизнес центр")&gt;(COUNTIFS('Адресная программа'!$L$20:$L$4940,1,'Адресная программа'!$C$20:$C$4940,B35,'Адресная программа'!$G$20:$G$4940,"Бизнес центр")*'Цены|Скидки'!$B$55-1),'Цены|Скидки'!$C$55,0%))))</f>
        <v/>
      </c>
      <c r="H35" s="156">
        <f>D$12</f>
        <v/>
      </c>
      <c r="I35" s="190">
        <f>IF(D35=0,0,1-J35/F35)</f>
        <v/>
      </c>
      <c r="J35" s="934">
        <f>F35*(1-G35)*(1-H35)*(1-IF($AC$2="РА",$AD$2,0))*(1-IF(OR($AC$3="Доп скидка",$AC$3="Сезонная скидка",$AC$3="Welcome скидка")=TRUE,$AD$3,0))</f>
        <v/>
      </c>
      <c r="K35" s="934">
        <f>ROUND(J35+L35,2)</f>
        <v/>
      </c>
      <c r="L35" s="934">
        <f>J35*0.2</f>
        <v/>
      </c>
      <c r="M35" s="159">
        <f>(SUMIFS('Адресная программа'!$H$3031:$H$4288,'Адресная программа'!$I$3031:$I$4288,БЦ_ALL!C35,'Адресная программа'!$C$3031:$C$4288,БЦ_ALL!B35,'Адресная программа'!$N$3031:$N$4288,1)*$K$7)</f>
        <v/>
      </c>
      <c r="N35" s="935">
        <f>IF(M35=0,0,J35/M35*1000)</f>
        <v/>
      </c>
    </row>
    <row r="36" ht="13.8" customHeight="1">
      <c r="B36" s="253" t="inlineStr">
        <is>
          <t>Москва</t>
        </is>
      </c>
      <c r="C36" s="264" t="inlineStr">
        <is>
          <t>Квартал Сити</t>
        </is>
      </c>
      <c r="D36" s="303">
        <f>SUMIFS('Адресная программа'!$K$2975:$K$4468,'Адресная программа'!$I$2975:$I$4468,БЦ_ALL!C36,'Адресная программа'!$C$2975:$C$4468,БЦ_ALL!B36,'Адресная программа'!$N$2975:$N$4468,1)</f>
        <v/>
      </c>
      <c r="E36" s="994">
        <f>'Цены|Скидки'!$D$25</f>
        <v/>
      </c>
      <c r="F36" s="942">
        <f>SUM(E36*D36*$K$7/15*$K$9)</f>
        <v/>
      </c>
      <c r="G36" s="156">
        <f>IF(SUMIFS('Адресная программа'!$O$20:$O$4940,'Адресная программа'!$N$20:$N$4940,1,'Адресная программа'!$C$20:$C$4940,B36,'Адресная программа'!$G$20:$G$4940,"Бизнес центр")=SUMIFS('Адресная программа'!$K$20:$K$4940,'Адресная программа'!$L$20:$L$4940,1,'Адресная программа'!$C$20:$C$4940,B36,'Адресная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программа'!$C$20:$C$4940,B36,'Адресная программа'!$G$20:$G$4940,"Бизнес центр")&gt;(SUMIFS('Адресная программа'!$K$20:$K$4940,'Адресная программа'!$L$20:$L$4940,1,'Адресная программа'!$C$20:$C$4940,B36,'Адресная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программа'!$C$20:$C$4940,B36,'Адресная программа'!$G$20:$G$4940,"Бизнес центр")&gt;(SUMIFS('Адресная программа'!$K$20:$K$4940,'Адресная программа'!$L$20:$L$4940,1,'Адресная программа'!$C$20:$C$4940,B36,'Адресная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программа'!$C$20:$C$4940,B36,'Адресная программа'!$G$20:$G$4940,"Бизнес центр")&gt;(SUMIFS('Адресная программа'!$K$20:$K$4940,'Адресная программа'!$L$20:$L$4940,1,'Адресная программа'!$C$20:$C$4940,B36,'Адресная программа'!$G$20:$G$4940,"Бизнес центр")*'Цены|Скидки'!$B$55-1),'Цены|Скидки'!$C$55,0%))))</f>
        <v/>
      </c>
      <c r="H36" s="156">
        <f>D$12</f>
        <v/>
      </c>
      <c r="I36" s="190">
        <f>IF(D36=0,0,1-J36/F36)</f>
        <v/>
      </c>
      <c r="J36" s="934">
        <f>F36*(1-G36)*(1-H36)*(1-IF($AC$2="РА",$AD$2,0))*(1-IF(OR($AC$3="Доп скидка",$AC$3="Сезонная скидка",$AC$3="Welcome скидка")=TRUE,$AD$3,0))</f>
        <v/>
      </c>
      <c r="K36" s="934">
        <f>ROUND(J36+L36,2)</f>
        <v/>
      </c>
      <c r="L36" s="934">
        <f>J36*БЦ!$AD$4</f>
        <v/>
      </c>
      <c r="M36" s="159">
        <f>(SUMIFS('Адресная программа'!$H$20:$H$4288,'Адресная программа'!$I$20:$I$4288,БЦ_ALL!C36,'Адресная программа'!$C$20:$C$4288,БЦ_ALL!B36,'Адресная программа'!$N$20:$N$4288,1)*$K$7)</f>
        <v/>
      </c>
      <c r="N36" s="935">
        <f>IF(M36=0,0,J36/M36*1000)</f>
        <v/>
      </c>
    </row>
    <row r="37" ht="13.8" customHeight="1">
      <c r="B37" s="253" t="inlineStr">
        <is>
          <t>Москва</t>
        </is>
      </c>
      <c r="C37" s="264" t="inlineStr">
        <is>
          <t>Китай город</t>
        </is>
      </c>
      <c r="D37" s="303">
        <f>SUMIFS('Адресная программа'!$K$2975:$K$4468,'Адресная программа'!$I$2975:$I$4468,БЦ_ALL!C37,'Адресная программа'!$C$2975:$C$4468,БЦ_ALL!B37,'Адресная программа'!$N$2975:$N$4468,1)</f>
        <v/>
      </c>
      <c r="E37" s="994">
        <f>'Цены|Скидки'!$D$25</f>
        <v/>
      </c>
      <c r="F37" s="942">
        <f>SUM(E37*D37*$K$7/15*$K$9)</f>
        <v/>
      </c>
      <c r="G37" s="156">
        <f>IF(SUMIFS('Адресная программа'!$O$20:$O$4940,'Адресная программа'!$N$20:$N$4940,1,'Адресная программа'!$C$20:$C$4940,B37,'Адресная программа'!$G$20:$G$4940,"Бизнес центр")=SUMIFS('Адресная программа'!$K$20:$K$4940,'Адресная программа'!$L$20:$L$4940,1,'Адресная программа'!$C$20:$C$4940,B37,'Адресная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программа'!$C$20:$C$4940,B37,'Адресная программа'!$G$20:$G$4940,"Бизнес центр")&gt;(SUMIFS('Адресная программа'!$K$20:$K$4940,'Адресная программа'!$L$20:$L$4940,1,'Адресная программа'!$C$20:$C$4940,B37,'Адресная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программа'!$C$20:$C$4940,B37,'Адресная программа'!$G$20:$G$4940,"Бизнес центр")&gt;(SUMIFS('Адресная программа'!$K$20:$K$4940,'Адресная программа'!$L$20:$L$4940,1,'Адресная программа'!$C$20:$C$4940,B37,'Адресная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программа'!$C$20:$C$4940,B37,'Адресная программа'!$G$20:$G$4940,"Бизнес центр")&gt;(SUMIFS('Адресная программа'!$K$20:$K$4940,'Адресная программа'!$L$20:$L$4940,1,'Адресная программа'!$C$20:$C$4940,B37,'Адресная программа'!$G$20:$G$4940,"Бизнес центр")*'Цены|Скидки'!$B$55-1),'Цены|Скидки'!$C$55,0%))))</f>
        <v/>
      </c>
      <c r="H37" s="156">
        <f>D$12</f>
        <v/>
      </c>
      <c r="I37" s="190">
        <f>IF(D37=0,0,1-J37/F37)</f>
        <v/>
      </c>
      <c r="J37" s="934">
        <f>F37*(1-G37)*(1-H37)*(1-IF($AC$2="РА",$AD$2,0))*(1-IF(OR($AC$3="Доп скидка",$AC$3="Сезонная скидка",$AC$3="Welcome скидка")=TRUE,$AD$3,0))</f>
        <v/>
      </c>
      <c r="K37" s="934">
        <f>ROUND(J37+L37,2)</f>
        <v/>
      </c>
      <c r="L37" s="934">
        <f>J37*БЦ!$AD$4</f>
        <v/>
      </c>
      <c r="M37" s="159">
        <f>(SUMIFS('Адресная программа'!$H$20:$H$4288,'Адресная программа'!$I$20:$I$4288,БЦ_ALL!C37,'Адресная программа'!$C$20:$C$4288,БЦ_ALL!B37,'Адресная программа'!$N$20:$N$4288,1)*$K$7)</f>
        <v/>
      </c>
      <c r="N37" s="935">
        <f>IF(M37=0,0,J37/M37*1000)</f>
        <v/>
      </c>
    </row>
    <row r="38" ht="13.8" customHeight="1">
      <c r="B38" s="253" t="inlineStr">
        <is>
          <t>Москва</t>
        </is>
      </c>
      <c r="C38" s="264" t="inlineStr">
        <is>
          <t>Крутицкий</t>
        </is>
      </c>
      <c r="D38" s="303">
        <f>SUMIFS('Адресная программа'!$K$2975:$K$4468,'Адресная программа'!$I$2975:$I$4468,БЦ_ALL!C38,'Адресная программа'!$C$2975:$C$4468,БЦ_ALL!B38,'Адресная программа'!$N$2975:$N$4468,1)</f>
        <v/>
      </c>
      <c r="E38" s="994">
        <f>'Цены|Скидки'!$D$25</f>
        <v/>
      </c>
      <c r="F38" s="942">
        <f>SUM(E38*D38*$K$7/15*$K$9)</f>
        <v/>
      </c>
      <c r="G38" s="156">
        <f>IF(SUMIFS('Адресная программа'!$O$20:$O$4940,'Адресная программа'!$N$20:$N$4940,1,'Адресная программа'!$C$20:$C$4940,B38,'Адресная программа'!$G$20:$G$4940,"Бизнес центр")=SUMIFS('Адресная программа'!$K$20:$K$4940,'Адресная программа'!$L$20:$L$4940,1,'Адресная программа'!$C$20:$C$4940,B38,'Адресная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программа'!$C$20:$C$4940,B38,'Адресная программа'!$G$20:$G$4940,"Бизнес центр")&gt;(SUMIFS('Адресная программа'!$K$20:$K$4940,'Адресная программа'!$L$20:$L$4940,1,'Адресная программа'!$C$20:$C$4940,B38,'Адресная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программа'!$C$20:$C$4940,B38,'Адресная программа'!$G$20:$G$4940,"Бизнес центр")&gt;(SUMIFS('Адресная программа'!$K$20:$K$4940,'Адресная программа'!$L$20:$L$4940,1,'Адресная программа'!$C$20:$C$4940,B38,'Адресная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программа'!$C$20:$C$4940,B38,'Адресная программа'!$G$20:$G$4940,"Бизнес центр")&gt;(SUMIFS('Адресная программа'!$K$20:$K$4940,'Адресная программа'!$L$20:$L$4940,1,'Адресная программа'!$C$20:$C$4940,B38,'Адресная программа'!$G$20:$G$4940,"Бизнес центр")*'Цены|Скидки'!$B$55-1),'Цены|Скидки'!$C$55,0%))))</f>
        <v/>
      </c>
      <c r="H38" s="156">
        <f>D$12</f>
        <v/>
      </c>
      <c r="I38" s="190">
        <f>IF(D38=0,0,1-J38/F38)</f>
        <v/>
      </c>
      <c r="J38" s="934">
        <f>F38*(1-G38)*(1-H38)*(1-IF($AC$2="РА",$AD$2,0))*(1-IF(OR($AC$3="Доп скидка",$AC$3="Сезонная скидка",$AC$3="Welcome скидка")=TRUE,$AD$3,0))</f>
        <v/>
      </c>
      <c r="K38" s="934">
        <f>ROUND(J38+L38,2)</f>
        <v/>
      </c>
      <c r="L38" s="934">
        <f>J38*БЦ!$AD$4</f>
        <v/>
      </c>
      <c r="M38" s="159">
        <f>(SUMIFS('Адресная программа'!$H$20:$H$4288,'Адресная программа'!$I$20:$I$4288,БЦ_ALL!C38,'Адресная программа'!$C$20:$C$4288,БЦ_ALL!B38,'Адресная программа'!$N$20:$N$4288,1)*$K$7)</f>
        <v/>
      </c>
      <c r="N38" s="935">
        <f>IF(M38=0,0,J38/M38*1000)</f>
        <v/>
      </c>
    </row>
    <row r="39" ht="13.8" customHeight="1">
      <c r="B39" s="253" t="inlineStr">
        <is>
          <t>Москва</t>
        </is>
      </c>
      <c r="C39" s="264" t="inlineStr">
        <is>
          <t>Крымский Вал</t>
        </is>
      </c>
      <c r="D39" s="303">
        <f>SUMIFS('Адресная программа'!$K$2975:$K$4468,'Адресная программа'!$I$2975:$I$4468,БЦ_ALL!C39,'Адресная программа'!$C$2975:$C$4468,БЦ_ALL!B39,'Адресная программа'!$N$2975:$N$4468,1)</f>
        <v/>
      </c>
      <c r="E39" s="994">
        <f>'Цены|Скидки'!$D$25</f>
        <v/>
      </c>
      <c r="F39" s="942">
        <f>SUM(E39*D39*$K$7/15*$K$9)</f>
        <v/>
      </c>
      <c r="G39" s="156">
        <f>IF(SUMIFS('Адресная программа'!$O$20:$O$4940,'Адресная программа'!$N$20:$N$4940,1,'Адресная программа'!$C$20:$C$4940,B39,'Адресная программа'!$G$20:$G$4940,"Бизнес центр")=SUMIFS('Адресная программа'!$K$20:$K$4940,'Адресная программа'!$L$20:$L$4940,1,'Адресная программа'!$C$20:$C$4940,B39,'Адресная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программа'!$C$20:$C$4940,B39,'Адресная программа'!$G$20:$G$4940,"Бизнес центр")&gt;(SUMIFS('Адресная программа'!$K$20:$K$4940,'Адресная программа'!$L$20:$L$4940,1,'Адресная программа'!$C$20:$C$4940,B39,'Адресная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программа'!$C$20:$C$4940,B39,'Адресная программа'!$G$20:$G$4940,"Бизнес центр")&gt;(SUMIFS('Адресная программа'!$K$20:$K$4940,'Адресная программа'!$L$20:$L$4940,1,'Адресная программа'!$C$20:$C$4940,B39,'Адресная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программа'!$C$20:$C$4940,B39,'Адресная программа'!$G$20:$G$4940,"Бизнес центр")&gt;(SUMIFS('Адресная программа'!$K$20:$K$4940,'Адресная программа'!$L$20:$L$4940,1,'Адресная программа'!$C$20:$C$4940,B39,'Адресная программа'!$G$20:$G$4940,"Бизнес центр")*'Цены|Скидки'!$B$55-1),'Цены|Скидки'!$C$55,0%))))</f>
        <v/>
      </c>
      <c r="H39" s="156">
        <f>D$12</f>
        <v/>
      </c>
      <c r="I39" s="190">
        <f>IF(D39=0,0,1-J39/F39)</f>
        <v/>
      </c>
      <c r="J39" s="934">
        <f>F39*(1-G39)*(1-H39)*(1-IF($AC$2="РА",$AD$2,0))*(1-IF(OR($AC$3="Доп скидка",$AC$3="Сезонная скидка",$AC$3="Welcome скидка")=TRUE,$AD$3,0))</f>
        <v/>
      </c>
      <c r="K39" s="934">
        <f>ROUND(J39+L39,2)</f>
        <v/>
      </c>
      <c r="L39" s="934">
        <f>J39*БЦ!$AD$4</f>
        <v/>
      </c>
      <c r="M39" s="159">
        <f>(SUMIFS('Адресная программа'!$H$20:$H$4288,'Адресная программа'!$I$20:$I$4288,БЦ_ALL!C39,'Адресная программа'!$C$20:$C$4288,БЦ_ALL!B39,'Адресная программа'!$N$20:$N$4288,1)*$K$7)</f>
        <v/>
      </c>
      <c r="N39" s="935">
        <f>IF(M39=0,0,J39/M39*1000)</f>
        <v/>
      </c>
    </row>
    <row r="40" ht="13.8" customHeight="1">
      <c r="B40" s="253" t="inlineStr">
        <is>
          <t>Москва</t>
        </is>
      </c>
      <c r="C40" s="264" t="inlineStr">
        <is>
          <t>На Аргуновской</t>
        </is>
      </c>
      <c r="D40" s="303">
        <f>SUMIFS('Адресная программа'!$K$2975:$K$4468,'Адресная программа'!$I$2975:$I$4468,БЦ_ALL!C40,'Адресная программа'!$C$2975:$C$4468,БЦ_ALL!B40,'Адресная программа'!$N$2975:$N$4468,1)</f>
        <v/>
      </c>
      <c r="E40" s="994">
        <f>'Цены|Скидки'!$D$25</f>
        <v/>
      </c>
      <c r="F40" s="942">
        <f>SUM(E40*D40*$K$7/15*$K$9)</f>
        <v/>
      </c>
      <c r="G40" s="156">
        <f>IF(SUMIFS('Адресная программа'!$O$20:$O$4940,'Адресная программа'!$N$20:$N$4940,1,'Адресная программа'!$C$20:$C$4940,B40,'Адресная программа'!$G$20:$G$4940,"Бизнес центр")=SUMIFS('Адресная программа'!$K$20:$K$4940,'Адресная программа'!$L$20:$L$4940,1,'Адресная программа'!$C$20:$C$4940,B40,'Адресная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программа'!$C$20:$C$4940,B40,'Адресная программа'!$G$20:$G$4940,"Бизнес центр")&gt;(SUMIFS('Адресная программа'!$K$20:$K$4940,'Адресная программа'!$L$20:$L$4940,1,'Адресная программа'!$C$20:$C$4940,B40,'Адресная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программа'!$C$20:$C$4940,B40,'Адресная программа'!$G$20:$G$4940,"Бизнес центр")&gt;(SUMIFS('Адресная программа'!$K$20:$K$4940,'Адресная программа'!$L$20:$L$4940,1,'Адресная программа'!$C$20:$C$4940,B40,'Адресная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программа'!$C$20:$C$4940,B40,'Адресная программа'!$G$20:$G$4940,"Бизнес центр")&gt;(SUMIFS('Адресная программа'!$K$20:$K$4940,'Адресная программа'!$L$20:$L$4940,1,'Адресная программа'!$C$20:$C$4940,B40,'Адресная программа'!$G$20:$G$4940,"Бизнес центр")*'Цены|Скидки'!$B$55-1),'Цены|Скидки'!$C$55,0%))))</f>
        <v/>
      </c>
      <c r="H40" s="156">
        <f>D$12</f>
        <v/>
      </c>
      <c r="I40" s="190">
        <f>IF(D40=0,0,1-J40/F40)</f>
        <v/>
      </c>
      <c r="J40" s="934">
        <f>F40*(1-G40)*(1-H40)*(1-IF($AC$2="РА",$AD$2,0))*(1-IF(OR($AC$3="Доп скидка",$AC$3="Сезонная скидка",$AC$3="Welcome скидка")=TRUE,$AD$3,0))</f>
        <v/>
      </c>
      <c r="K40" s="934">
        <f>ROUND(J40+L40,2)</f>
        <v/>
      </c>
      <c r="L40" s="934">
        <f>J40*БЦ!$AD$4</f>
        <v/>
      </c>
      <c r="M40" s="159">
        <f>(SUMIFS('Адресная программа'!$H$20:$H$4288,'Адресная программа'!$I$20:$I$4288,БЦ_ALL!C40,'Адресная программа'!$C$20:$C$4288,БЦ_ALL!B40,'Адресная программа'!$N$20:$N$4288,1)*$K$7)</f>
        <v/>
      </c>
      <c r="N40" s="935">
        <f>IF(M40=0,0,J40/M40*1000)</f>
        <v/>
      </c>
    </row>
    <row r="41" ht="13.8" customHeight="1">
      <c r="B41" s="253" t="inlineStr">
        <is>
          <t>Москва</t>
        </is>
      </c>
      <c r="C41" s="264" t="inlineStr">
        <is>
          <t>На Цветном</t>
        </is>
      </c>
      <c r="D41" s="303">
        <f>SUMIFS('Адресная программа'!$K$2975:$K$4468,'Адресная программа'!$I$2975:$I$4468,БЦ_ALL!C41,'Адресная программа'!$C$2975:$C$4468,БЦ_ALL!B41,'Адресная программа'!$N$2975:$N$4468,1)</f>
        <v/>
      </c>
      <c r="E41" s="994">
        <f>'Цены|Скидки'!$D$25</f>
        <v/>
      </c>
      <c r="F41" s="942">
        <f>SUM(E41*D41*$K$7/15*$K$9)</f>
        <v/>
      </c>
      <c r="G41" s="156">
        <f>IF(SUMIFS('Адресная программа'!$O$20:$O$4940,'Адресная программа'!$N$20:$N$4940,1,'Адресная программа'!$C$20:$C$4940,B41,'Адресная программа'!$G$20:$G$4940,"Бизнес центр")=SUMIFS('Адресная программа'!$K$20:$K$4940,'Адресная программа'!$L$20:$L$4940,1,'Адресная программа'!$C$20:$C$4940,B41,'Адресная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программа'!$C$20:$C$4940,B41,'Адресная программа'!$G$20:$G$4940,"Бизнес центр")&gt;(SUMIFS('Адресная программа'!$K$20:$K$4940,'Адресная программа'!$L$20:$L$4940,1,'Адресная программа'!$C$20:$C$4940,B41,'Адресная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программа'!$C$20:$C$4940,B41,'Адресная программа'!$G$20:$G$4940,"Бизнес центр")&gt;(SUMIFS('Адресная программа'!$K$20:$K$4940,'Адресная программа'!$L$20:$L$4940,1,'Адресная программа'!$C$20:$C$4940,B41,'Адресная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программа'!$C$20:$C$4940,B41,'Адресная программа'!$G$20:$G$4940,"Бизнес центр")&gt;(SUMIFS('Адресная программа'!$K$20:$K$4940,'Адресная программа'!$L$20:$L$4940,1,'Адресная программа'!$C$20:$C$4940,B41,'Адресная программа'!$G$20:$G$4940,"Бизнес центр")*'Цены|Скидки'!$B$55-1),'Цены|Скидки'!$C$55,0%))))</f>
        <v/>
      </c>
      <c r="H41" s="156">
        <f>D$12</f>
        <v/>
      </c>
      <c r="I41" s="190">
        <f>IF(D41=0,0,1-J41/F41)</f>
        <v/>
      </c>
      <c r="J41" s="934">
        <f>F41*(1-G41)*(1-H41)*(1-IF($AC$2="РА",$AD$2,0))*(1-IF(OR($AC$3="Доп скидка",$AC$3="Сезонная скидка",$AC$3="Welcome скидка")=TRUE,$AD$3,0))</f>
        <v/>
      </c>
      <c r="K41" s="934">
        <f>ROUND(J41+L41,2)</f>
        <v/>
      </c>
      <c r="L41" s="934">
        <f>J41*БЦ!$AD$4</f>
        <v/>
      </c>
      <c r="M41" s="159">
        <f>(SUMIFS('Адресная программа'!$H$20:$H$4288,'Адресная программа'!$I$20:$I$4288,БЦ_ALL!C41,'Адресная программа'!$C$20:$C$4288,БЦ_ALL!B41,'Адресная программа'!$N$20:$N$4288,1)*$K$7)</f>
        <v/>
      </c>
      <c r="N41" s="935">
        <f>IF(M41=0,0,J41/M41*1000)</f>
        <v/>
      </c>
    </row>
    <row r="42" ht="13.8" customHeight="1">
      <c r="B42" s="253" t="inlineStr">
        <is>
          <t>Москва</t>
        </is>
      </c>
      <c r="C42" s="264" t="inlineStr">
        <is>
          <t>На Широкой</t>
        </is>
      </c>
      <c r="D42" s="303">
        <f>SUMIFS('Адресная программа'!$K$2975:$K$4468,'Адресная программа'!$I$2975:$I$4468,БЦ_ALL!C42,'Адресная программа'!$C$2975:$C$4468,БЦ_ALL!B42,'Адресная программа'!$N$2975:$N$4468,1)</f>
        <v/>
      </c>
      <c r="E42" s="994">
        <f>'Цены|Скидки'!$D$25</f>
        <v/>
      </c>
      <c r="F42" s="942">
        <f>SUM(E42*D42*$K$7/15*$K$9)</f>
        <v/>
      </c>
      <c r="G42" s="156">
        <f>IF('Адресная программа'!$V$9='Адресная программа'!$U$9,'Цены|Скидки'!$C$52,IF('Адресная программа'!$V$9&gt;('Адресная программа'!$U$9*'Цены|Скидки'!$B$53-1),'Цены|Скидки'!$C$53,IF('Адресная программа'!$V$9&gt;('Адресная программа'!$U$9*'Цены|Скидки'!$B$54-1),'Цены|Скидки'!$C$54,IF('Адресная программа'!$V$9&gt;('Адресная программа'!$U$9*'Цены|Скидки'!$B$55-1),'Цены|Скидки'!$C$55,0%))))</f>
        <v/>
      </c>
      <c r="H42" s="156">
        <f>D$12</f>
        <v/>
      </c>
      <c r="I42" s="190">
        <f>IF(D42=0,0,1-J42/F42)</f>
        <v/>
      </c>
      <c r="J42" s="934">
        <f>F42*(1-G42)*(1-H42)*(1-IF($AC$2="РА",$AD$2,0))*(1-IF(OR($AC$3="Доп скидка",$AC$3="Сезонная скидка",$AC$3="Welcome скидка")=TRUE,$AD$3,0))</f>
        <v/>
      </c>
      <c r="K42" s="934">
        <f>ROUND(J42+L42,2)</f>
        <v/>
      </c>
      <c r="L42" s="934">
        <f>J42*0.2</f>
        <v/>
      </c>
      <c r="M42" s="159">
        <f>(SUMIFS('Адресная программа'!$H$3031:$H$4288,'Адресная программа'!$I$3031:$I$4288,БЦ_ALL!C42,'Адресная программа'!$C$3031:$C$4288,БЦ_ALL!B42,'Адресная программа'!$N$3031:$N$4288,1)*$K$7)</f>
        <v/>
      </c>
      <c r="N42" s="935">
        <f>IF(M42=0,0,J42/M42*1000)</f>
        <v/>
      </c>
    </row>
    <row r="43" ht="13.8" customHeight="1">
      <c r="B43" s="253" t="inlineStr">
        <is>
          <t>Москва</t>
        </is>
      </c>
      <c r="C43" s="264" t="inlineStr">
        <is>
          <t>Новослободский</t>
        </is>
      </c>
      <c r="D43" s="303">
        <f>SUMIFS('Адресная программа'!$K$2975:$K$4468,'Адресная программа'!$I$2975:$I$4468,БЦ_ALL!C43,'Адресная программа'!$C$2975:$C$4468,БЦ_ALL!B43,'Адресная программа'!$N$2975:$N$4468,1)</f>
        <v/>
      </c>
      <c r="E43" s="994">
        <f>'Цены|Скидки'!$D$25</f>
        <v/>
      </c>
      <c r="F43" s="942">
        <f>SUM(E43*D43*$K$7/15*$K$9)</f>
        <v/>
      </c>
      <c r="G43" s="156">
        <f>IF(SUMIFS('Адресная программа'!$O$20:$O$4940,'Адресная программа'!$N$20:$N$4940,1,'Адресная программа'!$C$20:$C$4940,B43,'Адресная программа'!$G$20:$G$4940,"Бизнес центр")=SUMIFS('Адресная программа'!$K$20:$K$4940,'Адресная программа'!$L$20:$L$4940,1,'Адресная программа'!$C$20:$C$4940,B43,'Адресная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программа'!$C$20:$C$4940,B43,'Адресная программа'!$G$20:$G$4940,"Бизнес центр")&gt;(SUMIFS('Адресная программа'!$K$20:$K$4940,'Адресная программа'!$L$20:$L$4940,1,'Адресная программа'!$C$20:$C$4940,B43,'Адресная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программа'!$C$20:$C$4940,B43,'Адресная программа'!$G$20:$G$4940,"Бизнес центр")&gt;(SUMIFS('Адресная программа'!$K$20:$K$4940,'Адресная программа'!$L$20:$L$4940,1,'Адресная программа'!$C$20:$C$4940,B43,'Адресная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программа'!$C$20:$C$4940,B43,'Адресная программа'!$G$20:$G$4940,"Бизнес центр")&gt;(SUMIFS('Адресная программа'!$K$20:$K$4940,'Адресная программа'!$L$20:$L$4940,1,'Адресная программа'!$C$20:$C$4940,B43,'Адресная программа'!$G$20:$G$4940,"Бизнес центр")*'Цены|Скидки'!$B$55-1),'Цены|Скидки'!$C$55,0%))))</f>
        <v/>
      </c>
      <c r="H43" s="156">
        <f>D$12</f>
        <v/>
      </c>
      <c r="I43" s="190">
        <f>IF(D43=0,0,1-J43/F43)</f>
        <v/>
      </c>
      <c r="J43" s="934">
        <f>F43*(1-G43)*(1-H43)*(1-IF($AC$2="РА",$AD$2,0))*(1-IF(OR($AC$3="Доп скидка",$AC$3="Сезонная скидка",$AC$3="Welcome скидка")=TRUE,$AD$3,0))</f>
        <v/>
      </c>
      <c r="K43" s="934">
        <f>ROUND(J43+L43,2)</f>
        <v/>
      </c>
      <c r="L43" s="934">
        <f>J43*БЦ!$AD$4</f>
        <v/>
      </c>
      <c r="M43" s="159">
        <f>(SUMIFS('Адресная программа'!$H$20:$H$4288,'Адресная программа'!$I$20:$I$4288,БЦ_ALL!C43,'Адресная программа'!$C$20:$C$4288,БЦ_ALL!B43,'Адресная программа'!$N$20:$N$4288,1)*$K$7)</f>
        <v/>
      </c>
      <c r="N43" s="935">
        <f>IF(M43=0,0,J43/M43*1000)</f>
        <v/>
      </c>
    </row>
    <row r="44" ht="13.8" customHeight="1">
      <c r="B44" s="253" t="inlineStr">
        <is>
          <t>Москва</t>
        </is>
      </c>
      <c r="C44" s="264" t="inlineStr">
        <is>
          <t>Новосущевский</t>
        </is>
      </c>
      <c r="D44" s="303">
        <f>SUMIFS('Адресная программа'!$K$2975:$K$4468,'Адресная программа'!$I$2975:$I$4468,БЦ_ALL!C44,'Адресная программа'!$C$2975:$C$4468,БЦ_ALL!B44,'Адресная программа'!$N$2975:$N$4468,1)</f>
        <v/>
      </c>
      <c r="E44" s="994">
        <f>'Цены|Скидки'!$D$25</f>
        <v/>
      </c>
      <c r="F44" s="942">
        <f>SUM(E44*D44*$K$7/15*$K$9)</f>
        <v/>
      </c>
      <c r="G44" s="156">
        <f>IF(SUMIFS('Адресная программа'!$O$20:$O$4940,'Адресная программа'!$N$20:$N$4940,1,'Адресная программа'!$C$20:$C$4940,B44,'Адресная программа'!$G$20:$G$4940,"Бизнес центр")=SUMIFS('Адресная программа'!$K$20:$K$4940,'Адресная программа'!$L$20:$L$4940,1,'Адресная программа'!$C$20:$C$4940,B44,'Адресная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программа'!$C$20:$C$4940,B44,'Адресная программа'!$G$20:$G$4940,"Бизнес центр")&gt;(SUMIFS('Адресная программа'!$K$20:$K$4940,'Адресная программа'!$L$20:$L$4940,1,'Адресная программа'!$C$20:$C$4940,B44,'Адресная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программа'!$C$20:$C$4940,B44,'Адресная программа'!$G$20:$G$4940,"Бизнес центр")&gt;(SUMIFS('Адресная программа'!$K$20:$K$4940,'Адресная программа'!$L$20:$L$4940,1,'Адресная программа'!$C$20:$C$4940,B44,'Адресная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программа'!$C$20:$C$4940,B44,'Адресная программа'!$G$20:$G$4940,"Бизнес центр")&gt;(SUMIFS('Адресная программа'!$K$20:$K$4940,'Адресная программа'!$L$20:$L$4940,1,'Адресная программа'!$C$20:$C$4940,B44,'Адресная программа'!$G$20:$G$4940,"Бизнес центр")*'Цены|Скидки'!$B$55-1),'Цены|Скидки'!$C$55,0%))))</f>
        <v/>
      </c>
      <c r="H44" s="156">
        <f>D$12</f>
        <v/>
      </c>
      <c r="I44" s="190">
        <f>IF(D44=0,0,1-J44/F44)</f>
        <v/>
      </c>
      <c r="J44" s="934">
        <f>F44*(1-G44)*(1-H44)*(1-IF($AC$2="РА",$AD$2,0))*(1-IF(OR($AC$3="Доп скидка",$AC$3="Сезонная скидка",$AC$3="Welcome скидка")=TRUE,$AD$3,0))</f>
        <v/>
      </c>
      <c r="K44" s="934">
        <f>ROUND(J44+L44,2)</f>
        <v/>
      </c>
      <c r="L44" s="934">
        <f>J44*БЦ!$AD$4</f>
        <v/>
      </c>
      <c r="M44" s="159">
        <f>(SUMIFS('Адресная программа'!$H$20:$H$4288,'Адресная программа'!$I$20:$I$4288,БЦ_ALL!C44,'Адресная программа'!$C$20:$C$4288,БЦ_ALL!B44,'Адресная программа'!$N$20:$N$4288,1)*$K$7)</f>
        <v/>
      </c>
      <c r="N44" s="935">
        <f>IF(M44=0,0,J44/M44*1000)</f>
        <v/>
      </c>
    </row>
    <row r="45" ht="13.8" customHeight="1">
      <c r="B45" s="253" t="inlineStr">
        <is>
          <t>Москва</t>
        </is>
      </c>
      <c r="C45" s="264" t="inlineStr">
        <is>
          <t>Офисно-общественный центр</t>
        </is>
      </c>
      <c r="D45" s="303">
        <f>SUMIFS('Адресная программа'!$K$2975:$K$4468,'Адресная программа'!$I$2975:$I$4468,БЦ_ALL!C45,'Адресная программа'!$C$2975:$C$4468,БЦ_ALL!B45,'Адресная программа'!$N$2975:$N$4468,1)</f>
        <v/>
      </c>
      <c r="E45" s="994">
        <f>'Цены|Скидки'!$D$25</f>
        <v/>
      </c>
      <c r="F45" s="942">
        <f>SUM(E45*D45*$K$7/15*$K$9)</f>
        <v/>
      </c>
      <c r="G45" s="156">
        <f>IF(SUMIFS('Адресная программа'!$O$20:$O$4940,'Адресная программа'!$N$20:$N$4940,1,'Адресная программа'!$C$20:$C$4940,B45,'Адресная программа'!$G$20:$G$4940,"Бизнес центр")=SUMIFS('Адресная программа'!$K$20:$K$4940,'Адресная программа'!$L$20:$L$4940,1,'Адресная программа'!$C$20:$C$4940,B45,'Адресная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программа'!$C$20:$C$4940,B45,'Адресная программа'!$G$20:$G$4940,"Бизнес центр")&gt;(SUMIFS('Адресная программа'!$K$20:$K$4940,'Адресная программа'!$L$20:$L$4940,1,'Адресная программа'!$C$20:$C$4940,B45,'Адресная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программа'!$C$20:$C$4940,B45,'Адресная программа'!$G$20:$G$4940,"Бизнес центр")&gt;(SUMIFS('Адресная программа'!$K$20:$K$4940,'Адресная программа'!$L$20:$L$4940,1,'Адресная программа'!$C$20:$C$4940,B45,'Адресная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программа'!$C$20:$C$4940,B45,'Адресная программа'!$G$20:$G$4940,"Бизнес центр")&gt;(SUMIFS('Адресная программа'!$K$20:$K$4940,'Адресная программа'!$L$20:$L$4940,1,'Адресная программа'!$C$20:$C$4940,B45,'Адресная программа'!$G$20:$G$4940,"Бизнес центр")*'Цены|Скидки'!$B$55-1),'Цены|Скидки'!$C$55,0%))))</f>
        <v/>
      </c>
      <c r="H45" s="156">
        <f>D$12</f>
        <v/>
      </c>
      <c r="I45" s="190">
        <f>IF(D45=0,0,1-J45/F45)</f>
        <v/>
      </c>
      <c r="J45" s="934">
        <f>F45*(1-G45)*(1-H45)*(1-IF($AC$2="РА",$AD$2,0))*(1-IF(OR($AC$3="Доп скидка",$AC$3="Сезонная скидка",$AC$3="Welcome скидка")=TRUE,$AD$3,0))</f>
        <v/>
      </c>
      <c r="K45" s="934">
        <f>ROUND(J45+L45,2)</f>
        <v/>
      </c>
      <c r="L45" s="934">
        <f>J45*БЦ!$AD$4</f>
        <v/>
      </c>
      <c r="M45" s="159">
        <f>(SUMIFS('Адресная программа'!$H$20:$H$4288,'Адресная программа'!$I$20:$I$4288,БЦ_ALL!C45,'Адресная программа'!$C$20:$C$4288,БЦ_ALL!B45,'Адресная программа'!$N$20:$N$4288,1)*$K$7)</f>
        <v/>
      </c>
      <c r="N45" s="935">
        <f>IF(M45=0,0,J45/M45*1000)</f>
        <v/>
      </c>
    </row>
    <row r="46" ht="13.8" customHeight="1">
      <c r="B46" s="253" t="inlineStr">
        <is>
          <t>Москва</t>
        </is>
      </c>
      <c r="C46" s="264" t="inlineStr">
        <is>
          <t>Резиденция на Рублевке</t>
        </is>
      </c>
      <c r="D46" s="303">
        <f>SUMIFS('Адресная программа'!$K$2975:$K$4468,'Адресная программа'!$I$2975:$I$4468,БЦ_ALL!C46,'Адресная программа'!$C$2975:$C$4468,БЦ_ALL!B46,'Адресная программа'!$N$2975:$N$4468,1)</f>
        <v/>
      </c>
      <c r="E46" s="994">
        <f>'Цены|Скидки'!$D$25</f>
        <v/>
      </c>
      <c r="F46" s="942">
        <f>SUM(E46*D46*$K$7/15*$K$9)</f>
        <v/>
      </c>
      <c r="G46" s="156">
        <f>IF(SUMIFS('Адресная программа'!$O$20:$O$4940,'Адресная программа'!$N$20:$N$4940,1,'Адресная программа'!$C$20:$C$4940,B46,'Адресная программа'!$G$20:$G$4940,"Бизнес центр")=SUMIFS('Адресная программа'!$K$20:$K$4940,'Адресная программа'!$L$20:$L$4940,1,'Адресная программа'!$C$20:$C$4940,B46,'Адресная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программа'!$C$20:$C$4940,B46,'Адресная программа'!$G$20:$G$4940,"Бизнес центр")&gt;(SUMIFS('Адресная программа'!$K$20:$K$4940,'Адресная программа'!$L$20:$L$4940,1,'Адресная программа'!$C$20:$C$4940,B46,'Адресная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программа'!$C$20:$C$4940,B46,'Адресная программа'!$G$20:$G$4940,"Бизнес центр")&gt;(SUMIFS('Адресная программа'!$K$20:$K$4940,'Адресная программа'!$L$20:$L$4940,1,'Адресная программа'!$C$20:$C$4940,B46,'Адресная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программа'!$C$20:$C$4940,B46,'Адресная программа'!$G$20:$G$4940,"Бизнес центр")&gt;(SUMIFS('Адресная программа'!$K$20:$K$4940,'Адресная программа'!$L$20:$L$4940,1,'Адресная программа'!$C$20:$C$4940,B46,'Адресная программа'!$G$20:$G$4940,"Бизнес центр")*'Цены|Скидки'!$B$55-1),'Цены|Скидки'!$C$55,0%))))</f>
        <v/>
      </c>
      <c r="H46" s="156">
        <f>D$12</f>
        <v/>
      </c>
      <c r="I46" s="190">
        <f>IF(D46=0,0,1-J46/F46)</f>
        <v/>
      </c>
      <c r="J46" s="934">
        <f>F46*(1-G46)*(1-H46)*(1-IF($AC$2="РА",$AD$2,0))*(1-IF(OR($AC$3="Доп скидка",$AC$3="Сезонная скидка",$AC$3="Welcome скидка")=TRUE,$AD$3,0))</f>
        <v/>
      </c>
      <c r="K46" s="934">
        <f>ROUND(J46+L46,2)</f>
        <v/>
      </c>
      <c r="L46" s="934">
        <f>J46*БЦ!$AD$4</f>
        <v/>
      </c>
      <c r="M46" s="159">
        <f>(SUMIFS('Адресная программа'!$H$20:$H$4288,'Адресная программа'!$I$20:$I$4288,БЦ_ALL!C46,'Адресная программа'!$C$20:$C$4288,БЦ_ALL!B46,'Адресная программа'!$N$20:$N$4288,1)*$K$7)</f>
        <v/>
      </c>
      <c r="N46" s="935">
        <f>IF(M46=0,0,J46/M46*1000)</f>
        <v/>
      </c>
    </row>
    <row r="47" ht="13.8" customHeight="1">
      <c r="B47" s="253" t="inlineStr">
        <is>
          <t>Москва</t>
        </is>
      </c>
      <c r="C47" s="264" t="inlineStr">
        <is>
          <t>САФА</t>
        </is>
      </c>
      <c r="D47" s="303">
        <f>SUMIFS('Адресная программа'!$K$2975:$K$4468,'Адресная программа'!$I$2975:$I$4468,БЦ_ALL!C47,'Адресная программа'!$C$2975:$C$4468,БЦ_ALL!B47,'Адресная программа'!$N$2975:$N$4468,1)</f>
        <v/>
      </c>
      <c r="E47" s="994">
        <f>'Цены|Скидки'!$D$25</f>
        <v/>
      </c>
      <c r="F47" s="942">
        <f>SUM(E47*D47*$K$7/15*$K$9)</f>
        <v/>
      </c>
      <c r="G47" s="156">
        <f>IF(SUMIFS('Адресная программа'!$O$20:$O$4940,'Адресная программа'!$N$20:$N$4940,1,'Адресная программа'!$C$20:$C$4940,B47,'Адресная программа'!$G$20:$G$4940,"Бизнес центр")=SUMIFS('Адресная программа'!$K$20:$K$4940,'Адресная программа'!$L$20:$L$4940,1,'Адресная программа'!$C$20:$C$4940,B47,'Адресная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программа'!$C$20:$C$4940,B47,'Адресная программа'!$G$20:$G$4940,"Бизнес центр")&gt;(SUMIFS('Адресная программа'!$K$20:$K$4940,'Адресная программа'!$L$20:$L$4940,1,'Адресная программа'!$C$20:$C$4940,B47,'Адресная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программа'!$C$20:$C$4940,B47,'Адресная программа'!$G$20:$G$4940,"Бизнес центр")&gt;(SUMIFS('Адресная программа'!$K$20:$K$4940,'Адресная программа'!$L$20:$L$4940,1,'Адресная программа'!$C$20:$C$4940,B47,'Адресная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программа'!$C$20:$C$4940,B47,'Адресная программа'!$G$20:$G$4940,"Бизнес центр")&gt;(SUMIFS('Адресная программа'!$K$20:$K$4940,'Адресная программа'!$L$20:$L$4940,1,'Адресная программа'!$C$20:$C$4940,B47,'Адресная программа'!$G$20:$G$4940,"Бизнес центр")*'Цены|Скидки'!$B$55-1),'Цены|Скидки'!$C$55,0%))))</f>
        <v/>
      </c>
      <c r="H47" s="156">
        <f>D$12</f>
        <v/>
      </c>
      <c r="I47" s="190">
        <f>IF(D47=0,0,1-J47/F47)</f>
        <v/>
      </c>
      <c r="J47" s="934">
        <f>F47*(1-G47)*(1-H47)*(1-IF($AC$2="РА",$AD$2,0))*(1-IF(OR($AC$3="Доп скидка",$AC$3="Сезонная скидка",$AC$3="Welcome скидка")=TRUE,$AD$3,0))</f>
        <v/>
      </c>
      <c r="K47" s="934">
        <f>ROUND(J47+L47,2)</f>
        <v/>
      </c>
      <c r="L47" s="934">
        <f>J47*БЦ!$AD$4</f>
        <v/>
      </c>
      <c r="M47" s="159">
        <f>(SUMIFS('Адресная программа'!$H$20:$H$4288,'Адресная программа'!$I$20:$I$4288,БЦ_ALL!C47,'Адресная программа'!$C$20:$C$4288,БЦ_ALL!B47,'Адресная программа'!$N$20:$N$4288,1)*$K$7)</f>
        <v/>
      </c>
      <c r="N47" s="935">
        <f>IF(M47=0,0,J47/M47*1000)</f>
        <v/>
      </c>
    </row>
    <row r="48" ht="13.8" customHeight="1">
      <c r="B48" s="253" t="inlineStr">
        <is>
          <t>Москва</t>
        </is>
      </c>
      <c r="C48" s="264" t="inlineStr">
        <is>
          <t>Станция</t>
        </is>
      </c>
      <c r="D48" s="303">
        <f>SUMIFS('Адресная программа'!$K$2975:$K$4468,'Адресная программа'!$I$2975:$I$4468,БЦ_ALL!C48,'Адресная программа'!$C$2975:$C$4468,БЦ_ALL!B48,'Адресная программа'!$N$2975:$N$4468,1)</f>
        <v/>
      </c>
      <c r="E48" s="994">
        <f>'Цены|Скидки'!$D$25</f>
        <v/>
      </c>
      <c r="F48" s="942">
        <f>SUM(E48*D48*$K$7/15*$K$9)</f>
        <v/>
      </c>
      <c r="G48" s="156">
        <f>IF(SUMIFS('Адресная программа'!$O$20:$O$4940,'Адресная программа'!$N$20:$N$4940,1,'Адресная программа'!$C$20:$C$4940,B48,'Адресная программа'!$G$20:$G$4940,"Бизнес центр")=SUMIFS('Адресная программа'!$K$20:$K$4940,'Адресная программа'!$L$20:$L$4940,1,'Адресная программа'!$C$20:$C$4940,B48,'Адресная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программа'!$C$20:$C$4940,B48,'Адресная программа'!$G$20:$G$4940,"Бизнес центр")&gt;(SUMIFS('Адресная программа'!$K$20:$K$4940,'Адресная программа'!$L$20:$L$4940,1,'Адресная программа'!$C$20:$C$4940,B48,'Адресная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программа'!$C$20:$C$4940,B48,'Адресная программа'!$G$20:$G$4940,"Бизнес центр")&gt;(SUMIFS('Адресная программа'!$K$20:$K$4940,'Адресная программа'!$L$20:$L$4940,1,'Адресная программа'!$C$20:$C$4940,B48,'Адресная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программа'!$C$20:$C$4940,B48,'Адресная программа'!$G$20:$G$4940,"Бизнес центр")&gt;(SUMIFS('Адресная программа'!$K$20:$K$4940,'Адресная программа'!$L$20:$L$4940,1,'Адресная программа'!$C$20:$C$4940,B48,'Адресная программа'!$G$20:$G$4940,"Бизнес центр")*'Цены|Скидки'!$B$55-1),'Цены|Скидки'!$C$55,0%))))</f>
        <v/>
      </c>
      <c r="H48" s="156">
        <f>D$12</f>
        <v/>
      </c>
      <c r="I48" s="190">
        <f>IF(D48=0,0,1-J48/F48)</f>
        <v/>
      </c>
      <c r="J48" s="934">
        <f>F48*(1-G48)*(1-H48)*(1-IF($AC$2="РА",$AD$2,0))*(1-IF(OR($AC$3="Доп скидка",$AC$3="Сезонная скидка",$AC$3="Welcome скидка")=TRUE,$AD$3,0))</f>
        <v/>
      </c>
      <c r="K48" s="934">
        <f>ROUND(J48+L48,2)</f>
        <v/>
      </c>
      <c r="L48" s="934">
        <f>J48*БЦ!$AD$4</f>
        <v/>
      </c>
      <c r="M48" s="159">
        <f>(SUMIFS('Адресная программа'!$H$20:$H$4288,'Адресная программа'!$I$20:$I$4288,БЦ_ALL!C48,'Адресная программа'!$C$20:$C$4288,БЦ_ALL!B48,'Адресная программа'!$N$20:$N$4288,1)*$K$7)</f>
        <v/>
      </c>
      <c r="N48" s="935">
        <f>IF(M48=0,0,J48/M48*1000)</f>
        <v/>
      </c>
    </row>
    <row r="49" ht="13.8" customHeight="1">
      <c r="B49" s="253" t="inlineStr">
        <is>
          <t>Москва</t>
        </is>
      </c>
      <c r="C49" s="264" t="inlineStr">
        <is>
          <t>Трио</t>
        </is>
      </c>
      <c r="D49" s="303">
        <f>SUMIFS('Адресная программа'!$K$2975:$K$4468,'Адресная программа'!$I$2975:$I$4468,БЦ_ALL!C49,'Адресная программа'!$C$2975:$C$4468,БЦ_ALL!B49,'Адресная программа'!$N$2975:$N$4468,1)</f>
        <v/>
      </c>
      <c r="E49" s="994">
        <f>'Цены|Скидки'!$D$25</f>
        <v/>
      </c>
      <c r="F49" s="942">
        <f>SUM(E49*D49*$K$7/15*$K$9)</f>
        <v/>
      </c>
      <c r="G49" s="156">
        <f>IF(SUMIFS('Адресная программа'!$O$20:$O$4940,'Адресная программа'!$N$20:$N$4940,1,'Адресная программа'!$C$20:$C$4940,B49,'Адресная программа'!$G$20:$G$4940,"Бизнес центр")=SUMIFS('Адресная программа'!$K$20:$K$4940,'Адресная программа'!$L$20:$L$4940,1,'Адресная программа'!$C$20:$C$4940,B49,'Адресная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программа'!$C$20:$C$4940,B49,'Адресная программа'!$G$20:$G$4940,"Бизнес центр")&gt;(SUMIFS('Адресная программа'!$K$20:$K$4940,'Адресная программа'!$L$20:$L$4940,1,'Адресная программа'!$C$20:$C$4940,B49,'Адресная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программа'!$C$20:$C$4940,B49,'Адресная программа'!$G$20:$G$4940,"Бизнес центр")&gt;(SUMIFS('Адресная программа'!$K$20:$K$4940,'Адресная программа'!$L$20:$L$4940,1,'Адресная программа'!$C$20:$C$4940,B49,'Адресная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программа'!$C$20:$C$4940,B49,'Адресная программа'!$G$20:$G$4940,"Бизнес центр")&gt;(SUMIFS('Адресная программа'!$K$20:$K$4940,'Адресная программа'!$L$20:$L$4940,1,'Адресная программа'!$C$20:$C$4940,B49,'Адресная программа'!$G$20:$G$4940,"Бизнес центр")*'Цены|Скидки'!$B$55-1),'Цены|Скидки'!$C$55,0%))))</f>
        <v/>
      </c>
      <c r="H49" s="156">
        <f>D$12</f>
        <v/>
      </c>
      <c r="I49" s="190">
        <f>IF(D49=0,0,1-J49/F49)</f>
        <v/>
      </c>
      <c r="J49" s="934">
        <f>F49*(1-G49)*(1-H49)*(1-IF($AC$2="РА",$AD$2,0))*(1-IF(OR($AC$3="Доп скидка",$AC$3="Сезонная скидка",$AC$3="Welcome скидка")=TRUE,$AD$3,0))</f>
        <v/>
      </c>
      <c r="K49" s="934">
        <f>ROUND(J49+L49,2)</f>
        <v/>
      </c>
      <c r="L49" s="934">
        <f>J49*БЦ!$AD$4</f>
        <v/>
      </c>
      <c r="M49" s="159">
        <f>(SUMIFS('Адресная программа'!$H$20:$H$4288,'Адресная программа'!$I$20:$I$4288,БЦ_ALL!C49,'Адресная программа'!$C$20:$C$4288,БЦ_ALL!B49,'Адресная программа'!$N$20:$N$4288,1)*$K$7)</f>
        <v/>
      </c>
      <c r="N49" s="935">
        <f>IF(M49=0,0,J49/M49*1000)</f>
        <v/>
      </c>
    </row>
    <row r="50" ht="13.8" customHeight="1">
      <c r="B50" s="253" t="inlineStr">
        <is>
          <t>Москва</t>
        </is>
      </c>
      <c r="C50" s="264" t="inlineStr">
        <is>
          <t>Cherry Tower</t>
        </is>
      </c>
      <c r="D50" s="303">
        <f>SUMIFS('Адресная программа'!$K$2975:$K$4468,'Адресная программа'!$I$2975:$I$4468,БЦ_ALL!C50,'Адресная программа'!$C$2975:$C$4468,БЦ_ALL!B50,'Адресная программа'!$N$2975:$N$4468,1)</f>
        <v/>
      </c>
      <c r="E50" s="994">
        <f>'Цены|Скидки'!$D$25</f>
        <v/>
      </c>
      <c r="F50" s="942">
        <f>SUM(E50*D50*$K$7/15*$K$9)</f>
        <v/>
      </c>
      <c r="G50" s="156">
        <f>IF(SUMIFS('Адресная программа'!$O$20:$O$4940,'Адресная программа'!$N$20:$N$4940,1,'Адресная программа'!$C$20:$C$4940,B50,'Адресная программа'!$G$20:$G$4940,"Бизнес центр")=SUMIFS('Адресная программа'!$K$20:$K$4940,'Адресная программа'!$L$20:$L$4940,1,'Адресная программа'!$C$20:$C$4940,B50,'Адресная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программа'!$C$20:$C$4940,B50,'Адресная программа'!$G$20:$G$4940,"Бизнес центр")&gt;(SUMIFS('Адресная программа'!$K$20:$K$4940,'Адресная программа'!$L$20:$L$4940,1,'Адресная программа'!$C$20:$C$4940,B50,'Адресная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программа'!$C$20:$C$4940,B50,'Адресная программа'!$G$20:$G$4940,"Бизнес центр")&gt;(SUMIFS('Адресная программа'!$K$20:$K$4940,'Адресная программа'!$L$20:$L$4940,1,'Адресная программа'!$C$20:$C$4940,B50,'Адресная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программа'!$C$20:$C$4940,B50,'Адресная программа'!$G$20:$G$4940,"Бизнес центр")&gt;(SUMIFS('Адресная программа'!$K$20:$K$4940,'Адресная программа'!$L$20:$L$4940,1,'Адресная программа'!$C$20:$C$4940,B50,'Адресная программа'!$G$20:$G$4940,"Бизнес центр")*'Цены|Скидки'!$B$55-1),'Цены|Скидки'!$C$55,0%))))</f>
        <v/>
      </c>
      <c r="H50" s="156">
        <f>D$12</f>
        <v/>
      </c>
      <c r="I50" s="190">
        <f>IF(D50=0,0,1-J50/F50)</f>
        <v/>
      </c>
      <c r="J50" s="934">
        <f>F50*(1-G50)*(1-H50)*(1-IF($AC$2="РА",$AD$2,0))*(1-IF(OR($AC$3="Доп скидка",$AC$3="Сезонная скидка",$AC$3="Welcome скидка")=TRUE,$AD$3,0))</f>
        <v/>
      </c>
      <c r="K50" s="934">
        <f>ROUND(J50+L50,2)</f>
        <v/>
      </c>
      <c r="L50" s="934">
        <f>J50*БЦ!$AD$4</f>
        <v/>
      </c>
      <c r="M50" s="159">
        <f>(SUMIFS('Адресная программа'!$H$20:$H$4288,'Адресная программа'!$I$20:$I$4288,БЦ_ALL!C50,'Адресная программа'!$C$20:$C$4288,БЦ_ALL!B50,'Адресная программа'!$N$20:$N$4288,1)*$K$7)</f>
        <v/>
      </c>
      <c r="N50" s="935">
        <f>IF(M50=0,0,J50/M50*1000)</f>
        <v/>
      </c>
    </row>
    <row r="51" ht="13.8" customHeight="1">
      <c r="B51" s="253" t="inlineStr">
        <is>
          <t>Москва</t>
        </is>
      </c>
      <c r="C51" s="264" t="inlineStr">
        <is>
          <t>Легенда Цветного</t>
        </is>
      </c>
      <c r="D51" s="303">
        <f>SUMIFS('Адресная программа'!$K$2975:$K$4468,'Адресная программа'!$I$2975:$I$4468,БЦ_ALL!C51,'Адресная программа'!$C$2975:$C$4468,БЦ_ALL!B51,'Адресная программа'!$N$2975:$N$4468,1)</f>
        <v/>
      </c>
      <c r="E51" s="994">
        <f>'Цены|Скидки'!$D$25</f>
        <v/>
      </c>
      <c r="F51" s="942">
        <f>SUM(E51*D51*$K$7/15*$K$9)</f>
        <v/>
      </c>
      <c r="G51" s="156">
        <f>IF(SUMIFS('Адресная программа'!$O$20:$O$4940,'Адресная программа'!$N$20:$N$4940,1,'Адресная программа'!$C$20:$C$4940,B51,'Адресная программа'!$G$20:$G$4940,"Бизнес центр")=SUMIFS('Адресная программа'!$K$20:$K$4940,'Адресная программа'!$L$20:$L$4940,1,'Адресная программа'!$C$20:$C$4940,B51,'Адресная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программа'!$C$20:$C$4940,B51,'Адресная программа'!$G$20:$G$4940,"Бизнес центр")&gt;(SUMIFS('Адресная программа'!$K$20:$K$4940,'Адресная программа'!$L$20:$L$4940,1,'Адресная программа'!$C$20:$C$4940,B51,'Адресная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программа'!$C$20:$C$4940,B51,'Адресная программа'!$G$20:$G$4940,"Бизнес центр")&gt;(SUMIFS('Адресная программа'!$K$20:$K$4940,'Адресная программа'!$L$20:$L$4940,1,'Адресная программа'!$C$20:$C$4940,B51,'Адресная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программа'!$C$20:$C$4940,B51,'Адресная программа'!$G$20:$G$4940,"Бизнес центр")&gt;(SUMIFS('Адресная программа'!$K$20:$K$4940,'Адресная программа'!$L$20:$L$4940,1,'Адресная программа'!$C$20:$C$4940,B51,'Адресная программа'!$G$20:$G$4940,"Бизнес центр")*'Цены|Скидки'!$B$55-1),'Цены|Скидки'!$C$55,0%))))</f>
        <v/>
      </c>
      <c r="H51" s="156">
        <f>D$12</f>
        <v/>
      </c>
      <c r="I51" s="190">
        <f>IF(D51=0,0,1-J51/F51)</f>
        <v/>
      </c>
      <c r="J51" s="934">
        <f>F51*(1-G51)*(1-H51)*(1-IF($AC$2="РА",$AD$2,0))*(1-IF(OR($AC$3="Доп скидка",$AC$3="Сезонная скидка",$AC$3="Welcome скидка")=TRUE,$AD$3,0))</f>
        <v/>
      </c>
      <c r="K51" s="934">
        <f>ROUND(J51+L51,2)</f>
        <v/>
      </c>
      <c r="L51" s="934">
        <f>J51*БЦ!$AD$4</f>
        <v/>
      </c>
      <c r="M51" s="159">
        <f>(SUMIFS('Адресная программа'!$H$20:$H$4288,'Адресная программа'!$I$20:$I$4288,БЦ_ALL!C51,'Адресная программа'!$C$20:$C$4288,БЦ_ALL!B51,'Адресная программа'!$N$20:$N$4288,1)*$K$7)</f>
        <v/>
      </c>
      <c r="N51" s="935">
        <f>IF(M51=0,0,J51/M51*1000)</f>
        <v/>
      </c>
    </row>
    <row r="52" ht="13.8" customHeight="1">
      <c r="B52" s="253" t="inlineStr">
        <is>
          <t>Москва</t>
        </is>
      </c>
      <c r="C52" s="264" t="inlineStr">
        <is>
          <t>Путейский</t>
        </is>
      </c>
      <c r="D52" s="303">
        <f>SUMIFS('Адресная программа'!$K$2975:$K$4468,'Адресная программа'!$I$2975:$I$4468,БЦ_ALL!C52,'Адресная программа'!$C$2975:$C$4468,БЦ_ALL!B52,'Адресная программа'!$N$2975:$N$4468,1)</f>
        <v/>
      </c>
      <c r="E52" s="994">
        <f>'Цены|Скидки'!$D$25</f>
        <v/>
      </c>
      <c r="F52" s="942">
        <f>SUM(E52*D52*$K$7/15*$K$9)</f>
        <v/>
      </c>
      <c r="G52" s="156">
        <f>IF(SUMIFS('Адресная программа'!$O$20:$O$4940,'Адресная программа'!$N$20:$N$4940,1,'Адресная программа'!$C$20:$C$4940,B52,'Адресная программа'!$G$20:$G$4940,"Бизнес центр")=SUMIFS('Адресная программа'!$K$20:$K$4940,'Адресная программа'!$L$20:$L$4940,1,'Адресная программа'!$C$20:$C$4940,B52,'Адресная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программа'!$C$20:$C$4940,B52,'Адресная программа'!$G$20:$G$4940,"Бизнес центр")&gt;(SUMIFS('Адресная программа'!$K$20:$K$4940,'Адресная программа'!$L$20:$L$4940,1,'Адресная программа'!$C$20:$C$4940,B52,'Адресная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программа'!$C$20:$C$4940,B52,'Адресная программа'!$G$20:$G$4940,"Бизнес центр")&gt;(SUMIFS('Адресная программа'!$K$20:$K$4940,'Адресная программа'!$L$20:$L$4940,1,'Адресная программа'!$C$20:$C$4940,B52,'Адресная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программа'!$C$20:$C$4940,B52,'Адресная программа'!$G$20:$G$4940,"Бизнес центр")&gt;(SUMIFS('Адресная программа'!$K$20:$K$4940,'Адресная программа'!$L$20:$L$4940,1,'Адресная программа'!$C$20:$C$4940,B52,'Адресная программа'!$G$20:$G$4940,"Бизнес центр")*'Цены|Скидки'!$B$55-1),'Цены|Скидки'!$C$55,0%))))</f>
        <v/>
      </c>
      <c r="H52" s="156">
        <f>D$12</f>
        <v/>
      </c>
      <c r="I52" s="190">
        <f>IF(D52=0,0,1-J52/F52)</f>
        <v/>
      </c>
      <c r="J52" s="934">
        <f>F52*(1-G52)*(1-H52)*(1-IF($AC$2="РА",$AD$2,0))*(1-IF(OR($AC$3="Доп скидка",$AC$3="Сезонная скидка",$AC$3="Welcome скидка")=TRUE,$AD$3,0))</f>
        <v/>
      </c>
      <c r="K52" s="934">
        <f>ROUND(J52+L52,2)</f>
        <v/>
      </c>
      <c r="L52" s="934">
        <f>J52*БЦ!$AD$4</f>
        <v/>
      </c>
      <c r="M52" s="159">
        <f>(SUMIFS('Адресная программа'!$H$20:$H$4288,'Адресная программа'!$I$20:$I$4288,БЦ_ALL!C52,'Адресная программа'!$C$20:$C$4288,БЦ_ALL!B52,'Адресная программа'!$N$20:$N$4288,1)*$K$7)</f>
        <v/>
      </c>
      <c r="N52" s="935">
        <f>IF(M52=0,0,J52/M52*1000)</f>
        <v/>
      </c>
    </row>
    <row r="53" ht="13.8" customHeight="1">
      <c r="B53" s="253" t="inlineStr">
        <is>
          <t>Москва</t>
        </is>
      </c>
      <c r="C53" s="264" t="inlineStr">
        <is>
          <t>River Place</t>
        </is>
      </c>
      <c r="D53" s="303">
        <f>SUMIFS('Адресная программа'!$K$2975:$K$4468,'Адресная программа'!$I$2975:$I$4468,БЦ_ALL!C53,'Адресная программа'!$C$2975:$C$4468,БЦ_ALL!B53,'Адресная программа'!$N$2975:$N$4468,1)</f>
        <v/>
      </c>
      <c r="E53" s="994">
        <f>'Цены|Скидки'!$D$25</f>
        <v/>
      </c>
      <c r="F53" s="942">
        <f>SUM(E53*D53*$K$7/15*$K$9)</f>
        <v/>
      </c>
      <c r="G53" s="156">
        <f>IF(SUMIFS('Адресная программа'!$O$20:$O$4940,'Адресная программа'!$N$20:$N$4940,1,'Адресная программа'!$C$20:$C$4940,B53,'Адресная программа'!$G$20:$G$4940,"Бизнес центр")=SUMIFS('Адресная программа'!$K$20:$K$4940,'Адресная программа'!$L$20:$L$4940,1,'Адресная программа'!$C$20:$C$4940,B53,'Адресная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программа'!$C$20:$C$4940,B53,'Адресная программа'!$G$20:$G$4940,"Бизнес центр")&gt;(SUMIFS('Адресная программа'!$K$20:$K$4940,'Адресная программа'!$L$20:$L$4940,1,'Адресная программа'!$C$20:$C$4940,B53,'Адресная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программа'!$C$20:$C$4940,B53,'Адресная программа'!$G$20:$G$4940,"Бизнес центр")&gt;(SUMIFS('Адресная программа'!$K$20:$K$4940,'Адресная программа'!$L$20:$L$4940,1,'Адресная программа'!$C$20:$C$4940,B53,'Адресная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программа'!$C$20:$C$4940,B53,'Адресная программа'!$G$20:$G$4940,"Бизнес центр")&gt;(SUMIFS('Адресная программа'!$K$20:$K$4940,'Адресная программа'!$L$20:$L$4940,1,'Адресная программа'!$C$20:$C$4940,B53,'Адресная программа'!$G$20:$G$4940,"Бизнес центр")*'Цены|Скидки'!$B$55-1),'Цены|Скидки'!$C$55,0%))))</f>
        <v/>
      </c>
      <c r="H53" s="156">
        <f>D$12</f>
        <v/>
      </c>
      <c r="I53" s="190">
        <f>IF(D53=0,0,1-J53/F53)</f>
        <v/>
      </c>
      <c r="J53" s="934">
        <f>F53*(1-G53)*(1-H53)*(1-IF($AC$2="РА",$AD$2,0))*(1-IF(OR($AC$3="Доп скидка",$AC$3="Сезонная скидка",$AC$3="Welcome скидка")=TRUE,$AD$3,0))</f>
        <v/>
      </c>
      <c r="K53" s="934">
        <f>ROUND(J53+L53,2)</f>
        <v/>
      </c>
      <c r="L53" s="934">
        <f>J53*БЦ!$AD$4</f>
        <v/>
      </c>
      <c r="M53" s="159">
        <f>(SUMIFS('Адресная программа'!$H$20:$H$4288,'Адресная программа'!$I$20:$I$4288,БЦ_ALL!C53,'Адресная программа'!$C$20:$C$4288,БЦ_ALL!B53,'Адресная программа'!$N$20:$N$4288,1)*$K$7)</f>
        <v/>
      </c>
      <c r="N53" s="935">
        <f>IF(M53=0,0,J53/M53*1000)</f>
        <v/>
      </c>
    </row>
    <row r="54" ht="13.8" customHeight="1">
      <c r="B54" s="253" t="inlineStr">
        <is>
          <t>Москва</t>
        </is>
      </c>
      <c r="C54" s="264" t="inlineStr">
        <is>
          <t>Кожевнический</t>
        </is>
      </c>
      <c r="D54" s="303">
        <f>SUMIFS('Адресная программа'!$K$2975:$K$4468,'Адресная программа'!$I$2975:$I$4468,БЦ_ALL!C54,'Адресная программа'!$C$2975:$C$4468,БЦ_ALL!B54,'Адресная программа'!$N$2975:$N$4468,1)</f>
        <v/>
      </c>
      <c r="E54" s="994">
        <f>'Цены|Скидки'!$D$25</f>
        <v/>
      </c>
      <c r="F54" s="942">
        <f>SUM(E54*D54*$K$7/15*$K$9)</f>
        <v/>
      </c>
      <c r="G54" s="156">
        <f>IF(COUNTIFS('Адресная программа'!$N$20:$N$4940,1,'Адресная программа'!$C$20:$C$4940,B54,'Адресная программа'!$G$20:$G$4940,"Бизнес центр")=COUNTIFS('Адресная программа'!$L$20:$L$4940,1,'Адресная программа'!$C$20:$C$4940,B54,'Адресная программа'!$G$20:$G$4940,"Бизнес центр"),'Цены|Скидки'!$C$52,IF(COUNTIFS('Адресная программа'!$N$20:$N$4940,1,'Адресная программа'!$C$20:$C$4940,B54,'Адресная программа'!$G$20:$G$4940,"Бизнес центр")&gt;(COUNTIFS('Адресная программа'!$L$20:$L$4940,1,'Адресная программа'!$C$20:$C$4940,B54,'Адресная программа'!$G$20:$G$4940,"Бизнес центр")*'Цены|Скидки'!$B$53-1),'Цены|Скидки'!$C$53,IF(COUNTIFS('Адресная программа'!$N$20:$N$4940,1,'Адресная программа'!$C$20:$C$4940,B54,'Адресная программа'!$G$20:$G$4940,"Бизнес центр")&gt;(COUNTIFS('Адресная программа'!$L$20:$L$4940,1,'Адресная программа'!$C$20:$C$4940,B54,'Адресная программа'!$G$20:$G$4940,"Бизнес центр")*'Цены|Скидки'!$B$54-1),'Цены|Скидки'!$C$54,IF(COUNTIFS('Адресная программа'!$N$20:$N$4940,1,'Адресная программа'!$C$20:$C$4940,B54,'Адресная программа'!$G$20:$G$4940,"Бизнес центр")&gt;(COUNTIFS('Адресная программа'!$L$20:$L$4940,1,'Адресная программа'!$C$20:$C$4940,B54,'Адресная программа'!$G$20:$G$4940,"Бизнес центр")*'Цены|Скидки'!$B$55-1),'Цены|Скидки'!$C$55,0%))))</f>
        <v/>
      </c>
      <c r="H54" s="156">
        <f>D$12</f>
        <v/>
      </c>
      <c r="I54" s="190">
        <f>IF(D54=0,0,1-J54/F54)</f>
        <v/>
      </c>
      <c r="J54" s="934">
        <f>F54*(1-G54)*(1-H54)*(1-IF($AC$2="РА",$AD$2,0))*(1-IF(OR($AC$3="Доп скидка",$AC$3="Сезонная скидка",$AC$3="Welcome скидка")=TRUE,$AD$3,0))</f>
        <v/>
      </c>
      <c r="K54" s="934">
        <f>ROUND(J54+L54,2)</f>
        <v/>
      </c>
      <c r="L54" s="934">
        <f>J54*0.2</f>
        <v/>
      </c>
      <c r="M54" s="159">
        <f>(SUMIFS('Адресная программа'!$H$3031:$H$4288,'Адресная программа'!$I$3031:$I$4288,БЦ_ALL!C54,'Адресная программа'!$C$3031:$C$4288,БЦ_ALL!B54,'Адресная программа'!$N$3031:$N$4288,1)*$K$7)</f>
        <v/>
      </c>
      <c r="N54" s="935">
        <f>IF(M54=0,0,J54/M54*1000)</f>
        <v/>
      </c>
    </row>
    <row r="55" ht="13.8" customHeight="1">
      <c r="B55" s="253" t="inlineStr">
        <is>
          <t>Москва</t>
        </is>
      </c>
      <c r="C55" s="264" t="inlineStr">
        <is>
          <t>Святогор 4</t>
        </is>
      </c>
      <c r="D55" s="303">
        <f>SUMIFS('Адресная программа'!$K$2975:$K$4468,'Адресная программа'!$I$2975:$I$4468,БЦ_ALL!C55,'Адресная программа'!$C$2975:$C$4468,БЦ_ALL!B55,'Адресная программа'!$N$2975:$N$4468,1)</f>
        <v/>
      </c>
      <c r="E55" s="994">
        <f>'Цены|Скидки'!$D$25</f>
        <v/>
      </c>
      <c r="F55" s="942">
        <f>SUM(E55*D55*$K$7/15*$K$9)</f>
        <v/>
      </c>
      <c r="G55" s="156">
        <f>IF(SUMIFS('Адресная программа'!$O$20:$O$4940,'Адресная программа'!$N$20:$N$4940,1,'Адресная программа'!$C$20:$C$4940,B55,'Адресная программа'!$G$20:$G$4940,"Бизнес центр")=SUMIFS('Адресная программа'!$K$20:$K$4940,'Адресная программа'!$L$20:$L$4940,1,'Адресная программа'!$C$20:$C$4940,B55,'Адресная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программа'!$C$20:$C$4940,B55,'Адресная программа'!$G$20:$G$4940,"Бизнес центр")&gt;(SUMIFS('Адресная программа'!$K$20:$K$4940,'Адресная программа'!$L$20:$L$4940,1,'Адресная программа'!$C$20:$C$4940,B55,'Адресная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программа'!$C$20:$C$4940,B55,'Адресная программа'!$G$20:$G$4940,"Бизнес центр")&gt;(SUMIFS('Адресная программа'!$K$20:$K$4940,'Адресная программа'!$L$20:$L$4940,1,'Адресная программа'!$C$20:$C$4940,B55,'Адресная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программа'!$C$20:$C$4940,B55,'Адресная программа'!$G$20:$G$4940,"Бизнес центр")&gt;(SUMIFS('Адресная программа'!$K$20:$K$4940,'Адресная программа'!$L$20:$L$4940,1,'Адресная программа'!$C$20:$C$4940,B55,'Адресная программа'!$G$20:$G$4940,"Бизнес центр")*'Цены|Скидки'!$B$55-1),'Цены|Скидки'!$C$55,0%))))</f>
        <v/>
      </c>
      <c r="H55" s="156">
        <f>D$12</f>
        <v/>
      </c>
      <c r="I55" s="190">
        <f>IF(D55=0,0,1-J55/F55)</f>
        <v/>
      </c>
      <c r="J55" s="934">
        <f>F55*(1-G55)*(1-H55)*(1-IF($AC$2="РА",$AD$2,0))*(1-IF(OR($AC$3="Доп скидка",$AC$3="Сезонная скидка",$AC$3="Welcome скидка")=TRUE,$AD$3,0))</f>
        <v/>
      </c>
      <c r="K55" s="934">
        <f>ROUND(J55+L55,2)</f>
        <v/>
      </c>
      <c r="L55" s="934">
        <f>J55*БЦ!$AD$4</f>
        <v/>
      </c>
      <c r="M55" s="159">
        <f>(SUMIFS('Адресная программа'!$H$20:$H$4288,'Адресная программа'!$I$20:$I$4288,БЦ_ALL!C55,'Адресная программа'!$C$20:$C$4288,БЦ_ALL!B55,'Адресная программа'!$N$20:$N$4288,1)*$K$7)</f>
        <v/>
      </c>
      <c r="N55" s="935">
        <f>IF(M55=0,0,J55/M55*1000)</f>
        <v/>
      </c>
    </row>
    <row r="56" ht="13.8" customHeight="1">
      <c r="B56" s="253" t="inlineStr">
        <is>
          <t>Москва</t>
        </is>
      </c>
      <c r="C56" s="264" t="inlineStr">
        <is>
          <t>Сокол Плаза</t>
        </is>
      </c>
      <c r="D56" s="303">
        <f>SUMIFS('Адресная программа'!$K$2975:$K$4468,'Адресная программа'!$I$2975:$I$4468,БЦ_ALL!C56,'Адресная программа'!$C$2975:$C$4468,БЦ_ALL!B56,'Адресная программа'!$N$2975:$N$4468,1)</f>
        <v/>
      </c>
      <c r="E56" s="994">
        <f>'Цены|Скидки'!$D$25</f>
        <v/>
      </c>
      <c r="F56" s="942">
        <f>SUM(E56*D56*$K$7/15*$K$9)</f>
        <v/>
      </c>
      <c r="G56" s="156">
        <f>IF('Адресная программа'!$V$9='Адресная программа'!$U$9,'Цены|Скидки'!$C$52,IF('Адресная программа'!$V$9&gt;('Адресная программа'!$U$9*'Цены|Скидки'!$B$53-1),'Цены|Скидки'!$C$53,IF('Адресная программа'!$V$9&gt;('Адресная программа'!$U$9*'Цены|Скидки'!$B$54-1),'Цены|Скидки'!$C$54,IF('Адресная программа'!$V$9&gt;('Адресная программа'!$U$9*'Цены|Скидки'!$B$55-1),'Цены|Скидки'!$C$55,0%))))</f>
        <v/>
      </c>
      <c r="H56" s="156">
        <f>D$12</f>
        <v/>
      </c>
      <c r="I56" s="190">
        <f>IF(D56=0,0,1-J56/F56)</f>
        <v/>
      </c>
      <c r="J56" s="934">
        <f>F56*(1-G56)*(1-H56)*(1-IF($AC$2="РА",$AD$2,0))*(1-IF(OR($AC$3="Доп скидка",$AC$3="Сезонная скидка",$AC$3="Welcome скидка")=TRUE,$AD$3,0))</f>
        <v/>
      </c>
      <c r="K56" s="934">
        <f>ROUND(J56+L56,2)</f>
        <v/>
      </c>
      <c r="L56" s="934">
        <f>J56*0.2</f>
        <v/>
      </c>
      <c r="M56" s="159">
        <f>(SUMIFS('Адресная программа'!$H$3031:$H$4288,'Адресная программа'!$I$3031:$I$4288,БЦ_ALL!C56,'Адресная программа'!$C$3031:$C$4288,БЦ_ALL!B56,'Адресная программа'!$N$3031:$N$4288,1)*$K$7)</f>
        <v/>
      </c>
      <c r="N56" s="935">
        <f>IF(M56=0,0,J56/M56*1000)</f>
        <v/>
      </c>
    </row>
    <row r="57" ht="13.8" customHeight="1">
      <c r="B57" s="253" t="inlineStr">
        <is>
          <t>Москва</t>
        </is>
      </c>
      <c r="C57" s="264" t="inlineStr">
        <is>
          <t>Дежнев плаза</t>
        </is>
      </c>
      <c r="D57" s="303">
        <f>SUMIFS('Адресная программа'!$K$2975:$K$4468,'Адресная программа'!$I$2975:$I$4468,БЦ_ALL!C57,'Адресная программа'!$C$2975:$C$4468,БЦ_ALL!B57,'Адресная программа'!$N$2975:$N$4468,1)</f>
        <v/>
      </c>
      <c r="E57" s="994">
        <f>'Цены|Скидки'!$D$25</f>
        <v/>
      </c>
      <c r="F57" s="942">
        <f>SUM(E57*D57*$K$7/15*$K$9)</f>
        <v/>
      </c>
      <c r="G57" s="156">
        <f>IF(SUMIFS('Адресная программа'!$O$20:$O$4940,'Адресная программа'!$N$20:$N$4940,1,'Адресная программа'!$C$20:$C$4940,B57,'Адресная программа'!$G$20:$G$4940,"Бизнес центр")=SUMIFS('Адресная программа'!$K$20:$K$4940,'Адресная программа'!$L$20:$L$4940,1,'Адресная программа'!$C$20:$C$4940,B57,'Адресная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программа'!$C$20:$C$4940,B57,'Адресная программа'!$G$20:$G$4940,"Бизнес центр")&gt;(SUMIFS('Адресная программа'!$K$20:$K$4940,'Адресная программа'!$L$20:$L$4940,1,'Адресная программа'!$C$20:$C$4940,B57,'Адресная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программа'!$C$20:$C$4940,B57,'Адресная программа'!$G$20:$G$4940,"Бизнес центр")&gt;(SUMIFS('Адресная программа'!$K$20:$K$4940,'Адресная программа'!$L$20:$L$4940,1,'Адресная программа'!$C$20:$C$4940,B57,'Адресная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программа'!$C$20:$C$4940,B57,'Адресная программа'!$G$20:$G$4940,"Бизнес центр")&gt;(SUMIFS('Адресная программа'!$K$20:$K$4940,'Адресная программа'!$L$20:$L$4940,1,'Адресная программа'!$C$20:$C$4940,B57,'Адресная программа'!$G$20:$G$4940,"Бизнес центр")*'Цены|Скидки'!$B$55-1),'Цены|Скидки'!$C$55,0%))))</f>
        <v/>
      </c>
      <c r="H57" s="156">
        <f>D$12</f>
        <v/>
      </c>
      <c r="I57" s="190">
        <f>IF(D57=0,0,1-J57/F57)</f>
        <v/>
      </c>
      <c r="J57" s="934">
        <f>F57*(1-G57)*(1-H57)*(1-IF($AC$2="РА",$AD$2,0))*(1-IF(OR($AC$3="Доп скидка",$AC$3="Сезонная скидка",$AC$3="Welcome скидка")=TRUE,$AD$3,0))</f>
        <v/>
      </c>
      <c r="K57" s="934">
        <f>ROUND(J57+L57,2)</f>
        <v/>
      </c>
      <c r="L57" s="934">
        <f>J57*БЦ!$AD$4</f>
        <v/>
      </c>
      <c r="M57" s="159">
        <f>(SUMIFS('Адресная программа'!$H$20:$H$4288,'Адресная программа'!$I$20:$I$4288,БЦ_ALL!C57,'Адресная программа'!$C$20:$C$4288,БЦ_ALL!B57,'Адресная программа'!$N$20:$N$4288,1)*$K$7)</f>
        <v/>
      </c>
      <c r="N57" s="935">
        <f>IF(M57=0,0,J57/M57*1000)</f>
        <v/>
      </c>
    </row>
    <row r="58" ht="13.8" customHeight="1">
      <c r="B58" s="253" t="inlineStr">
        <is>
          <t>Москва</t>
        </is>
      </c>
      <c r="C58" s="264" t="inlineStr">
        <is>
          <t>Diamond Hall</t>
        </is>
      </c>
      <c r="D58" s="303">
        <f>SUMIFS('Адресная программа'!$K$2975:$K$4468,'Адресная программа'!$I$2975:$I$4468,БЦ_ALL!C58,'Адресная программа'!$C$2975:$C$4468,БЦ_ALL!B58,'Адресная программа'!$N$2975:$N$4468,1)</f>
        <v/>
      </c>
      <c r="E58" s="994">
        <f>'Цены|Скидки'!$D$25</f>
        <v/>
      </c>
      <c r="F58" s="942">
        <f>SUM(E58*D58*$K$7/15*$K$9)</f>
        <v/>
      </c>
      <c r="G58" s="156">
        <f>IF(SUMIFS('Адресная программа'!$O$20:$O$4940,'Адресная программа'!$N$20:$N$4940,1,'Адресная программа'!$C$20:$C$4940,B58,'Адресная программа'!$G$20:$G$4940,"Бизнес центр")=SUMIFS('Адресная программа'!$K$20:$K$4940,'Адресная программа'!$L$20:$L$4940,1,'Адресная программа'!$C$20:$C$4940,B58,'Адресная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программа'!$C$20:$C$4940,B58,'Адресная программа'!$G$20:$G$4940,"Бизнес центр")&gt;(SUMIFS('Адресная программа'!$K$20:$K$4940,'Адресная программа'!$L$20:$L$4940,1,'Адресная программа'!$C$20:$C$4940,B58,'Адресная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программа'!$C$20:$C$4940,B58,'Адресная программа'!$G$20:$G$4940,"Бизнес центр")&gt;(SUMIFS('Адресная программа'!$K$20:$K$4940,'Адресная программа'!$L$20:$L$4940,1,'Адресная программа'!$C$20:$C$4940,B58,'Адресная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программа'!$C$20:$C$4940,B58,'Адресная программа'!$G$20:$G$4940,"Бизнес центр")&gt;(SUMIFS('Адресная программа'!$K$20:$K$4940,'Адресная программа'!$L$20:$L$4940,1,'Адресная программа'!$C$20:$C$4940,B58,'Адресная программа'!$G$20:$G$4940,"Бизнес центр")*'Цены|Скидки'!$B$55-1),'Цены|Скидки'!$C$55,0%))))</f>
        <v/>
      </c>
      <c r="H58" s="156">
        <f>D$12</f>
        <v/>
      </c>
      <c r="I58" s="190">
        <f>IF(D58=0,0,1-J58/F58)</f>
        <v/>
      </c>
      <c r="J58" s="934">
        <f>F58*(1-G58)*(1-H58)*(1-IF($AC$2="РА",$AD$2,0))*(1-IF(OR($AC$3="Доп скидка",$AC$3="Сезонная скидка",$AC$3="Welcome скидка")=TRUE,$AD$3,0))</f>
        <v/>
      </c>
      <c r="K58" s="934">
        <f>ROUND(J58+L58,2)</f>
        <v/>
      </c>
      <c r="L58" s="934">
        <f>J58*БЦ!$AD$4</f>
        <v/>
      </c>
      <c r="M58" s="159">
        <f>(SUMIFS('Адресная программа'!$H$20:$H$4288,'Адресная программа'!$I$20:$I$4288,БЦ_ALL!C58,'Адресная программа'!$C$20:$C$4288,БЦ_ALL!B58,'Адресная программа'!$N$20:$N$4288,1)*$K$7)</f>
        <v/>
      </c>
      <c r="N58" s="935">
        <f>IF(M58=0,0,J58/M58*1000)</f>
        <v/>
      </c>
    </row>
    <row r="59" ht="13.8" customHeight="1">
      <c r="B59" s="253" t="inlineStr">
        <is>
          <t>Москва</t>
        </is>
      </c>
      <c r="C59" s="264" t="inlineStr">
        <is>
          <t>Академический</t>
        </is>
      </c>
      <c r="D59" s="303">
        <f>SUMIFS('Адресная программа'!$K$2975:$K$4468,'Адресная программа'!$I$2975:$I$4468,БЦ_ALL!C59,'Адресная программа'!$C$2975:$C$4468,БЦ_ALL!B59,'Адресная программа'!$N$2975:$N$4468,1)</f>
        <v/>
      </c>
      <c r="E59" s="994">
        <f>'Цены|Скидки'!$D$25</f>
        <v/>
      </c>
      <c r="F59" s="942">
        <f>SUM(E59*D59*$K$7/15*$K$9)</f>
        <v/>
      </c>
      <c r="G59" s="156">
        <f>IF(SUMIFS('Адресная программа'!$O$20:$O$4940,'Адресная программа'!$N$20:$N$4940,1,'Адресная программа'!$C$20:$C$4940,B59,'Адресная программа'!$G$20:$G$4940,"Бизнес центр")=SUMIFS('Адресная программа'!$K$20:$K$4940,'Адресная программа'!$L$20:$L$4940,1,'Адресная программа'!$C$20:$C$4940,B59,'Адресная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программа'!$C$20:$C$4940,B59,'Адресная программа'!$G$20:$G$4940,"Бизнес центр")&gt;(SUMIFS('Адресная программа'!$K$20:$K$4940,'Адресная программа'!$L$20:$L$4940,1,'Адресная программа'!$C$20:$C$4940,B59,'Адресная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программа'!$C$20:$C$4940,B59,'Адресная программа'!$G$20:$G$4940,"Бизнес центр")&gt;(SUMIFS('Адресная программа'!$K$20:$K$4940,'Адресная программа'!$L$20:$L$4940,1,'Адресная программа'!$C$20:$C$4940,B59,'Адресная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программа'!$C$20:$C$4940,B59,'Адресная программа'!$G$20:$G$4940,"Бизнес центр")&gt;(SUMIFS('Адресная программа'!$K$20:$K$4940,'Адресная программа'!$L$20:$L$4940,1,'Адресная программа'!$C$20:$C$4940,B59,'Адресная программа'!$G$20:$G$4940,"Бизнес центр")*'Цены|Скидки'!$B$55-1),'Цены|Скидки'!$C$55,0%))))</f>
        <v/>
      </c>
      <c r="H59" s="156">
        <f>D$12</f>
        <v/>
      </c>
      <c r="I59" s="190">
        <f>IF(D59=0,0,1-J59/F59)</f>
        <v/>
      </c>
      <c r="J59" s="934">
        <f>F59*(1-G59)*(1-H59)*(1-IF($AC$2="РА",$AD$2,0))*(1-IF(OR($AC$3="Доп скидка",$AC$3="Сезонная скидка",$AC$3="Welcome скидка")=TRUE,$AD$3,0))</f>
        <v/>
      </c>
      <c r="K59" s="934">
        <f>ROUND(J59+L59,2)</f>
        <v/>
      </c>
      <c r="L59" s="934">
        <f>J59*БЦ!$AD$4</f>
        <v/>
      </c>
      <c r="M59" s="159">
        <f>(SUMIFS('Адресная программа'!$H$20:$H$4288,'Адресная программа'!$I$20:$I$4288,БЦ_ALL!C59,'Адресная программа'!$C$20:$C$4288,БЦ_ALL!B59,'Адресная программа'!$N$20:$N$4288,1)*$K$7)</f>
        <v/>
      </c>
      <c r="N59" s="935">
        <f>IF(M59=0,0,J59/M59*1000)</f>
        <v/>
      </c>
    </row>
    <row r="60" ht="13.8" customHeight="1">
      <c r="B60" s="253" t="inlineStr">
        <is>
          <t>Москва</t>
        </is>
      </c>
      <c r="C60" s="264" t="inlineStr">
        <is>
          <t>Калибр</t>
        </is>
      </c>
      <c r="D60" s="303">
        <f>SUMIFS('Адресная программа'!$K$2975:$K$4468,'Адресная программа'!$I$2975:$I$4468,БЦ_ALL!C60,'Адресная программа'!$C$2975:$C$4468,БЦ_ALL!B60,'Адресная программа'!$N$2975:$N$4468,1)</f>
        <v/>
      </c>
      <c r="E60" s="994">
        <f>'Цены|Скидки'!$D$25</f>
        <v/>
      </c>
      <c r="F60" s="942">
        <f>SUM(E60*D60*$K$7/15*$K$9)</f>
        <v/>
      </c>
      <c r="G60" s="156">
        <f>IF(SUMIFS('Адресная программа'!$O$20:$O$4940,'Адресная программа'!$N$20:$N$4940,1,'Адресная программа'!$C$20:$C$4940,B60,'Адресная программа'!$G$20:$G$4940,"Бизнес центр")=SUMIFS('Адресная программа'!$K$20:$K$4940,'Адресная программа'!$L$20:$L$4940,1,'Адресная программа'!$C$20:$C$4940,B60,'Адресная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программа'!$C$20:$C$4940,B60,'Адресная программа'!$G$20:$G$4940,"Бизнес центр")&gt;(SUMIFS('Адресная программа'!$K$20:$K$4940,'Адресная программа'!$L$20:$L$4940,1,'Адресная программа'!$C$20:$C$4940,B60,'Адресная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программа'!$C$20:$C$4940,B60,'Адресная программа'!$G$20:$G$4940,"Бизнес центр")&gt;(SUMIFS('Адресная программа'!$K$20:$K$4940,'Адресная программа'!$L$20:$L$4940,1,'Адресная программа'!$C$20:$C$4940,B60,'Адресная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программа'!$C$20:$C$4940,B60,'Адресная программа'!$G$20:$G$4940,"Бизнес центр")&gt;(SUMIFS('Адресная программа'!$K$20:$K$4940,'Адресная программа'!$L$20:$L$4940,1,'Адресная программа'!$C$20:$C$4940,B60,'Адресная программа'!$G$20:$G$4940,"Бизнес центр")*'Цены|Скидки'!$B$55-1),'Цены|Скидки'!$C$55,0%))))</f>
        <v/>
      </c>
      <c r="H60" s="156">
        <f>D$12</f>
        <v/>
      </c>
      <c r="I60" s="190">
        <f>IF(D60=0,0,1-J60/F60)</f>
        <v/>
      </c>
      <c r="J60" s="934">
        <f>F60*(1-G60)*(1-H60)*(1-IF($AC$2="РА",$AD$2,0))*(1-IF(OR($AC$3="Доп скидка",$AC$3="Сезонная скидка",$AC$3="Welcome скидка")=TRUE,$AD$3,0))</f>
        <v/>
      </c>
      <c r="K60" s="934">
        <f>ROUND(J60+L60,2)</f>
        <v/>
      </c>
      <c r="L60" s="934">
        <f>J60*БЦ!$AD$4</f>
        <v/>
      </c>
      <c r="M60" s="159">
        <f>(SUMIFS('Адресная программа'!$H$20:$H$4288,'Адресная программа'!$I$20:$I$4288,БЦ_ALL!C60,'Адресная программа'!$C$20:$C$4288,БЦ_ALL!B60,'Адресная программа'!$N$20:$N$4288,1)*$K$7)</f>
        <v/>
      </c>
      <c r="N60" s="935">
        <f>IF(M60=0,0,J60/M60*1000)</f>
        <v/>
      </c>
    </row>
    <row r="61" ht="13.8" customHeight="1">
      <c r="B61" s="253" t="inlineStr">
        <is>
          <t>Москва</t>
        </is>
      </c>
      <c r="C61" s="264" t="inlineStr">
        <is>
          <t>Неверовского</t>
        </is>
      </c>
      <c r="D61" s="303">
        <f>SUMIFS('Адресная программа'!$K$2975:$K$4468,'Адресная программа'!$I$2975:$I$4468,БЦ_ALL!C61,'Адресная программа'!$C$2975:$C$4468,БЦ_ALL!B61,'Адресная программа'!$N$2975:$N$4468,1)</f>
        <v/>
      </c>
      <c r="E61" s="994">
        <f>'Цены|Скидки'!$D$25</f>
        <v/>
      </c>
      <c r="F61" s="942">
        <f>SUM(E61*D61*$K$7/15*$K$9)</f>
        <v/>
      </c>
      <c r="G61" s="156">
        <f>IF(COUNTIFS('Адресная программа'!$N$20:$N$4940,1,'Адресная программа'!$C$20:$C$4940,B61,'Адресная программа'!$G$20:$G$4940,"Бизнес центр")=COUNTIFS('Адресная программа'!$L$20:$L$4940,1,'Адресная программа'!$C$20:$C$4940,B61,'Адресная программа'!$G$20:$G$4940,"Бизнес центр"),'Цены|Скидки'!$C$52,IF(COUNTIFS('Адресная программа'!$N$20:$N$4940,1,'Адресная программа'!$C$20:$C$4940,B61,'Адресная программа'!$G$20:$G$4940,"Бизнес центр")&gt;(COUNTIFS('Адресная программа'!$L$20:$L$4940,1,'Адресная программа'!$C$20:$C$4940,B61,'Адресная программа'!$G$20:$G$4940,"Бизнес центр")*'Цены|Скидки'!$B$53-1),'Цены|Скидки'!$C$53,IF(COUNTIFS('Адресная программа'!$N$20:$N$4940,1,'Адресная программа'!$C$20:$C$4940,B61,'Адресная программа'!$G$20:$G$4940,"Бизнес центр")&gt;(COUNTIFS('Адресная программа'!$L$20:$L$4940,1,'Адресная программа'!$C$20:$C$4940,B61,'Адресная программа'!$G$20:$G$4940,"Бизнес центр")*'Цены|Скидки'!$B$54-1),'Цены|Скидки'!$C$54,IF(COUNTIFS('Адресная программа'!$N$20:$N$4940,1,'Адресная программа'!$C$20:$C$4940,B61,'Адресная программа'!$G$20:$G$4940,"Бизнес центр")&gt;(COUNTIFS('Адресная программа'!$L$20:$L$4940,1,'Адресная программа'!$C$20:$C$4940,B61,'Адресная программа'!$G$20:$G$4940,"Бизнес центр")*'Цены|Скидки'!$B$55-1),'Цены|Скидки'!$C$55,0%))))</f>
        <v/>
      </c>
      <c r="H61" s="156">
        <f>D$12</f>
        <v/>
      </c>
      <c r="I61" s="190">
        <f>IF(D61=0,0,1-J61/F61)</f>
        <v/>
      </c>
      <c r="J61" s="934">
        <f>F61*(1-G61)*(1-H61)*(1-IF($AC$2="РА",$AD$2,0))*(1-IF(OR($AC$3="Доп скидка",$AC$3="Сезонная скидка",$AC$3="Welcome скидка")=TRUE,$AD$3,0))</f>
        <v/>
      </c>
      <c r="K61" s="934">
        <f>ROUND(J61+L61,2)</f>
        <v/>
      </c>
      <c r="L61" s="934">
        <f>J61*0.2</f>
        <v/>
      </c>
      <c r="M61" s="159">
        <f>(SUMIFS('Адресная программа'!$H$3031:$H$4288,'Адресная программа'!$I$3031:$I$4288,БЦ_ALL!C61,'Адресная программа'!$C$3031:$C$4288,БЦ_ALL!B61,'Адресная программа'!$N$3031:$N$4288,1)*$K$7)</f>
        <v/>
      </c>
      <c r="N61" s="935">
        <f>IF(M61=0,0,J61/M61*1000)</f>
        <v/>
      </c>
    </row>
    <row r="62" ht="13.8" customHeight="1">
      <c r="B62" s="253" t="inlineStr">
        <is>
          <t>Москва</t>
        </is>
      </c>
      <c r="C62" s="264" t="inlineStr">
        <is>
          <t>Рубин</t>
        </is>
      </c>
      <c r="D62" s="303">
        <f>SUMIFS('Адресная программа'!$K$2975:$K$4468,'Адресная программа'!$I$2975:$I$4468,БЦ_ALL!C62,'Адресная программа'!$C$2975:$C$4468,БЦ_ALL!B62,'Адресная программа'!$N$2975:$N$4468,1)</f>
        <v/>
      </c>
      <c r="E62" s="994">
        <f>'Цены|Скидки'!$D$25</f>
        <v/>
      </c>
      <c r="F62" s="942">
        <f>SUM(E62*D62*$K$7/15*$K$9)</f>
        <v/>
      </c>
      <c r="G62" s="156">
        <f>IF(SUMIFS('Адресная программа'!$O$20:$O$4940,'Адресная программа'!$N$20:$N$4940,1,'Адресная программа'!$C$20:$C$4940,B62,'Адресная программа'!$G$20:$G$4940,"Бизнес центр")=SUMIFS('Адресная программа'!$K$20:$K$4940,'Адресная программа'!$L$20:$L$4940,1,'Адресная программа'!$C$20:$C$4940,B62,'Адресная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программа'!$C$20:$C$4940,B62,'Адресная программа'!$G$20:$G$4940,"Бизнес центр")&gt;(SUMIFS('Адресная программа'!$K$20:$K$4940,'Адресная программа'!$L$20:$L$4940,1,'Адресная программа'!$C$20:$C$4940,B62,'Адресная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программа'!$C$20:$C$4940,B62,'Адресная программа'!$G$20:$G$4940,"Бизнес центр")&gt;(SUMIFS('Адресная программа'!$K$20:$K$4940,'Адресная программа'!$L$20:$L$4940,1,'Адресная программа'!$C$20:$C$4940,B62,'Адресная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программа'!$C$20:$C$4940,B62,'Адресная программа'!$G$20:$G$4940,"Бизнес центр")&gt;(SUMIFS('Адресная программа'!$K$20:$K$4940,'Адресная программа'!$L$20:$L$4940,1,'Адресная программа'!$C$20:$C$4940,B62,'Адресная программа'!$G$20:$G$4940,"Бизнес центр")*'Цены|Скидки'!$B$55-1),'Цены|Скидки'!$C$55,0%))))</f>
        <v/>
      </c>
      <c r="H62" s="156">
        <f>D$12</f>
        <v/>
      </c>
      <c r="I62" s="190">
        <f>IF(D62=0,0,1-J62/F62)</f>
        <v/>
      </c>
      <c r="J62" s="934">
        <f>F62*(1-G62)*(1-H62)*(1-IF($AC$2="РА",$AD$2,0))*(1-IF(OR($AC$3="Доп скидка",$AC$3="Сезонная скидка",$AC$3="Welcome скидка")=TRUE,$AD$3,0))</f>
        <v/>
      </c>
      <c r="K62" s="934">
        <f>ROUND(J62+L62,2)</f>
        <v/>
      </c>
      <c r="L62" s="934">
        <f>J62*БЦ!$AD$4</f>
        <v/>
      </c>
      <c r="M62" s="159">
        <f>(SUMIFS('Адресная программа'!$H$20:$H$4288,'Адресная программа'!$I$20:$I$4288,БЦ_ALL!C62,'Адресная программа'!$C$20:$C$4288,БЦ_ALL!B62,'Адресная программа'!$N$20:$N$4288,1)*$K$7)</f>
        <v/>
      </c>
      <c r="N62" s="935">
        <f>IF(M62=0,0,J62/M62*1000)</f>
        <v/>
      </c>
    </row>
    <row r="63" ht="13.8" customHeight="1">
      <c r="B63" s="253" t="inlineStr">
        <is>
          <t>Москва</t>
        </is>
      </c>
      <c r="C63" s="264" t="inlineStr">
        <is>
          <t>Capital Tower</t>
        </is>
      </c>
      <c r="D63" s="303">
        <f>SUMIFS('Адресная программа'!$K$2975:$K$4468,'Адресная программа'!$I$2975:$I$4468,БЦ_ALL!C63,'Адресная программа'!$C$2975:$C$4468,БЦ_ALL!B63,'Адресная программа'!$N$2975:$N$4468,1)</f>
        <v/>
      </c>
      <c r="E63" s="994">
        <f>'Цены|Скидки'!$D$25</f>
        <v/>
      </c>
      <c r="F63" s="942">
        <f>SUM(E63*D63*$K$7/15*$K$9)</f>
        <v/>
      </c>
      <c r="G63" s="156">
        <f>IF(SUMIFS('Адресная программа'!$O$20:$O$4940,'Адресная программа'!$N$20:$N$4940,1,'Адресная программа'!$C$20:$C$4940,B63,'Адресная программа'!$G$20:$G$4940,"Бизнес центр")=SUMIFS('Адресная программа'!$K$20:$K$4940,'Адресная программа'!$L$20:$L$4940,1,'Адресная программа'!$C$20:$C$4940,B63,'Адресная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программа'!$C$20:$C$4940,B63,'Адресная программа'!$G$20:$G$4940,"Бизнес центр")&gt;(SUMIFS('Адресная программа'!$K$20:$K$4940,'Адресная программа'!$L$20:$L$4940,1,'Адресная программа'!$C$20:$C$4940,B63,'Адресная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программа'!$C$20:$C$4940,B63,'Адресная программа'!$G$20:$G$4940,"Бизнес центр")&gt;(SUMIFS('Адресная программа'!$K$20:$K$4940,'Адресная программа'!$L$20:$L$4940,1,'Адресная программа'!$C$20:$C$4940,B63,'Адресная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программа'!$C$20:$C$4940,B63,'Адресная программа'!$G$20:$G$4940,"Бизнес центр")&gt;(SUMIFS('Адресная программа'!$K$20:$K$4940,'Адресная программа'!$L$20:$L$4940,1,'Адресная программа'!$C$20:$C$4940,B63,'Адресная программа'!$G$20:$G$4940,"Бизнес центр")*'Цены|Скидки'!$B$55-1),'Цены|Скидки'!$C$55,0%))))</f>
        <v/>
      </c>
      <c r="H63" s="156">
        <f>D$12</f>
        <v/>
      </c>
      <c r="I63" s="190">
        <f>IF(D63=0,0,1-J63/F63)</f>
        <v/>
      </c>
      <c r="J63" s="934">
        <f>F63*(1-G63)*(1-H63)*(1-IF($AC$2="РА",$AD$2,0))*(1-IF(OR($AC$3="Доп скидка",$AC$3="Сезонная скидка",$AC$3="Welcome скидка")=TRUE,$AD$3,0))</f>
        <v/>
      </c>
      <c r="K63" s="934">
        <f>ROUND(J63+L63,2)</f>
        <v/>
      </c>
      <c r="L63" s="934">
        <f>J63*БЦ!$AD$4</f>
        <v/>
      </c>
      <c r="M63" s="159">
        <f>(SUMIFS('Адресная программа'!$H$20:$H$4288,'Адресная программа'!$I$20:$I$4288,БЦ_ALL!C63,'Адресная программа'!$C$20:$C$4288,БЦ_ALL!B63,'Адресная программа'!$N$20:$N$4288,1)*$K$7)</f>
        <v/>
      </c>
      <c r="N63" s="935">
        <f>IF(M63=0,0,J63/M63*1000)</f>
        <v/>
      </c>
    </row>
    <row r="64" ht="13.8" customHeight="1">
      <c r="B64" s="253" t="inlineStr">
        <is>
          <t>Москва</t>
        </is>
      </c>
      <c r="C64" s="264" t="inlineStr">
        <is>
          <t>Мидланд Плаза</t>
        </is>
      </c>
      <c r="D64" s="303">
        <f>SUMIFS('Адресная программа'!$K$2975:$K$4468,'Адресная программа'!$I$2975:$I$4468,БЦ_ALL!C64,'Адресная программа'!$C$2975:$C$4468,БЦ_ALL!B64,'Адресная программа'!$N$2975:$N$4468,1)</f>
        <v/>
      </c>
      <c r="E64" s="994">
        <f>'Цены|Скидки'!$D$25</f>
        <v/>
      </c>
      <c r="F64" s="942">
        <f>SUM(E64*D64*$K$7/15*$K$9)</f>
        <v/>
      </c>
      <c r="G64" s="156">
        <f>IF(SUMIFS('Адресная программа'!$O$20:$O$4940,'Адресная программа'!$N$20:$N$4940,1,'Адресная программа'!$C$20:$C$4940,B64,'Адресная программа'!$G$20:$G$4940,"Бизнес центр")=SUMIFS('Адресная программа'!$K$20:$K$4940,'Адресная программа'!$L$20:$L$4940,1,'Адресная программа'!$C$20:$C$4940,B64,'Адресная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программа'!$C$20:$C$4940,B64,'Адресная программа'!$G$20:$G$4940,"Бизнес центр")&gt;(SUMIFS('Адресная программа'!$K$20:$K$4940,'Адресная программа'!$L$20:$L$4940,1,'Адресная программа'!$C$20:$C$4940,B64,'Адресная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программа'!$C$20:$C$4940,B64,'Адресная программа'!$G$20:$G$4940,"Бизнес центр")&gt;(SUMIFS('Адресная программа'!$K$20:$K$4940,'Адресная программа'!$L$20:$L$4940,1,'Адресная программа'!$C$20:$C$4940,B64,'Адресная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программа'!$C$20:$C$4940,B64,'Адресная программа'!$G$20:$G$4940,"Бизнес центр")&gt;(SUMIFS('Адресная программа'!$K$20:$K$4940,'Адресная программа'!$L$20:$L$4940,1,'Адресная программа'!$C$20:$C$4940,B64,'Адресная программа'!$G$20:$G$4940,"Бизнес центр")*'Цены|Скидки'!$B$55-1),'Цены|Скидки'!$C$55,0%))))</f>
        <v/>
      </c>
      <c r="H64" s="156">
        <f>D$12</f>
        <v/>
      </c>
      <c r="I64" s="190">
        <f>IF(D64=0,0,1-J64/F64)</f>
        <v/>
      </c>
      <c r="J64" s="934">
        <f>F64*(1-G64)*(1-H64)*(1-IF($AC$2="РА",$AD$2,0))*(1-IF(OR($AC$3="Доп скидка",$AC$3="Сезонная скидка",$AC$3="Welcome скидка")=TRUE,$AD$3,0))</f>
        <v/>
      </c>
      <c r="K64" s="934">
        <f>ROUND(J64+L64,2)</f>
        <v/>
      </c>
      <c r="L64" s="934">
        <f>J64*БЦ!$AD$4</f>
        <v/>
      </c>
      <c r="M64" s="159">
        <f>(SUMIFS('Адресная программа'!$H$20:$H$4288,'Адресная программа'!$I$20:$I$4288,БЦ_ALL!C64,'Адресная программа'!$C$20:$C$4288,БЦ_ALL!B64,'Адресная программа'!$N$20:$N$4288,1)*$K$7)</f>
        <v/>
      </c>
      <c r="N64" s="935">
        <f>IF(M64=0,0,J64/M64*1000)</f>
        <v/>
      </c>
    </row>
    <row r="65" ht="13.8" customHeight="1">
      <c r="B65" s="253" t="inlineStr">
        <is>
          <t>Москва</t>
        </is>
      </c>
      <c r="C65" s="264" t="inlineStr">
        <is>
          <t>Центр развития успешных проектов</t>
        </is>
      </c>
      <c r="D65" s="303">
        <f>SUMIFS('Адресная программа'!$K$2975:$K$4468,'Адресная программа'!$I$2975:$I$4468,БЦ_ALL!C65,'Адресная программа'!$C$2975:$C$4468,БЦ_ALL!B65,'Адресная программа'!$N$2975:$N$4468,1)</f>
        <v/>
      </c>
      <c r="E65" s="994">
        <f>'Цены|Скидки'!$D$25</f>
        <v/>
      </c>
      <c r="F65" s="942">
        <f>SUM(E65*D65*$K$7/15*$K$9)</f>
        <v/>
      </c>
      <c r="G65" s="156">
        <f>IF(SUMIFS('Адресная программа'!$O$20:$O$4940,'Адресная программа'!$N$20:$N$4940,1,'Адресная программа'!$C$20:$C$4940,B65,'Адресная программа'!$G$20:$G$4940,"Бизнес центр")=SUMIFS('Адресная программа'!$K$20:$K$4940,'Адресная программа'!$L$20:$L$4940,1,'Адресная программа'!$C$20:$C$4940,B65,'Адресная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программа'!$C$20:$C$4940,B65,'Адресная программа'!$G$20:$G$4940,"Бизнес центр")&gt;(SUMIFS('Адресная программа'!$K$20:$K$4940,'Адресная программа'!$L$20:$L$4940,1,'Адресная программа'!$C$20:$C$4940,B65,'Адресная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программа'!$C$20:$C$4940,B65,'Адресная программа'!$G$20:$G$4940,"Бизнес центр")&gt;(SUMIFS('Адресная программа'!$K$20:$K$4940,'Адресная программа'!$L$20:$L$4940,1,'Адресная программа'!$C$20:$C$4940,B65,'Адресная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программа'!$C$20:$C$4940,B65,'Адресная программа'!$G$20:$G$4940,"Бизнес центр")&gt;(SUMIFS('Адресная программа'!$K$20:$K$4940,'Адресная программа'!$L$20:$L$4940,1,'Адресная программа'!$C$20:$C$4940,B65,'Адресная программа'!$G$20:$G$4940,"Бизнес центр")*'Цены|Скидки'!$B$55-1),'Цены|Скидки'!$C$55,0%))))</f>
        <v/>
      </c>
      <c r="H65" s="156">
        <f>D$12</f>
        <v/>
      </c>
      <c r="I65" s="190">
        <f>IF(D65=0,0,1-J65/F65)</f>
        <v/>
      </c>
      <c r="J65" s="934">
        <f>F65*(1-G65)*(1-H65)*(1-IF($AC$2="РА",$AD$2,0))*(1-IF(OR($AC$3="Доп скидка",$AC$3="Сезонная скидка",$AC$3="Welcome скидка")=TRUE,$AD$3,0))</f>
        <v/>
      </c>
      <c r="K65" s="934">
        <f>ROUND(J65+L65,2)</f>
        <v/>
      </c>
      <c r="L65" s="934">
        <f>J65*БЦ!$AD$4</f>
        <v/>
      </c>
      <c r="M65" s="159">
        <f>(SUMIFS('Адресная программа'!$H$20:$H$4288,'Адресная программа'!$I$20:$I$4288,БЦ_ALL!C65,'Адресная программа'!$C$20:$C$4288,БЦ_ALL!B65,'Адресная программа'!$N$20:$N$4288,1)*$K$7)</f>
        <v/>
      </c>
      <c r="N65" s="935">
        <f>IF(M65=0,0,J65/M65*1000)</f>
        <v/>
      </c>
    </row>
    <row r="66" ht="13.8" customHeight="1">
      <c r="B66" s="253" t="inlineStr">
        <is>
          <t>Москва</t>
        </is>
      </c>
      <c r="C66" s="264" t="inlineStr">
        <is>
          <t>Линия</t>
        </is>
      </c>
      <c r="D66" s="303">
        <f>SUMIFS('Адресная программа'!$K$2975:$K$4468,'Адресная программа'!$I$2975:$I$4468,БЦ_ALL!C66,'Адресная программа'!$C$2975:$C$4468,БЦ_ALL!B66,'Адресная программа'!$N$2975:$N$4468,1)</f>
        <v/>
      </c>
      <c r="E66" s="994">
        <f>'Цены|Скидки'!$D$25</f>
        <v/>
      </c>
      <c r="F66" s="942">
        <f>SUM(E66*D66*$K$7/15*$K$9)</f>
        <v/>
      </c>
      <c r="G66" s="156">
        <f>IF(SUMIFS('Адресная программа'!$O$20:$O$4940,'Адресная программа'!$N$20:$N$4940,1,'Адресная программа'!$C$20:$C$4940,B66,'Адресная программа'!$G$20:$G$4940,"Бизнес центр")=SUMIFS('Адресная программа'!$K$20:$K$4940,'Адресная программа'!$L$20:$L$4940,1,'Адресная программа'!$C$20:$C$4940,B66,'Адресная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программа'!$C$20:$C$4940,B66,'Адресная программа'!$G$20:$G$4940,"Бизнес центр")&gt;(SUMIFS('Адресная программа'!$K$20:$K$4940,'Адресная программа'!$L$20:$L$4940,1,'Адресная программа'!$C$20:$C$4940,B66,'Адресная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программа'!$C$20:$C$4940,B66,'Адресная программа'!$G$20:$G$4940,"Бизнес центр")&gt;(SUMIFS('Адресная программа'!$K$20:$K$4940,'Адресная программа'!$L$20:$L$4940,1,'Адресная программа'!$C$20:$C$4940,B66,'Адресная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программа'!$C$20:$C$4940,B66,'Адресная программа'!$G$20:$G$4940,"Бизнес центр")&gt;(SUMIFS('Адресная программа'!$K$20:$K$4940,'Адресная программа'!$L$20:$L$4940,1,'Адресная программа'!$C$20:$C$4940,B66,'Адресная программа'!$G$20:$G$4940,"Бизнес центр")*'Цены|Скидки'!$B$55-1),'Цены|Скидки'!$C$55,0%))))</f>
        <v/>
      </c>
      <c r="H66" s="156">
        <f>D$12</f>
        <v/>
      </c>
      <c r="I66" s="190">
        <f>IF(D66=0,0,1-J66/F66)</f>
        <v/>
      </c>
      <c r="J66" s="934">
        <f>F66*(1-G66)*(1-H66)*(1-IF($AC$2="РА",$AD$2,0))*(1-IF(OR($AC$3="Доп скидка",$AC$3="Сезонная скидка",$AC$3="Welcome скидка")=TRUE,$AD$3,0))</f>
        <v/>
      </c>
      <c r="K66" s="934">
        <f>ROUND(J66+L66,2)</f>
        <v/>
      </c>
      <c r="L66" s="934">
        <f>J66*БЦ!$AD$4</f>
        <v/>
      </c>
      <c r="M66" s="159">
        <f>(SUMIFS('Адресная программа'!$H$20:$H$4288,'Адресная программа'!$I$20:$I$4288,БЦ_ALL!C66,'Адресная программа'!$C$20:$C$4288,БЦ_ALL!B66,'Адресная программа'!$N$20:$N$4288,1)*$K$7)</f>
        <v/>
      </c>
      <c r="N66" s="935">
        <f>IF(M66=0,0,J66/M66*1000)</f>
        <v/>
      </c>
    </row>
    <row r="67" ht="13.8" customHeight="1">
      <c r="B67" s="253" t="inlineStr">
        <is>
          <t>Москва</t>
        </is>
      </c>
      <c r="C67" s="264" t="inlineStr">
        <is>
          <t>РТС Свиблово</t>
        </is>
      </c>
      <c r="D67" s="303">
        <f>SUMIFS('Адресная программа'!$K$2975:$K$4468,'Адресная программа'!$I$2975:$I$4468,БЦ_ALL!C67,'Адресная программа'!$C$2975:$C$4468,БЦ_ALL!B67,'Адресная программа'!$N$2975:$N$4468,1)</f>
        <v/>
      </c>
      <c r="E67" s="994">
        <f>'Цены|Скидки'!$D$25</f>
        <v/>
      </c>
      <c r="F67" s="942">
        <f>SUM(E67*D67*$K$7/15*$K$9)</f>
        <v/>
      </c>
      <c r="G67" s="156">
        <f>IF(SUMIFS('Адресная программа'!$O$20:$O$4940,'Адресная программа'!$N$20:$N$4940,1,'Адресная программа'!$C$20:$C$4940,B67,'Адресная программа'!$G$20:$G$4940,"Бизнес центр")=SUMIFS('Адресная программа'!$K$20:$K$4940,'Адресная программа'!$L$20:$L$4940,1,'Адресная программа'!$C$20:$C$4940,B67,'Адресная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программа'!$C$20:$C$4940,B67,'Адресная программа'!$G$20:$G$4940,"Бизнес центр")&gt;(SUMIFS('Адресная программа'!$K$20:$K$4940,'Адресная программа'!$L$20:$L$4940,1,'Адресная программа'!$C$20:$C$4940,B67,'Адресная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программа'!$C$20:$C$4940,B67,'Адресная программа'!$G$20:$G$4940,"Бизнес центр")&gt;(SUMIFS('Адресная программа'!$K$20:$K$4940,'Адресная программа'!$L$20:$L$4940,1,'Адресная программа'!$C$20:$C$4940,B67,'Адресная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программа'!$C$20:$C$4940,B67,'Адресная программа'!$G$20:$G$4940,"Бизнес центр")&gt;(SUMIFS('Адресная программа'!$K$20:$K$4940,'Адресная программа'!$L$20:$L$4940,1,'Адресная программа'!$C$20:$C$4940,B67,'Адресная программа'!$G$20:$G$4940,"Бизнес центр")*'Цены|Скидки'!$B$55-1),'Цены|Скидки'!$C$55,0%))))</f>
        <v/>
      </c>
      <c r="H67" s="156">
        <f>D$12</f>
        <v/>
      </c>
      <c r="I67" s="190">
        <f>IF(D67=0,0,1-J67/F67)</f>
        <v/>
      </c>
      <c r="J67" s="934">
        <f>F67*(1-G67)*(1-H67)*(1-IF($AC$2="РА",$AD$2,0))*(1-IF(OR($AC$3="Доп скидка",$AC$3="Сезонная скидка",$AC$3="Welcome скидка")=TRUE,$AD$3,0))</f>
        <v/>
      </c>
      <c r="K67" s="934">
        <f>ROUND(J67+L67,2)</f>
        <v/>
      </c>
      <c r="L67" s="934">
        <f>J67*БЦ!$AD$4</f>
        <v/>
      </c>
      <c r="M67" s="159">
        <f>(SUMIFS('Адресная программа'!$H$20:$H$4288,'Адресная программа'!$I$20:$I$4288,БЦ_ALL!C67,'Адресная программа'!$C$20:$C$4288,БЦ_ALL!B67,'Адресная программа'!$N$20:$N$4288,1)*$K$7)</f>
        <v/>
      </c>
      <c r="N67" s="935">
        <f>IF(M67=0,0,J67/M67*1000)</f>
        <v/>
      </c>
    </row>
    <row r="68" ht="13.8" customHeight="1">
      <c r="B68" s="253" t="inlineStr">
        <is>
          <t>Москва</t>
        </is>
      </c>
      <c r="C68" s="264" t="inlineStr">
        <is>
          <t>РТС Таганский</t>
        </is>
      </c>
      <c r="D68" s="303">
        <f>SUMIFS('Адресная программа'!$K$2975:$K$4468,'Адресная программа'!$I$2975:$I$4468,БЦ_ALL!C68,'Адресная программа'!$C$2975:$C$4468,БЦ_ALL!B68,'Адресная программа'!$N$2975:$N$4468,1)</f>
        <v/>
      </c>
      <c r="E68" s="994">
        <f>'Цены|Скидки'!$D$25</f>
        <v/>
      </c>
      <c r="F68" s="942">
        <f>SUM(E68*D68*$K$7/15*$K$9)</f>
        <v/>
      </c>
      <c r="G68" s="156">
        <f>IF(SUMIFS('Адресная программа'!$O$20:$O$4940,'Адресная программа'!$N$20:$N$4940,1,'Адресная программа'!$C$20:$C$4940,B68,'Адресная программа'!$G$20:$G$4940,"Бизнес центр")=SUMIFS('Адресная программа'!$K$20:$K$4940,'Адресная программа'!$L$20:$L$4940,1,'Адресная программа'!$C$20:$C$4940,B68,'Адресная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программа'!$C$20:$C$4940,B68,'Адресная программа'!$G$20:$G$4940,"Бизнес центр")&gt;(SUMIFS('Адресная программа'!$K$20:$K$4940,'Адресная программа'!$L$20:$L$4940,1,'Адресная программа'!$C$20:$C$4940,B68,'Адресная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программа'!$C$20:$C$4940,B68,'Адресная программа'!$G$20:$G$4940,"Бизнес центр")&gt;(SUMIFS('Адресная программа'!$K$20:$K$4940,'Адресная программа'!$L$20:$L$4940,1,'Адресная программа'!$C$20:$C$4940,B68,'Адресная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программа'!$C$20:$C$4940,B68,'Адресная программа'!$G$20:$G$4940,"Бизнес центр")&gt;(SUMIFS('Адресная программа'!$K$20:$K$4940,'Адресная программа'!$L$20:$L$4940,1,'Адресная программа'!$C$20:$C$4940,B68,'Адресная программа'!$G$20:$G$4940,"Бизнес центр")*'Цены|Скидки'!$B$55-1),'Цены|Скидки'!$C$55,0%))))</f>
        <v/>
      </c>
      <c r="H68" s="156">
        <f>D$12</f>
        <v/>
      </c>
      <c r="I68" s="190">
        <f>IF(D68=0,0,1-J68/F68)</f>
        <v/>
      </c>
      <c r="J68" s="934">
        <f>F68*(1-G68)*(1-H68)*(1-IF($AC$2="РА",$AD$2,0))*(1-IF(OR($AC$3="Доп скидка",$AC$3="Сезонная скидка",$AC$3="Welcome скидка")=TRUE,$AD$3,0))</f>
        <v/>
      </c>
      <c r="K68" s="934">
        <f>ROUND(J68+L68,2)</f>
        <v/>
      </c>
      <c r="L68" s="934">
        <f>J68*БЦ!$AD$4</f>
        <v/>
      </c>
      <c r="M68" s="159">
        <f>(SUMIFS('Адресная программа'!$H$20:$H$4288,'Адресная программа'!$I$20:$I$4288,БЦ_ALL!C68,'Адресная программа'!$C$20:$C$4288,БЦ_ALL!B68,'Адресная программа'!$N$20:$N$4288,1)*$K$7)</f>
        <v/>
      </c>
      <c r="N68" s="935">
        <f>IF(M68=0,0,J68/M68*1000)</f>
        <v/>
      </c>
    </row>
    <row r="69" ht="13.8" customHeight="1">
      <c r="B69" s="253" t="inlineStr">
        <is>
          <t>Москва</t>
        </is>
      </c>
      <c r="C69" s="264" t="inlineStr">
        <is>
          <t>РТС Варшавский</t>
        </is>
      </c>
      <c r="D69" s="303">
        <f>SUMIFS('Адресная программа'!$K$2975:$K$4468,'Адресная программа'!$I$2975:$I$4468,БЦ_ALL!C69,'Адресная программа'!$C$2975:$C$4468,БЦ_ALL!B69,'Адресная программа'!$N$2975:$N$4468,1)</f>
        <v/>
      </c>
      <c r="E69" s="994">
        <f>'Цены|Скидки'!$D$25</f>
        <v/>
      </c>
      <c r="F69" s="942">
        <f>SUM(E69*D69*$K$7/15*$K$9)</f>
        <v/>
      </c>
      <c r="G69" s="156">
        <f>IF(SUMIFS('Адресная программа'!$O$20:$O$4940,'Адресная программа'!$N$20:$N$4940,1,'Адресная программа'!$C$20:$C$4940,B69,'Адресная программа'!$G$20:$G$4940,"Бизнес центр")=SUMIFS('Адресная программа'!$K$20:$K$4940,'Адресная программа'!$L$20:$L$4940,1,'Адресная программа'!$C$20:$C$4940,B69,'Адресная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программа'!$C$20:$C$4940,B69,'Адресная программа'!$G$20:$G$4940,"Бизнес центр")&gt;(SUMIFS('Адресная программа'!$K$20:$K$4940,'Адресная программа'!$L$20:$L$4940,1,'Адресная программа'!$C$20:$C$4940,B69,'Адресная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программа'!$C$20:$C$4940,B69,'Адресная программа'!$G$20:$G$4940,"Бизнес центр")&gt;(SUMIFS('Адресная программа'!$K$20:$K$4940,'Адресная программа'!$L$20:$L$4940,1,'Адресная программа'!$C$20:$C$4940,B69,'Адресная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программа'!$C$20:$C$4940,B69,'Адресная программа'!$G$20:$G$4940,"Бизнес центр")&gt;(SUMIFS('Адресная программа'!$K$20:$K$4940,'Адресная программа'!$L$20:$L$4940,1,'Адресная программа'!$C$20:$C$4940,B69,'Адресная программа'!$G$20:$G$4940,"Бизнес центр")*'Цены|Скидки'!$B$55-1),'Цены|Скидки'!$C$55,0%))))</f>
        <v/>
      </c>
      <c r="H69" s="156">
        <f>D$12</f>
        <v/>
      </c>
      <c r="I69" s="190">
        <f>IF(D69=0,0,1-J69/F69)</f>
        <v/>
      </c>
      <c r="J69" s="934">
        <f>F69*(1-G69)*(1-H69)*(1-IF($AC$2="РА",$AD$2,0))*(1-IF(OR($AC$3="Доп скидка",$AC$3="Сезонная скидка",$AC$3="Welcome скидка")=TRUE,$AD$3,0))</f>
        <v/>
      </c>
      <c r="K69" s="934">
        <f>ROUND(J69+L69,2)</f>
        <v/>
      </c>
      <c r="L69" s="934">
        <f>J69*БЦ!$AD$4</f>
        <v/>
      </c>
      <c r="M69" s="159">
        <f>(SUMIFS('Адресная программа'!$H$20:$H$4288,'Адресная программа'!$I$20:$I$4288,БЦ_ALL!C69,'Адресная программа'!$C$20:$C$4288,БЦ_ALL!B69,'Адресная программа'!$N$20:$N$4288,1)*$K$7)</f>
        <v/>
      </c>
      <c r="N69" s="935">
        <f>IF(M69=0,0,J69/M69*1000)</f>
        <v/>
      </c>
    </row>
    <row r="70" ht="13.8" customHeight="1">
      <c r="B70" s="253" t="inlineStr">
        <is>
          <t>Москва</t>
        </is>
      </c>
      <c r="C70" s="264" t="inlineStr">
        <is>
          <t>РТС Нагатинский</t>
        </is>
      </c>
      <c r="D70" s="303">
        <f>SUMIFS('Адресная программа'!$K$2975:$K$4468,'Адресная программа'!$I$2975:$I$4468,БЦ_ALL!C70,'Адресная программа'!$C$2975:$C$4468,БЦ_ALL!B70,'Адресная программа'!$N$2975:$N$4468,1)</f>
        <v/>
      </c>
      <c r="E70" s="994">
        <f>'Цены|Скидки'!$D$25</f>
        <v/>
      </c>
      <c r="F70" s="942">
        <f>SUM(E70*D70*$K$7/15*$K$9)</f>
        <v/>
      </c>
      <c r="G70" s="156">
        <f>IF(SUMIFS('Адресная программа'!$O$20:$O$4940,'Адресная программа'!$N$20:$N$4940,1,'Адресная программа'!$C$20:$C$4940,B70,'Адресная программа'!$G$20:$G$4940,"Бизнес центр")=SUMIFS('Адресная программа'!$K$20:$K$4940,'Адресная программа'!$L$20:$L$4940,1,'Адресная программа'!$C$20:$C$4940,B70,'Адресная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программа'!$C$20:$C$4940,B70,'Адресная программа'!$G$20:$G$4940,"Бизнес центр")&gt;(SUMIFS('Адресная программа'!$K$20:$K$4940,'Адресная программа'!$L$20:$L$4940,1,'Адресная программа'!$C$20:$C$4940,B70,'Адресная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программа'!$C$20:$C$4940,B70,'Адресная программа'!$G$20:$G$4940,"Бизнес центр")&gt;(SUMIFS('Адресная программа'!$K$20:$K$4940,'Адресная программа'!$L$20:$L$4940,1,'Адресная программа'!$C$20:$C$4940,B70,'Адресная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программа'!$C$20:$C$4940,B70,'Адресная программа'!$G$20:$G$4940,"Бизнес центр")&gt;(SUMIFS('Адресная программа'!$K$20:$K$4940,'Адресная программа'!$L$20:$L$4940,1,'Адресная программа'!$C$20:$C$4940,B70,'Адресная программа'!$G$20:$G$4940,"Бизнес центр")*'Цены|Скидки'!$B$55-1),'Цены|Скидки'!$C$55,0%))))</f>
        <v/>
      </c>
      <c r="H70" s="156">
        <f>D$12</f>
        <v/>
      </c>
      <c r="I70" s="190">
        <f>IF(D70=0,0,1-J70/F70)</f>
        <v/>
      </c>
      <c r="J70" s="934">
        <f>F70*(1-G70)*(1-H70)*(1-IF($AC$2="РА",$AD$2,0))*(1-IF(OR($AC$3="Доп скидка",$AC$3="Сезонная скидка",$AC$3="Welcome скидка")=TRUE,$AD$3,0))</f>
        <v/>
      </c>
      <c r="K70" s="934">
        <f>ROUND(J70+L70,2)</f>
        <v/>
      </c>
      <c r="L70" s="934">
        <f>J70*БЦ!$AD$4</f>
        <v/>
      </c>
      <c r="M70" s="159">
        <f>(SUMIFS('Адресная программа'!$H$20:$H$4288,'Адресная программа'!$I$20:$I$4288,БЦ_ALL!C70,'Адресная программа'!$C$20:$C$4288,БЦ_ALL!B70,'Адресная программа'!$N$20:$N$4288,1)*$K$7)</f>
        <v/>
      </c>
      <c r="N70" s="935">
        <f>IF(M70=0,0,J70/M70*1000)</f>
        <v/>
      </c>
    </row>
    <row r="71" ht="13.8" customHeight="1">
      <c r="B71" s="253" t="inlineStr">
        <is>
          <t>Москва</t>
        </is>
      </c>
      <c r="C71" s="264" t="inlineStr">
        <is>
          <t>Савёловград</t>
        </is>
      </c>
      <c r="D71" s="303">
        <f>SUMIFS('Адресная программа'!$K$2975:$K$4468,'Адресная программа'!$I$2975:$I$4468,БЦ_ALL!C71,'Адресная программа'!$C$2975:$C$4468,БЦ_ALL!B71,'Адресная программа'!$N$2975:$N$4468,1)</f>
        <v/>
      </c>
      <c r="E71" s="994">
        <f>'Цены|Скидки'!$D$25</f>
        <v/>
      </c>
      <c r="F71" s="942">
        <f>SUM(E71*D71*$K$7/15*$K$9)</f>
        <v/>
      </c>
      <c r="G71" s="156">
        <f>IF(SUMIFS('Адресная программа'!$O$20:$O$4940,'Адресная программа'!$N$20:$N$4940,1,'Адресная программа'!$C$20:$C$4940,B71,'Адресная программа'!$G$20:$G$4940,"Бизнес центр")=SUMIFS('Адресная программа'!$K$20:$K$4940,'Адресная программа'!$L$20:$L$4940,1,'Адресная программа'!$C$20:$C$4940,B71,'Адресная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программа'!$C$20:$C$4940,B71,'Адресная программа'!$G$20:$G$4940,"Бизнес центр")&gt;(SUMIFS('Адресная программа'!$K$20:$K$4940,'Адресная программа'!$L$20:$L$4940,1,'Адресная программа'!$C$20:$C$4940,B71,'Адресная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программа'!$C$20:$C$4940,B71,'Адресная программа'!$G$20:$G$4940,"Бизнес центр")&gt;(SUMIFS('Адресная программа'!$K$20:$K$4940,'Адресная программа'!$L$20:$L$4940,1,'Адресная программа'!$C$20:$C$4940,B71,'Адресная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программа'!$C$20:$C$4940,B71,'Адресная программа'!$G$20:$G$4940,"Бизнес центр")&gt;(SUMIFS('Адресная программа'!$K$20:$K$4940,'Адресная программа'!$L$20:$L$4940,1,'Адресная программа'!$C$20:$C$4940,B71,'Адресная программа'!$G$20:$G$4940,"Бизнес центр")*'Цены|Скидки'!$B$55-1),'Цены|Скидки'!$C$55,0%))))</f>
        <v/>
      </c>
      <c r="H71" s="156">
        <f>D$12</f>
        <v/>
      </c>
      <c r="I71" s="190">
        <f>IF(D71=0,0,1-J71/F71)</f>
        <v/>
      </c>
      <c r="J71" s="934">
        <f>F71*(1-G71)*(1-H71)*(1-IF($AC$2="РА",$AD$2,0))*(1-IF(OR($AC$3="Доп скидка",$AC$3="Сезонная скидка",$AC$3="Welcome скидка")=TRUE,$AD$3,0))</f>
        <v/>
      </c>
      <c r="K71" s="934">
        <f>ROUND(J71+L71,2)</f>
        <v/>
      </c>
      <c r="L71" s="934">
        <f>J71*БЦ!$AD$4</f>
        <v/>
      </c>
      <c r="M71" s="159">
        <f>(SUMIFS('Адресная программа'!$H$20:$H$4288,'Адресная программа'!$I$20:$I$4288,БЦ_ALL!C71,'Адресная программа'!$C$20:$C$4288,БЦ_ALL!B71,'Адресная программа'!$N$20:$N$4288,1)*$K$7)</f>
        <v/>
      </c>
      <c r="N71" s="935">
        <f>IF(M71=0,0,J71/M71*1000)</f>
        <v/>
      </c>
    </row>
    <row r="72" ht="13.8" customHeight="1">
      <c r="B72" s="253" t="inlineStr">
        <is>
          <t>Москва</t>
        </is>
      </c>
      <c r="C72" s="264" t="inlineStr">
        <is>
          <t>РТС Земляной Вал</t>
        </is>
      </c>
      <c r="D72" s="303">
        <f>SUMIFS('Адресная программа'!$K$2975:$K$4468,'Адресная программа'!$I$2975:$I$4468,БЦ_ALL!C72,'Адресная программа'!$C$2975:$C$4468,БЦ_ALL!B72,'Адресная программа'!$N$2975:$N$4468,1)</f>
        <v/>
      </c>
      <c r="E72" s="994">
        <f>'Цены|Скидки'!$D$25</f>
        <v/>
      </c>
      <c r="F72" s="942">
        <f>SUM(E72*D72*$K$7/15*$K$9)</f>
        <v/>
      </c>
      <c r="G72" s="156">
        <f>IF(SUMIFS('Адресная программа'!$O$20:$O$4940,'Адресная программа'!$N$20:$N$4940,1,'Адресная программа'!$C$20:$C$4940,B72,'Адресная программа'!$G$20:$G$4940,"Бизнес центр")=SUMIFS('Адресная программа'!$K$20:$K$4940,'Адресная программа'!$L$20:$L$4940,1,'Адресная программа'!$C$20:$C$4940,B72,'Адресная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программа'!$C$20:$C$4940,B72,'Адресная программа'!$G$20:$G$4940,"Бизнес центр")&gt;(SUMIFS('Адресная программа'!$K$20:$K$4940,'Адресная программа'!$L$20:$L$4940,1,'Адресная программа'!$C$20:$C$4940,B72,'Адресная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программа'!$C$20:$C$4940,B72,'Адресная программа'!$G$20:$G$4940,"Бизнес центр")&gt;(SUMIFS('Адресная программа'!$K$20:$K$4940,'Адресная программа'!$L$20:$L$4940,1,'Адресная программа'!$C$20:$C$4940,B72,'Адресная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программа'!$C$20:$C$4940,B72,'Адресная программа'!$G$20:$G$4940,"Бизнес центр")&gt;(SUMIFS('Адресная программа'!$K$20:$K$4940,'Адресная программа'!$L$20:$L$4940,1,'Адресная программа'!$C$20:$C$4940,B72,'Адресная программа'!$G$20:$G$4940,"Бизнес центр")*'Цены|Скидки'!$B$55-1),'Цены|Скидки'!$C$55,0%))))</f>
        <v/>
      </c>
      <c r="H72" s="156">
        <f>D$12</f>
        <v/>
      </c>
      <c r="I72" s="190">
        <f>IF(D72=0,0,1-J72/F72)</f>
        <v/>
      </c>
      <c r="J72" s="934">
        <f>F72*(1-G72)*(1-H72)*(1-IF($AC$2="РА",$AD$2,0))*(1-IF(OR($AC$3="Доп скидка",$AC$3="Сезонная скидка",$AC$3="Welcome скидка")=TRUE,$AD$3,0))</f>
        <v/>
      </c>
      <c r="K72" s="934">
        <f>ROUND(J72+L72,2)</f>
        <v/>
      </c>
      <c r="L72" s="934">
        <f>J72*БЦ!$AD$4</f>
        <v/>
      </c>
      <c r="M72" s="159">
        <f>(SUMIFS('Адресная программа'!$H$20:$H$4288,'Адресная программа'!$I$20:$I$4288,БЦ_ALL!C72,'Адресная программа'!$C$20:$C$4288,БЦ_ALL!B72,'Адресная программа'!$N$20:$N$4288,1)*$K$7)</f>
        <v/>
      </c>
      <c r="N72" s="935">
        <f>IF(M72=0,0,J72/M72*1000)</f>
        <v/>
      </c>
    </row>
    <row r="73" ht="13.8" customHeight="1">
      <c r="B73" s="253" t="inlineStr">
        <is>
          <t>Москва</t>
        </is>
      </c>
      <c r="C73" s="264" t="inlineStr">
        <is>
          <t>Ферро Плаза</t>
        </is>
      </c>
      <c r="D73" s="303">
        <f>SUMIFS('Адресная программа'!$K$2975:$K$4468,'Адресная программа'!$I$2975:$I$4468,БЦ_ALL!C73,'Адресная программа'!$C$2975:$C$4468,БЦ_ALL!B73,'Адресная программа'!$N$2975:$N$4468,1)</f>
        <v/>
      </c>
      <c r="E73" s="994">
        <f>'Цены|Скидки'!$D$25</f>
        <v/>
      </c>
      <c r="F73" s="942">
        <f>SUM(E73*D73*$K$7/15*$K$9)</f>
        <v/>
      </c>
      <c r="G73" s="156">
        <f>IF(SUMIFS('Адресная программа'!$O$20:$O$4940,'Адресная программа'!$N$20:$N$4940,1,'Адресная программа'!$C$20:$C$4940,B73,'Адресная программа'!$G$20:$G$4940,"Бизнес центр")=SUMIFS('Адресная программа'!$K$20:$K$4940,'Адресная программа'!$L$20:$L$4940,1,'Адресная программа'!$C$20:$C$4940,B73,'Адресная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программа'!$C$20:$C$4940,B73,'Адресная программа'!$G$20:$G$4940,"Бизнес центр")&gt;(SUMIFS('Адресная программа'!$K$20:$K$4940,'Адресная программа'!$L$20:$L$4940,1,'Адресная программа'!$C$20:$C$4940,B73,'Адресная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программа'!$C$20:$C$4940,B73,'Адресная программа'!$G$20:$G$4940,"Бизнес центр")&gt;(SUMIFS('Адресная программа'!$K$20:$K$4940,'Адресная программа'!$L$20:$L$4940,1,'Адресная программа'!$C$20:$C$4940,B73,'Адресная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программа'!$C$20:$C$4940,B73,'Адресная программа'!$G$20:$G$4940,"Бизнес центр")&gt;(SUMIFS('Адресная программа'!$K$20:$K$4940,'Адресная программа'!$L$20:$L$4940,1,'Адресная программа'!$C$20:$C$4940,B73,'Адресная программа'!$G$20:$G$4940,"Бизнес центр")*'Цены|Скидки'!$B$55-1),'Цены|Скидки'!$C$55,0%))))</f>
        <v/>
      </c>
      <c r="H73" s="156">
        <f>D$12</f>
        <v/>
      </c>
      <c r="I73" s="190">
        <f>IF(D73=0,0,1-J73/F73)</f>
        <v/>
      </c>
      <c r="J73" s="934">
        <f>F73*(1-G73)*(1-H73)*(1-IF($AC$2="РА",$AD$2,0))*(1-IF(OR($AC$3="Доп скидка",$AC$3="Сезонная скидка",$AC$3="Welcome скидка")=TRUE,$AD$3,0))</f>
        <v/>
      </c>
      <c r="K73" s="934">
        <f>ROUND(J73+L73,2)</f>
        <v/>
      </c>
      <c r="L73" s="934">
        <f>J73*БЦ!$AD$4</f>
        <v/>
      </c>
      <c r="M73" s="159">
        <f>(SUMIFS('Адресная программа'!$H$20:$H$4288,'Адресная программа'!$I$20:$I$4288,БЦ_ALL!C73,'Адресная программа'!$C$20:$C$4288,БЦ_ALL!B73,'Адресная программа'!$N$20:$N$4288,1)*$K$7)</f>
        <v/>
      </c>
      <c r="N73" s="935">
        <f>IF(M73=0,0,J73/M73*1000)</f>
        <v/>
      </c>
    </row>
    <row r="74" ht="13.8" customHeight="1">
      <c r="B74" s="253" t="inlineStr">
        <is>
          <t>Москва</t>
        </is>
      </c>
      <c r="C74" s="264" t="inlineStr">
        <is>
          <t>Gas Field</t>
        </is>
      </c>
      <c r="D74" s="303">
        <f>SUMIFS('Адресная программа'!$K$2975:$K$4468,'Адресная программа'!$I$2975:$I$4468,БЦ_ALL!C74,'Адресная программа'!$C$2975:$C$4468,БЦ_ALL!B74,'Адресная программа'!$N$2975:$N$4468,1)</f>
        <v/>
      </c>
      <c r="E74" s="994">
        <f>'Цены|Скидки'!$D$25</f>
        <v/>
      </c>
      <c r="F74" s="942">
        <f>SUM(E74*D74*$K$7/15*$K$9)</f>
        <v/>
      </c>
      <c r="G74" s="156">
        <f>IF(SUMIFS('Адресная программа'!$O$20:$O$4940,'Адресная программа'!$N$20:$N$4940,1,'Адресная программа'!$C$20:$C$4940,B74,'Адресная программа'!$G$20:$G$4940,"Бизнес центр")=SUMIFS('Адресная программа'!$K$20:$K$4940,'Адресная программа'!$L$20:$L$4940,1,'Адресная программа'!$C$20:$C$4940,B74,'Адресная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программа'!$C$20:$C$4940,B74,'Адресная программа'!$G$20:$G$4940,"Бизнес центр")&gt;(SUMIFS('Адресная программа'!$K$20:$K$4940,'Адресная программа'!$L$20:$L$4940,1,'Адресная программа'!$C$20:$C$4940,B74,'Адресная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программа'!$C$20:$C$4940,B74,'Адресная программа'!$G$20:$G$4940,"Бизнес центр")&gt;(SUMIFS('Адресная программа'!$K$20:$K$4940,'Адресная программа'!$L$20:$L$4940,1,'Адресная программа'!$C$20:$C$4940,B74,'Адресная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программа'!$C$20:$C$4940,B74,'Адресная программа'!$G$20:$G$4940,"Бизнес центр")&gt;(SUMIFS('Адресная программа'!$K$20:$K$4940,'Адресная программа'!$L$20:$L$4940,1,'Адресная программа'!$C$20:$C$4940,B74,'Адресная программа'!$G$20:$G$4940,"Бизнес центр")*'Цены|Скидки'!$B$55-1),'Цены|Скидки'!$C$55,0%))))</f>
        <v/>
      </c>
      <c r="H74" s="156">
        <f>D$12</f>
        <v/>
      </c>
      <c r="I74" s="190">
        <f>IF(D74=0,0,1-J74/F74)</f>
        <v/>
      </c>
      <c r="J74" s="934">
        <f>F74*(1-G74)*(1-H74)*(1-IF($AC$2="РА",$AD$2,0))*(1-IF(OR($AC$3="Доп скидка",$AC$3="Сезонная скидка",$AC$3="Welcome скидка")=TRUE,$AD$3,0))</f>
        <v/>
      </c>
      <c r="K74" s="934">
        <f>ROUND(J74+L74,2)</f>
        <v/>
      </c>
      <c r="L74" s="934">
        <f>J74*БЦ!$AD$4</f>
        <v/>
      </c>
      <c r="M74" s="159">
        <f>(SUMIFS('Адресная программа'!$H$20:$H$4288,'Адресная программа'!$I$20:$I$4288,БЦ_ALL!C74,'Адресная программа'!$C$20:$C$4288,БЦ_ALL!B74,'Адресная программа'!$N$20:$N$4288,1)*$K$7)</f>
        <v/>
      </c>
      <c r="N74" s="935">
        <f>IF(M74=0,0,J74/M74*1000)</f>
        <v/>
      </c>
    </row>
    <row r="75" ht="13.8" customHeight="1">
      <c r="B75" s="253" t="inlineStr">
        <is>
          <t>Москва</t>
        </is>
      </c>
      <c r="C75" s="264" t="inlineStr">
        <is>
          <t>А1</t>
        </is>
      </c>
      <c r="D75" s="303">
        <f>SUMIFS('Адресная программа'!$K$2975:$K$4468,'Адресная программа'!$I$2975:$I$4468,БЦ_ALL!C75,'Адресная программа'!$C$2975:$C$4468,БЦ_ALL!B75,'Адресная программа'!$N$2975:$N$4468,1)</f>
        <v/>
      </c>
      <c r="E75" s="994">
        <f>'Цены|Скидки'!$D$25</f>
        <v/>
      </c>
      <c r="F75" s="942">
        <f>SUM(E75*D75*$K$7/15*$K$9)</f>
        <v/>
      </c>
      <c r="G75" s="156">
        <f>IF(SUMIFS('Адресная программа'!$O$20:$O$4940,'Адресная программа'!$N$20:$N$4940,1,'Адресная программа'!$C$20:$C$4940,B75,'Адресная программа'!$G$20:$G$4940,"Бизнес центр")=SUMIFS('Адресная программа'!$K$20:$K$4940,'Адресная программа'!$L$20:$L$4940,1,'Адресная программа'!$C$20:$C$4940,B75,'Адресная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программа'!$C$20:$C$4940,B75,'Адресная программа'!$G$20:$G$4940,"Бизнес центр")&gt;(SUMIFS('Адресная программа'!$K$20:$K$4940,'Адресная программа'!$L$20:$L$4940,1,'Адресная программа'!$C$20:$C$4940,B75,'Адресная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программа'!$C$20:$C$4940,B75,'Адресная программа'!$G$20:$G$4940,"Бизнес центр")&gt;(SUMIFS('Адресная программа'!$K$20:$K$4940,'Адресная программа'!$L$20:$L$4940,1,'Адресная программа'!$C$20:$C$4940,B75,'Адресная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программа'!$C$20:$C$4940,B75,'Адресная программа'!$G$20:$G$4940,"Бизнес центр")&gt;(SUMIFS('Адресная программа'!$K$20:$K$4940,'Адресная программа'!$L$20:$L$4940,1,'Адресная программа'!$C$20:$C$4940,B75,'Адресная программа'!$G$20:$G$4940,"Бизнес центр")*'Цены|Скидки'!$B$55-1),'Цены|Скидки'!$C$55,0%))))</f>
        <v/>
      </c>
      <c r="H75" s="156">
        <f>D$12</f>
        <v/>
      </c>
      <c r="I75" s="190">
        <f>IF(D75=0,0,1-J75/F75)</f>
        <v/>
      </c>
      <c r="J75" s="934">
        <f>F75*(1-G75)*(1-H75)*(1-IF($AC$2="РА",$AD$2,0))*(1-IF(OR($AC$3="Доп скидка",$AC$3="Сезонная скидка",$AC$3="Welcome скидка")=TRUE,$AD$3,0))</f>
        <v/>
      </c>
      <c r="K75" s="934">
        <f>ROUND(J75+L75,2)</f>
        <v/>
      </c>
      <c r="L75" s="934">
        <f>J75*БЦ!$AD$4</f>
        <v/>
      </c>
      <c r="M75" s="159">
        <f>(SUMIFS('Адресная программа'!$H$20:$H$4288,'Адресная программа'!$I$20:$I$4288,БЦ_ALL!C75,'Адресная программа'!$C$20:$C$4288,БЦ_ALL!B75,'Адресная программа'!$N$20:$N$4288,1)*$K$7)</f>
        <v/>
      </c>
      <c r="N75" s="935">
        <f>IF(M75=0,0,J75/M75*1000)</f>
        <v/>
      </c>
    </row>
    <row r="76" ht="13.8" customHeight="1">
      <c r="B76" s="253" t="inlineStr">
        <is>
          <t>Москва</t>
        </is>
      </c>
      <c r="C76" s="264" t="inlineStr">
        <is>
          <t>Святогор 1</t>
        </is>
      </c>
      <c r="D76" s="303">
        <f>SUMIFS('Адресная программа'!$K$2975:$K$4468,'Адресная программа'!$I$2975:$I$4468,БЦ_ALL!C76,'Адресная программа'!$C$2975:$C$4468,БЦ_ALL!B76,'Адресная программа'!$N$2975:$N$4468,1)</f>
        <v/>
      </c>
      <c r="E76" s="994">
        <f>'Цены|Скидки'!$D$25</f>
        <v/>
      </c>
      <c r="F76" s="942">
        <f>SUM(E76*D76*$K$7/15*$K$9)</f>
        <v/>
      </c>
      <c r="G76" s="156">
        <f>IF(SUMIFS('Адресная программа'!$O$20:$O$4940,'Адресная программа'!$N$20:$N$4940,1,'Адресная программа'!$C$20:$C$4940,B76,'Адресная программа'!$G$20:$G$4940,"Бизнес центр")=SUMIFS('Адресная программа'!$K$20:$K$4940,'Адресная программа'!$L$20:$L$4940,1,'Адресная программа'!$C$20:$C$4940,B76,'Адресная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программа'!$C$20:$C$4940,B76,'Адресная программа'!$G$20:$G$4940,"Бизнес центр")&gt;(SUMIFS('Адресная программа'!$K$20:$K$4940,'Адресная программа'!$L$20:$L$4940,1,'Адресная программа'!$C$20:$C$4940,B76,'Адресная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программа'!$C$20:$C$4940,B76,'Адресная программа'!$G$20:$G$4940,"Бизнес центр")&gt;(SUMIFS('Адресная программа'!$K$20:$K$4940,'Адресная программа'!$L$20:$L$4940,1,'Адресная программа'!$C$20:$C$4940,B76,'Адресная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программа'!$C$20:$C$4940,B76,'Адресная программа'!$G$20:$G$4940,"Бизнес центр")&gt;(SUMIFS('Адресная программа'!$K$20:$K$4940,'Адресная программа'!$L$20:$L$4940,1,'Адресная программа'!$C$20:$C$4940,B76,'Адресная программа'!$G$20:$G$4940,"Бизнес центр")*'Цены|Скидки'!$B$55-1),'Цены|Скидки'!$C$55,0%))))</f>
        <v/>
      </c>
      <c r="H76" s="156">
        <f>D$12</f>
        <v/>
      </c>
      <c r="I76" s="190">
        <f>IF(D76=0,0,1-J76/F76)</f>
        <v/>
      </c>
      <c r="J76" s="934">
        <f>F76*(1-G76)*(1-H76)*(1-IF($AC$2="РА",$AD$2,0))*(1-IF(OR($AC$3="Доп скидка",$AC$3="Сезонная скидка",$AC$3="Welcome скидка")=TRUE,$AD$3,0))</f>
        <v/>
      </c>
      <c r="K76" s="934">
        <f>ROUND(J76+L76,2)</f>
        <v/>
      </c>
      <c r="L76" s="934">
        <f>J76*БЦ!$AD$4</f>
        <v/>
      </c>
      <c r="M76" s="159">
        <f>(SUMIFS('Адресная программа'!$H$20:$H$4288,'Адресная программа'!$I$20:$I$4288,БЦ_ALL!C76,'Адресная программа'!$C$20:$C$4288,БЦ_ALL!B76,'Адресная программа'!$N$20:$N$4288,1)*$K$7)</f>
        <v/>
      </c>
      <c r="N76" s="935">
        <f>IF(M76=0,0,J76/M76*1000)</f>
        <v/>
      </c>
    </row>
    <row r="77" ht="13.8" customHeight="1">
      <c r="B77" s="253" t="inlineStr">
        <is>
          <t>Москва</t>
        </is>
      </c>
      <c r="C77" s="264" t="inlineStr">
        <is>
          <t>Святогор 2</t>
        </is>
      </c>
      <c r="D77" s="303">
        <f>SUMIFS('Адресная программа'!$K$2975:$K$4468,'Адресная программа'!$I$2975:$I$4468,БЦ_ALL!C77,'Адресная программа'!$C$2975:$C$4468,БЦ_ALL!B77,'Адресная программа'!$N$2975:$N$4468,1)</f>
        <v/>
      </c>
      <c r="E77" s="994">
        <f>'Цены|Скидки'!$D$25</f>
        <v/>
      </c>
      <c r="F77" s="942">
        <f>SUM(E77*D77*$K$7/15*$K$9)</f>
        <v/>
      </c>
      <c r="G77" s="156">
        <f>IF(SUMIFS('Адресная программа'!$O$20:$O$4940,'Адресная программа'!$N$20:$N$4940,1,'Адресная программа'!$C$20:$C$4940,B77,'Адресная программа'!$G$20:$G$4940,"Бизнес центр")=SUMIFS('Адресная программа'!$K$20:$K$4940,'Адресная программа'!$L$20:$L$4940,1,'Адресная программа'!$C$20:$C$4940,B77,'Адресная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программа'!$C$20:$C$4940,B77,'Адресная программа'!$G$20:$G$4940,"Бизнес центр")&gt;(SUMIFS('Адресная программа'!$K$20:$K$4940,'Адресная программа'!$L$20:$L$4940,1,'Адресная программа'!$C$20:$C$4940,B77,'Адресная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программа'!$C$20:$C$4940,B77,'Адресная программа'!$G$20:$G$4940,"Бизнес центр")&gt;(SUMIFS('Адресная программа'!$K$20:$K$4940,'Адресная программа'!$L$20:$L$4940,1,'Адресная программа'!$C$20:$C$4940,B77,'Адресная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программа'!$C$20:$C$4940,B77,'Адресная программа'!$G$20:$G$4940,"Бизнес центр")&gt;(SUMIFS('Адресная программа'!$K$20:$K$4940,'Адресная программа'!$L$20:$L$4940,1,'Адресная программа'!$C$20:$C$4940,B77,'Адресная программа'!$G$20:$G$4940,"Бизнес центр")*'Цены|Скидки'!$B$55-1),'Цены|Скидки'!$C$55,0%))))</f>
        <v/>
      </c>
      <c r="H77" s="156">
        <f>D$12</f>
        <v/>
      </c>
      <c r="I77" s="190">
        <f>IF(D77=0,0,1-J77/F77)</f>
        <v/>
      </c>
      <c r="J77" s="934">
        <f>F77*(1-G77)*(1-H77)*(1-IF($AC$2="РА",$AD$2,0))*(1-IF(OR($AC$3="Доп скидка",$AC$3="Сезонная скидка",$AC$3="Welcome скидка")=TRUE,$AD$3,0))</f>
        <v/>
      </c>
      <c r="K77" s="934">
        <f>ROUND(J77+L77,2)</f>
        <v/>
      </c>
      <c r="L77" s="934">
        <f>J77*БЦ!$AD$4</f>
        <v/>
      </c>
      <c r="M77" s="159">
        <f>(SUMIFS('Адресная программа'!$H$20:$H$4288,'Адресная программа'!$I$20:$I$4288,БЦ_ALL!C77,'Адресная программа'!$C$20:$C$4288,БЦ_ALL!B77,'Адресная программа'!$N$20:$N$4288,1)*$K$7)</f>
        <v/>
      </c>
      <c r="N77" s="935">
        <f>IF(M77=0,0,J77/M77*1000)</f>
        <v/>
      </c>
    </row>
    <row r="78" ht="13.8" customHeight="1">
      <c r="B78" s="253" t="inlineStr">
        <is>
          <t>Москва</t>
        </is>
      </c>
      <c r="C78" s="264" t="inlineStr">
        <is>
          <t>Каскад- Мебель</t>
        </is>
      </c>
      <c r="D78" s="303">
        <f>SUMIFS('Адресная программа'!$K$2975:$K$4468,'Адресная программа'!$I$2975:$I$4468,БЦ_ALL!C78,'Адресная программа'!$C$2975:$C$4468,БЦ_ALL!B78,'Адресная программа'!$N$2975:$N$4468,1)</f>
        <v/>
      </c>
      <c r="E78" s="994">
        <f>'Цены|Скидки'!$D$25</f>
        <v/>
      </c>
      <c r="F78" s="942">
        <f>SUM(E78*D78*$K$7/15*$K$9)</f>
        <v/>
      </c>
      <c r="G78" s="156">
        <f>IF(SUMIFS('Адресная программа'!$O$20:$O$4940,'Адресная программа'!$N$20:$N$4940,1,'Адресная программа'!$C$20:$C$4940,B78,'Адресная программа'!$G$20:$G$4940,"Бизнес центр")=SUMIFS('Адресная программа'!$K$20:$K$4940,'Адресная программа'!$L$20:$L$4940,1,'Адресная программа'!$C$20:$C$4940,B78,'Адресная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программа'!$C$20:$C$4940,B78,'Адресная программа'!$G$20:$G$4940,"Бизнес центр")&gt;(SUMIFS('Адресная программа'!$K$20:$K$4940,'Адресная программа'!$L$20:$L$4940,1,'Адресная программа'!$C$20:$C$4940,B78,'Адресная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программа'!$C$20:$C$4940,B78,'Адресная программа'!$G$20:$G$4940,"Бизнес центр")&gt;(SUMIFS('Адресная программа'!$K$20:$K$4940,'Адресная программа'!$L$20:$L$4940,1,'Адресная программа'!$C$20:$C$4940,B78,'Адресная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программа'!$C$20:$C$4940,B78,'Адресная программа'!$G$20:$G$4940,"Бизнес центр")&gt;(SUMIFS('Адресная программа'!$K$20:$K$4940,'Адресная программа'!$L$20:$L$4940,1,'Адресная программа'!$C$20:$C$4940,B78,'Адресная программа'!$G$20:$G$4940,"Бизнес центр")*'Цены|Скидки'!$B$55-1),'Цены|Скидки'!$C$55,0%))))</f>
        <v/>
      </c>
      <c r="H78" s="156">
        <f>D$12</f>
        <v/>
      </c>
      <c r="I78" s="190">
        <f>IF(D78=0,0,1-J78/F78)</f>
        <v/>
      </c>
      <c r="J78" s="934">
        <f>F78*(1-G78)*(1-H78)*(1-IF($AC$2="РА",$AD$2,0))*(1-IF(OR($AC$3="Доп скидка",$AC$3="Сезонная скидка",$AC$3="Welcome скидка")=TRUE,$AD$3,0))</f>
        <v/>
      </c>
      <c r="K78" s="934">
        <f>ROUND(J78+L78,2)</f>
        <v/>
      </c>
      <c r="L78" s="934">
        <f>J78*БЦ!$AD$4</f>
        <v/>
      </c>
      <c r="M78" s="159">
        <f>(SUMIFS('Адресная программа'!$H$20:$H$4288,'Адресная программа'!$I$20:$I$4288,БЦ_ALL!C78,'Адресная программа'!$C$20:$C$4288,БЦ_ALL!B78,'Адресная программа'!$N$20:$N$4288,1)*$K$7)</f>
        <v/>
      </c>
      <c r="N78" s="935">
        <f>IF(M78=0,0,J78/M78*1000)</f>
        <v/>
      </c>
    </row>
    <row r="79" ht="13.8" customHeight="1">
      <c r="B79" s="253" t="inlineStr">
        <is>
          <t>Москва</t>
        </is>
      </c>
      <c r="C79" s="264" t="inlineStr">
        <is>
          <t>Полларс</t>
        </is>
      </c>
      <c r="D79" s="303">
        <f>SUMIFS('Адресная программа'!$K$2975:$K$4468,'Адресная программа'!$I$2975:$I$4468,БЦ_ALL!C79,'Адресная программа'!$C$2975:$C$4468,БЦ_ALL!B79,'Адресная программа'!$N$2975:$N$4468,1)</f>
        <v/>
      </c>
      <c r="E79" s="994">
        <f>'Цены|Скидки'!$D$25</f>
        <v/>
      </c>
      <c r="F79" s="942">
        <f>SUM(E79*D79*$K$7/15*$K$9)</f>
        <v/>
      </c>
      <c r="G79" s="156">
        <f>IF(SUMIFS('Адресная программа'!$O$20:$O$4940,'Адресная программа'!$N$20:$N$4940,1,'Адресная программа'!$C$20:$C$4940,B79,'Адресная программа'!$G$20:$G$4940,"Бизнес центр")=SUMIFS('Адресная программа'!$K$20:$K$4940,'Адресная программа'!$L$20:$L$4940,1,'Адресная программа'!$C$20:$C$4940,B79,'Адресная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программа'!$C$20:$C$4940,B79,'Адресная программа'!$G$20:$G$4940,"Бизнес центр")&gt;(SUMIFS('Адресная программа'!$K$20:$K$4940,'Адресная программа'!$L$20:$L$4940,1,'Адресная программа'!$C$20:$C$4940,B79,'Адресная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программа'!$C$20:$C$4940,B79,'Адресная программа'!$G$20:$G$4940,"Бизнес центр")&gt;(SUMIFS('Адресная программа'!$K$20:$K$4940,'Адресная программа'!$L$20:$L$4940,1,'Адресная программа'!$C$20:$C$4940,B79,'Адресная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программа'!$C$20:$C$4940,B79,'Адресная программа'!$G$20:$G$4940,"Бизнес центр")&gt;(SUMIFS('Адресная программа'!$K$20:$K$4940,'Адресная программа'!$L$20:$L$4940,1,'Адресная программа'!$C$20:$C$4940,B79,'Адресная программа'!$G$20:$G$4940,"Бизнес центр")*'Цены|Скидки'!$B$55-1),'Цены|Скидки'!$C$55,0%))))</f>
        <v/>
      </c>
      <c r="H79" s="156">
        <f>D$12</f>
        <v/>
      </c>
      <c r="I79" s="190">
        <f>IF(D79=0,0,1-J79/F79)</f>
        <v/>
      </c>
      <c r="J79" s="934">
        <f>F79*(1-G79)*(1-H79)*(1-IF($AC$2="РА",$AD$2,0))*(1-IF(OR($AC$3="Доп скидка",$AC$3="Сезонная скидка",$AC$3="Welcome скидка")=TRUE,$AD$3,0))</f>
        <v/>
      </c>
      <c r="K79" s="934">
        <f>ROUND(J79+L79,2)</f>
        <v/>
      </c>
      <c r="L79" s="934">
        <f>J79*БЦ!$AD$4</f>
        <v/>
      </c>
      <c r="M79" s="159">
        <f>(SUMIFS('Адресная программа'!$H$20:$H$4288,'Адресная программа'!$I$20:$I$4288,БЦ_ALL!C79,'Адресная программа'!$C$20:$C$4288,БЦ_ALL!B79,'Адресная программа'!$N$20:$N$4288,1)*$K$7)</f>
        <v/>
      </c>
      <c r="N79" s="935">
        <f>IF(M79=0,0,J79/M79*1000)</f>
        <v/>
      </c>
    </row>
    <row r="80" ht="13.8" customHeight="1">
      <c r="B80" s="253" t="inlineStr">
        <is>
          <t>Москва</t>
        </is>
      </c>
      <c r="C80" s="264" t="inlineStr">
        <is>
          <t>Норд Плаза</t>
        </is>
      </c>
      <c r="D80" s="303">
        <f>SUMIFS('Адресная программа'!$K$2975:$K$4468,'Адресная программа'!$I$2975:$I$4468,БЦ_ALL!C80,'Адресная программа'!$C$2975:$C$4468,БЦ_ALL!B80,'Адресная программа'!$N$2975:$N$4468,1)</f>
        <v/>
      </c>
      <c r="E80" s="994">
        <f>'Цены|Скидки'!$D$25</f>
        <v/>
      </c>
      <c r="F80" s="942">
        <f>SUM(E80*D80*$K$7/15*$K$9)</f>
        <v/>
      </c>
      <c r="G80" s="156">
        <f>IF(SUMIFS('Адресная программа'!$O$20:$O$4940,'Адресная программа'!$N$20:$N$4940,1,'Адресная программа'!$C$20:$C$4940,B80,'Адресная программа'!$G$20:$G$4940,"Бизнес центр")=SUMIFS('Адресная программа'!$K$20:$K$4940,'Адресная программа'!$L$20:$L$4940,1,'Адресная программа'!$C$20:$C$4940,B80,'Адресная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программа'!$C$20:$C$4940,B80,'Адресная программа'!$G$20:$G$4940,"Бизнес центр")&gt;(SUMIFS('Адресная программа'!$K$20:$K$4940,'Адресная программа'!$L$20:$L$4940,1,'Адресная программа'!$C$20:$C$4940,B80,'Адресная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программа'!$C$20:$C$4940,B80,'Адресная программа'!$G$20:$G$4940,"Бизнес центр")&gt;(SUMIFS('Адресная программа'!$K$20:$K$4940,'Адресная программа'!$L$20:$L$4940,1,'Адресная программа'!$C$20:$C$4940,B80,'Адресная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программа'!$C$20:$C$4940,B80,'Адресная программа'!$G$20:$G$4940,"Бизнес центр")&gt;(SUMIFS('Адресная программа'!$K$20:$K$4940,'Адресная программа'!$L$20:$L$4940,1,'Адресная программа'!$C$20:$C$4940,B80,'Адресная программа'!$G$20:$G$4940,"Бизнес центр")*'Цены|Скидки'!$B$55-1),'Цены|Скидки'!$C$55,0%))))</f>
        <v/>
      </c>
      <c r="H80" s="156">
        <f>D$12</f>
        <v/>
      </c>
      <c r="I80" s="190">
        <f>IF(D80=0,0,1-J80/F80)</f>
        <v/>
      </c>
      <c r="J80" s="934">
        <f>F80*(1-G80)*(1-H80)*(1-IF($AC$2="РА",$AD$2,0))*(1-IF(OR($AC$3="Доп скидка",$AC$3="Сезонная скидка",$AC$3="Welcome скидка")=TRUE,$AD$3,0))</f>
        <v/>
      </c>
      <c r="K80" s="934">
        <f>ROUND(J80+L80,2)</f>
        <v/>
      </c>
      <c r="L80" s="934">
        <f>J80*БЦ!$AD$4</f>
        <v/>
      </c>
      <c r="M80" s="159">
        <f>(SUMIFS('Адресная программа'!$H$20:$H$4288,'Адресная программа'!$I$20:$I$4288,БЦ_ALL!C80,'Адресная программа'!$C$20:$C$4288,БЦ_ALL!B80,'Адресная программа'!$N$20:$N$4288,1)*$K$7)</f>
        <v/>
      </c>
      <c r="N80" s="935">
        <f>IF(M80=0,0,J80/M80*1000)</f>
        <v/>
      </c>
    </row>
    <row r="81" ht="13.8" customHeight="1">
      <c r="B81" s="253" t="inlineStr">
        <is>
          <t>Москва</t>
        </is>
      </c>
      <c r="C81" s="264" t="inlineStr">
        <is>
          <t>Паллау-НК</t>
        </is>
      </c>
      <c r="D81" s="303">
        <f>SUMIFS('Адресная программа'!$K$2975:$K$4468,'Адресная программа'!$I$2975:$I$4468,БЦ_ALL!C81,'Адресная программа'!$C$2975:$C$4468,БЦ_ALL!B81,'Адресная программа'!$N$2975:$N$4468,1)</f>
        <v/>
      </c>
      <c r="E81" s="994">
        <f>'Цены|Скидки'!$D$25</f>
        <v/>
      </c>
      <c r="F81" s="942">
        <f>SUM(E81*D81*$K$7/15*$K$9)</f>
        <v/>
      </c>
      <c r="G81" s="156">
        <f>IF(SUMIFS('Адресная программа'!$O$20:$O$4940,'Адресная программа'!$N$20:$N$4940,1,'Адресная программа'!$C$20:$C$4940,B81,'Адресная программа'!$G$20:$G$4940,"Бизнес центр")=SUMIFS('Адресная программа'!$K$20:$K$4940,'Адресная программа'!$L$20:$L$4940,1,'Адресная программа'!$C$20:$C$4940,B81,'Адресная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программа'!$C$20:$C$4940,B81,'Адресная программа'!$G$20:$G$4940,"Бизнес центр")&gt;(SUMIFS('Адресная программа'!$K$20:$K$4940,'Адресная программа'!$L$20:$L$4940,1,'Адресная программа'!$C$20:$C$4940,B81,'Адресная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программа'!$C$20:$C$4940,B81,'Адресная программа'!$G$20:$G$4940,"Бизнес центр")&gt;(SUMIFS('Адресная программа'!$K$20:$K$4940,'Адресная программа'!$L$20:$L$4940,1,'Адресная программа'!$C$20:$C$4940,B81,'Адресная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программа'!$C$20:$C$4940,B81,'Адресная программа'!$G$20:$G$4940,"Бизнес центр")&gt;(SUMIFS('Адресная программа'!$K$20:$K$4940,'Адресная программа'!$L$20:$L$4940,1,'Адресная программа'!$C$20:$C$4940,B81,'Адресная программа'!$G$20:$G$4940,"Бизнес центр")*'Цены|Скидки'!$B$55-1),'Цены|Скидки'!$C$55,0%))))</f>
        <v/>
      </c>
      <c r="H81" s="156">
        <f>D$12</f>
        <v/>
      </c>
      <c r="I81" s="190">
        <f>IF(D81=0,0,1-J81/F81)</f>
        <v/>
      </c>
      <c r="J81" s="934">
        <f>F81*(1-G81)*(1-H81)*(1-IF($AC$2="РА",$AD$2,0))*(1-IF(OR($AC$3="Доп скидка",$AC$3="Сезонная скидка",$AC$3="Welcome скидка")=TRUE,$AD$3,0))</f>
        <v/>
      </c>
      <c r="K81" s="934">
        <f>ROUND(J81+L81,2)</f>
        <v/>
      </c>
      <c r="L81" s="934">
        <f>J81*БЦ!$AD$4</f>
        <v/>
      </c>
      <c r="M81" s="159">
        <f>(SUMIFS('Адресная программа'!$H$20:$H$4288,'Адресная программа'!$I$20:$I$4288,БЦ_ALL!C81,'Адресная программа'!$C$20:$C$4288,БЦ_ALL!B81,'Адресная программа'!$N$20:$N$4288,1)*$K$7)</f>
        <v/>
      </c>
      <c r="N81" s="935">
        <f>IF(M81=0,0,J81/M81*1000)</f>
        <v/>
      </c>
    </row>
    <row r="82" ht="13.8" customHeight="1">
      <c r="B82" s="253" t="inlineStr">
        <is>
          <t>Москва</t>
        </is>
      </c>
      <c r="C82" s="264" t="inlineStr">
        <is>
          <t>Сибирский Альянс</t>
        </is>
      </c>
      <c r="D82" s="303">
        <f>SUMIFS('Адресная программа'!$K$2975:$K$4468,'Адресная программа'!$I$2975:$I$4468,БЦ_ALL!C82,'Адресная программа'!$C$2975:$C$4468,БЦ_ALL!B82,'Адресная программа'!$N$2975:$N$4468,1)</f>
        <v/>
      </c>
      <c r="E82" s="994">
        <f>'Цены|Скидки'!$D$25</f>
        <v/>
      </c>
      <c r="F82" s="942">
        <f>SUM(E82*D82*$K$7/15*$K$9)</f>
        <v/>
      </c>
      <c r="G82" s="156">
        <f>IF(SUMIFS('Адресная программа'!$O$20:$O$4940,'Адресная программа'!$N$20:$N$4940,1,'Адресная программа'!$C$20:$C$4940,B82,'Адресная программа'!$G$20:$G$4940,"Бизнес центр")=SUMIFS('Адресная программа'!$K$20:$K$4940,'Адресная программа'!$L$20:$L$4940,1,'Адресная программа'!$C$20:$C$4940,B82,'Адресная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программа'!$C$20:$C$4940,B82,'Адресная программа'!$G$20:$G$4940,"Бизнес центр")&gt;(SUMIFS('Адресная программа'!$K$20:$K$4940,'Адресная программа'!$L$20:$L$4940,1,'Адресная программа'!$C$20:$C$4940,B82,'Адресная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программа'!$C$20:$C$4940,B82,'Адресная программа'!$G$20:$G$4940,"Бизнес центр")&gt;(SUMIFS('Адресная программа'!$K$20:$K$4940,'Адресная программа'!$L$20:$L$4940,1,'Адресная программа'!$C$20:$C$4940,B82,'Адресная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программа'!$C$20:$C$4940,B82,'Адресная программа'!$G$20:$G$4940,"Бизнес центр")&gt;(SUMIFS('Адресная программа'!$K$20:$K$4940,'Адресная программа'!$L$20:$L$4940,1,'Адресная программа'!$C$20:$C$4940,B82,'Адресная программа'!$G$20:$G$4940,"Бизнес центр")*'Цены|Скидки'!$B$55-1),'Цены|Скидки'!$C$55,0%))))</f>
        <v/>
      </c>
      <c r="H82" s="156">
        <f>D$12</f>
        <v/>
      </c>
      <c r="I82" s="190">
        <f>IF(D82=0,0,1-J82/F82)</f>
        <v/>
      </c>
      <c r="J82" s="934">
        <f>F82*(1-G82)*(1-H82)*(1-IF($AC$2="РА",$AD$2,0))*(1-IF(OR($AC$3="Доп скидка",$AC$3="Сезонная скидка",$AC$3="Welcome скидка")=TRUE,$AD$3,0))</f>
        <v/>
      </c>
      <c r="K82" s="934">
        <f>ROUND(J82+L82,2)</f>
        <v/>
      </c>
      <c r="L82" s="934">
        <f>J82*БЦ!$AD$4</f>
        <v/>
      </c>
      <c r="M82" s="159">
        <f>(SUMIFS('Адресная программа'!$H$20:$H$4288,'Адресная программа'!$I$20:$I$4288,БЦ_ALL!C82,'Адресная программа'!$C$20:$C$4288,БЦ_ALL!B82,'Адресная программа'!$N$20:$N$4288,1)*$K$7)</f>
        <v/>
      </c>
      <c r="N82" s="935">
        <f>IF(M82=0,0,J82/M82*1000)</f>
        <v/>
      </c>
    </row>
    <row r="83" ht="13.8" customHeight="1">
      <c r="B83" s="253" t="inlineStr">
        <is>
          <t>Москва</t>
        </is>
      </c>
      <c r="C83" s="264" t="inlineStr">
        <is>
          <t>Дербеневская Плаза</t>
        </is>
      </c>
      <c r="D83" s="303">
        <f>SUMIFS('Адресная программа'!$K$2975:$K$4468,'Адресная программа'!$I$2975:$I$4468,БЦ_ALL!C83,'Адресная программа'!$C$2975:$C$4468,БЦ_ALL!B83,'Адресная программа'!$N$2975:$N$4468,1)</f>
        <v/>
      </c>
      <c r="E83" s="994">
        <f>'Цены|Скидки'!$D$25</f>
        <v/>
      </c>
      <c r="F83" s="942">
        <f>SUM(E83*D83*$K$7/15*$K$9)</f>
        <v/>
      </c>
      <c r="G83" s="156">
        <f>IF(SUMIFS('Адресная программа'!$O$20:$O$4940,'Адресная программа'!$N$20:$N$4940,1,'Адресная программа'!$C$20:$C$4940,B83,'Адресная программа'!$G$20:$G$4940,"Бизнес центр")=SUMIFS('Адресная программа'!$K$20:$K$4940,'Адресная программа'!$L$20:$L$4940,1,'Адресная программа'!$C$20:$C$4940,B83,'Адресная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программа'!$C$20:$C$4940,B83,'Адресная программа'!$G$20:$G$4940,"Бизнес центр")&gt;(SUMIFS('Адресная программа'!$K$20:$K$4940,'Адресная программа'!$L$20:$L$4940,1,'Адресная программа'!$C$20:$C$4940,B83,'Адресная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программа'!$C$20:$C$4940,B83,'Адресная программа'!$G$20:$G$4940,"Бизнес центр")&gt;(SUMIFS('Адресная программа'!$K$20:$K$4940,'Адресная программа'!$L$20:$L$4940,1,'Адресная программа'!$C$20:$C$4940,B83,'Адресная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программа'!$C$20:$C$4940,B83,'Адресная программа'!$G$20:$G$4940,"Бизнес центр")&gt;(SUMIFS('Адресная программа'!$K$20:$K$4940,'Адресная программа'!$L$20:$L$4940,1,'Адресная программа'!$C$20:$C$4940,B83,'Адресная программа'!$G$20:$G$4940,"Бизнес центр")*'Цены|Скидки'!$B$55-1),'Цены|Скидки'!$C$55,0%))))</f>
        <v/>
      </c>
      <c r="H83" s="156">
        <f>D$12</f>
        <v/>
      </c>
      <c r="I83" s="190">
        <f>IF(D83=0,0,1-J83/F83)</f>
        <v/>
      </c>
      <c r="J83" s="934">
        <f>F83*(1-G83)*(1-H83)*(1-IF($AC$2="РА",$AD$2,0))*(1-IF(OR($AC$3="Доп скидка",$AC$3="Сезонная скидка",$AC$3="Welcome скидка")=TRUE,$AD$3,0))</f>
        <v/>
      </c>
      <c r="K83" s="934">
        <f>ROUND(J83+L83,2)</f>
        <v/>
      </c>
      <c r="L83" s="934">
        <f>J83*БЦ!$AD$4</f>
        <v/>
      </c>
      <c r="M83" s="159">
        <f>(SUMIFS('Адресная программа'!$H$20:$H$4288,'Адресная программа'!$I$20:$I$4288,БЦ_ALL!C83,'Адресная программа'!$C$20:$C$4288,БЦ_ALL!B83,'Адресная программа'!$N$20:$N$4288,1)*$K$7)</f>
        <v/>
      </c>
      <c r="N83" s="935">
        <f>IF(M83=0,0,J83/M83*1000)</f>
        <v/>
      </c>
    </row>
    <row r="84" ht="13.8" customHeight="1">
      <c r="B84" s="253" t="inlineStr">
        <is>
          <t>Москва</t>
        </is>
      </c>
      <c r="C84" s="264" t="inlineStr">
        <is>
          <t>На Бакунинской</t>
        </is>
      </c>
      <c r="D84" s="303">
        <f>SUMIFS('Адресная программа'!$K$2975:$K$4468,'Адресная программа'!$I$2975:$I$4468,БЦ_ALL!C84,'Адресная программа'!$C$2975:$C$4468,БЦ_ALL!B84,'Адресная программа'!$N$2975:$N$4468,1)</f>
        <v/>
      </c>
      <c r="E84" s="994">
        <f>'Цены|Скидки'!$D$25</f>
        <v/>
      </c>
      <c r="F84" s="942">
        <f>SUM(E84*D84*$K$7/15*$K$9)</f>
        <v/>
      </c>
      <c r="G84" s="156">
        <f>IF(SUMIFS('Адресная программа'!$O$20:$O$4940,'Адресная программа'!$N$20:$N$4940,1,'Адресная программа'!$C$20:$C$4940,B84,'Адресная программа'!$G$20:$G$4940,"Бизнес центр")=SUMIFS('Адресная программа'!$K$20:$K$4940,'Адресная программа'!$L$20:$L$4940,1,'Адресная программа'!$C$20:$C$4940,B84,'Адресная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программа'!$C$20:$C$4940,B84,'Адресная программа'!$G$20:$G$4940,"Бизнес центр")&gt;(SUMIFS('Адресная программа'!$K$20:$K$4940,'Адресная программа'!$L$20:$L$4940,1,'Адресная программа'!$C$20:$C$4940,B84,'Адресная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программа'!$C$20:$C$4940,B84,'Адресная программа'!$G$20:$G$4940,"Бизнес центр")&gt;(SUMIFS('Адресная программа'!$K$20:$K$4940,'Адресная программа'!$L$20:$L$4940,1,'Адресная программа'!$C$20:$C$4940,B84,'Адресная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программа'!$C$20:$C$4940,B84,'Адресная программа'!$G$20:$G$4940,"Бизнес центр")&gt;(SUMIFS('Адресная программа'!$K$20:$K$4940,'Адресная программа'!$L$20:$L$4940,1,'Адресная программа'!$C$20:$C$4940,B84,'Адресная программа'!$G$20:$G$4940,"Бизнес центр")*'Цены|Скидки'!$B$55-1),'Цены|Скидки'!$C$55,0%))))</f>
        <v/>
      </c>
      <c r="H84" s="156">
        <f>D$12</f>
        <v/>
      </c>
      <c r="I84" s="190">
        <f>IF(D84=0,0,1-J84/F84)</f>
        <v/>
      </c>
      <c r="J84" s="934">
        <f>F84*(1-G84)*(1-H84)*(1-IF($AC$2="РА",$AD$2,0))*(1-IF(OR($AC$3="Доп скидка",$AC$3="Сезонная скидка",$AC$3="Welcome скидка")=TRUE,$AD$3,0))</f>
        <v/>
      </c>
      <c r="K84" s="934">
        <f>ROUND(J84+L84,2)</f>
        <v/>
      </c>
      <c r="L84" s="934">
        <f>J84*БЦ!$AD$4</f>
        <v/>
      </c>
      <c r="M84" s="159">
        <f>(SUMIFS('Адресная программа'!$H$20:$H$4288,'Адресная программа'!$I$20:$I$4288,БЦ_ALL!C84,'Адресная программа'!$C$20:$C$4288,БЦ_ALL!B84,'Адресная программа'!$N$20:$N$4288,1)*$K$7)</f>
        <v/>
      </c>
      <c r="N84" s="935">
        <f>IF(M84=0,0,J84/M84*1000)</f>
        <v/>
      </c>
    </row>
    <row r="85" ht="13.8" customHeight="1">
      <c r="B85" s="253" t="inlineStr">
        <is>
          <t>Москва</t>
        </is>
      </c>
      <c r="C85" s="264" t="inlineStr">
        <is>
          <t>На Кожевнической</t>
        </is>
      </c>
      <c r="D85" s="303">
        <f>SUMIFS('Адресная программа'!$K$2975:$K$4468,'Адресная программа'!$I$2975:$I$4468,БЦ_ALL!C85,'Адресная программа'!$C$2975:$C$4468,БЦ_ALL!B85,'Адресная программа'!$N$2975:$N$4468,1)</f>
        <v/>
      </c>
      <c r="E85" s="994">
        <f>'Цены|Скидки'!$D$25</f>
        <v/>
      </c>
      <c r="F85" s="942">
        <f>SUM(E85*D85*$K$7/15*$K$9)</f>
        <v/>
      </c>
      <c r="G85" s="156">
        <f>IF(SUMIFS('Адресная программа'!$O$20:$O$4940,'Адресная программа'!$N$20:$N$4940,1,'Адресная программа'!$C$20:$C$4940,B85,'Адресная программа'!$G$20:$G$4940,"Бизнес центр")=SUMIFS('Адресная программа'!$K$20:$K$4940,'Адресная программа'!$L$20:$L$4940,1,'Адресная программа'!$C$20:$C$4940,B85,'Адресная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программа'!$C$20:$C$4940,B85,'Адресная программа'!$G$20:$G$4940,"Бизнес центр")&gt;(SUMIFS('Адресная программа'!$K$20:$K$4940,'Адресная программа'!$L$20:$L$4940,1,'Адресная программа'!$C$20:$C$4940,B85,'Адресная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программа'!$C$20:$C$4940,B85,'Адресная программа'!$G$20:$G$4940,"Бизнес центр")&gt;(SUMIFS('Адресная программа'!$K$20:$K$4940,'Адресная программа'!$L$20:$L$4940,1,'Адресная программа'!$C$20:$C$4940,B85,'Адресная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программа'!$C$20:$C$4940,B85,'Адресная программа'!$G$20:$G$4940,"Бизнес центр")&gt;(SUMIFS('Адресная программа'!$K$20:$K$4940,'Адресная программа'!$L$20:$L$4940,1,'Адресная программа'!$C$20:$C$4940,B85,'Адресная программа'!$G$20:$G$4940,"Бизнес центр")*'Цены|Скидки'!$B$55-1),'Цены|Скидки'!$C$55,0%))))</f>
        <v/>
      </c>
      <c r="H85" s="156">
        <f>D$12</f>
        <v/>
      </c>
      <c r="I85" s="190">
        <f>IF(D85=0,0,1-J85/F85)</f>
        <v/>
      </c>
      <c r="J85" s="934">
        <f>F85*(1-G85)*(1-H85)*(1-IF($AC$2="РА",$AD$2,0))*(1-IF(OR($AC$3="Доп скидка",$AC$3="Сезонная скидка",$AC$3="Welcome скидка")=TRUE,$AD$3,0))</f>
        <v/>
      </c>
      <c r="K85" s="934">
        <f>ROUND(J85+L85,2)</f>
        <v/>
      </c>
      <c r="L85" s="934">
        <f>J85*БЦ!$AD$4</f>
        <v/>
      </c>
      <c r="M85" s="159">
        <f>(SUMIFS('Адресная программа'!$H$20:$H$4288,'Адресная программа'!$I$20:$I$4288,БЦ_ALL!C85,'Адресная программа'!$C$20:$C$4288,БЦ_ALL!B85,'Адресная программа'!$N$20:$N$4288,1)*$K$7)</f>
        <v/>
      </c>
      <c r="N85" s="935">
        <f>IF(M85=0,0,J85/M85*1000)</f>
        <v/>
      </c>
    </row>
    <row r="86" ht="13.8" customHeight="1">
      <c r="B86" s="253" t="inlineStr">
        <is>
          <t>Москва</t>
        </is>
      </c>
      <c r="C86" s="264" t="inlineStr">
        <is>
          <t>ВЭРОНД</t>
        </is>
      </c>
      <c r="D86" s="303">
        <f>SUMIFS('Адресная программа'!$K$2975:$K$4468,'Адресная программа'!$I$2975:$I$4468,БЦ_ALL!C86,'Адресная программа'!$C$2975:$C$4468,БЦ_ALL!B86,'Адресная программа'!$N$2975:$N$4468,1)</f>
        <v/>
      </c>
      <c r="E86" s="994">
        <f>'Цены|Скидки'!$D$25</f>
        <v/>
      </c>
      <c r="F86" s="942">
        <f>SUM(E86*D86*$K$7/15*$K$9)</f>
        <v/>
      </c>
      <c r="G86" s="156">
        <f>IF(COUNTIFS('Адресная программа'!$N$20:$N$4940,1,'Адресная программа'!$C$20:$C$4940,B86,'Адресная программа'!$G$20:$G$4940,"Бизнес центр")=COUNTIFS('Адресная программа'!$L$20:$L$4940,1,'Адресная программа'!$C$20:$C$4940,B86,'Адресная программа'!$G$20:$G$4940,"Бизнес центр"),'Цены|Скидки'!$C$52,IF(COUNTIFS('Адресная программа'!$N$20:$N$4940,1,'Адресная программа'!$C$20:$C$4940,B86,'Адресная программа'!$G$20:$G$4940,"Бизнес центр")&gt;(COUNTIFS('Адресная программа'!$L$20:$L$4940,1,'Адресная программа'!$C$20:$C$4940,B86,'Адресная программа'!$G$20:$G$4940,"Бизнес центр")*'Цены|Скидки'!$B$53-1),'Цены|Скидки'!$C$53,IF(COUNTIFS('Адресная программа'!$N$20:$N$4940,1,'Адресная программа'!$C$20:$C$4940,B86,'Адресная программа'!$G$20:$G$4940,"Бизнес центр")&gt;(COUNTIFS('Адресная программа'!$L$20:$L$4940,1,'Адресная программа'!$C$20:$C$4940,B86,'Адресная программа'!$G$20:$G$4940,"Бизнес центр")*'Цены|Скидки'!$B$54-1),'Цены|Скидки'!$C$54,IF(COUNTIFS('Адресная программа'!$N$20:$N$4940,1,'Адресная программа'!$C$20:$C$4940,B86,'Адресная программа'!$G$20:$G$4940,"Бизнес центр")&gt;(COUNTIFS('Адресная программа'!$L$20:$L$4940,1,'Адресная программа'!$C$20:$C$4940,B86,'Адресная программа'!$G$20:$G$4940,"Бизнес центр")*'Цены|Скидки'!$B$55-1),'Цены|Скидки'!$C$55,0%))))</f>
        <v/>
      </c>
      <c r="H86" s="156">
        <f>D$12</f>
        <v/>
      </c>
      <c r="I86" s="190">
        <f>IF(D86=0,0,1-J86/F86)</f>
        <v/>
      </c>
      <c r="J86" s="934">
        <f>F86*(1-G86)*(1-H86)*(1-IF($AC$2="РА",$AD$2,0))*(1-IF(OR($AC$3="Доп скидка",$AC$3="Сезонная скидка",$AC$3="Welcome скидка")=TRUE,$AD$3,0))</f>
        <v/>
      </c>
      <c r="K86" s="934">
        <f>ROUND(J86+L86,2)</f>
        <v/>
      </c>
      <c r="L86" s="934">
        <f>J86*0.2</f>
        <v/>
      </c>
      <c r="M86" s="159">
        <f>(SUMIFS('Адресная программа'!$H$3031:$H$4288,'Адресная программа'!$I$3031:$I$4288,БЦ_ALL!C86,'Адресная программа'!$C$3031:$C$4288,БЦ_ALL!B86,'Адресная программа'!$N$3031:$N$4288,1)*$K$7)</f>
        <v/>
      </c>
      <c r="N86" s="935">
        <f>IF(M86=0,0,J86/M86*1000)</f>
        <v/>
      </c>
    </row>
    <row r="87" ht="13.8" customHeight="1">
      <c r="B87" s="253" t="inlineStr">
        <is>
          <t>Москва</t>
        </is>
      </c>
      <c r="C87" s="264" t="inlineStr">
        <is>
          <t>Сити Ресурс</t>
        </is>
      </c>
      <c r="D87" s="303">
        <f>SUMIFS('Адресная программа'!$K$2975:$K$4468,'Адресная программа'!$I$2975:$I$4468,БЦ_ALL!C87,'Адресная программа'!$C$2975:$C$4468,БЦ_ALL!B87,'Адресная программа'!$N$2975:$N$4468,1)</f>
        <v/>
      </c>
      <c r="E87" s="994">
        <f>'Цены|Скидки'!$D$25</f>
        <v/>
      </c>
      <c r="F87" s="942">
        <f>SUM(E87*D87*$K$7/15*$K$9)</f>
        <v/>
      </c>
      <c r="G87" s="156">
        <f>IF(COUNTIFS('Адресная программа'!$N$20:$N$4940,1,'Адресная программа'!$C$20:$C$4940,B87,'Адресная программа'!$G$20:$G$4940,"Бизнес центр")=COUNTIFS('Адресная программа'!$L$20:$L$4940,1,'Адресная программа'!$C$20:$C$4940,B87,'Адресная программа'!$G$20:$G$4940,"Бизнес центр"),'Цены|Скидки'!$C$52,IF(COUNTIFS('Адресная программа'!$N$20:$N$4940,1,'Адресная программа'!$C$20:$C$4940,B87,'Адресная программа'!$G$20:$G$4940,"Бизнес центр")&gt;(COUNTIFS('Адресная программа'!$L$20:$L$4940,1,'Адресная программа'!$C$20:$C$4940,B87,'Адресная программа'!$G$20:$G$4940,"Бизнес центр")*'Цены|Скидки'!$B$53-1),'Цены|Скидки'!$C$53,IF(COUNTIFS('Адресная программа'!$N$20:$N$4940,1,'Адресная программа'!$C$20:$C$4940,B87,'Адресная программа'!$G$20:$G$4940,"Бизнес центр")&gt;(COUNTIFS('Адресная программа'!$L$20:$L$4940,1,'Адресная программа'!$C$20:$C$4940,B87,'Адресная программа'!$G$20:$G$4940,"Бизнес центр")*'Цены|Скидки'!$B$54-1),'Цены|Скидки'!$C$54,IF(COUNTIFS('Адресная программа'!$N$20:$N$4940,1,'Адресная программа'!$C$20:$C$4940,B87,'Адресная программа'!$G$20:$G$4940,"Бизнес центр")&gt;(COUNTIFS('Адресная программа'!$L$20:$L$4940,1,'Адресная программа'!$C$20:$C$4940,B87,'Адресная программа'!$G$20:$G$4940,"Бизнес центр")*'Цены|Скидки'!$B$55-1),'Цены|Скидки'!$C$55,0%))))</f>
        <v/>
      </c>
      <c r="H87" s="156">
        <f>D$12</f>
        <v/>
      </c>
      <c r="I87" s="190">
        <f>IF(D87=0,0,1-J87/F87)</f>
        <v/>
      </c>
      <c r="J87" s="934">
        <f>F87*(1-G87)*(1-H87)*(1-IF($AC$2="РА",$AD$2,0))*(1-IF(OR($AC$3="Доп скидка",$AC$3="Сезонная скидка",$AC$3="Welcome скидка")=TRUE,$AD$3,0))</f>
        <v/>
      </c>
      <c r="K87" s="934">
        <f>ROUND(J87+L87,2)</f>
        <v/>
      </c>
      <c r="L87" s="934">
        <f>J87*0.2</f>
        <v/>
      </c>
      <c r="M87" s="159">
        <f>(SUMIFS('Адресная программа'!$H$3031:$H$4288,'Адресная программа'!$I$3031:$I$4288,БЦ_ALL!C87,'Адресная программа'!$C$3031:$C$4288,БЦ_ALL!B87,'Адресная программа'!$N$3031:$N$4288,1)*$K$7)</f>
        <v/>
      </c>
      <c r="N87" s="935">
        <f>IF(M87=0,0,J87/M87*1000)</f>
        <v/>
      </c>
    </row>
    <row r="88" ht="13.8" customHeight="1">
      <c r="B88" s="253" t="inlineStr">
        <is>
          <t>Москва</t>
        </is>
      </c>
      <c r="C88" s="264" t="inlineStr">
        <is>
          <t>Теплый Стан</t>
        </is>
      </c>
      <c r="D88" s="303">
        <f>SUMIFS('Адресная программа'!$K$2975:$K$4468,'Адресная программа'!$I$2975:$I$4468,БЦ_ALL!C88,'Адресная программа'!$C$2975:$C$4468,БЦ_ALL!B88,'Адресная программа'!$N$2975:$N$4468,1)</f>
        <v/>
      </c>
      <c r="E88" s="994">
        <f>'Цены|Скидки'!$D$25</f>
        <v/>
      </c>
      <c r="F88" s="942">
        <f>SUM(E88*D88*$K$7/15*$K$9)</f>
        <v/>
      </c>
      <c r="G88" s="156">
        <f>IF(SUMIFS('Адресная программа'!$O$20:$O$4940,'Адресная программа'!$N$20:$N$4940,1,'Адресная программа'!$C$20:$C$4940,B88,'Адресная программа'!$G$20:$G$4940,"Бизнес центр")=SUMIFS('Адресная программа'!$K$20:$K$4940,'Адресная программа'!$L$20:$L$4940,1,'Адресная программа'!$C$20:$C$4940,B88,'Адресная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программа'!$C$20:$C$4940,B88,'Адресная программа'!$G$20:$G$4940,"Бизнес центр")&gt;(SUMIFS('Адресная программа'!$K$20:$K$4940,'Адресная программа'!$L$20:$L$4940,1,'Адресная программа'!$C$20:$C$4940,B88,'Адресная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программа'!$C$20:$C$4940,B88,'Адресная программа'!$G$20:$G$4940,"Бизнес центр")&gt;(SUMIFS('Адресная программа'!$K$20:$K$4940,'Адресная программа'!$L$20:$L$4940,1,'Адресная программа'!$C$20:$C$4940,B88,'Адресная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программа'!$C$20:$C$4940,B88,'Адресная программа'!$G$20:$G$4940,"Бизнес центр")&gt;(SUMIFS('Адресная программа'!$K$20:$K$4940,'Адресная программа'!$L$20:$L$4940,1,'Адресная программа'!$C$20:$C$4940,B88,'Адресная программа'!$G$20:$G$4940,"Бизнес центр")*'Цены|Скидки'!$B$55-1),'Цены|Скидки'!$C$55,0%))))</f>
        <v/>
      </c>
      <c r="H88" s="156">
        <f>D$12</f>
        <v/>
      </c>
      <c r="I88" s="190">
        <f>IF(D88=0,0,1-J88/F88)</f>
        <v/>
      </c>
      <c r="J88" s="934">
        <f>F88*(1-G88)*(1-H88)*(1-IF($AC$2="РА",$AD$2,0))*(1-IF(OR($AC$3="Доп скидка",$AC$3="Сезонная скидка",$AC$3="Welcome скидка")=TRUE,$AD$3,0))</f>
        <v/>
      </c>
      <c r="K88" s="934">
        <f>ROUND(J88+L88,2)</f>
        <v/>
      </c>
      <c r="L88" s="934">
        <f>J88*БЦ!$AD$4</f>
        <v/>
      </c>
      <c r="M88" s="159">
        <f>(SUMIFS('Адресная программа'!$H$20:$H$4288,'Адресная программа'!$I$20:$I$4288,БЦ_ALL!C88,'Адресная программа'!$C$20:$C$4288,БЦ_ALL!B88,'Адресная программа'!$N$20:$N$4288,1)*$K$7)</f>
        <v/>
      </c>
      <c r="N88" s="935">
        <f>IF(M88=0,0,J88/M88*1000)</f>
        <v/>
      </c>
    </row>
    <row r="89" ht="13.8" customHeight="1">
      <c r="B89" s="253" t="inlineStr">
        <is>
          <t>Москва</t>
        </is>
      </c>
      <c r="C89" s="264" t="inlineStr">
        <is>
          <t>Монд Плаза</t>
        </is>
      </c>
      <c r="D89" s="303">
        <f>SUMIFS('Адресная программа'!$K$2975:$K$4468,'Адресная программа'!$I$2975:$I$4468,БЦ_ALL!C89,'Адресная программа'!$C$2975:$C$4468,БЦ_ALL!B89,'Адресная программа'!$N$2975:$N$4468,1)</f>
        <v/>
      </c>
      <c r="E89" s="994">
        <f>'Цены|Скидки'!$D$25</f>
        <v/>
      </c>
      <c r="F89" s="942">
        <f>SUM(E89*D89*$K$7/15*$K$9)</f>
        <v/>
      </c>
      <c r="G89" s="156">
        <f>IF(SUMIFS('Адресная программа'!$O$20:$O$4940,'Адресная программа'!$N$20:$N$4940,1,'Адресная программа'!$C$20:$C$4940,B89,'Адресная программа'!$G$20:$G$4940,"Бизнес центр")=SUMIFS('Адресная программа'!$K$20:$K$4940,'Адресная программа'!$L$20:$L$4940,1,'Адресная программа'!$C$20:$C$4940,B89,'Адресная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программа'!$C$20:$C$4940,B89,'Адресная программа'!$G$20:$G$4940,"Бизнес центр")&gt;(SUMIFS('Адресная программа'!$K$20:$K$4940,'Адресная программа'!$L$20:$L$4940,1,'Адресная программа'!$C$20:$C$4940,B89,'Адресная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программа'!$C$20:$C$4940,B89,'Адресная программа'!$G$20:$G$4940,"Бизнес центр")&gt;(SUMIFS('Адресная программа'!$K$20:$K$4940,'Адресная программа'!$L$20:$L$4940,1,'Адресная программа'!$C$20:$C$4940,B89,'Адресная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программа'!$C$20:$C$4940,B89,'Адресная программа'!$G$20:$G$4940,"Бизнес центр")&gt;(SUMIFS('Адресная программа'!$K$20:$K$4940,'Адресная программа'!$L$20:$L$4940,1,'Адресная программа'!$C$20:$C$4940,B89,'Адресная программа'!$G$20:$G$4940,"Бизнес центр")*'Цены|Скидки'!$B$55-1),'Цены|Скидки'!$C$55,0%))))</f>
        <v/>
      </c>
      <c r="H89" s="156">
        <f>D$12</f>
        <v/>
      </c>
      <c r="I89" s="190">
        <f>IF(D89=0,0,1-J89/F89)</f>
        <v/>
      </c>
      <c r="J89" s="934">
        <f>F89*(1-G89)*(1-H89)*(1-IF($AC$2="РА",$AD$2,0))*(1-IF(OR($AC$3="Доп скидка",$AC$3="Сезонная скидка",$AC$3="Welcome скидка")=TRUE,$AD$3,0))</f>
        <v/>
      </c>
      <c r="K89" s="934">
        <f>ROUND(J89+L89,2)</f>
        <v/>
      </c>
      <c r="L89" s="934">
        <f>J89*БЦ!$AD$4</f>
        <v/>
      </c>
      <c r="M89" s="159">
        <f>(SUMIFS('Адресная программа'!$H$20:$H$4288,'Адресная программа'!$I$20:$I$4288,БЦ_ALL!C89,'Адресная программа'!$C$20:$C$4288,БЦ_ALL!B89,'Адресная программа'!$N$20:$N$4288,1)*$K$7)</f>
        <v/>
      </c>
      <c r="N89" s="935">
        <f>IF(M89=0,0,J89/M89*1000)</f>
        <v/>
      </c>
    </row>
    <row r="90" ht="13.8" customHeight="1">
      <c r="B90" s="253" t="inlineStr">
        <is>
          <t>Москва</t>
        </is>
      </c>
      <c r="C90" s="264" t="inlineStr">
        <is>
          <t>Красный богатырь</t>
        </is>
      </c>
      <c r="D90" s="303">
        <f>SUMIFS('Адресная программа'!$K$2975:$K$4468,'Адресная программа'!$I$2975:$I$4468,БЦ_ALL!C90,'Адресная программа'!$C$2975:$C$4468,БЦ_ALL!B90,'Адресная программа'!$N$2975:$N$4468,1)</f>
        <v/>
      </c>
      <c r="E90" s="994">
        <f>'Цены|Скидки'!$D$25</f>
        <v/>
      </c>
      <c r="F90" s="942">
        <f>SUM(E90*D90*$K$7/15*$K$9)</f>
        <v/>
      </c>
      <c r="G90" s="156">
        <f>IF(SUMIFS('Адресная программа'!$O$20:$O$4940,'Адресная программа'!$N$20:$N$4940,1,'Адресная программа'!$C$20:$C$4940,B90,'Адресная программа'!$G$20:$G$4940,"Бизнес центр")=SUMIFS('Адресная программа'!$K$20:$K$4940,'Адресная программа'!$L$20:$L$4940,1,'Адресная программа'!$C$20:$C$4940,B90,'Адресная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программа'!$C$20:$C$4940,B90,'Адресная программа'!$G$20:$G$4940,"Бизнес центр")&gt;(SUMIFS('Адресная программа'!$K$20:$K$4940,'Адресная программа'!$L$20:$L$4940,1,'Адресная программа'!$C$20:$C$4940,B90,'Адресная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программа'!$C$20:$C$4940,B90,'Адресная программа'!$G$20:$G$4940,"Бизнес центр")&gt;(SUMIFS('Адресная программа'!$K$20:$K$4940,'Адресная программа'!$L$20:$L$4940,1,'Адресная программа'!$C$20:$C$4940,B90,'Адресная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программа'!$C$20:$C$4940,B90,'Адресная программа'!$G$20:$G$4940,"Бизнес центр")&gt;(SUMIFS('Адресная программа'!$K$20:$K$4940,'Адресная программа'!$L$20:$L$4940,1,'Адресная программа'!$C$20:$C$4940,B90,'Адресная программа'!$G$20:$G$4940,"Бизнес центр")*'Цены|Скидки'!$B$55-1),'Цены|Скидки'!$C$55,0%))))</f>
        <v/>
      </c>
      <c r="H90" s="156">
        <f>D$12</f>
        <v/>
      </c>
      <c r="I90" s="190">
        <f>IF(D90=0,0,1-J90/F90)</f>
        <v/>
      </c>
      <c r="J90" s="934">
        <f>F90*(1-G90)*(1-H90)*(1-IF($AC$2="РА",$AD$2,0))*(1-IF(OR($AC$3="Доп скидка",$AC$3="Сезонная скидка",$AC$3="Welcome скидка")=TRUE,$AD$3,0))</f>
        <v/>
      </c>
      <c r="K90" s="934">
        <f>ROUND(J90+L90,2)</f>
        <v/>
      </c>
      <c r="L90" s="934">
        <f>J90*БЦ!$AD$4</f>
        <v/>
      </c>
      <c r="M90" s="159">
        <f>(SUMIFS('Адресная программа'!$H$20:$H$4288,'Адресная программа'!$I$20:$I$4288,БЦ_ALL!C90,'Адресная программа'!$C$20:$C$4288,БЦ_ALL!B90,'Адресная программа'!$N$20:$N$4288,1)*$K$7)</f>
        <v/>
      </c>
      <c r="N90" s="935">
        <f>IF(M90=0,0,J90/M90*1000)</f>
        <v/>
      </c>
    </row>
    <row r="91" ht="13.8" customHeight="1">
      <c r="B91" s="253" t="inlineStr">
        <is>
          <t>Москва</t>
        </is>
      </c>
      <c r="C91" s="264" t="inlineStr">
        <is>
          <t>Искры 31</t>
        </is>
      </c>
      <c r="D91" s="303">
        <f>SUMIFS('Адресная программа'!$K$2975:$K$4468,'Адресная программа'!$I$2975:$I$4468,БЦ_ALL!C91,'Адресная программа'!$C$2975:$C$4468,БЦ_ALL!B91,'Адресная программа'!$N$2975:$N$4468,1)</f>
        <v/>
      </c>
      <c r="E91" s="994">
        <f>'Цены|Скидки'!$D$25</f>
        <v/>
      </c>
      <c r="F91" s="942">
        <f>SUM(E91*D91*$K$7/15*$K$9)</f>
        <v/>
      </c>
      <c r="G91" s="156">
        <f>IF(SUMIFS('Адресная программа'!$O$20:$O$4940,'Адресная программа'!$N$20:$N$4940,1,'Адресная программа'!$C$20:$C$4940,B91,'Адресная программа'!$G$20:$G$4940,"Бизнес центр")=SUMIFS('Адресная программа'!$K$20:$K$4940,'Адресная программа'!$L$20:$L$4940,1,'Адресная программа'!$C$20:$C$4940,B91,'Адресная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программа'!$C$20:$C$4940,B91,'Адресная программа'!$G$20:$G$4940,"Бизнес центр")&gt;(SUMIFS('Адресная программа'!$K$20:$K$4940,'Адресная программа'!$L$20:$L$4940,1,'Адресная программа'!$C$20:$C$4940,B91,'Адресная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программа'!$C$20:$C$4940,B91,'Адресная программа'!$G$20:$G$4940,"Бизнес центр")&gt;(SUMIFS('Адресная программа'!$K$20:$K$4940,'Адресная программа'!$L$20:$L$4940,1,'Адресная программа'!$C$20:$C$4940,B91,'Адресная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программа'!$C$20:$C$4940,B91,'Адресная программа'!$G$20:$G$4940,"Бизнес центр")&gt;(SUMIFS('Адресная программа'!$K$20:$K$4940,'Адресная программа'!$L$20:$L$4940,1,'Адресная программа'!$C$20:$C$4940,B91,'Адресная программа'!$G$20:$G$4940,"Бизнес центр")*'Цены|Скидки'!$B$55-1),'Цены|Скидки'!$C$55,0%))))</f>
        <v/>
      </c>
      <c r="H91" s="156">
        <f>D$12</f>
        <v/>
      </c>
      <c r="I91" s="190">
        <f>IF(D91=0,0,1-J91/F91)</f>
        <v/>
      </c>
      <c r="J91" s="934">
        <f>F91*(1-G91)*(1-H91)*(1-IF($AC$2="РА",$AD$2,0))*(1-IF(OR($AC$3="Доп скидка",$AC$3="Сезонная скидка",$AC$3="Welcome скидка")=TRUE,$AD$3,0))</f>
        <v/>
      </c>
      <c r="K91" s="934">
        <f>ROUND(J91+L91,2)</f>
        <v/>
      </c>
      <c r="L91" s="934">
        <f>J91*БЦ!$AD$4</f>
        <v/>
      </c>
      <c r="M91" s="159">
        <f>(SUMIFS('Адресная программа'!$H$20:$H$4288,'Адресная программа'!$I$20:$I$4288,БЦ_ALL!C91,'Адресная программа'!$C$20:$C$4288,БЦ_ALL!B91,'Адресная программа'!$N$20:$N$4288,1)*$K$7)</f>
        <v/>
      </c>
      <c r="N91" s="935">
        <f>IF(M91=0,0,J91/M91*1000)</f>
        <v/>
      </c>
    </row>
    <row r="92" ht="13.8" customHeight="1">
      <c r="B92" s="253" t="inlineStr">
        <is>
          <t>Москва</t>
        </is>
      </c>
      <c r="C92" s="264" t="inlineStr">
        <is>
          <t>ДЦ Искра</t>
        </is>
      </c>
      <c r="D92" s="303">
        <f>SUMIFS('Адресная программа'!$K$2975:$K$4468,'Адресная программа'!$I$2975:$I$4468,БЦ_ALL!C92,'Адресная программа'!$C$2975:$C$4468,БЦ_ALL!B92,'Адресная программа'!$N$2975:$N$4468,1)</f>
        <v/>
      </c>
      <c r="E92" s="994">
        <f>'Цены|Скидки'!$D$25</f>
        <v/>
      </c>
      <c r="F92" s="942">
        <f>SUM(E92*D92*$K$7/15*$K$9)</f>
        <v/>
      </c>
      <c r="G92" s="156">
        <f>IF(SUMIFS('Адресная программа'!$O$20:$O$4940,'Адресная программа'!$N$20:$N$4940,1,'Адресная программа'!$C$20:$C$4940,B92,'Адресная программа'!$G$20:$G$4940,"Бизнес центр")=SUMIFS('Адресная программа'!$K$20:$K$4940,'Адресная программа'!$L$20:$L$4940,1,'Адресная программа'!$C$20:$C$4940,B92,'Адресная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программа'!$C$20:$C$4940,B92,'Адресная программа'!$G$20:$G$4940,"Бизнес центр")&gt;(SUMIFS('Адресная программа'!$K$20:$K$4940,'Адресная программа'!$L$20:$L$4940,1,'Адресная программа'!$C$20:$C$4940,B92,'Адресная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программа'!$C$20:$C$4940,B92,'Адресная программа'!$G$20:$G$4940,"Бизнес центр")&gt;(SUMIFS('Адресная программа'!$K$20:$K$4940,'Адресная программа'!$L$20:$L$4940,1,'Адресная программа'!$C$20:$C$4940,B92,'Адресная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программа'!$C$20:$C$4940,B92,'Адресная программа'!$G$20:$G$4940,"Бизнес центр")&gt;(SUMIFS('Адресная программа'!$K$20:$K$4940,'Адресная программа'!$L$20:$L$4940,1,'Адресная программа'!$C$20:$C$4940,B92,'Адресная программа'!$G$20:$G$4940,"Бизнес центр")*'Цены|Скидки'!$B$55-1),'Цены|Скидки'!$C$55,0%))))</f>
        <v/>
      </c>
      <c r="H92" s="156">
        <f>D$12</f>
        <v/>
      </c>
      <c r="I92" s="190">
        <f>IF(D92=0,0,1-J92/F92)</f>
        <v/>
      </c>
      <c r="J92" s="934">
        <f>F92*(1-G92)*(1-H92)*(1-IF($AC$2="РА",$AD$2,0))*(1-IF(OR($AC$3="Доп скидка",$AC$3="Сезонная скидка",$AC$3="Welcome скидка")=TRUE,$AD$3,0))</f>
        <v/>
      </c>
      <c r="K92" s="934">
        <f>ROUND(J92+L92,2)</f>
        <v/>
      </c>
      <c r="L92" s="934">
        <f>J92*БЦ!$AD$4</f>
        <v/>
      </c>
      <c r="M92" s="159">
        <f>(SUMIFS('Адресная программа'!$H$20:$H$4288,'Адресная программа'!$I$20:$I$4288,БЦ_ALL!C92,'Адресная программа'!$C$20:$C$4288,БЦ_ALL!B92,'Адресная программа'!$N$20:$N$4288,1)*$K$7)</f>
        <v/>
      </c>
      <c r="N92" s="935">
        <f>IF(M92=0,0,J92/M92*1000)</f>
        <v/>
      </c>
    </row>
    <row r="93" ht="13.8" customHeight="1">
      <c r="B93" s="253" t="inlineStr">
        <is>
          <t>Москва</t>
        </is>
      </c>
      <c r="C93" s="264" t="inlineStr">
        <is>
          <t>Атмосфера</t>
        </is>
      </c>
      <c r="D93" s="303">
        <f>SUMIFS('Адресная программа'!$K$2975:$K$4468,'Адресная программа'!$I$2975:$I$4468,БЦ_ALL!C93,'Адресная программа'!$C$2975:$C$4468,БЦ_ALL!B93,'Адресная программа'!$N$2975:$N$4468,1)</f>
        <v/>
      </c>
      <c r="E93" s="994">
        <f>'Цены|Скидки'!$D$25</f>
        <v/>
      </c>
      <c r="F93" s="942">
        <f>SUM(E93*D93*$K$7/15*$K$9)</f>
        <v/>
      </c>
      <c r="G93" s="156">
        <f>IF(SUMIFS('Адресная программа'!$O$20:$O$4940,'Адресная программа'!$N$20:$N$4940,1,'Адресная программа'!$C$20:$C$4940,B93,'Адресная программа'!$G$20:$G$4940,"Бизнес центр")=SUMIFS('Адресная программа'!$K$20:$K$4940,'Адресная программа'!$L$20:$L$4940,1,'Адресная программа'!$C$20:$C$4940,B93,'Адресная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программа'!$C$20:$C$4940,B93,'Адресная программа'!$G$20:$G$4940,"Бизнес центр")&gt;(SUMIFS('Адресная программа'!$K$20:$K$4940,'Адресная программа'!$L$20:$L$4940,1,'Адресная программа'!$C$20:$C$4940,B93,'Адресная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программа'!$C$20:$C$4940,B93,'Адресная программа'!$G$20:$G$4940,"Бизнес центр")&gt;(SUMIFS('Адресная программа'!$K$20:$K$4940,'Адресная программа'!$L$20:$L$4940,1,'Адресная программа'!$C$20:$C$4940,B93,'Адресная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программа'!$C$20:$C$4940,B93,'Адресная программа'!$G$20:$G$4940,"Бизнес центр")&gt;(SUMIFS('Адресная программа'!$K$20:$K$4940,'Адресная программа'!$L$20:$L$4940,1,'Адресная программа'!$C$20:$C$4940,B93,'Адресная программа'!$G$20:$G$4940,"Бизнес центр")*'Цены|Скидки'!$B$55-1),'Цены|Скидки'!$C$55,0%))))</f>
        <v/>
      </c>
      <c r="H93" s="156">
        <f>D$12</f>
        <v/>
      </c>
      <c r="I93" s="190">
        <f>IF(D93=0,0,1-J93/F93)</f>
        <v/>
      </c>
      <c r="J93" s="934">
        <f>F93*(1-G93)*(1-H93)*(1-IF($AC$2="РА",$AD$2,0))*(1-IF(OR($AC$3="Доп скидка",$AC$3="Сезонная скидка",$AC$3="Welcome скидка")=TRUE,$AD$3,0))</f>
        <v/>
      </c>
      <c r="K93" s="934">
        <f>ROUND(J93+L93,2)</f>
        <v/>
      </c>
      <c r="L93" s="934">
        <f>J93*БЦ!$AD$4</f>
        <v/>
      </c>
      <c r="M93" s="159">
        <f>(SUMIFS('Адресная программа'!$H$20:$H$4288,'Адресная программа'!$I$20:$I$4288,БЦ_ALL!C93,'Адресная программа'!$C$20:$C$4288,БЦ_ALL!B93,'Адресная программа'!$N$20:$N$4288,1)*$K$7)</f>
        <v/>
      </c>
      <c r="N93" s="935">
        <f>IF(M93=0,0,J93/M93*1000)</f>
        <v/>
      </c>
    </row>
    <row r="94" ht="13.8" customHeight="1">
      <c r="B94" s="253" t="inlineStr">
        <is>
          <t>Москва</t>
        </is>
      </c>
      <c r="C94" s="264" t="inlineStr">
        <is>
          <t>Велка</t>
        </is>
      </c>
      <c r="D94" s="303">
        <f>SUMIFS('Адресная программа'!$K$2975:$K$4468,'Адресная программа'!$I$2975:$I$4468,БЦ_ALL!C94,'Адресная программа'!$C$2975:$C$4468,БЦ_ALL!B94,'Адресная программа'!$N$2975:$N$4468,1)</f>
        <v/>
      </c>
      <c r="E94" s="994">
        <f>'Цены|Скидки'!$D$25</f>
        <v/>
      </c>
      <c r="F94" s="942">
        <f>SUM(E94*D94*$K$7/15*$K$9)</f>
        <v/>
      </c>
      <c r="G94" s="156">
        <f>IF(SUMIFS('Адресная программа'!$O$20:$O$4940,'Адресная программа'!$N$20:$N$4940,1,'Адресная программа'!$C$20:$C$4940,B94,'Адресная программа'!$G$20:$G$4940,"Бизнес центр")=SUMIFS('Адресная программа'!$K$20:$K$4940,'Адресная программа'!$L$20:$L$4940,1,'Адресная программа'!$C$20:$C$4940,B94,'Адресная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программа'!$C$20:$C$4940,B94,'Адресная программа'!$G$20:$G$4940,"Бизнес центр")&gt;(SUMIFS('Адресная программа'!$K$20:$K$4940,'Адресная программа'!$L$20:$L$4940,1,'Адресная программа'!$C$20:$C$4940,B94,'Адресная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программа'!$C$20:$C$4940,B94,'Адресная программа'!$G$20:$G$4940,"Бизнес центр")&gt;(SUMIFS('Адресная программа'!$K$20:$K$4940,'Адресная программа'!$L$20:$L$4940,1,'Адресная программа'!$C$20:$C$4940,B94,'Адресная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программа'!$C$20:$C$4940,B94,'Адресная программа'!$G$20:$G$4940,"Бизнес центр")&gt;(SUMIFS('Адресная программа'!$K$20:$K$4940,'Адресная программа'!$L$20:$L$4940,1,'Адресная программа'!$C$20:$C$4940,B94,'Адресная программа'!$G$20:$G$4940,"Бизнес центр")*'Цены|Скидки'!$B$55-1),'Цены|Скидки'!$C$55,0%))))</f>
        <v/>
      </c>
      <c r="H94" s="156">
        <f>D$12</f>
        <v/>
      </c>
      <c r="I94" s="190">
        <f>IF(D94=0,0,1-J94/F94)</f>
        <v/>
      </c>
      <c r="J94" s="934">
        <f>F94*(1-G94)*(1-H94)*(1-IF($AC$2="РА",$AD$2,0))*(1-IF(OR($AC$3="Доп скидка",$AC$3="Сезонная скидка",$AC$3="Welcome скидка")=TRUE,$AD$3,0))</f>
        <v/>
      </c>
      <c r="K94" s="934">
        <f>ROUND(J94+L94,2)</f>
        <v/>
      </c>
      <c r="L94" s="934">
        <f>J94*БЦ!$AD$4</f>
        <v/>
      </c>
      <c r="M94" s="159">
        <f>(SUMIFS('Адресная программа'!$H$20:$H$4288,'Адресная программа'!$I$20:$I$4288,БЦ_ALL!C94,'Адресная программа'!$C$20:$C$4288,БЦ_ALL!B94,'Адресная программа'!$N$20:$N$4288,1)*$K$7)</f>
        <v/>
      </c>
      <c r="N94" s="935">
        <f>IF(M94=0,0,J94/M94*1000)</f>
        <v/>
      </c>
    </row>
    <row r="95" ht="13.8" customHeight="1">
      <c r="B95" s="253" t="inlineStr">
        <is>
          <t>Москва</t>
        </is>
      </c>
      <c r="C95" s="264" t="inlineStr">
        <is>
          <t>Рязанка 24</t>
        </is>
      </c>
      <c r="D95" s="303">
        <f>SUMIFS('Адресная программа'!$K$2975:$K$4468,'Адресная программа'!$I$2975:$I$4468,БЦ_ALL!C95,'Адресная программа'!$C$2975:$C$4468,БЦ_ALL!B95,'Адресная программа'!$N$2975:$N$4468,1)</f>
        <v/>
      </c>
      <c r="E95" s="994">
        <f>'Цены|Скидки'!$D$25</f>
        <v/>
      </c>
      <c r="F95" s="942">
        <f>SUM(E95*D95*$K$7/15*$K$9)</f>
        <v/>
      </c>
      <c r="G95" s="156">
        <f>IF(SUMIFS('Адресная программа'!$O$20:$O$4940,'Адресная программа'!$N$20:$N$4940,1,'Адресная программа'!$C$20:$C$4940,B95,'Адресная программа'!$G$20:$G$4940,"Бизнес центр")=SUMIFS('Адресная программа'!$K$20:$K$4940,'Адресная программа'!$L$20:$L$4940,1,'Адресная программа'!$C$20:$C$4940,B95,'Адресная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программа'!$C$20:$C$4940,B95,'Адресная программа'!$G$20:$G$4940,"Бизнес центр")&gt;(SUMIFS('Адресная программа'!$K$20:$K$4940,'Адресная программа'!$L$20:$L$4940,1,'Адресная программа'!$C$20:$C$4940,B95,'Адресная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программа'!$C$20:$C$4940,B95,'Адресная программа'!$G$20:$G$4940,"Бизнес центр")&gt;(SUMIFS('Адресная программа'!$K$20:$K$4940,'Адресная программа'!$L$20:$L$4940,1,'Адресная программа'!$C$20:$C$4940,B95,'Адресная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программа'!$C$20:$C$4940,B95,'Адресная программа'!$G$20:$G$4940,"Бизнес центр")&gt;(SUMIFS('Адресная программа'!$K$20:$K$4940,'Адресная программа'!$L$20:$L$4940,1,'Адресная программа'!$C$20:$C$4940,B95,'Адресная программа'!$G$20:$G$4940,"Бизнес центр")*'Цены|Скидки'!$B$55-1),'Цены|Скидки'!$C$55,0%))))</f>
        <v/>
      </c>
      <c r="H95" s="156">
        <f>D$12</f>
        <v/>
      </c>
      <c r="I95" s="190">
        <f>IF(D95=0,0,1-J95/F95)</f>
        <v/>
      </c>
      <c r="J95" s="934">
        <f>F95*(1-G95)*(1-H95)*(1-IF($AC$2="РА",$AD$2,0))*(1-IF(OR($AC$3="Доп скидка",$AC$3="Сезонная скидка",$AC$3="Welcome скидка")=TRUE,$AD$3,0))</f>
        <v/>
      </c>
      <c r="K95" s="934">
        <f>ROUND(J95+L95,2)</f>
        <v/>
      </c>
      <c r="L95" s="934">
        <f>J95*БЦ!$AD$4</f>
        <v/>
      </c>
      <c r="M95" s="159">
        <f>(SUMIFS('Адресная программа'!$H$20:$H$4288,'Адресная программа'!$I$20:$I$4288,БЦ_ALL!C95,'Адресная программа'!$C$20:$C$4288,БЦ_ALL!B95,'Адресная программа'!$N$20:$N$4288,1)*$K$7)</f>
        <v/>
      </c>
      <c r="N95" s="935">
        <f>IF(M95=0,0,J95/M95*1000)</f>
        <v/>
      </c>
    </row>
    <row r="96" ht="13.8" customHeight="1">
      <c r="B96" s="253" t="inlineStr">
        <is>
          <t>Москва</t>
        </is>
      </c>
      <c r="C96" s="264" t="inlineStr">
        <is>
          <t>Рязанка 22</t>
        </is>
      </c>
      <c r="D96" s="303">
        <f>SUMIFS('Адресная программа'!$K$2975:$K$4468,'Адресная программа'!$I$2975:$I$4468,БЦ_ALL!C96,'Адресная программа'!$C$2975:$C$4468,БЦ_ALL!B96,'Адресная программа'!$N$2975:$N$4468,1)</f>
        <v/>
      </c>
      <c r="E96" s="994">
        <f>'Цены|Скидки'!$D$25</f>
        <v/>
      </c>
      <c r="F96" s="942">
        <f>SUM(E96*D96*$K$7/15*$K$9)</f>
        <v/>
      </c>
      <c r="G96" s="156">
        <f>IF(SUMIFS('Адресная программа'!$O$20:$O$4940,'Адресная программа'!$N$20:$N$4940,1,'Адресная программа'!$C$20:$C$4940,B96,'Адресная программа'!$G$20:$G$4940,"Бизнес центр")=SUMIFS('Адресная программа'!$K$20:$K$4940,'Адресная программа'!$L$20:$L$4940,1,'Адресная программа'!$C$20:$C$4940,B96,'Адресная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программа'!$C$20:$C$4940,B96,'Адресная программа'!$G$20:$G$4940,"Бизнес центр")&gt;(SUMIFS('Адресная программа'!$K$20:$K$4940,'Адресная программа'!$L$20:$L$4940,1,'Адресная программа'!$C$20:$C$4940,B96,'Адресная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программа'!$C$20:$C$4940,B96,'Адресная программа'!$G$20:$G$4940,"Бизнес центр")&gt;(SUMIFS('Адресная программа'!$K$20:$K$4940,'Адресная программа'!$L$20:$L$4940,1,'Адресная программа'!$C$20:$C$4940,B96,'Адресная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программа'!$C$20:$C$4940,B96,'Адресная программа'!$G$20:$G$4940,"Бизнес центр")&gt;(SUMIFS('Адресная программа'!$K$20:$K$4940,'Адресная программа'!$L$20:$L$4940,1,'Адресная программа'!$C$20:$C$4940,B96,'Адресная программа'!$G$20:$G$4940,"Бизнес центр")*'Цены|Скидки'!$B$55-1),'Цены|Скидки'!$C$55,0%))))</f>
        <v/>
      </c>
      <c r="H96" s="156">
        <f>D$12</f>
        <v/>
      </c>
      <c r="I96" s="190">
        <f>IF(D96=0,0,1-J96/F96)</f>
        <v/>
      </c>
      <c r="J96" s="934">
        <f>F96*(1-G96)*(1-H96)*(1-IF($AC$2="РА",$AD$2,0))*(1-IF(OR($AC$3="Доп скидка",$AC$3="Сезонная скидка",$AC$3="Welcome скидка")=TRUE,$AD$3,0))</f>
        <v/>
      </c>
      <c r="K96" s="934">
        <f>ROUND(J96+L96,2)</f>
        <v/>
      </c>
      <c r="L96" s="934">
        <f>J96*БЦ!$AD$4</f>
        <v/>
      </c>
      <c r="M96" s="159">
        <f>(SUMIFS('Адресная программа'!$H$20:$H$4288,'Адресная программа'!$I$20:$I$4288,БЦ_ALL!C96,'Адресная программа'!$C$20:$C$4288,БЦ_ALL!B96,'Адресная программа'!$N$20:$N$4288,1)*$K$7)</f>
        <v/>
      </c>
      <c r="N96" s="935">
        <f>IF(M96=0,0,J96/M96*1000)</f>
        <v/>
      </c>
    </row>
    <row r="97" ht="13.8" customHeight="1">
      <c r="B97" s="253" t="inlineStr">
        <is>
          <t>Москва</t>
        </is>
      </c>
      <c r="C97" s="264" t="inlineStr">
        <is>
          <t>1-й километр</t>
        </is>
      </c>
      <c r="D97" s="303">
        <f>SUMIFS('Адресная программа'!$K$2975:$K$4468,'Адресная программа'!$I$2975:$I$4468,БЦ_ALL!C97,'Адресная программа'!$C$2975:$C$4468,БЦ_ALL!B97,'Адресная программа'!$N$2975:$N$4468,1)</f>
        <v/>
      </c>
      <c r="E97" s="994">
        <f>'Цены|Скидки'!$D$25</f>
        <v/>
      </c>
      <c r="F97" s="942">
        <f>SUM(E97*D97*$K$7/15*$K$9)</f>
        <v/>
      </c>
      <c r="G97" s="156">
        <f>IF(SUMIFS('Адресная программа'!$O$20:$O$4940,'Адресная программа'!$N$20:$N$4940,1,'Адресная программа'!$C$20:$C$4940,B97,'Адресная программа'!$G$20:$G$4940,"Бизнес центр")=SUMIFS('Адресная программа'!$K$20:$K$4940,'Адресная программа'!$L$20:$L$4940,1,'Адресная программа'!$C$20:$C$4940,B97,'Адресная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программа'!$C$20:$C$4940,B97,'Адресная программа'!$G$20:$G$4940,"Бизнес центр")&gt;(SUMIFS('Адресная программа'!$K$20:$K$4940,'Адресная программа'!$L$20:$L$4940,1,'Адресная программа'!$C$20:$C$4940,B97,'Адресная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программа'!$C$20:$C$4940,B97,'Адресная программа'!$G$20:$G$4940,"Бизнес центр")&gt;(SUMIFS('Адресная программа'!$K$20:$K$4940,'Адресная программа'!$L$20:$L$4940,1,'Адресная программа'!$C$20:$C$4940,B97,'Адресная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программа'!$C$20:$C$4940,B97,'Адресная программа'!$G$20:$G$4940,"Бизнес центр")&gt;(SUMIFS('Адресная программа'!$K$20:$K$4940,'Адресная программа'!$L$20:$L$4940,1,'Адресная программа'!$C$20:$C$4940,B97,'Адресная программа'!$G$20:$G$4940,"Бизнес центр")*'Цены|Скидки'!$B$55-1),'Цены|Скидки'!$C$55,0%))))</f>
        <v/>
      </c>
      <c r="H97" s="156">
        <f>D$12</f>
        <v/>
      </c>
      <c r="I97" s="190">
        <f>IF(D97=0,0,1-J97/F97)</f>
        <v/>
      </c>
      <c r="J97" s="934">
        <f>F97*(1-G97)*(1-H97)*(1-IF($AC$2="РА",$AD$2,0))*(1-IF(OR($AC$3="Доп скидка",$AC$3="Сезонная скидка",$AC$3="Welcome скидка")=TRUE,$AD$3,0))</f>
        <v/>
      </c>
      <c r="K97" s="934">
        <f>ROUND(J97+L97,2)</f>
        <v/>
      </c>
      <c r="L97" s="934">
        <f>J97*БЦ!$AD$4</f>
        <v/>
      </c>
      <c r="M97" s="159">
        <f>(SUMIFS('Адресная программа'!$H$20:$H$4288,'Адресная программа'!$I$20:$I$4288,БЦ_ALL!C97,'Адресная программа'!$C$20:$C$4288,БЦ_ALL!B97,'Адресная программа'!$N$20:$N$4288,1)*$K$7)</f>
        <v/>
      </c>
      <c r="N97" s="935">
        <f>IF(M97=0,0,J97/M97*1000)</f>
        <v/>
      </c>
    </row>
    <row r="98" ht="13.8" customHeight="1">
      <c r="B98" s="253" t="inlineStr">
        <is>
          <t>Москва</t>
        </is>
      </c>
      <c r="C98" s="264" t="inlineStr">
        <is>
          <t>Башни Рязанка</t>
        </is>
      </c>
      <c r="D98" s="303">
        <f>SUMIFS('Адресная программа'!$K$2975:$K$4468,'Адресная программа'!$I$2975:$I$4468,БЦ_ALL!C98,'Адресная программа'!$C$2975:$C$4468,БЦ_ALL!B98,'Адресная программа'!$N$2975:$N$4468,1)</f>
        <v/>
      </c>
      <c r="E98" s="994">
        <f>'Цены|Скидки'!$D$25</f>
        <v/>
      </c>
      <c r="F98" s="942">
        <f>SUM(E98*D98*$K$7/15*$K$9)</f>
        <v/>
      </c>
      <c r="G98" s="156">
        <f>IF(SUMIFS('Адресная программа'!$O$20:$O$4940,'Адресная программа'!$N$20:$N$4940,1,'Адресная программа'!$C$20:$C$4940,B98,'Адресная программа'!$G$20:$G$4940,"Бизнес центр")=SUMIFS('Адресная программа'!$K$20:$K$4940,'Адресная программа'!$L$20:$L$4940,1,'Адресная программа'!$C$20:$C$4940,B98,'Адресная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программа'!$C$20:$C$4940,B98,'Адресная программа'!$G$20:$G$4940,"Бизнес центр")&gt;(SUMIFS('Адресная программа'!$K$20:$K$4940,'Адресная программа'!$L$20:$L$4940,1,'Адресная программа'!$C$20:$C$4940,B98,'Адресная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программа'!$C$20:$C$4940,B98,'Адресная программа'!$G$20:$G$4940,"Бизнес центр")&gt;(SUMIFS('Адресная программа'!$K$20:$K$4940,'Адресная программа'!$L$20:$L$4940,1,'Адресная программа'!$C$20:$C$4940,B98,'Адресная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программа'!$C$20:$C$4940,B98,'Адресная программа'!$G$20:$G$4940,"Бизнес центр")&gt;(SUMIFS('Адресная программа'!$K$20:$K$4940,'Адресная программа'!$L$20:$L$4940,1,'Адресная программа'!$C$20:$C$4940,B98,'Адресная программа'!$G$20:$G$4940,"Бизнес центр")*'Цены|Скидки'!$B$55-1),'Цены|Скидки'!$C$55,0%))))</f>
        <v/>
      </c>
      <c r="H98" s="156">
        <f>D$12</f>
        <v/>
      </c>
      <c r="I98" s="190">
        <f>IF(D98=0,0,1-J98/F98)</f>
        <v/>
      </c>
      <c r="J98" s="934">
        <f>F98*(1-G98)*(1-H98)*(1-IF($AC$2="РА",$AD$2,0))*(1-IF(OR($AC$3="Доп скидка",$AC$3="Сезонная скидка",$AC$3="Welcome скидка")=TRUE,$AD$3,0))</f>
        <v/>
      </c>
      <c r="K98" s="934">
        <f>ROUND(J98+L98,2)</f>
        <v/>
      </c>
      <c r="L98" s="934">
        <f>J98*БЦ!$AD$4</f>
        <v/>
      </c>
      <c r="M98" s="159">
        <f>(SUMIFS('Адресная программа'!$H$20:$H$4288,'Адресная программа'!$I$20:$I$4288,БЦ_ALL!C98,'Адресная программа'!$C$20:$C$4288,БЦ_ALL!B98,'Адресная программа'!$N$20:$N$4288,1)*$K$7)</f>
        <v/>
      </c>
      <c r="N98" s="935">
        <f>IF(M98=0,0,J98/M98*1000)</f>
        <v/>
      </c>
    </row>
    <row r="99" ht="13.8" customHeight="1">
      <c r="B99" s="253" t="inlineStr">
        <is>
          <t>Москва</t>
        </is>
      </c>
      <c r="C99" s="264" t="inlineStr">
        <is>
          <t xml:space="preserve">Вавилон </t>
        </is>
      </c>
      <c r="D99" s="303">
        <f>SUMIFS('Адресная программа'!$K$2975:$K$4468,'Адресная программа'!$I$2975:$I$4468,БЦ_ALL!C99,'Адресная программа'!$C$2975:$C$4468,БЦ_ALL!B99,'Адресная программа'!$N$2975:$N$4468,1)</f>
        <v/>
      </c>
      <c r="E99" s="994">
        <f>'Цены|Скидки'!$D$25</f>
        <v/>
      </c>
      <c r="F99" s="942">
        <f>SUM(E99*D99*$K$7/15*$K$9)</f>
        <v/>
      </c>
      <c r="G99" s="156">
        <f>IF(SUMIFS('Адресная программа'!$O$20:$O$4940,'Адресная программа'!$N$20:$N$4940,1,'Адресная программа'!$C$20:$C$4940,B99,'Адресная программа'!$G$20:$G$4940,"Бизнес центр")=SUMIFS('Адресная программа'!$K$20:$K$4940,'Адресная программа'!$L$20:$L$4940,1,'Адресная программа'!$C$20:$C$4940,B99,'Адресная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программа'!$C$20:$C$4940,B99,'Адресная программа'!$G$20:$G$4940,"Бизнес центр")&gt;(SUMIFS('Адресная программа'!$K$20:$K$4940,'Адресная программа'!$L$20:$L$4940,1,'Адресная программа'!$C$20:$C$4940,B99,'Адресная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программа'!$C$20:$C$4940,B99,'Адресная программа'!$G$20:$G$4940,"Бизнес центр")&gt;(SUMIFS('Адресная программа'!$K$20:$K$4940,'Адресная программа'!$L$20:$L$4940,1,'Адресная программа'!$C$20:$C$4940,B99,'Адресная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программа'!$C$20:$C$4940,B99,'Адресная программа'!$G$20:$G$4940,"Бизнес центр")&gt;(SUMIFS('Адресная программа'!$K$20:$K$4940,'Адресная программа'!$L$20:$L$4940,1,'Адресная программа'!$C$20:$C$4940,B99,'Адресная программа'!$G$20:$G$4940,"Бизнес центр")*'Цены|Скидки'!$B$55-1),'Цены|Скидки'!$C$55,0%))))</f>
        <v/>
      </c>
      <c r="H99" s="156">
        <f>D$12</f>
        <v/>
      </c>
      <c r="I99" s="190">
        <f>IF(D99=0,0,1-J99/F99)</f>
        <v/>
      </c>
      <c r="J99" s="934">
        <f>F99*(1-G99)*(1-H99)*(1-IF($AC$2="РА",$AD$2,0))*(1-IF(OR($AC$3="Доп скидка",$AC$3="Сезонная скидка",$AC$3="Welcome скидка")=TRUE,$AD$3,0))</f>
        <v/>
      </c>
      <c r="K99" s="934">
        <f>ROUND(J99+L99,2)</f>
        <v/>
      </c>
      <c r="L99" s="934">
        <f>J99*БЦ!$AD$4</f>
        <v/>
      </c>
      <c r="M99" s="159">
        <f>(SUMIFS('Адресная программа'!$H$20:$H$4288,'Адресная программа'!$I$20:$I$4288,БЦ_ALL!C99,'Адресная программа'!$C$20:$C$4288,БЦ_ALL!B99,'Адресная программа'!$N$20:$N$4288,1)*$K$7)</f>
        <v/>
      </c>
      <c r="N99" s="935">
        <f>IF(M99=0,0,J99/M99*1000)</f>
        <v/>
      </c>
    </row>
    <row r="100" ht="13.8" customHeight="1">
      <c r="B100" s="253" t="inlineStr">
        <is>
          <t>Москва</t>
        </is>
      </c>
      <c r="C100" s="264" t="inlineStr">
        <is>
          <t>Хамелеон</t>
        </is>
      </c>
      <c r="D100" s="303">
        <f>SUMIFS('Адресная программа'!$K$2975:$K$4468,'Адресная программа'!$I$2975:$I$4468,БЦ_ALL!C100,'Адресная программа'!$C$2975:$C$4468,БЦ_ALL!B100,'Адресная программа'!$N$2975:$N$4468,1)</f>
        <v/>
      </c>
      <c r="E100" s="994">
        <f>'Цены|Скидки'!$D$25</f>
        <v/>
      </c>
      <c r="F100" s="942">
        <f>SUM(E100*D100*$K$7/15*$K$9)</f>
        <v/>
      </c>
      <c r="G100" s="156">
        <f>IF(SUMIFS('Адресная программа'!$O$20:$O$4940,'Адресная программа'!$N$20:$N$4940,1,'Адресная программа'!$C$20:$C$4940,B100,'Адресная программа'!$G$20:$G$4940,"Бизнес центр")=SUMIFS('Адресная программа'!$K$20:$K$4940,'Адресная программа'!$L$20:$L$4940,1,'Адресная программа'!$C$20:$C$4940,B100,'Адресная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программа'!$C$20:$C$4940,B100,'Адресная программа'!$G$20:$G$4940,"Бизнес центр")&gt;(SUMIFS('Адресная программа'!$K$20:$K$4940,'Адресная программа'!$L$20:$L$4940,1,'Адресная программа'!$C$20:$C$4940,B100,'Адресная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программа'!$C$20:$C$4940,B100,'Адресная программа'!$G$20:$G$4940,"Бизнес центр")&gt;(SUMIFS('Адресная программа'!$K$20:$K$4940,'Адресная программа'!$L$20:$L$4940,1,'Адресная программа'!$C$20:$C$4940,B100,'Адресная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программа'!$C$20:$C$4940,B100,'Адресная программа'!$G$20:$G$4940,"Бизнес центр")&gt;(SUMIFS('Адресная программа'!$K$20:$K$4940,'Адресная программа'!$L$20:$L$4940,1,'Адресная программа'!$C$20:$C$4940,B100,'Адресная программа'!$G$20:$G$4940,"Бизнес центр")*'Цены|Скидки'!$B$55-1),'Цены|Скидки'!$C$55,0%))))</f>
        <v/>
      </c>
      <c r="H100" s="156">
        <f>D$12</f>
        <v/>
      </c>
      <c r="I100" s="190">
        <f>IF(D100=0,0,1-J100/F100)</f>
        <v/>
      </c>
      <c r="J100" s="934">
        <f>F100*(1-G100)*(1-H100)*(1-IF($AC$2="РА",$AD$2,0))*(1-IF(OR($AC$3="Доп скидка",$AC$3="Сезонная скидка",$AC$3="Welcome скидка")=TRUE,$AD$3,0))</f>
        <v/>
      </c>
      <c r="K100" s="934">
        <f>ROUND(J100+L100,2)</f>
        <v/>
      </c>
      <c r="L100" s="934">
        <f>J100*БЦ!$AD$4</f>
        <v/>
      </c>
      <c r="M100" s="159">
        <f>(SUMIFS('Адресная программа'!$H$20:$H$4288,'Адресная программа'!$I$20:$I$4288,БЦ_ALL!C100,'Адресная программа'!$C$20:$C$4288,БЦ_ALL!B100,'Адресная программа'!$N$20:$N$4288,1)*$K$7)</f>
        <v/>
      </c>
      <c r="N100" s="935">
        <f>IF(M100=0,0,J100/M100*1000)</f>
        <v/>
      </c>
    </row>
    <row r="101" ht="13.8" customHeight="1">
      <c r="B101" s="253" t="inlineStr">
        <is>
          <t>Москва</t>
        </is>
      </c>
      <c r="C101" s="264" t="inlineStr">
        <is>
          <t>Джоуль</t>
        </is>
      </c>
      <c r="D101" s="303">
        <f>SUMIFS('Адресная программа'!$K$2975:$K$4468,'Адресная программа'!$I$2975:$I$4468,БЦ_ALL!C101,'Адресная программа'!$C$2975:$C$4468,БЦ_ALL!B101,'Адресная программа'!$N$2975:$N$4468,1)</f>
        <v/>
      </c>
      <c r="E101" s="994">
        <f>'Цены|Скидки'!$D$25</f>
        <v/>
      </c>
      <c r="F101" s="942">
        <f>SUM(E101*D101*$K$7/15*$K$9)</f>
        <v/>
      </c>
      <c r="G101" s="156">
        <f>IF(SUMIFS('Адресная программа'!$O$20:$O$4940,'Адресная программа'!$N$20:$N$4940,1,'Адресная программа'!$C$20:$C$4940,B101,'Адресная программа'!$G$20:$G$4940,"Бизнес центр")=SUMIFS('Адресная программа'!$K$20:$K$4940,'Адресная программа'!$L$20:$L$4940,1,'Адресная программа'!$C$20:$C$4940,B101,'Адресная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программа'!$C$20:$C$4940,B101,'Адресная программа'!$G$20:$G$4940,"Бизнес центр")&gt;(SUMIFS('Адресная программа'!$K$20:$K$4940,'Адресная программа'!$L$20:$L$4940,1,'Адресная программа'!$C$20:$C$4940,B101,'Адресная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программа'!$C$20:$C$4940,B101,'Адресная программа'!$G$20:$G$4940,"Бизнес центр")&gt;(SUMIFS('Адресная программа'!$K$20:$K$4940,'Адресная программа'!$L$20:$L$4940,1,'Адресная программа'!$C$20:$C$4940,B101,'Адресная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программа'!$C$20:$C$4940,B101,'Адресная программа'!$G$20:$G$4940,"Бизнес центр")&gt;(SUMIFS('Адресная программа'!$K$20:$K$4940,'Адресная программа'!$L$20:$L$4940,1,'Адресная программа'!$C$20:$C$4940,B101,'Адресная программа'!$G$20:$G$4940,"Бизнес центр")*'Цены|Скидки'!$B$55-1),'Цены|Скидки'!$C$55,0%))))</f>
        <v/>
      </c>
      <c r="H101" s="156">
        <f>D$12</f>
        <v/>
      </c>
      <c r="I101" s="190">
        <f>IF(D101=0,0,1-J101/F101)</f>
        <v/>
      </c>
      <c r="J101" s="934">
        <f>F101*(1-G101)*(1-H101)*(1-IF($AC$2="РА",$AD$2,0))*(1-IF(OR($AC$3="Доп скидка",$AC$3="Сезонная скидка",$AC$3="Welcome скидка")=TRUE,$AD$3,0))</f>
        <v/>
      </c>
      <c r="K101" s="934">
        <f>ROUND(J101+L101,2)</f>
        <v/>
      </c>
      <c r="L101" s="934">
        <f>J101*БЦ!$AD$4</f>
        <v/>
      </c>
      <c r="M101" s="159">
        <f>(SUMIFS('Адресная программа'!$H$20:$H$4288,'Адресная программа'!$I$20:$I$4288,БЦ_ALL!C101,'Адресная программа'!$C$20:$C$4288,БЦ_ALL!B101,'Адресная программа'!$N$20:$N$4288,1)*$K$7)</f>
        <v/>
      </c>
      <c r="N101" s="935">
        <f>IF(M101=0,0,J101/M101*1000)</f>
        <v/>
      </c>
    </row>
    <row r="102" ht="13.8" customHeight="1">
      <c r="B102" s="253" t="inlineStr">
        <is>
          <t>Москва</t>
        </is>
      </c>
      <c r="C102" s="264" t="inlineStr">
        <is>
          <t>Московский шелк</t>
        </is>
      </c>
      <c r="D102" s="303">
        <f>SUMIFS('Адресная программа'!$K$2975:$K$4468,'Адресная программа'!$I$2975:$I$4468,БЦ_ALL!C102,'Адресная программа'!$C$2975:$C$4468,БЦ_ALL!B102,'Адресная программа'!$N$2975:$N$4468,1)</f>
        <v/>
      </c>
      <c r="E102" s="994">
        <f>'Цены|Скидки'!$D$25</f>
        <v/>
      </c>
      <c r="F102" s="942">
        <f>SUM(E102*D102*$K$7/15*$K$9)</f>
        <v/>
      </c>
      <c r="G102" s="156">
        <f>IF('Адресная программа'!$V$9='Адресная программа'!$U$9,'Цены|Скидки'!$C$52,IF('Адресная программа'!$V$9&gt;('Адресная программа'!$U$9*'Цены|Скидки'!$B$53-1),'Цены|Скидки'!$C$53,IF('Адресная программа'!$V$9&gt;('Адресная программа'!$U$9*'Цены|Скидки'!$B$54-1),'Цены|Скидки'!$C$54,IF('Адресная программа'!$V$9&gt;('Адресная программа'!$U$9*'Цены|Скидки'!$B$55-1),'Цены|Скидки'!$C$55,0%))))</f>
        <v/>
      </c>
      <c r="H102" s="156">
        <f>D$12</f>
        <v/>
      </c>
      <c r="I102" s="190">
        <f>IF(D102=0,0,1-J102/F102)</f>
        <v/>
      </c>
      <c r="J102" s="934">
        <f>F102*(1-G102)*(1-H102)*(1-IF($AC$2="РА",$AD$2,0))*(1-IF(OR($AC$3="Доп скидка",$AC$3="Сезонная скидка",$AC$3="Welcome скидка")=TRUE,$AD$3,0))</f>
        <v/>
      </c>
      <c r="K102" s="934">
        <f>ROUND(J102+L102,2)</f>
        <v/>
      </c>
      <c r="L102" s="934">
        <f>J102*0.2</f>
        <v/>
      </c>
      <c r="M102" s="159">
        <f>(SUMIFS('Адресная программа'!$H$3031:$H$4288,'Адресная программа'!$I$3031:$I$4288,БЦ_ALL!C102,'Адресная программа'!$C$3031:$C$4288,БЦ_ALL!B102,'Адресная программа'!$N$3031:$N$4288,1)*$K$7)</f>
        <v/>
      </c>
      <c r="N102" s="935">
        <f>IF(M102=0,0,J102/M102*1000)</f>
        <v/>
      </c>
    </row>
    <row r="103" ht="13.8" customHeight="1">
      <c r="B103" s="253" t="inlineStr">
        <is>
          <t>Москва</t>
        </is>
      </c>
      <c r="C103" s="264" t="inlineStr">
        <is>
          <t>на Барабанном 3</t>
        </is>
      </c>
      <c r="D103" s="303">
        <f>SUMIFS('Адресная программа'!$K$2975:$K$4468,'Адресная программа'!$I$2975:$I$4468,БЦ_ALL!C103,'Адресная программа'!$C$2975:$C$4468,БЦ_ALL!B103,'Адресная программа'!$N$2975:$N$4468,1)</f>
        <v/>
      </c>
      <c r="E103" s="994">
        <f>'Цены|Скидки'!$D$25</f>
        <v/>
      </c>
      <c r="F103" s="942">
        <f>SUM(E103*D103*$K$7/15*$K$9)</f>
        <v/>
      </c>
      <c r="G103" s="156">
        <f>IF(SUMIFS('Адресная программа'!$O$20:$O$4940,'Адресная программа'!$N$20:$N$4940,1,'Адресная программа'!$C$20:$C$4940,B103,'Адресная программа'!$G$20:$G$4940,"Бизнес центр")=SUMIFS('Адресная программа'!$K$20:$K$4940,'Адресная программа'!$L$20:$L$4940,1,'Адресная программа'!$C$20:$C$4940,B103,'Адресная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программа'!$C$20:$C$4940,B103,'Адресная программа'!$G$20:$G$4940,"Бизнес центр")&gt;(SUMIFS('Адресная программа'!$K$20:$K$4940,'Адресная программа'!$L$20:$L$4940,1,'Адресная программа'!$C$20:$C$4940,B103,'Адресная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программа'!$C$20:$C$4940,B103,'Адресная программа'!$G$20:$G$4940,"Бизнес центр")&gt;(SUMIFS('Адресная программа'!$K$20:$K$4940,'Адресная программа'!$L$20:$L$4940,1,'Адресная программа'!$C$20:$C$4940,B103,'Адресная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программа'!$C$20:$C$4940,B103,'Адресная программа'!$G$20:$G$4940,"Бизнес центр")&gt;(SUMIFS('Адресная программа'!$K$20:$K$4940,'Адресная программа'!$L$20:$L$4940,1,'Адресная программа'!$C$20:$C$4940,B103,'Адресная программа'!$G$20:$G$4940,"Бизнес центр")*'Цены|Скидки'!$B$55-1),'Цены|Скидки'!$C$55,0%))))</f>
        <v/>
      </c>
      <c r="H103" s="156">
        <f>D$12</f>
        <v/>
      </c>
      <c r="I103" s="190">
        <f>IF(D103=0,0,1-J103/F103)</f>
        <v/>
      </c>
      <c r="J103" s="934">
        <f>F103*(1-G103)*(1-H103)*(1-IF($AC$2="РА",$AD$2,0))*(1-IF(OR($AC$3="Доп скидка",$AC$3="Сезонная скидка",$AC$3="Welcome скидка")=TRUE,$AD$3,0))</f>
        <v/>
      </c>
      <c r="K103" s="934">
        <f>ROUND(J103+L103,2)</f>
        <v/>
      </c>
      <c r="L103" s="934">
        <f>J103*БЦ!$AD$4</f>
        <v/>
      </c>
      <c r="M103" s="159">
        <f>(SUMIFS('Адресная программа'!$H$20:$H$4288,'Адресная программа'!$I$20:$I$4288,БЦ_ALL!C103,'Адресная программа'!$C$20:$C$4288,БЦ_ALL!B103,'Адресная программа'!$N$20:$N$4288,1)*$K$7)</f>
        <v/>
      </c>
      <c r="N103" s="935">
        <f>IF(M103=0,0,J103/M103*1000)</f>
        <v/>
      </c>
    </row>
    <row r="104" ht="13.8" customHeight="1">
      <c r="B104" s="253" t="inlineStr">
        <is>
          <t>Москва</t>
        </is>
      </c>
      <c r="C104" s="264" t="inlineStr">
        <is>
          <t>Лубянский</t>
        </is>
      </c>
      <c r="D104" s="303">
        <f>SUMIFS('Адресная программа'!$K$2975:$K$4468,'Адресная программа'!$I$2975:$I$4468,БЦ_ALL!C104,'Адресная программа'!$C$2975:$C$4468,БЦ_ALL!B104,'Адресная программа'!$N$2975:$N$4468,1)</f>
        <v/>
      </c>
      <c r="E104" s="994">
        <f>'Цены|Скидки'!$D$25</f>
        <v/>
      </c>
      <c r="F104" s="942">
        <f>SUM(E104*D104*$K$7/15*$K$9)</f>
        <v/>
      </c>
      <c r="G104" s="156">
        <f>IF(SUMIFS('Адресная программа'!$O$20:$O$4940,'Адресная программа'!$N$20:$N$4940,1,'Адресная программа'!$C$20:$C$4940,B104,'Адресная программа'!$G$20:$G$4940,"Бизнес центр")=SUMIFS('Адресная программа'!$K$20:$K$4940,'Адресная программа'!$L$20:$L$4940,1,'Адресная программа'!$C$20:$C$4940,B104,'Адресная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программа'!$C$20:$C$4940,B104,'Адресная программа'!$G$20:$G$4940,"Бизнес центр")&gt;(SUMIFS('Адресная программа'!$K$20:$K$4940,'Адресная программа'!$L$20:$L$4940,1,'Адресная программа'!$C$20:$C$4940,B104,'Адресная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программа'!$C$20:$C$4940,B104,'Адресная программа'!$G$20:$G$4940,"Бизнес центр")&gt;(SUMIFS('Адресная программа'!$K$20:$K$4940,'Адресная программа'!$L$20:$L$4940,1,'Адресная программа'!$C$20:$C$4940,B104,'Адресная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программа'!$C$20:$C$4940,B104,'Адресная программа'!$G$20:$G$4940,"Бизнес центр")&gt;(SUMIFS('Адресная программа'!$K$20:$K$4940,'Адресная программа'!$L$20:$L$4940,1,'Адресная программа'!$C$20:$C$4940,B104,'Адресная программа'!$G$20:$G$4940,"Бизнес центр")*'Цены|Скидки'!$B$55-1),'Цены|Скидки'!$C$55,0%))))</f>
        <v/>
      </c>
      <c r="H104" s="156">
        <f>D$12</f>
        <v/>
      </c>
      <c r="I104" s="190">
        <f>IF(D104=0,0,1-J104/F104)</f>
        <v/>
      </c>
      <c r="J104" s="934">
        <f>F104*(1-G104)*(1-H104)*(1-IF($AC$2="РА",$AD$2,0))*(1-IF(OR($AC$3="Доп скидка",$AC$3="Сезонная скидка",$AC$3="Welcome скидка")=TRUE,$AD$3,0))</f>
        <v/>
      </c>
      <c r="K104" s="934">
        <f>ROUND(J104+L104,2)</f>
        <v/>
      </c>
      <c r="L104" s="934">
        <f>J104*БЦ!$AD$4</f>
        <v/>
      </c>
      <c r="M104" s="159">
        <f>(SUMIFS('Адресная программа'!$H$20:$H$4288,'Адресная программа'!$I$20:$I$4288,БЦ_ALL!C104,'Адресная программа'!$C$20:$C$4288,БЦ_ALL!B104,'Адресная программа'!$N$20:$N$4288,1)*$K$7)</f>
        <v/>
      </c>
      <c r="N104" s="935">
        <f>IF(M104=0,0,J104/M104*1000)</f>
        <v/>
      </c>
    </row>
    <row r="105" ht="13.8" customHeight="1">
      <c r="B105" s="253" t="inlineStr">
        <is>
          <t>Москва</t>
        </is>
      </c>
      <c r="C105" s="264" t="inlineStr">
        <is>
          <t>Сизонс</t>
        </is>
      </c>
      <c r="D105" s="303">
        <f>SUMIFS('Адресная программа'!$K$2975:$K$4468,'Адресная программа'!$I$2975:$I$4468,БЦ_ALL!C105,'Адресная программа'!$C$2975:$C$4468,БЦ_ALL!B105,'Адресная программа'!$N$2975:$N$4468,1)</f>
        <v/>
      </c>
      <c r="E105" s="994">
        <f>'Цены|Скидки'!$D$25</f>
        <v/>
      </c>
      <c r="F105" s="942">
        <f>SUM(E105*D105*$K$7/15*$K$9)</f>
        <v/>
      </c>
      <c r="G105" s="156">
        <f>IF(SUMIFS('Адресная программа'!$O$20:$O$4940,'Адресная программа'!$N$20:$N$4940,1,'Адресная программа'!$C$20:$C$4940,B105,'Адресная программа'!$G$20:$G$4940,"Бизнес центр")=SUMIFS('Адресная программа'!$K$20:$K$4940,'Адресная программа'!$L$20:$L$4940,1,'Адресная программа'!$C$20:$C$4940,B105,'Адресная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программа'!$C$20:$C$4940,B105,'Адресная программа'!$G$20:$G$4940,"Бизнес центр")&gt;(SUMIFS('Адресная программа'!$K$20:$K$4940,'Адресная программа'!$L$20:$L$4940,1,'Адресная программа'!$C$20:$C$4940,B105,'Адресная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программа'!$C$20:$C$4940,B105,'Адресная программа'!$G$20:$G$4940,"Бизнес центр")&gt;(SUMIFS('Адресная программа'!$K$20:$K$4940,'Адресная программа'!$L$20:$L$4940,1,'Адресная программа'!$C$20:$C$4940,B105,'Адресная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программа'!$C$20:$C$4940,B105,'Адресная программа'!$G$20:$G$4940,"Бизнес центр")&gt;(SUMIFS('Адресная программа'!$K$20:$K$4940,'Адресная программа'!$L$20:$L$4940,1,'Адресная программа'!$C$20:$C$4940,B105,'Адресная программа'!$G$20:$G$4940,"Бизнес центр")*'Цены|Скидки'!$B$55-1),'Цены|Скидки'!$C$55,0%))))</f>
        <v/>
      </c>
      <c r="H105" s="156">
        <f>D$12</f>
        <v/>
      </c>
      <c r="I105" s="190">
        <f>IF(D105=0,0,1-J105/F105)</f>
        <v/>
      </c>
      <c r="J105" s="934">
        <f>F105*(1-G105)*(1-H105)*(1-IF($AC$2="РА",$AD$2,0))*(1-IF(OR($AC$3="Доп скидка",$AC$3="Сезонная скидка",$AC$3="Welcome скидка")=TRUE,$AD$3,0))</f>
        <v/>
      </c>
      <c r="K105" s="934">
        <f>ROUND(J105+L105,2)</f>
        <v/>
      </c>
      <c r="L105" s="934">
        <f>J105*БЦ!$AD$4</f>
        <v/>
      </c>
      <c r="M105" s="159">
        <f>(SUMIFS('Адресная программа'!$H$20:$H$4288,'Адресная программа'!$I$20:$I$4288,БЦ_ALL!C105,'Адресная программа'!$C$20:$C$4288,БЦ_ALL!B105,'Адресная программа'!$N$20:$N$4288,1)*$K$7)</f>
        <v/>
      </c>
      <c r="N105" s="935">
        <f>IF(M105=0,0,J105/M105*1000)</f>
        <v/>
      </c>
    </row>
    <row r="106" ht="13.8" customHeight="1">
      <c r="B106" s="253" t="inlineStr">
        <is>
          <t>Москва</t>
        </is>
      </c>
      <c r="C106" s="264" t="inlineStr">
        <is>
          <t>Покровка М</t>
        </is>
      </c>
      <c r="D106" s="303">
        <f>SUMIFS('Адресная программа'!$K$2975:$K$4468,'Адресная программа'!$I$2975:$I$4468,БЦ_ALL!C106,'Адресная программа'!$C$2975:$C$4468,БЦ_ALL!B106,'Адресная программа'!$L$2975:$L$4468,1)</f>
        <v/>
      </c>
      <c r="E106" s="994" t="n">
        <v>0</v>
      </c>
      <c r="F106" s="942">
        <f>SUM(E106*D106*$K$7/15*$K$9)</f>
        <v/>
      </c>
      <c r="G106" s="156">
        <f>IF('Адресная программа'!$V$9='Адресная программа'!$U$9,'Цены|Скидки'!$C$52,IF('Адресная программа'!$V$9&gt;('Адресная программа'!$U$9*'Цены|Скидки'!$B$53-1),'Цены|Скидки'!$C$53,IF('Адресная программа'!$V$9&gt;('Адресная программа'!$U$9*'Цены|Скидки'!$B$54-1),'Цены|Скидки'!$C$54,IF('Адресная программа'!$V$9&gt;('Адресная программа'!$U$9*'Цены|Скидки'!$B$55-1),'Цены|Скидки'!$C$55,0%))))</f>
        <v/>
      </c>
      <c r="H106" s="156">
        <f>D$12</f>
        <v/>
      </c>
      <c r="I106" s="190" t="n">
        <v>0</v>
      </c>
      <c r="J106" s="934">
        <f>F106*(1-G106)*(1-H106)*(1-IF($AC$2="РА",$AD$2,0))*(1-IF(OR($AC$3="Доп скидка",$AC$3="Сезонная скидка",$AC$3="Welcome скидка")=TRUE,$AD$3,0))</f>
        <v/>
      </c>
      <c r="K106" s="934">
        <f>ROUND(J106+L106,2)</f>
        <v/>
      </c>
      <c r="L106" s="934">
        <f>J106*0.2</f>
        <v/>
      </c>
      <c r="M106" s="159">
        <f>(SUMIFS('Адресная программа'!$H$3031:$H$4288,'Адресная программа'!$I$3031:$I$4288,БЦ_ALL!C106,'Адресная программа'!$C$3031:$C$4288,БЦ_ALL!B106,'Адресная программа'!$N$3031:$N$4288,1)*$K$7)</f>
        <v/>
      </c>
      <c r="N106" s="935">
        <f>IF(M106=0,0,J106/M106*1000)</f>
        <v/>
      </c>
      <c r="O106" s="701" t="n"/>
    </row>
    <row r="107" ht="13.8" customHeight="1">
      <c r="B107" s="253" t="inlineStr">
        <is>
          <t>Москва</t>
        </is>
      </c>
      <c r="C107" s="264" t="inlineStr">
        <is>
          <t>Альтерком</t>
        </is>
      </c>
      <c r="D107" s="303">
        <f>SUMIFS('Адресная программа'!$K$2975:$K$4468,'Адресная программа'!$I$2975:$I$4468,БЦ_ALL!C107,'Адресная программа'!$C$2975:$C$4468,БЦ_ALL!B107,'Адресная программа'!$N$2975:$N$4468,1)</f>
        <v/>
      </c>
      <c r="E107" s="994">
        <f>'Цены|Скидки'!$D$25</f>
        <v/>
      </c>
      <c r="F107" s="942">
        <f>SUM(E107*D107*$K$7/15*$K$9)</f>
        <v/>
      </c>
      <c r="G107" s="156">
        <f>IF(SUMIFS('Адресная программа'!$O$20:$O$4940,'Адресная программа'!$N$20:$N$4940,1,'Адресная программа'!$C$20:$C$4940,B107,'Адресная программа'!$G$20:$G$4940,"Бизнес центр")=SUMIFS('Адресная программа'!$K$20:$K$4940,'Адресная программа'!$L$20:$L$4940,1,'Адресная программа'!$C$20:$C$4940,B107,'Адресная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программа'!$C$20:$C$4940,B107,'Адресная программа'!$G$20:$G$4940,"Бизнес центр")&gt;(SUMIFS('Адресная программа'!$K$20:$K$4940,'Адресная программа'!$L$20:$L$4940,1,'Адресная программа'!$C$20:$C$4940,B107,'Адресная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программа'!$C$20:$C$4940,B107,'Адресная программа'!$G$20:$G$4940,"Бизнес центр")&gt;(SUMIFS('Адресная программа'!$K$20:$K$4940,'Адресная программа'!$L$20:$L$4940,1,'Адресная программа'!$C$20:$C$4940,B107,'Адресная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программа'!$C$20:$C$4940,B107,'Адресная программа'!$G$20:$G$4940,"Бизнес центр")&gt;(SUMIFS('Адресная программа'!$K$20:$K$4940,'Адресная программа'!$L$20:$L$4940,1,'Адресная программа'!$C$20:$C$4940,B107,'Адресная программа'!$G$20:$G$4940,"Бизнес центр")*'Цены|Скидки'!$B$55-1),'Цены|Скидки'!$C$55,0%))))</f>
        <v/>
      </c>
      <c r="H107" s="156">
        <f>D$12</f>
        <v/>
      </c>
      <c r="I107" s="190">
        <f>IF(D107=0,0,1-J107/F107)</f>
        <v/>
      </c>
      <c r="J107" s="934">
        <f>F107*(1-G107)*(1-H107)*(1-IF($AC$2="РА",$AD$2,0))*(1-IF(OR($AC$3="Доп скидка",$AC$3="Сезонная скидка",$AC$3="Welcome скидка")=TRUE,$AD$3,0))</f>
        <v/>
      </c>
      <c r="K107" s="934">
        <f>ROUND(J107+L107,2)</f>
        <v/>
      </c>
      <c r="L107" s="934">
        <f>J107*БЦ!$AD$4</f>
        <v/>
      </c>
      <c r="M107" s="159">
        <f>(SUMIFS('Адресная программа'!$H$20:$H$4288,'Адресная программа'!$I$20:$I$4288,БЦ_ALL!C107,'Адресная программа'!$C$20:$C$4288,БЦ_ALL!B107,'Адресная программа'!$N$20:$N$4288,1)*$K$7)</f>
        <v/>
      </c>
      <c r="N107" s="935">
        <f>IF(M107=0,0,J107/M107*1000)</f>
        <v/>
      </c>
    </row>
    <row r="108" ht="13.8" customHeight="1">
      <c r="B108" s="253" t="inlineStr">
        <is>
          <t>Москва</t>
        </is>
      </c>
      <c r="C108" s="264" t="inlineStr">
        <is>
          <t>Имидж</t>
        </is>
      </c>
      <c r="D108" s="303">
        <f>SUMIFS('Адресная программа'!$K$2975:$K$4468,'Адресная программа'!$I$2975:$I$4468,БЦ_ALL!C108,'Адресная программа'!$C$2975:$C$4468,БЦ_ALL!B108,'Адресная программа'!$N$2975:$N$4468,1)</f>
        <v/>
      </c>
      <c r="E108" s="994">
        <f>'Цены|Скидки'!$D$25</f>
        <v/>
      </c>
      <c r="F108" s="942">
        <f>SUM(E108*D108*$K$7/15*$K$9)</f>
        <v/>
      </c>
      <c r="G108" s="156">
        <f>IF(SUMIFS('Адресная программа'!$O$20:$O$4940,'Адресная программа'!$N$20:$N$4940,1,'Адресная программа'!$C$20:$C$4940,B108,'Адресная программа'!$G$20:$G$4940,"Бизнес центр")=SUMIFS('Адресная программа'!$K$20:$K$4940,'Адресная программа'!$L$20:$L$4940,1,'Адресная программа'!$C$20:$C$4940,B108,'Адресная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программа'!$C$20:$C$4940,B108,'Адресная программа'!$G$20:$G$4940,"Бизнес центр")&gt;(SUMIFS('Адресная программа'!$K$20:$K$4940,'Адресная программа'!$L$20:$L$4940,1,'Адресная программа'!$C$20:$C$4940,B108,'Адресная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программа'!$C$20:$C$4940,B108,'Адресная программа'!$G$20:$G$4940,"Бизнес центр")&gt;(SUMIFS('Адресная программа'!$K$20:$K$4940,'Адресная программа'!$L$20:$L$4940,1,'Адресная программа'!$C$20:$C$4940,B108,'Адресная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программа'!$C$20:$C$4940,B108,'Адресная программа'!$G$20:$G$4940,"Бизнес центр")&gt;(SUMIFS('Адресная программа'!$K$20:$K$4940,'Адресная программа'!$L$20:$L$4940,1,'Адресная программа'!$C$20:$C$4940,B108,'Адресная программа'!$G$20:$G$4940,"Бизнес центр")*'Цены|Скидки'!$B$55-1),'Цены|Скидки'!$C$55,0%))))</f>
        <v/>
      </c>
      <c r="H108" s="156">
        <f>D$12</f>
        <v/>
      </c>
      <c r="I108" s="190">
        <f>IF(D108=0,0,1-J108/F108)</f>
        <v/>
      </c>
      <c r="J108" s="934">
        <f>F108*(1-G108)*(1-H108)*(1-IF($AC$2="РА",$AD$2,0))*(1-IF(OR($AC$3="Доп скидка",$AC$3="Сезонная скидка",$AC$3="Welcome скидка")=TRUE,$AD$3,0))</f>
        <v/>
      </c>
      <c r="K108" s="934">
        <f>ROUND(J108+L108,2)</f>
        <v/>
      </c>
      <c r="L108" s="934">
        <f>J108*БЦ!$AD$4</f>
        <v/>
      </c>
      <c r="M108" s="159">
        <f>(SUMIFS('Адресная программа'!$H$20:$H$4288,'Адресная программа'!$I$20:$I$4288,БЦ_ALL!C108,'Адресная программа'!$C$20:$C$4288,БЦ_ALL!B108,'Адресная программа'!$N$20:$N$4288,1)*$K$7)</f>
        <v/>
      </c>
      <c r="N108" s="935">
        <f>IF(M108=0,0,J108/M108*1000)</f>
        <v/>
      </c>
    </row>
    <row r="109" ht="13.8" customHeight="1">
      <c r="B109" s="253" t="inlineStr">
        <is>
          <t>Москва</t>
        </is>
      </c>
      <c r="C109" s="264" t="inlineStr">
        <is>
          <t>Алькор</t>
        </is>
      </c>
      <c r="D109" s="303">
        <f>SUMIFS('Адресная программа'!$K$2975:$K$4468,'Адресная программа'!$I$2975:$I$4468,БЦ_ALL!C109,'Адресная программа'!$C$2975:$C$4468,БЦ_ALL!B109,'Адресная программа'!$N$2975:$N$4468,1)</f>
        <v/>
      </c>
      <c r="E109" s="994">
        <f>'Цены|Скидки'!$D$25</f>
        <v/>
      </c>
      <c r="F109" s="942">
        <f>SUM(E109*D109*$K$7/15*$K$9)</f>
        <v/>
      </c>
      <c r="G109" s="156">
        <f>IF(SUMIFS('Адресная программа'!$O$20:$O$4940,'Адресная программа'!$N$20:$N$4940,1,'Адресная программа'!$C$20:$C$4940,B109,'Адресная программа'!$G$20:$G$4940,"Бизнес центр")=SUMIFS('Адресная программа'!$K$20:$K$4940,'Адресная программа'!$L$20:$L$4940,1,'Адресная программа'!$C$20:$C$4940,B109,'Адресная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программа'!$C$20:$C$4940,B109,'Адресная программа'!$G$20:$G$4940,"Бизнес центр")&gt;(SUMIFS('Адресная программа'!$K$20:$K$4940,'Адресная программа'!$L$20:$L$4940,1,'Адресная программа'!$C$20:$C$4940,B109,'Адресная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программа'!$C$20:$C$4940,B109,'Адресная программа'!$G$20:$G$4940,"Бизнес центр")&gt;(SUMIFS('Адресная программа'!$K$20:$K$4940,'Адресная программа'!$L$20:$L$4940,1,'Адресная программа'!$C$20:$C$4940,B109,'Адресная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программа'!$C$20:$C$4940,B109,'Адресная программа'!$G$20:$G$4940,"Бизнес центр")&gt;(SUMIFS('Адресная программа'!$K$20:$K$4940,'Адресная программа'!$L$20:$L$4940,1,'Адресная программа'!$C$20:$C$4940,B109,'Адресная программа'!$G$20:$G$4940,"Бизнес центр")*'Цены|Скидки'!$B$55-1),'Цены|Скидки'!$C$55,0%))))</f>
        <v/>
      </c>
      <c r="H109" s="156">
        <f>D$12</f>
        <v/>
      </c>
      <c r="I109" s="190">
        <f>IF(D109=0,0,1-J109/F109)</f>
        <v/>
      </c>
      <c r="J109" s="934">
        <f>F109*(1-G109)*(1-H109)*(1-IF($AC$2="РА",$AD$2,0))*(1-IF(OR($AC$3="Доп скидка",$AC$3="Сезонная скидка",$AC$3="Welcome скидка")=TRUE,$AD$3,0))</f>
        <v/>
      </c>
      <c r="K109" s="934">
        <f>ROUND(J109+L109,2)</f>
        <v/>
      </c>
      <c r="L109" s="934">
        <f>J109*БЦ!$AD$4</f>
        <v/>
      </c>
      <c r="M109" s="159">
        <f>(SUMIFS('Адресная программа'!$H$20:$H$4288,'Адресная программа'!$I$20:$I$4288,БЦ_ALL!C109,'Адресная программа'!$C$20:$C$4288,БЦ_ALL!B109,'Адресная программа'!$N$20:$N$4288,1)*$K$7)</f>
        <v/>
      </c>
      <c r="N109" s="935">
        <f>IF(M109=0,0,J109/M109*1000)</f>
        <v/>
      </c>
    </row>
    <row r="110" ht="13.8" customHeight="1">
      <c r="B110" s="253" t="inlineStr">
        <is>
          <t>Москва</t>
        </is>
      </c>
      <c r="C110" s="264" t="inlineStr">
        <is>
          <t>Кантри Парк</t>
        </is>
      </c>
      <c r="D110" s="303">
        <f>SUMIFS('Адресная программа'!$K$2975:$K$4468,'Адресная программа'!$I$2975:$I$4468,БЦ_ALL!C110,'Адресная программа'!$C$2975:$C$4468,БЦ_ALL!B110,'Адресная программа'!$N$2975:$N$4468,1)</f>
        <v/>
      </c>
      <c r="E110" s="994">
        <f>'Цены|Скидки'!$D$25</f>
        <v/>
      </c>
      <c r="F110" s="942">
        <f>SUM(E110*D110*$K$7/15*$K$9)</f>
        <v/>
      </c>
      <c r="G110" s="156">
        <f>IF(SUMIFS('Адресная программа'!$O$20:$O$4940,'Адресная программа'!$N$20:$N$4940,1,'Адресная программа'!$C$20:$C$4940,B110,'Адресная программа'!$G$20:$G$4940,"Бизнес центр")=SUMIFS('Адресная программа'!$K$20:$K$4940,'Адресная программа'!$L$20:$L$4940,1,'Адресная программа'!$C$20:$C$4940,B110,'Адресная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программа'!$C$20:$C$4940,B110,'Адресная программа'!$G$20:$G$4940,"Бизнес центр")&gt;(SUMIFS('Адресная программа'!$K$20:$K$4940,'Адресная программа'!$L$20:$L$4940,1,'Адресная программа'!$C$20:$C$4940,B110,'Адресная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программа'!$C$20:$C$4940,B110,'Адресная программа'!$G$20:$G$4940,"Бизнес центр")&gt;(SUMIFS('Адресная программа'!$K$20:$K$4940,'Адресная программа'!$L$20:$L$4940,1,'Адресная программа'!$C$20:$C$4940,B110,'Адресная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программа'!$C$20:$C$4940,B110,'Адресная программа'!$G$20:$G$4940,"Бизнес центр")&gt;(SUMIFS('Адресная программа'!$K$20:$K$4940,'Адресная программа'!$L$20:$L$4940,1,'Адресная программа'!$C$20:$C$4940,B110,'Адресная программа'!$G$20:$G$4940,"Бизнес центр")*'Цены|Скидки'!$B$55-1),'Цены|Скидки'!$C$55,0%))))</f>
        <v/>
      </c>
      <c r="H110" s="156">
        <f>D$12</f>
        <v/>
      </c>
      <c r="I110" s="190">
        <f>IF(D110=0,0,1-J110/F110)</f>
        <v/>
      </c>
      <c r="J110" s="934">
        <f>F110*(1-G110)*(1-H110)*(1-IF($AC$2="РА",$AD$2,0))*(1-IF(OR($AC$3="Доп скидка",$AC$3="Сезонная скидка",$AC$3="Welcome скидка")=TRUE,$AD$3,0))</f>
        <v/>
      </c>
      <c r="K110" s="934">
        <f>ROUND(J110+L110,2)</f>
        <v/>
      </c>
      <c r="L110" s="934">
        <f>J110*БЦ!$AD$4</f>
        <v/>
      </c>
      <c r="M110" s="159">
        <f>(SUMIFS('Адресная программа'!$H$20:$H$4288,'Адресная программа'!$I$20:$I$4288,БЦ_ALL!C110,'Адресная программа'!$C$20:$C$4288,БЦ_ALL!B110,'Адресная программа'!$N$20:$N$4288,1)*$K$7)</f>
        <v/>
      </c>
      <c r="N110" s="935">
        <f>IF(M110=0,0,J110/M110*1000)</f>
        <v/>
      </c>
    </row>
    <row r="111" ht="13.8" customHeight="1">
      <c r="B111" s="253" t="inlineStr">
        <is>
          <t>Москва</t>
        </is>
      </c>
      <c r="C111" s="264" t="inlineStr">
        <is>
          <t>Персона Грата</t>
        </is>
      </c>
      <c r="D111" s="303">
        <f>SUMIFS('Адресная программа'!$K$2975:$K$4468,'Адресная программа'!$I$2975:$I$4468,БЦ_ALL!C111,'Адресная программа'!$C$2975:$C$4468,БЦ_ALL!B111,'Адресная программа'!$N$2975:$N$4468,1)</f>
        <v/>
      </c>
      <c r="E111" s="994">
        <f>'Цены|Скидки'!$D$25</f>
        <v/>
      </c>
      <c r="F111" s="942">
        <f>SUM(E111*D111*$K$7/15*$K$9)</f>
        <v/>
      </c>
      <c r="G111" s="156">
        <f>IF(COUNTIFS('Адресная программа'!$N$20:$N$4940,1,'Адресная программа'!$C$20:$C$4940,B111,'Адресная программа'!$G$20:$G$4940,"Бизнес центр")=COUNTIFS('Адресная программа'!$L$20:$L$4940,1,'Адресная программа'!$C$20:$C$4940,B111,'Адресная программа'!$G$20:$G$4940,"Бизнес центр"),'Цены|Скидки'!$C$52,IF(COUNTIFS('Адресная программа'!$N$20:$N$4940,1,'Адресная программа'!$C$20:$C$4940,B111,'Адресная программа'!$G$20:$G$4940,"Бизнес центр")&gt;(COUNTIFS('Адресная программа'!$L$20:$L$4940,1,'Адресная программа'!$C$20:$C$4940,B111,'Адресная программа'!$G$20:$G$4940,"Бизнес центр")*'Цены|Скидки'!$B$53-1),'Цены|Скидки'!$C$53,IF(COUNTIFS('Адресная программа'!$N$20:$N$4940,1,'Адресная программа'!$C$20:$C$4940,B111,'Адресная программа'!$G$20:$G$4940,"Бизнес центр")&gt;(COUNTIFS('Адресная программа'!$L$20:$L$4940,1,'Адресная программа'!$C$20:$C$4940,B111,'Адресная программа'!$G$20:$G$4940,"Бизнес центр")*'Цены|Скидки'!$B$54-1),'Цены|Скидки'!$C$54,IF(COUNTIFS('Адресная программа'!$N$20:$N$4940,1,'Адресная программа'!$C$20:$C$4940,B111,'Адресная программа'!$G$20:$G$4940,"Бизнес центр")&gt;(COUNTIFS('Адресная программа'!$L$20:$L$4940,1,'Адресная программа'!$C$20:$C$4940,B111,'Адресная программа'!$G$20:$G$4940,"Бизнес центр")*'Цены|Скидки'!$B$55-1),'Цены|Скидки'!$C$55,0%))))</f>
        <v/>
      </c>
      <c r="H111" s="156">
        <f>D$12</f>
        <v/>
      </c>
      <c r="I111" s="190">
        <f>IF(D111=0,0,1-J111/F111)</f>
        <v/>
      </c>
      <c r="J111" s="934">
        <f>F111*(1-G111)*(1-H111)*(1-IF($AC$2="РА",$AD$2,0))*(1-IF(OR($AC$3="Доп скидка",$AC$3="Сезонная скидка",$AC$3="Welcome скидка")=TRUE,$AD$3,0))</f>
        <v/>
      </c>
      <c r="K111" s="934">
        <f>ROUND(J111+L111,2)</f>
        <v/>
      </c>
      <c r="L111" s="934">
        <f>J111*0.2</f>
        <v/>
      </c>
      <c r="M111" s="159">
        <f>(SUMIFS('Адресная программа'!$H$3031:$H$4288,'Адресная программа'!$I$3031:$I$4288,БЦ_ALL!C111,'Адресная программа'!$C$3031:$C$4288,БЦ_ALL!B111,'Адресная программа'!$N$3031:$N$4288,1)*$K$7)</f>
        <v/>
      </c>
      <c r="N111" s="935">
        <f>IF(M111=0,0,J111/M111*1000)</f>
        <v/>
      </c>
    </row>
    <row r="112" ht="13.8" customHeight="1">
      <c r="B112" s="253" t="inlineStr">
        <is>
          <t>Москва</t>
        </is>
      </c>
      <c r="C112" s="264" t="inlineStr">
        <is>
          <t>Норд Хаус</t>
        </is>
      </c>
      <c r="D112" s="303">
        <f>SUMIFS('Адресная программа'!$K$2975:$K$4468,'Адресная программа'!$I$2975:$I$4468,БЦ_ALL!C112,'Адресная программа'!$C$2975:$C$4468,БЦ_ALL!B112,'Адресная программа'!$N$2975:$N$4468,1)</f>
        <v/>
      </c>
      <c r="E112" s="994">
        <f>'Цены|Скидки'!$D$25</f>
        <v/>
      </c>
      <c r="F112" s="942">
        <f>SUM(E112*D112*$K$7/15*$K$9)</f>
        <v/>
      </c>
      <c r="G112" s="156">
        <f>IF('Адресная программа'!$V$9='Адресная программа'!$U$9,'Цены|Скидки'!$C$52,IF('Адресная программа'!$V$9&gt;('Адресная программа'!$U$9*'Цены|Скидки'!$B$53-1),'Цены|Скидки'!$C$53,IF('Адресная программа'!$V$9&gt;('Адресная программа'!$U$9*'Цены|Скидки'!$B$54-1),'Цены|Скидки'!$C$54,IF('Адресная программа'!$V$9&gt;('Адресная программа'!$U$9*'Цены|Скидки'!$B$55-1),'Цены|Скидки'!$C$55,0%))))</f>
        <v/>
      </c>
      <c r="H112" s="156">
        <f>D$12</f>
        <v/>
      </c>
      <c r="I112" s="190">
        <f>IF(D112=0,0,1-J112/F112)</f>
        <v/>
      </c>
      <c r="J112" s="934">
        <f>F112*(1-G112)*(1-H112)*(1-IF($AC$2="РА",$AD$2,0))*(1-IF(OR($AC$3="Доп скидка",$AC$3="Сезонная скидка",$AC$3="Welcome скидка")=TRUE,$AD$3,0))</f>
        <v/>
      </c>
      <c r="K112" s="934">
        <f>ROUND(J112+L112,2)</f>
        <v/>
      </c>
      <c r="L112" s="934">
        <f>J112*0.2</f>
        <v/>
      </c>
      <c r="M112" s="159">
        <f>(SUMIFS('Адресная программа'!$H$3031:$H$4288,'Адресная программа'!$I$3031:$I$4288,БЦ_ALL!C112,'Адресная программа'!$C$3031:$C$4288,БЦ_ALL!B112,'Адресная программа'!$N$3031:$N$4288,1)*$K$7)</f>
        <v/>
      </c>
      <c r="N112" s="935">
        <f>IF(M112=0,0,J112/M112*1000)</f>
        <v/>
      </c>
    </row>
    <row r="113" ht="13.8" customHeight="1">
      <c r="B113" s="253" t="inlineStr">
        <is>
          <t>Москва</t>
        </is>
      </c>
      <c r="C113" s="264" t="inlineStr">
        <is>
          <t>АВС</t>
        </is>
      </c>
      <c r="D113" s="303">
        <f>SUMIFS('Адресная программа'!$K$2975:$K$4468,'Адресная программа'!$I$2975:$I$4468,БЦ_ALL!C113,'Адресная программа'!$C$2975:$C$4468,БЦ_ALL!B113,'Адресная программа'!$N$2975:$N$4468,1)</f>
        <v/>
      </c>
      <c r="E113" s="994">
        <f>'Цены|Скидки'!$D$25</f>
        <v/>
      </c>
      <c r="F113" s="942">
        <f>SUM(E113*D113*$K$7/15*$K$9)</f>
        <v/>
      </c>
      <c r="G113" s="156">
        <f>IF(COUNTIFS('Адресная программа'!$N$20:$N$4940,1,'Адресная программа'!$C$20:$C$4940,B113,'Адресная программа'!$G$20:$G$4940,"Бизнес центр")=COUNTIFS('Адресная программа'!$L$20:$L$4940,1,'Адресная программа'!$C$20:$C$4940,B113,'Адресная программа'!$G$20:$G$4940,"Бизнес центр"),'Цены|Скидки'!$C$52,IF(COUNTIFS('Адресная программа'!$N$20:$N$4940,1,'Адресная программа'!$C$20:$C$4940,B113,'Адресная программа'!$G$20:$G$4940,"Бизнес центр")&gt;(COUNTIFS('Адресная программа'!$L$20:$L$4940,1,'Адресная программа'!$C$20:$C$4940,B113,'Адресная программа'!$G$20:$G$4940,"Бизнес центр")*'Цены|Скидки'!$B$53-1),'Цены|Скидки'!$C$53,IF(COUNTIFS('Адресная программа'!$N$20:$N$4940,1,'Адресная программа'!$C$20:$C$4940,B113,'Адресная программа'!$G$20:$G$4940,"Бизнес центр")&gt;(COUNTIFS('Адресная программа'!$L$20:$L$4940,1,'Адресная программа'!$C$20:$C$4940,B113,'Адресная программа'!$G$20:$G$4940,"Бизнес центр")*'Цены|Скидки'!$B$54-1),'Цены|Скидки'!$C$54,IF(COUNTIFS('Адресная программа'!$N$20:$N$4940,1,'Адресная программа'!$C$20:$C$4940,B113,'Адресная программа'!$G$20:$G$4940,"Бизнес центр")&gt;(COUNTIFS('Адресная программа'!$L$20:$L$4940,1,'Адресная программа'!$C$20:$C$4940,B113,'Адресная программа'!$G$20:$G$4940,"Бизнес центр")*'Цены|Скидки'!$B$55-1),'Цены|Скидки'!$C$55,0%))))</f>
        <v/>
      </c>
      <c r="H113" s="156">
        <f>D$12</f>
        <v/>
      </c>
      <c r="I113" s="190">
        <f>IF(D113=0,0,1-J113/F113)</f>
        <v/>
      </c>
      <c r="J113" s="934">
        <f>F113*(1-G113)*(1-H113)*(1-IF($AC$2="РА",$AD$2,0))*(1-IF(OR($AC$3="Доп скидка",$AC$3="Сезонная скидка",$AC$3="Welcome скидка")=TRUE,$AD$3,0))</f>
        <v/>
      </c>
      <c r="K113" s="934">
        <f>ROUND(J113+L113,2)</f>
        <v/>
      </c>
      <c r="L113" s="934">
        <f>J113*0.2</f>
        <v/>
      </c>
      <c r="M113" s="159">
        <f>(SUMIFS('Адресная программа'!$H$3031:$H$4288,'Адресная программа'!$I$3031:$I$4288,БЦ_ALL!C113,'Адресная программа'!$C$3031:$C$4288,БЦ_ALL!B113,'Адресная программа'!$N$3031:$N$4288,1)*$K$7)</f>
        <v/>
      </c>
      <c r="N113" s="935">
        <f>IF(M113=0,0,J113/M113*1000)</f>
        <v/>
      </c>
    </row>
    <row r="114" ht="13.8" customHeight="1">
      <c r="B114" s="253" t="inlineStr">
        <is>
          <t>Москва</t>
        </is>
      </c>
      <c r="C114" s="264" t="inlineStr">
        <is>
          <t>Колибрис</t>
        </is>
      </c>
      <c r="D114" s="303">
        <f>SUMIFS('Адресная программа'!$K$2975:$K$4468,'Адресная программа'!$I$2975:$I$4468,БЦ_ALL!C114,'Адресная программа'!$C$2975:$C$4468,БЦ_ALL!B114,'Адресная программа'!$N$2975:$N$4468,1)</f>
        <v/>
      </c>
      <c r="E114" s="994">
        <f>'Цены|Скидки'!$D$25</f>
        <v/>
      </c>
      <c r="F114" s="942">
        <f>SUM(E114*D114*$K$7/15*$K$9)</f>
        <v/>
      </c>
      <c r="G114" s="156">
        <f>IF(COUNTIFS('Адресная программа'!$N$20:$N$4940,1,'Адресная программа'!$C$20:$C$4940,B114,'Адресная программа'!$G$20:$G$4940,"Бизнес центр")=COUNTIFS('Адресная программа'!$L$20:$L$4940,1,'Адресная программа'!$C$20:$C$4940,B114,'Адресная программа'!$G$20:$G$4940,"Бизнес центр"),'Цены|Скидки'!$C$52,IF(COUNTIFS('Адресная программа'!$N$20:$N$4940,1,'Адресная программа'!$C$20:$C$4940,B114,'Адресная программа'!$G$20:$G$4940,"Бизнес центр")&gt;(COUNTIFS('Адресная программа'!$L$20:$L$4940,1,'Адресная программа'!$C$20:$C$4940,B114,'Адресная программа'!$G$20:$G$4940,"Бизнес центр")*'Цены|Скидки'!$B$53-1),'Цены|Скидки'!$C$53,IF(COUNTIFS('Адресная программа'!$N$20:$N$4940,1,'Адресная программа'!$C$20:$C$4940,B114,'Адресная программа'!$G$20:$G$4940,"Бизнес центр")&gt;(COUNTIFS('Адресная программа'!$L$20:$L$4940,1,'Адресная программа'!$C$20:$C$4940,B114,'Адресная программа'!$G$20:$G$4940,"Бизнес центр")*'Цены|Скидки'!$B$54-1),'Цены|Скидки'!$C$54,IF(COUNTIFS('Адресная программа'!$N$20:$N$4940,1,'Адресная программа'!$C$20:$C$4940,B114,'Адресная программа'!$G$20:$G$4940,"Бизнес центр")&gt;(COUNTIFS('Адресная программа'!$L$20:$L$4940,1,'Адресная программа'!$C$20:$C$4940,B114,'Адресная программа'!$G$20:$G$4940,"Бизнес центр")*'Цены|Скидки'!$B$55-1),'Цены|Скидки'!$C$55,0%))))</f>
        <v/>
      </c>
      <c r="H114" s="156">
        <f>D$12</f>
        <v/>
      </c>
      <c r="I114" s="190">
        <f>IF(D114=0,0,1-J114/F114)</f>
        <v/>
      </c>
      <c r="J114" s="934">
        <f>F114*(1-G114)*(1-H114)*(1-IF($AC$2="РА",$AD$2,0))*(1-IF(OR($AC$3="Доп скидка",$AC$3="Сезонная скидка",$AC$3="Welcome скидка")=TRUE,$AD$3,0))</f>
        <v/>
      </c>
      <c r="K114" s="934">
        <f>ROUND(J114+L114,2)</f>
        <v/>
      </c>
      <c r="L114" s="934">
        <f>J114*0.2</f>
        <v/>
      </c>
      <c r="M114" s="159">
        <f>(SUMIFS('Адресная программа'!$H$3031:$H$4288,'Адресная программа'!$I$3031:$I$4288,БЦ_ALL!C114,'Адресная программа'!$C$3031:$C$4288,БЦ_ALL!B114,'Адресная программа'!$N$3031:$N$4288,1)*$K$7)</f>
        <v/>
      </c>
      <c r="N114" s="935">
        <f>IF(M114=0,0,J114/M114*1000)</f>
        <v/>
      </c>
    </row>
    <row r="115" ht="13.8" customHeight="1">
      <c r="B115" s="253" t="inlineStr">
        <is>
          <t>Москва</t>
        </is>
      </c>
      <c r="C115" s="264" t="inlineStr">
        <is>
          <t>Вега</t>
        </is>
      </c>
      <c r="D115" s="303">
        <f>SUMIFS('Адресная программа'!$K$2975:$K$4468,'Адресная программа'!$I$2975:$I$4468,БЦ_ALL!C115,'Адресная программа'!$C$2975:$C$4468,БЦ_ALL!B115,'Адресная программа'!$N$2975:$N$4468,1)</f>
        <v/>
      </c>
      <c r="E115" s="994">
        <f>'Цены|Скидки'!$D$25</f>
        <v/>
      </c>
      <c r="F115" s="942">
        <f>SUM(E115*D115*$K$7/15*$K$9)</f>
        <v/>
      </c>
      <c r="G115" s="156">
        <f>IF(COUNTIFS('Адресная программа'!$N$20:$N$4940,1,'Адресная программа'!$C$20:$C$4940,B115,'Адресная программа'!$G$20:$G$4940,"Бизнес центр")=COUNTIFS('Адресная программа'!$L$20:$L$4940,1,'Адресная программа'!$C$20:$C$4940,B115,'Адресная программа'!$G$20:$G$4940,"Бизнес центр"),'Цены|Скидки'!$C$52,IF(COUNTIFS('Адресная программа'!$N$20:$N$4940,1,'Адресная программа'!$C$20:$C$4940,B115,'Адресная программа'!$G$20:$G$4940,"Бизнес центр")&gt;(COUNTIFS('Адресная программа'!$L$20:$L$4940,1,'Адресная программа'!$C$20:$C$4940,B115,'Адресная программа'!$G$20:$G$4940,"Бизнес центр")*'Цены|Скидки'!$B$53-1),'Цены|Скидки'!$C$53,IF(COUNTIFS('Адресная программа'!$N$20:$N$4940,1,'Адресная программа'!$C$20:$C$4940,B115,'Адресная программа'!$G$20:$G$4940,"Бизнес центр")&gt;(COUNTIFS('Адресная программа'!$L$20:$L$4940,1,'Адресная программа'!$C$20:$C$4940,B115,'Адресная программа'!$G$20:$G$4940,"Бизнес центр")*'Цены|Скидки'!$B$54-1),'Цены|Скидки'!$C$54,IF(COUNTIFS('Адресная программа'!$N$20:$N$4940,1,'Адресная программа'!$C$20:$C$4940,B115,'Адресная программа'!$G$20:$G$4940,"Бизнес центр")&gt;(COUNTIFS('Адресная программа'!$L$20:$L$4940,1,'Адресная программа'!$C$20:$C$4940,B115,'Адресная программа'!$G$20:$G$4940,"Бизнес центр")*'Цены|Скидки'!$B$55-1),'Цены|Скидки'!$C$55,0%))))</f>
        <v/>
      </c>
      <c r="H115" s="156">
        <f>D$12</f>
        <v/>
      </c>
      <c r="I115" s="190">
        <f>IF(D115=0,0,1-J115/F115)</f>
        <v/>
      </c>
      <c r="J115" s="934">
        <f>F115*(1-G115)*(1-H115)*(1-IF($AC$2="РА",$AD$2,0))*(1-IF(OR($AC$3="Доп скидка",$AC$3="Сезонная скидка",$AC$3="Welcome скидка")=TRUE,$AD$3,0))</f>
        <v/>
      </c>
      <c r="K115" s="934">
        <f>ROUND(J115+L115,2)</f>
        <v/>
      </c>
      <c r="L115" s="934">
        <f>J115*0.2</f>
        <v/>
      </c>
      <c r="M115" s="159">
        <f>(SUMIFS('Адресная программа'!$H$3031:$H$4288,'Адресная программа'!$I$3031:$I$4288,БЦ_ALL!C115,'Адресная программа'!$C$3031:$C$4288,БЦ_ALL!B115,'Адресная программа'!$N$3031:$N$4288,1)*$K$7)</f>
        <v/>
      </c>
      <c r="N115" s="935">
        <f>IF(M115=0,0,J115/M115*1000)</f>
        <v/>
      </c>
    </row>
    <row r="116" ht="13.8" customHeight="1">
      <c r="B116" s="253" t="inlineStr">
        <is>
          <t>Москва</t>
        </is>
      </c>
      <c r="C116" s="264" t="inlineStr">
        <is>
          <t>Гефест</t>
        </is>
      </c>
      <c r="D116" s="303">
        <f>SUMIFS('Адресная программа'!$K$2975:$K$4468,'Адресная программа'!$I$2975:$I$4468,БЦ_ALL!C116,'Адресная программа'!$C$2975:$C$4468,БЦ_ALL!B116,'Адресная программа'!$N$2975:$N$4468,1)</f>
        <v/>
      </c>
      <c r="E116" s="994">
        <f>'Цены|Скидки'!$D$25</f>
        <v/>
      </c>
      <c r="F116" s="942">
        <f>SUM(E116*D116*$K$7/15*$K$9)</f>
        <v/>
      </c>
      <c r="G116" s="156">
        <f>IF(SUMIFS('Адресная программа'!$O$20:$O$4940,'Адресная программа'!$N$20:$N$4940,1,'Адресная программа'!$C$20:$C$4940,B116,'Адресная программа'!$G$20:$G$4940,"Бизнес центр")=SUMIFS('Адресная программа'!$K$20:$K$4940,'Адресная программа'!$L$20:$L$4940,1,'Адресная программа'!$C$20:$C$4940,B116,'Адресная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программа'!$C$20:$C$4940,B116,'Адресная программа'!$G$20:$G$4940,"Бизнес центр")&gt;(SUMIFS('Адресная программа'!$K$20:$K$4940,'Адресная программа'!$L$20:$L$4940,1,'Адресная программа'!$C$20:$C$4940,B116,'Адресная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программа'!$C$20:$C$4940,B116,'Адресная программа'!$G$20:$G$4940,"Бизнес центр")&gt;(SUMIFS('Адресная программа'!$K$20:$K$4940,'Адресная программа'!$L$20:$L$4940,1,'Адресная программа'!$C$20:$C$4940,B116,'Адресная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программа'!$C$20:$C$4940,B116,'Адресная программа'!$G$20:$G$4940,"Бизнес центр")&gt;(SUMIFS('Адресная программа'!$K$20:$K$4940,'Адресная программа'!$L$20:$L$4940,1,'Адресная программа'!$C$20:$C$4940,B116,'Адресная программа'!$G$20:$G$4940,"Бизнес центр")*'Цены|Скидки'!$B$55-1),'Цены|Скидки'!$C$55,0%))))</f>
        <v/>
      </c>
      <c r="H116" s="156">
        <f>D$12</f>
        <v/>
      </c>
      <c r="I116" s="190">
        <f>IF(D116=0,0,1-J116/F116)</f>
        <v/>
      </c>
      <c r="J116" s="934">
        <f>F116*(1-G116)*(1-H116)*(1-IF($AC$2="РА",$AD$2,0))*(1-IF(OR($AC$3="Доп скидка",$AC$3="Сезонная скидка",$AC$3="Welcome скидка")=TRUE,$AD$3,0))</f>
        <v/>
      </c>
      <c r="K116" s="934">
        <f>ROUND(J116+L116,2)</f>
        <v/>
      </c>
      <c r="L116" s="934">
        <f>J116*БЦ!$AD$4</f>
        <v/>
      </c>
      <c r="M116" s="159">
        <f>(SUMIFS('Адресная программа'!$H$20:$H$4288,'Адресная программа'!$I$20:$I$4288,БЦ_ALL!C116,'Адресная программа'!$C$20:$C$4288,БЦ_ALL!B116,'Адресная программа'!$N$20:$N$4288,1)*$K$7)</f>
        <v/>
      </c>
      <c r="N116" s="935">
        <f>IF(M116=0,0,J116/M116*1000)</f>
        <v/>
      </c>
    </row>
    <row r="117" ht="13.8" customHeight="1">
      <c r="B117" s="253" t="inlineStr">
        <is>
          <t>Москва</t>
        </is>
      </c>
      <c r="C117" s="264" t="inlineStr">
        <is>
          <t>Таволга</t>
        </is>
      </c>
      <c r="D117" s="303">
        <f>SUMIFS('Адресная программа'!$K$2975:$K$4468,'Адресная программа'!$I$2975:$I$4468,БЦ_ALL!C117,'Адресная программа'!$C$2975:$C$4468,БЦ_ALL!B117,'Адресная программа'!$N$2975:$N$4468,1)</f>
        <v/>
      </c>
      <c r="E117" s="994">
        <f>'Цены|Скидки'!$D$25</f>
        <v/>
      </c>
      <c r="F117" s="942">
        <f>SUM(E117*D117*$K$7/15*$K$9)</f>
        <v/>
      </c>
      <c r="G117" s="156">
        <f>IF(COUNTIFS('Адресная программа'!$N$20:$N$4940,1,'Адресная программа'!$C$20:$C$4940,B117,'Адресная программа'!$G$20:$G$4940,"Бизнес центр")=COUNTIFS('Адресная программа'!$L$20:$L$4940,1,'Адресная программа'!$C$20:$C$4940,B117,'Адресная программа'!$G$20:$G$4940,"Бизнес центр"),'Цены|Скидки'!$C$52,IF(COUNTIFS('Адресная программа'!$N$20:$N$4940,1,'Адресная программа'!$C$20:$C$4940,B117,'Адресная программа'!$G$20:$G$4940,"Бизнес центр")&gt;(COUNTIFS('Адресная программа'!$L$20:$L$4940,1,'Адресная программа'!$C$20:$C$4940,B117,'Адресная программа'!$G$20:$G$4940,"Бизнес центр")*'Цены|Скидки'!$B$53-1),'Цены|Скидки'!$C$53,IF(COUNTIFS('Адресная программа'!$N$20:$N$4940,1,'Адресная программа'!$C$20:$C$4940,B117,'Адресная программа'!$G$20:$G$4940,"Бизнес центр")&gt;(COUNTIFS('Адресная программа'!$L$20:$L$4940,1,'Адресная программа'!$C$20:$C$4940,B117,'Адресная программа'!$G$20:$G$4940,"Бизнес центр")*'Цены|Скидки'!$B$54-1),'Цены|Скидки'!$C$54,IF(COUNTIFS('Адресная программа'!$N$20:$N$4940,1,'Адресная программа'!$C$20:$C$4940,B117,'Адресная программа'!$G$20:$G$4940,"Бизнес центр")&gt;(COUNTIFS('Адресная программа'!$L$20:$L$4940,1,'Адресная программа'!$C$20:$C$4940,B117,'Адресная программа'!$G$20:$G$4940,"Бизнес центр")*'Цены|Скидки'!$B$55-1),'Цены|Скидки'!$C$55,0%))))</f>
        <v/>
      </c>
      <c r="H117" s="156">
        <f>D$12</f>
        <v/>
      </c>
      <c r="I117" s="190">
        <f>IF(D117=0,0,1-J117/F117)</f>
        <v/>
      </c>
      <c r="J117" s="934">
        <f>F117*(1-G117)*(1-H117)*(1-IF($AC$2="РА",$AD$2,0))*(1-IF(OR($AC$3="Доп скидка",$AC$3="Сезонная скидка",$AC$3="Welcome скидка")=TRUE,$AD$3,0))</f>
        <v/>
      </c>
      <c r="K117" s="934">
        <f>ROUND(J117+L117,2)</f>
        <v/>
      </c>
      <c r="L117" s="934">
        <f>J117*0.2</f>
        <v/>
      </c>
      <c r="M117" s="159">
        <f>(SUMIFS('Адресная программа'!$H$3031:$H$4288,'Адресная программа'!$I$3031:$I$4288,БЦ_ALL!C117,'Адресная программа'!$C$3031:$C$4288,БЦ_ALL!B117,'Адресная программа'!$N$3031:$N$4288,1)*$K$7)</f>
        <v/>
      </c>
      <c r="N117" s="935">
        <f>IF(M117=0,0,J117/M117*1000)</f>
        <v/>
      </c>
    </row>
    <row r="118" ht="13.8" customHeight="1">
      <c r="B118" s="253" t="inlineStr">
        <is>
          <t>Москва</t>
        </is>
      </c>
      <c r="C118" s="264" t="inlineStr">
        <is>
          <t>Линкор</t>
        </is>
      </c>
      <c r="D118" s="303">
        <f>SUMIFS('Адресная программа'!$K$2975:$K$4468,'Адресная программа'!$I$2975:$I$4468,БЦ_ALL!C118,'Адресная программа'!$C$2975:$C$4468,БЦ_ALL!B118,'Адресная программа'!$N$2975:$N$4468,1)</f>
        <v/>
      </c>
      <c r="E118" s="994">
        <f>'Цены|Скидки'!$D$25</f>
        <v/>
      </c>
      <c r="F118" s="942">
        <f>SUM(E118*D118*$K$7/15*$K$9)</f>
        <v/>
      </c>
      <c r="G118" s="156">
        <f>IF(SUMIFS('Адресная программа'!$O$20:$O$4940,'Адресная программа'!$N$20:$N$4940,1,'Адресная программа'!$C$20:$C$4940,B118,'Адресная программа'!$G$20:$G$4940,"Бизнес центр")=SUMIFS('Адресная программа'!$K$20:$K$4940,'Адресная программа'!$L$20:$L$4940,1,'Адресная программа'!$C$20:$C$4940,B118,'Адресная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программа'!$C$20:$C$4940,B118,'Адресная программа'!$G$20:$G$4940,"Бизнес центр")&gt;(SUMIFS('Адресная программа'!$K$20:$K$4940,'Адресная программа'!$L$20:$L$4940,1,'Адресная программа'!$C$20:$C$4940,B118,'Адресная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программа'!$C$20:$C$4940,B118,'Адресная программа'!$G$20:$G$4940,"Бизнес центр")&gt;(SUMIFS('Адресная программа'!$K$20:$K$4940,'Адресная программа'!$L$20:$L$4940,1,'Адресная программа'!$C$20:$C$4940,B118,'Адресная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программа'!$C$20:$C$4940,B118,'Адресная программа'!$G$20:$G$4940,"Бизнес центр")&gt;(SUMIFS('Адресная программа'!$K$20:$K$4940,'Адресная программа'!$L$20:$L$4940,1,'Адресная программа'!$C$20:$C$4940,B118,'Адресная программа'!$G$20:$G$4940,"Бизнес центр")*'Цены|Скидки'!$B$55-1),'Цены|Скидки'!$C$55,0%))))</f>
        <v/>
      </c>
      <c r="H118" s="156">
        <f>D$12</f>
        <v/>
      </c>
      <c r="I118" s="190">
        <f>IF(D118=0,0,1-J118/F118)</f>
        <v/>
      </c>
      <c r="J118" s="934">
        <f>F118*(1-G118)*(1-H118)*(1-IF($AC$2="РА",$AD$2,0))*(1-IF(OR($AC$3="Доп скидка",$AC$3="Сезонная скидка",$AC$3="Welcome скидка")=TRUE,$AD$3,0))</f>
        <v/>
      </c>
      <c r="K118" s="934">
        <f>ROUND(J118+L118,2)</f>
        <v/>
      </c>
      <c r="L118" s="934">
        <f>J118*БЦ!$AD$4</f>
        <v/>
      </c>
      <c r="M118" s="159">
        <f>(SUMIFS('Адресная программа'!$H$20:$H$4288,'Адресная программа'!$I$20:$I$4288,БЦ_ALL!C118,'Адресная программа'!$C$20:$C$4288,БЦ_ALL!B118,'Адресная программа'!$N$20:$N$4288,1)*$K$7)</f>
        <v/>
      </c>
      <c r="N118" s="935">
        <f>IF(M118=0,0,J118/M118*1000)</f>
        <v/>
      </c>
    </row>
    <row r="119" ht="13.8" customHeight="1">
      <c r="B119" s="253" t="inlineStr">
        <is>
          <t>Москва</t>
        </is>
      </c>
      <c r="C119" s="264" t="inlineStr">
        <is>
          <t>Город ТДК</t>
        </is>
      </c>
      <c r="D119" s="303">
        <f>SUMIFS('Адресная программа'!$K$2975:$K$4468,'Адресная программа'!$I$2975:$I$4468,БЦ_ALL!C119,'Адресная программа'!$C$2975:$C$4468,БЦ_ALL!B119,'Адресная программа'!$N$2975:$N$4468,1)</f>
        <v/>
      </c>
      <c r="E119" s="994">
        <f>'Цены|Скидки'!$D$25</f>
        <v/>
      </c>
      <c r="F119" s="942">
        <f>SUM(E119*D119*$K$7/15*$K$9)</f>
        <v/>
      </c>
      <c r="G119" s="156">
        <f>IF(SUMIFS('Адресная программа'!$O$20:$O$4940,'Адресная программа'!$N$20:$N$4940,1,'Адресная программа'!$C$20:$C$4940,B119,'Адресная программа'!$G$20:$G$4940,"Бизнес центр")=SUMIFS('Адресная программа'!$K$20:$K$4940,'Адресная программа'!$L$20:$L$4940,1,'Адресная программа'!$C$20:$C$4940,B119,'Адресная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программа'!$C$20:$C$4940,B119,'Адресная программа'!$G$20:$G$4940,"Бизнес центр")&gt;(SUMIFS('Адресная программа'!$K$20:$K$4940,'Адресная программа'!$L$20:$L$4940,1,'Адресная программа'!$C$20:$C$4940,B119,'Адресная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программа'!$C$20:$C$4940,B119,'Адресная программа'!$G$20:$G$4940,"Бизнес центр")&gt;(SUMIFS('Адресная программа'!$K$20:$K$4940,'Адресная программа'!$L$20:$L$4940,1,'Адресная программа'!$C$20:$C$4940,B119,'Адресная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программа'!$C$20:$C$4940,B119,'Адресная программа'!$G$20:$G$4940,"Бизнес центр")&gt;(SUMIFS('Адресная программа'!$K$20:$K$4940,'Адресная программа'!$L$20:$L$4940,1,'Адресная программа'!$C$20:$C$4940,B119,'Адресная программа'!$G$20:$G$4940,"Бизнес центр")*'Цены|Скидки'!$B$55-1),'Цены|Скидки'!$C$55,0%))))</f>
        <v/>
      </c>
      <c r="H119" s="156">
        <f>D$12</f>
        <v/>
      </c>
      <c r="I119" s="190">
        <f>IF(D119=0,0,1-J119/F119)</f>
        <v/>
      </c>
      <c r="J119" s="934">
        <f>F119*(1-G119)*(1-H119)*(1-IF($AC$2="РА",$AD$2,0))*(1-IF(OR($AC$3="Доп скидка",$AC$3="Сезонная скидка",$AC$3="Welcome скидка")=TRUE,$AD$3,0))</f>
        <v/>
      </c>
      <c r="K119" s="934">
        <f>ROUND(J119+L119,2)</f>
        <v/>
      </c>
      <c r="L119" s="934">
        <f>J119*БЦ!$AD$4</f>
        <v/>
      </c>
      <c r="M119" s="159">
        <f>(SUMIFS('Адресная программа'!$H$20:$H$4288,'Адресная программа'!$I$20:$I$4288,БЦ_ALL!C119,'Адресная программа'!$C$20:$C$4288,БЦ_ALL!B119,'Адресная программа'!$N$20:$N$4288,1)*$K$7)</f>
        <v/>
      </c>
      <c r="N119" s="935">
        <f>IF(M119=0,0,J119/M119*1000)</f>
        <v/>
      </c>
    </row>
    <row r="120" ht="13.8" customHeight="1">
      <c r="B120" s="253" t="inlineStr">
        <is>
          <t>Москва</t>
        </is>
      </c>
      <c r="C120" s="264" t="inlineStr">
        <is>
          <t>Телеграф</t>
        </is>
      </c>
      <c r="D120" s="303">
        <f>SUMIFS('Адресная программа'!$K$2975:$K$4468,'Адресная программа'!$I$2975:$I$4468,БЦ_ALL!C120,'Адресная программа'!$C$2975:$C$4468,БЦ_ALL!B120,'Адресная программа'!$N$2975:$N$4468,1)</f>
        <v/>
      </c>
      <c r="E120" s="994">
        <f>'Цены|Скидки'!$D$25</f>
        <v/>
      </c>
      <c r="F120" s="942">
        <f>SUM(E120*D120*$K$7/15*$K$9)</f>
        <v/>
      </c>
      <c r="G120" s="156">
        <f>IF(SUMIFS('Адресная программа'!$O$20:$O$4940,'Адресная программа'!$N$20:$N$4940,1,'Адресная программа'!$C$20:$C$4940,B120,'Адресная программа'!$G$20:$G$4940,"Бизнес центр")=SUMIFS('Адресная программа'!$K$20:$K$4940,'Адресная программа'!$L$20:$L$4940,1,'Адресная программа'!$C$20:$C$4940,B120,'Адресная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программа'!$C$20:$C$4940,B120,'Адресная программа'!$G$20:$G$4940,"Бизнес центр")&gt;(SUMIFS('Адресная программа'!$K$20:$K$4940,'Адресная программа'!$L$20:$L$4940,1,'Адресная программа'!$C$20:$C$4940,B120,'Адресная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программа'!$C$20:$C$4940,B120,'Адресная программа'!$G$20:$G$4940,"Бизнес центр")&gt;(SUMIFS('Адресная программа'!$K$20:$K$4940,'Адресная программа'!$L$20:$L$4940,1,'Адресная программа'!$C$20:$C$4940,B120,'Адресная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программа'!$C$20:$C$4940,B120,'Адресная программа'!$G$20:$G$4940,"Бизнес центр")&gt;(SUMIFS('Адресная программа'!$K$20:$K$4940,'Адресная программа'!$L$20:$L$4940,1,'Адресная программа'!$C$20:$C$4940,B120,'Адресная программа'!$G$20:$G$4940,"Бизнес центр")*'Цены|Скидки'!$B$55-1),'Цены|Скидки'!$C$55,0%))))</f>
        <v/>
      </c>
      <c r="H120" s="156">
        <f>D$12</f>
        <v/>
      </c>
      <c r="I120" s="190">
        <f>IF(D120=0,0,1-J120/F120)</f>
        <v/>
      </c>
      <c r="J120" s="934">
        <f>F120*(1-G120)*(1-H120)*(1-IF($AC$2="РА",$AD$2,0))*(1-IF(OR($AC$3="Доп скидка",$AC$3="Сезонная скидка",$AC$3="Welcome скидка")=TRUE,$AD$3,0))</f>
        <v/>
      </c>
      <c r="K120" s="934">
        <f>ROUND(J120+L120,2)</f>
        <v/>
      </c>
      <c r="L120" s="934">
        <f>J120*БЦ!$AD$4</f>
        <v/>
      </c>
      <c r="M120" s="159">
        <f>(SUMIFS('Адресная программа'!$H$20:$H$4288,'Адресная программа'!$I$20:$I$4288,БЦ_ALL!C120,'Адресная программа'!$C$20:$C$4288,БЦ_ALL!B120,'Адресная программа'!$N$20:$N$4288,1)*$K$7)</f>
        <v/>
      </c>
      <c r="N120" s="935">
        <f>IF(M120=0,0,J120/M120*1000)</f>
        <v/>
      </c>
    </row>
    <row r="121" ht="13.8" customHeight="1">
      <c r="B121" s="253" t="inlineStr">
        <is>
          <t>Москва</t>
        </is>
      </c>
      <c r="C121" s="264" t="inlineStr">
        <is>
          <t>West East</t>
        </is>
      </c>
      <c r="D121" s="303">
        <f>SUMIFS('Адресная программа'!$K$2975:$K$4468,'Адресная программа'!$I$2975:$I$4468,БЦ_ALL!C121,'Адресная программа'!$C$2975:$C$4468,БЦ_ALL!B121,'Адресная программа'!$N$2975:$N$4468,1)</f>
        <v/>
      </c>
      <c r="E121" s="994">
        <f>'Цены|Скидки'!$D$25</f>
        <v/>
      </c>
      <c r="F121" s="942">
        <f>SUM(E121*D121*$K$7/15*$K$9)</f>
        <v/>
      </c>
      <c r="G121" s="156">
        <f>IF(SUMIFS('Адресная программа'!$O$20:$O$4940,'Адресная программа'!$N$20:$N$4940,1,'Адресная программа'!$C$20:$C$4940,B121,'Адресная программа'!$G$20:$G$4940,"Бизнес центр")=SUMIFS('Адресная программа'!$K$20:$K$4940,'Адресная программа'!$L$20:$L$4940,1,'Адресная программа'!$C$20:$C$4940,B121,'Адресная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программа'!$C$20:$C$4940,B121,'Адресная программа'!$G$20:$G$4940,"Бизнес центр")&gt;(SUMIFS('Адресная программа'!$K$20:$K$4940,'Адресная программа'!$L$20:$L$4940,1,'Адресная программа'!$C$20:$C$4940,B121,'Адресная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программа'!$C$20:$C$4940,B121,'Адресная программа'!$G$20:$G$4940,"Бизнес центр")&gt;(SUMIFS('Адресная программа'!$K$20:$K$4940,'Адресная программа'!$L$20:$L$4940,1,'Адресная программа'!$C$20:$C$4940,B121,'Адресная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программа'!$C$20:$C$4940,B121,'Адресная программа'!$G$20:$G$4940,"Бизнес центр")&gt;(SUMIFS('Адресная программа'!$K$20:$K$4940,'Адресная программа'!$L$20:$L$4940,1,'Адресная программа'!$C$20:$C$4940,B121,'Адресная программа'!$G$20:$G$4940,"Бизнес центр")*'Цены|Скидки'!$B$55-1),'Цены|Скидки'!$C$55,0%))))</f>
        <v/>
      </c>
      <c r="H121" s="156">
        <f>D$12</f>
        <v/>
      </c>
      <c r="I121" s="190">
        <f>IF(D121=0,0,1-J121/F121)</f>
        <v/>
      </c>
      <c r="J121" s="934">
        <f>F121*(1-G121)*(1-H121)*(1-IF($AC$2="РА",$AD$2,0))*(1-IF(OR($AC$3="Доп скидка",$AC$3="Сезонная скидка",$AC$3="Welcome скидка")=TRUE,$AD$3,0))</f>
        <v/>
      </c>
      <c r="K121" s="934">
        <f>ROUND(J121+L121,2)</f>
        <v/>
      </c>
      <c r="L121" s="934">
        <f>J121*БЦ!$AD$4</f>
        <v/>
      </c>
      <c r="M121" s="159">
        <f>(SUMIFS('Адресная программа'!$H$20:$H$4288,'Адресная программа'!$I$20:$I$4288,БЦ_ALL!C121,'Адресная программа'!$C$20:$C$4288,БЦ_ALL!B121,'Адресная программа'!$N$20:$N$4288,1)*$K$7)</f>
        <v/>
      </c>
      <c r="N121" s="935">
        <f>IF(M121=0,0,J121/M121*1000)</f>
        <v/>
      </c>
    </row>
    <row r="122" ht="13.8" customHeight="1">
      <c r="B122" s="253" t="inlineStr">
        <is>
          <t>Москва</t>
        </is>
      </c>
      <c r="C122" s="264" t="inlineStr">
        <is>
          <t>Лесной Сити</t>
        </is>
      </c>
      <c r="D122" s="303">
        <f>SUMIFS('Адресная программа'!$K$2975:$K$4468,'Адресная программа'!$I$2975:$I$4468,БЦ_ALL!C122,'Адресная программа'!$C$2975:$C$4468,БЦ_ALL!B122,'Адресная программа'!$N$2975:$N$4468,1)</f>
        <v/>
      </c>
      <c r="E122" s="994">
        <f>'Цены|Скидки'!$D$25</f>
        <v/>
      </c>
      <c r="F122" s="942">
        <f>SUM(E122*D122*$K$7/15*$K$9)</f>
        <v/>
      </c>
      <c r="G122" s="156">
        <f>IF(SUMIFS('Адресная программа'!$O$20:$O$4940,'Адресная программа'!$N$20:$N$4940,1,'Адресная программа'!$C$20:$C$4940,B122,'Адресная программа'!$G$20:$G$4940,"Бизнес центр")=SUMIFS('Адресная программа'!$K$20:$K$4940,'Адресная программа'!$L$20:$L$4940,1,'Адресная программа'!$C$20:$C$4940,B122,'Адресная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программа'!$C$20:$C$4940,B122,'Адресная программа'!$G$20:$G$4940,"Бизнес центр")&gt;(SUMIFS('Адресная программа'!$K$20:$K$4940,'Адресная программа'!$L$20:$L$4940,1,'Адресная программа'!$C$20:$C$4940,B122,'Адресная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программа'!$C$20:$C$4940,B122,'Адресная программа'!$G$20:$G$4940,"Бизнес центр")&gt;(SUMIFS('Адресная программа'!$K$20:$K$4940,'Адресная программа'!$L$20:$L$4940,1,'Адресная программа'!$C$20:$C$4940,B122,'Адресная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программа'!$C$20:$C$4940,B122,'Адресная программа'!$G$20:$G$4940,"Бизнес центр")&gt;(SUMIFS('Адресная программа'!$K$20:$K$4940,'Адресная программа'!$L$20:$L$4940,1,'Адресная программа'!$C$20:$C$4940,B122,'Адресная программа'!$G$20:$G$4940,"Бизнес центр")*'Цены|Скидки'!$B$55-1),'Цены|Скидки'!$C$55,0%))))</f>
        <v/>
      </c>
      <c r="H122" s="156">
        <f>D$12</f>
        <v/>
      </c>
      <c r="I122" s="190">
        <f>IF(D122=0,0,1-J122/F122)</f>
        <v/>
      </c>
      <c r="J122" s="934">
        <f>F122*(1-G122)*(1-H122)*(1-IF($AC$2="РА",$AD$2,0))*(1-IF(OR($AC$3="Доп скидка",$AC$3="Сезонная скидка",$AC$3="Welcome скидка")=TRUE,$AD$3,0))</f>
        <v/>
      </c>
      <c r="K122" s="934">
        <f>ROUND(J122+L122,2)</f>
        <v/>
      </c>
      <c r="L122" s="934">
        <f>J122*БЦ!$AD$4</f>
        <v/>
      </c>
      <c r="M122" s="159">
        <f>(SUMIFS('Адресная программа'!$H$20:$H$4288,'Адресная программа'!$I$20:$I$4288,БЦ_ALL!C122,'Адресная программа'!$C$20:$C$4288,БЦ_ALL!B122,'Адресная программа'!$N$20:$N$4288,1)*$K$7)</f>
        <v/>
      </c>
      <c r="N122" s="935">
        <f>IF(M122=0,0,J122/M122*1000)</f>
        <v/>
      </c>
    </row>
    <row r="123" ht="13.8" customHeight="1">
      <c r="B123" s="253" t="inlineStr">
        <is>
          <t>Москва</t>
        </is>
      </c>
      <c r="C123" s="264" t="inlineStr">
        <is>
          <t>Бизнес Depo</t>
        </is>
      </c>
      <c r="D123" s="303">
        <f>SUMIFS('Адресная программа'!$K$2975:$K$4468,'Адресная программа'!$I$2975:$I$4468,БЦ_ALL!C123,'Адресная программа'!$C$2975:$C$4468,БЦ_ALL!B123,'Адресная программа'!$N$2975:$N$4468,1)</f>
        <v/>
      </c>
      <c r="E123" s="994">
        <f>'Цены|Скидки'!$D$25</f>
        <v/>
      </c>
      <c r="F123" s="942">
        <f>SUM(E123*D123*$K$7/15*$K$9)</f>
        <v/>
      </c>
      <c r="G123" s="156">
        <f>IF(SUMIFS('Адресная программа'!$O$20:$O$4940,'Адресная программа'!$N$20:$N$4940,1,'Адресная программа'!$C$20:$C$4940,B123,'Адресная программа'!$G$20:$G$4940,"Бизнес центр")=SUMIFS('Адресная программа'!$K$20:$K$4940,'Адресная программа'!$L$20:$L$4940,1,'Адресная программа'!$C$20:$C$4940,B123,'Адресная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программа'!$C$20:$C$4940,B123,'Адресная программа'!$G$20:$G$4940,"Бизнес центр")&gt;(SUMIFS('Адресная программа'!$K$20:$K$4940,'Адресная программа'!$L$20:$L$4940,1,'Адресная программа'!$C$20:$C$4940,B123,'Адресная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программа'!$C$20:$C$4940,B123,'Адресная программа'!$G$20:$G$4940,"Бизнес центр")&gt;(SUMIFS('Адресная программа'!$K$20:$K$4940,'Адресная программа'!$L$20:$L$4940,1,'Адресная программа'!$C$20:$C$4940,B123,'Адресная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программа'!$C$20:$C$4940,B123,'Адресная программа'!$G$20:$G$4940,"Бизнес центр")&gt;(SUMIFS('Адресная программа'!$K$20:$K$4940,'Адресная программа'!$L$20:$L$4940,1,'Адресная программа'!$C$20:$C$4940,B123,'Адресная программа'!$G$20:$G$4940,"Бизнес центр")*'Цены|Скидки'!$B$55-1),'Цены|Скидки'!$C$55,0%))))</f>
        <v/>
      </c>
      <c r="H123" s="156">
        <f>D$12</f>
        <v/>
      </c>
      <c r="I123" s="190">
        <f>IF(D123=0,0,1-J123/F123)</f>
        <v/>
      </c>
      <c r="J123" s="934">
        <f>F123*(1-G123)*(1-H123)*(1-IF($AC$2="РА",$AD$2,0))*(1-IF(OR($AC$3="Доп скидка",$AC$3="Сезонная скидка",$AC$3="Welcome скидка")=TRUE,$AD$3,0))</f>
        <v/>
      </c>
      <c r="K123" s="934">
        <f>ROUND(J123+L123,2)</f>
        <v/>
      </c>
      <c r="L123" s="934">
        <f>J123*БЦ!$AD$4</f>
        <v/>
      </c>
      <c r="M123" s="159">
        <f>(SUMIFS('Адресная программа'!$H$20:$H$4288,'Адресная программа'!$I$20:$I$4288,БЦ_ALL!C123,'Адресная программа'!$C$20:$C$4288,БЦ_ALL!B123,'Адресная программа'!$N$20:$N$4288,1)*$K$7)</f>
        <v/>
      </c>
      <c r="N123" s="935">
        <f>IF(M123=0,0,J123/M123*1000)</f>
        <v/>
      </c>
    </row>
    <row r="124" ht="13.8" customHeight="1">
      <c r="B124" s="253" t="inlineStr">
        <is>
          <t>Москва</t>
        </is>
      </c>
      <c r="C124" s="264" t="inlineStr">
        <is>
          <t>Бизнес Depo2</t>
        </is>
      </c>
      <c r="D124" s="303">
        <f>SUMIFS('Адресная программа'!$K$2975:$K$4468,'Адресная программа'!$I$2975:$I$4468,БЦ_ALL!C124,'Адресная программа'!$C$2975:$C$4468,БЦ_ALL!B124,'Адресная программа'!$N$2975:$N$4468,1)</f>
        <v/>
      </c>
      <c r="E124" s="994">
        <f>'Цены|Скидки'!$D$25</f>
        <v/>
      </c>
      <c r="F124" s="942">
        <f>SUM(E124*D124*$K$7/15*$K$9)</f>
        <v/>
      </c>
      <c r="G124" s="156">
        <f>IF(SUMIFS('Адресная программа'!$O$20:$O$4940,'Адресная программа'!$N$20:$N$4940,1,'Адресная программа'!$C$20:$C$4940,B124,'Адресная программа'!$G$20:$G$4940,"Бизнес центр")=SUMIFS('Адресная программа'!$K$20:$K$4940,'Адресная программа'!$L$20:$L$4940,1,'Адресная программа'!$C$20:$C$4940,B124,'Адресная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программа'!$C$20:$C$4940,B124,'Адресная программа'!$G$20:$G$4940,"Бизнес центр")&gt;(SUMIFS('Адресная программа'!$K$20:$K$4940,'Адресная программа'!$L$20:$L$4940,1,'Адресная программа'!$C$20:$C$4940,B124,'Адресная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программа'!$C$20:$C$4940,B124,'Адресная программа'!$G$20:$G$4940,"Бизнес центр")&gt;(SUMIFS('Адресная программа'!$K$20:$K$4940,'Адресная программа'!$L$20:$L$4940,1,'Адресная программа'!$C$20:$C$4940,B124,'Адресная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программа'!$C$20:$C$4940,B124,'Адресная программа'!$G$20:$G$4940,"Бизнес центр")&gt;(SUMIFS('Адресная программа'!$K$20:$K$4940,'Адресная программа'!$L$20:$L$4940,1,'Адресная программа'!$C$20:$C$4940,B124,'Адресная программа'!$G$20:$G$4940,"Бизнес центр")*'Цены|Скидки'!$B$55-1),'Цены|Скидки'!$C$55,0%))))</f>
        <v/>
      </c>
      <c r="H124" s="156">
        <f>D$12</f>
        <v/>
      </c>
      <c r="I124" s="190">
        <f>IF(D124=0,0,1-J124/F124)</f>
        <v/>
      </c>
      <c r="J124" s="934">
        <f>F124*(1-G124)*(1-H124)*(1-IF($AC$2="РА",$AD$2,0))*(1-IF(OR($AC$3="Доп скидка",$AC$3="Сезонная скидка",$AC$3="Welcome скидка")=TRUE,$AD$3,0))</f>
        <v/>
      </c>
      <c r="K124" s="934">
        <f>ROUND(J124+L124,2)</f>
        <v/>
      </c>
      <c r="L124" s="934">
        <f>J124*БЦ!$AD$4</f>
        <v/>
      </c>
      <c r="M124" s="159">
        <f>(SUMIFS('Адресная программа'!$H$20:$H$4288,'Адресная программа'!$I$20:$I$4288,БЦ_ALL!C124,'Адресная программа'!$C$20:$C$4288,БЦ_ALL!B124,'Адресная программа'!$N$20:$N$4288,1)*$K$7)</f>
        <v/>
      </c>
      <c r="N124" s="935">
        <f>IF(M124=0,0,J124/M124*1000)</f>
        <v/>
      </c>
    </row>
    <row r="125" ht="13.8" customHeight="1">
      <c r="B125" s="253" t="inlineStr">
        <is>
          <t>Москва</t>
        </is>
      </c>
      <c r="C125" s="264" t="inlineStr">
        <is>
          <t>РТС Волгоградский</t>
        </is>
      </c>
      <c r="D125" s="303">
        <f>SUMIFS('Адресная программа'!$K$2975:$K$4468,'Адресная программа'!$I$2975:$I$4468,БЦ_ALL!C125,'Адресная программа'!$C$2975:$C$4468,БЦ_ALL!B125,'Адресная программа'!$N$2975:$N$4468,1)</f>
        <v/>
      </c>
      <c r="E125" s="994">
        <f>'Цены|Скидки'!$D$25</f>
        <v/>
      </c>
      <c r="F125" s="942">
        <f>SUM(E125*D125*$K$7/15*$K$9)</f>
        <v/>
      </c>
      <c r="G125" s="156">
        <f>IF(SUMIFS('Адресная программа'!$O$20:$O$4940,'Адресная программа'!$N$20:$N$4940,1,'Адресная программа'!$C$20:$C$4940,B125,'Адресная программа'!$G$20:$G$4940,"Бизнес центр")=SUMIFS('Адресная программа'!$K$20:$K$4940,'Адресная программа'!$L$20:$L$4940,1,'Адресная программа'!$C$20:$C$4940,B125,'Адресная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программа'!$C$20:$C$4940,B125,'Адресная программа'!$G$20:$G$4940,"Бизнес центр")&gt;(SUMIFS('Адресная программа'!$K$20:$K$4940,'Адресная программа'!$L$20:$L$4940,1,'Адресная программа'!$C$20:$C$4940,B125,'Адресная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программа'!$C$20:$C$4940,B125,'Адресная программа'!$G$20:$G$4940,"Бизнес центр")&gt;(SUMIFS('Адресная программа'!$K$20:$K$4940,'Адресная программа'!$L$20:$L$4940,1,'Адресная программа'!$C$20:$C$4940,B125,'Адресная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программа'!$C$20:$C$4940,B125,'Адресная программа'!$G$20:$G$4940,"Бизнес центр")&gt;(SUMIFS('Адресная программа'!$K$20:$K$4940,'Адресная программа'!$L$20:$L$4940,1,'Адресная программа'!$C$20:$C$4940,B125,'Адресная программа'!$G$20:$G$4940,"Бизнес центр")*'Цены|Скидки'!$B$55-1),'Цены|Скидки'!$C$55,0%))))</f>
        <v/>
      </c>
      <c r="H125" s="156">
        <f>D$12</f>
        <v/>
      </c>
      <c r="I125" s="190">
        <f>IF(D125=0,0,1-J125/F125)</f>
        <v/>
      </c>
      <c r="J125" s="934">
        <f>F125*(1-G125)*(1-H125)*(1-IF($AC$2="РА",$AD$2,0))*(1-IF(OR($AC$3="Доп скидка",$AC$3="Сезонная скидка",$AC$3="Welcome скидка")=TRUE,$AD$3,0))</f>
        <v/>
      </c>
      <c r="K125" s="934">
        <f>ROUND(J125+L125,2)</f>
        <v/>
      </c>
      <c r="L125" s="934">
        <f>J125*БЦ!$AD$4</f>
        <v/>
      </c>
      <c r="M125" s="159">
        <f>(SUMIFS('Адресная программа'!$H$20:$H$4288,'Адресная программа'!$I$20:$I$4288,БЦ_ALL!C125,'Адресная программа'!$C$20:$C$4288,БЦ_ALL!B125,'Адресная программа'!$N$20:$N$4288,1)*$K$7)</f>
        <v/>
      </c>
      <c r="N125" s="935">
        <f>IF(M125=0,0,J125/M125*1000)</f>
        <v/>
      </c>
    </row>
    <row r="126" ht="13.8" customHeight="1">
      <c r="B126" s="253" t="inlineStr">
        <is>
          <t>Москва</t>
        </is>
      </c>
      <c r="C126" s="264" t="inlineStr">
        <is>
          <t>Олимпик Парк</t>
        </is>
      </c>
      <c r="D126" s="303">
        <f>SUMIFS('Адресная программа'!$K$2975:$K$4468,'Адресная программа'!$I$2975:$I$4468,БЦ_ALL!C126,'Адресная программа'!$C$2975:$C$4468,БЦ_ALL!B126,'Адресная программа'!$N$2975:$N$4468,1)</f>
        <v/>
      </c>
      <c r="E126" s="994">
        <f>'Цены|Скидки'!$D$25</f>
        <v/>
      </c>
      <c r="F126" s="942">
        <f>SUM(E126*D126*$K$7/15*$K$9)</f>
        <v/>
      </c>
      <c r="G126" s="156">
        <f>IF(SUMIFS('Адресная программа'!$O$20:$O$4940,'Адресная программа'!$N$20:$N$4940,1,'Адресная программа'!$C$20:$C$4940,B126,'Адресная программа'!$G$20:$G$4940,"Бизнес центр")=SUMIFS('Адресная программа'!$K$20:$K$4940,'Адресная программа'!$L$20:$L$4940,1,'Адресная программа'!$C$20:$C$4940,B126,'Адресная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программа'!$C$20:$C$4940,B126,'Адресная программа'!$G$20:$G$4940,"Бизнес центр")&gt;(SUMIFS('Адресная программа'!$K$20:$K$4940,'Адресная программа'!$L$20:$L$4940,1,'Адресная программа'!$C$20:$C$4940,B126,'Адресная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программа'!$C$20:$C$4940,B126,'Адресная программа'!$G$20:$G$4940,"Бизнес центр")&gt;(SUMIFS('Адресная программа'!$K$20:$K$4940,'Адресная программа'!$L$20:$L$4940,1,'Адресная программа'!$C$20:$C$4940,B126,'Адресная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программа'!$C$20:$C$4940,B126,'Адресная программа'!$G$20:$G$4940,"Бизнес центр")&gt;(SUMIFS('Адресная программа'!$K$20:$K$4940,'Адресная программа'!$L$20:$L$4940,1,'Адресная программа'!$C$20:$C$4940,B126,'Адресная программа'!$G$20:$G$4940,"Бизнес центр")*'Цены|Скидки'!$B$55-1),'Цены|Скидки'!$C$55,0%))))</f>
        <v/>
      </c>
      <c r="H126" s="156">
        <f>D$12</f>
        <v/>
      </c>
      <c r="I126" s="190">
        <f>IF(D126=0,0,1-J126/F126)</f>
        <v/>
      </c>
      <c r="J126" s="934">
        <f>F126*(1-G126)*(1-H126)*(1-IF($AC$2="РА",$AD$2,0))*(1-IF(OR($AC$3="Доп скидка",$AC$3="Сезонная скидка",$AC$3="Welcome скидка")=TRUE,$AD$3,0))</f>
        <v/>
      </c>
      <c r="K126" s="934">
        <f>ROUND(J126+L126,2)</f>
        <v/>
      </c>
      <c r="L126" s="934">
        <f>J126*БЦ!$AD$4</f>
        <v/>
      </c>
      <c r="M126" s="159">
        <f>(SUMIFS('Адресная программа'!$H$20:$H$4288,'Адресная программа'!$I$20:$I$4288,БЦ_ALL!C126,'Адресная программа'!$C$20:$C$4288,БЦ_ALL!B126,'Адресная программа'!$N$20:$N$4288,1)*$K$7)</f>
        <v/>
      </c>
      <c r="N126" s="935">
        <f>IF(M126=0,0,J126/M126*1000)</f>
        <v/>
      </c>
    </row>
    <row r="127" ht="13.8" customHeight="1">
      <c r="B127" s="253" t="inlineStr">
        <is>
          <t>Москва</t>
        </is>
      </c>
      <c r="C127" s="264" t="inlineStr">
        <is>
          <t>Альянс</t>
        </is>
      </c>
      <c r="D127" s="303">
        <f>SUMIFS('Адресная программа'!$K$2975:$K$4468,'Адресная программа'!$I$2975:$I$4468,БЦ_ALL!C127,'Адресная программа'!$C$2975:$C$4468,БЦ_ALL!B127,'Адресная программа'!$N$2975:$N$4468,1)</f>
        <v/>
      </c>
      <c r="E127" s="994">
        <f>'Цены|Скидки'!$D$25</f>
        <v/>
      </c>
      <c r="F127" s="942">
        <f>SUM(E127*D127*$K$7/15*$K$9)</f>
        <v/>
      </c>
      <c r="G127" s="156">
        <f>IF(SUMIFS('Адресная программа'!$O$20:$O$4940,'Адресная программа'!$N$20:$N$4940,1,'Адресная программа'!$C$20:$C$4940,B127,'Адресная программа'!$G$20:$G$4940,"Бизнес центр")=SUMIFS('Адресная программа'!$K$20:$K$4940,'Адресная программа'!$L$20:$L$4940,1,'Адресная программа'!$C$20:$C$4940,B127,'Адресная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программа'!$C$20:$C$4940,B127,'Адресная программа'!$G$20:$G$4940,"Бизнес центр")&gt;(SUMIFS('Адресная программа'!$K$20:$K$4940,'Адресная программа'!$L$20:$L$4940,1,'Адресная программа'!$C$20:$C$4940,B127,'Адресная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программа'!$C$20:$C$4940,B127,'Адресная программа'!$G$20:$G$4940,"Бизнес центр")&gt;(SUMIFS('Адресная программа'!$K$20:$K$4940,'Адресная программа'!$L$20:$L$4940,1,'Адресная программа'!$C$20:$C$4940,B127,'Адресная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программа'!$C$20:$C$4940,B127,'Адресная программа'!$G$20:$G$4940,"Бизнес центр")&gt;(SUMIFS('Адресная программа'!$K$20:$K$4940,'Адресная программа'!$L$20:$L$4940,1,'Адресная программа'!$C$20:$C$4940,B127,'Адресная программа'!$G$20:$G$4940,"Бизнес центр")*'Цены|Скидки'!$B$55-1),'Цены|Скидки'!$C$55,0%))))</f>
        <v/>
      </c>
      <c r="H127" s="156">
        <f>D$12</f>
        <v/>
      </c>
      <c r="I127" s="190">
        <f>IF(D127=0,0,1-J127/F127)</f>
        <v/>
      </c>
      <c r="J127" s="934">
        <f>F127*(1-G127)*(1-H127)*(1-IF($AC$2="РА",$AD$2,0))*(1-IF(OR($AC$3="Доп скидка",$AC$3="Сезонная скидка",$AC$3="Welcome скидка")=TRUE,$AD$3,0))</f>
        <v/>
      </c>
      <c r="K127" s="934">
        <f>ROUND(J127+L127,2)</f>
        <v/>
      </c>
      <c r="L127" s="934">
        <f>J127*БЦ!$AD$4</f>
        <v/>
      </c>
      <c r="M127" s="159">
        <f>(SUMIFS('Адресная программа'!$H$20:$H$4288,'Адресная программа'!$I$20:$I$4288,БЦ_ALL!C127,'Адресная программа'!$C$20:$C$4288,БЦ_ALL!B127,'Адресная программа'!$N$20:$N$4288,1)*$K$7)</f>
        <v/>
      </c>
      <c r="N127" s="935">
        <f>IF(M127=0,0,J127/M127*1000)</f>
        <v/>
      </c>
    </row>
    <row r="128" ht="13.8" customHeight="1">
      <c r="B128" s="253" t="inlineStr">
        <is>
          <t>Москва</t>
        </is>
      </c>
      <c r="C128" s="264" t="inlineStr">
        <is>
          <t>Маяк</t>
        </is>
      </c>
      <c r="D128" s="303">
        <f>SUMIFS('Адресная программа'!$K$2975:$K$4468,'Адресная программа'!$I$2975:$I$4468,БЦ_ALL!C128,'Адресная программа'!$C$2975:$C$4468,БЦ_ALL!B128,'Адресная программа'!$N$2975:$N$4468,1)</f>
        <v/>
      </c>
      <c r="E128" s="994">
        <f>'Цены|Скидки'!$D$25</f>
        <v/>
      </c>
      <c r="F128" s="942">
        <f>SUM(E128*D128*$K$7/15*$K$9)</f>
        <v/>
      </c>
      <c r="G128" s="156">
        <f>IF(SUMIFS('Адресная программа'!$O$20:$O$4940,'Адресная программа'!$N$20:$N$4940,1,'Адресная программа'!$C$20:$C$4940,B128,'Адресная программа'!$G$20:$G$4940,"Бизнес центр")=SUMIFS('Адресная программа'!$K$20:$K$4940,'Адресная программа'!$L$20:$L$4940,1,'Адресная программа'!$C$20:$C$4940,B128,'Адресная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программа'!$C$20:$C$4940,B128,'Адресная программа'!$G$20:$G$4940,"Бизнес центр")&gt;(SUMIFS('Адресная программа'!$K$20:$K$4940,'Адресная программа'!$L$20:$L$4940,1,'Адресная программа'!$C$20:$C$4940,B128,'Адресная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программа'!$C$20:$C$4940,B128,'Адресная программа'!$G$20:$G$4940,"Бизнес центр")&gt;(SUMIFS('Адресная программа'!$K$20:$K$4940,'Адресная программа'!$L$20:$L$4940,1,'Адресная программа'!$C$20:$C$4940,B128,'Адресная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программа'!$C$20:$C$4940,B128,'Адресная программа'!$G$20:$G$4940,"Бизнес центр")&gt;(SUMIFS('Адресная программа'!$K$20:$K$4940,'Адресная программа'!$L$20:$L$4940,1,'Адресная программа'!$C$20:$C$4940,B128,'Адресная программа'!$G$20:$G$4940,"Бизнес центр")*'Цены|Скидки'!$B$55-1),'Цены|Скидки'!$C$55,0%))))</f>
        <v/>
      </c>
      <c r="H128" s="156">
        <f>D$12</f>
        <v/>
      </c>
      <c r="I128" s="190">
        <f>IF(D128=0,0,1-J128/F128)</f>
        <v/>
      </c>
      <c r="J128" s="934">
        <f>F128*(1-G128)*(1-H128)*(1-IF($AC$2="РА",$AD$2,0))*(1-IF(OR($AC$3="Доп скидка",$AC$3="Сезонная скидка",$AC$3="Welcome скидка")=TRUE,$AD$3,0))</f>
        <v/>
      </c>
      <c r="K128" s="934">
        <f>ROUND(J128+L128,2)</f>
        <v/>
      </c>
      <c r="L128" s="934">
        <f>J128*БЦ!$AD$4</f>
        <v/>
      </c>
      <c r="M128" s="159">
        <f>(SUMIFS('Адресная программа'!$H$20:$H$4288,'Адресная программа'!$I$20:$I$4288,БЦ_ALL!C128,'Адресная программа'!$C$20:$C$4288,БЦ_ALL!B128,'Адресная программа'!$N$20:$N$4288,1)*$K$7)</f>
        <v/>
      </c>
      <c r="N128" s="935">
        <f>IF(M128=0,0,J128/M128*1000)</f>
        <v/>
      </c>
    </row>
    <row r="129" ht="13.8" customHeight="1">
      <c r="B129" s="253" t="inlineStr">
        <is>
          <t>Москва</t>
        </is>
      </c>
      <c r="C129" s="264" t="inlineStr">
        <is>
          <t>Молодежная 48</t>
        </is>
      </c>
      <c r="D129" s="303">
        <f>SUMIFS('Адресная программа'!$K$2975:$K$4468,'Адресная программа'!$I$2975:$I$4468,БЦ_ALL!C129,'Адресная программа'!$C$2975:$C$4468,БЦ_ALL!B129,'Адресная программа'!$N$2975:$N$4468,1)</f>
        <v/>
      </c>
      <c r="E129" s="994">
        <f>'Цены|Скидки'!$D$25</f>
        <v/>
      </c>
      <c r="F129" s="942">
        <f>SUM(E129*D129*$K$7/15*$K$9)</f>
        <v/>
      </c>
      <c r="G129" s="156">
        <f>IF(SUMIFS('Адресная программа'!$O$20:$O$4940,'Адресная программа'!$N$20:$N$4940,1,'Адресная программа'!$C$20:$C$4940,B129,'Адресная программа'!$G$20:$G$4940,"Бизнес центр")=SUMIFS('Адресная программа'!$K$20:$K$4940,'Адресная программа'!$L$20:$L$4940,1,'Адресная программа'!$C$20:$C$4940,B129,'Адресная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программа'!$C$20:$C$4940,B129,'Адресная программа'!$G$20:$G$4940,"Бизнес центр")&gt;(SUMIFS('Адресная программа'!$K$20:$K$4940,'Адресная программа'!$L$20:$L$4940,1,'Адресная программа'!$C$20:$C$4940,B129,'Адресная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программа'!$C$20:$C$4940,B129,'Адресная программа'!$G$20:$G$4940,"Бизнес центр")&gt;(SUMIFS('Адресная программа'!$K$20:$K$4940,'Адресная программа'!$L$20:$L$4940,1,'Адресная программа'!$C$20:$C$4940,B129,'Адресная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программа'!$C$20:$C$4940,B129,'Адресная программа'!$G$20:$G$4940,"Бизнес центр")&gt;(SUMIFS('Адресная программа'!$K$20:$K$4940,'Адресная программа'!$L$20:$L$4940,1,'Адресная программа'!$C$20:$C$4940,B129,'Адресная программа'!$G$20:$G$4940,"Бизнес центр")*'Цены|Скидки'!$B$55-1),'Цены|Скидки'!$C$55,0%))))</f>
        <v/>
      </c>
      <c r="H129" s="156">
        <f>D$12</f>
        <v/>
      </c>
      <c r="I129" s="190">
        <f>IF(D129=0,0,1-J129/F129)</f>
        <v/>
      </c>
      <c r="J129" s="934">
        <f>F129*(1-G129)*(1-H129)*(1-IF($AC$2="РА",$AD$2,0))*(1-IF(OR($AC$3="Доп скидка",$AC$3="Сезонная скидка",$AC$3="Welcome скидка")=TRUE,$AD$3,0))</f>
        <v/>
      </c>
      <c r="K129" s="934">
        <f>ROUND(J129+L129,2)</f>
        <v/>
      </c>
      <c r="L129" s="934">
        <f>J129*БЦ!$AD$4</f>
        <v/>
      </c>
      <c r="M129" s="159">
        <f>(SUMIFS('Адресная программа'!$H$20:$H$4288,'Адресная программа'!$I$20:$I$4288,БЦ_ALL!C129,'Адресная программа'!$C$20:$C$4288,БЦ_ALL!B129,'Адресная программа'!$N$20:$N$4288,1)*$K$7)</f>
        <v/>
      </c>
      <c r="N129" s="935">
        <f>IF(M129=0,0,J129/M129*1000)</f>
        <v/>
      </c>
    </row>
    <row r="130" ht="13.8" customHeight="1">
      <c r="B130" s="253" t="inlineStr">
        <is>
          <t>Москва</t>
        </is>
      </c>
      <c r="C130" s="264" t="inlineStr">
        <is>
          <t>Научный 13</t>
        </is>
      </c>
      <c r="D130" s="303">
        <f>SUMIFS('Адресная программа'!$K$2975:$K$4468,'Адресная программа'!$I$2975:$I$4468,БЦ_ALL!C130,'Адресная программа'!$C$2975:$C$4468,БЦ_ALL!B130,'Адресная программа'!$N$2975:$N$4468,1)</f>
        <v/>
      </c>
      <c r="E130" s="994">
        <f>'Цены|Скидки'!$D$25</f>
        <v/>
      </c>
      <c r="F130" s="942">
        <f>SUM(E130*D130*$K$7/15*$K$9)</f>
        <v/>
      </c>
      <c r="G130" s="156">
        <f>IF(SUMIFS('Адресная программа'!$O$20:$O$4940,'Адресная программа'!$N$20:$N$4940,1,'Адресная программа'!$C$20:$C$4940,B130,'Адресная программа'!$G$20:$G$4940,"Бизнес центр")=SUMIFS('Адресная программа'!$K$20:$K$4940,'Адресная программа'!$L$20:$L$4940,1,'Адресная программа'!$C$20:$C$4940,B130,'Адресная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программа'!$C$20:$C$4940,B130,'Адресная программа'!$G$20:$G$4940,"Бизнес центр")&gt;(SUMIFS('Адресная программа'!$K$20:$K$4940,'Адресная программа'!$L$20:$L$4940,1,'Адресная программа'!$C$20:$C$4940,B130,'Адресная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программа'!$C$20:$C$4940,B130,'Адресная программа'!$G$20:$G$4940,"Бизнес центр")&gt;(SUMIFS('Адресная программа'!$K$20:$K$4940,'Адресная программа'!$L$20:$L$4940,1,'Адресная программа'!$C$20:$C$4940,B130,'Адресная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программа'!$C$20:$C$4940,B130,'Адресная программа'!$G$20:$G$4940,"Бизнес центр")&gt;(SUMIFS('Адресная программа'!$K$20:$K$4940,'Адресная программа'!$L$20:$L$4940,1,'Адресная программа'!$C$20:$C$4940,B130,'Адресная программа'!$G$20:$G$4940,"Бизнес центр")*'Цены|Скидки'!$B$55-1),'Цены|Скидки'!$C$55,0%))))</f>
        <v/>
      </c>
      <c r="H130" s="156">
        <f>D$12</f>
        <v/>
      </c>
      <c r="I130" s="190">
        <f>IF(D130=0,0,1-J130/F130)</f>
        <v/>
      </c>
      <c r="J130" s="934">
        <f>F130*(1-G130)*(1-H130)*(1-IF($AC$2="РА",$AD$2,0))*(1-IF(OR($AC$3="Доп скидка",$AC$3="Сезонная скидка",$AC$3="Welcome скидка")=TRUE,$AD$3,0))</f>
        <v/>
      </c>
      <c r="K130" s="934">
        <f>ROUND(J130+L130,2)</f>
        <v/>
      </c>
      <c r="L130" s="934">
        <f>J130*БЦ!$AD$4</f>
        <v/>
      </c>
      <c r="M130" s="159">
        <f>(SUMIFS('Адресная программа'!$H$20:$H$4288,'Адресная программа'!$I$20:$I$4288,БЦ_ALL!C130,'Адресная программа'!$C$20:$C$4288,БЦ_ALL!B130,'Адресная программа'!$N$20:$N$4288,1)*$K$7)</f>
        <v/>
      </c>
      <c r="N130" s="935">
        <f>IF(M130=0,0,J130/M130*1000)</f>
        <v/>
      </c>
    </row>
    <row r="131" ht="13.8" customHeight="1">
      <c r="B131" s="253" t="inlineStr">
        <is>
          <t>Москва</t>
        </is>
      </c>
      <c r="C131" s="264" t="inlineStr">
        <is>
          <t>Смарт Парк</t>
        </is>
      </c>
      <c r="D131" s="303">
        <f>SUMIFS('Адресная программа'!$K$2975:$K$4468,'Адресная программа'!$I$2975:$I$4468,БЦ_ALL!C131,'Адресная программа'!$C$2975:$C$4468,БЦ_ALL!B131,'Адресная программа'!$N$2975:$N$4468,1)</f>
        <v/>
      </c>
      <c r="E131" s="994">
        <f>'Цены|Скидки'!$D$25</f>
        <v/>
      </c>
      <c r="F131" s="942">
        <f>SUM(E131*D131*$K$7/15*$K$9)</f>
        <v/>
      </c>
      <c r="G131" s="156">
        <f>IF(SUMIFS('Адресная программа'!$O$20:$O$4940,'Адресная программа'!$N$20:$N$4940,1,'Адресная программа'!$C$20:$C$4940,B131,'Адресная программа'!$G$20:$G$4940,"Бизнес центр")=SUMIFS('Адресная программа'!$K$20:$K$4940,'Адресная программа'!$L$20:$L$4940,1,'Адресная программа'!$C$20:$C$4940,B131,'Адресная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программа'!$C$20:$C$4940,B131,'Адресная программа'!$G$20:$G$4940,"Бизнес центр")&gt;(SUMIFS('Адресная программа'!$K$20:$K$4940,'Адресная программа'!$L$20:$L$4940,1,'Адресная программа'!$C$20:$C$4940,B131,'Адресная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программа'!$C$20:$C$4940,B131,'Адресная программа'!$G$20:$G$4940,"Бизнес центр")&gt;(SUMIFS('Адресная программа'!$K$20:$K$4940,'Адресная программа'!$L$20:$L$4940,1,'Адресная программа'!$C$20:$C$4940,B131,'Адресная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программа'!$C$20:$C$4940,B131,'Адресная программа'!$G$20:$G$4940,"Бизнес центр")&gt;(SUMIFS('Адресная программа'!$K$20:$K$4940,'Адресная программа'!$L$20:$L$4940,1,'Адресная программа'!$C$20:$C$4940,B131,'Адресная программа'!$G$20:$G$4940,"Бизнес центр")*'Цены|Скидки'!$B$55-1),'Цены|Скидки'!$C$55,0%))))</f>
        <v/>
      </c>
      <c r="H131" s="156">
        <f>D$12</f>
        <v/>
      </c>
      <c r="I131" s="190">
        <f>IF(D131=0,0,1-J131/F131)</f>
        <v/>
      </c>
      <c r="J131" s="934">
        <f>F131*(1-G131)*(1-H131)*(1-IF($AC$2="РА",$AD$2,0))*(1-IF(OR($AC$3="Доп скидка",$AC$3="Сезонная скидка",$AC$3="Welcome скидка")=TRUE,$AD$3,0))</f>
        <v/>
      </c>
      <c r="K131" s="934">
        <f>ROUND(J131+L131,2)</f>
        <v/>
      </c>
      <c r="L131" s="934">
        <f>J131*БЦ!$AD$4</f>
        <v/>
      </c>
      <c r="M131" s="159">
        <f>(SUMIFS('Адресная программа'!$H$20:$H$4288,'Адресная программа'!$I$20:$I$4288,БЦ_ALL!C131,'Адресная программа'!$C$20:$C$4288,БЦ_ALL!B131,'Адресная программа'!$N$20:$N$4288,1)*$K$7)</f>
        <v/>
      </c>
      <c r="N131" s="935">
        <f>IF(M131=0,0,J131/M131*1000)</f>
        <v/>
      </c>
    </row>
    <row r="132" ht="13.8" customHeight="1">
      <c r="B132" s="253" t="inlineStr">
        <is>
          <t>Москва</t>
        </is>
      </c>
      <c r="C132" s="264" t="inlineStr">
        <is>
          <t>Улей Плаза</t>
        </is>
      </c>
      <c r="D132" s="303">
        <f>SUMIFS('Адресная программа'!$K$2975:$K$4468,'Адресная программа'!$I$2975:$I$4468,БЦ_ALL!C132,'Адресная программа'!$C$2975:$C$4468,БЦ_ALL!B132,'Адресная программа'!$N$2975:$N$4468,1)</f>
        <v/>
      </c>
      <c r="E132" s="994">
        <f>'Цены|Скидки'!$D$25</f>
        <v/>
      </c>
      <c r="F132" s="942">
        <f>SUM(E132*D132*$K$7/15*$K$9)</f>
        <v/>
      </c>
      <c r="G132" s="156">
        <f>IF(SUMIFS('Адресная программа'!$O$20:$O$4940,'Адресная программа'!$N$20:$N$4940,1,'Адресная программа'!$C$20:$C$4940,B132,'Адресная программа'!$G$20:$G$4940,"Бизнес центр")=SUMIFS('Адресная программа'!$K$20:$K$4940,'Адресная программа'!$L$20:$L$4940,1,'Адресная программа'!$C$20:$C$4940,B132,'Адресная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программа'!$C$20:$C$4940,B132,'Адресная программа'!$G$20:$G$4940,"Бизнес центр")&gt;(SUMIFS('Адресная программа'!$K$20:$K$4940,'Адресная программа'!$L$20:$L$4940,1,'Адресная программа'!$C$20:$C$4940,B132,'Адресная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программа'!$C$20:$C$4940,B132,'Адресная программа'!$G$20:$G$4940,"Бизнес центр")&gt;(SUMIFS('Адресная программа'!$K$20:$K$4940,'Адресная программа'!$L$20:$L$4940,1,'Адресная программа'!$C$20:$C$4940,B132,'Адресная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программа'!$C$20:$C$4940,B132,'Адресная программа'!$G$20:$G$4940,"Бизнес центр")&gt;(SUMIFS('Адресная программа'!$K$20:$K$4940,'Адресная программа'!$L$20:$L$4940,1,'Адресная программа'!$C$20:$C$4940,B132,'Адресная программа'!$G$20:$G$4940,"Бизнес центр")*'Цены|Скидки'!$B$55-1),'Цены|Скидки'!$C$55,0%))))</f>
        <v/>
      </c>
      <c r="H132" s="156">
        <f>D$12</f>
        <v/>
      </c>
      <c r="I132" s="190">
        <f>IF(D132=0,0,1-J132/F132)</f>
        <v/>
      </c>
      <c r="J132" s="934">
        <f>F132*(1-G132)*(1-H132)*(1-IF($AC$2="РА",$AD$2,0))*(1-IF(OR($AC$3="Доп скидка",$AC$3="Сезонная скидка",$AC$3="Welcome скидка")=TRUE,$AD$3,0))</f>
        <v/>
      </c>
      <c r="K132" s="934">
        <f>ROUND(J132+L132,2)</f>
        <v/>
      </c>
      <c r="L132" s="934">
        <f>J132*БЦ!$AD$4</f>
        <v/>
      </c>
      <c r="M132" s="159">
        <f>(SUMIFS('Адресная программа'!$H$20:$H$4288,'Адресная программа'!$I$20:$I$4288,БЦ_ALL!C132,'Адресная программа'!$C$20:$C$4288,БЦ_ALL!B132,'Адресная программа'!$N$20:$N$4288,1)*$K$7)</f>
        <v/>
      </c>
      <c r="N132" s="935">
        <f>IF(M132=0,0,J132/M132*1000)</f>
        <v/>
      </c>
    </row>
    <row r="133" ht="13.8" customHeight="1">
      <c r="B133" s="253" t="inlineStr">
        <is>
          <t>Москва</t>
        </is>
      </c>
      <c r="C133" s="264" t="inlineStr">
        <is>
          <t xml:space="preserve">Стрельбищенский 30 </t>
        </is>
      </c>
      <c r="D133" s="303">
        <f>SUMIFS('Адресная программа'!$K$2975:$K$4468,'Адресная программа'!$I$2975:$I$4468,БЦ_ALL!C133,'Адресная программа'!$C$2975:$C$4468,БЦ_ALL!B133,'Адресная программа'!$N$2975:$N$4468,1)</f>
        <v/>
      </c>
      <c r="E133" s="994">
        <f>'Цены|Скидки'!$D$25</f>
        <v/>
      </c>
      <c r="F133" s="942">
        <f>SUM(E133*D133*$K$7/15*$K$9)</f>
        <v/>
      </c>
      <c r="G133" s="156">
        <f>IF(SUMIFS('Адресная программа'!$O$20:$O$4940,'Адресная программа'!$N$20:$N$4940,1,'Адресная программа'!$C$20:$C$4940,B133,'Адресная программа'!$G$20:$G$4940,"Бизнес центр")=SUMIFS('Адресная программа'!$K$20:$K$4940,'Адресная программа'!$L$20:$L$4940,1,'Адресная программа'!$C$20:$C$4940,B133,'Адресная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программа'!$C$20:$C$4940,B133,'Адресная программа'!$G$20:$G$4940,"Бизнес центр")&gt;(SUMIFS('Адресная программа'!$K$20:$K$4940,'Адресная программа'!$L$20:$L$4940,1,'Адресная программа'!$C$20:$C$4940,B133,'Адресная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программа'!$C$20:$C$4940,B133,'Адресная программа'!$G$20:$G$4940,"Бизнес центр")&gt;(SUMIFS('Адресная программа'!$K$20:$K$4940,'Адресная программа'!$L$20:$L$4940,1,'Адресная программа'!$C$20:$C$4940,B133,'Адресная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программа'!$C$20:$C$4940,B133,'Адресная программа'!$G$20:$G$4940,"Бизнес центр")&gt;(SUMIFS('Адресная программа'!$K$20:$K$4940,'Адресная программа'!$L$20:$L$4940,1,'Адресная программа'!$C$20:$C$4940,B133,'Адресная программа'!$G$20:$G$4940,"Бизнес центр")*'Цены|Скидки'!$B$55-1),'Цены|Скидки'!$C$55,0%))))</f>
        <v/>
      </c>
      <c r="H133" s="156">
        <f>D$12</f>
        <v/>
      </c>
      <c r="I133" s="190">
        <f>IF(D133=0,0,1-J133/F133)</f>
        <v/>
      </c>
      <c r="J133" s="934">
        <f>F133*(1-G133)*(1-H133)*(1-IF($AC$2="РА",$AD$2,0))*(1-IF(OR($AC$3="Доп скидка",$AC$3="Сезонная скидка",$AC$3="Welcome скидка")=TRUE,$AD$3,0))</f>
        <v/>
      </c>
      <c r="K133" s="934">
        <f>ROUND(J133+L133,2)</f>
        <v/>
      </c>
      <c r="L133" s="934">
        <f>J133*БЦ!$AD$4</f>
        <v/>
      </c>
      <c r="M133" s="159">
        <f>(SUMIFS('Адресная программа'!$H$20:$H$4288,'Адресная программа'!$I$20:$I$4288,БЦ_ALL!C133,'Адресная программа'!$C$20:$C$4288,БЦ_ALL!B133,'Адресная программа'!$N$20:$N$4288,1)*$K$7)</f>
        <v/>
      </c>
      <c r="N133" s="935">
        <f>IF(M133=0,0,J133/M133*1000)</f>
        <v/>
      </c>
    </row>
    <row r="134" ht="13.8" customHeight="1">
      <c r="B134" s="253" t="inlineStr">
        <is>
          <t>Москва</t>
        </is>
      </c>
      <c r="C134" s="264" t="inlineStr">
        <is>
          <t>Поклонка Плейс</t>
        </is>
      </c>
      <c r="D134" s="303">
        <f>SUMIFS('Адресная программа'!$K$2975:$K$4468,'Адресная программа'!$I$2975:$I$4468,БЦ_ALL!C134,'Адресная программа'!$C$2975:$C$4468,БЦ_ALL!B134,'Адресная программа'!$N$2975:$N$4468,1)</f>
        <v/>
      </c>
      <c r="E134" s="994">
        <f>'Цены|Скидки'!$D$25</f>
        <v/>
      </c>
      <c r="F134" s="942">
        <f>SUM(E134*D134*$K$7/15*$K$9)</f>
        <v/>
      </c>
      <c r="G134" s="156">
        <f>IF(SUMIFS('Адресная программа'!$O$20:$O$4940,'Адресная программа'!$N$20:$N$4940,1,'Адресная программа'!$C$20:$C$4940,B134,'Адресная программа'!$G$20:$G$4940,"Бизнес центр")=SUMIFS('Адресная программа'!$K$20:$K$4940,'Адресная программа'!$L$20:$L$4940,1,'Адресная программа'!$C$20:$C$4940,B134,'Адресная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программа'!$C$20:$C$4940,B134,'Адресная программа'!$G$20:$G$4940,"Бизнес центр")&gt;(SUMIFS('Адресная программа'!$K$20:$K$4940,'Адресная программа'!$L$20:$L$4940,1,'Адресная программа'!$C$20:$C$4940,B134,'Адресная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программа'!$C$20:$C$4940,B134,'Адресная программа'!$G$20:$G$4940,"Бизнес центр")&gt;(SUMIFS('Адресная программа'!$K$20:$K$4940,'Адресная программа'!$L$20:$L$4940,1,'Адресная программа'!$C$20:$C$4940,B134,'Адресная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программа'!$C$20:$C$4940,B134,'Адресная программа'!$G$20:$G$4940,"Бизнес центр")&gt;(SUMIFS('Адресная программа'!$K$20:$K$4940,'Адресная программа'!$L$20:$L$4940,1,'Адресная программа'!$C$20:$C$4940,B134,'Адресная программа'!$G$20:$G$4940,"Бизнес центр")*'Цены|Скидки'!$B$55-1),'Цены|Скидки'!$C$55,0%))))</f>
        <v/>
      </c>
      <c r="H134" s="156">
        <f>D$12</f>
        <v/>
      </c>
      <c r="I134" s="190">
        <f>IF(D134=0,0,1-J134/F134)</f>
        <v/>
      </c>
      <c r="J134" s="934">
        <f>F134*(1-G134)*(1-H134)*(1-IF($AC$2="РА",$AD$2,0))*(1-IF(OR($AC$3="Доп скидка",$AC$3="Сезонная скидка",$AC$3="Welcome скидка")=TRUE,$AD$3,0))</f>
        <v/>
      </c>
      <c r="K134" s="934">
        <f>ROUND(J134+L134,2)</f>
        <v/>
      </c>
      <c r="L134" s="934">
        <f>J134*БЦ!$AD$4</f>
        <v/>
      </c>
      <c r="M134" s="159">
        <f>(SUMIFS('Адресная программа'!$H$20:$H$4288,'Адресная программа'!$I$20:$I$4288,БЦ_ALL!C134,'Адресная программа'!$C$20:$C$4288,БЦ_ALL!B134,'Адресная программа'!$N$20:$N$4288,1)*$K$7)</f>
        <v/>
      </c>
      <c r="N134" s="935">
        <f>IF(M134=0,0,J134/M134*1000)</f>
        <v/>
      </c>
    </row>
    <row r="135" ht="13.8" customHeight="1">
      <c r="B135" s="253" t="inlineStr">
        <is>
          <t>Москва</t>
        </is>
      </c>
      <c r="C135" s="264" t="inlineStr">
        <is>
          <t>Правда</t>
        </is>
      </c>
      <c r="D135" s="303">
        <f>SUMIFS('Адресная программа'!$K$2975:$K$4468,'Адресная программа'!$I$2975:$I$4468,БЦ_ALL!C135,'Адресная программа'!$C$2975:$C$4468,БЦ_ALL!B135,'Адресная программа'!$N$2975:$N$4468,1)</f>
        <v/>
      </c>
      <c r="E135" s="994">
        <f>'Цены|Скидки'!$D$25</f>
        <v/>
      </c>
      <c r="F135" s="942">
        <f>SUM(E135*D135*$K$7/15*$K$9)</f>
        <v/>
      </c>
      <c r="G135" s="156">
        <f>IF(SUMIFS('Адресная программа'!$O$20:$O$4940,'Адресная программа'!$N$20:$N$4940,1,'Адресная программа'!$C$20:$C$4940,B135,'Адресная программа'!$G$20:$G$4940,"Бизнес центр")=SUMIFS('Адресная программа'!$K$20:$K$4940,'Адресная программа'!$L$20:$L$4940,1,'Адресная программа'!$C$20:$C$4940,B135,'Адресная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программа'!$C$20:$C$4940,B135,'Адресная программа'!$G$20:$G$4940,"Бизнес центр")&gt;(SUMIFS('Адресная программа'!$K$20:$K$4940,'Адресная программа'!$L$20:$L$4940,1,'Адресная программа'!$C$20:$C$4940,B135,'Адресная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программа'!$C$20:$C$4940,B135,'Адресная программа'!$G$20:$G$4940,"Бизнес центр")&gt;(SUMIFS('Адресная программа'!$K$20:$K$4940,'Адресная программа'!$L$20:$L$4940,1,'Адресная программа'!$C$20:$C$4940,B135,'Адресная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программа'!$C$20:$C$4940,B135,'Адресная программа'!$G$20:$G$4940,"Бизнес центр")&gt;(SUMIFS('Адресная программа'!$K$20:$K$4940,'Адресная программа'!$L$20:$L$4940,1,'Адресная программа'!$C$20:$C$4940,B135,'Адресная программа'!$G$20:$G$4940,"Бизнес центр")*'Цены|Скидки'!$B$55-1),'Цены|Скидки'!$C$55,0%))))</f>
        <v/>
      </c>
      <c r="H135" s="156">
        <f>D$12</f>
        <v/>
      </c>
      <c r="I135" s="190">
        <f>IF(D135=0,0,1-J135/F135)</f>
        <v/>
      </c>
      <c r="J135" s="934">
        <f>F135*(1-G135)*(1-H135)*(1-IF($AC$2="РА",$AD$2,0))*(1-IF(OR($AC$3="Доп скидка",$AC$3="Сезонная скидка",$AC$3="Welcome скидка")=TRUE,$AD$3,0))</f>
        <v/>
      </c>
      <c r="K135" s="934">
        <f>ROUND(J135+L135,2)</f>
        <v/>
      </c>
      <c r="L135" s="934">
        <f>J135*БЦ!$AD$4</f>
        <v/>
      </c>
      <c r="M135" s="159">
        <f>(SUMIFS('Адресная программа'!$H$20:$H$4288,'Адресная программа'!$I$20:$I$4288,БЦ_ALL!C135,'Адресная программа'!$C$20:$C$4288,БЦ_ALL!B135,'Адресная программа'!$N$20:$N$4288,1)*$K$7)</f>
        <v/>
      </c>
      <c r="N135" s="935">
        <f>IF(M135=0,0,J135/M135*1000)</f>
        <v/>
      </c>
    </row>
    <row r="136" ht="13.8" customHeight="1">
      <c r="B136" s="253" t="inlineStr">
        <is>
          <t>Москва</t>
        </is>
      </c>
      <c r="C136" s="264" t="inlineStr">
        <is>
          <t>Бутырский</t>
        </is>
      </c>
      <c r="D136" s="303">
        <f>SUMIFS('Адресная программа'!$K$2975:$K$4468,'Адресная программа'!$I$2975:$I$4468,БЦ_ALL!C136,'Адресная программа'!$C$2975:$C$4468,БЦ_ALL!B136,'Адресная программа'!$N$2975:$N$4468,1)</f>
        <v/>
      </c>
      <c r="E136" s="994">
        <f>'Цены|Скидки'!$D$25</f>
        <v/>
      </c>
      <c r="F136" s="942">
        <f>SUM(E136*D136*$K$7/15*$K$9)</f>
        <v/>
      </c>
      <c r="G136" s="156">
        <f>IF(SUMIFS('Адресная программа'!$O$20:$O$4940,'Адресная программа'!$N$20:$N$4940,1,'Адресная программа'!$C$20:$C$4940,B136,'Адресная программа'!$G$20:$G$4940,"Бизнес центр")=SUMIFS('Адресная программа'!$K$20:$K$4940,'Адресная программа'!$L$20:$L$4940,1,'Адресная программа'!$C$20:$C$4940,B136,'Адресная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программа'!$C$20:$C$4940,B136,'Адресная программа'!$G$20:$G$4940,"Бизнес центр")&gt;(SUMIFS('Адресная программа'!$K$20:$K$4940,'Адресная программа'!$L$20:$L$4940,1,'Адресная программа'!$C$20:$C$4940,B136,'Адресная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программа'!$C$20:$C$4940,B136,'Адресная программа'!$G$20:$G$4940,"Бизнес центр")&gt;(SUMIFS('Адресная программа'!$K$20:$K$4940,'Адресная программа'!$L$20:$L$4940,1,'Адресная программа'!$C$20:$C$4940,B136,'Адресная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программа'!$C$20:$C$4940,B136,'Адресная программа'!$G$20:$G$4940,"Бизнес центр")&gt;(SUMIFS('Адресная программа'!$K$20:$K$4940,'Адресная программа'!$L$20:$L$4940,1,'Адресная программа'!$C$20:$C$4940,B136,'Адресная программа'!$G$20:$G$4940,"Бизнес центр")*'Цены|Скидки'!$B$55-1),'Цены|Скидки'!$C$55,0%))))</f>
        <v/>
      </c>
      <c r="H136" s="156">
        <f>D$12</f>
        <v/>
      </c>
      <c r="I136" s="190">
        <f>IF(D136=0,0,1-J136/F136)</f>
        <v/>
      </c>
      <c r="J136" s="934">
        <f>F136*(1-G136)*(1-H136)*(1-IF($AC$2="РА",$AD$2,0))*(1-IF(OR($AC$3="Доп скидка",$AC$3="Сезонная скидка",$AC$3="Welcome скидка")=TRUE,$AD$3,0))</f>
        <v/>
      </c>
      <c r="K136" s="934">
        <f>ROUND(J136+L136,2)</f>
        <v/>
      </c>
      <c r="L136" s="934">
        <f>J136*БЦ!$AD$4</f>
        <v/>
      </c>
      <c r="M136" s="159">
        <f>(SUMIFS('Адресная программа'!$H$20:$H$4288,'Адресная программа'!$I$20:$I$4288,БЦ_ALL!C136,'Адресная программа'!$C$20:$C$4288,БЦ_ALL!B136,'Адресная программа'!$N$20:$N$4288,1)*$K$7)</f>
        <v/>
      </c>
      <c r="N136" s="935">
        <f>IF(M136=0,0,J136/M136*1000)</f>
        <v/>
      </c>
    </row>
    <row r="137" ht="13.8" customHeight="1">
      <c r="B137" s="253" t="inlineStr">
        <is>
          <t>Москва</t>
        </is>
      </c>
      <c r="C137" s="264" t="inlineStr">
        <is>
          <t>на Яузе</t>
        </is>
      </c>
      <c r="D137" s="303">
        <f>SUMIFS('Адресная программа'!$K$2975:$K$4468,'Адресная программа'!$I$2975:$I$4468,БЦ_ALL!C137,'Адресная программа'!$C$2975:$C$4468,БЦ_ALL!B137,'Адресная программа'!$N$2975:$N$4468,1)</f>
        <v/>
      </c>
      <c r="E137" s="994">
        <f>'Цены|Скидки'!$D$25</f>
        <v/>
      </c>
      <c r="F137" s="942">
        <f>SUM(E137*D137*$K$7/15*$K$9)</f>
        <v/>
      </c>
      <c r="G137" s="156">
        <f>IF(COUNTIFS('Адресная программа'!$N$20:$N$4940,1,'Адресная программа'!$C$20:$C$4940,B137,'Адресная программа'!$G$20:$G$4940,"Бизнес центр")=COUNTIFS('Адресная программа'!$L$20:$L$4940,1,'Адресная программа'!$C$20:$C$4940,B137,'Адресная программа'!$G$20:$G$4940,"Бизнес центр"),'Цены|Скидки'!$C$52,IF(COUNTIFS('Адресная программа'!$N$20:$N$4940,1,'Адресная программа'!$C$20:$C$4940,B137,'Адресная программа'!$G$20:$G$4940,"Бизнес центр")&gt;(COUNTIFS('Адресная программа'!$L$20:$L$4940,1,'Адресная программа'!$C$20:$C$4940,B137,'Адресная программа'!$G$20:$G$4940,"Бизнес центр")*'Цены|Скидки'!$B$53-1),'Цены|Скидки'!$C$53,IF(COUNTIFS('Адресная программа'!$N$20:$N$4940,1,'Адресная программа'!$C$20:$C$4940,B137,'Адресная программа'!$G$20:$G$4940,"Бизнес центр")&gt;(COUNTIFS('Адресная программа'!$L$20:$L$4940,1,'Адресная программа'!$C$20:$C$4940,B137,'Адресная программа'!$G$20:$G$4940,"Бизнес центр")*'Цены|Скидки'!$B$54-1),'Цены|Скидки'!$C$54,IF(COUNTIFS('Адресная программа'!$N$20:$N$4940,1,'Адресная программа'!$C$20:$C$4940,B137,'Адресная программа'!$G$20:$G$4940,"Бизнес центр")&gt;(COUNTIFS('Адресная программа'!$L$20:$L$4940,1,'Адресная программа'!$C$20:$C$4940,B137,'Адресная программа'!$G$20:$G$4940,"Бизнес центр")*'Цены|Скидки'!$B$55-1),'Цены|Скидки'!$C$55,0%))))</f>
        <v/>
      </c>
      <c r="H137" s="156">
        <f>D$12</f>
        <v/>
      </c>
      <c r="I137" s="190">
        <f>IF(D137=0,0,1-J137/F137)</f>
        <v/>
      </c>
      <c r="J137" s="934">
        <f>F137*(1-G137)*(1-H137)*(1-IF($AC$2="РА",$AD$2,0))*(1-IF(OR($AC$3="Доп скидка",$AC$3="Сезонная скидка",$AC$3="Welcome скидка")=TRUE,$AD$3,0))</f>
        <v/>
      </c>
      <c r="K137" s="934">
        <f>ROUND(J137+L137,2)</f>
        <v/>
      </c>
      <c r="L137" s="934">
        <f>J137*0.2</f>
        <v/>
      </c>
      <c r="M137" s="159">
        <f>(SUMIFS('Адресная программа'!$H$3031:$H$4288,'Адресная программа'!$I$3031:$I$4288,БЦ_ALL!C137,'Адресная программа'!$C$3031:$C$4288,БЦ_ALL!B137,'Адресная программа'!$N$3031:$N$4288,1)*$K$7)</f>
        <v/>
      </c>
      <c r="N137" s="935">
        <f>IF(M137=0,0,J137/M137*1000)</f>
        <v/>
      </c>
    </row>
    <row r="138" ht="13.8" customHeight="1">
      <c r="B138" s="253" t="inlineStr">
        <is>
          <t>Москва</t>
        </is>
      </c>
      <c r="C138" s="264" t="inlineStr">
        <is>
          <t>на Масловке</t>
        </is>
      </c>
      <c r="D138" s="303">
        <f>SUMIFS('Адресная программа'!$K$2975:$K$4468,'Адресная программа'!$I$2975:$I$4468,БЦ_ALL!C138,'Адресная программа'!$C$2975:$C$4468,БЦ_ALL!B138,'Адресная программа'!$N$2975:$N$4468,1)</f>
        <v/>
      </c>
      <c r="E138" s="994">
        <f>'Цены|Скидки'!$D$25</f>
        <v/>
      </c>
      <c r="F138" s="942">
        <f>SUM(E138*D138*$K$7/15*$K$9)</f>
        <v/>
      </c>
      <c r="G138" s="156">
        <f>IF(SUMIFS('Адресная программа'!$O$20:$O$4940,'Адресная программа'!$N$20:$N$4940,1,'Адресная программа'!$C$20:$C$4940,B138,'Адресная программа'!$G$20:$G$4940,"Бизнес центр")=SUMIFS('Адресная программа'!$K$20:$K$4940,'Адресная программа'!$L$20:$L$4940,1,'Адресная программа'!$C$20:$C$4940,B138,'Адресная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программа'!$C$20:$C$4940,B138,'Адресная программа'!$G$20:$G$4940,"Бизнес центр")&gt;(SUMIFS('Адресная программа'!$K$20:$K$4940,'Адресная программа'!$L$20:$L$4940,1,'Адресная программа'!$C$20:$C$4940,B138,'Адресная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программа'!$C$20:$C$4940,B138,'Адресная программа'!$G$20:$G$4940,"Бизнес центр")&gt;(SUMIFS('Адресная программа'!$K$20:$K$4940,'Адресная программа'!$L$20:$L$4940,1,'Адресная программа'!$C$20:$C$4940,B138,'Адресная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программа'!$C$20:$C$4940,B138,'Адресная программа'!$G$20:$G$4940,"Бизнес центр")&gt;(SUMIFS('Адресная программа'!$K$20:$K$4940,'Адресная программа'!$L$20:$L$4940,1,'Адресная программа'!$C$20:$C$4940,B138,'Адресная программа'!$G$20:$G$4940,"Бизнес центр")*'Цены|Скидки'!$B$55-1),'Цены|Скидки'!$C$55,0%))))</f>
        <v/>
      </c>
      <c r="H138" s="156">
        <f>D$12</f>
        <v/>
      </c>
      <c r="I138" s="190">
        <f>IF(D138=0,0,1-J138/F138)</f>
        <v/>
      </c>
      <c r="J138" s="934">
        <f>F138*(1-G138)*(1-H138)*(1-IF($AC$2="РА",$AD$2,0))*(1-IF(OR($AC$3="Доп скидка",$AC$3="Сезонная скидка",$AC$3="Welcome скидка")=TRUE,$AD$3,0))</f>
        <v/>
      </c>
      <c r="K138" s="934">
        <f>ROUND(J138+L138,2)</f>
        <v/>
      </c>
      <c r="L138" s="934">
        <f>J138*БЦ!$AD$4</f>
        <v/>
      </c>
      <c r="M138" s="159">
        <f>(SUMIFS('Адресная программа'!$H$20:$H$4288,'Адресная программа'!$I$20:$I$4288,БЦ_ALL!C138,'Адресная программа'!$C$20:$C$4288,БЦ_ALL!B138,'Адресная программа'!$N$20:$N$4288,1)*$K$7)</f>
        <v/>
      </c>
      <c r="N138" s="935">
        <f>IF(M138=0,0,J138/M138*1000)</f>
        <v/>
      </c>
    </row>
    <row r="139" ht="13.8" customHeight="1">
      <c r="B139" s="253" t="inlineStr">
        <is>
          <t>Москва</t>
        </is>
      </c>
      <c r="C139" s="264" t="inlineStr">
        <is>
          <t>Скаковая 32</t>
        </is>
      </c>
      <c r="D139" s="303">
        <f>SUMIFS('Адресная программа'!$K$2975:$K$4468,'Адресная программа'!$I$2975:$I$4468,БЦ_ALL!C139,'Адресная программа'!$C$2975:$C$4468,БЦ_ALL!B139,'Адресная программа'!$N$2975:$N$4468,1)</f>
        <v/>
      </c>
      <c r="E139" s="994">
        <f>'Цены|Скидки'!$D$25</f>
        <v/>
      </c>
      <c r="F139" s="942">
        <f>SUM(E139*D139*$K$7/15*$K$9)</f>
        <v/>
      </c>
      <c r="G139" s="156">
        <f>IF(SUMIFS('Адресная программа'!$O$20:$O$4940,'Адресная программа'!$N$20:$N$4940,1,'Адресная программа'!$C$20:$C$4940,B139,'Адресная программа'!$G$20:$G$4940,"Бизнес центр")=SUMIFS('Адресная программа'!$K$20:$K$4940,'Адресная программа'!$L$20:$L$4940,1,'Адресная программа'!$C$20:$C$4940,B139,'Адресная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программа'!$C$20:$C$4940,B139,'Адресная программа'!$G$20:$G$4940,"Бизнес центр")&gt;(SUMIFS('Адресная программа'!$K$20:$K$4940,'Адресная программа'!$L$20:$L$4940,1,'Адресная программа'!$C$20:$C$4940,B139,'Адресная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программа'!$C$20:$C$4940,B139,'Адресная программа'!$G$20:$G$4940,"Бизнес центр")&gt;(SUMIFS('Адресная программа'!$K$20:$K$4940,'Адресная программа'!$L$20:$L$4940,1,'Адресная программа'!$C$20:$C$4940,B139,'Адресная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программа'!$C$20:$C$4940,B139,'Адресная программа'!$G$20:$G$4940,"Бизнес центр")&gt;(SUMIFS('Адресная программа'!$K$20:$K$4940,'Адресная программа'!$L$20:$L$4940,1,'Адресная программа'!$C$20:$C$4940,B139,'Адресная программа'!$G$20:$G$4940,"Бизнес центр")*'Цены|Скидки'!$B$55-1),'Цены|Скидки'!$C$55,0%))))</f>
        <v/>
      </c>
      <c r="H139" s="156">
        <f>D$12</f>
        <v/>
      </c>
      <c r="I139" s="190">
        <f>IF(D139=0,0,1-J139/F139)</f>
        <v/>
      </c>
      <c r="J139" s="934">
        <f>F139*(1-G139)*(1-H139)*(1-IF($AC$2="РА",$AD$2,0))*(1-IF(OR($AC$3="Доп скидка",$AC$3="Сезонная скидка",$AC$3="Welcome скидка")=TRUE,$AD$3,0))</f>
        <v/>
      </c>
      <c r="K139" s="934">
        <f>ROUND(J139+L139,2)</f>
        <v/>
      </c>
      <c r="L139" s="934">
        <f>J139*БЦ!$AD$4</f>
        <v/>
      </c>
      <c r="M139" s="159">
        <f>(SUMIFS('Адресная программа'!$H$20:$H$4288,'Адресная программа'!$I$20:$I$4288,БЦ_ALL!C139,'Адресная программа'!$C$20:$C$4288,БЦ_ALL!B139,'Адресная программа'!$N$20:$N$4288,1)*$K$7)</f>
        <v/>
      </c>
      <c r="N139" s="935">
        <f>IF(M139=0,0,J139/M139*1000)</f>
        <v/>
      </c>
    </row>
    <row r="140" ht="13.8" customHeight="1">
      <c r="B140" s="253" t="inlineStr">
        <is>
          <t>Москва</t>
        </is>
      </c>
      <c r="C140" s="264" t="inlineStr">
        <is>
          <t>Ямское Поле</t>
        </is>
      </c>
      <c r="D140" s="303">
        <f>SUMIFS('Адресная программа'!$K$2975:$K$4468,'Адресная программа'!$I$2975:$I$4468,БЦ_ALL!C140,'Адресная программа'!$C$2975:$C$4468,БЦ_ALL!B140,'Адресная программа'!$N$2975:$N$4468,1)</f>
        <v/>
      </c>
      <c r="E140" s="994">
        <f>'Цены|Скидки'!$D$25</f>
        <v/>
      </c>
      <c r="F140" s="942">
        <f>SUM(E140*D140*$K$7/15*$K$9)</f>
        <v/>
      </c>
      <c r="G140" s="156">
        <f>IF(SUMIFS('Адресная программа'!$O$20:$O$4940,'Адресная программа'!$N$20:$N$4940,1,'Адресная программа'!$C$20:$C$4940,B140,'Адресная программа'!$G$20:$G$4940,"Бизнес центр")=SUMIFS('Адресная программа'!$K$20:$K$4940,'Адресная программа'!$L$20:$L$4940,1,'Адресная программа'!$C$20:$C$4940,B140,'Адресная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программа'!$C$20:$C$4940,B140,'Адресная программа'!$G$20:$G$4940,"Бизнес центр")&gt;(SUMIFS('Адресная программа'!$K$20:$K$4940,'Адресная программа'!$L$20:$L$4940,1,'Адресная программа'!$C$20:$C$4940,B140,'Адресная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программа'!$C$20:$C$4940,B140,'Адресная программа'!$G$20:$G$4940,"Бизнес центр")&gt;(SUMIFS('Адресная программа'!$K$20:$K$4940,'Адресная программа'!$L$20:$L$4940,1,'Адресная программа'!$C$20:$C$4940,B140,'Адресная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программа'!$C$20:$C$4940,B140,'Адресная программа'!$G$20:$G$4940,"Бизнес центр")&gt;(SUMIFS('Адресная программа'!$K$20:$K$4940,'Адресная программа'!$L$20:$L$4940,1,'Адресная программа'!$C$20:$C$4940,B140,'Адресная программа'!$G$20:$G$4940,"Бизнес центр")*'Цены|Скидки'!$B$55-1),'Цены|Скидки'!$C$55,0%))))</f>
        <v/>
      </c>
      <c r="H140" s="156">
        <f>D$12</f>
        <v/>
      </c>
      <c r="I140" s="190">
        <f>IF(D140=0,0,1-J140/F140)</f>
        <v/>
      </c>
      <c r="J140" s="934">
        <f>F140*(1-G140)*(1-H140)*(1-IF($AC$2="РА",$AD$2,0))*(1-IF(OR($AC$3="Доп скидка",$AC$3="Сезонная скидка",$AC$3="Welcome скидка")=TRUE,$AD$3,0))</f>
        <v/>
      </c>
      <c r="K140" s="934">
        <f>ROUND(J140+L140,2)</f>
        <v/>
      </c>
      <c r="L140" s="934">
        <f>J140*БЦ!$AD$4</f>
        <v/>
      </c>
      <c r="M140" s="159">
        <f>(SUMIFS('Адресная программа'!$H$20:$H$4288,'Адресная программа'!$I$20:$I$4288,БЦ_ALL!C140,'Адресная программа'!$C$20:$C$4288,БЦ_ALL!B140,'Адресная программа'!$N$20:$N$4288,1)*$K$7)</f>
        <v/>
      </c>
      <c r="N140" s="935">
        <f>IF(M140=0,0,J140/M140*1000)</f>
        <v/>
      </c>
    </row>
    <row r="141" ht="13.8" customHeight="1">
      <c r="B141" s="253" t="inlineStr">
        <is>
          <t>Москва</t>
        </is>
      </c>
      <c r="C141" s="264" t="inlineStr">
        <is>
          <t>Правды 8</t>
        </is>
      </c>
      <c r="D141" s="303">
        <f>SUMIFS('Адресная программа'!$K$2975:$K$4468,'Адресная программа'!$I$2975:$I$4468,БЦ_ALL!C141,'Адресная программа'!$C$2975:$C$4468,БЦ_ALL!B141,'Адресная программа'!$N$2975:$N$4468,1)</f>
        <v/>
      </c>
      <c r="E141" s="994">
        <f>'Цены|Скидки'!$D$25</f>
        <v/>
      </c>
      <c r="F141" s="942">
        <f>SUM(E141*D141*$K$7/15*$K$9)</f>
        <v/>
      </c>
      <c r="G141" s="156">
        <f>IF(SUMIFS('Адресная программа'!$O$20:$O$4940,'Адресная программа'!$N$20:$N$4940,1,'Адресная программа'!$C$20:$C$4940,B141,'Адресная программа'!$G$20:$G$4940,"Бизнес центр")=SUMIFS('Адресная программа'!$K$20:$K$4940,'Адресная программа'!$L$20:$L$4940,1,'Адресная программа'!$C$20:$C$4940,B141,'Адресная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программа'!$C$20:$C$4940,B141,'Адресная программа'!$G$20:$G$4940,"Бизнес центр")&gt;(SUMIFS('Адресная программа'!$K$20:$K$4940,'Адресная программа'!$L$20:$L$4940,1,'Адресная программа'!$C$20:$C$4940,B141,'Адресная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программа'!$C$20:$C$4940,B141,'Адресная программа'!$G$20:$G$4940,"Бизнес центр")&gt;(SUMIFS('Адресная программа'!$K$20:$K$4940,'Адресная программа'!$L$20:$L$4940,1,'Адресная программа'!$C$20:$C$4940,B141,'Адресная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программа'!$C$20:$C$4940,B141,'Адресная программа'!$G$20:$G$4940,"Бизнес центр")&gt;(SUMIFS('Адресная программа'!$K$20:$K$4940,'Адресная программа'!$L$20:$L$4940,1,'Адресная программа'!$C$20:$C$4940,B141,'Адресная программа'!$G$20:$G$4940,"Бизнес центр")*'Цены|Скидки'!$B$55-1),'Цены|Скидки'!$C$55,0%))))</f>
        <v/>
      </c>
      <c r="H141" s="156">
        <f>D$12</f>
        <v/>
      </c>
      <c r="I141" s="190">
        <f>IF(D141=0,0,1-J141/F141)</f>
        <v/>
      </c>
      <c r="J141" s="934">
        <f>F141*(1-G141)*(1-H141)*(1-IF($AC$2="РА",$AD$2,0))*(1-IF(OR($AC$3="Доп скидка",$AC$3="Сезонная скидка",$AC$3="Welcome скидка")=TRUE,$AD$3,0))</f>
        <v/>
      </c>
      <c r="K141" s="934">
        <f>ROUND(J141+L141,2)</f>
        <v/>
      </c>
      <c r="L141" s="934">
        <f>J141*БЦ!$AD$4</f>
        <v/>
      </c>
      <c r="M141" s="159">
        <f>(SUMIFS('Адресная программа'!$H$20:$H$4288,'Адресная программа'!$I$20:$I$4288,БЦ_ALL!C141,'Адресная программа'!$C$20:$C$4288,БЦ_ALL!B141,'Адресная программа'!$N$20:$N$4288,1)*$K$7)</f>
        <v/>
      </c>
      <c r="N141" s="935">
        <f>IF(M141=0,0,J141/M141*1000)</f>
        <v/>
      </c>
    </row>
    <row r="142" ht="13.8" customHeight="1">
      <c r="B142" s="253" t="inlineStr">
        <is>
          <t>Москва</t>
        </is>
      </c>
      <c r="C142" s="264" t="inlineStr">
        <is>
          <t>Орликов Плаза</t>
        </is>
      </c>
      <c r="D142" s="303">
        <f>SUMIFS('Адресная программа'!$K$2975:$K$4468,'Адресная программа'!$I$2975:$I$4468,БЦ_ALL!C142,'Адресная программа'!$C$2975:$C$4468,БЦ_ALL!B142,'Адресная программа'!$N$2975:$N$4468,1)</f>
        <v/>
      </c>
      <c r="E142" s="994">
        <f>'Цены|Скидки'!$D$25</f>
        <v/>
      </c>
      <c r="F142" s="942">
        <f>SUM(E142*D142*$K$7/15*$K$9)</f>
        <v/>
      </c>
      <c r="G142" s="156">
        <f>IF(SUMIFS('Адресная программа'!$O$20:$O$4940,'Адресная программа'!$N$20:$N$4940,1,'Адресная программа'!$C$20:$C$4940,B142,'Адресная программа'!$G$20:$G$4940,"Бизнес центр")=SUMIFS('Адресная программа'!$K$20:$K$4940,'Адресная программа'!$L$20:$L$4940,1,'Адресная программа'!$C$20:$C$4940,B142,'Адресная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программа'!$C$20:$C$4940,B142,'Адресная программа'!$G$20:$G$4940,"Бизнес центр")&gt;(SUMIFS('Адресная программа'!$K$20:$K$4940,'Адресная программа'!$L$20:$L$4940,1,'Адресная программа'!$C$20:$C$4940,B142,'Адресная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программа'!$C$20:$C$4940,B142,'Адресная программа'!$G$20:$G$4940,"Бизнес центр")&gt;(SUMIFS('Адресная программа'!$K$20:$K$4940,'Адресная программа'!$L$20:$L$4940,1,'Адресная программа'!$C$20:$C$4940,B142,'Адресная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программа'!$C$20:$C$4940,B142,'Адресная программа'!$G$20:$G$4940,"Бизнес центр")&gt;(SUMIFS('Адресная программа'!$K$20:$K$4940,'Адресная программа'!$L$20:$L$4940,1,'Адресная программа'!$C$20:$C$4940,B142,'Адресная программа'!$G$20:$G$4940,"Бизнес центр")*'Цены|Скидки'!$B$55-1),'Цены|Скидки'!$C$55,0%))))</f>
        <v/>
      </c>
      <c r="H142" s="156">
        <f>D$12</f>
        <v/>
      </c>
      <c r="I142" s="190">
        <f>IF(D142=0,0,1-J142/F142)</f>
        <v/>
      </c>
      <c r="J142" s="934">
        <f>F142*(1-G142)*(1-H142)*(1-IF($AC$2="РА",$AD$2,0))*(1-IF(OR($AC$3="Доп скидка",$AC$3="Сезонная скидка",$AC$3="Welcome скидка")=TRUE,$AD$3,0))</f>
        <v/>
      </c>
      <c r="K142" s="934">
        <f>ROUND(J142+L142,2)</f>
        <v/>
      </c>
      <c r="L142" s="934">
        <f>J142*БЦ!$AD$4</f>
        <v/>
      </c>
      <c r="M142" s="159">
        <f>(SUMIFS('Адресная программа'!$H$20:$H$4288,'Адресная программа'!$I$20:$I$4288,БЦ_ALL!C142,'Адресная программа'!$C$20:$C$4288,БЦ_ALL!B142,'Адресная программа'!$N$20:$N$4288,1)*$K$7)</f>
        <v/>
      </c>
      <c r="N142" s="935">
        <f>IF(M142=0,0,J142/M142*1000)</f>
        <v/>
      </c>
    </row>
    <row r="143" ht="13.8" customHeight="1">
      <c r="B143" s="253" t="inlineStr">
        <is>
          <t>Москва</t>
        </is>
      </c>
      <c r="C143" s="264" t="inlineStr">
        <is>
          <t>Агат</t>
        </is>
      </c>
      <c r="D143" s="303">
        <f>SUMIFS('Адресная программа'!$K$2975:$K$4468,'Адресная программа'!$I$2975:$I$4468,БЦ_ALL!C143,'Адресная программа'!$C$2975:$C$4468,БЦ_ALL!B143,'Адресная программа'!$N$2975:$N$4468,1)</f>
        <v/>
      </c>
      <c r="E143" s="994">
        <f>'Цены|Скидки'!$D$25</f>
        <v/>
      </c>
      <c r="F143" s="942">
        <f>SUM(E143*D143*$K$7/15*$K$9)</f>
        <v/>
      </c>
      <c r="G143" s="156">
        <f>IF(SUMIFS('Адресная программа'!$O$20:$O$4940,'Адресная программа'!$N$20:$N$4940,1,'Адресная программа'!$C$20:$C$4940,B143,'Адресная программа'!$G$20:$G$4940,"Бизнес центр")=SUMIFS('Адресная программа'!$K$20:$K$4940,'Адресная программа'!$L$20:$L$4940,1,'Адресная программа'!$C$20:$C$4940,B143,'Адресная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программа'!$C$20:$C$4940,B143,'Адресная программа'!$G$20:$G$4940,"Бизнес центр")&gt;(SUMIFS('Адресная программа'!$K$20:$K$4940,'Адресная программа'!$L$20:$L$4940,1,'Адресная программа'!$C$20:$C$4940,B143,'Адресная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программа'!$C$20:$C$4940,B143,'Адресная программа'!$G$20:$G$4940,"Бизнес центр")&gt;(SUMIFS('Адресная программа'!$K$20:$K$4940,'Адресная программа'!$L$20:$L$4940,1,'Адресная программа'!$C$20:$C$4940,B143,'Адресная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программа'!$C$20:$C$4940,B143,'Адресная программа'!$G$20:$G$4940,"Бизнес центр")&gt;(SUMIFS('Адресная программа'!$K$20:$K$4940,'Адресная программа'!$L$20:$L$4940,1,'Адресная программа'!$C$20:$C$4940,B143,'Адресная программа'!$G$20:$G$4940,"Бизнес центр")*'Цены|Скидки'!$B$55-1),'Цены|Скидки'!$C$55,0%))))</f>
        <v/>
      </c>
      <c r="H143" s="156">
        <f>D$12</f>
        <v/>
      </c>
      <c r="I143" s="190">
        <f>IF(D143=0,0,1-J143/F143)</f>
        <v/>
      </c>
      <c r="J143" s="934">
        <f>F143*(1-G143)*(1-H143)*(1-IF($AC$2="РА",$AD$2,0))*(1-IF(OR($AC$3="Доп скидка",$AC$3="Сезонная скидка",$AC$3="Welcome скидка")=TRUE,$AD$3,0))</f>
        <v/>
      </c>
      <c r="K143" s="934">
        <f>ROUND(J143+L143,2)</f>
        <v/>
      </c>
      <c r="L143" s="934">
        <f>J143*БЦ!$AD$4</f>
        <v/>
      </c>
      <c r="M143" s="159">
        <f>(SUMIFS('Адресная программа'!$H$20:$H$4288,'Адресная программа'!$I$20:$I$4288,БЦ_ALL!C143,'Адресная программа'!$C$20:$C$4288,БЦ_ALL!B143,'Адресная программа'!$N$20:$N$4288,1)*$K$7)</f>
        <v/>
      </c>
      <c r="N143" s="935">
        <f>IF(M143=0,0,J143/M143*1000)</f>
        <v/>
      </c>
    </row>
    <row r="144" ht="13.8" customHeight="1">
      <c r="B144" s="253" t="inlineStr">
        <is>
          <t>Москва</t>
        </is>
      </c>
      <c r="C144" s="264" t="inlineStr">
        <is>
          <t>Центр-Т</t>
        </is>
      </c>
      <c r="D144" s="303">
        <f>SUMIFS('Адресная программа'!$K$2975:$K$4468,'Адресная программа'!$I$2975:$I$4468,БЦ_ALL!C144,'Адресная программа'!$C$2975:$C$4468,БЦ_ALL!B144,'Адресная программа'!$N$2975:$N$4468,1)</f>
        <v/>
      </c>
      <c r="E144" s="994">
        <f>'Цены|Скидки'!$D$25</f>
        <v/>
      </c>
      <c r="F144" s="942">
        <f>SUM(E144*D144*$K$7/15*$K$9)</f>
        <v/>
      </c>
      <c r="G144" s="156">
        <f>IF(COUNTIFS('Адресная программа'!$N$20:$N$4940,1,'Адресная программа'!$C$20:$C$4940,B144,'Адресная программа'!$G$20:$G$4940,"Бизнес центр")=COUNTIFS('Адресная программа'!$L$20:$L$4940,1,'Адресная программа'!$C$20:$C$4940,B144,'Адресная программа'!$G$20:$G$4940,"Бизнес центр"),'Цены|Скидки'!$C$52,IF(COUNTIFS('Адресная программа'!$N$20:$N$4940,1,'Адресная программа'!$C$20:$C$4940,B144,'Адресная программа'!$G$20:$G$4940,"Бизнес центр")&gt;(COUNTIFS('Адресная программа'!$L$20:$L$4940,1,'Адресная программа'!$C$20:$C$4940,B144,'Адресная программа'!$G$20:$G$4940,"Бизнес центр")*'Цены|Скидки'!$B$53-1),'Цены|Скидки'!$C$53,IF(COUNTIFS('Адресная программа'!$N$20:$N$4940,1,'Адресная программа'!$C$20:$C$4940,B144,'Адресная программа'!$G$20:$G$4940,"Бизнес центр")&gt;(COUNTIFS('Адресная программа'!$L$20:$L$4940,1,'Адресная программа'!$C$20:$C$4940,B144,'Адресная программа'!$G$20:$G$4940,"Бизнес центр")*'Цены|Скидки'!$B$54-1),'Цены|Скидки'!$C$54,IF(COUNTIFS('Адресная программа'!$N$20:$N$4940,1,'Адресная программа'!$C$20:$C$4940,B144,'Адресная программа'!$G$20:$G$4940,"Бизнес центр")&gt;(COUNTIFS('Адресная программа'!$L$20:$L$4940,1,'Адресная программа'!$C$20:$C$4940,B144,'Адресная программа'!$G$20:$G$4940,"Бизнес центр")*'Цены|Скидки'!$B$55-1),'Цены|Скидки'!$C$55,0%))))</f>
        <v/>
      </c>
      <c r="H144" s="156">
        <f>D$12</f>
        <v/>
      </c>
      <c r="I144" s="190">
        <f>IF(D144=0,0,1-J144/F144)</f>
        <v/>
      </c>
      <c r="J144" s="934">
        <f>F144*(1-G144)*(1-H144)*(1-IF($AC$2="РА",$AD$2,0))*(1-IF(OR($AC$3="Доп скидка",$AC$3="Сезонная скидка",$AC$3="Welcome скидка")=TRUE,$AD$3,0))</f>
        <v/>
      </c>
      <c r="K144" s="934">
        <f>ROUND(J144+L144,2)</f>
        <v/>
      </c>
      <c r="L144" s="934">
        <f>J144*0.2</f>
        <v/>
      </c>
      <c r="M144" s="159">
        <f>(SUMIFS('Адресная программа'!$H$3031:$H$4288,'Адресная программа'!$I$3031:$I$4288,БЦ_ALL!C144,'Адресная программа'!$C$3031:$C$4288,БЦ_ALL!B144,'Адресная программа'!$N$3031:$N$4288,1)*$K$7)</f>
        <v/>
      </c>
      <c r="N144" s="935">
        <f>IF(M144=0,0,J144/M144*1000)</f>
        <v/>
      </c>
    </row>
    <row r="145" ht="13.8" customHeight="1">
      <c r="B145" s="253" t="inlineStr">
        <is>
          <t>Москва</t>
        </is>
      </c>
      <c r="C145" s="264" t="inlineStr">
        <is>
          <t xml:space="preserve">Петровский </t>
        </is>
      </c>
      <c r="D145" s="303">
        <f>SUMIFS('Адресная программа'!$K$2975:$K$4468,'Адресная программа'!$I$2975:$I$4468,БЦ_ALL!C145,'Адресная программа'!$C$2975:$C$4468,БЦ_ALL!B145,'Адресная программа'!$N$2975:$N$4468,1)</f>
        <v/>
      </c>
      <c r="E145" s="994">
        <f>'Цены|Скидки'!$D$25</f>
        <v/>
      </c>
      <c r="F145" s="942">
        <f>SUM(E145*D145*$K$7/15*$K$9)</f>
        <v/>
      </c>
      <c r="G145" s="156">
        <f>IF(COUNTIFS('Адресная программа'!$N$20:$N$4940,1,'Адресная программа'!$C$20:$C$4940,B145,'Адресная программа'!$G$20:$G$4940,"Бизнес центр")=COUNTIFS('Адресная программа'!$L$20:$L$4940,1,'Адресная программа'!$C$20:$C$4940,B145,'Адресная программа'!$G$20:$G$4940,"Бизнес центр"),'Цены|Скидки'!$C$52,IF(COUNTIFS('Адресная программа'!$N$20:$N$4940,1,'Адресная программа'!$C$20:$C$4940,B145,'Адресная программа'!$G$20:$G$4940,"Бизнес центр")&gt;(COUNTIFS('Адресная программа'!$L$20:$L$4940,1,'Адресная программа'!$C$20:$C$4940,B145,'Адресная программа'!$G$20:$G$4940,"Бизнес центр")*'Цены|Скидки'!$B$53-1),'Цены|Скидки'!$C$53,IF(COUNTIFS('Адресная программа'!$N$20:$N$4940,1,'Адресная программа'!$C$20:$C$4940,B145,'Адресная программа'!$G$20:$G$4940,"Бизнес центр")&gt;(COUNTIFS('Адресная программа'!$L$20:$L$4940,1,'Адресная программа'!$C$20:$C$4940,B145,'Адресная программа'!$G$20:$G$4940,"Бизнес центр")*'Цены|Скидки'!$B$54-1),'Цены|Скидки'!$C$54,IF(COUNTIFS('Адресная программа'!$N$20:$N$4940,1,'Адресная программа'!$C$20:$C$4940,B145,'Адресная программа'!$G$20:$G$4940,"Бизнес центр")&gt;(COUNTIFS('Адресная программа'!$L$20:$L$4940,1,'Адресная программа'!$C$20:$C$4940,B145,'Адресная программа'!$G$20:$G$4940,"Бизнес центр")*'Цены|Скидки'!$B$55-1),'Цены|Скидки'!$C$55,0%))))</f>
        <v/>
      </c>
      <c r="H145" s="156">
        <f>D$12</f>
        <v/>
      </c>
      <c r="I145" s="190">
        <f>IF(D145=0,0,1-J145/F145)</f>
        <v/>
      </c>
      <c r="J145" s="934">
        <f>F145*(1-G145)*(1-H145)*(1-IF($AC$2="РА",$AD$2,0))*(1-IF(OR($AC$3="Доп скидка",$AC$3="Сезонная скидка",$AC$3="Welcome скидка")=TRUE,$AD$3,0))</f>
        <v/>
      </c>
      <c r="K145" s="934">
        <f>ROUND(J145+L145,2)</f>
        <v/>
      </c>
      <c r="L145" s="934">
        <f>J145*0.2</f>
        <v/>
      </c>
      <c r="M145" s="159">
        <f>(SUMIFS('Адресная программа'!$H$3031:$H$4288,'Адресная программа'!$I$3031:$I$4288,БЦ_ALL!C145,'Адресная программа'!$C$3031:$C$4288,БЦ_ALL!B145,'Адресная программа'!$N$3031:$N$4288,1)*$K$7)</f>
        <v/>
      </c>
      <c r="N145" s="935">
        <f>IF(M145=0,0,J145/M145*1000)</f>
        <v/>
      </c>
    </row>
    <row r="146" ht="13.8" customHeight="1">
      <c r="B146" s="253" t="inlineStr">
        <is>
          <t>Москва</t>
        </is>
      </c>
      <c r="C146" s="264" t="inlineStr">
        <is>
          <t>Лофт Виль</t>
        </is>
      </c>
      <c r="D146" s="303">
        <f>SUMIFS('Адресная программа'!$K$2975:$K$4468,'Адресная программа'!$I$2975:$I$4468,БЦ_ALL!C146,'Адресная программа'!$C$2975:$C$4468,БЦ_ALL!B146,'Адресная программа'!$N$2975:$N$4468,1)</f>
        <v/>
      </c>
      <c r="E146" s="994">
        <f>'Цены|Скидки'!$D$25</f>
        <v/>
      </c>
      <c r="F146" s="942">
        <f>SUM(E146*D146*$K$7/15*$K$9)</f>
        <v/>
      </c>
      <c r="G146" s="156">
        <f>IF(SUMIFS('Адресная программа'!$O$20:$O$4940,'Адресная программа'!$N$20:$N$4940,1,'Адресная программа'!$C$20:$C$4940,B146,'Адресная программа'!$G$20:$G$4940,"Бизнес центр")=SUMIFS('Адресная программа'!$K$20:$K$4940,'Адресная программа'!$L$20:$L$4940,1,'Адресная программа'!$C$20:$C$4940,B146,'Адресная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программа'!$C$20:$C$4940,B146,'Адресная программа'!$G$20:$G$4940,"Бизнес центр")&gt;(SUMIFS('Адресная программа'!$K$20:$K$4940,'Адресная программа'!$L$20:$L$4940,1,'Адресная программа'!$C$20:$C$4940,B146,'Адресная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программа'!$C$20:$C$4940,B146,'Адресная программа'!$G$20:$G$4940,"Бизнес центр")&gt;(SUMIFS('Адресная программа'!$K$20:$K$4940,'Адресная программа'!$L$20:$L$4940,1,'Адресная программа'!$C$20:$C$4940,B146,'Адресная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программа'!$C$20:$C$4940,B146,'Адресная программа'!$G$20:$G$4940,"Бизнес центр")&gt;(SUMIFS('Адресная программа'!$K$20:$K$4940,'Адресная программа'!$L$20:$L$4940,1,'Адресная программа'!$C$20:$C$4940,B146,'Адресная программа'!$G$20:$G$4940,"Бизнес центр")*'Цены|Скидки'!$B$55-1),'Цены|Скидки'!$C$55,0%))))</f>
        <v/>
      </c>
      <c r="H146" s="156">
        <f>D$12</f>
        <v/>
      </c>
      <c r="I146" s="190">
        <f>IF(D146=0,0,1-J146/F146)</f>
        <v/>
      </c>
      <c r="J146" s="934">
        <f>F146*(1-G146)*(1-H146)*(1-IF($AC$2="РА",$AD$2,0))*(1-IF(OR($AC$3="Доп скидка",$AC$3="Сезонная скидка",$AC$3="Welcome скидка")=TRUE,$AD$3,0))</f>
        <v/>
      </c>
      <c r="K146" s="934">
        <f>ROUND(J146+L146,2)</f>
        <v/>
      </c>
      <c r="L146" s="934">
        <f>J146*БЦ!$AD$4</f>
        <v/>
      </c>
      <c r="M146" s="159">
        <f>(SUMIFS('Адресная программа'!$H$20:$H$4288,'Адресная программа'!$I$20:$I$4288,БЦ_ALL!C146,'Адресная программа'!$C$20:$C$4288,БЦ_ALL!B146,'Адресная программа'!$N$20:$N$4288,1)*$K$7)</f>
        <v/>
      </c>
      <c r="N146" s="935">
        <f>IF(M146=0,0,J146/M146*1000)</f>
        <v/>
      </c>
    </row>
    <row r="147" ht="13.8" customHeight="1">
      <c r="B147" s="253" t="inlineStr">
        <is>
          <t>Москва</t>
        </is>
      </c>
      <c r="C147" s="264" t="inlineStr">
        <is>
          <t>КУБ</t>
        </is>
      </c>
      <c r="D147" s="303">
        <f>SUMIFS('Адресная программа'!$K$2975:$K$4468,'Адресная программа'!$I$2975:$I$4468,БЦ_ALL!C147,'Адресная программа'!$C$2975:$C$4468,БЦ_ALL!B147,'Адресная программа'!$N$2975:$N$4468,1)</f>
        <v/>
      </c>
      <c r="E147" s="994">
        <f>'Цены|Скидки'!$D$25</f>
        <v/>
      </c>
      <c r="F147" s="942">
        <f>SUM(E147*D147*$K$7/15*$K$9)</f>
        <v/>
      </c>
      <c r="G147" s="156">
        <f>IF(SUMIFS('Адресная программа'!$O$20:$O$4940,'Адресная программа'!$N$20:$N$4940,1,'Адресная программа'!$C$20:$C$4940,B147,'Адресная программа'!$G$20:$G$4940,"Бизнес центр")=SUMIFS('Адресная программа'!$K$20:$K$4940,'Адресная программа'!$L$20:$L$4940,1,'Адресная программа'!$C$20:$C$4940,B147,'Адресная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программа'!$C$20:$C$4940,B147,'Адресная программа'!$G$20:$G$4940,"Бизнес центр")&gt;(SUMIFS('Адресная программа'!$K$20:$K$4940,'Адресная программа'!$L$20:$L$4940,1,'Адресная программа'!$C$20:$C$4940,B147,'Адресная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программа'!$C$20:$C$4940,B147,'Адресная программа'!$G$20:$G$4940,"Бизнес центр")&gt;(SUMIFS('Адресная программа'!$K$20:$K$4940,'Адресная программа'!$L$20:$L$4940,1,'Адресная программа'!$C$20:$C$4940,B147,'Адресная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программа'!$C$20:$C$4940,B147,'Адресная программа'!$G$20:$G$4940,"Бизнес центр")&gt;(SUMIFS('Адресная программа'!$K$20:$K$4940,'Адресная программа'!$L$20:$L$4940,1,'Адресная программа'!$C$20:$C$4940,B147,'Адресная программа'!$G$20:$G$4940,"Бизнес центр")*'Цены|Скидки'!$B$55-1),'Цены|Скидки'!$C$55,0%))))</f>
        <v/>
      </c>
      <c r="H147" s="156">
        <f>D$12</f>
        <v/>
      </c>
      <c r="I147" s="190">
        <f>IF(D147=0,0,1-J147/F147)</f>
        <v/>
      </c>
      <c r="J147" s="934">
        <f>F147*(1-G147)*(1-H147)*(1-IF($AC$2="РА",$AD$2,0))*(1-IF(OR($AC$3="Доп скидка",$AC$3="Сезонная скидка",$AC$3="Welcome скидка")=TRUE,$AD$3,0))</f>
        <v/>
      </c>
      <c r="K147" s="934">
        <f>ROUND(J147+L147,2)</f>
        <v/>
      </c>
      <c r="L147" s="934">
        <f>J147*БЦ!$AD$4</f>
        <v/>
      </c>
      <c r="M147" s="159">
        <f>(SUMIFS('Адресная программа'!$H$20:$H$4288,'Адресная программа'!$I$20:$I$4288,БЦ_ALL!C147,'Адресная программа'!$C$20:$C$4288,БЦ_ALL!B147,'Адресная программа'!$N$20:$N$4288,1)*$K$7)</f>
        <v/>
      </c>
      <c r="N147" s="935">
        <f>IF(M147=0,0,J147/M147*1000)</f>
        <v/>
      </c>
    </row>
    <row r="148" ht="13.8" customHeight="1">
      <c r="B148" s="253" t="inlineStr">
        <is>
          <t>Москва</t>
        </is>
      </c>
      <c r="C148" s="264" t="inlineStr">
        <is>
          <t>Ау Рум</t>
        </is>
      </c>
      <c r="D148" s="303">
        <f>SUMIFS('Адресная программа'!$K$2975:$K$4468,'Адресная программа'!$I$2975:$I$4468,БЦ_ALL!C148,'Адресная программа'!$C$2975:$C$4468,БЦ_ALL!B148,'Адресная программа'!$N$2975:$N$4468,1)</f>
        <v/>
      </c>
      <c r="E148" s="994">
        <f>'Цены|Скидки'!$D$25</f>
        <v/>
      </c>
      <c r="F148" s="942">
        <f>SUM(E148*D148*$K$7/15*$K$9)</f>
        <v/>
      </c>
      <c r="G148" s="156">
        <f>IF(COUNTIFS('Адресная программа'!$N$20:$N$4940,1,'Адресная программа'!$C$20:$C$4940,B148,'Адресная программа'!$G$20:$G$4940,"Бизнес центр")=COUNTIFS('Адресная программа'!$L$20:$L$4940,1,'Адресная программа'!$C$20:$C$4940,B148,'Адресная программа'!$G$20:$G$4940,"Бизнес центр"),'Цены|Скидки'!$C$52,IF(COUNTIFS('Адресная программа'!$N$20:$N$4940,1,'Адресная программа'!$C$20:$C$4940,B148,'Адресная программа'!$G$20:$G$4940,"Бизнес центр")&gt;(COUNTIFS('Адресная программа'!$L$20:$L$4940,1,'Адресная программа'!$C$20:$C$4940,B148,'Адресная программа'!$G$20:$G$4940,"Бизнес центр")*'Цены|Скидки'!$B$53-1),'Цены|Скидки'!$C$53,IF(COUNTIFS('Адресная программа'!$N$20:$N$4940,1,'Адресная программа'!$C$20:$C$4940,B148,'Адресная программа'!$G$20:$G$4940,"Бизнес центр")&gt;(COUNTIFS('Адресная программа'!$L$20:$L$4940,1,'Адресная программа'!$C$20:$C$4940,B148,'Адресная программа'!$G$20:$G$4940,"Бизнес центр")*'Цены|Скидки'!$B$54-1),'Цены|Скидки'!$C$54,IF(COUNTIFS('Адресная программа'!$N$20:$N$4940,1,'Адресная программа'!$C$20:$C$4940,B148,'Адресная программа'!$G$20:$G$4940,"Бизнес центр")&gt;(COUNTIFS('Адресная программа'!$L$20:$L$4940,1,'Адресная программа'!$C$20:$C$4940,B148,'Адресная программа'!$G$20:$G$4940,"Бизнес центр")*'Цены|Скидки'!$B$55-1),'Цены|Скидки'!$C$55,0%))))</f>
        <v/>
      </c>
      <c r="H148" s="156">
        <f>D$12</f>
        <v/>
      </c>
      <c r="I148" s="190">
        <f>IF(D148=0,0,1-J148/F148)</f>
        <v/>
      </c>
      <c r="J148" s="934">
        <f>F148*(1-G148)*(1-H148)*(1-IF($AC$2="РА",$AD$2,0))*(1-IF(OR($AC$3="Доп скидка",$AC$3="Сезонная скидка",$AC$3="Welcome скидка")=TRUE,$AD$3,0))</f>
        <v/>
      </c>
      <c r="K148" s="934">
        <f>ROUND(J148+L148,2)</f>
        <v/>
      </c>
      <c r="L148" s="934">
        <f>J148*0.2</f>
        <v/>
      </c>
      <c r="M148" s="159">
        <f>(SUMIFS('Адресная программа'!$H$3031:$H$4288,'Адресная программа'!$I$3031:$I$4288,БЦ_ALL!C148,'Адресная программа'!$C$3031:$C$4288,БЦ_ALL!B148,'Адресная программа'!$N$3031:$N$4288,1)*$K$7)</f>
        <v/>
      </c>
      <c r="N148" s="935">
        <f>IF(M148=0,0,J148/M148*1000)</f>
        <v/>
      </c>
    </row>
    <row r="149" ht="13.8" customHeight="1">
      <c r="B149" s="253" t="inlineStr">
        <is>
          <t>Москва</t>
        </is>
      </c>
      <c r="C149" s="264" t="inlineStr">
        <is>
          <t>East Gate</t>
        </is>
      </c>
      <c r="D149" s="303">
        <f>SUMIFS('Адресная программа'!$K$2975:$K$4468,'Адресная программа'!$I$2975:$I$4468,БЦ_ALL!C149,'Адресная программа'!$C$2975:$C$4468,БЦ_ALL!B149,'Адресная программа'!$N$2975:$N$4468,1)</f>
        <v/>
      </c>
      <c r="E149" s="994">
        <f>'Цены|Скидки'!$D$25</f>
        <v/>
      </c>
      <c r="F149" s="942">
        <f>SUM(E149*D149*$K$7/15*$K$9)</f>
        <v/>
      </c>
      <c r="G149" s="156">
        <f>IF(SUMIFS('Адресная программа'!$O$20:$O$4940,'Адресная программа'!$N$20:$N$4940,1,'Адресная программа'!$C$20:$C$4940,B149,'Адресная программа'!$G$20:$G$4940,"Бизнес центр")=SUMIFS('Адресная программа'!$K$20:$K$4940,'Адресная программа'!$L$20:$L$4940,1,'Адресная программа'!$C$20:$C$4940,B149,'Адресная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программа'!$C$20:$C$4940,B149,'Адресная программа'!$G$20:$G$4940,"Бизнес центр")&gt;(SUMIFS('Адресная программа'!$K$20:$K$4940,'Адресная программа'!$L$20:$L$4940,1,'Адресная программа'!$C$20:$C$4940,B149,'Адресная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программа'!$C$20:$C$4940,B149,'Адресная программа'!$G$20:$G$4940,"Бизнес центр")&gt;(SUMIFS('Адресная программа'!$K$20:$K$4940,'Адресная программа'!$L$20:$L$4940,1,'Адресная программа'!$C$20:$C$4940,B149,'Адресная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программа'!$C$20:$C$4940,B149,'Адресная программа'!$G$20:$G$4940,"Бизнес центр")&gt;(SUMIFS('Адресная программа'!$K$20:$K$4940,'Адресная программа'!$L$20:$L$4940,1,'Адресная программа'!$C$20:$C$4940,B149,'Адресная программа'!$G$20:$G$4940,"Бизнес центр")*'Цены|Скидки'!$B$55-1),'Цены|Скидки'!$C$55,0%))))</f>
        <v/>
      </c>
      <c r="H149" s="156">
        <f>D$12</f>
        <v/>
      </c>
      <c r="I149" s="190">
        <f>IF(D149=0,0,1-J149/F149)</f>
        <v/>
      </c>
      <c r="J149" s="934">
        <f>F149*(1-G149)*(1-H149)*(1-IF($AC$2="РА",$AD$2,0))*(1-IF(OR($AC$3="Доп скидка",$AC$3="Сезонная скидка",$AC$3="Welcome скидка")=TRUE,$AD$3,0))</f>
        <v/>
      </c>
      <c r="K149" s="934">
        <f>ROUND(J149+L149,2)</f>
        <v/>
      </c>
      <c r="L149" s="934">
        <f>J149*БЦ!$AD$4</f>
        <v/>
      </c>
      <c r="M149" s="159">
        <f>(SUMIFS('Адресная программа'!$H$20:$H$4288,'Адресная программа'!$I$20:$I$4288,БЦ_ALL!C149,'Адресная программа'!$C$20:$C$4288,БЦ_ALL!B149,'Адресная программа'!$N$20:$N$4288,1)*$K$7)</f>
        <v/>
      </c>
      <c r="N149" s="935">
        <f>IF(M149=0,0,J149/M149*1000)</f>
        <v/>
      </c>
    </row>
    <row r="150" ht="13.8" customHeight="1">
      <c r="B150" s="253" t="inlineStr">
        <is>
          <t>Москва</t>
        </is>
      </c>
      <c r="C150" s="264" t="inlineStr">
        <is>
          <t>Фаворит</t>
        </is>
      </c>
      <c r="D150" s="303">
        <f>SUMIFS('Адресная программа'!$K$2975:$K$4468,'Адресная программа'!$I$2975:$I$4468,БЦ_ALL!C150,'Адресная программа'!$C$2975:$C$4468,БЦ_ALL!B150,'Адресная программа'!$L$2975:$L$4468,1)</f>
        <v/>
      </c>
      <c r="E150" s="994" t="n">
        <v>0</v>
      </c>
      <c r="F150" s="942">
        <f>SUM(E150*D150*$K$7/15*$K$9)</f>
        <v/>
      </c>
      <c r="G150" s="156">
        <f>IF('Адресная программа'!$V$9='Адресная программа'!$U$9,'Цены|Скидки'!$C$52,IF('Адресная программа'!$V$9&gt;('Адресная программа'!$U$9*'Цены|Скидки'!$B$53-1),'Цены|Скидки'!$C$53,IF('Адресная программа'!$V$9&gt;('Адресная программа'!$U$9*'Цены|Скидки'!$B$54-1),'Цены|Скидки'!$C$54,IF('Адресная программа'!$V$9&gt;('Адресная программа'!$U$9*'Цены|Скидки'!$B$55-1),'Цены|Скидки'!$C$55,0%))))</f>
        <v/>
      </c>
      <c r="H150" s="156">
        <f>D$12</f>
        <v/>
      </c>
      <c r="I150" s="190" t="n">
        <v>0</v>
      </c>
      <c r="J150" s="934">
        <f>F150*(1-G150)*(1-H150)*(1-IF($AC$2="РА",$AD$2,0))*(1-IF(OR($AC$3="Доп скидка",$AC$3="Сезонная скидка",$AC$3="Welcome скидка")=TRUE,$AD$3,0))</f>
        <v/>
      </c>
      <c r="K150" s="934">
        <f>ROUND(J150+L150,2)</f>
        <v/>
      </c>
      <c r="L150" s="934">
        <f>J150*0.2</f>
        <v/>
      </c>
      <c r="M150" s="159">
        <f>(SUMIFS('Адресная программа'!$H$3031:$H$4288,'Адресная программа'!$I$3031:$I$4288,БЦ_ALL!C150,'Адресная программа'!$C$3031:$C$4288,БЦ_ALL!B150,'Адресная программа'!$N$3031:$N$4288,1)*$K$7)</f>
        <v/>
      </c>
      <c r="N150" s="935">
        <f>IF(M150=0,0,J150/M150*1000)</f>
        <v/>
      </c>
      <c r="O150" s="701" t="n"/>
    </row>
    <row r="151" ht="13.8" customHeight="1">
      <c r="B151" s="253" t="inlineStr">
        <is>
          <t>Москва</t>
        </is>
      </c>
      <c r="C151" s="264" t="inlineStr">
        <is>
          <t>РТС Селигерская</t>
        </is>
      </c>
      <c r="D151" s="303">
        <f>SUMIFS('Адресная программа'!$K$2975:$K$4468,'Адресная программа'!$I$2975:$I$4468,БЦ_ALL!C151,'Адресная программа'!$C$2975:$C$4468,БЦ_ALL!B151,'Адресная программа'!$N$2975:$N$4468,1)</f>
        <v/>
      </c>
      <c r="E151" s="994">
        <f>'Цены|Скидки'!$D$25</f>
        <v/>
      </c>
      <c r="F151" s="942">
        <f>SUM(E151*D151*$K$7/15*$K$9)</f>
        <v/>
      </c>
      <c r="G151" s="156">
        <f>IF(SUMIFS('Адресная программа'!$O$20:$O$4940,'Адресная программа'!$N$20:$N$4940,1,'Адресная программа'!$C$20:$C$4940,B151,'Адресная программа'!$G$20:$G$4940,"Бизнес центр")=SUMIFS('Адресная программа'!$K$20:$K$4940,'Адресная программа'!$L$20:$L$4940,1,'Адресная программа'!$C$20:$C$4940,B151,'Адресная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программа'!$C$20:$C$4940,B151,'Адресная программа'!$G$20:$G$4940,"Бизнес центр")&gt;(SUMIFS('Адресная программа'!$K$20:$K$4940,'Адресная программа'!$L$20:$L$4940,1,'Адресная программа'!$C$20:$C$4940,B151,'Адресная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программа'!$C$20:$C$4940,B151,'Адресная программа'!$G$20:$G$4940,"Бизнес центр")&gt;(SUMIFS('Адресная программа'!$K$20:$K$4940,'Адресная программа'!$L$20:$L$4940,1,'Адресная программа'!$C$20:$C$4940,B151,'Адресная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программа'!$C$20:$C$4940,B151,'Адресная программа'!$G$20:$G$4940,"Бизнес центр")&gt;(SUMIFS('Адресная программа'!$K$20:$K$4940,'Адресная программа'!$L$20:$L$4940,1,'Адресная программа'!$C$20:$C$4940,B151,'Адресная программа'!$G$20:$G$4940,"Бизнес центр")*'Цены|Скидки'!$B$55-1),'Цены|Скидки'!$C$55,0%))))</f>
        <v/>
      </c>
      <c r="H151" s="156">
        <f>D$12</f>
        <v/>
      </c>
      <c r="I151" s="190">
        <f>IF(D151=0,0,1-J151/F151)</f>
        <v/>
      </c>
      <c r="J151" s="934">
        <f>F151*(1-G151)*(1-H151)*(1-IF($AC$2="РА",$AD$2,0))*(1-IF(OR($AC$3="Доп скидка",$AC$3="Сезонная скидка",$AC$3="Welcome скидка")=TRUE,$AD$3,0))</f>
        <v/>
      </c>
      <c r="K151" s="934">
        <f>ROUND(J151+L151,2)</f>
        <v/>
      </c>
      <c r="L151" s="934">
        <f>J151*БЦ!$AD$4</f>
        <v/>
      </c>
      <c r="M151" s="159">
        <f>(SUMIFS('Адресная программа'!$H$20:$H$4288,'Адресная программа'!$I$20:$I$4288,БЦ_ALL!C151,'Адресная программа'!$C$20:$C$4288,БЦ_ALL!B151,'Адресная программа'!$N$20:$N$4288,1)*$K$7)</f>
        <v/>
      </c>
      <c r="N151" s="935">
        <f>IF(M151=0,0,J151/M151*1000)</f>
        <v/>
      </c>
    </row>
    <row r="152" ht="13.8" customHeight="1">
      <c r="B152" s="253" t="inlineStr">
        <is>
          <t>Москва</t>
        </is>
      </c>
      <c r="C152" s="637" t="inlineStr">
        <is>
          <t>Стэндхол</t>
        </is>
      </c>
      <c r="D152" s="303">
        <f>SUMIFS('Адресная программа'!$K$2975:$K$4468,'Адресная программа'!$I$2975:$I$4468,БЦ_ALL!C152,'Адресная программа'!$C$2975:$C$4468,БЦ_ALL!B152,'Адресная программа'!$N$2975:$N$4468,1)</f>
        <v/>
      </c>
      <c r="E152" s="994">
        <f>'Цены|Скидки'!$D$25</f>
        <v/>
      </c>
      <c r="F152" s="942">
        <f>SUM(E152*D152*$K$7/15*$K$9)</f>
        <v/>
      </c>
      <c r="G152" s="156">
        <f>IF(SUMIFS('Адресная программа'!$O$20:$O$4940,'Адресная программа'!$N$20:$N$4940,1,'Адресная программа'!$C$20:$C$4940,B152,'Адресная программа'!$G$20:$G$4940,"Бизнес центр")=SUMIFS('Адресная программа'!$K$20:$K$4940,'Адресная программа'!$L$20:$L$4940,1,'Адресная программа'!$C$20:$C$4940,B152,'Адресная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программа'!$C$20:$C$4940,B152,'Адресная программа'!$G$20:$G$4940,"Бизнес центр")&gt;(SUMIFS('Адресная программа'!$K$20:$K$4940,'Адресная программа'!$L$20:$L$4940,1,'Адресная программа'!$C$20:$C$4940,B152,'Адресная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программа'!$C$20:$C$4940,B152,'Адресная программа'!$G$20:$G$4940,"Бизнес центр")&gt;(SUMIFS('Адресная программа'!$K$20:$K$4940,'Адресная программа'!$L$20:$L$4940,1,'Адресная программа'!$C$20:$C$4940,B152,'Адресная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программа'!$C$20:$C$4940,B152,'Адресная программа'!$G$20:$G$4940,"Бизнес центр")&gt;(SUMIFS('Адресная программа'!$K$20:$K$4940,'Адресная программа'!$L$20:$L$4940,1,'Адресная программа'!$C$20:$C$4940,B152,'Адресная программа'!$G$20:$G$4940,"Бизнес центр")*'Цены|Скидки'!$B$55-1),'Цены|Скидки'!$C$55,0%))))</f>
        <v/>
      </c>
      <c r="H152" s="156">
        <f>D$12</f>
        <v/>
      </c>
      <c r="I152" s="190">
        <f>IF(D152=0,0,1-J152/F152)</f>
        <v/>
      </c>
      <c r="J152" s="934">
        <f>F152*(1-G152)*(1-H152)*(1-IF($AC$2="РА",$AD$2,0))*(1-IF(OR($AC$3="Доп скидка",$AC$3="Сезонная скидка",$AC$3="Welcome скидка")=TRUE,$AD$3,0))</f>
        <v/>
      </c>
      <c r="K152" s="934">
        <f>ROUND(J152+L152,2)</f>
        <v/>
      </c>
      <c r="L152" s="934">
        <f>J152*БЦ!$AD$4</f>
        <v/>
      </c>
      <c r="M152" s="159">
        <f>(SUMIFS('Адресная программа'!$H$20:$H$4288,'Адресная программа'!$I$20:$I$4288,БЦ_ALL!C152,'Адресная программа'!$C$20:$C$4288,БЦ_ALL!B152,'Адресная программа'!$N$20:$N$4288,1)*$K$7)</f>
        <v/>
      </c>
      <c r="N152" s="935">
        <f>IF(M152=0,0,J152/M152*1000)</f>
        <v/>
      </c>
    </row>
    <row r="153" ht="13.8" customHeight="1">
      <c r="B153" s="253" t="inlineStr">
        <is>
          <t>Москва</t>
        </is>
      </c>
      <c r="C153" s="264" t="inlineStr">
        <is>
          <t>Прогресс Плаза</t>
        </is>
      </c>
      <c r="D153" s="303">
        <f>SUMIFS('Адресная программа'!$K$2975:$K$4468,'Адресная программа'!$I$2975:$I$4468,БЦ_ALL!C153,'Адресная программа'!$C$2975:$C$4468,БЦ_ALL!B153,'Адресная программа'!$N$2975:$N$4468,1)</f>
        <v/>
      </c>
      <c r="E153" s="994">
        <f>'Цены|Скидки'!$D$25</f>
        <v/>
      </c>
      <c r="F153" s="942">
        <f>SUM(E153*D153*$K$7/15*$K$9)</f>
        <v/>
      </c>
      <c r="G153" s="156">
        <f>IF(SUMIFS('Адресная программа'!$O$20:$O$4940,'Адресная программа'!$N$20:$N$4940,1,'Адресная программа'!$C$20:$C$4940,B153,'Адресная программа'!$G$20:$G$4940,"Бизнес центр")=SUMIFS('Адресная программа'!$K$20:$K$4940,'Адресная программа'!$L$20:$L$4940,1,'Адресная программа'!$C$20:$C$4940,B153,'Адресная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программа'!$C$20:$C$4940,B153,'Адресная программа'!$G$20:$G$4940,"Бизнес центр")&gt;(SUMIFS('Адресная программа'!$K$20:$K$4940,'Адресная программа'!$L$20:$L$4940,1,'Адресная программа'!$C$20:$C$4940,B153,'Адресная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программа'!$C$20:$C$4940,B153,'Адресная программа'!$G$20:$G$4940,"Бизнес центр")&gt;(SUMIFS('Адресная программа'!$K$20:$K$4940,'Адресная программа'!$L$20:$L$4940,1,'Адресная программа'!$C$20:$C$4940,B153,'Адресная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программа'!$C$20:$C$4940,B153,'Адресная программа'!$G$20:$G$4940,"Бизнес центр")&gt;(SUMIFS('Адресная программа'!$K$20:$K$4940,'Адресная программа'!$L$20:$L$4940,1,'Адресная программа'!$C$20:$C$4940,B153,'Адресная программа'!$G$20:$G$4940,"Бизнес центр")*'Цены|Скидки'!$B$55-1),'Цены|Скидки'!$C$55,0%))))</f>
        <v/>
      </c>
      <c r="H153" s="156">
        <f>D$12</f>
        <v/>
      </c>
      <c r="I153" s="190">
        <f>IF(D153=0,0,1-J153/F153)</f>
        <v/>
      </c>
      <c r="J153" s="934">
        <f>F153*(1-G153)*(1-H153)*(1-IF($AC$2="РА",$AD$2,0))*(1-IF(OR($AC$3="Доп скидка",$AC$3="Сезонная скидка",$AC$3="Welcome скидка")=TRUE,$AD$3,0))</f>
        <v/>
      </c>
      <c r="K153" s="934">
        <f>ROUND(J153+L153,2)</f>
        <v/>
      </c>
      <c r="L153" s="934">
        <f>J153*БЦ!$AD$4</f>
        <v/>
      </c>
      <c r="M153" s="159">
        <f>(SUMIFS('Адресная программа'!$H$20:$H$4288,'Адресная программа'!$I$20:$I$4288,БЦ_ALL!C153,'Адресная программа'!$C$20:$C$4288,БЦ_ALL!B153,'Адресная программа'!$N$20:$N$4288,1)*$K$7)</f>
        <v/>
      </c>
      <c r="N153" s="935">
        <f>IF(M153=0,0,J153/M153*1000)</f>
        <v/>
      </c>
    </row>
    <row r="154" ht="13.8" customHeight="1">
      <c r="B154" s="253" t="inlineStr">
        <is>
          <t>Москва</t>
        </is>
      </c>
      <c r="C154" s="264" t="inlineStr">
        <is>
          <t>Нижегородский</t>
        </is>
      </c>
      <c r="D154" s="303">
        <f>SUMIFS('Адресная программа'!$K$2975:$K$4468,'Адресная программа'!$I$2975:$I$4468,БЦ_ALL!C154,'Адресная программа'!$C$2975:$C$4468,БЦ_ALL!B154,'Адресная программа'!$N$2975:$N$4468,1)</f>
        <v/>
      </c>
      <c r="E154" s="994">
        <f>'Цены|Скидки'!$D$25</f>
        <v/>
      </c>
      <c r="F154" s="942">
        <f>SUM(E154*D154*$K$7/15*$K$9)</f>
        <v/>
      </c>
      <c r="G154" s="156">
        <f>IF(SUMIFS('Адресная программа'!$O$20:$O$4940,'Адресная программа'!$N$20:$N$4940,1,'Адресная программа'!$C$20:$C$4940,B154,'Адресная программа'!$G$20:$G$4940,"Бизнес центр")=SUMIFS('Адресная программа'!$K$20:$K$4940,'Адресная программа'!$L$20:$L$4940,1,'Адресная программа'!$C$20:$C$4940,B154,'Адресная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программа'!$C$20:$C$4940,B154,'Адресная программа'!$G$20:$G$4940,"Бизнес центр")&gt;(SUMIFS('Адресная программа'!$K$20:$K$4940,'Адресная программа'!$L$20:$L$4940,1,'Адресная программа'!$C$20:$C$4940,B154,'Адресная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программа'!$C$20:$C$4940,B154,'Адресная программа'!$G$20:$G$4940,"Бизнес центр")&gt;(SUMIFS('Адресная программа'!$K$20:$K$4940,'Адресная программа'!$L$20:$L$4940,1,'Адресная программа'!$C$20:$C$4940,B154,'Адресная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программа'!$C$20:$C$4940,B154,'Адресная программа'!$G$20:$G$4940,"Бизнес центр")&gt;(SUMIFS('Адресная программа'!$K$20:$K$4940,'Адресная программа'!$L$20:$L$4940,1,'Адресная программа'!$C$20:$C$4940,B154,'Адресная программа'!$G$20:$G$4940,"Бизнес центр")*'Цены|Скидки'!$B$55-1),'Цены|Скидки'!$C$55,0%))))</f>
        <v/>
      </c>
      <c r="H154" s="156">
        <f>D$12</f>
        <v/>
      </c>
      <c r="I154" s="190">
        <f>IF(D154=0,0,1-J154/F154)</f>
        <v/>
      </c>
      <c r="J154" s="934">
        <f>F154*(1-G154)*(1-H154)*(1-IF($AC$2="РА",$AD$2,0))*(1-IF(OR($AC$3="Доп скидка",$AC$3="Сезонная скидка",$AC$3="Welcome скидка")=TRUE,$AD$3,0))</f>
        <v/>
      </c>
      <c r="K154" s="934">
        <f>ROUND(J154+L154,2)</f>
        <v/>
      </c>
      <c r="L154" s="934">
        <f>J154*БЦ!$AD$4</f>
        <v/>
      </c>
      <c r="M154" s="159">
        <f>(SUMIFS('Адресная программа'!$H$20:$H$4288,'Адресная программа'!$I$20:$I$4288,БЦ_ALL!C154,'Адресная программа'!$C$20:$C$4288,БЦ_ALL!B154,'Адресная программа'!$N$20:$N$4288,1)*$K$7)</f>
        <v/>
      </c>
      <c r="N154" s="935">
        <f>IF(M154=0,0,J154/M154*1000)</f>
        <v/>
      </c>
    </row>
    <row r="155" ht="13.8" customHeight="1">
      <c r="B155" s="253" t="inlineStr">
        <is>
          <t>Москва</t>
        </is>
      </c>
      <c r="C155" s="264" t="inlineStr">
        <is>
          <t>Смирновский</t>
        </is>
      </c>
      <c r="D155" s="303">
        <f>SUMIFS('Адресная программа'!$K$2975:$K$4468,'Адресная программа'!$I$2975:$I$4468,БЦ_ALL!C155,'Адресная программа'!$C$2975:$C$4468,БЦ_ALL!B155,'Адресная программа'!$N$2975:$N$4468,1)</f>
        <v/>
      </c>
      <c r="E155" s="994">
        <f>'Цены|Скидки'!$D$25</f>
        <v/>
      </c>
      <c r="F155" s="942">
        <f>SUM(E155*D155*$K$7/15*$K$9)</f>
        <v/>
      </c>
      <c r="G155" s="156">
        <f>IF(COUNTIFS('Адресная программа'!$N$20:$N$4940,1,'Адресная программа'!$C$20:$C$4940,B155,'Адресная программа'!$G$20:$G$4940,"Бизнес центр")=COUNTIFS('Адресная программа'!$L$20:$L$4940,1,'Адресная программа'!$C$20:$C$4940,B155,'Адресная программа'!$G$20:$G$4940,"Бизнес центр"),'Цены|Скидки'!$C$52,IF(COUNTIFS('Адресная программа'!$N$20:$N$4940,1,'Адресная программа'!$C$20:$C$4940,B155,'Адресная программа'!$G$20:$G$4940,"Бизнес центр")&gt;(COUNTIFS('Адресная программа'!$L$20:$L$4940,1,'Адресная программа'!$C$20:$C$4940,B155,'Адресная программа'!$G$20:$G$4940,"Бизнес центр")*'Цены|Скидки'!$B$53-1),'Цены|Скидки'!$C$53,IF(COUNTIFS('Адресная программа'!$N$20:$N$4940,1,'Адресная программа'!$C$20:$C$4940,B155,'Адресная программа'!$G$20:$G$4940,"Бизнес центр")&gt;(COUNTIFS('Адресная программа'!$L$20:$L$4940,1,'Адресная программа'!$C$20:$C$4940,B155,'Адресная программа'!$G$20:$G$4940,"Бизнес центр")*'Цены|Скидки'!$B$54-1),'Цены|Скидки'!$C$54,IF(COUNTIFS('Адресная программа'!$N$20:$N$4940,1,'Адресная программа'!$C$20:$C$4940,B155,'Адресная программа'!$G$20:$G$4940,"Бизнес центр")&gt;(COUNTIFS('Адресная программа'!$L$20:$L$4940,1,'Адресная программа'!$C$20:$C$4940,B155,'Адресная программа'!$G$20:$G$4940,"Бизнес центр")*'Цены|Скидки'!$B$55-1),'Цены|Скидки'!$C$55,0%))))</f>
        <v/>
      </c>
      <c r="H155" s="156">
        <f>D$12</f>
        <v/>
      </c>
      <c r="I155" s="190">
        <f>IF(D155=0,0,1-J155/F155)</f>
        <v/>
      </c>
      <c r="J155" s="934">
        <f>F155*(1-G155)*(1-H155)*(1-IF($AC$2="РА",$AD$2,0))*(1-IF(OR($AC$3="Доп скидка",$AC$3="Сезонная скидка",$AC$3="Welcome скидка")=TRUE,$AD$3,0))</f>
        <v/>
      </c>
      <c r="K155" s="934">
        <f>ROUND(J155+L155,2)</f>
        <v/>
      </c>
      <c r="L155" s="934">
        <f>J155*0.2</f>
        <v/>
      </c>
      <c r="M155" s="159">
        <f>(SUMIFS('Адресная программа'!$H$3031:$H$4288,'Адресная программа'!$I$3031:$I$4288,БЦ_ALL!C155,'Адресная программа'!$C$3031:$C$4288,БЦ_ALL!B155,'Адресная программа'!$N$3031:$N$4288,1)*$K$7)</f>
        <v/>
      </c>
      <c r="N155" s="935">
        <f>IF(M155=0,0,J155/M155*1000)</f>
        <v/>
      </c>
    </row>
    <row r="156" ht="13.8" customHeight="1">
      <c r="B156" s="253" t="inlineStr">
        <is>
          <t>Москва</t>
        </is>
      </c>
      <c r="C156" s="264" t="inlineStr">
        <is>
          <t>Вятка</t>
        </is>
      </c>
      <c r="D156" s="303">
        <f>SUMIFS('Адресная программа'!$K$2975:$K$4468,'Адресная программа'!$I$2975:$I$4468,БЦ_ALL!C156,'Адресная программа'!$C$2975:$C$4468,БЦ_ALL!B156,'Адресная программа'!$N$2975:$N$4468,1)</f>
        <v/>
      </c>
      <c r="E156" s="994">
        <f>'Цены|Скидки'!$D$25</f>
        <v/>
      </c>
      <c r="F156" s="942">
        <f>SUM(E156*D156*$K$7/15*$K$9)</f>
        <v/>
      </c>
      <c r="G156" s="156">
        <f>IF(SUMIFS('Адресная программа'!$O$20:$O$4940,'Адресная программа'!$N$20:$N$4940,1,'Адресная программа'!$C$20:$C$4940,B156,'Адресная программа'!$G$20:$G$4940,"Бизнес центр")=SUMIFS('Адресная программа'!$K$20:$K$4940,'Адресная программа'!$L$20:$L$4940,1,'Адресная программа'!$C$20:$C$4940,B156,'Адресная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программа'!$C$20:$C$4940,B156,'Адресная программа'!$G$20:$G$4940,"Бизнес центр")&gt;(SUMIFS('Адресная программа'!$K$20:$K$4940,'Адресная программа'!$L$20:$L$4940,1,'Адресная программа'!$C$20:$C$4940,B156,'Адресная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программа'!$C$20:$C$4940,B156,'Адресная программа'!$G$20:$G$4940,"Бизнес центр")&gt;(SUMIFS('Адресная программа'!$K$20:$K$4940,'Адресная программа'!$L$20:$L$4940,1,'Адресная программа'!$C$20:$C$4940,B156,'Адресная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программа'!$C$20:$C$4940,B156,'Адресная программа'!$G$20:$G$4940,"Бизнес центр")&gt;(SUMIFS('Адресная программа'!$K$20:$K$4940,'Адресная программа'!$L$20:$L$4940,1,'Адресная программа'!$C$20:$C$4940,B156,'Адресная программа'!$G$20:$G$4940,"Бизнес центр")*'Цены|Скидки'!$B$55-1),'Цены|Скидки'!$C$55,0%))))</f>
        <v/>
      </c>
      <c r="H156" s="156">
        <f>D$12</f>
        <v/>
      </c>
      <c r="I156" s="190">
        <f>IF(D156=0,0,1-J156/F156)</f>
        <v/>
      </c>
      <c r="J156" s="934">
        <f>F156*(1-G156)*(1-H156)*(1-IF($AC$2="РА",$AD$2,0))*(1-IF(OR($AC$3="Доп скидка",$AC$3="Сезонная скидка",$AC$3="Welcome скидка")=TRUE,$AD$3,0))</f>
        <v/>
      </c>
      <c r="K156" s="934">
        <f>ROUND(J156+L156,2)</f>
        <v/>
      </c>
      <c r="L156" s="934">
        <f>J156*БЦ!$AD$4</f>
        <v/>
      </c>
      <c r="M156" s="159">
        <f>(SUMIFS('Адресная программа'!$H$20:$H$4288,'Адресная программа'!$I$20:$I$4288,БЦ_ALL!C156,'Адресная программа'!$C$20:$C$4288,БЦ_ALL!B156,'Адресная программа'!$N$20:$N$4288,1)*$K$7)</f>
        <v/>
      </c>
      <c r="N156" s="935">
        <f>IF(M156=0,0,J156/M156*1000)</f>
        <v/>
      </c>
    </row>
    <row r="157" ht="13.8" customHeight="1">
      <c r="B157" s="253" t="inlineStr">
        <is>
          <t>Москва</t>
        </is>
      </c>
      <c r="C157" s="264" t="inlineStr">
        <is>
          <t>Яуза Тауэр</t>
        </is>
      </c>
      <c r="D157" s="303">
        <f>SUMIFS('Адресная программа'!$K$2975:$K$4468,'Адресная программа'!$I$2975:$I$4468,БЦ_ALL!C157,'Адресная программа'!$C$2975:$C$4468,БЦ_ALL!B157,'Адресная программа'!$N$2975:$N$4468,1)</f>
        <v/>
      </c>
      <c r="E157" s="994">
        <f>'Цены|Скидки'!$D$25</f>
        <v/>
      </c>
      <c r="F157" s="942">
        <f>SUM(E157*D157*$K$7/15*$K$9)</f>
        <v/>
      </c>
      <c r="G157" s="156">
        <f>IF(SUMIFS('Адресная программа'!$O$20:$O$4940,'Адресная программа'!$N$20:$N$4940,1,'Адресная программа'!$C$20:$C$4940,B157,'Адресная программа'!$G$20:$G$4940,"Бизнес центр")=SUMIFS('Адресная программа'!$K$20:$K$4940,'Адресная программа'!$L$20:$L$4940,1,'Адресная программа'!$C$20:$C$4940,B157,'Адресная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программа'!$C$20:$C$4940,B157,'Адресная программа'!$G$20:$G$4940,"Бизнес центр")&gt;(SUMIFS('Адресная программа'!$K$20:$K$4940,'Адресная программа'!$L$20:$L$4940,1,'Адресная программа'!$C$20:$C$4940,B157,'Адресная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программа'!$C$20:$C$4940,B157,'Адресная программа'!$G$20:$G$4940,"Бизнес центр")&gt;(SUMIFS('Адресная программа'!$K$20:$K$4940,'Адресная программа'!$L$20:$L$4940,1,'Адресная программа'!$C$20:$C$4940,B157,'Адресная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программа'!$C$20:$C$4940,B157,'Адресная программа'!$G$20:$G$4940,"Бизнес центр")&gt;(SUMIFS('Адресная программа'!$K$20:$K$4940,'Адресная программа'!$L$20:$L$4940,1,'Адресная программа'!$C$20:$C$4940,B157,'Адресная программа'!$G$20:$G$4940,"Бизнес центр")*'Цены|Скидки'!$B$55-1),'Цены|Скидки'!$C$55,0%))))</f>
        <v/>
      </c>
      <c r="H157" s="156">
        <f>D$12</f>
        <v/>
      </c>
      <c r="I157" s="190">
        <f>IF(D157=0,0,1-J157/F157)</f>
        <v/>
      </c>
      <c r="J157" s="934">
        <f>F157*(1-G157)*(1-H157)*(1-IF($AC$2="РА",$AD$2,0))*(1-IF(OR($AC$3="Доп скидка",$AC$3="Сезонная скидка",$AC$3="Welcome скидка")=TRUE,$AD$3,0))</f>
        <v/>
      </c>
      <c r="K157" s="934">
        <f>ROUND(J157+L157,2)</f>
        <v/>
      </c>
      <c r="L157" s="934">
        <f>J157*БЦ!$AD$4</f>
        <v/>
      </c>
      <c r="M157" s="159">
        <f>(SUMIFS('Адресная программа'!$H$20:$H$4288,'Адресная программа'!$I$20:$I$4288,БЦ_ALL!C157,'Адресная программа'!$C$20:$C$4288,БЦ_ALL!B157,'Адресная программа'!$N$20:$N$4288,1)*$K$7)</f>
        <v/>
      </c>
      <c r="N157" s="935">
        <f>IF(M157=0,0,J157/M157*1000)</f>
        <v/>
      </c>
    </row>
    <row r="158" ht="13.8" customHeight="1">
      <c r="B158" s="253" t="inlineStr">
        <is>
          <t>Москва</t>
        </is>
      </c>
      <c r="C158" s="264" t="inlineStr">
        <is>
          <t>Ростэк</t>
        </is>
      </c>
      <c r="D158" s="303">
        <f>SUMIFS('Адресная программа'!$K$2975:$K$4468,'Адресная программа'!$I$2975:$I$4468,БЦ_ALL!C158,'Адресная программа'!$C$2975:$C$4468,БЦ_ALL!B158,'Адресная программа'!$N$2975:$N$4468,1)</f>
        <v/>
      </c>
      <c r="E158" s="994">
        <f>'Цены|Скидки'!$D$25</f>
        <v/>
      </c>
      <c r="F158" s="942">
        <f>SUM(E158*D158*$K$7/15*$K$9)</f>
        <v/>
      </c>
      <c r="G158" s="156">
        <f>IF(SUMIFS('Адресная программа'!$O$20:$O$4940,'Адресная программа'!$N$20:$N$4940,1,'Адресная программа'!$C$20:$C$4940,B158,'Адресная программа'!$G$20:$G$4940,"Бизнес центр")=SUMIFS('Адресная программа'!$K$20:$K$4940,'Адресная программа'!$L$20:$L$4940,1,'Адресная программа'!$C$20:$C$4940,B158,'Адресная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программа'!$C$20:$C$4940,B158,'Адресная программа'!$G$20:$G$4940,"Бизнес центр")&gt;(SUMIFS('Адресная программа'!$K$20:$K$4940,'Адресная программа'!$L$20:$L$4940,1,'Адресная программа'!$C$20:$C$4940,B158,'Адресная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программа'!$C$20:$C$4940,B158,'Адресная программа'!$G$20:$G$4940,"Бизнес центр")&gt;(SUMIFS('Адресная программа'!$K$20:$K$4940,'Адресная программа'!$L$20:$L$4940,1,'Адресная программа'!$C$20:$C$4940,B158,'Адресная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программа'!$C$20:$C$4940,B158,'Адресная программа'!$G$20:$G$4940,"Бизнес центр")&gt;(SUMIFS('Адресная программа'!$K$20:$K$4940,'Адресная программа'!$L$20:$L$4940,1,'Адресная программа'!$C$20:$C$4940,B158,'Адресная программа'!$G$20:$G$4940,"Бизнес центр")*'Цены|Скидки'!$B$55-1),'Цены|Скидки'!$C$55,0%))))</f>
        <v/>
      </c>
      <c r="H158" s="156">
        <f>D$12</f>
        <v/>
      </c>
      <c r="I158" s="190">
        <f>IF(D158=0,0,1-J158/F158)</f>
        <v/>
      </c>
      <c r="J158" s="934">
        <f>F158*(1-G158)*(1-H158)*(1-IF($AC$2="РА",$AD$2,0))*(1-IF(OR($AC$3="Доп скидка",$AC$3="Сезонная скидка",$AC$3="Welcome скидка")=TRUE,$AD$3,0))</f>
        <v/>
      </c>
      <c r="K158" s="934">
        <f>ROUND(J158+L158,2)</f>
        <v/>
      </c>
      <c r="L158" s="934">
        <f>J158*БЦ!$AD$4</f>
        <v/>
      </c>
      <c r="M158" s="159">
        <f>(SUMIFS('Адресная программа'!$H$20:$H$4288,'Адресная программа'!$I$20:$I$4288,БЦ_ALL!C158,'Адресная программа'!$C$20:$C$4288,БЦ_ALL!B158,'Адресная программа'!$N$20:$N$4288,1)*$K$7)</f>
        <v/>
      </c>
      <c r="N158" s="935">
        <f>IF(M158=0,0,J158/M158*1000)</f>
        <v/>
      </c>
    </row>
    <row r="159" ht="13.8" customHeight="1">
      <c r="B159" s="253" t="inlineStr">
        <is>
          <t>Москва</t>
        </is>
      </c>
      <c r="C159" s="264" t="inlineStr">
        <is>
          <t>Four Winds</t>
        </is>
      </c>
      <c r="D159" s="303">
        <f>SUMIFS('Адресная программа'!$K$2975:$K$4468,'Адресная программа'!$I$2975:$I$4468,БЦ_ALL!C159,'Адресная программа'!$C$2975:$C$4468,БЦ_ALL!B159,'Адресная программа'!$N$2975:$N$4468,1)</f>
        <v/>
      </c>
      <c r="E159" s="994">
        <f>'Цены|Скидки'!$D$25</f>
        <v/>
      </c>
      <c r="F159" s="942">
        <f>SUM(E159*D159*$K$7/15*$K$9)</f>
        <v/>
      </c>
      <c r="G159" s="156">
        <f>IF(SUMIFS('Адресная программа'!$O$20:$O$4940,'Адресная программа'!$N$20:$N$4940,1,'Адресная программа'!$C$20:$C$4940,B159,'Адресная программа'!$G$20:$G$4940,"Бизнес центр")=SUMIFS('Адресная программа'!$K$20:$K$4940,'Адресная программа'!$L$20:$L$4940,1,'Адресная программа'!$C$20:$C$4940,B159,'Адресная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программа'!$C$20:$C$4940,B159,'Адресная программа'!$G$20:$G$4940,"Бизнес центр")&gt;(SUMIFS('Адресная программа'!$K$20:$K$4940,'Адресная программа'!$L$20:$L$4940,1,'Адресная программа'!$C$20:$C$4940,B159,'Адресная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программа'!$C$20:$C$4940,B159,'Адресная программа'!$G$20:$G$4940,"Бизнес центр")&gt;(SUMIFS('Адресная программа'!$K$20:$K$4940,'Адресная программа'!$L$20:$L$4940,1,'Адресная программа'!$C$20:$C$4940,B159,'Адресная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программа'!$C$20:$C$4940,B159,'Адресная программа'!$G$20:$G$4940,"Бизнес центр")&gt;(SUMIFS('Адресная программа'!$K$20:$K$4940,'Адресная программа'!$L$20:$L$4940,1,'Адресная программа'!$C$20:$C$4940,B159,'Адресная программа'!$G$20:$G$4940,"Бизнес центр")*'Цены|Скидки'!$B$55-1),'Цены|Скидки'!$C$55,0%))))</f>
        <v/>
      </c>
      <c r="H159" s="156">
        <f>D$12</f>
        <v/>
      </c>
      <c r="I159" s="190">
        <f>IF(D159=0,0,1-J159/F159)</f>
        <v/>
      </c>
      <c r="J159" s="934">
        <f>F159*(1-G159)*(1-H159)*(1-IF($AC$2="РА",$AD$2,0))*(1-IF(OR($AC$3="Доп скидка",$AC$3="Сезонная скидка",$AC$3="Welcome скидка")=TRUE,$AD$3,0))</f>
        <v/>
      </c>
      <c r="K159" s="934">
        <f>ROUND(J159+L159,2)</f>
        <v/>
      </c>
      <c r="L159" s="934">
        <f>J159*БЦ!$AD$4</f>
        <v/>
      </c>
      <c r="M159" s="159">
        <f>(SUMIFS('Адресная программа'!$H$20:$H$4288,'Адресная программа'!$I$20:$I$4288,БЦ_ALL!C159,'Адресная программа'!$C$20:$C$4288,БЦ_ALL!B159,'Адресная программа'!$N$20:$N$4288,1)*$K$7)</f>
        <v/>
      </c>
      <c r="N159" s="935">
        <f>IF(M159=0,0,J159/M159*1000)</f>
        <v/>
      </c>
    </row>
    <row r="160" ht="13.8" customHeight="1">
      <c r="B160" s="253" t="inlineStr">
        <is>
          <t>Москва</t>
        </is>
      </c>
      <c r="C160" s="264" t="inlineStr">
        <is>
          <t>Барклай Парк</t>
        </is>
      </c>
      <c r="D160" s="303">
        <f>SUMIFS('Адресная программа'!$K$2975:$K$4468,'Адресная программа'!$I$2975:$I$4468,БЦ_ALL!C160,'Адресная программа'!$C$2975:$C$4468,БЦ_ALL!B160,'Адресная программа'!$N$2975:$N$4468,1)</f>
        <v/>
      </c>
      <c r="E160" s="994">
        <f>'Цены|Скидки'!$D$25</f>
        <v/>
      </c>
      <c r="F160" s="942">
        <f>SUM(E160*D160*$K$7/15*$K$9)</f>
        <v/>
      </c>
      <c r="G160" s="156">
        <f>IF(SUMIFS('Адресная программа'!$O$20:$O$4940,'Адресная программа'!$N$20:$N$4940,1,'Адресная программа'!$C$20:$C$4940,B160,'Адресная программа'!$G$20:$G$4940,"Бизнес центр")=SUMIFS('Адресная программа'!$K$20:$K$4940,'Адресная программа'!$L$20:$L$4940,1,'Адресная программа'!$C$20:$C$4940,B160,'Адресная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программа'!$C$20:$C$4940,B160,'Адресная программа'!$G$20:$G$4940,"Бизнес центр")&gt;(SUMIFS('Адресная программа'!$K$20:$K$4940,'Адресная программа'!$L$20:$L$4940,1,'Адресная программа'!$C$20:$C$4940,B160,'Адресная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программа'!$C$20:$C$4940,B160,'Адресная программа'!$G$20:$G$4940,"Бизнес центр")&gt;(SUMIFS('Адресная программа'!$K$20:$K$4940,'Адресная программа'!$L$20:$L$4940,1,'Адресная программа'!$C$20:$C$4940,B160,'Адресная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программа'!$C$20:$C$4940,B160,'Адресная программа'!$G$20:$G$4940,"Бизнес центр")&gt;(SUMIFS('Адресная программа'!$K$20:$K$4940,'Адресная программа'!$L$20:$L$4940,1,'Адресная программа'!$C$20:$C$4940,B160,'Адресная программа'!$G$20:$G$4940,"Бизнес центр")*'Цены|Скидки'!$B$55-1),'Цены|Скидки'!$C$55,0%))))</f>
        <v/>
      </c>
      <c r="H160" s="156">
        <f>D$12</f>
        <v/>
      </c>
      <c r="I160" s="190">
        <f>IF(D160=0,0,1-J160/F160)</f>
        <v/>
      </c>
      <c r="J160" s="934">
        <f>F160*(1-G160)*(1-H160)*(1-IF($AC$2="РА",$AD$2,0))*(1-IF(OR($AC$3="Доп скидка",$AC$3="Сезонная скидка",$AC$3="Welcome скидка")=TRUE,$AD$3,0))</f>
        <v/>
      </c>
      <c r="K160" s="934">
        <f>ROUND(J160+L160,2)</f>
        <v/>
      </c>
      <c r="L160" s="934">
        <f>J160*БЦ!$AD$4</f>
        <v/>
      </c>
      <c r="M160" s="159">
        <f>(SUMIFS('Адресная программа'!$H$20:$H$4288,'Адресная программа'!$I$20:$I$4288,БЦ_ALL!C160,'Адресная программа'!$C$20:$C$4288,БЦ_ALL!B160,'Адресная программа'!$N$20:$N$4288,1)*$K$7)</f>
        <v/>
      </c>
      <c r="N160" s="935">
        <f>IF(M160=0,0,J160/M160*1000)</f>
        <v/>
      </c>
    </row>
    <row r="161" ht="13.8" customHeight="1">
      <c r="B161" s="253" t="inlineStr">
        <is>
          <t>Москва</t>
        </is>
      </c>
      <c r="C161" s="264" t="inlineStr">
        <is>
          <t>Каланчевская Плаза</t>
        </is>
      </c>
      <c r="D161" s="303">
        <f>SUMIFS('Адресная программа'!$K$2975:$K$4468,'Адресная программа'!$I$2975:$I$4468,БЦ_ALL!C161,'Адресная программа'!$C$2975:$C$4468,БЦ_ALL!B161,'Адресная программа'!$N$2975:$N$4468,1)</f>
        <v/>
      </c>
      <c r="E161" s="994">
        <f>'Цены|Скидки'!$D$25</f>
        <v/>
      </c>
      <c r="F161" s="942">
        <f>SUM(E161*D161*$K$7/15*$K$9)</f>
        <v/>
      </c>
      <c r="G161" s="156">
        <f>IF(SUMIFS('Адресная программа'!$O$20:$O$4940,'Адресная программа'!$N$20:$N$4940,1,'Адресная программа'!$C$20:$C$4940,B161,'Адресная программа'!$G$20:$G$4940,"Бизнес центр")=SUMIFS('Адресная программа'!$K$20:$K$4940,'Адресная программа'!$L$20:$L$4940,1,'Адресная программа'!$C$20:$C$4940,B161,'Адресная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программа'!$C$20:$C$4940,B161,'Адресная программа'!$G$20:$G$4940,"Бизнес центр")&gt;(SUMIFS('Адресная программа'!$K$20:$K$4940,'Адресная программа'!$L$20:$L$4940,1,'Адресная программа'!$C$20:$C$4940,B161,'Адресная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программа'!$C$20:$C$4940,B161,'Адресная программа'!$G$20:$G$4940,"Бизнес центр")&gt;(SUMIFS('Адресная программа'!$K$20:$K$4940,'Адресная программа'!$L$20:$L$4940,1,'Адресная программа'!$C$20:$C$4940,B161,'Адресная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программа'!$C$20:$C$4940,B161,'Адресная программа'!$G$20:$G$4940,"Бизнес центр")&gt;(SUMIFS('Адресная программа'!$K$20:$K$4940,'Адресная программа'!$L$20:$L$4940,1,'Адресная программа'!$C$20:$C$4940,B161,'Адресная программа'!$G$20:$G$4940,"Бизнес центр")*'Цены|Скидки'!$B$55-1),'Цены|Скидки'!$C$55,0%))))</f>
        <v/>
      </c>
      <c r="H161" s="156">
        <f>D$12</f>
        <v/>
      </c>
      <c r="I161" s="190">
        <f>IF(D161=0,0,1-J161/F161)</f>
        <v/>
      </c>
      <c r="J161" s="934">
        <f>F161*(1-G161)*(1-H161)*(1-IF($AC$2="РА",$AD$2,0))*(1-IF(OR($AC$3="Доп скидка",$AC$3="Сезонная скидка",$AC$3="Welcome скидка")=TRUE,$AD$3,0))</f>
        <v/>
      </c>
      <c r="K161" s="934">
        <f>ROUND(J161+L161,2)</f>
        <v/>
      </c>
      <c r="L161" s="934">
        <f>J161*БЦ!$AD$4</f>
        <v/>
      </c>
      <c r="M161" s="159">
        <f>(SUMIFS('Адресная программа'!$H$20:$H$4288,'Адресная программа'!$I$20:$I$4288,БЦ_ALL!C161,'Адресная программа'!$C$20:$C$4288,БЦ_ALL!B161,'Адресная программа'!$N$20:$N$4288,1)*$K$7)</f>
        <v/>
      </c>
      <c r="N161" s="935">
        <f>IF(M161=0,0,J161/M161*1000)</f>
        <v/>
      </c>
    </row>
    <row r="162" ht="13.8" customHeight="1">
      <c r="B162" s="253" t="inlineStr">
        <is>
          <t>Москва</t>
        </is>
      </c>
      <c r="C162" s="264" t="inlineStr">
        <is>
          <t>Омега Плаза-2</t>
        </is>
      </c>
      <c r="D162" s="303">
        <f>SUMIFS('Адресная программа'!$K$2975:$K$4468,'Адресная программа'!$I$2975:$I$4468,БЦ_ALL!C162,'Адресная программа'!$C$2975:$C$4468,БЦ_ALL!B162,'Адресная программа'!$N$2975:$N$4468,1)</f>
        <v/>
      </c>
      <c r="E162" s="994">
        <f>'Цены|Скидки'!$D$25</f>
        <v/>
      </c>
      <c r="F162" s="942">
        <f>SUM(E162*D162*$K$7/15*$K$9)</f>
        <v/>
      </c>
      <c r="G162" s="156">
        <f>IF(SUMIFS('Адресная программа'!$O$20:$O$4940,'Адресная программа'!$N$20:$N$4940,1,'Адресная программа'!$C$20:$C$4940,B162,'Адресная программа'!$G$20:$G$4940,"Бизнес центр")=SUMIFS('Адресная программа'!$K$20:$K$4940,'Адресная программа'!$L$20:$L$4940,1,'Адресная программа'!$C$20:$C$4940,B162,'Адресная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программа'!$C$20:$C$4940,B162,'Адресная программа'!$G$20:$G$4940,"Бизнес центр")&gt;(SUMIFS('Адресная программа'!$K$20:$K$4940,'Адресная программа'!$L$20:$L$4940,1,'Адресная программа'!$C$20:$C$4940,B162,'Адресная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программа'!$C$20:$C$4940,B162,'Адресная программа'!$G$20:$G$4940,"Бизнес центр")&gt;(SUMIFS('Адресная программа'!$K$20:$K$4940,'Адресная программа'!$L$20:$L$4940,1,'Адресная программа'!$C$20:$C$4940,B162,'Адресная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программа'!$C$20:$C$4940,B162,'Адресная программа'!$G$20:$G$4940,"Бизнес центр")&gt;(SUMIFS('Адресная программа'!$K$20:$K$4940,'Адресная программа'!$L$20:$L$4940,1,'Адресная программа'!$C$20:$C$4940,B162,'Адресная программа'!$G$20:$G$4940,"Бизнес центр")*'Цены|Скидки'!$B$55-1),'Цены|Скидки'!$C$55,0%))))</f>
        <v/>
      </c>
      <c r="H162" s="156">
        <f>D$12</f>
        <v/>
      </c>
      <c r="I162" s="190">
        <f>IF(D162=0,0,1-J162/F162)</f>
        <v/>
      </c>
      <c r="J162" s="934">
        <f>F162*(1-G162)*(1-H162)*(1-IF($AC$2="РА",$AD$2,0))*(1-IF(OR($AC$3="Доп скидка",$AC$3="Сезонная скидка",$AC$3="Welcome скидка")=TRUE,$AD$3,0))</f>
        <v/>
      </c>
      <c r="K162" s="934">
        <f>ROUND(J162+L162,2)</f>
        <v/>
      </c>
      <c r="L162" s="934">
        <f>J162*БЦ!$AD$4</f>
        <v/>
      </c>
      <c r="M162" s="159">
        <f>(SUMIFS('Адресная программа'!$H$20:$H$4288,'Адресная программа'!$I$20:$I$4288,БЦ_ALL!C162,'Адресная программа'!$C$20:$C$4288,БЦ_ALL!B162,'Адресная программа'!$N$20:$N$4288,1)*$K$7)</f>
        <v/>
      </c>
      <c r="N162" s="935">
        <f>IF(M162=0,0,J162/M162*1000)</f>
        <v/>
      </c>
    </row>
    <row r="163" ht="13.8" customHeight="1">
      <c r="B163" s="253" t="inlineStr">
        <is>
          <t>Москва</t>
        </is>
      </c>
      <c r="C163" s="264" t="inlineStr">
        <is>
          <t>Симонов плаза</t>
        </is>
      </c>
      <c r="D163" s="303">
        <f>SUMIFS('Адресная программа'!$K$2975:$K$4468,'Адресная программа'!$I$2975:$I$4468,БЦ_ALL!C163,'Адресная программа'!$C$2975:$C$4468,БЦ_ALL!B163,'Адресная программа'!$N$2975:$N$4468,1)</f>
        <v/>
      </c>
      <c r="E163" s="994">
        <f>'Цены|Скидки'!$D$25</f>
        <v/>
      </c>
      <c r="F163" s="942">
        <f>SUM(E163*D163*$K$7/15*$K$9)</f>
        <v/>
      </c>
      <c r="G163" s="156">
        <f>IF(SUMIFS('Адресная программа'!$O$20:$O$4940,'Адресная программа'!$N$20:$N$4940,1,'Адресная программа'!$C$20:$C$4940,B163,'Адресная программа'!$G$20:$G$4940,"Бизнес центр")=SUMIFS('Адресная программа'!$K$20:$K$4940,'Адресная программа'!$L$20:$L$4940,1,'Адресная программа'!$C$20:$C$4940,B163,'Адресная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программа'!$C$20:$C$4940,B163,'Адресная программа'!$G$20:$G$4940,"Бизнес центр")&gt;(SUMIFS('Адресная программа'!$K$20:$K$4940,'Адресная программа'!$L$20:$L$4940,1,'Адресная программа'!$C$20:$C$4940,B163,'Адресная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программа'!$C$20:$C$4940,B163,'Адресная программа'!$G$20:$G$4940,"Бизнес центр")&gt;(SUMIFS('Адресная программа'!$K$20:$K$4940,'Адресная программа'!$L$20:$L$4940,1,'Адресная программа'!$C$20:$C$4940,B163,'Адресная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программа'!$C$20:$C$4940,B163,'Адресная программа'!$G$20:$G$4940,"Бизнес центр")&gt;(SUMIFS('Адресная программа'!$K$20:$K$4940,'Адресная программа'!$L$20:$L$4940,1,'Адресная программа'!$C$20:$C$4940,B163,'Адресная программа'!$G$20:$G$4940,"Бизнес центр")*'Цены|Скидки'!$B$55-1),'Цены|Скидки'!$C$55,0%))))</f>
        <v/>
      </c>
      <c r="H163" s="156">
        <f>D$12</f>
        <v/>
      </c>
      <c r="I163" s="190">
        <f>IF(D163=0,0,1-J163/F163)</f>
        <v/>
      </c>
      <c r="J163" s="934">
        <f>F163*(1-G163)*(1-H163)*(1-IF($AC$2="РА",$AD$2,0))*(1-IF(OR($AC$3="Доп скидка",$AC$3="Сезонная скидка",$AC$3="Welcome скидка")=TRUE,$AD$3,0))</f>
        <v/>
      </c>
      <c r="K163" s="934">
        <f>ROUND(J163+L163,2)</f>
        <v/>
      </c>
      <c r="L163" s="934">
        <f>J163*БЦ!$AD$4</f>
        <v/>
      </c>
      <c r="M163" s="159">
        <f>(SUMIFS('Адресная программа'!$H$20:$H$4288,'Адресная программа'!$I$20:$I$4288,БЦ_ALL!C163,'Адресная программа'!$C$20:$C$4288,БЦ_ALL!B163,'Адресная программа'!$N$20:$N$4288,1)*$K$7)</f>
        <v/>
      </c>
      <c r="N163" s="935">
        <f>IF(M163=0,0,J163/M163*1000)</f>
        <v/>
      </c>
    </row>
    <row r="164" ht="13.8" customHeight="1">
      <c r="B164" s="253" t="inlineStr">
        <is>
          <t>Москва</t>
        </is>
      </c>
      <c r="C164" s="264" t="inlineStr">
        <is>
          <t>Слободской</t>
        </is>
      </c>
      <c r="D164" s="303">
        <f>SUMIFS('Адресная программа'!$K$2975:$K$4468,'Адресная программа'!$I$2975:$I$4468,БЦ_ALL!C164,'Адресная программа'!$C$2975:$C$4468,БЦ_ALL!B164,'Адресная программа'!$N$2975:$N$4468,1)</f>
        <v/>
      </c>
      <c r="E164" s="994">
        <f>'Цены|Скидки'!$D$25</f>
        <v/>
      </c>
      <c r="F164" s="942">
        <f>SUM(E164*D164*$K$7/15*$K$9)</f>
        <v/>
      </c>
      <c r="G164" s="156">
        <f>IF(SUMIFS('Адресная программа'!$O$20:$O$4940,'Адресная программа'!$N$20:$N$4940,1,'Адресная программа'!$C$20:$C$4940,B164,'Адресная программа'!$G$20:$G$4940,"Бизнес центр")=SUMIFS('Адресная программа'!$K$20:$K$4940,'Адресная программа'!$L$20:$L$4940,1,'Адресная программа'!$C$20:$C$4940,B164,'Адресная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программа'!$C$20:$C$4940,B164,'Адресная программа'!$G$20:$G$4940,"Бизнес центр")&gt;(SUMIFS('Адресная программа'!$K$20:$K$4940,'Адресная программа'!$L$20:$L$4940,1,'Адресная программа'!$C$20:$C$4940,B164,'Адресная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программа'!$C$20:$C$4940,B164,'Адресная программа'!$G$20:$G$4940,"Бизнес центр")&gt;(SUMIFS('Адресная программа'!$K$20:$K$4940,'Адресная программа'!$L$20:$L$4940,1,'Адресная программа'!$C$20:$C$4940,B164,'Адресная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программа'!$C$20:$C$4940,B164,'Адресная программа'!$G$20:$G$4940,"Бизнес центр")&gt;(SUMIFS('Адресная программа'!$K$20:$K$4940,'Адресная программа'!$L$20:$L$4940,1,'Адресная программа'!$C$20:$C$4940,B164,'Адресная программа'!$G$20:$G$4940,"Бизнес центр")*'Цены|Скидки'!$B$55-1),'Цены|Скидки'!$C$55,0%))))</f>
        <v/>
      </c>
      <c r="H164" s="156">
        <f>D$12</f>
        <v/>
      </c>
      <c r="I164" s="190">
        <f>IF(D164=0,0,1-J164/F164)</f>
        <v/>
      </c>
      <c r="J164" s="934">
        <f>F164*(1-G164)*(1-H164)*(1-IF($AC$2="РА",$AD$2,0))*(1-IF(OR($AC$3="Доп скидка",$AC$3="Сезонная скидка",$AC$3="Welcome скидка")=TRUE,$AD$3,0))</f>
        <v/>
      </c>
      <c r="K164" s="934">
        <f>ROUND(J164+L164,2)</f>
        <v/>
      </c>
      <c r="L164" s="934">
        <f>J164*БЦ!$AD$4</f>
        <v/>
      </c>
      <c r="M164" s="159">
        <f>(SUMIFS('Адресная программа'!$H$20:$H$4288,'Адресная программа'!$I$20:$I$4288,БЦ_ALL!C164,'Адресная программа'!$C$20:$C$4288,БЦ_ALL!B164,'Адресная программа'!$N$20:$N$4288,1)*$K$7)</f>
        <v/>
      </c>
      <c r="N164" s="935">
        <f>IF(M164=0,0,J164/M164*1000)</f>
        <v/>
      </c>
    </row>
    <row r="165" ht="13.8" customHeight="1">
      <c r="B165" s="253" t="inlineStr">
        <is>
          <t>Москва</t>
        </is>
      </c>
      <c r="C165" s="264" t="inlineStr">
        <is>
          <t xml:space="preserve">РТС Семеновский </t>
        </is>
      </c>
      <c r="D165" s="303">
        <f>SUMIFS('Адресная программа'!$K$2975:$K$4468,'Адресная программа'!$I$2975:$I$4468,БЦ_ALL!C165,'Адресная программа'!$C$2975:$C$4468,БЦ_ALL!B165,'Адресная программа'!$N$2975:$N$4468,1)</f>
        <v/>
      </c>
      <c r="E165" s="994">
        <f>'Цены|Скидки'!$D$25</f>
        <v/>
      </c>
      <c r="F165" s="942">
        <f>SUM(E165*D165*$K$7/15*$K$9)</f>
        <v/>
      </c>
      <c r="G165" s="156">
        <f>IF(SUMIFS('Адресная программа'!$O$20:$O$4940,'Адресная программа'!$N$20:$N$4940,1,'Адресная программа'!$C$20:$C$4940,B165,'Адресная программа'!$G$20:$G$4940,"Бизнес центр")=SUMIFS('Адресная программа'!$K$20:$K$4940,'Адресная программа'!$L$20:$L$4940,1,'Адресная программа'!$C$20:$C$4940,B165,'Адресная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программа'!$C$20:$C$4940,B165,'Адресная программа'!$G$20:$G$4940,"Бизнес центр")&gt;(SUMIFS('Адресная программа'!$K$20:$K$4940,'Адресная программа'!$L$20:$L$4940,1,'Адресная программа'!$C$20:$C$4940,B165,'Адресная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программа'!$C$20:$C$4940,B165,'Адресная программа'!$G$20:$G$4940,"Бизнес центр")&gt;(SUMIFS('Адресная программа'!$K$20:$K$4940,'Адресная программа'!$L$20:$L$4940,1,'Адресная программа'!$C$20:$C$4940,B165,'Адресная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программа'!$C$20:$C$4940,B165,'Адресная программа'!$G$20:$G$4940,"Бизнес центр")&gt;(SUMIFS('Адресная программа'!$K$20:$K$4940,'Адресная программа'!$L$20:$L$4940,1,'Адресная программа'!$C$20:$C$4940,B165,'Адресная программа'!$G$20:$G$4940,"Бизнес центр")*'Цены|Скидки'!$B$55-1),'Цены|Скидки'!$C$55,0%))))</f>
        <v/>
      </c>
      <c r="H165" s="156">
        <f>D$12</f>
        <v/>
      </c>
      <c r="I165" s="190">
        <f>IF(D165=0,0,1-J165/F165)</f>
        <v/>
      </c>
      <c r="J165" s="934">
        <f>F165*(1-G165)*(1-H165)*(1-IF($AC$2="РА",$AD$2,0))*(1-IF(OR($AC$3="Доп скидка",$AC$3="Сезонная скидка",$AC$3="Welcome скидка")=TRUE,$AD$3,0))</f>
        <v/>
      </c>
      <c r="K165" s="934">
        <f>ROUND(J165+L165,2)</f>
        <v/>
      </c>
      <c r="L165" s="934">
        <f>J165*БЦ!$AD$4</f>
        <v/>
      </c>
      <c r="M165" s="159">
        <f>(SUMIFS('Адресная программа'!$H$20:$H$4288,'Адресная программа'!$I$20:$I$4288,БЦ_ALL!C165,'Адресная программа'!$C$20:$C$4288,БЦ_ALL!B165,'Адресная программа'!$N$20:$N$4288,1)*$K$7)</f>
        <v/>
      </c>
      <c r="N165" s="935">
        <f>IF(M165=0,0,J165/M165*1000)</f>
        <v/>
      </c>
    </row>
    <row r="166" ht="13.8" customHeight="1">
      <c r="B166" s="253" t="inlineStr">
        <is>
          <t>Москва</t>
        </is>
      </c>
      <c r="C166" s="264" t="inlineStr">
        <is>
          <t>РТС Измайловский</t>
        </is>
      </c>
      <c r="D166" s="303">
        <f>SUMIFS('Адресная программа'!$K$2975:$K$4468,'Адресная программа'!$I$2975:$I$4468,БЦ_ALL!C166,'Адресная программа'!$C$2975:$C$4468,БЦ_ALL!B166,'Адресная программа'!$N$2975:$N$4468,1)</f>
        <v/>
      </c>
      <c r="E166" s="994">
        <f>'Цены|Скидки'!$D$25</f>
        <v/>
      </c>
      <c r="F166" s="942">
        <f>SUM(E166*D166*$K$7/15*$K$9)</f>
        <v/>
      </c>
      <c r="G166" s="156">
        <f>IF('Адресная программа'!$V$9='Адресная программа'!$U$9,'Цены|Скидки'!$C$52,IF('Адресная программа'!$V$9&gt;('Адресная программа'!$U$9*'Цены|Скидки'!$B$53-1),'Цены|Скидки'!$C$53,IF('Адресная программа'!$V$9&gt;('Адресная программа'!$U$9*'Цены|Скидки'!$B$54-1),'Цены|Скидки'!$C$54,IF('Адресная программа'!$V$9&gt;('Адресная программа'!$U$9*'Цены|Скидки'!$B$55-1),'Цены|Скидки'!$C$55,0%))))</f>
        <v/>
      </c>
      <c r="H166" s="156">
        <f>D$12</f>
        <v/>
      </c>
      <c r="I166" s="190">
        <f>IF(D166=0,0,1-J166/F166)</f>
        <v/>
      </c>
      <c r="J166" s="934">
        <f>F166*(1-G166)*(1-H166)*(1-IF($AC$2="РА",$AD$2,0))*(1-IF(OR($AC$3="Доп скидка",$AC$3="Сезонная скидка",$AC$3="Welcome скидка")=TRUE,$AD$3,0))</f>
        <v/>
      </c>
      <c r="K166" s="934">
        <f>ROUND(J166+L166,2)</f>
        <v/>
      </c>
      <c r="L166" s="934">
        <f>J166*0.2</f>
        <v/>
      </c>
      <c r="M166" s="159">
        <f>(SUMIFS('Адресная программа'!$H$3031:$H$4288,'Адресная программа'!$I$3031:$I$4288,БЦ_ALL!C166,'Адресная программа'!$C$3031:$C$4288,БЦ_ALL!B166,'Адресная программа'!$N$3031:$N$4288,1)*$K$7)</f>
        <v/>
      </c>
      <c r="N166" s="935">
        <f>IF(M166=0,0,J166/M166*1000)</f>
        <v/>
      </c>
    </row>
    <row r="167" ht="13.8" customHeight="1">
      <c r="B167" s="253" t="inlineStr">
        <is>
          <t>Москва</t>
        </is>
      </c>
      <c r="C167" s="264" t="inlineStr">
        <is>
          <t>Silver House</t>
        </is>
      </c>
      <c r="D167" s="303">
        <f>SUMIFS('Адресная программа'!$K$2975:$K$4468,'Адресная программа'!$I$2975:$I$4468,БЦ_ALL!C167,'Адресная программа'!$C$2975:$C$4468,БЦ_ALL!B167,'Адресная программа'!$N$2975:$N$4468,1)</f>
        <v/>
      </c>
      <c r="E167" s="994">
        <f>'Цены|Скидки'!$D$25</f>
        <v/>
      </c>
      <c r="F167" s="942">
        <f>SUM(E167*D167*$K$7/15*$K$9)</f>
        <v/>
      </c>
      <c r="G167" s="156">
        <f>IF(SUMIFS('Адресная программа'!$O$20:$O$4940,'Адресная программа'!$N$20:$N$4940,1,'Адресная программа'!$C$20:$C$4940,B167,'Адресная программа'!$G$20:$G$4940,"Бизнес центр")=SUMIFS('Адресная программа'!$K$20:$K$4940,'Адресная программа'!$L$20:$L$4940,1,'Адресная программа'!$C$20:$C$4940,B167,'Адресная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программа'!$C$20:$C$4940,B167,'Адресная программа'!$G$20:$G$4940,"Бизнес центр")&gt;(SUMIFS('Адресная программа'!$K$20:$K$4940,'Адресная программа'!$L$20:$L$4940,1,'Адресная программа'!$C$20:$C$4940,B167,'Адресная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программа'!$C$20:$C$4940,B167,'Адресная программа'!$G$20:$G$4940,"Бизнес центр")&gt;(SUMIFS('Адресная программа'!$K$20:$K$4940,'Адресная программа'!$L$20:$L$4940,1,'Адресная программа'!$C$20:$C$4940,B167,'Адресная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программа'!$C$20:$C$4940,B167,'Адресная программа'!$G$20:$G$4940,"Бизнес центр")&gt;(SUMIFS('Адресная программа'!$K$20:$K$4940,'Адресная программа'!$L$20:$L$4940,1,'Адресная программа'!$C$20:$C$4940,B167,'Адресная программа'!$G$20:$G$4940,"Бизнес центр")*'Цены|Скидки'!$B$55-1),'Цены|Скидки'!$C$55,0%))))</f>
        <v/>
      </c>
      <c r="H167" s="156">
        <f>D$12</f>
        <v/>
      </c>
      <c r="I167" s="190">
        <f>IF(D167=0,0,1-J167/F167)</f>
        <v/>
      </c>
      <c r="J167" s="934">
        <f>F167*(1-G167)*(1-H167)*(1-IF($AC$2="РА",$AD$2,0))*(1-IF(OR($AC$3="Доп скидка",$AC$3="Сезонная скидка",$AC$3="Welcome скидка")=TRUE,$AD$3,0))</f>
        <v/>
      </c>
      <c r="K167" s="934">
        <f>ROUND(J167+L167,2)</f>
        <v/>
      </c>
      <c r="L167" s="934">
        <f>J167*БЦ!$AD$4</f>
        <v/>
      </c>
      <c r="M167" s="159">
        <f>(SUMIFS('Адресная программа'!$H$20:$H$4288,'Адресная программа'!$I$20:$I$4288,БЦ_ALL!C167,'Адресная программа'!$C$20:$C$4288,БЦ_ALL!B167,'Адресная программа'!$N$20:$N$4288,1)*$K$7)</f>
        <v/>
      </c>
      <c r="N167" s="935">
        <f>IF(M167=0,0,J167/M167*1000)</f>
        <v/>
      </c>
    </row>
    <row r="168" ht="13.8" customHeight="1">
      <c r="B168" s="253" t="inlineStr">
        <is>
          <t>Москва</t>
        </is>
      </c>
      <c r="C168" s="264" t="inlineStr">
        <is>
          <t xml:space="preserve">Удальцова Плаза </t>
        </is>
      </c>
      <c r="D168" s="303">
        <f>SUMIFS('Адресная программа'!$K$2975:$K$4468,'Адресная программа'!$I$2975:$I$4468,БЦ_ALL!C168,'Адресная программа'!$C$2975:$C$4468,БЦ_ALL!B168,'Адресная программа'!$N$2975:$N$4468,1)</f>
        <v/>
      </c>
      <c r="E168" s="994">
        <f>'Цены|Скидки'!$D$25</f>
        <v/>
      </c>
      <c r="F168" s="942">
        <f>SUM(E168*D168*$K$7/15*$K$9)</f>
        <v/>
      </c>
      <c r="G168" s="156">
        <f>IF(SUMIFS('Адресная программа'!$O$20:$O$4940,'Адресная программа'!$N$20:$N$4940,1,'Адресная программа'!$C$20:$C$4940,B168,'Адресная программа'!$G$20:$G$4940,"Бизнес центр")=SUMIFS('Адресная программа'!$K$20:$K$4940,'Адресная программа'!$L$20:$L$4940,1,'Адресная программа'!$C$20:$C$4940,B168,'Адресная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программа'!$C$20:$C$4940,B168,'Адресная программа'!$G$20:$G$4940,"Бизнес центр")&gt;(SUMIFS('Адресная программа'!$K$20:$K$4940,'Адресная программа'!$L$20:$L$4940,1,'Адресная программа'!$C$20:$C$4940,B168,'Адресная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программа'!$C$20:$C$4940,B168,'Адресная программа'!$G$20:$G$4940,"Бизнес центр")&gt;(SUMIFS('Адресная программа'!$K$20:$K$4940,'Адресная программа'!$L$20:$L$4940,1,'Адресная программа'!$C$20:$C$4940,B168,'Адресная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программа'!$C$20:$C$4940,B168,'Адресная программа'!$G$20:$G$4940,"Бизнес центр")&gt;(SUMIFS('Адресная программа'!$K$20:$K$4940,'Адресная программа'!$L$20:$L$4940,1,'Адресная программа'!$C$20:$C$4940,B168,'Адресная программа'!$G$20:$G$4940,"Бизнес центр")*'Цены|Скидки'!$B$55-1),'Цены|Скидки'!$C$55,0%))))</f>
        <v/>
      </c>
      <c r="H168" s="156">
        <f>D$12</f>
        <v/>
      </c>
      <c r="I168" s="190">
        <f>IF(D168=0,0,1-J168/F168)</f>
        <v/>
      </c>
      <c r="J168" s="934">
        <f>F168*(1-G168)*(1-H168)*(1-IF($AC$2="РА",$AD$2,0))*(1-IF(OR($AC$3="Доп скидка",$AC$3="Сезонная скидка",$AC$3="Welcome скидка")=TRUE,$AD$3,0))</f>
        <v/>
      </c>
      <c r="K168" s="934">
        <f>ROUND(J168+L168,2)</f>
        <v/>
      </c>
      <c r="L168" s="934">
        <f>J168*БЦ!$AD$4</f>
        <v/>
      </c>
      <c r="M168" s="159">
        <f>(SUMIFS('Адресная программа'!$H$20:$H$4288,'Адресная программа'!$I$20:$I$4288,БЦ_ALL!C168,'Адресная программа'!$C$20:$C$4288,БЦ_ALL!B168,'Адресная программа'!$N$20:$N$4288,1)*$K$7)</f>
        <v/>
      </c>
      <c r="N168" s="935">
        <f>IF(M168=0,0,J168/M168*1000)</f>
        <v/>
      </c>
    </row>
    <row r="169" ht="13.8" customHeight="1">
      <c r="B169" s="253" t="inlineStr">
        <is>
          <t>Москва</t>
        </is>
      </c>
      <c r="C169" s="264" t="inlineStr">
        <is>
          <t>Барклай Плаза</t>
        </is>
      </c>
      <c r="D169" s="303">
        <f>SUMIFS('Адресная программа'!$K$2975:$K$4468,'Адресная программа'!$I$2975:$I$4468,БЦ_ALL!C169,'Адресная программа'!$C$2975:$C$4468,БЦ_ALL!B169,'Адресная программа'!$N$2975:$N$4468,1)</f>
        <v/>
      </c>
      <c r="E169" s="994">
        <f>'Цены|Скидки'!$D$25</f>
        <v/>
      </c>
      <c r="F169" s="942">
        <f>SUM(E169*D169*$K$7/15*$K$9)</f>
        <v/>
      </c>
      <c r="G169" s="156">
        <f>IF(SUMIFS('Адресная программа'!$O$20:$O$4940,'Адресная программа'!$N$20:$N$4940,1,'Адресная программа'!$C$20:$C$4940,B169,'Адресная программа'!$G$20:$G$4940,"Бизнес центр")=SUMIFS('Адресная программа'!$K$20:$K$4940,'Адресная программа'!$L$20:$L$4940,1,'Адресная программа'!$C$20:$C$4940,B169,'Адресная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программа'!$C$20:$C$4940,B169,'Адресная программа'!$G$20:$G$4940,"Бизнес центр")&gt;(SUMIFS('Адресная программа'!$K$20:$K$4940,'Адресная программа'!$L$20:$L$4940,1,'Адресная программа'!$C$20:$C$4940,B169,'Адресная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программа'!$C$20:$C$4940,B169,'Адресная программа'!$G$20:$G$4940,"Бизнес центр")&gt;(SUMIFS('Адресная программа'!$K$20:$K$4940,'Адресная программа'!$L$20:$L$4940,1,'Адресная программа'!$C$20:$C$4940,B169,'Адресная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программа'!$C$20:$C$4940,B169,'Адресная программа'!$G$20:$G$4940,"Бизнес центр")&gt;(SUMIFS('Адресная программа'!$K$20:$K$4940,'Адресная программа'!$L$20:$L$4940,1,'Адресная программа'!$C$20:$C$4940,B169,'Адресная программа'!$G$20:$G$4940,"Бизнес центр")*'Цены|Скидки'!$B$55-1),'Цены|Скидки'!$C$55,0%))))</f>
        <v/>
      </c>
      <c r="H169" s="156">
        <f>D$12</f>
        <v/>
      </c>
      <c r="I169" s="190">
        <f>IF(D169=0,0,1-J169/F169)</f>
        <v/>
      </c>
      <c r="J169" s="934">
        <f>F169*(1-G169)*(1-H169)*(1-IF($AC$2="РА",$AD$2,0))*(1-IF(OR($AC$3="Доп скидка",$AC$3="Сезонная скидка",$AC$3="Welcome скидка")=TRUE,$AD$3,0))</f>
        <v/>
      </c>
      <c r="K169" s="934">
        <f>ROUND(J169+L169,2)</f>
        <v/>
      </c>
      <c r="L169" s="934">
        <f>J169*БЦ!$AD$4</f>
        <v/>
      </c>
      <c r="M169" s="159">
        <f>(SUMIFS('Адресная программа'!$H$20:$H$4288,'Адресная программа'!$I$20:$I$4288,БЦ_ALL!C169,'Адресная программа'!$C$20:$C$4288,БЦ_ALL!B169,'Адресная программа'!$N$20:$N$4288,1)*$K$7)</f>
        <v/>
      </c>
      <c r="N169" s="935">
        <f>IF(M169=0,0,J169/M169*1000)</f>
        <v/>
      </c>
    </row>
    <row r="170" ht="13.8" customHeight="1">
      <c r="B170" s="253" t="inlineStr">
        <is>
          <t>Москва</t>
        </is>
      </c>
      <c r="C170" s="264" t="inlineStr">
        <is>
          <t>Авилон Плаза</t>
        </is>
      </c>
      <c r="D170" s="303">
        <f>SUMIFS('Адресная программа'!$K$2975:$K$4468,'Адресная программа'!$I$2975:$I$4468,БЦ_ALL!C170,'Адресная программа'!$C$2975:$C$4468,БЦ_ALL!B170,'Адресная программа'!$N$2975:$N$4468,1)</f>
        <v/>
      </c>
      <c r="E170" s="994">
        <f>'Цены|Скидки'!$D$25</f>
        <v/>
      </c>
      <c r="F170" s="942">
        <f>SUM(E170*D170*$K$7/15*$K$9)</f>
        <v/>
      </c>
      <c r="G170" s="156">
        <f>IF(SUMIFS('Адресная программа'!$O$20:$O$4940,'Адресная программа'!$N$20:$N$4940,1,'Адресная программа'!$C$20:$C$4940,B170,'Адресная программа'!$G$20:$G$4940,"Бизнес центр")=SUMIFS('Адресная программа'!$K$20:$K$4940,'Адресная программа'!$L$20:$L$4940,1,'Адресная программа'!$C$20:$C$4940,B170,'Адресная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программа'!$C$20:$C$4940,B170,'Адресная программа'!$G$20:$G$4940,"Бизнес центр")&gt;(SUMIFS('Адресная программа'!$K$20:$K$4940,'Адресная программа'!$L$20:$L$4940,1,'Адресная программа'!$C$20:$C$4940,B170,'Адресная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программа'!$C$20:$C$4940,B170,'Адресная программа'!$G$20:$G$4940,"Бизнес центр")&gt;(SUMIFS('Адресная программа'!$K$20:$K$4940,'Адресная программа'!$L$20:$L$4940,1,'Адресная программа'!$C$20:$C$4940,B170,'Адресная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программа'!$C$20:$C$4940,B170,'Адресная программа'!$G$20:$G$4940,"Бизнес центр")&gt;(SUMIFS('Адресная программа'!$K$20:$K$4940,'Адресная программа'!$L$20:$L$4940,1,'Адресная программа'!$C$20:$C$4940,B170,'Адресная программа'!$G$20:$G$4940,"Бизнес центр")*'Цены|Скидки'!$B$55-1),'Цены|Скидки'!$C$55,0%))))</f>
        <v/>
      </c>
      <c r="H170" s="156">
        <f>D$12</f>
        <v/>
      </c>
      <c r="I170" s="190">
        <f>IF(D170=0,0,1-J170/F170)</f>
        <v/>
      </c>
      <c r="J170" s="934">
        <f>F170*(1-G170)*(1-H170)*(1-IF($AC$2="РА",$AD$2,0))*(1-IF(OR($AC$3="Доп скидка",$AC$3="Сезонная скидка",$AC$3="Welcome скидка")=TRUE,$AD$3,0))</f>
        <v/>
      </c>
      <c r="K170" s="934">
        <f>ROUND(J170+L170,2)</f>
        <v/>
      </c>
      <c r="L170" s="934">
        <f>J170*БЦ!$AD$4</f>
        <v/>
      </c>
      <c r="M170" s="159">
        <f>(SUMIFS('Адресная программа'!$H$20:$H$4288,'Адресная программа'!$I$20:$I$4288,БЦ_ALL!C170,'Адресная программа'!$C$20:$C$4288,БЦ_ALL!B170,'Адресная программа'!$N$20:$N$4288,1)*$K$7)</f>
        <v/>
      </c>
      <c r="N170" s="935">
        <f>IF(M170=0,0,J170/M170*1000)</f>
        <v/>
      </c>
    </row>
    <row r="171" ht="13.8" customHeight="1">
      <c r="B171" s="253" t="inlineStr">
        <is>
          <t>Москва</t>
        </is>
      </c>
      <c r="C171" s="264" t="inlineStr">
        <is>
          <t>Магистраль плаза</t>
        </is>
      </c>
      <c r="D171" s="303">
        <f>SUMIFS('Адресная программа'!$K$2975:$K$4468,'Адресная программа'!$I$2975:$I$4468,БЦ_ALL!C171,'Адресная программа'!$C$2975:$C$4468,БЦ_ALL!B171,'Адресная программа'!$N$2975:$N$4468,1)</f>
        <v/>
      </c>
      <c r="E171" s="994">
        <f>'Цены|Скидки'!$D$25</f>
        <v/>
      </c>
      <c r="F171" s="942">
        <f>SUM(E171*D171*$K$7/15*$K$9)</f>
        <v/>
      </c>
      <c r="G171" s="156">
        <f>IF(SUMIFS('Адресная программа'!$O$20:$O$4940,'Адресная программа'!$N$20:$N$4940,1,'Адресная программа'!$C$20:$C$4940,B171,'Адресная программа'!$G$20:$G$4940,"Бизнес центр")=SUMIFS('Адресная программа'!$K$20:$K$4940,'Адресная программа'!$L$20:$L$4940,1,'Адресная программа'!$C$20:$C$4940,B171,'Адресная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программа'!$C$20:$C$4940,B171,'Адресная программа'!$G$20:$G$4940,"Бизнес центр")&gt;(SUMIFS('Адресная программа'!$K$20:$K$4940,'Адресная программа'!$L$20:$L$4940,1,'Адресная программа'!$C$20:$C$4940,B171,'Адресная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программа'!$C$20:$C$4940,B171,'Адресная программа'!$G$20:$G$4940,"Бизнес центр")&gt;(SUMIFS('Адресная программа'!$K$20:$K$4940,'Адресная программа'!$L$20:$L$4940,1,'Адресная программа'!$C$20:$C$4940,B171,'Адресная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программа'!$C$20:$C$4940,B171,'Адресная программа'!$G$20:$G$4940,"Бизнес центр")&gt;(SUMIFS('Адресная программа'!$K$20:$K$4940,'Адресная программа'!$L$20:$L$4940,1,'Адресная программа'!$C$20:$C$4940,B171,'Адресная программа'!$G$20:$G$4940,"Бизнес центр")*'Цены|Скидки'!$B$55-1),'Цены|Скидки'!$C$55,0%))))</f>
        <v/>
      </c>
      <c r="H171" s="156">
        <f>D$12</f>
        <v/>
      </c>
      <c r="I171" s="190">
        <f>IF(D171=0,0,1-J171/F171)</f>
        <v/>
      </c>
      <c r="J171" s="934">
        <f>F171*(1-G171)*(1-H171)*(1-IF($AC$2="РА",$AD$2,0))*(1-IF(OR($AC$3="Доп скидка",$AC$3="Сезонная скидка",$AC$3="Welcome скидка")=TRUE,$AD$3,0))</f>
        <v/>
      </c>
      <c r="K171" s="934">
        <f>ROUND(J171+L171,2)</f>
        <v/>
      </c>
      <c r="L171" s="934">
        <f>J171*БЦ!$AD$4</f>
        <v/>
      </c>
      <c r="M171" s="159">
        <f>(SUMIFS('Адресная программа'!$H$20:$H$4288,'Адресная программа'!$I$20:$I$4288,БЦ_ALL!C171,'Адресная программа'!$C$20:$C$4288,БЦ_ALL!B171,'Адресная программа'!$N$20:$N$4288,1)*$K$7)</f>
        <v/>
      </c>
      <c r="N171" s="935">
        <f>IF(M171=0,0,J171/M171*1000)</f>
        <v/>
      </c>
    </row>
    <row r="172" ht="13.8" customHeight="1">
      <c r="B172" s="253" t="inlineStr">
        <is>
          <t>Москва</t>
        </is>
      </c>
      <c r="C172" s="264" t="inlineStr">
        <is>
          <t>Victory park</t>
        </is>
      </c>
      <c r="D172" s="303">
        <f>SUMIFS('Адресная программа'!$K$2975:$K$4468,'Адресная программа'!$I$2975:$I$4468,БЦ_ALL!C172,'Адресная программа'!$C$2975:$C$4468,БЦ_ALL!B172,'Адресная программа'!$N$2975:$N$4468,1)</f>
        <v/>
      </c>
      <c r="E172" s="994">
        <f>'Цены|Скидки'!$D$25</f>
        <v/>
      </c>
      <c r="F172" s="942">
        <f>SUM(E172*D172*$K$7/15*$K$9)</f>
        <v/>
      </c>
      <c r="G172" s="156">
        <f>IF(SUMIFS('Адресная программа'!$O$20:$O$4940,'Адресная программа'!$N$20:$N$4940,1,'Адресная программа'!$C$20:$C$4940,B172,'Адресная программа'!$G$20:$G$4940,"Бизнес центр")=SUMIFS('Адресная программа'!$K$20:$K$4940,'Адресная программа'!$L$20:$L$4940,1,'Адресная программа'!$C$20:$C$4940,B172,'Адресная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программа'!$C$20:$C$4940,B172,'Адресная программа'!$G$20:$G$4940,"Бизнес центр")&gt;(SUMIFS('Адресная программа'!$K$20:$K$4940,'Адресная программа'!$L$20:$L$4940,1,'Адресная программа'!$C$20:$C$4940,B172,'Адресная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программа'!$C$20:$C$4940,B172,'Адресная программа'!$G$20:$G$4940,"Бизнес центр")&gt;(SUMIFS('Адресная программа'!$K$20:$K$4940,'Адресная программа'!$L$20:$L$4940,1,'Адресная программа'!$C$20:$C$4940,B172,'Адресная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программа'!$C$20:$C$4940,B172,'Адресная программа'!$G$20:$G$4940,"Бизнес центр")&gt;(SUMIFS('Адресная программа'!$K$20:$K$4940,'Адресная программа'!$L$20:$L$4940,1,'Адресная программа'!$C$20:$C$4940,B172,'Адресная программа'!$G$20:$G$4940,"Бизнес центр")*'Цены|Скидки'!$B$55-1),'Цены|Скидки'!$C$55,0%))))</f>
        <v/>
      </c>
      <c r="H172" s="156">
        <f>D$12</f>
        <v/>
      </c>
      <c r="I172" s="190">
        <f>IF(D172=0,0,1-J172/F172)</f>
        <v/>
      </c>
      <c r="J172" s="934">
        <f>F172*(1-G172)*(1-H172)*(1-IF($AC$2="РА",$AD$2,0))*(1-IF(OR($AC$3="Доп скидка",$AC$3="Сезонная скидка",$AC$3="Welcome скидка")=TRUE,$AD$3,0))</f>
        <v/>
      </c>
      <c r="K172" s="934">
        <f>ROUND(J172+L172,2)</f>
        <v/>
      </c>
      <c r="L172" s="934">
        <f>J172*БЦ!$AD$4</f>
        <v/>
      </c>
      <c r="M172" s="159">
        <f>(SUMIFS('Адресная программа'!$H$20:$H$4288,'Адресная программа'!$I$20:$I$4288,БЦ_ALL!C172,'Адресная программа'!$C$20:$C$4288,БЦ_ALL!B172,'Адресная программа'!$N$20:$N$4288,1)*$K$7)</f>
        <v/>
      </c>
      <c r="N172" s="935">
        <f>IF(M172=0,0,J172/M172*1000)</f>
        <v/>
      </c>
    </row>
    <row r="173" ht="13.8" customHeight="1">
      <c r="B173" s="253" t="inlineStr">
        <is>
          <t>Москва</t>
        </is>
      </c>
      <c r="C173" s="264" t="inlineStr">
        <is>
          <t>West park</t>
        </is>
      </c>
      <c r="D173" s="303">
        <f>SUMIFS('Адресная программа'!$K$2975:$K$4468,'Адресная программа'!$I$2975:$I$4468,БЦ_ALL!C173,'Адресная программа'!$C$2975:$C$4468,БЦ_ALL!B173,'Адресная программа'!$N$2975:$N$4468,1)</f>
        <v/>
      </c>
      <c r="E173" s="994">
        <f>'Цены|Скидки'!$D$25</f>
        <v/>
      </c>
      <c r="F173" s="942">
        <f>SUM(E173*D173*$K$7/15*$K$9)</f>
        <v/>
      </c>
      <c r="G173" s="156">
        <f>IF(SUMIFS('Адресная программа'!$O$20:$O$4940,'Адресная программа'!$N$20:$N$4940,1,'Адресная программа'!$C$20:$C$4940,B173,'Адресная программа'!$G$20:$G$4940,"Бизнес центр")=SUMIFS('Адресная программа'!$K$20:$K$4940,'Адресная программа'!$L$20:$L$4940,1,'Адресная программа'!$C$20:$C$4940,B173,'Адресная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программа'!$C$20:$C$4940,B173,'Адресная программа'!$G$20:$G$4940,"Бизнес центр")&gt;(SUMIFS('Адресная программа'!$K$20:$K$4940,'Адресная программа'!$L$20:$L$4940,1,'Адресная программа'!$C$20:$C$4940,B173,'Адресная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программа'!$C$20:$C$4940,B173,'Адресная программа'!$G$20:$G$4940,"Бизнес центр")&gt;(SUMIFS('Адресная программа'!$K$20:$K$4940,'Адресная программа'!$L$20:$L$4940,1,'Адресная программа'!$C$20:$C$4940,B173,'Адресная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программа'!$C$20:$C$4940,B173,'Адресная программа'!$G$20:$G$4940,"Бизнес центр")&gt;(SUMIFS('Адресная программа'!$K$20:$K$4940,'Адресная программа'!$L$20:$L$4940,1,'Адресная программа'!$C$20:$C$4940,B173,'Адресная программа'!$G$20:$G$4940,"Бизнес центр")*'Цены|Скидки'!$B$55-1),'Цены|Скидки'!$C$55,0%))))</f>
        <v/>
      </c>
      <c r="H173" s="156">
        <f>D$12</f>
        <v/>
      </c>
      <c r="I173" s="190">
        <f>IF(D173=0,0,1-J173/F173)</f>
        <v/>
      </c>
      <c r="J173" s="934">
        <f>F173*(1-G173)*(1-H173)*(1-IF($AC$2="РА",$AD$2,0))*(1-IF(OR($AC$3="Доп скидка",$AC$3="Сезонная скидка",$AC$3="Welcome скидка")=TRUE,$AD$3,0))</f>
        <v/>
      </c>
      <c r="K173" s="934">
        <f>ROUND(J173+L173,2)</f>
        <v/>
      </c>
      <c r="L173" s="934">
        <f>J173*БЦ!$AD$4</f>
        <v/>
      </c>
      <c r="M173" s="159">
        <f>(SUMIFS('Адресная программа'!$H$20:$H$4288,'Адресная программа'!$I$20:$I$4288,БЦ_ALL!C173,'Адресная программа'!$C$20:$C$4288,БЦ_ALL!B173,'Адресная программа'!$N$20:$N$4288,1)*$K$7)</f>
        <v/>
      </c>
      <c r="N173" s="935">
        <f>IF(M173=0,0,J173/M173*1000)</f>
        <v/>
      </c>
    </row>
    <row r="174" ht="13.8" customHeight="1">
      <c r="B174" s="253" t="inlineStr">
        <is>
          <t>Москва</t>
        </is>
      </c>
      <c r="C174" s="264" t="inlineStr">
        <is>
          <t>West plaza 1</t>
        </is>
      </c>
      <c r="D174" s="303">
        <f>SUMIFS('Адресная программа'!$K$2975:$K$4468,'Адресная программа'!$I$2975:$I$4468,БЦ_ALL!C174,'Адресная программа'!$C$2975:$C$4468,БЦ_ALL!B174,'Адресная программа'!$N$2975:$N$4468,1)</f>
        <v/>
      </c>
      <c r="E174" s="994">
        <f>'Цены|Скидки'!$D$25</f>
        <v/>
      </c>
      <c r="F174" s="942">
        <f>SUM(E174*D174*$K$7/15*$K$9)</f>
        <v/>
      </c>
      <c r="G174" s="156">
        <f>IF(SUMIFS('Адресная программа'!$O$20:$O$4940,'Адресная программа'!$N$20:$N$4940,1,'Адресная программа'!$C$20:$C$4940,B174,'Адресная программа'!$G$20:$G$4940,"Бизнес центр")=SUMIFS('Адресная программа'!$K$20:$K$4940,'Адресная программа'!$L$20:$L$4940,1,'Адресная программа'!$C$20:$C$4940,B174,'Адресная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программа'!$C$20:$C$4940,B174,'Адресная программа'!$G$20:$G$4940,"Бизнес центр")&gt;(SUMIFS('Адресная программа'!$K$20:$K$4940,'Адресная программа'!$L$20:$L$4940,1,'Адресная программа'!$C$20:$C$4940,B174,'Адресная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программа'!$C$20:$C$4940,B174,'Адресная программа'!$G$20:$G$4940,"Бизнес центр")&gt;(SUMIFS('Адресная программа'!$K$20:$K$4940,'Адресная программа'!$L$20:$L$4940,1,'Адресная программа'!$C$20:$C$4940,B174,'Адресная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программа'!$C$20:$C$4940,B174,'Адресная программа'!$G$20:$G$4940,"Бизнес центр")&gt;(SUMIFS('Адресная программа'!$K$20:$K$4940,'Адресная программа'!$L$20:$L$4940,1,'Адресная программа'!$C$20:$C$4940,B174,'Адресная программа'!$G$20:$G$4940,"Бизнес центр")*'Цены|Скидки'!$B$55-1),'Цены|Скидки'!$C$55,0%))))</f>
        <v/>
      </c>
      <c r="H174" s="156">
        <f>D$12</f>
        <v/>
      </c>
      <c r="I174" s="190">
        <f>IF(D174=0,0,1-J174/F174)</f>
        <v/>
      </c>
      <c r="J174" s="934">
        <f>F174*(1-G174)*(1-H174)*(1-IF($AC$2="РА",$AD$2,0))*(1-IF(OR($AC$3="Доп скидка",$AC$3="Сезонная скидка",$AC$3="Welcome скидка")=TRUE,$AD$3,0))</f>
        <v/>
      </c>
      <c r="K174" s="934">
        <f>ROUND(J174+L174,2)</f>
        <v/>
      </c>
      <c r="L174" s="934">
        <f>J174*БЦ!$AD$4</f>
        <v/>
      </c>
      <c r="M174" s="159">
        <f>(SUMIFS('Адресная программа'!$H$20:$H$4288,'Адресная программа'!$I$20:$I$4288,БЦ_ALL!C174,'Адресная программа'!$C$20:$C$4288,БЦ_ALL!B174,'Адресная программа'!$N$20:$N$4288,1)*$K$7)</f>
        <v/>
      </c>
      <c r="N174" s="935">
        <f>IF(M174=0,0,J174/M174*1000)</f>
        <v/>
      </c>
    </row>
    <row r="175" ht="13.8" customHeight="1">
      <c r="B175" s="253" t="inlineStr">
        <is>
          <t>Москва</t>
        </is>
      </c>
      <c r="C175" s="264" t="inlineStr">
        <is>
          <t>West plaza 2</t>
        </is>
      </c>
      <c r="D175" s="303">
        <f>SUMIFS('Адресная программа'!$K$2975:$K$4468,'Адресная программа'!$I$2975:$I$4468,БЦ_ALL!C175,'Адресная программа'!$C$2975:$C$4468,БЦ_ALL!B175,'Адресная программа'!$N$2975:$N$4468,1)</f>
        <v/>
      </c>
      <c r="E175" s="994">
        <f>'Цены|Скидки'!$D$25</f>
        <v/>
      </c>
      <c r="F175" s="942">
        <f>SUM(E175*D175*$K$7/15*$K$9)</f>
        <v/>
      </c>
      <c r="G175" s="156">
        <f>IF(SUMIFS('Адресная программа'!$O$20:$O$4940,'Адресная программа'!$N$20:$N$4940,1,'Адресная программа'!$C$20:$C$4940,B175,'Адресная программа'!$G$20:$G$4940,"Бизнес центр")=SUMIFS('Адресная программа'!$K$20:$K$4940,'Адресная программа'!$L$20:$L$4940,1,'Адресная программа'!$C$20:$C$4940,B175,'Адресная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программа'!$C$20:$C$4940,B175,'Адресная программа'!$G$20:$G$4940,"Бизнес центр")&gt;(SUMIFS('Адресная программа'!$K$20:$K$4940,'Адресная программа'!$L$20:$L$4940,1,'Адресная программа'!$C$20:$C$4940,B175,'Адресная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программа'!$C$20:$C$4940,B175,'Адресная программа'!$G$20:$G$4940,"Бизнес центр")&gt;(SUMIFS('Адресная программа'!$K$20:$K$4940,'Адресная программа'!$L$20:$L$4940,1,'Адресная программа'!$C$20:$C$4940,B175,'Адресная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программа'!$C$20:$C$4940,B175,'Адресная программа'!$G$20:$G$4940,"Бизнес центр")&gt;(SUMIFS('Адресная программа'!$K$20:$K$4940,'Адресная программа'!$L$20:$L$4940,1,'Адресная программа'!$C$20:$C$4940,B175,'Адресная программа'!$G$20:$G$4940,"Бизнес центр")*'Цены|Скидки'!$B$55-1),'Цены|Скидки'!$C$55,0%))))</f>
        <v/>
      </c>
      <c r="H175" s="156">
        <f>D$12</f>
        <v/>
      </c>
      <c r="I175" s="190">
        <f>IF(D175=0,0,1-J175/F175)</f>
        <v/>
      </c>
      <c r="J175" s="934">
        <f>F175*(1-G175)*(1-H175)*(1-IF($AC$2="РА",$AD$2,0))*(1-IF(OR($AC$3="Доп скидка",$AC$3="Сезонная скидка",$AC$3="Welcome скидка")=TRUE,$AD$3,0))</f>
        <v/>
      </c>
      <c r="K175" s="934">
        <f>ROUND(J175+L175,2)</f>
        <v/>
      </c>
      <c r="L175" s="934">
        <f>J175*БЦ!$AD$4</f>
        <v/>
      </c>
      <c r="M175" s="159">
        <f>(SUMIFS('Адресная программа'!$H$20:$H$4288,'Адресная программа'!$I$20:$I$4288,БЦ_ALL!C175,'Адресная программа'!$C$20:$C$4288,БЦ_ALL!B175,'Адресная программа'!$N$20:$N$4288,1)*$K$7)</f>
        <v/>
      </c>
      <c r="N175" s="935">
        <f>IF(M175=0,0,J175/M175*1000)</f>
        <v/>
      </c>
    </row>
    <row r="176" ht="13.8" customHeight="1">
      <c r="B176" s="253" t="inlineStr">
        <is>
          <t>Москва</t>
        </is>
      </c>
      <c r="C176" s="264" t="inlineStr">
        <is>
          <t>Z plaza</t>
        </is>
      </c>
      <c r="D176" s="303">
        <f>SUMIFS('Адресная программа'!$K$2975:$K$4468,'Адресная программа'!$I$2975:$I$4468,БЦ_ALL!C176,'Адресная программа'!$C$2975:$C$4468,БЦ_ALL!B176,'Адресная программа'!$N$2975:$N$4468,1)</f>
        <v/>
      </c>
      <c r="E176" s="994">
        <f>'Цены|Скидки'!$D$25</f>
        <v/>
      </c>
      <c r="F176" s="942">
        <f>SUM(E176*D176*$K$7/15*$K$9)</f>
        <v/>
      </c>
      <c r="G176" s="156">
        <f>IF(SUMIFS('Адресная программа'!$O$20:$O$4940,'Адресная программа'!$N$20:$N$4940,1,'Адресная программа'!$C$20:$C$4940,B176,'Адресная программа'!$G$20:$G$4940,"Бизнес центр")=SUMIFS('Адресная программа'!$K$20:$K$4940,'Адресная программа'!$L$20:$L$4940,1,'Адресная программа'!$C$20:$C$4940,B176,'Адресная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программа'!$C$20:$C$4940,B176,'Адресная программа'!$G$20:$G$4940,"Бизнес центр")&gt;(SUMIFS('Адресная программа'!$K$20:$K$4940,'Адресная программа'!$L$20:$L$4940,1,'Адресная программа'!$C$20:$C$4940,B176,'Адресная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программа'!$C$20:$C$4940,B176,'Адресная программа'!$G$20:$G$4940,"Бизнес центр")&gt;(SUMIFS('Адресная программа'!$K$20:$K$4940,'Адресная программа'!$L$20:$L$4940,1,'Адресная программа'!$C$20:$C$4940,B176,'Адресная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программа'!$C$20:$C$4940,B176,'Адресная программа'!$G$20:$G$4940,"Бизнес центр")&gt;(SUMIFS('Адресная программа'!$K$20:$K$4940,'Адресная программа'!$L$20:$L$4940,1,'Адресная программа'!$C$20:$C$4940,B176,'Адресная программа'!$G$20:$G$4940,"Бизнес центр")*'Цены|Скидки'!$B$55-1),'Цены|Скидки'!$C$55,0%))))</f>
        <v/>
      </c>
      <c r="H176" s="156">
        <f>D$12</f>
        <v/>
      </c>
      <c r="I176" s="190">
        <f>IF(D176=0,0,1-J176/F176)</f>
        <v/>
      </c>
      <c r="J176" s="934">
        <f>F176*(1-G176)*(1-H176)*(1-IF($AC$2="РА",$AD$2,0))*(1-IF(OR($AC$3="Доп скидка",$AC$3="Сезонная скидка",$AC$3="Welcome скидка")=TRUE,$AD$3,0))</f>
        <v/>
      </c>
      <c r="K176" s="934">
        <f>ROUND(J176+L176,2)</f>
        <v/>
      </c>
      <c r="L176" s="934">
        <f>J176*БЦ!$AD$4</f>
        <v/>
      </c>
      <c r="M176" s="159">
        <f>(SUMIFS('Адресная программа'!$H$20:$H$4288,'Адресная программа'!$I$20:$I$4288,БЦ_ALL!C176,'Адресная программа'!$C$20:$C$4288,БЦ_ALL!B176,'Адресная программа'!$N$20:$N$4288,1)*$K$7)</f>
        <v/>
      </c>
      <c r="N176" s="935">
        <f>IF(M176=0,0,J176/M176*1000)</f>
        <v/>
      </c>
    </row>
    <row r="177" ht="13.8" customHeight="1">
      <c r="B177" s="253" t="inlineStr">
        <is>
          <t>Москва</t>
        </is>
      </c>
      <c r="C177" s="264" t="inlineStr">
        <is>
          <t>РТС Алтуфьевский</t>
        </is>
      </c>
      <c r="D177" s="303">
        <f>SUMIFS('Адресная программа'!$K$2975:$K$4468,'Адресная программа'!$I$2975:$I$4468,БЦ_ALL!C177,'Адресная программа'!$C$2975:$C$4468,БЦ_ALL!B177,'Адресная программа'!$N$2975:$N$4468,1)</f>
        <v/>
      </c>
      <c r="E177" s="994">
        <f>'Цены|Скидки'!$D$25</f>
        <v/>
      </c>
      <c r="F177" s="942">
        <f>SUM(E177*D177*$K$7/15*$K$9)</f>
        <v/>
      </c>
      <c r="G177" s="156">
        <f>IF(SUMIFS('Адресная программа'!$O$20:$O$4940,'Адресная программа'!$N$20:$N$4940,1,'Адресная программа'!$C$20:$C$4940,B177,'Адресная программа'!$G$20:$G$4940,"Бизнес центр")=SUMIFS('Адресная программа'!$K$20:$K$4940,'Адресная программа'!$L$20:$L$4940,1,'Адресная программа'!$C$20:$C$4940,B177,'Адресная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программа'!$C$20:$C$4940,B177,'Адресная программа'!$G$20:$G$4940,"Бизнес центр")&gt;(SUMIFS('Адресная программа'!$K$20:$K$4940,'Адресная программа'!$L$20:$L$4940,1,'Адресная программа'!$C$20:$C$4940,B177,'Адресная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программа'!$C$20:$C$4940,B177,'Адресная программа'!$G$20:$G$4940,"Бизнес центр")&gt;(SUMIFS('Адресная программа'!$K$20:$K$4940,'Адресная программа'!$L$20:$L$4940,1,'Адресная программа'!$C$20:$C$4940,B177,'Адресная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программа'!$C$20:$C$4940,B177,'Адресная программа'!$G$20:$G$4940,"Бизнес центр")&gt;(SUMIFS('Адресная программа'!$K$20:$K$4940,'Адресная программа'!$L$20:$L$4940,1,'Адресная программа'!$C$20:$C$4940,B177,'Адресная программа'!$G$20:$G$4940,"Бизнес центр")*'Цены|Скидки'!$B$55-1),'Цены|Скидки'!$C$55,0%))))</f>
        <v/>
      </c>
      <c r="H177" s="156">
        <f>D$12</f>
        <v/>
      </c>
      <c r="I177" s="190">
        <f>IF(D177=0,0,1-J177/F177)</f>
        <v/>
      </c>
      <c r="J177" s="934">
        <f>F177*(1-G177)*(1-H177)*(1-IF($AC$2="РА",$AD$2,0))*(1-IF(OR($AC$3="Доп скидка",$AC$3="Сезонная скидка",$AC$3="Welcome скидка")=TRUE,$AD$3,0))</f>
        <v/>
      </c>
      <c r="K177" s="934">
        <f>ROUND(J177+L177,2)</f>
        <v/>
      </c>
      <c r="L177" s="934">
        <f>J177*БЦ!$AD$4</f>
        <v/>
      </c>
      <c r="M177" s="159">
        <f>(SUMIFS('Адресная программа'!$H$20:$H$4288,'Адресная программа'!$I$20:$I$4288,БЦ_ALL!C177,'Адресная программа'!$C$20:$C$4288,БЦ_ALL!B177,'Адресная программа'!$N$20:$N$4288,1)*$K$7)</f>
        <v/>
      </c>
      <c r="N177" s="935">
        <f>IF(M177=0,0,J177/M177*1000)</f>
        <v/>
      </c>
    </row>
    <row r="178" ht="13.8" customHeight="1">
      <c r="B178" s="253" t="inlineStr">
        <is>
          <t>Москва</t>
        </is>
      </c>
      <c r="C178" s="264" t="inlineStr">
        <is>
          <t xml:space="preserve">Line Park </t>
        </is>
      </c>
      <c r="D178" s="303">
        <f>SUMIFS('Адресная программа'!$K$2975:$K$4468,'Адресная программа'!$I$2975:$I$4468,БЦ_ALL!C178,'Адресная программа'!$C$2975:$C$4468,БЦ_ALL!B178,'Адресная программа'!$N$2975:$N$4468,1)</f>
        <v/>
      </c>
      <c r="E178" s="994">
        <f>'Цены|Скидки'!$D$25</f>
        <v/>
      </c>
      <c r="F178" s="942">
        <f>SUM(E178*D178*$K$7/15*$K$9)</f>
        <v/>
      </c>
      <c r="G178" s="156">
        <f>IF(SUMIFS('Адресная программа'!$O$20:$O$4940,'Адресная программа'!$N$20:$N$4940,1,'Адресная программа'!$C$20:$C$4940,B178,'Адресная программа'!$G$20:$G$4940,"Бизнес центр")=SUMIFS('Адресная программа'!$K$20:$K$4940,'Адресная программа'!$L$20:$L$4940,1,'Адресная программа'!$C$20:$C$4940,B178,'Адресная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программа'!$C$20:$C$4940,B178,'Адресная программа'!$G$20:$G$4940,"Бизнес центр")&gt;(SUMIFS('Адресная программа'!$K$20:$K$4940,'Адресная программа'!$L$20:$L$4940,1,'Адресная программа'!$C$20:$C$4940,B178,'Адресная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программа'!$C$20:$C$4940,B178,'Адресная программа'!$G$20:$G$4940,"Бизнес центр")&gt;(SUMIFS('Адресная программа'!$K$20:$K$4940,'Адресная программа'!$L$20:$L$4940,1,'Адресная программа'!$C$20:$C$4940,B178,'Адресная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программа'!$C$20:$C$4940,B178,'Адресная программа'!$G$20:$G$4940,"Бизнес центр")&gt;(SUMIFS('Адресная программа'!$K$20:$K$4940,'Адресная программа'!$L$20:$L$4940,1,'Адресная программа'!$C$20:$C$4940,B178,'Адресная программа'!$G$20:$G$4940,"Бизнес центр")*'Цены|Скидки'!$B$55-1),'Цены|Скидки'!$C$55,0%))))</f>
        <v/>
      </c>
      <c r="H178" s="156">
        <f>D$12</f>
        <v/>
      </c>
      <c r="I178" s="190">
        <f>IF(D178=0,0,1-J178/F178)</f>
        <v/>
      </c>
      <c r="J178" s="934">
        <f>F178*(1-G178)*(1-H178)*(1-IF($AC$2="РА",$AD$2,0))*(1-IF(OR($AC$3="Доп скидка",$AC$3="Сезонная скидка",$AC$3="Welcome скидка")=TRUE,$AD$3,0))</f>
        <v/>
      </c>
      <c r="K178" s="934">
        <f>ROUND(J178+L178,2)</f>
        <v/>
      </c>
      <c r="L178" s="934">
        <f>J178*БЦ!$AD$4</f>
        <v/>
      </c>
      <c r="M178" s="159">
        <f>(SUMIFS('Адресная программа'!$H$20:$H$4288,'Адресная программа'!$I$20:$I$4288,БЦ_ALL!C178,'Адресная программа'!$C$20:$C$4288,БЦ_ALL!B178,'Адресная программа'!$N$20:$N$4288,1)*$K$7)</f>
        <v/>
      </c>
      <c r="N178" s="935">
        <f>IF(M178=0,0,J178/M178*1000)</f>
        <v/>
      </c>
    </row>
    <row r="179" ht="13.8" customHeight="1">
      <c r="B179" s="253" t="inlineStr">
        <is>
          <t>Москва</t>
        </is>
      </c>
      <c r="C179" s="264" t="inlineStr">
        <is>
          <t>West East Б</t>
        </is>
      </c>
      <c r="D179" s="303">
        <f>SUMIFS('Адресная программа'!$K$2975:$K$4468,'Адресная программа'!$I$2975:$I$4468,БЦ_ALL!C179,'Адресная программа'!$C$2975:$C$4468,БЦ_ALL!B179,'Адресная программа'!$N$2975:$N$4468,1)</f>
        <v/>
      </c>
      <c r="E179" s="994">
        <f>'Цены|Скидки'!$D$25</f>
        <v/>
      </c>
      <c r="F179" s="942">
        <f>SUM(E179*D179*$K$7/15*$K$9)</f>
        <v/>
      </c>
      <c r="G179" s="156">
        <f>IF(SUMIFS('Адресная программа'!$O$20:$O$4940,'Адресная программа'!$N$20:$N$4940,1,'Адресная программа'!$C$20:$C$4940,B179,'Адресная программа'!$G$20:$G$4940,"Бизнес центр")=SUMIFS('Адресная программа'!$K$20:$K$4940,'Адресная программа'!$L$20:$L$4940,1,'Адресная программа'!$C$20:$C$4940,B179,'Адресная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программа'!$C$20:$C$4940,B179,'Адресная программа'!$G$20:$G$4940,"Бизнес центр")&gt;(SUMIFS('Адресная программа'!$K$20:$K$4940,'Адресная программа'!$L$20:$L$4940,1,'Адресная программа'!$C$20:$C$4940,B179,'Адресная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программа'!$C$20:$C$4940,B179,'Адресная программа'!$G$20:$G$4940,"Бизнес центр")&gt;(SUMIFS('Адресная программа'!$K$20:$K$4940,'Адресная программа'!$L$20:$L$4940,1,'Адресная программа'!$C$20:$C$4940,B179,'Адресная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программа'!$C$20:$C$4940,B179,'Адресная программа'!$G$20:$G$4940,"Бизнес центр")&gt;(SUMIFS('Адресная программа'!$K$20:$K$4940,'Адресная программа'!$L$20:$L$4940,1,'Адресная программа'!$C$20:$C$4940,B179,'Адресная программа'!$G$20:$G$4940,"Бизнес центр")*'Цены|Скидки'!$B$55-1),'Цены|Скидки'!$C$55,0%))))</f>
        <v/>
      </c>
      <c r="H179" s="156">
        <f>D$12</f>
        <v/>
      </c>
      <c r="I179" s="190">
        <f>IF(D179=0,0,1-J179/F179)</f>
        <v/>
      </c>
      <c r="J179" s="934">
        <f>F179*(1-G179)*(1-H179)*(1-IF($AC$2="РА",$AD$2,0))*(1-IF(OR($AC$3="Доп скидка",$AC$3="Сезонная скидка",$AC$3="Welcome скидка")=TRUE,$AD$3,0))</f>
        <v/>
      </c>
      <c r="K179" s="934">
        <f>ROUND(J179+L179,2)</f>
        <v/>
      </c>
      <c r="L179" s="934">
        <f>J179*БЦ!$AD$4</f>
        <v/>
      </c>
      <c r="M179" s="159">
        <f>(SUMIFS('Адресная программа'!$H$20:$H$4288,'Адресная программа'!$I$20:$I$4288,БЦ_ALL!C179,'Адресная программа'!$C$20:$C$4288,БЦ_ALL!B179,'Адресная программа'!$N$20:$N$4288,1)*$K$7)</f>
        <v/>
      </c>
      <c r="N179" s="935">
        <f>IF(M179=0,0,J179/M179*1000)</f>
        <v/>
      </c>
    </row>
    <row r="180" ht="13.8" customHeight="1">
      <c r="B180" s="253" t="inlineStr">
        <is>
          <t>Москва</t>
        </is>
      </c>
      <c r="C180" s="264" t="inlineStr">
        <is>
          <t>Пальмира</t>
        </is>
      </c>
      <c r="D180" s="303">
        <f>SUMIFS('Адресная программа'!$K$2975:$K$4468,'Адресная программа'!$I$2975:$I$4468,БЦ_ALL!C180,'Адресная программа'!$C$2975:$C$4468,БЦ_ALL!B180,'Адресная программа'!$N$2975:$N$4468,1)</f>
        <v/>
      </c>
      <c r="E180" s="994">
        <f>'Цены|Скидки'!$D$25</f>
        <v/>
      </c>
      <c r="F180" s="942">
        <f>SUM(E180*D180*$K$7/15*$K$9)</f>
        <v/>
      </c>
      <c r="G180" s="156">
        <f>IF(SUMIFS('Адресная программа'!$O$20:$O$4940,'Адресная программа'!$N$20:$N$4940,1,'Адресная программа'!$C$20:$C$4940,B180,'Адресная программа'!$G$20:$G$4940,"Бизнес центр")=SUMIFS('Адресная программа'!$K$20:$K$4940,'Адресная программа'!$L$20:$L$4940,1,'Адресная программа'!$C$20:$C$4940,B180,'Адресная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программа'!$C$20:$C$4940,B180,'Адресная программа'!$G$20:$G$4940,"Бизнес центр")&gt;(SUMIFS('Адресная программа'!$K$20:$K$4940,'Адресная программа'!$L$20:$L$4940,1,'Адресная программа'!$C$20:$C$4940,B180,'Адресная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программа'!$C$20:$C$4940,B180,'Адресная программа'!$G$20:$G$4940,"Бизнес центр")&gt;(SUMIFS('Адресная программа'!$K$20:$K$4940,'Адресная программа'!$L$20:$L$4940,1,'Адресная программа'!$C$20:$C$4940,B180,'Адресная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программа'!$C$20:$C$4940,B180,'Адресная программа'!$G$20:$G$4940,"Бизнес центр")&gt;(SUMIFS('Адресная программа'!$K$20:$K$4940,'Адресная программа'!$L$20:$L$4940,1,'Адресная программа'!$C$20:$C$4940,B180,'Адресная программа'!$G$20:$G$4940,"Бизнес центр")*'Цены|Скидки'!$B$55-1),'Цены|Скидки'!$C$55,0%))))</f>
        <v/>
      </c>
      <c r="H180" s="156">
        <f>D$12</f>
        <v/>
      </c>
      <c r="I180" s="190">
        <f>IF(D180=0,0,1-J180/F180)</f>
        <v/>
      </c>
      <c r="J180" s="934">
        <f>F180*(1-G180)*(1-H180)*(1-IF($AC$2="РА",$AD$2,0))*(1-IF(OR($AC$3="Доп скидка",$AC$3="Сезонная скидка",$AC$3="Welcome скидка")=TRUE,$AD$3,0))</f>
        <v/>
      </c>
      <c r="K180" s="934">
        <f>ROUND(J180+L180,2)</f>
        <v/>
      </c>
      <c r="L180" s="934">
        <f>J180*БЦ!$AD$4</f>
        <v/>
      </c>
      <c r="M180" s="159">
        <f>(SUMIFS('Адресная программа'!$H$20:$H$4288,'Адресная программа'!$I$20:$I$4288,БЦ_ALL!C180,'Адресная программа'!$C$20:$C$4288,БЦ_ALL!B180,'Адресная программа'!$N$20:$N$4288,1)*$K$7)</f>
        <v/>
      </c>
      <c r="N180" s="935">
        <f>IF(M180=0,0,J180/M180*1000)</f>
        <v/>
      </c>
    </row>
    <row r="181" ht="13.8" customHeight="1">
      <c r="B181" s="253" t="inlineStr">
        <is>
          <t>Москва</t>
        </is>
      </c>
      <c r="C181" s="264" t="inlineStr">
        <is>
          <t>Парк Мира</t>
        </is>
      </c>
      <c r="D181" s="303">
        <f>SUMIFS('Адресная программа'!$K$2975:$K$4468,'Адресная программа'!$I$2975:$I$4468,БЦ_ALL!C181,'Адресная программа'!$C$2975:$C$4468,БЦ_ALL!B181,'Адресная программа'!$N$2975:$N$4468,1)</f>
        <v/>
      </c>
      <c r="E181" s="994">
        <f>'Цены|Скидки'!$D$25</f>
        <v/>
      </c>
      <c r="F181" s="942">
        <f>SUM(E181*D181*$K$7/15*$K$9)</f>
        <v/>
      </c>
      <c r="G181" s="156">
        <f>IF(SUMIFS('Адресная программа'!$O$20:$O$4940,'Адресная программа'!$N$20:$N$4940,1,'Адресная программа'!$C$20:$C$4940,B181,'Адресная программа'!$G$20:$G$4940,"Бизнес центр")=SUMIFS('Адресная программа'!$K$20:$K$4940,'Адресная программа'!$L$20:$L$4940,1,'Адресная программа'!$C$20:$C$4940,B181,'Адресная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программа'!$C$20:$C$4940,B181,'Адресная программа'!$G$20:$G$4940,"Бизнес центр")&gt;(SUMIFS('Адресная программа'!$K$20:$K$4940,'Адресная программа'!$L$20:$L$4940,1,'Адресная программа'!$C$20:$C$4940,B181,'Адресная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программа'!$C$20:$C$4940,B181,'Адресная программа'!$G$20:$G$4940,"Бизнес центр")&gt;(SUMIFS('Адресная программа'!$K$20:$K$4940,'Адресная программа'!$L$20:$L$4940,1,'Адресная программа'!$C$20:$C$4940,B181,'Адресная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программа'!$C$20:$C$4940,B181,'Адресная программа'!$G$20:$G$4940,"Бизнес центр")&gt;(SUMIFS('Адресная программа'!$K$20:$K$4940,'Адресная программа'!$L$20:$L$4940,1,'Адресная программа'!$C$20:$C$4940,B181,'Адресная программа'!$G$20:$G$4940,"Бизнес центр")*'Цены|Скидки'!$B$55-1),'Цены|Скидки'!$C$55,0%))))</f>
        <v/>
      </c>
      <c r="H181" s="156">
        <f>D$12</f>
        <v/>
      </c>
      <c r="I181" s="190">
        <f>IF(D181=0,0,1-J181/F181)</f>
        <v/>
      </c>
      <c r="J181" s="934">
        <f>F181*(1-G181)*(1-H181)*(1-IF($AC$2="РА",$AD$2,0))*(1-IF(OR($AC$3="Доп скидка",$AC$3="Сезонная скидка",$AC$3="Welcome скидка")=TRUE,$AD$3,0))</f>
        <v/>
      </c>
      <c r="K181" s="934">
        <f>ROUND(J181+L181,2)</f>
        <v/>
      </c>
      <c r="L181" s="934">
        <f>J181*БЦ!$AD$4</f>
        <v/>
      </c>
      <c r="M181" s="159">
        <f>(SUMIFS('Адресная программа'!$H$20:$H$4288,'Адресная программа'!$I$20:$I$4288,БЦ_ALL!C181,'Адресная программа'!$C$20:$C$4288,БЦ_ALL!B181,'Адресная программа'!$N$20:$N$4288,1)*$K$7)</f>
        <v/>
      </c>
      <c r="N181" s="935">
        <f>IF(M181=0,0,J181/M181*1000)</f>
        <v/>
      </c>
    </row>
    <row r="182" ht="13.8" customHeight="1">
      <c r="B182" s="253" t="inlineStr">
        <is>
          <t>Москва</t>
        </is>
      </c>
      <c r="C182" s="264" t="inlineStr">
        <is>
          <t>Верхняя Красносельская</t>
        </is>
      </c>
      <c r="D182" s="303">
        <f>SUMIFS('Адресная программа'!$K$2975:$K$4468,'Адресная программа'!$I$2975:$I$4468,БЦ_ALL!C182,'Адресная программа'!$C$2975:$C$4468,БЦ_ALL!B182,'Адресная программа'!$N$2975:$N$4468,1)</f>
        <v/>
      </c>
      <c r="E182" s="994">
        <f>'Цены|Скидки'!$D$25</f>
        <v/>
      </c>
      <c r="F182" s="942">
        <f>SUM(E182*D182*$K$7/15*$K$9)</f>
        <v/>
      </c>
      <c r="G182" s="156">
        <f>IF(SUMIFS('Адресная программа'!$O$20:$O$4940,'Адресная программа'!$N$20:$N$4940,1,'Адресная программа'!$C$20:$C$4940,B182,'Адресная программа'!$G$20:$G$4940,"Бизнес центр")=SUMIFS('Адресная программа'!$K$20:$K$4940,'Адресная программа'!$L$20:$L$4940,1,'Адресная программа'!$C$20:$C$4940,B182,'Адресная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программа'!$C$20:$C$4940,B182,'Адресная программа'!$G$20:$G$4940,"Бизнес центр")&gt;(SUMIFS('Адресная программа'!$K$20:$K$4940,'Адресная программа'!$L$20:$L$4940,1,'Адресная программа'!$C$20:$C$4940,B182,'Адресная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программа'!$C$20:$C$4940,B182,'Адресная программа'!$G$20:$G$4940,"Бизнес центр")&gt;(SUMIFS('Адресная программа'!$K$20:$K$4940,'Адресная программа'!$L$20:$L$4940,1,'Адресная программа'!$C$20:$C$4940,B182,'Адресная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программа'!$C$20:$C$4940,B182,'Адресная программа'!$G$20:$G$4940,"Бизнес центр")&gt;(SUMIFS('Адресная программа'!$K$20:$K$4940,'Адресная программа'!$L$20:$L$4940,1,'Адресная программа'!$C$20:$C$4940,B182,'Адресная программа'!$G$20:$G$4940,"Бизнес центр")*'Цены|Скидки'!$B$55-1),'Цены|Скидки'!$C$55,0%))))</f>
        <v/>
      </c>
      <c r="H182" s="156">
        <f>D$12</f>
        <v/>
      </c>
      <c r="I182" s="190">
        <f>IF(D182=0,0,1-J182/F182)</f>
        <v/>
      </c>
      <c r="J182" s="934">
        <f>F182*(1-G182)*(1-H182)*(1-IF($AC$2="РА",$AD$2,0))*(1-IF(OR($AC$3="Доп скидка",$AC$3="Сезонная скидка",$AC$3="Welcome скидка")=TRUE,$AD$3,0))</f>
        <v/>
      </c>
      <c r="K182" s="934">
        <f>ROUND(J182+L182,2)</f>
        <v/>
      </c>
      <c r="L182" s="934">
        <f>J182*БЦ!$AD$4</f>
        <v/>
      </c>
      <c r="M182" s="159">
        <f>(SUMIFS('Адресная программа'!$H$20:$H$4288,'Адресная программа'!$I$20:$I$4288,БЦ_ALL!C182,'Адресная программа'!$C$20:$C$4288,БЦ_ALL!B182,'Адресная программа'!$N$20:$N$4288,1)*$K$7)</f>
        <v/>
      </c>
      <c r="N182" s="935">
        <f>IF(M182=0,0,J182/M182*1000)</f>
        <v/>
      </c>
    </row>
    <row r="183" ht="13.8" customHeight="1">
      <c r="B183" s="253" t="inlineStr">
        <is>
          <t>Москва</t>
        </is>
      </c>
      <c r="C183" s="637" t="inlineStr">
        <is>
          <t>Верейская Плаза 3</t>
        </is>
      </c>
      <c r="D183" s="303">
        <f>SUMIFS('Адресная программа'!$K$2975:$K$4468,'Адресная программа'!$I$2975:$I$4468,БЦ_ALL!C183,'Адресная программа'!$C$2975:$C$4468,БЦ_ALL!B183,'Адресная программа'!$N$2975:$N$4468,1)</f>
        <v/>
      </c>
      <c r="E183" s="994">
        <f>'Цены|Скидки'!$D$25</f>
        <v/>
      </c>
      <c r="F183" s="942">
        <f>SUM(E183*D183*$K$7/15*$K$9)</f>
        <v/>
      </c>
      <c r="G183" s="156">
        <f>IF(SUMIFS('Адресная программа'!$O$20:$O$4940,'Адресная программа'!$N$20:$N$4940,1,'Адресная программа'!$C$20:$C$4940,B183,'Адресная программа'!$G$20:$G$4940,"Бизнес центр")=SUMIFS('Адресная программа'!$K$20:$K$4940,'Адресная программа'!$L$20:$L$4940,1,'Адресная программа'!$C$20:$C$4940,B183,'Адресная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программа'!$C$20:$C$4940,B183,'Адресная программа'!$G$20:$G$4940,"Бизнес центр")&gt;(SUMIFS('Адресная программа'!$K$20:$K$4940,'Адресная программа'!$L$20:$L$4940,1,'Адресная программа'!$C$20:$C$4940,B183,'Адресная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программа'!$C$20:$C$4940,B183,'Адресная программа'!$G$20:$G$4940,"Бизнес центр")&gt;(SUMIFS('Адресная программа'!$K$20:$K$4940,'Адресная программа'!$L$20:$L$4940,1,'Адресная программа'!$C$20:$C$4940,B183,'Адресная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программа'!$C$20:$C$4940,B183,'Адресная программа'!$G$20:$G$4940,"Бизнес центр")&gt;(SUMIFS('Адресная программа'!$K$20:$K$4940,'Адресная программа'!$L$20:$L$4940,1,'Адресная программа'!$C$20:$C$4940,B183,'Адресная программа'!$G$20:$G$4940,"Бизнес центр")*'Цены|Скидки'!$B$55-1),'Цены|Скидки'!$C$55,0%))))</f>
        <v/>
      </c>
      <c r="H183" s="156">
        <f>D$12</f>
        <v/>
      </c>
      <c r="I183" s="190">
        <f>IF(D183=0,0,1-J183/F183)</f>
        <v/>
      </c>
      <c r="J183" s="934">
        <f>F183*(1-G183)*(1-H183)*(1-IF($AC$2="РА",$AD$2,0))*(1-IF(OR($AC$3="Доп скидка",$AC$3="Сезонная скидка",$AC$3="Welcome скидка")=TRUE,$AD$3,0))</f>
        <v/>
      </c>
      <c r="K183" s="934">
        <f>ROUND(J183+L183,2)</f>
        <v/>
      </c>
      <c r="L183" s="934">
        <f>J183*БЦ!$AD$4</f>
        <v/>
      </c>
      <c r="M183" s="159">
        <f>(SUMIFS('Адресная программа'!$H$20:$H$4288,'Адресная программа'!$I$20:$I$4288,БЦ_ALL!C183,'Адресная программа'!$C$20:$C$4288,БЦ_ALL!B183,'Адресная программа'!$N$20:$N$4288,1)*$K$7)</f>
        <v/>
      </c>
      <c r="N183" s="935">
        <f>IF(M183=0,0,J183/M183*1000)</f>
        <v/>
      </c>
    </row>
    <row r="184" ht="13.8" customHeight="1">
      <c r="B184" s="253" t="inlineStr">
        <is>
          <t>Москва</t>
        </is>
      </c>
      <c r="C184" s="637" t="inlineStr">
        <is>
          <t>W plaza</t>
        </is>
      </c>
      <c r="D184" s="303">
        <f>SUMIFS('Адресная программа'!$K$2975:$K$4468,'Адресная программа'!$I$2975:$I$4468,БЦ_ALL!C184,'Адресная программа'!$C$2975:$C$4468,БЦ_ALL!B184,'Адресная программа'!$N$2975:$N$4468,1)</f>
        <v/>
      </c>
      <c r="E184" s="994">
        <f>'Цены|Скидки'!$D$25</f>
        <v/>
      </c>
      <c r="F184" s="942">
        <f>SUM(E184*D184*$K$7/15*$K$9)</f>
        <v/>
      </c>
      <c r="G184" s="156">
        <f>IF(SUMIFS('Адресная программа'!$O$20:$O$4940,'Адресная программа'!$N$20:$N$4940,1,'Адресная программа'!$C$20:$C$4940,B184,'Адресная программа'!$G$20:$G$4940,"Бизнес центр")=SUMIFS('Адресная программа'!$K$20:$K$4940,'Адресная программа'!$L$20:$L$4940,1,'Адресная программа'!$C$20:$C$4940,B184,'Адресная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программа'!$C$20:$C$4940,B184,'Адресная программа'!$G$20:$G$4940,"Бизнес центр")&gt;(SUMIFS('Адресная программа'!$K$20:$K$4940,'Адресная программа'!$L$20:$L$4940,1,'Адресная программа'!$C$20:$C$4940,B184,'Адресная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программа'!$C$20:$C$4940,B184,'Адресная программа'!$G$20:$G$4940,"Бизнес центр")&gt;(SUMIFS('Адресная программа'!$K$20:$K$4940,'Адресная программа'!$L$20:$L$4940,1,'Адресная программа'!$C$20:$C$4940,B184,'Адресная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программа'!$C$20:$C$4940,B184,'Адресная программа'!$G$20:$G$4940,"Бизнес центр")&gt;(SUMIFS('Адресная программа'!$K$20:$K$4940,'Адресная программа'!$L$20:$L$4940,1,'Адресная программа'!$C$20:$C$4940,B184,'Адресная программа'!$G$20:$G$4940,"Бизнес центр")*'Цены|Скидки'!$B$55-1),'Цены|Скидки'!$C$55,0%))))</f>
        <v/>
      </c>
      <c r="H184" s="156">
        <f>D$12</f>
        <v/>
      </c>
      <c r="I184" s="190">
        <f>IF(D184=0,0,1-J184/F184)</f>
        <v/>
      </c>
      <c r="J184" s="934">
        <f>F184*(1-G184)*(1-H184)*(1-IF($AC$2="РА",$AD$2,0))*(1-IF(OR($AC$3="Доп скидка",$AC$3="Сезонная скидка",$AC$3="Welcome скидка")=TRUE,$AD$3,0))</f>
        <v/>
      </c>
      <c r="K184" s="934">
        <f>ROUND(J184+L184,2)</f>
        <v/>
      </c>
      <c r="L184" s="934">
        <f>J184*БЦ!$AD$4</f>
        <v/>
      </c>
      <c r="M184" s="159">
        <f>(SUMIFS('Адресная программа'!$H$20:$H$4288,'Адресная программа'!$I$20:$I$4288,БЦ_ALL!C184,'Адресная программа'!$C$20:$C$4288,БЦ_ALL!B184,'Адресная программа'!$N$20:$N$4288,1)*$K$7)</f>
        <v/>
      </c>
      <c r="N184" s="935">
        <f>IF(M184=0,0,J184/M184*1000)</f>
        <v/>
      </c>
    </row>
    <row r="185" ht="13.8" customHeight="1">
      <c r="B185" s="253" t="inlineStr">
        <is>
          <t>Москва</t>
        </is>
      </c>
      <c r="C185" s="637" t="inlineStr">
        <is>
          <t>Карачарово</t>
        </is>
      </c>
      <c r="D185" s="303">
        <f>SUMIFS('Адресная программа'!$K$2975:$K$4468,'Адресная программа'!$I$2975:$I$4468,БЦ_ALL!C185,'Адресная программа'!$C$2975:$C$4468,БЦ_ALL!B185,'Адресная программа'!$N$2975:$N$4468,1)</f>
        <v/>
      </c>
      <c r="E185" s="994">
        <f>'Цены|Скидки'!$D$25</f>
        <v/>
      </c>
      <c r="F185" s="942">
        <f>SUM(E185*D185*$K$7/15*$K$9)</f>
        <v/>
      </c>
      <c r="G185" s="156">
        <f>IF(SUMIFS('Адресная программа'!$O$20:$O$4940,'Адресная программа'!$N$20:$N$4940,1,'Адресная программа'!$C$20:$C$4940,B185,'Адресная программа'!$G$20:$G$4940,"Бизнес центр")=SUMIFS('Адресная программа'!$K$20:$K$4940,'Адресная программа'!$L$20:$L$4940,1,'Адресная программа'!$C$20:$C$4940,B185,'Адресная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программа'!$C$20:$C$4940,B185,'Адресная программа'!$G$20:$G$4940,"Бизнес центр")&gt;(SUMIFS('Адресная программа'!$K$20:$K$4940,'Адресная программа'!$L$20:$L$4940,1,'Адресная программа'!$C$20:$C$4940,B185,'Адресная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программа'!$C$20:$C$4940,B185,'Адресная программа'!$G$20:$G$4940,"Бизнес центр")&gt;(SUMIFS('Адресная программа'!$K$20:$K$4940,'Адресная программа'!$L$20:$L$4940,1,'Адресная программа'!$C$20:$C$4940,B185,'Адресная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программа'!$C$20:$C$4940,B185,'Адресная программа'!$G$20:$G$4940,"Бизнес центр")&gt;(SUMIFS('Адресная программа'!$K$20:$K$4940,'Адресная программа'!$L$20:$L$4940,1,'Адресная программа'!$C$20:$C$4940,B185,'Адресная программа'!$G$20:$G$4940,"Бизнес центр")*'Цены|Скидки'!$B$55-1),'Цены|Скидки'!$C$55,0%))))</f>
        <v/>
      </c>
      <c r="H185" s="156">
        <f>D$12</f>
        <v/>
      </c>
      <c r="I185" s="190">
        <f>IF(D185=0,0,1-J185/F185)</f>
        <v/>
      </c>
      <c r="J185" s="934">
        <f>F185*(1-G185)*(1-H185)*(1-IF($AC$2="РА",$AD$2,0))*(1-IF(OR($AC$3="Доп скидка",$AC$3="Сезонная скидка",$AC$3="Welcome скидка")=TRUE,$AD$3,0))</f>
        <v/>
      </c>
      <c r="K185" s="934">
        <f>ROUND(J185+L185,2)</f>
        <v/>
      </c>
      <c r="L185" s="934">
        <f>J185*БЦ!$AD$4</f>
        <v/>
      </c>
      <c r="M185" s="159">
        <f>(SUMIFS('Адресная программа'!$H$20:$H$4288,'Адресная программа'!$I$20:$I$4288,БЦ_ALL!C185,'Адресная программа'!$C$20:$C$4288,БЦ_ALL!B185,'Адресная программа'!$N$20:$N$4288,1)*$K$7)</f>
        <v/>
      </c>
      <c r="N185" s="935">
        <f>IF(M185=0,0,J185/M185*1000)</f>
        <v/>
      </c>
    </row>
    <row r="186" ht="13.8" customHeight="1">
      <c r="B186" s="253" t="inlineStr">
        <is>
          <t>Москва</t>
        </is>
      </c>
      <c r="C186" s="637" t="inlineStr">
        <is>
          <t>Сытинъ</t>
        </is>
      </c>
      <c r="D186" s="303">
        <f>SUMIFS('Адресная программа'!$K$2975:$K$4468,'Адресная программа'!$I$2975:$I$4468,БЦ_ALL!C186,'Адресная программа'!$C$2975:$C$4468,БЦ_ALL!B186,'Адресная программа'!$N$2975:$N$4468,1)</f>
        <v/>
      </c>
      <c r="E186" s="994">
        <f>'Цены|Скидки'!$D$25</f>
        <v/>
      </c>
      <c r="F186" s="942">
        <f>SUM(E186*D186*$K$7/15*$K$9)</f>
        <v/>
      </c>
      <c r="G186" s="156">
        <f>IF(SUMIFS('Адресная программа'!$O$20:$O$4940,'Адресная программа'!$N$20:$N$4940,1,'Адресная программа'!$C$20:$C$4940,B186,'Адресная программа'!$G$20:$G$4940,"Бизнес центр")=SUMIFS('Адресная программа'!$K$20:$K$4940,'Адресная программа'!$L$20:$L$4940,1,'Адресная программа'!$C$20:$C$4940,B186,'Адресная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программа'!$C$20:$C$4940,B186,'Адресная программа'!$G$20:$G$4940,"Бизнес центр")&gt;(SUMIFS('Адресная программа'!$K$20:$K$4940,'Адресная программа'!$L$20:$L$4940,1,'Адресная программа'!$C$20:$C$4940,B186,'Адресная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программа'!$C$20:$C$4940,B186,'Адресная программа'!$G$20:$G$4940,"Бизнес центр")&gt;(SUMIFS('Адресная программа'!$K$20:$K$4940,'Адресная программа'!$L$20:$L$4940,1,'Адресная программа'!$C$20:$C$4940,B186,'Адресная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программа'!$C$20:$C$4940,B186,'Адресная программа'!$G$20:$G$4940,"Бизнес центр")&gt;(SUMIFS('Адресная программа'!$K$20:$K$4940,'Адресная программа'!$L$20:$L$4940,1,'Адресная программа'!$C$20:$C$4940,B186,'Адресная программа'!$G$20:$G$4940,"Бизнес центр")*'Цены|Скидки'!$B$55-1),'Цены|Скидки'!$C$55,0%))))</f>
        <v/>
      </c>
      <c r="H186" s="156">
        <f>D$12</f>
        <v/>
      </c>
      <c r="I186" s="190">
        <f>IF(D186=0,0,1-J186/F186)</f>
        <v/>
      </c>
      <c r="J186" s="934">
        <f>F186*(1-G186)*(1-H186)*(1-IF($AC$2="РА",$AD$2,0))*(1-IF(OR($AC$3="Доп скидка",$AC$3="Сезонная скидка",$AC$3="Welcome скидка")=TRUE,$AD$3,0))</f>
        <v/>
      </c>
      <c r="K186" s="934">
        <f>ROUND(J186+L186,2)</f>
        <v/>
      </c>
      <c r="L186" s="934">
        <f>J186*БЦ!$AD$4</f>
        <v/>
      </c>
      <c r="M186" s="159">
        <f>(SUMIFS('Адресная программа'!$H$20:$H$4288,'Адресная программа'!$I$20:$I$4288,БЦ_ALL!C186,'Адресная программа'!$C$20:$C$4288,БЦ_ALL!B186,'Адресная программа'!$N$20:$N$4288,1)*$K$7)</f>
        <v/>
      </c>
      <c r="N186" s="935">
        <f>IF(M186=0,0,J186/M186*1000)</f>
        <v/>
      </c>
    </row>
    <row r="187" ht="13.8" customHeight="1">
      <c r="B187" s="253" t="inlineStr">
        <is>
          <t>Москва</t>
        </is>
      </c>
      <c r="C187" s="637" t="inlineStr">
        <is>
          <t>Таганский</t>
        </is>
      </c>
      <c r="D187" s="303">
        <f>SUMIFS('Адресная программа'!$K$2975:$K$4468,'Адресная программа'!$I$2975:$I$4468,БЦ_ALL!C187,'Адресная программа'!$C$2975:$C$4468,БЦ_ALL!B187,'Адресная программа'!$N$2975:$N$4468,1)</f>
        <v/>
      </c>
      <c r="E187" s="994">
        <f>'Цены|Скидки'!$D$25</f>
        <v/>
      </c>
      <c r="F187" s="942">
        <f>SUM(E187*D187*$K$7/15*$K$9)</f>
        <v/>
      </c>
      <c r="G187" s="156">
        <f>IF(SUMIFS('Адресная программа'!$O$20:$O$4940,'Адресная программа'!$N$20:$N$4940,1,'Адресная программа'!$C$20:$C$4940,B187,'Адресная программа'!$G$20:$G$4940,"Бизнес центр")=SUMIFS('Адресная программа'!$K$20:$K$4940,'Адресная программа'!$L$20:$L$4940,1,'Адресная программа'!$C$20:$C$4940,B187,'Адресная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программа'!$C$20:$C$4940,B187,'Адресная программа'!$G$20:$G$4940,"Бизнес центр")&gt;(SUMIFS('Адресная программа'!$K$20:$K$4940,'Адресная программа'!$L$20:$L$4940,1,'Адресная программа'!$C$20:$C$4940,B187,'Адресная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программа'!$C$20:$C$4940,B187,'Адресная программа'!$G$20:$G$4940,"Бизнес центр")&gt;(SUMIFS('Адресная программа'!$K$20:$K$4940,'Адресная программа'!$L$20:$L$4940,1,'Адресная программа'!$C$20:$C$4940,B187,'Адресная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программа'!$C$20:$C$4940,B187,'Адресная программа'!$G$20:$G$4940,"Бизнес центр")&gt;(SUMIFS('Адресная программа'!$K$20:$K$4940,'Адресная программа'!$L$20:$L$4940,1,'Адресная программа'!$C$20:$C$4940,B187,'Адресная программа'!$G$20:$G$4940,"Бизнес центр")*'Цены|Скидки'!$B$55-1),'Цены|Скидки'!$C$55,0%))))</f>
        <v/>
      </c>
      <c r="H187" s="156">
        <f>D$12</f>
        <v/>
      </c>
      <c r="I187" s="190">
        <f>IF(D187=0,0,1-J187/F187)</f>
        <v/>
      </c>
      <c r="J187" s="934">
        <f>F187*(1-G187)*(1-H187)*(1-IF($AC$2="РА",$AD$2,0))*(1-IF(OR($AC$3="Доп скидка",$AC$3="Сезонная скидка",$AC$3="Welcome скидка")=TRUE,$AD$3,0))</f>
        <v/>
      </c>
      <c r="K187" s="934">
        <f>ROUND(J187+L187,2)</f>
        <v/>
      </c>
      <c r="L187" s="934">
        <f>J187*БЦ!$AD$4</f>
        <v/>
      </c>
      <c r="M187" s="159">
        <f>(SUMIFS('Адресная программа'!$H$20:$H$4288,'Адресная программа'!$I$20:$I$4288,БЦ_ALL!C187,'Адресная программа'!$C$20:$C$4288,БЦ_ALL!B187,'Адресная программа'!$N$20:$N$4288,1)*$K$7)</f>
        <v/>
      </c>
      <c r="N187" s="935">
        <f>IF(M187=0,0,J187/M187*1000)</f>
        <v/>
      </c>
    </row>
    <row r="188" ht="13.8" customHeight="1">
      <c r="B188" s="253" t="inlineStr">
        <is>
          <t>Москва</t>
        </is>
      </c>
      <c r="C188" s="637" t="inlineStr">
        <is>
          <t>Сириус парк</t>
        </is>
      </c>
      <c r="D188" s="303">
        <f>SUMIFS('Адресная программа'!$K$2975:$K$4468,'Адресная программа'!$I$2975:$I$4468,БЦ_ALL!C188,'Адресная программа'!$C$2975:$C$4468,БЦ_ALL!B188,'Адресная программа'!$N$2975:$N$4468,1)</f>
        <v/>
      </c>
      <c r="E188" s="994">
        <f>'Цены|Скидки'!$D$25</f>
        <v/>
      </c>
      <c r="F188" s="942">
        <f>SUM(E188*D188*$K$7/15*$K$9)</f>
        <v/>
      </c>
      <c r="G188" s="156">
        <f>IF(SUMIFS('Адресная программа'!$O$20:$O$4940,'Адресная программа'!$N$20:$N$4940,1,'Адресная программа'!$C$20:$C$4940,B188,'Адресная программа'!$G$20:$G$4940,"Бизнес центр")=SUMIFS('Адресная программа'!$K$20:$K$4940,'Адресная программа'!$L$20:$L$4940,1,'Адресная программа'!$C$20:$C$4940,B188,'Адресная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программа'!$C$20:$C$4940,B188,'Адресная программа'!$G$20:$G$4940,"Бизнес центр")&gt;(SUMIFS('Адресная программа'!$K$20:$K$4940,'Адресная программа'!$L$20:$L$4940,1,'Адресная программа'!$C$20:$C$4940,B188,'Адресная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программа'!$C$20:$C$4940,B188,'Адресная программа'!$G$20:$G$4940,"Бизнес центр")&gt;(SUMIFS('Адресная программа'!$K$20:$K$4940,'Адресная программа'!$L$20:$L$4940,1,'Адресная программа'!$C$20:$C$4940,B188,'Адресная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программа'!$C$20:$C$4940,B188,'Адресная программа'!$G$20:$G$4940,"Бизнес центр")&gt;(SUMIFS('Адресная программа'!$K$20:$K$4940,'Адресная программа'!$L$20:$L$4940,1,'Адресная программа'!$C$20:$C$4940,B188,'Адресная программа'!$G$20:$G$4940,"Бизнес центр")*'Цены|Скидки'!$B$55-1),'Цены|Скидки'!$C$55,0%))))</f>
        <v/>
      </c>
      <c r="H188" s="156">
        <f>D$12</f>
        <v/>
      </c>
      <c r="I188" s="190">
        <f>IF(D188=0,0,1-J188/F188)</f>
        <v/>
      </c>
      <c r="J188" s="934">
        <f>F188*(1-G188)*(1-H188)*(1-IF($AC$2="РА",$AD$2,0))*(1-IF(OR($AC$3="Доп скидка",$AC$3="Сезонная скидка",$AC$3="Welcome скидка")=TRUE,$AD$3,0))</f>
        <v/>
      </c>
      <c r="K188" s="934">
        <f>ROUND(J188+L188,2)</f>
        <v/>
      </c>
      <c r="L188" s="934">
        <f>J188*БЦ!$AD$4</f>
        <v/>
      </c>
      <c r="M188" s="159">
        <f>(SUMIFS('Адресная программа'!$H$20:$H$4288,'Адресная программа'!$I$20:$I$4288,БЦ_ALL!C188,'Адресная программа'!$C$20:$C$4288,БЦ_ALL!B188,'Адресная программа'!$N$20:$N$4288,1)*$K$7)</f>
        <v/>
      </c>
      <c r="N188" s="935">
        <f>IF(M188=0,0,J188/M188*1000)</f>
        <v/>
      </c>
    </row>
    <row r="189" ht="13.8" customHeight="1">
      <c r="B189" s="253" t="inlineStr">
        <is>
          <t>Москва</t>
        </is>
      </c>
      <c r="C189" s="637" t="inlineStr">
        <is>
          <t>Чайка Плаза 10</t>
        </is>
      </c>
      <c r="D189" s="303">
        <f>SUMIFS('Адресная программа'!$K$2975:$K$4468,'Адресная программа'!$I$2975:$I$4468,БЦ_ALL!C189,'Адресная программа'!$C$2975:$C$4468,БЦ_ALL!B189,'Адресная программа'!$N$2975:$N$4468,1)</f>
        <v/>
      </c>
      <c r="E189" s="994">
        <f>'Цены|Скидки'!$D$25</f>
        <v/>
      </c>
      <c r="F189" s="942">
        <f>SUM(E189*D189*$K$7/15*$K$9)</f>
        <v/>
      </c>
      <c r="G189" s="156">
        <f>IF(SUMIFS('Адресная программа'!$O$20:$O$4940,'Адресная программа'!$N$20:$N$4940,1,'Адресная программа'!$C$20:$C$4940,B189,'Адресная программа'!$G$20:$G$4940,"Бизнес центр")=SUMIFS('Адресная программа'!$K$20:$K$4940,'Адресная программа'!$L$20:$L$4940,1,'Адресная программа'!$C$20:$C$4940,B189,'Адресная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программа'!$C$20:$C$4940,B189,'Адресная программа'!$G$20:$G$4940,"Бизнес центр")&gt;(SUMIFS('Адресная программа'!$K$20:$K$4940,'Адресная программа'!$L$20:$L$4940,1,'Адресная программа'!$C$20:$C$4940,B189,'Адресная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программа'!$C$20:$C$4940,B189,'Адресная программа'!$G$20:$G$4940,"Бизнес центр")&gt;(SUMIFS('Адресная программа'!$K$20:$K$4940,'Адресная программа'!$L$20:$L$4940,1,'Адресная программа'!$C$20:$C$4940,B189,'Адресная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программа'!$C$20:$C$4940,B189,'Адресная программа'!$G$20:$G$4940,"Бизнес центр")&gt;(SUMIFS('Адресная программа'!$K$20:$K$4940,'Адресная программа'!$L$20:$L$4940,1,'Адресная программа'!$C$20:$C$4940,B189,'Адресная программа'!$G$20:$G$4940,"Бизнес центр")*'Цены|Скидки'!$B$55-1),'Цены|Скидки'!$C$55,0%))))</f>
        <v/>
      </c>
      <c r="H189" s="156">
        <f>D$12</f>
        <v/>
      </c>
      <c r="I189" s="190">
        <f>IF(D189=0,0,1-J189/F189)</f>
        <v/>
      </c>
      <c r="J189" s="934">
        <f>F189*(1-G189)*(1-H189)*(1-IF($AC$2="РА",$AD$2,0))*(1-IF(OR($AC$3="Доп скидка",$AC$3="Сезонная скидка",$AC$3="Welcome скидка")=TRUE,$AD$3,0))</f>
        <v/>
      </c>
      <c r="K189" s="934">
        <f>ROUND(J189+L189,2)</f>
        <v/>
      </c>
      <c r="L189" s="934">
        <f>J189*БЦ!$AD$4</f>
        <v/>
      </c>
      <c r="M189" s="159">
        <f>(SUMIFS('Адресная программа'!$H$20:$H$4288,'Адресная программа'!$I$20:$I$4288,БЦ_ALL!C189,'Адресная программа'!$C$20:$C$4288,БЦ_ALL!B189,'Адресная программа'!$N$20:$N$4288,1)*$K$7)</f>
        <v/>
      </c>
      <c r="N189" s="935">
        <f>IF(M189=0,0,J189/M189*1000)</f>
        <v/>
      </c>
    </row>
    <row r="190" ht="13.8" customHeight="1">
      <c r="B190" s="253" t="inlineStr">
        <is>
          <t>Москва</t>
        </is>
      </c>
      <c r="C190" s="637" t="inlineStr">
        <is>
          <t>Даниловская мануфактура</t>
        </is>
      </c>
      <c r="D190" s="303">
        <f>SUMIFS('Адресная программа'!$K$2975:$K$4468,'Адресная программа'!$I$2975:$I$4468,БЦ_ALL!C190,'Адресная программа'!$C$2975:$C$4468,БЦ_ALL!B190,'Адресная программа'!$N$2975:$N$4468,1)</f>
        <v/>
      </c>
      <c r="E190" s="994">
        <f>'Цены|Скидки'!$D$25</f>
        <v/>
      </c>
      <c r="F190" s="942">
        <f>SUM(E190*D190*$K$7/15*$K$9)</f>
        <v/>
      </c>
      <c r="G190" s="156">
        <f>IF(SUMIFS('Адресная программа'!$O$20:$O$4940,'Адресная программа'!$N$20:$N$4940,1,'Адресная программа'!$C$20:$C$4940,B190,'Адресная программа'!$G$20:$G$4940,"Бизнес центр")=SUMIFS('Адресная программа'!$K$20:$K$4940,'Адресная программа'!$L$20:$L$4940,1,'Адресная программа'!$C$20:$C$4940,B190,'Адресная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программа'!$C$20:$C$4940,B190,'Адресная программа'!$G$20:$G$4940,"Бизнес центр")&gt;(SUMIFS('Адресная программа'!$K$20:$K$4940,'Адресная программа'!$L$20:$L$4940,1,'Адресная программа'!$C$20:$C$4940,B190,'Адресная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программа'!$C$20:$C$4940,B190,'Адресная программа'!$G$20:$G$4940,"Бизнес центр")&gt;(SUMIFS('Адресная программа'!$K$20:$K$4940,'Адресная программа'!$L$20:$L$4940,1,'Адресная программа'!$C$20:$C$4940,B190,'Адресная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программа'!$C$20:$C$4940,B190,'Адресная программа'!$G$20:$G$4940,"Бизнес центр")&gt;(SUMIFS('Адресная программа'!$K$20:$K$4940,'Адресная программа'!$L$20:$L$4940,1,'Адресная программа'!$C$20:$C$4940,B190,'Адресная программа'!$G$20:$G$4940,"Бизнес центр")*'Цены|Скидки'!$B$55-1),'Цены|Скидки'!$C$55,0%))))</f>
        <v/>
      </c>
      <c r="H190" s="156">
        <f>D$12</f>
        <v/>
      </c>
      <c r="I190" s="190">
        <f>IF(D190=0,0,1-J190/F190)</f>
        <v/>
      </c>
      <c r="J190" s="934">
        <f>F190*(1-G190)*(1-H190)*(1-IF($AC$2="РА",$AD$2,0))*(1-IF(OR($AC$3="Доп скидка",$AC$3="Сезонная скидка",$AC$3="Welcome скидка")=TRUE,$AD$3,0))</f>
        <v/>
      </c>
      <c r="K190" s="934">
        <f>ROUND(J190+L190,2)</f>
        <v/>
      </c>
      <c r="L190" s="934">
        <f>J190*БЦ!$AD$4</f>
        <v/>
      </c>
      <c r="M190" s="159">
        <f>(SUMIFS('Адресная программа'!$H$20:$H$4288,'Адресная программа'!$I$20:$I$4288,БЦ_ALL!C190,'Адресная программа'!$C$20:$C$4288,БЦ_ALL!B190,'Адресная программа'!$N$20:$N$4288,1)*$K$7)</f>
        <v/>
      </c>
      <c r="N190" s="935">
        <f>IF(M190=0,0,J190/M190*1000)</f>
        <v/>
      </c>
    </row>
    <row r="191" ht="13.8" customHeight="1">
      <c r="B191" s="253" t="inlineStr">
        <is>
          <t>Москва</t>
        </is>
      </c>
      <c r="C191" s="637" t="inlineStr">
        <is>
          <t>The Yard</t>
        </is>
      </c>
      <c r="D191" s="303">
        <f>SUMIFS('Адресная программа'!$K$2975:$K$4468,'Адресная программа'!$I$2975:$I$4468,БЦ_ALL!C191,'Адресная программа'!$C$2975:$C$4468,БЦ_ALL!B191,'Адресная программа'!$N$2975:$N$4468,1)</f>
        <v/>
      </c>
      <c r="E191" s="994">
        <f>'Цены|Скидки'!$D$25</f>
        <v/>
      </c>
      <c r="F191" s="942">
        <f>SUM(E191*D191*$K$7/15*$K$9)</f>
        <v/>
      </c>
      <c r="G191" s="156">
        <f>IF(SUMIFS('Адресная программа'!$O$20:$O$4940,'Адресная программа'!$N$20:$N$4940,1,'Адресная программа'!$C$20:$C$4940,B191,'Адресная программа'!$G$20:$G$4940,"Бизнес центр")=SUMIFS('Адресная программа'!$K$20:$K$4940,'Адресная программа'!$L$20:$L$4940,1,'Адресная программа'!$C$20:$C$4940,B191,'Адресная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программа'!$C$20:$C$4940,B191,'Адресная программа'!$G$20:$G$4940,"Бизнес центр")&gt;(SUMIFS('Адресная программа'!$K$20:$K$4940,'Адресная программа'!$L$20:$L$4940,1,'Адресная программа'!$C$20:$C$4940,B191,'Адресная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программа'!$C$20:$C$4940,B191,'Адресная программа'!$G$20:$G$4940,"Бизнес центр")&gt;(SUMIFS('Адресная программа'!$K$20:$K$4940,'Адресная программа'!$L$20:$L$4940,1,'Адресная программа'!$C$20:$C$4940,B191,'Адресная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программа'!$C$20:$C$4940,B191,'Адресная программа'!$G$20:$G$4940,"Бизнес центр")&gt;(SUMIFS('Адресная программа'!$K$20:$K$4940,'Адресная программа'!$L$20:$L$4940,1,'Адресная программа'!$C$20:$C$4940,B191,'Адресная программа'!$G$20:$G$4940,"Бизнес центр")*'Цены|Скидки'!$B$55-1),'Цены|Скидки'!$C$55,0%))))</f>
        <v/>
      </c>
      <c r="H191" s="156">
        <f>D$12</f>
        <v/>
      </c>
      <c r="I191" s="190">
        <f>IF(D191=0,0,1-J191/F191)</f>
        <v/>
      </c>
      <c r="J191" s="934">
        <f>F191*(1-G191)*(1-H191)*(1-IF($AC$2="РА",$AD$2,0))*(1-IF(OR($AC$3="Доп скидка",$AC$3="Сезонная скидка",$AC$3="Welcome скидка")=TRUE,$AD$3,0))</f>
        <v/>
      </c>
      <c r="K191" s="934">
        <f>ROUND(J191+L191,2)</f>
        <v/>
      </c>
      <c r="L191" s="934">
        <f>J191*БЦ!$AD$4</f>
        <v/>
      </c>
      <c r="M191" s="159">
        <f>(SUMIFS('Адресная программа'!$H$20:$H$4288,'Адресная программа'!$I$20:$I$4288,БЦ_ALL!C191,'Адресная программа'!$C$20:$C$4288,БЦ_ALL!B191,'Адресная программа'!$N$20:$N$4288,1)*$K$7)</f>
        <v/>
      </c>
      <c r="N191" s="935">
        <f>IF(M191=0,0,J191/M191*1000)</f>
        <v/>
      </c>
    </row>
    <row r="192" ht="14.4" customHeight="1">
      <c r="B192" s="253" t="inlineStr">
        <is>
          <t>Санкт-Петербург</t>
        </is>
      </c>
      <c r="C192" s="264" t="inlineStr">
        <is>
          <t>Александро-Невская мануфактура</t>
        </is>
      </c>
      <c r="D192" s="303">
        <f>SUMIFS('Адресная программа'!$K$2975:$K$4468,'Адресная программа'!$I$2975:$I$4468,БЦ_ALL!C192,'Адресная программа'!$C$2975:$C$4468,БЦ_ALL!B192,'Адресная программа'!$N$2975:$N$4468,1)</f>
        <v/>
      </c>
      <c r="E192" s="994">
        <f>'Цены|Скидки'!$E$25</f>
        <v/>
      </c>
      <c r="F192" s="942">
        <f>SUM(E192*D192*$K$7/15*$K$9)</f>
        <v/>
      </c>
      <c r="G192" s="156">
        <f>IF(SUMIFS('Адресная программа'!$O$20:$O$4940,'Адресная программа'!$N$20:$N$4940,1,'Адресная программа'!$C$20:$C$4940,B192,'Адресная программа'!$G$20:$G$4940,"Бизнес центр")=SUMIFS('Адресная программа'!$K$20:$K$4940,'Адресная программа'!$L$20:$L$4940,1,'Адресная программа'!$C$20:$C$4940,B192,'Адресная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программа'!$C$20:$C$4940,B192,'Адресная программа'!$G$20:$G$4940,"Бизнес центр")&gt;(SUMIFS('Адресная программа'!$K$20:$K$4940,'Адресная программа'!$L$20:$L$4940,1,'Адресная программа'!$C$20:$C$4940,B192,'Адресная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программа'!$C$20:$C$4940,B192,'Адресная программа'!$G$20:$G$4940,"Бизнес центр")&gt;(SUMIFS('Адресная программа'!$K$20:$K$4940,'Адресная программа'!$L$20:$L$4940,1,'Адресная программа'!$C$20:$C$4940,B192,'Адресная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программа'!$C$20:$C$4940,B192,'Адресная программа'!$G$20:$G$4940,"Бизнес центр")&gt;(SUMIFS('Адресная программа'!$K$20:$K$4940,'Адресная программа'!$L$20:$L$4940,1,'Адресная программа'!$C$20:$C$4940,B192,'Адресная программа'!$G$20:$G$4940,"Бизнес центр")*'Цены|Скидки'!$B$55-1),'Цены|Скидки'!$C$55,0%))))</f>
        <v/>
      </c>
      <c r="H192" s="156">
        <f>D$12</f>
        <v/>
      </c>
      <c r="I192" s="190">
        <f>IF(D192=0,0,1-J192/F192)</f>
        <v/>
      </c>
      <c r="J192" s="934">
        <f>F192*(1-G192)*(1-H192)*(1-IF($AC$2="РА",$AD$2,0))*(1-IF(OR($AC$3="Доп скидка",$AC$3="Сезонная скидка",$AC$3="Welcome скидка")=TRUE,$AD$3,0))</f>
        <v/>
      </c>
      <c r="K192" s="934">
        <f>ROUND(J192+L192,2)</f>
        <v/>
      </c>
      <c r="L192" s="934">
        <f>J192*БЦ!$AD$4</f>
        <v/>
      </c>
      <c r="M192" s="159">
        <f>(SUMIFS('Адресная программа'!$H$20:$H$4288,'Адресная программа'!$I$20:$I$4288,БЦ_ALL!C192,'Адресная программа'!$C$20:$C$4288,БЦ_ALL!B192,'Адресная программа'!$N$20:$N$4288,1)*$K$7)</f>
        <v/>
      </c>
      <c r="N192" s="938">
        <f>IF(M192=0,0,J192/M192*1000)</f>
        <v/>
      </c>
      <c r="O192" s="389" t="n"/>
    </row>
    <row r="193" ht="14.4" customHeight="1">
      <c r="B193" s="253" t="inlineStr">
        <is>
          <t>Санкт-Петербург</t>
        </is>
      </c>
      <c r="C193" s="264" t="inlineStr">
        <is>
          <t>Акватория</t>
        </is>
      </c>
      <c r="D193" s="303">
        <f>SUMIFS('Адресная программа'!$K$2975:$K$4468,'Адресная программа'!$I$2975:$I$4468,БЦ_ALL!C193,'Адресная программа'!$C$2975:$C$4468,БЦ_ALL!B193,'Адресная программа'!$N$2975:$N$4468,1)</f>
        <v/>
      </c>
      <c r="E193" s="994">
        <f>'Цены|Скидки'!$E$25</f>
        <v/>
      </c>
      <c r="F193" s="942">
        <f>SUM(E193*D193*$K$7/15*$K$9)</f>
        <v/>
      </c>
      <c r="G193" s="156">
        <f>IF(SUMIFS('Адресная программа'!$O$20:$O$4940,'Адресная программа'!$N$20:$N$4940,1,'Адресная программа'!$C$20:$C$4940,B193,'Адресная программа'!$G$20:$G$4940,"Бизнес центр")=SUMIFS('Адресная программа'!$K$20:$K$4940,'Адресная программа'!$L$20:$L$4940,1,'Адресная программа'!$C$20:$C$4940,B193,'Адресная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программа'!$C$20:$C$4940,B193,'Адресная программа'!$G$20:$G$4940,"Бизнес центр")&gt;(SUMIFS('Адресная программа'!$K$20:$K$4940,'Адресная программа'!$L$20:$L$4940,1,'Адресная программа'!$C$20:$C$4940,B193,'Адресная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программа'!$C$20:$C$4940,B193,'Адресная программа'!$G$20:$G$4940,"Бизнес центр")&gt;(SUMIFS('Адресная программа'!$K$20:$K$4940,'Адресная программа'!$L$20:$L$4940,1,'Адресная программа'!$C$20:$C$4940,B193,'Адресная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программа'!$C$20:$C$4940,B193,'Адресная программа'!$G$20:$G$4940,"Бизнес центр")&gt;(SUMIFS('Адресная программа'!$K$20:$K$4940,'Адресная программа'!$L$20:$L$4940,1,'Адресная программа'!$C$20:$C$4940,B193,'Адресная программа'!$G$20:$G$4940,"Бизнес центр")*'Цены|Скидки'!$B$55-1),'Цены|Скидки'!$C$55,0%))))</f>
        <v/>
      </c>
      <c r="H193" s="156">
        <f>D$12</f>
        <v/>
      </c>
      <c r="I193" s="190">
        <f>IF(D193=0,0,1-J193/F193)</f>
        <v/>
      </c>
      <c r="J193" s="934">
        <f>F193*(1-G193)*(1-H193)*(1-IF($AC$2="РА",$AD$2,0))*(1-IF(OR($AC$3="Доп скидка",$AC$3="Сезонная скидка",$AC$3="Welcome скидка")=TRUE,$AD$3,0))</f>
        <v/>
      </c>
      <c r="K193" s="934">
        <f>ROUND(J193+L193,2)</f>
        <v/>
      </c>
      <c r="L193" s="934">
        <f>J193*БЦ!$AD$4</f>
        <v/>
      </c>
      <c r="M193" s="159">
        <f>(SUMIFS('Адресная программа'!$H$20:$H$4288,'Адресная программа'!$I$20:$I$4288,БЦ_ALL!C193,'Адресная программа'!$C$20:$C$4288,БЦ_ALL!B193,'Адресная программа'!$N$20:$N$4288,1)*$K$7)</f>
        <v/>
      </c>
      <c r="N193" s="938">
        <f>IF(M193=0,0,J193/M193*1000)</f>
        <v/>
      </c>
      <c r="O193" s="389" t="n"/>
    </row>
    <row r="194" ht="14.4" customHeight="1">
      <c r="B194" s="253" t="inlineStr">
        <is>
          <t>Санкт-Петербург</t>
        </is>
      </c>
      <c r="C194" s="264" t="inlineStr">
        <is>
          <t>Андрин</t>
        </is>
      </c>
      <c r="D194" s="303">
        <f>SUMIFS('Адресная программа'!$K$2975:$K$4468,'Адресная программа'!$I$2975:$I$4468,БЦ_ALL!C194,'Адресная программа'!$C$2975:$C$4468,БЦ_ALL!B194,'Адресная программа'!$N$2975:$N$4468,1)</f>
        <v/>
      </c>
      <c r="E194" s="994">
        <f>'Цены|Скидки'!$E$25</f>
        <v/>
      </c>
      <c r="F194" s="942">
        <f>SUM(E194*D194*$K$7/15*$K$9)</f>
        <v/>
      </c>
      <c r="G194" s="156">
        <f>IF(SUMIFS('Адресная программа'!$O$20:$O$4940,'Адресная программа'!$N$20:$N$4940,1,'Адресная программа'!$C$20:$C$4940,B194,'Адресная программа'!$G$20:$G$4940,"Бизнес центр")=SUMIFS('Адресная программа'!$K$20:$K$4940,'Адресная программа'!$L$20:$L$4940,1,'Адресная программа'!$C$20:$C$4940,B194,'Адресная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программа'!$C$20:$C$4940,B194,'Адресная программа'!$G$20:$G$4940,"Бизнес центр")&gt;(SUMIFS('Адресная программа'!$K$20:$K$4940,'Адресная программа'!$L$20:$L$4940,1,'Адресная программа'!$C$20:$C$4940,B194,'Адресная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программа'!$C$20:$C$4940,B194,'Адресная программа'!$G$20:$G$4940,"Бизнес центр")&gt;(SUMIFS('Адресная программа'!$K$20:$K$4940,'Адресная программа'!$L$20:$L$4940,1,'Адресная программа'!$C$20:$C$4940,B194,'Адресная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программа'!$C$20:$C$4940,B194,'Адресная программа'!$G$20:$G$4940,"Бизнес центр")&gt;(SUMIFS('Адресная программа'!$K$20:$K$4940,'Адресная программа'!$L$20:$L$4940,1,'Адресная программа'!$C$20:$C$4940,B194,'Адресная программа'!$G$20:$G$4940,"Бизнес центр")*'Цены|Скидки'!$B$55-1),'Цены|Скидки'!$C$55,0%))))</f>
        <v/>
      </c>
      <c r="H194" s="156">
        <f>D$12</f>
        <v/>
      </c>
      <c r="I194" s="190">
        <f>IF(D194=0,0,1-J194/F194)</f>
        <v/>
      </c>
      <c r="J194" s="934">
        <f>F194*(1-G194)*(1-H194)*(1-IF($AC$2="РА",$AD$2,0))*(1-IF(OR($AC$3="Доп скидка",$AC$3="Сезонная скидка",$AC$3="Welcome скидка")=TRUE,$AD$3,0))</f>
        <v/>
      </c>
      <c r="K194" s="934">
        <f>ROUND(J194+L194,2)</f>
        <v/>
      </c>
      <c r="L194" s="934">
        <f>J194*БЦ!$AD$4</f>
        <v/>
      </c>
      <c r="M194" s="159">
        <f>(SUMIFS('Адресная программа'!$H$20:$H$4288,'Адресная программа'!$I$20:$I$4288,БЦ_ALL!C194,'Адресная программа'!$C$20:$C$4288,БЦ_ALL!B194,'Адресная программа'!$N$20:$N$4288,1)*$K$7)</f>
        <v/>
      </c>
      <c r="N194" s="938">
        <f>IF(M194=0,0,J194/M194*1000)</f>
        <v/>
      </c>
      <c r="O194" s="389" t="n"/>
    </row>
    <row r="195" ht="14.4" customHeight="1">
      <c r="B195" s="253" t="inlineStr">
        <is>
          <t>Санкт-Петербург</t>
        </is>
      </c>
      <c r="C195" s="264" t="inlineStr">
        <is>
          <t>Антарес</t>
        </is>
      </c>
      <c r="D195" s="303">
        <f>SUMIFS('Адресная программа'!$K$2975:$K$4468,'Адресная программа'!$I$2975:$I$4468,БЦ_ALL!C195,'Адресная программа'!$C$2975:$C$4468,БЦ_ALL!B195,'Адресная программа'!$N$2975:$N$4468,1)</f>
        <v/>
      </c>
      <c r="E195" s="994">
        <f>'Цены|Скидки'!$E$25</f>
        <v/>
      </c>
      <c r="F195" s="942">
        <f>SUM(E195*D195*$K$7/15*$K$9)</f>
        <v/>
      </c>
      <c r="G195" s="156">
        <f>IF(SUMIFS('Адресная программа'!$O$20:$O$4940,'Адресная программа'!$N$20:$N$4940,1,'Адресная программа'!$C$20:$C$4940,B195,'Адресная программа'!$G$20:$G$4940,"Бизнес центр")=SUMIFS('Адресная программа'!$K$20:$K$4940,'Адресная программа'!$L$20:$L$4940,1,'Адресная программа'!$C$20:$C$4940,B195,'Адресная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программа'!$C$20:$C$4940,B195,'Адресная программа'!$G$20:$G$4940,"Бизнес центр")&gt;(SUMIFS('Адресная программа'!$K$20:$K$4940,'Адресная программа'!$L$20:$L$4940,1,'Адресная программа'!$C$20:$C$4940,B195,'Адресная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программа'!$C$20:$C$4940,B195,'Адресная программа'!$G$20:$G$4940,"Бизнес центр")&gt;(SUMIFS('Адресная программа'!$K$20:$K$4940,'Адресная программа'!$L$20:$L$4940,1,'Адресная программа'!$C$20:$C$4940,B195,'Адресная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программа'!$C$20:$C$4940,B195,'Адресная программа'!$G$20:$G$4940,"Бизнес центр")&gt;(SUMIFS('Адресная программа'!$K$20:$K$4940,'Адресная программа'!$L$20:$L$4940,1,'Адресная программа'!$C$20:$C$4940,B195,'Адресная программа'!$G$20:$G$4940,"Бизнес центр")*'Цены|Скидки'!$B$55-1),'Цены|Скидки'!$C$55,0%))))</f>
        <v/>
      </c>
      <c r="H195" s="156">
        <f>D$12</f>
        <v/>
      </c>
      <c r="I195" s="190">
        <f>IF(D195=0,0,1-J195/F195)</f>
        <v/>
      </c>
      <c r="J195" s="934">
        <f>F195*(1-G195)*(1-H195)*(1-IF($AC$2="РА",$AD$2,0))*(1-IF(OR($AC$3="Доп скидка",$AC$3="Сезонная скидка",$AC$3="Welcome скидка")=TRUE,$AD$3,0))</f>
        <v/>
      </c>
      <c r="K195" s="934">
        <f>ROUND(J195+L195,2)</f>
        <v/>
      </c>
      <c r="L195" s="934">
        <f>J195*БЦ!$AD$4</f>
        <v/>
      </c>
      <c r="M195" s="159">
        <f>(SUMIFS('Адресная программа'!$H$20:$H$4288,'Адресная программа'!$I$20:$I$4288,БЦ_ALL!C195,'Адресная программа'!$C$20:$C$4288,БЦ_ALL!B195,'Адресная программа'!$N$20:$N$4288,1)*$K$7)</f>
        <v/>
      </c>
      <c r="N195" s="938">
        <f>IF(M195=0,0,J195/M195*1000)</f>
        <v/>
      </c>
      <c r="O195" s="389" t="n"/>
    </row>
    <row r="196" ht="14.4" customHeight="1">
      <c r="B196" s="253" t="inlineStr">
        <is>
          <t>Санкт-Петербург</t>
        </is>
      </c>
      <c r="C196" s="264" t="inlineStr">
        <is>
          <t>Арена холл</t>
        </is>
      </c>
      <c r="D196" s="303">
        <f>SUMIFS('Адресная программа'!$K$2975:$K$4468,'Адресная программа'!$I$2975:$I$4468,БЦ_ALL!C196,'Адресная программа'!$C$2975:$C$4468,БЦ_ALL!B196,'Адресная программа'!$N$2975:$N$4468,1)</f>
        <v/>
      </c>
      <c r="E196" s="994">
        <f>'Цены|Скидки'!$E$25</f>
        <v/>
      </c>
      <c r="F196" s="942">
        <f>SUM(E196*D196*$K$7/15*$K$9)</f>
        <v/>
      </c>
      <c r="G196" s="156">
        <f>IF(SUMIFS('Адресная программа'!$O$20:$O$4940,'Адресная программа'!$N$20:$N$4940,1,'Адресная программа'!$C$20:$C$4940,B196,'Адресная программа'!$G$20:$G$4940,"Бизнес центр")=SUMIFS('Адресная программа'!$K$20:$K$4940,'Адресная программа'!$L$20:$L$4940,1,'Адресная программа'!$C$20:$C$4940,B196,'Адресная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программа'!$C$20:$C$4940,B196,'Адресная программа'!$G$20:$G$4940,"Бизнес центр")&gt;(SUMIFS('Адресная программа'!$K$20:$K$4940,'Адресная программа'!$L$20:$L$4940,1,'Адресная программа'!$C$20:$C$4940,B196,'Адресная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программа'!$C$20:$C$4940,B196,'Адресная программа'!$G$20:$G$4940,"Бизнес центр")&gt;(SUMIFS('Адресная программа'!$K$20:$K$4940,'Адресная программа'!$L$20:$L$4940,1,'Адресная программа'!$C$20:$C$4940,B196,'Адресная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программа'!$C$20:$C$4940,B196,'Адресная программа'!$G$20:$G$4940,"Бизнес центр")&gt;(SUMIFS('Адресная программа'!$K$20:$K$4940,'Адресная программа'!$L$20:$L$4940,1,'Адресная программа'!$C$20:$C$4940,B196,'Адресная программа'!$G$20:$G$4940,"Бизнес центр")*'Цены|Скидки'!$B$55-1),'Цены|Скидки'!$C$55,0%))))</f>
        <v/>
      </c>
      <c r="H196" s="156">
        <f>D$12</f>
        <v/>
      </c>
      <c r="I196" s="190">
        <f>IF(D196=0,0,1-J196/F196)</f>
        <v/>
      </c>
      <c r="J196" s="934">
        <f>F196*(1-G196)*(1-H196)*(1-IF($AC$2="РА",$AD$2,0))*(1-IF(OR($AC$3="Доп скидка",$AC$3="Сезонная скидка",$AC$3="Welcome скидка")=TRUE,$AD$3,0))</f>
        <v/>
      </c>
      <c r="K196" s="934">
        <f>ROUND(J196+L196,2)</f>
        <v/>
      </c>
      <c r="L196" s="934">
        <f>J196*БЦ!$AD$4</f>
        <v/>
      </c>
      <c r="M196" s="159">
        <f>(SUMIFS('Адресная программа'!$H$20:$H$4288,'Адресная программа'!$I$20:$I$4288,БЦ_ALL!C196,'Адресная программа'!$C$20:$C$4288,БЦ_ALL!B196,'Адресная программа'!$N$20:$N$4288,1)*$K$7)</f>
        <v/>
      </c>
      <c r="N196" s="938">
        <f>IF(M196=0,0,J196/M196*1000)</f>
        <v/>
      </c>
      <c r="O196" s="389" t="n"/>
    </row>
    <row r="197" ht="14.4" customHeight="1">
      <c r="B197" s="253" t="inlineStr">
        <is>
          <t>Санкт-Петербург</t>
        </is>
      </c>
      <c r="C197" s="264" t="inlineStr">
        <is>
          <t>Астра</t>
        </is>
      </c>
      <c r="D197" s="303">
        <f>SUMIFS('Адресная программа'!$K$2975:$K$4468,'Адресная программа'!$I$2975:$I$4468,БЦ_ALL!C197,'Адресная программа'!$C$2975:$C$4468,БЦ_ALL!B197,'Адресная программа'!$N$2975:$N$4468,1)</f>
        <v/>
      </c>
      <c r="E197" s="994">
        <f>'Цены|Скидки'!$E$25</f>
        <v/>
      </c>
      <c r="F197" s="942">
        <f>SUM(E197*D197*$K$7/15*$K$9)</f>
        <v/>
      </c>
      <c r="G197" s="156">
        <f>IF(SUMIFS('Адресная программа'!$O$20:$O$4940,'Адресная программа'!$N$20:$N$4940,1,'Адресная программа'!$C$20:$C$4940,B197,'Адресная программа'!$G$20:$G$4940,"Бизнес центр")=SUMIFS('Адресная программа'!$K$20:$K$4940,'Адресная программа'!$L$20:$L$4940,1,'Адресная программа'!$C$20:$C$4940,B197,'Адресная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программа'!$C$20:$C$4940,B197,'Адресная программа'!$G$20:$G$4940,"Бизнес центр")&gt;(SUMIFS('Адресная программа'!$K$20:$K$4940,'Адресная программа'!$L$20:$L$4940,1,'Адресная программа'!$C$20:$C$4940,B197,'Адресная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программа'!$C$20:$C$4940,B197,'Адресная программа'!$G$20:$G$4940,"Бизнес центр")&gt;(SUMIFS('Адресная программа'!$K$20:$K$4940,'Адресная программа'!$L$20:$L$4940,1,'Адресная программа'!$C$20:$C$4940,B197,'Адресная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программа'!$C$20:$C$4940,B197,'Адресная программа'!$G$20:$G$4940,"Бизнес центр")&gt;(SUMIFS('Адресная программа'!$K$20:$K$4940,'Адресная программа'!$L$20:$L$4940,1,'Адресная программа'!$C$20:$C$4940,B197,'Адресная программа'!$G$20:$G$4940,"Бизнес центр")*'Цены|Скидки'!$B$55-1),'Цены|Скидки'!$C$55,0%))))</f>
        <v/>
      </c>
      <c r="H197" s="156">
        <f>D$12</f>
        <v/>
      </c>
      <c r="I197" s="190">
        <f>IF(D197=0,0,1-J197/F197)</f>
        <v/>
      </c>
      <c r="J197" s="934">
        <f>F197*(1-G197)*(1-H197)*(1-IF($AC$2="РА",$AD$2,0))*(1-IF(OR($AC$3="Доп скидка",$AC$3="Сезонная скидка",$AC$3="Welcome скидка")=TRUE,$AD$3,0))</f>
        <v/>
      </c>
      <c r="K197" s="934">
        <f>ROUND(J197+L197,2)</f>
        <v/>
      </c>
      <c r="L197" s="934">
        <f>J197*БЦ!$AD$4</f>
        <v/>
      </c>
      <c r="M197" s="159">
        <f>(SUMIFS('Адресная программа'!$H$20:$H$4288,'Адресная программа'!$I$20:$I$4288,БЦ_ALL!C197,'Адресная программа'!$C$20:$C$4288,БЦ_ALL!B197,'Адресная программа'!$N$20:$N$4288,1)*$K$7)</f>
        <v/>
      </c>
      <c r="N197" s="938">
        <f>IF(M197=0,0,J197/M197*1000)</f>
        <v/>
      </c>
      <c r="O197" s="389" t="n"/>
    </row>
    <row r="198" ht="14.4" customHeight="1">
      <c r="B198" s="253" t="inlineStr">
        <is>
          <t>Санкт-Петербург</t>
        </is>
      </c>
      <c r="C198" s="264" t="inlineStr">
        <is>
          <t>Атриум на Невском 25</t>
        </is>
      </c>
      <c r="D198" s="303">
        <f>SUMIFS('Адресная программа'!$K$2975:$K$4468,'Адресная программа'!$I$2975:$I$4468,БЦ_ALL!C198,'Адресная программа'!$C$2975:$C$4468,БЦ_ALL!B198,'Адресная программа'!$N$2975:$N$4468,1)</f>
        <v/>
      </c>
      <c r="E198" s="994">
        <f>'Цены|Скидки'!$E$25</f>
        <v/>
      </c>
      <c r="F198" s="942">
        <f>SUM(E198*D198*$K$7/15*$K$9)</f>
        <v/>
      </c>
      <c r="G198" s="156">
        <f>IF(SUMIFS('Адресная программа'!$O$20:$O$4940,'Адресная программа'!$N$20:$N$4940,1,'Адресная программа'!$C$20:$C$4940,B198,'Адресная программа'!$G$20:$G$4940,"Бизнес центр")=SUMIFS('Адресная программа'!$K$20:$K$4940,'Адресная программа'!$L$20:$L$4940,1,'Адресная программа'!$C$20:$C$4940,B198,'Адресная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программа'!$C$20:$C$4940,B198,'Адресная программа'!$G$20:$G$4940,"Бизнес центр")&gt;(SUMIFS('Адресная программа'!$K$20:$K$4940,'Адресная программа'!$L$20:$L$4940,1,'Адресная программа'!$C$20:$C$4940,B198,'Адресная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программа'!$C$20:$C$4940,B198,'Адресная программа'!$G$20:$G$4940,"Бизнес центр")&gt;(SUMIFS('Адресная программа'!$K$20:$K$4940,'Адресная программа'!$L$20:$L$4940,1,'Адресная программа'!$C$20:$C$4940,B198,'Адресная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программа'!$C$20:$C$4940,B198,'Адресная программа'!$G$20:$G$4940,"Бизнес центр")&gt;(SUMIFS('Адресная программа'!$K$20:$K$4940,'Адресная программа'!$L$20:$L$4940,1,'Адресная программа'!$C$20:$C$4940,B198,'Адресная программа'!$G$20:$G$4940,"Бизнес центр")*'Цены|Скидки'!$B$55-1),'Цены|Скидки'!$C$55,0%))))</f>
        <v/>
      </c>
      <c r="H198" s="156">
        <f>D$12</f>
        <v/>
      </c>
      <c r="I198" s="190">
        <f>IF(D198=0,0,1-J198/F198)</f>
        <v/>
      </c>
      <c r="J198" s="934">
        <f>F198*(1-G198)*(1-H198)*(1-IF($AC$2="РА",$AD$2,0))*(1-IF(OR($AC$3="Доп скидка",$AC$3="Сезонная скидка",$AC$3="Welcome скидка")=TRUE,$AD$3,0))</f>
        <v/>
      </c>
      <c r="K198" s="934">
        <f>ROUND(J198+L198,2)</f>
        <v/>
      </c>
      <c r="L198" s="934">
        <f>J198*БЦ!$AD$4</f>
        <v/>
      </c>
      <c r="M198" s="159">
        <f>(SUMIFS('Адресная программа'!$H$20:$H$4288,'Адресная программа'!$I$20:$I$4288,БЦ_ALL!C198,'Адресная программа'!$C$20:$C$4288,БЦ_ALL!B198,'Адресная программа'!$N$20:$N$4288,1)*$K$7)</f>
        <v/>
      </c>
      <c r="N198" s="938">
        <f>IF(M198=0,0,J198/M198*1000)</f>
        <v/>
      </c>
      <c r="O198" s="389" t="n"/>
    </row>
    <row r="199" ht="14.4" customHeight="1">
      <c r="B199" s="253" t="inlineStr">
        <is>
          <t>Санкт-Петербург</t>
        </is>
      </c>
      <c r="C199" s="264" t="inlineStr">
        <is>
          <t>Аэроплаза</t>
        </is>
      </c>
      <c r="D199" s="303">
        <f>SUMIFS('Адресная программа'!$K$2975:$K$4468,'Адресная программа'!$I$2975:$I$4468,БЦ_ALL!C199,'Адресная программа'!$C$2975:$C$4468,БЦ_ALL!B199,'Адресная программа'!$N$2975:$N$4468,1)</f>
        <v/>
      </c>
      <c r="E199" s="994">
        <f>'Цены|Скидки'!$E$25</f>
        <v/>
      </c>
      <c r="F199" s="942">
        <f>SUM(E199*D199*$K$7/15*$K$9)</f>
        <v/>
      </c>
      <c r="G199" s="156">
        <f>IF(SUMIFS('Адресная программа'!$O$20:$O$4940,'Адресная программа'!$N$20:$N$4940,1,'Адресная программа'!$C$20:$C$4940,B199,'Адресная программа'!$G$20:$G$4940,"Бизнес центр")=SUMIFS('Адресная программа'!$K$20:$K$4940,'Адресная программа'!$L$20:$L$4940,1,'Адресная программа'!$C$20:$C$4940,B199,'Адресная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программа'!$C$20:$C$4940,B199,'Адресная программа'!$G$20:$G$4940,"Бизнес центр")&gt;(SUMIFS('Адресная программа'!$K$20:$K$4940,'Адресная программа'!$L$20:$L$4940,1,'Адресная программа'!$C$20:$C$4940,B199,'Адресная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программа'!$C$20:$C$4940,B199,'Адресная программа'!$G$20:$G$4940,"Бизнес центр")&gt;(SUMIFS('Адресная программа'!$K$20:$K$4940,'Адресная программа'!$L$20:$L$4940,1,'Адресная программа'!$C$20:$C$4940,B199,'Адресная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программа'!$C$20:$C$4940,B199,'Адресная программа'!$G$20:$G$4940,"Бизнес центр")&gt;(SUMIFS('Адресная программа'!$K$20:$K$4940,'Адресная программа'!$L$20:$L$4940,1,'Адресная программа'!$C$20:$C$4940,B199,'Адресная программа'!$G$20:$G$4940,"Бизнес центр")*'Цены|Скидки'!$B$55-1),'Цены|Скидки'!$C$55,0%))))</f>
        <v/>
      </c>
      <c r="H199" s="156">
        <f>D$12</f>
        <v/>
      </c>
      <c r="I199" s="190">
        <f>IF(D199=0,0,1-J199/F199)</f>
        <v/>
      </c>
      <c r="J199" s="934">
        <f>F199*(1-G199)*(1-H199)*(1-IF($AC$2="РА",$AD$2,0))*(1-IF(OR($AC$3="Доп скидка",$AC$3="Сезонная скидка",$AC$3="Welcome скидка")=TRUE,$AD$3,0))</f>
        <v/>
      </c>
      <c r="K199" s="934">
        <f>ROUND(J199+L199,2)</f>
        <v/>
      </c>
      <c r="L199" s="934">
        <f>J199*БЦ!$AD$4</f>
        <v/>
      </c>
      <c r="M199" s="159">
        <f>(SUMIFS('Адресная программа'!$H$20:$H$4288,'Адресная программа'!$I$20:$I$4288,БЦ_ALL!C199,'Адресная программа'!$C$20:$C$4288,БЦ_ALL!B199,'Адресная программа'!$N$20:$N$4288,1)*$K$7)</f>
        <v/>
      </c>
      <c r="N199" s="938">
        <f>IF(M199=0,0,J199/M199*1000)</f>
        <v/>
      </c>
      <c r="O199" s="389" t="n"/>
    </row>
    <row r="200" ht="14.4" customHeight="1">
      <c r="B200" s="253" t="inlineStr">
        <is>
          <t>Санкт-Петербург</t>
        </is>
      </c>
      <c r="C200" s="264" t="inlineStr">
        <is>
          <t>БДЦ</t>
        </is>
      </c>
      <c r="D200" s="303">
        <f>SUMIFS('Адресная программа'!$K$2975:$K$4468,'Адресная программа'!$I$2975:$I$4468,БЦ_ALL!C200,'Адресная программа'!$C$2975:$C$4468,БЦ_ALL!B200,'Адресная программа'!$N$2975:$N$4468,1)</f>
        <v/>
      </c>
      <c r="E200" s="994">
        <f>'Цены|Скидки'!$E$25</f>
        <v/>
      </c>
      <c r="F200" s="942">
        <f>SUM(E200*D200*$K$7/15*$K$9)</f>
        <v/>
      </c>
      <c r="G200" s="156">
        <f>IF(SUMIFS('Адресная программа'!$O$20:$O$4940,'Адресная программа'!$N$20:$N$4940,1,'Адресная программа'!$C$20:$C$4940,B200,'Адресная программа'!$G$20:$G$4940,"Бизнес центр")=SUMIFS('Адресная программа'!$K$20:$K$4940,'Адресная программа'!$L$20:$L$4940,1,'Адресная программа'!$C$20:$C$4940,B200,'Адресная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программа'!$C$20:$C$4940,B200,'Адресная программа'!$G$20:$G$4940,"Бизнес центр")&gt;(SUMIFS('Адресная программа'!$K$20:$K$4940,'Адресная программа'!$L$20:$L$4940,1,'Адресная программа'!$C$20:$C$4940,B200,'Адресная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программа'!$C$20:$C$4940,B200,'Адресная программа'!$G$20:$G$4940,"Бизнес центр")&gt;(SUMIFS('Адресная программа'!$K$20:$K$4940,'Адресная программа'!$L$20:$L$4940,1,'Адресная программа'!$C$20:$C$4940,B200,'Адресная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программа'!$C$20:$C$4940,B200,'Адресная программа'!$G$20:$G$4940,"Бизнес центр")&gt;(SUMIFS('Адресная программа'!$K$20:$K$4940,'Адресная программа'!$L$20:$L$4940,1,'Адресная программа'!$C$20:$C$4940,B200,'Адресная программа'!$G$20:$G$4940,"Бизнес центр")*'Цены|Скидки'!$B$55-1),'Цены|Скидки'!$C$55,0%))))</f>
        <v/>
      </c>
      <c r="H200" s="156">
        <f>D$12</f>
        <v/>
      </c>
      <c r="I200" s="190">
        <f>IF(D200=0,0,1-J200/F200)</f>
        <v/>
      </c>
      <c r="J200" s="934">
        <f>F200*(1-G200)*(1-H200)*(1-IF($AC$2="РА",$AD$2,0))*(1-IF(OR($AC$3="Доп скидка",$AC$3="Сезонная скидка",$AC$3="Welcome скидка")=TRUE,$AD$3,0))</f>
        <v/>
      </c>
      <c r="K200" s="934">
        <f>ROUND(J200+L200,2)</f>
        <v/>
      </c>
      <c r="L200" s="934">
        <f>J200*БЦ!$AD$4</f>
        <v/>
      </c>
      <c r="M200" s="159">
        <f>(SUMIFS('Адресная программа'!$H$20:$H$4288,'Адресная программа'!$I$20:$I$4288,БЦ_ALL!C200,'Адресная программа'!$C$20:$C$4288,БЦ_ALL!B200,'Адресная программа'!$N$20:$N$4288,1)*$K$7)</f>
        <v/>
      </c>
      <c r="N200" s="938">
        <f>IF(M200=0,0,J200/M200*1000)</f>
        <v/>
      </c>
      <c r="O200" s="389" t="n"/>
    </row>
    <row r="201" ht="14.4" customHeight="1">
      <c r="B201" s="253" t="inlineStr">
        <is>
          <t>Санкт-Петербург</t>
        </is>
      </c>
      <c r="C201" s="264" t="inlineStr">
        <is>
          <t>Бенуа</t>
        </is>
      </c>
      <c r="D201" s="303">
        <f>SUMIFS('Адресная программа'!$K$2975:$K$4468,'Адресная программа'!$I$2975:$I$4468,БЦ_ALL!C201,'Адресная программа'!$C$2975:$C$4468,БЦ_ALL!B201,'Адресная программа'!$N$2975:$N$4468,1)</f>
        <v/>
      </c>
      <c r="E201" s="994">
        <f>'Цены|Скидки'!$E$25</f>
        <v/>
      </c>
      <c r="F201" s="942">
        <f>SUM(E201*D201*$K$7/15*$K$9)</f>
        <v/>
      </c>
      <c r="G201" s="156">
        <f>IF(SUMIFS('Адресная программа'!$O$20:$O$4940,'Адресная программа'!$N$20:$N$4940,1,'Адресная программа'!$C$20:$C$4940,B201,'Адресная программа'!$G$20:$G$4940,"Бизнес центр")=SUMIFS('Адресная программа'!$K$20:$K$4940,'Адресная программа'!$L$20:$L$4940,1,'Адресная программа'!$C$20:$C$4940,B201,'Адресная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программа'!$C$20:$C$4940,B201,'Адресная программа'!$G$20:$G$4940,"Бизнес центр")&gt;(SUMIFS('Адресная программа'!$K$20:$K$4940,'Адресная программа'!$L$20:$L$4940,1,'Адресная программа'!$C$20:$C$4940,B201,'Адресная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программа'!$C$20:$C$4940,B201,'Адресная программа'!$G$20:$G$4940,"Бизнес центр")&gt;(SUMIFS('Адресная программа'!$K$20:$K$4940,'Адресная программа'!$L$20:$L$4940,1,'Адресная программа'!$C$20:$C$4940,B201,'Адресная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программа'!$C$20:$C$4940,B201,'Адресная программа'!$G$20:$G$4940,"Бизнес центр")&gt;(SUMIFS('Адресная программа'!$K$20:$K$4940,'Адресная программа'!$L$20:$L$4940,1,'Адресная программа'!$C$20:$C$4940,B201,'Адресная программа'!$G$20:$G$4940,"Бизнес центр")*'Цены|Скидки'!$B$55-1),'Цены|Скидки'!$C$55,0%))))</f>
        <v/>
      </c>
      <c r="H201" s="156">
        <f>D$12</f>
        <v/>
      </c>
      <c r="I201" s="190">
        <f>IF(D201=0,0,1-J201/F201)</f>
        <v/>
      </c>
      <c r="J201" s="934">
        <f>F201*(1-G201)*(1-H201)*(1-IF($AC$2="РА",$AD$2,0))*(1-IF(OR($AC$3="Доп скидка",$AC$3="Сезонная скидка",$AC$3="Welcome скидка")=TRUE,$AD$3,0))</f>
        <v/>
      </c>
      <c r="K201" s="934">
        <f>ROUND(J201+L201,2)</f>
        <v/>
      </c>
      <c r="L201" s="934">
        <f>J201*БЦ!$AD$4</f>
        <v/>
      </c>
      <c r="M201" s="159">
        <f>(SUMIFS('Адресная программа'!$H$20:$H$4288,'Адресная программа'!$I$20:$I$4288,БЦ_ALL!C201,'Адресная программа'!$C$20:$C$4288,БЦ_ALL!B201,'Адресная программа'!$N$20:$N$4288,1)*$K$7)</f>
        <v/>
      </c>
      <c r="N201" s="938">
        <f>IF(M201=0,0,J201/M201*1000)</f>
        <v/>
      </c>
      <c r="O201" s="389" t="n"/>
    </row>
    <row r="202" ht="14.4" customHeight="1">
      <c r="B202" s="253" t="inlineStr">
        <is>
          <t>Санкт-Петербург</t>
        </is>
      </c>
      <c r="C202" s="264" t="inlineStr">
        <is>
          <t>Бумажная 9</t>
        </is>
      </c>
      <c r="D202" s="303">
        <f>SUMIFS('Адресная программа'!$K$2975:$K$4468,'Адресная программа'!$I$2975:$I$4468,БЦ_ALL!C202,'Адресная программа'!$C$2975:$C$4468,БЦ_ALL!B202,'Адресная программа'!$N$2975:$N$4468,1)</f>
        <v/>
      </c>
      <c r="E202" s="994">
        <f>'Цены|Скидки'!$E$25</f>
        <v/>
      </c>
      <c r="F202" s="942">
        <f>SUM(E202*D202*$K$7/15*$K$9)</f>
        <v/>
      </c>
      <c r="G202" s="156">
        <f>IF(SUMIFS('Адресная программа'!$O$20:$O$4940,'Адресная программа'!$N$20:$N$4940,1,'Адресная программа'!$C$20:$C$4940,B202,'Адресная программа'!$G$20:$G$4940,"Бизнес центр")=SUMIFS('Адресная программа'!$K$20:$K$4940,'Адресная программа'!$L$20:$L$4940,1,'Адресная программа'!$C$20:$C$4940,B202,'Адресная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программа'!$C$20:$C$4940,B202,'Адресная программа'!$G$20:$G$4940,"Бизнес центр")&gt;(SUMIFS('Адресная программа'!$K$20:$K$4940,'Адресная программа'!$L$20:$L$4940,1,'Адресная программа'!$C$20:$C$4940,B202,'Адресная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программа'!$C$20:$C$4940,B202,'Адресная программа'!$G$20:$G$4940,"Бизнес центр")&gt;(SUMIFS('Адресная программа'!$K$20:$K$4940,'Адресная программа'!$L$20:$L$4940,1,'Адресная программа'!$C$20:$C$4940,B202,'Адресная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программа'!$C$20:$C$4940,B202,'Адресная программа'!$G$20:$G$4940,"Бизнес центр")&gt;(SUMIFS('Адресная программа'!$K$20:$K$4940,'Адресная программа'!$L$20:$L$4940,1,'Адресная программа'!$C$20:$C$4940,B202,'Адресная программа'!$G$20:$G$4940,"Бизнес центр")*'Цены|Скидки'!$B$55-1),'Цены|Скидки'!$C$55,0%))))</f>
        <v/>
      </c>
      <c r="H202" s="156">
        <f>D$12</f>
        <v/>
      </c>
      <c r="I202" s="190">
        <f>IF(D202=0,0,1-J202/F202)</f>
        <v/>
      </c>
      <c r="J202" s="934">
        <f>F202*(1-G202)*(1-H202)*(1-IF($AC$2="РА",$AD$2,0))*(1-IF(OR($AC$3="Доп скидка",$AC$3="Сезонная скидка",$AC$3="Welcome скидка")=TRUE,$AD$3,0))</f>
        <v/>
      </c>
      <c r="K202" s="934">
        <f>ROUND(J202+L202,2)</f>
        <v/>
      </c>
      <c r="L202" s="934">
        <f>J202*БЦ!$AD$4</f>
        <v/>
      </c>
      <c r="M202" s="159">
        <f>(SUMIFS('Адресная программа'!$H$20:$H$4288,'Адресная программа'!$I$20:$I$4288,БЦ_ALL!C202,'Адресная программа'!$C$20:$C$4288,БЦ_ALL!B202,'Адресная программа'!$N$20:$N$4288,1)*$K$7)</f>
        <v/>
      </c>
      <c r="N202" s="938">
        <f>IF(M202=0,0,J202/M202*1000)</f>
        <v/>
      </c>
      <c r="O202" s="389" t="n"/>
    </row>
    <row r="203" ht="14.4" customHeight="1">
      <c r="B203" s="253" t="inlineStr">
        <is>
          <t>Санкт-Петербург</t>
        </is>
      </c>
      <c r="C203" s="264" t="inlineStr">
        <is>
          <t>Варшавский</t>
        </is>
      </c>
      <c r="D203" s="303">
        <f>SUMIFS('Адресная программа'!$K$2975:$K$4468,'Адресная программа'!$I$2975:$I$4468,БЦ_ALL!C203,'Адресная программа'!$C$2975:$C$4468,БЦ_ALL!B203,'Адресная программа'!$N$2975:$N$4468,1)</f>
        <v/>
      </c>
      <c r="E203" s="994">
        <f>'Цены|Скидки'!$E$25</f>
        <v/>
      </c>
      <c r="F203" s="942">
        <f>SUM(E203*D203*$K$7/15*$K$9)</f>
        <v/>
      </c>
      <c r="G203" s="156">
        <f>IF(SUMIFS('Адресная программа'!$O$20:$O$4940,'Адресная программа'!$N$20:$N$4940,1,'Адресная программа'!$C$20:$C$4940,B203,'Адресная программа'!$G$20:$G$4940,"Бизнес центр")=SUMIFS('Адресная программа'!$K$20:$K$4940,'Адресная программа'!$L$20:$L$4940,1,'Адресная программа'!$C$20:$C$4940,B203,'Адресная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программа'!$C$20:$C$4940,B203,'Адресная программа'!$G$20:$G$4940,"Бизнес центр")&gt;(SUMIFS('Адресная программа'!$K$20:$K$4940,'Адресная программа'!$L$20:$L$4940,1,'Адресная программа'!$C$20:$C$4940,B203,'Адресная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программа'!$C$20:$C$4940,B203,'Адресная программа'!$G$20:$G$4940,"Бизнес центр")&gt;(SUMIFS('Адресная программа'!$K$20:$K$4940,'Адресная программа'!$L$20:$L$4940,1,'Адресная программа'!$C$20:$C$4940,B203,'Адресная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программа'!$C$20:$C$4940,B203,'Адресная программа'!$G$20:$G$4940,"Бизнес центр")&gt;(SUMIFS('Адресная программа'!$K$20:$K$4940,'Адресная программа'!$L$20:$L$4940,1,'Адресная программа'!$C$20:$C$4940,B203,'Адресная программа'!$G$20:$G$4940,"Бизнес центр")*'Цены|Скидки'!$B$55-1),'Цены|Скидки'!$C$55,0%))))</f>
        <v/>
      </c>
      <c r="H203" s="156">
        <f>D$12</f>
        <v/>
      </c>
      <c r="I203" s="190">
        <f>IF(D203=0,0,1-J203/F203)</f>
        <v/>
      </c>
      <c r="J203" s="934">
        <f>F203*(1-G203)*(1-H203)*(1-IF($AC$2="РА",$AD$2,0))*(1-IF(OR($AC$3="Доп скидка",$AC$3="Сезонная скидка",$AC$3="Welcome скидка")=TRUE,$AD$3,0))</f>
        <v/>
      </c>
      <c r="K203" s="934">
        <f>ROUND(J203+L203,2)</f>
        <v/>
      </c>
      <c r="L203" s="934">
        <f>J203*БЦ!$AD$4</f>
        <v/>
      </c>
      <c r="M203" s="159">
        <f>(SUMIFS('Адресная программа'!$H$20:$H$4288,'Адресная программа'!$I$20:$I$4288,БЦ_ALL!C203,'Адресная программа'!$C$20:$C$4288,БЦ_ALL!B203,'Адресная программа'!$N$20:$N$4288,1)*$K$7)</f>
        <v/>
      </c>
      <c r="N203" s="938">
        <f>IF(M203=0,0,J203/M203*1000)</f>
        <v/>
      </c>
      <c r="O203" s="389" t="n"/>
    </row>
    <row r="204" ht="14.4" customHeight="1">
      <c r="B204" s="253" t="inlineStr">
        <is>
          <t>Санкт-Петербург</t>
        </is>
      </c>
      <c r="C204" s="264" t="inlineStr">
        <is>
          <t>Воронцов</t>
        </is>
      </c>
      <c r="D204" s="303">
        <f>SUMIFS('Адресная программа'!$K$2975:$K$4468,'Адресная программа'!$I$2975:$I$4468,БЦ_ALL!C204,'Адресная программа'!$C$2975:$C$4468,БЦ_ALL!B204,'Адресная программа'!$N$2975:$N$4468,1)</f>
        <v/>
      </c>
      <c r="E204" s="994">
        <f>'Цены|Скидки'!$E$25</f>
        <v/>
      </c>
      <c r="F204" s="942">
        <f>SUM(E204*D204*$K$7/15*$K$9)</f>
        <v/>
      </c>
      <c r="G204" s="156">
        <f>IF(SUMIFS('Адресная программа'!$O$20:$O$4940,'Адресная программа'!$N$20:$N$4940,1,'Адресная программа'!$C$20:$C$4940,B204,'Адресная программа'!$G$20:$G$4940,"Бизнес центр")=SUMIFS('Адресная программа'!$K$20:$K$4940,'Адресная программа'!$L$20:$L$4940,1,'Адресная программа'!$C$20:$C$4940,B204,'Адресная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программа'!$C$20:$C$4940,B204,'Адресная программа'!$G$20:$G$4940,"Бизнес центр")&gt;(SUMIFS('Адресная программа'!$K$20:$K$4940,'Адресная программа'!$L$20:$L$4940,1,'Адресная программа'!$C$20:$C$4940,B204,'Адресная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программа'!$C$20:$C$4940,B204,'Адресная программа'!$G$20:$G$4940,"Бизнес центр")&gt;(SUMIFS('Адресная программа'!$K$20:$K$4940,'Адресная программа'!$L$20:$L$4940,1,'Адресная программа'!$C$20:$C$4940,B204,'Адресная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программа'!$C$20:$C$4940,B204,'Адресная программа'!$G$20:$G$4940,"Бизнес центр")&gt;(SUMIFS('Адресная программа'!$K$20:$K$4940,'Адресная программа'!$L$20:$L$4940,1,'Адресная программа'!$C$20:$C$4940,B204,'Адресная программа'!$G$20:$G$4940,"Бизнес центр")*'Цены|Скидки'!$B$55-1),'Цены|Скидки'!$C$55,0%))))</f>
        <v/>
      </c>
      <c r="H204" s="156">
        <f>D$12</f>
        <v/>
      </c>
      <c r="I204" s="190">
        <f>IF(D204=0,0,1-J204/F204)</f>
        <v/>
      </c>
      <c r="J204" s="934">
        <f>F204*(1-G204)*(1-H204)*(1-IF($AC$2="РА",$AD$2,0))*(1-IF(OR($AC$3="Доп скидка",$AC$3="Сезонная скидка",$AC$3="Welcome скидка")=TRUE,$AD$3,0))</f>
        <v/>
      </c>
      <c r="K204" s="934">
        <f>ROUND(J204+L204,2)</f>
        <v/>
      </c>
      <c r="L204" s="934">
        <f>J204*БЦ!$AD$4</f>
        <v/>
      </c>
      <c r="M204" s="159">
        <f>(SUMIFS('Адресная программа'!$H$20:$H$4288,'Адресная программа'!$I$20:$I$4288,БЦ_ALL!C204,'Адресная программа'!$C$20:$C$4288,БЦ_ALL!B204,'Адресная программа'!$N$20:$N$4288,1)*$K$7)</f>
        <v/>
      </c>
      <c r="N204" s="938">
        <f>IF(M204=0,0,J204/M204*1000)</f>
        <v/>
      </c>
      <c r="O204" s="389" t="n"/>
    </row>
    <row r="205" ht="14.4" customHeight="1">
      <c r="B205" s="253" t="inlineStr">
        <is>
          <t>Санкт-Петербург</t>
        </is>
      </c>
      <c r="C205" s="264" t="inlineStr">
        <is>
          <t>Выборгская застава</t>
        </is>
      </c>
      <c r="D205" s="303">
        <f>SUMIFS('Адресная программа'!$K$2975:$K$4468,'Адресная программа'!$I$2975:$I$4468,БЦ_ALL!C205,'Адресная программа'!$C$2975:$C$4468,БЦ_ALL!B205,'Адресная программа'!$N$2975:$N$4468,1)</f>
        <v/>
      </c>
      <c r="E205" s="994">
        <f>'Цены|Скидки'!$E$25</f>
        <v/>
      </c>
      <c r="F205" s="942">
        <f>SUM(E205*D205*$K$7/15*$K$9)</f>
        <v/>
      </c>
      <c r="G205" s="156">
        <f>IF(SUMIFS('Адресная программа'!$O$20:$O$4940,'Адресная программа'!$N$20:$N$4940,1,'Адресная программа'!$C$20:$C$4940,B205,'Адресная программа'!$G$20:$G$4940,"Бизнес центр")=SUMIFS('Адресная программа'!$K$20:$K$4940,'Адресная программа'!$L$20:$L$4940,1,'Адресная программа'!$C$20:$C$4940,B205,'Адресная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программа'!$C$20:$C$4940,B205,'Адресная программа'!$G$20:$G$4940,"Бизнес центр")&gt;(SUMIFS('Адресная программа'!$K$20:$K$4940,'Адресная программа'!$L$20:$L$4940,1,'Адресная программа'!$C$20:$C$4940,B205,'Адресная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программа'!$C$20:$C$4940,B205,'Адресная программа'!$G$20:$G$4940,"Бизнес центр")&gt;(SUMIFS('Адресная программа'!$K$20:$K$4940,'Адресная программа'!$L$20:$L$4940,1,'Адресная программа'!$C$20:$C$4940,B205,'Адресная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программа'!$C$20:$C$4940,B205,'Адресная программа'!$G$20:$G$4940,"Бизнес центр")&gt;(SUMIFS('Адресная программа'!$K$20:$K$4940,'Адресная программа'!$L$20:$L$4940,1,'Адресная программа'!$C$20:$C$4940,B205,'Адресная программа'!$G$20:$G$4940,"Бизнес центр")*'Цены|Скидки'!$B$55-1),'Цены|Скидки'!$C$55,0%))))</f>
        <v/>
      </c>
      <c r="H205" s="156">
        <f>D$12</f>
        <v/>
      </c>
      <c r="I205" s="190">
        <f>IF(D205=0,0,1-J205/F205)</f>
        <v/>
      </c>
      <c r="J205" s="934">
        <f>F205*(1-G205)*(1-H205)*(1-IF($AC$2="РА",$AD$2,0))*(1-IF(OR($AC$3="Доп скидка",$AC$3="Сезонная скидка",$AC$3="Welcome скидка")=TRUE,$AD$3,0))</f>
        <v/>
      </c>
      <c r="K205" s="934">
        <f>ROUND(J205+L205,2)</f>
        <v/>
      </c>
      <c r="L205" s="934">
        <f>J205*БЦ!$AD$4</f>
        <v/>
      </c>
      <c r="M205" s="159">
        <f>(SUMIFS('Адресная программа'!$H$20:$H$4288,'Адресная программа'!$I$20:$I$4288,БЦ_ALL!C205,'Адресная программа'!$C$20:$C$4288,БЦ_ALL!B205,'Адресная программа'!$N$20:$N$4288,1)*$K$7)</f>
        <v/>
      </c>
      <c r="N205" s="938">
        <f>IF(M205=0,0,J205/M205*1000)</f>
        <v/>
      </c>
      <c r="O205" s="389" t="n"/>
    </row>
    <row r="206" ht="14.4" customHeight="1">
      <c r="B206" s="253" t="inlineStr">
        <is>
          <t>Санкт-Петербург</t>
        </is>
      </c>
      <c r="C206" s="264" t="inlineStr">
        <is>
          <t>Грант+</t>
        </is>
      </c>
      <c r="D206" s="303">
        <f>SUMIFS('Адресная программа'!$K$2975:$K$4468,'Адресная программа'!$I$2975:$I$4468,БЦ_ALL!C206,'Адресная программа'!$C$2975:$C$4468,БЦ_ALL!B206,'Адресная программа'!$N$2975:$N$4468,1)</f>
        <v/>
      </c>
      <c r="E206" s="994">
        <f>'Цены|Скидки'!$E$25</f>
        <v/>
      </c>
      <c r="F206" s="942">
        <f>SUM(E206*D206*$K$7/15*$K$9)</f>
        <v/>
      </c>
      <c r="G206" s="156">
        <f>IF(SUMIFS('Адресная программа'!$O$20:$O$4940,'Адресная программа'!$N$20:$N$4940,1,'Адресная программа'!$C$20:$C$4940,B206,'Адресная программа'!$G$20:$G$4940,"Бизнес центр")=SUMIFS('Адресная программа'!$K$20:$K$4940,'Адресная программа'!$L$20:$L$4940,1,'Адресная программа'!$C$20:$C$4940,B206,'Адресная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программа'!$C$20:$C$4940,B206,'Адресная программа'!$G$20:$G$4940,"Бизнес центр")&gt;(SUMIFS('Адресная программа'!$K$20:$K$4940,'Адресная программа'!$L$20:$L$4940,1,'Адресная программа'!$C$20:$C$4940,B206,'Адресная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программа'!$C$20:$C$4940,B206,'Адресная программа'!$G$20:$G$4940,"Бизнес центр")&gt;(SUMIFS('Адресная программа'!$K$20:$K$4940,'Адресная программа'!$L$20:$L$4940,1,'Адресная программа'!$C$20:$C$4940,B206,'Адресная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программа'!$C$20:$C$4940,B206,'Адресная программа'!$G$20:$G$4940,"Бизнес центр")&gt;(SUMIFS('Адресная программа'!$K$20:$K$4940,'Адресная программа'!$L$20:$L$4940,1,'Адресная программа'!$C$20:$C$4940,B206,'Адресная программа'!$G$20:$G$4940,"Бизнес центр")*'Цены|Скидки'!$B$55-1),'Цены|Скидки'!$C$55,0%))))</f>
        <v/>
      </c>
      <c r="H206" s="156">
        <f>D$12</f>
        <v/>
      </c>
      <c r="I206" s="190">
        <f>IF(D206=0,0,1-J206/F206)</f>
        <v/>
      </c>
      <c r="J206" s="934">
        <f>F206*(1-G206)*(1-H206)*(1-IF($AC$2="РА",$AD$2,0))*(1-IF(OR($AC$3="Доп скидка",$AC$3="Сезонная скидка",$AC$3="Welcome скидка")=TRUE,$AD$3,0))</f>
        <v/>
      </c>
      <c r="K206" s="934">
        <f>ROUND(J206+L206,2)</f>
        <v/>
      </c>
      <c r="L206" s="934">
        <f>J206*БЦ!$AD$4</f>
        <v/>
      </c>
      <c r="M206" s="159">
        <f>(SUMIFS('Адресная программа'!$H$20:$H$4288,'Адресная программа'!$I$20:$I$4288,БЦ_ALL!C206,'Адресная программа'!$C$20:$C$4288,БЦ_ALL!B206,'Адресная программа'!$N$20:$N$4288,1)*$K$7)</f>
        <v/>
      </c>
      <c r="N206" s="938">
        <f>IF(M206=0,0,J206/M206*1000)</f>
        <v/>
      </c>
      <c r="O206" s="389" t="n"/>
    </row>
    <row r="207" ht="14.4" customHeight="1">
      <c r="B207" s="253" t="inlineStr">
        <is>
          <t>Санкт-Петербург</t>
        </is>
      </c>
      <c r="C207" s="264" t="inlineStr">
        <is>
          <t>Гелиос</t>
        </is>
      </c>
      <c r="D207" s="303">
        <f>SUMIFS('Адресная программа'!$K$2975:$K$4468,'Адресная программа'!$I$2975:$I$4468,БЦ_ALL!C207,'Адресная программа'!$C$2975:$C$4468,БЦ_ALL!B207,'Адресная программа'!$N$2975:$N$4468,1)</f>
        <v/>
      </c>
      <c r="E207" s="994">
        <f>'Цены|Скидки'!$E$25</f>
        <v/>
      </c>
      <c r="F207" s="942">
        <f>SUM(E207*D207*$K$7/15*$K$9)</f>
        <v/>
      </c>
      <c r="G207" s="156">
        <f>IF(SUMIFS('Адресная программа'!$O$20:$O$4940,'Адресная программа'!$N$20:$N$4940,1,'Адресная программа'!$C$20:$C$4940,B207,'Адресная программа'!$G$20:$G$4940,"Бизнес центр")=SUMIFS('Адресная программа'!$K$20:$K$4940,'Адресная программа'!$L$20:$L$4940,1,'Адресная программа'!$C$20:$C$4940,B207,'Адресная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программа'!$C$20:$C$4940,B207,'Адресная программа'!$G$20:$G$4940,"Бизнес центр")&gt;(SUMIFS('Адресная программа'!$K$20:$K$4940,'Адресная программа'!$L$20:$L$4940,1,'Адресная программа'!$C$20:$C$4940,B207,'Адресная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программа'!$C$20:$C$4940,B207,'Адресная программа'!$G$20:$G$4940,"Бизнес центр")&gt;(SUMIFS('Адресная программа'!$K$20:$K$4940,'Адресная программа'!$L$20:$L$4940,1,'Адресная программа'!$C$20:$C$4940,B207,'Адресная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программа'!$C$20:$C$4940,B207,'Адресная программа'!$G$20:$G$4940,"Бизнес центр")&gt;(SUMIFS('Адресная программа'!$K$20:$K$4940,'Адресная программа'!$L$20:$L$4940,1,'Адресная программа'!$C$20:$C$4940,B207,'Адресная программа'!$G$20:$G$4940,"Бизнес центр")*'Цены|Скидки'!$B$55-1),'Цены|Скидки'!$C$55,0%))))</f>
        <v/>
      </c>
      <c r="H207" s="156">
        <f>D$12</f>
        <v/>
      </c>
      <c r="I207" s="190">
        <f>IF(D207=0,0,1-J207/F207)</f>
        <v/>
      </c>
      <c r="J207" s="934">
        <f>F207*(1-G207)*(1-H207)*(1-IF($AC$2="РА",$AD$2,0))*(1-IF(OR($AC$3="Доп скидка",$AC$3="Сезонная скидка",$AC$3="Welcome скидка")=TRUE,$AD$3,0))</f>
        <v/>
      </c>
      <c r="K207" s="934">
        <f>ROUND(J207+L207,2)</f>
        <v/>
      </c>
      <c r="L207" s="934">
        <f>J207*БЦ!$AD$4</f>
        <v/>
      </c>
      <c r="M207" s="159">
        <f>(SUMIFS('Адресная программа'!$H$20:$H$4288,'Адресная программа'!$I$20:$I$4288,БЦ_ALL!C207,'Адресная программа'!$C$20:$C$4288,БЦ_ALL!B207,'Адресная программа'!$N$20:$N$4288,1)*$K$7)</f>
        <v/>
      </c>
      <c r="N207" s="938">
        <f>IF(M207=0,0,J207/M207*1000)</f>
        <v/>
      </c>
      <c r="O207" s="389" t="n"/>
    </row>
    <row r="208" ht="14.4" customHeight="1">
      <c r="B208" s="253" t="inlineStr">
        <is>
          <t>Санкт-Петербург</t>
        </is>
      </c>
      <c r="C208" s="264" t="inlineStr">
        <is>
          <t>Грегорис Карс</t>
        </is>
      </c>
      <c r="D208" s="303">
        <f>SUMIFS('Адресная программа'!$K$2975:$K$4468,'Адресная программа'!$I$2975:$I$4468,БЦ_ALL!C208,'Адресная программа'!$C$2975:$C$4468,БЦ_ALL!B208,'Адресная программа'!$L$2975:$L$4468,1)</f>
        <v/>
      </c>
      <c r="E208" s="994">
        <f>'Цены|Скидки'!$E$25</f>
        <v/>
      </c>
      <c r="F208" s="942">
        <f>SUM(E208*D208*$K$7/15*$K$9)</f>
        <v/>
      </c>
      <c r="G208" s="156">
        <f>IF('Адресная программа'!$V$13='Адресная программа'!$U$13,'Цены|Скидки'!$C$52,IF('Адресная программа'!$V$13&gt;('Адресная программа'!$U$13*'Цены|Скидки'!$B$53-1),'Цены|Скидки'!$C$53,IF('Адресная программа'!$V$13&gt;('Адресная программа'!$U$13*'Цены|Скидки'!$B$54-1),'Цены|Скидки'!$C$54,IF('Адресная программа'!$V$13&gt;('Адресная программа'!$U$13*'Цены|Скидки'!$B$55-1),'Цены|Скидки'!$C$55,0%))))</f>
        <v/>
      </c>
      <c r="H208" s="156">
        <f>D$12</f>
        <v/>
      </c>
      <c r="I208" s="190" t="n">
        <v>0</v>
      </c>
      <c r="J208" s="934">
        <f>F208*(1-G208)*(1-H208)*(1-IF($AC$2="РА",$AD$2,0))*(1-IF(OR($AC$3="Доп скидка",$AC$3="Сезонная скидка",$AC$3="Welcome скидка")=TRUE,$AD$3,0))</f>
        <v/>
      </c>
      <c r="K208" s="934">
        <f>ROUND(J208+L208,2)</f>
        <v/>
      </c>
      <c r="L208" s="934">
        <f>J208*0.2</f>
        <v/>
      </c>
      <c r="M208" s="159">
        <f>O208*$K$7</f>
        <v/>
      </c>
      <c r="N208" s="938">
        <f>IF(M208=0,0,J208/M208*1000)</f>
        <v/>
      </c>
      <c r="O208" s="387" t="n">
        <v>3924</v>
      </c>
    </row>
    <row r="209" ht="14.4" customHeight="1">
      <c r="B209" s="253" t="inlineStr">
        <is>
          <t>Санкт-Петербург</t>
        </is>
      </c>
      <c r="C209" s="264" t="inlineStr">
        <is>
          <t>Гулливер</t>
        </is>
      </c>
      <c r="D209" s="303">
        <f>SUMIFS('Адресная программа'!$K$2975:$K$4468,'Адресная программа'!$I$2975:$I$4468,БЦ_ALL!C209,'Адресная программа'!$C$2975:$C$4468,БЦ_ALL!B209,'Адресная программа'!$N$2975:$N$4468,1)</f>
        <v/>
      </c>
      <c r="E209" s="994">
        <f>'Цены|Скидки'!$E$25</f>
        <v/>
      </c>
      <c r="F209" s="942">
        <f>SUM(E209*D209*$K$7/15*$K$9)</f>
        <v/>
      </c>
      <c r="G209" s="156">
        <f>IF(SUMIFS('Адресная программа'!$O$20:$O$4940,'Адресная программа'!$N$20:$N$4940,1,'Адресная программа'!$C$20:$C$4940,B209,'Адресная программа'!$G$20:$G$4940,"Бизнес центр")=SUMIFS('Адресная программа'!$K$20:$K$4940,'Адресная программа'!$L$20:$L$4940,1,'Адресная программа'!$C$20:$C$4940,B209,'Адресная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программа'!$C$20:$C$4940,B209,'Адресная программа'!$G$20:$G$4940,"Бизнес центр")&gt;(SUMIFS('Адресная программа'!$K$20:$K$4940,'Адресная программа'!$L$20:$L$4940,1,'Адресная программа'!$C$20:$C$4940,B209,'Адресная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программа'!$C$20:$C$4940,B209,'Адресная программа'!$G$20:$G$4940,"Бизнес центр")&gt;(SUMIFS('Адресная программа'!$K$20:$K$4940,'Адресная программа'!$L$20:$L$4940,1,'Адресная программа'!$C$20:$C$4940,B209,'Адресная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программа'!$C$20:$C$4940,B209,'Адресная программа'!$G$20:$G$4940,"Бизнес центр")&gt;(SUMIFS('Адресная программа'!$K$20:$K$4940,'Адресная программа'!$L$20:$L$4940,1,'Адресная программа'!$C$20:$C$4940,B209,'Адресная программа'!$G$20:$G$4940,"Бизнес центр")*'Цены|Скидки'!$B$55-1),'Цены|Скидки'!$C$55,0%))))</f>
        <v/>
      </c>
      <c r="H209" s="156">
        <f>D$12</f>
        <v/>
      </c>
      <c r="I209" s="190">
        <f>IF(D209=0,0,1-J209/F209)</f>
        <v/>
      </c>
      <c r="J209" s="934">
        <f>F209*(1-G209)*(1-H209)*(1-IF($AC$2="РА",$AD$2,0))*(1-IF(OR($AC$3="Доп скидка",$AC$3="Сезонная скидка",$AC$3="Welcome скидка")=TRUE,$AD$3,0))</f>
        <v/>
      </c>
      <c r="K209" s="934">
        <f>ROUND(J209+L209,2)</f>
        <v/>
      </c>
      <c r="L209" s="934">
        <f>J209*БЦ!$AD$4</f>
        <v/>
      </c>
      <c r="M209" s="159">
        <f>(SUMIFS('Адресная программа'!$H$20:$H$4288,'Адресная программа'!$I$20:$I$4288,БЦ_ALL!C209,'Адресная программа'!$C$20:$C$4288,БЦ_ALL!B209,'Адресная программа'!$N$20:$N$4288,1)*$K$7)</f>
        <v/>
      </c>
      <c r="N209" s="938">
        <f>IF(M209=0,0,J209/M209*1000)</f>
        <v/>
      </c>
      <c r="O209" s="389" t="n"/>
    </row>
    <row r="210" ht="14.4" customHeight="1">
      <c r="B210" s="253" t="inlineStr">
        <is>
          <t>Санкт-Петербург</t>
        </is>
      </c>
      <c r="C210" s="264" t="inlineStr">
        <is>
          <t>Доминат Классик</t>
        </is>
      </c>
      <c r="D210" s="303">
        <f>SUMIFS('Адресная программа'!$K$2975:$K$4468,'Адресная программа'!$I$2975:$I$4468,БЦ_ALL!C210,'Адресная программа'!$C$2975:$C$4468,БЦ_ALL!B210,'Адресная программа'!$N$2975:$N$4468,1)</f>
        <v/>
      </c>
      <c r="E210" s="994">
        <f>'Цены|Скидки'!$E$25</f>
        <v/>
      </c>
      <c r="F210" s="942">
        <f>SUM(E210*D210*$K$7/15*$K$9)</f>
        <v/>
      </c>
      <c r="G210" s="156">
        <f>IF(SUMIFS('Адресная программа'!$O$20:$O$4940,'Адресная программа'!$N$20:$N$4940,1,'Адресная программа'!$C$20:$C$4940,B210,'Адресная программа'!$G$20:$G$4940,"Бизнес центр")=SUMIFS('Адресная программа'!$K$20:$K$4940,'Адресная программа'!$L$20:$L$4940,1,'Адресная программа'!$C$20:$C$4940,B210,'Адресная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программа'!$C$20:$C$4940,B210,'Адресная программа'!$G$20:$G$4940,"Бизнес центр")&gt;(SUMIFS('Адресная программа'!$K$20:$K$4940,'Адресная программа'!$L$20:$L$4940,1,'Адресная программа'!$C$20:$C$4940,B210,'Адресная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программа'!$C$20:$C$4940,B210,'Адресная программа'!$G$20:$G$4940,"Бизнес центр")&gt;(SUMIFS('Адресная программа'!$K$20:$K$4940,'Адресная программа'!$L$20:$L$4940,1,'Адресная программа'!$C$20:$C$4940,B210,'Адресная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программа'!$C$20:$C$4940,B210,'Адресная программа'!$G$20:$G$4940,"Бизнес центр")&gt;(SUMIFS('Адресная программа'!$K$20:$K$4940,'Адресная программа'!$L$20:$L$4940,1,'Адресная программа'!$C$20:$C$4940,B210,'Адресная программа'!$G$20:$G$4940,"Бизнес центр")*'Цены|Скидки'!$B$55-1),'Цены|Скидки'!$C$55,0%))))</f>
        <v/>
      </c>
      <c r="H210" s="156">
        <f>D$12</f>
        <v/>
      </c>
      <c r="I210" s="190">
        <f>IF(D210=0,0,1-J210/F210)</f>
        <v/>
      </c>
      <c r="J210" s="934">
        <f>F210*(1-G210)*(1-H210)*(1-IF($AC$2="РА",$AD$2,0))*(1-IF(OR($AC$3="Доп скидка",$AC$3="Сезонная скидка",$AC$3="Welcome скидка")=TRUE,$AD$3,0))</f>
        <v/>
      </c>
      <c r="K210" s="934">
        <f>ROUND(J210+L210,2)</f>
        <v/>
      </c>
      <c r="L210" s="934">
        <f>J210*БЦ!$AD$4</f>
        <v/>
      </c>
      <c r="M210" s="159">
        <f>(SUMIFS('Адресная программа'!$H$20:$H$4288,'Адресная программа'!$I$20:$I$4288,БЦ_ALL!C210,'Адресная программа'!$C$20:$C$4288,БЦ_ALL!B210,'Адресная программа'!$N$20:$N$4288,1)*$K$7)</f>
        <v/>
      </c>
      <c r="N210" s="938">
        <f>IF(M210=0,0,J210/M210*1000)</f>
        <v/>
      </c>
      <c r="O210" s="389" t="n"/>
    </row>
    <row r="211" ht="14.4" customHeight="1">
      <c r="B211" s="253" t="inlineStr">
        <is>
          <t>Санкт-Петербург</t>
        </is>
      </c>
      <c r="C211" s="264" t="inlineStr">
        <is>
          <t>Желтый угол</t>
        </is>
      </c>
      <c r="D211" s="303">
        <f>SUMIFS('Адресная программа'!$K$2975:$K$4468,'Адресная программа'!$I$2975:$I$4468,БЦ_ALL!C211,'Адресная программа'!$C$2975:$C$4468,БЦ_ALL!B211,'Адресная программа'!$N$2975:$N$4468,1)</f>
        <v/>
      </c>
      <c r="E211" s="994">
        <f>'Цены|Скидки'!$E$25</f>
        <v/>
      </c>
      <c r="F211" s="942">
        <f>SUM(E211*D211*$K$7/15*$K$9)</f>
        <v/>
      </c>
      <c r="G211" s="156">
        <f>IF(SUMIFS('Адресная программа'!$O$20:$O$4940,'Адресная программа'!$N$20:$N$4940,1,'Адресная программа'!$C$20:$C$4940,B211,'Адресная программа'!$G$20:$G$4940,"Бизнес центр")=SUMIFS('Адресная программа'!$K$20:$K$4940,'Адресная программа'!$L$20:$L$4940,1,'Адресная программа'!$C$20:$C$4940,B211,'Адресная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программа'!$C$20:$C$4940,B211,'Адресная программа'!$G$20:$G$4940,"Бизнес центр")&gt;(SUMIFS('Адресная программа'!$K$20:$K$4940,'Адресная программа'!$L$20:$L$4940,1,'Адресная программа'!$C$20:$C$4940,B211,'Адресная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программа'!$C$20:$C$4940,B211,'Адресная программа'!$G$20:$G$4940,"Бизнес центр")&gt;(SUMIFS('Адресная программа'!$K$20:$K$4940,'Адресная программа'!$L$20:$L$4940,1,'Адресная программа'!$C$20:$C$4940,B211,'Адресная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программа'!$C$20:$C$4940,B211,'Адресная программа'!$G$20:$G$4940,"Бизнес центр")&gt;(SUMIFS('Адресная программа'!$K$20:$K$4940,'Адресная программа'!$L$20:$L$4940,1,'Адресная программа'!$C$20:$C$4940,B211,'Адресная программа'!$G$20:$G$4940,"Бизнес центр")*'Цены|Скидки'!$B$55-1),'Цены|Скидки'!$C$55,0%))))</f>
        <v/>
      </c>
      <c r="H211" s="156">
        <f>D$12</f>
        <v/>
      </c>
      <c r="I211" s="190">
        <f>IF(D211=0,0,1-J211/F211)</f>
        <v/>
      </c>
      <c r="J211" s="934">
        <f>F211*(1-G211)*(1-H211)*(1-IF($AC$2="РА",$AD$2,0))*(1-IF(OR($AC$3="Доп скидка",$AC$3="Сезонная скидка",$AC$3="Welcome скидка")=TRUE,$AD$3,0))</f>
        <v/>
      </c>
      <c r="K211" s="934">
        <f>ROUND(J211+L211,2)</f>
        <v/>
      </c>
      <c r="L211" s="934">
        <f>J211*БЦ!$AD$4</f>
        <v/>
      </c>
      <c r="M211" s="159">
        <f>(SUMIFS('Адресная программа'!$H$20:$H$4288,'Адресная программа'!$I$20:$I$4288,БЦ_ALL!C211,'Адресная программа'!$C$20:$C$4288,БЦ_ALL!B211,'Адресная программа'!$N$20:$N$4288,1)*$K$7)</f>
        <v/>
      </c>
      <c r="N211" s="938">
        <f>IF(M211=0,0,J211/M211*1000)</f>
        <v/>
      </c>
      <c r="O211" s="389" t="n"/>
    </row>
    <row r="212" ht="14.4" customHeight="1">
      <c r="B212" s="253" t="inlineStr">
        <is>
          <t>Санкт-Петербург</t>
        </is>
      </c>
      <c r="C212" s="264" t="inlineStr">
        <is>
          <t>Зима</t>
        </is>
      </c>
      <c r="D212" s="303">
        <f>SUMIFS('Адресная программа'!$K$2975:$K$4468,'Адресная программа'!$I$2975:$I$4468,БЦ_ALL!C212,'Адресная программа'!$C$2975:$C$4468,БЦ_ALL!B212,'Адресная программа'!$N$2975:$N$4468,1)</f>
        <v/>
      </c>
      <c r="E212" s="994">
        <f>'Цены|Скидки'!$E$25</f>
        <v/>
      </c>
      <c r="F212" s="942">
        <f>SUM(E212*D212*$K$7/15*$K$9)</f>
        <v/>
      </c>
      <c r="G212" s="156">
        <f>IF(SUMIFS('Адресная программа'!$O$20:$O$4940,'Адресная программа'!$N$20:$N$4940,1,'Адресная программа'!$C$20:$C$4940,B212,'Адресная программа'!$G$20:$G$4940,"Бизнес центр")=SUMIFS('Адресная программа'!$K$20:$K$4940,'Адресная программа'!$L$20:$L$4940,1,'Адресная программа'!$C$20:$C$4940,B212,'Адресная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программа'!$C$20:$C$4940,B212,'Адресная программа'!$G$20:$G$4940,"Бизнес центр")&gt;(SUMIFS('Адресная программа'!$K$20:$K$4940,'Адресная программа'!$L$20:$L$4940,1,'Адресная программа'!$C$20:$C$4940,B212,'Адресная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программа'!$C$20:$C$4940,B212,'Адресная программа'!$G$20:$G$4940,"Бизнес центр")&gt;(SUMIFS('Адресная программа'!$K$20:$K$4940,'Адресная программа'!$L$20:$L$4940,1,'Адресная программа'!$C$20:$C$4940,B212,'Адресная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программа'!$C$20:$C$4940,B212,'Адресная программа'!$G$20:$G$4940,"Бизнес центр")&gt;(SUMIFS('Адресная программа'!$K$20:$K$4940,'Адресная программа'!$L$20:$L$4940,1,'Адресная программа'!$C$20:$C$4940,B212,'Адресная программа'!$G$20:$G$4940,"Бизнес центр")*'Цены|Скидки'!$B$55-1),'Цены|Скидки'!$C$55,0%))))</f>
        <v/>
      </c>
      <c r="H212" s="156">
        <f>D$12</f>
        <v/>
      </c>
      <c r="I212" s="190">
        <f>IF(D212=0,0,1-J212/F212)</f>
        <v/>
      </c>
      <c r="J212" s="934">
        <f>F212*(1-G212)*(1-H212)*(1-IF($AC$2="РА",$AD$2,0))*(1-IF(OR($AC$3="Доп скидка",$AC$3="Сезонная скидка",$AC$3="Welcome скидка")=TRUE,$AD$3,0))</f>
        <v/>
      </c>
      <c r="K212" s="934">
        <f>ROUND(J212+L212,2)</f>
        <v/>
      </c>
      <c r="L212" s="934">
        <f>J212*БЦ!$AD$4</f>
        <v/>
      </c>
      <c r="M212" s="159">
        <f>(SUMIFS('Адресная программа'!$H$20:$H$4288,'Адресная программа'!$I$20:$I$4288,БЦ_ALL!C212,'Адресная программа'!$C$20:$C$4288,БЦ_ALL!B212,'Адресная программа'!$N$20:$N$4288,1)*$K$7)</f>
        <v/>
      </c>
      <c r="N212" s="938">
        <f>IF(M212=0,0,J212/M212*1000)</f>
        <v/>
      </c>
      <c r="O212" s="389" t="n"/>
    </row>
    <row r="213" ht="14.4" customHeight="1">
      <c r="B213" s="253" t="inlineStr">
        <is>
          <t>Санкт-Петербург</t>
        </is>
      </c>
      <c r="C213" s="264" t="inlineStr">
        <is>
          <t>Золотая Долина</t>
        </is>
      </c>
      <c r="D213" s="303">
        <f>SUMIFS('Адресная программа'!$K$2975:$K$4468,'Адресная программа'!$I$2975:$I$4468,БЦ_ALL!C213,'Адресная программа'!$C$2975:$C$4468,БЦ_ALL!B213,'Адресная программа'!$N$2975:$N$4468,1)</f>
        <v/>
      </c>
      <c r="E213" s="994">
        <f>'Цены|Скидки'!$E$25</f>
        <v/>
      </c>
      <c r="F213" s="942">
        <f>SUM(E213*D213*$K$7/15*$K$9)</f>
        <v/>
      </c>
      <c r="G213" s="156">
        <f>IF(SUMIFS('Адресная программа'!$O$20:$O$4940,'Адресная программа'!$N$20:$N$4940,1,'Адресная программа'!$C$20:$C$4940,B213,'Адресная программа'!$G$20:$G$4940,"Бизнес центр")=SUMIFS('Адресная программа'!$K$20:$K$4940,'Адресная программа'!$L$20:$L$4940,1,'Адресная программа'!$C$20:$C$4940,B213,'Адресная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программа'!$C$20:$C$4940,B213,'Адресная программа'!$G$20:$G$4940,"Бизнес центр")&gt;(SUMIFS('Адресная программа'!$K$20:$K$4940,'Адресная программа'!$L$20:$L$4940,1,'Адресная программа'!$C$20:$C$4940,B213,'Адресная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программа'!$C$20:$C$4940,B213,'Адресная программа'!$G$20:$G$4940,"Бизнес центр")&gt;(SUMIFS('Адресная программа'!$K$20:$K$4940,'Адресная программа'!$L$20:$L$4940,1,'Адресная программа'!$C$20:$C$4940,B213,'Адресная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программа'!$C$20:$C$4940,B213,'Адресная программа'!$G$20:$G$4940,"Бизнес центр")&gt;(SUMIFS('Адресная программа'!$K$20:$K$4940,'Адресная программа'!$L$20:$L$4940,1,'Адресная программа'!$C$20:$C$4940,B213,'Адресная программа'!$G$20:$G$4940,"Бизнес центр")*'Цены|Скидки'!$B$55-1),'Цены|Скидки'!$C$55,0%))))</f>
        <v/>
      </c>
      <c r="H213" s="156">
        <f>D$12</f>
        <v/>
      </c>
      <c r="I213" s="190">
        <f>IF(D213=0,0,1-J213/F213)</f>
        <v/>
      </c>
      <c r="J213" s="934">
        <f>F213*(1-G213)*(1-H213)*(1-IF($AC$2="РА",$AD$2,0))*(1-IF(OR($AC$3="Доп скидка",$AC$3="Сезонная скидка",$AC$3="Welcome скидка")=TRUE,$AD$3,0))</f>
        <v/>
      </c>
      <c r="K213" s="934">
        <f>ROUND(J213+L213,2)</f>
        <v/>
      </c>
      <c r="L213" s="934">
        <f>J213*БЦ!$AD$4</f>
        <v/>
      </c>
      <c r="M213" s="159">
        <f>(SUMIFS('Адресная программа'!$H$20:$H$4288,'Адресная программа'!$I$20:$I$4288,БЦ_ALL!C213,'Адресная программа'!$C$20:$C$4288,БЦ_ALL!B213,'Адресная программа'!$N$20:$N$4288,1)*$K$7)</f>
        <v/>
      </c>
      <c r="N213" s="938">
        <f>IF(M213=0,0,J213/M213*1000)</f>
        <v/>
      </c>
      <c r="O213" s="389" t="n"/>
    </row>
    <row r="214" ht="14.4" customHeight="1">
      <c r="B214" s="253" t="inlineStr">
        <is>
          <t>Санкт-Петербург</t>
        </is>
      </c>
      <c r="C214" s="264" t="inlineStr">
        <is>
          <t>Золотая Шпалерная</t>
        </is>
      </c>
      <c r="D214" s="303">
        <f>SUMIFS('Адресная программа'!$K$2975:$K$4468,'Адресная программа'!$I$2975:$I$4468,БЦ_ALL!C214,'Адресная программа'!$C$2975:$C$4468,БЦ_ALL!B214,'Адресная программа'!$N$2975:$N$4468,1)</f>
        <v/>
      </c>
      <c r="E214" s="994">
        <f>'Цены|Скидки'!$E$25</f>
        <v/>
      </c>
      <c r="F214" s="942">
        <f>SUM(E214*D214*$K$7/15*$K$9)</f>
        <v/>
      </c>
      <c r="G214" s="156">
        <f>IF(SUMIFS('Адресная программа'!$O$20:$O$4940,'Адресная программа'!$N$20:$N$4940,1,'Адресная программа'!$C$20:$C$4940,B214,'Адресная программа'!$G$20:$G$4940,"Бизнес центр")=SUMIFS('Адресная программа'!$K$20:$K$4940,'Адресная программа'!$L$20:$L$4940,1,'Адресная программа'!$C$20:$C$4940,B214,'Адресная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программа'!$C$20:$C$4940,B214,'Адресная программа'!$G$20:$G$4940,"Бизнес центр")&gt;(SUMIFS('Адресная программа'!$K$20:$K$4940,'Адресная программа'!$L$20:$L$4940,1,'Адресная программа'!$C$20:$C$4940,B214,'Адресная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программа'!$C$20:$C$4940,B214,'Адресная программа'!$G$20:$G$4940,"Бизнес центр")&gt;(SUMIFS('Адресная программа'!$K$20:$K$4940,'Адресная программа'!$L$20:$L$4940,1,'Адресная программа'!$C$20:$C$4940,B214,'Адресная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программа'!$C$20:$C$4940,B214,'Адресная программа'!$G$20:$G$4940,"Бизнес центр")&gt;(SUMIFS('Адресная программа'!$K$20:$K$4940,'Адресная программа'!$L$20:$L$4940,1,'Адресная программа'!$C$20:$C$4940,B214,'Адресная программа'!$G$20:$G$4940,"Бизнес центр")*'Цены|Скидки'!$B$55-1),'Цены|Скидки'!$C$55,0%))))</f>
        <v/>
      </c>
      <c r="H214" s="156">
        <f>D$12</f>
        <v/>
      </c>
      <c r="I214" s="190">
        <f>IF(D214=0,0,1-J214/F214)</f>
        <v/>
      </c>
      <c r="J214" s="934">
        <f>F214*(1-G214)*(1-H214)*(1-IF($AC$2="РА",$AD$2,0))*(1-IF(OR($AC$3="Доп скидка",$AC$3="Сезонная скидка",$AC$3="Welcome скидка")=TRUE,$AD$3,0))</f>
        <v/>
      </c>
      <c r="K214" s="934">
        <f>ROUND(J214+L214,2)</f>
        <v/>
      </c>
      <c r="L214" s="934">
        <f>J214*БЦ!$AD$4</f>
        <v/>
      </c>
      <c r="M214" s="159">
        <f>(SUMIFS('Адресная программа'!$H$20:$H$4288,'Адресная программа'!$I$20:$I$4288,БЦ_ALL!C214,'Адресная программа'!$C$20:$C$4288,БЦ_ALL!B214,'Адресная программа'!$N$20:$N$4288,1)*$K$7)</f>
        <v/>
      </c>
      <c r="N214" s="938">
        <f>IF(M214=0,0,J214/M214*1000)</f>
        <v/>
      </c>
      <c r="O214" s="389" t="n"/>
    </row>
    <row r="215" ht="14.4" customHeight="1">
      <c r="B215" s="253" t="inlineStr">
        <is>
          <t>Санкт-Петербург</t>
        </is>
      </c>
      <c r="C215" s="264" t="inlineStr">
        <is>
          <t>Империал</t>
        </is>
      </c>
      <c r="D215" s="303">
        <f>SUMIFS('Адресная программа'!$K$2975:$K$4468,'Адресная программа'!$I$2975:$I$4468,БЦ_ALL!C215,'Адресная программа'!$C$2975:$C$4468,БЦ_ALL!B215,'Адресная программа'!$N$2975:$N$4468,1)</f>
        <v/>
      </c>
      <c r="E215" s="994">
        <f>'Цены|Скидки'!$E$25</f>
        <v/>
      </c>
      <c r="F215" s="942">
        <f>SUM(E215*D215*$K$7/15*$K$9)</f>
        <v/>
      </c>
      <c r="G215" s="156">
        <f>IF(SUMIFS('Адресная программа'!$O$20:$O$4940,'Адресная программа'!$N$20:$N$4940,1,'Адресная программа'!$C$20:$C$4940,B215,'Адресная программа'!$G$20:$G$4940,"Бизнес центр")=SUMIFS('Адресная программа'!$K$20:$K$4940,'Адресная программа'!$L$20:$L$4940,1,'Адресная программа'!$C$20:$C$4940,B215,'Адресная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программа'!$C$20:$C$4940,B215,'Адресная программа'!$G$20:$G$4940,"Бизнес центр")&gt;(SUMIFS('Адресная программа'!$K$20:$K$4940,'Адресная программа'!$L$20:$L$4940,1,'Адресная программа'!$C$20:$C$4940,B215,'Адресная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программа'!$C$20:$C$4940,B215,'Адресная программа'!$G$20:$G$4940,"Бизнес центр")&gt;(SUMIFS('Адресная программа'!$K$20:$K$4940,'Адресная программа'!$L$20:$L$4940,1,'Адресная программа'!$C$20:$C$4940,B215,'Адресная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программа'!$C$20:$C$4940,B215,'Адресная программа'!$G$20:$G$4940,"Бизнес центр")&gt;(SUMIFS('Адресная программа'!$K$20:$K$4940,'Адресная программа'!$L$20:$L$4940,1,'Адресная программа'!$C$20:$C$4940,B215,'Адресная программа'!$G$20:$G$4940,"Бизнес центр")*'Цены|Скидки'!$B$55-1),'Цены|Скидки'!$C$55,0%))))</f>
        <v/>
      </c>
      <c r="H215" s="156">
        <f>D$12</f>
        <v/>
      </c>
      <c r="I215" s="190">
        <f>IF(D215=0,0,1-J215/F215)</f>
        <v/>
      </c>
      <c r="J215" s="934">
        <f>F215*(1-G215)*(1-H215)*(1-IF($AC$2="РА",$AD$2,0))*(1-IF(OR($AC$3="Доп скидка",$AC$3="Сезонная скидка",$AC$3="Welcome скидка")=TRUE,$AD$3,0))</f>
        <v/>
      </c>
      <c r="K215" s="934">
        <f>ROUND(J215+L215,2)</f>
        <v/>
      </c>
      <c r="L215" s="934">
        <f>J215*БЦ!$AD$4</f>
        <v/>
      </c>
      <c r="M215" s="159">
        <f>(SUMIFS('Адресная программа'!$H$20:$H$4288,'Адресная программа'!$I$20:$I$4288,БЦ_ALL!C215,'Адресная программа'!$C$20:$C$4288,БЦ_ALL!B215,'Адресная программа'!$N$20:$N$4288,1)*$K$7)</f>
        <v/>
      </c>
      <c r="N215" s="938">
        <f>IF(M215=0,0,J215/M215*1000)</f>
        <v/>
      </c>
      <c r="O215" s="389" t="n"/>
    </row>
    <row r="216" ht="14.4" customHeight="1">
      <c r="B216" s="253" t="inlineStr">
        <is>
          <t>Санкт-Петербург</t>
        </is>
      </c>
      <c r="C216" s="264" t="inlineStr">
        <is>
          <t>Истен</t>
        </is>
      </c>
      <c r="D216" s="303">
        <f>SUMIFS('Адресная программа'!$K$2975:$K$4468,'Адресная программа'!$I$2975:$I$4468,БЦ_ALL!C216,'Адресная программа'!$C$2975:$C$4468,БЦ_ALL!B216,'Адресная программа'!$N$2975:$N$4468,1)</f>
        <v/>
      </c>
      <c r="E216" s="994">
        <f>'Цены|Скидки'!$E$25</f>
        <v/>
      </c>
      <c r="F216" s="942">
        <f>SUM(E216*D216*$K$7/15*$K$9)</f>
        <v/>
      </c>
      <c r="G216" s="156">
        <f>IF(SUMIFS('Адресная программа'!$O$20:$O$4940,'Адресная программа'!$N$20:$N$4940,1,'Адресная программа'!$C$20:$C$4940,B216,'Адресная программа'!$G$20:$G$4940,"Бизнес центр")=SUMIFS('Адресная программа'!$K$20:$K$4940,'Адресная программа'!$L$20:$L$4940,1,'Адресная программа'!$C$20:$C$4940,B216,'Адресная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программа'!$C$20:$C$4940,B216,'Адресная программа'!$G$20:$G$4940,"Бизнес центр")&gt;(SUMIFS('Адресная программа'!$K$20:$K$4940,'Адресная программа'!$L$20:$L$4940,1,'Адресная программа'!$C$20:$C$4940,B216,'Адресная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программа'!$C$20:$C$4940,B216,'Адресная программа'!$G$20:$G$4940,"Бизнес центр")&gt;(SUMIFS('Адресная программа'!$K$20:$K$4940,'Адресная программа'!$L$20:$L$4940,1,'Адресная программа'!$C$20:$C$4940,B216,'Адресная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программа'!$C$20:$C$4940,B216,'Адресная программа'!$G$20:$G$4940,"Бизнес центр")&gt;(SUMIFS('Адресная программа'!$K$20:$K$4940,'Адресная программа'!$L$20:$L$4940,1,'Адресная программа'!$C$20:$C$4940,B216,'Адресная программа'!$G$20:$G$4940,"Бизнес центр")*'Цены|Скидки'!$B$55-1),'Цены|Скидки'!$C$55,0%))))</f>
        <v/>
      </c>
      <c r="H216" s="156">
        <f>D$12</f>
        <v/>
      </c>
      <c r="I216" s="190">
        <f>IF(D216=0,0,1-J216/F216)</f>
        <v/>
      </c>
      <c r="J216" s="934">
        <f>F216*(1-G216)*(1-H216)*(1-IF($AC$2="РА",$AD$2,0))*(1-IF(OR($AC$3="Доп скидка",$AC$3="Сезонная скидка",$AC$3="Welcome скидка")=TRUE,$AD$3,0))</f>
        <v/>
      </c>
      <c r="K216" s="934">
        <f>ROUND(J216+L216,2)</f>
        <v/>
      </c>
      <c r="L216" s="934">
        <f>J216*БЦ!$AD$4</f>
        <v/>
      </c>
      <c r="M216" s="159">
        <f>(SUMIFS('Адресная программа'!$H$20:$H$4288,'Адресная программа'!$I$20:$I$4288,БЦ_ALL!C216,'Адресная программа'!$C$20:$C$4288,БЦ_ALL!B216,'Адресная программа'!$N$20:$N$4288,1)*$K$7)</f>
        <v/>
      </c>
      <c r="N216" s="938">
        <f>IF(M216=0,0,J216/M216*1000)</f>
        <v/>
      </c>
      <c r="O216" s="389" t="n"/>
    </row>
    <row r="217" ht="14.4" customHeight="1">
      <c r="B217" s="253" t="inlineStr">
        <is>
          <t>Санкт-Петербург</t>
        </is>
      </c>
      <c r="C217" s="264" t="inlineStr">
        <is>
          <t>Карелия</t>
        </is>
      </c>
      <c r="D217" s="303">
        <f>SUMIFS('Адресная программа'!$K$2975:$K$4468,'Адресная программа'!$I$2975:$I$4468,БЦ_ALL!C217,'Адресная программа'!$C$2975:$C$4468,БЦ_ALL!B217,'Адресная программа'!$N$2975:$N$4468,1)</f>
        <v/>
      </c>
      <c r="E217" s="994">
        <f>'Цены|Скидки'!$E$25</f>
        <v/>
      </c>
      <c r="F217" s="942">
        <f>SUM(E217*D217*$K$7/15*$K$9)</f>
        <v/>
      </c>
      <c r="G217" s="156">
        <f>IF(SUMIFS('Адресная программа'!$O$20:$O$4940,'Адресная программа'!$N$20:$N$4940,1,'Адресная программа'!$C$20:$C$4940,B217,'Адресная программа'!$G$20:$G$4940,"Бизнес центр")=SUMIFS('Адресная программа'!$K$20:$K$4940,'Адресная программа'!$L$20:$L$4940,1,'Адресная программа'!$C$20:$C$4940,B217,'Адресная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программа'!$C$20:$C$4940,B217,'Адресная программа'!$G$20:$G$4940,"Бизнес центр")&gt;(SUMIFS('Адресная программа'!$K$20:$K$4940,'Адресная программа'!$L$20:$L$4940,1,'Адресная программа'!$C$20:$C$4940,B217,'Адресная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программа'!$C$20:$C$4940,B217,'Адресная программа'!$G$20:$G$4940,"Бизнес центр")&gt;(SUMIFS('Адресная программа'!$K$20:$K$4940,'Адресная программа'!$L$20:$L$4940,1,'Адресная программа'!$C$20:$C$4940,B217,'Адресная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программа'!$C$20:$C$4940,B217,'Адресная программа'!$G$20:$G$4940,"Бизнес центр")&gt;(SUMIFS('Адресная программа'!$K$20:$K$4940,'Адресная программа'!$L$20:$L$4940,1,'Адресная программа'!$C$20:$C$4940,B217,'Адресная программа'!$G$20:$G$4940,"Бизнес центр")*'Цены|Скидки'!$B$55-1),'Цены|Скидки'!$C$55,0%))))</f>
        <v/>
      </c>
      <c r="H217" s="156">
        <f>D$12</f>
        <v/>
      </c>
      <c r="I217" s="190">
        <f>IF(D217=0,0,1-J217/F217)</f>
        <v/>
      </c>
      <c r="J217" s="934">
        <f>F217*(1-G217)*(1-H217)*(1-IF($AC$2="РА",$AD$2,0))*(1-IF(OR($AC$3="Доп скидка",$AC$3="Сезонная скидка",$AC$3="Welcome скидка")=TRUE,$AD$3,0))</f>
        <v/>
      </c>
      <c r="K217" s="934">
        <f>ROUND(J217+L217,2)</f>
        <v/>
      </c>
      <c r="L217" s="934">
        <f>J217*БЦ!$AD$4</f>
        <v/>
      </c>
      <c r="M217" s="159">
        <f>(SUMIFS('Адресная программа'!$H$20:$H$4288,'Адресная программа'!$I$20:$I$4288,БЦ_ALL!C217,'Адресная программа'!$C$20:$C$4288,БЦ_ALL!B217,'Адресная программа'!$N$20:$N$4288,1)*$K$7)</f>
        <v/>
      </c>
      <c r="N217" s="938">
        <f>IF(M217=0,0,J217/M217*1000)</f>
        <v/>
      </c>
      <c r="O217" s="389" t="n"/>
    </row>
    <row r="218" ht="14.4" customHeight="1">
      <c r="B218" s="253" t="inlineStr">
        <is>
          <t>Санкт-Петербург</t>
        </is>
      </c>
      <c r="C218" s="264" t="inlineStr">
        <is>
          <t>Катарсис</t>
        </is>
      </c>
      <c r="D218" s="303">
        <f>SUMIFS('Адресная программа'!$K$2975:$K$4468,'Адресная программа'!$I$2975:$I$4468,БЦ_ALL!C218,'Адресная программа'!$C$2975:$C$4468,БЦ_ALL!B218,'Адресная программа'!$N$2975:$N$4468,1)</f>
        <v/>
      </c>
      <c r="E218" s="994">
        <f>'Цены|Скидки'!$E$25</f>
        <v/>
      </c>
      <c r="F218" s="942">
        <f>SUM(E218*D218*$K$7/15*$K$9)</f>
        <v/>
      </c>
      <c r="G218" s="156">
        <f>IF(SUMIFS('Адресная программа'!$O$20:$O$4940,'Адресная программа'!$N$20:$N$4940,1,'Адресная программа'!$C$20:$C$4940,B218,'Адресная программа'!$G$20:$G$4940,"Бизнес центр")=SUMIFS('Адресная программа'!$K$20:$K$4940,'Адресная программа'!$L$20:$L$4940,1,'Адресная программа'!$C$20:$C$4940,B218,'Адресная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программа'!$C$20:$C$4940,B218,'Адресная программа'!$G$20:$G$4940,"Бизнес центр")&gt;(SUMIFS('Адресная программа'!$K$20:$K$4940,'Адресная программа'!$L$20:$L$4940,1,'Адресная программа'!$C$20:$C$4940,B218,'Адресная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программа'!$C$20:$C$4940,B218,'Адресная программа'!$G$20:$G$4940,"Бизнес центр")&gt;(SUMIFS('Адресная программа'!$K$20:$K$4940,'Адресная программа'!$L$20:$L$4940,1,'Адресная программа'!$C$20:$C$4940,B218,'Адресная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программа'!$C$20:$C$4940,B218,'Адресная программа'!$G$20:$G$4940,"Бизнес центр")&gt;(SUMIFS('Адресная программа'!$K$20:$K$4940,'Адресная программа'!$L$20:$L$4940,1,'Адресная программа'!$C$20:$C$4940,B218,'Адресная программа'!$G$20:$G$4940,"Бизнес центр")*'Цены|Скидки'!$B$55-1),'Цены|Скидки'!$C$55,0%))))</f>
        <v/>
      </c>
      <c r="H218" s="156">
        <f>D$12</f>
        <v/>
      </c>
      <c r="I218" s="190">
        <f>IF(D218=0,0,1-J218/F218)</f>
        <v/>
      </c>
      <c r="J218" s="934">
        <f>F218*(1-G218)*(1-H218)*(1-IF($AC$2="РА",$AD$2,0))*(1-IF(OR($AC$3="Доп скидка",$AC$3="Сезонная скидка",$AC$3="Welcome скидка")=TRUE,$AD$3,0))</f>
        <v/>
      </c>
      <c r="K218" s="934">
        <f>ROUND(J218+L218,2)</f>
        <v/>
      </c>
      <c r="L218" s="934">
        <f>J218*БЦ!$AD$4</f>
        <v/>
      </c>
      <c r="M218" s="159">
        <f>(SUMIFS('Адресная программа'!$H$20:$H$4288,'Адресная программа'!$I$20:$I$4288,БЦ_ALL!C218,'Адресная программа'!$C$20:$C$4288,БЦ_ALL!B218,'Адресная программа'!$N$20:$N$4288,1)*$K$7)</f>
        <v/>
      </c>
      <c r="N218" s="938">
        <f>IF(M218=0,0,J218/M218*1000)</f>
        <v/>
      </c>
      <c r="O218" s="389" t="n"/>
    </row>
    <row r="219" ht="14.4" customHeight="1">
      <c r="B219" s="253" t="inlineStr">
        <is>
          <t>Санкт-Петербург</t>
        </is>
      </c>
      <c r="C219" s="264" t="inlineStr">
        <is>
          <t>Квартал</t>
        </is>
      </c>
      <c r="D219" s="303">
        <f>SUMIFS('Адресная программа'!$K$2975:$K$4468,'Адресная программа'!$I$2975:$I$4468,БЦ_ALL!C219,'Адресная программа'!$C$2975:$C$4468,БЦ_ALL!B219,'Адресная программа'!$L$2975:$L$4468,1)</f>
        <v/>
      </c>
      <c r="E219" s="994">
        <f>'Цены|Скидки'!$E$25</f>
        <v/>
      </c>
      <c r="F219" s="942">
        <f>SUM(E219*D219*$K$7/15*$K$9)</f>
        <v/>
      </c>
      <c r="G219" s="156">
        <f>IF('Адресная программа'!$V$13='Адресная программа'!$U$13,'Цены|Скидки'!$C$52,IF('Адресная программа'!$V$13&gt;('Адресная программа'!$U$13*'Цены|Скидки'!$B$53-1),'Цены|Скидки'!$C$53,IF('Адресная программа'!$V$13&gt;('Адресная программа'!$U$13*'Цены|Скидки'!$B$54-1),'Цены|Скидки'!$C$54,IF('Адресная программа'!$V$13&gt;('Адресная программа'!$U$13*'Цены|Скидки'!$B$55-1),'Цены|Скидки'!$C$55,0%))))</f>
        <v/>
      </c>
      <c r="H219" s="156">
        <f>D$12</f>
        <v/>
      </c>
      <c r="I219" s="190">
        <f>IF(D219=0,0,1-J219/F219)</f>
        <v/>
      </c>
      <c r="J219" s="934">
        <f>F219*(1-G219)*(1-H219)*(1-IF($AC$2="РА",$AD$2,0))*(1-IF(OR($AC$3="Доп скидка",$AC$3="Сезонная скидка",$AC$3="Welcome скидка")=TRUE,$AD$3,0))</f>
        <v/>
      </c>
      <c r="K219" s="934">
        <f>ROUND(J219+L219,2)</f>
        <v/>
      </c>
      <c r="L219" s="934">
        <f>J219*0.2</f>
        <v/>
      </c>
      <c r="M219" s="159">
        <f>O219*$K$7</f>
        <v/>
      </c>
      <c r="N219" s="938">
        <f>IF(M219=0,0,J219/M219*1000)</f>
        <v/>
      </c>
      <c r="O219" s="387" t="n">
        <v>11212</v>
      </c>
    </row>
    <row r="220" ht="14.4" customHeight="1">
      <c r="B220" s="253" t="inlineStr">
        <is>
          <t>Санкт-Петербург</t>
        </is>
      </c>
      <c r="C220" s="264" t="inlineStr">
        <is>
          <t>Лениздат</t>
        </is>
      </c>
      <c r="D220" s="303">
        <f>SUMIFS('Адресная программа'!$K$2975:$K$4468,'Адресная программа'!$I$2975:$I$4468,БЦ_ALL!C220,'Адресная программа'!$C$2975:$C$4468,БЦ_ALL!B220,'Адресная программа'!$N$2975:$N$4468,1)</f>
        <v/>
      </c>
      <c r="E220" s="994">
        <f>'Цены|Скидки'!$E$25</f>
        <v/>
      </c>
      <c r="F220" s="942">
        <f>SUM(E220*D220*$K$7/15*$K$9)</f>
        <v/>
      </c>
      <c r="G220" s="156">
        <f>IF(SUMIFS('Адресная программа'!$O$20:$O$4940,'Адресная программа'!$N$20:$N$4940,1,'Адресная программа'!$C$20:$C$4940,B220,'Адресная программа'!$G$20:$G$4940,"Бизнес центр")=SUMIFS('Адресная программа'!$K$20:$K$4940,'Адресная программа'!$L$20:$L$4940,1,'Адресная программа'!$C$20:$C$4940,B220,'Адресная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программа'!$C$20:$C$4940,B220,'Адресная программа'!$G$20:$G$4940,"Бизнес центр")&gt;(SUMIFS('Адресная программа'!$K$20:$K$4940,'Адресная программа'!$L$20:$L$4940,1,'Адресная программа'!$C$20:$C$4940,B220,'Адресная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программа'!$C$20:$C$4940,B220,'Адресная программа'!$G$20:$G$4940,"Бизнес центр")&gt;(SUMIFS('Адресная программа'!$K$20:$K$4940,'Адресная программа'!$L$20:$L$4940,1,'Адресная программа'!$C$20:$C$4940,B220,'Адресная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программа'!$C$20:$C$4940,B220,'Адресная программа'!$G$20:$G$4940,"Бизнес центр")&gt;(SUMIFS('Адресная программа'!$K$20:$K$4940,'Адресная программа'!$L$20:$L$4940,1,'Адресная программа'!$C$20:$C$4940,B220,'Адресная программа'!$G$20:$G$4940,"Бизнес центр")*'Цены|Скидки'!$B$55-1),'Цены|Скидки'!$C$55,0%))))</f>
        <v/>
      </c>
      <c r="H220" s="156">
        <f>D$12</f>
        <v/>
      </c>
      <c r="I220" s="190">
        <f>IF(D220=0,0,1-J220/F220)</f>
        <v/>
      </c>
      <c r="J220" s="934">
        <f>F220*(1-G220)*(1-H220)*(1-IF($AC$2="РА",$AD$2,0))*(1-IF(OR($AC$3="Доп скидка",$AC$3="Сезонная скидка",$AC$3="Welcome скидка")=TRUE,$AD$3,0))</f>
        <v/>
      </c>
      <c r="K220" s="934">
        <f>ROUND(J220+L220,2)</f>
        <v/>
      </c>
      <c r="L220" s="934">
        <f>J220*БЦ!$AD$4</f>
        <v/>
      </c>
      <c r="M220" s="159">
        <f>(SUMIFS('Адресная программа'!$H$20:$H$4288,'Адресная программа'!$I$20:$I$4288,БЦ_ALL!C220,'Адресная программа'!$C$20:$C$4288,БЦ_ALL!B220,'Адресная программа'!$N$20:$N$4288,1)*$K$7)</f>
        <v/>
      </c>
      <c r="N220" s="938">
        <f>IF(M220=0,0,J220/M220*1000)</f>
        <v/>
      </c>
      <c r="O220" s="389" t="n"/>
    </row>
    <row r="221" ht="14.4" customHeight="1">
      <c r="B221" s="253" t="inlineStr">
        <is>
          <t>Санкт-Петербург</t>
        </is>
      </c>
      <c r="C221" s="264" t="inlineStr">
        <is>
          <t>Ленинец</t>
        </is>
      </c>
      <c r="D221" s="303">
        <f>SUMIFS('Адресная программа'!$K$2975:$K$4468,'Адресная программа'!$I$2975:$I$4468,БЦ_ALL!C221,'Адресная программа'!$C$2975:$C$4468,БЦ_ALL!B221,'Адресная программа'!$N$2975:$N$4468,1)</f>
        <v/>
      </c>
      <c r="E221" s="994">
        <f>'Цены|Скидки'!$E$25</f>
        <v/>
      </c>
      <c r="F221" s="942">
        <f>SUM(E221*D221*$K$7/15*$K$9)</f>
        <v/>
      </c>
      <c r="G221" s="156">
        <f>IF(SUMIFS('Адресная программа'!$O$20:$O$4940,'Адресная программа'!$N$20:$N$4940,1,'Адресная программа'!$C$20:$C$4940,B221,'Адресная программа'!$G$20:$G$4940,"Бизнес центр")=SUMIFS('Адресная программа'!$K$20:$K$4940,'Адресная программа'!$L$20:$L$4940,1,'Адресная программа'!$C$20:$C$4940,B221,'Адресная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программа'!$C$20:$C$4940,B221,'Адресная программа'!$G$20:$G$4940,"Бизнес центр")&gt;(SUMIFS('Адресная программа'!$K$20:$K$4940,'Адресная программа'!$L$20:$L$4940,1,'Адресная программа'!$C$20:$C$4940,B221,'Адресная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программа'!$C$20:$C$4940,B221,'Адресная программа'!$G$20:$G$4940,"Бизнес центр")&gt;(SUMIFS('Адресная программа'!$K$20:$K$4940,'Адресная программа'!$L$20:$L$4940,1,'Адресная программа'!$C$20:$C$4940,B221,'Адресная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программа'!$C$20:$C$4940,B221,'Адресная программа'!$G$20:$G$4940,"Бизнес центр")&gt;(SUMIFS('Адресная программа'!$K$20:$K$4940,'Адресная программа'!$L$20:$L$4940,1,'Адресная программа'!$C$20:$C$4940,B221,'Адресная программа'!$G$20:$G$4940,"Бизнес центр")*'Цены|Скидки'!$B$55-1),'Цены|Скидки'!$C$55,0%))))</f>
        <v/>
      </c>
      <c r="H221" s="156">
        <f>D$12</f>
        <v/>
      </c>
      <c r="I221" s="190">
        <f>IF(D221=0,0,1-J221/F221)</f>
        <v/>
      </c>
      <c r="J221" s="934">
        <f>F221*(1-G221)*(1-H221)*(1-IF($AC$2="РА",$AD$2,0))*(1-IF(OR($AC$3="Доп скидка",$AC$3="Сезонная скидка",$AC$3="Welcome скидка")=TRUE,$AD$3,0))</f>
        <v/>
      </c>
      <c r="K221" s="934">
        <f>ROUND(J221+L221,2)</f>
        <v/>
      </c>
      <c r="L221" s="934">
        <f>J221*БЦ!$AD$4</f>
        <v/>
      </c>
      <c r="M221" s="159">
        <f>(SUMIFS('Адресная программа'!$H$20:$H$4288,'Адресная программа'!$I$20:$I$4288,БЦ_ALL!C221,'Адресная программа'!$C$20:$C$4288,БЦ_ALL!B221,'Адресная программа'!$N$20:$N$4288,1)*$K$7)</f>
        <v/>
      </c>
      <c r="N221" s="938">
        <f>IF(M221=0,0,J221/M221*1000)</f>
        <v/>
      </c>
      <c r="O221" s="389" t="n"/>
    </row>
    <row r="222" ht="14.4" customHeight="1">
      <c r="B222" s="253" t="inlineStr">
        <is>
          <t>Санкт-Петербург</t>
        </is>
      </c>
      <c r="C222" s="264" t="inlineStr">
        <is>
          <t>Леон</t>
        </is>
      </c>
      <c r="D222" s="303">
        <f>SUMIFS('Адресная программа'!$K$2975:$K$4468,'Адресная программа'!$I$2975:$I$4468,БЦ_ALL!C222,'Адресная программа'!$C$2975:$C$4468,БЦ_ALL!B222,'Адресная программа'!$N$2975:$N$4468,1)</f>
        <v/>
      </c>
      <c r="E222" s="994">
        <f>'Цены|Скидки'!$E$25</f>
        <v/>
      </c>
      <c r="F222" s="942">
        <f>SUM(E222*D222*$K$7/15*$K$9)</f>
        <v/>
      </c>
      <c r="G222" s="156">
        <f>IF(SUMIFS('Адресная программа'!$O$20:$O$4940,'Адресная программа'!$N$20:$N$4940,1,'Адресная программа'!$C$20:$C$4940,B222,'Адресная программа'!$G$20:$G$4940,"Бизнес центр")=SUMIFS('Адресная программа'!$K$20:$K$4940,'Адресная программа'!$L$20:$L$4940,1,'Адресная программа'!$C$20:$C$4940,B222,'Адресная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программа'!$C$20:$C$4940,B222,'Адресная программа'!$G$20:$G$4940,"Бизнес центр")&gt;(SUMIFS('Адресная программа'!$K$20:$K$4940,'Адресная программа'!$L$20:$L$4940,1,'Адресная программа'!$C$20:$C$4940,B222,'Адресная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программа'!$C$20:$C$4940,B222,'Адресная программа'!$G$20:$G$4940,"Бизнес центр")&gt;(SUMIFS('Адресная программа'!$K$20:$K$4940,'Адресная программа'!$L$20:$L$4940,1,'Адресная программа'!$C$20:$C$4940,B222,'Адресная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программа'!$C$20:$C$4940,B222,'Адресная программа'!$G$20:$G$4940,"Бизнес центр")&gt;(SUMIFS('Адресная программа'!$K$20:$K$4940,'Адресная программа'!$L$20:$L$4940,1,'Адресная программа'!$C$20:$C$4940,B222,'Адресная программа'!$G$20:$G$4940,"Бизнес центр")*'Цены|Скидки'!$B$55-1),'Цены|Скидки'!$C$55,0%))))</f>
        <v/>
      </c>
      <c r="H222" s="156">
        <f>D$12</f>
        <v/>
      </c>
      <c r="I222" s="190">
        <f>IF(D222=0,0,1-J222/F222)</f>
        <v/>
      </c>
      <c r="J222" s="934">
        <f>F222*(1-G222)*(1-H222)*(1-IF($AC$2="РА",$AD$2,0))*(1-IF(OR($AC$3="Доп скидка",$AC$3="Сезонная скидка",$AC$3="Welcome скидка")=TRUE,$AD$3,0))</f>
        <v/>
      </c>
      <c r="K222" s="934">
        <f>ROUND(J222+L222,2)</f>
        <v/>
      </c>
      <c r="L222" s="934">
        <f>J222*БЦ!$AD$4</f>
        <v/>
      </c>
      <c r="M222" s="159">
        <f>(SUMIFS('Адресная программа'!$H$20:$H$4288,'Адресная программа'!$I$20:$I$4288,БЦ_ALL!C222,'Адресная программа'!$C$20:$C$4288,БЦ_ALL!B222,'Адресная программа'!$N$20:$N$4288,1)*$K$7)</f>
        <v/>
      </c>
      <c r="N222" s="938">
        <f>IF(M222=0,0,J222/M222*1000)</f>
        <v/>
      </c>
      <c r="O222" s="389" t="n"/>
    </row>
    <row r="223" ht="14.4" customHeight="1">
      <c r="B223" s="253" t="inlineStr">
        <is>
          <t>Санкт-Петербург</t>
        </is>
      </c>
      <c r="C223" s="264" t="inlineStr">
        <is>
          <t>Лето</t>
        </is>
      </c>
      <c r="D223" s="303">
        <f>SUMIFS('Адресная программа'!$K$2975:$K$4468,'Адресная программа'!$I$2975:$I$4468,БЦ_ALL!C223,'Адресная программа'!$C$2975:$C$4468,БЦ_ALL!B223,'Адресная программа'!$N$2975:$N$4468,1)</f>
        <v/>
      </c>
      <c r="E223" s="994">
        <f>'Цены|Скидки'!$E$25</f>
        <v/>
      </c>
      <c r="F223" s="942">
        <f>SUM(E223*D223*$K$7/15*$K$9)</f>
        <v/>
      </c>
      <c r="G223" s="156">
        <f>IF(SUMIFS('Адресная программа'!$O$20:$O$4940,'Адресная программа'!$N$20:$N$4940,1,'Адресная программа'!$C$20:$C$4940,B223,'Адресная программа'!$G$20:$G$4940,"Бизнес центр")=SUMIFS('Адресная программа'!$K$20:$K$4940,'Адресная программа'!$L$20:$L$4940,1,'Адресная программа'!$C$20:$C$4940,B223,'Адресная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программа'!$C$20:$C$4940,B223,'Адресная программа'!$G$20:$G$4940,"Бизнес центр")&gt;(SUMIFS('Адресная программа'!$K$20:$K$4940,'Адресная программа'!$L$20:$L$4940,1,'Адресная программа'!$C$20:$C$4940,B223,'Адресная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программа'!$C$20:$C$4940,B223,'Адресная программа'!$G$20:$G$4940,"Бизнес центр")&gt;(SUMIFS('Адресная программа'!$K$20:$K$4940,'Адресная программа'!$L$20:$L$4940,1,'Адресная программа'!$C$20:$C$4940,B223,'Адресная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программа'!$C$20:$C$4940,B223,'Адресная программа'!$G$20:$G$4940,"Бизнес центр")&gt;(SUMIFS('Адресная программа'!$K$20:$K$4940,'Адресная программа'!$L$20:$L$4940,1,'Адресная программа'!$C$20:$C$4940,B223,'Адресная программа'!$G$20:$G$4940,"Бизнес центр")*'Цены|Скидки'!$B$55-1),'Цены|Скидки'!$C$55,0%))))</f>
        <v/>
      </c>
      <c r="H223" s="156">
        <f>D$12</f>
        <v/>
      </c>
      <c r="I223" s="190">
        <f>IF(D223=0,0,1-J223/F223)</f>
        <v/>
      </c>
      <c r="J223" s="934">
        <f>F223*(1-G223)*(1-H223)*(1-IF($AC$2="РА",$AD$2,0))*(1-IF(OR($AC$3="Доп скидка",$AC$3="Сезонная скидка",$AC$3="Welcome скидка")=TRUE,$AD$3,0))</f>
        <v/>
      </c>
      <c r="K223" s="934">
        <f>ROUND(J223+L223,2)</f>
        <v/>
      </c>
      <c r="L223" s="934">
        <f>J223*БЦ!$AD$4</f>
        <v/>
      </c>
      <c r="M223" s="159">
        <f>(SUMIFS('Адресная программа'!$H$20:$H$4288,'Адресная программа'!$I$20:$I$4288,БЦ_ALL!C223,'Адресная программа'!$C$20:$C$4288,БЦ_ALL!B223,'Адресная программа'!$N$20:$N$4288,1)*$K$7)</f>
        <v/>
      </c>
      <c r="N223" s="938">
        <f>IF(M223=0,0,J223/M223*1000)</f>
        <v/>
      </c>
      <c r="O223" s="389" t="n"/>
    </row>
    <row r="224" ht="14.4" customHeight="1">
      <c r="B224" s="253" t="inlineStr">
        <is>
          <t>Санкт-Петербург</t>
        </is>
      </c>
      <c r="C224" s="264" t="inlineStr">
        <is>
          <t>Лайнер</t>
        </is>
      </c>
      <c r="D224" s="303">
        <f>SUMIFS('Адресная программа'!$K$2975:$K$4468,'Адресная программа'!$I$2975:$I$4468,БЦ_ALL!C224,'Адресная программа'!$C$2975:$C$4468,БЦ_ALL!B224,'Адресная программа'!$N$2975:$N$4468,1)</f>
        <v/>
      </c>
      <c r="E224" s="994">
        <f>'Цены|Скидки'!$E$25</f>
        <v/>
      </c>
      <c r="F224" s="942">
        <f>SUM(E224*D224*$K$7/15*$K$9)</f>
        <v/>
      </c>
      <c r="G224" s="156">
        <f>IF(SUMIFS('Адресная программа'!$O$20:$O$4940,'Адресная программа'!$N$20:$N$4940,1,'Адресная программа'!$C$20:$C$4940,B224,'Адресная программа'!$G$20:$G$4940,"Бизнес центр")=SUMIFS('Адресная программа'!$K$20:$K$4940,'Адресная программа'!$L$20:$L$4940,1,'Адресная программа'!$C$20:$C$4940,B224,'Адресная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программа'!$C$20:$C$4940,B224,'Адресная программа'!$G$20:$G$4940,"Бизнес центр")&gt;(SUMIFS('Адресная программа'!$K$20:$K$4940,'Адресная программа'!$L$20:$L$4940,1,'Адресная программа'!$C$20:$C$4940,B224,'Адресная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программа'!$C$20:$C$4940,B224,'Адресная программа'!$G$20:$G$4940,"Бизнес центр")&gt;(SUMIFS('Адресная программа'!$K$20:$K$4940,'Адресная программа'!$L$20:$L$4940,1,'Адресная программа'!$C$20:$C$4940,B224,'Адресная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программа'!$C$20:$C$4940,B224,'Адресная программа'!$G$20:$G$4940,"Бизнес центр")&gt;(SUMIFS('Адресная программа'!$K$20:$K$4940,'Адресная программа'!$L$20:$L$4940,1,'Адресная программа'!$C$20:$C$4940,B224,'Адресная программа'!$G$20:$G$4940,"Бизнес центр")*'Цены|Скидки'!$B$55-1),'Цены|Скидки'!$C$55,0%))))</f>
        <v/>
      </c>
      <c r="H224" s="156">
        <f>D$12</f>
        <v/>
      </c>
      <c r="I224" s="190">
        <f>IF(D224=0,0,1-J224/F224)</f>
        <v/>
      </c>
      <c r="J224" s="934">
        <f>F224*(1-G224)*(1-H224)*(1-IF($AC$2="РА",$AD$2,0))*(1-IF(OR($AC$3="Доп скидка",$AC$3="Сезонная скидка",$AC$3="Welcome скидка")=TRUE,$AD$3,0))</f>
        <v/>
      </c>
      <c r="K224" s="934">
        <f>ROUND(J224+L224,2)</f>
        <v/>
      </c>
      <c r="L224" s="934">
        <f>J224*БЦ!$AD$4</f>
        <v/>
      </c>
      <c r="M224" s="159">
        <f>(SUMIFS('Адресная программа'!$H$20:$H$4288,'Адресная программа'!$I$20:$I$4288,БЦ_ALL!C224,'Адресная программа'!$C$20:$C$4288,БЦ_ALL!B224,'Адресная программа'!$N$20:$N$4288,1)*$K$7)</f>
        <v/>
      </c>
      <c r="N224" s="938">
        <f>IF(M224=0,0,J224/M224*1000)</f>
        <v/>
      </c>
      <c r="O224" s="389" t="n"/>
    </row>
    <row r="225" ht="14.4" customHeight="1">
      <c r="B225" s="253" t="inlineStr">
        <is>
          <t>Санкт-Петербург</t>
        </is>
      </c>
      <c r="C225" s="264" t="inlineStr">
        <is>
          <t>МегаПарк</t>
        </is>
      </c>
      <c r="D225" s="303">
        <f>SUMIFS('Адресная программа'!$K$2975:$K$4468,'Адресная программа'!$I$2975:$I$4468,БЦ_ALL!C225,'Адресная программа'!$C$2975:$C$4468,БЦ_ALL!B225,'Адресная программа'!$N$2975:$N$4468,1)</f>
        <v/>
      </c>
      <c r="E225" s="994">
        <f>'Цены|Скидки'!$E$25</f>
        <v/>
      </c>
      <c r="F225" s="942">
        <f>SUM(E225*D225*$K$7/15*$K$9)</f>
        <v/>
      </c>
      <c r="G225" s="156">
        <f>IF(SUMIFS('Адресная программа'!$O$20:$O$4940,'Адресная программа'!$N$20:$N$4940,1,'Адресная программа'!$C$20:$C$4940,B225,'Адресная программа'!$G$20:$G$4940,"Бизнес центр")=SUMIFS('Адресная программа'!$K$20:$K$4940,'Адресная программа'!$L$20:$L$4940,1,'Адресная программа'!$C$20:$C$4940,B225,'Адресная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программа'!$C$20:$C$4940,B225,'Адресная программа'!$G$20:$G$4940,"Бизнес центр")&gt;(SUMIFS('Адресная программа'!$K$20:$K$4940,'Адресная программа'!$L$20:$L$4940,1,'Адресная программа'!$C$20:$C$4940,B225,'Адресная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программа'!$C$20:$C$4940,B225,'Адресная программа'!$G$20:$G$4940,"Бизнес центр")&gt;(SUMIFS('Адресная программа'!$K$20:$K$4940,'Адресная программа'!$L$20:$L$4940,1,'Адресная программа'!$C$20:$C$4940,B225,'Адресная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программа'!$C$20:$C$4940,B225,'Адресная программа'!$G$20:$G$4940,"Бизнес центр")&gt;(SUMIFS('Адресная программа'!$K$20:$K$4940,'Адресная программа'!$L$20:$L$4940,1,'Адресная программа'!$C$20:$C$4940,B225,'Адресная программа'!$G$20:$G$4940,"Бизнес центр")*'Цены|Скидки'!$B$55-1),'Цены|Скидки'!$C$55,0%))))</f>
        <v/>
      </c>
      <c r="H225" s="156">
        <f>D$12</f>
        <v/>
      </c>
      <c r="I225" s="190">
        <f>IF(D225=0,0,1-J225/F225)</f>
        <v/>
      </c>
      <c r="J225" s="934">
        <f>F225*(1-G225)*(1-H225)*(1-IF($AC$2="РА",$AD$2,0))*(1-IF(OR($AC$3="Доп скидка",$AC$3="Сезонная скидка",$AC$3="Welcome скидка")=TRUE,$AD$3,0))</f>
        <v/>
      </c>
      <c r="K225" s="934">
        <f>ROUND(J225+L225,2)</f>
        <v/>
      </c>
      <c r="L225" s="934">
        <f>J225*БЦ!$AD$4</f>
        <v/>
      </c>
      <c r="M225" s="159">
        <f>(SUMIFS('Адресная программа'!$H$20:$H$4288,'Адресная программа'!$I$20:$I$4288,БЦ_ALL!C225,'Адресная программа'!$C$20:$C$4288,БЦ_ALL!B225,'Адресная программа'!$N$20:$N$4288,1)*$K$7)</f>
        <v/>
      </c>
      <c r="N225" s="938">
        <f>IF(M225=0,0,J225/M225*1000)</f>
        <v/>
      </c>
      <c r="O225" s="389" t="n"/>
    </row>
    <row r="226" ht="14.4" customHeight="1">
      <c r="B226" s="253" t="inlineStr">
        <is>
          <t>Санкт-Петербург</t>
        </is>
      </c>
      <c r="C226" s="264" t="inlineStr">
        <is>
          <t>Меридиан</t>
        </is>
      </c>
      <c r="D226" s="303">
        <f>SUMIFS('Адресная программа'!$K$2975:$K$4468,'Адресная программа'!$I$2975:$I$4468,БЦ_ALL!C226,'Адресная программа'!$C$2975:$C$4468,БЦ_ALL!B226,'Адресная программа'!$N$2975:$N$4468,1)</f>
        <v/>
      </c>
      <c r="E226" s="994">
        <f>'Цены|Скидки'!$E$25</f>
        <v/>
      </c>
      <c r="F226" s="942">
        <f>SUM(E226*D226*$K$7/15*$K$9)</f>
        <v/>
      </c>
      <c r="G226" s="156">
        <f>IF(SUMIFS('Адресная программа'!$O$20:$O$4940,'Адресная программа'!$N$20:$N$4940,1,'Адресная программа'!$C$20:$C$4940,B226,'Адресная программа'!$G$20:$G$4940,"Бизнес центр")=SUMIFS('Адресная программа'!$K$20:$K$4940,'Адресная программа'!$L$20:$L$4940,1,'Адресная программа'!$C$20:$C$4940,B226,'Адресная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программа'!$C$20:$C$4940,B226,'Адресная программа'!$G$20:$G$4940,"Бизнес центр")&gt;(SUMIFS('Адресная программа'!$K$20:$K$4940,'Адресная программа'!$L$20:$L$4940,1,'Адресная программа'!$C$20:$C$4940,B226,'Адресная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программа'!$C$20:$C$4940,B226,'Адресная программа'!$G$20:$G$4940,"Бизнес центр")&gt;(SUMIFS('Адресная программа'!$K$20:$K$4940,'Адресная программа'!$L$20:$L$4940,1,'Адресная программа'!$C$20:$C$4940,B226,'Адресная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программа'!$C$20:$C$4940,B226,'Адресная программа'!$G$20:$G$4940,"Бизнес центр")&gt;(SUMIFS('Адресная программа'!$K$20:$K$4940,'Адресная программа'!$L$20:$L$4940,1,'Адресная программа'!$C$20:$C$4940,B226,'Адресная программа'!$G$20:$G$4940,"Бизнес центр")*'Цены|Скидки'!$B$55-1),'Цены|Скидки'!$C$55,0%))))</f>
        <v/>
      </c>
      <c r="H226" s="156">
        <f>D$12</f>
        <v/>
      </c>
      <c r="I226" s="190">
        <f>IF(D226=0,0,1-J226/F226)</f>
        <v/>
      </c>
      <c r="J226" s="934">
        <f>F226*(1-G226)*(1-H226)*(1-IF($AC$2="РА",$AD$2,0))*(1-IF(OR($AC$3="Доп скидка",$AC$3="Сезонная скидка",$AC$3="Welcome скидка")=TRUE,$AD$3,0))</f>
        <v/>
      </c>
      <c r="K226" s="934">
        <f>ROUND(J226+L226,2)</f>
        <v/>
      </c>
      <c r="L226" s="934">
        <f>J226*БЦ!$AD$4</f>
        <v/>
      </c>
      <c r="M226" s="159">
        <f>(SUMIFS('Адресная программа'!$H$20:$H$4288,'Адресная программа'!$I$20:$I$4288,БЦ_ALL!C226,'Адресная программа'!$C$20:$C$4288,БЦ_ALL!B226,'Адресная программа'!$N$20:$N$4288,1)*$K$7)</f>
        <v/>
      </c>
      <c r="N226" s="938">
        <f>IF(M226=0,0,J226/M226*1000)</f>
        <v/>
      </c>
      <c r="O226" s="389" t="n"/>
    </row>
    <row r="227" ht="14.4" customHeight="1">
      <c r="B227" s="253" t="inlineStr">
        <is>
          <t>Санкт-Петербург</t>
        </is>
      </c>
      <c r="C227" s="264" t="inlineStr">
        <is>
          <t>Москва</t>
        </is>
      </c>
      <c r="D227" s="303">
        <f>SUMIFS('Адресная программа'!$K$2975:$K$4468,'Адресная программа'!$I$2975:$I$4468,БЦ_ALL!C227,'Адресная программа'!$C$2975:$C$4468,БЦ_ALL!B227,'Адресная программа'!$N$2975:$N$4468,1)</f>
        <v/>
      </c>
      <c r="E227" s="994">
        <f>'Цены|Скидки'!$E$25</f>
        <v/>
      </c>
      <c r="F227" s="942">
        <f>SUM(E227*D227*$K$7/15*$K$9)</f>
        <v/>
      </c>
      <c r="G227" s="156">
        <f>IF(SUMIFS('Адресная программа'!$O$20:$O$4940,'Адресная программа'!$N$20:$N$4940,1,'Адресная программа'!$C$20:$C$4940,B227,'Адресная программа'!$G$20:$G$4940,"Бизнес центр")=SUMIFS('Адресная программа'!$K$20:$K$4940,'Адресная программа'!$L$20:$L$4940,1,'Адресная программа'!$C$20:$C$4940,B227,'Адресная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программа'!$C$20:$C$4940,B227,'Адресная программа'!$G$20:$G$4940,"Бизнес центр")&gt;(SUMIFS('Адресная программа'!$K$20:$K$4940,'Адресная программа'!$L$20:$L$4940,1,'Адресная программа'!$C$20:$C$4940,B227,'Адресная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программа'!$C$20:$C$4940,B227,'Адресная программа'!$G$20:$G$4940,"Бизнес центр")&gt;(SUMIFS('Адресная программа'!$K$20:$K$4940,'Адресная программа'!$L$20:$L$4940,1,'Адресная программа'!$C$20:$C$4940,B227,'Адресная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программа'!$C$20:$C$4940,B227,'Адресная программа'!$G$20:$G$4940,"Бизнес центр")&gt;(SUMIFS('Адресная программа'!$K$20:$K$4940,'Адресная программа'!$L$20:$L$4940,1,'Адресная программа'!$C$20:$C$4940,B227,'Адресная программа'!$G$20:$G$4940,"Бизнес центр")*'Цены|Скидки'!$B$55-1),'Цены|Скидки'!$C$55,0%))))</f>
        <v/>
      </c>
      <c r="H227" s="156">
        <f>D$12</f>
        <v/>
      </c>
      <c r="I227" s="190">
        <f>IF(D227=0,0,1-J227/F227)</f>
        <v/>
      </c>
      <c r="J227" s="934">
        <f>F227*(1-G227)*(1-H227)*(1-IF($AC$2="РА",$AD$2,0))*(1-IF(OR($AC$3="Доп скидка",$AC$3="Сезонная скидка",$AC$3="Welcome скидка")=TRUE,$AD$3,0))</f>
        <v/>
      </c>
      <c r="K227" s="934">
        <f>ROUND(J227+L227,2)</f>
        <v/>
      </c>
      <c r="L227" s="934">
        <f>J227*БЦ!$AD$4</f>
        <v/>
      </c>
      <c r="M227" s="159">
        <f>(SUMIFS('Адресная программа'!$H$20:$H$4288,'Адресная программа'!$I$20:$I$4288,БЦ_ALL!C227,'Адресная программа'!$C$20:$C$4288,БЦ_ALL!B227,'Адресная программа'!$N$20:$N$4288,1)*$K$7)</f>
        <v/>
      </c>
      <c r="N227" s="938">
        <f>IF(M227=0,0,J227/M227*1000)</f>
        <v/>
      </c>
      <c r="O227" s="389" t="n"/>
    </row>
    <row r="228" ht="14.4" customHeight="1">
      <c r="B228" s="253" t="inlineStr">
        <is>
          <t>Санкт-Петербург</t>
        </is>
      </c>
      <c r="C228" s="264" t="inlineStr">
        <is>
          <t>Московский 79А</t>
        </is>
      </c>
      <c r="D228" s="303">
        <f>SUMIFS('Адресная программа'!$K$2975:$K$4468,'Адресная программа'!$I$2975:$I$4468,БЦ_ALL!C228,'Адресная программа'!$C$2975:$C$4468,БЦ_ALL!B228,'Адресная программа'!$N$2975:$N$4468,1)</f>
        <v/>
      </c>
      <c r="E228" s="994">
        <f>'Цены|Скидки'!$E$25</f>
        <v/>
      </c>
      <c r="F228" s="942">
        <f>SUM(E228*D228*$K$7/15*$K$9)</f>
        <v/>
      </c>
      <c r="G228" s="156">
        <f>IF(SUMIFS('Адресная программа'!$O$20:$O$4940,'Адресная программа'!$N$20:$N$4940,1,'Адресная программа'!$C$20:$C$4940,B228,'Адресная программа'!$G$20:$G$4940,"Бизнес центр")=SUMIFS('Адресная программа'!$K$20:$K$4940,'Адресная программа'!$L$20:$L$4940,1,'Адресная программа'!$C$20:$C$4940,B228,'Адресная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программа'!$C$20:$C$4940,B228,'Адресная программа'!$G$20:$G$4940,"Бизнес центр")&gt;(SUMIFS('Адресная программа'!$K$20:$K$4940,'Адресная программа'!$L$20:$L$4940,1,'Адресная программа'!$C$20:$C$4940,B228,'Адресная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программа'!$C$20:$C$4940,B228,'Адресная программа'!$G$20:$G$4940,"Бизнес центр")&gt;(SUMIFS('Адресная программа'!$K$20:$K$4940,'Адресная программа'!$L$20:$L$4940,1,'Адресная программа'!$C$20:$C$4940,B228,'Адресная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программа'!$C$20:$C$4940,B228,'Адресная программа'!$G$20:$G$4940,"Бизнес центр")&gt;(SUMIFS('Адресная программа'!$K$20:$K$4940,'Адресная программа'!$L$20:$L$4940,1,'Адресная программа'!$C$20:$C$4940,B228,'Адресная программа'!$G$20:$G$4940,"Бизнес центр")*'Цены|Скидки'!$B$55-1),'Цены|Скидки'!$C$55,0%))))</f>
        <v/>
      </c>
      <c r="H228" s="156">
        <f>D$12</f>
        <v/>
      </c>
      <c r="I228" s="190">
        <f>IF(D228=0,0,1-J228/F228)</f>
        <v/>
      </c>
      <c r="J228" s="934">
        <f>F228*(1-G228)*(1-H228)*(1-IF($AC$2="РА",$AD$2,0))*(1-IF(OR($AC$3="Доп скидка",$AC$3="Сезонная скидка",$AC$3="Welcome скидка")=TRUE,$AD$3,0))</f>
        <v/>
      </c>
      <c r="K228" s="934">
        <f>ROUND(J228+L228,2)</f>
        <v/>
      </c>
      <c r="L228" s="934">
        <f>J228*БЦ!$AD$4</f>
        <v/>
      </c>
      <c r="M228" s="159">
        <f>(SUMIFS('Адресная программа'!$H$20:$H$4288,'Адресная программа'!$I$20:$I$4288,БЦ_ALL!C228,'Адресная программа'!$C$20:$C$4288,БЦ_ALL!B228,'Адресная программа'!$N$20:$N$4288,1)*$K$7)</f>
        <v/>
      </c>
      <c r="N228" s="938">
        <f>IF(M228=0,0,J228/M228*1000)</f>
        <v/>
      </c>
      <c r="O228" s="389" t="n"/>
    </row>
    <row r="229" ht="14.4" customHeight="1">
      <c r="B229" s="253" t="inlineStr">
        <is>
          <t>Санкт-Петербург</t>
        </is>
      </c>
      <c r="C229" s="264" t="inlineStr">
        <is>
          <t>Н-49</t>
        </is>
      </c>
      <c r="D229" s="303">
        <f>SUMIFS('Адресная программа'!$K$2975:$K$4468,'Адресная программа'!$I$2975:$I$4468,БЦ_ALL!C229,'Адресная программа'!$C$2975:$C$4468,БЦ_ALL!B229,'Адресная программа'!$N$2975:$N$4468,1)</f>
        <v/>
      </c>
      <c r="E229" s="994">
        <f>'Цены|Скидки'!$E$25</f>
        <v/>
      </c>
      <c r="F229" s="942">
        <f>SUM(E229*D229*$K$7/15*$K$9)</f>
        <v/>
      </c>
      <c r="G229" s="156">
        <f>IF(SUMIFS('Адресная программа'!$O$20:$O$4940,'Адресная программа'!$N$20:$N$4940,1,'Адресная программа'!$C$20:$C$4940,B229,'Адресная программа'!$G$20:$G$4940,"Бизнес центр")=SUMIFS('Адресная программа'!$K$20:$K$4940,'Адресная программа'!$L$20:$L$4940,1,'Адресная программа'!$C$20:$C$4940,B229,'Адресная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программа'!$C$20:$C$4940,B229,'Адресная программа'!$G$20:$G$4940,"Бизнес центр")&gt;(SUMIFS('Адресная программа'!$K$20:$K$4940,'Адресная программа'!$L$20:$L$4940,1,'Адресная программа'!$C$20:$C$4940,B229,'Адресная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программа'!$C$20:$C$4940,B229,'Адресная программа'!$G$20:$G$4940,"Бизнес центр")&gt;(SUMIFS('Адресная программа'!$K$20:$K$4940,'Адресная программа'!$L$20:$L$4940,1,'Адресная программа'!$C$20:$C$4940,B229,'Адресная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программа'!$C$20:$C$4940,B229,'Адресная программа'!$G$20:$G$4940,"Бизнес центр")&gt;(SUMIFS('Адресная программа'!$K$20:$K$4940,'Адресная программа'!$L$20:$L$4940,1,'Адресная программа'!$C$20:$C$4940,B229,'Адресная программа'!$G$20:$G$4940,"Бизнес центр")*'Цены|Скидки'!$B$55-1),'Цены|Скидки'!$C$55,0%))))</f>
        <v/>
      </c>
      <c r="H229" s="156">
        <f>D$12</f>
        <v/>
      </c>
      <c r="I229" s="190">
        <f>IF(D229=0,0,1-J229/F229)</f>
        <v/>
      </c>
      <c r="J229" s="934">
        <f>F229*(1-G229)*(1-H229)*(1-IF($AC$2="РА",$AD$2,0))*(1-IF(OR($AC$3="Доп скидка",$AC$3="Сезонная скидка",$AC$3="Welcome скидка")=TRUE,$AD$3,0))</f>
        <v/>
      </c>
      <c r="K229" s="934">
        <f>ROUND(J229+L229,2)</f>
        <v/>
      </c>
      <c r="L229" s="934">
        <f>J229*БЦ!$AD$4</f>
        <v/>
      </c>
      <c r="M229" s="159">
        <f>(SUMIFS('Адресная программа'!$H$20:$H$4288,'Адресная программа'!$I$20:$I$4288,БЦ_ALL!C229,'Адресная программа'!$C$20:$C$4288,БЦ_ALL!B229,'Адресная программа'!$N$20:$N$4288,1)*$K$7)</f>
        <v/>
      </c>
      <c r="N229" s="938">
        <f>IF(M229=0,0,J229/M229*1000)</f>
        <v/>
      </c>
      <c r="O229" s="389" t="n"/>
    </row>
    <row r="230" ht="14.4" customHeight="1">
      <c r="B230" s="253" t="inlineStr">
        <is>
          <t>Санкт-Петербург</t>
        </is>
      </c>
      <c r="C230" s="264" t="inlineStr">
        <is>
          <t>Навигатор</t>
        </is>
      </c>
      <c r="D230" s="303">
        <f>SUMIFS('Адресная программа'!$K$2975:$K$4468,'Адресная программа'!$I$2975:$I$4468,БЦ_ALL!C230,'Адресная программа'!$C$2975:$C$4468,БЦ_ALL!B230,'Адресная программа'!$N$2975:$N$4468,1)</f>
        <v/>
      </c>
      <c r="E230" s="994">
        <f>'Цены|Скидки'!$E$25</f>
        <v/>
      </c>
      <c r="F230" s="942">
        <f>SUM(E230*D230*$K$7/15*$K$9)</f>
        <v/>
      </c>
      <c r="G230" s="156">
        <f>IF(SUMIFS('Адресная программа'!$O$20:$O$4940,'Адресная программа'!$N$20:$N$4940,1,'Адресная программа'!$C$20:$C$4940,B230,'Адресная программа'!$G$20:$G$4940,"Бизнес центр")=SUMIFS('Адресная программа'!$K$20:$K$4940,'Адресная программа'!$L$20:$L$4940,1,'Адресная программа'!$C$20:$C$4940,B230,'Адресная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программа'!$C$20:$C$4940,B230,'Адресная программа'!$G$20:$G$4940,"Бизнес центр")&gt;(SUMIFS('Адресная программа'!$K$20:$K$4940,'Адресная программа'!$L$20:$L$4940,1,'Адресная программа'!$C$20:$C$4940,B230,'Адресная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программа'!$C$20:$C$4940,B230,'Адресная программа'!$G$20:$G$4940,"Бизнес центр")&gt;(SUMIFS('Адресная программа'!$K$20:$K$4940,'Адресная программа'!$L$20:$L$4940,1,'Адресная программа'!$C$20:$C$4940,B230,'Адресная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программа'!$C$20:$C$4940,B230,'Адресная программа'!$G$20:$G$4940,"Бизнес центр")&gt;(SUMIFS('Адресная программа'!$K$20:$K$4940,'Адресная программа'!$L$20:$L$4940,1,'Адресная программа'!$C$20:$C$4940,B230,'Адресная программа'!$G$20:$G$4940,"Бизнес центр")*'Цены|Скидки'!$B$55-1),'Цены|Скидки'!$C$55,0%))))</f>
        <v/>
      </c>
      <c r="H230" s="156">
        <f>D$12</f>
        <v/>
      </c>
      <c r="I230" s="190">
        <f>IF(D230=0,0,1-J230/F230)</f>
        <v/>
      </c>
      <c r="J230" s="934">
        <f>F230*(1-G230)*(1-H230)*(1-IF($AC$2="РА",$AD$2,0))*(1-IF(OR($AC$3="Доп скидка",$AC$3="Сезонная скидка",$AC$3="Welcome скидка")=TRUE,$AD$3,0))</f>
        <v/>
      </c>
      <c r="K230" s="934">
        <f>ROUND(J230+L230,2)</f>
        <v/>
      </c>
      <c r="L230" s="934">
        <f>J230*БЦ!$AD$4</f>
        <v/>
      </c>
      <c r="M230" s="159">
        <f>(SUMIFS('Адресная программа'!$H$20:$H$4288,'Адресная программа'!$I$20:$I$4288,БЦ_ALL!C230,'Адресная программа'!$C$20:$C$4288,БЦ_ALL!B230,'Адресная программа'!$N$20:$N$4288,1)*$K$7)</f>
        <v/>
      </c>
      <c r="N230" s="938">
        <f>IF(M230=0,0,J230/M230*1000)</f>
        <v/>
      </c>
      <c r="O230" s="389" t="n"/>
    </row>
    <row r="231" ht="14.4" customHeight="1">
      <c r="B231" s="253" t="inlineStr">
        <is>
          <t>Санкт-Петербург</t>
        </is>
      </c>
      <c r="C231" s="264" t="inlineStr">
        <is>
          <t>Обводный 24</t>
        </is>
      </c>
      <c r="D231" s="303">
        <f>SUMIFS('Адресная программа'!$K$2975:$K$4468,'Адресная программа'!$I$2975:$I$4468,БЦ_ALL!C231,'Адресная программа'!$C$2975:$C$4468,БЦ_ALL!B231,'Адресная программа'!$N$2975:$N$4468,1)</f>
        <v/>
      </c>
      <c r="E231" s="994">
        <f>'Цены|Скидки'!$E$25</f>
        <v/>
      </c>
      <c r="F231" s="942">
        <f>SUM(E231*D231*$K$7/15*$K$9)</f>
        <v/>
      </c>
      <c r="G231" s="156">
        <f>IF(SUMIFS('Адресная программа'!$O$20:$O$4940,'Адресная программа'!$N$20:$N$4940,1,'Адресная программа'!$C$20:$C$4940,B231,'Адресная программа'!$G$20:$G$4940,"Бизнес центр")=SUMIFS('Адресная программа'!$K$20:$K$4940,'Адресная программа'!$L$20:$L$4940,1,'Адресная программа'!$C$20:$C$4940,B231,'Адресная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программа'!$C$20:$C$4940,B231,'Адресная программа'!$G$20:$G$4940,"Бизнес центр")&gt;(SUMIFS('Адресная программа'!$K$20:$K$4940,'Адресная программа'!$L$20:$L$4940,1,'Адресная программа'!$C$20:$C$4940,B231,'Адресная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программа'!$C$20:$C$4940,B231,'Адресная программа'!$G$20:$G$4940,"Бизнес центр")&gt;(SUMIFS('Адресная программа'!$K$20:$K$4940,'Адресная программа'!$L$20:$L$4940,1,'Адресная программа'!$C$20:$C$4940,B231,'Адресная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программа'!$C$20:$C$4940,B231,'Адресная программа'!$G$20:$G$4940,"Бизнес центр")&gt;(SUMIFS('Адресная программа'!$K$20:$K$4940,'Адресная программа'!$L$20:$L$4940,1,'Адресная программа'!$C$20:$C$4940,B231,'Адресная программа'!$G$20:$G$4940,"Бизнес центр")*'Цены|Скидки'!$B$55-1),'Цены|Скидки'!$C$55,0%))))</f>
        <v/>
      </c>
      <c r="H231" s="156">
        <f>D$12</f>
        <v/>
      </c>
      <c r="I231" s="190">
        <f>IF(D231=0,0,1-J231/F231)</f>
        <v/>
      </c>
      <c r="J231" s="934">
        <f>F231*(1-G231)*(1-H231)*(1-IF($AC$2="РА",$AD$2,0))*(1-IF(OR($AC$3="Доп скидка",$AC$3="Сезонная скидка",$AC$3="Welcome скидка")=TRUE,$AD$3,0))</f>
        <v/>
      </c>
      <c r="K231" s="934">
        <f>ROUND(J231+L231,2)</f>
        <v/>
      </c>
      <c r="L231" s="934">
        <f>J231*БЦ!$AD$4</f>
        <v/>
      </c>
      <c r="M231" s="159">
        <f>(SUMIFS('Адресная программа'!$H$20:$H$4288,'Адресная программа'!$I$20:$I$4288,БЦ_ALL!C231,'Адресная программа'!$C$20:$C$4288,БЦ_ALL!B231,'Адресная программа'!$N$20:$N$4288,1)*$K$7)</f>
        <v/>
      </c>
      <c r="N231" s="938">
        <f>IF(M231=0,0,J231/M231*1000)</f>
        <v/>
      </c>
      <c r="O231" s="389" t="n"/>
    </row>
    <row r="232" ht="14.4" customHeight="1">
      <c r="B232" s="253" t="inlineStr">
        <is>
          <t>Санкт-Петербург</t>
        </is>
      </c>
      <c r="C232" s="264" t="inlineStr">
        <is>
          <t>Овентал History</t>
        </is>
      </c>
      <c r="D232" s="303">
        <f>SUMIFS('Адресная программа'!$K$2975:$K$4468,'Адресная программа'!$I$2975:$I$4468,БЦ_ALL!C232,'Адресная программа'!$C$2975:$C$4468,БЦ_ALL!B232,'Адресная программа'!$N$2975:$N$4468,1)</f>
        <v/>
      </c>
      <c r="E232" s="994">
        <f>'Цены|Скидки'!$E$25</f>
        <v/>
      </c>
      <c r="F232" s="942">
        <f>SUM(E232*D232*$K$7/15*$K$9)</f>
        <v/>
      </c>
      <c r="G232" s="156">
        <f>IF(SUMIFS('Адресная программа'!$O$20:$O$4940,'Адресная программа'!$N$20:$N$4940,1,'Адресная программа'!$C$20:$C$4940,B232,'Адресная программа'!$G$20:$G$4940,"Бизнес центр")=SUMIFS('Адресная программа'!$K$20:$K$4940,'Адресная программа'!$L$20:$L$4940,1,'Адресная программа'!$C$20:$C$4940,B232,'Адресная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программа'!$C$20:$C$4940,B232,'Адресная программа'!$G$20:$G$4940,"Бизнес центр")&gt;(SUMIFS('Адресная программа'!$K$20:$K$4940,'Адресная программа'!$L$20:$L$4940,1,'Адресная программа'!$C$20:$C$4940,B232,'Адресная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программа'!$C$20:$C$4940,B232,'Адресная программа'!$G$20:$G$4940,"Бизнес центр")&gt;(SUMIFS('Адресная программа'!$K$20:$K$4940,'Адресная программа'!$L$20:$L$4940,1,'Адресная программа'!$C$20:$C$4940,B232,'Адресная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программа'!$C$20:$C$4940,B232,'Адресная программа'!$G$20:$G$4940,"Бизнес центр")&gt;(SUMIFS('Адресная программа'!$K$20:$K$4940,'Адресная программа'!$L$20:$L$4940,1,'Адресная программа'!$C$20:$C$4940,B232,'Адресная программа'!$G$20:$G$4940,"Бизнес центр")*'Цены|Скидки'!$B$55-1),'Цены|Скидки'!$C$55,0%))))</f>
        <v/>
      </c>
      <c r="H232" s="156">
        <f>D$12</f>
        <v/>
      </c>
      <c r="I232" s="190">
        <f>IF(D232=0,0,1-J232/F232)</f>
        <v/>
      </c>
      <c r="J232" s="934">
        <f>F232*(1-G232)*(1-H232)*(1-IF($AC$2="РА",$AD$2,0))*(1-IF(OR($AC$3="Доп скидка",$AC$3="Сезонная скидка",$AC$3="Welcome скидка")=TRUE,$AD$3,0))</f>
        <v/>
      </c>
      <c r="K232" s="934">
        <f>ROUND(J232+L232,2)</f>
        <v/>
      </c>
      <c r="L232" s="934">
        <f>J232*БЦ!$AD$4</f>
        <v/>
      </c>
      <c r="M232" s="159">
        <f>(SUMIFS('Адресная программа'!$H$20:$H$4288,'Адресная программа'!$I$20:$I$4288,БЦ_ALL!C232,'Адресная программа'!$C$20:$C$4288,БЦ_ALL!B232,'Адресная программа'!$N$20:$N$4288,1)*$K$7)</f>
        <v/>
      </c>
      <c r="N232" s="938">
        <f>IF(M232=0,0,J232/M232*1000)</f>
        <v/>
      </c>
      <c r="O232" s="389" t="n"/>
    </row>
    <row r="233" ht="14.4" customHeight="1">
      <c r="B233" s="253" t="inlineStr">
        <is>
          <t>Санкт-Петербург</t>
        </is>
      </c>
      <c r="C233" s="264" t="inlineStr">
        <is>
          <t>ОПТИМА</t>
        </is>
      </c>
      <c r="D233" s="303">
        <f>SUMIFS('Адресная программа'!$K$2975:$K$4468,'Адресная программа'!$I$2975:$I$4468,БЦ_ALL!C233,'Адресная программа'!$C$2975:$C$4468,БЦ_ALL!B233,'Адресная программа'!$N$2975:$N$4468,1)</f>
        <v/>
      </c>
      <c r="E233" s="994">
        <f>'Цены|Скидки'!$E$25</f>
        <v/>
      </c>
      <c r="F233" s="942">
        <f>SUM(E233*D233*$K$7/15*$K$9)</f>
        <v/>
      </c>
      <c r="G233" s="156">
        <f>IF(SUMIFS('Адресная программа'!$O$20:$O$4940,'Адресная программа'!$N$20:$N$4940,1,'Адресная программа'!$C$20:$C$4940,B233,'Адресная программа'!$G$20:$G$4940,"Бизнес центр")=SUMIFS('Адресная программа'!$K$20:$K$4940,'Адресная программа'!$L$20:$L$4940,1,'Адресная программа'!$C$20:$C$4940,B233,'Адресная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программа'!$C$20:$C$4940,B233,'Адресная программа'!$G$20:$G$4940,"Бизнес центр")&gt;(SUMIFS('Адресная программа'!$K$20:$K$4940,'Адресная программа'!$L$20:$L$4940,1,'Адресная программа'!$C$20:$C$4940,B233,'Адресная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программа'!$C$20:$C$4940,B233,'Адресная программа'!$G$20:$G$4940,"Бизнес центр")&gt;(SUMIFS('Адресная программа'!$K$20:$K$4940,'Адресная программа'!$L$20:$L$4940,1,'Адресная программа'!$C$20:$C$4940,B233,'Адресная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программа'!$C$20:$C$4940,B233,'Адресная программа'!$G$20:$G$4940,"Бизнес центр")&gt;(SUMIFS('Адресная программа'!$K$20:$K$4940,'Адресная программа'!$L$20:$L$4940,1,'Адресная программа'!$C$20:$C$4940,B233,'Адресная программа'!$G$20:$G$4940,"Бизнес центр")*'Цены|Скидки'!$B$55-1),'Цены|Скидки'!$C$55,0%))))</f>
        <v/>
      </c>
      <c r="H233" s="156">
        <f>D$12</f>
        <v/>
      </c>
      <c r="I233" s="190">
        <f>IF(D233=0,0,1-J233/F233)</f>
        <v/>
      </c>
      <c r="J233" s="934">
        <f>F233*(1-G233)*(1-H233)*(1-IF($AC$2="РА",$AD$2,0))*(1-IF(OR($AC$3="Доп скидка",$AC$3="Сезонная скидка",$AC$3="Welcome скидка")=TRUE,$AD$3,0))</f>
        <v/>
      </c>
      <c r="K233" s="934">
        <f>ROUND(J233+L233,2)</f>
        <v/>
      </c>
      <c r="L233" s="934">
        <f>J233*БЦ!$AD$4</f>
        <v/>
      </c>
      <c r="M233" s="159">
        <f>(SUMIFS('Адресная программа'!$H$20:$H$4288,'Адресная программа'!$I$20:$I$4288,БЦ_ALL!C233,'Адресная программа'!$C$20:$C$4288,БЦ_ALL!B233,'Адресная программа'!$N$20:$N$4288,1)*$K$7)</f>
        <v/>
      </c>
      <c r="N233" s="938">
        <f>IF(M233=0,0,J233/M233*1000)</f>
        <v/>
      </c>
      <c r="O233" s="389" t="n"/>
    </row>
    <row r="234" ht="14.4" customHeight="1">
      <c r="B234" s="253" t="inlineStr">
        <is>
          <t>Санкт-Петербург</t>
        </is>
      </c>
      <c r="C234" s="264" t="inlineStr">
        <is>
          <t>Обухов-Центр</t>
        </is>
      </c>
      <c r="D234" s="303">
        <f>SUMIFS('Адресная программа'!$K$2975:$K$4468,'Адресная программа'!$I$2975:$I$4468,БЦ_ALL!C234,'Адресная программа'!$C$2975:$C$4468,БЦ_ALL!B234,'Адресная программа'!$N$2975:$N$4468,1)</f>
        <v/>
      </c>
      <c r="E234" s="994">
        <f>'Цены|Скидки'!$E$25</f>
        <v/>
      </c>
      <c r="F234" s="942">
        <f>SUM(E234*D234*$K$7/15*$K$9)</f>
        <v/>
      </c>
      <c r="G234" s="156">
        <f>IF(SUMIFS('Адресная программа'!$O$20:$O$4940,'Адресная программа'!$N$20:$N$4940,1,'Адресная программа'!$C$20:$C$4940,B234,'Адресная программа'!$G$20:$G$4940,"Бизнес центр")=SUMIFS('Адресная программа'!$K$20:$K$4940,'Адресная программа'!$L$20:$L$4940,1,'Адресная программа'!$C$20:$C$4940,B234,'Адресная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программа'!$C$20:$C$4940,B234,'Адресная программа'!$G$20:$G$4940,"Бизнес центр")&gt;(SUMIFS('Адресная программа'!$K$20:$K$4940,'Адресная программа'!$L$20:$L$4940,1,'Адресная программа'!$C$20:$C$4940,B234,'Адресная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программа'!$C$20:$C$4940,B234,'Адресная программа'!$G$20:$G$4940,"Бизнес центр")&gt;(SUMIFS('Адресная программа'!$K$20:$K$4940,'Адресная программа'!$L$20:$L$4940,1,'Адресная программа'!$C$20:$C$4940,B234,'Адресная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программа'!$C$20:$C$4940,B234,'Адресная программа'!$G$20:$G$4940,"Бизнес центр")&gt;(SUMIFS('Адресная программа'!$K$20:$K$4940,'Адресная программа'!$L$20:$L$4940,1,'Адресная программа'!$C$20:$C$4940,B234,'Адресная программа'!$G$20:$G$4940,"Бизнес центр")*'Цены|Скидки'!$B$55-1),'Цены|Скидки'!$C$55,0%))))</f>
        <v/>
      </c>
      <c r="H234" s="156">
        <f>D$12</f>
        <v/>
      </c>
      <c r="I234" s="190">
        <f>IF(D234=0,0,1-J234/F234)</f>
        <v/>
      </c>
      <c r="J234" s="934">
        <f>F234*(1-G234)*(1-H234)*(1-IF($AC$2="РА",$AD$2,0))*(1-IF(OR($AC$3="Доп скидка",$AC$3="Сезонная скидка",$AC$3="Welcome скидка")=TRUE,$AD$3,0))</f>
        <v/>
      </c>
      <c r="K234" s="934">
        <f>ROUND(J234+L234,2)</f>
        <v/>
      </c>
      <c r="L234" s="934">
        <f>J234*БЦ!$AD$4</f>
        <v/>
      </c>
      <c r="M234" s="159">
        <f>(SUMIFS('Адресная программа'!$H$20:$H$4288,'Адресная программа'!$I$20:$I$4288,БЦ_ALL!C234,'Адресная программа'!$C$20:$C$4288,БЦ_ALL!B234,'Адресная программа'!$N$20:$N$4288,1)*$K$7)</f>
        <v/>
      </c>
      <c r="N234" s="938">
        <f>IF(M234=0,0,J234/M234*1000)</f>
        <v/>
      </c>
      <c r="O234" s="389" t="n"/>
    </row>
    <row r="235" ht="14.4" customHeight="1">
      <c r="B235" s="253" t="inlineStr">
        <is>
          <t>Санкт-Петербург</t>
        </is>
      </c>
      <c r="C235" s="264" t="inlineStr">
        <is>
          <t>Октябрьская 10</t>
        </is>
      </c>
      <c r="D235" s="303">
        <f>SUMIFS('Адресная программа'!$K$2975:$K$4468,'Адресная программа'!$I$2975:$I$4468,БЦ_ALL!C235,'Адресная программа'!$C$2975:$C$4468,БЦ_ALL!B235,'Адресная программа'!$N$2975:$N$4468,1)</f>
        <v/>
      </c>
      <c r="E235" s="994">
        <f>'Цены|Скидки'!$E$25</f>
        <v/>
      </c>
      <c r="F235" s="942">
        <f>SUM(E235*D235*$K$7/15*$K$9)</f>
        <v/>
      </c>
      <c r="G235" s="156">
        <f>IF(SUMIFS('Адресная программа'!$O$20:$O$4940,'Адресная программа'!$N$20:$N$4940,1,'Адресная программа'!$C$20:$C$4940,B235,'Адресная программа'!$G$20:$G$4940,"Бизнес центр")=SUMIFS('Адресная программа'!$K$20:$K$4940,'Адресная программа'!$L$20:$L$4940,1,'Адресная программа'!$C$20:$C$4940,B235,'Адресная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программа'!$C$20:$C$4940,B235,'Адресная программа'!$G$20:$G$4940,"Бизнес центр")&gt;(SUMIFS('Адресная программа'!$K$20:$K$4940,'Адресная программа'!$L$20:$L$4940,1,'Адресная программа'!$C$20:$C$4940,B235,'Адресная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программа'!$C$20:$C$4940,B235,'Адресная программа'!$G$20:$G$4940,"Бизнес центр")&gt;(SUMIFS('Адресная программа'!$K$20:$K$4940,'Адресная программа'!$L$20:$L$4940,1,'Адресная программа'!$C$20:$C$4940,B235,'Адресная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программа'!$C$20:$C$4940,B235,'Адресная программа'!$G$20:$G$4940,"Бизнес центр")&gt;(SUMIFS('Адресная программа'!$K$20:$K$4940,'Адресная программа'!$L$20:$L$4940,1,'Адресная программа'!$C$20:$C$4940,B235,'Адресная программа'!$G$20:$G$4940,"Бизнес центр")*'Цены|Скидки'!$B$55-1),'Цены|Скидки'!$C$55,0%))))</f>
        <v/>
      </c>
      <c r="H235" s="156">
        <f>D$12</f>
        <v/>
      </c>
      <c r="I235" s="190">
        <f>IF(D235=0,0,1-J235/F235)</f>
        <v/>
      </c>
      <c r="J235" s="934">
        <f>F235*(1-G235)*(1-H235)*(1-IF($AC$2="РА",$AD$2,0))*(1-IF(OR($AC$3="Доп скидка",$AC$3="Сезонная скидка",$AC$3="Welcome скидка")=TRUE,$AD$3,0))</f>
        <v/>
      </c>
      <c r="K235" s="934">
        <f>ROUND(J235+L235,2)</f>
        <v/>
      </c>
      <c r="L235" s="934">
        <f>J235*БЦ!$AD$4</f>
        <v/>
      </c>
      <c r="M235" s="159">
        <f>(SUMIFS('Адресная программа'!$H$20:$H$4288,'Адресная программа'!$I$20:$I$4288,БЦ_ALL!C235,'Адресная программа'!$C$20:$C$4288,БЦ_ALL!B235,'Адресная программа'!$N$20:$N$4288,1)*$K$7)</f>
        <v/>
      </c>
      <c r="N235" s="938">
        <f>IF(M235=0,0,J235/M235*1000)</f>
        <v/>
      </c>
      <c r="O235" s="389" t="n"/>
    </row>
    <row r="236" ht="14.4" customHeight="1">
      <c r="B236" s="253" t="inlineStr">
        <is>
          <t>Санкт-Петербург</t>
        </is>
      </c>
      <c r="C236" s="264" t="inlineStr">
        <is>
          <t>Петровский форт</t>
        </is>
      </c>
      <c r="D236" s="303">
        <f>SUMIFS('Адресная программа'!$K$2975:$K$4468,'Адресная программа'!$I$2975:$I$4468,БЦ_ALL!C236,'Адресная программа'!$C$2975:$C$4468,БЦ_ALL!B236,'Адресная программа'!$N$2975:$N$4468,1)</f>
        <v/>
      </c>
      <c r="E236" s="994">
        <f>'Цены|Скидки'!$E$25</f>
        <v/>
      </c>
      <c r="F236" s="942">
        <f>SUM(E236*D236*$K$7/15*$K$9)</f>
        <v/>
      </c>
      <c r="G236" s="156">
        <f>IF(SUMIFS('Адресная программа'!$O$20:$O$4940,'Адресная программа'!$N$20:$N$4940,1,'Адресная программа'!$C$20:$C$4940,B236,'Адресная программа'!$G$20:$G$4940,"Бизнес центр")=SUMIFS('Адресная программа'!$K$20:$K$4940,'Адресная программа'!$L$20:$L$4940,1,'Адресная программа'!$C$20:$C$4940,B236,'Адресная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программа'!$C$20:$C$4940,B236,'Адресная программа'!$G$20:$G$4940,"Бизнес центр")&gt;(SUMIFS('Адресная программа'!$K$20:$K$4940,'Адресная программа'!$L$20:$L$4940,1,'Адресная программа'!$C$20:$C$4940,B236,'Адресная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программа'!$C$20:$C$4940,B236,'Адресная программа'!$G$20:$G$4940,"Бизнес центр")&gt;(SUMIFS('Адресная программа'!$K$20:$K$4940,'Адресная программа'!$L$20:$L$4940,1,'Адресная программа'!$C$20:$C$4940,B236,'Адресная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программа'!$C$20:$C$4940,B236,'Адресная программа'!$G$20:$G$4940,"Бизнес центр")&gt;(SUMIFS('Адресная программа'!$K$20:$K$4940,'Адресная программа'!$L$20:$L$4940,1,'Адресная программа'!$C$20:$C$4940,B236,'Адресная программа'!$G$20:$G$4940,"Бизнес центр")*'Цены|Скидки'!$B$55-1),'Цены|Скидки'!$C$55,0%))))</f>
        <v/>
      </c>
      <c r="H236" s="156">
        <f>D$12</f>
        <v/>
      </c>
      <c r="I236" s="190">
        <f>IF(D236=0,0,1-J236/F236)</f>
        <v/>
      </c>
      <c r="J236" s="934">
        <f>F236*(1-G236)*(1-H236)*(1-IF($AC$2="РА",$AD$2,0))*(1-IF(OR($AC$3="Доп скидка",$AC$3="Сезонная скидка",$AC$3="Welcome скидка")=TRUE,$AD$3,0))</f>
        <v/>
      </c>
      <c r="K236" s="934">
        <f>ROUND(J236+L236,2)</f>
        <v/>
      </c>
      <c r="L236" s="934">
        <f>J236*БЦ!$AD$4</f>
        <v/>
      </c>
      <c r="M236" s="159">
        <f>(SUMIFS('Адресная программа'!$H$20:$H$4288,'Адресная программа'!$I$20:$I$4288,БЦ_ALL!C236,'Адресная программа'!$C$20:$C$4288,БЦ_ALL!B236,'Адресная программа'!$N$20:$N$4288,1)*$K$7)</f>
        <v/>
      </c>
      <c r="N236" s="938">
        <f>IF(M236=0,0,J236/M236*1000)</f>
        <v/>
      </c>
      <c r="O236" s="389" t="n"/>
    </row>
    <row r="237" ht="14.4" customHeight="1">
      <c r="B237" s="253" t="inlineStr">
        <is>
          <t>Санкт-Петербург</t>
        </is>
      </c>
      <c r="C237" s="264" t="inlineStr">
        <is>
          <t>Полис центр</t>
        </is>
      </c>
      <c r="D237" s="303">
        <f>SUMIFS('Адресная программа'!$K$2975:$K$4468,'Адресная программа'!$I$2975:$I$4468,БЦ_ALL!C237,'Адресная программа'!$C$2975:$C$4468,БЦ_ALL!B237,'Адресная программа'!$N$2975:$N$4468,1)</f>
        <v/>
      </c>
      <c r="E237" s="994">
        <f>'Цены|Скидки'!$E$25</f>
        <v/>
      </c>
      <c r="F237" s="942">
        <f>SUM(E237*D237*$K$7/15*$K$9)</f>
        <v/>
      </c>
      <c r="G237" s="156">
        <f>IF(SUMIFS('Адресная программа'!$O$20:$O$4940,'Адресная программа'!$N$20:$N$4940,1,'Адресная программа'!$C$20:$C$4940,B237,'Адресная программа'!$G$20:$G$4940,"Бизнес центр")=SUMIFS('Адресная программа'!$K$20:$K$4940,'Адресная программа'!$L$20:$L$4940,1,'Адресная программа'!$C$20:$C$4940,B237,'Адресная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программа'!$C$20:$C$4940,B237,'Адресная программа'!$G$20:$G$4940,"Бизнес центр")&gt;(SUMIFS('Адресная программа'!$K$20:$K$4940,'Адресная программа'!$L$20:$L$4940,1,'Адресная программа'!$C$20:$C$4940,B237,'Адресная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программа'!$C$20:$C$4940,B237,'Адресная программа'!$G$20:$G$4940,"Бизнес центр")&gt;(SUMIFS('Адресная программа'!$K$20:$K$4940,'Адресная программа'!$L$20:$L$4940,1,'Адресная программа'!$C$20:$C$4940,B237,'Адресная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программа'!$C$20:$C$4940,B237,'Адресная программа'!$G$20:$G$4940,"Бизнес центр")&gt;(SUMIFS('Адресная программа'!$K$20:$K$4940,'Адресная программа'!$L$20:$L$4940,1,'Адресная программа'!$C$20:$C$4940,B237,'Адресная программа'!$G$20:$G$4940,"Бизнес центр")*'Цены|Скидки'!$B$55-1),'Цены|Скидки'!$C$55,0%))))</f>
        <v/>
      </c>
      <c r="H237" s="156">
        <f>D$12</f>
        <v/>
      </c>
      <c r="I237" s="190">
        <f>IF(D237=0,0,1-J237/F237)</f>
        <v/>
      </c>
      <c r="J237" s="934">
        <f>F237*(1-G237)*(1-H237)*(1-IF($AC$2="РА",$AD$2,0))*(1-IF(OR($AC$3="Доп скидка",$AC$3="Сезонная скидка",$AC$3="Welcome скидка")=TRUE,$AD$3,0))</f>
        <v/>
      </c>
      <c r="K237" s="934">
        <f>ROUND(J237+L237,2)</f>
        <v/>
      </c>
      <c r="L237" s="934">
        <f>J237*БЦ!$AD$4</f>
        <v/>
      </c>
      <c r="M237" s="159">
        <f>(SUMIFS('Адресная программа'!$H$20:$H$4288,'Адресная программа'!$I$20:$I$4288,БЦ_ALL!C237,'Адресная программа'!$C$20:$C$4288,БЦ_ALL!B237,'Адресная программа'!$N$20:$N$4288,1)*$K$7)</f>
        <v/>
      </c>
      <c r="N237" s="938">
        <f>IF(M237=0,0,J237/M237*1000)</f>
        <v/>
      </c>
      <c r="O237" s="389" t="n"/>
    </row>
    <row r="238" ht="14.4" customHeight="1">
      <c r="B238" s="253" t="inlineStr">
        <is>
          <t>Санкт-Петербург</t>
        </is>
      </c>
      <c r="C238" s="264" t="inlineStr">
        <is>
          <t>Пономарев центр</t>
        </is>
      </c>
      <c r="D238" s="303">
        <f>SUMIFS('Адресная программа'!$K$2975:$K$4468,'Адресная программа'!$I$2975:$I$4468,БЦ_ALL!C238,'Адресная программа'!$C$2975:$C$4468,БЦ_ALL!B238,'Адресная программа'!$N$2975:$N$4468,1)</f>
        <v/>
      </c>
      <c r="E238" s="994">
        <f>'Цены|Скидки'!$E$25</f>
        <v/>
      </c>
      <c r="F238" s="942">
        <f>SUM(E238*D238*$K$7/15*$K$9)</f>
        <v/>
      </c>
      <c r="G238" s="156">
        <f>IF(SUMIFS('Адресная программа'!$O$20:$O$4940,'Адресная программа'!$N$20:$N$4940,1,'Адресная программа'!$C$20:$C$4940,B238,'Адресная программа'!$G$20:$G$4940,"Бизнес центр")=SUMIFS('Адресная программа'!$K$20:$K$4940,'Адресная программа'!$L$20:$L$4940,1,'Адресная программа'!$C$20:$C$4940,B238,'Адресная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программа'!$C$20:$C$4940,B238,'Адресная программа'!$G$20:$G$4940,"Бизнес центр")&gt;(SUMIFS('Адресная программа'!$K$20:$K$4940,'Адресная программа'!$L$20:$L$4940,1,'Адресная программа'!$C$20:$C$4940,B238,'Адресная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программа'!$C$20:$C$4940,B238,'Адресная программа'!$G$20:$G$4940,"Бизнес центр")&gt;(SUMIFS('Адресная программа'!$K$20:$K$4940,'Адресная программа'!$L$20:$L$4940,1,'Адресная программа'!$C$20:$C$4940,B238,'Адресная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программа'!$C$20:$C$4940,B238,'Адресная программа'!$G$20:$G$4940,"Бизнес центр")&gt;(SUMIFS('Адресная программа'!$K$20:$K$4940,'Адресная программа'!$L$20:$L$4940,1,'Адресная программа'!$C$20:$C$4940,B238,'Адресная программа'!$G$20:$G$4940,"Бизнес центр")*'Цены|Скидки'!$B$55-1),'Цены|Скидки'!$C$55,0%))))</f>
        <v/>
      </c>
      <c r="H238" s="156">
        <f>D$12</f>
        <v/>
      </c>
      <c r="I238" s="190">
        <f>IF(D238=0,0,1-J238/F238)</f>
        <v/>
      </c>
      <c r="J238" s="934">
        <f>F238*(1-G238)*(1-H238)*(1-IF($AC$2="РА",$AD$2,0))*(1-IF(OR($AC$3="Доп скидка",$AC$3="Сезонная скидка",$AC$3="Welcome скидка")=TRUE,$AD$3,0))</f>
        <v/>
      </c>
      <c r="K238" s="934">
        <f>ROUND(J238+L238,2)</f>
        <v/>
      </c>
      <c r="L238" s="934">
        <f>J238*БЦ!$AD$4</f>
        <v/>
      </c>
      <c r="M238" s="159">
        <f>(SUMIFS('Адресная программа'!$H$20:$H$4288,'Адресная программа'!$I$20:$I$4288,БЦ_ALL!C238,'Адресная программа'!$C$20:$C$4288,БЦ_ALL!B238,'Адресная программа'!$N$20:$N$4288,1)*$K$7)</f>
        <v/>
      </c>
      <c r="N238" s="938">
        <f>IF(M238=0,0,J238/M238*1000)</f>
        <v/>
      </c>
      <c r="O238" s="389" t="n"/>
    </row>
    <row r="239" ht="14.4" customHeight="1">
      <c r="B239" s="253" t="inlineStr">
        <is>
          <t>Санкт-Петербург</t>
        </is>
      </c>
      <c r="C239" s="264" t="inlineStr">
        <is>
          <t>Приморский</t>
        </is>
      </c>
      <c r="D239" s="303">
        <f>SUMIFS('Адресная программа'!$K$2975:$K$4468,'Адресная программа'!$I$2975:$I$4468,БЦ_ALL!C239,'Адресная программа'!$C$2975:$C$4468,БЦ_ALL!B239,'Адресная программа'!$N$2975:$N$4468,1)</f>
        <v/>
      </c>
      <c r="E239" s="994">
        <f>'Цены|Скидки'!$E$25</f>
        <v/>
      </c>
      <c r="F239" s="942">
        <f>SUM(E239*D239*$K$7/15*$K$9)</f>
        <v/>
      </c>
      <c r="G239" s="156">
        <f>IF(SUMIFS('Адресная программа'!$O$20:$O$4940,'Адресная программа'!$N$20:$N$4940,1,'Адресная программа'!$C$20:$C$4940,B239,'Адресная программа'!$G$20:$G$4940,"Бизнес центр")=SUMIFS('Адресная программа'!$K$20:$K$4940,'Адресная программа'!$L$20:$L$4940,1,'Адресная программа'!$C$20:$C$4940,B239,'Адресная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программа'!$C$20:$C$4940,B239,'Адресная программа'!$G$20:$G$4940,"Бизнес центр")&gt;(SUMIFS('Адресная программа'!$K$20:$K$4940,'Адресная программа'!$L$20:$L$4940,1,'Адресная программа'!$C$20:$C$4940,B239,'Адресная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программа'!$C$20:$C$4940,B239,'Адресная программа'!$G$20:$G$4940,"Бизнес центр")&gt;(SUMIFS('Адресная программа'!$K$20:$K$4940,'Адресная программа'!$L$20:$L$4940,1,'Адресная программа'!$C$20:$C$4940,B239,'Адресная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программа'!$C$20:$C$4940,B239,'Адресная программа'!$G$20:$G$4940,"Бизнес центр")&gt;(SUMIFS('Адресная программа'!$K$20:$K$4940,'Адресная программа'!$L$20:$L$4940,1,'Адресная программа'!$C$20:$C$4940,B239,'Адресная программа'!$G$20:$G$4940,"Бизнес центр")*'Цены|Скидки'!$B$55-1),'Цены|Скидки'!$C$55,0%))))</f>
        <v/>
      </c>
      <c r="H239" s="156">
        <f>D$12</f>
        <v/>
      </c>
      <c r="I239" s="190">
        <f>IF(D239=0,0,1-J239/F239)</f>
        <v/>
      </c>
      <c r="J239" s="934">
        <f>F239*(1-G239)*(1-H239)*(1-IF($AC$2="РА",$AD$2,0))*(1-IF(OR($AC$3="Доп скидка",$AC$3="Сезонная скидка",$AC$3="Welcome скидка")=TRUE,$AD$3,0))</f>
        <v/>
      </c>
      <c r="K239" s="934">
        <f>ROUND(J239+L239,2)</f>
        <v/>
      </c>
      <c r="L239" s="934">
        <f>J239*БЦ!$AD$4</f>
        <v/>
      </c>
      <c r="M239" s="159">
        <f>(SUMIFS('Адресная программа'!$H$20:$H$4288,'Адресная программа'!$I$20:$I$4288,БЦ_ALL!C239,'Адресная программа'!$C$20:$C$4288,БЦ_ALL!B239,'Адресная программа'!$N$20:$N$4288,1)*$K$7)</f>
        <v/>
      </c>
      <c r="N239" s="938">
        <f>IF(M239=0,0,J239/M239*1000)</f>
        <v/>
      </c>
      <c r="O239" s="389" t="n"/>
    </row>
    <row r="240" ht="14.4" customHeight="1">
      <c r="B240" s="253" t="inlineStr">
        <is>
          <t>Санкт-Петербург</t>
        </is>
      </c>
      <c r="C240" s="264" t="inlineStr">
        <is>
          <t>Преображенский двор</t>
        </is>
      </c>
      <c r="D240" s="303">
        <f>SUMIFS('Адресная программа'!$K$2975:$K$4468,'Адресная программа'!$I$2975:$I$4468,БЦ_ALL!C240,'Адресная программа'!$C$2975:$C$4468,БЦ_ALL!B240,'Адресная программа'!$N$2975:$N$4468,1)</f>
        <v/>
      </c>
      <c r="E240" s="994">
        <f>'Цены|Скидки'!$E$25</f>
        <v/>
      </c>
      <c r="F240" s="942">
        <f>SUM(E240*D240*$K$7/15*$K$9)</f>
        <v/>
      </c>
      <c r="G240" s="156">
        <f>IF(SUMIFS('Адресная программа'!$O$20:$O$4940,'Адресная программа'!$N$20:$N$4940,1,'Адресная программа'!$C$20:$C$4940,B240,'Адресная программа'!$G$20:$G$4940,"Бизнес центр")=SUMIFS('Адресная программа'!$K$20:$K$4940,'Адресная программа'!$L$20:$L$4940,1,'Адресная программа'!$C$20:$C$4940,B240,'Адресная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программа'!$C$20:$C$4940,B240,'Адресная программа'!$G$20:$G$4940,"Бизнес центр")&gt;(SUMIFS('Адресная программа'!$K$20:$K$4940,'Адресная программа'!$L$20:$L$4940,1,'Адресная программа'!$C$20:$C$4940,B240,'Адресная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программа'!$C$20:$C$4940,B240,'Адресная программа'!$G$20:$G$4940,"Бизнес центр")&gt;(SUMIFS('Адресная программа'!$K$20:$K$4940,'Адресная программа'!$L$20:$L$4940,1,'Адресная программа'!$C$20:$C$4940,B240,'Адресная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программа'!$C$20:$C$4940,B240,'Адресная программа'!$G$20:$G$4940,"Бизнес центр")&gt;(SUMIFS('Адресная программа'!$K$20:$K$4940,'Адресная программа'!$L$20:$L$4940,1,'Адресная программа'!$C$20:$C$4940,B240,'Адресная программа'!$G$20:$G$4940,"Бизнес центр")*'Цены|Скидки'!$B$55-1),'Цены|Скидки'!$C$55,0%))))</f>
        <v/>
      </c>
      <c r="H240" s="156">
        <f>D$12</f>
        <v/>
      </c>
      <c r="I240" s="190">
        <f>IF(D240=0,0,1-J240/F240)</f>
        <v/>
      </c>
      <c r="J240" s="934">
        <f>F240*(1-G240)*(1-H240)*(1-IF($AC$2="РА",$AD$2,0))*(1-IF(OR($AC$3="Доп скидка",$AC$3="Сезонная скидка",$AC$3="Welcome скидка")=TRUE,$AD$3,0))</f>
        <v/>
      </c>
      <c r="K240" s="934">
        <f>ROUND(J240+L240,2)</f>
        <v/>
      </c>
      <c r="L240" s="934">
        <f>J240*БЦ!$AD$4</f>
        <v/>
      </c>
      <c r="M240" s="159">
        <f>(SUMIFS('Адресная программа'!$H$20:$H$4288,'Адресная программа'!$I$20:$I$4288,БЦ_ALL!C240,'Адресная программа'!$C$20:$C$4288,БЦ_ALL!B240,'Адресная программа'!$N$20:$N$4288,1)*$K$7)</f>
        <v/>
      </c>
      <c r="N240" s="938">
        <f>IF(M240=0,0,J240/M240*1000)</f>
        <v/>
      </c>
      <c r="O240" s="389" t="n"/>
    </row>
    <row r="241" ht="14.4" customHeight="1">
      <c r="B241" s="253" t="inlineStr">
        <is>
          <t>Санкт-Петербург</t>
        </is>
      </c>
      <c r="C241" s="264" t="inlineStr">
        <is>
          <t>Радуга</t>
        </is>
      </c>
      <c r="D241" s="303">
        <f>SUMIFS('Адресная программа'!$K$2975:$K$4468,'Адресная программа'!$I$2975:$I$4468,БЦ_ALL!C241,'Адресная программа'!$C$2975:$C$4468,БЦ_ALL!B241,'Адресная программа'!$N$2975:$N$4468,1)</f>
        <v/>
      </c>
      <c r="E241" s="994">
        <f>'Цены|Скидки'!$E$25</f>
        <v/>
      </c>
      <c r="F241" s="942">
        <f>SUM(E241*D241*$K$7/15*$K$9)</f>
        <v/>
      </c>
      <c r="G241" s="156">
        <f>IF(SUMIFS('Адресная программа'!$O$20:$O$4940,'Адресная программа'!$N$20:$N$4940,1,'Адресная программа'!$C$20:$C$4940,B241,'Адресная программа'!$G$20:$G$4940,"Бизнес центр")=SUMIFS('Адресная программа'!$K$20:$K$4940,'Адресная программа'!$L$20:$L$4940,1,'Адресная программа'!$C$20:$C$4940,B241,'Адресная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программа'!$C$20:$C$4940,B241,'Адресная программа'!$G$20:$G$4940,"Бизнес центр")&gt;(SUMIFS('Адресная программа'!$K$20:$K$4940,'Адресная программа'!$L$20:$L$4940,1,'Адресная программа'!$C$20:$C$4940,B241,'Адресная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программа'!$C$20:$C$4940,B241,'Адресная программа'!$G$20:$G$4940,"Бизнес центр")&gt;(SUMIFS('Адресная программа'!$K$20:$K$4940,'Адресная программа'!$L$20:$L$4940,1,'Адресная программа'!$C$20:$C$4940,B241,'Адресная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программа'!$C$20:$C$4940,B241,'Адресная программа'!$G$20:$G$4940,"Бизнес центр")&gt;(SUMIFS('Адресная программа'!$K$20:$K$4940,'Адресная программа'!$L$20:$L$4940,1,'Адресная программа'!$C$20:$C$4940,B241,'Адресная программа'!$G$20:$G$4940,"Бизнес центр")*'Цены|Скидки'!$B$55-1),'Цены|Скидки'!$C$55,0%))))</f>
        <v/>
      </c>
      <c r="H241" s="156">
        <f>D$12</f>
        <v/>
      </c>
      <c r="I241" s="190">
        <f>IF(D241=0,0,1-J241/F241)</f>
        <v/>
      </c>
      <c r="J241" s="934">
        <f>F241*(1-G241)*(1-H241)*(1-IF($AC$2="РА",$AD$2,0))*(1-IF(OR($AC$3="Доп скидка",$AC$3="Сезонная скидка",$AC$3="Welcome скидка")=TRUE,$AD$3,0))</f>
        <v/>
      </c>
      <c r="K241" s="934">
        <f>ROUND(J241+L241,2)</f>
        <v/>
      </c>
      <c r="L241" s="934">
        <f>J241*БЦ!$AD$4</f>
        <v/>
      </c>
      <c r="M241" s="159">
        <f>(SUMIFS('Адресная программа'!$H$20:$H$4288,'Адресная программа'!$I$20:$I$4288,БЦ_ALL!C241,'Адресная программа'!$C$20:$C$4288,БЦ_ALL!B241,'Адресная программа'!$N$20:$N$4288,1)*$K$7)</f>
        <v/>
      </c>
      <c r="N241" s="938">
        <f>IF(M241=0,0,J241/M241*1000)</f>
        <v/>
      </c>
      <c r="O241" s="389" t="n"/>
    </row>
    <row r="242" ht="14.4" customHeight="1">
      <c r="B242" s="253" t="inlineStr">
        <is>
          <t>Санкт-Петербург</t>
        </is>
      </c>
      <c r="C242" s="264" t="inlineStr">
        <is>
          <t>Ривер Хаус</t>
        </is>
      </c>
      <c r="D242" s="303">
        <f>SUMIFS('Адресная программа'!$K$2975:$K$4468,'Адресная программа'!$I$2975:$I$4468,БЦ_ALL!C242,'Адресная программа'!$C$2975:$C$4468,БЦ_ALL!B242,'Адресная программа'!$N$2975:$N$4468,1)</f>
        <v/>
      </c>
      <c r="E242" s="994">
        <f>'Цены|Скидки'!$E$25</f>
        <v/>
      </c>
      <c r="F242" s="942">
        <f>SUM(E242*D242*$K$7/15*$K$9)</f>
        <v/>
      </c>
      <c r="G242" s="156">
        <f>IF(SUMIFS('Адресная программа'!$O$20:$O$4940,'Адресная программа'!$N$20:$N$4940,1,'Адресная программа'!$C$20:$C$4940,B242,'Адресная программа'!$G$20:$G$4940,"Бизнес центр")=SUMIFS('Адресная программа'!$K$20:$K$4940,'Адресная программа'!$L$20:$L$4940,1,'Адресная программа'!$C$20:$C$4940,B242,'Адресная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программа'!$C$20:$C$4940,B242,'Адресная программа'!$G$20:$G$4940,"Бизнес центр")&gt;(SUMIFS('Адресная программа'!$K$20:$K$4940,'Адресная программа'!$L$20:$L$4940,1,'Адресная программа'!$C$20:$C$4940,B242,'Адресная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программа'!$C$20:$C$4940,B242,'Адресная программа'!$G$20:$G$4940,"Бизнес центр")&gt;(SUMIFS('Адресная программа'!$K$20:$K$4940,'Адресная программа'!$L$20:$L$4940,1,'Адресная программа'!$C$20:$C$4940,B242,'Адресная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программа'!$C$20:$C$4940,B242,'Адресная программа'!$G$20:$G$4940,"Бизнес центр")&gt;(SUMIFS('Адресная программа'!$K$20:$K$4940,'Адресная программа'!$L$20:$L$4940,1,'Адресная программа'!$C$20:$C$4940,B242,'Адресная программа'!$G$20:$G$4940,"Бизнес центр")*'Цены|Скидки'!$B$55-1),'Цены|Скидки'!$C$55,0%))))</f>
        <v/>
      </c>
      <c r="H242" s="156">
        <f>D$12</f>
        <v/>
      </c>
      <c r="I242" s="190">
        <f>IF(D242=0,0,1-J242/F242)</f>
        <v/>
      </c>
      <c r="J242" s="934">
        <f>F242*(1-G242)*(1-H242)*(1-IF($AC$2="РА",$AD$2,0))*(1-IF(OR($AC$3="Доп скидка",$AC$3="Сезонная скидка",$AC$3="Welcome скидка")=TRUE,$AD$3,0))</f>
        <v/>
      </c>
      <c r="K242" s="934">
        <f>ROUND(J242+L242,2)</f>
        <v/>
      </c>
      <c r="L242" s="934">
        <f>J242*БЦ!$AD$4</f>
        <v/>
      </c>
      <c r="M242" s="159">
        <f>(SUMIFS('Адресная программа'!$H$20:$H$4288,'Адресная программа'!$I$20:$I$4288,БЦ_ALL!C242,'Адресная программа'!$C$20:$C$4288,БЦ_ALL!B242,'Адресная программа'!$N$20:$N$4288,1)*$K$7)</f>
        <v/>
      </c>
      <c r="N242" s="938">
        <f>IF(M242=0,0,J242/M242*1000)</f>
        <v/>
      </c>
      <c r="O242" s="389" t="n"/>
    </row>
    <row r="243" ht="14.4" customHeight="1">
      <c r="B243" s="253" t="inlineStr">
        <is>
          <t>Санкт-Петербург</t>
        </is>
      </c>
      <c r="C243" s="264" t="inlineStr">
        <is>
          <t>Резон</t>
        </is>
      </c>
      <c r="D243" s="303">
        <f>SUMIFS('Адресная программа'!$K$2975:$K$4468,'Адресная программа'!$I$2975:$I$4468,БЦ_ALL!C243,'Адресная программа'!$C$2975:$C$4468,БЦ_ALL!B243,'Адресная программа'!$N$2975:$N$4468,1)</f>
        <v/>
      </c>
      <c r="E243" s="994">
        <f>'Цены|Скидки'!$E$25</f>
        <v/>
      </c>
      <c r="F243" s="942">
        <f>SUM(E243*D243*$K$7/15*$K$9)</f>
        <v/>
      </c>
      <c r="G243" s="156">
        <f>IF(SUMIFS('Адресная программа'!$O$20:$O$4940,'Адресная программа'!$N$20:$N$4940,1,'Адресная программа'!$C$20:$C$4940,B243,'Адресная программа'!$G$20:$G$4940,"Бизнес центр")=SUMIFS('Адресная программа'!$K$20:$K$4940,'Адресная программа'!$L$20:$L$4940,1,'Адресная программа'!$C$20:$C$4940,B243,'Адресная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программа'!$C$20:$C$4940,B243,'Адресная программа'!$G$20:$G$4940,"Бизнес центр")&gt;(SUMIFS('Адресная программа'!$K$20:$K$4940,'Адресная программа'!$L$20:$L$4940,1,'Адресная программа'!$C$20:$C$4940,B243,'Адресная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программа'!$C$20:$C$4940,B243,'Адресная программа'!$G$20:$G$4940,"Бизнес центр")&gt;(SUMIFS('Адресная программа'!$K$20:$K$4940,'Адресная программа'!$L$20:$L$4940,1,'Адресная программа'!$C$20:$C$4940,B243,'Адресная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программа'!$C$20:$C$4940,B243,'Адресная программа'!$G$20:$G$4940,"Бизнес центр")&gt;(SUMIFS('Адресная программа'!$K$20:$K$4940,'Адресная программа'!$L$20:$L$4940,1,'Адресная программа'!$C$20:$C$4940,B243,'Адресная программа'!$G$20:$G$4940,"Бизнес центр")*'Цены|Скидки'!$B$55-1),'Цены|Скидки'!$C$55,0%))))</f>
        <v/>
      </c>
      <c r="H243" s="156">
        <f>D$12</f>
        <v/>
      </c>
      <c r="I243" s="190">
        <f>IF(D243=0,0,1-J243/F243)</f>
        <v/>
      </c>
      <c r="J243" s="934">
        <f>F243*(1-G243)*(1-H243)*(1-IF($AC$2="РА",$AD$2,0))*(1-IF(OR($AC$3="Доп скидка",$AC$3="Сезонная скидка",$AC$3="Welcome скидка")=TRUE,$AD$3,0))</f>
        <v/>
      </c>
      <c r="K243" s="934">
        <f>ROUND(J243+L243,2)</f>
        <v/>
      </c>
      <c r="L243" s="934">
        <f>J243*БЦ!$AD$4</f>
        <v/>
      </c>
      <c r="M243" s="159">
        <f>(SUMIFS('Адресная программа'!$H$20:$H$4288,'Адресная программа'!$I$20:$I$4288,БЦ_ALL!C243,'Адресная программа'!$C$20:$C$4288,БЦ_ALL!B243,'Адресная программа'!$N$20:$N$4288,1)*$K$7)</f>
        <v/>
      </c>
      <c r="N243" s="938">
        <f>IF(M243=0,0,J243/M243*1000)</f>
        <v/>
      </c>
      <c r="O243" s="389" t="n"/>
    </row>
    <row r="244" ht="14.4" customHeight="1">
      <c r="B244" s="253" t="inlineStr">
        <is>
          <t>Санкт-Петербург</t>
        </is>
      </c>
      <c r="C244" s="264" t="inlineStr">
        <is>
          <t>Ред Кадет</t>
        </is>
      </c>
      <c r="D244" s="303">
        <f>SUMIFS('Адресная программа'!$K$2975:$K$4468,'Адресная программа'!$I$2975:$I$4468,БЦ_ALL!C244,'Адресная программа'!$C$2975:$C$4468,БЦ_ALL!B244,'Адресная программа'!$N$2975:$N$4468,1)</f>
        <v/>
      </c>
      <c r="E244" s="994">
        <f>'Цены|Скидки'!$E$25</f>
        <v/>
      </c>
      <c r="F244" s="942">
        <f>SUM(E244*D244*$K$7/15*$K$9)</f>
        <v/>
      </c>
      <c r="G244" s="156">
        <f>IF(SUMIFS('Адресная программа'!$O$20:$O$4940,'Адресная программа'!$N$20:$N$4940,1,'Адресная программа'!$C$20:$C$4940,B244,'Адресная программа'!$G$20:$G$4940,"Бизнес центр")=SUMIFS('Адресная программа'!$K$20:$K$4940,'Адресная программа'!$L$20:$L$4940,1,'Адресная программа'!$C$20:$C$4940,B244,'Адресная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программа'!$C$20:$C$4940,B244,'Адресная программа'!$G$20:$G$4940,"Бизнес центр")&gt;(SUMIFS('Адресная программа'!$K$20:$K$4940,'Адресная программа'!$L$20:$L$4940,1,'Адресная программа'!$C$20:$C$4940,B244,'Адресная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программа'!$C$20:$C$4940,B244,'Адресная программа'!$G$20:$G$4940,"Бизнес центр")&gt;(SUMIFS('Адресная программа'!$K$20:$K$4940,'Адресная программа'!$L$20:$L$4940,1,'Адресная программа'!$C$20:$C$4940,B244,'Адресная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программа'!$C$20:$C$4940,B244,'Адресная программа'!$G$20:$G$4940,"Бизнес центр")&gt;(SUMIFS('Адресная программа'!$K$20:$K$4940,'Адресная программа'!$L$20:$L$4940,1,'Адресная программа'!$C$20:$C$4940,B244,'Адресная программа'!$G$20:$G$4940,"Бизнес центр")*'Цены|Скидки'!$B$55-1),'Цены|Скидки'!$C$55,0%))))</f>
        <v/>
      </c>
      <c r="H244" s="156">
        <f>D$12</f>
        <v/>
      </c>
      <c r="I244" s="190">
        <f>IF(D244=0,0,1-J244/F244)</f>
        <v/>
      </c>
      <c r="J244" s="934">
        <f>F244*(1-G244)*(1-H244)*(1-IF($AC$2="РА",$AD$2,0))*(1-IF(OR($AC$3="Доп скидка",$AC$3="Сезонная скидка",$AC$3="Welcome скидка")=TRUE,$AD$3,0))</f>
        <v/>
      </c>
      <c r="K244" s="934">
        <f>ROUND(J244+L244,2)</f>
        <v/>
      </c>
      <c r="L244" s="934">
        <f>J244*БЦ!$AD$4</f>
        <v/>
      </c>
      <c r="M244" s="159">
        <f>(SUMIFS('Адресная программа'!$H$20:$H$4288,'Адресная программа'!$I$20:$I$4288,БЦ_ALL!C244,'Адресная программа'!$C$20:$C$4288,БЦ_ALL!B244,'Адресная программа'!$N$20:$N$4288,1)*$K$7)</f>
        <v/>
      </c>
      <c r="N244" s="938">
        <f>IF(M244=0,0,J244/M244*1000)</f>
        <v/>
      </c>
      <c r="O244" s="389" t="n"/>
    </row>
    <row r="245" ht="14.4" customHeight="1">
      <c r="B245" s="253" t="inlineStr">
        <is>
          <t>Санкт-Петербург</t>
        </is>
      </c>
      <c r="C245" s="264" t="inlineStr">
        <is>
          <t>Ренессанс Hall</t>
        </is>
      </c>
      <c r="D245" s="303">
        <f>SUMIFS('Адресная программа'!$K$2975:$K$4468,'Адресная программа'!$I$2975:$I$4468,БЦ_ALL!C245,'Адресная программа'!$C$2975:$C$4468,БЦ_ALL!B245,'Адресная программа'!$N$2975:$N$4468,1)</f>
        <v/>
      </c>
      <c r="E245" s="994">
        <f>'Цены|Скидки'!$E$25</f>
        <v/>
      </c>
      <c r="F245" s="942">
        <f>SUM(E245*D245*$K$7/15*$K$9)</f>
        <v/>
      </c>
      <c r="G245" s="156">
        <f>IF(SUMIFS('Адресная программа'!$O$20:$O$4940,'Адресная программа'!$N$20:$N$4940,1,'Адресная программа'!$C$20:$C$4940,B245,'Адресная программа'!$G$20:$G$4940,"Бизнес центр")=SUMIFS('Адресная программа'!$K$20:$K$4940,'Адресная программа'!$L$20:$L$4940,1,'Адресная программа'!$C$20:$C$4940,B245,'Адресная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программа'!$C$20:$C$4940,B245,'Адресная программа'!$G$20:$G$4940,"Бизнес центр")&gt;(SUMIFS('Адресная программа'!$K$20:$K$4940,'Адресная программа'!$L$20:$L$4940,1,'Адресная программа'!$C$20:$C$4940,B245,'Адресная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программа'!$C$20:$C$4940,B245,'Адресная программа'!$G$20:$G$4940,"Бизнес центр")&gt;(SUMIFS('Адресная программа'!$K$20:$K$4940,'Адресная программа'!$L$20:$L$4940,1,'Адресная программа'!$C$20:$C$4940,B245,'Адресная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программа'!$C$20:$C$4940,B245,'Адресная программа'!$G$20:$G$4940,"Бизнес центр")&gt;(SUMIFS('Адресная программа'!$K$20:$K$4940,'Адресная программа'!$L$20:$L$4940,1,'Адресная программа'!$C$20:$C$4940,B245,'Адресная программа'!$G$20:$G$4940,"Бизнес центр")*'Цены|Скидки'!$B$55-1),'Цены|Скидки'!$C$55,0%))))</f>
        <v/>
      </c>
      <c r="H245" s="156">
        <f>D$12</f>
        <v/>
      </c>
      <c r="I245" s="190">
        <f>IF(D245=0,0,1-J245/F245)</f>
        <v/>
      </c>
      <c r="J245" s="934">
        <f>F245*(1-G245)*(1-H245)*(1-IF($AC$2="РА",$AD$2,0))*(1-IF(OR($AC$3="Доп скидка",$AC$3="Сезонная скидка",$AC$3="Welcome скидка")=TRUE,$AD$3,0))</f>
        <v/>
      </c>
      <c r="K245" s="934">
        <f>ROUND(J245+L245,2)</f>
        <v/>
      </c>
      <c r="L245" s="934">
        <f>J245*БЦ!$AD$4</f>
        <v/>
      </c>
      <c r="M245" s="159">
        <f>(SUMIFS('Адресная программа'!$H$20:$H$4288,'Адресная программа'!$I$20:$I$4288,БЦ_ALL!C245,'Адресная программа'!$C$20:$C$4288,БЦ_ALL!B245,'Адресная программа'!$N$20:$N$4288,1)*$K$7)</f>
        <v/>
      </c>
      <c r="N245" s="938">
        <f>IF(M245=0,0,J245/M245*1000)</f>
        <v/>
      </c>
      <c r="O245" s="389" t="n"/>
    </row>
    <row r="246" ht="14.4" customHeight="1">
      <c r="B246" s="253" t="inlineStr">
        <is>
          <t>Санкт-Петербург</t>
        </is>
      </c>
      <c r="C246" s="264" t="inlineStr">
        <is>
          <t>Ренессанс House</t>
        </is>
      </c>
      <c r="D246" s="303">
        <f>SUMIFS('Адресная программа'!$K$2975:$K$4468,'Адресная программа'!$I$2975:$I$4468,БЦ_ALL!C246,'Адресная программа'!$C$2975:$C$4468,БЦ_ALL!B246,'Адресная программа'!$N$2975:$N$4468,1)</f>
        <v/>
      </c>
      <c r="E246" s="994">
        <f>'Цены|Скидки'!$E$25</f>
        <v/>
      </c>
      <c r="F246" s="942">
        <f>SUM(E246*D246*$K$7/15*$K$9)</f>
        <v/>
      </c>
      <c r="G246" s="156">
        <f>IF(SUMIFS('Адресная программа'!$O$20:$O$4940,'Адресная программа'!$N$20:$N$4940,1,'Адресная программа'!$C$20:$C$4940,B246,'Адресная программа'!$G$20:$G$4940,"Бизнес центр")=SUMIFS('Адресная программа'!$K$20:$K$4940,'Адресная программа'!$L$20:$L$4940,1,'Адресная программа'!$C$20:$C$4940,B246,'Адресная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программа'!$C$20:$C$4940,B246,'Адресная программа'!$G$20:$G$4940,"Бизнес центр")&gt;(SUMIFS('Адресная программа'!$K$20:$K$4940,'Адресная программа'!$L$20:$L$4940,1,'Адресная программа'!$C$20:$C$4940,B246,'Адресная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программа'!$C$20:$C$4940,B246,'Адресная программа'!$G$20:$G$4940,"Бизнес центр")&gt;(SUMIFS('Адресная программа'!$K$20:$K$4940,'Адресная программа'!$L$20:$L$4940,1,'Адресная программа'!$C$20:$C$4940,B246,'Адресная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программа'!$C$20:$C$4940,B246,'Адресная программа'!$G$20:$G$4940,"Бизнес центр")&gt;(SUMIFS('Адресная программа'!$K$20:$K$4940,'Адресная программа'!$L$20:$L$4940,1,'Адресная программа'!$C$20:$C$4940,B246,'Адресная программа'!$G$20:$G$4940,"Бизнес центр")*'Цены|Скидки'!$B$55-1),'Цены|Скидки'!$C$55,0%))))</f>
        <v/>
      </c>
      <c r="H246" s="156">
        <f>D$12</f>
        <v/>
      </c>
      <c r="I246" s="190">
        <f>IF(D246=0,0,1-J246/F246)</f>
        <v/>
      </c>
      <c r="J246" s="934">
        <f>F246*(1-G246)*(1-H246)*(1-IF($AC$2="РА",$AD$2,0))*(1-IF(OR($AC$3="Доп скидка",$AC$3="Сезонная скидка",$AC$3="Welcome скидка")=TRUE,$AD$3,0))</f>
        <v/>
      </c>
      <c r="K246" s="934">
        <f>ROUND(J246+L246,2)</f>
        <v/>
      </c>
      <c r="L246" s="934">
        <f>J246*БЦ!$AD$4</f>
        <v/>
      </c>
      <c r="M246" s="159">
        <f>(SUMIFS('Адресная программа'!$H$20:$H$4288,'Адресная программа'!$I$20:$I$4288,БЦ_ALL!C246,'Адресная программа'!$C$20:$C$4288,БЦ_ALL!B246,'Адресная программа'!$N$20:$N$4288,1)*$K$7)</f>
        <v/>
      </c>
      <c r="N246" s="938">
        <f>IF(M246=0,0,J246/M246*1000)</f>
        <v/>
      </c>
      <c r="O246" s="389" t="n"/>
    </row>
    <row r="247" ht="14.4" customHeight="1">
      <c r="B247" s="253" t="inlineStr">
        <is>
          <t>Санкт-Петербург</t>
        </is>
      </c>
      <c r="C247" s="264" t="inlineStr">
        <is>
          <t>Ренессанс Plaza</t>
        </is>
      </c>
      <c r="D247" s="303">
        <f>SUMIFS('Адресная программа'!$K$2975:$K$4468,'Адресная программа'!$I$2975:$I$4468,БЦ_ALL!C247,'Адресная программа'!$C$2975:$C$4468,БЦ_ALL!B247,'Адресная программа'!$N$2975:$N$4468,1)</f>
        <v/>
      </c>
      <c r="E247" s="994">
        <f>'Цены|Скидки'!$E$25</f>
        <v/>
      </c>
      <c r="F247" s="942">
        <f>SUM(E247*D247*$K$7/15*$K$9)</f>
        <v/>
      </c>
      <c r="G247" s="156">
        <f>IF(SUMIFS('Адресная программа'!$O$20:$O$4940,'Адресная программа'!$N$20:$N$4940,1,'Адресная программа'!$C$20:$C$4940,B247,'Адресная программа'!$G$20:$G$4940,"Бизнес центр")=SUMIFS('Адресная программа'!$K$20:$K$4940,'Адресная программа'!$L$20:$L$4940,1,'Адресная программа'!$C$20:$C$4940,B247,'Адресная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программа'!$C$20:$C$4940,B247,'Адресная программа'!$G$20:$G$4940,"Бизнес центр")&gt;(SUMIFS('Адресная программа'!$K$20:$K$4940,'Адресная программа'!$L$20:$L$4940,1,'Адресная программа'!$C$20:$C$4940,B247,'Адресная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программа'!$C$20:$C$4940,B247,'Адресная программа'!$G$20:$G$4940,"Бизнес центр")&gt;(SUMIFS('Адресная программа'!$K$20:$K$4940,'Адресная программа'!$L$20:$L$4940,1,'Адресная программа'!$C$20:$C$4940,B247,'Адресная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программа'!$C$20:$C$4940,B247,'Адресная программа'!$G$20:$G$4940,"Бизнес центр")&gt;(SUMIFS('Адресная программа'!$K$20:$K$4940,'Адресная программа'!$L$20:$L$4940,1,'Адресная программа'!$C$20:$C$4940,B247,'Адресная программа'!$G$20:$G$4940,"Бизнес центр")*'Цены|Скидки'!$B$55-1),'Цены|Скидки'!$C$55,0%))))</f>
        <v/>
      </c>
      <c r="H247" s="156">
        <f>D$12</f>
        <v/>
      </c>
      <c r="I247" s="190">
        <f>IF(D247=0,0,1-J247/F247)</f>
        <v/>
      </c>
      <c r="J247" s="934">
        <f>F247*(1-G247)*(1-H247)*(1-IF($AC$2="РА",$AD$2,0))*(1-IF(OR($AC$3="Доп скидка",$AC$3="Сезонная скидка",$AC$3="Welcome скидка")=TRUE,$AD$3,0))</f>
        <v/>
      </c>
      <c r="K247" s="934">
        <f>ROUND(J247+L247,2)</f>
        <v/>
      </c>
      <c r="L247" s="934">
        <f>J247*БЦ!$AD$4</f>
        <v/>
      </c>
      <c r="M247" s="159">
        <f>(SUMIFS('Адресная программа'!$H$20:$H$4288,'Адресная программа'!$I$20:$I$4288,БЦ_ALL!C247,'Адресная программа'!$C$20:$C$4288,БЦ_ALL!B247,'Адресная программа'!$N$20:$N$4288,1)*$K$7)</f>
        <v/>
      </c>
      <c r="N247" s="938">
        <f>IF(M247=0,0,J247/M247*1000)</f>
        <v/>
      </c>
      <c r="O247" s="389" t="n"/>
    </row>
    <row r="248" ht="14.4" customHeight="1">
      <c r="B248" s="253" t="inlineStr">
        <is>
          <t>Санкт-Петербург</t>
        </is>
      </c>
      <c r="C248" s="264" t="inlineStr">
        <is>
          <t>Ростра</t>
        </is>
      </c>
      <c r="D248" s="303">
        <f>SUMIFS('Адресная программа'!$K$2975:$K$4468,'Адресная программа'!$I$2975:$I$4468,БЦ_ALL!C248,'Адресная программа'!$C$2975:$C$4468,БЦ_ALL!B248,'Адресная программа'!$N$2975:$N$4468,1)</f>
        <v/>
      </c>
      <c r="E248" s="994">
        <f>'Цены|Скидки'!$E$25</f>
        <v/>
      </c>
      <c r="F248" s="942">
        <f>SUM(E248*D248*$K$7/15*$K$9)</f>
        <v/>
      </c>
      <c r="G248" s="156">
        <f>IF(SUMIFS('Адресная программа'!$O$20:$O$4940,'Адресная программа'!$N$20:$N$4940,1,'Адресная программа'!$C$20:$C$4940,B248,'Адресная программа'!$G$20:$G$4940,"Бизнес центр")=SUMIFS('Адресная программа'!$K$20:$K$4940,'Адресная программа'!$L$20:$L$4940,1,'Адресная программа'!$C$20:$C$4940,B248,'Адресная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программа'!$C$20:$C$4940,B248,'Адресная программа'!$G$20:$G$4940,"Бизнес центр")&gt;(SUMIFS('Адресная программа'!$K$20:$K$4940,'Адресная программа'!$L$20:$L$4940,1,'Адресная программа'!$C$20:$C$4940,B248,'Адресная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программа'!$C$20:$C$4940,B248,'Адресная программа'!$G$20:$G$4940,"Бизнес центр")&gt;(SUMIFS('Адресная программа'!$K$20:$K$4940,'Адресная программа'!$L$20:$L$4940,1,'Адресная программа'!$C$20:$C$4940,B248,'Адресная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программа'!$C$20:$C$4940,B248,'Адресная программа'!$G$20:$G$4940,"Бизнес центр")&gt;(SUMIFS('Адресная программа'!$K$20:$K$4940,'Адресная программа'!$L$20:$L$4940,1,'Адресная программа'!$C$20:$C$4940,B248,'Адресная программа'!$G$20:$G$4940,"Бизнес центр")*'Цены|Скидки'!$B$55-1),'Цены|Скидки'!$C$55,0%))))</f>
        <v/>
      </c>
      <c r="H248" s="156">
        <f>D$12</f>
        <v/>
      </c>
      <c r="I248" s="190">
        <f>IF(D248=0,0,1-J248/F248)</f>
        <v/>
      </c>
      <c r="J248" s="934">
        <f>F248*(1-G248)*(1-H248)*(1-IF($AC$2="РА",$AD$2,0))*(1-IF(OR($AC$3="Доп скидка",$AC$3="Сезонная скидка",$AC$3="Welcome скидка")=TRUE,$AD$3,0))</f>
        <v/>
      </c>
      <c r="K248" s="934">
        <f>ROUND(J248+L248,2)</f>
        <v/>
      </c>
      <c r="L248" s="934">
        <f>J248*БЦ!$AD$4</f>
        <v/>
      </c>
      <c r="M248" s="159">
        <f>(SUMIFS('Адресная программа'!$H$20:$H$4288,'Адресная программа'!$I$20:$I$4288,БЦ_ALL!C248,'Адресная программа'!$C$20:$C$4288,БЦ_ALL!B248,'Адресная программа'!$N$20:$N$4288,1)*$K$7)</f>
        <v/>
      </c>
      <c r="N248" s="938">
        <f>IF(M248=0,0,J248/M248*1000)</f>
        <v/>
      </c>
      <c r="O248" s="389" t="n"/>
    </row>
    <row r="249" ht="14.4" customHeight="1">
      <c r="B249" s="253" t="inlineStr">
        <is>
          <t>Санкт-Петербург</t>
        </is>
      </c>
      <c r="C249" s="264" t="inlineStr">
        <is>
          <t>Румба</t>
        </is>
      </c>
      <c r="D249" s="303">
        <f>SUMIFS('Адресная программа'!$K$2975:$K$4468,'Адресная программа'!$I$2975:$I$4468,БЦ_ALL!C249,'Адресная программа'!$C$2975:$C$4468,БЦ_ALL!B249,'Адресная программа'!$N$2975:$N$4468,1)</f>
        <v/>
      </c>
      <c r="E249" s="994">
        <f>'Цены|Скидки'!$E$25</f>
        <v/>
      </c>
      <c r="F249" s="942">
        <f>SUM(E249*D249*$K$7/15*$K$9)</f>
        <v/>
      </c>
      <c r="G249" s="156">
        <f>IF(SUMIFS('Адресная программа'!$O$20:$O$4940,'Адресная программа'!$N$20:$N$4940,1,'Адресная программа'!$C$20:$C$4940,B249,'Адресная программа'!$G$20:$G$4940,"Бизнес центр")=SUMIFS('Адресная программа'!$K$20:$K$4940,'Адресная программа'!$L$20:$L$4940,1,'Адресная программа'!$C$20:$C$4940,B249,'Адресная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программа'!$C$20:$C$4940,B249,'Адресная программа'!$G$20:$G$4940,"Бизнес центр")&gt;(SUMIFS('Адресная программа'!$K$20:$K$4940,'Адресная программа'!$L$20:$L$4940,1,'Адресная программа'!$C$20:$C$4940,B249,'Адресная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программа'!$C$20:$C$4940,B249,'Адресная программа'!$G$20:$G$4940,"Бизнес центр")&gt;(SUMIFS('Адресная программа'!$K$20:$K$4940,'Адресная программа'!$L$20:$L$4940,1,'Адресная программа'!$C$20:$C$4940,B249,'Адресная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программа'!$C$20:$C$4940,B249,'Адресная программа'!$G$20:$G$4940,"Бизнес центр")&gt;(SUMIFS('Адресная программа'!$K$20:$K$4940,'Адресная программа'!$L$20:$L$4940,1,'Адресная программа'!$C$20:$C$4940,B249,'Адресная программа'!$G$20:$G$4940,"Бизнес центр")*'Цены|Скидки'!$B$55-1),'Цены|Скидки'!$C$55,0%))))</f>
        <v/>
      </c>
      <c r="H249" s="156">
        <f>D$12</f>
        <v/>
      </c>
      <c r="I249" s="190">
        <f>IF(D249=0,0,1-J249/F249)</f>
        <v/>
      </c>
      <c r="J249" s="934">
        <f>F249*(1-G249)*(1-H249)*(1-IF($AC$2="РА",$AD$2,0))*(1-IF(OR($AC$3="Доп скидка",$AC$3="Сезонная скидка",$AC$3="Welcome скидка")=TRUE,$AD$3,0))</f>
        <v/>
      </c>
      <c r="K249" s="934">
        <f>ROUND(J249+L249,2)</f>
        <v/>
      </c>
      <c r="L249" s="934">
        <f>J249*БЦ!$AD$4</f>
        <v/>
      </c>
      <c r="M249" s="159">
        <f>(SUMIFS('Адресная программа'!$H$20:$H$4288,'Адресная программа'!$I$20:$I$4288,БЦ_ALL!C249,'Адресная программа'!$C$20:$C$4288,БЦ_ALL!B249,'Адресная программа'!$N$20:$N$4288,1)*$K$7)</f>
        <v/>
      </c>
      <c r="N249" s="938">
        <f>IF(M249=0,0,J249/M249*1000)</f>
        <v/>
      </c>
      <c r="O249" s="389" t="n"/>
    </row>
    <row r="250" ht="14.4" customHeight="1">
      <c r="B250" s="253" t="inlineStr">
        <is>
          <t>Санкт-Петербург</t>
        </is>
      </c>
      <c r="C250" s="264" t="inlineStr">
        <is>
          <t>Сенная</t>
        </is>
      </c>
      <c r="D250" s="303">
        <f>SUMIFS('Адресная программа'!$K$2975:$K$4468,'Адресная программа'!$I$2975:$I$4468,БЦ_ALL!C250,'Адресная программа'!$C$2975:$C$4468,БЦ_ALL!B250,'Адресная программа'!$N$2975:$N$4468,1)</f>
        <v/>
      </c>
      <c r="E250" s="994">
        <f>'Цены|Скидки'!$E$25</f>
        <v/>
      </c>
      <c r="F250" s="942">
        <f>SUM(E250*D250*$K$7/15*$K$9)</f>
        <v/>
      </c>
      <c r="G250" s="156">
        <f>IF(SUMIFS('Адресная программа'!$O$20:$O$4940,'Адресная программа'!$N$20:$N$4940,1,'Адресная программа'!$C$20:$C$4940,B250,'Адресная программа'!$G$20:$G$4940,"Бизнес центр")=SUMIFS('Адресная программа'!$K$20:$K$4940,'Адресная программа'!$L$20:$L$4940,1,'Адресная программа'!$C$20:$C$4940,B250,'Адресная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программа'!$C$20:$C$4940,B250,'Адресная программа'!$G$20:$G$4940,"Бизнес центр")&gt;(SUMIFS('Адресная программа'!$K$20:$K$4940,'Адресная программа'!$L$20:$L$4940,1,'Адресная программа'!$C$20:$C$4940,B250,'Адресная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программа'!$C$20:$C$4940,B250,'Адресная программа'!$G$20:$G$4940,"Бизнес центр")&gt;(SUMIFS('Адресная программа'!$K$20:$K$4940,'Адресная программа'!$L$20:$L$4940,1,'Адресная программа'!$C$20:$C$4940,B250,'Адресная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программа'!$C$20:$C$4940,B250,'Адресная программа'!$G$20:$G$4940,"Бизнес центр")&gt;(SUMIFS('Адресная программа'!$K$20:$K$4940,'Адресная программа'!$L$20:$L$4940,1,'Адресная программа'!$C$20:$C$4940,B250,'Адресная программа'!$G$20:$G$4940,"Бизнес центр")*'Цены|Скидки'!$B$55-1),'Цены|Скидки'!$C$55,0%))))</f>
        <v/>
      </c>
      <c r="H250" s="156">
        <f>D$12</f>
        <v/>
      </c>
      <c r="I250" s="190">
        <f>IF(D250=0,0,1-J250/F250)</f>
        <v/>
      </c>
      <c r="J250" s="934">
        <f>F250*(1-G250)*(1-H250)*(1-IF($AC$2="РА",$AD$2,0))*(1-IF(OR($AC$3="Доп скидка",$AC$3="Сезонная скидка",$AC$3="Welcome скидка")=TRUE,$AD$3,0))</f>
        <v/>
      </c>
      <c r="K250" s="934">
        <f>ROUND(J250+L250,2)</f>
        <v/>
      </c>
      <c r="L250" s="934">
        <f>J250*БЦ!$AD$4</f>
        <v/>
      </c>
      <c r="M250" s="159">
        <f>(SUMIFS('Адресная программа'!$H$20:$H$4288,'Адресная программа'!$I$20:$I$4288,БЦ_ALL!C250,'Адресная программа'!$C$20:$C$4288,БЦ_ALL!B250,'Адресная программа'!$N$20:$N$4288,1)*$K$7)</f>
        <v/>
      </c>
      <c r="N250" s="938">
        <f>IF(M250=0,0,J250/M250*1000)</f>
        <v/>
      </c>
      <c r="O250" s="389" t="n"/>
    </row>
    <row r="251" ht="14.4" customHeight="1">
      <c r="B251" s="253" t="inlineStr">
        <is>
          <t>Санкт-Петербург</t>
        </is>
      </c>
      <c r="C251" s="264" t="inlineStr">
        <is>
          <t>СЕНАТОР на Советской</t>
        </is>
      </c>
      <c r="D251" s="303">
        <f>SUMIFS('Адресная программа'!$K$2975:$K$4468,'Адресная программа'!$I$2975:$I$4468,БЦ_ALL!C251,'Адресная программа'!$C$2975:$C$4468,БЦ_ALL!B251,'Адресная программа'!$N$2975:$N$4468,1)</f>
        <v/>
      </c>
      <c r="E251" s="994">
        <f>'Цены|Скидки'!$E$25</f>
        <v/>
      </c>
      <c r="F251" s="942">
        <f>SUM(E251*D251*$K$7/15*$K$9)</f>
        <v/>
      </c>
      <c r="G251" s="156">
        <f>IF(SUMIFS('Адресная программа'!$O$20:$O$4940,'Адресная программа'!$N$20:$N$4940,1,'Адресная программа'!$C$20:$C$4940,B251,'Адресная программа'!$G$20:$G$4940,"Бизнес центр")=SUMIFS('Адресная программа'!$K$20:$K$4940,'Адресная программа'!$L$20:$L$4940,1,'Адресная программа'!$C$20:$C$4940,B251,'Адресная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программа'!$C$20:$C$4940,B251,'Адресная программа'!$G$20:$G$4940,"Бизнес центр")&gt;(SUMIFS('Адресная программа'!$K$20:$K$4940,'Адресная программа'!$L$20:$L$4940,1,'Адресная программа'!$C$20:$C$4940,B251,'Адресная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программа'!$C$20:$C$4940,B251,'Адресная программа'!$G$20:$G$4940,"Бизнес центр")&gt;(SUMIFS('Адресная программа'!$K$20:$K$4940,'Адресная программа'!$L$20:$L$4940,1,'Адресная программа'!$C$20:$C$4940,B251,'Адресная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программа'!$C$20:$C$4940,B251,'Адресная программа'!$G$20:$G$4940,"Бизнес центр")&gt;(SUMIFS('Адресная программа'!$K$20:$K$4940,'Адресная программа'!$L$20:$L$4940,1,'Адресная программа'!$C$20:$C$4940,B251,'Адресная программа'!$G$20:$G$4940,"Бизнес центр")*'Цены|Скидки'!$B$55-1),'Цены|Скидки'!$C$55,0%))))</f>
        <v/>
      </c>
      <c r="H251" s="156">
        <f>D$12</f>
        <v/>
      </c>
      <c r="I251" s="190">
        <f>IF(D251=0,0,1-J251/F251)</f>
        <v/>
      </c>
      <c r="J251" s="934">
        <f>F251*(1-G251)*(1-H251)*(1-IF($AC$2="РА",$AD$2,0))*(1-IF(OR($AC$3="Доп скидка",$AC$3="Сезонная скидка",$AC$3="Welcome скидка")=TRUE,$AD$3,0))</f>
        <v/>
      </c>
      <c r="K251" s="934">
        <f>ROUND(J251+L251,2)</f>
        <v/>
      </c>
      <c r="L251" s="934">
        <f>J251*БЦ!$AD$4</f>
        <v/>
      </c>
      <c r="M251" s="159">
        <f>(SUMIFS('Адресная программа'!$H$20:$H$4288,'Адресная программа'!$I$20:$I$4288,БЦ_ALL!C251,'Адресная программа'!$C$20:$C$4288,БЦ_ALL!B251,'Адресная программа'!$N$20:$N$4288,1)*$K$7)</f>
        <v/>
      </c>
      <c r="N251" s="938">
        <f>IF(M251=0,0,J251/M251*1000)</f>
        <v/>
      </c>
      <c r="O251" s="389" t="n"/>
    </row>
    <row r="252" ht="14.4" customHeight="1">
      <c r="B252" s="253" t="inlineStr">
        <is>
          <t>Санкт-Петербург</t>
        </is>
      </c>
      <c r="C252" s="264" t="inlineStr">
        <is>
          <t>СЕНАТОР на Чапаева</t>
        </is>
      </c>
      <c r="D252" s="303">
        <f>SUMIFS('Адресная программа'!$K$2975:$K$4468,'Адресная программа'!$I$2975:$I$4468,БЦ_ALL!C252,'Адресная программа'!$C$2975:$C$4468,БЦ_ALL!B252,'Адресная программа'!$N$2975:$N$4468,1)</f>
        <v/>
      </c>
      <c r="E252" s="994">
        <f>'Цены|Скидки'!$E$25</f>
        <v/>
      </c>
      <c r="F252" s="942">
        <f>SUM(E252*D252*$K$7/15*$K$9)</f>
        <v/>
      </c>
      <c r="G252" s="156">
        <f>IF(SUMIFS('Адресная программа'!$O$20:$O$4940,'Адресная программа'!$N$20:$N$4940,1,'Адресная программа'!$C$20:$C$4940,B252,'Адресная программа'!$G$20:$G$4940,"Бизнес центр")=SUMIFS('Адресная программа'!$K$20:$K$4940,'Адресная программа'!$L$20:$L$4940,1,'Адресная программа'!$C$20:$C$4940,B252,'Адресная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программа'!$C$20:$C$4940,B252,'Адресная программа'!$G$20:$G$4940,"Бизнес центр")&gt;(SUMIFS('Адресная программа'!$K$20:$K$4940,'Адресная программа'!$L$20:$L$4940,1,'Адресная программа'!$C$20:$C$4940,B252,'Адресная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программа'!$C$20:$C$4940,B252,'Адресная программа'!$G$20:$G$4940,"Бизнес центр")&gt;(SUMIFS('Адресная программа'!$K$20:$K$4940,'Адресная программа'!$L$20:$L$4940,1,'Адресная программа'!$C$20:$C$4940,B252,'Адресная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программа'!$C$20:$C$4940,B252,'Адресная программа'!$G$20:$G$4940,"Бизнес центр")&gt;(SUMIFS('Адресная программа'!$K$20:$K$4940,'Адресная программа'!$L$20:$L$4940,1,'Адресная программа'!$C$20:$C$4940,B252,'Адресная программа'!$G$20:$G$4940,"Бизнес центр")*'Цены|Скидки'!$B$55-1),'Цены|Скидки'!$C$55,0%))))</f>
        <v/>
      </c>
      <c r="H252" s="156">
        <f>D$12</f>
        <v/>
      </c>
      <c r="I252" s="190">
        <f>IF(D252=0,0,1-J252/F252)</f>
        <v/>
      </c>
      <c r="J252" s="934">
        <f>F252*(1-G252)*(1-H252)*(1-IF($AC$2="РА",$AD$2,0))*(1-IF(OR($AC$3="Доп скидка",$AC$3="Сезонная скидка",$AC$3="Welcome скидка")=TRUE,$AD$3,0))</f>
        <v/>
      </c>
      <c r="K252" s="934">
        <f>ROUND(J252+L252,2)</f>
        <v/>
      </c>
      <c r="L252" s="934">
        <f>J252*БЦ!$AD$4</f>
        <v/>
      </c>
      <c r="M252" s="159">
        <f>(SUMIFS('Адресная программа'!$H$20:$H$4288,'Адресная программа'!$I$20:$I$4288,БЦ_ALL!C252,'Адресная программа'!$C$20:$C$4288,БЦ_ALL!B252,'Адресная программа'!$N$20:$N$4288,1)*$K$7)</f>
        <v/>
      </c>
      <c r="N252" s="938">
        <f>IF(M252=0,0,J252/M252*1000)</f>
        <v/>
      </c>
      <c r="O252" s="389" t="n"/>
    </row>
    <row r="253" ht="14.4" customHeight="1">
      <c r="B253" s="253" t="inlineStr">
        <is>
          <t>Санкт-Петербург</t>
        </is>
      </c>
      <c r="C253" s="264" t="inlineStr">
        <is>
          <t>СЕНАТОР ВО</t>
        </is>
      </c>
      <c r="D253" s="303">
        <f>SUMIFS('Адресная программа'!$K$2975:$K$4468,'Адресная программа'!$I$2975:$I$4468,БЦ_ALL!C253,'Адресная программа'!$C$2975:$C$4468,БЦ_ALL!B253,'Адресная программа'!$N$2975:$N$4468,1)</f>
        <v/>
      </c>
      <c r="E253" s="994">
        <f>'Цены|Скидки'!$E$25</f>
        <v/>
      </c>
      <c r="F253" s="942">
        <f>SUM(E253*D253*$K$7/15*$K$9)</f>
        <v/>
      </c>
      <c r="G253" s="156">
        <f>IF(SUMIFS('Адресная программа'!$O$20:$O$4940,'Адресная программа'!$N$20:$N$4940,1,'Адресная программа'!$C$20:$C$4940,B253,'Адресная программа'!$G$20:$G$4940,"Бизнес центр")=SUMIFS('Адресная программа'!$K$20:$K$4940,'Адресная программа'!$L$20:$L$4940,1,'Адресная программа'!$C$20:$C$4940,B253,'Адресная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программа'!$C$20:$C$4940,B253,'Адресная программа'!$G$20:$G$4940,"Бизнес центр")&gt;(SUMIFS('Адресная программа'!$K$20:$K$4940,'Адресная программа'!$L$20:$L$4940,1,'Адресная программа'!$C$20:$C$4940,B253,'Адресная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программа'!$C$20:$C$4940,B253,'Адресная программа'!$G$20:$G$4940,"Бизнес центр")&gt;(SUMIFS('Адресная программа'!$K$20:$K$4940,'Адресная программа'!$L$20:$L$4940,1,'Адресная программа'!$C$20:$C$4940,B253,'Адресная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программа'!$C$20:$C$4940,B253,'Адресная программа'!$G$20:$G$4940,"Бизнес центр")&gt;(SUMIFS('Адресная программа'!$K$20:$K$4940,'Адресная программа'!$L$20:$L$4940,1,'Адресная программа'!$C$20:$C$4940,B253,'Адресная программа'!$G$20:$G$4940,"Бизнес центр")*'Цены|Скидки'!$B$55-1),'Цены|Скидки'!$C$55,0%))))</f>
        <v/>
      </c>
      <c r="H253" s="156">
        <f>D$12</f>
        <v/>
      </c>
      <c r="I253" s="190">
        <f>IF(D253=0,0,1-J253/F253)</f>
        <v/>
      </c>
      <c r="J253" s="934">
        <f>F253*(1-G253)*(1-H253)*(1-IF($AC$2="РА",$AD$2,0))*(1-IF(OR($AC$3="Доп скидка",$AC$3="Сезонная скидка",$AC$3="Welcome скидка")=TRUE,$AD$3,0))</f>
        <v/>
      </c>
      <c r="K253" s="934">
        <f>ROUND(J253+L253,2)</f>
        <v/>
      </c>
      <c r="L253" s="934">
        <f>J253*БЦ!$AD$4</f>
        <v/>
      </c>
      <c r="M253" s="159">
        <f>(SUMIFS('Адресная программа'!$H$20:$H$4288,'Адресная программа'!$I$20:$I$4288,БЦ_ALL!C253,'Адресная программа'!$C$20:$C$4288,БЦ_ALL!B253,'Адресная программа'!$N$20:$N$4288,1)*$K$7)</f>
        <v/>
      </c>
      <c r="N253" s="938">
        <f>IF(M253=0,0,J253/M253*1000)</f>
        <v/>
      </c>
      <c r="O253" s="389" t="n"/>
    </row>
    <row r="254" ht="14.4" customHeight="1">
      <c r="B254" s="253" t="inlineStr">
        <is>
          <t>Санкт-Петербург</t>
        </is>
      </c>
      <c r="C254" s="264" t="inlineStr">
        <is>
          <t>65_СЕНАТОР на ВО</t>
        </is>
      </c>
      <c r="D254" s="303">
        <f>SUMIFS('Адресная программа'!$K$2975:$K$4468,'Адресная программа'!$I$2975:$I$4468,БЦ_ALL!C254,'Адресная программа'!$C$2975:$C$4468,БЦ_ALL!B254,'Адресная программа'!$N$2975:$N$4468,1)</f>
        <v/>
      </c>
      <c r="E254" s="994">
        <f>'Цены|Скидки'!$E$25</f>
        <v/>
      </c>
      <c r="F254" s="942">
        <f>SUM(E254*D254*$K$7/15*$K$9)</f>
        <v/>
      </c>
      <c r="G254" s="156">
        <f>IF(SUMIFS('Адресная программа'!$O$20:$O$4940,'Адресная программа'!$N$20:$N$4940,1,'Адресная программа'!$C$20:$C$4940,B254,'Адресная программа'!$G$20:$G$4940,"Бизнес центр")=SUMIFS('Адресная программа'!$K$20:$K$4940,'Адресная программа'!$L$20:$L$4940,1,'Адресная программа'!$C$20:$C$4940,B254,'Адресная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программа'!$C$20:$C$4940,B254,'Адресная программа'!$G$20:$G$4940,"Бизнес центр")&gt;(SUMIFS('Адресная программа'!$K$20:$K$4940,'Адресная программа'!$L$20:$L$4940,1,'Адресная программа'!$C$20:$C$4940,B254,'Адресная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программа'!$C$20:$C$4940,B254,'Адресная программа'!$G$20:$G$4940,"Бизнес центр")&gt;(SUMIFS('Адресная программа'!$K$20:$K$4940,'Адресная программа'!$L$20:$L$4940,1,'Адресная программа'!$C$20:$C$4940,B254,'Адресная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программа'!$C$20:$C$4940,B254,'Адресная программа'!$G$20:$G$4940,"Бизнес центр")&gt;(SUMIFS('Адресная программа'!$K$20:$K$4940,'Адресная программа'!$L$20:$L$4940,1,'Адресная программа'!$C$20:$C$4940,B254,'Адресная программа'!$G$20:$G$4940,"Бизнес центр")*'Цены|Скидки'!$B$55-1),'Цены|Скидки'!$C$55,0%))))</f>
        <v/>
      </c>
      <c r="H254" s="156">
        <f>D$12</f>
        <v/>
      </c>
      <c r="I254" s="190">
        <f>IF(D254=0,0,1-J254/F254)</f>
        <v/>
      </c>
      <c r="J254" s="934">
        <f>F254*(1-G254)*(1-H254)*(1-IF($AC$2="РА",$AD$2,0))*(1-IF(OR($AC$3="Доп скидка",$AC$3="Сезонная скидка",$AC$3="Welcome скидка")=TRUE,$AD$3,0))</f>
        <v/>
      </c>
      <c r="K254" s="934">
        <f>ROUND(J254+L254,2)</f>
        <v/>
      </c>
      <c r="L254" s="934">
        <f>J254*БЦ!$AD$4</f>
        <v/>
      </c>
      <c r="M254" s="159">
        <f>(SUMIFS('Адресная программа'!$H$20:$H$4288,'Адресная программа'!$I$20:$I$4288,БЦ_ALL!C254,'Адресная программа'!$C$20:$C$4288,БЦ_ALL!B254,'Адресная программа'!$N$20:$N$4288,1)*$K$7)</f>
        <v/>
      </c>
      <c r="N254" s="938">
        <f>IF(M254=0,0,J254/M254*1000)</f>
        <v/>
      </c>
      <c r="O254" s="389" t="n"/>
    </row>
    <row r="255" ht="14.4" customHeight="1">
      <c r="B255" s="253" t="inlineStr">
        <is>
          <t>Санкт-Петербург</t>
        </is>
      </c>
      <c r="C255" s="264" t="inlineStr">
        <is>
          <t>СЕНАТОР на Красноармейской</t>
        </is>
      </c>
      <c r="D255" s="303">
        <f>SUMIFS('Адресная программа'!$K$2975:$K$4468,'Адресная программа'!$I$2975:$I$4468,БЦ_ALL!C255,'Адресная программа'!$C$2975:$C$4468,БЦ_ALL!B255,'Адресная программа'!$N$2975:$N$4468,1)</f>
        <v/>
      </c>
      <c r="E255" s="994">
        <f>'Цены|Скидки'!$E$25</f>
        <v/>
      </c>
      <c r="F255" s="942">
        <f>SUM(E255*D255*$K$7/15*$K$9)</f>
        <v/>
      </c>
      <c r="G255" s="156">
        <f>IF(SUMIFS('Адресная программа'!$O$20:$O$4940,'Адресная программа'!$N$20:$N$4940,1,'Адресная программа'!$C$20:$C$4940,B255,'Адресная программа'!$G$20:$G$4940,"Бизнес центр")=SUMIFS('Адресная программа'!$K$20:$K$4940,'Адресная программа'!$L$20:$L$4940,1,'Адресная программа'!$C$20:$C$4940,B255,'Адресная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программа'!$C$20:$C$4940,B255,'Адресная программа'!$G$20:$G$4940,"Бизнес центр")&gt;(SUMIFS('Адресная программа'!$K$20:$K$4940,'Адресная программа'!$L$20:$L$4940,1,'Адресная программа'!$C$20:$C$4940,B255,'Адресная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программа'!$C$20:$C$4940,B255,'Адресная программа'!$G$20:$G$4940,"Бизнес центр")&gt;(SUMIFS('Адресная программа'!$K$20:$K$4940,'Адресная программа'!$L$20:$L$4940,1,'Адресная программа'!$C$20:$C$4940,B255,'Адресная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программа'!$C$20:$C$4940,B255,'Адресная программа'!$G$20:$G$4940,"Бизнес центр")&gt;(SUMIFS('Адресная программа'!$K$20:$K$4940,'Адресная программа'!$L$20:$L$4940,1,'Адресная программа'!$C$20:$C$4940,B255,'Адресная программа'!$G$20:$G$4940,"Бизнес центр")*'Цены|Скидки'!$B$55-1),'Цены|Скидки'!$C$55,0%))))</f>
        <v/>
      </c>
      <c r="H255" s="156">
        <f>D$12</f>
        <v/>
      </c>
      <c r="I255" s="190">
        <f>IF(D255=0,0,1-J255/F255)</f>
        <v/>
      </c>
      <c r="J255" s="934">
        <f>F255*(1-G255)*(1-H255)*(1-IF($AC$2="РА",$AD$2,0))*(1-IF(OR($AC$3="Доп скидка",$AC$3="Сезонная скидка",$AC$3="Welcome скидка")=TRUE,$AD$3,0))</f>
        <v/>
      </c>
      <c r="K255" s="934">
        <f>ROUND(J255+L255,2)</f>
        <v/>
      </c>
      <c r="L255" s="934">
        <f>J255*БЦ!$AD$4</f>
        <v/>
      </c>
      <c r="M255" s="159">
        <f>(SUMIFS('Адресная программа'!$H$20:$H$4288,'Адресная программа'!$I$20:$I$4288,БЦ_ALL!C255,'Адресная программа'!$C$20:$C$4288,БЦ_ALL!B255,'Адресная программа'!$N$20:$N$4288,1)*$K$7)</f>
        <v/>
      </c>
      <c r="N255" s="938">
        <f>IF(M255=0,0,J255/M255*1000)</f>
        <v/>
      </c>
      <c r="O255" s="389" t="n"/>
    </row>
    <row r="256" ht="14.4" customHeight="1">
      <c r="B256" s="253" t="inlineStr">
        <is>
          <t>Санкт-Петербург</t>
        </is>
      </c>
      <c r="C256" s="264" t="inlineStr">
        <is>
          <t>СЕНАТОР на Московском</t>
        </is>
      </c>
      <c r="D256" s="303">
        <f>SUMIFS('Адресная программа'!$K$2975:$K$4468,'Адресная программа'!$I$2975:$I$4468,БЦ_ALL!C256,'Адресная программа'!$C$2975:$C$4468,БЦ_ALL!B256,'Адресная программа'!$N$2975:$N$4468,1)</f>
        <v/>
      </c>
      <c r="E256" s="994">
        <f>'Цены|Скидки'!$E$25</f>
        <v/>
      </c>
      <c r="F256" s="942">
        <f>SUM(E256*D256*$K$7/15*$K$9)</f>
        <v/>
      </c>
      <c r="G256" s="156">
        <f>IF(SUMIFS('Адресная программа'!$O$20:$O$4940,'Адресная программа'!$N$20:$N$4940,1,'Адресная программа'!$C$20:$C$4940,B256,'Адресная программа'!$G$20:$G$4940,"Бизнес центр")=SUMIFS('Адресная программа'!$K$20:$K$4940,'Адресная программа'!$L$20:$L$4940,1,'Адресная программа'!$C$20:$C$4940,B256,'Адресная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программа'!$C$20:$C$4940,B256,'Адресная программа'!$G$20:$G$4940,"Бизнес центр")&gt;(SUMIFS('Адресная программа'!$K$20:$K$4940,'Адресная программа'!$L$20:$L$4940,1,'Адресная программа'!$C$20:$C$4940,B256,'Адресная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программа'!$C$20:$C$4940,B256,'Адресная программа'!$G$20:$G$4940,"Бизнес центр")&gt;(SUMIFS('Адресная программа'!$K$20:$K$4940,'Адресная программа'!$L$20:$L$4940,1,'Адресная программа'!$C$20:$C$4940,B256,'Адресная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программа'!$C$20:$C$4940,B256,'Адресная программа'!$G$20:$G$4940,"Бизнес центр")&gt;(SUMIFS('Адресная программа'!$K$20:$K$4940,'Адресная программа'!$L$20:$L$4940,1,'Адресная программа'!$C$20:$C$4940,B256,'Адресная программа'!$G$20:$G$4940,"Бизнес центр")*'Цены|Скидки'!$B$55-1),'Цены|Скидки'!$C$55,0%))))</f>
        <v/>
      </c>
      <c r="H256" s="156">
        <f>D$12</f>
        <v/>
      </c>
      <c r="I256" s="190">
        <f>IF(D256=0,0,1-J256/F256)</f>
        <v/>
      </c>
      <c r="J256" s="934">
        <f>F256*(1-G256)*(1-H256)*(1-IF($AC$2="РА",$AD$2,0))*(1-IF(OR($AC$3="Доп скидка",$AC$3="Сезонная скидка",$AC$3="Welcome скидка")=TRUE,$AD$3,0))</f>
        <v/>
      </c>
      <c r="K256" s="934">
        <f>ROUND(J256+L256,2)</f>
        <v/>
      </c>
      <c r="L256" s="934">
        <f>J256*БЦ!$AD$4</f>
        <v/>
      </c>
      <c r="M256" s="159">
        <f>(SUMIFS('Адресная программа'!$H$20:$H$4288,'Адресная программа'!$I$20:$I$4288,БЦ_ALL!C256,'Адресная программа'!$C$20:$C$4288,БЦ_ALL!B256,'Адресная программа'!$N$20:$N$4288,1)*$K$7)</f>
        <v/>
      </c>
      <c r="N256" s="938">
        <f>IF(M256=0,0,J256/M256*1000)</f>
        <v/>
      </c>
      <c r="O256" s="389" t="n"/>
    </row>
    <row r="257" ht="14.4" customHeight="1">
      <c r="B257" s="253" t="inlineStr">
        <is>
          <t>Санкт-Петербург</t>
        </is>
      </c>
      <c r="C257" s="264" t="inlineStr">
        <is>
          <t>СЕНАТОР на ВО 7-я линия</t>
        </is>
      </c>
      <c r="D257" s="303">
        <f>SUMIFS('Адресная программа'!$K$2975:$K$4468,'Адресная программа'!$I$2975:$I$4468,БЦ_ALL!C257,'Адресная программа'!$C$2975:$C$4468,БЦ_ALL!B257,'Адресная программа'!$N$2975:$N$4468,1)</f>
        <v/>
      </c>
      <c r="E257" s="994">
        <f>'Цены|Скидки'!$E$25</f>
        <v/>
      </c>
      <c r="F257" s="942">
        <f>SUM(E257*D257*$K$7/15*$K$9)</f>
        <v/>
      </c>
      <c r="G257" s="156">
        <f>IF(SUMIFS('Адресная программа'!$O$20:$O$4940,'Адресная программа'!$N$20:$N$4940,1,'Адресная программа'!$C$20:$C$4940,B257,'Адресная программа'!$G$20:$G$4940,"Бизнес центр")=SUMIFS('Адресная программа'!$K$20:$K$4940,'Адресная программа'!$L$20:$L$4940,1,'Адресная программа'!$C$20:$C$4940,B257,'Адресная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программа'!$C$20:$C$4940,B257,'Адресная программа'!$G$20:$G$4940,"Бизнес центр")&gt;(SUMIFS('Адресная программа'!$K$20:$K$4940,'Адресная программа'!$L$20:$L$4940,1,'Адресная программа'!$C$20:$C$4940,B257,'Адресная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программа'!$C$20:$C$4940,B257,'Адресная программа'!$G$20:$G$4940,"Бизнес центр")&gt;(SUMIFS('Адресная программа'!$K$20:$K$4940,'Адресная программа'!$L$20:$L$4940,1,'Адресная программа'!$C$20:$C$4940,B257,'Адресная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программа'!$C$20:$C$4940,B257,'Адресная программа'!$G$20:$G$4940,"Бизнес центр")&gt;(SUMIFS('Адресная программа'!$K$20:$K$4940,'Адресная программа'!$L$20:$L$4940,1,'Адресная программа'!$C$20:$C$4940,B257,'Адресная программа'!$G$20:$G$4940,"Бизнес центр")*'Цены|Скидки'!$B$55-1),'Цены|Скидки'!$C$55,0%))))</f>
        <v/>
      </c>
      <c r="H257" s="156">
        <f>D$12</f>
        <v/>
      </c>
      <c r="I257" s="190">
        <f>IF(D257=0,0,1-J257/F257)</f>
        <v/>
      </c>
      <c r="J257" s="934">
        <f>F257*(1-G257)*(1-H257)*(1-IF($AC$2="РА",$AD$2,0))*(1-IF(OR($AC$3="Доп скидка",$AC$3="Сезонная скидка",$AC$3="Welcome скидка")=TRUE,$AD$3,0))</f>
        <v/>
      </c>
      <c r="K257" s="934">
        <f>ROUND(J257+L257,2)</f>
        <v/>
      </c>
      <c r="L257" s="934">
        <f>J257*БЦ!$AD$4</f>
        <v/>
      </c>
      <c r="M257" s="159">
        <f>(SUMIFS('Адресная программа'!$H$20:$H$4288,'Адресная программа'!$I$20:$I$4288,БЦ_ALL!C257,'Адресная программа'!$C$20:$C$4288,БЦ_ALL!B257,'Адресная программа'!$N$20:$N$4288,1)*$K$7)</f>
        <v/>
      </c>
      <c r="N257" s="938">
        <f>IF(M257=0,0,J257/M257*1000)</f>
        <v/>
      </c>
      <c r="O257" s="389" t="n"/>
    </row>
    <row r="258" ht="14.4" customHeight="1">
      <c r="B258" s="253" t="inlineStr">
        <is>
          <t>Санкт-Петербург</t>
        </is>
      </c>
      <c r="C258" s="264" t="inlineStr">
        <is>
          <t>СЕНАТОР на ВО 18-я линия</t>
        </is>
      </c>
      <c r="D258" s="303">
        <f>SUMIFS('Адресная программа'!$K$2975:$K$4468,'Адресная программа'!$I$2975:$I$4468,БЦ_ALL!C258,'Адресная программа'!$C$2975:$C$4468,БЦ_ALL!B258,'Адресная программа'!$N$2975:$N$4468,1)</f>
        <v/>
      </c>
      <c r="E258" s="994">
        <f>'Цены|Скидки'!$E$25</f>
        <v/>
      </c>
      <c r="F258" s="942">
        <f>SUM(E258*D258*$K$7/15*$K$9)</f>
        <v/>
      </c>
      <c r="G258" s="156">
        <f>IF(SUMIFS('Адресная программа'!$O$20:$O$4940,'Адресная программа'!$N$20:$N$4940,1,'Адресная программа'!$C$20:$C$4940,B258,'Адресная программа'!$G$20:$G$4940,"Бизнес центр")=SUMIFS('Адресная программа'!$K$20:$K$4940,'Адресная программа'!$L$20:$L$4940,1,'Адресная программа'!$C$20:$C$4940,B258,'Адресная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программа'!$C$20:$C$4940,B258,'Адресная программа'!$G$20:$G$4940,"Бизнес центр")&gt;(SUMIFS('Адресная программа'!$K$20:$K$4940,'Адресная программа'!$L$20:$L$4940,1,'Адресная программа'!$C$20:$C$4940,B258,'Адресная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программа'!$C$20:$C$4940,B258,'Адресная программа'!$G$20:$G$4940,"Бизнес центр")&gt;(SUMIFS('Адресная программа'!$K$20:$K$4940,'Адресная программа'!$L$20:$L$4940,1,'Адресная программа'!$C$20:$C$4940,B258,'Адресная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программа'!$C$20:$C$4940,B258,'Адресная программа'!$G$20:$G$4940,"Бизнес центр")&gt;(SUMIFS('Адресная программа'!$K$20:$K$4940,'Адресная программа'!$L$20:$L$4940,1,'Адресная программа'!$C$20:$C$4940,B258,'Адресная программа'!$G$20:$G$4940,"Бизнес центр")*'Цены|Скидки'!$B$55-1),'Цены|Скидки'!$C$55,0%))))</f>
        <v/>
      </c>
      <c r="H258" s="156">
        <f>D$12</f>
        <v/>
      </c>
      <c r="I258" s="190">
        <f>IF(D258=0,0,1-J258/F258)</f>
        <v/>
      </c>
      <c r="J258" s="934">
        <f>F258*(1-G258)*(1-H258)*(1-IF($AC$2="РА",$AD$2,0))*(1-IF(OR($AC$3="Доп скидка",$AC$3="Сезонная скидка",$AC$3="Welcome скидка")=TRUE,$AD$3,0))</f>
        <v/>
      </c>
      <c r="K258" s="934">
        <f>ROUND(J258+L258,2)</f>
        <v/>
      </c>
      <c r="L258" s="934">
        <f>J258*БЦ!$AD$4</f>
        <v/>
      </c>
      <c r="M258" s="159">
        <f>(SUMIFS('Адресная программа'!$H$20:$H$4288,'Адресная программа'!$I$20:$I$4288,БЦ_ALL!C258,'Адресная программа'!$C$20:$C$4288,БЦ_ALL!B258,'Адресная программа'!$N$20:$N$4288,1)*$K$7)</f>
        <v/>
      </c>
      <c r="N258" s="938">
        <f>IF(M258=0,0,J258/M258*1000)</f>
        <v/>
      </c>
      <c r="O258" s="389" t="n"/>
    </row>
    <row r="259" ht="14.4" customHeight="1">
      <c r="B259" s="253" t="inlineStr">
        <is>
          <t>Санкт-Петербург</t>
        </is>
      </c>
      <c r="C259" s="264" t="inlineStr">
        <is>
          <t>СЕНАТОР на ВО 17-я линия</t>
        </is>
      </c>
      <c r="D259" s="303">
        <f>SUMIFS('Адресная программа'!$K$2975:$K$4468,'Адресная программа'!$I$2975:$I$4468,БЦ_ALL!C259,'Адресная программа'!$C$2975:$C$4468,БЦ_ALL!B259,'Адресная программа'!$L$2975:$L$4468,1)</f>
        <v/>
      </c>
      <c r="E259" s="994">
        <f>'Цены|Скидки'!$E$25</f>
        <v/>
      </c>
      <c r="F259" s="942">
        <f>SUM(E259*D259*$K$7/15*$K$9)</f>
        <v/>
      </c>
      <c r="G259" s="156">
        <f>IF('Адресная программа'!$V$13='Адресная программа'!$U$13,'Цены|Скидки'!$C$52,IF('Адресная программа'!$V$13&gt;('Адресная программа'!$U$13*'Цены|Скидки'!$B$53-1),'Цены|Скидки'!$C$53,IF('Адресная программа'!$V$13&gt;('Адресная программа'!$U$13*'Цены|Скидки'!$B$54-1),'Цены|Скидки'!$C$54,IF('Адресная программа'!$V$13&gt;('Адресная программа'!$U$13*'Цены|Скидки'!$B$55-1),'Цены|Скидки'!$C$55,0%))))</f>
        <v/>
      </c>
      <c r="H259" s="156">
        <f>D$12</f>
        <v/>
      </c>
      <c r="I259" s="190">
        <f>IF(D259=0,0,1-J259/F259)</f>
        <v/>
      </c>
      <c r="J259" s="934">
        <f>F259*(1-G259)*(1-H259)*(1-IF($AC$2="РА",$AD$2,0))*(1-IF(OR($AC$3="Доп скидка",$AC$3="Сезонная скидка",$AC$3="Welcome скидка")=TRUE,$AD$3,0))</f>
        <v/>
      </c>
      <c r="K259" s="934">
        <f>ROUND(J259+L259,2)</f>
        <v/>
      </c>
      <c r="L259" s="934">
        <f>J259*0.2</f>
        <v/>
      </c>
      <c r="M259" s="159">
        <f>O259*$K$7</f>
        <v/>
      </c>
      <c r="N259" s="938">
        <f>IF(M259=0,0,J259/M259*1000)</f>
        <v/>
      </c>
      <c r="O259" s="387" t="n">
        <v>13903</v>
      </c>
    </row>
    <row r="260" ht="14.4" customHeight="1">
      <c r="B260" s="253" t="inlineStr">
        <is>
          <t>Санкт-Петербург</t>
        </is>
      </c>
      <c r="C260" s="264" t="inlineStr">
        <is>
          <t xml:space="preserve">65_СЕНАТОР на ВО 18-я линия </t>
        </is>
      </c>
      <c r="D260" s="303">
        <f>SUMIFS('Адресная программа'!$K$2975:$K$4468,'Адресная программа'!$I$2975:$I$4468,БЦ_ALL!C260,'Адресная программа'!$C$2975:$C$4468,БЦ_ALL!B260,'Адресная программа'!$N$2975:$N$4468,1)</f>
        <v/>
      </c>
      <c r="E260" s="994">
        <f>'Цены|Скидки'!$E$25</f>
        <v/>
      </c>
      <c r="F260" s="942">
        <f>SUM(E260*D260*$K$7/15*$K$9)</f>
        <v/>
      </c>
      <c r="G260" s="156">
        <f>IF(SUMIFS('Адресная программа'!$O$20:$O$4940,'Адресная программа'!$N$20:$N$4940,1,'Адресная программа'!$C$20:$C$4940,B260,'Адресная программа'!$G$20:$G$4940,"Бизнес центр")=SUMIFS('Адресная программа'!$K$20:$K$4940,'Адресная программа'!$L$20:$L$4940,1,'Адресная программа'!$C$20:$C$4940,B260,'Адресная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программа'!$C$20:$C$4940,B260,'Адресная программа'!$G$20:$G$4940,"Бизнес центр")&gt;(SUMIFS('Адресная программа'!$K$20:$K$4940,'Адресная программа'!$L$20:$L$4940,1,'Адресная программа'!$C$20:$C$4940,B260,'Адресная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программа'!$C$20:$C$4940,B260,'Адресная программа'!$G$20:$G$4940,"Бизнес центр")&gt;(SUMIFS('Адресная программа'!$K$20:$K$4940,'Адресная программа'!$L$20:$L$4940,1,'Адресная программа'!$C$20:$C$4940,B260,'Адресная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программа'!$C$20:$C$4940,B260,'Адресная программа'!$G$20:$G$4940,"Бизнес центр")&gt;(SUMIFS('Адресная программа'!$K$20:$K$4940,'Адресная программа'!$L$20:$L$4940,1,'Адресная программа'!$C$20:$C$4940,B260,'Адресная программа'!$G$20:$G$4940,"Бизнес центр")*'Цены|Скидки'!$B$55-1),'Цены|Скидки'!$C$55,0%))))</f>
        <v/>
      </c>
      <c r="H260" s="156">
        <f>D$12</f>
        <v/>
      </c>
      <c r="I260" s="190">
        <f>IF(D260=0,0,1-J260/F260)</f>
        <v/>
      </c>
      <c r="J260" s="934">
        <f>F260*(1-G260)*(1-H260)*(1-IF($AC$2="РА",$AD$2,0))*(1-IF(OR($AC$3="Доп скидка",$AC$3="Сезонная скидка",$AC$3="Welcome скидка")=TRUE,$AD$3,0))</f>
        <v/>
      </c>
      <c r="K260" s="934">
        <f>ROUND(J260+L260,2)</f>
        <v/>
      </c>
      <c r="L260" s="934">
        <f>J260*БЦ!$AD$4</f>
        <v/>
      </c>
      <c r="M260" s="159">
        <f>(SUMIFS('Адресная программа'!$H$20:$H$4288,'Адресная программа'!$I$20:$I$4288,БЦ_ALL!C260,'Адресная программа'!$C$20:$C$4288,БЦ_ALL!B260,'Адресная программа'!$N$20:$N$4288,1)*$K$7)</f>
        <v/>
      </c>
      <c r="N260" s="938">
        <f>IF(M260=0,0,J260/M260*1000)</f>
        <v/>
      </c>
      <c r="O260" s="389" t="n"/>
    </row>
    <row r="261" ht="14.4" customHeight="1">
      <c r="B261" s="253" t="inlineStr">
        <is>
          <t>Санкт-Петербург</t>
        </is>
      </c>
      <c r="C261" s="264" t="inlineStr">
        <is>
          <t>СЕНАТОР на Кропоткина</t>
        </is>
      </c>
      <c r="D261" s="303">
        <f>SUMIFS('Адресная программа'!$K$2975:$K$4468,'Адресная программа'!$I$2975:$I$4468,БЦ_ALL!C261,'Адресная программа'!$C$2975:$C$4468,БЦ_ALL!B261,'Адресная программа'!$N$2975:$N$4468,1)</f>
        <v/>
      </c>
      <c r="E261" s="994">
        <f>'Цены|Скидки'!$E$25</f>
        <v/>
      </c>
      <c r="F261" s="942">
        <f>SUM(E261*D261*$K$7/15*$K$9)</f>
        <v/>
      </c>
      <c r="G261" s="156">
        <f>IF(SUMIFS('Адресная программа'!$O$20:$O$4940,'Адресная программа'!$N$20:$N$4940,1,'Адресная программа'!$C$20:$C$4940,B261,'Адресная программа'!$G$20:$G$4940,"Бизнес центр")=SUMIFS('Адресная программа'!$K$20:$K$4940,'Адресная программа'!$L$20:$L$4940,1,'Адресная программа'!$C$20:$C$4940,B261,'Адресная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программа'!$C$20:$C$4940,B261,'Адресная программа'!$G$20:$G$4940,"Бизнес центр")&gt;(SUMIFS('Адресная программа'!$K$20:$K$4940,'Адресная программа'!$L$20:$L$4940,1,'Адресная программа'!$C$20:$C$4940,B261,'Адресная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программа'!$C$20:$C$4940,B261,'Адресная программа'!$G$20:$G$4940,"Бизнес центр")&gt;(SUMIFS('Адресная программа'!$K$20:$K$4940,'Адресная программа'!$L$20:$L$4940,1,'Адресная программа'!$C$20:$C$4940,B261,'Адресная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программа'!$C$20:$C$4940,B261,'Адресная программа'!$G$20:$G$4940,"Бизнес центр")&gt;(SUMIFS('Адресная программа'!$K$20:$K$4940,'Адресная программа'!$L$20:$L$4940,1,'Адресная программа'!$C$20:$C$4940,B261,'Адресная программа'!$G$20:$G$4940,"Бизнес центр")*'Цены|Скидки'!$B$55-1),'Цены|Скидки'!$C$55,0%))))</f>
        <v/>
      </c>
      <c r="H261" s="156">
        <f>D$12</f>
        <v/>
      </c>
      <c r="I261" s="190">
        <f>IF(D261=0,0,1-J261/F261)</f>
        <v/>
      </c>
      <c r="J261" s="934">
        <f>F261*(1-G261)*(1-H261)*(1-IF($AC$2="РА",$AD$2,0))*(1-IF(OR($AC$3="Доп скидка",$AC$3="Сезонная скидка",$AC$3="Welcome скидка")=TRUE,$AD$3,0))</f>
        <v/>
      </c>
      <c r="K261" s="934">
        <f>ROUND(J261+L261,2)</f>
        <v/>
      </c>
      <c r="L261" s="934">
        <f>J261*БЦ!$AD$4</f>
        <v/>
      </c>
      <c r="M261" s="159">
        <f>(SUMIFS('Адресная программа'!$H$20:$H$4288,'Адресная программа'!$I$20:$I$4288,БЦ_ALL!C261,'Адресная программа'!$C$20:$C$4288,БЦ_ALL!B261,'Адресная программа'!$N$20:$N$4288,1)*$K$7)</f>
        <v/>
      </c>
      <c r="N261" s="938">
        <f>IF(M261=0,0,J261/M261*1000)</f>
        <v/>
      </c>
      <c r="O261" s="389" t="n"/>
    </row>
    <row r="262" ht="14.4" customHeight="1">
      <c r="B262" s="253" t="inlineStr">
        <is>
          <t>Санкт-Петербург</t>
        </is>
      </c>
      <c r="C262" s="264" t="inlineStr">
        <is>
          <t>65_СЕНАТОР на Попова_B</t>
        </is>
      </c>
      <c r="D262" s="303">
        <f>SUMIFS('Адресная программа'!$K$2975:$K$4468,'Адресная программа'!$I$2975:$I$4468,БЦ_ALL!C262,'Адресная программа'!$C$2975:$C$4468,БЦ_ALL!B262,'Адресная программа'!$N$2975:$N$4468,1)</f>
        <v/>
      </c>
      <c r="E262" s="994">
        <f>'Цены|Скидки'!$E$25</f>
        <v/>
      </c>
      <c r="F262" s="942">
        <f>SUM(E262*D262*$K$7/15*$K$9)</f>
        <v/>
      </c>
      <c r="G262" s="156">
        <f>IF(SUMIFS('Адресная программа'!$O$20:$O$4940,'Адресная программа'!$N$20:$N$4940,1,'Адресная программа'!$C$20:$C$4940,B262,'Адресная программа'!$G$20:$G$4940,"Бизнес центр")=SUMIFS('Адресная программа'!$K$20:$K$4940,'Адресная программа'!$L$20:$L$4940,1,'Адресная программа'!$C$20:$C$4940,B262,'Адресная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программа'!$C$20:$C$4940,B262,'Адресная программа'!$G$20:$G$4940,"Бизнес центр")&gt;(SUMIFS('Адресная программа'!$K$20:$K$4940,'Адресная программа'!$L$20:$L$4940,1,'Адресная программа'!$C$20:$C$4940,B262,'Адресная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программа'!$C$20:$C$4940,B262,'Адресная программа'!$G$20:$G$4940,"Бизнес центр")&gt;(SUMIFS('Адресная программа'!$K$20:$K$4940,'Адресная программа'!$L$20:$L$4940,1,'Адресная программа'!$C$20:$C$4940,B262,'Адресная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программа'!$C$20:$C$4940,B262,'Адресная программа'!$G$20:$G$4940,"Бизнес центр")&gt;(SUMIFS('Адресная программа'!$K$20:$K$4940,'Адресная программа'!$L$20:$L$4940,1,'Адресная программа'!$C$20:$C$4940,B262,'Адресная программа'!$G$20:$G$4940,"Бизнес центр")*'Цены|Скидки'!$B$55-1),'Цены|Скидки'!$C$55,0%))))</f>
        <v/>
      </c>
      <c r="H262" s="156">
        <f>D$12</f>
        <v/>
      </c>
      <c r="I262" s="190">
        <f>IF(D262=0,0,1-J262/F262)</f>
        <v/>
      </c>
      <c r="J262" s="934">
        <f>F262*(1-G262)*(1-H262)*(1-IF($AC$2="РА",$AD$2,0))*(1-IF(OR($AC$3="Доп скидка",$AC$3="Сезонная скидка",$AC$3="Welcome скидка")=TRUE,$AD$3,0))</f>
        <v/>
      </c>
      <c r="K262" s="934">
        <f>ROUND(J262+L262,2)</f>
        <v/>
      </c>
      <c r="L262" s="934">
        <f>J262*БЦ!$AD$4</f>
        <v/>
      </c>
      <c r="M262" s="159">
        <f>(SUMIFS('Адресная программа'!$H$20:$H$4288,'Адресная программа'!$I$20:$I$4288,БЦ_ALL!C262,'Адресная программа'!$C$20:$C$4288,БЦ_ALL!B262,'Адресная программа'!$N$20:$N$4288,1)*$K$7)</f>
        <v/>
      </c>
      <c r="N262" s="938">
        <f>IF(M262=0,0,J262/M262*1000)</f>
        <v/>
      </c>
      <c r="O262" s="389" t="n"/>
    </row>
    <row r="263" ht="14.4" customHeight="1">
      <c r="B263" s="253" t="inlineStr">
        <is>
          <t>Санкт-Петербург</t>
        </is>
      </c>
      <c r="C263" s="264" t="inlineStr">
        <is>
          <t>65_СЕНАТОР на Попова</t>
        </is>
      </c>
      <c r="D263" s="303">
        <f>SUMIFS('Адресная программа'!$K$2975:$K$4468,'Адресная программа'!$I$2975:$I$4468,БЦ_ALL!C263,'Адресная программа'!$C$2975:$C$4468,БЦ_ALL!B263,'Адресная программа'!$N$2975:$N$4468,1)</f>
        <v/>
      </c>
      <c r="E263" s="994">
        <f>'Цены|Скидки'!$E$25</f>
        <v/>
      </c>
      <c r="F263" s="942">
        <f>SUM(E263*D263*$K$7/15*$K$9)</f>
        <v/>
      </c>
      <c r="G263" s="156">
        <f>IF(SUMIFS('Адресная программа'!$O$20:$O$4940,'Адресная программа'!$N$20:$N$4940,1,'Адресная программа'!$C$20:$C$4940,B263,'Адресная программа'!$G$20:$G$4940,"Бизнес центр")=SUMIFS('Адресная программа'!$K$20:$K$4940,'Адресная программа'!$L$20:$L$4940,1,'Адресная программа'!$C$20:$C$4940,B263,'Адресная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программа'!$C$20:$C$4940,B263,'Адресная программа'!$G$20:$G$4940,"Бизнес центр")&gt;(SUMIFS('Адресная программа'!$K$20:$K$4940,'Адресная программа'!$L$20:$L$4940,1,'Адресная программа'!$C$20:$C$4940,B263,'Адресная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программа'!$C$20:$C$4940,B263,'Адресная программа'!$G$20:$G$4940,"Бизнес центр")&gt;(SUMIFS('Адресная программа'!$K$20:$K$4940,'Адресная программа'!$L$20:$L$4940,1,'Адресная программа'!$C$20:$C$4940,B263,'Адресная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программа'!$C$20:$C$4940,B263,'Адресная программа'!$G$20:$G$4940,"Бизнес центр")&gt;(SUMIFS('Адресная программа'!$K$20:$K$4940,'Адресная программа'!$L$20:$L$4940,1,'Адресная программа'!$C$20:$C$4940,B263,'Адресная программа'!$G$20:$G$4940,"Бизнес центр")*'Цены|Скидки'!$B$55-1),'Цены|Скидки'!$C$55,0%))))</f>
        <v/>
      </c>
      <c r="H263" s="156">
        <f>D$12</f>
        <v/>
      </c>
      <c r="I263" s="190">
        <f>IF(D263=0,0,1-J263/F263)</f>
        <v/>
      </c>
      <c r="J263" s="934">
        <f>F263*(1-G263)*(1-H263)*(1-IF($AC$2="РА",$AD$2,0))*(1-IF(OR($AC$3="Доп скидка",$AC$3="Сезонная скидка",$AC$3="Welcome скидка")=TRUE,$AD$3,0))</f>
        <v/>
      </c>
      <c r="K263" s="934">
        <f>ROUND(J263+L263,2)</f>
        <v/>
      </c>
      <c r="L263" s="934">
        <f>J263*БЦ!$AD$4</f>
        <v/>
      </c>
      <c r="M263" s="159">
        <f>(SUMIFS('Адресная программа'!$H$20:$H$4288,'Адресная программа'!$I$20:$I$4288,БЦ_ALL!C263,'Адресная программа'!$C$20:$C$4288,БЦ_ALL!B263,'Адресная программа'!$N$20:$N$4288,1)*$K$7)</f>
        <v/>
      </c>
      <c r="N263" s="938">
        <f>IF(M263=0,0,J263/M263*1000)</f>
        <v/>
      </c>
      <c r="O263" s="389" t="n"/>
    </row>
    <row r="264" ht="14.4" customHeight="1">
      <c r="B264" s="253" t="inlineStr">
        <is>
          <t>Санкт-Петербург</t>
        </is>
      </c>
      <c r="C264" s="264" t="inlineStr">
        <is>
          <t>СЕНАТОР на Попова</t>
        </is>
      </c>
      <c r="D264" s="303">
        <f>SUMIFS('Адресная программа'!$K$2975:$K$4468,'Адресная программа'!$I$2975:$I$4468,БЦ_ALL!C264,'Адресная программа'!$C$2975:$C$4468,БЦ_ALL!B264,'Адресная программа'!$N$2975:$N$4468,1)</f>
        <v/>
      </c>
      <c r="E264" s="994">
        <f>'Цены|Скидки'!$E$25</f>
        <v/>
      </c>
      <c r="F264" s="942">
        <f>SUM(E264*D264*$K$7/15*$K$9)</f>
        <v/>
      </c>
      <c r="G264" s="156">
        <f>IF(SUMIFS('Адресная программа'!$O$20:$O$4940,'Адресная программа'!$N$20:$N$4940,1,'Адресная программа'!$C$20:$C$4940,B264,'Адресная программа'!$G$20:$G$4940,"Бизнес центр")=SUMIFS('Адресная программа'!$K$20:$K$4940,'Адресная программа'!$L$20:$L$4940,1,'Адресная программа'!$C$20:$C$4940,B264,'Адресная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программа'!$C$20:$C$4940,B264,'Адресная программа'!$G$20:$G$4940,"Бизнес центр")&gt;(SUMIFS('Адресная программа'!$K$20:$K$4940,'Адресная программа'!$L$20:$L$4940,1,'Адресная программа'!$C$20:$C$4940,B264,'Адресная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программа'!$C$20:$C$4940,B264,'Адресная программа'!$G$20:$G$4940,"Бизнес центр")&gt;(SUMIFS('Адресная программа'!$K$20:$K$4940,'Адресная программа'!$L$20:$L$4940,1,'Адресная программа'!$C$20:$C$4940,B264,'Адресная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программа'!$C$20:$C$4940,B264,'Адресная программа'!$G$20:$G$4940,"Бизнес центр")&gt;(SUMIFS('Адресная программа'!$K$20:$K$4940,'Адресная программа'!$L$20:$L$4940,1,'Адресная программа'!$C$20:$C$4940,B264,'Адресная программа'!$G$20:$G$4940,"Бизнес центр")*'Цены|Скидки'!$B$55-1),'Цены|Скидки'!$C$55,0%))))</f>
        <v/>
      </c>
      <c r="H264" s="156">
        <f>D$12</f>
        <v/>
      </c>
      <c r="I264" s="190">
        <f>IF(D264=0,0,1-J264/F264)</f>
        <v/>
      </c>
      <c r="J264" s="934">
        <f>F264*(1-G264)*(1-H264)*(1-IF($AC$2="РА",$AD$2,0))*(1-IF(OR($AC$3="Доп скидка",$AC$3="Сезонная скидка",$AC$3="Welcome скидка")=TRUE,$AD$3,0))</f>
        <v/>
      </c>
      <c r="K264" s="934">
        <f>ROUND(J264+L264,2)</f>
        <v/>
      </c>
      <c r="L264" s="934">
        <f>J264*БЦ!$AD$4</f>
        <v/>
      </c>
      <c r="M264" s="159">
        <f>(SUMIFS('Адресная программа'!$H$20:$H$4288,'Адресная программа'!$I$20:$I$4288,БЦ_ALL!C264,'Адресная программа'!$C$20:$C$4288,БЦ_ALL!B264,'Адресная программа'!$N$20:$N$4288,1)*$K$7)</f>
        <v/>
      </c>
      <c r="N264" s="938">
        <f>IF(M264=0,0,J264/M264*1000)</f>
        <v/>
      </c>
      <c r="O264" s="389" t="n"/>
    </row>
    <row r="265" ht="14.4" customHeight="1">
      <c r="B265" s="253" t="inlineStr">
        <is>
          <t>Санкт-Петербург</t>
        </is>
      </c>
      <c r="C265" s="264" t="inlineStr">
        <is>
          <t>Собрание</t>
        </is>
      </c>
      <c r="D265" s="303">
        <f>SUMIFS('Адресная программа'!$K$2975:$K$4468,'Адресная программа'!$I$2975:$I$4468,БЦ_ALL!C265,'Адресная программа'!$C$2975:$C$4468,БЦ_ALL!B265,'Адресная программа'!$N$2975:$N$4468,1)</f>
        <v/>
      </c>
      <c r="E265" s="994">
        <f>'Цены|Скидки'!$E$25</f>
        <v/>
      </c>
      <c r="F265" s="942">
        <f>SUM(E265*D265*$K$7/15*$K$9)</f>
        <v/>
      </c>
      <c r="G265" s="156">
        <f>IF(SUMIFS('Адресная программа'!$O$20:$O$4940,'Адресная программа'!$N$20:$N$4940,1,'Адресная программа'!$C$20:$C$4940,B265,'Адресная программа'!$G$20:$G$4940,"Бизнес центр")=SUMIFS('Адресная программа'!$K$20:$K$4940,'Адресная программа'!$L$20:$L$4940,1,'Адресная программа'!$C$20:$C$4940,B265,'Адресная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программа'!$C$20:$C$4940,B265,'Адресная программа'!$G$20:$G$4940,"Бизнес центр")&gt;(SUMIFS('Адресная программа'!$K$20:$K$4940,'Адресная программа'!$L$20:$L$4940,1,'Адресная программа'!$C$20:$C$4940,B265,'Адресная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программа'!$C$20:$C$4940,B265,'Адресная программа'!$G$20:$G$4940,"Бизнес центр")&gt;(SUMIFS('Адресная программа'!$K$20:$K$4940,'Адресная программа'!$L$20:$L$4940,1,'Адресная программа'!$C$20:$C$4940,B265,'Адресная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программа'!$C$20:$C$4940,B265,'Адресная программа'!$G$20:$G$4940,"Бизнес центр")&gt;(SUMIFS('Адресная программа'!$K$20:$K$4940,'Адресная программа'!$L$20:$L$4940,1,'Адресная программа'!$C$20:$C$4940,B265,'Адресная программа'!$G$20:$G$4940,"Бизнес центр")*'Цены|Скидки'!$B$55-1),'Цены|Скидки'!$C$55,0%))))</f>
        <v/>
      </c>
      <c r="H265" s="156">
        <f>D$12</f>
        <v/>
      </c>
      <c r="I265" s="190">
        <f>IF(D265=0,0,1-J265/F265)</f>
        <v/>
      </c>
      <c r="J265" s="934">
        <f>F265*(1-G265)*(1-H265)*(1-IF($AC$2="РА",$AD$2,0))*(1-IF(OR($AC$3="Доп скидка",$AC$3="Сезонная скидка",$AC$3="Welcome скидка")=TRUE,$AD$3,0))</f>
        <v/>
      </c>
      <c r="K265" s="934">
        <f>ROUND(J265+L265,2)</f>
        <v/>
      </c>
      <c r="L265" s="934">
        <f>J265*БЦ!$AD$4</f>
        <v/>
      </c>
      <c r="M265" s="159">
        <f>(SUMIFS('Адресная программа'!$H$20:$H$4288,'Адресная программа'!$I$20:$I$4288,БЦ_ALL!C265,'Адресная программа'!$C$20:$C$4288,БЦ_ALL!B265,'Адресная программа'!$N$20:$N$4288,1)*$K$7)</f>
        <v/>
      </c>
      <c r="N265" s="938">
        <f>IF(M265=0,0,J265/M265*1000)</f>
        <v/>
      </c>
      <c r="O265" s="389" t="n"/>
    </row>
    <row r="266" ht="14.4" customHeight="1">
      <c r="B266" s="253" t="inlineStr">
        <is>
          <t>Санкт-Петербург</t>
        </is>
      </c>
      <c r="C266" s="264" t="inlineStr">
        <is>
          <t>Софийская площадь</t>
        </is>
      </c>
      <c r="D266" s="303">
        <f>SUMIFS('Адресная программа'!$K$2975:$K$4468,'Адресная программа'!$I$2975:$I$4468,БЦ_ALL!C266,'Адресная программа'!$C$2975:$C$4468,БЦ_ALL!B266,'Адресная программа'!$N$2975:$N$4468,1)</f>
        <v/>
      </c>
      <c r="E266" s="994">
        <f>'Цены|Скидки'!$E$25</f>
        <v/>
      </c>
      <c r="F266" s="942">
        <f>SUM(E266*D266*$K$7/15*$K$9)</f>
        <v/>
      </c>
      <c r="G266" s="156">
        <f>IF(SUMIFS('Адресная программа'!$O$20:$O$4940,'Адресная программа'!$N$20:$N$4940,1,'Адресная программа'!$C$20:$C$4940,B266,'Адресная программа'!$G$20:$G$4940,"Бизнес центр")=SUMIFS('Адресная программа'!$K$20:$K$4940,'Адресная программа'!$L$20:$L$4940,1,'Адресная программа'!$C$20:$C$4940,B266,'Адресная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программа'!$C$20:$C$4940,B266,'Адресная программа'!$G$20:$G$4940,"Бизнес центр")&gt;(SUMIFS('Адресная программа'!$K$20:$K$4940,'Адресная программа'!$L$20:$L$4940,1,'Адресная программа'!$C$20:$C$4940,B266,'Адресная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программа'!$C$20:$C$4940,B266,'Адресная программа'!$G$20:$G$4940,"Бизнес центр")&gt;(SUMIFS('Адресная программа'!$K$20:$K$4940,'Адресная программа'!$L$20:$L$4940,1,'Адресная программа'!$C$20:$C$4940,B266,'Адресная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программа'!$C$20:$C$4940,B266,'Адресная программа'!$G$20:$G$4940,"Бизнес центр")&gt;(SUMIFS('Адресная программа'!$K$20:$K$4940,'Адресная программа'!$L$20:$L$4940,1,'Адресная программа'!$C$20:$C$4940,B266,'Адресная программа'!$G$20:$G$4940,"Бизнес центр")*'Цены|Скидки'!$B$55-1),'Цены|Скидки'!$C$55,0%))))</f>
        <v/>
      </c>
      <c r="H266" s="156">
        <f>D$12</f>
        <v/>
      </c>
      <c r="I266" s="190">
        <f>IF(D266=0,0,1-J266/F266)</f>
        <v/>
      </c>
      <c r="J266" s="934">
        <f>F266*(1-G266)*(1-H266)*(1-IF($AC$2="РА",$AD$2,0))*(1-IF(OR($AC$3="Доп скидка",$AC$3="Сезонная скидка",$AC$3="Welcome скидка")=TRUE,$AD$3,0))</f>
        <v/>
      </c>
      <c r="K266" s="934">
        <f>ROUND(J266+L266,2)</f>
        <v/>
      </c>
      <c r="L266" s="934">
        <f>J266*БЦ!$AD$4</f>
        <v/>
      </c>
      <c r="M266" s="159">
        <f>(SUMIFS('Адресная программа'!$H$20:$H$4288,'Адресная программа'!$I$20:$I$4288,БЦ_ALL!C266,'Адресная программа'!$C$20:$C$4288,БЦ_ALL!B266,'Адресная программа'!$N$20:$N$4288,1)*$K$7)</f>
        <v/>
      </c>
      <c r="N266" s="938">
        <f>IF(M266=0,0,J266/M266*1000)</f>
        <v/>
      </c>
      <c r="O266" s="389" t="n"/>
    </row>
    <row r="267" ht="14.4" customHeight="1">
      <c r="B267" s="253" t="inlineStr">
        <is>
          <t>Санкт-Петербург</t>
        </is>
      </c>
      <c r="C267" s="264" t="inlineStr">
        <is>
          <t>Т-4</t>
        </is>
      </c>
      <c r="D267" s="303">
        <f>SUMIFS('Адресная программа'!$K$2975:$K$4468,'Адресная программа'!$I$2975:$I$4468,БЦ_ALL!C267,'Адресная программа'!$C$2975:$C$4468,БЦ_ALL!B267,'Адресная программа'!$N$2975:$N$4468,1)</f>
        <v/>
      </c>
      <c r="E267" s="994">
        <f>'Цены|Скидки'!$E$25</f>
        <v/>
      </c>
      <c r="F267" s="942">
        <f>SUM(E267*D267*$K$7/15*$K$9)</f>
        <v/>
      </c>
      <c r="G267" s="156">
        <f>IF(SUMIFS('Адресная программа'!$O$20:$O$4940,'Адресная программа'!$N$20:$N$4940,1,'Адресная программа'!$C$20:$C$4940,B267,'Адресная программа'!$G$20:$G$4940,"Бизнес центр")=SUMIFS('Адресная программа'!$K$20:$K$4940,'Адресная программа'!$L$20:$L$4940,1,'Адресная программа'!$C$20:$C$4940,B267,'Адресная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программа'!$C$20:$C$4940,B267,'Адресная программа'!$G$20:$G$4940,"Бизнес центр")&gt;(SUMIFS('Адресная программа'!$K$20:$K$4940,'Адресная программа'!$L$20:$L$4940,1,'Адресная программа'!$C$20:$C$4940,B267,'Адресная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программа'!$C$20:$C$4940,B267,'Адресная программа'!$G$20:$G$4940,"Бизнес центр")&gt;(SUMIFS('Адресная программа'!$K$20:$K$4940,'Адресная программа'!$L$20:$L$4940,1,'Адресная программа'!$C$20:$C$4940,B267,'Адресная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программа'!$C$20:$C$4940,B267,'Адресная программа'!$G$20:$G$4940,"Бизнес центр")&gt;(SUMIFS('Адресная программа'!$K$20:$K$4940,'Адресная программа'!$L$20:$L$4940,1,'Адресная программа'!$C$20:$C$4940,B267,'Адресная программа'!$G$20:$G$4940,"Бизнес центр")*'Цены|Скидки'!$B$55-1),'Цены|Скидки'!$C$55,0%))))</f>
        <v/>
      </c>
      <c r="H267" s="156">
        <f>D$12</f>
        <v/>
      </c>
      <c r="I267" s="190">
        <f>IF(D267=0,0,1-J267/F267)</f>
        <v/>
      </c>
      <c r="J267" s="934">
        <f>F267*(1-G267)*(1-H267)*(1-IF($AC$2="РА",$AD$2,0))*(1-IF(OR($AC$3="Доп скидка",$AC$3="Сезонная скидка",$AC$3="Welcome скидка")=TRUE,$AD$3,0))</f>
        <v/>
      </c>
      <c r="K267" s="934">
        <f>ROUND(J267+L267,2)</f>
        <v/>
      </c>
      <c r="L267" s="934">
        <f>J267*БЦ!$AD$4</f>
        <v/>
      </c>
      <c r="M267" s="159">
        <f>(SUMIFS('Адресная программа'!$H$20:$H$4288,'Адресная программа'!$I$20:$I$4288,БЦ_ALL!C267,'Адресная программа'!$C$20:$C$4288,БЦ_ALL!B267,'Адресная программа'!$N$20:$N$4288,1)*$K$7)</f>
        <v/>
      </c>
      <c r="N267" s="938">
        <f>IF(M267=0,0,J267/M267*1000)</f>
        <v/>
      </c>
      <c r="O267" s="389" t="n"/>
    </row>
    <row r="268" ht="14.4" customHeight="1">
      <c r="B268" s="253" t="inlineStr">
        <is>
          <t>Санкт-Петербург</t>
        </is>
      </c>
      <c r="C268" s="264" t="inlineStr">
        <is>
          <t>ТВ-Полис</t>
        </is>
      </c>
      <c r="D268" s="303">
        <f>SUMIFS('Адресная программа'!$K$2975:$K$4468,'Адресная программа'!$I$2975:$I$4468,БЦ_ALL!C268,'Адресная программа'!$C$2975:$C$4468,БЦ_ALL!B268,'Адресная программа'!$N$2975:$N$4468,1)</f>
        <v/>
      </c>
      <c r="E268" s="994">
        <f>'Цены|Скидки'!$E$25</f>
        <v/>
      </c>
      <c r="F268" s="942">
        <f>SUM(E268*D268*$K$7/15*$K$9)</f>
        <v/>
      </c>
      <c r="G268" s="156">
        <f>IF(SUMIFS('Адресная программа'!$O$20:$O$4940,'Адресная программа'!$N$20:$N$4940,1,'Адресная программа'!$C$20:$C$4940,B268,'Адресная программа'!$G$20:$G$4940,"Бизнес центр")=SUMIFS('Адресная программа'!$K$20:$K$4940,'Адресная программа'!$L$20:$L$4940,1,'Адресная программа'!$C$20:$C$4940,B268,'Адресная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программа'!$C$20:$C$4940,B268,'Адресная программа'!$G$20:$G$4940,"Бизнес центр")&gt;(SUMIFS('Адресная программа'!$K$20:$K$4940,'Адресная программа'!$L$20:$L$4940,1,'Адресная программа'!$C$20:$C$4940,B268,'Адресная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программа'!$C$20:$C$4940,B268,'Адресная программа'!$G$20:$G$4940,"Бизнес центр")&gt;(SUMIFS('Адресная программа'!$K$20:$K$4940,'Адресная программа'!$L$20:$L$4940,1,'Адресная программа'!$C$20:$C$4940,B268,'Адресная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программа'!$C$20:$C$4940,B268,'Адресная программа'!$G$20:$G$4940,"Бизнес центр")&gt;(SUMIFS('Адресная программа'!$K$20:$K$4940,'Адресная программа'!$L$20:$L$4940,1,'Адресная программа'!$C$20:$C$4940,B268,'Адресная программа'!$G$20:$G$4940,"Бизнес центр")*'Цены|Скидки'!$B$55-1),'Цены|Скидки'!$C$55,0%))))</f>
        <v/>
      </c>
      <c r="H268" s="156">
        <f>D$12</f>
        <v/>
      </c>
      <c r="I268" s="190">
        <f>IF(D268=0,0,1-J268/F268)</f>
        <v/>
      </c>
      <c r="J268" s="934">
        <f>F268*(1-G268)*(1-H268)*(1-IF($AC$2="РА",$AD$2,0))*(1-IF(OR($AC$3="Доп скидка",$AC$3="Сезонная скидка",$AC$3="Welcome скидка")=TRUE,$AD$3,0))</f>
        <v/>
      </c>
      <c r="K268" s="934">
        <f>ROUND(J268+L268,2)</f>
        <v/>
      </c>
      <c r="L268" s="934">
        <f>J268*БЦ!$AD$4</f>
        <v/>
      </c>
      <c r="M268" s="159">
        <f>(SUMIFS('Адресная программа'!$H$20:$H$4288,'Адресная программа'!$I$20:$I$4288,БЦ_ALL!C268,'Адресная программа'!$C$20:$C$4288,БЦ_ALL!B268,'Адресная программа'!$N$20:$N$4288,1)*$K$7)</f>
        <v/>
      </c>
      <c r="N268" s="938">
        <f>IF(M268=0,0,J268/M268*1000)</f>
        <v/>
      </c>
      <c r="O268" s="389" t="n"/>
    </row>
    <row r="269" ht="14.4" customHeight="1">
      <c r="B269" s="253" t="inlineStr">
        <is>
          <t>Санкт-Петербург</t>
        </is>
      </c>
      <c r="C269" s="264" t="inlineStr">
        <is>
          <t>Таврический</t>
        </is>
      </c>
      <c r="D269" s="303">
        <f>SUMIFS('Адресная программа'!$K$2975:$K$4468,'Адресная программа'!$I$2975:$I$4468,БЦ_ALL!C269,'Адресная программа'!$C$2975:$C$4468,БЦ_ALL!B269,'Адресная программа'!$N$2975:$N$4468,1)</f>
        <v/>
      </c>
      <c r="E269" s="994">
        <f>'Цены|Скидки'!$E$25</f>
        <v/>
      </c>
      <c r="F269" s="942">
        <f>SUM(E269*D269*$K$7/15*$K$9)</f>
        <v/>
      </c>
      <c r="G269" s="156">
        <f>IF(SUMIFS('Адресная программа'!$O$20:$O$4940,'Адресная программа'!$N$20:$N$4940,1,'Адресная программа'!$C$20:$C$4940,B269,'Адресная программа'!$G$20:$G$4940,"Бизнес центр")=SUMIFS('Адресная программа'!$K$20:$K$4940,'Адресная программа'!$L$20:$L$4940,1,'Адресная программа'!$C$20:$C$4940,B269,'Адресная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программа'!$C$20:$C$4940,B269,'Адресная программа'!$G$20:$G$4940,"Бизнес центр")&gt;(SUMIFS('Адресная программа'!$K$20:$K$4940,'Адресная программа'!$L$20:$L$4940,1,'Адресная программа'!$C$20:$C$4940,B269,'Адресная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программа'!$C$20:$C$4940,B269,'Адресная программа'!$G$20:$G$4940,"Бизнес центр")&gt;(SUMIFS('Адресная программа'!$K$20:$K$4940,'Адресная программа'!$L$20:$L$4940,1,'Адресная программа'!$C$20:$C$4940,B269,'Адресная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программа'!$C$20:$C$4940,B269,'Адресная программа'!$G$20:$G$4940,"Бизнес центр")&gt;(SUMIFS('Адресная программа'!$K$20:$K$4940,'Адресная программа'!$L$20:$L$4940,1,'Адресная программа'!$C$20:$C$4940,B269,'Адресная программа'!$G$20:$G$4940,"Бизнес центр")*'Цены|Скидки'!$B$55-1),'Цены|Скидки'!$C$55,0%))))</f>
        <v/>
      </c>
      <c r="H269" s="156">
        <f>D$12</f>
        <v/>
      </c>
      <c r="I269" s="190">
        <f>IF(D269=0,0,1-J269/F269)</f>
        <v/>
      </c>
      <c r="J269" s="934">
        <f>F269*(1-G269)*(1-H269)*(1-IF($AC$2="РА",$AD$2,0))*(1-IF(OR($AC$3="Доп скидка",$AC$3="Сезонная скидка",$AC$3="Welcome скидка")=TRUE,$AD$3,0))</f>
        <v/>
      </c>
      <c r="K269" s="934">
        <f>ROUND(J269+L269,2)</f>
        <v/>
      </c>
      <c r="L269" s="934">
        <f>J269*БЦ!$AD$4</f>
        <v/>
      </c>
      <c r="M269" s="159">
        <f>(SUMIFS('Адресная программа'!$H$20:$H$4288,'Адресная программа'!$I$20:$I$4288,БЦ_ALL!C269,'Адресная программа'!$C$20:$C$4288,БЦ_ALL!B269,'Адресная программа'!$N$20:$N$4288,1)*$K$7)</f>
        <v/>
      </c>
      <c r="N269" s="938">
        <f>IF(M269=0,0,J269/M269*1000)</f>
        <v/>
      </c>
      <c r="O269" s="389" t="n"/>
    </row>
    <row r="270" ht="14.4" customHeight="1">
      <c r="B270" s="253" t="inlineStr">
        <is>
          <t>Санкт-Петербург</t>
        </is>
      </c>
      <c r="C270" s="264" t="inlineStr">
        <is>
          <t>Толстой сквер</t>
        </is>
      </c>
      <c r="D270" s="303">
        <f>SUMIFS('Адресная программа'!$K$2975:$K$4468,'Адресная программа'!$I$2975:$I$4468,БЦ_ALL!C270,'Адресная программа'!$C$2975:$C$4468,БЦ_ALL!B270,'Адресная программа'!$N$2975:$N$4468,1)</f>
        <v/>
      </c>
      <c r="E270" s="994">
        <f>'Цены|Скидки'!$E$25</f>
        <v/>
      </c>
      <c r="F270" s="942">
        <f>SUM(E270*D270*$K$7/15*$K$9)</f>
        <v/>
      </c>
      <c r="G270" s="156">
        <f>IF(SUMIFS('Адресная программа'!$O$20:$O$4940,'Адресная программа'!$N$20:$N$4940,1,'Адресная программа'!$C$20:$C$4940,B270,'Адресная программа'!$G$20:$G$4940,"Бизнес центр")=SUMIFS('Адресная программа'!$K$20:$K$4940,'Адресная программа'!$L$20:$L$4940,1,'Адресная программа'!$C$20:$C$4940,B270,'Адресная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программа'!$C$20:$C$4940,B270,'Адресная программа'!$G$20:$G$4940,"Бизнес центр")&gt;(SUMIFS('Адресная программа'!$K$20:$K$4940,'Адресная программа'!$L$20:$L$4940,1,'Адресная программа'!$C$20:$C$4940,B270,'Адресная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программа'!$C$20:$C$4940,B270,'Адресная программа'!$G$20:$G$4940,"Бизнес центр")&gt;(SUMIFS('Адресная программа'!$K$20:$K$4940,'Адресная программа'!$L$20:$L$4940,1,'Адресная программа'!$C$20:$C$4940,B270,'Адресная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программа'!$C$20:$C$4940,B270,'Адресная программа'!$G$20:$G$4940,"Бизнес центр")&gt;(SUMIFS('Адресная программа'!$K$20:$K$4940,'Адресная программа'!$L$20:$L$4940,1,'Адресная программа'!$C$20:$C$4940,B270,'Адресная программа'!$G$20:$G$4940,"Бизнес центр")*'Цены|Скидки'!$B$55-1),'Цены|Скидки'!$C$55,0%))))</f>
        <v/>
      </c>
      <c r="H270" s="156">
        <f>D$12</f>
        <v/>
      </c>
      <c r="I270" s="190">
        <f>IF(D270=0,0,1-J270/F270)</f>
        <v/>
      </c>
      <c r="J270" s="934">
        <f>F270*(1-G270)*(1-H270)*(1-IF($AC$2="РА",$AD$2,0))*(1-IF(OR($AC$3="Доп скидка",$AC$3="Сезонная скидка",$AC$3="Welcome скидка")=TRUE,$AD$3,0))</f>
        <v/>
      </c>
      <c r="K270" s="934">
        <f>ROUND(J270+L270,2)</f>
        <v/>
      </c>
      <c r="L270" s="934">
        <f>J270*БЦ!$AD$4</f>
        <v/>
      </c>
      <c r="M270" s="159">
        <f>(SUMIFS('Адресная программа'!$H$20:$H$4288,'Адресная программа'!$I$20:$I$4288,БЦ_ALL!C270,'Адресная программа'!$C$20:$C$4288,БЦ_ALL!B270,'Адресная программа'!$N$20:$N$4288,1)*$K$7)</f>
        <v/>
      </c>
      <c r="N270" s="938">
        <f>IF(M270=0,0,J270/M270*1000)</f>
        <v/>
      </c>
      <c r="O270" s="389" t="n"/>
    </row>
    <row r="271" ht="14.4" customHeight="1">
      <c r="B271" s="253" t="inlineStr">
        <is>
          <t>Санкт-Петербург</t>
        </is>
      </c>
      <c r="C271" s="264" t="inlineStr">
        <is>
          <t>Тусар</t>
        </is>
      </c>
      <c r="D271" s="303">
        <f>SUMIFS('Адресная программа'!$K$2975:$K$4468,'Адресная программа'!$I$2975:$I$4468,БЦ_ALL!C271,'Адресная программа'!$C$2975:$C$4468,БЦ_ALL!B271,'Адресная программа'!$N$2975:$N$4468,1)</f>
        <v/>
      </c>
      <c r="E271" s="994">
        <f>'Цены|Скидки'!$E$25</f>
        <v/>
      </c>
      <c r="F271" s="942">
        <f>SUM(E271*D271*$K$7/15*$K$9)</f>
        <v/>
      </c>
      <c r="G271" s="156">
        <f>IF('Адресная программа'!$V$13='Адресная программа'!$U$13,'Цены|Скидки'!$C$52,IF('Адресная программа'!$V$13&gt;('Адресная программа'!$U$13*'Цены|Скидки'!$B$53-1),'Цены|Скидки'!$C$53,IF('Адресная программа'!$V$13&gt;('Адресная программа'!$U$13*'Цены|Скидки'!$B$54-1),'Цены|Скидки'!$C$54,IF('Адресная программа'!$V$13&gt;('Адресная программа'!$U$13*'Цены|Скидки'!$B$55-1),'Цены|Скидки'!$C$55,0%))))</f>
        <v/>
      </c>
      <c r="H271" s="156">
        <f>D$12</f>
        <v/>
      </c>
      <c r="I271" s="190">
        <f>IF(D271=0,0,1-J271/F271)</f>
        <v/>
      </c>
      <c r="J271" s="934">
        <f>F271*(1-G271)*(1-H271)*(1-IF($AC$2="РА",$AD$2,0))*(1-IF(OR($AC$3="Доп скидка",$AC$3="Сезонная скидка",$AC$3="Welcome скидка")=TRUE,$AD$3,0))</f>
        <v/>
      </c>
      <c r="K271" s="934">
        <f>ROUND(J271+L271,2)</f>
        <v/>
      </c>
      <c r="L271" s="934">
        <f>J271*0.2</f>
        <v/>
      </c>
      <c r="M271" s="159">
        <f>(SUMIFS('Адресная программа'!$H$3031:$H$4288,'Адресная программа'!$I$3031:$I$4288,БЦ_ALL!C271,'Адресная программа'!$C$3031:$C$4288,БЦ_ALL!B271,'Адресная программа'!$N$3031:$N$4288,1)*$K$7)</f>
        <v/>
      </c>
      <c r="N271" s="938">
        <f>IF(M271=0,0,J271/M271*1000)</f>
        <v/>
      </c>
      <c r="O271" s="389" t="n"/>
    </row>
    <row r="272" ht="14.4" customHeight="1">
      <c r="B272" s="253" t="inlineStr">
        <is>
          <t>Санкт-Петербург</t>
        </is>
      </c>
      <c r="C272" s="264" t="inlineStr">
        <is>
          <t>У Ростральных колонн</t>
        </is>
      </c>
      <c r="D272" s="303">
        <f>SUMIFS('Адресная программа'!$K$2975:$K$4468,'Адресная программа'!$I$2975:$I$4468,БЦ_ALL!C272,'Адресная программа'!$C$2975:$C$4468,БЦ_ALL!B272,'Адресная программа'!$N$2975:$N$4468,1)</f>
        <v/>
      </c>
      <c r="E272" s="994">
        <f>'Цены|Скидки'!$E$25</f>
        <v/>
      </c>
      <c r="F272" s="942">
        <f>SUM(E272*D272*$K$7/15*$K$9)</f>
        <v/>
      </c>
      <c r="G272" s="156">
        <f>IF(SUMIFS('Адресная программа'!$O$20:$O$4940,'Адресная программа'!$N$20:$N$4940,1,'Адресная программа'!$C$20:$C$4940,B272,'Адресная программа'!$G$20:$G$4940,"Бизнес центр")=SUMIFS('Адресная программа'!$K$20:$K$4940,'Адресная программа'!$L$20:$L$4940,1,'Адресная программа'!$C$20:$C$4940,B272,'Адресная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программа'!$C$20:$C$4940,B272,'Адресная программа'!$G$20:$G$4940,"Бизнес центр")&gt;(SUMIFS('Адресная программа'!$K$20:$K$4940,'Адресная программа'!$L$20:$L$4940,1,'Адресная программа'!$C$20:$C$4940,B272,'Адресная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программа'!$C$20:$C$4940,B272,'Адресная программа'!$G$20:$G$4940,"Бизнес центр")&gt;(SUMIFS('Адресная программа'!$K$20:$K$4940,'Адресная программа'!$L$20:$L$4940,1,'Адресная программа'!$C$20:$C$4940,B272,'Адресная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программа'!$C$20:$C$4940,B272,'Адресная программа'!$G$20:$G$4940,"Бизнес центр")&gt;(SUMIFS('Адресная программа'!$K$20:$K$4940,'Адресная программа'!$L$20:$L$4940,1,'Адресная программа'!$C$20:$C$4940,B272,'Адресная программа'!$G$20:$G$4940,"Бизнес центр")*'Цены|Скидки'!$B$55-1),'Цены|Скидки'!$C$55,0%))))</f>
        <v/>
      </c>
      <c r="H272" s="156">
        <f>D$12</f>
        <v/>
      </c>
      <c r="I272" s="190">
        <f>IF(D272=0,0,1-J272/F272)</f>
        <v/>
      </c>
      <c r="J272" s="934">
        <f>F272*(1-G272)*(1-H272)*(1-IF($AC$2="РА",$AD$2,0))*(1-IF(OR($AC$3="Доп скидка",$AC$3="Сезонная скидка",$AC$3="Welcome скидка")=TRUE,$AD$3,0))</f>
        <v/>
      </c>
      <c r="K272" s="934">
        <f>ROUND(J272+L272,2)</f>
        <v/>
      </c>
      <c r="L272" s="934">
        <f>J272*БЦ!$AD$4</f>
        <v/>
      </c>
      <c r="M272" s="159">
        <f>(SUMIFS('Адресная программа'!$H$20:$H$4288,'Адресная программа'!$I$20:$I$4288,БЦ_ALL!C272,'Адресная программа'!$C$20:$C$4288,БЦ_ALL!B272,'Адресная программа'!$N$20:$N$4288,1)*$K$7)</f>
        <v/>
      </c>
      <c r="N272" s="938">
        <f>IF(M272=0,0,J272/M272*1000)</f>
        <v/>
      </c>
      <c r="O272" s="389" t="n"/>
    </row>
    <row r="273" ht="14.4" customHeight="1">
      <c r="B273" s="253" t="inlineStr">
        <is>
          <t>Санкт-Петербург</t>
        </is>
      </c>
      <c r="C273" s="264" t="inlineStr">
        <is>
          <t>Фаберже</t>
        </is>
      </c>
      <c r="D273" s="303">
        <f>SUMIFS('Адресная программа'!$K$2975:$K$4468,'Адресная программа'!$I$2975:$I$4468,БЦ_ALL!C273,'Адресная программа'!$C$2975:$C$4468,БЦ_ALL!B273,'Адресная программа'!$N$2975:$N$4468,1)</f>
        <v/>
      </c>
      <c r="E273" s="994">
        <f>'Цены|Скидки'!$E$25</f>
        <v/>
      </c>
      <c r="F273" s="942">
        <f>SUM(E273*D273*$K$7/15*$K$9)</f>
        <v/>
      </c>
      <c r="G273" s="156">
        <f>IF(SUMIFS('Адресная программа'!$O$20:$O$4940,'Адресная программа'!$N$20:$N$4940,1,'Адресная программа'!$C$20:$C$4940,B273,'Адресная программа'!$G$20:$G$4940,"Бизнес центр")=SUMIFS('Адресная программа'!$K$20:$K$4940,'Адресная программа'!$L$20:$L$4940,1,'Адресная программа'!$C$20:$C$4940,B273,'Адресная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программа'!$C$20:$C$4940,B273,'Адресная программа'!$G$20:$G$4940,"Бизнес центр")&gt;(SUMIFS('Адресная программа'!$K$20:$K$4940,'Адресная программа'!$L$20:$L$4940,1,'Адресная программа'!$C$20:$C$4940,B273,'Адресная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программа'!$C$20:$C$4940,B273,'Адресная программа'!$G$20:$G$4940,"Бизнес центр")&gt;(SUMIFS('Адресная программа'!$K$20:$K$4940,'Адресная программа'!$L$20:$L$4940,1,'Адресная программа'!$C$20:$C$4940,B273,'Адресная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программа'!$C$20:$C$4940,B273,'Адресная программа'!$G$20:$G$4940,"Бизнес центр")&gt;(SUMIFS('Адресная программа'!$K$20:$K$4940,'Адресная программа'!$L$20:$L$4940,1,'Адресная программа'!$C$20:$C$4940,B273,'Адресная программа'!$G$20:$G$4940,"Бизнес центр")*'Цены|Скидки'!$B$55-1),'Цены|Скидки'!$C$55,0%))))</f>
        <v/>
      </c>
      <c r="H273" s="156">
        <f>D$12</f>
        <v/>
      </c>
      <c r="I273" s="190">
        <f>IF(D273=0,0,1-J273/F273)</f>
        <v/>
      </c>
      <c r="J273" s="934">
        <f>F273*(1-G273)*(1-H273)*(1-IF($AC$2="РА",$AD$2,0))*(1-IF(OR($AC$3="Доп скидка",$AC$3="Сезонная скидка",$AC$3="Welcome скидка")=TRUE,$AD$3,0))</f>
        <v/>
      </c>
      <c r="K273" s="934">
        <f>ROUND(J273+L273,2)</f>
        <v/>
      </c>
      <c r="L273" s="934">
        <f>J273*БЦ!$AD$4</f>
        <v/>
      </c>
      <c r="M273" s="159">
        <f>(SUMIFS('Адресная программа'!$H$20:$H$4288,'Адресная программа'!$I$20:$I$4288,БЦ_ALL!C273,'Адресная программа'!$C$20:$C$4288,БЦ_ALL!B273,'Адресная программа'!$N$20:$N$4288,1)*$K$7)</f>
        <v/>
      </c>
      <c r="N273" s="938">
        <f>IF(M273=0,0,J273/M273*1000)</f>
        <v/>
      </c>
      <c r="O273" s="389" t="n"/>
    </row>
    <row r="274" ht="14.4" customHeight="1">
      <c r="B274" s="253" t="inlineStr">
        <is>
          <t>Санкт-Петербург</t>
        </is>
      </c>
      <c r="C274" s="264" t="inlineStr">
        <is>
          <t>Феникс</t>
        </is>
      </c>
      <c r="D274" s="303">
        <f>SUMIFS('Адресная программа'!$K$2975:$K$4468,'Адресная программа'!$I$2975:$I$4468,БЦ_ALL!C274,'Адресная программа'!$C$2975:$C$4468,БЦ_ALL!B274,'Адресная программа'!$N$2975:$N$4468,1)</f>
        <v/>
      </c>
      <c r="E274" s="994">
        <f>'Цены|Скидки'!$E$25</f>
        <v/>
      </c>
      <c r="F274" s="942">
        <f>SUM(E274*D274*$K$7/15*$K$9)</f>
        <v/>
      </c>
      <c r="G274" s="156">
        <f>IF(SUMIFS('Адресная программа'!$O$20:$O$4940,'Адресная программа'!$N$20:$N$4940,1,'Адресная программа'!$C$20:$C$4940,B274,'Адресная программа'!$G$20:$G$4940,"Бизнес центр")=SUMIFS('Адресная программа'!$K$20:$K$4940,'Адресная программа'!$L$20:$L$4940,1,'Адресная программа'!$C$20:$C$4940,B274,'Адресная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программа'!$C$20:$C$4940,B274,'Адресная программа'!$G$20:$G$4940,"Бизнес центр")&gt;(SUMIFS('Адресная программа'!$K$20:$K$4940,'Адресная программа'!$L$20:$L$4940,1,'Адресная программа'!$C$20:$C$4940,B274,'Адресная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программа'!$C$20:$C$4940,B274,'Адресная программа'!$G$20:$G$4940,"Бизнес центр")&gt;(SUMIFS('Адресная программа'!$K$20:$K$4940,'Адресная программа'!$L$20:$L$4940,1,'Адресная программа'!$C$20:$C$4940,B274,'Адресная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программа'!$C$20:$C$4940,B274,'Адресная программа'!$G$20:$G$4940,"Бизнес центр")&gt;(SUMIFS('Адресная программа'!$K$20:$K$4940,'Адресная программа'!$L$20:$L$4940,1,'Адресная программа'!$C$20:$C$4940,B274,'Адресная программа'!$G$20:$G$4940,"Бизнес центр")*'Цены|Скидки'!$B$55-1),'Цены|Скидки'!$C$55,0%))))</f>
        <v/>
      </c>
      <c r="H274" s="156">
        <f>D$12</f>
        <v/>
      </c>
      <c r="I274" s="190">
        <f>IF(D274=0,0,1-J274/F274)</f>
        <v/>
      </c>
      <c r="J274" s="934">
        <f>F274*(1-G274)*(1-H274)*(1-IF($AC$2="РА",$AD$2,0))*(1-IF(OR($AC$3="Доп скидка",$AC$3="Сезонная скидка",$AC$3="Welcome скидка")=TRUE,$AD$3,0))</f>
        <v/>
      </c>
      <c r="K274" s="934">
        <f>ROUND(J274+L274,2)</f>
        <v/>
      </c>
      <c r="L274" s="934">
        <f>J274*БЦ!$AD$4</f>
        <v/>
      </c>
      <c r="M274" s="159">
        <f>(SUMIFS('Адресная программа'!$H$20:$H$4288,'Адресная программа'!$I$20:$I$4288,БЦ_ALL!C274,'Адресная программа'!$C$20:$C$4288,БЦ_ALL!B274,'Адресная программа'!$N$20:$N$4288,1)*$K$7)</f>
        <v/>
      </c>
      <c r="N274" s="938">
        <f>IF(M274=0,0,J274/M274*1000)</f>
        <v/>
      </c>
      <c r="O274" s="389" t="n"/>
    </row>
    <row r="275" ht="14.4" customHeight="1">
      <c r="B275" s="253" t="inlineStr">
        <is>
          <t>Санкт-Петербург</t>
        </is>
      </c>
      <c r="C275" s="264" t="inlineStr">
        <is>
          <t>Фидель</t>
        </is>
      </c>
      <c r="D275" s="303">
        <f>SUMIFS('Адресная программа'!$K$2975:$K$4468,'Адресная программа'!$I$2975:$I$4468,БЦ_ALL!C275,'Адресная программа'!$C$2975:$C$4468,БЦ_ALL!B275,'Адресная программа'!$N$2975:$N$4468,1)</f>
        <v/>
      </c>
      <c r="E275" s="994">
        <f>'Цены|Скидки'!$E$25</f>
        <v/>
      </c>
      <c r="F275" s="942">
        <f>SUM(E275*D275*$K$7/15*$K$9)</f>
        <v/>
      </c>
      <c r="G275" s="156">
        <f>IF(SUMIFS('Адресная программа'!$O$20:$O$4940,'Адресная программа'!$N$20:$N$4940,1,'Адресная программа'!$C$20:$C$4940,B275,'Адресная программа'!$G$20:$G$4940,"Бизнес центр")=SUMIFS('Адресная программа'!$K$20:$K$4940,'Адресная программа'!$L$20:$L$4940,1,'Адресная программа'!$C$20:$C$4940,B275,'Адресная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программа'!$C$20:$C$4940,B275,'Адресная программа'!$G$20:$G$4940,"Бизнес центр")&gt;(SUMIFS('Адресная программа'!$K$20:$K$4940,'Адресная программа'!$L$20:$L$4940,1,'Адресная программа'!$C$20:$C$4940,B275,'Адресная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программа'!$C$20:$C$4940,B275,'Адресная программа'!$G$20:$G$4940,"Бизнес центр")&gt;(SUMIFS('Адресная программа'!$K$20:$K$4940,'Адресная программа'!$L$20:$L$4940,1,'Адресная программа'!$C$20:$C$4940,B275,'Адресная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программа'!$C$20:$C$4940,B275,'Адресная программа'!$G$20:$G$4940,"Бизнес центр")&gt;(SUMIFS('Адресная программа'!$K$20:$K$4940,'Адресная программа'!$L$20:$L$4940,1,'Адресная программа'!$C$20:$C$4940,B275,'Адресная программа'!$G$20:$G$4940,"Бизнес центр")*'Цены|Скидки'!$B$55-1),'Цены|Скидки'!$C$55,0%))))</f>
        <v/>
      </c>
      <c r="H275" s="156">
        <f>D$12</f>
        <v/>
      </c>
      <c r="I275" s="190">
        <f>IF(D275=0,0,1-J275/F275)</f>
        <v/>
      </c>
      <c r="J275" s="934">
        <f>F275*(1-G275)*(1-H275)*(1-IF($AC$2="РА",$AD$2,0))*(1-IF(OR($AC$3="Доп скидка",$AC$3="Сезонная скидка",$AC$3="Welcome скидка")=TRUE,$AD$3,0))</f>
        <v/>
      </c>
      <c r="K275" s="934">
        <f>ROUND(J275+L275,2)</f>
        <v/>
      </c>
      <c r="L275" s="934">
        <f>J275*БЦ!$AD$4</f>
        <v/>
      </c>
      <c r="M275" s="159">
        <f>(SUMIFS('Адресная программа'!$H$20:$H$4288,'Адресная программа'!$I$20:$I$4288,БЦ_ALL!C275,'Адресная программа'!$C$20:$C$4288,БЦ_ALL!B275,'Адресная программа'!$N$20:$N$4288,1)*$K$7)</f>
        <v/>
      </c>
      <c r="N275" s="938">
        <f>IF(M275=0,0,J275/M275*1000)</f>
        <v/>
      </c>
      <c r="O275" s="389" t="n"/>
    </row>
    <row r="276" ht="14.4" customHeight="1">
      <c r="B276" s="253" t="inlineStr">
        <is>
          <t>Санкт-Петербург</t>
        </is>
      </c>
      <c r="C276" s="264" t="inlineStr">
        <is>
          <t>Чкаловский</t>
        </is>
      </c>
      <c r="D276" s="303">
        <f>SUMIFS('Адресная программа'!$K$2975:$K$4468,'Адресная программа'!$I$2975:$I$4468,БЦ_ALL!C276,'Адресная программа'!$C$2975:$C$4468,БЦ_ALL!B276,'Адресная программа'!$N$2975:$N$4468,1)</f>
        <v/>
      </c>
      <c r="E276" s="994">
        <f>'Цены|Скидки'!$E$25</f>
        <v/>
      </c>
      <c r="F276" s="942">
        <f>SUM(E276*D276*$K$7/15*$K$9)</f>
        <v/>
      </c>
      <c r="G276" s="156">
        <f>IF(SUMIFS('Адресная программа'!$O$20:$O$4940,'Адресная программа'!$N$20:$N$4940,1,'Адресная программа'!$C$20:$C$4940,B276,'Адресная программа'!$G$20:$G$4940,"Бизнес центр")=SUMIFS('Адресная программа'!$K$20:$K$4940,'Адресная программа'!$L$20:$L$4940,1,'Адресная программа'!$C$20:$C$4940,B276,'Адресная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программа'!$C$20:$C$4940,B276,'Адресная программа'!$G$20:$G$4940,"Бизнес центр")&gt;(SUMIFS('Адресная программа'!$K$20:$K$4940,'Адресная программа'!$L$20:$L$4940,1,'Адресная программа'!$C$20:$C$4940,B276,'Адресная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программа'!$C$20:$C$4940,B276,'Адресная программа'!$G$20:$G$4940,"Бизнес центр")&gt;(SUMIFS('Адресная программа'!$K$20:$K$4940,'Адресная программа'!$L$20:$L$4940,1,'Адресная программа'!$C$20:$C$4940,B276,'Адресная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программа'!$C$20:$C$4940,B276,'Адресная программа'!$G$20:$G$4940,"Бизнес центр")&gt;(SUMIFS('Адресная программа'!$K$20:$K$4940,'Адресная программа'!$L$20:$L$4940,1,'Адресная программа'!$C$20:$C$4940,B276,'Адресная программа'!$G$20:$G$4940,"Бизнес центр")*'Цены|Скидки'!$B$55-1),'Цены|Скидки'!$C$55,0%))))</f>
        <v/>
      </c>
      <c r="H276" s="156">
        <f>D$12</f>
        <v/>
      </c>
      <c r="I276" s="190">
        <f>IF(D276=0,0,1-J276/F276)</f>
        <v/>
      </c>
      <c r="J276" s="934">
        <f>F276*(1-G276)*(1-H276)*(1-IF($AC$2="РА",$AD$2,0))*(1-IF(OR($AC$3="Доп скидка",$AC$3="Сезонная скидка",$AC$3="Welcome скидка")=TRUE,$AD$3,0))</f>
        <v/>
      </c>
      <c r="K276" s="934">
        <f>ROUND(J276+L276,2)</f>
        <v/>
      </c>
      <c r="L276" s="934">
        <f>J276*БЦ!$AD$4</f>
        <v/>
      </c>
      <c r="M276" s="159">
        <f>(SUMIFS('Адресная программа'!$H$20:$H$4288,'Адресная программа'!$I$20:$I$4288,БЦ_ALL!C276,'Адресная программа'!$C$20:$C$4288,БЦ_ALL!B276,'Адресная программа'!$N$20:$N$4288,1)*$K$7)</f>
        <v/>
      </c>
      <c r="N276" s="938">
        <f>IF(M276=0,0,J276/M276*1000)</f>
        <v/>
      </c>
      <c r="O276" s="389" t="n"/>
    </row>
    <row r="277" ht="14.4" customHeight="1">
      <c r="B277" s="253" t="inlineStr">
        <is>
          <t>Санкт-Петербург</t>
        </is>
      </c>
      <c r="C277" s="264" t="inlineStr">
        <is>
          <t>Эврика</t>
        </is>
      </c>
      <c r="D277" s="303">
        <f>SUMIFS('Адресная программа'!$K$2975:$K$4468,'Адресная программа'!$I$2975:$I$4468,БЦ_ALL!C277,'Адресная программа'!$C$2975:$C$4468,БЦ_ALL!B277,'Адресная программа'!$N$2975:$N$4468,1)</f>
        <v/>
      </c>
      <c r="E277" s="994">
        <f>'Цены|Скидки'!$E$25</f>
        <v/>
      </c>
      <c r="F277" s="942">
        <f>SUM(E277*D277*$K$7/15*$K$9)</f>
        <v/>
      </c>
      <c r="G277" s="156">
        <f>IF(SUMIFS('Адресная программа'!$O$20:$O$4940,'Адресная программа'!$N$20:$N$4940,1,'Адресная программа'!$C$20:$C$4940,B277,'Адресная программа'!$G$20:$G$4940,"Бизнес центр")=SUMIFS('Адресная программа'!$K$20:$K$4940,'Адресная программа'!$L$20:$L$4940,1,'Адресная программа'!$C$20:$C$4940,B277,'Адресная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программа'!$C$20:$C$4940,B277,'Адресная программа'!$G$20:$G$4940,"Бизнес центр")&gt;(SUMIFS('Адресная программа'!$K$20:$K$4940,'Адресная программа'!$L$20:$L$4940,1,'Адресная программа'!$C$20:$C$4940,B277,'Адресная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программа'!$C$20:$C$4940,B277,'Адресная программа'!$G$20:$G$4940,"Бизнес центр")&gt;(SUMIFS('Адресная программа'!$K$20:$K$4940,'Адресная программа'!$L$20:$L$4940,1,'Адресная программа'!$C$20:$C$4940,B277,'Адресная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программа'!$C$20:$C$4940,B277,'Адресная программа'!$G$20:$G$4940,"Бизнес центр")&gt;(SUMIFS('Адресная программа'!$K$20:$K$4940,'Адресная программа'!$L$20:$L$4940,1,'Адресная программа'!$C$20:$C$4940,B277,'Адресная программа'!$G$20:$G$4940,"Бизнес центр")*'Цены|Скидки'!$B$55-1),'Цены|Скидки'!$C$55,0%))))</f>
        <v/>
      </c>
      <c r="H277" s="156">
        <f>D$12</f>
        <v/>
      </c>
      <c r="I277" s="190">
        <f>IF(D277=0,0,1-J277/F277)</f>
        <v/>
      </c>
      <c r="J277" s="934">
        <f>F277*(1-G277)*(1-H277)*(1-IF($AC$2="РА",$AD$2,0))*(1-IF(OR($AC$3="Доп скидка",$AC$3="Сезонная скидка",$AC$3="Welcome скидка")=TRUE,$AD$3,0))</f>
        <v/>
      </c>
      <c r="K277" s="934">
        <f>ROUND(J277+L277,2)</f>
        <v/>
      </c>
      <c r="L277" s="934">
        <f>J277*БЦ!$AD$4</f>
        <v/>
      </c>
      <c r="M277" s="159">
        <f>(SUMIFS('Адресная программа'!$H$20:$H$4288,'Адресная программа'!$I$20:$I$4288,БЦ_ALL!C277,'Адресная программа'!$C$20:$C$4288,БЦ_ALL!B277,'Адресная программа'!$N$20:$N$4288,1)*$K$7)</f>
        <v/>
      </c>
      <c r="N277" s="938">
        <f>IF(M277=0,0,J277/M277*1000)</f>
        <v/>
      </c>
      <c r="O277" s="389" t="n"/>
    </row>
    <row r="278" ht="14.4" customHeight="1">
      <c r="B278" s="253" t="inlineStr">
        <is>
          <t>Санкт-Петербург</t>
        </is>
      </c>
      <c r="C278" s="264" t="inlineStr">
        <is>
          <t>Энергия</t>
        </is>
      </c>
      <c r="D278" s="303">
        <f>SUMIFS('Адресная программа'!$K$2975:$K$4468,'Адресная программа'!$I$2975:$I$4468,БЦ_ALL!C278,'Адресная программа'!$C$2975:$C$4468,БЦ_ALL!B278,'Адресная программа'!$N$2975:$N$4468,1)</f>
        <v/>
      </c>
      <c r="E278" s="994">
        <f>'Цены|Скидки'!$E$25</f>
        <v/>
      </c>
      <c r="F278" s="942">
        <f>SUM(E278*D278*$K$7/15*$K$9)</f>
        <v/>
      </c>
      <c r="G278" s="156">
        <f>IF(SUMIFS('Адресная программа'!$O$20:$O$4940,'Адресная программа'!$N$20:$N$4940,1,'Адресная программа'!$C$20:$C$4940,B278,'Адресная программа'!$G$20:$G$4940,"Бизнес центр")=SUMIFS('Адресная программа'!$K$20:$K$4940,'Адресная программа'!$L$20:$L$4940,1,'Адресная программа'!$C$20:$C$4940,B278,'Адресная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программа'!$C$20:$C$4940,B278,'Адресная программа'!$G$20:$G$4940,"Бизнес центр")&gt;(SUMIFS('Адресная программа'!$K$20:$K$4940,'Адресная программа'!$L$20:$L$4940,1,'Адресная программа'!$C$20:$C$4940,B278,'Адресная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программа'!$C$20:$C$4940,B278,'Адресная программа'!$G$20:$G$4940,"Бизнес центр")&gt;(SUMIFS('Адресная программа'!$K$20:$K$4940,'Адресная программа'!$L$20:$L$4940,1,'Адресная программа'!$C$20:$C$4940,B278,'Адресная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программа'!$C$20:$C$4940,B278,'Адресная программа'!$G$20:$G$4940,"Бизнес центр")&gt;(SUMIFS('Адресная программа'!$K$20:$K$4940,'Адресная программа'!$L$20:$L$4940,1,'Адресная программа'!$C$20:$C$4940,B278,'Адресная программа'!$G$20:$G$4940,"Бизнес центр")*'Цены|Скидки'!$B$55-1),'Цены|Скидки'!$C$55,0%))))</f>
        <v/>
      </c>
      <c r="H278" s="156">
        <f>D$12</f>
        <v/>
      </c>
      <c r="I278" s="190">
        <f>IF(D278=0,0,1-J278/F278)</f>
        <v/>
      </c>
      <c r="J278" s="934">
        <f>F278*(1-G278)*(1-H278)*(1-IF($AC$2="РА",$AD$2,0))*(1-IF(OR($AC$3="Доп скидка",$AC$3="Сезонная скидка",$AC$3="Welcome скидка")=TRUE,$AD$3,0))</f>
        <v/>
      </c>
      <c r="K278" s="934">
        <f>ROUND(J278+L278,2)</f>
        <v/>
      </c>
      <c r="L278" s="934">
        <f>J278*БЦ!$AD$4</f>
        <v/>
      </c>
      <c r="M278" s="159">
        <f>(SUMIFS('Адресная программа'!$H$20:$H$4288,'Адресная программа'!$I$20:$I$4288,БЦ_ALL!C278,'Адресная программа'!$C$20:$C$4288,БЦ_ALL!B278,'Адресная программа'!$N$20:$N$4288,1)*$K$7)</f>
        <v/>
      </c>
      <c r="N278" s="938">
        <f>IF(M278=0,0,J278/M278*1000)</f>
        <v/>
      </c>
      <c r="O278" s="389" t="n"/>
    </row>
    <row r="279" ht="14.4" customHeight="1">
      <c r="B279" s="253" t="inlineStr">
        <is>
          <t>Санкт-Петербург</t>
        </is>
      </c>
      <c r="C279" s="264" t="inlineStr">
        <is>
          <t>H2О</t>
        </is>
      </c>
      <c r="D279" s="303">
        <f>SUMIFS('Адресная программа'!$K$2975:$K$4468,'Адресная программа'!$I$2975:$I$4468,БЦ_ALL!C279,'Адресная программа'!$C$2975:$C$4468,БЦ_ALL!B279,'Адресная программа'!$N$2975:$N$4468,1)</f>
        <v/>
      </c>
      <c r="E279" s="994">
        <f>'Цены|Скидки'!$E$25</f>
        <v/>
      </c>
      <c r="F279" s="942">
        <f>SUM(E279*D279*$K$7/15*$K$9)</f>
        <v/>
      </c>
      <c r="G279" s="156">
        <f>IF(SUMIFS('Адресная программа'!$O$20:$O$4940,'Адресная программа'!$N$20:$N$4940,1,'Адресная программа'!$C$20:$C$4940,B279,'Адресная программа'!$G$20:$G$4940,"Бизнес центр")=SUMIFS('Адресная программа'!$K$20:$K$4940,'Адресная программа'!$L$20:$L$4940,1,'Адресная программа'!$C$20:$C$4940,B279,'Адресная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программа'!$C$20:$C$4940,B279,'Адресная программа'!$G$20:$G$4940,"Бизнес центр")&gt;(SUMIFS('Адресная программа'!$K$20:$K$4940,'Адресная программа'!$L$20:$L$4940,1,'Адресная программа'!$C$20:$C$4940,B279,'Адресная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программа'!$C$20:$C$4940,B279,'Адресная программа'!$G$20:$G$4940,"Бизнес центр")&gt;(SUMIFS('Адресная программа'!$K$20:$K$4940,'Адресная программа'!$L$20:$L$4940,1,'Адресная программа'!$C$20:$C$4940,B279,'Адресная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программа'!$C$20:$C$4940,B279,'Адресная программа'!$G$20:$G$4940,"Бизнес центр")&gt;(SUMIFS('Адресная программа'!$K$20:$K$4940,'Адресная программа'!$L$20:$L$4940,1,'Адресная программа'!$C$20:$C$4940,B279,'Адресная программа'!$G$20:$G$4940,"Бизнес центр")*'Цены|Скидки'!$B$55-1),'Цены|Скидки'!$C$55,0%))))</f>
        <v/>
      </c>
      <c r="H279" s="156">
        <f>D$12</f>
        <v/>
      </c>
      <c r="I279" s="190">
        <f>IF(D279=0,0,1-J279/F279)</f>
        <v/>
      </c>
      <c r="J279" s="934">
        <f>F279*(1-G279)*(1-H279)*(1-IF($AC$2="РА",$AD$2,0))*(1-IF(OR($AC$3="Доп скидка",$AC$3="Сезонная скидка",$AC$3="Welcome скидка")=TRUE,$AD$3,0))</f>
        <v/>
      </c>
      <c r="K279" s="934">
        <f>ROUND(J279+L279,2)</f>
        <v/>
      </c>
      <c r="L279" s="934">
        <f>J279*БЦ!$AD$4</f>
        <v/>
      </c>
      <c r="M279" s="159">
        <f>(SUMIFS('Адресная программа'!$H$20:$H$4288,'Адресная программа'!$I$20:$I$4288,БЦ_ALL!C279,'Адресная программа'!$C$20:$C$4288,БЦ_ALL!B279,'Адресная программа'!$N$20:$N$4288,1)*$K$7)</f>
        <v/>
      </c>
      <c r="N279" s="938">
        <f>IF(M279=0,0,J279/M279*1000)</f>
        <v/>
      </c>
      <c r="O279" s="389" t="n"/>
    </row>
    <row r="280" ht="14.4" customHeight="1">
      <c r="B280" s="253" t="inlineStr">
        <is>
          <t>Санкт-Петербург</t>
        </is>
      </c>
      <c r="C280" s="264" t="inlineStr">
        <is>
          <t>Jensen House</t>
        </is>
      </c>
      <c r="D280" s="303">
        <f>SUMIFS('Адресная программа'!$K$2975:$K$4468,'Адресная программа'!$I$2975:$I$4468,БЦ_ALL!C280,'Адресная программа'!$C$2975:$C$4468,БЦ_ALL!B280,'Адресная программа'!$N$2975:$N$4468,1)</f>
        <v/>
      </c>
      <c r="E280" s="994">
        <f>'Цены|Скидки'!$E$25</f>
        <v/>
      </c>
      <c r="F280" s="942">
        <f>SUM(E280*D280*$K$7/15*$K$9)</f>
        <v/>
      </c>
      <c r="G280" s="156">
        <f>IF(SUMIFS('Адресная программа'!$O$20:$O$4940,'Адресная программа'!$N$20:$N$4940,1,'Адресная программа'!$C$20:$C$4940,B280,'Адресная программа'!$G$20:$G$4940,"Бизнес центр")=SUMIFS('Адресная программа'!$K$20:$K$4940,'Адресная программа'!$L$20:$L$4940,1,'Адресная программа'!$C$20:$C$4940,B280,'Адресная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программа'!$C$20:$C$4940,B280,'Адресная программа'!$G$20:$G$4940,"Бизнес центр")&gt;(SUMIFS('Адресная программа'!$K$20:$K$4940,'Адресная программа'!$L$20:$L$4940,1,'Адресная программа'!$C$20:$C$4940,B280,'Адресная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программа'!$C$20:$C$4940,B280,'Адресная программа'!$G$20:$G$4940,"Бизнес центр")&gt;(SUMIFS('Адресная программа'!$K$20:$K$4940,'Адресная программа'!$L$20:$L$4940,1,'Адресная программа'!$C$20:$C$4940,B280,'Адресная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программа'!$C$20:$C$4940,B280,'Адресная программа'!$G$20:$G$4940,"Бизнес центр")&gt;(SUMIFS('Адресная программа'!$K$20:$K$4940,'Адресная программа'!$L$20:$L$4940,1,'Адресная программа'!$C$20:$C$4940,B280,'Адресная программа'!$G$20:$G$4940,"Бизнес центр")*'Цены|Скидки'!$B$55-1),'Цены|Скидки'!$C$55,0%))))</f>
        <v/>
      </c>
      <c r="H280" s="156">
        <f>D$12</f>
        <v/>
      </c>
      <c r="I280" s="190">
        <f>IF(D280=0,0,1-J280/F280)</f>
        <v/>
      </c>
      <c r="J280" s="934">
        <f>F280*(1-G280)*(1-H280)*(1-IF($AC$2="РА",$AD$2,0))*(1-IF(OR($AC$3="Доп скидка",$AC$3="Сезонная скидка",$AC$3="Welcome скидка")=TRUE,$AD$3,0))</f>
        <v/>
      </c>
      <c r="K280" s="934">
        <f>ROUND(J280+L280,2)</f>
        <v/>
      </c>
      <c r="L280" s="934">
        <f>J280*БЦ!$AD$4</f>
        <v/>
      </c>
      <c r="M280" s="159">
        <f>(SUMIFS('Адресная программа'!$H$20:$H$4288,'Адресная программа'!$I$20:$I$4288,БЦ_ALL!C280,'Адресная программа'!$C$20:$C$4288,БЦ_ALL!B280,'Адресная программа'!$N$20:$N$4288,1)*$K$7)</f>
        <v/>
      </c>
      <c r="N280" s="938">
        <f>IF(M280=0,0,J280/M280*1000)</f>
        <v/>
      </c>
      <c r="O280" s="389" t="n"/>
    </row>
    <row r="281" ht="14.4" customHeight="1">
      <c r="B281" s="253" t="inlineStr">
        <is>
          <t>Санкт-Петербург</t>
        </is>
      </c>
      <c r="C281" s="264" t="inlineStr">
        <is>
          <t>Skandinavian</t>
        </is>
      </c>
      <c r="D281" s="303">
        <f>SUMIFS('Адресная программа'!$K$2975:$K$4468,'Адресная программа'!$I$2975:$I$4468,БЦ_ALL!C281,'Адресная программа'!$C$2975:$C$4468,БЦ_ALL!B281,'Адресная программа'!$N$2975:$N$4468,1)</f>
        <v/>
      </c>
      <c r="E281" s="994">
        <f>'Цены|Скидки'!$E$25</f>
        <v/>
      </c>
      <c r="F281" s="942">
        <f>SUM(E281*D281*$K$7/15*$K$9)</f>
        <v/>
      </c>
      <c r="G281" s="156">
        <f>IF(SUMIFS('Адресная программа'!$O$20:$O$4940,'Адресная программа'!$N$20:$N$4940,1,'Адресная программа'!$C$20:$C$4940,B281,'Адресная программа'!$G$20:$G$4940,"Бизнес центр")=SUMIFS('Адресная программа'!$K$20:$K$4940,'Адресная программа'!$L$20:$L$4940,1,'Адресная программа'!$C$20:$C$4940,B281,'Адресная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программа'!$C$20:$C$4940,B281,'Адресная программа'!$G$20:$G$4940,"Бизнес центр")&gt;(SUMIFS('Адресная программа'!$K$20:$K$4940,'Адресная программа'!$L$20:$L$4940,1,'Адресная программа'!$C$20:$C$4940,B281,'Адресная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программа'!$C$20:$C$4940,B281,'Адресная программа'!$G$20:$G$4940,"Бизнес центр")&gt;(SUMIFS('Адресная программа'!$K$20:$K$4940,'Адресная программа'!$L$20:$L$4940,1,'Адресная программа'!$C$20:$C$4940,B281,'Адресная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программа'!$C$20:$C$4940,B281,'Адресная программа'!$G$20:$G$4940,"Бизнес центр")&gt;(SUMIFS('Адресная программа'!$K$20:$K$4940,'Адресная программа'!$L$20:$L$4940,1,'Адресная программа'!$C$20:$C$4940,B281,'Адресная программа'!$G$20:$G$4940,"Бизнес центр")*'Цены|Скидки'!$B$55-1),'Цены|Скидки'!$C$55,0%))))</f>
        <v/>
      </c>
      <c r="H281" s="156">
        <f>D$12</f>
        <v/>
      </c>
      <c r="I281" s="190">
        <f>IF(D281=0,0,1-J281/F281)</f>
        <v/>
      </c>
      <c r="J281" s="934">
        <f>F281*(1-G281)*(1-H281)*(1-IF($AC$2="РА",$AD$2,0))*(1-IF(OR($AC$3="Доп скидка",$AC$3="Сезонная скидка",$AC$3="Welcome скидка")=TRUE,$AD$3,0))</f>
        <v/>
      </c>
      <c r="K281" s="934">
        <f>ROUND(J281+L281,2)</f>
        <v/>
      </c>
      <c r="L281" s="934">
        <f>J281*БЦ!$AD$4</f>
        <v/>
      </c>
      <c r="M281" s="159">
        <f>(SUMIFS('Адресная программа'!$H$20:$H$4288,'Адресная программа'!$I$20:$I$4288,БЦ_ALL!C281,'Адресная программа'!$C$20:$C$4288,БЦ_ALL!B281,'Адресная программа'!$N$20:$N$4288,1)*$K$7)</f>
        <v/>
      </c>
      <c r="N281" s="938">
        <f>IF(M281=0,0,J281/M281*1000)</f>
        <v/>
      </c>
      <c r="O281" s="389" t="n"/>
    </row>
    <row r="282" ht="14.4" customHeight="1">
      <c r="B282" s="253" t="inlineStr">
        <is>
          <t>Санкт-Петербург</t>
        </is>
      </c>
      <c r="C282" s="264" t="inlineStr">
        <is>
          <t>Априори</t>
        </is>
      </c>
      <c r="D282" s="303">
        <f>SUMIFS('Адресная программа'!$K$2975:$K$4468,'Адресная программа'!$I$2975:$I$4468,БЦ_ALL!C282,'Адресная программа'!$C$2975:$C$4468,БЦ_ALL!B282,'Адресная программа'!$N$2975:$N$4468,1)</f>
        <v/>
      </c>
      <c r="E282" s="994">
        <f>'Цены|Скидки'!$E$25</f>
        <v/>
      </c>
      <c r="F282" s="942">
        <f>SUM(E282*D282*$K$7/15*$K$9)</f>
        <v/>
      </c>
      <c r="G282" s="156">
        <f>IF(SUMIFS('Адресная программа'!$O$20:$O$4940,'Адресная программа'!$N$20:$N$4940,1,'Адресная программа'!$C$20:$C$4940,B282,'Адресная программа'!$G$20:$G$4940,"Бизнес центр")=SUMIFS('Адресная программа'!$K$20:$K$4940,'Адресная программа'!$L$20:$L$4940,1,'Адресная программа'!$C$20:$C$4940,B282,'Адресная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программа'!$C$20:$C$4940,B282,'Адресная программа'!$G$20:$G$4940,"Бизнес центр")&gt;(SUMIFS('Адресная программа'!$K$20:$K$4940,'Адресная программа'!$L$20:$L$4940,1,'Адресная программа'!$C$20:$C$4940,B282,'Адресная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программа'!$C$20:$C$4940,B282,'Адресная программа'!$G$20:$G$4940,"Бизнес центр")&gt;(SUMIFS('Адресная программа'!$K$20:$K$4940,'Адресная программа'!$L$20:$L$4940,1,'Адресная программа'!$C$20:$C$4940,B282,'Адресная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программа'!$C$20:$C$4940,B282,'Адресная программа'!$G$20:$G$4940,"Бизнес центр")&gt;(SUMIFS('Адресная программа'!$K$20:$K$4940,'Адресная программа'!$L$20:$L$4940,1,'Адресная программа'!$C$20:$C$4940,B282,'Адресная программа'!$G$20:$G$4940,"Бизнес центр")*'Цены|Скидки'!$B$55-1),'Цены|Скидки'!$C$55,0%))))</f>
        <v/>
      </c>
      <c r="H282" s="156">
        <f>D$12</f>
        <v/>
      </c>
      <c r="I282" s="190">
        <f>IF(D282=0,0,1-J282/F282)</f>
        <v/>
      </c>
      <c r="J282" s="934">
        <f>F282*(1-G282)*(1-H282)*(1-IF($AC$2="РА",$AD$2,0))*(1-IF(OR($AC$3="Доп скидка",$AC$3="Сезонная скидка",$AC$3="Welcome скидка")=TRUE,$AD$3,0))</f>
        <v/>
      </c>
      <c r="K282" s="934">
        <f>ROUND(J282+L282,2)</f>
        <v/>
      </c>
      <c r="L282" s="934">
        <f>J282*БЦ!$AD$4</f>
        <v/>
      </c>
      <c r="M282" s="159">
        <f>(SUMIFS('Адресная программа'!$H$20:$H$4288,'Адресная программа'!$I$20:$I$4288,БЦ_ALL!C282,'Адресная программа'!$C$20:$C$4288,БЦ_ALL!B282,'Адресная программа'!$N$20:$N$4288,1)*$K$7)</f>
        <v/>
      </c>
      <c r="N282" s="938">
        <f>IF(M282=0,0,J282/M282*1000)</f>
        <v/>
      </c>
      <c r="O282" s="389" t="n"/>
    </row>
    <row r="283" ht="14.4" customHeight="1">
      <c r="B283" s="253" t="inlineStr">
        <is>
          <t>Санкт-Петербург</t>
        </is>
      </c>
      <c r="C283" s="264" t="inlineStr">
        <is>
          <t>Бронкос</t>
        </is>
      </c>
      <c r="D283" s="303">
        <f>SUMIFS('Адресная программа'!$K$2975:$K$4468,'Адресная программа'!$I$2975:$I$4468,БЦ_ALL!C283,'Адресная программа'!$C$2975:$C$4468,БЦ_ALL!B283,'Адресная программа'!$N$2975:$N$4468,1)</f>
        <v/>
      </c>
      <c r="E283" s="994">
        <f>'Цены|Скидки'!$E$25</f>
        <v/>
      </c>
      <c r="F283" s="942">
        <f>SUM(E283*D283*$K$7/15*$K$9)</f>
        <v/>
      </c>
      <c r="G283" s="156">
        <f>IF(SUMIFS('Адресная программа'!$O$20:$O$4940,'Адресная программа'!$N$20:$N$4940,1,'Адресная программа'!$C$20:$C$4940,B283,'Адресная программа'!$G$20:$G$4940,"Бизнес центр")=SUMIFS('Адресная программа'!$K$20:$K$4940,'Адресная программа'!$L$20:$L$4940,1,'Адресная программа'!$C$20:$C$4940,B283,'Адресная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программа'!$C$20:$C$4940,B283,'Адресная программа'!$G$20:$G$4940,"Бизнес центр")&gt;(SUMIFS('Адресная программа'!$K$20:$K$4940,'Адресная программа'!$L$20:$L$4940,1,'Адресная программа'!$C$20:$C$4940,B283,'Адресная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программа'!$C$20:$C$4940,B283,'Адресная программа'!$G$20:$G$4940,"Бизнес центр")&gt;(SUMIFS('Адресная программа'!$K$20:$K$4940,'Адресная программа'!$L$20:$L$4940,1,'Адресная программа'!$C$20:$C$4940,B283,'Адресная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программа'!$C$20:$C$4940,B283,'Адресная программа'!$G$20:$G$4940,"Бизнес центр")&gt;(SUMIFS('Адресная программа'!$K$20:$K$4940,'Адресная программа'!$L$20:$L$4940,1,'Адресная программа'!$C$20:$C$4940,B283,'Адресная программа'!$G$20:$G$4940,"Бизнес центр")*'Цены|Скидки'!$B$55-1),'Цены|Скидки'!$C$55,0%))))</f>
        <v/>
      </c>
      <c r="H283" s="156">
        <f>D$12</f>
        <v/>
      </c>
      <c r="I283" s="190">
        <f>IF(D283=0,0,1-J283/F283)</f>
        <v/>
      </c>
      <c r="J283" s="934">
        <f>F283*(1-G283)*(1-H283)*(1-IF($AC$2="РА",$AD$2,0))*(1-IF(OR($AC$3="Доп скидка",$AC$3="Сезонная скидка",$AC$3="Welcome скидка")=TRUE,$AD$3,0))</f>
        <v/>
      </c>
      <c r="K283" s="934">
        <f>ROUND(J283+L283,2)</f>
        <v/>
      </c>
      <c r="L283" s="934">
        <f>J283*БЦ!$AD$4</f>
        <v/>
      </c>
      <c r="M283" s="159">
        <f>(SUMIFS('Адресная программа'!$H$20:$H$4288,'Адресная программа'!$I$20:$I$4288,БЦ_ALL!C283,'Адресная программа'!$C$20:$C$4288,БЦ_ALL!B283,'Адресная программа'!$N$20:$N$4288,1)*$K$7)</f>
        <v/>
      </c>
      <c r="N283" s="938">
        <f>IF(M283=0,0,J283/M283*1000)</f>
        <v/>
      </c>
      <c r="O283" s="389" t="n"/>
    </row>
    <row r="284" ht="14.4" customHeight="1">
      <c r="B284" s="253" t="inlineStr">
        <is>
          <t>Санкт-Петербург</t>
        </is>
      </c>
      <c r="C284" s="264" t="inlineStr">
        <is>
          <t>Густаф</t>
        </is>
      </c>
      <c r="D284" s="303">
        <f>SUMIFS('Адресная программа'!$K$2975:$K$4468,'Адресная программа'!$I$2975:$I$4468,БЦ_ALL!C284,'Адресная программа'!$C$2975:$C$4468,БЦ_ALL!B284,'Адресная программа'!$N$2975:$N$4468,1)</f>
        <v/>
      </c>
      <c r="E284" s="994">
        <f>'Цены|Скидки'!$E$25</f>
        <v/>
      </c>
      <c r="F284" s="942">
        <f>SUM(E284*D284*$K$7/15*$K$9)</f>
        <v/>
      </c>
      <c r="G284" s="156">
        <f>IF(SUMIFS('Адресная программа'!$O$20:$O$4940,'Адресная программа'!$N$20:$N$4940,1,'Адресная программа'!$C$20:$C$4940,B284,'Адресная программа'!$G$20:$G$4940,"Бизнес центр")=SUMIFS('Адресная программа'!$K$20:$K$4940,'Адресная программа'!$L$20:$L$4940,1,'Адресная программа'!$C$20:$C$4940,B284,'Адресная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программа'!$C$20:$C$4940,B284,'Адресная программа'!$G$20:$G$4940,"Бизнес центр")&gt;(SUMIFS('Адресная программа'!$K$20:$K$4940,'Адресная программа'!$L$20:$L$4940,1,'Адресная программа'!$C$20:$C$4940,B284,'Адресная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программа'!$C$20:$C$4940,B284,'Адресная программа'!$G$20:$G$4940,"Бизнес центр")&gt;(SUMIFS('Адресная программа'!$K$20:$K$4940,'Адресная программа'!$L$20:$L$4940,1,'Адресная программа'!$C$20:$C$4940,B284,'Адресная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программа'!$C$20:$C$4940,B284,'Адресная программа'!$G$20:$G$4940,"Бизнес центр")&gt;(SUMIFS('Адресная программа'!$K$20:$K$4940,'Адресная программа'!$L$20:$L$4940,1,'Адресная программа'!$C$20:$C$4940,B284,'Адресная программа'!$G$20:$G$4940,"Бизнес центр")*'Цены|Скидки'!$B$55-1),'Цены|Скидки'!$C$55,0%))))</f>
        <v/>
      </c>
      <c r="H284" s="156">
        <f>D$12</f>
        <v/>
      </c>
      <c r="I284" s="190">
        <f>IF(D284=0,0,1-J284/F284)</f>
        <v/>
      </c>
      <c r="J284" s="934">
        <f>F284*(1-G284)*(1-H284)*(1-IF($AC$2="РА",$AD$2,0))*(1-IF(OR($AC$3="Доп скидка",$AC$3="Сезонная скидка",$AC$3="Welcome скидка")=TRUE,$AD$3,0))</f>
        <v/>
      </c>
      <c r="K284" s="934">
        <f>ROUND(J284+L284,2)</f>
        <v/>
      </c>
      <c r="L284" s="934">
        <f>J284*БЦ!$AD$4</f>
        <v/>
      </c>
      <c r="M284" s="159">
        <f>(SUMIFS('Адресная программа'!$H$20:$H$4288,'Адресная программа'!$I$20:$I$4288,БЦ_ALL!C284,'Адресная программа'!$C$20:$C$4288,БЦ_ALL!B284,'Адресная программа'!$N$20:$N$4288,1)*$K$7)</f>
        <v/>
      </c>
      <c r="N284" s="938">
        <f>IF(M284=0,0,J284/M284*1000)</f>
        <v/>
      </c>
      <c r="O284" s="389" t="n"/>
    </row>
    <row r="285" ht="14.4" customHeight="1">
      <c r="B285" s="253" t="inlineStr">
        <is>
          <t>Санкт-Петербург</t>
        </is>
      </c>
      <c r="C285" s="264" t="inlineStr">
        <is>
          <t>Кварц</t>
        </is>
      </c>
      <c r="D285" s="303">
        <f>SUMIFS('Адресная программа'!$K$2975:$K$4468,'Адресная программа'!$I$2975:$I$4468,БЦ_ALL!C285,'Адресная программа'!$C$2975:$C$4468,БЦ_ALL!B285,'Адресная программа'!$N$2975:$N$4468,1)</f>
        <v/>
      </c>
      <c r="E285" s="994">
        <f>'Цены|Скидки'!$E$25</f>
        <v/>
      </c>
      <c r="F285" s="942">
        <f>SUM(E285*D285*$K$7/15*$K$9)</f>
        <v/>
      </c>
      <c r="G285" s="156">
        <f>IF('Адресная программа'!$V$13='Адресная программа'!$U$13,'Цены|Скидки'!$C$52,IF('Адресная программа'!$V$13&gt;('Адресная программа'!$U$13*'Цены|Скидки'!$B$53-1),'Цены|Скидки'!$C$53,IF('Адресная программа'!$V$13&gt;('Адресная программа'!$U$13*'Цены|Скидки'!$B$54-1),'Цены|Скидки'!$C$54,IF('Адресная программа'!$V$13&gt;('Адресная программа'!$U$13*'Цены|Скидки'!$B$55-1),'Цены|Скидки'!$C$55,0%))))</f>
        <v/>
      </c>
      <c r="H285" s="156">
        <f>D$12</f>
        <v/>
      </c>
      <c r="I285" s="190">
        <f>IF(D285=0,0,1-J285/F285)</f>
        <v/>
      </c>
      <c r="J285" s="934">
        <f>F285*(1-G285)*(1-H285)*(1-IF($AC$2="РА",$AD$2,0))*(1-IF(OR($AC$3="Доп скидка",$AC$3="Сезонная скидка",$AC$3="Welcome скидка")=TRUE,$AD$3,0))</f>
        <v/>
      </c>
      <c r="K285" s="934">
        <f>ROUND(J285+L285,2)</f>
        <v/>
      </c>
      <c r="L285" s="934">
        <f>J285*0.2</f>
        <v/>
      </c>
      <c r="M285" s="159">
        <f>(SUMIFS('Адресная программа'!$H$3031:$H$4288,'Адресная программа'!$I$3031:$I$4288,БЦ_ALL!C285,'Адресная программа'!$C$3031:$C$4288,БЦ_ALL!B285,'Адресная программа'!$N$3031:$N$4288,1)*$K$7)</f>
        <v/>
      </c>
      <c r="N285" s="938">
        <f>IF(M285=0,0,J285/M285*1000)</f>
        <v/>
      </c>
      <c r="O285" s="389" t="n"/>
    </row>
    <row r="286" ht="14.4" customHeight="1">
      <c r="B286" s="253" t="inlineStr">
        <is>
          <t>Санкт-Петербург</t>
        </is>
      </c>
      <c r="C286" s="264" t="inlineStr">
        <is>
          <t>Магнус</t>
        </is>
      </c>
      <c r="D286" s="303">
        <f>SUMIFS('Адресная программа'!$K$2975:$K$4468,'Адресная программа'!$I$2975:$I$4468,БЦ_ALL!C286,'Адресная программа'!$C$2975:$C$4468,БЦ_ALL!B286,'Адресная программа'!$N$2975:$N$4468,1)</f>
        <v/>
      </c>
      <c r="E286" s="994">
        <f>'Цены|Скидки'!$E$25</f>
        <v/>
      </c>
      <c r="F286" s="942">
        <f>SUM(E286*D286*$K$7/15*$K$9)</f>
        <v/>
      </c>
      <c r="G286" s="156">
        <f>IF(SUMIFS('Адресная программа'!$O$20:$O$4940,'Адресная программа'!$N$20:$N$4940,1,'Адресная программа'!$C$20:$C$4940,B286,'Адресная программа'!$G$20:$G$4940,"Бизнес центр")=SUMIFS('Адресная программа'!$K$20:$K$4940,'Адресная программа'!$L$20:$L$4940,1,'Адресная программа'!$C$20:$C$4940,B286,'Адресная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программа'!$C$20:$C$4940,B286,'Адресная программа'!$G$20:$G$4940,"Бизнес центр")&gt;(SUMIFS('Адресная программа'!$K$20:$K$4940,'Адресная программа'!$L$20:$L$4940,1,'Адресная программа'!$C$20:$C$4940,B286,'Адресная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программа'!$C$20:$C$4940,B286,'Адресная программа'!$G$20:$G$4940,"Бизнес центр")&gt;(SUMIFS('Адресная программа'!$K$20:$K$4940,'Адресная программа'!$L$20:$L$4940,1,'Адресная программа'!$C$20:$C$4940,B286,'Адресная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программа'!$C$20:$C$4940,B286,'Адресная программа'!$G$20:$G$4940,"Бизнес центр")&gt;(SUMIFS('Адресная программа'!$K$20:$K$4940,'Адресная программа'!$L$20:$L$4940,1,'Адресная программа'!$C$20:$C$4940,B286,'Адресная программа'!$G$20:$G$4940,"Бизнес центр")*'Цены|Скидки'!$B$55-1),'Цены|Скидки'!$C$55,0%))))</f>
        <v/>
      </c>
      <c r="H286" s="156">
        <f>D$12</f>
        <v/>
      </c>
      <c r="I286" s="190">
        <f>IF(D286=0,0,1-J286/F286)</f>
        <v/>
      </c>
      <c r="J286" s="934">
        <f>F286*(1-G286)*(1-H286)*(1-IF($AC$2="РА",$AD$2,0))*(1-IF(OR($AC$3="Доп скидка",$AC$3="Сезонная скидка",$AC$3="Welcome скидка")=TRUE,$AD$3,0))</f>
        <v/>
      </c>
      <c r="K286" s="934">
        <f>ROUND(J286+L286,2)</f>
        <v/>
      </c>
      <c r="L286" s="934">
        <f>J286*БЦ!$AD$4</f>
        <v/>
      </c>
      <c r="M286" s="159">
        <f>(SUMIFS('Адресная программа'!$H$20:$H$4288,'Адресная программа'!$I$20:$I$4288,БЦ_ALL!C286,'Адресная программа'!$C$20:$C$4288,БЦ_ALL!B286,'Адресная программа'!$N$20:$N$4288,1)*$K$7)</f>
        <v/>
      </c>
      <c r="N286" s="938">
        <f>IF(M286=0,0,J286/M286*1000)</f>
        <v/>
      </c>
      <c r="O286" s="389" t="n"/>
    </row>
    <row r="287" ht="14.4" customHeight="1">
      <c r="B287" s="253" t="inlineStr">
        <is>
          <t>Санкт-Петербург</t>
        </is>
      </c>
      <c r="C287" s="264" t="inlineStr">
        <is>
          <t>Мегаполис</t>
        </is>
      </c>
      <c r="D287" s="303">
        <f>SUMIFS('Адресная программа'!$K$2975:$K$4468,'Адресная программа'!$I$2975:$I$4468,БЦ_ALL!C287,'Адресная программа'!$C$2975:$C$4468,БЦ_ALL!B287,'Адресная программа'!$N$2975:$N$4468,1)</f>
        <v/>
      </c>
      <c r="E287" s="994">
        <f>'Цены|Скидки'!$E$25</f>
        <v/>
      </c>
      <c r="F287" s="942">
        <f>SUM(E287*D287*$K$7/15*$K$9)</f>
        <v/>
      </c>
      <c r="G287" s="156">
        <f>IF(SUMIFS('Адресная программа'!$O$20:$O$4940,'Адресная программа'!$N$20:$N$4940,1,'Адресная программа'!$C$20:$C$4940,B287,'Адресная программа'!$G$20:$G$4940,"Бизнес центр")=SUMIFS('Адресная программа'!$K$20:$K$4940,'Адресная программа'!$L$20:$L$4940,1,'Адресная программа'!$C$20:$C$4940,B287,'Адресная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программа'!$C$20:$C$4940,B287,'Адресная программа'!$G$20:$G$4940,"Бизнес центр")&gt;(SUMIFS('Адресная программа'!$K$20:$K$4940,'Адресная программа'!$L$20:$L$4940,1,'Адресная программа'!$C$20:$C$4940,B287,'Адресная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программа'!$C$20:$C$4940,B287,'Адресная программа'!$G$20:$G$4940,"Бизнес центр")&gt;(SUMIFS('Адресная программа'!$K$20:$K$4940,'Адресная программа'!$L$20:$L$4940,1,'Адресная программа'!$C$20:$C$4940,B287,'Адресная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программа'!$C$20:$C$4940,B287,'Адресная программа'!$G$20:$G$4940,"Бизнес центр")&gt;(SUMIFS('Адресная программа'!$K$20:$K$4940,'Адресная программа'!$L$20:$L$4940,1,'Адресная программа'!$C$20:$C$4940,B287,'Адресная программа'!$G$20:$G$4940,"Бизнес центр")*'Цены|Скидки'!$B$55-1),'Цены|Скидки'!$C$55,0%))))</f>
        <v/>
      </c>
      <c r="H287" s="156">
        <f>D$12</f>
        <v/>
      </c>
      <c r="I287" s="190">
        <f>IF(D287=0,0,1-J287/F287)</f>
        <v/>
      </c>
      <c r="J287" s="934">
        <f>F287*(1-G287)*(1-H287)*(1-IF($AC$2="РА",$AD$2,0))*(1-IF(OR($AC$3="Доп скидка",$AC$3="Сезонная скидка",$AC$3="Welcome скидка")=TRUE,$AD$3,0))</f>
        <v/>
      </c>
      <c r="K287" s="934">
        <f>ROUND(J287+L287,2)</f>
        <v/>
      </c>
      <c r="L287" s="934">
        <f>J287*БЦ!$AD$4</f>
        <v/>
      </c>
      <c r="M287" s="159">
        <f>(SUMIFS('Адресная программа'!$H$20:$H$4288,'Адресная программа'!$I$20:$I$4288,БЦ_ALL!C287,'Адресная программа'!$C$20:$C$4288,БЦ_ALL!B287,'Адресная программа'!$N$20:$N$4288,1)*$K$7)</f>
        <v/>
      </c>
      <c r="N287" s="938">
        <f>IF(M287=0,0,J287/M287*1000)</f>
        <v/>
      </c>
      <c r="O287" s="389" t="n"/>
    </row>
    <row r="288" ht="14.4" customHeight="1">
      <c r="B288" s="253" t="inlineStr">
        <is>
          <t>Санкт-Петербург</t>
        </is>
      </c>
      <c r="C288" s="264" t="inlineStr">
        <is>
          <t>Оскар</t>
        </is>
      </c>
      <c r="D288" s="303">
        <f>SUMIFS('Адресная программа'!$K$2975:$K$4468,'Адресная программа'!$I$2975:$I$4468,БЦ_ALL!C288,'Адресная программа'!$C$2975:$C$4468,БЦ_ALL!B288,'Адресная программа'!$N$2975:$N$4468,1)</f>
        <v/>
      </c>
      <c r="E288" s="994">
        <f>'Цены|Скидки'!$E$25</f>
        <v/>
      </c>
      <c r="F288" s="942">
        <f>SUM(E288*D288*$K$7/15*$K$9)</f>
        <v/>
      </c>
      <c r="G288" s="156">
        <f>IF(SUMIFS('Адресная программа'!$O$20:$O$4940,'Адресная программа'!$N$20:$N$4940,1,'Адресная программа'!$C$20:$C$4940,B288,'Адресная программа'!$G$20:$G$4940,"Бизнес центр")=SUMIFS('Адресная программа'!$K$20:$K$4940,'Адресная программа'!$L$20:$L$4940,1,'Адресная программа'!$C$20:$C$4940,B288,'Адресная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программа'!$C$20:$C$4940,B288,'Адресная программа'!$G$20:$G$4940,"Бизнес центр")&gt;(SUMIFS('Адресная программа'!$K$20:$K$4940,'Адресная программа'!$L$20:$L$4940,1,'Адресная программа'!$C$20:$C$4940,B288,'Адресная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программа'!$C$20:$C$4940,B288,'Адресная программа'!$G$20:$G$4940,"Бизнес центр")&gt;(SUMIFS('Адресная программа'!$K$20:$K$4940,'Адресная программа'!$L$20:$L$4940,1,'Адресная программа'!$C$20:$C$4940,B288,'Адресная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программа'!$C$20:$C$4940,B288,'Адресная программа'!$G$20:$G$4940,"Бизнес центр")&gt;(SUMIFS('Адресная программа'!$K$20:$K$4940,'Адресная программа'!$L$20:$L$4940,1,'Адресная программа'!$C$20:$C$4940,B288,'Адресная программа'!$G$20:$G$4940,"Бизнес центр")*'Цены|Скидки'!$B$55-1),'Цены|Скидки'!$C$55,0%))))</f>
        <v/>
      </c>
      <c r="H288" s="156">
        <f>D$12</f>
        <v/>
      </c>
      <c r="I288" s="190">
        <f>IF(D288=0,0,1-J288/F288)</f>
        <v/>
      </c>
      <c r="J288" s="934">
        <f>F288*(1-G288)*(1-H288)*(1-IF($AC$2="РА",$AD$2,0))*(1-IF(OR($AC$3="Доп скидка",$AC$3="Сезонная скидка",$AC$3="Welcome скидка")=TRUE,$AD$3,0))</f>
        <v/>
      </c>
      <c r="K288" s="934">
        <f>ROUND(J288+L288,2)</f>
        <v/>
      </c>
      <c r="L288" s="934">
        <f>J288*БЦ!$AD$4</f>
        <v/>
      </c>
      <c r="M288" s="159">
        <f>(SUMIFS('Адресная программа'!$H$20:$H$4288,'Адресная программа'!$I$20:$I$4288,БЦ_ALL!C288,'Адресная программа'!$C$20:$C$4288,БЦ_ALL!B288,'Адресная программа'!$N$20:$N$4288,1)*$K$7)</f>
        <v/>
      </c>
      <c r="N288" s="938">
        <f>IF(M288=0,0,J288/M288*1000)</f>
        <v/>
      </c>
      <c r="O288" s="389" t="n"/>
    </row>
    <row r="289" ht="14.4" customHeight="1">
      <c r="B289" s="253" t="inlineStr">
        <is>
          <t>Санкт-Петербург</t>
        </is>
      </c>
      <c r="C289" s="264" t="inlineStr">
        <is>
          <t>Цитадель</t>
        </is>
      </c>
      <c r="D289" s="303">
        <f>SUMIFS('Адресная программа'!$K$2975:$K$4468,'Адресная программа'!$I$2975:$I$4468,БЦ_ALL!C289,'Адресная программа'!$C$2975:$C$4468,БЦ_ALL!B289,'Адресная программа'!$N$2975:$N$4468,1)</f>
        <v/>
      </c>
      <c r="E289" s="994">
        <f>'Цены|Скидки'!$E$25</f>
        <v/>
      </c>
      <c r="F289" s="942">
        <f>SUM(E289*D289*$K$7/15*$K$9)</f>
        <v/>
      </c>
      <c r="G289" s="156">
        <f>IF(SUMIFS('Адресная программа'!$O$20:$O$4940,'Адресная программа'!$N$20:$N$4940,1,'Адресная программа'!$C$20:$C$4940,B289,'Адресная программа'!$G$20:$G$4940,"Бизнес центр")=SUMIFS('Адресная программа'!$K$20:$K$4940,'Адресная программа'!$L$20:$L$4940,1,'Адресная программа'!$C$20:$C$4940,B289,'Адресная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программа'!$C$20:$C$4940,B289,'Адресная программа'!$G$20:$G$4940,"Бизнес центр")&gt;(SUMIFS('Адресная программа'!$K$20:$K$4940,'Адресная программа'!$L$20:$L$4940,1,'Адресная программа'!$C$20:$C$4940,B289,'Адресная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программа'!$C$20:$C$4940,B289,'Адресная программа'!$G$20:$G$4940,"Бизнес центр")&gt;(SUMIFS('Адресная программа'!$K$20:$K$4940,'Адресная программа'!$L$20:$L$4940,1,'Адресная программа'!$C$20:$C$4940,B289,'Адресная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программа'!$C$20:$C$4940,B289,'Адресная программа'!$G$20:$G$4940,"Бизнес центр")&gt;(SUMIFS('Адресная программа'!$K$20:$K$4940,'Адресная программа'!$L$20:$L$4940,1,'Адресная программа'!$C$20:$C$4940,B289,'Адресная программа'!$G$20:$G$4940,"Бизнес центр")*'Цены|Скидки'!$B$55-1),'Цены|Скидки'!$C$55,0%))))</f>
        <v/>
      </c>
      <c r="H289" s="156">
        <f>D$12</f>
        <v/>
      </c>
      <c r="I289" s="190">
        <f>IF(D289=0,0,1-J289/F289)</f>
        <v/>
      </c>
      <c r="J289" s="934">
        <f>F289*(1-G289)*(1-H289)*(1-IF($AC$2="РА",$AD$2,0))*(1-IF(OR($AC$3="Доп скидка",$AC$3="Сезонная скидка",$AC$3="Welcome скидка")=TRUE,$AD$3,0))</f>
        <v/>
      </c>
      <c r="K289" s="934">
        <f>ROUND(J289+L289,2)</f>
        <v/>
      </c>
      <c r="L289" s="934">
        <f>J289*БЦ!$AD$4</f>
        <v/>
      </c>
      <c r="M289" s="159">
        <f>(SUMIFS('Адресная программа'!$H$20:$H$4288,'Адресная программа'!$I$20:$I$4288,БЦ_ALL!C289,'Адресная программа'!$C$20:$C$4288,БЦ_ALL!B289,'Адресная программа'!$N$20:$N$4288,1)*$K$7)</f>
        <v/>
      </c>
      <c r="N289" s="938">
        <f>IF(M289=0,0,J289/M289*1000)</f>
        <v/>
      </c>
      <c r="O289" s="389" t="n"/>
    </row>
    <row r="290" ht="14.4" customHeight="1">
      <c r="B290" s="253" t="inlineStr">
        <is>
          <t>Санкт-Петербург</t>
        </is>
      </c>
      <c r="C290" s="264" t="inlineStr">
        <is>
          <t>Cerean</t>
        </is>
      </c>
      <c r="D290" s="303">
        <f>SUMIFS('Адресная программа'!$K$2975:$K$4468,'Адресная программа'!$I$2975:$I$4468,БЦ_ALL!C290,'Адресная программа'!$C$2975:$C$4468,БЦ_ALL!B290,'Адресная программа'!$L$2975:$L$4468,1)</f>
        <v/>
      </c>
      <c r="E290" s="994">
        <f>'Цены|Скидки'!$E$25</f>
        <v/>
      </c>
      <c r="F290" s="942">
        <f>SUM(E290*D290*$K$7/15*$K$9)</f>
        <v/>
      </c>
      <c r="G290" s="156">
        <f>IF('Адресная программа'!$V$13='Адресная программа'!$U$13,'Цены|Скидки'!$C$52,IF('Адресная программа'!$V$13&gt;('Адресная программа'!$U$13*'Цены|Скидки'!$B$53-1),'Цены|Скидки'!$C$53,IF('Адресная программа'!$V$13&gt;('Адресная программа'!$U$13*'Цены|Скидки'!$B$54-1),'Цены|Скидки'!$C$54,IF('Адресная программа'!$V$13&gt;('Адресная программа'!$U$13*'Цены|Скидки'!$B$55-1),'Цены|Скидки'!$C$55,0%))))</f>
        <v/>
      </c>
      <c r="H290" s="156">
        <f>D$12</f>
        <v/>
      </c>
      <c r="I290" s="190">
        <f>IF(D290=0,0,1-J290/F290)</f>
        <v/>
      </c>
      <c r="J290" s="934">
        <f>F290*(1-G290)*(1-H290)*(1-IF($AC$2="РА",$AD$2,0))*(1-IF(OR($AC$3="Доп скидка",$AC$3="Сезонная скидка",$AC$3="Welcome скидка")=TRUE,$AD$3,0))</f>
        <v/>
      </c>
      <c r="K290" s="934">
        <f>ROUND(J290+L290,2)</f>
        <v/>
      </c>
      <c r="L290" s="934">
        <f>J290*0.2</f>
        <v/>
      </c>
      <c r="M290" s="159">
        <f>O290*$K$7</f>
        <v/>
      </c>
      <c r="N290" s="938">
        <f>IF(M290=0,0,J290/M290*1000)</f>
        <v/>
      </c>
      <c r="O290" s="387" t="n">
        <v>2352</v>
      </c>
    </row>
    <row r="291" ht="14.4" customHeight="1">
      <c r="B291" s="253" t="inlineStr">
        <is>
          <t>Санкт-Петербург</t>
        </is>
      </c>
      <c r="C291" s="264" t="inlineStr">
        <is>
          <t>Sky Trade</t>
        </is>
      </c>
      <c r="D291" s="303">
        <f>SUMIFS('Адресная программа'!$K$2975:$K$4468,'Адресная программа'!$I$2975:$I$4468,БЦ_ALL!C291,'Адресная программа'!$C$2975:$C$4468,БЦ_ALL!B291,'Адресная программа'!$N$2975:$N$4468,1)</f>
        <v/>
      </c>
      <c r="E291" s="994">
        <f>'Цены|Скидки'!$E$25</f>
        <v/>
      </c>
      <c r="F291" s="942">
        <f>SUM(E291*D291*$K$7/15*$K$9)</f>
        <v/>
      </c>
      <c r="G291" s="156">
        <f>IF(SUMIFS('Адресная программа'!$O$20:$O$4940,'Адресная программа'!$N$20:$N$4940,1,'Адресная программа'!$C$20:$C$4940,B291,'Адресная программа'!$G$20:$G$4940,"Бизнес центр")=SUMIFS('Адресная программа'!$K$20:$K$4940,'Адресная программа'!$L$20:$L$4940,1,'Адресная программа'!$C$20:$C$4940,B291,'Адресная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программа'!$C$20:$C$4940,B291,'Адресная программа'!$G$20:$G$4940,"Бизнес центр")&gt;(SUMIFS('Адресная программа'!$K$20:$K$4940,'Адресная программа'!$L$20:$L$4940,1,'Адресная программа'!$C$20:$C$4940,B291,'Адресная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программа'!$C$20:$C$4940,B291,'Адресная программа'!$G$20:$G$4940,"Бизнес центр")&gt;(SUMIFS('Адресная программа'!$K$20:$K$4940,'Адресная программа'!$L$20:$L$4940,1,'Адресная программа'!$C$20:$C$4940,B291,'Адресная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программа'!$C$20:$C$4940,B291,'Адресная программа'!$G$20:$G$4940,"Бизнес центр")&gt;(SUMIFS('Адресная программа'!$K$20:$K$4940,'Адресная программа'!$L$20:$L$4940,1,'Адресная программа'!$C$20:$C$4940,B291,'Адресная программа'!$G$20:$G$4940,"Бизнес центр")*'Цены|Скидки'!$B$55-1),'Цены|Скидки'!$C$55,0%))))</f>
        <v/>
      </c>
      <c r="H291" s="156">
        <f>D$12</f>
        <v/>
      </c>
      <c r="I291" s="190">
        <f>IF(D291=0,0,1-J291/F291)</f>
        <v/>
      </c>
      <c r="J291" s="934">
        <f>F291*(1-G291)*(1-H291)*(1-IF($AC$2="РА",$AD$2,0))*(1-IF(OR($AC$3="Доп скидка",$AC$3="Сезонная скидка",$AC$3="Welcome скидка")=TRUE,$AD$3,0))</f>
        <v/>
      </c>
      <c r="K291" s="934">
        <f>ROUND(J291+L291,2)</f>
        <v/>
      </c>
      <c r="L291" s="934">
        <f>J291*БЦ!$AD$4</f>
        <v/>
      </c>
      <c r="M291" s="159">
        <f>(SUMIFS('Адресная программа'!$H$20:$H$4288,'Адресная программа'!$I$20:$I$4288,БЦ_ALL!C291,'Адресная программа'!$C$20:$C$4288,БЦ_ALL!B291,'Адресная программа'!$N$20:$N$4288,1)*$K$7)</f>
        <v/>
      </c>
      <c r="N291" s="938">
        <f>IF(M291=0,0,J291/M291*1000)</f>
        <v/>
      </c>
      <c r="O291" s="389" t="n"/>
    </row>
    <row r="292" ht="14.4" customHeight="1">
      <c r="B292" s="253" t="inlineStr">
        <is>
          <t>Санкт-Петербург</t>
        </is>
      </c>
      <c r="C292" s="264" t="inlineStr">
        <is>
          <t>Ренессанс Center</t>
        </is>
      </c>
      <c r="D292" s="303">
        <f>SUMIFS('Адресная программа'!$K$2975:$K$4468,'Адресная программа'!$I$2975:$I$4468,БЦ_ALL!C292,'Адресная программа'!$C$2975:$C$4468,БЦ_ALL!B292,'Адресная программа'!$N$2975:$N$4468,1)</f>
        <v/>
      </c>
      <c r="E292" s="994">
        <f>'Цены|Скидки'!$E$25</f>
        <v/>
      </c>
      <c r="F292" s="942">
        <f>SUM(E292*D292*$K$7/15*$K$9)</f>
        <v/>
      </c>
      <c r="G292" s="156">
        <f>IF(SUMIFS('Адресная программа'!$O$20:$O$4940,'Адресная программа'!$N$20:$N$4940,1,'Адресная программа'!$C$20:$C$4940,B292,'Адресная программа'!$G$20:$G$4940,"Бизнес центр")=SUMIFS('Адресная программа'!$K$20:$K$4940,'Адресная программа'!$L$20:$L$4940,1,'Адресная программа'!$C$20:$C$4940,B292,'Адресная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программа'!$C$20:$C$4940,B292,'Адресная программа'!$G$20:$G$4940,"Бизнес центр")&gt;(SUMIFS('Адресная программа'!$K$20:$K$4940,'Адресная программа'!$L$20:$L$4940,1,'Адресная программа'!$C$20:$C$4940,B292,'Адресная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программа'!$C$20:$C$4940,B292,'Адресная программа'!$G$20:$G$4940,"Бизнес центр")&gt;(SUMIFS('Адресная программа'!$K$20:$K$4940,'Адресная программа'!$L$20:$L$4940,1,'Адресная программа'!$C$20:$C$4940,B292,'Адресная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программа'!$C$20:$C$4940,B292,'Адресная программа'!$G$20:$G$4940,"Бизнес центр")&gt;(SUMIFS('Адресная программа'!$K$20:$K$4940,'Адресная программа'!$L$20:$L$4940,1,'Адресная программа'!$C$20:$C$4940,B292,'Адресная программа'!$G$20:$G$4940,"Бизнес центр")*'Цены|Скидки'!$B$55-1),'Цены|Скидки'!$C$55,0%))))</f>
        <v/>
      </c>
      <c r="H292" s="156">
        <f>D$12</f>
        <v/>
      </c>
      <c r="I292" s="190">
        <f>IF(D292=0,0,1-J292/F292)</f>
        <v/>
      </c>
      <c r="J292" s="934">
        <f>F292*(1-G292)*(1-H292)*(1-IF($AC$2="РА",$AD$2,0))*(1-IF(OR($AC$3="Доп скидка",$AC$3="Сезонная скидка",$AC$3="Welcome скидка")=TRUE,$AD$3,0))</f>
        <v/>
      </c>
      <c r="K292" s="934">
        <f>ROUND(J292+L292,2)</f>
        <v/>
      </c>
      <c r="L292" s="934">
        <f>J292*БЦ!$AD$4</f>
        <v/>
      </c>
      <c r="M292" s="159">
        <f>(SUMIFS('Адресная программа'!$H$20:$H$4288,'Адресная программа'!$I$20:$I$4288,БЦ_ALL!C292,'Адресная программа'!$C$20:$C$4288,БЦ_ALL!B292,'Адресная программа'!$N$20:$N$4288,1)*$K$7)</f>
        <v/>
      </c>
      <c r="N292" s="938">
        <f>IF(M292=0,0,J292/M292*1000)</f>
        <v/>
      </c>
      <c r="O292" s="389" t="n"/>
    </row>
    <row r="293" ht="14.4" customHeight="1">
      <c r="B293" s="253" t="inlineStr">
        <is>
          <t>Санкт-Петербург</t>
        </is>
      </c>
      <c r="C293" s="264" t="inlineStr">
        <is>
          <t>Лада</t>
        </is>
      </c>
      <c r="D293" s="303">
        <f>SUMIFS('Адресная программа'!$K$2975:$K$4468,'Адресная программа'!$I$2975:$I$4468,БЦ_ALL!C293,'Адресная программа'!$C$2975:$C$4468,БЦ_ALL!B293,'Адресная программа'!$N$2975:$N$4468,1)</f>
        <v/>
      </c>
      <c r="E293" s="994">
        <f>'Цены|Скидки'!$E$25</f>
        <v/>
      </c>
      <c r="F293" s="942">
        <f>SUM(E293*D293*$K$7/15*$K$9)</f>
        <v/>
      </c>
      <c r="G293" s="156">
        <f>IF(SUMIFS('Адресная программа'!$O$20:$O$4940,'Адресная программа'!$N$20:$N$4940,1,'Адресная программа'!$C$20:$C$4940,B293,'Адресная программа'!$G$20:$G$4940,"Бизнес центр")=SUMIFS('Адресная программа'!$K$20:$K$4940,'Адресная программа'!$L$20:$L$4940,1,'Адресная программа'!$C$20:$C$4940,B293,'Адресная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программа'!$C$20:$C$4940,B293,'Адресная программа'!$G$20:$G$4940,"Бизнес центр")&gt;(SUMIFS('Адресная программа'!$K$20:$K$4940,'Адресная программа'!$L$20:$L$4940,1,'Адресная программа'!$C$20:$C$4940,B293,'Адресная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программа'!$C$20:$C$4940,B293,'Адресная программа'!$G$20:$G$4940,"Бизнес центр")&gt;(SUMIFS('Адресная программа'!$K$20:$K$4940,'Адресная программа'!$L$20:$L$4940,1,'Адресная программа'!$C$20:$C$4940,B293,'Адресная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программа'!$C$20:$C$4940,B293,'Адресная программа'!$G$20:$G$4940,"Бизнес центр")&gt;(SUMIFS('Адресная программа'!$K$20:$K$4940,'Адресная программа'!$L$20:$L$4940,1,'Адресная программа'!$C$20:$C$4940,B293,'Адресная программа'!$G$20:$G$4940,"Бизнес центр")*'Цены|Скидки'!$B$55-1),'Цены|Скидки'!$C$55,0%))))</f>
        <v/>
      </c>
      <c r="H293" s="156">
        <f>D$12</f>
        <v/>
      </c>
      <c r="I293" s="190">
        <f>IF(D293=0,0,1-J293/F293)</f>
        <v/>
      </c>
      <c r="J293" s="934">
        <f>F293*(1-G293)*(1-H293)*(1-IF($AC$2="РА",$AD$2,0))*(1-IF(OR($AC$3="Доп скидка",$AC$3="Сезонная скидка",$AC$3="Welcome скидка")=TRUE,$AD$3,0))</f>
        <v/>
      </c>
      <c r="K293" s="934">
        <f>ROUND(J293+L293,2)</f>
        <v/>
      </c>
      <c r="L293" s="934">
        <f>J293*БЦ!$AD$4</f>
        <v/>
      </c>
      <c r="M293" s="159">
        <f>(SUMIFS('Адресная программа'!$H$20:$H$4288,'Адресная программа'!$I$20:$I$4288,БЦ_ALL!C293,'Адресная программа'!$C$20:$C$4288,БЦ_ALL!B293,'Адресная программа'!$N$20:$N$4288,1)*$K$7)</f>
        <v/>
      </c>
      <c r="N293" s="938">
        <f>IF(M293=0,0,J293/M293*1000)</f>
        <v/>
      </c>
      <c r="O293" s="389" t="n"/>
    </row>
    <row r="294" ht="14.4" customHeight="1">
      <c r="B294" s="253" t="inlineStr">
        <is>
          <t>Санкт-Петербург</t>
        </is>
      </c>
      <c r="C294" s="264" t="inlineStr">
        <is>
          <t>Wall Street</t>
        </is>
      </c>
      <c r="D294" s="303">
        <f>SUMIFS('Адресная программа'!$K$2975:$K$4468,'Адресная программа'!$I$2975:$I$4468,БЦ_ALL!C294,'Адресная программа'!$C$2975:$C$4468,БЦ_ALL!B294,'Адресная программа'!$N$2975:$N$4468,1)</f>
        <v/>
      </c>
      <c r="E294" s="994">
        <f>'Цены|Скидки'!$E$25</f>
        <v/>
      </c>
      <c r="F294" s="942">
        <f>SUM(E294*D294*$K$7/15*$K$9)</f>
        <v/>
      </c>
      <c r="G294" s="156">
        <f>IF(SUMIFS('Адресная программа'!$O$20:$O$4940,'Адресная программа'!$N$20:$N$4940,1,'Адресная программа'!$C$20:$C$4940,B294,'Адресная программа'!$G$20:$G$4940,"Бизнес центр")=SUMIFS('Адресная программа'!$K$20:$K$4940,'Адресная программа'!$L$20:$L$4940,1,'Адресная программа'!$C$20:$C$4940,B294,'Адресная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программа'!$C$20:$C$4940,B294,'Адресная программа'!$G$20:$G$4940,"Бизнес центр")&gt;(SUMIFS('Адресная программа'!$K$20:$K$4940,'Адресная программа'!$L$20:$L$4940,1,'Адресная программа'!$C$20:$C$4940,B294,'Адресная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программа'!$C$20:$C$4940,B294,'Адресная программа'!$G$20:$G$4940,"Бизнес центр")&gt;(SUMIFS('Адресная программа'!$K$20:$K$4940,'Адресная программа'!$L$20:$L$4940,1,'Адресная программа'!$C$20:$C$4940,B294,'Адресная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программа'!$C$20:$C$4940,B294,'Адресная программа'!$G$20:$G$4940,"Бизнес центр")&gt;(SUMIFS('Адресная программа'!$K$20:$K$4940,'Адресная программа'!$L$20:$L$4940,1,'Адресная программа'!$C$20:$C$4940,B294,'Адресная программа'!$G$20:$G$4940,"Бизнес центр")*'Цены|Скидки'!$B$55-1),'Цены|Скидки'!$C$55,0%))))</f>
        <v/>
      </c>
      <c r="H294" s="156">
        <f>D$12</f>
        <v/>
      </c>
      <c r="I294" s="190">
        <f>IF(D294=0,0,1-J294/F294)</f>
        <v/>
      </c>
      <c r="J294" s="934">
        <f>F294*(1-G294)*(1-H294)*(1-IF($AC$2="РА",$AD$2,0))*(1-IF(OR($AC$3="Доп скидка",$AC$3="Сезонная скидка",$AC$3="Welcome скидка")=TRUE,$AD$3,0))</f>
        <v/>
      </c>
      <c r="K294" s="934">
        <f>ROUND(J294+L294,2)</f>
        <v/>
      </c>
      <c r="L294" s="934">
        <f>J294*БЦ!$AD$4</f>
        <v/>
      </c>
      <c r="M294" s="159">
        <f>(SUMIFS('Адресная программа'!$H$20:$H$4288,'Адресная программа'!$I$20:$I$4288,БЦ_ALL!C294,'Адресная программа'!$C$20:$C$4288,БЦ_ALL!B294,'Адресная программа'!$N$20:$N$4288,1)*$K$7)</f>
        <v/>
      </c>
      <c r="N294" s="938">
        <f>IF(M294=0,0,J294/M294*1000)</f>
        <v/>
      </c>
      <c r="O294" s="389" t="n"/>
    </row>
    <row r="295" ht="14.4" customHeight="1">
      <c r="B295" s="253" t="inlineStr">
        <is>
          <t>Санкт-Петербург</t>
        </is>
      </c>
      <c r="C295" s="264" t="inlineStr">
        <is>
          <t>Ренессанс Premium</t>
        </is>
      </c>
      <c r="D295" s="303">
        <f>SUMIFS('Адресная программа'!$K$2975:$K$4468,'Адресная программа'!$I$2975:$I$4468,БЦ_ALL!C295,'Адресная программа'!$C$2975:$C$4468,БЦ_ALL!B295,'Адресная программа'!$N$2975:$N$4468,1)</f>
        <v/>
      </c>
      <c r="E295" s="994">
        <f>'Цены|Скидки'!$E$25</f>
        <v/>
      </c>
      <c r="F295" s="942">
        <f>SUM(E295*D295*$K$7/15*$K$9)</f>
        <v/>
      </c>
      <c r="G295" s="156">
        <f>IF(SUMIFS('Адресная программа'!$O$20:$O$4940,'Адресная программа'!$N$20:$N$4940,1,'Адресная программа'!$C$20:$C$4940,B295,'Адресная программа'!$G$20:$G$4940,"Бизнес центр")=SUMIFS('Адресная программа'!$K$20:$K$4940,'Адресная программа'!$L$20:$L$4940,1,'Адресная программа'!$C$20:$C$4940,B295,'Адресная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программа'!$C$20:$C$4940,B295,'Адресная программа'!$G$20:$G$4940,"Бизнес центр")&gt;(SUMIFS('Адресная программа'!$K$20:$K$4940,'Адресная программа'!$L$20:$L$4940,1,'Адресная программа'!$C$20:$C$4940,B295,'Адресная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программа'!$C$20:$C$4940,B295,'Адресная программа'!$G$20:$G$4940,"Бизнес центр")&gt;(SUMIFS('Адресная программа'!$K$20:$K$4940,'Адресная программа'!$L$20:$L$4940,1,'Адресная программа'!$C$20:$C$4940,B295,'Адресная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программа'!$C$20:$C$4940,B295,'Адресная программа'!$G$20:$G$4940,"Бизнес центр")&gt;(SUMIFS('Адресная программа'!$K$20:$K$4940,'Адресная программа'!$L$20:$L$4940,1,'Адресная программа'!$C$20:$C$4940,B295,'Адресная программа'!$G$20:$G$4940,"Бизнес центр")*'Цены|Скидки'!$B$55-1),'Цены|Скидки'!$C$55,0%))))</f>
        <v/>
      </c>
      <c r="H295" s="156">
        <f>D$12</f>
        <v/>
      </c>
      <c r="I295" s="190">
        <f>IF(D295=0,0,1-J295/F295)</f>
        <v/>
      </c>
      <c r="J295" s="934">
        <f>F295*(1-G295)*(1-H295)*(1-IF($AC$2="РА",$AD$2,0))*(1-IF(OR($AC$3="Доп скидка",$AC$3="Сезонная скидка",$AC$3="Welcome скидка")=TRUE,$AD$3,0))</f>
        <v/>
      </c>
      <c r="K295" s="934">
        <f>ROUND(J295+L295,2)</f>
        <v/>
      </c>
      <c r="L295" s="934">
        <f>J295*БЦ!$AD$4</f>
        <v/>
      </c>
      <c r="M295" s="159">
        <f>(SUMIFS('Адресная программа'!$H$20:$H$4288,'Адресная программа'!$I$20:$I$4288,БЦ_ALL!C295,'Адресная программа'!$C$20:$C$4288,БЦ_ALL!B295,'Адресная программа'!$N$20:$N$4288,1)*$K$7)</f>
        <v/>
      </c>
      <c r="N295" s="938">
        <f>IF(M295=0,0,J295/M295*1000)</f>
        <v/>
      </c>
      <c r="O295" s="389" t="n"/>
    </row>
    <row r="296" ht="14.4" customHeight="1">
      <c r="B296" s="253" t="inlineStr">
        <is>
          <t>Санкт-Петербург</t>
        </is>
      </c>
      <c r="C296" s="264" t="inlineStr">
        <is>
          <t>Базен</t>
        </is>
      </c>
      <c r="D296" s="303">
        <f>SUMIFS('Адресная программа'!$K$2975:$K$4468,'Адресная программа'!$I$2975:$I$4468,БЦ_ALL!C296,'Адресная программа'!$C$2975:$C$4468,БЦ_ALL!B296,'Адресная программа'!$N$2975:$N$4468,1)</f>
        <v/>
      </c>
      <c r="E296" s="994">
        <f>'Цены|Скидки'!$E$25</f>
        <v/>
      </c>
      <c r="F296" s="942">
        <f>SUM(E296*D296*$K$7/15*$K$9)</f>
        <v/>
      </c>
      <c r="G296" s="156">
        <f>IF(SUMIFS('Адресная программа'!$O$20:$O$4940,'Адресная программа'!$N$20:$N$4940,1,'Адресная программа'!$C$20:$C$4940,B296,'Адресная программа'!$G$20:$G$4940,"Бизнес центр")=SUMIFS('Адресная программа'!$K$20:$K$4940,'Адресная программа'!$L$20:$L$4940,1,'Адресная программа'!$C$20:$C$4940,B296,'Адресная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программа'!$C$20:$C$4940,B296,'Адресная программа'!$G$20:$G$4940,"Бизнес центр")&gt;(SUMIFS('Адресная программа'!$K$20:$K$4940,'Адресная программа'!$L$20:$L$4940,1,'Адресная программа'!$C$20:$C$4940,B296,'Адресная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программа'!$C$20:$C$4940,B296,'Адресная программа'!$G$20:$G$4940,"Бизнес центр")&gt;(SUMIFS('Адресная программа'!$K$20:$K$4940,'Адресная программа'!$L$20:$L$4940,1,'Адресная программа'!$C$20:$C$4940,B296,'Адресная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программа'!$C$20:$C$4940,B296,'Адресная программа'!$G$20:$G$4940,"Бизнес центр")&gt;(SUMIFS('Адресная программа'!$K$20:$K$4940,'Адресная программа'!$L$20:$L$4940,1,'Адресная программа'!$C$20:$C$4940,B296,'Адресная программа'!$G$20:$G$4940,"Бизнес центр")*'Цены|Скидки'!$B$55-1),'Цены|Скидки'!$C$55,0%))))</f>
        <v/>
      </c>
      <c r="H296" s="156">
        <f>D$12</f>
        <v/>
      </c>
      <c r="I296" s="190">
        <f>IF(D296=0,0,1-J296/F296)</f>
        <v/>
      </c>
      <c r="J296" s="934">
        <f>F296*(1-G296)*(1-H296)*(1-IF($AC$2="РА",$AD$2,0))*(1-IF(OR($AC$3="Доп скидка",$AC$3="Сезонная скидка",$AC$3="Welcome скидка")=TRUE,$AD$3,0))</f>
        <v/>
      </c>
      <c r="K296" s="934">
        <f>ROUND(J296+L296,2)</f>
        <v/>
      </c>
      <c r="L296" s="934">
        <f>J296*БЦ!$AD$4</f>
        <v/>
      </c>
      <c r="M296" s="159">
        <f>(SUMIFS('Адресная программа'!$H$20:$H$4288,'Адресная программа'!$I$20:$I$4288,БЦ_ALL!C296,'Адресная программа'!$C$20:$C$4288,БЦ_ALL!B296,'Адресная программа'!$N$20:$N$4288,1)*$K$7)</f>
        <v/>
      </c>
      <c r="N296" s="938">
        <f>IF(M296=0,0,J296/M296*1000)</f>
        <v/>
      </c>
      <c r="O296" s="389" t="n"/>
    </row>
    <row r="297" ht="14.4" customHeight="1">
      <c r="B297" s="253" t="inlineStr">
        <is>
          <t>Санкт-Петербург</t>
        </is>
      </c>
      <c r="C297" s="264" t="inlineStr">
        <is>
          <t>Нобель</t>
        </is>
      </c>
      <c r="D297" s="303">
        <f>SUMIFS('Адресная программа'!$K$2975:$K$4468,'Адресная программа'!$I$2975:$I$4468,БЦ_ALL!C297,'Адресная программа'!$C$2975:$C$4468,БЦ_ALL!B297,'Адресная программа'!$N$2975:$N$4468,1)</f>
        <v/>
      </c>
      <c r="E297" s="994">
        <f>'Цены|Скидки'!$E$25</f>
        <v/>
      </c>
      <c r="F297" s="942">
        <f>SUM(E297*D297*$K$7/15*$K$9)</f>
        <v/>
      </c>
      <c r="G297" s="156">
        <f>IF(SUMIFS('Адресная программа'!$O$20:$O$4940,'Адресная программа'!$N$20:$N$4940,1,'Адресная программа'!$C$20:$C$4940,B297,'Адресная программа'!$G$20:$G$4940,"Бизнес центр")=SUMIFS('Адресная программа'!$K$20:$K$4940,'Адресная программа'!$L$20:$L$4940,1,'Адресная программа'!$C$20:$C$4940,B297,'Адресная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программа'!$C$20:$C$4940,B297,'Адресная программа'!$G$20:$G$4940,"Бизнес центр")&gt;(SUMIFS('Адресная программа'!$K$20:$K$4940,'Адресная программа'!$L$20:$L$4940,1,'Адресная программа'!$C$20:$C$4940,B297,'Адресная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программа'!$C$20:$C$4940,B297,'Адресная программа'!$G$20:$G$4940,"Бизнес центр")&gt;(SUMIFS('Адресная программа'!$K$20:$K$4940,'Адресная программа'!$L$20:$L$4940,1,'Адресная программа'!$C$20:$C$4940,B297,'Адресная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программа'!$C$20:$C$4940,B297,'Адресная программа'!$G$20:$G$4940,"Бизнес центр")&gt;(SUMIFS('Адресная программа'!$K$20:$K$4940,'Адресная программа'!$L$20:$L$4940,1,'Адресная программа'!$C$20:$C$4940,B297,'Адресная программа'!$G$20:$G$4940,"Бизнес центр")*'Цены|Скидки'!$B$55-1),'Цены|Скидки'!$C$55,0%))))</f>
        <v/>
      </c>
      <c r="H297" s="156">
        <f>D$12</f>
        <v/>
      </c>
      <c r="I297" s="190">
        <f>IF(D297=0,0,1-J297/F297)</f>
        <v/>
      </c>
      <c r="J297" s="934">
        <f>F297*(1-G297)*(1-H297)*(1-IF($AC$2="РА",$AD$2,0))*(1-IF(OR($AC$3="Доп скидка",$AC$3="Сезонная скидка",$AC$3="Welcome скидка")=TRUE,$AD$3,0))</f>
        <v/>
      </c>
      <c r="K297" s="934">
        <f>ROUND(J297+L297,2)</f>
        <v/>
      </c>
      <c r="L297" s="934">
        <f>J297*БЦ!$AD$4</f>
        <v/>
      </c>
      <c r="M297" s="159">
        <f>(SUMIFS('Адресная программа'!$H$20:$H$4288,'Адресная программа'!$I$20:$I$4288,БЦ_ALL!C297,'Адресная программа'!$C$20:$C$4288,БЦ_ALL!B297,'Адресная программа'!$N$20:$N$4288,1)*$K$7)</f>
        <v/>
      </c>
      <c r="N297" s="938">
        <f>IF(M297=0,0,J297/M297*1000)</f>
        <v/>
      </c>
      <c r="O297" s="389" t="n"/>
    </row>
    <row r="298" ht="14.4" customHeight="1">
      <c r="B298" s="253" t="inlineStr">
        <is>
          <t>Санкт-Петербург</t>
        </is>
      </c>
      <c r="C298" s="637" t="inlineStr">
        <is>
          <t>Полюс</t>
        </is>
      </c>
      <c r="D298" s="303">
        <f>SUMIFS('Адресная программа'!$K$2975:$K$4468,'Адресная программа'!$I$2975:$I$4468,БЦ_ALL!C298,'Адресная программа'!$C$2975:$C$4468,БЦ_ALL!B298,'Адресная программа'!$N$2975:$N$4468,1)</f>
        <v/>
      </c>
      <c r="E298" s="994">
        <f>'Цены|Скидки'!$E$25</f>
        <v/>
      </c>
      <c r="F298" s="942">
        <f>SUM(E298*D298*$K$7/15*$K$9)</f>
        <v/>
      </c>
      <c r="G298" s="156">
        <f>IF(SUMIFS('Адресная программа'!$O$20:$O$4940,'Адресная программа'!$N$20:$N$4940,1,'Адресная программа'!$C$20:$C$4940,B298,'Адресная программа'!$G$20:$G$4940,"Бизнес центр")=SUMIFS('Адресная программа'!$K$20:$K$4940,'Адресная программа'!$L$20:$L$4940,1,'Адресная программа'!$C$20:$C$4940,B298,'Адресная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программа'!$C$20:$C$4940,B298,'Адресная программа'!$G$20:$G$4940,"Бизнес центр")&gt;(SUMIFS('Адресная программа'!$K$20:$K$4940,'Адресная программа'!$L$20:$L$4940,1,'Адресная программа'!$C$20:$C$4940,B298,'Адресная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программа'!$C$20:$C$4940,B298,'Адресная программа'!$G$20:$G$4940,"Бизнес центр")&gt;(SUMIFS('Адресная программа'!$K$20:$K$4940,'Адресная программа'!$L$20:$L$4940,1,'Адресная программа'!$C$20:$C$4940,B298,'Адресная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программа'!$C$20:$C$4940,B298,'Адресная программа'!$G$20:$G$4940,"Бизнес центр")&gt;(SUMIFS('Адресная программа'!$K$20:$K$4940,'Адресная программа'!$L$20:$L$4940,1,'Адресная программа'!$C$20:$C$4940,B298,'Адресная программа'!$G$20:$G$4940,"Бизнес центр")*'Цены|Скидки'!$B$55-1),'Цены|Скидки'!$C$55,0%))))</f>
        <v/>
      </c>
      <c r="H298" s="156">
        <f>D$12</f>
        <v/>
      </c>
      <c r="I298" s="190">
        <f>IF(D298=0,0,1-J298/F298)</f>
        <v/>
      </c>
      <c r="J298" s="934">
        <f>F298*(1-G298)*(1-H298)*(1-IF($AC$2="РА",$AD$2,0))*(1-IF(OR($AC$3="Доп скидка",$AC$3="Сезонная скидка",$AC$3="Welcome скидка")=TRUE,$AD$3,0))</f>
        <v/>
      </c>
      <c r="K298" s="934">
        <f>ROUND(J298+L298,2)</f>
        <v/>
      </c>
      <c r="L298" s="934">
        <f>J298*БЦ!$AD$4</f>
        <v/>
      </c>
      <c r="M298" s="159">
        <f>(SUMIFS('Адресная программа'!$H$20:$H$4288,'Адресная программа'!$I$20:$I$4288,БЦ_ALL!C298,'Адресная программа'!$C$20:$C$4288,БЦ_ALL!B298,'Адресная программа'!$N$20:$N$4288,1)*$K$7)</f>
        <v/>
      </c>
      <c r="N298" s="938">
        <f>IF(M298=0,0,J298/M298*1000)</f>
        <v/>
      </c>
      <c r="O298" s="389" t="n"/>
    </row>
    <row r="299" ht="14.4" customHeight="1">
      <c r="B299" s="253" t="inlineStr">
        <is>
          <t>Санкт-Петербург</t>
        </is>
      </c>
      <c r="C299" s="637" t="inlineStr">
        <is>
          <t>СЕНАТОР Б.Морская 22-24</t>
        </is>
      </c>
      <c r="D299" s="303">
        <f>SUMIFS('Адресная программа'!$K$2975:$K$4468,'Адресная программа'!$I$2975:$I$4468,БЦ_ALL!C299,'Адресная программа'!$C$2975:$C$4468,БЦ_ALL!B299,'Адресная программа'!$N$2975:$N$4468,1)</f>
        <v/>
      </c>
      <c r="E299" s="994">
        <f>'Цены|Скидки'!$E$25</f>
        <v/>
      </c>
      <c r="F299" s="942">
        <f>SUM(E299*D299*$K$7/15*$K$9)</f>
        <v/>
      </c>
      <c r="G299" s="156">
        <f>IF(SUMIFS('Адресная программа'!$O$20:$O$4940,'Адресная программа'!$N$20:$N$4940,1,'Адресная программа'!$C$20:$C$4940,B299,'Адресная программа'!$G$20:$G$4940,"Бизнес центр")=SUMIFS('Адресная программа'!$K$20:$K$4940,'Адресная программа'!$L$20:$L$4940,1,'Адресная программа'!$C$20:$C$4940,B299,'Адресная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программа'!$C$20:$C$4940,B299,'Адресная программа'!$G$20:$G$4940,"Бизнес центр")&gt;(SUMIFS('Адресная программа'!$K$20:$K$4940,'Адресная программа'!$L$20:$L$4940,1,'Адресная программа'!$C$20:$C$4940,B299,'Адресная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программа'!$C$20:$C$4940,B299,'Адресная программа'!$G$20:$G$4940,"Бизнес центр")&gt;(SUMIFS('Адресная программа'!$K$20:$K$4940,'Адресная программа'!$L$20:$L$4940,1,'Адресная программа'!$C$20:$C$4940,B299,'Адресная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программа'!$C$20:$C$4940,B299,'Адресная программа'!$G$20:$G$4940,"Бизнес центр")&gt;(SUMIFS('Адресная программа'!$K$20:$K$4940,'Адресная программа'!$L$20:$L$4940,1,'Адресная программа'!$C$20:$C$4940,B299,'Адресная программа'!$G$20:$G$4940,"Бизнес центр")*'Цены|Скидки'!$B$55-1),'Цены|Скидки'!$C$55,0%))))</f>
        <v/>
      </c>
      <c r="H299" s="156">
        <f>D$12</f>
        <v/>
      </c>
      <c r="I299" s="190">
        <f>IF(D299=0,0,1-J299/F299)</f>
        <v/>
      </c>
      <c r="J299" s="934">
        <f>F299*(1-G299)*(1-H299)*(1-IF($AC$2="РА",$AD$2,0))*(1-IF(OR($AC$3="Доп скидка",$AC$3="Сезонная скидка",$AC$3="Welcome скидка")=TRUE,$AD$3,0))</f>
        <v/>
      </c>
      <c r="K299" s="934">
        <f>ROUND(J299+L299,2)</f>
        <v/>
      </c>
      <c r="L299" s="934">
        <f>J299*БЦ!$AD$4</f>
        <v/>
      </c>
      <c r="M299" s="159">
        <f>(SUMIFS('Адресная программа'!$H$20:$H$4288,'Адресная программа'!$I$20:$I$4288,БЦ_ALL!C299,'Адресная программа'!$C$20:$C$4288,БЦ_ALL!B299,'Адресная программа'!$N$20:$N$4288,1)*$K$7)</f>
        <v/>
      </c>
      <c r="N299" s="938">
        <f>IF(M299=0,0,J299/M299*1000)</f>
        <v/>
      </c>
      <c r="O299" s="389" t="n"/>
    </row>
    <row r="300" ht="14.4" customHeight="1">
      <c r="B300" s="253" t="inlineStr">
        <is>
          <t>Санкт-Петербург</t>
        </is>
      </c>
      <c r="C300" s="264" t="inlineStr">
        <is>
          <t>СЕНАТОР Невский 38</t>
        </is>
      </c>
      <c r="D300" s="303">
        <f>SUMIFS('Адресная программа'!$K$2975:$K$4468,'Адресная программа'!$I$2975:$I$4468,БЦ_ALL!C300,'Адресная программа'!$C$2975:$C$4468,БЦ_ALL!B300,'Адресная программа'!$N$2975:$N$4468,1)</f>
        <v/>
      </c>
      <c r="E300" s="994">
        <f>'Цены|Скидки'!$E$25</f>
        <v/>
      </c>
      <c r="F300" s="942">
        <f>SUM(E300*D300*$K$7/15*$K$9)</f>
        <v/>
      </c>
      <c r="G300" s="156">
        <f>IF(SUMIFS('Адресная программа'!$O$20:$O$4940,'Адресная программа'!$N$20:$N$4940,1,'Адресная программа'!$C$20:$C$4940,B300,'Адресная программа'!$G$20:$G$4940,"Бизнес центр")=SUMIFS('Адресная программа'!$K$20:$K$4940,'Адресная программа'!$L$20:$L$4940,1,'Адресная программа'!$C$20:$C$4940,B300,'Адресная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программа'!$C$20:$C$4940,B300,'Адресная программа'!$G$20:$G$4940,"Бизнес центр")&gt;(SUMIFS('Адресная программа'!$K$20:$K$4940,'Адресная программа'!$L$20:$L$4940,1,'Адресная программа'!$C$20:$C$4940,B300,'Адресная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программа'!$C$20:$C$4940,B300,'Адресная программа'!$G$20:$G$4940,"Бизнес центр")&gt;(SUMIFS('Адресная программа'!$K$20:$K$4940,'Адресная программа'!$L$20:$L$4940,1,'Адресная программа'!$C$20:$C$4940,B300,'Адресная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программа'!$C$20:$C$4940,B300,'Адресная программа'!$G$20:$G$4940,"Бизнес центр")&gt;(SUMIFS('Адресная программа'!$K$20:$K$4940,'Адресная программа'!$L$20:$L$4940,1,'Адресная программа'!$C$20:$C$4940,B300,'Адресная программа'!$G$20:$G$4940,"Бизнес центр")*'Цены|Скидки'!$B$55-1),'Цены|Скидки'!$C$55,0%))))</f>
        <v/>
      </c>
      <c r="H300" s="156">
        <f>D$12</f>
        <v/>
      </c>
      <c r="I300" s="190">
        <f>IF(D300=0,0,1-J300/F300)</f>
        <v/>
      </c>
      <c r="J300" s="934">
        <f>F300*(1-G300)*(1-H300)*(1-IF($AC$2="РА",$AD$2,0))*(1-IF(OR($AC$3="Доп скидка",$AC$3="Сезонная скидка",$AC$3="Welcome скидка")=TRUE,$AD$3,0))</f>
        <v/>
      </c>
      <c r="K300" s="934">
        <f>ROUND(J300+L300,2)</f>
        <v/>
      </c>
      <c r="L300" s="934">
        <f>J300*БЦ!$AD$4</f>
        <v/>
      </c>
      <c r="M300" s="159">
        <f>(SUMIFS('Адресная программа'!$H$20:$H$4288,'Адресная программа'!$I$20:$I$4288,БЦ_ALL!C300,'Адресная программа'!$C$20:$C$4288,БЦ_ALL!B300,'Адресная программа'!$N$20:$N$4288,1)*$K$7)</f>
        <v/>
      </c>
      <c r="N300" s="938">
        <f>IF(M300=0,0,J300/M300*1000)</f>
        <v/>
      </c>
      <c r="O300" s="389" t="n"/>
    </row>
    <row r="301" ht="14.4" customHeight="1">
      <c r="B301" s="253" t="inlineStr">
        <is>
          <t>Санкт-Петербург</t>
        </is>
      </c>
      <c r="C301" s="264" t="inlineStr">
        <is>
          <t>СЕНАТОР на Мойке</t>
        </is>
      </c>
      <c r="D301" s="303">
        <f>SUMIFS('Адресная программа'!$K$2975:$K$4468,'Адресная программа'!$I$2975:$I$4468,БЦ_ALL!C301,'Адресная программа'!$C$2975:$C$4468,БЦ_ALL!B301,'Адресная программа'!$N$2975:$N$4468,1)</f>
        <v/>
      </c>
      <c r="E301" s="994">
        <f>'Цены|Скидки'!$E$25</f>
        <v/>
      </c>
      <c r="F301" s="942">
        <f>SUM(E301*D301*$K$7/15*$K$9)</f>
        <v/>
      </c>
      <c r="G301" s="156">
        <f>IF(SUMIFS('Адресная программа'!$O$20:$O$4940,'Адресная программа'!$N$20:$N$4940,1,'Адресная программа'!$C$20:$C$4940,B301,'Адресная программа'!$G$20:$G$4940,"Бизнес центр")=SUMIFS('Адресная программа'!$K$20:$K$4940,'Адресная программа'!$L$20:$L$4940,1,'Адресная программа'!$C$20:$C$4940,B301,'Адресная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программа'!$C$20:$C$4940,B301,'Адресная программа'!$G$20:$G$4940,"Бизнес центр")&gt;(SUMIFS('Адресная программа'!$K$20:$K$4940,'Адресная программа'!$L$20:$L$4940,1,'Адресная программа'!$C$20:$C$4940,B301,'Адресная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программа'!$C$20:$C$4940,B301,'Адресная программа'!$G$20:$G$4940,"Бизнес центр")&gt;(SUMIFS('Адресная программа'!$K$20:$K$4940,'Адресная программа'!$L$20:$L$4940,1,'Адресная программа'!$C$20:$C$4940,B301,'Адресная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программа'!$C$20:$C$4940,B301,'Адресная программа'!$G$20:$G$4940,"Бизнес центр")&gt;(SUMIFS('Адресная программа'!$K$20:$K$4940,'Адресная программа'!$L$20:$L$4940,1,'Адресная программа'!$C$20:$C$4940,B301,'Адресная программа'!$G$20:$G$4940,"Бизнес центр")*'Цены|Скидки'!$B$55-1),'Цены|Скидки'!$C$55,0%))))</f>
        <v/>
      </c>
      <c r="H301" s="156">
        <f>D$12</f>
        <v/>
      </c>
      <c r="I301" s="190">
        <f>IF(D301=0,0,1-J301/F301)</f>
        <v/>
      </c>
      <c r="J301" s="934">
        <f>F301*(1-G301)*(1-H301)*(1-IF($AC$2="РА",$AD$2,0))*(1-IF(OR($AC$3="Доп скидка",$AC$3="Сезонная скидка",$AC$3="Welcome скидка")=TRUE,$AD$3,0))</f>
        <v/>
      </c>
      <c r="K301" s="934">
        <f>ROUND(J301+L301,2)</f>
        <v/>
      </c>
      <c r="L301" s="934">
        <f>J301*БЦ!$AD$4</f>
        <v/>
      </c>
      <c r="M301" s="159">
        <f>(SUMIFS('Адресная программа'!$H$20:$H$4288,'Адресная программа'!$I$20:$I$4288,БЦ_ALL!C301,'Адресная программа'!$C$20:$C$4288,БЦ_ALL!B301,'Адресная программа'!$N$20:$N$4288,1)*$K$7)</f>
        <v/>
      </c>
      <c r="N301" s="938">
        <f>IF(M301=0,0,J301/M301*1000)</f>
        <v/>
      </c>
      <c r="O301" s="389" t="n"/>
    </row>
    <row r="302" ht="14.4" customHeight="1">
      <c r="B302" s="253" t="inlineStr">
        <is>
          <t>Санкт-Петербург</t>
        </is>
      </c>
      <c r="C302" s="264" t="inlineStr">
        <is>
          <t>СЕНАТОР на Жуковского</t>
        </is>
      </c>
      <c r="D302" s="303">
        <f>SUMIFS('Адресная программа'!$K$2975:$K$4468,'Адресная программа'!$I$2975:$I$4468,БЦ_ALL!C302,'Адресная программа'!$C$2975:$C$4468,БЦ_ALL!B302,'Адресная программа'!$N$2975:$N$4468,1)</f>
        <v/>
      </c>
      <c r="E302" s="994">
        <f>'Цены|Скидки'!$E$25</f>
        <v/>
      </c>
      <c r="F302" s="942">
        <f>SUM(E302*D302*$K$7/15*$K$9)</f>
        <v/>
      </c>
      <c r="G302" s="156">
        <f>IF(SUMIFS('Адресная программа'!$O$20:$O$4940,'Адресная программа'!$N$20:$N$4940,1,'Адресная программа'!$C$20:$C$4940,B302,'Адресная программа'!$G$20:$G$4940,"Бизнес центр")=SUMIFS('Адресная программа'!$K$20:$K$4940,'Адресная программа'!$L$20:$L$4940,1,'Адресная программа'!$C$20:$C$4940,B302,'Адресная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программа'!$C$20:$C$4940,B302,'Адресная программа'!$G$20:$G$4940,"Бизнес центр")&gt;(SUMIFS('Адресная программа'!$K$20:$K$4940,'Адресная программа'!$L$20:$L$4940,1,'Адресная программа'!$C$20:$C$4940,B302,'Адресная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программа'!$C$20:$C$4940,B302,'Адресная программа'!$G$20:$G$4940,"Бизнес центр")&gt;(SUMIFS('Адресная программа'!$K$20:$K$4940,'Адресная программа'!$L$20:$L$4940,1,'Адресная программа'!$C$20:$C$4940,B302,'Адресная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программа'!$C$20:$C$4940,B302,'Адресная программа'!$G$20:$G$4940,"Бизнес центр")&gt;(SUMIFS('Адресная программа'!$K$20:$K$4940,'Адресная программа'!$L$20:$L$4940,1,'Адресная программа'!$C$20:$C$4940,B302,'Адресная программа'!$G$20:$G$4940,"Бизнес центр")*'Цены|Скидки'!$B$55-1),'Цены|Скидки'!$C$55,0%))))</f>
        <v/>
      </c>
      <c r="H302" s="156">
        <f>D$12</f>
        <v/>
      </c>
      <c r="I302" s="190">
        <f>IF(D302=0,0,1-J302/F302)</f>
        <v/>
      </c>
      <c r="J302" s="934">
        <f>F302*(1-G302)*(1-H302)*(1-IF($AC$2="РА",$AD$2,0))*(1-IF(OR($AC$3="Доп скидка",$AC$3="Сезонная скидка",$AC$3="Welcome скидка")=TRUE,$AD$3,0))</f>
        <v/>
      </c>
      <c r="K302" s="934">
        <f>ROUND(J302+L302,2)</f>
        <v/>
      </c>
      <c r="L302" s="934">
        <f>J302*БЦ!$AD$4</f>
        <v/>
      </c>
      <c r="M302" s="159">
        <f>(SUMIFS('Адресная программа'!$H$20:$H$4288,'Адресная программа'!$I$20:$I$4288,БЦ_ALL!C302,'Адресная программа'!$C$20:$C$4288,БЦ_ALL!B302,'Адресная программа'!$N$20:$N$4288,1)*$K$7)</f>
        <v/>
      </c>
      <c r="N302" s="938">
        <f>IF(M302=0,0,J302/M302*1000)</f>
        <v/>
      </c>
      <c r="O302" s="389" t="n"/>
    </row>
    <row r="303" ht="14.4" customHeight="1">
      <c r="B303" s="253" t="inlineStr">
        <is>
          <t>Санкт-Петербург</t>
        </is>
      </c>
      <c r="C303" s="264" t="inlineStr">
        <is>
          <t>65_СЕНАТОР на Пушкарской</t>
        </is>
      </c>
      <c r="D303" s="303">
        <f>SUMIFS('Адресная программа'!$K$2975:$K$4468,'Адресная программа'!$I$2975:$I$4468,БЦ_ALL!C303,'Адресная программа'!$C$2975:$C$4468,БЦ_ALL!B303,'Адресная программа'!$N$2975:$N$4468,1)</f>
        <v/>
      </c>
      <c r="E303" s="994">
        <f>'Цены|Скидки'!$E$25</f>
        <v/>
      </c>
      <c r="F303" s="942">
        <f>SUM(E303*D303*$K$7/15*$K$9)</f>
        <v/>
      </c>
      <c r="G303" s="156">
        <f>IF(SUMIFS('Адресная программа'!$O$20:$O$4940,'Адресная программа'!$N$20:$N$4940,1,'Адресная программа'!$C$20:$C$4940,B303,'Адресная программа'!$G$20:$G$4940,"Бизнес центр")=SUMIFS('Адресная программа'!$K$20:$K$4940,'Адресная программа'!$L$20:$L$4940,1,'Адресная программа'!$C$20:$C$4940,B303,'Адресная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программа'!$C$20:$C$4940,B303,'Адресная программа'!$G$20:$G$4940,"Бизнес центр")&gt;(SUMIFS('Адресная программа'!$K$20:$K$4940,'Адресная программа'!$L$20:$L$4940,1,'Адресная программа'!$C$20:$C$4940,B303,'Адресная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программа'!$C$20:$C$4940,B303,'Адресная программа'!$G$20:$G$4940,"Бизнес центр")&gt;(SUMIFS('Адресная программа'!$K$20:$K$4940,'Адресная программа'!$L$20:$L$4940,1,'Адресная программа'!$C$20:$C$4940,B303,'Адресная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программа'!$C$20:$C$4940,B303,'Адресная программа'!$G$20:$G$4940,"Бизнес центр")&gt;(SUMIFS('Адресная программа'!$K$20:$K$4940,'Адресная программа'!$L$20:$L$4940,1,'Адресная программа'!$C$20:$C$4940,B303,'Адресная программа'!$G$20:$G$4940,"Бизнес центр")*'Цены|Скидки'!$B$55-1),'Цены|Скидки'!$C$55,0%))))</f>
        <v/>
      </c>
      <c r="H303" s="156">
        <f>D$12</f>
        <v/>
      </c>
      <c r="I303" s="190">
        <f>IF(D303=0,0,1-J303/F303)</f>
        <v/>
      </c>
      <c r="J303" s="934">
        <f>F303*(1-G303)*(1-H303)*(1-IF($AC$2="РА",$AD$2,0))*(1-IF(OR($AC$3="Доп скидка",$AC$3="Сезонная скидка",$AC$3="Welcome скидка")=TRUE,$AD$3,0))</f>
        <v/>
      </c>
      <c r="K303" s="934">
        <f>ROUND(J303+L303,2)</f>
        <v/>
      </c>
      <c r="L303" s="934">
        <f>J303*БЦ!$AD$4</f>
        <v/>
      </c>
      <c r="M303" s="159">
        <f>(SUMIFS('Адресная программа'!$H$20:$H$4288,'Адресная программа'!$I$20:$I$4288,БЦ_ALL!C303,'Адресная программа'!$C$20:$C$4288,БЦ_ALL!B303,'Адресная программа'!$N$20:$N$4288,1)*$K$7)</f>
        <v/>
      </c>
      <c r="N303" s="938">
        <f>IF(M303=0,0,J303/M303*1000)</f>
        <v/>
      </c>
      <c r="O303" s="389" t="n"/>
    </row>
    <row r="304" ht="14.4" customHeight="1">
      <c r="B304" s="253" t="inlineStr">
        <is>
          <t>Санкт-Петербург</t>
        </is>
      </c>
      <c r="C304" s="264" t="inlineStr">
        <is>
          <t>Синоп</t>
        </is>
      </c>
      <c r="D304" s="303">
        <f>SUMIFS('Адресная программа'!$K$2975:$K$4468,'Адресная программа'!$I$2975:$I$4468,БЦ_ALL!C304,'Адресная программа'!$C$2975:$C$4468,БЦ_ALL!B304,'Адресная программа'!$N$2975:$N$4468,1)</f>
        <v/>
      </c>
      <c r="E304" s="994">
        <f>'Цены|Скидки'!$E$25</f>
        <v/>
      </c>
      <c r="F304" s="942">
        <f>SUM(E304*D304*$K$7/15*$K$9)</f>
        <v/>
      </c>
      <c r="G304" s="156">
        <f>IF(SUMIFS('Адресная программа'!$O$20:$O$4940,'Адресная программа'!$N$20:$N$4940,1,'Адресная программа'!$C$20:$C$4940,B304,'Адресная программа'!$G$20:$G$4940,"Бизнес центр")=SUMIFS('Адресная программа'!$K$20:$K$4940,'Адресная программа'!$L$20:$L$4940,1,'Адресная программа'!$C$20:$C$4940,B304,'Адресная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программа'!$C$20:$C$4940,B304,'Адресная программа'!$G$20:$G$4940,"Бизнес центр")&gt;(SUMIFS('Адресная программа'!$K$20:$K$4940,'Адресная программа'!$L$20:$L$4940,1,'Адресная программа'!$C$20:$C$4940,B304,'Адресная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программа'!$C$20:$C$4940,B304,'Адресная программа'!$G$20:$G$4940,"Бизнес центр")&gt;(SUMIFS('Адресная программа'!$K$20:$K$4940,'Адресная программа'!$L$20:$L$4940,1,'Адресная программа'!$C$20:$C$4940,B304,'Адресная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программа'!$C$20:$C$4940,B304,'Адресная программа'!$G$20:$G$4940,"Бизнес центр")&gt;(SUMIFS('Адресная программа'!$K$20:$K$4940,'Адресная программа'!$L$20:$L$4940,1,'Адресная программа'!$C$20:$C$4940,B304,'Адресная программа'!$G$20:$G$4940,"Бизнес центр")*'Цены|Скидки'!$B$55-1),'Цены|Скидки'!$C$55,0%))))</f>
        <v/>
      </c>
      <c r="H304" s="156">
        <f>D$12</f>
        <v/>
      </c>
      <c r="I304" s="190">
        <f>IF(D304=0,0,1-J304/F304)</f>
        <v/>
      </c>
      <c r="J304" s="934">
        <f>F304*(1-G304)*(1-H304)*(1-IF($AC$2="РА",$AD$2,0))*(1-IF(OR($AC$3="Доп скидка",$AC$3="Сезонная скидка",$AC$3="Welcome скидка")=TRUE,$AD$3,0))</f>
        <v/>
      </c>
      <c r="K304" s="934">
        <f>ROUND(J304+L304,2)</f>
        <v/>
      </c>
      <c r="L304" s="934">
        <f>J304*БЦ!$AD$4</f>
        <v/>
      </c>
      <c r="M304" s="159">
        <f>(SUMIFS('Адресная программа'!$H$20:$H$4288,'Адресная программа'!$I$20:$I$4288,БЦ_ALL!C304,'Адресная программа'!$C$20:$C$4288,БЦ_ALL!B304,'Адресная программа'!$N$20:$N$4288,1)*$K$7)</f>
        <v/>
      </c>
      <c r="N304" s="938">
        <f>IF(M304=0,0,J304/M304*1000)</f>
        <v/>
      </c>
      <c r="O304" s="389" t="n"/>
    </row>
    <row r="305" ht="14.4" customHeight="1">
      <c r="B305" s="253" t="inlineStr">
        <is>
          <t>Санкт-Петербург</t>
        </is>
      </c>
      <c r="C305" s="264" t="inlineStr">
        <is>
          <t>СЕНАТОР на Малом ПС</t>
        </is>
      </c>
      <c r="D305" s="303">
        <f>SUMIFS('Адресная программа'!$K$2975:$K$4468,'Адресная программа'!$I$2975:$I$4468,БЦ_ALL!C305,'Адресная программа'!$C$2975:$C$4468,БЦ_ALL!B305,'Адресная программа'!$N$2975:$N$4468,1)</f>
        <v/>
      </c>
      <c r="E305" s="994">
        <f>'Цены|Скидки'!$E$25</f>
        <v/>
      </c>
      <c r="F305" s="942">
        <f>SUM(E305*D305*$K$7/15*$K$9)</f>
        <v/>
      </c>
      <c r="G305" s="156">
        <f>IF(SUMIFS('Адресная программа'!$O$20:$O$4940,'Адресная программа'!$N$20:$N$4940,1,'Адресная программа'!$C$20:$C$4940,B305,'Адресная программа'!$G$20:$G$4940,"Бизнес центр")=SUMIFS('Адресная программа'!$K$20:$K$4940,'Адресная программа'!$L$20:$L$4940,1,'Адресная программа'!$C$20:$C$4940,B305,'Адресная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программа'!$C$20:$C$4940,B305,'Адресная программа'!$G$20:$G$4940,"Бизнес центр")&gt;(SUMIFS('Адресная программа'!$K$20:$K$4940,'Адресная программа'!$L$20:$L$4940,1,'Адресная программа'!$C$20:$C$4940,B305,'Адресная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программа'!$C$20:$C$4940,B305,'Адресная программа'!$G$20:$G$4940,"Бизнес центр")&gt;(SUMIFS('Адресная программа'!$K$20:$K$4940,'Адресная программа'!$L$20:$L$4940,1,'Адресная программа'!$C$20:$C$4940,B305,'Адресная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программа'!$C$20:$C$4940,B305,'Адресная программа'!$G$20:$G$4940,"Бизнес центр")&gt;(SUMIFS('Адресная программа'!$K$20:$K$4940,'Адресная программа'!$L$20:$L$4940,1,'Адресная программа'!$C$20:$C$4940,B305,'Адресная программа'!$G$20:$G$4940,"Бизнес центр")*'Цены|Скидки'!$B$55-1),'Цены|Скидки'!$C$55,0%))))</f>
        <v/>
      </c>
      <c r="H305" s="156">
        <f>D$12</f>
        <v/>
      </c>
      <c r="I305" s="190">
        <f>IF(D305=0,0,1-J305/F305)</f>
        <v/>
      </c>
      <c r="J305" s="934">
        <f>F305*(1-G305)*(1-H305)*(1-IF($AC$2="РА",$AD$2,0))*(1-IF(OR($AC$3="Доп скидка",$AC$3="Сезонная скидка",$AC$3="Welcome скидка")=TRUE,$AD$3,0))</f>
        <v/>
      </c>
      <c r="K305" s="934">
        <f>ROUND(J305+L305,2)</f>
        <v/>
      </c>
      <c r="L305" s="934">
        <f>J305*БЦ!$AD$4</f>
        <v/>
      </c>
      <c r="M305" s="159">
        <f>(SUMIFS('Адресная программа'!$H$20:$H$4288,'Адресная программа'!$I$20:$I$4288,БЦ_ALL!C305,'Адресная программа'!$C$20:$C$4288,БЦ_ALL!B305,'Адресная программа'!$N$20:$N$4288,1)*$K$7)</f>
        <v/>
      </c>
      <c r="N305" s="938">
        <f>IF(M305=0,0,J305/M305*1000)</f>
        <v/>
      </c>
      <c r="O305" s="389" t="n"/>
    </row>
    <row r="306" ht="14.4" customHeight="1">
      <c r="B306" s="253" t="inlineStr">
        <is>
          <t>Санкт-Петербург</t>
        </is>
      </c>
      <c r="C306" s="264" t="inlineStr">
        <is>
          <t>СЕНАТОР на Чайковского</t>
        </is>
      </c>
      <c r="D306" s="303">
        <f>SUMIFS('Адресная программа'!$K$2975:$K$4468,'Адресная программа'!$I$2975:$I$4468,БЦ_ALL!C306,'Адресная программа'!$C$2975:$C$4468,БЦ_ALL!B306,'Адресная программа'!$N$2975:$N$4468,1)</f>
        <v/>
      </c>
      <c r="E306" s="994">
        <f>'Цены|Скидки'!$E$25</f>
        <v/>
      </c>
      <c r="F306" s="942">
        <f>SUM(E306*D306*$K$7/15*$K$9)</f>
        <v/>
      </c>
      <c r="G306" s="156">
        <f>IF(SUMIFS('Адресная программа'!$O$20:$O$4940,'Адресная программа'!$N$20:$N$4940,1,'Адресная программа'!$C$20:$C$4940,B306,'Адресная программа'!$G$20:$G$4940,"Бизнес центр")=SUMIFS('Адресная программа'!$K$20:$K$4940,'Адресная программа'!$L$20:$L$4940,1,'Адресная программа'!$C$20:$C$4940,B306,'Адресная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программа'!$C$20:$C$4940,B306,'Адресная программа'!$G$20:$G$4940,"Бизнес центр")&gt;(SUMIFS('Адресная программа'!$K$20:$K$4940,'Адресная программа'!$L$20:$L$4940,1,'Адресная программа'!$C$20:$C$4940,B306,'Адресная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программа'!$C$20:$C$4940,B306,'Адресная программа'!$G$20:$G$4940,"Бизнес центр")&gt;(SUMIFS('Адресная программа'!$K$20:$K$4940,'Адресная программа'!$L$20:$L$4940,1,'Адресная программа'!$C$20:$C$4940,B306,'Адресная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программа'!$C$20:$C$4940,B306,'Адресная программа'!$G$20:$G$4940,"Бизнес центр")&gt;(SUMIFS('Адресная программа'!$K$20:$K$4940,'Адресная программа'!$L$20:$L$4940,1,'Адресная программа'!$C$20:$C$4940,B306,'Адресная программа'!$G$20:$G$4940,"Бизнес центр")*'Цены|Скидки'!$B$55-1),'Цены|Скидки'!$C$55,0%))))</f>
        <v/>
      </c>
      <c r="H306" s="156">
        <f>D$12</f>
        <v/>
      </c>
      <c r="I306" s="190">
        <f>IF(D306=0,0,1-J306/F306)</f>
        <v/>
      </c>
      <c r="J306" s="934">
        <f>F306*(1-G306)*(1-H306)*(1-IF($AC$2="РА",$AD$2,0))*(1-IF(OR($AC$3="Доп скидка",$AC$3="Сезонная скидка",$AC$3="Welcome скидка")=TRUE,$AD$3,0))</f>
        <v/>
      </c>
      <c r="K306" s="934">
        <f>ROUND(J306+L306,2)</f>
        <v/>
      </c>
      <c r="L306" s="934">
        <f>J306*БЦ!$AD$4</f>
        <v/>
      </c>
      <c r="M306" s="159">
        <f>(SUMIFS('Адресная программа'!$H$20:$H$4288,'Адресная программа'!$I$20:$I$4288,БЦ_ALL!C306,'Адресная программа'!$C$20:$C$4288,БЦ_ALL!B306,'Адресная программа'!$N$20:$N$4288,1)*$K$7)</f>
        <v/>
      </c>
      <c r="N306" s="938">
        <f>IF(M306=0,0,J306/M306*1000)</f>
        <v/>
      </c>
      <c r="O306" s="389" t="n"/>
    </row>
    <row r="307" ht="14.4" customHeight="1">
      <c r="B307" s="253" t="inlineStr">
        <is>
          <t>Санкт-Петербург</t>
        </is>
      </c>
      <c r="C307" s="264" t="inlineStr">
        <is>
          <t>Ренессанс Pravda</t>
        </is>
      </c>
      <c r="D307" s="303">
        <f>SUMIFS('Адресная программа'!$K$2975:$K$4468,'Адресная программа'!$I$2975:$I$4468,БЦ_ALL!C307,'Адресная программа'!$C$2975:$C$4468,БЦ_ALL!B307,'Адресная программа'!$N$2975:$N$4468,1)</f>
        <v/>
      </c>
      <c r="E307" s="994">
        <f>'Цены|Скидки'!$E$25</f>
        <v/>
      </c>
      <c r="F307" s="942">
        <f>SUM(E307*D307*$K$7/15*$K$9)</f>
        <v/>
      </c>
      <c r="G307" s="156">
        <f>IF(SUMIFS('Адресная программа'!$O$20:$O$4940,'Адресная программа'!$N$20:$N$4940,1,'Адресная программа'!$C$20:$C$4940,B307,'Адресная программа'!$G$20:$G$4940,"Бизнес центр")=SUMIFS('Адресная программа'!$K$20:$K$4940,'Адресная программа'!$L$20:$L$4940,1,'Адресная программа'!$C$20:$C$4940,B307,'Адресная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программа'!$C$20:$C$4940,B307,'Адресная программа'!$G$20:$G$4940,"Бизнес центр")&gt;(SUMIFS('Адресная программа'!$K$20:$K$4940,'Адресная программа'!$L$20:$L$4940,1,'Адресная программа'!$C$20:$C$4940,B307,'Адресная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программа'!$C$20:$C$4940,B307,'Адресная программа'!$G$20:$G$4940,"Бизнес центр")&gt;(SUMIFS('Адресная программа'!$K$20:$K$4940,'Адресная программа'!$L$20:$L$4940,1,'Адресная программа'!$C$20:$C$4940,B307,'Адресная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программа'!$C$20:$C$4940,B307,'Адресная программа'!$G$20:$G$4940,"Бизнес центр")&gt;(SUMIFS('Адресная программа'!$K$20:$K$4940,'Адресная программа'!$L$20:$L$4940,1,'Адресная программа'!$C$20:$C$4940,B307,'Адресная программа'!$G$20:$G$4940,"Бизнес центр")*'Цены|Скидки'!$B$55-1),'Цены|Скидки'!$C$55,0%))))</f>
        <v/>
      </c>
      <c r="H307" s="156">
        <f>D$12</f>
        <v/>
      </c>
      <c r="I307" s="190">
        <f>IF(D307=0,0,1-J307/F307)</f>
        <v/>
      </c>
      <c r="J307" s="934">
        <f>F307*(1-G307)*(1-H307)*(1-IF($AC$2="РА",$AD$2,0))*(1-IF(OR($AC$3="Доп скидка",$AC$3="Сезонная скидка",$AC$3="Welcome скидка")=TRUE,$AD$3,0))</f>
        <v/>
      </c>
      <c r="K307" s="934">
        <f>ROUND(J307+L307,2)</f>
        <v/>
      </c>
      <c r="L307" s="934">
        <f>J307*БЦ!$AD$4</f>
        <v/>
      </c>
      <c r="M307" s="159">
        <f>(SUMIFS('Адресная программа'!$H$20:$H$4288,'Адресная программа'!$I$20:$I$4288,БЦ_ALL!C307,'Адресная программа'!$C$20:$C$4288,БЦ_ALL!B307,'Адресная программа'!$N$20:$N$4288,1)*$K$7)</f>
        <v/>
      </c>
      <c r="N307" s="938">
        <f>IF(M307=0,0,J307/M307*1000)</f>
        <v/>
      </c>
      <c r="O307" s="389" t="n"/>
    </row>
    <row r="308" ht="14.4" customHeight="1">
      <c r="B308" s="253" t="inlineStr">
        <is>
          <t>Санкт-Петербург</t>
        </is>
      </c>
      <c r="C308" s="264" t="inlineStr">
        <is>
          <t>65_Авеню</t>
        </is>
      </c>
      <c r="D308" s="303">
        <f>SUMIFS('Адресная программа'!$K$2975:$K$4468,'Адресная программа'!$I$2975:$I$4468,БЦ_ALL!C308,'Адресная программа'!$C$2975:$C$4468,БЦ_ALL!B308,'Адресная программа'!$N$2975:$N$4468,1)</f>
        <v/>
      </c>
      <c r="E308" s="994">
        <f>'Цены|Скидки'!$E$25</f>
        <v/>
      </c>
      <c r="F308" s="942">
        <f>SUM(E308*D308*$K$7/15*$K$9)</f>
        <v/>
      </c>
      <c r="G308" s="156">
        <f>IF(SUMIFS('Адресная программа'!$O$20:$O$4940,'Адресная программа'!$N$20:$N$4940,1,'Адресная программа'!$C$20:$C$4940,B308,'Адресная программа'!$G$20:$G$4940,"Бизнес центр")=SUMIFS('Адресная программа'!$K$20:$K$4940,'Адресная программа'!$L$20:$L$4940,1,'Адресная программа'!$C$20:$C$4940,B308,'Адресная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программа'!$C$20:$C$4940,B308,'Адресная программа'!$G$20:$G$4940,"Бизнес центр")&gt;(SUMIFS('Адресная программа'!$K$20:$K$4940,'Адресная программа'!$L$20:$L$4940,1,'Адресная программа'!$C$20:$C$4940,B308,'Адресная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программа'!$C$20:$C$4940,B308,'Адресная программа'!$G$20:$G$4940,"Бизнес центр")&gt;(SUMIFS('Адресная программа'!$K$20:$K$4940,'Адресная программа'!$L$20:$L$4940,1,'Адресная программа'!$C$20:$C$4940,B308,'Адресная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программа'!$C$20:$C$4940,B308,'Адресная программа'!$G$20:$G$4940,"Бизнес центр")&gt;(SUMIFS('Адресная программа'!$K$20:$K$4940,'Адресная программа'!$L$20:$L$4940,1,'Адресная программа'!$C$20:$C$4940,B308,'Адресная программа'!$G$20:$G$4940,"Бизнес центр")*'Цены|Скидки'!$B$55-1),'Цены|Скидки'!$C$55,0%))))</f>
        <v/>
      </c>
      <c r="H308" s="156">
        <f>D$12</f>
        <v/>
      </c>
      <c r="I308" s="190">
        <f>IF(D308=0,0,1-J308/F308)</f>
        <v/>
      </c>
      <c r="J308" s="934">
        <f>F308*(1-G308)*(1-H308)*(1-IF($AC$2="РА",$AD$2,0))*(1-IF(OR($AC$3="Доп скидка",$AC$3="Сезонная скидка",$AC$3="Welcome скидка")=TRUE,$AD$3,0))</f>
        <v/>
      </c>
      <c r="K308" s="934">
        <f>ROUND(J308+L308,2)</f>
        <v/>
      </c>
      <c r="L308" s="934">
        <f>J308*БЦ!$AD$4</f>
        <v/>
      </c>
      <c r="M308" s="159">
        <f>(SUMIFS('Адресная программа'!$H$20:$H$4288,'Адресная программа'!$I$20:$I$4288,БЦ_ALL!C308,'Адресная программа'!$C$20:$C$4288,БЦ_ALL!B308,'Адресная программа'!$N$20:$N$4288,1)*$K$7)</f>
        <v/>
      </c>
      <c r="N308" s="938">
        <f>IF(M308=0,0,J308/M308*1000)</f>
        <v/>
      </c>
      <c r="O308" s="389" t="n"/>
    </row>
    <row r="309" ht="14.4" customHeight="1">
      <c r="B309" s="253" t="inlineStr">
        <is>
          <t>Санкт-Петербург</t>
        </is>
      </c>
      <c r="C309" s="264" t="inlineStr">
        <is>
          <t>65_СЕНАТОР на ВО 7-я лин</t>
        </is>
      </c>
      <c r="D309" s="303">
        <f>SUMIFS('Адресная программа'!$K$2975:$K$4468,'Адресная программа'!$I$2975:$I$4468,БЦ_ALL!C309,'Адресная программа'!$C$2975:$C$4468,БЦ_ALL!B309,'Адресная программа'!$N$2975:$N$4468,1)</f>
        <v/>
      </c>
      <c r="E309" s="994">
        <f>'Цены|Скидки'!$E$25</f>
        <v/>
      </c>
      <c r="F309" s="942">
        <f>SUM(E309*D309*$K$7/15*$K$9)</f>
        <v/>
      </c>
      <c r="G309" s="156">
        <f>IF(SUMIFS('Адресная программа'!$O$20:$O$4940,'Адресная программа'!$N$20:$N$4940,1,'Адресная программа'!$C$20:$C$4940,B309,'Адресная программа'!$G$20:$G$4940,"Бизнес центр")=SUMIFS('Адресная программа'!$K$20:$K$4940,'Адресная программа'!$L$20:$L$4940,1,'Адресная программа'!$C$20:$C$4940,B309,'Адресная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программа'!$C$20:$C$4940,B309,'Адресная программа'!$G$20:$G$4940,"Бизнес центр")&gt;(SUMIFS('Адресная программа'!$K$20:$K$4940,'Адресная программа'!$L$20:$L$4940,1,'Адресная программа'!$C$20:$C$4940,B309,'Адресная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программа'!$C$20:$C$4940,B309,'Адресная программа'!$G$20:$G$4940,"Бизнес центр")&gt;(SUMIFS('Адресная программа'!$K$20:$K$4940,'Адресная программа'!$L$20:$L$4940,1,'Адресная программа'!$C$20:$C$4940,B309,'Адресная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программа'!$C$20:$C$4940,B309,'Адресная программа'!$G$20:$G$4940,"Бизнес центр")&gt;(SUMIFS('Адресная программа'!$K$20:$K$4940,'Адресная программа'!$L$20:$L$4940,1,'Адресная программа'!$C$20:$C$4940,B309,'Адресная программа'!$G$20:$G$4940,"Бизнес центр")*'Цены|Скидки'!$B$55-1),'Цены|Скидки'!$C$55,0%))))</f>
        <v/>
      </c>
      <c r="H309" s="156">
        <f>D$12</f>
        <v/>
      </c>
      <c r="I309" s="190">
        <f>IF(D309=0,0,1-J309/F309)</f>
        <v/>
      </c>
      <c r="J309" s="934">
        <f>F309*(1-G309)*(1-H309)*(1-IF($AC$2="РА",$AD$2,0))*(1-IF(OR($AC$3="Доп скидка",$AC$3="Сезонная скидка",$AC$3="Welcome скидка")=TRUE,$AD$3,0))</f>
        <v/>
      </c>
      <c r="K309" s="934">
        <f>ROUND(J309+L309,2)</f>
        <v/>
      </c>
      <c r="L309" s="934">
        <f>J309*БЦ!$AD$4</f>
        <v/>
      </c>
      <c r="M309" s="159">
        <f>(SUMIFS('Адресная программа'!$H$20:$H$4288,'Адресная программа'!$I$20:$I$4288,БЦ_ALL!C309,'Адресная программа'!$C$20:$C$4288,БЦ_ALL!B309,'Адресная программа'!$N$20:$N$4288,1)*$K$7)</f>
        <v/>
      </c>
      <c r="N309" s="938">
        <f>IF(M309=0,0,J309/M309*1000)</f>
        <v/>
      </c>
      <c r="O309" s="389" t="n"/>
    </row>
    <row r="310" ht="14.4" customHeight="1">
      <c r="B310" s="253" t="inlineStr">
        <is>
          <t>Санкт-Петербург</t>
        </is>
      </c>
      <c r="C310" s="264" t="inlineStr">
        <is>
          <t>*СЕНАТОР на ВО 17-я лин</t>
        </is>
      </c>
      <c r="D310" s="303">
        <f>SUMIFS('Адресная программа'!$K$2975:$K$4468,'Адресная программа'!$I$2975:$I$4468,БЦ_ALL!C310,'Адресная программа'!$C$2975:$C$4468,БЦ_ALL!B310,'Адресная программа'!$L$2975:$L$4468,1)</f>
        <v/>
      </c>
      <c r="E310" s="994">
        <f>'Цены|Скидки'!$E$25</f>
        <v/>
      </c>
      <c r="F310" s="942">
        <f>SUM(E310*D310*$K$7/15*$K$9)</f>
        <v/>
      </c>
      <c r="G310" s="156">
        <f>IF('Адресная программа'!$V$13='Адресная программа'!$U$13,'Цены|Скидки'!$C$52,IF('Адресная программа'!$V$13&gt;('Адресная программа'!$U$13*'Цены|Скидки'!$B$53-1),'Цены|Скидки'!$C$53,IF('Адресная программа'!$V$13&gt;('Адресная программа'!$U$13*'Цены|Скидки'!$B$54-1),'Цены|Скидки'!$C$54,IF('Адресная программа'!$V$13&gt;('Адресная программа'!$U$13*'Цены|Скидки'!$B$55-1),'Цены|Скидки'!$C$55,0%))))</f>
        <v/>
      </c>
      <c r="H310" s="156">
        <f>D$12</f>
        <v/>
      </c>
      <c r="I310" s="190">
        <f>IF(D310=0,0,1-J310/F310)</f>
        <v/>
      </c>
      <c r="J310" s="934">
        <f>F310*(1-G310)*(1-H310)*(1-IF($AC$2="РА",$AD$2,0))*(1-IF(OR($AC$3="Доп скидка",$AC$3="Сезонная скидка",$AC$3="Welcome скидка")=TRUE,$AD$3,0))</f>
        <v/>
      </c>
      <c r="K310" s="934">
        <f>ROUND(J310+L310,2)</f>
        <v/>
      </c>
      <c r="L310" s="934">
        <f>J310*0.2</f>
        <v/>
      </c>
      <c r="M310" s="159">
        <f>O310*$K$7</f>
        <v/>
      </c>
      <c r="N310" s="938">
        <f>IF(M310=0,0,J310/M310*1000)</f>
        <v/>
      </c>
      <c r="O310" s="387" t="n">
        <v>5359</v>
      </c>
    </row>
    <row r="311" ht="14.4" customHeight="1">
      <c r="B311" s="253" t="inlineStr">
        <is>
          <t>Санкт-Петербург</t>
        </is>
      </c>
      <c r="C311" s="264" t="inlineStr">
        <is>
          <t>65_СЕНАТОР на Малом ПС</t>
        </is>
      </c>
      <c r="D311" s="303">
        <f>SUMIFS('Адресная программа'!$K$2975:$K$4468,'Адресная программа'!$I$2975:$I$4468,БЦ_ALL!C311,'Адресная программа'!$C$2975:$C$4468,БЦ_ALL!B311,'Адресная программа'!$N$2975:$N$4468,1)</f>
        <v/>
      </c>
      <c r="E311" s="994">
        <f>'Цены|Скидки'!$E$25</f>
        <v/>
      </c>
      <c r="F311" s="942">
        <f>SUM(E311*D311*$K$7/15*$K$9)</f>
        <v/>
      </c>
      <c r="G311" s="156">
        <f>IF(SUMIFS('Адресная программа'!$O$20:$O$4940,'Адресная программа'!$N$20:$N$4940,1,'Адресная программа'!$C$20:$C$4940,B311,'Адресная программа'!$G$20:$G$4940,"Бизнес центр")=SUMIFS('Адресная программа'!$K$20:$K$4940,'Адресная программа'!$L$20:$L$4940,1,'Адресная программа'!$C$20:$C$4940,B311,'Адресная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программа'!$C$20:$C$4940,B311,'Адресная программа'!$G$20:$G$4940,"Бизнес центр")&gt;(SUMIFS('Адресная программа'!$K$20:$K$4940,'Адресная программа'!$L$20:$L$4940,1,'Адресная программа'!$C$20:$C$4940,B311,'Адресная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программа'!$C$20:$C$4940,B311,'Адресная программа'!$G$20:$G$4940,"Бизнес центр")&gt;(SUMIFS('Адресная программа'!$K$20:$K$4940,'Адресная программа'!$L$20:$L$4940,1,'Адресная программа'!$C$20:$C$4940,B311,'Адресная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программа'!$C$20:$C$4940,B311,'Адресная программа'!$G$20:$G$4940,"Бизнес центр")&gt;(SUMIFS('Адресная программа'!$K$20:$K$4940,'Адресная программа'!$L$20:$L$4940,1,'Адресная программа'!$C$20:$C$4940,B311,'Адресная программа'!$G$20:$G$4940,"Бизнес центр")*'Цены|Скидки'!$B$55-1),'Цены|Скидки'!$C$55,0%))))</f>
        <v/>
      </c>
      <c r="H311" s="156">
        <f>D$12</f>
        <v/>
      </c>
      <c r="I311" s="190">
        <f>IF(D311=0,0,1-J311/F311)</f>
        <v/>
      </c>
      <c r="J311" s="934">
        <f>F311*(1-G311)*(1-H311)*(1-IF($AC$2="РА",$AD$2,0))*(1-IF(OR($AC$3="Доп скидка",$AC$3="Сезонная скидка",$AC$3="Welcome скидка")=TRUE,$AD$3,0))</f>
        <v/>
      </c>
      <c r="K311" s="934">
        <f>ROUND(J311+L311,2)</f>
        <v/>
      </c>
      <c r="L311" s="934">
        <f>J311*БЦ!$AD$4</f>
        <v/>
      </c>
      <c r="M311" s="159">
        <f>(SUMIFS('Адресная программа'!$H$20:$H$4288,'Адресная программа'!$I$20:$I$4288,БЦ_ALL!C311,'Адресная программа'!$C$20:$C$4288,БЦ_ALL!B311,'Адресная программа'!$N$20:$N$4288,1)*$K$7)</f>
        <v/>
      </c>
      <c r="N311" s="938">
        <f>IF(M311=0,0,J311/M311*1000)</f>
        <v/>
      </c>
      <c r="O311" s="389" t="n"/>
    </row>
    <row r="312" ht="14.4" customHeight="1">
      <c r="B312" s="253" t="inlineStr">
        <is>
          <t>Санкт-Петербург</t>
        </is>
      </c>
      <c r="C312" s="264" t="inlineStr">
        <is>
          <t xml:space="preserve">65_СЕНАТОР на ВО 18 -я лин </t>
        </is>
      </c>
      <c r="D312" s="303">
        <f>SUMIFS('Адресная программа'!$K$2975:$K$4468,'Адресная программа'!$I$2975:$I$4468,БЦ_ALL!C312,'Адресная программа'!$C$2975:$C$4468,БЦ_ALL!B312,'Адресная программа'!$N$2975:$N$4468,1)</f>
        <v/>
      </c>
      <c r="E312" s="994">
        <f>'Цены|Скидки'!$E$25</f>
        <v/>
      </c>
      <c r="F312" s="942">
        <f>SUM(E312*D312*$K$7/15*$K$9)</f>
        <v/>
      </c>
      <c r="G312" s="156">
        <f>IF(SUMIFS('Адресная программа'!$O$20:$O$4940,'Адресная программа'!$N$20:$N$4940,1,'Адресная программа'!$C$20:$C$4940,B312,'Адресная программа'!$G$20:$G$4940,"Бизнес центр")=SUMIFS('Адресная программа'!$K$20:$K$4940,'Адресная программа'!$L$20:$L$4940,1,'Адресная программа'!$C$20:$C$4940,B312,'Адресная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программа'!$C$20:$C$4940,B312,'Адресная программа'!$G$20:$G$4940,"Бизнес центр")&gt;(SUMIFS('Адресная программа'!$K$20:$K$4940,'Адресная программа'!$L$20:$L$4940,1,'Адресная программа'!$C$20:$C$4940,B312,'Адресная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программа'!$C$20:$C$4940,B312,'Адресная программа'!$G$20:$G$4940,"Бизнес центр")&gt;(SUMIFS('Адресная программа'!$K$20:$K$4940,'Адресная программа'!$L$20:$L$4940,1,'Адресная программа'!$C$20:$C$4940,B312,'Адресная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программа'!$C$20:$C$4940,B312,'Адресная программа'!$G$20:$G$4940,"Бизнес центр")&gt;(SUMIFS('Адресная программа'!$K$20:$K$4940,'Адресная программа'!$L$20:$L$4940,1,'Адресная программа'!$C$20:$C$4940,B312,'Адресная программа'!$G$20:$G$4940,"Бизнес центр")*'Цены|Скидки'!$B$55-1),'Цены|Скидки'!$C$55,0%))))</f>
        <v/>
      </c>
      <c r="H312" s="156">
        <f>D$12</f>
        <v/>
      </c>
      <c r="I312" s="190">
        <f>IF(D312=0,0,1-J312/F312)</f>
        <v/>
      </c>
      <c r="J312" s="934">
        <f>F312*(1-G312)*(1-H312)*(1-IF($AC$2="РА",$AD$2,0))*(1-IF(OR($AC$3="Доп скидка",$AC$3="Сезонная скидка",$AC$3="Welcome скидка")=TRUE,$AD$3,0))</f>
        <v/>
      </c>
      <c r="K312" s="934">
        <f>ROUND(J312+L312,2)</f>
        <v/>
      </c>
      <c r="L312" s="934">
        <f>J312*БЦ!$AD$4</f>
        <v/>
      </c>
      <c r="M312" s="159">
        <f>(SUMIFS('Адресная программа'!$H$20:$H$4288,'Адресная программа'!$I$20:$I$4288,БЦ_ALL!C312,'Адресная программа'!$C$20:$C$4288,БЦ_ALL!B312,'Адресная программа'!$N$20:$N$4288,1)*$K$7)</f>
        <v/>
      </c>
      <c r="N312" s="938">
        <f>IF(M312=0,0,J312/M312*1000)</f>
        <v/>
      </c>
      <c r="O312" s="389" t="n"/>
    </row>
    <row r="313" ht="14.4" customHeight="1">
      <c r="B313" s="253" t="inlineStr">
        <is>
          <t>Санкт-Петербург</t>
        </is>
      </c>
      <c r="C313" s="264" t="inlineStr">
        <is>
          <t>65_СЕНАТОР на Чапаева</t>
        </is>
      </c>
      <c r="D313" s="303">
        <f>SUMIFS('Адресная программа'!$K$2975:$K$4468,'Адресная программа'!$I$2975:$I$4468,БЦ_ALL!C313,'Адресная программа'!$C$2975:$C$4468,БЦ_ALL!B313,'Адресная программа'!$N$2975:$N$4468,1)</f>
        <v/>
      </c>
      <c r="E313" s="994">
        <f>'Цены|Скидки'!$E$25</f>
        <v/>
      </c>
      <c r="F313" s="942">
        <f>SUM(E313*D313*$K$7/15*$K$9)</f>
        <v/>
      </c>
      <c r="G313" s="156">
        <f>IF(SUMIFS('Адресная программа'!$O$20:$O$4940,'Адресная программа'!$N$20:$N$4940,1,'Адресная программа'!$C$20:$C$4940,B313,'Адресная программа'!$G$20:$G$4940,"Бизнес центр")=SUMIFS('Адресная программа'!$K$20:$K$4940,'Адресная программа'!$L$20:$L$4940,1,'Адресная программа'!$C$20:$C$4940,B313,'Адресная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программа'!$C$20:$C$4940,B313,'Адресная программа'!$G$20:$G$4940,"Бизнес центр")&gt;(SUMIFS('Адресная программа'!$K$20:$K$4940,'Адресная программа'!$L$20:$L$4940,1,'Адресная программа'!$C$20:$C$4940,B313,'Адресная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программа'!$C$20:$C$4940,B313,'Адресная программа'!$G$20:$G$4940,"Бизнес центр")&gt;(SUMIFS('Адресная программа'!$K$20:$K$4940,'Адресная программа'!$L$20:$L$4940,1,'Адресная программа'!$C$20:$C$4940,B313,'Адресная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программа'!$C$20:$C$4940,B313,'Адресная программа'!$G$20:$G$4940,"Бизнес центр")&gt;(SUMIFS('Адресная программа'!$K$20:$K$4940,'Адресная программа'!$L$20:$L$4940,1,'Адресная программа'!$C$20:$C$4940,B313,'Адресная программа'!$G$20:$G$4940,"Бизнес центр")*'Цены|Скидки'!$B$55-1),'Цены|Скидки'!$C$55,0%))))</f>
        <v/>
      </c>
      <c r="H313" s="156">
        <f>D$12</f>
        <v/>
      </c>
      <c r="I313" s="190">
        <f>IF(D313=0,0,1-J313/F313)</f>
        <v/>
      </c>
      <c r="J313" s="934">
        <f>F313*(1-G313)*(1-H313)*(1-IF($AC$2="РА",$AD$2,0))*(1-IF(OR($AC$3="Доп скидка",$AC$3="Сезонная скидка",$AC$3="Welcome скидка")=TRUE,$AD$3,0))</f>
        <v/>
      </c>
      <c r="K313" s="934">
        <f>ROUND(J313+L313,2)</f>
        <v/>
      </c>
      <c r="L313" s="934">
        <f>J313*БЦ!$AD$4</f>
        <v/>
      </c>
      <c r="M313" s="159">
        <f>(SUMIFS('Адресная программа'!$H$20:$H$4288,'Адресная программа'!$I$20:$I$4288,БЦ_ALL!C313,'Адресная программа'!$C$20:$C$4288,БЦ_ALL!B313,'Адресная программа'!$N$20:$N$4288,1)*$K$7)</f>
        <v/>
      </c>
      <c r="N313" s="938">
        <f>IF(M313=0,0,J313/M313*1000)</f>
        <v/>
      </c>
      <c r="O313" s="389" t="n"/>
    </row>
    <row r="314" ht="14.4" customHeight="1">
      <c r="B314" s="253" t="inlineStr">
        <is>
          <t>Санкт-Петербург</t>
        </is>
      </c>
      <c r="C314" s="264" t="inlineStr">
        <is>
          <t>65_СЕНАТОР на Кропоткина</t>
        </is>
      </c>
      <c r="D314" s="303">
        <f>SUMIFS('Адресная программа'!$K$2975:$K$4468,'Адресная программа'!$I$2975:$I$4468,БЦ_ALL!C314,'Адресная программа'!$C$2975:$C$4468,БЦ_ALL!B314,'Адресная программа'!$N$2975:$N$4468,1)</f>
        <v/>
      </c>
      <c r="E314" s="994">
        <f>'Цены|Скидки'!$E$25</f>
        <v/>
      </c>
      <c r="F314" s="942">
        <f>SUM(E314*D314*$K$7/15*$K$9)</f>
        <v/>
      </c>
      <c r="G314" s="156">
        <f>IF(SUMIFS('Адресная программа'!$O$20:$O$4940,'Адресная программа'!$N$20:$N$4940,1,'Адресная программа'!$C$20:$C$4940,B314,'Адресная программа'!$G$20:$G$4940,"Бизнес центр")=SUMIFS('Адресная программа'!$K$20:$K$4940,'Адресная программа'!$L$20:$L$4940,1,'Адресная программа'!$C$20:$C$4940,B314,'Адресная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программа'!$C$20:$C$4940,B314,'Адресная программа'!$G$20:$G$4940,"Бизнес центр")&gt;(SUMIFS('Адресная программа'!$K$20:$K$4940,'Адресная программа'!$L$20:$L$4940,1,'Адресная программа'!$C$20:$C$4940,B314,'Адресная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программа'!$C$20:$C$4940,B314,'Адресная программа'!$G$20:$G$4940,"Бизнес центр")&gt;(SUMIFS('Адресная программа'!$K$20:$K$4940,'Адресная программа'!$L$20:$L$4940,1,'Адресная программа'!$C$20:$C$4940,B314,'Адресная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программа'!$C$20:$C$4940,B314,'Адресная программа'!$G$20:$G$4940,"Бизнес центр")&gt;(SUMIFS('Адресная программа'!$K$20:$K$4940,'Адресная программа'!$L$20:$L$4940,1,'Адресная программа'!$C$20:$C$4940,B314,'Адресная программа'!$G$20:$G$4940,"Бизнес центр")*'Цены|Скидки'!$B$55-1),'Цены|Скидки'!$C$55,0%))))</f>
        <v/>
      </c>
      <c r="H314" s="156">
        <f>D$12</f>
        <v/>
      </c>
      <c r="I314" s="190">
        <f>IF(D314=0,0,1-J314/F314)</f>
        <v/>
      </c>
      <c r="J314" s="934">
        <f>F314*(1-G314)*(1-H314)*(1-IF($AC$2="РА",$AD$2,0))*(1-IF(OR($AC$3="Доп скидка",$AC$3="Сезонная скидка",$AC$3="Welcome скидка")=TRUE,$AD$3,0))</f>
        <v/>
      </c>
      <c r="K314" s="934">
        <f>ROUND(J314+L314,2)</f>
        <v/>
      </c>
      <c r="L314" s="934">
        <f>J314*БЦ!$AD$4</f>
        <v/>
      </c>
      <c r="M314" s="159">
        <f>(SUMIFS('Адресная программа'!$H$20:$H$4288,'Адресная программа'!$I$20:$I$4288,БЦ_ALL!C314,'Адресная программа'!$C$20:$C$4288,БЦ_ALL!B314,'Адресная программа'!$N$20:$N$4288,1)*$K$7)</f>
        <v/>
      </c>
      <c r="N314" s="938">
        <f>IF(M314=0,0,J314/M314*1000)</f>
        <v/>
      </c>
      <c r="O314" s="389" t="n"/>
    </row>
    <row r="315" ht="14.4" customHeight="1">
      <c r="B315" s="253" t="inlineStr">
        <is>
          <t>Санкт-Петербург</t>
        </is>
      </c>
      <c r="C315" s="264" t="inlineStr">
        <is>
          <t>65_СЕНАТОР Ткачи</t>
        </is>
      </c>
      <c r="D315" s="303">
        <f>SUMIFS('Адресная программа'!$K$2975:$K$4468,'Адресная программа'!$I$2975:$I$4468,БЦ_ALL!C315,'Адресная программа'!$C$2975:$C$4468,БЦ_ALL!B315,'Адресная программа'!$N$2975:$N$4468,1)</f>
        <v/>
      </c>
      <c r="E315" s="994">
        <f>'Цены|Скидки'!$E$25</f>
        <v/>
      </c>
      <c r="F315" s="942">
        <f>SUM(E315*D315*$K$7/15*$K$9)</f>
        <v/>
      </c>
      <c r="G315" s="156">
        <f>IF(SUMIFS('Адресная программа'!$O$20:$O$4940,'Адресная программа'!$N$20:$N$4940,1,'Адресная программа'!$C$20:$C$4940,B315,'Адресная программа'!$G$20:$G$4940,"Бизнес центр")=SUMIFS('Адресная программа'!$K$20:$K$4940,'Адресная программа'!$L$20:$L$4940,1,'Адресная программа'!$C$20:$C$4940,B315,'Адресная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программа'!$C$20:$C$4940,B315,'Адресная программа'!$G$20:$G$4940,"Бизнес центр")&gt;(SUMIFS('Адресная программа'!$K$20:$K$4940,'Адресная программа'!$L$20:$L$4940,1,'Адресная программа'!$C$20:$C$4940,B315,'Адресная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программа'!$C$20:$C$4940,B315,'Адресная программа'!$G$20:$G$4940,"Бизнес центр")&gt;(SUMIFS('Адресная программа'!$K$20:$K$4940,'Адресная программа'!$L$20:$L$4940,1,'Адресная программа'!$C$20:$C$4940,B315,'Адресная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программа'!$C$20:$C$4940,B315,'Адресная программа'!$G$20:$G$4940,"Бизнес центр")&gt;(SUMIFS('Адресная программа'!$K$20:$K$4940,'Адресная программа'!$L$20:$L$4940,1,'Адресная программа'!$C$20:$C$4940,B315,'Адресная программа'!$G$20:$G$4940,"Бизнес центр")*'Цены|Скидки'!$B$55-1),'Цены|Скидки'!$C$55,0%))))</f>
        <v/>
      </c>
      <c r="H315" s="156">
        <f>D$12</f>
        <v/>
      </c>
      <c r="I315" s="190">
        <f>IF(D315=0,0,1-J315/F315)</f>
        <v/>
      </c>
      <c r="J315" s="934">
        <f>F315*(1-G315)*(1-H315)*(1-IF($AC$2="РА",$AD$2,0))*(1-IF(OR($AC$3="Доп скидка",$AC$3="Сезонная скидка",$AC$3="Welcome скидка")=TRUE,$AD$3,0))</f>
        <v/>
      </c>
      <c r="K315" s="934">
        <f>ROUND(J315+L315,2)</f>
        <v/>
      </c>
      <c r="L315" s="934">
        <f>J315*БЦ!$AD$4</f>
        <v/>
      </c>
      <c r="M315" s="159">
        <f>(SUMIFS('Адресная программа'!$H$20:$H$4288,'Адресная программа'!$I$20:$I$4288,БЦ_ALL!C315,'Адресная программа'!$C$20:$C$4288,БЦ_ALL!B315,'Адресная программа'!$N$20:$N$4288,1)*$K$7)</f>
        <v/>
      </c>
      <c r="N315" s="938">
        <f>IF(M315=0,0,J315/M315*1000)</f>
        <v/>
      </c>
      <c r="O315" s="389" t="n"/>
    </row>
    <row r="316" ht="14.4" customHeight="1">
      <c r="B316" s="253" t="inlineStr">
        <is>
          <t>Санкт-Петербург</t>
        </is>
      </c>
      <c r="C316" s="264" t="inlineStr">
        <is>
          <t>65_СЕНАТОР Невский 38</t>
        </is>
      </c>
      <c r="D316" s="303">
        <f>SUMIFS('Адресная программа'!$K$2975:$K$4468,'Адресная программа'!$I$2975:$I$4468,БЦ_ALL!C316,'Адресная программа'!$C$2975:$C$4468,БЦ_ALL!B316,'Адресная программа'!$N$2975:$N$4468,1)</f>
        <v/>
      </c>
      <c r="E316" s="994">
        <f>'Цены|Скидки'!$E$25</f>
        <v/>
      </c>
      <c r="F316" s="942">
        <f>SUM(E316*D316*$K$7/15*$K$9)</f>
        <v/>
      </c>
      <c r="G316" s="156">
        <f>IF(SUMIFS('Адресная программа'!$O$20:$O$4940,'Адресная программа'!$N$20:$N$4940,1,'Адресная программа'!$C$20:$C$4940,B316,'Адресная программа'!$G$20:$G$4940,"Бизнес центр")=SUMIFS('Адресная программа'!$K$20:$K$4940,'Адресная программа'!$L$20:$L$4940,1,'Адресная программа'!$C$20:$C$4940,B316,'Адресная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программа'!$C$20:$C$4940,B316,'Адресная программа'!$G$20:$G$4940,"Бизнес центр")&gt;(SUMIFS('Адресная программа'!$K$20:$K$4940,'Адресная программа'!$L$20:$L$4940,1,'Адресная программа'!$C$20:$C$4940,B316,'Адресная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программа'!$C$20:$C$4940,B316,'Адресная программа'!$G$20:$G$4940,"Бизнес центр")&gt;(SUMIFS('Адресная программа'!$K$20:$K$4940,'Адресная программа'!$L$20:$L$4940,1,'Адресная программа'!$C$20:$C$4940,B316,'Адресная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программа'!$C$20:$C$4940,B316,'Адресная программа'!$G$20:$G$4940,"Бизнес центр")&gt;(SUMIFS('Адресная программа'!$K$20:$K$4940,'Адресная программа'!$L$20:$L$4940,1,'Адресная программа'!$C$20:$C$4940,B316,'Адресная программа'!$G$20:$G$4940,"Бизнес центр")*'Цены|Скидки'!$B$55-1),'Цены|Скидки'!$C$55,0%))))</f>
        <v/>
      </c>
      <c r="H316" s="156">
        <f>D$12</f>
        <v/>
      </c>
      <c r="I316" s="190">
        <f>IF(D316=0,0,1-J316/F316)</f>
        <v/>
      </c>
      <c r="J316" s="934">
        <f>F316*(1-G316)*(1-H316)*(1-IF($AC$2="РА",$AD$2,0))*(1-IF(OR($AC$3="Доп скидка",$AC$3="Сезонная скидка",$AC$3="Welcome скидка")=TRUE,$AD$3,0))</f>
        <v/>
      </c>
      <c r="K316" s="934">
        <f>ROUND(J316+L316,2)</f>
        <v/>
      </c>
      <c r="L316" s="934">
        <f>J316*БЦ!$AD$4</f>
        <v/>
      </c>
      <c r="M316" s="159">
        <f>(SUMIFS('Адресная программа'!$H$20:$H$4288,'Адресная программа'!$I$20:$I$4288,БЦ_ALL!C316,'Адресная программа'!$C$20:$C$4288,БЦ_ALL!B316,'Адресная программа'!$N$20:$N$4288,1)*$K$7)</f>
        <v/>
      </c>
      <c r="N316" s="938">
        <f>IF(M316=0,0,J316/M316*1000)</f>
        <v/>
      </c>
      <c r="O316" s="389" t="n"/>
    </row>
    <row r="317" ht="14.4" customHeight="1">
      <c r="B317" s="253" t="inlineStr">
        <is>
          <t>Санкт-Петербург</t>
        </is>
      </c>
      <c r="C317" s="264" t="inlineStr">
        <is>
          <t>65_СЕНАТОР на Мойке</t>
        </is>
      </c>
      <c r="D317" s="303">
        <f>SUMIFS('Адресная программа'!$K$2975:$K$4468,'Адресная программа'!$I$2975:$I$4468,БЦ_ALL!C317,'Адресная программа'!$C$2975:$C$4468,БЦ_ALL!B317,'Адресная программа'!$N$2975:$N$4468,1)</f>
        <v/>
      </c>
      <c r="E317" s="994">
        <f>'Цены|Скидки'!$E$25</f>
        <v/>
      </c>
      <c r="F317" s="942">
        <f>SUM(E317*D317*$K$7/15*$K$9)</f>
        <v/>
      </c>
      <c r="G317" s="156">
        <f>IF(SUMIFS('Адресная программа'!$O$20:$O$4940,'Адресная программа'!$N$20:$N$4940,1,'Адресная программа'!$C$20:$C$4940,B317,'Адресная программа'!$G$20:$G$4940,"Бизнес центр")=SUMIFS('Адресная программа'!$K$20:$K$4940,'Адресная программа'!$L$20:$L$4940,1,'Адресная программа'!$C$20:$C$4940,B317,'Адресная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программа'!$C$20:$C$4940,B317,'Адресная программа'!$G$20:$G$4940,"Бизнес центр")&gt;(SUMIFS('Адресная программа'!$K$20:$K$4940,'Адресная программа'!$L$20:$L$4940,1,'Адресная программа'!$C$20:$C$4940,B317,'Адресная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программа'!$C$20:$C$4940,B317,'Адресная программа'!$G$20:$G$4940,"Бизнес центр")&gt;(SUMIFS('Адресная программа'!$K$20:$K$4940,'Адресная программа'!$L$20:$L$4940,1,'Адресная программа'!$C$20:$C$4940,B317,'Адресная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программа'!$C$20:$C$4940,B317,'Адресная программа'!$G$20:$G$4940,"Бизнес центр")&gt;(SUMIFS('Адресная программа'!$K$20:$K$4940,'Адресная программа'!$L$20:$L$4940,1,'Адресная программа'!$C$20:$C$4940,B317,'Адресная программа'!$G$20:$G$4940,"Бизнес центр")*'Цены|Скидки'!$B$55-1),'Цены|Скидки'!$C$55,0%))))</f>
        <v/>
      </c>
      <c r="H317" s="156">
        <f>D$12</f>
        <v/>
      </c>
      <c r="I317" s="190">
        <f>IF(D317=0,0,1-J317/F317)</f>
        <v/>
      </c>
      <c r="J317" s="934">
        <f>F317*(1-G317)*(1-H317)*(1-IF($AC$2="РА",$AD$2,0))*(1-IF(OR($AC$3="Доп скидка",$AC$3="Сезонная скидка",$AC$3="Welcome скидка")=TRUE,$AD$3,0))</f>
        <v/>
      </c>
      <c r="K317" s="934">
        <f>ROUND(J317+L317,2)</f>
        <v/>
      </c>
      <c r="L317" s="934">
        <f>J317*БЦ!$AD$4</f>
        <v/>
      </c>
      <c r="M317" s="159">
        <f>(SUMIFS('Адресная программа'!$H$20:$H$4288,'Адресная программа'!$I$20:$I$4288,БЦ_ALL!C317,'Адресная программа'!$C$20:$C$4288,БЦ_ALL!B317,'Адресная программа'!$N$20:$N$4288,1)*$K$7)</f>
        <v/>
      </c>
      <c r="N317" s="938">
        <f>IF(M317=0,0,J317/M317*1000)</f>
        <v/>
      </c>
      <c r="O317" s="389" t="n"/>
    </row>
    <row r="318" ht="14.4" customHeight="1">
      <c r="B318" s="253" t="inlineStr">
        <is>
          <t>Санкт-Петербург</t>
        </is>
      </c>
      <c r="C318" s="264" t="inlineStr">
        <is>
          <t>65_СЕНАТОР на Советской</t>
        </is>
      </c>
      <c r="D318" s="303">
        <f>SUMIFS('Адресная программа'!$K$2975:$K$4468,'Адресная программа'!$I$2975:$I$4468,БЦ_ALL!C318,'Адресная программа'!$C$2975:$C$4468,БЦ_ALL!B318,'Адресная программа'!$N$2975:$N$4468,1)</f>
        <v/>
      </c>
      <c r="E318" s="994">
        <f>'Цены|Скидки'!$E$25</f>
        <v/>
      </c>
      <c r="F318" s="942">
        <f>SUM(E318*D318*$K$7/15*$K$9)</f>
        <v/>
      </c>
      <c r="G318" s="156">
        <f>IF(SUMIFS('Адресная программа'!$O$20:$O$4940,'Адресная программа'!$N$20:$N$4940,1,'Адресная программа'!$C$20:$C$4940,B318,'Адресная программа'!$G$20:$G$4940,"Бизнес центр")=SUMIFS('Адресная программа'!$K$20:$K$4940,'Адресная программа'!$L$20:$L$4940,1,'Адресная программа'!$C$20:$C$4940,B318,'Адресная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программа'!$C$20:$C$4940,B318,'Адресная программа'!$G$20:$G$4940,"Бизнес центр")&gt;(SUMIFS('Адресная программа'!$K$20:$K$4940,'Адресная программа'!$L$20:$L$4940,1,'Адресная программа'!$C$20:$C$4940,B318,'Адресная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программа'!$C$20:$C$4940,B318,'Адресная программа'!$G$20:$G$4940,"Бизнес центр")&gt;(SUMIFS('Адресная программа'!$K$20:$K$4940,'Адресная программа'!$L$20:$L$4940,1,'Адресная программа'!$C$20:$C$4940,B318,'Адресная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программа'!$C$20:$C$4940,B318,'Адресная программа'!$G$20:$G$4940,"Бизнес центр")&gt;(SUMIFS('Адресная программа'!$K$20:$K$4940,'Адресная программа'!$L$20:$L$4940,1,'Адресная программа'!$C$20:$C$4940,B318,'Адресная программа'!$G$20:$G$4940,"Бизнес центр")*'Цены|Скидки'!$B$55-1),'Цены|Скидки'!$C$55,0%))))</f>
        <v/>
      </c>
      <c r="H318" s="156">
        <f>D$12</f>
        <v/>
      </c>
      <c r="I318" s="190">
        <f>IF(D318=0,0,1-J318/F318)</f>
        <v/>
      </c>
      <c r="J318" s="934">
        <f>F318*(1-G318)*(1-H318)*(1-IF($AC$2="РА",$AD$2,0))*(1-IF(OR($AC$3="Доп скидка",$AC$3="Сезонная скидка",$AC$3="Welcome скидка")=TRUE,$AD$3,0))</f>
        <v/>
      </c>
      <c r="K318" s="934">
        <f>ROUND(J318+L318,2)</f>
        <v/>
      </c>
      <c r="L318" s="934">
        <f>J318*БЦ!$AD$4</f>
        <v/>
      </c>
      <c r="M318" s="159">
        <f>(SUMIFS('Адресная программа'!$H$20:$H$4288,'Адресная программа'!$I$20:$I$4288,БЦ_ALL!C318,'Адресная программа'!$C$20:$C$4288,БЦ_ALL!B318,'Адресная программа'!$N$20:$N$4288,1)*$K$7)</f>
        <v/>
      </c>
      <c r="N318" s="938">
        <f>IF(M318=0,0,J318/M318*1000)</f>
        <v/>
      </c>
      <c r="O318" s="389" t="n"/>
    </row>
    <row r="319" ht="14.4" customHeight="1">
      <c r="B319" s="253" t="inlineStr">
        <is>
          <t>Санкт-Петербург</t>
        </is>
      </c>
      <c r="C319" s="264" t="inlineStr">
        <is>
          <t>65_СЕНАТОР на Чайковского</t>
        </is>
      </c>
      <c r="D319" s="303">
        <f>SUMIFS('Адресная программа'!$K$2975:$K$4468,'Адресная программа'!$I$2975:$I$4468,БЦ_ALL!C319,'Адресная программа'!$C$2975:$C$4468,БЦ_ALL!B319,'Адресная программа'!$N$2975:$N$4468,1)</f>
        <v/>
      </c>
      <c r="E319" s="994">
        <f>'Цены|Скидки'!$E$25</f>
        <v/>
      </c>
      <c r="F319" s="942">
        <f>SUM(E319*D319*$K$7/15*$K$9)</f>
        <v/>
      </c>
      <c r="G319" s="156">
        <f>IF(SUMIFS('Адресная программа'!$O$20:$O$4940,'Адресная программа'!$N$20:$N$4940,1,'Адресная программа'!$C$20:$C$4940,B319,'Адресная программа'!$G$20:$G$4940,"Бизнес центр")=SUMIFS('Адресная программа'!$K$20:$K$4940,'Адресная программа'!$L$20:$L$4940,1,'Адресная программа'!$C$20:$C$4940,B319,'Адресная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программа'!$C$20:$C$4940,B319,'Адресная программа'!$G$20:$G$4940,"Бизнес центр")&gt;(SUMIFS('Адресная программа'!$K$20:$K$4940,'Адресная программа'!$L$20:$L$4940,1,'Адресная программа'!$C$20:$C$4940,B319,'Адресная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программа'!$C$20:$C$4940,B319,'Адресная программа'!$G$20:$G$4940,"Бизнес центр")&gt;(SUMIFS('Адресная программа'!$K$20:$K$4940,'Адресная программа'!$L$20:$L$4940,1,'Адресная программа'!$C$20:$C$4940,B319,'Адресная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программа'!$C$20:$C$4940,B319,'Адресная программа'!$G$20:$G$4940,"Бизнес центр")&gt;(SUMIFS('Адресная программа'!$K$20:$K$4940,'Адресная программа'!$L$20:$L$4940,1,'Адресная программа'!$C$20:$C$4940,B319,'Адресная программа'!$G$20:$G$4940,"Бизнес центр")*'Цены|Скидки'!$B$55-1),'Цены|Скидки'!$C$55,0%))))</f>
        <v/>
      </c>
      <c r="H319" s="156">
        <f>D$12</f>
        <v/>
      </c>
      <c r="I319" s="190">
        <f>IF(D319=0,0,1-J319/F319)</f>
        <v/>
      </c>
      <c r="J319" s="934">
        <f>F319*(1-G319)*(1-H319)*(1-IF($AC$2="РА",$AD$2,0))*(1-IF(OR($AC$3="Доп скидка",$AC$3="Сезонная скидка",$AC$3="Welcome скидка")=TRUE,$AD$3,0))</f>
        <v/>
      </c>
      <c r="K319" s="934">
        <f>ROUND(J319+L319,2)</f>
        <v/>
      </c>
      <c r="L319" s="934">
        <f>J319*БЦ!$AD$4</f>
        <v/>
      </c>
      <c r="M319" s="159">
        <f>(SUMIFS('Адресная программа'!$H$20:$H$4288,'Адресная программа'!$I$20:$I$4288,БЦ_ALL!C319,'Адресная программа'!$C$20:$C$4288,БЦ_ALL!B319,'Адресная программа'!$N$20:$N$4288,1)*$K$7)</f>
        <v/>
      </c>
      <c r="N319" s="938">
        <f>IF(M319=0,0,J319/M319*1000)</f>
        <v/>
      </c>
      <c r="O319" s="389" t="n"/>
    </row>
    <row r="320" ht="14.4" customHeight="1">
      <c r="B320" s="253" t="inlineStr">
        <is>
          <t>Санкт-Петербург</t>
        </is>
      </c>
      <c r="C320" s="264" t="inlineStr">
        <is>
          <t>65_Синоп</t>
        </is>
      </c>
      <c r="D320" s="303">
        <f>SUMIFS('Адресная программа'!$K$2975:$K$4468,'Адресная программа'!$I$2975:$I$4468,БЦ_ALL!C320,'Адресная программа'!$C$2975:$C$4468,БЦ_ALL!B320,'Адресная программа'!$N$2975:$N$4468,1)</f>
        <v/>
      </c>
      <c r="E320" s="994">
        <f>'Цены|Скидки'!$E$25</f>
        <v/>
      </c>
      <c r="F320" s="942">
        <f>SUM(E320*D320*$K$7/15*$K$9)</f>
        <v/>
      </c>
      <c r="G320" s="156">
        <f>IF(SUMIFS('Адресная программа'!$O$20:$O$4940,'Адресная программа'!$N$20:$N$4940,1,'Адресная программа'!$C$20:$C$4940,B320,'Адресная программа'!$G$20:$G$4940,"Бизнес центр")=SUMIFS('Адресная программа'!$K$20:$K$4940,'Адресная программа'!$L$20:$L$4940,1,'Адресная программа'!$C$20:$C$4940,B320,'Адресная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программа'!$C$20:$C$4940,B320,'Адресная программа'!$G$20:$G$4940,"Бизнес центр")&gt;(SUMIFS('Адресная программа'!$K$20:$K$4940,'Адресная программа'!$L$20:$L$4940,1,'Адресная программа'!$C$20:$C$4940,B320,'Адресная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программа'!$C$20:$C$4940,B320,'Адресная программа'!$G$20:$G$4940,"Бизнес центр")&gt;(SUMIFS('Адресная программа'!$K$20:$K$4940,'Адресная программа'!$L$20:$L$4940,1,'Адресная программа'!$C$20:$C$4940,B320,'Адресная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программа'!$C$20:$C$4940,B320,'Адресная программа'!$G$20:$G$4940,"Бизнес центр")&gt;(SUMIFS('Адресная программа'!$K$20:$K$4940,'Адресная программа'!$L$20:$L$4940,1,'Адресная программа'!$C$20:$C$4940,B320,'Адресная программа'!$G$20:$G$4940,"Бизнес центр")*'Цены|Скидки'!$B$55-1),'Цены|Скидки'!$C$55,0%))))</f>
        <v/>
      </c>
      <c r="H320" s="156">
        <f>D$12</f>
        <v/>
      </c>
      <c r="I320" s="190">
        <f>IF(D320=0,0,1-J320/F320)</f>
        <v/>
      </c>
      <c r="J320" s="934">
        <f>F320*(1-G320)*(1-H320)*(1-IF($AC$2="РА",$AD$2,0))*(1-IF(OR($AC$3="Доп скидка",$AC$3="Сезонная скидка",$AC$3="Welcome скидка")=TRUE,$AD$3,0))</f>
        <v/>
      </c>
      <c r="K320" s="934">
        <f>ROUND(J320+L320,2)</f>
        <v/>
      </c>
      <c r="L320" s="934">
        <f>J320*БЦ!$AD$4</f>
        <v/>
      </c>
      <c r="M320" s="159">
        <f>(SUMIFS('Адресная программа'!$H$20:$H$4288,'Адресная программа'!$I$20:$I$4288,БЦ_ALL!C320,'Адресная программа'!$C$20:$C$4288,БЦ_ALL!B320,'Адресная программа'!$N$20:$N$4288,1)*$K$7)</f>
        <v/>
      </c>
      <c r="N320" s="938">
        <f>IF(M320=0,0,J320/M320*1000)</f>
        <v/>
      </c>
      <c r="O320" s="389" t="n"/>
    </row>
    <row r="321" ht="14.4" customHeight="1">
      <c r="B321" s="253" t="inlineStr">
        <is>
          <t>Санкт-Петербург</t>
        </is>
      </c>
      <c r="C321" s="264" t="inlineStr">
        <is>
          <t>65_Пономарев центр</t>
        </is>
      </c>
      <c r="D321" s="303">
        <f>SUMIFS('Адресная программа'!$K$2975:$K$4468,'Адресная программа'!$I$2975:$I$4468,БЦ_ALL!C321,'Адресная программа'!$C$2975:$C$4468,БЦ_ALL!B321,'Адресная программа'!$N$2975:$N$4468,1)</f>
        <v/>
      </c>
      <c r="E321" s="994">
        <f>'Цены|Скидки'!$E$25</f>
        <v/>
      </c>
      <c r="F321" s="942">
        <f>SUM(E321*D321*$K$7/15*$K$9)</f>
        <v/>
      </c>
      <c r="G321" s="156">
        <f>IF(SUMIFS('Адресная программа'!$O$20:$O$4940,'Адресная программа'!$N$20:$N$4940,1,'Адресная программа'!$C$20:$C$4940,B321,'Адресная программа'!$G$20:$G$4940,"Бизнес центр")=SUMIFS('Адресная программа'!$K$20:$K$4940,'Адресная программа'!$L$20:$L$4940,1,'Адресная программа'!$C$20:$C$4940,B321,'Адресная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программа'!$C$20:$C$4940,B321,'Адресная программа'!$G$20:$G$4940,"Бизнес центр")&gt;(SUMIFS('Адресная программа'!$K$20:$K$4940,'Адресная программа'!$L$20:$L$4940,1,'Адресная программа'!$C$20:$C$4940,B321,'Адресная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программа'!$C$20:$C$4940,B321,'Адресная программа'!$G$20:$G$4940,"Бизнес центр")&gt;(SUMIFS('Адресная программа'!$K$20:$K$4940,'Адресная программа'!$L$20:$L$4940,1,'Адресная программа'!$C$20:$C$4940,B321,'Адресная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программа'!$C$20:$C$4940,B321,'Адресная программа'!$G$20:$G$4940,"Бизнес центр")&gt;(SUMIFS('Адресная программа'!$K$20:$K$4940,'Адресная программа'!$L$20:$L$4940,1,'Адресная программа'!$C$20:$C$4940,B321,'Адресная программа'!$G$20:$G$4940,"Бизнес центр")*'Цены|Скидки'!$B$55-1),'Цены|Скидки'!$C$55,0%))))</f>
        <v/>
      </c>
      <c r="H321" s="156">
        <f>D$12</f>
        <v/>
      </c>
      <c r="I321" s="190">
        <f>IF(D321=0,0,1-J321/F321)</f>
        <v/>
      </c>
      <c r="J321" s="934">
        <f>F321*(1-G321)*(1-H321)*(1-IF($AC$2="РА",$AD$2,0))*(1-IF(OR($AC$3="Доп скидка",$AC$3="Сезонная скидка",$AC$3="Welcome скидка")=TRUE,$AD$3,0))</f>
        <v/>
      </c>
      <c r="K321" s="934">
        <f>ROUND(J321+L321,2)</f>
        <v/>
      </c>
      <c r="L321" s="934">
        <f>J321*БЦ!$AD$4</f>
        <v/>
      </c>
      <c r="M321" s="159">
        <f>(SUMIFS('Адресная программа'!$H$20:$H$4288,'Адресная программа'!$I$20:$I$4288,БЦ_ALL!C321,'Адресная программа'!$C$20:$C$4288,БЦ_ALL!B321,'Адресная программа'!$N$20:$N$4288,1)*$K$7)</f>
        <v/>
      </c>
      <c r="N321" s="938">
        <f>IF(M321=0,0,J321/M321*1000)</f>
        <v/>
      </c>
      <c r="O321" s="389" t="n"/>
    </row>
    <row r="322" ht="14.4" customHeight="1">
      <c r="B322" s="253" t="inlineStr">
        <is>
          <t>Санкт-Петербург</t>
        </is>
      </c>
      <c r="C322" s="264" t="inlineStr">
        <is>
          <t>65_Бенуа</t>
        </is>
      </c>
      <c r="D322" s="303">
        <f>SUMIFS('Адресная программа'!$K$2975:$K$4468,'Адресная программа'!$I$2975:$I$4468,БЦ_ALL!C322,'Адресная программа'!$C$2975:$C$4468,БЦ_ALL!B322,'Адресная программа'!$N$2975:$N$4468,1)</f>
        <v/>
      </c>
      <c r="E322" s="994">
        <f>'Цены|Скидки'!$E$25</f>
        <v/>
      </c>
      <c r="F322" s="942">
        <f>SUM(E322*D322*$K$7/15*$K$9)</f>
        <v/>
      </c>
      <c r="G322" s="156">
        <f>IF(SUMIFS('Адресная программа'!$O$20:$O$4940,'Адресная программа'!$N$20:$N$4940,1,'Адресная программа'!$C$20:$C$4940,B322,'Адресная программа'!$G$20:$G$4940,"Бизнес центр")=SUMIFS('Адресная программа'!$K$20:$K$4940,'Адресная программа'!$L$20:$L$4940,1,'Адресная программа'!$C$20:$C$4940,B322,'Адресная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программа'!$C$20:$C$4940,B322,'Адресная программа'!$G$20:$G$4940,"Бизнес центр")&gt;(SUMIFS('Адресная программа'!$K$20:$K$4940,'Адресная программа'!$L$20:$L$4940,1,'Адресная программа'!$C$20:$C$4940,B322,'Адресная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программа'!$C$20:$C$4940,B322,'Адресная программа'!$G$20:$G$4940,"Бизнес центр")&gt;(SUMIFS('Адресная программа'!$K$20:$K$4940,'Адресная программа'!$L$20:$L$4940,1,'Адресная программа'!$C$20:$C$4940,B322,'Адресная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программа'!$C$20:$C$4940,B322,'Адресная программа'!$G$20:$G$4940,"Бизнес центр")&gt;(SUMIFS('Адресная программа'!$K$20:$K$4940,'Адресная программа'!$L$20:$L$4940,1,'Адресная программа'!$C$20:$C$4940,B322,'Адресная программа'!$G$20:$G$4940,"Бизнес центр")*'Цены|Скидки'!$B$55-1),'Цены|Скидки'!$C$55,0%))))</f>
        <v/>
      </c>
      <c r="H322" s="156">
        <f>D$12</f>
        <v/>
      </c>
      <c r="I322" s="190">
        <f>IF(D322=0,0,1-J322/F322)</f>
        <v/>
      </c>
      <c r="J322" s="934">
        <f>F322*(1-G322)*(1-H322)*(1-IF($AC$2="РА",$AD$2,0))*(1-IF(OR($AC$3="Доп скидка",$AC$3="Сезонная скидка",$AC$3="Welcome скидка")=TRUE,$AD$3,0))</f>
        <v/>
      </c>
      <c r="K322" s="934">
        <f>ROUND(J322+L322,2)</f>
        <v/>
      </c>
      <c r="L322" s="934">
        <f>J322*БЦ!$AD$4</f>
        <v/>
      </c>
      <c r="M322" s="159">
        <f>(SUMIFS('Адресная программа'!$H$20:$H$4288,'Адресная программа'!$I$20:$I$4288,БЦ_ALL!C322,'Адресная программа'!$C$20:$C$4288,БЦ_ALL!B322,'Адресная программа'!$N$20:$N$4288,1)*$K$7)</f>
        <v/>
      </c>
      <c r="N322" s="938">
        <f>IF(M322=0,0,J322/M322*1000)</f>
        <v/>
      </c>
      <c r="O322" s="389" t="n"/>
    </row>
    <row r="323" ht="14.4" customHeight="1">
      <c r="B323" s="253" t="inlineStr">
        <is>
          <t>Санкт-Петербург</t>
        </is>
      </c>
      <c r="C323" s="264" t="inlineStr">
        <is>
          <t>Александр Невский</t>
        </is>
      </c>
      <c r="D323" s="303">
        <f>SUMIFS('Адресная программа'!$K$2975:$K$4468,'Адресная программа'!$I$2975:$I$4468,БЦ_ALL!C323,'Адресная программа'!$C$2975:$C$4468,БЦ_ALL!B323,'Адресная программа'!$N$2975:$N$4468,1)</f>
        <v/>
      </c>
      <c r="E323" s="994">
        <f>'Цены|Скидки'!$E$25</f>
        <v/>
      </c>
      <c r="F323" s="942">
        <f>SUM(E323*D323*$K$7/15*$K$9)</f>
        <v/>
      </c>
      <c r="G323" s="156">
        <f>IF(SUMIFS('Адресная программа'!$O$20:$O$4940,'Адресная программа'!$N$20:$N$4940,1,'Адресная программа'!$C$20:$C$4940,B323,'Адресная программа'!$G$20:$G$4940,"Бизнес центр")=SUMIFS('Адресная программа'!$K$20:$K$4940,'Адресная программа'!$L$20:$L$4940,1,'Адресная программа'!$C$20:$C$4940,B323,'Адресная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программа'!$C$20:$C$4940,B323,'Адресная программа'!$G$20:$G$4940,"Бизнес центр")&gt;(SUMIFS('Адресная программа'!$K$20:$K$4940,'Адресная программа'!$L$20:$L$4940,1,'Адресная программа'!$C$20:$C$4940,B323,'Адресная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программа'!$C$20:$C$4940,B323,'Адресная программа'!$G$20:$G$4940,"Бизнес центр")&gt;(SUMIFS('Адресная программа'!$K$20:$K$4940,'Адресная программа'!$L$20:$L$4940,1,'Адресная программа'!$C$20:$C$4940,B323,'Адресная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программа'!$C$20:$C$4940,B323,'Адресная программа'!$G$20:$G$4940,"Бизнес центр")&gt;(SUMIFS('Адресная программа'!$K$20:$K$4940,'Адресная программа'!$L$20:$L$4940,1,'Адресная программа'!$C$20:$C$4940,B323,'Адресная программа'!$G$20:$G$4940,"Бизнес центр")*'Цены|Скидки'!$B$55-1),'Цены|Скидки'!$C$55,0%))))</f>
        <v/>
      </c>
      <c r="H323" s="156">
        <f>D$12</f>
        <v/>
      </c>
      <c r="I323" s="190">
        <f>IF(D323=0,0,1-J323/F323)</f>
        <v/>
      </c>
      <c r="J323" s="934">
        <f>F323*(1-G323)*(1-H323)*(1-IF($AC$2="РА",$AD$2,0))*(1-IF(OR($AC$3="Доп скидка",$AC$3="Сезонная скидка",$AC$3="Welcome скидка")=TRUE,$AD$3,0))</f>
        <v/>
      </c>
      <c r="K323" s="934">
        <f>ROUND(J323+L323,2)</f>
        <v/>
      </c>
      <c r="L323" s="934">
        <f>J323*БЦ!$AD$4</f>
        <v/>
      </c>
      <c r="M323" s="159">
        <f>(SUMIFS('Адресная программа'!$H$20:$H$4288,'Адресная программа'!$I$20:$I$4288,БЦ_ALL!C323,'Адресная программа'!$C$20:$C$4288,БЦ_ALL!B323,'Адресная программа'!$N$20:$N$4288,1)*$K$7)</f>
        <v/>
      </c>
      <c r="N323" s="938">
        <f>IF(M323=0,0,J323/M323*1000)</f>
        <v/>
      </c>
      <c r="O323" s="389" t="n"/>
    </row>
    <row r="324" ht="14.4" customHeight="1">
      <c r="B324" s="253" t="inlineStr">
        <is>
          <t>Санкт-Петербург</t>
        </is>
      </c>
      <c r="C324" s="264" t="inlineStr">
        <is>
          <t>Gregorys Palace</t>
        </is>
      </c>
      <c r="D324" s="303">
        <f>SUMIFS('Адресная программа'!$K$2975:$K$4468,'Адресная программа'!$I$2975:$I$4468,БЦ_ALL!C324,'Адресная программа'!$C$2975:$C$4468,БЦ_ALL!B324,'Адресная программа'!$N$2975:$N$4468,1)</f>
        <v/>
      </c>
      <c r="E324" s="994">
        <f>'Цены|Скидки'!$E$25</f>
        <v/>
      </c>
      <c r="F324" s="942">
        <f>SUM(E324*D324*$K$7/15*$K$9)</f>
        <v/>
      </c>
      <c r="G324" s="156">
        <f>IF(SUMIFS('Адресная программа'!$O$20:$O$4940,'Адресная программа'!$N$20:$N$4940,1,'Адресная программа'!$C$20:$C$4940,B324,'Адресная программа'!$G$20:$G$4940,"Бизнес центр")=SUMIFS('Адресная программа'!$K$20:$K$4940,'Адресная программа'!$L$20:$L$4940,1,'Адресная программа'!$C$20:$C$4940,B324,'Адресная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программа'!$C$20:$C$4940,B324,'Адресная программа'!$G$20:$G$4940,"Бизнес центр")&gt;(SUMIFS('Адресная программа'!$K$20:$K$4940,'Адресная программа'!$L$20:$L$4940,1,'Адресная программа'!$C$20:$C$4940,B324,'Адресная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программа'!$C$20:$C$4940,B324,'Адресная программа'!$G$20:$G$4940,"Бизнес центр")&gt;(SUMIFS('Адресная программа'!$K$20:$K$4940,'Адресная программа'!$L$20:$L$4940,1,'Адресная программа'!$C$20:$C$4940,B324,'Адресная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программа'!$C$20:$C$4940,B324,'Адресная программа'!$G$20:$G$4940,"Бизнес центр")&gt;(SUMIFS('Адресная программа'!$K$20:$K$4940,'Адресная программа'!$L$20:$L$4940,1,'Адресная программа'!$C$20:$C$4940,B324,'Адресная программа'!$G$20:$G$4940,"Бизнес центр")*'Цены|Скидки'!$B$55-1),'Цены|Скидки'!$C$55,0%))))</f>
        <v/>
      </c>
      <c r="H324" s="156">
        <f>D$12</f>
        <v/>
      </c>
      <c r="I324" s="190">
        <f>IF(D324=0,0,1-J324/F324)</f>
        <v/>
      </c>
      <c r="J324" s="934">
        <f>F324*(1-G324)*(1-H324)*(1-IF($AC$2="РА",$AD$2,0))*(1-IF(OR($AC$3="Доп скидка",$AC$3="Сезонная скидка",$AC$3="Welcome скидка")=TRUE,$AD$3,0))</f>
        <v/>
      </c>
      <c r="K324" s="934">
        <f>ROUND(J324+L324,2)</f>
        <v/>
      </c>
      <c r="L324" s="934">
        <f>J324*БЦ!$AD$4</f>
        <v/>
      </c>
      <c r="M324" s="159">
        <f>(SUMIFS('Адресная программа'!$H$20:$H$4288,'Адресная программа'!$I$20:$I$4288,БЦ_ALL!C324,'Адресная программа'!$C$20:$C$4288,БЦ_ALL!B324,'Адресная программа'!$N$20:$N$4288,1)*$K$7)</f>
        <v/>
      </c>
      <c r="N324" s="938">
        <f>IF(M324=0,0,J324/M324*1000)</f>
        <v/>
      </c>
      <c r="O324" s="389" t="n"/>
    </row>
    <row r="325" ht="14.4" customHeight="1">
      <c r="B325" s="253" t="inlineStr">
        <is>
          <t>Санкт-Петербург</t>
        </is>
      </c>
      <c r="C325" s="264" t="inlineStr">
        <is>
          <t>СЕНАТОР на Б.Морской</t>
        </is>
      </c>
      <c r="D325" s="303">
        <f>SUMIFS('Адресная программа'!$K$2975:$K$4468,'Адресная программа'!$I$2975:$I$4468,БЦ_ALL!C325,'Адресная программа'!$C$2975:$C$4468,БЦ_ALL!B325,'Адресная программа'!$N$2975:$N$4468,1)</f>
        <v/>
      </c>
      <c r="E325" s="994">
        <f>'Цены|Скидки'!$E$25</f>
        <v/>
      </c>
      <c r="F325" s="942">
        <f>SUM(E325*D325*$K$7/15*$K$9)</f>
        <v/>
      </c>
      <c r="G325" s="156">
        <f>IF(SUMIFS('Адресная программа'!$O$20:$O$4940,'Адресная программа'!$N$20:$N$4940,1,'Адресная программа'!$C$20:$C$4940,B325,'Адресная программа'!$G$20:$G$4940,"Бизнес центр")=SUMIFS('Адресная программа'!$K$20:$K$4940,'Адресная программа'!$L$20:$L$4940,1,'Адресная программа'!$C$20:$C$4940,B325,'Адресная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программа'!$C$20:$C$4940,B325,'Адресная программа'!$G$20:$G$4940,"Бизнес центр")&gt;(SUMIFS('Адресная программа'!$K$20:$K$4940,'Адресная программа'!$L$20:$L$4940,1,'Адресная программа'!$C$20:$C$4940,B325,'Адресная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программа'!$C$20:$C$4940,B325,'Адресная программа'!$G$20:$G$4940,"Бизнес центр")&gt;(SUMIFS('Адресная программа'!$K$20:$K$4940,'Адресная программа'!$L$20:$L$4940,1,'Адресная программа'!$C$20:$C$4940,B325,'Адресная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программа'!$C$20:$C$4940,B325,'Адресная программа'!$G$20:$G$4940,"Бизнес центр")&gt;(SUMIFS('Адресная программа'!$K$20:$K$4940,'Адресная программа'!$L$20:$L$4940,1,'Адресная программа'!$C$20:$C$4940,B325,'Адресная программа'!$G$20:$G$4940,"Бизнес центр")*'Цены|Скидки'!$B$55-1),'Цены|Скидки'!$C$55,0%))))</f>
        <v/>
      </c>
      <c r="H325" s="156">
        <f>D$12</f>
        <v/>
      </c>
      <c r="I325" s="190">
        <f>IF(D325=0,0,1-J325/F325)</f>
        <v/>
      </c>
      <c r="J325" s="934">
        <f>F325*(1-G325)*(1-H325)*(1-IF($AC$2="РА",$AD$2,0))*(1-IF(OR($AC$3="Доп скидка",$AC$3="Сезонная скидка",$AC$3="Welcome скидка")=TRUE,$AD$3,0))</f>
        <v/>
      </c>
      <c r="K325" s="934">
        <f>ROUND(J325+L325,2)</f>
        <v/>
      </c>
      <c r="L325" s="934">
        <f>J325*БЦ!$AD$4</f>
        <v/>
      </c>
      <c r="M325" s="159">
        <f>(SUMIFS('Адресная программа'!$H$20:$H$4288,'Адресная программа'!$I$20:$I$4288,БЦ_ALL!C325,'Адресная программа'!$C$20:$C$4288,БЦ_ALL!B325,'Адресная программа'!$N$20:$N$4288,1)*$K$7)</f>
        <v/>
      </c>
      <c r="N325" s="938">
        <f>IF(M325=0,0,J325/M325*1000)</f>
        <v/>
      </c>
      <c r="O325" s="389" t="n"/>
    </row>
    <row r="326" ht="14.4" customHeight="1">
      <c r="B326" s="253" t="inlineStr">
        <is>
          <t>Санкт-Петербург</t>
        </is>
      </c>
      <c r="C326" s="264" t="inlineStr">
        <is>
          <t>СЕНАТОР Ткачи</t>
        </is>
      </c>
      <c r="D326" s="303">
        <f>SUMIFS('Адресная программа'!$K$2975:$K$4468,'Адресная программа'!$I$2975:$I$4468,БЦ_ALL!C326,'Адресная программа'!$C$2975:$C$4468,БЦ_ALL!B326,'Адресная программа'!$N$2975:$N$4468,1)</f>
        <v/>
      </c>
      <c r="E326" s="994">
        <f>'Цены|Скидки'!$E$25</f>
        <v/>
      </c>
      <c r="F326" s="942">
        <f>SUM(E326*D326*$K$7/15*$K$9)</f>
        <v/>
      </c>
      <c r="G326" s="156">
        <f>IF(SUMIFS('Адресная программа'!$O$20:$O$4940,'Адресная программа'!$N$20:$N$4940,1,'Адресная программа'!$C$20:$C$4940,B326,'Адресная программа'!$G$20:$G$4940,"Бизнес центр")=SUMIFS('Адресная программа'!$K$20:$K$4940,'Адресная программа'!$L$20:$L$4940,1,'Адресная программа'!$C$20:$C$4940,B326,'Адресная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программа'!$C$20:$C$4940,B326,'Адресная программа'!$G$20:$G$4940,"Бизнес центр")&gt;(SUMIFS('Адресная программа'!$K$20:$K$4940,'Адресная программа'!$L$20:$L$4940,1,'Адресная программа'!$C$20:$C$4940,B326,'Адресная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программа'!$C$20:$C$4940,B326,'Адресная программа'!$G$20:$G$4940,"Бизнес центр")&gt;(SUMIFS('Адресная программа'!$K$20:$K$4940,'Адресная программа'!$L$20:$L$4940,1,'Адресная программа'!$C$20:$C$4940,B326,'Адресная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программа'!$C$20:$C$4940,B326,'Адресная программа'!$G$20:$G$4940,"Бизнес центр")&gt;(SUMIFS('Адресная программа'!$K$20:$K$4940,'Адресная программа'!$L$20:$L$4940,1,'Адресная программа'!$C$20:$C$4940,B326,'Адресная программа'!$G$20:$G$4940,"Бизнес центр")*'Цены|Скидки'!$B$55-1),'Цены|Скидки'!$C$55,0%))))</f>
        <v/>
      </c>
      <c r="H326" s="156">
        <f>D$12</f>
        <v/>
      </c>
      <c r="I326" s="190">
        <f>IF(D326=0,0,1-J326/F326)</f>
        <v/>
      </c>
      <c r="J326" s="934">
        <f>F326*(1-G326)*(1-H326)*(1-IF($AC$2="РА",$AD$2,0))*(1-IF(OR($AC$3="Доп скидка",$AC$3="Сезонная скидка",$AC$3="Welcome скидка")=TRUE,$AD$3,0))</f>
        <v/>
      </c>
      <c r="K326" s="934">
        <f>ROUND(J326+L326,2)</f>
        <v/>
      </c>
      <c r="L326" s="934">
        <f>J326*БЦ!$AD$4</f>
        <v/>
      </c>
      <c r="M326" s="159">
        <f>(SUMIFS('Адресная программа'!$H$20:$H$4288,'Адресная программа'!$I$20:$I$4288,БЦ_ALL!C326,'Адресная программа'!$C$20:$C$4288,БЦ_ALL!B326,'Адресная программа'!$N$20:$N$4288,1)*$K$7)</f>
        <v/>
      </c>
      <c r="N326" s="938">
        <f>IF(M326=0,0,J326/M326*1000)</f>
        <v/>
      </c>
      <c r="O326" s="389" t="n"/>
    </row>
    <row r="327" ht="14.4" customHeight="1">
      <c r="B327" s="253" t="inlineStr">
        <is>
          <t>Санкт-Петербург</t>
        </is>
      </c>
      <c r="C327" s="264" t="inlineStr">
        <is>
          <t>Сити Центр</t>
        </is>
      </c>
      <c r="D327" s="303">
        <f>SUMIFS('Адресная программа'!$K$2975:$K$4468,'Адресная программа'!$I$2975:$I$4468,БЦ_ALL!C327,'Адресная программа'!$C$2975:$C$4468,БЦ_ALL!B327,'Адресная программа'!$N$2975:$N$4468,1)</f>
        <v/>
      </c>
      <c r="E327" s="994">
        <f>'Цены|Скидки'!$E$25</f>
        <v/>
      </c>
      <c r="F327" s="942">
        <f>SUM(E327*D327*$K$7/15*$K$9)</f>
        <v/>
      </c>
      <c r="G327" s="156">
        <f>IF(SUMIFS('Адресная программа'!$O$20:$O$4940,'Адресная программа'!$N$20:$N$4940,1,'Адресная программа'!$C$20:$C$4940,B327,'Адресная программа'!$G$20:$G$4940,"Бизнес центр")=SUMIFS('Адресная программа'!$K$20:$K$4940,'Адресная программа'!$L$20:$L$4940,1,'Адресная программа'!$C$20:$C$4940,B327,'Адресная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программа'!$C$20:$C$4940,B327,'Адресная программа'!$G$20:$G$4940,"Бизнес центр")&gt;(SUMIFS('Адресная программа'!$K$20:$K$4940,'Адресная программа'!$L$20:$L$4940,1,'Адресная программа'!$C$20:$C$4940,B327,'Адресная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программа'!$C$20:$C$4940,B327,'Адресная программа'!$G$20:$G$4940,"Бизнес центр")&gt;(SUMIFS('Адресная программа'!$K$20:$K$4940,'Адресная программа'!$L$20:$L$4940,1,'Адресная программа'!$C$20:$C$4940,B327,'Адресная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программа'!$C$20:$C$4940,B327,'Адресная программа'!$G$20:$G$4940,"Бизнес центр")&gt;(SUMIFS('Адресная программа'!$K$20:$K$4940,'Адресная программа'!$L$20:$L$4940,1,'Адресная программа'!$C$20:$C$4940,B327,'Адресная программа'!$G$20:$G$4940,"Бизнес центр")*'Цены|Скидки'!$B$55-1),'Цены|Скидки'!$C$55,0%))))</f>
        <v/>
      </c>
      <c r="H327" s="156">
        <f>D$12</f>
        <v/>
      </c>
      <c r="I327" s="190">
        <f>IF(D327=0,0,1-J327/F327)</f>
        <v/>
      </c>
      <c r="J327" s="934">
        <f>F327*(1-G327)*(1-H327)*(1-IF($AC$2="РА",$AD$2,0))*(1-IF(OR($AC$3="Доп скидка",$AC$3="Сезонная скидка",$AC$3="Welcome скидка")=TRUE,$AD$3,0))</f>
        <v/>
      </c>
      <c r="K327" s="934">
        <f>ROUND(J327+L327,2)</f>
        <v/>
      </c>
      <c r="L327" s="934">
        <f>J327*БЦ!$AD$4</f>
        <v/>
      </c>
      <c r="M327" s="159">
        <f>(SUMIFS('Адресная программа'!$H$20:$H$4288,'Адресная программа'!$I$20:$I$4288,БЦ_ALL!C327,'Адресная программа'!$C$20:$C$4288,БЦ_ALL!B327,'Адресная программа'!$N$20:$N$4288,1)*$K$7)</f>
        <v/>
      </c>
      <c r="N327" s="938">
        <f>IF(M327=0,0,J327/M327*1000)</f>
        <v/>
      </c>
      <c r="O327" s="389" t="n"/>
    </row>
    <row r="328" ht="14.4" customHeight="1">
      <c r="B328" s="253" t="inlineStr">
        <is>
          <t>Санкт-Петербург</t>
        </is>
      </c>
      <c r="C328" s="264" t="inlineStr">
        <is>
          <t>Business Box</t>
        </is>
      </c>
      <c r="D328" s="303">
        <f>SUMIFS('Адресная программа'!$K$2975:$K$4468,'Адресная программа'!$I$2975:$I$4468,БЦ_ALL!C328,'Адресная программа'!$C$2975:$C$4468,БЦ_ALL!B328,'Адресная программа'!$N$2975:$N$4468,1)</f>
        <v/>
      </c>
      <c r="E328" s="994">
        <f>'Цены|Скидки'!$E$25</f>
        <v/>
      </c>
      <c r="F328" s="942">
        <f>SUM(E328*D328*$K$7/15*$K$9)</f>
        <v/>
      </c>
      <c r="G328" s="156">
        <f>IF(SUMIFS('Адресная программа'!$O$20:$O$4940,'Адресная программа'!$N$20:$N$4940,1,'Адресная программа'!$C$20:$C$4940,B328,'Адресная программа'!$G$20:$G$4940,"Бизнес центр")=SUMIFS('Адресная программа'!$K$20:$K$4940,'Адресная программа'!$L$20:$L$4940,1,'Адресная программа'!$C$20:$C$4940,B328,'Адресная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программа'!$C$20:$C$4940,B328,'Адресная программа'!$G$20:$G$4940,"Бизнес центр")&gt;(SUMIFS('Адресная программа'!$K$20:$K$4940,'Адресная программа'!$L$20:$L$4940,1,'Адресная программа'!$C$20:$C$4940,B328,'Адресная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программа'!$C$20:$C$4940,B328,'Адресная программа'!$G$20:$G$4940,"Бизнес центр")&gt;(SUMIFS('Адресная программа'!$K$20:$K$4940,'Адресная программа'!$L$20:$L$4940,1,'Адресная программа'!$C$20:$C$4940,B328,'Адресная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программа'!$C$20:$C$4940,B328,'Адресная программа'!$G$20:$G$4940,"Бизнес центр")&gt;(SUMIFS('Адресная программа'!$K$20:$K$4940,'Адресная программа'!$L$20:$L$4940,1,'Адресная программа'!$C$20:$C$4940,B328,'Адресная программа'!$G$20:$G$4940,"Бизнес центр")*'Цены|Скидки'!$B$55-1),'Цены|Скидки'!$C$55,0%))))</f>
        <v/>
      </c>
      <c r="H328" s="156">
        <f>D$12</f>
        <v/>
      </c>
      <c r="I328" s="190">
        <f>IF(D328=0,0,1-J328/F328)</f>
        <v/>
      </c>
      <c r="J328" s="934">
        <f>F328*(1-G328)*(1-H328)*(1-IF($AC$2="РА",$AD$2,0))*(1-IF(OR($AC$3="Доп скидка",$AC$3="Сезонная скидка",$AC$3="Welcome скидка")=TRUE,$AD$3,0))</f>
        <v/>
      </c>
      <c r="K328" s="934">
        <f>ROUND(J328+L328,2)</f>
        <v/>
      </c>
      <c r="L328" s="934">
        <f>J328*БЦ!$AD$4</f>
        <v/>
      </c>
      <c r="M328" s="159">
        <f>(SUMIFS('Адресная программа'!$H$20:$H$4288,'Адресная программа'!$I$20:$I$4288,БЦ_ALL!C328,'Адресная программа'!$C$20:$C$4288,БЦ_ALL!B328,'Адресная программа'!$N$20:$N$4288,1)*$K$7)</f>
        <v/>
      </c>
      <c r="N328" s="938">
        <f>IF(M328=0,0,J328/M328*1000)</f>
        <v/>
      </c>
      <c r="O328" s="389" t="n"/>
    </row>
    <row r="329" ht="14.4" customHeight="1">
      <c r="B329" s="253" t="inlineStr">
        <is>
          <t>Санкт-Петербург</t>
        </is>
      </c>
      <c r="C329" s="264" t="inlineStr">
        <is>
          <t>65_СЕНАТОР на  Красноармейской</t>
        </is>
      </c>
      <c r="D329" s="303">
        <f>SUMIFS('Адресная программа'!$K$2975:$K$4468,'Адресная программа'!$I$2975:$I$4468,БЦ_ALL!C329,'Адресная программа'!$C$2975:$C$4468,БЦ_ALL!B329,'Адресная программа'!$N$2975:$N$4468,1)</f>
        <v/>
      </c>
      <c r="E329" s="994">
        <f>'Цены|Скидки'!$E$25</f>
        <v/>
      </c>
      <c r="F329" s="942">
        <f>SUM(E329*D329*$K$7/15*$K$9)</f>
        <v/>
      </c>
      <c r="G329" s="156">
        <f>IF(SUMIFS('Адресная программа'!$O$20:$O$4940,'Адресная программа'!$N$20:$N$4940,1,'Адресная программа'!$C$20:$C$4940,B329,'Адресная программа'!$G$20:$G$4940,"Бизнес центр")=SUMIFS('Адресная программа'!$K$20:$K$4940,'Адресная программа'!$L$20:$L$4940,1,'Адресная программа'!$C$20:$C$4940,B329,'Адресная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программа'!$C$20:$C$4940,B329,'Адресная программа'!$G$20:$G$4940,"Бизнес центр")&gt;(SUMIFS('Адресная программа'!$K$20:$K$4940,'Адресная программа'!$L$20:$L$4940,1,'Адресная программа'!$C$20:$C$4940,B329,'Адресная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программа'!$C$20:$C$4940,B329,'Адресная программа'!$G$20:$G$4940,"Бизнес центр")&gt;(SUMIFS('Адресная программа'!$K$20:$K$4940,'Адресная программа'!$L$20:$L$4940,1,'Адресная программа'!$C$20:$C$4940,B329,'Адресная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программа'!$C$20:$C$4940,B329,'Адресная программа'!$G$20:$G$4940,"Бизнес центр")&gt;(SUMIFS('Адресная программа'!$K$20:$K$4940,'Адресная программа'!$L$20:$L$4940,1,'Адресная программа'!$C$20:$C$4940,B329,'Адресная программа'!$G$20:$G$4940,"Бизнес центр")*'Цены|Скидки'!$B$55-1),'Цены|Скидки'!$C$55,0%))))</f>
        <v/>
      </c>
      <c r="H329" s="156">
        <f>D$12</f>
        <v/>
      </c>
      <c r="I329" s="190">
        <f>IF(D329=0,0,1-J329/F329)</f>
        <v/>
      </c>
      <c r="J329" s="934">
        <f>F329*(1-G329)*(1-H329)*(1-IF($AC$2="РА",$AD$2,0))*(1-IF(OR($AC$3="Доп скидка",$AC$3="Сезонная скидка",$AC$3="Welcome скидка")=TRUE,$AD$3,0))</f>
        <v/>
      </c>
      <c r="K329" s="934">
        <f>ROUND(J329+L329,2)</f>
        <v/>
      </c>
      <c r="L329" s="934">
        <f>J329*БЦ!$AD$4</f>
        <v/>
      </c>
      <c r="M329" s="159">
        <f>(SUMIFS('Адресная программа'!$H$20:$H$4288,'Адресная программа'!$I$20:$I$4288,БЦ_ALL!C329,'Адресная программа'!$C$20:$C$4288,БЦ_ALL!B329,'Адресная программа'!$N$20:$N$4288,1)*$K$7)</f>
        <v/>
      </c>
      <c r="N329" s="938">
        <f>IF(M329=0,0,J329/M329*1000)</f>
        <v/>
      </c>
      <c r="O329" s="389" t="n"/>
    </row>
    <row r="330" ht="14.4" customHeight="1">
      <c r="B330" s="253" t="inlineStr">
        <is>
          <t>Санкт-Петербург</t>
        </is>
      </c>
      <c r="C330" s="264" t="inlineStr">
        <is>
          <t>18_Бенуа</t>
        </is>
      </c>
      <c r="D330" s="303">
        <f>SUMIFS('Адресная программа'!$K$2975:$K$4468,'Адресная программа'!$I$2975:$I$4468,БЦ_ALL!C330,'Адресная программа'!$C$2975:$C$4468,БЦ_ALL!B330,'Адресная программа'!$N$2975:$N$4468,1)</f>
        <v/>
      </c>
      <c r="E330" s="994">
        <f>'Цены|Скидки'!$E$25</f>
        <v/>
      </c>
      <c r="F330" s="942">
        <f>SUM(E330*D330*$K$7/15*$K$9)</f>
        <v/>
      </c>
      <c r="G330" s="156">
        <f>IF(SUMIFS('Адресная программа'!$O$20:$O$4940,'Адресная программа'!$N$20:$N$4940,1,'Адресная программа'!$C$20:$C$4940,B330,'Адресная программа'!$G$20:$G$4940,"Бизнес центр")=SUMIFS('Адресная программа'!$K$20:$K$4940,'Адресная программа'!$L$20:$L$4940,1,'Адресная программа'!$C$20:$C$4940,B330,'Адресная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программа'!$C$20:$C$4940,B330,'Адресная программа'!$G$20:$G$4940,"Бизнес центр")&gt;(SUMIFS('Адресная программа'!$K$20:$K$4940,'Адресная программа'!$L$20:$L$4940,1,'Адресная программа'!$C$20:$C$4940,B330,'Адресная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программа'!$C$20:$C$4940,B330,'Адресная программа'!$G$20:$G$4940,"Бизнес центр")&gt;(SUMIFS('Адресная программа'!$K$20:$K$4940,'Адресная программа'!$L$20:$L$4940,1,'Адресная программа'!$C$20:$C$4940,B330,'Адресная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программа'!$C$20:$C$4940,B330,'Адресная программа'!$G$20:$G$4940,"Бизнес центр")&gt;(SUMIFS('Адресная программа'!$K$20:$K$4940,'Адресная программа'!$L$20:$L$4940,1,'Адресная программа'!$C$20:$C$4940,B330,'Адресная программа'!$G$20:$G$4940,"Бизнес центр")*'Цены|Скидки'!$B$55-1),'Цены|Скидки'!$C$55,0%))))</f>
        <v/>
      </c>
      <c r="H330" s="156">
        <f>D$12</f>
        <v/>
      </c>
      <c r="I330" s="190">
        <f>IF(D330=0,0,1-J330/F330)</f>
        <v/>
      </c>
      <c r="J330" s="934">
        <f>F330*(1-G330)*(1-H330)*(1-IF($AC$2="РА",$AD$2,0))*(1-IF(OR($AC$3="Доп скидка",$AC$3="Сезонная скидка",$AC$3="Welcome скидка")=TRUE,$AD$3,0))</f>
        <v/>
      </c>
      <c r="K330" s="934">
        <f>ROUND(J330+L330,2)</f>
        <v/>
      </c>
      <c r="L330" s="934">
        <f>J330*БЦ!$AD$4</f>
        <v/>
      </c>
      <c r="M330" s="159">
        <f>(SUMIFS('Адресная программа'!$H$20:$H$4288,'Адресная программа'!$I$20:$I$4288,БЦ_ALL!C330,'Адресная программа'!$C$20:$C$4288,БЦ_ALL!B330,'Адресная программа'!$N$20:$N$4288,1)*$K$7)</f>
        <v/>
      </c>
      <c r="N330" s="938">
        <f>IF(M330=0,0,J330/M330*1000)</f>
        <v/>
      </c>
      <c r="O330" s="317" t="n"/>
    </row>
    <row r="331" ht="14.4" customHeight="1">
      <c r="B331" s="253" t="inlineStr">
        <is>
          <t>Санкт-Петербург</t>
        </is>
      </c>
      <c r="C331" s="264" t="inlineStr">
        <is>
          <t>18_Зима</t>
        </is>
      </c>
      <c r="D331" s="303">
        <f>SUMIFS('Адресная программа'!$K$2975:$K$4468,'Адресная программа'!$I$2975:$I$4468,БЦ_ALL!C331,'Адресная программа'!$C$2975:$C$4468,БЦ_ALL!B331,'Адресная программа'!$N$2975:$N$4468,1)</f>
        <v/>
      </c>
      <c r="E331" s="994">
        <f>'Цены|Скидки'!$E$25</f>
        <v/>
      </c>
      <c r="F331" s="942">
        <f>SUM(E331*D331*$K$7/15*$K$9)</f>
        <v/>
      </c>
      <c r="G331" s="156">
        <f>IF(SUMIFS('Адресная программа'!$O$20:$O$4940,'Адресная программа'!$N$20:$N$4940,1,'Адресная программа'!$C$20:$C$4940,B331,'Адресная программа'!$G$20:$G$4940,"Бизнес центр")=SUMIFS('Адресная программа'!$K$20:$K$4940,'Адресная программа'!$L$20:$L$4940,1,'Адресная программа'!$C$20:$C$4940,B331,'Адресная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программа'!$C$20:$C$4940,B331,'Адресная программа'!$G$20:$G$4940,"Бизнес центр")&gt;(SUMIFS('Адресная программа'!$K$20:$K$4940,'Адресная программа'!$L$20:$L$4940,1,'Адресная программа'!$C$20:$C$4940,B331,'Адресная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программа'!$C$20:$C$4940,B331,'Адресная программа'!$G$20:$G$4940,"Бизнес центр")&gt;(SUMIFS('Адресная программа'!$K$20:$K$4940,'Адресная программа'!$L$20:$L$4940,1,'Адресная программа'!$C$20:$C$4940,B331,'Адресная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программа'!$C$20:$C$4940,B331,'Адресная программа'!$G$20:$G$4940,"Бизнес центр")&gt;(SUMIFS('Адресная программа'!$K$20:$K$4940,'Адресная программа'!$L$20:$L$4940,1,'Адресная программа'!$C$20:$C$4940,B331,'Адресная программа'!$G$20:$G$4940,"Бизнес центр")*'Цены|Скидки'!$B$55-1),'Цены|Скидки'!$C$55,0%))))</f>
        <v/>
      </c>
      <c r="H331" s="156">
        <f>D$12</f>
        <v/>
      </c>
      <c r="I331" s="190">
        <f>IF(D331=0,0,1-J331/F331)</f>
        <v/>
      </c>
      <c r="J331" s="934">
        <f>F331*(1-G331)*(1-H331)*(1-IF($AC$2="РА",$AD$2,0))*(1-IF(OR($AC$3="Доп скидка",$AC$3="Сезонная скидка",$AC$3="Welcome скидка")=TRUE,$AD$3,0))</f>
        <v/>
      </c>
      <c r="K331" s="934">
        <f>ROUND(J331+L331,2)</f>
        <v/>
      </c>
      <c r="L331" s="934">
        <f>J331*БЦ!$AD$4</f>
        <v/>
      </c>
      <c r="M331" s="159">
        <f>(SUMIFS('Адресная программа'!$H$20:$H$4288,'Адресная программа'!$I$20:$I$4288,БЦ_ALL!C331,'Адресная программа'!$C$20:$C$4288,БЦ_ALL!B331,'Адресная программа'!$N$20:$N$4288,1)*$K$7)</f>
        <v/>
      </c>
      <c r="N331" s="938">
        <f>IF(M331=0,0,J331/M331*1000)</f>
        <v/>
      </c>
      <c r="O331" s="317" t="n"/>
    </row>
    <row r="332" ht="14.4" customHeight="1">
      <c r="B332" s="253" t="inlineStr">
        <is>
          <t>Санкт-Петербург</t>
        </is>
      </c>
      <c r="C332" s="264" t="inlineStr">
        <is>
          <t>18_Лангензипен</t>
        </is>
      </c>
      <c r="D332" s="303">
        <f>SUMIFS('Адресная программа'!$K$2975:$K$4468,'Адресная программа'!$I$2975:$I$4468,БЦ_ALL!C332,'Адресная программа'!$C$2975:$C$4468,БЦ_ALL!B332,'Адресная программа'!$N$2975:$N$4468,1)</f>
        <v/>
      </c>
      <c r="E332" s="994">
        <f>'Цены|Скидки'!$E$25</f>
        <v/>
      </c>
      <c r="F332" s="942">
        <f>SUM(E332*D332*$K$7/15*$K$9)</f>
        <v/>
      </c>
      <c r="G332" s="156">
        <f>IF(SUMIFS('Адресная программа'!$O$20:$O$4940,'Адресная программа'!$N$20:$N$4940,1,'Адресная программа'!$C$20:$C$4940,B332,'Адресная программа'!$G$20:$G$4940,"Бизнес центр")=SUMIFS('Адресная программа'!$K$20:$K$4940,'Адресная программа'!$L$20:$L$4940,1,'Адресная программа'!$C$20:$C$4940,B332,'Адресная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программа'!$C$20:$C$4940,B332,'Адресная программа'!$G$20:$G$4940,"Бизнес центр")&gt;(SUMIFS('Адресная программа'!$K$20:$K$4940,'Адресная программа'!$L$20:$L$4940,1,'Адресная программа'!$C$20:$C$4940,B332,'Адресная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программа'!$C$20:$C$4940,B332,'Адресная программа'!$G$20:$G$4940,"Бизнес центр")&gt;(SUMIFS('Адресная программа'!$K$20:$K$4940,'Адресная программа'!$L$20:$L$4940,1,'Адресная программа'!$C$20:$C$4940,B332,'Адресная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программа'!$C$20:$C$4940,B332,'Адресная программа'!$G$20:$G$4940,"Бизнес центр")&gt;(SUMIFS('Адресная программа'!$K$20:$K$4940,'Адресная программа'!$L$20:$L$4940,1,'Адресная программа'!$C$20:$C$4940,B332,'Адресная программа'!$G$20:$G$4940,"Бизнес центр")*'Цены|Скидки'!$B$55-1),'Цены|Скидки'!$C$55,0%))))</f>
        <v/>
      </c>
      <c r="H332" s="156">
        <f>D$12</f>
        <v/>
      </c>
      <c r="I332" s="190">
        <f>IF(D332=0,0,1-J332/F332)</f>
        <v/>
      </c>
      <c r="J332" s="934">
        <f>F332*(1-G332)*(1-H332)*(1-IF($AC$2="РА",$AD$2,0))*(1-IF(OR($AC$3="Доп скидка",$AC$3="Сезонная скидка",$AC$3="Welcome скидка")=TRUE,$AD$3,0))</f>
        <v/>
      </c>
      <c r="K332" s="934">
        <f>ROUND(J332+L332,2)</f>
        <v/>
      </c>
      <c r="L332" s="934">
        <f>J332*БЦ!$AD$4</f>
        <v/>
      </c>
      <c r="M332" s="159">
        <f>(SUMIFS('Адресная программа'!$H$20:$H$4288,'Адресная программа'!$I$20:$I$4288,БЦ_ALL!C332,'Адресная программа'!$C$20:$C$4288,БЦ_ALL!B332,'Адресная программа'!$N$20:$N$4288,1)*$K$7)</f>
        <v/>
      </c>
      <c r="N332" s="938">
        <f>IF(M332=0,0,J332/M332*1000)</f>
        <v/>
      </c>
      <c r="O332" s="317" t="n"/>
    </row>
    <row r="333" ht="14.4" customHeight="1">
      <c r="B333" s="253" t="inlineStr">
        <is>
          <t>Санкт-Петербург</t>
        </is>
      </c>
      <c r="C333" s="264" t="inlineStr">
        <is>
          <t>18_Лето</t>
        </is>
      </c>
      <c r="D333" s="303">
        <f>SUMIFS('Адресная программа'!$K$2975:$K$4468,'Адресная программа'!$I$2975:$I$4468,БЦ_ALL!C333,'Адресная программа'!$C$2975:$C$4468,БЦ_ALL!B333,'Адресная программа'!$N$2975:$N$4468,1)</f>
        <v/>
      </c>
      <c r="E333" s="994">
        <f>'Цены|Скидки'!$E$25</f>
        <v/>
      </c>
      <c r="F333" s="942">
        <f>SUM(E333*D333*$K$7/15*$K$9)</f>
        <v/>
      </c>
      <c r="G333" s="156">
        <f>IF(SUMIFS('Адресная программа'!$O$20:$O$4940,'Адресная программа'!$N$20:$N$4940,1,'Адресная программа'!$C$20:$C$4940,B333,'Адресная программа'!$G$20:$G$4940,"Бизнес центр")=SUMIFS('Адресная программа'!$K$20:$K$4940,'Адресная программа'!$L$20:$L$4940,1,'Адресная программа'!$C$20:$C$4940,B333,'Адресная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программа'!$C$20:$C$4940,B333,'Адресная программа'!$G$20:$G$4940,"Бизнес центр")&gt;(SUMIFS('Адресная программа'!$K$20:$K$4940,'Адресная программа'!$L$20:$L$4940,1,'Адресная программа'!$C$20:$C$4940,B333,'Адресная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программа'!$C$20:$C$4940,B333,'Адресная программа'!$G$20:$G$4940,"Бизнес центр")&gt;(SUMIFS('Адресная программа'!$K$20:$K$4940,'Адресная программа'!$L$20:$L$4940,1,'Адресная программа'!$C$20:$C$4940,B333,'Адресная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программа'!$C$20:$C$4940,B333,'Адресная программа'!$G$20:$G$4940,"Бизнес центр")&gt;(SUMIFS('Адресная программа'!$K$20:$K$4940,'Адресная программа'!$L$20:$L$4940,1,'Адресная программа'!$C$20:$C$4940,B333,'Адресная программа'!$G$20:$G$4940,"Бизнес центр")*'Цены|Скидки'!$B$55-1),'Цены|Скидки'!$C$55,0%))))</f>
        <v/>
      </c>
      <c r="H333" s="156">
        <f>D$12</f>
        <v/>
      </c>
      <c r="I333" s="190">
        <f>IF(D333=0,0,1-J333/F333)</f>
        <v/>
      </c>
      <c r="J333" s="934">
        <f>F333*(1-G333)*(1-H333)*(1-IF($AC$2="РА",$AD$2,0))*(1-IF(OR($AC$3="Доп скидка",$AC$3="Сезонная скидка",$AC$3="Welcome скидка")=TRUE,$AD$3,0))</f>
        <v/>
      </c>
      <c r="K333" s="934">
        <f>ROUND(J333+L333,2)</f>
        <v/>
      </c>
      <c r="L333" s="934">
        <f>J333*БЦ!$AD$4</f>
        <v/>
      </c>
      <c r="M333" s="159">
        <f>(SUMIFS('Адресная программа'!$H$20:$H$4288,'Адресная программа'!$I$20:$I$4288,БЦ_ALL!C333,'Адресная программа'!$C$20:$C$4288,БЦ_ALL!B333,'Адресная программа'!$N$20:$N$4288,1)*$K$7)</f>
        <v/>
      </c>
      <c r="N333" s="938">
        <f>IF(M333=0,0,J333/M333*1000)</f>
        <v/>
      </c>
      <c r="O333" s="317" t="n"/>
    </row>
    <row r="334" ht="14.4" customHeight="1">
      <c r="B334" s="253" t="inlineStr">
        <is>
          <t>Санкт-Петербург</t>
        </is>
      </c>
      <c r="C334" s="264" t="inlineStr">
        <is>
          <t>18_Обухов-Центр</t>
        </is>
      </c>
      <c r="D334" s="303">
        <f>SUMIFS('Адресная программа'!$K$2975:$K$4468,'Адресная программа'!$I$2975:$I$4468,БЦ_ALL!C334,'Адресная программа'!$C$2975:$C$4468,БЦ_ALL!B334,'Адресная программа'!$N$2975:$N$4468,1)</f>
        <v/>
      </c>
      <c r="E334" s="994">
        <f>'Цены|Скидки'!$E$25</f>
        <v/>
      </c>
      <c r="F334" s="942">
        <f>SUM(E334*D334*$K$7/15*$K$9)</f>
        <v/>
      </c>
      <c r="G334" s="156">
        <f>IF(SUMIFS('Адресная программа'!$O$20:$O$4940,'Адресная программа'!$N$20:$N$4940,1,'Адресная программа'!$C$20:$C$4940,B334,'Адресная программа'!$G$20:$G$4940,"Бизнес центр")=SUMIFS('Адресная программа'!$K$20:$K$4940,'Адресная программа'!$L$20:$L$4940,1,'Адресная программа'!$C$20:$C$4940,B334,'Адресная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программа'!$C$20:$C$4940,B334,'Адресная программа'!$G$20:$G$4940,"Бизнес центр")&gt;(SUMIFS('Адресная программа'!$K$20:$K$4940,'Адресная программа'!$L$20:$L$4940,1,'Адресная программа'!$C$20:$C$4940,B334,'Адресная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программа'!$C$20:$C$4940,B334,'Адресная программа'!$G$20:$G$4940,"Бизнес центр")&gt;(SUMIFS('Адресная программа'!$K$20:$K$4940,'Адресная программа'!$L$20:$L$4940,1,'Адресная программа'!$C$20:$C$4940,B334,'Адресная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программа'!$C$20:$C$4940,B334,'Адресная программа'!$G$20:$G$4940,"Бизнес центр")&gt;(SUMIFS('Адресная программа'!$K$20:$K$4940,'Адресная программа'!$L$20:$L$4940,1,'Адресная программа'!$C$20:$C$4940,B334,'Адресная программа'!$G$20:$G$4940,"Бизнес центр")*'Цены|Скидки'!$B$55-1),'Цены|Скидки'!$C$55,0%))))</f>
        <v/>
      </c>
      <c r="H334" s="156">
        <f>D$12</f>
        <v/>
      </c>
      <c r="I334" s="190">
        <f>IF(D334=0,0,1-J334/F334)</f>
        <v/>
      </c>
      <c r="J334" s="934">
        <f>F334*(1-G334)*(1-H334)*(1-IF($AC$2="РА",$AD$2,0))*(1-IF(OR($AC$3="Доп скидка",$AC$3="Сезонная скидка",$AC$3="Welcome скидка")=TRUE,$AD$3,0))</f>
        <v/>
      </c>
      <c r="K334" s="934">
        <f>ROUND(J334+L334,2)</f>
        <v/>
      </c>
      <c r="L334" s="934">
        <f>J334*БЦ!$AD$4</f>
        <v/>
      </c>
      <c r="M334" s="159">
        <f>(SUMIFS('Адресная программа'!$H$20:$H$4288,'Адресная программа'!$I$20:$I$4288,БЦ_ALL!C334,'Адресная программа'!$C$20:$C$4288,БЦ_ALL!B334,'Адресная программа'!$N$20:$N$4288,1)*$K$7)</f>
        <v/>
      </c>
      <c r="N334" s="938">
        <f>IF(M334=0,0,J334/M334*1000)</f>
        <v/>
      </c>
      <c r="O334" s="317" t="n"/>
    </row>
    <row r="335" ht="14.4" customHeight="1">
      <c r="B335" s="253" t="inlineStr">
        <is>
          <t>Санкт-Петербург</t>
        </is>
      </c>
      <c r="C335" s="264" t="inlineStr">
        <is>
          <t>18_Осень</t>
        </is>
      </c>
      <c r="D335" s="303">
        <f>SUMIFS('Адресная программа'!$K$2975:$K$4468,'Адресная программа'!$I$2975:$I$4468,БЦ_ALL!C335,'Адресная программа'!$C$2975:$C$4468,БЦ_ALL!B335,'Адресная программа'!$N$2975:$N$4468,1)</f>
        <v/>
      </c>
      <c r="E335" s="994">
        <f>'Цены|Скидки'!$E$25</f>
        <v/>
      </c>
      <c r="F335" s="942">
        <f>SUM(E335*D335*$K$7/15*$K$9)</f>
        <v/>
      </c>
      <c r="G335" s="156">
        <f>IF(SUMIFS('Адресная программа'!$O$20:$O$4940,'Адресная программа'!$N$20:$N$4940,1,'Адресная программа'!$C$20:$C$4940,B335,'Адресная программа'!$G$20:$G$4940,"Бизнес центр")=SUMIFS('Адресная программа'!$K$20:$K$4940,'Адресная программа'!$L$20:$L$4940,1,'Адресная программа'!$C$20:$C$4940,B335,'Адресная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программа'!$C$20:$C$4940,B335,'Адресная программа'!$G$20:$G$4940,"Бизнес центр")&gt;(SUMIFS('Адресная программа'!$K$20:$K$4940,'Адресная программа'!$L$20:$L$4940,1,'Адресная программа'!$C$20:$C$4940,B335,'Адресная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программа'!$C$20:$C$4940,B335,'Адресная программа'!$G$20:$G$4940,"Бизнес центр")&gt;(SUMIFS('Адресная программа'!$K$20:$K$4940,'Адресная программа'!$L$20:$L$4940,1,'Адресная программа'!$C$20:$C$4940,B335,'Адресная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программа'!$C$20:$C$4940,B335,'Адресная программа'!$G$20:$G$4940,"Бизнес центр")&gt;(SUMIFS('Адресная программа'!$K$20:$K$4940,'Адресная программа'!$L$20:$L$4940,1,'Адресная программа'!$C$20:$C$4940,B335,'Адресная программа'!$G$20:$G$4940,"Бизнес центр")*'Цены|Скидки'!$B$55-1),'Цены|Скидки'!$C$55,0%))))</f>
        <v/>
      </c>
      <c r="H335" s="156">
        <f>D$12</f>
        <v/>
      </c>
      <c r="I335" s="190">
        <f>IF(D335=0,0,1-J335/F335)</f>
        <v/>
      </c>
      <c r="J335" s="934">
        <f>F335*(1-G335)*(1-H335)*(1-IF($AC$2="РА",$AD$2,0))*(1-IF(OR($AC$3="Доп скидка",$AC$3="Сезонная скидка",$AC$3="Welcome скидка")=TRUE,$AD$3,0))</f>
        <v/>
      </c>
      <c r="K335" s="934">
        <f>ROUND(J335+L335,2)</f>
        <v/>
      </c>
      <c r="L335" s="934">
        <f>J335*БЦ!$AD$4</f>
        <v/>
      </c>
      <c r="M335" s="159">
        <f>(SUMIFS('Адресная программа'!$H$20:$H$4288,'Адресная программа'!$I$20:$I$4288,БЦ_ALL!C335,'Адресная программа'!$C$20:$C$4288,БЦ_ALL!B335,'Адресная программа'!$N$20:$N$4288,1)*$K$7)</f>
        <v/>
      </c>
      <c r="N335" s="938">
        <f>IF(M335=0,0,J335/M335*1000)</f>
        <v/>
      </c>
      <c r="O335" s="317" t="n"/>
    </row>
    <row r="336" ht="14.4" customHeight="1">
      <c r="B336" s="253" t="inlineStr">
        <is>
          <t>Санкт-Петербург</t>
        </is>
      </c>
      <c r="C336" s="264" t="inlineStr">
        <is>
          <t>18_Т-4</t>
        </is>
      </c>
      <c r="D336" s="303">
        <f>SUMIFS('Адресная программа'!$K$2975:$K$4468,'Адресная программа'!$I$2975:$I$4468,БЦ_ALL!C336,'Адресная программа'!$C$2975:$C$4468,БЦ_ALL!B336,'Адресная программа'!$N$2975:$N$4468,1)</f>
        <v/>
      </c>
      <c r="E336" s="994">
        <f>'Цены|Скидки'!$E$25</f>
        <v/>
      </c>
      <c r="F336" s="942">
        <f>SUM(E336*D336*$K$7/15*$K$9)</f>
        <v/>
      </c>
      <c r="G336" s="156">
        <f>IF(SUMIFS('Адресная программа'!$O$20:$O$4940,'Адресная программа'!$N$20:$N$4940,1,'Адресная программа'!$C$20:$C$4940,B336,'Адресная программа'!$G$20:$G$4940,"Бизнес центр")=SUMIFS('Адресная программа'!$K$20:$K$4940,'Адресная программа'!$L$20:$L$4940,1,'Адресная программа'!$C$20:$C$4940,B336,'Адресная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программа'!$C$20:$C$4940,B336,'Адресная программа'!$G$20:$G$4940,"Бизнес центр")&gt;(SUMIFS('Адресная программа'!$K$20:$K$4940,'Адресная программа'!$L$20:$L$4940,1,'Адресная программа'!$C$20:$C$4940,B336,'Адресная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программа'!$C$20:$C$4940,B336,'Адресная программа'!$G$20:$G$4940,"Бизнес центр")&gt;(SUMIFS('Адресная программа'!$K$20:$K$4940,'Адресная программа'!$L$20:$L$4940,1,'Адресная программа'!$C$20:$C$4940,B336,'Адресная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программа'!$C$20:$C$4940,B336,'Адресная программа'!$G$20:$G$4940,"Бизнес центр")&gt;(SUMIFS('Адресная программа'!$K$20:$K$4940,'Адресная программа'!$L$20:$L$4940,1,'Адресная программа'!$C$20:$C$4940,B336,'Адресная программа'!$G$20:$G$4940,"Бизнес центр")*'Цены|Скидки'!$B$55-1),'Цены|Скидки'!$C$55,0%))))</f>
        <v/>
      </c>
      <c r="H336" s="156">
        <f>D$12</f>
        <v/>
      </c>
      <c r="I336" s="190">
        <f>IF(D336=0,0,1-J336/F336)</f>
        <v/>
      </c>
      <c r="J336" s="934">
        <f>F336*(1-G336)*(1-H336)*(1-IF($AC$2="РА",$AD$2,0))*(1-IF(OR($AC$3="Доп скидка",$AC$3="Сезонная скидка",$AC$3="Welcome скидка")=TRUE,$AD$3,0))</f>
        <v/>
      </c>
      <c r="K336" s="934">
        <f>ROUND(J336+L336,2)</f>
        <v/>
      </c>
      <c r="L336" s="934">
        <f>J336*БЦ!$AD$4</f>
        <v/>
      </c>
      <c r="M336" s="159">
        <f>(SUMIFS('Адресная программа'!$H$20:$H$4288,'Адресная программа'!$I$20:$I$4288,БЦ_ALL!C336,'Адресная программа'!$C$20:$C$4288,БЦ_ALL!B336,'Адресная программа'!$N$20:$N$4288,1)*$K$7)</f>
        <v/>
      </c>
      <c r="N336" s="938">
        <f>IF(M336=0,0,J336/M336*1000)</f>
        <v/>
      </c>
      <c r="O336" s="317" t="n"/>
    </row>
    <row r="337" ht="14.4" customHeight="1">
      <c r="B337" s="253" t="inlineStr">
        <is>
          <t>Санкт-Петербург</t>
        </is>
      </c>
      <c r="C337" s="264" t="inlineStr">
        <is>
          <t>18_Эврика</t>
        </is>
      </c>
      <c r="D337" s="303">
        <f>SUMIFS('Адресная программа'!$K$2975:$K$4468,'Адресная программа'!$I$2975:$I$4468,БЦ_ALL!C337,'Адресная программа'!$C$2975:$C$4468,БЦ_ALL!B337,'Адресная программа'!$N$2975:$N$4468,1)</f>
        <v/>
      </c>
      <c r="E337" s="994">
        <f>'Цены|Скидки'!$E$25</f>
        <v/>
      </c>
      <c r="F337" s="942">
        <f>SUM(E337*D337*$K$7/15*$K$9)</f>
        <v/>
      </c>
      <c r="G337" s="156">
        <f>IF(SUMIFS('Адресная программа'!$O$20:$O$4940,'Адресная программа'!$N$20:$N$4940,1,'Адресная программа'!$C$20:$C$4940,B337,'Адресная программа'!$G$20:$G$4940,"Бизнес центр")=SUMIFS('Адресная программа'!$K$20:$K$4940,'Адресная программа'!$L$20:$L$4940,1,'Адресная программа'!$C$20:$C$4940,B337,'Адресная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программа'!$C$20:$C$4940,B337,'Адресная программа'!$G$20:$G$4940,"Бизнес центр")&gt;(SUMIFS('Адресная программа'!$K$20:$K$4940,'Адресная программа'!$L$20:$L$4940,1,'Адресная программа'!$C$20:$C$4940,B337,'Адресная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программа'!$C$20:$C$4940,B337,'Адресная программа'!$G$20:$G$4940,"Бизнес центр")&gt;(SUMIFS('Адресная программа'!$K$20:$K$4940,'Адресная программа'!$L$20:$L$4940,1,'Адресная программа'!$C$20:$C$4940,B337,'Адресная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программа'!$C$20:$C$4940,B337,'Адресная программа'!$G$20:$G$4940,"Бизнес центр")&gt;(SUMIFS('Адресная программа'!$K$20:$K$4940,'Адресная программа'!$L$20:$L$4940,1,'Адресная программа'!$C$20:$C$4940,B337,'Адресная программа'!$G$20:$G$4940,"Бизнес центр")*'Цены|Скидки'!$B$55-1),'Цены|Скидки'!$C$55,0%))))</f>
        <v/>
      </c>
      <c r="H337" s="156">
        <f>D$12</f>
        <v/>
      </c>
      <c r="I337" s="190">
        <f>IF(D337=0,0,1-J337/F337)</f>
        <v/>
      </c>
      <c r="J337" s="934">
        <f>F337*(1-G337)*(1-H337)*(1-IF($AC$2="РА",$AD$2,0))*(1-IF(OR($AC$3="Доп скидка",$AC$3="Сезонная скидка",$AC$3="Welcome скидка")=TRUE,$AD$3,0))</f>
        <v/>
      </c>
      <c r="K337" s="934">
        <f>ROUND(J337+L337,2)</f>
        <v/>
      </c>
      <c r="L337" s="934">
        <f>J337*БЦ!$AD$4</f>
        <v/>
      </c>
      <c r="M337" s="159">
        <f>(SUMIFS('Адресная программа'!$H$20:$H$4288,'Адресная программа'!$I$20:$I$4288,БЦ_ALL!C337,'Адресная программа'!$C$20:$C$4288,БЦ_ALL!B337,'Адресная программа'!$N$20:$N$4288,1)*$K$7)</f>
        <v/>
      </c>
      <c r="N337" s="938">
        <f>IF(M337=0,0,J337/M337*1000)</f>
        <v/>
      </c>
      <c r="O337" s="317" t="n"/>
    </row>
    <row r="338" ht="14.4" customHeight="1">
      <c r="B338" s="253" t="inlineStr">
        <is>
          <t>Санкт-Петербург</t>
        </is>
      </c>
      <c r="C338" s="264" t="inlineStr">
        <is>
          <t>18_Феррум</t>
        </is>
      </c>
      <c r="D338" s="303">
        <f>SUMIFS('Адресная программа'!$K$2975:$K$4468,'Адресная программа'!$I$2975:$I$4468,БЦ_ALL!C338,'Адресная программа'!$C$2975:$C$4468,БЦ_ALL!B338,'Адресная программа'!$N$2975:$N$4468,1)</f>
        <v/>
      </c>
      <c r="E338" s="994">
        <f>'Цены|Скидки'!$E$25</f>
        <v/>
      </c>
      <c r="F338" s="942">
        <f>SUM(E338*D338*$K$7/15*$K$9)</f>
        <v/>
      </c>
      <c r="G338" s="156">
        <f>IF(SUMIFS('Адресная программа'!$O$20:$O$4940,'Адресная программа'!$N$20:$N$4940,1,'Адресная программа'!$C$20:$C$4940,B338,'Адресная программа'!$G$20:$G$4940,"Бизнес центр")=SUMIFS('Адресная программа'!$K$20:$K$4940,'Адресная программа'!$L$20:$L$4940,1,'Адресная программа'!$C$20:$C$4940,B338,'Адресная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программа'!$C$20:$C$4940,B338,'Адресная программа'!$G$20:$G$4940,"Бизнес центр")&gt;(SUMIFS('Адресная программа'!$K$20:$K$4940,'Адресная программа'!$L$20:$L$4940,1,'Адресная программа'!$C$20:$C$4940,B338,'Адресная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программа'!$C$20:$C$4940,B338,'Адресная программа'!$G$20:$G$4940,"Бизнес центр")&gt;(SUMIFS('Адресная программа'!$K$20:$K$4940,'Адресная программа'!$L$20:$L$4940,1,'Адресная программа'!$C$20:$C$4940,B338,'Адресная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программа'!$C$20:$C$4940,B338,'Адресная программа'!$G$20:$G$4940,"Бизнес центр")&gt;(SUMIFS('Адресная программа'!$K$20:$K$4940,'Адресная программа'!$L$20:$L$4940,1,'Адресная программа'!$C$20:$C$4940,B338,'Адресная программа'!$G$20:$G$4940,"Бизнес центр")*'Цены|Скидки'!$B$55-1),'Цены|Скидки'!$C$55,0%))))</f>
        <v/>
      </c>
      <c r="H338" s="156">
        <f>D$12</f>
        <v/>
      </c>
      <c r="I338" s="190">
        <f>IF(D338=0,0,1-J338/F338)</f>
        <v/>
      </c>
      <c r="J338" s="934">
        <f>F338*(1-G338)*(1-H338)*(1-IF($AC$2="РА",$AD$2,0))*(1-IF(OR($AC$3="Доп скидка",$AC$3="Сезонная скидка",$AC$3="Welcome скидка")=TRUE,$AD$3,0))</f>
        <v/>
      </c>
      <c r="K338" s="934">
        <f>ROUND(J338+L338,2)</f>
        <v/>
      </c>
      <c r="L338" s="934">
        <f>J338*БЦ!$AD$4</f>
        <v/>
      </c>
      <c r="M338" s="159">
        <f>(SUMIFS('Адресная программа'!$H$20:$H$4288,'Адресная программа'!$I$20:$I$4288,БЦ_ALL!C338,'Адресная программа'!$C$20:$C$4288,БЦ_ALL!B338,'Адресная программа'!$N$20:$N$4288,1)*$K$7)</f>
        <v/>
      </c>
      <c r="N338" s="938">
        <f>IF(M338=0,0,J338/M338*1000)</f>
        <v/>
      </c>
      <c r="O338" s="317" t="n"/>
    </row>
    <row r="339" ht="14.4" customHeight="1">
      <c r="B339" s="253" t="inlineStr">
        <is>
          <t>Санкт-Петербург</t>
        </is>
      </c>
      <c r="C339" s="264" t="inlineStr">
        <is>
          <t>Сенатор на Одоевского</t>
        </is>
      </c>
      <c r="D339" s="303">
        <f>SUMIFS('Адресная программа'!$K$2975:$K$4468,'Адресная программа'!$I$2975:$I$4468,БЦ_ALL!C339,'Адресная программа'!$C$2975:$C$4468,БЦ_ALL!B339,'Адресная программа'!$N$2975:$N$4468,1)</f>
        <v/>
      </c>
      <c r="E339" s="994">
        <f>'Цены|Скидки'!$E$25</f>
        <v/>
      </c>
      <c r="F339" s="942">
        <f>SUM(E339*D339*$K$7/15*$K$9)</f>
        <v/>
      </c>
      <c r="G339" s="156">
        <f>IF(SUMIFS('Адресная программа'!$O$20:$O$4940,'Адресная программа'!$N$20:$N$4940,1,'Адресная программа'!$C$20:$C$4940,B339,'Адресная программа'!$G$20:$G$4940,"Бизнес центр")=SUMIFS('Адресная программа'!$K$20:$K$4940,'Адресная программа'!$L$20:$L$4940,1,'Адресная программа'!$C$20:$C$4940,B339,'Адресная программа'!$G$20:$G$4940,"Бизнес центр"),'Цены|Скидки'!$C$52,IF(SUMIFS('Адресная программа'!$O$20:$O$4940,'Адресная программа'!$N$20:$N$4940,1,'Адресная программа'!$C$20:$C$4940,B339,'Адресная программа'!$G$20:$G$4940,"Бизнес центр")&gt;(SUMIFS('Адресная программа'!$K$20:$K$4940,'Адресная программа'!$L$20:$L$4940,1,'Адресная программа'!$C$20:$C$4940,B339,'Адресная программа'!$G$20:$G$4940,"Бизнес центр")*'Цены|Скидки'!$B$53-1),'Цены|Скидки'!$C$53,IF(SUMIFS('Адресная программа'!$O$20:$O$4940,'Адресная программа'!$N$20:$N$4940,1,'Адресная программа'!$C$20:$C$4940,B339,'Адресная программа'!$G$20:$G$4940,"Бизнес центр")&gt;(SUMIFS('Адресная программа'!$K$20:$K$4940,'Адресная программа'!$L$20:$L$4940,1,'Адресная программа'!$C$20:$C$4940,B339,'Адресная программа'!$G$20:$G$4940,"Бизнес центр")*'Цены|Скидки'!$B$54-1),'Цены|Скидки'!$C$54,IF(SUMIFS('Адресная программа'!$O$20:$O$4940,'Адресная программа'!$N$20:$N$4940,1,'Адресная программа'!$C$20:$C$4940,B339,'Адресная программа'!$G$20:$G$4940,"Бизнес центр")&gt;(SUMIFS('Адресная программа'!$K$20:$K$4940,'Адресная программа'!$L$20:$L$4940,1,'Адресная программа'!$C$20:$C$4940,B339,'Адресная программа'!$G$20:$G$4940,"Бизнес центр")*'Цены|Скидки'!$B$55-1),'Цены|Скидки'!$C$55,0%))))</f>
        <v/>
      </c>
      <c r="H339" s="156">
        <f>D$12</f>
        <v/>
      </c>
      <c r="I339" s="190">
        <f>IF(D339=0,0,1-J339/F339)</f>
        <v/>
      </c>
      <c r="J339" s="934">
        <f>F339*(1-G339)*(1-H339)*(1-IF($AC$2="РА",$AD$2,0))*(1-IF(OR($AC$3="Доп скидка",$AC$3="Сезонная скидка",$AC$3="Welcome скидка")=TRUE,$AD$3,0))</f>
        <v/>
      </c>
      <c r="K339" s="934">
        <f>ROUND(J339+L339,2)</f>
        <v/>
      </c>
      <c r="L339" s="934">
        <f>J339*БЦ!$AD$4</f>
        <v/>
      </c>
      <c r="M339" s="159">
        <f>(SUMIFS('Адресная программа'!$H$20:$H$4288,'Адресная программа'!$I$20:$I$4288,БЦ_ALL!C339,'Адресная программа'!$C$20:$C$4288,БЦ_ALL!B339,'Адресная программа'!$N$20:$N$4288,1)*$K$7)</f>
        <v/>
      </c>
      <c r="N339" s="938">
        <f>IF(M339=0,0,J339/M339*1000)</f>
        <v/>
      </c>
      <c r="O339" s="317" t="n"/>
    </row>
    <row r="340" ht="14.4" customHeight="1">
      <c r="B340" s="484" t="n"/>
      <c r="C340" s="485" t="n"/>
      <c r="D340" s="396" t="n"/>
      <c r="E340" s="995" t="n"/>
      <c r="F340" s="996" t="n"/>
      <c r="G340" s="488" t="n"/>
      <c r="H340" s="488" t="n"/>
      <c r="I340" s="489" t="n"/>
      <c r="J340" s="997" t="n"/>
      <c r="K340" s="997" t="n"/>
      <c r="L340" s="997" t="n"/>
      <c r="M340" s="243" t="n"/>
      <c r="N340" s="957" t="n"/>
      <c r="O340" s="317" t="n"/>
    </row>
    <row r="343">
      <c r="D343" s="84">
        <f>SUBTOTAL(9,D22:D338)</f>
        <v/>
      </c>
      <c r="F343" s="941">
        <f>SUBTOTAL(9,F22:F338)</f>
        <v/>
      </c>
      <c r="J343" s="941">
        <f>SUBTOTAL(9,J22:J338)</f>
        <v/>
      </c>
      <c r="K343" s="940">
        <f>SUBTOTAL(9,K22:K338)</f>
        <v/>
      </c>
      <c r="L343" s="941">
        <f>SUBTOTAL(9,L22:L338)</f>
        <v/>
      </c>
      <c r="M343" s="259">
        <f>SUBTOTAL(9,M22:M338)</f>
        <v/>
      </c>
      <c r="N343" s="943">
        <f>IF(M343=0,0,J343/M343*1000)</f>
        <v/>
      </c>
    </row>
  </sheetData>
  <autoFilter ref="B21:N338"/>
  <mergeCells count="33">
    <mergeCell ref="B16:C16"/>
    <mergeCell ref="I6:J6"/>
    <mergeCell ref="B7:C7"/>
    <mergeCell ref="B3:C3"/>
    <mergeCell ref="I11:J11"/>
    <mergeCell ref="B12:C12"/>
    <mergeCell ref="B10:D10"/>
    <mergeCell ref="I16:J16"/>
    <mergeCell ref="B11:C11"/>
    <mergeCell ref="I7:J7"/>
    <mergeCell ref="B14:C14"/>
    <mergeCell ref="B17:C17"/>
    <mergeCell ref="B15:D15"/>
    <mergeCell ref="B8:C8"/>
    <mergeCell ref="B20:D20"/>
    <mergeCell ref="I3:J3"/>
    <mergeCell ref="B13:C13"/>
    <mergeCell ref="I12:J12"/>
    <mergeCell ref="I5:J5"/>
    <mergeCell ref="I8:J8"/>
    <mergeCell ref="B9:C9"/>
    <mergeCell ref="I14:J14"/>
    <mergeCell ref="I17:J17"/>
    <mergeCell ref="I15:K15"/>
    <mergeCell ref="B6:C6"/>
    <mergeCell ref="I4:J4"/>
    <mergeCell ref="I2:K2"/>
    <mergeCell ref="I10:J10"/>
    <mergeCell ref="B5:C5"/>
    <mergeCell ref="I9:J9"/>
    <mergeCell ref="I13:J13"/>
    <mergeCell ref="B4:C4"/>
    <mergeCell ref="B2:D2"/>
  </mergeCells>
  <dataValidations disablePrompts="1" count="2">
    <dataValidation sqref="AC2" showDropDown="0" showInputMessage="1" showErrorMessage="1" allowBlank="1" type="list">
      <formula1>$AN$2:$AN$3</formula1>
    </dataValidation>
    <dataValidation sqref="AC3" showDropDown="0" showInputMessage="1" showErrorMessage="1" allowBlank="1" type="list">
      <formula1>$AP$3:$AP$5</formula1>
    </dataValidation>
  </dataValidations>
  <pageMargins left="0.7" right="0.7" top="0.75" bottom="0.75" header="0.3" footer="0.3"/>
  <pageSetup orientation="portrait" paperSize="9" horizontalDpi="1200" verticalDpi="1200"/>
</worksheet>
</file>

<file path=xl/worksheets/sheet11.xml><?xml version="1.0" encoding="utf-8"?>
<worksheet xmlns="http://schemas.openxmlformats.org/spreadsheetml/2006/main">
  <sheetPr codeName="Лист3" filterMode="1">
    <outlinePr summaryBelow="1" summaryRight="1"/>
    <pageSetUpPr fitToPage="1"/>
  </sheetPr>
  <dimension ref="A1:AA4056"/>
  <sheetViews>
    <sheetView showGridLines="0" zoomScale="115" zoomScaleNormal="115" zoomScalePageLayoutView="85" workbookViewId="0">
      <pane ySplit="19" topLeftCell="A20" activePane="bottomLeft" state="frozen"/>
      <selection activeCell="E16" sqref="E16"/>
      <selection pane="bottomLeft" activeCell="D4070" sqref="D4070"/>
    </sheetView>
  </sheetViews>
  <sheetFormatPr baseColWidth="8" defaultColWidth="9.21875" defaultRowHeight="14.4" outlineLevelRow="1"/>
  <cols>
    <col width="5.21875" customWidth="1" style="1" min="1" max="1"/>
    <col width="3.44140625" customWidth="1" style="1" min="2" max="2"/>
    <col width="18.77734375" customWidth="1" style="1" min="3" max="3"/>
    <col width="23.21875" customWidth="1" style="1" min="4" max="4"/>
    <col hidden="1" outlineLevel="1" width="20.77734375" customWidth="1" style="1" min="5" max="5"/>
    <col collapsed="1" width="18.77734375" customWidth="1" style="1" min="6" max="6"/>
    <col width="18.77734375" customWidth="1" style="1" min="7" max="7"/>
    <col hidden="1" outlineLevel="1" width="20.77734375" customWidth="1" style="1" min="8" max="8"/>
    <col collapsed="1" width="21.77734375" customWidth="1" style="405" min="9" max="9"/>
    <col width="25" customWidth="1" style="409" min="10" max="10"/>
    <col hidden="1" width="9.5546875" customWidth="1" style="1" min="11" max="11"/>
    <col hidden="1" width="10.21875" customWidth="1" style="1" min="12" max="12"/>
    <col hidden="1" outlineLevel="1" width="30.77734375" customWidth="1" style="625" min="13" max="13"/>
    <col collapsed="1" width="8.44140625" customWidth="1" style="3" min="14" max="14"/>
    <col width="9" customWidth="1" style="3" min="15" max="15"/>
    <col width="80.44140625" customWidth="1" style="1" min="16" max="16"/>
    <col width="14" customWidth="1" style="1" min="17" max="17"/>
    <col width="12.5546875" customWidth="1" style="317" min="18" max="18"/>
    <col hidden="1" width="12.44140625" customWidth="1" style="387" min="19" max="19"/>
    <col hidden="1" width="11.44140625" customWidth="1" style="387" min="20" max="20"/>
    <col hidden="1" width="10.44140625" customWidth="1" style="387" min="21" max="21"/>
    <col hidden="1" width="14.21875" customWidth="1" style="387" min="22" max="22"/>
    <col hidden="1" width="9.21875" customWidth="1" style="387" min="23" max="23"/>
    <col width="9.21875" customWidth="1" style="387" min="24" max="25"/>
    <col width="11" customWidth="1" style="317" min="26" max="26"/>
    <col width="9.21875" customWidth="1" style="1" min="27" max="27"/>
    <col width="9.21875" customWidth="1" style="1" min="28" max="16384"/>
  </cols>
  <sheetData>
    <row r="1" hidden="1" outlineLevel="1" ht="17.25" customHeight="1">
      <c r="C1" s="2" t="n"/>
      <c r="D1" s="4" t="n"/>
      <c r="E1" s="4" t="n"/>
      <c r="F1" s="4" t="n"/>
      <c r="G1" s="5" t="n"/>
      <c r="H1" s="1" t="inlineStr">
        <is>
          <t>ц</t>
        </is>
      </c>
      <c r="I1" s="126" t="n"/>
      <c r="J1" s="126" t="n"/>
      <c r="M1" s="3" t="n"/>
      <c r="R1" s="1" t="n"/>
      <c r="W1" s="649" t="n"/>
      <c r="X1" s="1" t="n"/>
      <c r="Y1" s="1" t="n"/>
      <c r="Z1" s="1" t="n"/>
    </row>
    <row r="2" hidden="1" outlineLevel="1" ht="19.5" customHeight="1">
      <c r="C2" s="788" t="inlineStr">
        <is>
          <t>Заявка на трансляцию ролика №</t>
        </is>
      </c>
      <c r="D2" s="998" t="n"/>
      <c r="E2" s="998" t="n"/>
      <c r="F2" s="998" t="n"/>
      <c r="G2" s="998" t="n"/>
      <c r="H2" s="854" t="n"/>
      <c r="I2" s="813" t="n"/>
      <c r="J2" s="999" t="n"/>
      <c r="K2" s="999" t="n"/>
      <c r="L2" s="999" t="n"/>
      <c r="M2" s="999" t="n"/>
      <c r="N2" s="999" t="n"/>
      <c r="O2" s="999" t="n"/>
      <c r="P2" s="1000" t="n"/>
      <c r="Q2" s="136" t="n"/>
      <c r="R2" s="136" t="n"/>
      <c r="W2" s="650" t="n"/>
      <c r="X2" s="395" t="n"/>
      <c r="Y2" s="395" t="n"/>
      <c r="Z2" s="1" t="n"/>
    </row>
    <row r="3" hidden="1" outlineLevel="1" ht="15.6" customHeight="1">
      <c r="C3" s="790" t="inlineStr">
        <is>
          <t>Дата</t>
        </is>
      </c>
      <c r="D3" s="880" t="n"/>
      <c r="E3" s="880" t="n"/>
      <c r="F3" s="880" t="n"/>
      <c r="G3" s="880" t="n"/>
      <c r="H3" s="855" t="n"/>
      <c r="I3" s="819" t="n"/>
      <c r="J3" s="1001" t="n"/>
      <c r="K3" s="1001" t="n"/>
      <c r="L3" s="1001" t="n"/>
      <c r="M3" s="1001" t="n"/>
      <c r="N3" s="1001" t="n"/>
      <c r="O3" s="1001" t="n"/>
      <c r="P3" s="1002" t="n"/>
      <c r="Q3" s="136" t="n"/>
      <c r="R3" s="136" t="n"/>
      <c r="V3" s="650" t="n"/>
      <c r="W3" s="650" t="n"/>
      <c r="X3" s="1" t="n"/>
      <c r="Y3" s="1" t="n"/>
      <c r="Z3" s="1" t="n"/>
    </row>
    <row r="4" hidden="1" outlineLevel="1" ht="15.6" customHeight="1">
      <c r="C4" s="790" t="inlineStr">
        <is>
          <t>Менеджер клиента</t>
        </is>
      </c>
      <c r="D4" s="880" t="n"/>
      <c r="E4" s="880" t="n"/>
      <c r="F4" s="880" t="n"/>
      <c r="G4" s="880" t="n"/>
      <c r="H4" s="855" t="n"/>
      <c r="I4" s="804" t="n"/>
      <c r="J4" s="1001" t="n"/>
      <c r="K4" s="1001" t="n"/>
      <c r="L4" s="1001" t="n"/>
      <c r="M4" s="1001" t="n"/>
      <c r="N4" s="1001" t="n"/>
      <c r="O4" s="1001" t="n"/>
      <c r="P4" s="1002" t="n"/>
      <c r="Q4" s="136" t="n"/>
      <c r="R4" s="136" t="n"/>
      <c r="V4" s="650" t="n"/>
      <c r="W4" s="650" t="n"/>
      <c r="X4" s="1" t="n"/>
      <c r="Y4" s="1" t="n"/>
      <c r="Z4" s="1" t="n"/>
    </row>
    <row r="5" hidden="1" outlineLevel="1" ht="15.6" customHeight="1">
      <c r="C5" s="790" t="inlineStr">
        <is>
          <t>Категория рекламодателя</t>
        </is>
      </c>
      <c r="D5" s="880" t="n"/>
      <c r="E5" s="880" t="n"/>
      <c r="F5" s="880" t="n"/>
      <c r="G5" s="880" t="n"/>
      <c r="H5" s="855" t="n"/>
      <c r="I5" s="804" t="n"/>
      <c r="J5" s="1001" t="n"/>
      <c r="K5" s="1001" t="n"/>
      <c r="L5" s="1001" t="n"/>
      <c r="M5" s="1001" t="n"/>
      <c r="N5" s="1001" t="n"/>
      <c r="O5" s="1001" t="n"/>
      <c r="P5" s="1002" t="n"/>
      <c r="Q5" s="136" t="n"/>
      <c r="R5" s="136" t="n"/>
      <c r="V5" s="650" t="n"/>
      <c r="W5" s="650" t="n"/>
      <c r="X5" s="1" t="n"/>
      <c r="Y5" s="1" t="n"/>
      <c r="Z5" s="1" t="n"/>
    </row>
    <row r="6" hidden="1" outlineLevel="1" ht="15.6" customHeight="1">
      <c r="C6" s="790" t="inlineStr">
        <is>
          <t>Наименование рекламодателя</t>
        </is>
      </c>
      <c r="D6" s="880" t="n"/>
      <c r="E6" s="880" t="n"/>
      <c r="F6" s="880" t="n"/>
      <c r="G6" s="880" t="n"/>
      <c r="H6" s="855" t="n"/>
      <c r="I6" s="797" t="n"/>
      <c r="J6" s="1003" t="n"/>
      <c r="K6" s="1003" t="n"/>
      <c r="L6" s="1003" t="n"/>
      <c r="M6" s="1003" t="n"/>
      <c r="N6" s="1003" t="n"/>
      <c r="O6" s="1003" t="n"/>
      <c r="P6" s="1004" t="n"/>
      <c r="Q6" s="137" t="n"/>
      <c r="R6" s="137" t="n"/>
      <c r="V6" s="650" t="n"/>
      <c r="W6" s="650" t="n"/>
      <c r="X6" s="1" t="n"/>
      <c r="Y6" s="1" t="n"/>
      <c r="Z6" s="1" t="n"/>
    </row>
    <row r="7" hidden="1" outlineLevel="1" ht="15.6" customHeight="1">
      <c r="C7" s="790" t="inlineStr">
        <is>
          <t>Юридическое лицо</t>
        </is>
      </c>
      <c r="D7" s="880" t="n"/>
      <c r="E7" s="880" t="n"/>
      <c r="F7" s="880" t="n"/>
      <c r="G7" s="880" t="n"/>
      <c r="H7" s="855" t="n"/>
      <c r="I7" s="804" t="n"/>
      <c r="J7" s="1001" t="n"/>
      <c r="K7" s="1001" t="n"/>
      <c r="L7" s="1001" t="n"/>
      <c r="M7" s="1001" t="n"/>
      <c r="N7" s="1001" t="n"/>
      <c r="O7" s="1001" t="n"/>
      <c r="P7" s="1002" t="n"/>
      <c r="Q7" s="136" t="n"/>
      <c r="R7" s="136" t="n"/>
      <c r="V7" s="650" t="n"/>
      <c r="W7" s="650" t="n"/>
      <c r="X7" s="396" t="n"/>
      <c r="Y7" s="396" t="n"/>
      <c r="Z7" s="1" t="n"/>
    </row>
    <row r="8" hidden="1" outlineLevel="1" ht="15.6" customHeight="1">
      <c r="C8" s="790" t="inlineStr">
        <is>
          <t>Содержание рекламного объявления.</t>
        </is>
      </c>
      <c r="D8" s="880" t="n"/>
      <c r="E8" s="880" t="n"/>
      <c r="F8" s="880" t="n"/>
      <c r="G8" s="880" t="n"/>
      <c r="H8" s="855" t="n"/>
      <c r="I8" s="804" t="n"/>
      <c r="J8" s="1001" t="n"/>
      <c r="K8" s="1001" t="n"/>
      <c r="L8" s="1001" t="n"/>
      <c r="M8" s="1001" t="n"/>
      <c r="N8" s="1001" t="n"/>
      <c r="O8" s="1001" t="n"/>
      <c r="P8" s="1002" t="n"/>
      <c r="Q8" s="136" t="n"/>
      <c r="R8" s="136" t="n"/>
      <c r="U8" s="650" t="n"/>
      <c r="W8" s="650" t="n"/>
      <c r="X8" s="396" t="n"/>
      <c r="Y8" s="396" t="n"/>
      <c r="Z8" s="1" t="n"/>
    </row>
    <row r="9" hidden="1" outlineLevel="1" ht="15.6" customHeight="1">
      <c r="C9" s="790" t="inlineStr">
        <is>
          <t>Название ролика</t>
        </is>
      </c>
      <c r="D9" s="880" t="n"/>
      <c r="E9" s="880" t="n"/>
      <c r="F9" s="880" t="n"/>
      <c r="G9" s="880" t="n"/>
      <c r="H9" s="855" t="n"/>
      <c r="I9" s="797" t="n"/>
      <c r="J9" s="1003" t="n"/>
      <c r="K9" s="1003" t="n"/>
      <c r="L9" s="1003" t="n"/>
      <c r="M9" s="1003" t="n"/>
      <c r="N9" s="1003" t="n"/>
      <c r="O9" s="1003" t="n"/>
      <c r="P9" s="1004" t="n"/>
      <c r="Q9" s="137" t="n"/>
      <c r="R9" s="137" t="n"/>
      <c r="T9" s="649" t="n"/>
      <c r="U9" s="650" t="n"/>
      <c r="W9" s="650" t="n"/>
      <c r="X9" s="397" t="n"/>
      <c r="Y9" s="397" t="n"/>
      <c r="Z9" s="1" t="n"/>
    </row>
    <row r="10" hidden="1" outlineLevel="1" ht="32.25" customHeight="1">
      <c r="C10" s="790" t="inlineStr">
        <is>
          <t>Продолжительность объявления в секундах</t>
        </is>
      </c>
      <c r="D10" s="880" t="n"/>
      <c r="E10" s="880" t="n"/>
      <c r="F10" s="880" t="n"/>
      <c r="G10" s="880" t="n"/>
      <c r="H10" s="855" t="n"/>
      <c r="I10" s="797" t="n"/>
      <c r="J10" s="1003" t="n"/>
      <c r="K10" s="1003" t="n"/>
      <c r="L10" s="1003" t="n"/>
      <c r="M10" s="1003" t="n"/>
      <c r="N10" s="1003" t="n"/>
      <c r="O10" s="1003" t="n"/>
      <c r="P10" s="1004" t="n"/>
      <c r="Q10" s="137" t="n"/>
      <c r="R10" s="137" t="n"/>
      <c r="T10" s="649" t="n"/>
      <c r="U10" s="650" t="n"/>
      <c r="W10" s="650" t="n"/>
      <c r="X10" s="396" t="n"/>
      <c r="Y10" s="396" t="n"/>
      <c r="Z10" s="1" t="n"/>
    </row>
    <row r="11" hidden="1" outlineLevel="1" ht="15.6" customHeight="1">
      <c r="C11" s="790" t="inlineStr">
        <is>
          <t>Период трансляции</t>
        </is>
      </c>
      <c r="D11" s="880" t="n"/>
      <c r="E11" s="880" t="n"/>
      <c r="F11" s="880" t="n"/>
      <c r="G11" s="880" t="n"/>
      <c r="H11" s="855" t="n"/>
      <c r="I11" s="804" t="n"/>
      <c r="J11" s="1001" t="n"/>
      <c r="K11" s="1001" t="n"/>
      <c r="L11" s="1001" t="n"/>
      <c r="M11" s="1001" t="n"/>
      <c r="N11" s="1001" t="n"/>
      <c r="O11" s="1001" t="n"/>
      <c r="P11" s="1002" t="n"/>
      <c r="Q11" s="136" t="n"/>
      <c r="R11" s="136" t="n"/>
      <c r="V11" s="473" t="n"/>
      <c r="W11" s="650" t="n"/>
      <c r="X11" s="398" t="n"/>
      <c r="Y11" s="398" t="n"/>
      <c r="Z11" s="1" t="n"/>
    </row>
    <row r="12" hidden="1" outlineLevel="1" ht="15.6" customHeight="1">
      <c r="C12" s="812" t="inlineStr">
        <is>
          <t>сеть</t>
        </is>
      </c>
      <c r="D12" s="1003" t="n"/>
      <c r="E12" s="1003" t="n"/>
      <c r="F12" s="1003" t="n"/>
      <c r="G12" s="1003" t="n"/>
      <c r="H12" s="1004" t="n"/>
      <c r="I12" s="804" t="n"/>
      <c r="J12" s="1001" t="n"/>
      <c r="K12" s="1001" t="n"/>
      <c r="L12" s="1001" t="n"/>
      <c r="M12" s="1001" t="n"/>
      <c r="N12" s="1001" t="n"/>
      <c r="O12" s="1001" t="n"/>
      <c r="P12" s="1002" t="n"/>
      <c r="Q12" s="136" t="n"/>
      <c r="R12" s="136" t="n"/>
      <c r="W12" s="650" t="n"/>
      <c r="X12" s="1" t="n"/>
      <c r="Y12" s="1" t="n"/>
      <c r="Z12" s="1" t="n"/>
    </row>
    <row r="13" hidden="1" outlineLevel="1" ht="15.6" customHeight="1">
      <c r="C13" s="811" t="inlineStr">
        <is>
          <t>общее</t>
        </is>
      </c>
      <c r="D13" s="859" t="n"/>
      <c r="E13" s="859" t="n"/>
      <c r="F13" s="859" t="n"/>
      <c r="G13" s="859" t="n"/>
      <c r="H13" s="856" t="n"/>
      <c r="I13" s="804" t="n"/>
      <c r="J13" s="1001" t="n"/>
      <c r="K13" s="1001" t="n"/>
      <c r="L13" s="1001" t="n"/>
      <c r="M13" s="1001" t="n"/>
      <c r="N13" s="1001" t="n"/>
      <c r="O13" s="1001" t="n"/>
      <c r="P13" s="1002" t="n"/>
      <c r="Q13" s="136" t="n"/>
      <c r="R13" s="136" t="n"/>
      <c r="S13" s="651" t="n"/>
      <c r="T13" s="649" t="n"/>
      <c r="U13" s="650" t="n"/>
      <c r="X13" s="1" t="n"/>
      <c r="Y13" s="1" t="n"/>
      <c r="Z13" s="1" t="n"/>
    </row>
    <row r="14" hidden="1" outlineLevel="1" ht="15.6" customHeight="1">
      <c r="C14" s="811" t="inlineStr">
        <is>
          <t>Предоставление фотоотчета до</t>
        </is>
      </c>
      <c r="D14" s="859" t="n"/>
      <c r="E14" s="859" t="n"/>
      <c r="F14" s="859" t="n"/>
      <c r="G14" s="856" t="n"/>
      <c r="H14" s="24" t="n"/>
      <c r="I14" s="1005" t="n"/>
      <c r="J14" s="1001" t="n"/>
      <c r="K14" s="1001" t="n"/>
      <c r="L14" s="1001" t="n"/>
      <c r="M14" s="1001" t="n"/>
      <c r="N14" s="1001" t="n"/>
      <c r="O14" s="1001" t="n"/>
      <c r="P14" s="1006" t="n"/>
      <c r="Q14" s="136" t="n"/>
      <c r="R14" s="136" t="n"/>
      <c r="U14" s="651" t="n"/>
      <c r="X14" s="1" t="n"/>
      <c r="Y14" s="1" t="n"/>
      <c r="Z14" s="1" t="n"/>
    </row>
    <row r="15" hidden="1" outlineLevel="1" ht="15.6" customHeight="1">
      <c r="C15" s="811" t="inlineStr">
        <is>
          <t>Объем фотоотчета, %</t>
        </is>
      </c>
      <c r="D15" s="859" t="n"/>
      <c r="E15" s="859" t="n"/>
      <c r="F15" s="859" t="n"/>
      <c r="G15" s="856" t="n"/>
      <c r="H15" s="24" t="n"/>
      <c r="I15" s="1005" t="n"/>
      <c r="J15" s="1001" t="n"/>
      <c r="K15" s="1001" t="n"/>
      <c r="L15" s="1001" t="n"/>
      <c r="M15" s="1001" t="n"/>
      <c r="N15" s="1001" t="n"/>
      <c r="O15" s="1001" t="n"/>
      <c r="P15" s="1006" t="n"/>
      <c r="Q15" s="136" t="n"/>
      <c r="R15" s="136" t="n"/>
      <c r="X15" s="1" t="n"/>
      <c r="Y15" s="1" t="n"/>
      <c r="Z15" s="1" t="n"/>
    </row>
    <row r="16" hidden="1" outlineLevel="1" ht="16.2" customHeight="1" thickBot="1">
      <c r="C16" s="795" t="inlineStr">
        <is>
          <t>ИТОГО экранов</t>
        </is>
      </c>
      <c r="D16" s="1007" t="n"/>
      <c r="E16" s="1007" t="n"/>
      <c r="F16" s="1007" t="n"/>
      <c r="G16" s="1007" t="n"/>
      <c r="H16" s="1008" t="n"/>
      <c r="I16" s="808">
        <f>O18</f>
        <v/>
      </c>
      <c r="J16" s="990" t="n"/>
      <c r="K16" s="990" t="n"/>
      <c r="L16" s="990" t="n"/>
      <c r="M16" s="990" t="n"/>
      <c r="N16" s="990" t="n"/>
      <c r="O16" s="990" t="n"/>
      <c r="P16" s="991" t="n"/>
      <c r="R16" s="1" t="n"/>
      <c r="W16" s="650" t="n"/>
      <c r="X16" s="1" t="n"/>
      <c r="Y16" s="1" t="n"/>
      <c r="Z16" s="1" t="n"/>
    </row>
    <row r="17" collapsed="1" ht="15.6" customHeight="1">
      <c r="A17" s="84" t="n"/>
      <c r="B17" s="84" t="n"/>
      <c r="C17" s="85" t="n"/>
      <c r="D17" s="84" t="n"/>
      <c r="E17" s="84" t="n"/>
      <c r="F17" s="301" t="n"/>
      <c r="G17" s="1009" t="n"/>
      <c r="I17" s="403" t="n"/>
      <c r="J17" s="407" t="n"/>
      <c r="M17" s="166" t="n"/>
      <c r="N17" s="84" t="n"/>
      <c r="O17" s="84" t="n"/>
      <c r="P17" s="84" t="n"/>
      <c r="Q17" s="84" t="n"/>
      <c r="R17" s="531" t="n"/>
      <c r="W17" s="473" t="n"/>
    </row>
    <row r="18" ht="15" customHeight="1" thickBot="1">
      <c r="A18" s="84" t="n"/>
      <c r="B18" s="84" t="n"/>
      <c r="C18" s="84" t="n"/>
      <c r="D18" s="86" t="n"/>
      <c r="E18" s="84" t="n"/>
      <c r="F18" s="301" t="n"/>
      <c r="G18" s="1009" t="n"/>
      <c r="H18" s="6" t="n"/>
      <c r="I18" s="404" t="n"/>
      <c r="J18" s="408" t="n"/>
      <c r="K18" s="17" t="n"/>
      <c r="L18" s="12" t="n"/>
      <c r="M18" s="621" t="n"/>
      <c r="N18" s="129">
        <f>SUBTOTAL(9,N20:N34169)</f>
        <v/>
      </c>
      <c r="O18" s="129">
        <f>SUBTOTAL(9,O20:O4169)</f>
        <v/>
      </c>
      <c r="P18" s="88" t="n"/>
      <c r="Q18" s="88" t="n"/>
      <c r="R18" s="532" t="n"/>
      <c r="S18" s="399" t="n"/>
      <c r="T18" s="399" t="n"/>
      <c r="U18" s="399" t="n"/>
      <c r="V18" s="436" t="n"/>
      <c r="W18" s="473" t="n"/>
    </row>
    <row r="19" ht="20.1" customHeight="1" thickBot="1">
      <c r="A19" s="133" t="inlineStr">
        <is>
          <t>№</t>
        </is>
      </c>
      <c r="B19" s="134" t="n"/>
      <c r="C19" s="134" t="inlineStr">
        <is>
          <t>Регион</t>
        </is>
      </c>
      <c r="D19" s="134" t="inlineStr">
        <is>
          <t>Город</t>
        </is>
      </c>
      <c r="E19" s="134" t="inlineStr">
        <is>
          <t>Направление/ Категория</t>
        </is>
      </c>
      <c r="F19" s="242" t="inlineStr">
        <is>
          <t>Тип</t>
        </is>
      </c>
      <c r="G19" s="135" t="inlineStr">
        <is>
          <t>Сеть</t>
        </is>
      </c>
      <c r="H19" s="135" t="inlineStr">
        <is>
          <t>№ сети/OTS</t>
        </is>
      </c>
      <c r="I19" s="135" t="inlineStr">
        <is>
          <t>Название</t>
        </is>
      </c>
      <c r="J19" s="135" t="inlineStr">
        <is>
          <t>Метка</t>
        </is>
      </c>
      <c r="K19" s="135" t="inlineStr">
        <is>
          <t>Экранов</t>
        </is>
      </c>
      <c r="L19" s="135" t="inlineStr">
        <is>
          <t>Актуальность</t>
        </is>
      </c>
      <c r="M19" s="622" t="inlineStr">
        <is>
          <t>Тип экрана</t>
        </is>
      </c>
      <c r="N19" s="135" t="inlineStr">
        <is>
          <t>Размещение</t>
        </is>
      </c>
      <c r="O19" s="135" t="inlineStr">
        <is>
          <t>Экранов</t>
        </is>
      </c>
      <c r="P19" s="135" t="inlineStr">
        <is>
          <t>Адрес расположения</t>
        </is>
      </c>
      <c r="Q19" s="135" t="inlineStr">
        <is>
          <t>Широта</t>
        </is>
      </c>
      <c r="R19" s="533" t="inlineStr">
        <is>
          <t>Долгота</t>
        </is>
      </c>
      <c r="S19" s="552" t="inlineStr">
        <is>
          <t>График</t>
        </is>
      </c>
      <c r="T19" s="553" t="n"/>
      <c r="U19" s="553" t="inlineStr">
        <is>
          <t>ret</t>
        </is>
      </c>
      <c r="V19" s="554" t="inlineStr">
        <is>
          <t>АЗС</t>
        </is>
      </c>
      <c r="W19" s="554" t="n"/>
      <c r="X19" s="387">
        <f t="array" ref="X19">SUM(IF(FREQUENCY(IF(LEN(W2107:W3864)&gt;0,MATCH(W2107:W3864,W2107:W3864,0),""),IF(LEN(W2107:W3864)&gt;0,MATCH(W2107:W3864,W2107:W3864,0),""))&gt;0,1))</f>
        <v/>
      </c>
      <c r="Y19" s="1010">
        <f>IF(X19=0,0,CHOOSE(X19,'Цены|Скидки'!C66,'Цены|Скидки'!C67,'Цены|Скидки'!C68,'Цены|Скидки'!C69,'Цены|Скидки'!C70,'Цены|Скидки'!C71,'Цены|Скидки'!C72,'Цены|Скидки'!C73,'Цены|Скидки'!C74,'Цены|Скидки'!C75,'Цены|Скидки'!C76,'Цены|Скидки'!C77,'Цены|Скидки'!C78,'Цены|Скидки'!C78))</f>
        <v/>
      </c>
    </row>
    <row r="20" hidden="1" ht="16.05" customFormat="1" customHeight="1" s="126">
      <c r="A20" s="130" t="n">
        <v>1</v>
      </c>
      <c r="B20" s="125" t="inlineStr">
        <is>
          <t>WF</t>
        </is>
      </c>
      <c r="C20" s="130" t="inlineStr">
        <is>
          <t>Москва</t>
        </is>
      </c>
      <c r="D20" s="130" t="inlineStr">
        <is>
          <t>Московская область</t>
        </is>
      </c>
      <c r="E20" s="130" t="inlineStr">
        <is>
          <t>А103</t>
        </is>
      </c>
      <c r="F20" s="130" t="inlineStr">
        <is>
          <t>АЗС</t>
        </is>
      </c>
      <c r="G20" s="130" t="inlineStr">
        <is>
          <t>Роснефть</t>
        </is>
      </c>
      <c r="H20" s="131" t="inlineStr">
        <is>
          <t>MC096</t>
        </is>
      </c>
      <c r="I20" s="637" t="inlineStr">
        <is>
          <t>Абрамцево</t>
        </is>
      </c>
      <c r="J20" s="637" t="inlineStr">
        <is>
          <t>MSK_BP_Abramtsevo</t>
        </is>
      </c>
      <c r="K20" s="640" t="n">
        <v>3</v>
      </c>
      <c r="L20" s="640" t="n">
        <v>1</v>
      </c>
      <c r="M20" s="623" t="inlineStr">
        <is>
          <t>Samsung 32" вертикальный</t>
        </is>
      </c>
      <c r="N20" s="640" t="n"/>
      <c r="O20" s="640">
        <f>IF(AND(N20=1,L20=1),K20,"")</f>
        <v/>
      </c>
      <c r="P20" s="642" t="inlineStr">
        <is>
          <t>Московская область, Балашихинский район, дер. Абрамцево, вл.54б, 103 км МКАД</t>
        </is>
      </c>
      <c r="Q20" s="640" t="inlineStr">
        <is>
          <t>55.826441</t>
        </is>
      </c>
      <c r="R20" s="494" t="inlineStr">
        <is>
          <t>37.834912</t>
        </is>
      </c>
      <c r="S20" s="438" t="n"/>
      <c r="T20" s="438" t="n"/>
      <c r="U20" s="438" t="n"/>
      <c r="V20" s="438">
        <f>IF(AND(N20=1,U20=1),C20,"")</f>
        <v/>
      </c>
      <c r="W20" s="387" t="n"/>
      <c r="X20" s="387" t="n"/>
      <c r="Y20" s="387" t="n"/>
    </row>
    <row r="21" hidden="1" ht="16.05" customFormat="1" customHeight="1" s="126">
      <c r="A21" s="125" t="n">
        <v>3</v>
      </c>
      <c r="B21" s="125" t="inlineStr">
        <is>
          <t>WF</t>
        </is>
      </c>
      <c r="C21" s="130" t="inlineStr">
        <is>
          <t>Москва</t>
        </is>
      </c>
      <c r="D21" s="130" t="inlineStr">
        <is>
          <t>Москва</t>
        </is>
      </c>
      <c r="E21" s="130" t="inlineStr">
        <is>
          <t>ЗАО</t>
        </is>
      </c>
      <c r="F21" s="130" t="inlineStr">
        <is>
          <t>АЗС</t>
        </is>
      </c>
      <c r="G21" s="130" t="inlineStr">
        <is>
          <t>Роснефть</t>
        </is>
      </c>
      <c r="H21" s="131" t="inlineStr">
        <is>
          <t>MC308</t>
        </is>
      </c>
      <c r="I21" s="637" t="inlineStr">
        <is>
          <t>Аминьевская</t>
        </is>
      </c>
      <c r="J21" s="637" t="inlineStr">
        <is>
          <t>MSK_BP_Aminevskaya</t>
        </is>
      </c>
      <c r="K21" s="640" t="n">
        <v>2</v>
      </c>
      <c r="L21" s="640" t="n">
        <v>1</v>
      </c>
      <c r="M21" s="623" t="inlineStr">
        <is>
          <t>Samsung 32" вертикальный</t>
        </is>
      </c>
      <c r="N21" s="640" t="n"/>
      <c r="O21" s="640">
        <f>IF(AND(N21=1,L21=1),K21,"")</f>
        <v/>
      </c>
      <c r="P21" s="642" t="inlineStr">
        <is>
          <t>Москва, Аминьевское ш., вл. 4-б</t>
        </is>
      </c>
      <c r="Q21" s="640" t="inlineStr">
        <is>
          <t>55.698701</t>
        </is>
      </c>
      <c r="R21" s="494" t="inlineStr">
        <is>
          <t>37.462119</t>
        </is>
      </c>
      <c r="S21" s="438" t="n"/>
      <c r="T21" s="438" t="n"/>
      <c r="U21" s="438" t="n"/>
      <c r="V21" s="438">
        <f>IF(AND(N21=1,U21=1),C21,"")</f>
        <v/>
      </c>
      <c r="W21" s="387" t="n"/>
      <c r="X21" s="387" t="n"/>
      <c r="Y21" s="387" t="n"/>
    </row>
    <row r="22" hidden="1" ht="16.05" customFormat="1" customHeight="1" s="126">
      <c r="A22" s="125" t="n">
        <v>4</v>
      </c>
      <c r="B22" s="125" t="inlineStr">
        <is>
          <t>WF</t>
        </is>
      </c>
      <c r="C22" s="130" t="inlineStr">
        <is>
          <t>Москва</t>
        </is>
      </c>
      <c r="D22" s="130" t="inlineStr">
        <is>
          <t>Апрелевка</t>
        </is>
      </c>
      <c r="E22" s="130" t="inlineStr">
        <is>
          <t>М3</t>
        </is>
      </c>
      <c r="F22" s="130" t="inlineStr">
        <is>
          <t>АЗС</t>
        </is>
      </c>
      <c r="G22" s="130" t="inlineStr">
        <is>
          <t>Роснефть</t>
        </is>
      </c>
      <c r="H22" s="131" t="inlineStr">
        <is>
          <t>MC140</t>
        </is>
      </c>
      <c r="I22" s="637" t="inlineStr">
        <is>
          <t>Апрелевка</t>
        </is>
      </c>
      <c r="J22" s="637" t="inlineStr">
        <is>
          <t>MSK_BP_Aprelevka</t>
        </is>
      </c>
      <c r="K22" s="640" t="n">
        <v>2</v>
      </c>
      <c r="L22" s="640" t="n">
        <v>1</v>
      </c>
      <c r="M22" s="623" t="inlineStr">
        <is>
          <t>Samsung 32" вертикальный</t>
        </is>
      </c>
      <c r="N22" s="640" t="n"/>
      <c r="O22" s="640">
        <f>IF(AND(N22=1,L22=1),K22,"")</f>
        <v/>
      </c>
      <c r="P22" s="642" t="inlineStr">
        <is>
          <t>Московская область, г. Апрелевка, 46км+150м (левая сторона) а/д М3 "Украина"</t>
        </is>
      </c>
      <c r="Q22" s="640" t="inlineStr">
        <is>
          <t>55.532779</t>
        </is>
      </c>
      <c r="R22" s="494" t="inlineStr">
        <is>
          <t>37.057694</t>
        </is>
      </c>
      <c r="S22" s="438" t="n"/>
      <c r="T22" s="438" t="n"/>
      <c r="U22" s="438" t="n"/>
      <c r="V22" s="438">
        <f>IF(AND(N22=1,U22=1),C22,"")</f>
        <v/>
      </c>
      <c r="W22" s="387" t="n"/>
      <c r="X22" s="387" t="n"/>
      <c r="Y22" s="387" t="n"/>
    </row>
    <row r="23" hidden="1" ht="16.05" customFormat="1" customHeight="1" s="126">
      <c r="A23" s="125" t="n">
        <v>6</v>
      </c>
      <c r="B23" s="125" t="inlineStr">
        <is>
          <t>WF</t>
        </is>
      </c>
      <c r="C23" s="130" t="inlineStr">
        <is>
          <t>Москва</t>
        </is>
      </c>
      <c r="D23" s="130" t="inlineStr">
        <is>
          <t>Апрелевка</t>
        </is>
      </c>
      <c r="E23" s="130" t="inlineStr">
        <is>
          <t>М7</t>
        </is>
      </c>
      <c r="F23" s="130" t="inlineStr">
        <is>
          <t>АЗС</t>
        </is>
      </c>
      <c r="G23" s="130" t="inlineStr">
        <is>
          <t>Роснефть</t>
        </is>
      </c>
      <c r="H23" s="131" t="inlineStr">
        <is>
          <t>MC115</t>
        </is>
      </c>
      <c r="I23" s="637" t="inlineStr">
        <is>
          <t>Балашиха</t>
        </is>
      </c>
      <c r="J23" s="637" t="inlineStr">
        <is>
          <t>MSK_BP_Balashikha</t>
        </is>
      </c>
      <c r="K23" s="640" t="n">
        <v>2</v>
      </c>
      <c r="L23" s="640" t="n">
        <v>1</v>
      </c>
      <c r="M23" s="623" t="inlineStr">
        <is>
          <t>Samsung 32" вертикальный</t>
        </is>
      </c>
      <c r="N23" s="640" t="n"/>
      <c r="O23" s="640">
        <f>IF(AND(N23=1,L23=1),K23,"")</f>
        <v/>
      </c>
      <c r="P23" s="642" t="inlineStr">
        <is>
          <t xml:space="preserve">Московская область, г. Балашиха, мкр. Никольско-Архангельский, ш.Энтузиастов, вл. 1 </t>
        </is>
      </c>
      <c r="Q23" s="640" t="inlineStr">
        <is>
          <t>55.78593384</t>
        </is>
      </c>
      <c r="R23" s="494" t="inlineStr">
        <is>
          <t>37.88335115</t>
        </is>
      </c>
      <c r="S23" s="438" t="n"/>
      <c r="T23" s="438" t="n"/>
      <c r="U23" s="438" t="n"/>
      <c r="V23" s="438">
        <f>IF(AND(N23=1,U23=1),C23,"")</f>
        <v/>
      </c>
      <c r="W23" s="387" t="n"/>
      <c r="X23" s="387" t="n"/>
      <c r="Y23" s="387" t="n"/>
    </row>
    <row r="24" hidden="1" ht="16.05" customFormat="1" customHeight="1" s="126">
      <c r="A24" s="125" t="n">
        <v>8</v>
      </c>
      <c r="B24" s="125" t="inlineStr">
        <is>
          <t>WF</t>
        </is>
      </c>
      <c r="C24" s="130" t="inlineStr">
        <is>
          <t>Москва</t>
        </is>
      </c>
      <c r="D24" s="130" t="inlineStr">
        <is>
          <t>Видное</t>
        </is>
      </c>
      <c r="E24" s="130" t="inlineStr">
        <is>
          <t>М4</t>
        </is>
      </c>
      <c r="F24" s="130" t="inlineStr">
        <is>
          <t>АЗС</t>
        </is>
      </c>
      <c r="G24" s="130" t="inlineStr">
        <is>
          <t>Роснефть</t>
        </is>
      </c>
      <c r="H24" s="131" t="inlineStr">
        <is>
          <t>MC160</t>
        </is>
      </c>
      <c r="I24" s="637" t="inlineStr">
        <is>
          <t>Белокаменная</t>
        </is>
      </c>
      <c r="J24" s="637" t="inlineStr">
        <is>
          <t>MSK_BP_Belokamennaya</t>
        </is>
      </c>
      <c r="K24" s="640" t="n">
        <v>2</v>
      </c>
      <c r="L24" s="640" t="n">
        <v>1</v>
      </c>
      <c r="M24" s="623" t="inlineStr">
        <is>
          <t>Samsung 32" вертикальный</t>
        </is>
      </c>
      <c r="N24" s="640" t="n"/>
      <c r="O24" s="640">
        <f>IF(AND(N24=1,L24=1),K24,"")</f>
        <v/>
      </c>
      <c r="P24" s="642" t="inlineStr">
        <is>
          <t>Московская область, Ленинский район., г. Видное, ш. Белокаменное, в районе ЦРБ</t>
        </is>
      </c>
      <c r="Q24" s="640" t="n">
        <v>55.552281</v>
      </c>
      <c r="R24" s="494" t="n">
        <v>37.734084</v>
      </c>
      <c r="S24" s="438" t="n"/>
      <c r="T24" s="438" t="n"/>
      <c r="U24" s="438" t="n"/>
      <c r="V24" s="438">
        <f>IF(AND(N24=1,U24=1),C24,"")</f>
        <v/>
      </c>
      <c r="W24" s="387" t="n"/>
      <c r="X24" s="387" t="n"/>
      <c r="Y24" s="387" t="n"/>
    </row>
    <row r="25" hidden="1" ht="16.05" customFormat="1" customHeight="1" s="126">
      <c r="A25" s="125" t="n">
        <v>9</v>
      </c>
      <c r="B25" s="125" t="inlineStr">
        <is>
          <t>WF</t>
        </is>
      </c>
      <c r="C25" s="130" t="inlineStr">
        <is>
          <t>Москва</t>
        </is>
      </c>
      <c r="D25" s="130" t="inlineStr">
        <is>
          <t>Москва</t>
        </is>
      </c>
      <c r="E25" s="130" t="inlineStr">
        <is>
          <t>ЮЗАО</t>
        </is>
      </c>
      <c r="F25" s="130" t="inlineStr">
        <is>
          <t>АЗС</t>
        </is>
      </c>
      <c r="G25" s="130" t="inlineStr">
        <is>
          <t>Роснефть</t>
        </is>
      </c>
      <c r="H25" s="131" t="inlineStr">
        <is>
          <t>MC050</t>
        </is>
      </c>
      <c r="I25" s="637" t="inlineStr">
        <is>
          <t>Беляево</t>
        </is>
      </c>
      <c r="J25" s="637" t="inlineStr">
        <is>
          <t>MSK_BP_Belyaevo</t>
        </is>
      </c>
      <c r="K25" s="640" t="n">
        <v>2</v>
      </c>
      <c r="L25" s="640" t="n">
        <v>1</v>
      </c>
      <c r="M25" s="623" t="inlineStr">
        <is>
          <t>Samsung 32" вертикальный</t>
        </is>
      </c>
      <c r="N25" s="640" t="n"/>
      <c r="O25" s="640">
        <f>IF(AND(N25=1,L25=1),K25,"")</f>
        <v/>
      </c>
      <c r="P25" s="642" t="inlineStr">
        <is>
          <t>Москва,  Профсоюзная, зд.67а, стр.1-2</t>
        </is>
      </c>
      <c r="Q25" s="640" t="inlineStr">
        <is>
          <t>55.6506</t>
        </is>
      </c>
      <c r="R25" s="494" t="inlineStr">
        <is>
          <t>37.5347</t>
        </is>
      </c>
      <c r="S25" s="438" t="n"/>
      <c r="T25" s="438" t="n"/>
      <c r="U25" s="438" t="n"/>
      <c r="V25" s="438">
        <f>IF(AND(N25=1,U25=1),C25,"")</f>
        <v/>
      </c>
      <c r="W25" s="387" t="n"/>
      <c r="X25" s="387" t="n"/>
      <c r="Y25" s="387" t="n"/>
    </row>
    <row r="26" hidden="1" ht="16.05" customFormat="1" customHeight="1" s="126">
      <c r="A26" s="125" t="n">
        <v>10</v>
      </c>
      <c r="B26" s="125" t="inlineStr">
        <is>
          <t>WF</t>
        </is>
      </c>
      <c r="C26" s="130" t="inlineStr">
        <is>
          <t>Москва</t>
        </is>
      </c>
      <c r="D26" s="130" t="inlineStr">
        <is>
          <t>Москва</t>
        </is>
      </c>
      <c r="E26" s="130" t="inlineStr">
        <is>
          <t>СВАО</t>
        </is>
      </c>
      <c r="F26" s="130" t="inlineStr">
        <is>
          <t>АЗС</t>
        </is>
      </c>
      <c r="G26" s="130" t="inlineStr">
        <is>
          <t>Роснефть</t>
        </is>
      </c>
      <c r="H26" s="131" t="inlineStr">
        <is>
          <t>MC038</t>
        </is>
      </c>
      <c r="I26" s="637" t="inlineStr">
        <is>
          <t>Бибирево</t>
        </is>
      </c>
      <c r="J26" s="637" t="inlineStr">
        <is>
          <t>MSK_BP_Bibirevo</t>
        </is>
      </c>
      <c r="K26" s="640" t="n">
        <v>2</v>
      </c>
      <c r="L26" s="640" t="n">
        <v>1</v>
      </c>
      <c r="M26" s="623" t="inlineStr">
        <is>
          <t>Samsung 32" вертикальный</t>
        </is>
      </c>
      <c r="N26" s="640" t="n"/>
      <c r="O26" s="640">
        <f>IF(AND(N26=1,L26=1),K26,"")</f>
        <v/>
      </c>
      <c r="P26" s="642" t="inlineStr">
        <is>
          <t>Москва,  Плещеева, вл. 2</t>
        </is>
      </c>
      <c r="Q26" s="640" t="inlineStr">
        <is>
          <t>55.882762</t>
        </is>
      </c>
      <c r="R26" s="494" t="inlineStr">
        <is>
          <t>37.604553</t>
        </is>
      </c>
      <c r="S26" s="438" t="n"/>
      <c r="T26" s="438" t="n"/>
      <c r="U26" s="438" t="n"/>
      <c r="V26" s="438">
        <f>IF(AND(N26=1,U26=1),C26,"")</f>
        <v/>
      </c>
      <c r="W26" s="387" t="n"/>
      <c r="X26" s="387" t="n"/>
      <c r="Y26" s="387" t="n"/>
    </row>
    <row r="27" hidden="1" ht="16.05" customFormat="1" customHeight="1" s="126">
      <c r="A27" s="125" t="n">
        <v>12</v>
      </c>
      <c r="B27" s="125" t="inlineStr">
        <is>
          <t>WF</t>
        </is>
      </c>
      <c r="C27" s="130" t="inlineStr">
        <is>
          <t>Москва</t>
        </is>
      </c>
      <c r="D27" s="130" t="inlineStr">
        <is>
          <t>Москва</t>
        </is>
      </c>
      <c r="E27" s="130" t="inlineStr">
        <is>
          <t>М2</t>
        </is>
      </c>
      <c r="F27" s="130" t="inlineStr">
        <is>
          <t>АЗС</t>
        </is>
      </c>
      <c r="G27" s="130" t="inlineStr">
        <is>
          <t>Роснефть</t>
        </is>
      </c>
      <c r="H27" s="131" t="inlineStr">
        <is>
          <t>MC025</t>
        </is>
      </c>
      <c r="I27" s="637" t="inlineStr">
        <is>
          <t>Бутово</t>
        </is>
      </c>
      <c r="J27" s="637" t="inlineStr">
        <is>
          <t>MSK_BP_Butovo</t>
        </is>
      </c>
      <c r="K27" s="640" t="n">
        <v>2</v>
      </c>
      <c r="L27" s="640" t="n">
        <v>1</v>
      </c>
      <c r="M27" s="623" t="inlineStr">
        <is>
          <t>Samsung 32" вертикальный</t>
        </is>
      </c>
      <c r="N27" s="640" t="n"/>
      <c r="O27" s="640">
        <f>IF(AND(N27=1,L27=1),K27,"")</f>
        <v/>
      </c>
      <c r="P27" s="642" t="inlineStr">
        <is>
          <t>Москва,  Старобитцевская, домовлад. 2, стр.1,2,3</t>
        </is>
      </c>
      <c r="Q27" s="640" t="inlineStr">
        <is>
          <t>55.5683</t>
        </is>
      </c>
      <c r="R27" s="494" t="inlineStr">
        <is>
          <t>37.5923</t>
        </is>
      </c>
      <c r="S27" s="438" t="n"/>
      <c r="T27" s="438" t="n"/>
      <c r="U27" s="438" t="n"/>
      <c r="V27" s="438">
        <f>IF(AND(N27=1,U27=1),C27,"")</f>
        <v/>
      </c>
      <c r="W27" s="387" t="n"/>
      <c r="X27" s="387" t="n"/>
      <c r="Y27" s="387" t="n"/>
    </row>
    <row r="28" hidden="1" ht="16.05" customFormat="1" customHeight="1" s="126">
      <c r="A28" s="125" t="n">
        <v>13</v>
      </c>
      <c r="B28" s="125" t="inlineStr">
        <is>
          <t>WF</t>
        </is>
      </c>
      <c r="C28" s="130" t="inlineStr">
        <is>
          <t>Москва</t>
        </is>
      </c>
      <c r="D28" s="130" t="inlineStr">
        <is>
          <t>Москва</t>
        </is>
      </c>
      <c r="E28" s="130" t="inlineStr">
        <is>
          <t>СВАО</t>
        </is>
      </c>
      <c r="F28" s="130" t="inlineStr">
        <is>
          <t>АЗС</t>
        </is>
      </c>
      <c r="G28" s="130" t="inlineStr">
        <is>
          <t>Роснефть</t>
        </is>
      </c>
      <c r="H28" s="131" t="inlineStr">
        <is>
          <t>MC102</t>
        </is>
      </c>
      <c r="I28" s="637" t="inlineStr">
        <is>
          <t>Бутырская</t>
        </is>
      </c>
      <c r="J28" s="637" t="inlineStr">
        <is>
          <t>MSK_BP_Butyrskaya</t>
        </is>
      </c>
      <c r="K28" s="640" t="n">
        <v>2</v>
      </c>
      <c r="L28" s="640" t="n">
        <v>1</v>
      </c>
      <c r="M28" s="623" t="inlineStr">
        <is>
          <t>Samsung 32" вертикальный</t>
        </is>
      </c>
      <c r="N28" s="640" t="n"/>
      <c r="O28" s="640">
        <f>IF(AND(N28=1,L28=1),K28,"")</f>
        <v/>
      </c>
      <c r="P28" s="642" t="inlineStr">
        <is>
          <t>Москва,  Бутырская, д.8а</t>
        </is>
      </c>
      <c r="Q28" s="640" t="inlineStr">
        <is>
          <t>55.7969</t>
        </is>
      </c>
      <c r="R28" s="422" t="inlineStr">
        <is>
          <t>37.5848</t>
        </is>
      </c>
      <c r="S28" s="438" t="n"/>
      <c r="T28" s="438" t="n"/>
      <c r="U28" s="438" t="n"/>
      <c r="V28" s="438">
        <f>IF(AND(N28=1,U28=1),C28,"")</f>
        <v/>
      </c>
      <c r="W28" s="387" t="n"/>
      <c r="X28" s="387" t="n"/>
      <c r="Y28" s="387" t="n"/>
    </row>
    <row r="29" hidden="1" ht="16.05" customFormat="1" customHeight="1" s="126">
      <c r="A29" s="125" t="n">
        <v>15</v>
      </c>
      <c r="B29" s="125" t="inlineStr">
        <is>
          <t>WF</t>
        </is>
      </c>
      <c r="C29" s="130" t="inlineStr">
        <is>
          <t>Москва</t>
        </is>
      </c>
      <c r="D29" s="130" t="inlineStr">
        <is>
          <t>Москва</t>
        </is>
      </c>
      <c r="E29" s="130" t="inlineStr">
        <is>
          <t>ЮАО</t>
        </is>
      </c>
      <c r="F29" s="130" t="inlineStr">
        <is>
          <t>АЗС</t>
        </is>
      </c>
      <c r="G29" s="130" t="inlineStr">
        <is>
          <t>Роснефть</t>
        </is>
      </c>
      <c r="H29" s="131" t="inlineStr">
        <is>
          <t>MC100</t>
        </is>
      </c>
      <c r="I29" s="637" t="inlineStr">
        <is>
          <t>Варшавская</t>
        </is>
      </c>
      <c r="J29" s="637" t="inlineStr">
        <is>
          <t>MSK_BP_Varshavskaya</t>
        </is>
      </c>
      <c r="K29" s="640" t="n">
        <v>2</v>
      </c>
      <c r="L29" s="640" t="n">
        <v>1</v>
      </c>
      <c r="M29" s="623" t="inlineStr">
        <is>
          <t>Samsung 32" вертикальный</t>
        </is>
      </c>
      <c r="N29" s="640" t="n"/>
      <c r="O29" s="640">
        <f>IF(AND(N29=1,L29=1),K29,"")</f>
        <v/>
      </c>
      <c r="P29" s="642" t="inlineStr">
        <is>
          <t>Москва, Варшавское ш., вл. 129 г</t>
        </is>
      </c>
      <c r="Q29" s="640" t="inlineStr">
        <is>
          <t>55.6118</t>
        </is>
      </c>
      <c r="R29" s="494" t="inlineStr">
        <is>
          <t>37.6116</t>
        </is>
      </c>
      <c r="S29" s="438" t="n"/>
      <c r="T29" s="438" t="n"/>
      <c r="U29" s="438" t="n"/>
      <c r="V29" s="438">
        <f>IF(AND(N29=1,U29=1),C29,"")</f>
        <v/>
      </c>
      <c r="W29" s="387" t="n"/>
      <c r="X29" s="387" t="n"/>
      <c r="Y29" s="387" t="n"/>
    </row>
    <row r="30" hidden="1" ht="16.05" customFormat="1" customHeight="1" s="126">
      <c r="A30" s="125" t="n">
        <v>17</v>
      </c>
      <c r="B30" s="125" t="inlineStr">
        <is>
          <t>WF</t>
        </is>
      </c>
      <c r="C30" s="130" t="inlineStr">
        <is>
          <t>Москва</t>
        </is>
      </c>
      <c r="D30" s="130" t="inlineStr">
        <is>
          <t>Московская область</t>
        </is>
      </c>
      <c r="E30" s="130" t="inlineStr">
        <is>
          <t>А104</t>
        </is>
      </c>
      <c r="F30" s="130" t="inlineStr">
        <is>
          <t>АЗС</t>
        </is>
      </c>
      <c r="G30" s="130" t="inlineStr">
        <is>
          <t>Роснефть</t>
        </is>
      </c>
      <c r="H30" s="131" t="inlineStr">
        <is>
          <t>MC085</t>
        </is>
      </c>
      <c r="I30" s="637" t="inlineStr">
        <is>
          <t>Вешки</t>
        </is>
      </c>
      <c r="J30" s="637" t="inlineStr">
        <is>
          <t>MSK_BP_Veshki</t>
        </is>
      </c>
      <c r="K30" s="640" t="n">
        <v>2</v>
      </c>
      <c r="L30" s="640" t="n">
        <v>1</v>
      </c>
      <c r="M30" s="623" t="inlineStr">
        <is>
          <t>Samsung 32" вертикальный</t>
        </is>
      </c>
      <c r="N30" s="640" t="n"/>
      <c r="O30" s="640">
        <f>IF(AND(N30=1,L30=1),K30,"")</f>
        <v/>
      </c>
      <c r="P30" s="642" t="inlineStr">
        <is>
          <t>Московская область, Мытищинский район, МКАД, 85 км, д. 1</t>
        </is>
      </c>
      <c r="Q30" s="640" t="inlineStr">
        <is>
          <t>55.908909</t>
        </is>
      </c>
      <c r="R30" s="494" t="inlineStr">
        <is>
          <t>37.596146</t>
        </is>
      </c>
      <c r="S30" s="438" t="n"/>
      <c r="T30" s="438" t="n"/>
      <c r="U30" s="438" t="n"/>
      <c r="V30" s="438">
        <f>IF(AND(N30=1,U30=1),C30,"")</f>
        <v/>
      </c>
      <c r="W30" s="387" t="n"/>
      <c r="X30" s="387" t="n"/>
      <c r="Y30" s="387" t="n"/>
    </row>
    <row r="31" hidden="1" ht="16.05" customFormat="1" customHeight="1" s="126">
      <c r="A31" s="125" t="n">
        <v>19</v>
      </c>
      <c r="B31" s="125" t="inlineStr">
        <is>
          <t>WF</t>
        </is>
      </c>
      <c r="C31" s="130" t="inlineStr">
        <is>
          <t>Москва</t>
        </is>
      </c>
      <c r="D31" s="130" t="inlineStr">
        <is>
          <t>Московская область</t>
        </is>
      </c>
      <c r="E31" s="130" t="inlineStr">
        <is>
          <t>М4</t>
        </is>
      </c>
      <c r="F31" s="130" t="inlineStr">
        <is>
          <t>АЗС</t>
        </is>
      </c>
      <c r="G31" s="130" t="inlineStr">
        <is>
          <t>Роснефть</t>
        </is>
      </c>
      <c r="H31" s="131" t="inlineStr">
        <is>
          <t>MC301</t>
        </is>
      </c>
      <c r="I31" s="637" t="inlineStr">
        <is>
          <t>Взлетная</t>
        </is>
      </c>
      <c r="J31" s="637" t="inlineStr">
        <is>
          <t>MSK_BP_Vzletnaya</t>
        </is>
      </c>
      <c r="K31" s="640" t="n">
        <v>2</v>
      </c>
      <c r="L31" s="640" t="n">
        <v>1</v>
      </c>
      <c r="M31" s="623" t="inlineStr">
        <is>
          <t>Samsung 32" вертикальный</t>
        </is>
      </c>
      <c r="N31" s="640" t="n"/>
      <c r="O31" s="640">
        <f>IF(AND(N31=1,L31=1),K31,"")</f>
        <v/>
      </c>
      <c r="P31" s="642" t="inlineStr">
        <is>
          <t>Московская область, Ленинский район, 23 км, Каширского ш., вблизи д. Апарники</t>
        </is>
      </c>
      <c r="Q31" s="640" t="inlineStr">
        <is>
          <t>55.575469</t>
        </is>
      </c>
      <c r="R31" s="422" t="inlineStr">
        <is>
          <t>37.758309</t>
        </is>
      </c>
      <c r="S31" s="438" t="n"/>
      <c r="T31" s="438" t="n"/>
      <c r="U31" s="438" t="n"/>
      <c r="V31" s="438">
        <f>IF(AND(N31=1,U31=1),C31,"")</f>
        <v/>
      </c>
      <c r="W31" s="387" t="n"/>
      <c r="X31" s="387" t="n"/>
      <c r="Y31" s="387" t="n"/>
    </row>
    <row r="32" hidden="1" ht="16.05" customFormat="1" customHeight="1" s="126">
      <c r="A32" s="125" t="n">
        <v>22</v>
      </c>
      <c r="B32" s="125" t="inlineStr">
        <is>
          <t>WF</t>
        </is>
      </c>
      <c r="C32" s="130" t="inlineStr">
        <is>
          <t>Москва</t>
        </is>
      </c>
      <c r="D32" s="130" t="inlineStr">
        <is>
          <t>Москва</t>
        </is>
      </c>
      <c r="E32" s="130" t="inlineStr">
        <is>
          <t>ВАО</t>
        </is>
      </c>
      <c r="F32" s="130" t="inlineStr">
        <is>
          <t>АЗС</t>
        </is>
      </c>
      <c r="G32" s="130" t="inlineStr">
        <is>
          <t>Роснефть</t>
        </is>
      </c>
      <c r="H32" s="131" t="inlineStr">
        <is>
          <t>MC039</t>
        </is>
      </c>
      <c r="I32" s="637" t="inlineStr">
        <is>
          <t>Владимирская</t>
        </is>
      </c>
      <c r="J32" s="637" t="inlineStr">
        <is>
          <t>MSK_BP_Vladimirskaya</t>
        </is>
      </c>
      <c r="K32" s="640" t="n">
        <v>2</v>
      </c>
      <c r="L32" s="640" t="n">
        <v>1</v>
      </c>
      <c r="M32" s="623" t="inlineStr">
        <is>
          <t>Samsung 32" вертикальный</t>
        </is>
      </c>
      <c r="N32" s="640" t="n"/>
      <c r="O32" s="640">
        <f>IF(AND(N32=1,L32=1),K32,"")</f>
        <v/>
      </c>
      <c r="P32" s="642" t="inlineStr">
        <is>
          <t>Москва, ш. Энтузиастов, вл. 56а</t>
        </is>
      </c>
      <c r="Q32" s="640" t="inlineStr">
        <is>
          <t>55.761764</t>
        </is>
      </c>
      <c r="R32" s="422" t="inlineStr">
        <is>
          <t>37.77187</t>
        </is>
      </c>
      <c r="S32" s="438" t="n"/>
      <c r="T32" s="438" t="n"/>
      <c r="U32" s="438" t="n"/>
      <c r="V32" s="438">
        <f>IF(AND(N32=1,U32=1),C32,"")</f>
        <v/>
      </c>
      <c r="W32" s="387" t="n"/>
      <c r="X32" s="387" t="n"/>
      <c r="Y32" s="387" t="n"/>
    </row>
    <row r="33" hidden="1" ht="16.05" customFormat="1" customHeight="1" s="126">
      <c r="A33" s="125" t="n">
        <v>24</v>
      </c>
      <c r="B33" s="125" t="inlineStr">
        <is>
          <t>WF</t>
        </is>
      </c>
      <c r="C33" s="130" t="inlineStr">
        <is>
          <t>Москва</t>
        </is>
      </c>
      <c r="D33" s="130" t="inlineStr">
        <is>
          <t>Московская область</t>
        </is>
      </c>
      <c r="E33" s="130" t="inlineStr">
        <is>
          <t>М3</t>
        </is>
      </c>
      <c r="F33" s="130" t="inlineStr">
        <is>
          <t>АЗС</t>
        </is>
      </c>
      <c r="G33" s="130" t="inlineStr">
        <is>
          <t>Роснефть</t>
        </is>
      </c>
      <c r="H33" s="131" t="inlineStr">
        <is>
          <t>MC122</t>
        </is>
      </c>
      <c r="I33" s="637" t="inlineStr">
        <is>
          <t>Внуково</t>
        </is>
      </c>
      <c r="J33" s="637" t="inlineStr">
        <is>
          <t>MSK_BP_Vnukovo</t>
        </is>
      </c>
      <c r="K33" s="640" t="n">
        <v>5</v>
      </c>
      <c r="L33" s="640" t="n">
        <v>1</v>
      </c>
      <c r="M33" s="623" t="inlineStr">
        <is>
          <t>Samsung 32" вертикальный</t>
        </is>
      </c>
      <c r="N33" s="640" t="n"/>
      <c r="O33" s="640">
        <f>IF(AND(N33=1,L33=1),K33,"")</f>
        <v/>
      </c>
      <c r="P33" s="642" t="inlineStr">
        <is>
          <t>Московская область, Ленинский район, Киевское ш., 27 км (справа) п/о г. Московский</t>
        </is>
      </c>
      <c r="Q33" s="640" t="inlineStr">
        <is>
          <t>55.604901</t>
        </is>
      </c>
      <c r="R33" s="494" t="inlineStr">
        <is>
          <t>37.335106</t>
        </is>
      </c>
      <c r="S33" s="438" t="n"/>
      <c r="T33" s="438" t="n"/>
      <c r="U33" s="438" t="n"/>
      <c r="V33" s="438">
        <f>IF(AND(N33=1,U33=1),C33,"")</f>
        <v/>
      </c>
      <c r="W33" s="387" t="n"/>
      <c r="X33" s="387" t="n"/>
      <c r="Y33" s="387" t="n"/>
    </row>
    <row r="34" hidden="1" ht="16.05" customFormat="1" customHeight="1" s="126">
      <c r="A34" s="125" t="n">
        <v>27</v>
      </c>
      <c r="B34" s="125" t="inlineStr">
        <is>
          <t>WF</t>
        </is>
      </c>
      <c r="C34" s="130" t="inlineStr">
        <is>
          <t>Москва</t>
        </is>
      </c>
      <c r="D34" s="130" t="inlineStr">
        <is>
          <t>Москва</t>
        </is>
      </c>
      <c r="E34" s="130" t="inlineStr">
        <is>
          <t>ЮВАО</t>
        </is>
      </c>
      <c r="F34" s="130" t="inlineStr">
        <is>
          <t>АЗС</t>
        </is>
      </c>
      <c r="G34" s="130" t="inlineStr">
        <is>
          <t>Роснефть</t>
        </is>
      </c>
      <c r="H34" s="131" t="inlineStr">
        <is>
          <t>MC157</t>
        </is>
      </c>
      <c r="I34" s="637" t="inlineStr">
        <is>
          <t>Волгоградская</t>
        </is>
      </c>
      <c r="J34" s="637" t="inlineStr">
        <is>
          <t>MSK_BP_Volgogradskaya</t>
        </is>
      </c>
      <c r="K34" s="640" t="n">
        <v>2</v>
      </c>
      <c r="L34" s="640" t="n">
        <v>1</v>
      </c>
      <c r="M34" s="623" t="inlineStr">
        <is>
          <t>Samsung 32" вертикальный</t>
        </is>
      </c>
      <c r="N34" s="640" t="n"/>
      <c r="O34" s="640">
        <f>IF(AND(N34=1,L34=1),K34,"")</f>
        <v/>
      </c>
      <c r="P34" s="642" t="inlineStr">
        <is>
          <t>Москва, Волгоградский пр-т, д. 24, стр.1</t>
        </is>
      </c>
      <c r="Q34" s="640" t="inlineStr">
        <is>
          <t>55.727318</t>
        </is>
      </c>
      <c r="R34" s="494" t="inlineStr">
        <is>
          <t>37.679017</t>
        </is>
      </c>
      <c r="S34" s="438" t="n"/>
      <c r="T34" s="438" t="n"/>
      <c r="U34" s="438" t="n"/>
      <c r="V34" s="438">
        <f>IF(AND(N34=1,U34=1),C34,"")</f>
        <v/>
      </c>
      <c r="W34" s="387" t="n"/>
      <c r="X34" s="387" t="n"/>
      <c r="Y34" s="387" t="n"/>
    </row>
    <row r="35" hidden="1" ht="16.05" customFormat="1" customHeight="1" s="126">
      <c r="A35" s="125" t="n">
        <v>29</v>
      </c>
      <c r="B35" s="125" t="inlineStr">
        <is>
          <t>WF</t>
        </is>
      </c>
      <c r="C35" s="130" t="inlineStr">
        <is>
          <t>Москва</t>
        </is>
      </c>
      <c r="D35" s="130" t="inlineStr">
        <is>
          <t>Мытищи</t>
        </is>
      </c>
      <c r="E35" s="130" t="inlineStr">
        <is>
          <t>М8</t>
        </is>
      </c>
      <c r="F35" s="130" t="inlineStr">
        <is>
          <t>АЗС</t>
        </is>
      </c>
      <c r="G35" s="130" t="inlineStr">
        <is>
          <t>Роснефть</t>
        </is>
      </c>
      <c r="H35" s="131" t="inlineStr">
        <is>
          <t>MC310</t>
        </is>
      </c>
      <c r="I35" s="637" t="inlineStr">
        <is>
          <t>Волковская</t>
        </is>
      </c>
      <c r="J35" s="637" t="inlineStr">
        <is>
          <t>MSK_BP_Volkovskaya</t>
        </is>
      </c>
      <c r="K35" s="640" t="n">
        <v>2</v>
      </c>
      <c r="L35" s="640" t="n">
        <v>1</v>
      </c>
      <c r="M35" s="623" t="inlineStr">
        <is>
          <t>Samsung 32" вертикальный</t>
        </is>
      </c>
      <c r="N35" s="640" t="n"/>
      <c r="O35" s="640">
        <f>IF(AND(N35=1,L35=1),K35,"")</f>
        <v/>
      </c>
      <c r="P35" s="642" t="inlineStr">
        <is>
          <t>Московская область, Мытищи, Волковское ш., 25</t>
        </is>
      </c>
      <c r="Q35" s="640" t="inlineStr">
        <is>
          <t>55.923948</t>
        </is>
      </c>
      <c r="R35" s="494" t="inlineStr">
        <is>
          <t>37.711821</t>
        </is>
      </c>
      <c r="S35" s="438" t="n"/>
      <c r="T35" s="438" t="n"/>
      <c r="U35" s="438" t="n"/>
      <c r="V35" s="438">
        <f>IF(AND(N35=1,U35=1),C35,"")</f>
        <v/>
      </c>
      <c r="W35" s="387" t="n"/>
      <c r="X35" s="387" t="n"/>
      <c r="Y35" s="387" t="n"/>
    </row>
    <row r="36" hidden="1" ht="16.05" customFormat="1" customHeight="1" s="126">
      <c r="A36" s="125" t="n">
        <v>30</v>
      </c>
      <c r="B36" s="125" t="inlineStr">
        <is>
          <t>WF</t>
        </is>
      </c>
      <c r="C36" s="130" t="inlineStr">
        <is>
          <t>Москва</t>
        </is>
      </c>
      <c r="D36" s="130" t="inlineStr">
        <is>
          <t>Москва</t>
        </is>
      </c>
      <c r="E36" s="130" t="inlineStr">
        <is>
          <t>М9</t>
        </is>
      </c>
      <c r="F36" s="130" t="inlineStr">
        <is>
          <t>АЗС</t>
        </is>
      </c>
      <c r="G36" s="130" t="inlineStr">
        <is>
          <t>Роснефть</t>
        </is>
      </c>
      <c r="H36" s="131" t="inlineStr">
        <is>
          <t>MC318</t>
        </is>
      </c>
      <c r="I36" s="637" t="inlineStr">
        <is>
          <t>Волоколамская</t>
        </is>
      </c>
      <c r="J36" s="637" t="inlineStr">
        <is>
          <t>MSK_BP_Volokolamskaya</t>
        </is>
      </c>
      <c r="K36" s="640" t="n">
        <v>2</v>
      </c>
      <c r="L36" s="640" t="n">
        <v>1</v>
      </c>
      <c r="M36" s="623" t="inlineStr">
        <is>
          <t>Samsung 32" вертикальный</t>
        </is>
      </c>
      <c r="N36" s="640" t="n"/>
      <c r="O36" s="640">
        <f>IF(AND(N36=1,L36=1),K36,"")</f>
        <v/>
      </c>
      <c r="P36" s="642" t="inlineStr">
        <is>
          <t>Москва, Волоколамское ш., 139</t>
        </is>
      </c>
      <c r="Q36" s="640" t="inlineStr">
        <is>
          <t>55.831679</t>
        </is>
      </c>
      <c r="R36" s="494" t="inlineStr">
        <is>
          <t>37.388031</t>
        </is>
      </c>
      <c r="S36" s="438" t="n"/>
      <c r="T36" s="438" t="n"/>
      <c r="U36" s="438" t="n"/>
      <c r="V36" s="438">
        <f>IF(AND(N36=1,U36=1),C36,"")</f>
        <v/>
      </c>
      <c r="W36" s="387" t="n"/>
      <c r="X36" s="387" t="n"/>
      <c r="Y36" s="387" t="n"/>
    </row>
    <row r="37" hidden="1" ht="16.05" customFormat="1" customHeight="1" s="126">
      <c r="A37" s="125" t="n">
        <v>32</v>
      </c>
      <c r="B37" s="125" t="inlineStr">
        <is>
          <t>WF</t>
        </is>
      </c>
      <c r="C37" s="130" t="inlineStr">
        <is>
          <t>Москва</t>
        </is>
      </c>
      <c r="D37" s="130" t="inlineStr">
        <is>
          <t>Москва</t>
        </is>
      </c>
      <c r="E37" s="130" t="inlineStr">
        <is>
          <t>А103</t>
        </is>
      </c>
      <c r="F37" s="130" t="inlineStr">
        <is>
          <t>АЗС</t>
        </is>
      </c>
      <c r="G37" s="130" t="inlineStr">
        <is>
          <t>Роснефть</t>
        </is>
      </c>
      <c r="H37" s="131" t="inlineStr">
        <is>
          <t>MC320</t>
        </is>
      </c>
      <c r="I37" s="637" t="inlineStr">
        <is>
          <t>Гольяново</t>
        </is>
      </c>
      <c r="J37" s="637" t="inlineStr">
        <is>
          <t>MSK_BP_Golyanovo</t>
        </is>
      </c>
      <c r="K37" s="640" t="n">
        <v>3</v>
      </c>
      <c r="L37" s="640" t="n">
        <v>1</v>
      </c>
      <c r="M37" s="623" t="inlineStr">
        <is>
          <t>Samsung 32" вертикальный</t>
        </is>
      </c>
      <c r="N37" s="640" t="n"/>
      <c r="O37" s="640">
        <f>IF(AND(N37=1,L37=1),K37,"")</f>
        <v/>
      </c>
      <c r="P37" s="642" t="inlineStr">
        <is>
          <t>Москва, МКАД, 102 км., влад. 20</t>
        </is>
      </c>
      <c r="Q37" s="640" t="inlineStr">
        <is>
          <t>55.825019</t>
        </is>
      </c>
      <c r="R37" s="494" t="inlineStr">
        <is>
          <t>37.83377</t>
        </is>
      </c>
      <c r="S37" s="438" t="n"/>
      <c r="T37" s="438" t="n"/>
      <c r="U37" s="438" t="n"/>
      <c r="V37" s="438">
        <f>IF(AND(N37=1,U37=1),C37,"")</f>
        <v/>
      </c>
      <c r="W37" s="387" t="n"/>
      <c r="X37" s="387" t="n"/>
      <c r="Y37" s="387" t="n"/>
    </row>
    <row r="38" hidden="1" ht="16.05" customFormat="1" customHeight="1" s="126">
      <c r="A38" s="125" t="n">
        <v>34</v>
      </c>
      <c r="B38" s="125" t="inlineStr">
        <is>
          <t>WF</t>
        </is>
      </c>
      <c r="C38" s="130" t="inlineStr">
        <is>
          <t>Москва</t>
        </is>
      </c>
      <c r="D38" s="130" t="inlineStr">
        <is>
          <t>Балашиха</t>
        </is>
      </c>
      <c r="E38" s="130" t="inlineStr">
        <is>
          <t>М7</t>
        </is>
      </c>
      <c r="F38" s="130" t="inlineStr">
        <is>
          <t>АЗС</t>
        </is>
      </c>
      <c r="G38" s="130" t="inlineStr">
        <is>
          <t>Роснефть</t>
        </is>
      </c>
      <c r="H38" s="131" t="inlineStr">
        <is>
          <t>MC315</t>
        </is>
      </c>
      <c r="I38" s="637" t="inlineStr">
        <is>
          <t>Горьковская</t>
        </is>
      </c>
      <c r="J38" s="637" t="inlineStr">
        <is>
          <t>MSK_BP_Gorkovskaya</t>
        </is>
      </c>
      <c r="K38" s="640" t="n">
        <v>2</v>
      </c>
      <c r="L38" s="640" t="n">
        <v>1</v>
      </c>
      <c r="M38" s="623" t="inlineStr">
        <is>
          <t>Samsung 32" вертикальный</t>
        </is>
      </c>
      <c r="N38" s="640" t="n"/>
      <c r="O38" s="640">
        <f>IF(AND(N38=1,L38=1),K38,"")</f>
        <v/>
      </c>
      <c r="P38" s="642" t="inlineStr">
        <is>
          <t xml:space="preserve">Московская область, г. Балашиха, ш. Энтузиастов, вл. 8 </t>
        </is>
      </c>
      <c r="Q38" s="640" t="inlineStr">
        <is>
          <t>55.78713131</t>
        </is>
      </c>
      <c r="R38" s="494" t="inlineStr">
        <is>
          <t>37.88245529</t>
        </is>
      </c>
      <c r="S38" s="438" t="n"/>
      <c r="T38" s="438" t="n"/>
      <c r="U38" s="438" t="n"/>
      <c r="V38" s="438">
        <f>IF(AND(N38=1,U38=1),C38,"")</f>
        <v/>
      </c>
      <c r="W38" s="387" t="n"/>
      <c r="X38" s="387" t="n"/>
      <c r="Y38" s="387" t="n"/>
    </row>
    <row r="39" hidden="1" ht="16.05" customFormat="1" customHeight="1" s="126">
      <c r="A39" s="125" t="n">
        <v>36</v>
      </c>
      <c r="B39" s="125" t="inlineStr">
        <is>
          <t>WF</t>
        </is>
      </c>
      <c r="C39" s="130" t="inlineStr">
        <is>
          <t>Москва</t>
        </is>
      </c>
      <c r="D39" s="130" t="inlineStr">
        <is>
          <t>Москва</t>
        </is>
      </c>
      <c r="E39" s="130" t="inlineStr">
        <is>
          <t>САО</t>
        </is>
      </c>
      <c r="F39" s="130" t="inlineStr">
        <is>
          <t>АЗС</t>
        </is>
      </c>
      <c r="G39" s="130" t="inlineStr">
        <is>
          <t>Роснефть</t>
        </is>
      </c>
      <c r="H39" s="131" t="inlineStr">
        <is>
          <t>MC086</t>
        </is>
      </c>
      <c r="I39" s="637" t="inlineStr">
        <is>
          <t>Дмитровская</t>
        </is>
      </c>
      <c r="J39" s="637" t="inlineStr">
        <is>
          <t>MSK_BP_Dmitrovskaya</t>
        </is>
      </c>
      <c r="K39" s="640" t="n">
        <v>2</v>
      </c>
      <c r="L39" s="640" t="n">
        <v>1</v>
      </c>
      <c r="M39" s="623" t="inlineStr">
        <is>
          <t>Samsung 32" вертикальный</t>
        </is>
      </c>
      <c r="N39" s="640" t="n"/>
      <c r="O39" s="640">
        <f>IF(AND(N39=1,L39=1),K39,"")</f>
        <v/>
      </c>
      <c r="P39" s="642" t="inlineStr">
        <is>
          <t>Москва, Дмитровское ш., вл. 107е</t>
        </is>
      </c>
      <c r="Q39" s="640" t="inlineStr">
        <is>
          <t>55.878582</t>
        </is>
      </c>
      <c r="R39" s="494" t="inlineStr">
        <is>
          <t>37.543855</t>
        </is>
      </c>
      <c r="S39" s="438" t="n"/>
      <c r="T39" s="438" t="n"/>
      <c r="U39" s="438" t="n"/>
      <c r="V39" s="438">
        <f>IF(AND(N39=1,U39=1),C39,"")</f>
        <v/>
      </c>
      <c r="W39" s="387" t="n"/>
      <c r="X39" s="387" t="n"/>
      <c r="Y39" s="387" t="n"/>
    </row>
    <row r="40" hidden="1" ht="16.05" customFormat="1" customHeight="1" s="126">
      <c r="A40" s="125" t="n">
        <v>38</v>
      </c>
      <c r="B40" s="125" t="inlineStr">
        <is>
          <t>WF</t>
        </is>
      </c>
      <c r="C40" s="130" t="inlineStr">
        <is>
          <t>Москва</t>
        </is>
      </c>
      <c r="D40" s="130" t="inlineStr">
        <is>
          <t>Долгопрудный</t>
        </is>
      </c>
      <c r="E40" s="130" t="inlineStr">
        <is>
          <t>А104</t>
        </is>
      </c>
      <c r="F40" s="130" t="inlineStr">
        <is>
          <t>АЗС</t>
        </is>
      </c>
      <c r="G40" s="130" t="inlineStr">
        <is>
          <t>Роснефть</t>
        </is>
      </c>
      <c r="H40" s="131" t="inlineStr">
        <is>
          <t>MC319</t>
        </is>
      </c>
      <c r="I40" s="637" t="inlineStr">
        <is>
          <t>Долгопрудный</t>
        </is>
      </c>
      <c r="J40" s="637" t="inlineStr">
        <is>
          <t>MSK_BP_Dolgoprudniy</t>
        </is>
      </c>
      <c r="K40" s="640" t="n">
        <v>2</v>
      </c>
      <c r="L40" s="640" t="n">
        <v>1</v>
      </c>
      <c r="M40" s="623" t="inlineStr">
        <is>
          <t>Samsung 32" вертикальный</t>
        </is>
      </c>
      <c r="N40" s="640" t="n"/>
      <c r="O40" s="640">
        <f>IF(AND(N40=1,L40=1),K40,"")</f>
        <v/>
      </c>
      <c r="P40" s="642" t="inlineStr">
        <is>
          <t>Московская область, г. Долгопрудный, Лихачевский пр-т, 8</t>
        </is>
      </c>
      <c r="Q40" s="640" t="inlineStr">
        <is>
          <t>55.912915</t>
        </is>
      </c>
      <c r="R40" s="494" t="inlineStr">
        <is>
          <t>37.495334</t>
        </is>
      </c>
      <c r="S40" s="438" t="n"/>
      <c r="T40" s="438" t="n"/>
      <c r="U40" s="438" t="n"/>
      <c r="V40" s="438">
        <f>IF(AND(N40=1,U40=1),C40,"")</f>
        <v/>
      </c>
      <c r="W40" s="387" t="n"/>
      <c r="X40" s="387" t="n"/>
      <c r="Y40" s="387" t="n"/>
    </row>
    <row r="41" hidden="1" ht="16.05" customFormat="1" customHeight="1" s="126">
      <c r="A41" s="125" t="n">
        <v>39</v>
      </c>
      <c r="B41" s="125" t="inlineStr">
        <is>
          <t>WF</t>
        </is>
      </c>
      <c r="C41" s="130" t="inlineStr">
        <is>
          <t>Москва</t>
        </is>
      </c>
      <c r="D41" s="130" t="inlineStr">
        <is>
          <t>Московская область</t>
        </is>
      </c>
      <c r="E41" s="130" t="inlineStr">
        <is>
          <t>М4</t>
        </is>
      </c>
      <c r="F41" s="130" t="inlineStr">
        <is>
          <t>АЗС</t>
        </is>
      </c>
      <c r="G41" s="130" t="inlineStr">
        <is>
          <t>Роснефть</t>
        </is>
      </c>
      <c r="H41" s="131" t="inlineStr">
        <is>
          <t>MC197</t>
        </is>
      </c>
      <c r="I41" s="637" t="inlineStr">
        <is>
          <t>Домодедово</t>
        </is>
      </c>
      <c r="J41" s="637" t="inlineStr">
        <is>
          <t>MSK_BP_Domodedovo</t>
        </is>
      </c>
      <c r="K41" s="640" t="n">
        <v>2</v>
      </c>
      <c r="L41" s="640" t="n">
        <v>1</v>
      </c>
      <c r="M41" s="623" t="inlineStr">
        <is>
          <t>Samsung 32" вертикальный</t>
        </is>
      </c>
      <c r="N41" s="640" t="n"/>
      <c r="O41" s="640">
        <f>IF(AND(N41=1,L41=1),K41,"")</f>
        <v/>
      </c>
      <c r="P41" s="642" t="inlineStr">
        <is>
          <t>Московская область, Домодедовский район, 43 км Каширского ш.</t>
        </is>
      </c>
      <c r="Q41" s="640" t="inlineStr">
        <is>
          <t>55.415833</t>
        </is>
      </c>
      <c r="R41" s="494" t="inlineStr">
        <is>
          <t>37.778598</t>
        </is>
      </c>
      <c r="S41" s="438" t="n"/>
      <c r="T41" s="438" t="n"/>
      <c r="U41" s="438" t="n"/>
      <c r="V41" s="438">
        <f>IF(AND(N41=1,U41=1),C41,"")</f>
        <v/>
      </c>
      <c r="W41" s="387" t="n"/>
      <c r="X41" s="387" t="n"/>
      <c r="Y41" s="387" t="n"/>
    </row>
    <row r="42" hidden="1" ht="16.05" customFormat="1" customHeight="1" s="126">
      <c r="A42" s="125" t="n">
        <v>40</v>
      </c>
      <c r="B42" s="125" t="inlineStr">
        <is>
          <t>WF</t>
        </is>
      </c>
      <c r="C42" s="130" t="inlineStr">
        <is>
          <t>Москва</t>
        </is>
      </c>
      <c r="D42" s="130" t="inlineStr">
        <is>
          <t>Московская область</t>
        </is>
      </c>
      <c r="E42" s="130" t="inlineStr">
        <is>
          <t>М4</t>
        </is>
      </c>
      <c r="F42" s="130" t="inlineStr">
        <is>
          <t>АЗС</t>
        </is>
      </c>
      <c r="G42" s="130" t="inlineStr">
        <is>
          <t>Роснефть</t>
        </is>
      </c>
      <c r="H42" s="131" t="inlineStr">
        <is>
          <t>MC154</t>
        </is>
      </c>
      <c r="I42" s="637" t="inlineStr">
        <is>
          <t>Дон</t>
        </is>
      </c>
      <c r="J42" s="637" t="inlineStr">
        <is>
          <t>MSK_BP_Don</t>
        </is>
      </c>
      <c r="K42" s="640" t="n">
        <v>2</v>
      </c>
      <c r="L42" s="640" t="n">
        <v>1</v>
      </c>
      <c r="M42" s="623" t="inlineStr">
        <is>
          <t>Samsung 32" вертикальный</t>
        </is>
      </c>
      <c r="N42" s="640" t="n"/>
      <c r="O42" s="640">
        <f>IF(AND(N42=1,L42=1),K42,"")</f>
        <v/>
      </c>
      <c r="P42" s="642" t="inlineStr">
        <is>
          <t>Московская область, Домодедовский район, с. Ям, 33-й км а/д М4 "Дон" (левая сторона)</t>
        </is>
      </c>
      <c r="Q42" s="640" t="inlineStr">
        <is>
          <t>55.471007</t>
        </is>
      </c>
      <c r="R42" s="494" t="inlineStr">
        <is>
          <t>37.752959</t>
        </is>
      </c>
      <c r="S42" s="438" t="n"/>
      <c r="T42" s="438" t="n"/>
      <c r="U42" s="438" t="n"/>
      <c r="V42" s="438">
        <f>IF(AND(N42=1,U42=1),C42,"")</f>
        <v/>
      </c>
      <c r="W42" s="387" t="n"/>
      <c r="X42" s="387" t="n"/>
      <c r="Y42" s="387" t="n"/>
    </row>
    <row r="43" hidden="1" ht="16.05" customFormat="1" customHeight="1" s="126">
      <c r="A43" s="125" t="n">
        <v>41</v>
      </c>
      <c r="B43" s="125" t="inlineStr">
        <is>
          <t>WF</t>
        </is>
      </c>
      <c r="C43" s="130" t="inlineStr">
        <is>
          <t>Москва</t>
        </is>
      </c>
      <c r="D43" s="130" t="inlineStr">
        <is>
          <t>Московская область</t>
        </is>
      </c>
      <c r="E43" s="130" t="inlineStr">
        <is>
          <t>М4</t>
        </is>
      </c>
      <c r="F43" s="130" t="inlineStr">
        <is>
          <t>АЗС</t>
        </is>
      </c>
      <c r="G43" s="130" t="inlineStr">
        <is>
          <t>Роснефть</t>
        </is>
      </c>
      <c r="H43" s="131" t="inlineStr">
        <is>
          <t>MC305</t>
        </is>
      </c>
      <c r="I43" s="637" t="inlineStr">
        <is>
          <t>Дон-1</t>
        </is>
      </c>
      <c r="J43" s="637" t="inlineStr">
        <is>
          <t>MSK_BP_Don_1</t>
        </is>
      </c>
      <c r="K43" s="640" t="n">
        <v>2</v>
      </c>
      <c r="L43" s="640" t="n">
        <v>1</v>
      </c>
      <c r="M43" s="623" t="inlineStr">
        <is>
          <t>Samsung 32" вертикальный</t>
        </is>
      </c>
      <c r="N43" s="640" t="n"/>
      <c r="O43" s="640">
        <f>IF(AND(N43=1,L43=1),K43,"")</f>
        <v/>
      </c>
      <c r="P43" s="642" t="inlineStr">
        <is>
          <t>Московская область, Ленинский район, 21-й км а/д "Москва-Дон" (справа), вблизи д. Тарычево</t>
        </is>
      </c>
      <c r="Q43" s="640" t="inlineStr">
        <is>
          <t>55.567316</t>
        </is>
      </c>
      <c r="R43" s="422" t="inlineStr">
        <is>
          <t>37.691784</t>
        </is>
      </c>
      <c r="S43" s="438" t="n"/>
      <c r="T43" s="438" t="n"/>
      <c r="U43" s="438" t="n"/>
      <c r="V43" s="438">
        <f>IF(AND(N43=1,U43=1),C43,"")</f>
        <v/>
      </c>
      <c r="W43" s="387" t="n"/>
      <c r="X43" s="387" t="n"/>
      <c r="Y43" s="387" t="n"/>
    </row>
    <row r="44" hidden="1" ht="16.05" customFormat="1" customHeight="1" s="126">
      <c r="A44" s="125" t="n">
        <v>43</v>
      </c>
      <c r="B44" s="125" t="inlineStr">
        <is>
          <t>WF</t>
        </is>
      </c>
      <c r="C44" s="130" t="inlineStr">
        <is>
          <t>Москва</t>
        </is>
      </c>
      <c r="D44" s="130" t="inlineStr">
        <is>
          <t>Москва</t>
        </is>
      </c>
      <c r="E44" s="130" t="inlineStr">
        <is>
          <t>ЮАО</t>
        </is>
      </c>
      <c r="F44" s="130" t="inlineStr">
        <is>
          <t>АЗС</t>
        </is>
      </c>
      <c r="G44" s="130" t="inlineStr">
        <is>
          <t>Роснефть</t>
        </is>
      </c>
      <c r="H44" s="131" t="inlineStr">
        <is>
          <t>MC091</t>
        </is>
      </c>
      <c r="I44" s="637" t="inlineStr">
        <is>
          <t>Донская</t>
        </is>
      </c>
      <c r="J44" s="637" t="inlineStr">
        <is>
          <t>MSK_BP_Donskaya</t>
        </is>
      </c>
      <c r="K44" s="640" t="n">
        <v>2</v>
      </c>
      <c r="L44" s="640" t="n">
        <v>1</v>
      </c>
      <c r="M44" s="623" t="inlineStr">
        <is>
          <t>Samsung 32" вертикальный</t>
        </is>
      </c>
      <c r="N44" s="640" t="n"/>
      <c r="O44" s="640">
        <f>IF(AND(N44=1,L44=1),K44,"")</f>
        <v/>
      </c>
      <c r="P44" s="642" t="inlineStr">
        <is>
          <t>Москва, Загородное ш., вл. 2б</t>
        </is>
      </c>
      <c r="Q44" s="640" t="inlineStr">
        <is>
          <t>55.701277</t>
        </is>
      </c>
      <c r="R44" s="422" t="inlineStr">
        <is>
          <t>37.605036</t>
        </is>
      </c>
      <c r="S44" s="438" t="n"/>
      <c r="T44" s="438" t="n"/>
      <c r="U44" s="438" t="n"/>
      <c r="V44" s="438">
        <f>IF(AND(N44=1,U44=1),C44,"")</f>
        <v/>
      </c>
      <c r="W44" s="387" t="n"/>
      <c r="X44" s="387" t="n"/>
      <c r="Y44" s="387" t="n"/>
    </row>
    <row r="45" hidden="1" ht="16.05" customFormat="1" customHeight="1" s="126">
      <c r="A45" s="125" t="n">
        <v>45</v>
      </c>
      <c r="B45" s="125" t="inlineStr">
        <is>
          <t>WF</t>
        </is>
      </c>
      <c r="C45" s="130" t="inlineStr">
        <is>
          <t>Москва</t>
        </is>
      </c>
      <c r="D45" s="130" t="inlineStr">
        <is>
          <t>Московская область</t>
        </is>
      </c>
      <c r="E45" s="130" t="inlineStr">
        <is>
          <t>А104</t>
        </is>
      </c>
      <c r="F45" s="130" t="inlineStr">
        <is>
          <t>АЗС</t>
        </is>
      </c>
      <c r="G45" s="130" t="inlineStr">
        <is>
          <t>Роснефть</t>
        </is>
      </c>
      <c r="H45" s="131" t="inlineStr">
        <is>
          <t>MC153</t>
        </is>
      </c>
      <c r="I45" s="637" t="inlineStr">
        <is>
          <t>Еремино</t>
        </is>
      </c>
      <c r="J45" s="637" t="inlineStr">
        <is>
          <t>MSK_BP_Eremino</t>
        </is>
      </c>
      <c r="K45" s="640" t="n">
        <v>2</v>
      </c>
      <c r="L45" s="640" t="n">
        <v>1</v>
      </c>
      <c r="M45" s="623" t="inlineStr">
        <is>
          <t>Samsung 32" вертикальный</t>
        </is>
      </c>
      <c r="N45" s="640" t="n"/>
      <c r="O45" s="640">
        <f>IF(AND(N45=1,L45=1),K45,"")</f>
        <v/>
      </c>
      <c r="P45" s="642" t="inlineStr">
        <is>
          <t>Московская область, Мытищинский район, д. Еремино,  Дмитровская, вл. 56, стр. 1</t>
        </is>
      </c>
      <c r="Q45" s="640" t="inlineStr">
        <is>
          <t>56.011717</t>
        </is>
      </c>
      <c r="R45" s="494" t="inlineStr">
        <is>
          <t>37.546634</t>
        </is>
      </c>
      <c r="S45" s="438" t="n"/>
      <c r="T45" s="438" t="n"/>
      <c r="U45" s="438" t="n"/>
      <c r="V45" s="438">
        <f>IF(AND(N45=1,U45=1),C45,"")</f>
        <v/>
      </c>
      <c r="W45" s="387" t="n"/>
      <c r="X45" s="387" t="n"/>
      <c r="Y45" s="387" t="n"/>
    </row>
    <row r="46" hidden="1" ht="16.05" customFormat="1" customHeight="1" s="126">
      <c r="A46" s="125" t="n">
        <v>46</v>
      </c>
      <c r="B46" s="125" t="inlineStr">
        <is>
          <t>WF</t>
        </is>
      </c>
      <c r="C46" s="130" t="inlineStr">
        <is>
          <t>Москва</t>
        </is>
      </c>
      <c r="D46" s="130" t="inlineStr">
        <is>
          <t>Железнодорожный</t>
        </is>
      </c>
      <c r="E46" s="130" t="inlineStr">
        <is>
          <t>М7</t>
        </is>
      </c>
      <c r="F46" s="130" t="inlineStr">
        <is>
          <t>АЗС</t>
        </is>
      </c>
      <c r="G46" s="130" t="inlineStr">
        <is>
          <t>Роснефть</t>
        </is>
      </c>
      <c r="H46" s="131" t="inlineStr">
        <is>
          <t>MC311</t>
        </is>
      </c>
      <c r="I46" s="637" t="inlineStr">
        <is>
          <t>Железнодорожный</t>
        </is>
      </c>
      <c r="J46" s="637" t="inlineStr">
        <is>
          <t>MSK_BP_Zheleznodorozhniy</t>
        </is>
      </c>
      <c r="K46" s="640" t="n">
        <v>2</v>
      </c>
      <c r="L46" s="640" t="n">
        <v>1</v>
      </c>
      <c r="M46" s="623" t="inlineStr">
        <is>
          <t>Samsung 32" вертикальный</t>
        </is>
      </c>
      <c r="N46" s="640" t="n"/>
      <c r="O46" s="640">
        <f>IF(AND(N46=1,L46=1),K46,"")</f>
        <v/>
      </c>
      <c r="P46" s="642" t="inlineStr">
        <is>
          <t>Московская область, г. Железнодорожный,  Центральная, 44</t>
        </is>
      </c>
      <c r="Q46" s="640" t="inlineStr">
        <is>
          <t>55.751744</t>
        </is>
      </c>
      <c r="R46" s="494" t="inlineStr">
        <is>
          <t>37.953615</t>
        </is>
      </c>
      <c r="S46" s="438" t="n"/>
      <c r="T46" s="438" t="n"/>
      <c r="U46" s="438" t="n"/>
      <c r="V46" s="438">
        <f>IF(AND(N46=1,U46=1),C46,"")</f>
        <v/>
      </c>
      <c r="W46" s="387" t="n"/>
      <c r="X46" s="387" t="n"/>
      <c r="Y46" s="387" t="n"/>
    </row>
    <row r="47" hidden="1" ht="16.05" customFormat="1" customHeight="1" s="126">
      <c r="A47" s="125" t="n">
        <v>47</v>
      </c>
      <c r="B47" s="125" t="inlineStr">
        <is>
          <t>WF</t>
        </is>
      </c>
      <c r="C47" s="130" t="inlineStr">
        <is>
          <t>Москва</t>
        </is>
      </c>
      <c r="D47" s="130" t="inlineStr">
        <is>
          <t>Жуковский</t>
        </is>
      </c>
      <c r="E47" s="130" t="inlineStr">
        <is>
          <t>М5</t>
        </is>
      </c>
      <c r="F47" s="130" t="inlineStr">
        <is>
          <t>АЗС</t>
        </is>
      </c>
      <c r="G47" s="130" t="inlineStr">
        <is>
          <t>Роснефть</t>
        </is>
      </c>
      <c r="H47" s="131" t="inlineStr">
        <is>
          <t>MC313</t>
        </is>
      </c>
      <c r="I47" s="637" t="inlineStr">
        <is>
          <t>Жуковский</t>
        </is>
      </c>
      <c r="J47" s="637" t="inlineStr">
        <is>
          <t>MSK_BP_Zhukovskiy</t>
        </is>
      </c>
      <c r="K47" s="640" t="n">
        <v>2</v>
      </c>
      <c r="L47" s="640" t="n">
        <v>1</v>
      </c>
      <c r="M47" s="623" t="inlineStr">
        <is>
          <t>Samsung 32" вертикальный</t>
        </is>
      </c>
      <c r="N47" s="640" t="n"/>
      <c r="O47" s="640">
        <f>IF(AND(N47=1,L47=1),K47,"")</f>
        <v/>
      </c>
      <c r="P47" s="642" t="inlineStr">
        <is>
          <t>Московская область, г. Жуковский,  Гагарина д.66</t>
        </is>
      </c>
      <c r="Q47" s="640" t="inlineStr">
        <is>
          <t>55.609734</t>
        </is>
      </c>
      <c r="R47" s="494" t="inlineStr">
        <is>
          <t>38.082116</t>
        </is>
      </c>
      <c r="S47" s="438" t="n"/>
      <c r="T47" s="438" t="n"/>
      <c r="U47" s="438" t="n"/>
      <c r="V47" s="438">
        <f>IF(AND(N47=1,U47=1),C47,"")</f>
        <v/>
      </c>
      <c r="W47" s="387" t="n"/>
      <c r="X47" s="387" t="n"/>
      <c r="Y47" s="387" t="n"/>
    </row>
    <row r="48" hidden="1" ht="16.05" customFormat="1" customHeight="1" s="126">
      <c r="A48" s="125" t="n">
        <v>48</v>
      </c>
      <c r="B48" s="125" t="inlineStr">
        <is>
          <t>WF</t>
        </is>
      </c>
      <c r="C48" s="130" t="inlineStr">
        <is>
          <t>Москва</t>
        </is>
      </c>
      <c r="D48" s="130" t="inlineStr">
        <is>
          <t>Москва</t>
        </is>
      </c>
      <c r="E48" s="130" t="inlineStr">
        <is>
          <t>М5</t>
        </is>
      </c>
      <c r="F48" s="130" t="inlineStr">
        <is>
          <t>АЗС</t>
        </is>
      </c>
      <c r="G48" s="130" t="inlineStr">
        <is>
          <t>Роснефть</t>
        </is>
      </c>
      <c r="H48" s="131" t="inlineStr">
        <is>
          <t>MC042</t>
        </is>
      </c>
      <c r="I48" s="637" t="inlineStr">
        <is>
          <t>Жулебино</t>
        </is>
      </c>
      <c r="J48" s="637" t="inlineStr">
        <is>
          <t>MSK_BP_Zhulebino</t>
        </is>
      </c>
      <c r="K48" s="640" t="n">
        <v>2</v>
      </c>
      <c r="L48" s="640" t="n">
        <v>1</v>
      </c>
      <c r="M48" s="623" t="inlineStr">
        <is>
          <t>Samsung 32" вертикальный</t>
        </is>
      </c>
      <c r="N48" s="640" t="n"/>
      <c r="O48" s="640">
        <f>IF(AND(N48=1,L48=1),K48,"")</f>
        <v/>
      </c>
      <c r="P48" s="642" t="inlineStr">
        <is>
          <t>Москва,  Привольная 64</t>
        </is>
      </c>
      <c r="Q48" s="640" t="inlineStr">
        <is>
          <t>55.680434</t>
        </is>
      </c>
      <c r="R48" s="494" t="inlineStr">
        <is>
          <t>37.849029</t>
        </is>
      </c>
      <c r="S48" s="438" t="n"/>
      <c r="T48" s="438" t="n"/>
      <c r="U48" s="438" t="n"/>
      <c r="V48" s="438">
        <f>IF(AND(N48=1,U48=1),C48,"")</f>
        <v/>
      </c>
      <c r="W48" s="387" t="n"/>
      <c r="X48" s="387" t="n"/>
      <c r="Y48" s="387" t="n"/>
    </row>
    <row r="49" hidden="1" ht="16.05" customFormat="1" customHeight="1" s="126">
      <c r="A49" s="125" t="n">
        <v>50</v>
      </c>
      <c r="B49" s="125" t="inlineStr">
        <is>
          <t>WF</t>
        </is>
      </c>
      <c r="C49" s="130" t="inlineStr">
        <is>
          <t>Москва</t>
        </is>
      </c>
      <c r="D49" s="130" t="inlineStr">
        <is>
          <t>Москва</t>
        </is>
      </c>
      <c r="E49" s="130" t="inlineStr">
        <is>
          <t>М10</t>
        </is>
      </c>
      <c r="F49" s="130" t="inlineStr">
        <is>
          <t>АЗС</t>
        </is>
      </c>
      <c r="G49" s="130" t="inlineStr">
        <is>
          <t>Роснефть</t>
        </is>
      </c>
      <c r="H49" s="131" t="inlineStr">
        <is>
          <t>MC009</t>
        </is>
      </c>
      <c r="I49" s="637" t="inlineStr">
        <is>
          <t>Зеленоградская</t>
        </is>
      </c>
      <c r="J49" s="637" t="inlineStr">
        <is>
          <t>MSK_BP_Zelenogradskaya</t>
        </is>
      </c>
      <c r="K49" s="640" t="n">
        <v>2</v>
      </c>
      <c r="L49" s="640" t="n">
        <v>1</v>
      </c>
      <c r="M49" s="623" t="inlineStr">
        <is>
          <t>Samsung 32" вертикальный</t>
        </is>
      </c>
      <c r="N49" s="640" t="n"/>
      <c r="O49" s="640">
        <f>IF(AND(N49=1,L49=1),K49,"")</f>
        <v/>
      </c>
      <c r="P49" s="642" t="inlineStr">
        <is>
          <t>Московская область, г. Зеленоград, проезд 4801, д. 3, стр. 1,2</t>
        </is>
      </c>
      <c r="Q49" s="640" t="inlineStr">
        <is>
          <t>56.014432</t>
        </is>
      </c>
      <c r="R49" s="494" t="inlineStr">
        <is>
          <t>37.20442</t>
        </is>
      </c>
      <c r="S49" s="438" t="n"/>
      <c r="T49" s="438" t="n"/>
      <c r="U49" s="438" t="n"/>
      <c r="V49" s="438">
        <f>IF(AND(N49=1,U49=1),C49,"")</f>
        <v/>
      </c>
      <c r="W49" s="387" t="n"/>
      <c r="X49" s="387" t="n"/>
      <c r="Y49" s="387" t="n"/>
    </row>
    <row r="50" hidden="1" ht="16.05" customFormat="1" customHeight="1" s="126">
      <c r="A50" s="125" t="n">
        <v>51</v>
      </c>
      <c r="B50" s="125" t="inlineStr">
        <is>
          <t>WF</t>
        </is>
      </c>
      <c r="C50" s="130" t="inlineStr">
        <is>
          <t>Москва</t>
        </is>
      </c>
      <c r="D50" s="130" t="inlineStr">
        <is>
          <t>Москва</t>
        </is>
      </c>
      <c r="E50" s="130" t="inlineStr">
        <is>
          <t>ВАО</t>
        </is>
      </c>
      <c r="F50" s="130" t="inlineStr">
        <is>
          <t>АЗС</t>
        </is>
      </c>
      <c r="G50" s="130" t="inlineStr">
        <is>
          <t>Роснефть</t>
        </is>
      </c>
      <c r="H50" s="131" t="inlineStr">
        <is>
          <t>MC007</t>
        </is>
      </c>
      <c r="I50" s="637" t="inlineStr">
        <is>
          <t>Ивановское</t>
        </is>
      </c>
      <c r="J50" s="637" t="inlineStr">
        <is>
          <t>MSK_BP_Ivanovskaya</t>
        </is>
      </c>
      <c r="K50" s="640" t="n">
        <v>2</v>
      </c>
      <c r="L50" s="640" t="n">
        <v>1</v>
      </c>
      <c r="M50" s="623" t="inlineStr">
        <is>
          <t>Samsung 32" вертикальный</t>
        </is>
      </c>
      <c r="N50" s="640" t="n"/>
      <c r="O50" s="640">
        <f>IF(AND(N50=1,L50=1),K50,"")</f>
        <v/>
      </c>
      <c r="P50" s="642" t="inlineStr">
        <is>
          <t>Москва, ш.Энтузиастов, 63</t>
        </is>
      </c>
      <c r="Q50" s="640" t="inlineStr">
        <is>
          <t>55.775784</t>
        </is>
      </c>
      <c r="R50" s="494" t="inlineStr">
        <is>
          <t>37.834777</t>
        </is>
      </c>
      <c r="S50" s="438" t="n"/>
      <c r="T50" s="438" t="n"/>
      <c r="U50" s="438" t="n"/>
      <c r="V50" s="438">
        <f>IF(AND(N50=1,U50=1),C50,"")</f>
        <v/>
      </c>
      <c r="W50" s="387" t="n"/>
      <c r="X50" s="387" t="n"/>
      <c r="Y50" s="387" t="n"/>
    </row>
    <row r="51" hidden="1" ht="16.05" customFormat="1" customHeight="1" s="126">
      <c r="A51" s="125" t="n">
        <v>53</v>
      </c>
      <c r="B51" s="125" t="inlineStr">
        <is>
          <t>WF</t>
        </is>
      </c>
      <c r="C51" s="130" t="inlineStr">
        <is>
          <t>Москва</t>
        </is>
      </c>
      <c r="D51" s="130" t="inlineStr">
        <is>
          <t>Московская область</t>
        </is>
      </c>
      <c r="E51" s="130" t="inlineStr">
        <is>
          <t>А104</t>
        </is>
      </c>
      <c r="F51" s="130" t="inlineStr">
        <is>
          <t>АЗС</t>
        </is>
      </c>
      <c r="G51" s="130" t="inlineStr">
        <is>
          <t>Роснефть</t>
        </is>
      </c>
      <c r="H51" s="131" t="inlineStr">
        <is>
          <t>MC159</t>
        </is>
      </c>
      <c r="I51" s="637" t="inlineStr">
        <is>
          <t>Икша</t>
        </is>
      </c>
      <c r="J51" s="637" t="inlineStr">
        <is>
          <t>MSK_BP_Iksha</t>
        </is>
      </c>
      <c r="K51" s="640" t="n">
        <v>2</v>
      </c>
      <c r="L51" s="640" t="n">
        <v>1</v>
      </c>
      <c r="M51" s="623" t="inlineStr">
        <is>
          <t>Samsung 32" вертикальный</t>
        </is>
      </c>
      <c r="N51" s="640" t="n"/>
      <c r="O51" s="640">
        <f>IF(AND(N51=1,L51=1),K51,"")</f>
        <v/>
      </c>
      <c r="P51" s="642" t="inlineStr">
        <is>
          <t>Московская область, Дмитровский район, 49 км а/д Москва-Дубна, д. Базарово</t>
        </is>
      </c>
      <c r="Q51" s="640" t="inlineStr">
        <is>
          <t>56.161424</t>
        </is>
      </c>
      <c r="R51" s="494" t="inlineStr">
        <is>
          <t>37.493763</t>
        </is>
      </c>
      <c r="S51" s="438" t="n"/>
      <c r="T51" s="438" t="n"/>
      <c r="U51" s="438" t="n"/>
      <c r="V51" s="438">
        <f>IF(AND(N51=1,U51=1),C51,"")</f>
        <v/>
      </c>
      <c r="W51" s="387" t="n"/>
      <c r="X51" s="387" t="n"/>
      <c r="Y51" s="387" t="n"/>
    </row>
    <row r="52" hidden="1" ht="16.05" customFormat="1" customHeight="1" s="126">
      <c r="A52" s="125" t="n">
        <v>54</v>
      </c>
      <c r="B52" s="125" t="inlineStr">
        <is>
          <t>WF</t>
        </is>
      </c>
      <c r="C52" s="130" t="inlineStr">
        <is>
          <t>Москва</t>
        </is>
      </c>
      <c r="D52" s="130" t="inlineStr">
        <is>
          <t>Москва</t>
        </is>
      </c>
      <c r="E52" s="130" t="inlineStr">
        <is>
          <t>ЮАО</t>
        </is>
      </c>
      <c r="F52" s="130" t="inlineStr">
        <is>
          <t>АЗС</t>
        </is>
      </c>
      <c r="G52" s="130" t="inlineStr">
        <is>
          <t>Роснефть</t>
        </is>
      </c>
      <c r="H52" s="131" t="inlineStr">
        <is>
          <t>MC003</t>
        </is>
      </c>
      <c r="I52" s="637" t="inlineStr">
        <is>
          <t>Каширская</t>
        </is>
      </c>
      <c r="J52" s="637" t="inlineStr">
        <is>
          <t>MSK_BP_Kashirskaya</t>
        </is>
      </c>
      <c r="K52" s="640" t="n">
        <v>2</v>
      </c>
      <c r="L52" s="640" t="n">
        <v>1</v>
      </c>
      <c r="M52" s="623" t="inlineStr">
        <is>
          <t>Samsung 32" вертикальный</t>
        </is>
      </c>
      <c r="N52" s="640" t="n"/>
      <c r="O52" s="640">
        <f>IF(AND(N52=1,L52=1),K52,"")</f>
        <v/>
      </c>
      <c r="P52" s="642" t="inlineStr">
        <is>
          <t>Москва,  Ясеневая, 13</t>
        </is>
      </c>
      <c r="Q52" s="640" t="inlineStr">
        <is>
          <t>55.602467</t>
        </is>
      </c>
      <c r="R52" s="494" t="inlineStr">
        <is>
          <t>37.723156</t>
        </is>
      </c>
      <c r="S52" s="438" t="n"/>
      <c r="T52" s="438" t="n"/>
      <c r="U52" s="438" t="n"/>
      <c r="V52" s="438">
        <f>IF(AND(N52=1,U52=1),C52,"")</f>
        <v/>
      </c>
      <c r="W52" s="387" t="n"/>
      <c r="X52" s="387" t="n"/>
      <c r="Y52" s="387" t="n"/>
    </row>
    <row r="53" hidden="1" ht="16.05" customFormat="1" customHeight="1" s="126">
      <c r="A53" s="125" t="n">
        <v>56</v>
      </c>
      <c r="B53" s="160" t="inlineStr">
        <is>
          <t>WF</t>
        </is>
      </c>
      <c r="C53" s="130" t="inlineStr">
        <is>
          <t>Москва</t>
        </is>
      </c>
      <c r="D53" s="130" t="inlineStr">
        <is>
          <t>Климовск</t>
        </is>
      </c>
      <c r="E53" s="130" t="inlineStr">
        <is>
          <t>М2</t>
        </is>
      </c>
      <c r="F53" s="130" t="inlineStr">
        <is>
          <t>АЗС</t>
        </is>
      </c>
      <c r="G53" s="130" t="inlineStr">
        <is>
          <t>BP</t>
        </is>
      </c>
      <c r="H53" s="131" t="inlineStr">
        <is>
          <t>MC191</t>
        </is>
      </c>
      <c r="I53" s="637" t="inlineStr">
        <is>
          <t>Климовск</t>
        </is>
      </c>
      <c r="J53" s="402" t="inlineStr">
        <is>
          <t>MSK_BP_Klimovsk</t>
        </is>
      </c>
      <c r="K53" s="640" t="n">
        <v>2</v>
      </c>
      <c r="L53" s="640" t="n">
        <v>0</v>
      </c>
      <c r="M53" s="640" t="inlineStr">
        <is>
          <t>Sam 32</t>
        </is>
      </c>
      <c r="N53" s="640" t="n"/>
      <c r="O53" s="640">
        <f>IF(AND(N53=1,L53=1),K53,"")</f>
        <v/>
      </c>
      <c r="P53" s="642" t="inlineStr">
        <is>
          <t>Московская область, г. Климовск  Молодежная 11</t>
        </is>
      </c>
      <c r="Q53" s="640" t="n">
        <v>55.385123</v>
      </c>
      <c r="R53" s="422" t="n">
        <v>37.541704</v>
      </c>
      <c r="S53" s="438" t="n"/>
      <c r="T53" s="438" t="n"/>
      <c r="U53" s="438" t="n"/>
      <c r="V53" s="438">
        <f>IF(AND(N53=1,U53=1),C53,"")</f>
        <v/>
      </c>
      <c r="W53" s="387" t="n"/>
      <c r="X53" s="1" t="n"/>
      <c r="Y53" s="1" t="n"/>
    </row>
    <row r="54" hidden="1" ht="16.05" customFormat="1" customHeight="1" s="126">
      <c r="A54" s="125" t="n">
        <v>57</v>
      </c>
      <c r="B54" s="125" t="inlineStr">
        <is>
          <t>WF</t>
        </is>
      </c>
      <c r="C54" s="130" t="inlineStr">
        <is>
          <t>Москва</t>
        </is>
      </c>
      <c r="D54" s="130" t="inlineStr">
        <is>
          <t>Клин</t>
        </is>
      </c>
      <c r="E54" s="130" t="inlineStr">
        <is>
          <t>М10</t>
        </is>
      </c>
      <c r="F54" s="130" t="inlineStr">
        <is>
          <t>АЗС</t>
        </is>
      </c>
      <c r="G54" s="130" t="inlineStr">
        <is>
          <t>Роснефть</t>
        </is>
      </c>
      <c r="H54" s="131" t="inlineStr">
        <is>
          <t>MC045</t>
        </is>
      </c>
      <c r="I54" s="637" t="inlineStr">
        <is>
          <t>Клин</t>
        </is>
      </c>
      <c r="J54" s="637" t="inlineStr">
        <is>
          <t>MSK_BP_Klin</t>
        </is>
      </c>
      <c r="K54" s="640" t="n">
        <v>1</v>
      </c>
      <c r="L54" s="640" t="n">
        <v>1</v>
      </c>
      <c r="M54" s="623" t="inlineStr">
        <is>
          <t>Samsung 32" вертикальный</t>
        </is>
      </c>
      <c r="N54" s="640" t="n"/>
      <c r="O54" s="640">
        <f>IF(AND(N54=1,L54=1),K54,"")</f>
        <v/>
      </c>
      <c r="P54" s="642" t="inlineStr">
        <is>
          <t>Московская область, г. Клин,  Чайковского, д. 79</t>
        </is>
      </c>
      <c r="Q54" s="640" t="inlineStr">
        <is>
          <t>56.325952</t>
        </is>
      </c>
      <c r="R54" s="494" t="inlineStr">
        <is>
          <t>36.754578</t>
        </is>
      </c>
      <c r="S54" s="438" t="n"/>
      <c r="T54" s="438" t="n"/>
      <c r="U54" s="438" t="n"/>
      <c r="V54" s="438">
        <f>IF(AND(N54=1,U54=1),C54,"")</f>
        <v/>
      </c>
      <c r="W54" s="387" t="n"/>
      <c r="X54" s="387" t="n"/>
      <c r="Y54" s="387" t="n"/>
    </row>
    <row r="55" hidden="1" ht="16.05" customFormat="1" customHeight="1" s="126">
      <c r="A55" s="125" t="n">
        <v>58</v>
      </c>
      <c r="B55" s="125" t="inlineStr">
        <is>
          <t>WF</t>
        </is>
      </c>
      <c r="C55" s="130" t="inlineStr">
        <is>
          <t>Москва</t>
        </is>
      </c>
      <c r="D55" s="130" t="inlineStr">
        <is>
          <t>Клин</t>
        </is>
      </c>
      <c r="E55" s="130" t="inlineStr">
        <is>
          <t>М10</t>
        </is>
      </c>
      <c r="F55" s="130" t="inlineStr">
        <is>
          <t>АЗС</t>
        </is>
      </c>
      <c r="G55" s="130" t="inlineStr">
        <is>
          <t>Роснефть</t>
        </is>
      </c>
      <c r="H55" s="131" t="inlineStr">
        <is>
          <t>MC161</t>
        </is>
      </c>
      <c r="I55" s="637" t="inlineStr">
        <is>
          <t>Клин-2</t>
        </is>
      </c>
      <c r="J55" s="637" t="inlineStr">
        <is>
          <t>MSK_BP_Klin_2</t>
        </is>
      </c>
      <c r="K55" s="640" t="n">
        <v>2</v>
      </c>
      <c r="L55" s="640" t="n">
        <v>1</v>
      </c>
      <c r="M55" s="623" t="inlineStr">
        <is>
          <t>Samsung 32" вертикальный</t>
        </is>
      </c>
      <c r="N55" s="640" t="n"/>
      <c r="O55" s="640">
        <f>IF(AND(N55=1,L55=1),K55,"")</f>
        <v/>
      </c>
      <c r="P55" s="642" t="inlineStr">
        <is>
          <t>Московская область, г. Клин, Ленинградское шоссе, 89-й км.</t>
        </is>
      </c>
      <c r="Q55" s="640" t="inlineStr">
        <is>
          <t>56.349606</t>
        </is>
      </c>
      <c r="R55" s="494" t="inlineStr">
        <is>
          <t>36.703907</t>
        </is>
      </c>
      <c r="S55" s="438" t="n"/>
      <c r="T55" s="438" t="n"/>
      <c r="U55" s="438" t="n"/>
      <c r="V55" s="438">
        <f>IF(AND(N55=1,U55=1),C55,"")</f>
        <v/>
      </c>
      <c r="W55" s="387" t="n"/>
      <c r="X55" s="387" t="n"/>
      <c r="Y55" s="387" t="n"/>
    </row>
    <row r="56" hidden="1" ht="16.05" customFormat="1" customHeight="1" s="126">
      <c r="A56" s="125" t="n">
        <v>60</v>
      </c>
      <c r="B56" s="125" t="inlineStr">
        <is>
          <t>WF</t>
        </is>
      </c>
      <c r="C56" s="130" t="inlineStr">
        <is>
          <t>Москва</t>
        </is>
      </c>
      <c r="D56" s="130" t="inlineStr">
        <is>
          <t>Московская область</t>
        </is>
      </c>
      <c r="E56" s="130" t="inlineStr">
        <is>
          <t>М5</t>
        </is>
      </c>
      <c r="F56" s="130" t="inlineStr">
        <is>
          <t>АЗС</t>
        </is>
      </c>
      <c r="G56" s="130" t="inlineStr">
        <is>
          <t>Роснефть</t>
        </is>
      </c>
      <c r="H56" s="131" t="inlineStr">
        <is>
          <t>MC092</t>
        </is>
      </c>
      <c r="I56" s="637" t="inlineStr">
        <is>
          <t>Котельники</t>
        </is>
      </c>
      <c r="J56" s="637" t="inlineStr">
        <is>
          <t>MSK_BP_Kotelniki</t>
        </is>
      </c>
      <c r="K56" s="640" t="n">
        <v>2</v>
      </c>
      <c r="L56" s="640" t="n">
        <v>1</v>
      </c>
      <c r="M56" s="623" t="inlineStr">
        <is>
          <t>Samsung 32" вертикальный</t>
        </is>
      </c>
      <c r="N56" s="640" t="n"/>
      <c r="O56" s="640">
        <f>IF(AND(N56=1,L56=1),K56,"")</f>
        <v/>
      </c>
      <c r="P56" s="642" t="inlineStr">
        <is>
          <t>Московская область, пос. Котельники, Новорязанское ш., 6б</t>
        </is>
      </c>
      <c r="Q56" s="640" t="inlineStr">
        <is>
          <t>55.668618</t>
        </is>
      </c>
      <c r="R56" s="494" t="inlineStr">
        <is>
          <t>37.870571</t>
        </is>
      </c>
      <c r="S56" s="438" t="n"/>
      <c r="T56" s="438" t="n"/>
      <c r="U56" s="438" t="n"/>
      <c r="V56" s="438">
        <f>IF(AND(N56=1,U56=1),C56,"")</f>
        <v/>
      </c>
      <c r="W56" s="387" t="n"/>
      <c r="X56" s="387" t="n"/>
      <c r="Y56" s="387" t="n"/>
    </row>
    <row r="57" hidden="1" ht="16.05" customFormat="1" customHeight="1" s="126">
      <c r="A57" s="125" t="n">
        <v>62</v>
      </c>
      <c r="B57" s="125" t="inlineStr">
        <is>
          <t>WF</t>
        </is>
      </c>
      <c r="C57" s="130" t="inlineStr">
        <is>
          <t>Москва</t>
        </is>
      </c>
      <c r="D57" s="130" t="inlineStr">
        <is>
          <t>Москва</t>
        </is>
      </c>
      <c r="E57" s="130" t="inlineStr">
        <is>
          <t>ЮЗАО</t>
        </is>
      </c>
      <c r="F57" s="130" t="inlineStr">
        <is>
          <t>АЗС</t>
        </is>
      </c>
      <c r="G57" s="130" t="inlineStr">
        <is>
          <t>Роснефть</t>
        </is>
      </c>
      <c r="H57" s="131" t="inlineStr">
        <is>
          <t>MC109</t>
        </is>
      </c>
      <c r="I57" s="637" t="inlineStr">
        <is>
          <t>Котловка</t>
        </is>
      </c>
      <c r="J57" s="637" t="inlineStr">
        <is>
          <t>MSK_BP_Kotlovka</t>
        </is>
      </c>
      <c r="K57" s="640" t="n">
        <v>2</v>
      </c>
      <c r="L57" s="640" t="n">
        <v>1</v>
      </c>
      <c r="M57" s="623" t="inlineStr">
        <is>
          <t>Samsung 40" вертикальный</t>
        </is>
      </c>
      <c r="N57" s="640" t="n"/>
      <c r="O57" s="640">
        <f>IF(AND(N57=1,L57=1),K57,"")</f>
        <v/>
      </c>
      <c r="P57" s="642" t="inlineStr">
        <is>
          <t>Москва, Севастопольский пр-т, 8, вл. 1,2</t>
        </is>
      </c>
      <c r="Q57" s="640" t="inlineStr">
        <is>
          <t>55.689104</t>
        </is>
      </c>
      <c r="R57" s="494" t="inlineStr">
        <is>
          <t>37.60374</t>
        </is>
      </c>
      <c r="S57" s="438" t="n"/>
      <c r="T57" s="438" t="n"/>
      <c r="U57" s="438" t="n"/>
      <c r="V57" s="438">
        <f>IF(AND(N57=1,U57=1),C57,"")</f>
        <v/>
      </c>
      <c r="W57" s="387" t="n"/>
      <c r="X57" s="387" t="n"/>
      <c r="Y57" s="387" t="n"/>
    </row>
    <row r="58" hidden="1" ht="16.05" customFormat="1" customHeight="1" s="126">
      <c r="A58" s="125" t="n">
        <v>64</v>
      </c>
      <c r="B58" s="125" t="inlineStr">
        <is>
          <t>WF</t>
        </is>
      </c>
      <c r="C58" s="130" t="inlineStr">
        <is>
          <t>Москва</t>
        </is>
      </c>
      <c r="D58" s="130" t="inlineStr">
        <is>
          <t>Красногорск</t>
        </is>
      </c>
      <c r="E58" s="130" t="inlineStr">
        <is>
          <t>М9</t>
        </is>
      </c>
      <c r="F58" s="130" t="inlineStr">
        <is>
          <t>АЗС</t>
        </is>
      </c>
      <c r="G58" s="130" t="inlineStr">
        <is>
          <t>Роснефть</t>
        </is>
      </c>
      <c r="H58" s="131" t="inlineStr">
        <is>
          <t>MC093</t>
        </is>
      </c>
      <c r="I58" s="637" t="inlineStr">
        <is>
          <t>Красногорск</t>
        </is>
      </c>
      <c r="J58" s="637" t="inlineStr">
        <is>
          <t>MSK_BP_Krasnogorsk</t>
        </is>
      </c>
      <c r="K58" s="640" t="n">
        <v>2</v>
      </c>
      <c r="L58" s="640" t="n">
        <v>1</v>
      </c>
      <c r="M58" s="623" t="inlineStr">
        <is>
          <t>Samsung 32" вертикальный</t>
        </is>
      </c>
      <c r="N58" s="640" t="n"/>
      <c r="O58" s="640">
        <f>IF(AND(N58=1,L58=1),K58,"")</f>
        <v/>
      </c>
      <c r="P58" s="642" t="inlineStr">
        <is>
          <t>Московская область, г.Красногорск, Знаменская, д.9</t>
        </is>
      </c>
      <c r="Q58" s="640" t="inlineStr">
        <is>
          <t>55.81908</t>
        </is>
      </c>
      <c r="R58" s="494" t="inlineStr">
        <is>
          <t>37.344177</t>
        </is>
      </c>
      <c r="S58" s="438" t="n"/>
      <c r="T58" s="438" t="n"/>
      <c r="U58" s="438" t="n"/>
      <c r="V58" s="438">
        <f>IF(AND(N58=1,U58=1),C58,"")</f>
        <v/>
      </c>
      <c r="W58" s="387" t="n"/>
      <c r="X58" s="387" t="n"/>
      <c r="Y58" s="387" t="n"/>
    </row>
    <row r="59" hidden="1" ht="16.05" customFormat="1" customHeight="1" s="126">
      <c r="A59" s="125" t="n">
        <v>66</v>
      </c>
      <c r="B59" s="125" t="inlineStr">
        <is>
          <t>WF</t>
        </is>
      </c>
      <c r="C59" s="130" t="inlineStr">
        <is>
          <t>Москва</t>
        </is>
      </c>
      <c r="D59" s="130" t="inlineStr">
        <is>
          <t>Московская область</t>
        </is>
      </c>
      <c r="E59" s="130" t="inlineStr">
        <is>
          <t>М1</t>
        </is>
      </c>
      <c r="F59" s="130" t="inlineStr">
        <is>
          <t>АЗС</t>
        </is>
      </c>
      <c r="G59" s="130" t="inlineStr">
        <is>
          <t>Роснефть</t>
        </is>
      </c>
      <c r="H59" s="131" t="inlineStr">
        <is>
          <t>MC312</t>
        </is>
      </c>
      <c r="I59" s="637" t="inlineStr">
        <is>
          <t>Краснознаменская</t>
        </is>
      </c>
      <c r="J59" s="637" t="inlineStr">
        <is>
          <t>MSK_BP_Krasnoznamenskaya</t>
        </is>
      </c>
      <c r="K59" s="640" t="n">
        <v>2</v>
      </c>
      <c r="L59" s="640" t="n">
        <v>1</v>
      </c>
      <c r="M59" s="623" t="inlineStr">
        <is>
          <t>Samsung 32" вертикальный</t>
        </is>
      </c>
      <c r="N59" s="640" t="n"/>
      <c r="O59" s="640">
        <f>IF(AND(N59=1,L59=1),K59,"")</f>
        <v/>
      </c>
      <c r="P59" s="642" t="inlineStr">
        <is>
          <t>Московская область, Одинцовский район, 40 км, Минского ш.</t>
        </is>
      </c>
      <c r="Q59" s="640" t="inlineStr">
        <is>
          <t>55.611555</t>
        </is>
      </c>
      <c r="R59" s="422" t="inlineStr">
        <is>
          <t>37.067891</t>
        </is>
      </c>
      <c r="S59" s="438" t="n"/>
      <c r="T59" s="438" t="n"/>
      <c r="U59" s="438" t="n"/>
      <c r="V59" s="438">
        <f>IF(AND(N59=1,U59=1),C59,"")</f>
        <v/>
      </c>
      <c r="W59" s="387" t="n"/>
      <c r="X59" s="387" t="n"/>
      <c r="Y59" s="387" t="n"/>
    </row>
    <row r="60" hidden="1" ht="16.05" customFormat="1" customHeight="1" s="126">
      <c r="A60" s="125" t="n">
        <v>67</v>
      </c>
      <c r="B60" s="125" t="inlineStr">
        <is>
          <t>WF</t>
        </is>
      </c>
      <c r="C60" s="130" t="inlineStr">
        <is>
          <t>Москва</t>
        </is>
      </c>
      <c r="D60" s="130" t="inlineStr">
        <is>
          <t>Москва</t>
        </is>
      </c>
      <c r="E60" s="130" t="inlineStr">
        <is>
          <t>ЮВАО</t>
        </is>
      </c>
      <c r="F60" s="130" t="inlineStr">
        <is>
          <t>АЗС</t>
        </is>
      </c>
      <c r="G60" s="130" t="inlineStr">
        <is>
          <t>Роснефть</t>
        </is>
      </c>
      <c r="H60" s="131" t="inlineStr">
        <is>
          <t>MC033</t>
        </is>
      </c>
      <c r="I60" s="637" t="inlineStr">
        <is>
          <t>Кубанская</t>
        </is>
      </c>
      <c r="J60" s="637" t="inlineStr">
        <is>
          <t>MSK_BP_Kubanskaya</t>
        </is>
      </c>
      <c r="K60" s="640" t="n">
        <v>2</v>
      </c>
      <c r="L60" s="640" t="n">
        <v>1</v>
      </c>
      <c r="M60" s="623" t="inlineStr">
        <is>
          <t>Samsung 32" вертикальный</t>
        </is>
      </c>
      <c r="N60" s="640" t="n"/>
      <c r="O60" s="640">
        <f>IF(AND(N60=1,L60=1),K60,"")</f>
        <v/>
      </c>
      <c r="P60" s="642" t="inlineStr">
        <is>
          <t>Москва,  Люблинская, 44/8</t>
        </is>
      </c>
      <c r="Q60" s="640" t="inlineStr">
        <is>
          <t>55.683366</t>
        </is>
      </c>
      <c r="R60" s="494" t="inlineStr">
        <is>
          <t>37.736631</t>
        </is>
      </c>
      <c r="S60" s="438" t="n"/>
      <c r="T60" s="438" t="n"/>
      <c r="U60" s="438" t="n"/>
      <c r="V60" s="438">
        <f>IF(AND(N60=1,U60=1),C60,"")</f>
        <v/>
      </c>
      <c r="W60" s="387" t="n"/>
      <c r="X60" s="387" t="n"/>
      <c r="Y60" s="387" t="n"/>
    </row>
    <row r="61" hidden="1" ht="16.05" customFormat="1" customHeight="1" s="126">
      <c r="A61" s="125" t="n">
        <v>69</v>
      </c>
      <c r="B61" s="125" t="inlineStr">
        <is>
          <t>WF</t>
        </is>
      </c>
      <c r="C61" s="130" t="inlineStr">
        <is>
          <t>Москва</t>
        </is>
      </c>
      <c r="D61" s="130" t="inlineStr">
        <is>
          <t>Москва</t>
        </is>
      </c>
      <c r="E61" s="130" t="inlineStr">
        <is>
          <t>ЗАО</t>
        </is>
      </c>
      <c r="F61" s="130" t="inlineStr">
        <is>
          <t>АЗС</t>
        </is>
      </c>
      <c r="G61" s="130" t="inlineStr">
        <is>
          <t>Роснефть</t>
        </is>
      </c>
      <c r="H61" s="131" t="inlineStr">
        <is>
          <t>MC011</t>
        </is>
      </c>
      <c r="I61" s="637" t="inlineStr">
        <is>
          <t>Кунцево</t>
        </is>
      </c>
      <c r="J61" s="637" t="inlineStr">
        <is>
          <t>MSK_BP_Kuntsevo</t>
        </is>
      </c>
      <c r="K61" s="640" t="n">
        <v>2</v>
      </c>
      <c r="L61" s="640" t="n">
        <v>1</v>
      </c>
      <c r="M61" s="623" t="inlineStr">
        <is>
          <t>Samsung 32" вертикальный</t>
        </is>
      </c>
      <c r="N61" s="640" t="n"/>
      <c r="O61" s="640">
        <f>IF(AND(N61=1,L61=1),K61,"")</f>
        <v/>
      </c>
      <c r="P61" s="642" t="inlineStr">
        <is>
          <t>Москва, Рублевское ш., 4</t>
        </is>
      </c>
      <c r="Q61" s="640" t="inlineStr">
        <is>
          <t>55.732192</t>
        </is>
      </c>
      <c r="R61" s="494" t="inlineStr">
        <is>
          <t>37.446184</t>
        </is>
      </c>
      <c r="S61" s="438" t="n"/>
      <c r="T61" s="438" t="n"/>
      <c r="U61" s="438" t="n"/>
      <c r="V61" s="438">
        <f>IF(AND(N61=1,U61=1),C61,"")</f>
        <v/>
      </c>
      <c r="W61" s="387" t="n"/>
      <c r="X61" s="387" t="n"/>
      <c r="Y61" s="387" t="n"/>
    </row>
    <row r="62" hidden="1" ht="16.05" customFormat="1" customHeight="1" s="126">
      <c r="A62" s="125" t="n">
        <v>71</v>
      </c>
      <c r="B62" s="125" t="inlineStr">
        <is>
          <t>WF</t>
        </is>
      </c>
      <c r="C62" s="130" t="inlineStr">
        <is>
          <t>Москва</t>
        </is>
      </c>
      <c r="D62" s="130" t="inlineStr">
        <is>
          <t>Химки</t>
        </is>
      </c>
      <c r="E62" s="130" t="inlineStr">
        <is>
          <t>М10</t>
        </is>
      </c>
      <c r="F62" s="130" t="inlineStr">
        <is>
          <t>АЗС</t>
        </is>
      </c>
      <c r="G62" s="130" t="inlineStr">
        <is>
          <t>Роснефть</t>
        </is>
      </c>
      <c r="H62" s="131" t="inlineStr">
        <is>
          <t>MC209</t>
        </is>
      </c>
      <c r="I62" s="637" t="inlineStr">
        <is>
          <t>Левобережная</t>
        </is>
      </c>
      <c r="J62" s="637" t="inlineStr">
        <is>
          <t>MSK_BP_Levoberezhnaya</t>
        </is>
      </c>
      <c r="K62" s="640" t="n">
        <v>3</v>
      </c>
      <c r="L62" s="640" t="n">
        <v>1</v>
      </c>
      <c r="M62" s="623" t="inlineStr">
        <is>
          <t>Samsung 32" вертикальный</t>
        </is>
      </c>
      <c r="N62" s="640" t="n"/>
      <c r="O62" s="640">
        <f>IF(AND(N62=1,L62=1),K62,"")</f>
        <v/>
      </c>
      <c r="P62" s="642" t="inlineStr">
        <is>
          <t>Московская область, г.Химки, 20км а/м Москва/С.Петербург</t>
        </is>
      </c>
      <c r="Q62" s="640" t="inlineStr">
        <is>
          <t>55.899138</t>
        </is>
      </c>
      <c r="R62" s="494" t="inlineStr">
        <is>
          <t>37.424791</t>
        </is>
      </c>
      <c r="S62" s="438" t="n"/>
      <c r="T62" s="438" t="n"/>
      <c r="U62" s="438" t="n"/>
      <c r="V62" s="438">
        <f>IF(AND(N62=1,U62=1),C62,"")</f>
        <v/>
      </c>
      <c r="W62" s="387" t="n"/>
      <c r="X62" s="387" t="n"/>
      <c r="Y62" s="387" t="n"/>
    </row>
    <row r="63" hidden="1" ht="16.05" customFormat="1" customHeight="1" s="126">
      <c r="A63" s="125" t="n">
        <v>74</v>
      </c>
      <c r="B63" s="125" t="inlineStr">
        <is>
          <t>WF</t>
        </is>
      </c>
      <c r="C63" s="130" t="inlineStr">
        <is>
          <t>Москва</t>
        </is>
      </c>
      <c r="D63" s="130" t="inlineStr">
        <is>
          <t>Москва</t>
        </is>
      </c>
      <c r="E63" s="130" t="inlineStr">
        <is>
          <t>М10</t>
        </is>
      </c>
      <c r="F63" s="130" t="inlineStr">
        <is>
          <t>АЗС</t>
        </is>
      </c>
      <c r="G63" s="130" t="inlineStr">
        <is>
          <t>Роснефть</t>
        </is>
      </c>
      <c r="H63" s="131" t="inlineStr">
        <is>
          <t>MC309</t>
        </is>
      </c>
      <c r="I63" s="637" t="inlineStr">
        <is>
          <t>Ленинградская</t>
        </is>
      </c>
      <c r="J63" s="637" t="inlineStr">
        <is>
          <t>MSK_BP_Leningradskaya</t>
        </is>
      </c>
      <c r="K63" s="640" t="n">
        <v>2</v>
      </c>
      <c r="L63" s="640" t="n">
        <v>1</v>
      </c>
      <c r="M63" s="623" t="inlineStr">
        <is>
          <t>Samsung 32" вертикальный</t>
        </is>
      </c>
      <c r="N63" s="640" t="n"/>
      <c r="O63" s="640">
        <f>IF(AND(N63=1,L63=1),K63,"")</f>
        <v/>
      </c>
      <c r="P63" s="642" t="inlineStr">
        <is>
          <t>Москва, Зеленоград, 5 микрайон, д. 537-а (37 км Ленингадского ш.)</t>
        </is>
      </c>
      <c r="Q63" s="640" t="inlineStr">
        <is>
          <t>55.99514</t>
        </is>
      </c>
      <c r="R63" s="494" t="inlineStr">
        <is>
          <t>37.254461</t>
        </is>
      </c>
      <c r="S63" s="438" t="n"/>
      <c r="T63" s="438" t="n"/>
      <c r="U63" s="438" t="n"/>
      <c r="V63" s="438">
        <f>IF(AND(N63=1,U63=1),C63,"")</f>
        <v/>
      </c>
      <c r="W63" s="387" t="n"/>
      <c r="X63" s="387" t="n"/>
      <c r="Y63" s="387" t="n"/>
    </row>
    <row r="64" hidden="1" ht="16.05" customFormat="1" customHeight="1" s="126">
      <c r="A64" s="125" t="n">
        <v>76</v>
      </c>
      <c r="B64" s="125" t="inlineStr">
        <is>
          <t>WF</t>
        </is>
      </c>
      <c r="C64" s="130" t="inlineStr">
        <is>
          <t>Москва</t>
        </is>
      </c>
      <c r="D64" s="130" t="inlineStr">
        <is>
          <t>Мытищи</t>
        </is>
      </c>
      <c r="E64" s="130" t="inlineStr">
        <is>
          <t>М8</t>
        </is>
      </c>
      <c r="F64" s="130" t="inlineStr">
        <is>
          <t>АЗС</t>
        </is>
      </c>
      <c r="G64" s="130" t="inlineStr">
        <is>
          <t>Роснефть</t>
        </is>
      </c>
      <c r="H64" s="131" t="inlineStr">
        <is>
          <t>MC099</t>
        </is>
      </c>
      <c r="I64" s="637" t="inlineStr">
        <is>
          <t>Лосиный остров</t>
        </is>
      </c>
      <c r="J64" s="637" t="inlineStr">
        <is>
          <t>MSK_BP_Losiniy_Ostrov</t>
        </is>
      </c>
      <c r="K64" s="640" t="n">
        <v>2</v>
      </c>
      <c r="L64" s="640" t="n">
        <v>1</v>
      </c>
      <c r="M64" s="623" t="inlineStr">
        <is>
          <t>Samsung 32" вертикальный</t>
        </is>
      </c>
      <c r="N64" s="640" t="n"/>
      <c r="O64" s="640">
        <f>IF(AND(N64=1,L64=1),K64,"")</f>
        <v/>
      </c>
      <c r="P64" s="642" t="inlineStr">
        <is>
          <t xml:space="preserve">Московская область, г. Мытищи, Ярославское ш., 20-й км, д.2 </t>
        </is>
      </c>
      <c r="Q64" s="640" t="inlineStr">
        <is>
          <t>55.902829</t>
        </is>
      </c>
      <c r="R64" s="494" t="inlineStr">
        <is>
          <t>37.760591</t>
        </is>
      </c>
      <c r="S64" s="438" t="n"/>
      <c r="T64" s="438" t="n"/>
      <c r="U64" s="438" t="n"/>
      <c r="V64" s="438">
        <f>IF(AND(N64=1,U64=1),C64,"")</f>
        <v/>
      </c>
      <c r="W64" s="387" t="n"/>
      <c r="X64" s="387" t="n"/>
      <c r="Y64" s="387" t="n"/>
    </row>
    <row r="65" hidden="1" ht="16.05" customFormat="1" customHeight="1" s="126">
      <c r="A65" s="125" t="n">
        <v>78</v>
      </c>
      <c r="B65" s="125" t="inlineStr">
        <is>
          <t>WF</t>
        </is>
      </c>
      <c r="C65" s="130" t="inlineStr">
        <is>
          <t>Москва</t>
        </is>
      </c>
      <c r="D65" s="130" t="inlineStr">
        <is>
          <t>Москва</t>
        </is>
      </c>
      <c r="E65" s="130" t="inlineStr">
        <is>
          <t>ЮВАО</t>
        </is>
      </c>
      <c r="F65" s="130" t="inlineStr">
        <is>
          <t>АЗС</t>
        </is>
      </c>
      <c r="G65" s="130" t="inlineStr">
        <is>
          <t>Роснефть</t>
        </is>
      </c>
      <c r="H65" s="131" t="inlineStr">
        <is>
          <t>MC052</t>
        </is>
      </c>
      <c r="I65" s="637" t="inlineStr">
        <is>
          <t>Люблинская</t>
        </is>
      </c>
      <c r="J65" s="637" t="inlineStr">
        <is>
          <t>MSK_BP_Lublinskaya</t>
        </is>
      </c>
      <c r="K65" s="640" t="n">
        <v>2</v>
      </c>
      <c r="L65" s="640" t="n">
        <v>1</v>
      </c>
      <c r="M65" s="623" t="inlineStr">
        <is>
          <t>Samsung 32" вертикальный</t>
        </is>
      </c>
      <c r="N65" s="640" t="n"/>
      <c r="O65" s="640">
        <f>IF(AND(N65=1,L65=1),K65,"")</f>
        <v/>
      </c>
      <c r="P65" s="642" t="inlineStr">
        <is>
          <t>Москва,  Люблинская, зд. 135/1</t>
        </is>
      </c>
      <c r="Q65" s="640" t="inlineStr">
        <is>
          <t>55.669109</t>
        </is>
      </c>
      <c r="R65" s="494" t="inlineStr">
        <is>
          <t>37.741051</t>
        </is>
      </c>
      <c r="S65" s="438" t="n"/>
      <c r="T65" s="438" t="n"/>
      <c r="U65" s="438" t="n"/>
      <c r="V65" s="438">
        <f>IF(AND(N65=1,U65=1),C65,"")</f>
        <v/>
      </c>
      <c r="W65" s="387" t="n"/>
      <c r="X65" s="387" t="n"/>
      <c r="Y65" s="387" t="n"/>
    </row>
    <row r="66" hidden="1" ht="16.05" customFormat="1" customHeight="1" s="126">
      <c r="A66" s="125" t="n">
        <v>80</v>
      </c>
      <c r="B66" s="125" t="inlineStr">
        <is>
          <t>WF</t>
        </is>
      </c>
      <c r="C66" s="130" t="inlineStr">
        <is>
          <t>Москва</t>
        </is>
      </c>
      <c r="D66" s="130" t="inlineStr">
        <is>
          <t>Московская область</t>
        </is>
      </c>
      <c r="E66" s="130" t="inlineStr">
        <is>
          <t>А130</t>
        </is>
      </c>
      <c r="F66" s="130" t="inlineStr">
        <is>
          <t>АЗС</t>
        </is>
      </c>
      <c r="G66" s="130" t="inlineStr">
        <is>
          <t>Роснефть</t>
        </is>
      </c>
      <c r="H66" s="131" t="inlineStr">
        <is>
          <t>MC189</t>
        </is>
      </c>
      <c r="I66" s="637" t="inlineStr">
        <is>
          <t>Мамыри</t>
        </is>
      </c>
      <c r="J66" s="637" t="inlineStr">
        <is>
          <t>MSK_BP_Mamyri</t>
        </is>
      </c>
      <c r="K66" s="640" t="n">
        <v>2</v>
      </c>
      <c r="L66" s="640" t="n">
        <v>1</v>
      </c>
      <c r="M66" s="623" t="inlineStr">
        <is>
          <t>Samsung 32" вертикальный</t>
        </is>
      </c>
      <c r="N66" s="640" t="n"/>
      <c r="O66" s="640">
        <f>IF(AND(N66=1,L66=1),K66,"")</f>
        <v/>
      </c>
      <c r="P66" s="642" t="inlineStr">
        <is>
          <t>Московская область, Наро-Фоминский район, Калужское ш., д. Мамыри (1 км от МКАД)</t>
        </is>
      </c>
      <c r="Q66" s="640" t="inlineStr">
        <is>
          <t>55.60052</t>
        </is>
      </c>
      <c r="R66" s="494" t="inlineStr">
        <is>
          <t>37.484909</t>
        </is>
      </c>
      <c r="S66" s="438" t="n"/>
      <c r="T66" s="438" t="n"/>
      <c r="U66" s="438" t="n"/>
      <c r="V66" s="438">
        <f>IF(AND(N66=1,U66=1),C66,"")</f>
        <v/>
      </c>
      <c r="W66" s="387" t="n"/>
      <c r="X66" s="387" t="n"/>
      <c r="Y66" s="387" t="n"/>
    </row>
    <row r="67" hidden="1" ht="16.05" customFormat="1" customHeight="1" s="126">
      <c r="A67" s="125" t="n">
        <v>82</v>
      </c>
      <c r="B67" s="125" t="inlineStr">
        <is>
          <t>WF</t>
        </is>
      </c>
      <c r="C67" s="130" t="inlineStr">
        <is>
          <t>Москва</t>
        </is>
      </c>
      <c r="D67" s="130" t="inlineStr">
        <is>
          <t>Москва</t>
        </is>
      </c>
      <c r="E67" s="130" t="inlineStr">
        <is>
          <t>СВАО</t>
        </is>
      </c>
      <c r="F67" s="130" t="inlineStr">
        <is>
          <t>АЗС</t>
        </is>
      </c>
      <c r="G67" s="130" t="inlineStr">
        <is>
          <t>Роснефть</t>
        </is>
      </c>
      <c r="H67" s="131" t="inlineStr">
        <is>
          <t>MC001</t>
        </is>
      </c>
      <c r="I67" s="637" t="inlineStr">
        <is>
          <t>Марьина Роща</t>
        </is>
      </c>
      <c r="J67" s="637" t="inlineStr">
        <is>
          <t>MSK_BP_Maryina_Rosha</t>
        </is>
      </c>
      <c r="K67" s="640" t="n">
        <v>2</v>
      </c>
      <c r="L67" s="640" t="n">
        <v>1</v>
      </c>
      <c r="M67" s="623" t="inlineStr">
        <is>
          <t>Samsung 32" вертикальный</t>
        </is>
      </c>
      <c r="N67" s="640" t="n"/>
      <c r="O67" s="640">
        <f>IF(AND(N67=1,L67=1),K67,"")</f>
        <v/>
      </c>
      <c r="P67" s="642" t="inlineStr">
        <is>
          <t>Москва, Шереметьевская, 62</t>
        </is>
      </c>
      <c r="Q67" s="640" t="inlineStr">
        <is>
          <t>55.804299</t>
        </is>
      </c>
      <c r="R67" s="494" t="inlineStr">
        <is>
          <t>37.616512</t>
        </is>
      </c>
      <c r="S67" s="438" t="n"/>
      <c r="T67" s="438" t="n"/>
      <c r="U67" s="438" t="n"/>
      <c r="V67" s="438">
        <f>IF(AND(N67=1,U67=1),C67,"")</f>
        <v/>
      </c>
      <c r="W67" s="387" t="n"/>
      <c r="X67" s="387" t="n"/>
      <c r="Y67" s="387" t="n"/>
    </row>
    <row r="68" hidden="1" ht="16.05" customFormat="1" customHeight="1" s="126">
      <c r="A68" s="125" t="n">
        <v>84</v>
      </c>
      <c r="B68" s="125" t="inlineStr">
        <is>
          <t>WF</t>
        </is>
      </c>
      <c r="C68" s="130" t="inlineStr">
        <is>
          <t>Москва</t>
        </is>
      </c>
      <c r="D68" s="130" t="inlineStr">
        <is>
          <t>Москва</t>
        </is>
      </c>
      <c r="E68" s="130" t="inlineStr">
        <is>
          <t>М8</t>
        </is>
      </c>
      <c r="F68" s="130" t="inlineStr">
        <is>
          <t>АЗС</t>
        </is>
      </c>
      <c r="G68" s="130" t="inlineStr">
        <is>
          <t>Роснефть</t>
        </is>
      </c>
      <c r="H68" s="131" t="inlineStr">
        <is>
          <t>MC317</t>
        </is>
      </c>
      <c r="I68" s="637" t="inlineStr">
        <is>
          <t>Медведково</t>
        </is>
      </c>
      <c r="J68" s="637" t="inlineStr">
        <is>
          <t>MSK_BP_Medvedkovo</t>
        </is>
      </c>
      <c r="K68" s="640" t="n">
        <v>3</v>
      </c>
      <c r="L68" s="640" t="n">
        <v>1</v>
      </c>
      <c r="M68" s="623" t="inlineStr">
        <is>
          <t>Samsung 32" вертикальный</t>
        </is>
      </c>
      <c r="N68" s="640" t="n"/>
      <c r="O68" s="640">
        <f>IF(AND(N68=1,L68=1),K68,"")</f>
        <v/>
      </c>
      <c r="P68" s="642" t="inlineStr">
        <is>
          <t>Москва, МКАД 87 км, вл.14</t>
        </is>
      </c>
      <c r="Q68" s="640" t="inlineStr">
        <is>
          <t>55.898478</t>
        </is>
      </c>
      <c r="R68" s="494" t="inlineStr">
        <is>
          <t>37.631572</t>
        </is>
      </c>
      <c r="S68" s="438" t="n"/>
      <c r="T68" s="438" t="n"/>
      <c r="U68" s="438" t="n"/>
      <c r="V68" s="438">
        <f>IF(AND(N68=1,U68=1),C68,"")</f>
        <v/>
      </c>
      <c r="W68" s="387" t="n"/>
      <c r="X68" s="387" t="n"/>
      <c r="Y68" s="387" t="n"/>
    </row>
    <row r="69" hidden="1" ht="16.05" customFormat="1" customHeight="1" s="126">
      <c r="A69" s="125" t="n">
        <v>86</v>
      </c>
      <c r="B69" s="125" t="inlineStr">
        <is>
          <t>WF</t>
        </is>
      </c>
      <c r="C69" s="130" t="inlineStr">
        <is>
          <t>Москва</t>
        </is>
      </c>
      <c r="D69" s="130" t="inlineStr">
        <is>
          <t>Москва</t>
        </is>
      </c>
      <c r="E69" s="130" t="inlineStr">
        <is>
          <t>СЗАО</t>
        </is>
      </c>
      <c r="F69" s="130" t="inlineStr">
        <is>
          <t>АЗС</t>
        </is>
      </c>
      <c r="G69" s="130" t="inlineStr">
        <is>
          <t>Роснефть</t>
        </is>
      </c>
      <c r="H69" s="131" t="inlineStr">
        <is>
          <t>MC089</t>
        </is>
      </c>
      <c r="I69" s="637" t="inlineStr">
        <is>
          <t>Митино</t>
        </is>
      </c>
      <c r="J69" s="637" t="inlineStr">
        <is>
          <t>MSK_BP_Mitino</t>
        </is>
      </c>
      <c r="K69" s="640" t="n">
        <v>2</v>
      </c>
      <c r="L69" s="640" t="n">
        <v>1</v>
      </c>
      <c r="M69" s="623" t="inlineStr">
        <is>
          <t>Samsung 32" вертикальный</t>
        </is>
      </c>
      <c r="N69" s="640" t="n"/>
      <c r="O69" s="640">
        <f>IF(AND(N69=1,L69=1),K69,"")</f>
        <v/>
      </c>
      <c r="P69" s="642" t="inlineStr">
        <is>
          <t>Москва, Пятницкое ш.,вл.27</t>
        </is>
      </c>
      <c r="Q69" s="640" t="inlineStr">
        <is>
          <t>55.850108</t>
        </is>
      </c>
      <c r="R69" s="494" t="inlineStr">
        <is>
          <t>37.365419</t>
        </is>
      </c>
      <c r="S69" s="438" t="n"/>
      <c r="T69" s="438" t="n"/>
      <c r="U69" s="438" t="n"/>
      <c r="V69" s="438">
        <f>IF(AND(N69=1,U69=1),C69,"")</f>
        <v/>
      </c>
      <c r="W69" s="387" t="n"/>
      <c r="X69" s="387" t="n"/>
      <c r="Y69" s="387" t="n"/>
    </row>
    <row r="70" hidden="1" ht="16.05" customFormat="1" customHeight="1" s="126">
      <c r="A70" s="125" t="n">
        <v>88</v>
      </c>
      <c r="B70" s="125" t="inlineStr">
        <is>
          <t>WF</t>
        </is>
      </c>
      <c r="C70" s="130" t="inlineStr">
        <is>
          <t>Москва</t>
        </is>
      </c>
      <c r="D70" s="130" t="inlineStr">
        <is>
          <t>Москва</t>
        </is>
      </c>
      <c r="E70" s="130" t="inlineStr">
        <is>
          <t>ЗАО</t>
        </is>
      </c>
      <c r="F70" s="130" t="inlineStr">
        <is>
          <t>АЗС</t>
        </is>
      </c>
      <c r="G70" s="130" t="inlineStr">
        <is>
          <t>Роснефть</t>
        </is>
      </c>
      <c r="H70" s="131" t="inlineStr">
        <is>
          <t>MC005</t>
        </is>
      </c>
      <c r="I70" s="637" t="inlineStr">
        <is>
          <t>Можайская</t>
        </is>
      </c>
      <c r="J70" s="637" t="inlineStr">
        <is>
          <t>MSK_BP_Mozhayskaya</t>
        </is>
      </c>
      <c r="K70" s="640" t="n">
        <v>2</v>
      </c>
      <c r="L70" s="640" t="n">
        <v>1</v>
      </c>
      <c r="M70" s="623" t="inlineStr">
        <is>
          <t>Samsung 32" вертикальный</t>
        </is>
      </c>
      <c r="N70" s="640" t="n"/>
      <c r="O70" s="640">
        <f>IF(AND(N70=1,L70=1),K70,"")</f>
        <v/>
      </c>
      <c r="P70" s="642" t="inlineStr">
        <is>
          <t>Москва, Можайское ш., 43/1</t>
        </is>
      </c>
      <c r="Q70" s="640" t="inlineStr">
        <is>
          <t>55.716628</t>
        </is>
      </c>
      <c r="R70" s="494" t="inlineStr">
        <is>
          <t>37.409811</t>
        </is>
      </c>
      <c r="S70" s="438" t="n"/>
      <c r="T70" s="438" t="n"/>
      <c r="U70" s="438" t="n"/>
      <c r="V70" s="438">
        <f>IF(AND(N70=1,U70=1),C70,"")</f>
        <v/>
      </c>
      <c r="W70" s="387" t="n"/>
      <c r="X70" s="387" t="n"/>
      <c r="Y70" s="387" t="n"/>
    </row>
    <row r="71" hidden="1" ht="16.05" customFormat="1" customHeight="1" s="126">
      <c r="A71" s="125" t="n">
        <v>90</v>
      </c>
      <c r="B71" s="125" t="inlineStr">
        <is>
          <t>WF</t>
        </is>
      </c>
      <c r="C71" s="130" t="inlineStr">
        <is>
          <t>Москва</t>
        </is>
      </c>
      <c r="D71" s="130" t="inlineStr">
        <is>
          <t>Москва</t>
        </is>
      </c>
      <c r="E71" s="130" t="inlineStr">
        <is>
          <t>ЗАО</t>
        </is>
      </c>
      <c r="F71" s="130" t="inlineStr">
        <is>
          <t>АЗС</t>
        </is>
      </c>
      <c r="G71" s="130" t="inlineStr">
        <is>
          <t>Роснефть</t>
        </is>
      </c>
      <c r="H71" s="131" t="inlineStr">
        <is>
          <t>MC080</t>
        </is>
      </c>
      <c r="I71" s="637" t="inlineStr">
        <is>
          <t>Молодежная</t>
        </is>
      </c>
      <c r="J71" s="637" t="inlineStr">
        <is>
          <t>MSK_BP_Molodezhnaya</t>
        </is>
      </c>
      <c r="K71" s="640" t="n">
        <v>2</v>
      </c>
      <c r="L71" s="640" t="n">
        <v>1</v>
      </c>
      <c r="M71" s="623" t="inlineStr">
        <is>
          <t>Samsung 32" вертикальный</t>
        </is>
      </c>
      <c r="N71" s="640" t="n"/>
      <c r="O71" s="640">
        <f>IF(AND(N71=1,L71=1),K71,"")</f>
        <v/>
      </c>
      <c r="P71" s="642" t="inlineStr">
        <is>
          <t>Москва, Рублевское ш., вл.91а</t>
        </is>
      </c>
      <c r="Q71" s="640" t="inlineStr">
        <is>
          <t>55.741314</t>
        </is>
      </c>
      <c r="R71" s="494" t="inlineStr">
        <is>
          <t>37.428628</t>
        </is>
      </c>
      <c r="S71" s="438" t="n"/>
      <c r="T71" s="436" t="n"/>
      <c r="U71" s="436" t="n"/>
      <c r="V71" s="438">
        <f>IF(AND(N71=1,U71=1),C71,"")</f>
        <v/>
      </c>
      <c r="W71" s="387" t="n"/>
      <c r="X71" s="387" t="n"/>
      <c r="Y71" s="387" t="n"/>
    </row>
    <row r="72" hidden="1" ht="16.05" customFormat="1" customHeight="1" s="126">
      <c r="A72" s="125" t="n">
        <v>92</v>
      </c>
      <c r="B72" s="125" t="inlineStr">
        <is>
          <t>WF</t>
        </is>
      </c>
      <c r="C72" s="130" t="inlineStr">
        <is>
          <t>Москва</t>
        </is>
      </c>
      <c r="D72" s="130" t="inlineStr">
        <is>
          <t>Москва</t>
        </is>
      </c>
      <c r="E72" s="130" t="inlineStr">
        <is>
          <t>ЮАО</t>
        </is>
      </c>
      <c r="F72" s="130" t="inlineStr">
        <is>
          <t>АЗС</t>
        </is>
      </c>
      <c r="G72" s="130" t="inlineStr">
        <is>
          <t>Роснефть</t>
        </is>
      </c>
      <c r="H72" s="131" t="inlineStr">
        <is>
          <t>MC027</t>
        </is>
      </c>
      <c r="I72" s="637" t="inlineStr">
        <is>
          <t>Москворечье</t>
        </is>
      </c>
      <c r="J72" s="637" t="inlineStr">
        <is>
          <t>MSK_BP_Moskvorechye</t>
        </is>
      </c>
      <c r="K72" s="640" t="n">
        <v>2</v>
      </c>
      <c r="L72" s="640" t="n">
        <v>1</v>
      </c>
      <c r="M72" s="623" t="inlineStr">
        <is>
          <t>Samsung 32" вертикальный</t>
        </is>
      </c>
      <c r="N72" s="640" t="n"/>
      <c r="O72" s="640">
        <f>IF(AND(N72=1,L72=1),K72,"")</f>
        <v/>
      </c>
      <c r="P72" s="642" t="inlineStr">
        <is>
          <t>Москва, Каширское ш., вл.36а</t>
        </is>
      </c>
      <c r="Q72" s="640" t="inlineStr">
        <is>
          <t>55.650064</t>
        </is>
      </c>
      <c r="R72" s="494" t="inlineStr">
        <is>
          <t>37.65853</t>
        </is>
      </c>
      <c r="S72" s="438" t="n"/>
      <c r="T72" s="436" t="n"/>
      <c r="U72" s="436" t="n"/>
      <c r="V72" s="438">
        <f>IF(AND(N72=1,U72=1),C72,"")</f>
        <v/>
      </c>
      <c r="W72" s="387" t="n"/>
      <c r="X72" s="387" t="n"/>
      <c r="Y72" s="387" t="n"/>
    </row>
    <row r="73" hidden="1" ht="16.05" customFormat="1" customHeight="1" s="126">
      <c r="A73" s="125" t="n">
        <v>94</v>
      </c>
      <c r="B73" s="125" t="inlineStr">
        <is>
          <t>WF</t>
        </is>
      </c>
      <c r="C73" s="130" t="inlineStr">
        <is>
          <t>Москва</t>
        </is>
      </c>
      <c r="D73" s="130" t="inlineStr">
        <is>
          <t>Мытищи</t>
        </is>
      </c>
      <c r="E73" s="130" t="inlineStr">
        <is>
          <t>М8</t>
        </is>
      </c>
      <c r="F73" s="130" t="inlineStr">
        <is>
          <t>АЗС</t>
        </is>
      </c>
      <c r="G73" s="130" t="inlineStr">
        <is>
          <t>Роснефть</t>
        </is>
      </c>
      <c r="H73" s="131" t="inlineStr">
        <is>
          <t>MC083</t>
        </is>
      </c>
      <c r="I73" s="637" t="inlineStr">
        <is>
          <t>Мытищи</t>
        </is>
      </c>
      <c r="J73" s="637" t="inlineStr">
        <is>
          <t>MSK_BP_Mytishi</t>
        </is>
      </c>
      <c r="K73" s="640" t="n">
        <v>2</v>
      </c>
      <c r="L73" s="640" t="n">
        <v>1</v>
      </c>
      <c r="M73" s="623" t="inlineStr">
        <is>
          <t>Samsung 32" вертикальный</t>
        </is>
      </c>
      <c r="N73" s="640" t="n"/>
      <c r="O73" s="640">
        <f>IF(AND(N73=1,L73=1),K73,"")</f>
        <v/>
      </c>
      <c r="P73" s="642" t="inlineStr">
        <is>
          <t>Московская область, г. Мытищи, Олимпийский пр-т, д. 11, к. 1</t>
        </is>
      </c>
      <c r="Q73" s="640" t="inlineStr">
        <is>
          <t>55.915718</t>
        </is>
      </c>
      <c r="R73" s="422" t="inlineStr">
        <is>
          <t>37.769813</t>
        </is>
      </c>
      <c r="S73" s="438" t="n"/>
      <c r="T73" s="436" t="n"/>
      <c r="U73" s="436" t="n"/>
      <c r="V73" s="438">
        <f>IF(AND(N73=1,U73=1),C73,"")</f>
        <v/>
      </c>
      <c r="W73" s="387" t="n"/>
      <c r="X73" s="387" t="n"/>
      <c r="Y73" s="387" t="n"/>
    </row>
    <row r="74" hidden="1" ht="16.05" customFormat="1" customHeight="1" s="126">
      <c r="A74" s="125" t="n">
        <v>95</v>
      </c>
      <c r="B74" s="125" t="inlineStr">
        <is>
          <t>WF</t>
        </is>
      </c>
      <c r="C74" s="130" t="inlineStr">
        <is>
          <t>Москва</t>
        </is>
      </c>
      <c r="D74" s="130" t="inlineStr">
        <is>
          <t>Красногорск</t>
        </is>
      </c>
      <c r="E74" s="130" t="inlineStr">
        <is>
          <t>М9</t>
        </is>
      </c>
      <c r="F74" s="130" t="inlineStr">
        <is>
          <t>АЗС</t>
        </is>
      </c>
      <c r="G74" s="130" t="inlineStr">
        <is>
          <t>Роснефть</t>
        </is>
      </c>
      <c r="H74" s="131" t="inlineStr">
        <is>
          <t>MC013</t>
        </is>
      </c>
      <c r="I74" s="637" t="inlineStr">
        <is>
          <t>Мякининская</t>
        </is>
      </c>
      <c r="J74" s="637" t="inlineStr">
        <is>
          <t>MSK_BP_Myakininskaya</t>
        </is>
      </c>
      <c r="K74" s="640" t="n">
        <v>2</v>
      </c>
      <c r="L74" s="640" t="n">
        <v>1</v>
      </c>
      <c r="M74" s="623" t="inlineStr">
        <is>
          <t>Samsung 32" вертикальный</t>
        </is>
      </c>
      <c r="N74" s="640" t="n"/>
      <c r="O74" s="640">
        <f>IF(AND(N74=1,L74=1),K74,"")</f>
        <v/>
      </c>
      <c r="P74" s="642" t="inlineStr">
        <is>
          <t>Московская область, г. Красногорск, П/О Красногорск-4, 66 км МКАД</t>
        </is>
      </c>
      <c r="Q74" s="640" t="inlineStr">
        <is>
          <t>55.812083</t>
        </is>
      </c>
      <c r="R74" s="494" t="inlineStr">
        <is>
          <t>37.387097</t>
        </is>
      </c>
      <c r="S74" s="438" t="n"/>
      <c r="T74" s="436" t="n"/>
      <c r="U74" s="436" t="n"/>
      <c r="V74" s="438">
        <f>IF(AND(N74=1,U74=1),C74,"")</f>
        <v/>
      </c>
      <c r="W74" s="387" t="n"/>
      <c r="X74" s="387" t="n"/>
      <c r="Y74" s="387" t="n"/>
    </row>
    <row r="75" hidden="1" ht="16.05" customFormat="1" customHeight="1" s="126">
      <c r="A75" s="125" t="n">
        <v>97</v>
      </c>
      <c r="B75" s="125" t="inlineStr">
        <is>
          <t>WF</t>
        </is>
      </c>
      <c r="C75" s="130" t="inlineStr">
        <is>
          <t>Москва</t>
        </is>
      </c>
      <c r="D75" s="130" t="inlineStr">
        <is>
          <t>Московская область</t>
        </is>
      </c>
      <c r="E75" s="130" t="inlineStr">
        <is>
          <t>М9</t>
        </is>
      </c>
      <c r="F75" s="130" t="inlineStr">
        <is>
          <t>АЗС</t>
        </is>
      </c>
      <c r="G75" s="130" t="inlineStr">
        <is>
          <t>Роснефть</t>
        </is>
      </c>
      <c r="H75" s="131" t="inlineStr">
        <is>
          <t>MC156</t>
        </is>
      </c>
      <c r="I75" s="637" t="inlineStr">
        <is>
          <t>Нахабино</t>
        </is>
      </c>
      <c r="J75" s="637" t="inlineStr">
        <is>
          <t>MSK_BP_Nakhabino</t>
        </is>
      </c>
      <c r="K75" s="640" t="n">
        <v>2</v>
      </c>
      <c r="L75" s="640" t="n">
        <v>1</v>
      </c>
      <c r="M75" s="623" t="inlineStr">
        <is>
          <t>Samsung 32" вертикальный</t>
        </is>
      </c>
      <c r="N75" s="640" t="n"/>
      <c r="O75" s="640">
        <f>IF(AND(N75=1,L75=1),K75,"")</f>
        <v/>
      </c>
      <c r="P75" s="642" t="inlineStr">
        <is>
          <t>Московская область, Красногорский район, 23 км, а/д "Балтия"</t>
        </is>
      </c>
      <c r="Q75" s="640" t="inlineStr">
        <is>
          <t>55.804564</t>
        </is>
      </c>
      <c r="R75" s="422" t="inlineStr">
        <is>
          <t>37.297549</t>
        </is>
      </c>
      <c r="S75" s="438" t="n"/>
      <c r="T75" s="436" t="n"/>
      <c r="U75" s="436" t="n"/>
      <c r="V75" s="438">
        <f>IF(AND(N75=1,U75=1),C75,"")</f>
        <v/>
      </c>
      <c r="W75" s="387" t="n"/>
      <c r="X75" s="387" t="n"/>
      <c r="Y75" s="387" t="n"/>
    </row>
    <row r="76" hidden="1" ht="16.05" customFormat="1" customHeight="1" s="126">
      <c r="A76" s="125" t="n">
        <v>99</v>
      </c>
      <c r="B76" s="125" t="inlineStr">
        <is>
          <t>WF</t>
        </is>
      </c>
      <c r="C76" s="130" t="inlineStr">
        <is>
          <t>Москва</t>
        </is>
      </c>
      <c r="D76" s="130" t="inlineStr">
        <is>
          <t>Москва</t>
        </is>
      </c>
      <c r="E76" s="130" t="inlineStr">
        <is>
          <t>ЮЗАО</t>
        </is>
      </c>
      <c r="F76" s="130" t="inlineStr">
        <is>
          <t>АЗС</t>
        </is>
      </c>
      <c r="G76" s="130" t="inlineStr">
        <is>
          <t>Роснефть</t>
        </is>
      </c>
      <c r="H76" s="131" t="inlineStr">
        <is>
          <t>MC138</t>
        </is>
      </c>
      <c r="I76" s="637" t="inlineStr">
        <is>
          <t>Нахимовский пр-т</t>
        </is>
      </c>
      <c r="J76" s="637" t="inlineStr">
        <is>
          <t>MSK_BP_Nakhimovskiy</t>
        </is>
      </c>
      <c r="K76" s="640" t="n">
        <v>2</v>
      </c>
      <c r="L76" s="640" t="n">
        <v>1</v>
      </c>
      <c r="M76" s="623" t="inlineStr">
        <is>
          <t>Samsung 32" вертикальный</t>
        </is>
      </c>
      <c r="N76" s="640" t="n"/>
      <c r="O76" s="640">
        <f>IF(AND(N76=1,L76=1),K76,"")</f>
        <v/>
      </c>
      <c r="P76" s="642" t="inlineStr">
        <is>
          <t>Москва, Нахимовский пр-т, д. 24а</t>
        </is>
      </c>
      <c r="Q76" s="640" t="inlineStr">
        <is>
          <t>55.670894</t>
        </is>
      </c>
      <c r="R76" s="494" t="inlineStr">
        <is>
          <t>37.583251</t>
        </is>
      </c>
      <c r="S76" s="438" t="n"/>
      <c r="T76" s="436" t="n"/>
      <c r="U76" s="436" t="n"/>
      <c r="V76" s="438">
        <f>IF(AND(N76=1,U76=1),C76,"")</f>
        <v/>
      </c>
      <c r="W76" s="387" t="n"/>
      <c r="X76" s="387" t="n"/>
      <c r="Y76" s="387" t="n"/>
    </row>
    <row r="77" hidden="1" ht="16.05" customFormat="1" customHeight="1" s="126">
      <c r="A77" s="125" t="n">
        <v>101</v>
      </c>
      <c r="B77" s="125" t="inlineStr">
        <is>
          <t>WF</t>
        </is>
      </c>
      <c r="C77" s="130" t="inlineStr">
        <is>
          <t>Москва</t>
        </is>
      </c>
      <c r="D77" s="130" t="inlineStr">
        <is>
          <t>Московская область</t>
        </is>
      </c>
      <c r="E77" s="130" t="inlineStr">
        <is>
          <t>М1</t>
        </is>
      </c>
      <c r="F77" s="130" t="inlineStr">
        <is>
          <t>АЗС</t>
        </is>
      </c>
      <c r="G77" s="130" t="inlineStr">
        <is>
          <t>Роснефть</t>
        </is>
      </c>
      <c r="H77" s="131" t="inlineStr">
        <is>
          <t>MC300</t>
        </is>
      </c>
      <c r="I77" s="637" t="inlineStr">
        <is>
          <t>Немчиновка</t>
        </is>
      </c>
      <c r="J77" s="637" t="inlineStr">
        <is>
          <t>MSK_BP_Nemchinovka</t>
        </is>
      </c>
      <c r="K77" s="640" t="n">
        <v>2</v>
      </c>
      <c r="L77" s="640" t="n">
        <v>1</v>
      </c>
      <c r="M77" s="623" t="inlineStr">
        <is>
          <t>Samsung 32" вертикальный</t>
        </is>
      </c>
      <c r="N77" s="640" t="n"/>
      <c r="O77" s="640">
        <f>IF(AND(N77=1,L77=1),K77,"")</f>
        <v/>
      </c>
      <c r="P77" s="642" t="inlineStr">
        <is>
          <t>Московская область, Одинцовский район, 17 км Минского ш. (левая сторона)</t>
        </is>
      </c>
      <c r="Q77" s="640" t="inlineStr">
        <is>
          <t>55.705138</t>
        </is>
      </c>
      <c r="R77" s="422" t="inlineStr">
        <is>
          <t>37.357446</t>
        </is>
      </c>
      <c r="S77" s="438" t="n"/>
      <c r="T77" s="436" t="n"/>
      <c r="U77" s="436" t="n"/>
      <c r="V77" s="438">
        <f>IF(AND(N77=1,U77=1),C77,"")</f>
        <v/>
      </c>
      <c r="W77" s="387" t="n"/>
      <c r="X77" s="387" t="n"/>
      <c r="Y77" s="387" t="n"/>
    </row>
    <row r="78" hidden="1" ht="16.05" customFormat="1" customHeight="1" s="126">
      <c r="A78" s="125" t="n">
        <v>103</v>
      </c>
      <c r="B78" s="125" t="inlineStr">
        <is>
          <t>WF</t>
        </is>
      </c>
      <c r="C78" s="130" t="inlineStr">
        <is>
          <t>Москва</t>
        </is>
      </c>
      <c r="D78" s="130" t="inlineStr">
        <is>
          <t>Москва</t>
        </is>
      </c>
      <c r="E78" s="130" t="inlineStr">
        <is>
          <t>М7</t>
        </is>
      </c>
      <c r="F78" s="130" t="inlineStr">
        <is>
          <t>АЗС</t>
        </is>
      </c>
      <c r="G78" s="130" t="inlineStr">
        <is>
          <t>Роснефть</t>
        </is>
      </c>
      <c r="H78" s="131" t="inlineStr">
        <is>
          <t>MC035</t>
        </is>
      </c>
      <c r="I78" s="637" t="inlineStr">
        <is>
          <t>Новокосино</t>
        </is>
      </c>
      <c r="J78" s="637" t="inlineStr">
        <is>
          <t>MSK_BP_Novokosino</t>
        </is>
      </c>
      <c r="K78" s="640" t="n">
        <v>2</v>
      </c>
      <c r="L78" s="640" t="n">
        <v>1</v>
      </c>
      <c r="M78" s="623" t="inlineStr">
        <is>
          <t>Samsung 32" вертикальный</t>
        </is>
      </c>
      <c r="N78" s="640" t="n"/>
      <c r="O78" s="640">
        <f>IF(AND(N78=1,L78=1),K78,"")</f>
        <v/>
      </c>
      <c r="P78" s="642" t="inlineStr">
        <is>
          <t>Москва,  Суздальская, вл. 15а</t>
        </is>
      </c>
      <c r="Q78" s="640" t="inlineStr">
        <is>
          <t>55.744692</t>
        </is>
      </c>
      <c r="R78" s="422" t="inlineStr">
        <is>
          <t>37.864211</t>
        </is>
      </c>
      <c r="S78" s="438" t="n"/>
      <c r="T78" s="436" t="n"/>
      <c r="U78" s="436" t="n"/>
      <c r="V78" s="438">
        <f>IF(AND(N78=1,U78=1),C78,"")</f>
        <v/>
      </c>
      <c r="W78" s="387" t="n"/>
      <c r="X78" s="387" t="n"/>
      <c r="Y78" s="387" t="n"/>
    </row>
    <row r="79" hidden="1" ht="16.05" customFormat="1" customHeight="1" s="126">
      <c r="A79" s="125" t="n">
        <v>105</v>
      </c>
      <c r="B79" s="125" t="inlineStr">
        <is>
          <t>WF</t>
        </is>
      </c>
      <c r="C79" s="130" t="inlineStr">
        <is>
          <t>Москва</t>
        </is>
      </c>
      <c r="D79" s="130" t="inlineStr">
        <is>
          <t>Московская область</t>
        </is>
      </c>
      <c r="E79" s="130" t="inlineStr">
        <is>
          <t>М9</t>
        </is>
      </c>
      <c r="F79" s="130" t="inlineStr">
        <is>
          <t>АЗС</t>
        </is>
      </c>
      <c r="G79" s="130" t="inlineStr">
        <is>
          <t>Роснефть</t>
        </is>
      </c>
      <c r="H79" s="131" t="inlineStr">
        <is>
          <t>MC127</t>
        </is>
      </c>
      <c r="I79" s="637" t="inlineStr">
        <is>
          <t>Новорижская</t>
        </is>
      </c>
      <c r="J79" s="637" t="inlineStr">
        <is>
          <t>MSK_BP_Novorizhskaya</t>
        </is>
      </c>
      <c r="K79" s="640" t="n">
        <v>2</v>
      </c>
      <c r="L79" s="640" t="n">
        <v>1</v>
      </c>
      <c r="M79" s="623" t="inlineStr">
        <is>
          <t>Samsung 32" вертикальный</t>
        </is>
      </c>
      <c r="N79" s="640" t="n"/>
      <c r="O79" s="640">
        <f>IF(AND(N79=1,L79=1),K79,"")</f>
        <v/>
      </c>
      <c r="P79" s="642" t="inlineStr">
        <is>
          <t>Московская область, Красногорский район, п/о Архангельское, 24 км а/м "Балтия"</t>
        </is>
      </c>
      <c r="Q79" s="640" t="inlineStr">
        <is>
          <t>55.802564</t>
        </is>
      </c>
      <c r="R79" s="422" t="inlineStr">
        <is>
          <t>37.295822</t>
        </is>
      </c>
      <c r="S79" s="438" t="n"/>
      <c r="T79" s="436" t="n"/>
      <c r="U79" s="436" t="n"/>
      <c r="V79" s="438">
        <f>IF(AND(N79=1,U79=1),C79,"")</f>
        <v/>
      </c>
      <c r="W79" s="387" t="n"/>
      <c r="X79" s="387" t="n"/>
      <c r="Y79" s="387" t="n"/>
    </row>
    <row r="80" hidden="1" ht="16.05" customFormat="1" customHeight="1" s="126">
      <c r="A80" s="125" t="n">
        <v>107</v>
      </c>
      <c r="B80" s="125" t="inlineStr">
        <is>
          <t>WF</t>
        </is>
      </c>
      <c r="C80" s="130" t="inlineStr">
        <is>
          <t>Москва</t>
        </is>
      </c>
      <c r="D80" s="130" t="inlineStr">
        <is>
          <t>Москва</t>
        </is>
      </c>
      <c r="E80" s="130" t="inlineStr">
        <is>
          <t>СВАО</t>
        </is>
      </c>
      <c r="F80" s="130" t="inlineStr">
        <is>
          <t>АЗС</t>
        </is>
      </c>
      <c r="G80" s="130" t="inlineStr">
        <is>
          <t>Роснефть</t>
        </is>
      </c>
      <c r="H80" s="131" t="inlineStr">
        <is>
          <t>MC149</t>
        </is>
      </c>
      <c r="I80" s="637" t="inlineStr">
        <is>
          <t>Огородный</t>
        </is>
      </c>
      <c r="J80" s="637" t="inlineStr">
        <is>
          <t>MSK_BP_Ogorodniy</t>
        </is>
      </c>
      <c r="K80" s="640" t="n">
        <v>2</v>
      </c>
      <c r="L80" s="640" t="n">
        <v>1</v>
      </c>
      <c r="M80" s="623" t="inlineStr">
        <is>
          <t>Samsung 32" вертикальный</t>
        </is>
      </c>
      <c r="N80" s="640" t="n"/>
      <c r="O80" s="640">
        <f>IF(AND(N80=1,L80=1),K80,"")</f>
        <v/>
      </c>
      <c r="P80" s="642" t="inlineStr">
        <is>
          <t>Москва, Огородный проезд, д.7</t>
        </is>
      </c>
      <c r="Q80" s="640" t="inlineStr">
        <is>
          <t>55.810475</t>
        </is>
      </c>
      <c r="R80" s="494" t="inlineStr">
        <is>
          <t>37.604595</t>
        </is>
      </c>
      <c r="S80" s="438" t="n"/>
      <c r="T80" s="436" t="n"/>
      <c r="U80" s="436" t="n"/>
      <c r="V80" s="438">
        <f>IF(AND(N80=1,U80=1),C80,"")</f>
        <v/>
      </c>
      <c r="W80" s="387" t="n"/>
      <c r="X80" s="387" t="n"/>
      <c r="Y80" s="387" t="n"/>
    </row>
    <row r="81" hidden="1" ht="16.05" customFormat="1" customHeight="1" s="126">
      <c r="A81" s="125" t="n">
        <v>108</v>
      </c>
      <c r="B81" s="125" t="inlineStr">
        <is>
          <t>WF</t>
        </is>
      </c>
      <c r="C81" s="130" t="inlineStr">
        <is>
          <t>Москва</t>
        </is>
      </c>
      <c r="D81" s="130" t="inlineStr">
        <is>
          <t>Орехово-Зуево</t>
        </is>
      </c>
      <c r="E81" s="130" t="inlineStr">
        <is>
          <t>М7</t>
        </is>
      </c>
      <c r="F81" s="130" t="inlineStr">
        <is>
          <t>АЗС</t>
        </is>
      </c>
      <c r="G81" s="130" t="inlineStr">
        <is>
          <t>Роснефть</t>
        </is>
      </c>
      <c r="H81" s="131" t="inlineStr">
        <is>
          <t>MC041</t>
        </is>
      </c>
      <c r="I81" s="637" t="inlineStr">
        <is>
          <t>Орехово-Зуево</t>
        </is>
      </c>
      <c r="J81" s="637" t="inlineStr">
        <is>
          <t>MSK_BP_Orekhovo_Zuevo</t>
        </is>
      </c>
      <c r="K81" s="640" t="n">
        <v>2</v>
      </c>
      <c r="L81" s="640" t="n">
        <v>1</v>
      </c>
      <c r="M81" s="623" t="inlineStr">
        <is>
          <t>Samsung 32" вертикальный</t>
        </is>
      </c>
      <c r="N81" s="640" t="n"/>
      <c r="O81" s="640">
        <f>IF(AND(N81=1,L81=1),K81,"")</f>
        <v/>
      </c>
      <c r="P81" s="642" t="inlineStr">
        <is>
          <t>Московская область, г. Орехово-Зуево,  Флиера 2</t>
        </is>
      </c>
      <c r="Q81" s="640" t="inlineStr">
        <is>
          <t>55.803932</t>
        </is>
      </c>
      <c r="R81" s="494" t="inlineStr">
        <is>
          <t>38.97312</t>
        </is>
      </c>
      <c r="S81" s="438" t="n"/>
      <c r="T81" s="436" t="n"/>
      <c r="U81" s="436" t="n"/>
      <c r="V81" s="438">
        <f>IF(AND(N81=1,U81=1),C81,"")</f>
        <v/>
      </c>
      <c r="W81" s="387" t="n"/>
      <c r="X81" s="387" t="n"/>
      <c r="Y81" s="387" t="n"/>
    </row>
    <row r="82" hidden="1" ht="16.05" customFormat="1" customHeight="1" s="126">
      <c r="A82" s="125" t="n">
        <v>109</v>
      </c>
      <c r="B82" s="125" t="inlineStr">
        <is>
          <t>WF</t>
        </is>
      </c>
      <c r="C82" s="130" t="inlineStr">
        <is>
          <t>Москва</t>
        </is>
      </c>
      <c r="D82" s="130" t="inlineStr">
        <is>
          <t>Москва</t>
        </is>
      </c>
      <c r="E82" s="130" t="inlineStr">
        <is>
          <t>ЗАО</t>
        </is>
      </c>
      <c r="F82" s="130" t="inlineStr">
        <is>
          <t>АЗС</t>
        </is>
      </c>
      <c r="G82" s="130" t="inlineStr">
        <is>
          <t>Роснефть</t>
        </is>
      </c>
      <c r="H82" s="131" t="inlineStr">
        <is>
          <t>MC107</t>
        </is>
      </c>
      <c r="I82" s="637" t="inlineStr">
        <is>
          <t>Очаково</t>
        </is>
      </c>
      <c r="J82" s="637" t="inlineStr">
        <is>
          <t>MSK_BP_Ochakovo</t>
        </is>
      </c>
      <c r="K82" s="640" t="n">
        <v>2</v>
      </c>
      <c r="L82" s="640" t="n">
        <v>1</v>
      </c>
      <c r="M82" s="623" t="inlineStr">
        <is>
          <t>Samsung 32" вертикальный</t>
        </is>
      </c>
      <c r="N82" s="640" t="n"/>
      <c r="O82" s="640">
        <f>IF(AND(N82=1,L82=1),K82,"")</f>
        <v/>
      </c>
      <c r="P82" s="642" t="inlineStr">
        <is>
          <t>Москва, Лобачевского, 37</t>
        </is>
      </c>
      <c r="Q82" s="640" t="inlineStr">
        <is>
          <t>55.68798</t>
        </is>
      </c>
      <c r="R82" s="494" t="inlineStr">
        <is>
          <t>37.47407</t>
        </is>
      </c>
      <c r="S82" s="438" t="n"/>
      <c r="T82" s="436" t="n"/>
      <c r="U82" s="436" t="n"/>
      <c r="V82" s="438">
        <f>IF(AND(N82=1,U82=1),C82,"")</f>
        <v/>
      </c>
      <c r="W82" s="387" t="n"/>
      <c r="X82" s="387" t="n"/>
      <c r="Y82" s="387" t="n"/>
    </row>
    <row r="83" hidden="1" ht="16.05" customFormat="1" customHeight="1" s="126">
      <c r="A83" s="125" t="n">
        <v>111</v>
      </c>
      <c r="B83" s="125" t="inlineStr">
        <is>
          <t>WF</t>
        </is>
      </c>
      <c r="C83" s="130" t="inlineStr">
        <is>
          <t>Москва</t>
        </is>
      </c>
      <c r="D83" s="130" t="inlineStr">
        <is>
          <t>Подольск</t>
        </is>
      </c>
      <c r="E83" s="130" t="inlineStr">
        <is>
          <t>М2</t>
        </is>
      </c>
      <c r="F83" s="130" t="inlineStr">
        <is>
          <t>АЗС</t>
        </is>
      </c>
      <c r="G83" s="130" t="inlineStr">
        <is>
          <t>Роснефть</t>
        </is>
      </c>
      <c r="H83" s="131" t="inlineStr">
        <is>
          <t>MC088</t>
        </is>
      </c>
      <c r="I83" s="637" t="inlineStr">
        <is>
          <t>Подольск</t>
        </is>
      </c>
      <c r="J83" s="637" t="inlineStr">
        <is>
          <t>MSK_BP_Podolsk</t>
        </is>
      </c>
      <c r="K83" s="640" t="n">
        <v>2</v>
      </c>
      <c r="L83" s="640" t="n">
        <v>1</v>
      </c>
      <c r="M83" s="623" t="inlineStr">
        <is>
          <t>Samsung 32" вертикальный</t>
        </is>
      </c>
      <c r="N83" s="640" t="n"/>
      <c r="O83" s="640">
        <f>IF(AND(N83=1,L83=1),K83,"")</f>
        <v/>
      </c>
      <c r="P83" s="642" t="inlineStr">
        <is>
          <t>Московская область, г. Подольск,  Комсомольская, 38</t>
        </is>
      </c>
      <c r="Q83" s="640" t="inlineStr">
        <is>
          <t>55.428926</t>
        </is>
      </c>
      <c r="R83" s="494" t="inlineStr">
        <is>
          <t>37.554144</t>
        </is>
      </c>
      <c r="S83" s="438" t="n"/>
      <c r="T83" s="436" t="n"/>
      <c r="U83" s="436" t="n"/>
      <c r="V83" s="438">
        <f>IF(AND(N83=1,U83=1),C83,"")</f>
        <v/>
      </c>
      <c r="W83" s="387" t="n"/>
      <c r="X83" s="387" t="n"/>
      <c r="Y83" s="387" t="n"/>
    </row>
    <row r="84" hidden="1" ht="16.05" customFormat="1" customHeight="1" s="126">
      <c r="A84" s="125" t="n">
        <v>112</v>
      </c>
      <c r="B84" s="125" t="inlineStr">
        <is>
          <t>WF</t>
        </is>
      </c>
      <c r="C84" s="130" t="inlineStr">
        <is>
          <t>Москва</t>
        </is>
      </c>
      <c r="D84" s="130" t="inlineStr">
        <is>
          <t>Москва</t>
        </is>
      </c>
      <c r="E84" s="130" t="inlineStr">
        <is>
          <t>ЗАО</t>
        </is>
      </c>
      <c r="F84" s="130" t="inlineStr">
        <is>
          <t>АЗС</t>
        </is>
      </c>
      <c r="G84" s="130" t="inlineStr">
        <is>
          <t>Роснефть</t>
        </is>
      </c>
      <c r="H84" s="131" t="inlineStr">
        <is>
          <t>MC082</t>
        </is>
      </c>
      <c r="I84" s="637" t="inlineStr">
        <is>
          <t>Проспект Вернадского</t>
        </is>
      </c>
      <c r="J84" s="637" t="inlineStr">
        <is>
          <t>MSK_BP_Prspkt_Vernadskogo</t>
        </is>
      </c>
      <c r="K84" s="640" t="n">
        <v>2</v>
      </c>
      <c r="L84" s="640" t="n">
        <v>1</v>
      </c>
      <c r="M84" s="623" t="inlineStr">
        <is>
          <t>Samsung 32" вертикальный</t>
        </is>
      </c>
      <c r="N84" s="640" t="n"/>
      <c r="O84" s="640">
        <f>IF(AND(N84=1,L84=1),K84,"")</f>
        <v/>
      </c>
      <c r="P84" s="642" t="inlineStr">
        <is>
          <t>Москва,  Удальцова, вл. 16а</t>
        </is>
      </c>
      <c r="Q84" s="640" t="inlineStr">
        <is>
          <t>55.676467</t>
        </is>
      </c>
      <c r="R84" s="494" t="inlineStr">
        <is>
          <t>37.508046</t>
        </is>
      </c>
      <c r="S84" s="438" t="n"/>
      <c r="T84" s="436" t="n"/>
      <c r="U84" s="436" t="n"/>
      <c r="V84" s="438">
        <f>IF(AND(N84=1,U84=1),C84,"")</f>
        <v/>
      </c>
      <c r="W84" s="387" t="n"/>
      <c r="X84" s="387" t="n"/>
      <c r="Y84" s="387" t="n"/>
    </row>
    <row r="85" hidden="1" ht="16.05" customFormat="1" customHeight="1" s="126">
      <c r="A85" s="125" t="n">
        <v>114</v>
      </c>
      <c r="B85" s="125" t="inlineStr">
        <is>
          <t>WF</t>
        </is>
      </c>
      <c r="C85" s="130" t="inlineStr">
        <is>
          <t>Москва</t>
        </is>
      </c>
      <c r="D85" s="130" t="inlineStr">
        <is>
          <t>Москва</t>
        </is>
      </c>
      <c r="E85" s="130" t="inlineStr">
        <is>
          <t>ЮЗАО</t>
        </is>
      </c>
      <c r="F85" s="130" t="inlineStr">
        <is>
          <t>АЗС</t>
        </is>
      </c>
      <c r="G85" s="130" t="inlineStr">
        <is>
          <t>Роснефть</t>
        </is>
      </c>
      <c r="H85" s="131" t="inlineStr">
        <is>
          <t>MC008</t>
        </is>
      </c>
      <c r="I85" s="637" t="inlineStr">
        <is>
          <t>Профсоюзная</t>
        </is>
      </c>
      <c r="J85" s="637" t="inlineStr">
        <is>
          <t>MSK_BP_Profsoyuznaya</t>
        </is>
      </c>
      <c r="K85" s="640" t="n">
        <v>2</v>
      </c>
      <c r="L85" s="640" t="n">
        <v>1</v>
      </c>
      <c r="M85" s="623" t="inlineStr">
        <is>
          <t>Samsung 32" вертикальный</t>
        </is>
      </c>
      <c r="N85" s="640" t="n"/>
      <c r="O85" s="640">
        <f>IF(AND(N85=1,L85=1),K85,"")</f>
        <v/>
      </c>
      <c r="P85" s="642" t="inlineStr">
        <is>
          <t>Москва, Профсоюзная 84а</t>
        </is>
      </c>
      <c r="Q85" s="640" t="inlineStr">
        <is>
          <t>55.654936</t>
        </is>
      </c>
      <c r="R85" s="494" t="inlineStr">
        <is>
          <t>37.536373</t>
        </is>
      </c>
      <c r="S85" s="438" t="n"/>
      <c r="T85" s="436" t="n"/>
      <c r="U85" s="436" t="n"/>
      <c r="V85" s="438">
        <f>IF(AND(N85=1,U85=1),C85,"")</f>
        <v/>
      </c>
      <c r="W85" s="387" t="n"/>
      <c r="X85" s="387" t="n"/>
      <c r="Y85" s="387" t="n"/>
    </row>
    <row r="86" hidden="1" ht="16.05" customFormat="1" customHeight="1" s="126">
      <c r="A86" s="125" t="n">
        <v>116</v>
      </c>
      <c r="B86" s="125" t="inlineStr">
        <is>
          <t>WF</t>
        </is>
      </c>
      <c r="C86" s="130" t="inlineStr">
        <is>
          <t>Москва</t>
        </is>
      </c>
      <c r="D86" s="130" t="inlineStr">
        <is>
          <t>Московская область</t>
        </is>
      </c>
      <c r="E86" s="130" t="inlineStr">
        <is>
          <t>М8</t>
        </is>
      </c>
      <c r="F86" s="130" t="inlineStr">
        <is>
          <t>АЗС</t>
        </is>
      </c>
      <c r="G86" s="130" t="inlineStr">
        <is>
          <t>Роснефть</t>
        </is>
      </c>
      <c r="H86" s="131" t="inlineStr">
        <is>
          <t>MC131</t>
        </is>
      </c>
      <c r="I86" s="637" t="inlineStr">
        <is>
          <t>Пушкино</t>
        </is>
      </c>
      <c r="J86" s="637" t="inlineStr">
        <is>
          <t>MSK_BP_Pushkino</t>
        </is>
      </c>
      <c r="K86" s="640" t="n">
        <v>2</v>
      </c>
      <c r="L86" s="640" t="n">
        <v>1</v>
      </c>
      <c r="M86" s="623" t="inlineStr">
        <is>
          <t>Samsung 32" вертикальный</t>
        </is>
      </c>
      <c r="N86" s="640" t="n"/>
      <c r="O86" s="640">
        <f>IF(AND(N86=1,L86=1),K86,"")</f>
        <v/>
      </c>
      <c r="P86" s="642" t="inlineStr">
        <is>
          <t>Московская область, Пушкинский район, 33-й км а/д М8 "Холмогоры"</t>
        </is>
      </c>
      <c r="Q86" s="640" t="inlineStr">
        <is>
          <t>55.993969</t>
        </is>
      </c>
      <c r="R86" s="494" t="inlineStr">
        <is>
          <t>37.873304</t>
        </is>
      </c>
      <c r="S86" s="438" t="n"/>
      <c r="T86" s="436" t="n"/>
      <c r="U86" s="436" t="n"/>
      <c r="V86" s="438">
        <f>IF(AND(N86=1,U86=1),C86,"")</f>
        <v/>
      </c>
      <c r="W86" s="387" t="n"/>
      <c r="X86" s="387" t="n"/>
      <c r="Y86" s="387" t="n"/>
    </row>
    <row r="87" hidden="1" ht="16.05" customFormat="1" customHeight="1" s="126">
      <c r="A87" s="125" t="n">
        <v>118</v>
      </c>
      <c r="B87" s="125" t="inlineStr">
        <is>
          <t>WF</t>
        </is>
      </c>
      <c r="C87" s="130" t="inlineStr">
        <is>
          <t>Москва</t>
        </is>
      </c>
      <c r="D87" s="130" t="inlineStr">
        <is>
          <t>Москва</t>
        </is>
      </c>
      <c r="E87" s="130" t="inlineStr">
        <is>
          <t>А106</t>
        </is>
      </c>
      <c r="F87" s="130" t="inlineStr">
        <is>
          <t>АЗС</t>
        </is>
      </c>
      <c r="G87" s="130" t="inlineStr">
        <is>
          <t>Роснефть</t>
        </is>
      </c>
      <c r="H87" s="131" t="inlineStr">
        <is>
          <t>MC210</t>
        </is>
      </c>
      <c r="I87" s="637" t="inlineStr">
        <is>
          <t>Рублевская</t>
        </is>
      </c>
      <c r="J87" s="637" t="inlineStr">
        <is>
          <t>MSK_BP_Rublevskaya</t>
        </is>
      </c>
      <c r="K87" s="640" t="n">
        <v>2</v>
      </c>
      <c r="L87" s="640" t="n">
        <v>1</v>
      </c>
      <c r="M87" s="623" t="inlineStr">
        <is>
          <t>Samsung 32" вертикальный</t>
        </is>
      </c>
      <c r="N87" s="640" t="n"/>
      <c r="O87" s="640">
        <f>IF(AND(N87=1,L87=1),K87,"")</f>
        <v/>
      </c>
      <c r="P87" s="642" t="inlineStr">
        <is>
          <t>Москва, ЗАО, МКАД 60 км, д.4Б (съезд с Рублево-Успенского шоссе)</t>
        </is>
      </c>
      <c r="Q87" s="640" t="inlineStr">
        <is>
          <t>55.767387</t>
        </is>
      </c>
      <c r="R87" s="494" t="inlineStr">
        <is>
          <t>37.371235</t>
        </is>
      </c>
      <c r="S87" s="438" t="n"/>
      <c r="T87" s="436" t="n"/>
      <c r="U87" s="436" t="n"/>
      <c r="V87" s="438">
        <f>IF(AND(N87=1,U87=1),C87,"")</f>
        <v/>
      </c>
      <c r="W87" s="387" t="n"/>
      <c r="X87" s="387" t="n"/>
      <c r="Y87" s="387" t="n"/>
    </row>
    <row r="88" hidden="1" ht="16.05" customFormat="1" customHeight="1" s="126">
      <c r="A88" s="125" t="n">
        <v>120</v>
      </c>
      <c r="B88" s="125" t="inlineStr">
        <is>
          <t>WF</t>
        </is>
      </c>
      <c r="C88" s="130" t="inlineStr">
        <is>
          <t>Москва</t>
        </is>
      </c>
      <c r="D88" s="130" t="inlineStr">
        <is>
          <t>Москва</t>
        </is>
      </c>
      <c r="E88" s="130" t="inlineStr">
        <is>
          <t>СВАО</t>
        </is>
      </c>
      <c r="F88" s="130" t="inlineStr">
        <is>
          <t>АЗС</t>
        </is>
      </c>
      <c r="G88" s="130" t="inlineStr">
        <is>
          <t>Роснефть</t>
        </is>
      </c>
      <c r="H88" s="131" t="inlineStr">
        <is>
          <t>MC307</t>
        </is>
      </c>
      <c r="I88" s="637" t="inlineStr">
        <is>
          <t>Саяны</t>
        </is>
      </c>
      <c r="J88" s="637" t="inlineStr">
        <is>
          <t>MSK_BP_Sayany</t>
        </is>
      </c>
      <c r="K88" s="640" t="n">
        <v>2</v>
      </c>
      <c r="L88" s="640" t="n">
        <v>1</v>
      </c>
      <c r="M88" s="623" t="inlineStr">
        <is>
          <t>Samsung 32" вертикальный</t>
        </is>
      </c>
      <c r="N88" s="640" t="n"/>
      <c r="O88" s="640">
        <f>IF(AND(N88=1,L88=1),K88,"")</f>
        <v/>
      </c>
      <c r="P88" s="642" t="inlineStr">
        <is>
          <t>Москва, Ярославское ш., вл. 116</t>
        </is>
      </c>
      <c r="Q88" s="640" t="inlineStr">
        <is>
          <t>55.867878</t>
        </is>
      </c>
      <c r="R88" s="494" t="inlineStr">
        <is>
          <t>37.708871</t>
        </is>
      </c>
      <c r="S88" s="438" t="n"/>
      <c r="T88" s="436" t="n"/>
      <c r="U88" s="436" t="n"/>
      <c r="V88" s="438">
        <f>IF(AND(N88=1,U88=1),C88,"")</f>
        <v/>
      </c>
      <c r="W88" s="387" t="n"/>
      <c r="X88" s="387" t="n"/>
      <c r="Y88" s="387" t="n"/>
    </row>
    <row r="89" hidden="1" ht="16.05" customFormat="1" customHeight="1" s="126">
      <c r="A89" s="125" t="n">
        <v>121</v>
      </c>
      <c r="B89" s="125" t="inlineStr">
        <is>
          <t>WF</t>
        </is>
      </c>
      <c r="C89" s="130" t="inlineStr">
        <is>
          <t>Москва</t>
        </is>
      </c>
      <c r="D89" s="130" t="inlineStr">
        <is>
          <t>Москва</t>
        </is>
      </c>
      <c r="E89" s="130" t="inlineStr">
        <is>
          <t>СВАО</t>
        </is>
      </c>
      <c r="F89" s="130" t="inlineStr">
        <is>
          <t>АЗС</t>
        </is>
      </c>
      <c r="G89" s="130" t="inlineStr">
        <is>
          <t>Роснефть</t>
        </is>
      </c>
      <c r="H89" s="131" t="inlineStr">
        <is>
          <t>MT000</t>
        </is>
      </c>
      <c r="I89" s="637" t="inlineStr">
        <is>
          <t>Северянин</t>
        </is>
      </c>
      <c r="J89" s="637" t="inlineStr">
        <is>
          <t>MSK_BP_Severyanin</t>
        </is>
      </c>
      <c r="K89" s="640" t="n">
        <v>2</v>
      </c>
      <c r="L89" s="640" t="n">
        <v>1</v>
      </c>
      <c r="M89" s="623" t="inlineStr">
        <is>
          <t>Samsung 32" вертикальный</t>
        </is>
      </c>
      <c r="N89" s="640" t="n"/>
      <c r="O89" s="640">
        <f>IF(AND(N89=1,L89=1),K89,"")</f>
        <v/>
      </c>
      <c r="P89" s="642" t="inlineStr">
        <is>
          <t>Москва, Ярославское ш., вл.3, стр 2,3</t>
        </is>
      </c>
      <c r="Q89" s="640" t="inlineStr">
        <is>
          <t>55.85181</t>
        </is>
      </c>
      <c r="R89" s="494" t="inlineStr">
        <is>
          <t>37.676755</t>
        </is>
      </c>
      <c r="S89" s="438" t="n"/>
      <c r="T89" s="436" t="n"/>
      <c r="U89" s="436" t="n"/>
      <c r="V89" s="438">
        <f>IF(AND(N89=1,U89=1),C89,"")</f>
        <v/>
      </c>
      <c r="W89" s="387" t="n"/>
      <c r="X89" s="387" t="n"/>
      <c r="Y89" s="387" t="n"/>
    </row>
    <row r="90" hidden="1" ht="16.05" customFormat="1" customHeight="1" s="126">
      <c r="A90" s="125" t="n">
        <v>123</v>
      </c>
      <c r="B90" s="125" t="inlineStr">
        <is>
          <t>WF</t>
        </is>
      </c>
      <c r="C90" s="130" t="inlineStr">
        <is>
          <t>Москва</t>
        </is>
      </c>
      <c r="D90" s="130" t="inlineStr">
        <is>
          <t>Московская область</t>
        </is>
      </c>
      <c r="E90" s="130" t="inlineStr">
        <is>
          <t>М2</t>
        </is>
      </c>
      <c r="F90" s="130" t="inlineStr">
        <is>
          <t>АЗС</t>
        </is>
      </c>
      <c r="G90" s="130" t="inlineStr">
        <is>
          <t>Роснефть</t>
        </is>
      </c>
      <c r="H90" s="131" t="inlineStr">
        <is>
          <t>MC325</t>
        </is>
      </c>
      <c r="I90" s="637" t="inlineStr">
        <is>
          <t>Симферопольская</t>
        </is>
      </c>
      <c r="J90" s="637" t="inlineStr">
        <is>
          <t>MSK_BP_Simferopolskaya</t>
        </is>
      </c>
      <c r="K90" s="640" t="n">
        <v>2</v>
      </c>
      <c r="L90" s="640" t="n">
        <v>1</v>
      </c>
      <c r="M90" s="623" t="inlineStr">
        <is>
          <t>Samsung 32" вертикальный</t>
        </is>
      </c>
      <c r="N90" s="640" t="n"/>
      <c r="O90" s="640">
        <f>IF(AND(N90=1,L90=1),K90,"")</f>
        <v/>
      </c>
      <c r="P90" s="642" t="inlineStr">
        <is>
          <t>Московская область, Ленинский район, Симферопольское ш., 27 км</t>
        </is>
      </c>
      <c r="Q90" s="640" t="inlineStr">
        <is>
          <t>55.520612</t>
        </is>
      </c>
      <c r="R90" s="494" t="inlineStr">
        <is>
          <t>37.609886</t>
        </is>
      </c>
      <c r="S90" s="438" t="n"/>
      <c r="T90" s="436" t="n"/>
      <c r="U90" s="436" t="n"/>
      <c r="V90" s="438">
        <f>IF(AND(N90=1,U90=1),C90,"")</f>
        <v/>
      </c>
      <c r="W90" s="387" t="n"/>
      <c r="X90" s="387" t="n"/>
      <c r="Y90" s="387" t="n"/>
    </row>
    <row r="91" hidden="1" ht="16.05" customFormat="1" customHeight="1" s="126">
      <c r="A91" s="125" t="n">
        <v>125</v>
      </c>
      <c r="B91" s="125" t="inlineStr">
        <is>
          <t>WF</t>
        </is>
      </c>
      <c r="C91" s="130" t="inlineStr">
        <is>
          <t>Москва</t>
        </is>
      </c>
      <c r="D91" s="130" t="inlineStr">
        <is>
          <t>Москва</t>
        </is>
      </c>
      <c r="E91" s="130" t="inlineStr">
        <is>
          <t>М9</t>
        </is>
      </c>
      <c r="F91" s="130" t="inlineStr">
        <is>
          <t>АЗС</t>
        </is>
      </c>
      <c r="G91" s="130" t="inlineStr">
        <is>
          <t>Роснефть</t>
        </is>
      </c>
      <c r="H91" s="131" t="inlineStr">
        <is>
          <t>MC056</t>
        </is>
      </c>
      <c r="I91" s="637" t="inlineStr">
        <is>
          <t>Спасская</t>
        </is>
      </c>
      <c r="J91" s="637" t="inlineStr">
        <is>
          <t>MSK_BP_Spasskaya</t>
        </is>
      </c>
      <c r="K91" s="640" t="n">
        <v>2</v>
      </c>
      <c r="L91" s="640" t="n">
        <v>1</v>
      </c>
      <c r="M91" s="623" t="inlineStr">
        <is>
          <t>Samsung 32" вертикальный</t>
        </is>
      </c>
      <c r="N91" s="640" t="n"/>
      <c r="O91" s="640">
        <f>IF(AND(N91=1,L91=1),K91,"")</f>
        <v/>
      </c>
      <c r="P91" s="642" t="inlineStr">
        <is>
          <t>Москва, 65 км МКАД, зд. 8</t>
        </is>
      </c>
      <c r="Q91" s="640" t="inlineStr">
        <is>
          <t>55.813636</t>
        </is>
      </c>
      <c r="R91" s="494" t="inlineStr">
        <is>
          <t>37.390777</t>
        </is>
      </c>
      <c r="S91" s="438" t="n"/>
      <c r="T91" s="436" t="n"/>
      <c r="U91" s="436" t="n"/>
      <c r="V91" s="438">
        <f>IF(AND(N91=1,U91=1),C91,"")</f>
        <v/>
      </c>
      <c r="W91" s="387" t="n"/>
      <c r="X91" s="387" t="n"/>
      <c r="Y91" s="387" t="n"/>
    </row>
    <row r="92" hidden="1" ht="16.05" customFormat="1" customHeight="1" s="126">
      <c r="A92" s="125" t="n">
        <v>127</v>
      </c>
      <c r="B92" s="125" t="inlineStr">
        <is>
          <t>WF</t>
        </is>
      </c>
      <c r="C92" s="130" t="inlineStr">
        <is>
          <t>Москва</t>
        </is>
      </c>
      <c r="D92" s="130" t="inlineStr">
        <is>
          <t>Москва</t>
        </is>
      </c>
      <c r="E92" s="130" t="inlineStr">
        <is>
          <t>СЗАО</t>
        </is>
      </c>
      <c r="F92" s="130" t="inlineStr">
        <is>
          <t>АЗС</t>
        </is>
      </c>
      <c r="G92" s="130" t="inlineStr">
        <is>
          <t>Роснефть</t>
        </is>
      </c>
      <c r="H92" s="131" t="inlineStr">
        <is>
          <t>MC010</t>
        </is>
      </c>
      <c r="I92" s="637" t="inlineStr">
        <is>
          <t>Строгино</t>
        </is>
      </c>
      <c r="J92" s="637" t="inlineStr">
        <is>
          <t>MSK_BP_Strogino</t>
        </is>
      </c>
      <c r="K92" s="640" t="n">
        <v>2</v>
      </c>
      <c r="L92" s="640" t="n">
        <v>1</v>
      </c>
      <c r="M92" s="623" t="inlineStr">
        <is>
          <t>Samsung 32" вертикальный</t>
        </is>
      </c>
      <c r="N92" s="640" t="n"/>
      <c r="O92" s="640">
        <f>IF(AND(N92=1,L92=1),K92,"")</f>
        <v/>
      </c>
      <c r="P92" s="642" t="inlineStr">
        <is>
          <t>Москва, Исаковского 37, к. 1</t>
        </is>
      </c>
      <c r="Q92" s="640" t="inlineStr">
        <is>
          <t>55.804597</t>
        </is>
      </c>
      <c r="R92" s="494" t="inlineStr">
        <is>
          <t>37.424777</t>
        </is>
      </c>
      <c r="S92" s="438" t="n"/>
      <c r="T92" s="436" t="n"/>
      <c r="U92" s="436" t="n"/>
      <c r="V92" s="438">
        <f>IF(AND(N92=1,U92=1),C92,"")</f>
        <v/>
      </c>
      <c r="W92" s="387" t="n"/>
      <c r="X92" s="387" t="n"/>
      <c r="Y92" s="387" t="n"/>
    </row>
    <row r="93" hidden="1" ht="16.05" customFormat="1" customHeight="1" s="126">
      <c r="A93" s="125" t="n">
        <v>129</v>
      </c>
      <c r="B93" s="125" t="inlineStr">
        <is>
          <t>WF</t>
        </is>
      </c>
      <c r="C93" s="130" t="inlineStr">
        <is>
          <t>Москва</t>
        </is>
      </c>
      <c r="D93" s="130" t="inlineStr">
        <is>
          <t>Ступино</t>
        </is>
      </c>
      <c r="E93" s="130" t="inlineStr">
        <is>
          <t>М4</t>
        </is>
      </c>
      <c r="F93" s="130" t="inlineStr">
        <is>
          <t>АЗС</t>
        </is>
      </c>
      <c r="G93" s="130" t="inlineStr">
        <is>
          <t>Роснефть</t>
        </is>
      </c>
      <c r="H93" s="131" t="inlineStr">
        <is>
          <t>MC074</t>
        </is>
      </c>
      <c r="I93" s="637" t="inlineStr">
        <is>
          <t>Ступино</t>
        </is>
      </c>
      <c r="J93" s="637" t="inlineStr">
        <is>
          <t>MSK_BP_Stupino</t>
        </is>
      </c>
      <c r="K93" s="640" t="n">
        <v>2</v>
      </c>
      <c r="L93" s="640" t="n">
        <v>1</v>
      </c>
      <c r="M93" s="623" t="inlineStr">
        <is>
          <t>Samsung 32" вертикальный</t>
        </is>
      </c>
      <c r="N93" s="640" t="n"/>
      <c r="O93" s="640">
        <f>IF(AND(N93=1,L93=1),K93,"")</f>
        <v/>
      </c>
      <c r="P93" s="642" t="inlineStr">
        <is>
          <t>Московская область, г. Ступино, пр-т Победы, 65</t>
        </is>
      </c>
      <c r="Q93" s="640" t="inlineStr">
        <is>
          <t>54.900109</t>
        </is>
      </c>
      <c r="R93" s="494" t="inlineStr">
        <is>
          <t>38.080044</t>
        </is>
      </c>
      <c r="S93" s="438" t="n"/>
      <c r="T93" s="436" t="n"/>
      <c r="U93" s="436" t="n"/>
      <c r="V93" s="438">
        <f>IF(AND(N93=1,U93=1),C93,"")</f>
        <v/>
      </c>
      <c r="W93" s="387" t="n"/>
      <c r="X93" s="387" t="n"/>
      <c r="Y93" s="387" t="n"/>
    </row>
    <row r="94" hidden="1" ht="16.05" customFormat="1" customHeight="1" s="126">
      <c r="A94" s="125" t="n">
        <v>130</v>
      </c>
      <c r="B94" s="125" t="inlineStr">
        <is>
          <t>WF</t>
        </is>
      </c>
      <c r="C94" s="130" t="inlineStr">
        <is>
          <t>Москва</t>
        </is>
      </c>
      <c r="D94" s="130" t="inlineStr">
        <is>
          <t>Московская область</t>
        </is>
      </c>
      <c r="E94" s="130" t="inlineStr">
        <is>
          <t>М9</t>
        </is>
      </c>
      <c r="F94" s="130" t="inlineStr">
        <is>
          <t>АЗС</t>
        </is>
      </c>
      <c r="G94" s="130" t="inlineStr">
        <is>
          <t>Роснефть</t>
        </is>
      </c>
      <c r="H94" s="131" t="inlineStr">
        <is>
          <t>MC158</t>
        </is>
      </c>
      <c r="I94" s="637" t="inlineStr">
        <is>
          <t>Супонево</t>
        </is>
      </c>
      <c r="J94" s="637" t="inlineStr">
        <is>
          <t>MSK_BP_Suponevo</t>
        </is>
      </c>
      <c r="K94" s="640" t="n">
        <v>2</v>
      </c>
      <c r="L94" s="640" t="n">
        <v>1</v>
      </c>
      <c r="M94" s="623" t="inlineStr">
        <is>
          <t>Samsung 32" вертикальный</t>
        </is>
      </c>
      <c r="N94" s="640" t="n"/>
      <c r="O94" s="640">
        <f>IF(AND(N94=1,L94=1),K94,"")</f>
        <v/>
      </c>
      <c r="P94" s="642" t="inlineStr">
        <is>
          <t>Московская область, Одинцовский район, Ершовский с/о, д. Супонево</t>
        </is>
      </c>
      <c r="Q94" s="640" t="inlineStr">
        <is>
          <t>55.747765</t>
        </is>
      </c>
      <c r="R94" s="494" t="inlineStr">
        <is>
          <t>36.887239</t>
        </is>
      </c>
      <c r="S94" s="438" t="n"/>
      <c r="T94" s="436" t="n"/>
      <c r="U94" s="436" t="n"/>
      <c r="V94" s="438">
        <f>IF(AND(N94=1,U94=1),C94,"")</f>
        <v/>
      </c>
      <c r="W94" s="387" t="n"/>
      <c r="X94" s="387" t="n"/>
      <c r="Y94" s="387" t="n"/>
    </row>
    <row r="95" hidden="1" ht="16.05" customFormat="1" customHeight="1" s="126">
      <c r="A95" s="125" t="n">
        <v>131</v>
      </c>
      <c r="B95" s="125" t="inlineStr">
        <is>
          <t>WF</t>
        </is>
      </c>
      <c r="C95" s="130" t="inlineStr">
        <is>
          <t>Москва</t>
        </is>
      </c>
      <c r="D95" s="130" t="inlineStr">
        <is>
          <t>Москва</t>
        </is>
      </c>
      <c r="E95" s="130" t="inlineStr">
        <is>
          <t>ЗАО</t>
        </is>
      </c>
      <c r="F95" s="130" t="inlineStr">
        <is>
          <t>АЗС</t>
        </is>
      </c>
      <c r="G95" s="130" t="inlineStr">
        <is>
          <t>Роснефть</t>
        </is>
      </c>
      <c r="H95" s="131" t="inlineStr">
        <is>
          <t>MC006</t>
        </is>
      </c>
      <c r="I95" s="637" t="inlineStr">
        <is>
          <t>Теплый Стан</t>
        </is>
      </c>
      <c r="J95" s="637" t="inlineStr">
        <is>
          <t>MSK_BP_Tepliy_Stan</t>
        </is>
      </c>
      <c r="K95" s="640" t="n">
        <v>2</v>
      </c>
      <c r="L95" s="640" t="n">
        <v>1</v>
      </c>
      <c r="M95" s="623" t="inlineStr">
        <is>
          <t>Samsung 32" вертикальный</t>
        </is>
      </c>
      <c r="N95" s="640" t="n"/>
      <c r="O95" s="640">
        <f>IF(AND(N95=1,L95=1),K95,"")</f>
        <v/>
      </c>
      <c r="P95" s="642" t="inlineStr">
        <is>
          <t>Москва, Ленинский пр-т, 137а</t>
        </is>
      </c>
      <c r="Q95" s="640" t="inlineStr">
        <is>
          <t>55.643279</t>
        </is>
      </c>
      <c r="R95" s="494" t="inlineStr">
        <is>
          <t>37.471292</t>
        </is>
      </c>
      <c r="S95" s="438" t="n"/>
      <c r="T95" s="436" t="n"/>
      <c r="U95" s="436" t="n"/>
      <c r="V95" s="438">
        <f>IF(AND(N95=1,U95=1),C95,"")</f>
        <v/>
      </c>
      <c r="W95" s="387" t="n"/>
      <c r="X95" s="387" t="n"/>
      <c r="Y95" s="387" t="n"/>
    </row>
    <row r="96" hidden="1" ht="16.05" customFormat="1" customHeight="1" s="126">
      <c r="A96" s="125" t="n">
        <v>133</v>
      </c>
      <c r="B96" s="125" t="inlineStr">
        <is>
          <t>WF</t>
        </is>
      </c>
      <c r="C96" s="130" t="inlineStr">
        <is>
          <t>Москва</t>
        </is>
      </c>
      <c r="D96" s="130" t="inlineStr">
        <is>
          <t>Московская область</t>
        </is>
      </c>
      <c r="E96" s="130" t="inlineStr">
        <is>
          <t>М1</t>
        </is>
      </c>
      <c r="F96" s="130" t="inlineStr">
        <is>
          <t>АЗС</t>
        </is>
      </c>
      <c r="G96" s="130" t="inlineStr">
        <is>
          <t>Роснефть</t>
        </is>
      </c>
      <c r="H96" s="131" t="inlineStr">
        <is>
          <t>MC302</t>
        </is>
      </c>
      <c r="I96" s="637" t="inlineStr">
        <is>
          <t>Трехгорка</t>
        </is>
      </c>
      <c r="J96" s="637" t="inlineStr">
        <is>
          <t>MSK_BP_Trehgorka</t>
        </is>
      </c>
      <c r="K96" s="640" t="n">
        <v>2</v>
      </c>
      <c r="L96" s="640" t="n">
        <v>1</v>
      </c>
      <c r="M96" s="623" t="inlineStr">
        <is>
          <t>Samsung 32" вертикальный</t>
        </is>
      </c>
      <c r="N96" s="640" t="n"/>
      <c r="O96" s="640">
        <f>IF(AND(N96=1,L96=1),K96,"")</f>
        <v/>
      </c>
      <c r="P96" s="642" t="inlineStr">
        <is>
          <t>Московская область, Одинцовский район, 17 км Минского ш. (правая сторона)</t>
        </is>
      </c>
      <c r="Q96" s="640" t="inlineStr">
        <is>
          <t>55.698126</t>
        </is>
      </c>
      <c r="R96" s="422" t="inlineStr">
        <is>
          <t>37.341783</t>
        </is>
      </c>
      <c r="S96" s="438" t="n"/>
      <c r="T96" s="436" t="n"/>
      <c r="U96" s="436" t="n"/>
      <c r="V96" s="438">
        <f>IF(AND(N96=1,U96=1),C96,"")</f>
        <v/>
      </c>
      <c r="W96" s="387" t="n"/>
      <c r="X96" s="387" t="n"/>
      <c r="Y96" s="387" t="n"/>
    </row>
    <row r="97" hidden="1" ht="16.05" customFormat="1" customHeight="1" s="126">
      <c r="A97" s="125" t="n">
        <v>135</v>
      </c>
      <c r="B97" s="125" t="inlineStr">
        <is>
          <t>WF</t>
        </is>
      </c>
      <c r="C97" s="130" t="inlineStr">
        <is>
          <t>Москва</t>
        </is>
      </c>
      <c r="D97" s="130" t="inlineStr">
        <is>
          <t>Москва</t>
        </is>
      </c>
      <c r="E97" s="130" t="inlineStr">
        <is>
          <t>А130</t>
        </is>
      </c>
      <c r="F97" s="130" t="inlineStr">
        <is>
          <t>АЗС</t>
        </is>
      </c>
      <c r="G97" s="130" t="inlineStr">
        <is>
          <t>Роснефть</t>
        </is>
      </c>
      <c r="H97" s="131" t="inlineStr">
        <is>
          <t>MC137</t>
        </is>
      </c>
      <c r="I97" s="637" t="inlineStr">
        <is>
          <t>Тропарево</t>
        </is>
      </c>
      <c r="J97" s="637" t="inlineStr">
        <is>
          <t>MSK_BP_Troparevo</t>
        </is>
      </c>
      <c r="K97" s="640" t="n">
        <v>2</v>
      </c>
      <c r="L97" s="640" t="n">
        <v>1</v>
      </c>
      <c r="M97" s="623" t="inlineStr">
        <is>
          <t>Samsung 32" вертикальный</t>
        </is>
      </c>
      <c r="N97" s="640" t="n"/>
      <c r="O97" s="640">
        <f>IF(AND(N97=1,L97=1),K97,"")</f>
        <v/>
      </c>
      <c r="P97" s="642" t="inlineStr">
        <is>
          <t>Москва, МКАД 41 км стр.№18 вл.№1/2</t>
        </is>
      </c>
      <c r="Q97" s="640" t="inlineStr">
        <is>
          <t>55.619048</t>
        </is>
      </c>
      <c r="R97" s="422" t="inlineStr">
        <is>
          <t>37.484026</t>
        </is>
      </c>
      <c r="S97" s="438" t="n"/>
      <c r="T97" s="436" t="n"/>
      <c r="U97" s="436" t="n"/>
      <c r="V97" s="438">
        <f>IF(AND(N97=1,U97=1),C97,"")</f>
        <v/>
      </c>
      <c r="W97" s="387" t="n"/>
      <c r="X97" s="387" t="n"/>
      <c r="Y97" s="387" t="n"/>
    </row>
    <row r="98" hidden="1" ht="16.05" customFormat="1" customHeight="1" s="126">
      <c r="A98" s="125" t="n">
        <v>137</v>
      </c>
      <c r="B98" s="125" t="inlineStr">
        <is>
          <t>WF</t>
        </is>
      </c>
      <c r="C98" s="130" t="inlineStr">
        <is>
          <t>Москва</t>
        </is>
      </c>
      <c r="D98" s="130" t="inlineStr">
        <is>
          <t>Московская область</t>
        </is>
      </c>
      <c r="E98" s="130" t="inlineStr">
        <is>
          <t>М3</t>
        </is>
      </c>
      <c r="F98" s="130" t="inlineStr">
        <is>
          <t>АЗС</t>
        </is>
      </c>
      <c r="G98" s="130" t="inlineStr">
        <is>
          <t>Роснефть</t>
        </is>
      </c>
      <c r="H98" s="131" t="inlineStr">
        <is>
          <t>MC198</t>
        </is>
      </c>
      <c r="I98" s="637" t="inlineStr">
        <is>
          <t>Украина-41</t>
        </is>
      </c>
      <c r="J98" s="637" t="inlineStr">
        <is>
          <t>MSK_BP_Ukraina_41</t>
        </is>
      </c>
      <c r="K98" s="640" t="n">
        <v>2</v>
      </c>
      <c r="L98" s="640" t="n">
        <v>1</v>
      </c>
      <c r="M98" s="623" t="inlineStr">
        <is>
          <t>Samsung 32" вертикальный</t>
        </is>
      </c>
      <c r="N98" s="640" t="n"/>
      <c r="O98" s="640">
        <f>IF(AND(N98=1,L98=1),K98,"")</f>
        <v/>
      </c>
      <c r="P98" s="642" t="inlineStr">
        <is>
          <t>Московская область,Наро-Фоминский район. Киевское ш., 41км(справа)</t>
        </is>
      </c>
      <c r="Q98" s="640" t="inlineStr">
        <is>
          <t>55.552716</t>
        </is>
      </c>
      <c r="R98" s="494" t="inlineStr">
        <is>
          <t>37.133819</t>
        </is>
      </c>
      <c r="S98" s="438" t="n"/>
      <c r="T98" s="436" t="n"/>
      <c r="U98" s="436" t="n"/>
      <c r="V98" s="438">
        <f>IF(AND(N98=1,U98=1),C98,"")</f>
        <v/>
      </c>
      <c r="W98" s="387" t="n"/>
      <c r="X98" s="387" t="n"/>
      <c r="Y98" s="387" t="n"/>
    </row>
    <row r="99" hidden="1" ht="16.05" customFormat="1" customHeight="1" s="126">
      <c r="A99" s="125" t="n">
        <v>139</v>
      </c>
      <c r="B99" s="125" t="inlineStr">
        <is>
          <t>WF</t>
        </is>
      </c>
      <c r="C99" s="130" t="inlineStr">
        <is>
          <t>Москва</t>
        </is>
      </c>
      <c r="D99" s="130" t="inlineStr">
        <is>
          <t>Московская область</t>
        </is>
      </c>
      <c r="E99" s="130" t="inlineStr">
        <is>
          <t>М5</t>
        </is>
      </c>
      <c r="F99" s="130" t="inlineStr">
        <is>
          <t>АЗС</t>
        </is>
      </c>
      <c r="G99" s="130" t="inlineStr">
        <is>
          <t>Роснефть</t>
        </is>
      </c>
      <c r="H99" s="131" t="inlineStr">
        <is>
          <t>MC190</t>
        </is>
      </c>
      <c r="I99" s="637" t="inlineStr">
        <is>
          <t>Урал-100</t>
        </is>
      </c>
      <c r="J99" s="637" t="inlineStr">
        <is>
          <t>MSK_BP_Ural_100</t>
        </is>
      </c>
      <c r="K99" s="640" t="n">
        <v>2</v>
      </c>
      <c r="L99" s="640" t="n">
        <v>1</v>
      </c>
      <c r="M99" s="623" t="inlineStr">
        <is>
          <t>Samsung 32" вертикальный</t>
        </is>
      </c>
      <c r="N99" s="640" t="n"/>
      <c r="O99" s="640">
        <f>IF(AND(N99=1,L99=1),K99,"")</f>
        <v/>
      </c>
      <c r="P99" s="642" t="inlineStr">
        <is>
          <t>трасса М5, 100 км, "Урал-100"</t>
        </is>
      </c>
      <c r="Q99" s="640" t="inlineStr">
        <is>
          <t>55.16362</t>
        </is>
      </c>
      <c r="R99" s="494" t="inlineStr">
        <is>
          <t>38.678454</t>
        </is>
      </c>
      <c r="S99" s="438" t="n"/>
      <c r="T99" s="436" t="n"/>
      <c r="U99" s="436" t="n"/>
      <c r="V99" s="438">
        <f>IF(AND(N99=1,U99=1),C99,"")</f>
        <v/>
      </c>
      <c r="W99" s="387" t="n"/>
      <c r="X99" s="387" t="n"/>
      <c r="Y99" s="387" t="n"/>
    </row>
    <row r="100" hidden="1" ht="16.05" customFormat="1" customHeight="1" s="126">
      <c r="A100" s="125" t="n">
        <v>140</v>
      </c>
      <c r="B100" s="125" t="inlineStr">
        <is>
          <t>WF</t>
        </is>
      </c>
      <c r="C100" s="130" t="inlineStr">
        <is>
          <t>Москва</t>
        </is>
      </c>
      <c r="D100" s="130" t="inlineStr">
        <is>
          <t>Москва</t>
        </is>
      </c>
      <c r="E100" s="130" t="inlineStr">
        <is>
          <t>М10</t>
        </is>
      </c>
      <c r="F100" s="130" t="inlineStr">
        <is>
          <t>АЗС</t>
        </is>
      </c>
      <c r="G100" s="130" t="inlineStr">
        <is>
          <t>Роснефть</t>
        </is>
      </c>
      <c r="H100" s="131" t="inlineStr">
        <is>
          <t>MC316</t>
        </is>
      </c>
      <c r="I100" s="637" t="inlineStr">
        <is>
          <t>Химки</t>
        </is>
      </c>
      <c r="J100" s="637" t="inlineStr">
        <is>
          <t>MSK_BP_Khimki</t>
        </is>
      </c>
      <c r="K100" s="640" t="n">
        <v>4</v>
      </c>
      <c r="L100" s="640" t="n">
        <v>1</v>
      </c>
      <c r="M100" s="623" t="inlineStr">
        <is>
          <t>Samsung 32" вертикальный</t>
        </is>
      </c>
      <c r="N100" s="640" t="n"/>
      <c r="O100" s="640">
        <f>IF(AND(N100=1,L100=1),K100,"")</f>
        <v/>
      </c>
      <c r="P100" s="642" t="inlineStr">
        <is>
          <t>Москва, МКАД 74 км, вл. 5</t>
        </is>
      </c>
      <c r="Q100" s="640" t="inlineStr">
        <is>
          <t>55.877266</t>
        </is>
      </c>
      <c r="R100" s="494" t="inlineStr">
        <is>
          <t>37.428462</t>
        </is>
      </c>
      <c r="S100" s="438" t="n"/>
      <c r="T100" s="436" t="n"/>
      <c r="U100" s="436" t="n"/>
      <c r="V100" s="438">
        <f>IF(AND(N100=1,U100=1),C100,"")</f>
        <v/>
      </c>
      <c r="W100" s="387" t="n"/>
      <c r="X100" s="387" t="n"/>
      <c r="Y100" s="387" t="n"/>
    </row>
    <row r="101" hidden="1" ht="16.05" customFormat="1" customHeight="1" s="126">
      <c r="A101" s="125" t="n">
        <v>142</v>
      </c>
      <c r="B101" s="125" t="inlineStr">
        <is>
          <t>WF</t>
        </is>
      </c>
      <c r="C101" s="130" t="inlineStr">
        <is>
          <t>Москва</t>
        </is>
      </c>
      <c r="D101" s="130" t="inlineStr">
        <is>
          <t>Московская область</t>
        </is>
      </c>
      <c r="E101" s="130" t="inlineStr">
        <is>
          <t>М10</t>
        </is>
      </c>
      <c r="F101" s="130" t="inlineStr">
        <is>
          <t>АЗС</t>
        </is>
      </c>
      <c r="G101" s="130" t="inlineStr">
        <is>
          <t>Роснефть</t>
        </is>
      </c>
      <c r="H101" s="131" t="inlineStr">
        <is>
          <t>MC304</t>
        </is>
      </c>
      <c r="I101" s="637" t="inlineStr">
        <is>
          <t>Черная Грязь</t>
        </is>
      </c>
      <c r="J101" s="637" t="inlineStr">
        <is>
          <t>MSK_BP_Chernaya_Gryaz</t>
        </is>
      </c>
      <c r="K101" s="640" t="n">
        <v>2</v>
      </c>
      <c r="L101" s="640" t="n">
        <v>1</v>
      </c>
      <c r="M101" s="623" t="inlineStr">
        <is>
          <t>Samsung 32" вертикальный</t>
        </is>
      </c>
      <c r="N101" s="640" t="n"/>
      <c r="O101" s="640">
        <f>IF(AND(N101=1,L101=1),K101,"")</f>
        <v/>
      </c>
      <c r="P101" s="642" t="inlineStr">
        <is>
          <t>Московская область, Солнечногорский район, д. Черная Грязь, 33-й км а/д "Россия" (справа)</t>
        </is>
      </c>
      <c r="Q101" s="640" t="inlineStr">
        <is>
          <t>55.978305</t>
        </is>
      </c>
      <c r="R101" s="494" t="inlineStr">
        <is>
          <t>37.300545</t>
        </is>
      </c>
      <c r="S101" s="438" t="n"/>
      <c r="T101" s="436" t="n"/>
      <c r="U101" s="436" t="n"/>
      <c r="V101" s="438">
        <f>IF(AND(N101=1,U101=1),C101,"")</f>
        <v/>
      </c>
      <c r="W101" s="387" t="n"/>
      <c r="X101" s="387" t="n"/>
      <c r="Y101" s="387" t="n"/>
    </row>
    <row r="102" hidden="1" ht="16.05" customFormat="1" customHeight="1" s="126">
      <c r="A102" s="125" t="n">
        <v>143</v>
      </c>
      <c r="B102" s="125" t="inlineStr">
        <is>
          <t>WF</t>
        </is>
      </c>
      <c r="C102" s="130" t="inlineStr">
        <is>
          <t>Москва</t>
        </is>
      </c>
      <c r="D102" s="130" t="inlineStr">
        <is>
          <t>Чехов</t>
        </is>
      </c>
      <c r="E102" s="130" t="inlineStr">
        <is>
          <t>М2</t>
        </is>
      </c>
      <c r="F102" s="130" t="inlineStr">
        <is>
          <t>АЗС</t>
        </is>
      </c>
      <c r="G102" s="130" t="inlineStr">
        <is>
          <t>Роснефть</t>
        </is>
      </c>
      <c r="H102" s="131" t="inlineStr">
        <is>
          <t>MC141</t>
        </is>
      </c>
      <c r="I102" s="637" t="inlineStr">
        <is>
          <t>Чехов</t>
        </is>
      </c>
      <c r="J102" s="637" t="inlineStr">
        <is>
          <t>MSK_BP_Chekhov</t>
        </is>
      </c>
      <c r="K102" s="640" t="n">
        <v>2</v>
      </c>
      <c r="L102" s="640" t="n">
        <v>1</v>
      </c>
      <c r="M102" s="623" t="inlineStr">
        <is>
          <t>Samsung 32" вертикальный</t>
        </is>
      </c>
      <c r="N102" s="640" t="n"/>
      <c r="O102" s="640">
        <f>IF(AND(N102=1,L102=1),K102,"")</f>
        <v/>
      </c>
      <c r="P102" s="642" t="inlineStr">
        <is>
          <t xml:space="preserve">Московская область, г.Чехов,  Покровская, стр. 1 </t>
        </is>
      </c>
      <c r="Q102" s="640" t="inlineStr">
        <is>
          <t>55.165828</t>
        </is>
      </c>
      <c r="R102" s="494" t="inlineStr">
        <is>
          <t>37.46675</t>
        </is>
      </c>
      <c r="S102" s="438" t="n"/>
      <c r="T102" s="436" t="n"/>
      <c r="U102" s="436" t="n"/>
      <c r="V102" s="438">
        <f>IF(AND(N102=1,U102=1),C102,"")</f>
        <v/>
      </c>
      <c r="W102" s="387" t="n"/>
      <c r="X102" s="387" t="n"/>
      <c r="Y102" s="387" t="n"/>
    </row>
    <row r="103" hidden="1" ht="16.05" customFormat="1" customHeight="1" s="126">
      <c r="A103" s="125" t="n">
        <v>144</v>
      </c>
      <c r="B103" s="125" t="inlineStr">
        <is>
          <t>WF</t>
        </is>
      </c>
      <c r="C103" s="130" t="inlineStr">
        <is>
          <t>Москва</t>
        </is>
      </c>
      <c r="D103" s="130" t="inlineStr">
        <is>
          <t>Москва</t>
        </is>
      </c>
      <c r="E103" s="130" t="inlineStr">
        <is>
          <t>ВАО</t>
        </is>
      </c>
      <c r="F103" s="130" t="inlineStr">
        <is>
          <t>АЗС</t>
        </is>
      </c>
      <c r="G103" s="130" t="inlineStr">
        <is>
          <t>Роснефть</t>
        </is>
      </c>
      <c r="H103" s="131" t="inlineStr">
        <is>
          <t>MC002</t>
        </is>
      </c>
      <c r="I103" s="637" t="inlineStr">
        <is>
          <t>Щелковская</t>
        </is>
      </c>
      <c r="J103" s="637" t="inlineStr">
        <is>
          <t>MSK_BP_Shelkovskaya</t>
        </is>
      </c>
      <c r="K103" s="640" t="n">
        <v>2</v>
      </c>
      <c r="L103" s="640" t="n">
        <v>1</v>
      </c>
      <c r="M103" s="623" t="inlineStr">
        <is>
          <t>Samsung 32" вертикальный</t>
        </is>
      </c>
      <c r="N103" s="640" t="n"/>
      <c r="O103" s="640">
        <f>IF(AND(N103=1,L103=1),K103,"")</f>
        <v/>
      </c>
      <c r="P103" s="642" t="inlineStr">
        <is>
          <t>Москва, Щелковское ш., 2/1</t>
        </is>
      </c>
      <c r="Q103" s="640" t="inlineStr">
        <is>
          <t>55.802655</t>
        </is>
      </c>
      <c r="R103" s="494" t="inlineStr">
        <is>
          <t>37.755015</t>
        </is>
      </c>
      <c r="S103" s="438" t="n"/>
      <c r="T103" s="436" t="n"/>
      <c r="U103" s="436" t="n"/>
      <c r="V103" s="438">
        <f>IF(AND(N103=1,U103=1),C103,"")</f>
        <v/>
      </c>
      <c r="W103" s="387" t="n"/>
      <c r="X103" s="387" t="n"/>
      <c r="Y103" s="387" t="n"/>
    </row>
    <row r="104" hidden="1" ht="16.05" customFormat="1" customHeight="1" s="126">
      <c r="A104" s="125" t="n">
        <v>146</v>
      </c>
      <c r="B104" s="125" t="inlineStr">
        <is>
          <t>WF</t>
        </is>
      </c>
      <c r="C104" s="130" t="inlineStr">
        <is>
          <t>Москва</t>
        </is>
      </c>
      <c r="D104" s="130" t="inlineStr">
        <is>
          <t>Москва</t>
        </is>
      </c>
      <c r="E104" s="130" t="inlineStr">
        <is>
          <t>М2</t>
        </is>
      </c>
      <c r="F104" s="130" t="inlineStr">
        <is>
          <t>АЗС</t>
        </is>
      </c>
      <c r="G104" s="130" t="inlineStr">
        <is>
          <t>Роснефть</t>
        </is>
      </c>
      <c r="H104" s="131" t="inlineStr">
        <is>
          <t>MC321</t>
        </is>
      </c>
      <c r="I104" s="637" t="inlineStr">
        <is>
          <t>Щербинка</t>
        </is>
      </c>
      <c r="J104" s="637" t="inlineStr">
        <is>
          <t>MSK_BP_Sherbinka</t>
        </is>
      </c>
      <c r="K104" s="640" t="n">
        <v>2</v>
      </c>
      <c r="L104" s="640" t="n">
        <v>1</v>
      </c>
      <c r="M104" s="623" t="inlineStr">
        <is>
          <t>Samsung 32" вертикальный</t>
        </is>
      </c>
      <c r="N104" s="640" t="n"/>
      <c r="O104" s="640">
        <f>IF(AND(N104=1,L104=1),K104,"")</f>
        <v/>
      </c>
      <c r="P104" s="642" t="inlineStr">
        <is>
          <t>Москва, Варшавское шоссе, вл. 266, стр.1</t>
        </is>
      </c>
      <c r="Q104" s="640" t="inlineStr">
        <is>
          <t>55.5255</t>
        </is>
      </c>
      <c r="R104" s="494" t="inlineStr">
        <is>
          <t>37.577764</t>
        </is>
      </c>
      <c r="S104" s="438" t="n"/>
      <c r="T104" s="436" t="n"/>
      <c r="U104" s="436" t="n"/>
      <c r="V104" s="438">
        <f>IF(AND(N104=1,U104=1),C104,"")</f>
        <v/>
      </c>
      <c r="W104" s="387" t="n"/>
      <c r="X104" s="387" t="n"/>
      <c r="Y104" s="387" t="n"/>
    </row>
    <row r="105" hidden="1" ht="16.05" customFormat="1" customHeight="1" s="126">
      <c r="A105" s="125" t="n">
        <v>148</v>
      </c>
      <c r="B105" s="125" t="n"/>
      <c r="C105" s="130" t="inlineStr">
        <is>
          <t>Москва</t>
        </is>
      </c>
      <c r="D105" s="130" t="inlineStr">
        <is>
          <t>Электросталь</t>
        </is>
      </c>
      <c r="E105" s="130" t="inlineStr">
        <is>
          <t>М7</t>
        </is>
      </c>
      <c r="F105" s="130" t="inlineStr">
        <is>
          <t>АЗС</t>
        </is>
      </c>
      <c r="G105" s="130" t="inlineStr">
        <is>
          <t>BP</t>
        </is>
      </c>
      <c r="H105" s="131" t="inlineStr">
        <is>
          <t>MC193</t>
        </is>
      </c>
      <c r="I105" s="637" t="inlineStr">
        <is>
          <t>Электросталь</t>
        </is>
      </c>
      <c r="J105" s="402" t="inlineStr">
        <is>
          <t>MSK_BP_Elektrostal</t>
        </is>
      </c>
      <c r="K105" s="640" t="n">
        <v>2</v>
      </c>
      <c r="L105" s="640" t="n">
        <v>0</v>
      </c>
      <c r="M105" s="640" t="inlineStr">
        <is>
          <t>Sam 32</t>
        </is>
      </c>
      <c r="N105" s="640" t="n"/>
      <c r="O105" s="640">
        <f>IF(AND(N105=1,L105=1),K105,"")</f>
        <v/>
      </c>
      <c r="P105" s="642" t="inlineStr">
        <is>
          <t>Московская область, г. Электросталь, Фрязевское ш. с Севера от проезда к водоему "Западный"</t>
        </is>
      </c>
      <c r="Q105" s="640" t="n">
        <v>55.791737</v>
      </c>
      <c r="R105" s="422" t="n">
        <v>38.429423</v>
      </c>
      <c r="S105" s="438" t="n"/>
      <c r="T105" s="436" t="n"/>
      <c r="U105" s="436" t="n"/>
      <c r="V105" s="438">
        <f>IF(AND(N105=1,U105=1),C105,"")</f>
        <v/>
      </c>
      <c r="W105" s="387" t="n"/>
      <c r="X105" s="1" t="n"/>
      <c r="Y105" s="1" t="n"/>
    </row>
    <row r="106" hidden="1" ht="16.05" customFormat="1" customHeight="1" s="126">
      <c r="A106" s="125" t="n">
        <v>149</v>
      </c>
      <c r="B106" s="125" t="inlineStr">
        <is>
          <t>WF</t>
        </is>
      </c>
      <c r="C106" s="130" t="inlineStr">
        <is>
          <t>Москва</t>
        </is>
      </c>
      <c r="D106" s="130" t="inlineStr">
        <is>
          <t>Москва</t>
        </is>
      </c>
      <c r="E106" s="130" t="inlineStr">
        <is>
          <t>ЗАО</t>
        </is>
      </c>
      <c r="F106" s="130" t="inlineStr">
        <is>
          <t>АЗС</t>
        </is>
      </c>
      <c r="G106" s="130" t="inlineStr">
        <is>
          <t>Роснефть</t>
        </is>
      </c>
      <c r="H106" s="131" t="inlineStr">
        <is>
          <t>MC029</t>
        </is>
      </c>
      <c r="I106" s="637" t="inlineStr">
        <is>
          <t>Юго-Западная</t>
        </is>
      </c>
      <c r="J106" s="637" t="inlineStr">
        <is>
          <t>MSK_BP_Yugo_Zapadnaya</t>
        </is>
      </c>
      <c r="K106" s="640" t="n">
        <v>2</v>
      </c>
      <c r="L106" s="640" t="n">
        <v>1</v>
      </c>
      <c r="M106" s="623" t="inlineStr">
        <is>
          <t>Samsung 32" вертикальный</t>
        </is>
      </c>
      <c r="N106" s="640" t="n"/>
      <c r="O106" s="640">
        <f>IF(AND(N106=1,L106=1),K106,"")</f>
        <v/>
      </c>
      <c r="P106" s="642" t="inlineStr">
        <is>
          <t>Москва, пр-т Вернадского, д. 86д</t>
        </is>
      </c>
      <c r="Q106" s="640" t="inlineStr">
        <is>
          <t>55.660817</t>
        </is>
      </c>
      <c r="R106" s="494" t="inlineStr">
        <is>
          <t>37.480375</t>
        </is>
      </c>
      <c r="S106" s="438" t="n"/>
      <c r="T106" s="436" t="n"/>
      <c r="U106" s="436" t="n"/>
      <c r="V106" s="438">
        <f>IF(AND(N106=1,U106=1),C106,"")</f>
        <v/>
      </c>
      <c r="W106" s="387" t="n"/>
      <c r="X106" s="387" t="n"/>
      <c r="Y106" s="387" t="n"/>
    </row>
    <row r="107" hidden="1" ht="16.05" customFormat="1" customHeight="1" s="126">
      <c r="A107" s="125" t="n">
        <v>151</v>
      </c>
      <c r="B107" s="125" t="inlineStr">
        <is>
          <t>WF</t>
        </is>
      </c>
      <c r="C107" s="130" t="inlineStr">
        <is>
          <t>Москва</t>
        </is>
      </c>
      <c r="D107" s="130" t="inlineStr">
        <is>
          <t>Москва</t>
        </is>
      </c>
      <c r="E107" s="130" t="inlineStr">
        <is>
          <t>ЮЗАО</t>
        </is>
      </c>
      <c r="F107" s="130" t="inlineStr">
        <is>
          <t>АЗС</t>
        </is>
      </c>
      <c r="G107" s="130" t="inlineStr">
        <is>
          <t>Роснефть</t>
        </is>
      </c>
      <c r="H107" s="131" t="inlineStr">
        <is>
          <t>MC069</t>
        </is>
      </c>
      <c r="I107" s="637" t="inlineStr">
        <is>
          <t>Ясенево</t>
        </is>
      </c>
      <c r="J107" s="637" t="inlineStr">
        <is>
          <t>MSK_BP_Yasenevo</t>
        </is>
      </c>
      <c r="K107" s="640" t="n">
        <v>2</v>
      </c>
      <c r="L107" s="640" t="n">
        <v>1</v>
      </c>
      <c r="M107" s="623" t="inlineStr">
        <is>
          <t>Samsung 32" вертикальный</t>
        </is>
      </c>
      <c r="N107" s="640" t="n"/>
      <c r="O107" s="640">
        <f>IF(AND(N107=1,L107=1),K107,"")</f>
        <v/>
      </c>
      <c r="P107" s="642" t="inlineStr">
        <is>
          <t>Москва, Новоясеневский пр-т, вл. 12а, стр. 1,2,3</t>
        </is>
      </c>
      <c r="Q107" s="640" t="inlineStr">
        <is>
          <t>55.610491</t>
        </is>
      </c>
      <c r="R107" s="494" t="inlineStr">
        <is>
          <t>37.518701</t>
        </is>
      </c>
      <c r="S107" s="438" t="n"/>
      <c r="T107" s="436" t="n"/>
      <c r="U107" s="436" t="n"/>
      <c r="V107" s="438">
        <f>IF(AND(N107=1,U107=1),C107,"")</f>
        <v/>
      </c>
      <c r="W107" s="387" t="n"/>
      <c r="X107" s="387" t="n"/>
      <c r="Y107" s="387" t="n"/>
    </row>
    <row r="108" hidden="1" ht="16.05" customFormat="1" customHeight="1" s="126">
      <c r="A108" s="125" t="n">
        <v>153</v>
      </c>
      <c r="B108" s="125" t="inlineStr">
        <is>
          <t>WF</t>
        </is>
      </c>
      <c r="C108" s="130" t="inlineStr">
        <is>
          <t>Москва</t>
        </is>
      </c>
      <c r="D108" s="130" t="inlineStr">
        <is>
          <t>Дмитров</t>
        </is>
      </c>
      <c r="E108" s="130" t="inlineStr">
        <is>
          <t>А104</t>
        </is>
      </c>
      <c r="F108" s="130" t="inlineStr">
        <is>
          <t>АЗС</t>
        </is>
      </c>
      <c r="G108" s="130" t="inlineStr">
        <is>
          <t>Роснефть</t>
        </is>
      </c>
      <c r="H108" s="131" t="inlineStr">
        <is>
          <t>MC162</t>
        </is>
      </c>
      <c r="I108" s="637" t="inlineStr">
        <is>
          <t>Яхрома</t>
        </is>
      </c>
      <c r="J108" s="637" t="inlineStr">
        <is>
          <t>MSK_BP_Yakhroma</t>
        </is>
      </c>
      <c r="K108" s="640" t="n">
        <v>2</v>
      </c>
      <c r="L108" s="640" t="n">
        <v>1</v>
      </c>
      <c r="M108" s="623" t="inlineStr">
        <is>
          <t>Samsung 32" вертикальный</t>
        </is>
      </c>
      <c r="N108" s="640" t="n"/>
      <c r="O108" s="640">
        <f>IF(AND(N108=1,L108=1),K108,"")</f>
        <v/>
      </c>
      <c r="P108" s="642" t="inlineStr">
        <is>
          <t>Московская область, г. Дмитров, 70-й км Дмитровского ш.</t>
        </is>
      </c>
      <c r="Q108" s="640" t="inlineStr">
        <is>
          <t>56.321147</t>
        </is>
      </c>
      <c r="R108" s="494" t="inlineStr">
        <is>
          <t>37.496923</t>
        </is>
      </c>
      <c r="S108" s="438" t="n"/>
      <c r="T108" s="436" t="n"/>
      <c r="U108" s="436" t="n"/>
      <c r="V108" s="438">
        <f>IF(AND(N108=1,U108=1),C108,"")</f>
        <v/>
      </c>
      <c r="W108" s="387" t="n"/>
      <c r="X108" s="387" t="n"/>
      <c r="Y108" s="387" t="n"/>
    </row>
    <row r="109" hidden="1" ht="16.05" customFormat="1" customHeight="1" s="126">
      <c r="A109" s="125" t="n">
        <v>154</v>
      </c>
      <c r="B109" s="125" t="n"/>
      <c r="C109" s="130" t="inlineStr">
        <is>
          <t>Москва</t>
        </is>
      </c>
      <c r="D109" s="130" t="inlineStr">
        <is>
          <t>Москва</t>
        </is>
      </c>
      <c r="E109" s="130" t="inlineStr">
        <is>
          <t>СВАО</t>
        </is>
      </c>
      <c r="F109" s="130" t="inlineStr">
        <is>
          <t>АЗС</t>
        </is>
      </c>
      <c r="G109" s="130" t="inlineStr">
        <is>
          <t>Роснефть</t>
        </is>
      </c>
      <c r="H109" s="131" t="inlineStr">
        <is>
          <t>MR001</t>
        </is>
      </c>
      <c r="I109" s="637" t="inlineStr">
        <is>
          <t>RN_001</t>
        </is>
      </c>
      <c r="J109" s="637" t="inlineStr">
        <is>
          <t>MSK_RN_0001</t>
        </is>
      </c>
      <c r="K109" s="640" t="n">
        <v>1</v>
      </c>
      <c r="L109" s="640" t="n">
        <v>1</v>
      </c>
      <c r="M109" s="623" t="inlineStr">
        <is>
          <t>Samsung 32" вертикальный</t>
        </is>
      </c>
      <c r="N109" s="640" t="n"/>
      <c r="O109" s="640">
        <f>IF(AND(N109=1,L109=1),K109,"")</f>
        <v/>
      </c>
      <c r="P109" s="642" t="inlineStr">
        <is>
          <t>Москва,  Декабристов, вл. 49Б</t>
        </is>
      </c>
      <c r="Q109" s="640" t="inlineStr">
        <is>
          <t>55.858544</t>
        </is>
      </c>
      <c r="R109" s="494" t="inlineStr">
        <is>
          <t>37.623688</t>
        </is>
      </c>
      <c r="S109" s="436" t="n"/>
      <c r="T109" s="436" t="n"/>
      <c r="U109" s="436" t="n"/>
      <c r="V109" s="438">
        <f>IF(AND(N109=1,U109=1),C109,"")</f>
        <v/>
      </c>
      <c r="W109" s="387" t="n"/>
      <c r="X109" s="387" t="n"/>
      <c r="Y109" s="387" t="n"/>
    </row>
    <row r="110" hidden="1" ht="16.05" customFormat="1" customHeight="1" s="126">
      <c r="A110" s="125" t="n">
        <v>155</v>
      </c>
      <c r="B110" s="125" t="n"/>
      <c r="C110" s="130" t="inlineStr">
        <is>
          <t>Москва</t>
        </is>
      </c>
      <c r="D110" s="130" t="inlineStr">
        <is>
          <t>Москва</t>
        </is>
      </c>
      <c r="E110" s="130" t="inlineStr">
        <is>
          <t>СВАО</t>
        </is>
      </c>
      <c r="F110" s="130" t="inlineStr">
        <is>
          <t>АЗС</t>
        </is>
      </c>
      <c r="G110" s="130" t="inlineStr">
        <is>
          <t>Роснефть</t>
        </is>
      </c>
      <c r="H110" s="131" t="inlineStr">
        <is>
          <t>MR002</t>
        </is>
      </c>
      <c r="I110" s="637" t="inlineStr">
        <is>
          <t>RN_002</t>
        </is>
      </c>
      <c r="J110" s="637" t="inlineStr">
        <is>
          <t>MSK_RN_0002</t>
        </is>
      </c>
      <c r="K110" s="640" t="n">
        <v>1</v>
      </c>
      <c r="L110" s="640" t="n">
        <v>0</v>
      </c>
      <c r="M110" s="640" t="inlineStr">
        <is>
          <t>Samsung 32" вертикальный</t>
        </is>
      </c>
      <c r="N110" s="640" t="n"/>
      <c r="O110" s="640">
        <f>IF(AND(N110=1,L110=1),K110,"")</f>
        <v/>
      </c>
      <c r="P110" s="642" t="inlineStr">
        <is>
          <t>Москва, ш. Алтуфьевское, вл.19</t>
        </is>
      </c>
      <c r="Q110" s="640" t="inlineStr">
        <is>
          <t>55.855673</t>
        </is>
      </c>
      <c r="R110" s="422" t="inlineStr">
        <is>
          <t>37.580262</t>
        </is>
      </c>
      <c r="S110" s="436" t="n"/>
      <c r="T110" s="436" t="n"/>
      <c r="U110" s="436" t="n"/>
      <c r="V110" s="438">
        <f>IF(AND(N110=1,U110=1),C110,"")</f>
        <v/>
      </c>
      <c r="W110" s="387" t="n"/>
      <c r="X110" s="1" t="n"/>
      <c r="Y110" s="1" t="n"/>
    </row>
    <row r="111" hidden="1" ht="16.05" customFormat="1" customHeight="1" s="126">
      <c r="A111" s="125" t="n">
        <v>156</v>
      </c>
      <c r="B111" s="125" t="n"/>
      <c r="C111" s="130" t="inlineStr">
        <is>
          <t>Москва</t>
        </is>
      </c>
      <c r="D111" s="130" t="inlineStr">
        <is>
          <t>Москва</t>
        </is>
      </c>
      <c r="E111" s="130" t="inlineStr">
        <is>
          <t>СВАО</t>
        </is>
      </c>
      <c r="F111" s="130" t="inlineStr">
        <is>
          <t>АЗС</t>
        </is>
      </c>
      <c r="G111" s="130" t="inlineStr">
        <is>
          <t>Роснефть</t>
        </is>
      </c>
      <c r="H111" s="131" t="inlineStr">
        <is>
          <t>MR003</t>
        </is>
      </c>
      <c r="I111" s="637" t="inlineStr">
        <is>
          <t>RN_003</t>
        </is>
      </c>
      <c r="J111" s="637" t="inlineStr">
        <is>
          <t>MSK_RN_0003</t>
        </is>
      </c>
      <c r="K111" s="640" t="n">
        <v>1</v>
      </c>
      <c r="L111" s="640" t="n">
        <v>1</v>
      </c>
      <c r="M111" s="623" t="inlineStr">
        <is>
          <t>Samsung 32" вертикальный</t>
        </is>
      </c>
      <c r="N111" s="640" t="n"/>
      <c r="O111" s="640">
        <f>IF(AND(N111=1,L111=1),K111,"")</f>
        <v/>
      </c>
      <c r="P111" s="642" t="inlineStr">
        <is>
          <t>Москва,  Пришвина, вл. 6а</t>
        </is>
      </c>
      <c r="Q111" s="640" t="inlineStr">
        <is>
          <t>55.889374</t>
        </is>
      </c>
      <c r="R111" s="494" t="inlineStr">
        <is>
          <t>37.593284</t>
        </is>
      </c>
      <c r="S111" s="436" t="n"/>
      <c r="T111" s="436" t="n"/>
      <c r="U111" s="436" t="n"/>
      <c r="V111" s="438">
        <f>IF(AND(N111=1,U111=1),C111,"")</f>
        <v/>
      </c>
      <c r="W111" s="387" t="n"/>
      <c r="X111" s="387" t="n"/>
      <c r="Y111" s="387" t="n"/>
    </row>
    <row r="112" hidden="1" ht="16.05" customFormat="1" customHeight="1" s="126">
      <c r="A112" s="125" t="n">
        <v>157</v>
      </c>
      <c r="B112" s="125" t="n"/>
      <c r="C112" s="130" t="inlineStr">
        <is>
          <t>Москва</t>
        </is>
      </c>
      <c r="D112" s="130" t="inlineStr">
        <is>
          <t>Москва</t>
        </is>
      </c>
      <c r="E112" s="130" t="inlineStr">
        <is>
          <t>СВАО</t>
        </is>
      </c>
      <c r="F112" s="130" t="inlineStr">
        <is>
          <t>АЗС</t>
        </is>
      </c>
      <c r="G112" s="130" t="inlineStr">
        <is>
          <t>Роснефть</t>
        </is>
      </c>
      <c r="H112" s="131" t="inlineStr">
        <is>
          <t>MR005</t>
        </is>
      </c>
      <c r="I112" s="637" t="inlineStr">
        <is>
          <t>RN_005</t>
        </is>
      </c>
      <c r="J112" s="637" t="inlineStr">
        <is>
          <t>MSK_RN_0005</t>
        </is>
      </c>
      <c r="K112" s="640" t="n">
        <v>1</v>
      </c>
      <c r="L112" s="640" t="n">
        <v>1</v>
      </c>
      <c r="M112" s="623" t="inlineStr">
        <is>
          <t>Samsung 32" вертикальный</t>
        </is>
      </c>
      <c r="N112" s="640" t="n"/>
      <c r="O112" s="640">
        <f>IF(AND(N112=1,L112=1),K112,"")</f>
        <v/>
      </c>
      <c r="P112" s="642" t="inlineStr">
        <is>
          <t>Москва,  Березовая аллея, вл. 12, корп.6</t>
        </is>
      </c>
      <c r="Q112" s="640" t="inlineStr">
        <is>
          <t>55.849169</t>
        </is>
      </c>
      <c r="R112" s="494" t="inlineStr">
        <is>
          <t>37.618414</t>
        </is>
      </c>
      <c r="S112" s="436" t="n"/>
      <c r="T112" s="436" t="n"/>
      <c r="U112" s="436" t="n"/>
      <c r="V112" s="438">
        <f>IF(AND(N112=1,U112=1),C112,"")</f>
        <v/>
      </c>
      <c r="W112" s="387" t="n"/>
      <c r="X112" s="387" t="n"/>
      <c r="Y112" s="387" t="n"/>
    </row>
    <row r="113" hidden="1" ht="16.05" customFormat="1" customHeight="1" s="126">
      <c r="A113" s="125" t="n">
        <v>158</v>
      </c>
      <c r="B113" s="125" t="n"/>
      <c r="C113" s="130" t="inlineStr">
        <is>
          <t>Москва</t>
        </is>
      </c>
      <c r="D113" s="130" t="inlineStr">
        <is>
          <t>Московская область</t>
        </is>
      </c>
      <c r="E113" s="130" t="inlineStr">
        <is>
          <t>М2</t>
        </is>
      </c>
      <c r="F113" s="130" t="inlineStr">
        <is>
          <t>АЗС</t>
        </is>
      </c>
      <c r="G113" s="130" t="inlineStr">
        <is>
          <t>Роснефть</t>
        </is>
      </c>
      <c r="H113" s="131" t="inlineStr">
        <is>
          <t>MR007</t>
        </is>
      </c>
      <c r="I113" s="637" t="inlineStr">
        <is>
          <t>RN_007</t>
        </is>
      </c>
      <c r="J113" s="637" t="inlineStr">
        <is>
          <t>MSK_RN_0007</t>
        </is>
      </c>
      <c r="K113" s="640" t="n">
        <v>1</v>
      </c>
      <c r="L113" s="640" t="n">
        <v>1</v>
      </c>
      <c r="M113" s="623" t="inlineStr">
        <is>
          <t>Samsung 32" вертикальный</t>
        </is>
      </c>
      <c r="N113" s="640" t="n"/>
      <c r="O113" s="640">
        <f>IF(AND(N113=1,L113=1),K113,"")</f>
        <v/>
      </c>
      <c r="P113" s="642" t="inlineStr">
        <is>
          <t>Московская область, Ленинский район, в районе 25 км Симферопольского шоссе  (правая сторона)</t>
        </is>
      </c>
      <c r="Q113" s="640" t="inlineStr">
        <is>
          <t>55.535623</t>
        </is>
      </c>
      <c r="R113" s="494" t="inlineStr">
        <is>
          <t>37.60933</t>
        </is>
      </c>
      <c r="S113" s="436" t="n"/>
      <c r="T113" s="436" t="n"/>
      <c r="U113" s="436" t="n"/>
      <c r="V113" s="438">
        <f>IF(AND(N113=1,U113=1),C113,"")</f>
        <v/>
      </c>
      <c r="W113" s="387" t="n"/>
      <c r="X113" s="387" t="n"/>
      <c r="Y113" s="387" t="n"/>
    </row>
    <row r="114" hidden="1" ht="16.05" customFormat="1" customHeight="1" s="126">
      <c r="A114" s="125" t="n">
        <v>159</v>
      </c>
      <c r="B114" s="125" t="n"/>
      <c r="C114" s="130" t="inlineStr">
        <is>
          <t>Москва</t>
        </is>
      </c>
      <c r="D114" s="130" t="inlineStr">
        <is>
          <t>Московская область</t>
        </is>
      </c>
      <c r="E114" s="130" t="inlineStr">
        <is>
          <t>М2</t>
        </is>
      </c>
      <c r="F114" s="130" t="inlineStr">
        <is>
          <t>АЗС</t>
        </is>
      </c>
      <c r="G114" s="130" t="inlineStr">
        <is>
          <t>Роснефть</t>
        </is>
      </c>
      <c r="H114" s="131" t="inlineStr">
        <is>
          <t>MR008</t>
        </is>
      </c>
      <c r="I114" s="637" t="inlineStr">
        <is>
          <t>RN_008</t>
        </is>
      </c>
      <c r="J114" s="637" t="inlineStr">
        <is>
          <t>MSK_RN_0008</t>
        </is>
      </c>
      <c r="K114" s="640" t="n">
        <v>1</v>
      </c>
      <c r="L114" s="640" t="n">
        <v>1</v>
      </c>
      <c r="M114" s="623" t="inlineStr">
        <is>
          <t>Samsung 32" вертикальный</t>
        </is>
      </c>
      <c r="N114" s="640" t="n"/>
      <c r="O114" s="640">
        <f>IF(AND(N114=1,L114=1),K114,"")</f>
        <v/>
      </c>
      <c r="P114" s="642" t="inlineStr">
        <is>
          <t>Московская область, Ленинский район, в районе 25 км Симферопольского шоссе  (левая сторона)</t>
        </is>
      </c>
      <c r="Q114" s="640" t="inlineStr">
        <is>
          <t>55.539089</t>
        </is>
      </c>
      <c r="R114" s="494" t="inlineStr">
        <is>
          <t>37.610215</t>
        </is>
      </c>
      <c r="S114" s="436" t="n"/>
      <c r="T114" s="436" t="n"/>
      <c r="U114" s="436" t="n"/>
      <c r="V114" s="438">
        <f>IF(AND(N114=1,U114=1),C114,"")</f>
        <v/>
      </c>
      <c r="W114" s="387" t="n"/>
      <c r="X114" s="387" t="n"/>
      <c r="Y114" s="387" t="n"/>
    </row>
    <row r="115" hidden="1" ht="16.05" customFormat="1" customHeight="1" s="126">
      <c r="A115" s="125" t="n">
        <v>160</v>
      </c>
      <c r="B115" s="125" t="n"/>
      <c r="C115" s="130" t="inlineStr">
        <is>
          <t>Москва</t>
        </is>
      </c>
      <c r="D115" s="130" t="inlineStr">
        <is>
          <t>Москва</t>
        </is>
      </c>
      <c r="E115" s="130" t="inlineStr">
        <is>
          <t>ЗАО</t>
        </is>
      </c>
      <c r="F115" s="130" t="inlineStr">
        <is>
          <t>АЗС</t>
        </is>
      </c>
      <c r="G115" s="130" t="inlineStr">
        <is>
          <t>Роснефть</t>
        </is>
      </c>
      <c r="H115" s="131" t="inlineStr">
        <is>
          <t>MR009</t>
        </is>
      </c>
      <c r="I115" s="637" t="inlineStr">
        <is>
          <t>RN_009</t>
        </is>
      </c>
      <c r="J115" s="637" t="inlineStr">
        <is>
          <t>MSK_RN_0009</t>
        </is>
      </c>
      <c r="K115" s="640" t="n">
        <v>2</v>
      </c>
      <c r="L115" s="640" t="n">
        <v>1</v>
      </c>
      <c r="M115" s="623" t="inlineStr">
        <is>
          <t>Samsung 32" вертикальный</t>
        </is>
      </c>
      <c r="N115" s="640" t="n"/>
      <c r="O115" s="640">
        <f>IF(AND(N115=1,L115=1),K115,"")</f>
        <v/>
      </c>
      <c r="P115" s="642" t="inlineStr">
        <is>
          <t>Москва,  Матвеевская, вл. 7, стр. 1</t>
        </is>
      </c>
      <c r="Q115" s="640" t="inlineStr">
        <is>
          <t>55.704392</t>
        </is>
      </c>
      <c r="R115" s="422" t="inlineStr">
        <is>
          <t>37.45868</t>
        </is>
      </c>
      <c r="S115" s="436" t="n"/>
      <c r="T115" s="436" t="n"/>
      <c r="U115" s="436" t="n"/>
      <c r="V115" s="438">
        <f>IF(AND(N115=1,U115=1),C115,"")</f>
        <v/>
      </c>
      <c r="W115" s="387" t="n"/>
      <c r="X115" s="387" t="n"/>
      <c r="Y115" s="387" t="n"/>
    </row>
    <row r="116" hidden="1" ht="16.05" customFormat="1" customHeight="1" s="126">
      <c r="A116" s="125" t="n">
        <v>161</v>
      </c>
      <c r="B116" s="125" t="n"/>
      <c r="C116" s="130" t="inlineStr">
        <is>
          <t>Москва</t>
        </is>
      </c>
      <c r="D116" s="130" t="inlineStr">
        <is>
          <t>Москва</t>
        </is>
      </c>
      <c r="E116" s="130" t="inlineStr">
        <is>
          <t>СЗАО</t>
        </is>
      </c>
      <c r="F116" s="130" t="inlineStr">
        <is>
          <t>АЗС</t>
        </is>
      </c>
      <c r="G116" s="130" t="inlineStr">
        <is>
          <t>Роснефть</t>
        </is>
      </c>
      <c r="H116" s="131" t="inlineStr">
        <is>
          <t>MR010</t>
        </is>
      </c>
      <c r="I116" s="637" t="inlineStr">
        <is>
          <t>RN_010</t>
        </is>
      </c>
      <c r="J116" s="637" t="inlineStr">
        <is>
          <t>MSK_RN_0010</t>
        </is>
      </c>
      <c r="K116" s="640" t="n">
        <v>1</v>
      </c>
      <c r="L116" s="640" t="n">
        <v>1</v>
      </c>
      <c r="M116" s="623" t="inlineStr">
        <is>
          <t>Samsung 32" вертикальный</t>
        </is>
      </c>
      <c r="N116" s="640" t="n"/>
      <c r="O116" s="640">
        <f>IF(AND(N116=1,L116=1),K116,"")</f>
        <v/>
      </c>
      <c r="P116" s="642" t="inlineStr">
        <is>
          <t>Москва, пр-т Маршала Жукова, д.63, стр.2</t>
        </is>
      </c>
      <c r="Q116" s="640" t="inlineStr">
        <is>
          <t>55.778258</t>
        </is>
      </c>
      <c r="R116" s="494" t="inlineStr">
        <is>
          <t>37.453863</t>
        </is>
      </c>
      <c r="S116" s="436" t="n"/>
      <c r="T116" s="436" t="n"/>
      <c r="U116" s="436" t="n"/>
      <c r="V116" s="438">
        <f>IF(AND(N116=1,U116=1),C116,"")</f>
        <v/>
      </c>
      <c r="W116" s="387" t="n"/>
      <c r="X116" s="387" t="n"/>
      <c r="Y116" s="387" t="n"/>
    </row>
    <row r="117" hidden="1" ht="16.05" customFormat="1" customHeight="1" s="126">
      <c r="A117" s="125" t="n">
        <v>162</v>
      </c>
      <c r="B117" s="125" t="n"/>
      <c r="C117" s="130" t="inlineStr">
        <is>
          <t>Москва</t>
        </is>
      </c>
      <c r="D117" s="130" t="inlineStr">
        <is>
          <t>Москва</t>
        </is>
      </c>
      <c r="E117" s="130" t="inlineStr">
        <is>
          <t>САО</t>
        </is>
      </c>
      <c r="F117" s="130" t="inlineStr">
        <is>
          <t>АЗС</t>
        </is>
      </c>
      <c r="G117" s="130" t="inlineStr">
        <is>
          <t>Роснефть</t>
        </is>
      </c>
      <c r="H117" s="131" t="inlineStr">
        <is>
          <t>MR011</t>
        </is>
      </c>
      <c r="I117" s="637" t="inlineStr">
        <is>
          <t>RN_011</t>
        </is>
      </c>
      <c r="J117" s="637" t="inlineStr">
        <is>
          <t>MSK_RN_0011</t>
        </is>
      </c>
      <c r="K117" s="640" t="n">
        <v>1</v>
      </c>
      <c r="L117" s="640" t="n">
        <v>1</v>
      </c>
      <c r="M117" s="623" t="inlineStr">
        <is>
          <t>Samsung 32" вертикальный</t>
        </is>
      </c>
      <c r="N117" s="640" t="n"/>
      <c r="O117" s="640">
        <f>IF(AND(N117=1,L117=1),K117,"")</f>
        <v/>
      </c>
      <c r="P117" s="642" t="inlineStr">
        <is>
          <t>Москва,  Дубнинская, д. 50А, строение 1</t>
        </is>
      </c>
      <c r="Q117" s="640" t="inlineStr">
        <is>
          <t>55.895191</t>
        </is>
      </c>
      <c r="R117" s="494" t="inlineStr">
        <is>
          <t>37.557689</t>
        </is>
      </c>
      <c r="S117" s="436" t="n"/>
      <c r="T117" s="436" t="n"/>
      <c r="U117" s="436" t="n"/>
      <c r="V117" s="438">
        <f>IF(AND(N117=1,U117=1),C117,"")</f>
        <v/>
      </c>
      <c r="W117" s="387" t="n"/>
      <c r="X117" s="387" t="n"/>
      <c r="Y117" s="387" t="n"/>
    </row>
    <row r="118" hidden="1" ht="16.05" customFormat="1" customHeight="1" s="126">
      <c r="A118" s="125" t="n">
        <v>163</v>
      </c>
      <c r="B118" s="125" t="n"/>
      <c r="C118" s="130" t="inlineStr">
        <is>
          <t>Москва</t>
        </is>
      </c>
      <c r="D118" s="130" t="inlineStr">
        <is>
          <t>Москва</t>
        </is>
      </c>
      <c r="E118" s="130" t="inlineStr">
        <is>
          <t>ЮЗАО</t>
        </is>
      </c>
      <c r="F118" s="130" t="inlineStr">
        <is>
          <t>АЗС</t>
        </is>
      </c>
      <c r="G118" s="130" t="inlineStr">
        <is>
          <t>Роснефть</t>
        </is>
      </c>
      <c r="H118" s="131" t="inlineStr">
        <is>
          <t>MR012</t>
        </is>
      </c>
      <c r="I118" s="637" t="inlineStr">
        <is>
          <t>RN_012</t>
        </is>
      </c>
      <c r="J118" s="637" t="inlineStr">
        <is>
          <t>MSK_RN_0012</t>
        </is>
      </c>
      <c r="K118" s="640" t="n">
        <v>1</v>
      </c>
      <c r="L118" s="640" t="n">
        <v>1</v>
      </c>
      <c r="M118" s="623" t="inlineStr">
        <is>
          <t>Samsung 32" вертикальный</t>
        </is>
      </c>
      <c r="N118" s="640" t="n"/>
      <c r="O118" s="640">
        <f>IF(AND(N118=1,L118=1),K118,"")</f>
        <v/>
      </c>
      <c r="P118" s="642" t="inlineStr">
        <is>
          <t>Москва,  Айвазовского, вл.2А</t>
        </is>
      </c>
      <c r="Q118" s="640" t="inlineStr">
        <is>
          <t>55.619978</t>
        </is>
      </c>
      <c r="R118" s="494" t="inlineStr">
        <is>
          <t>37.542922</t>
        </is>
      </c>
      <c r="S118" s="436" t="n"/>
      <c r="T118" s="436" t="n"/>
      <c r="U118" s="436" t="n"/>
      <c r="V118" s="438">
        <f>IF(AND(N118=1,U118=1),C118,"")</f>
        <v/>
      </c>
      <c r="W118" s="387" t="n"/>
      <c r="X118" s="387" t="n"/>
      <c r="Y118" s="387" t="n"/>
    </row>
    <row r="119" hidden="1" ht="16.05" customFormat="1" customHeight="1" s="126">
      <c r="A119" s="125" t="n">
        <v>164</v>
      </c>
      <c r="B119" s="125" t="n"/>
      <c r="C119" s="130" t="inlineStr">
        <is>
          <t>Москва</t>
        </is>
      </c>
      <c r="D119" s="130" t="inlineStr">
        <is>
          <t>Московская область</t>
        </is>
      </c>
      <c r="E119" s="130" t="inlineStr">
        <is>
          <t>М2</t>
        </is>
      </c>
      <c r="F119" s="130" t="inlineStr">
        <is>
          <t>АЗС</t>
        </is>
      </c>
      <c r="G119" s="130" t="inlineStr">
        <is>
          <t>Роснефть</t>
        </is>
      </c>
      <c r="H119" s="131" t="inlineStr">
        <is>
          <t>MR013</t>
        </is>
      </c>
      <c r="I119" s="637" t="inlineStr">
        <is>
          <t>RN_013</t>
        </is>
      </c>
      <c r="J119" s="637" t="inlineStr">
        <is>
          <t>MSK_RN_0013</t>
        </is>
      </c>
      <c r="K119" s="640" t="n">
        <v>1</v>
      </c>
      <c r="L119" s="640" t="n">
        <v>1</v>
      </c>
      <c r="M119" s="623" t="inlineStr">
        <is>
          <t>Samsung 32" вертикальный</t>
        </is>
      </c>
      <c r="N119" s="640" t="n"/>
      <c r="O119" s="640">
        <f>IF(AND(N119=1,L119=1),K119,"")</f>
        <v/>
      </c>
      <c r="P119" s="642" t="inlineStr">
        <is>
          <t>Московская область, Серпуховской район., 105км. Симферопольского шоссе , район с. Липицы</t>
        </is>
      </c>
      <c r="Q119" s="640" t="inlineStr">
        <is>
          <t>54.854985</t>
        </is>
      </c>
      <c r="R119" s="422" t="inlineStr">
        <is>
          <t>37.473932</t>
        </is>
      </c>
      <c r="S119" s="436" t="n"/>
      <c r="T119" s="436" t="n"/>
      <c r="U119" s="436" t="n"/>
      <c r="V119" s="438">
        <f>IF(AND(N119=1,U119=1),C119,"")</f>
        <v/>
      </c>
      <c r="W119" s="387" t="n"/>
      <c r="X119" s="387" t="n"/>
      <c r="Y119" s="387" t="n"/>
    </row>
    <row r="120" hidden="1" ht="16.05" customFormat="1" customHeight="1" s="126">
      <c r="A120" s="125" t="n">
        <v>165</v>
      </c>
      <c r="B120" s="125" t="n"/>
      <c r="C120" s="130" t="inlineStr">
        <is>
          <t>Москва</t>
        </is>
      </c>
      <c r="D120" s="130" t="inlineStr">
        <is>
          <t>Москва</t>
        </is>
      </c>
      <c r="E120" s="130" t="inlineStr">
        <is>
          <t>М5</t>
        </is>
      </c>
      <c r="F120" s="130" t="inlineStr">
        <is>
          <t>АЗС</t>
        </is>
      </c>
      <c r="G120" s="130" t="inlineStr">
        <is>
          <t>Роснефть</t>
        </is>
      </c>
      <c r="H120" s="131" t="inlineStr">
        <is>
          <t>MR015</t>
        </is>
      </c>
      <c r="I120" s="637" t="inlineStr">
        <is>
          <t>RN_015</t>
        </is>
      </c>
      <c r="J120" s="637" t="inlineStr">
        <is>
          <t>MSK_RN_0015</t>
        </is>
      </c>
      <c r="K120" s="640" t="n">
        <v>1</v>
      </c>
      <c r="L120" s="640" t="n">
        <v>1</v>
      </c>
      <c r="M120" s="623" t="inlineStr">
        <is>
          <t>Samsung 32" вертикальный</t>
        </is>
      </c>
      <c r="N120" s="640" t="n"/>
      <c r="O120" s="640">
        <f>IF(AND(N120=1,L120=1),K120,"")</f>
        <v/>
      </c>
      <c r="P120" s="642" t="inlineStr">
        <is>
          <t>Москва, 6 км МКАД (внут. сторона), вл. 4а</t>
        </is>
      </c>
      <c r="Q120" s="640" t="inlineStr">
        <is>
          <t>55.725371</t>
        </is>
      </c>
      <c r="R120" s="494" t="inlineStr">
        <is>
          <t>37.839273</t>
        </is>
      </c>
      <c r="S120" s="436" t="n"/>
      <c r="T120" s="436" t="n"/>
      <c r="U120" s="436" t="n"/>
      <c r="V120" s="438">
        <f>IF(AND(N120=1,U120=1),C120,"")</f>
        <v/>
      </c>
      <c r="W120" s="387" t="n"/>
      <c r="X120" s="387" t="n"/>
      <c r="Y120" s="387" t="n"/>
    </row>
    <row r="121" hidden="1" ht="16.05" customFormat="1" customHeight="1" s="126">
      <c r="A121" s="125" t="n">
        <v>166</v>
      </c>
      <c r="B121" s="125" t="n"/>
      <c r="C121" s="130" t="inlineStr">
        <is>
          <t>Москва</t>
        </is>
      </c>
      <c r="D121" s="130" t="inlineStr">
        <is>
          <t>Москва</t>
        </is>
      </c>
      <c r="E121" s="130" t="inlineStr">
        <is>
          <t>СВАО</t>
        </is>
      </c>
      <c r="F121" s="130" t="inlineStr">
        <is>
          <t>АЗС</t>
        </is>
      </c>
      <c r="G121" s="130" t="inlineStr">
        <is>
          <t>Роснефть</t>
        </is>
      </c>
      <c r="H121" s="131" t="inlineStr">
        <is>
          <t>MR020</t>
        </is>
      </c>
      <c r="I121" s="637" t="inlineStr">
        <is>
          <t>RN_020</t>
        </is>
      </c>
      <c r="J121" s="637" t="inlineStr">
        <is>
          <t>MSK_RN_0020</t>
        </is>
      </c>
      <c r="K121" s="640" t="n">
        <v>1</v>
      </c>
      <c r="L121" s="640" t="n">
        <v>1</v>
      </c>
      <c r="M121" s="623" t="inlineStr">
        <is>
          <t>Samsung 32" вертикальный</t>
        </is>
      </c>
      <c r="N121" s="640" t="n"/>
      <c r="O121" s="640">
        <f>IF(AND(N121=1,L121=1),K121,"")</f>
        <v/>
      </c>
      <c r="P121" s="642" t="inlineStr">
        <is>
          <t>Москва,  Малыгина, вл. 2, корп. 1</t>
        </is>
      </c>
      <c r="Q121" s="640" t="inlineStr">
        <is>
          <t>55.876468</t>
        </is>
      </c>
      <c r="R121" s="494" t="inlineStr">
        <is>
          <t>37.703094</t>
        </is>
      </c>
      <c r="S121" s="436" t="n"/>
      <c r="T121" s="436" t="n"/>
      <c r="U121" s="436" t="n"/>
      <c r="V121" s="438">
        <f>IF(AND(N121=1,U121=1),C121,"")</f>
        <v/>
      </c>
      <c r="W121" s="387" t="n"/>
      <c r="X121" s="387" t="n"/>
      <c r="Y121" s="387" t="n"/>
    </row>
    <row r="122" hidden="1" ht="16.05" customFormat="1" customHeight="1" s="126">
      <c r="A122" s="125" t="n">
        <v>167</v>
      </c>
      <c r="B122" s="125" t="n"/>
      <c r="C122" s="130" t="inlineStr">
        <is>
          <t>Москва</t>
        </is>
      </c>
      <c r="D122" s="130" t="inlineStr">
        <is>
          <t>Москва</t>
        </is>
      </c>
      <c r="E122" s="130" t="inlineStr">
        <is>
          <t>САО</t>
        </is>
      </c>
      <c r="F122" s="130" t="inlineStr">
        <is>
          <t>АЗС</t>
        </is>
      </c>
      <c r="G122" s="130" t="inlineStr">
        <is>
          <t>Роснефть</t>
        </is>
      </c>
      <c r="H122" s="131" t="inlineStr">
        <is>
          <t>MR024</t>
        </is>
      </c>
      <c r="I122" s="637" t="inlineStr">
        <is>
          <t>RN_024</t>
        </is>
      </c>
      <c r="J122" s="637" t="inlineStr">
        <is>
          <t>MSK_RN_0024</t>
        </is>
      </c>
      <c r="K122" s="640" t="n">
        <v>1</v>
      </c>
      <c r="L122" s="640" t="n">
        <v>1</v>
      </c>
      <c r="M122" s="623" t="inlineStr">
        <is>
          <t>Samsung 32" вертикальный</t>
        </is>
      </c>
      <c r="N122" s="640" t="n"/>
      <c r="O122" s="640">
        <f>IF(AND(N122=1,L122=1),K122,"")</f>
        <v/>
      </c>
      <c r="P122" s="642" t="inlineStr">
        <is>
          <t>Москва, ш. Дмитровское, д.77А</t>
        </is>
      </c>
      <c r="Q122" s="640" t="inlineStr">
        <is>
          <t>55.859588</t>
        </is>
      </c>
      <c r="R122" s="494" t="inlineStr">
        <is>
          <t>37.555144</t>
        </is>
      </c>
      <c r="S122" s="436" t="n"/>
      <c r="T122" s="436" t="n"/>
      <c r="U122" s="436" t="n"/>
      <c r="V122" s="438">
        <f>IF(AND(N122=1,U122=1),C122,"")</f>
        <v/>
      </c>
      <c r="W122" s="387" t="n"/>
      <c r="X122" s="387" t="n"/>
      <c r="Y122" s="387" t="n"/>
    </row>
    <row r="123" hidden="1" ht="16.05" customFormat="1" customHeight="1" s="126">
      <c r="A123" s="125" t="n">
        <v>168</v>
      </c>
      <c r="B123" s="125" t="n"/>
      <c r="C123" s="130" t="inlineStr">
        <is>
          <t>Москва</t>
        </is>
      </c>
      <c r="D123" s="130" t="inlineStr">
        <is>
          <t>Московская область</t>
        </is>
      </c>
      <c r="E123" s="130" t="inlineStr">
        <is>
          <t>М8</t>
        </is>
      </c>
      <c r="F123" s="130" t="inlineStr">
        <is>
          <t>АЗС</t>
        </is>
      </c>
      <c r="G123" s="130" t="inlineStr">
        <is>
          <t>Роснефть</t>
        </is>
      </c>
      <c r="H123" s="131" t="inlineStr">
        <is>
          <t>MR025</t>
        </is>
      </c>
      <c r="I123" s="637" t="inlineStr">
        <is>
          <t>RN_025</t>
        </is>
      </c>
      <c r="J123" s="637" t="inlineStr">
        <is>
          <t>MSK_RN_0025</t>
        </is>
      </c>
      <c r="K123" s="640" t="n">
        <v>1</v>
      </c>
      <c r="L123" s="640" t="n">
        <v>1</v>
      </c>
      <c r="M123" s="623" t="inlineStr">
        <is>
          <t>Samsung 32" вертикальный</t>
        </is>
      </c>
      <c r="N123" s="640" t="n"/>
      <c r="O123" s="640">
        <f>IF(AND(N123=1,L123=1),K123,"")</f>
        <v/>
      </c>
      <c r="P123" s="642" t="inlineStr">
        <is>
          <t>Московская область, Мытищинский район, Сгонниковский с.о., д. Челобитьево,  Шоссейная, д. 1</t>
        </is>
      </c>
      <c r="Q123" s="640" t="inlineStr">
        <is>
          <t>55.912651</t>
        </is>
      </c>
      <c r="R123" s="494" t="inlineStr">
        <is>
          <t>37.671571</t>
        </is>
      </c>
      <c r="S123" s="436" t="n"/>
      <c r="T123" s="436" t="n"/>
      <c r="U123" s="436" t="n"/>
      <c r="V123" s="438">
        <f>IF(AND(N123=1,U123=1),C123,"")</f>
        <v/>
      </c>
      <c r="W123" s="387" t="n"/>
      <c r="X123" s="387" t="n"/>
      <c r="Y123" s="387" t="n"/>
    </row>
    <row r="124" hidden="1" ht="16.05" customFormat="1" customHeight="1" s="126">
      <c r="A124" s="125" t="n">
        <v>169</v>
      </c>
      <c r="B124" s="125" t="n"/>
      <c r="C124" s="130" t="inlineStr">
        <is>
          <t>Москва</t>
        </is>
      </c>
      <c r="D124" s="130" t="inlineStr">
        <is>
          <t>Серпухов</t>
        </is>
      </c>
      <c r="E124" s="130" t="inlineStr">
        <is>
          <t>М2</t>
        </is>
      </c>
      <c r="F124" s="130" t="inlineStr">
        <is>
          <t>АЗС</t>
        </is>
      </c>
      <c r="G124" s="130" t="inlineStr">
        <is>
          <t>Роснефть</t>
        </is>
      </c>
      <c r="H124" s="131" t="inlineStr">
        <is>
          <t>MR026</t>
        </is>
      </c>
      <c r="I124" s="637" t="inlineStr">
        <is>
          <t>RN_026</t>
        </is>
      </c>
      <c r="J124" s="637" t="inlineStr">
        <is>
          <t>MSK_RN_0026</t>
        </is>
      </c>
      <c r="K124" s="640" t="n">
        <v>1</v>
      </c>
      <c r="L124" s="640" t="n">
        <v>1</v>
      </c>
      <c r="M124" s="623" t="inlineStr">
        <is>
          <t>Samsung 32" вертикальный</t>
        </is>
      </c>
      <c r="N124" s="640" t="n"/>
      <c r="O124" s="640">
        <f>IF(AND(N124=1,L124=1),K124,"")</f>
        <v/>
      </c>
      <c r="P124" s="642" t="inlineStr">
        <is>
          <t>Московская область, г. Серпухов,  Ворошилова д. 184</t>
        </is>
      </c>
      <c r="Q124" s="640" t="inlineStr">
        <is>
          <t>54.926828</t>
        </is>
      </c>
      <c r="R124" s="494" t="inlineStr">
        <is>
          <t>37.449191</t>
        </is>
      </c>
      <c r="S124" s="436" t="n"/>
      <c r="T124" s="436" t="n"/>
      <c r="U124" s="436" t="n"/>
      <c r="V124" s="438">
        <f>IF(AND(N124=1,U124=1),C124,"")</f>
        <v/>
      </c>
      <c r="W124" s="387" t="n"/>
      <c r="X124" s="387" t="n"/>
      <c r="Y124" s="387" t="n"/>
    </row>
    <row r="125" hidden="1" ht="16.05" customFormat="1" customHeight="1" s="126">
      <c r="A125" s="125" t="n">
        <v>170</v>
      </c>
      <c r="B125" s="125" t="n"/>
      <c r="C125" s="130" t="inlineStr">
        <is>
          <t>Москва</t>
        </is>
      </c>
      <c r="D125" s="130" t="inlineStr">
        <is>
          <t>Москва</t>
        </is>
      </c>
      <c r="E125" s="130" t="inlineStr">
        <is>
          <t>СВАО</t>
        </is>
      </c>
      <c r="F125" s="130" t="inlineStr">
        <is>
          <t>АЗС</t>
        </is>
      </c>
      <c r="G125" s="130" t="inlineStr">
        <is>
          <t>Роснефть</t>
        </is>
      </c>
      <c r="H125" s="131" t="inlineStr">
        <is>
          <t>MR027</t>
        </is>
      </c>
      <c r="I125" s="637" t="inlineStr">
        <is>
          <t>RN_027</t>
        </is>
      </c>
      <c r="J125" s="637" t="inlineStr">
        <is>
          <t>MSK_RN_0027</t>
        </is>
      </c>
      <c r="K125" s="640" t="n">
        <v>1</v>
      </c>
      <c r="L125" s="640" t="n">
        <v>1</v>
      </c>
      <c r="M125" s="623" t="inlineStr">
        <is>
          <t>Samsung 32" вертикальный</t>
        </is>
      </c>
      <c r="N125" s="640" t="n"/>
      <c r="O125" s="640">
        <f>IF(AND(N125=1,L125=1),K125,"")</f>
        <v/>
      </c>
      <c r="P125" s="642" t="inlineStr">
        <is>
          <t>Москва,  Новомосковская, вл. 17</t>
        </is>
      </c>
      <c r="Q125" s="640" t="inlineStr">
        <is>
          <t>55.817993</t>
        </is>
      </c>
      <c r="R125" s="494" t="inlineStr">
        <is>
          <t>37.616471</t>
        </is>
      </c>
      <c r="S125" s="436" t="n"/>
      <c r="T125" s="436" t="n"/>
      <c r="U125" s="436" t="n"/>
      <c r="V125" s="438">
        <f>IF(AND(N125=1,U125=1),C125,"")</f>
        <v/>
      </c>
      <c r="W125" s="387" t="n"/>
      <c r="X125" s="387" t="n"/>
      <c r="Y125" s="387" t="n"/>
    </row>
    <row r="126" hidden="1" ht="16.05" customFormat="1" customHeight="1" s="126">
      <c r="A126" s="125" t="n">
        <v>171</v>
      </c>
      <c r="B126" s="125" t="n"/>
      <c r="C126" s="130" t="inlineStr">
        <is>
          <t>Москва</t>
        </is>
      </c>
      <c r="D126" s="130" t="inlineStr">
        <is>
          <t>Москва</t>
        </is>
      </c>
      <c r="E126" s="130" t="inlineStr">
        <is>
          <t>СВАО</t>
        </is>
      </c>
      <c r="F126" s="130" t="inlineStr">
        <is>
          <t>АЗС</t>
        </is>
      </c>
      <c r="G126" s="130" t="inlineStr">
        <is>
          <t>Роснефть</t>
        </is>
      </c>
      <c r="H126" s="131" t="inlineStr">
        <is>
          <t>MR028</t>
        </is>
      </c>
      <c r="I126" s="637" t="inlineStr">
        <is>
          <t>RN_028</t>
        </is>
      </c>
      <c r="J126" s="637" t="inlineStr">
        <is>
          <t>MSK_RN_0028</t>
        </is>
      </c>
      <c r="K126" s="640" t="n">
        <v>1</v>
      </c>
      <c r="L126" s="640" t="n">
        <v>1</v>
      </c>
      <c r="M126" s="623" t="inlineStr">
        <is>
          <t>Samsung 32" вертикальный</t>
        </is>
      </c>
      <c r="N126" s="640" t="n"/>
      <c r="O126" s="640">
        <f>IF(AND(N126=1,L126=1),K126,"")</f>
        <v/>
      </c>
      <c r="P126" s="642" t="inlineStr">
        <is>
          <t>Москва,  Академика Королева, д. 12А</t>
        </is>
      </c>
      <c r="Q126" s="640" t="inlineStr">
        <is>
          <t>55.822177</t>
        </is>
      </c>
      <c r="R126" s="494" t="inlineStr">
        <is>
          <t>37.603817</t>
        </is>
      </c>
      <c r="S126" s="436" t="n"/>
      <c r="T126" s="436" t="n"/>
      <c r="U126" s="436" t="n"/>
      <c r="V126" s="438">
        <f>IF(AND(N126=1,U126=1),C126,"")</f>
        <v/>
      </c>
      <c r="W126" s="387" t="n"/>
      <c r="X126" s="387" t="n"/>
      <c r="Y126" s="387" t="n"/>
    </row>
    <row r="127" hidden="1" ht="16.05" customFormat="1" customHeight="1" s="126">
      <c r="A127" s="125" t="n">
        <v>172</v>
      </c>
      <c r="B127" s="125" t="n"/>
      <c r="C127" s="130" t="inlineStr">
        <is>
          <t>Москва</t>
        </is>
      </c>
      <c r="D127" s="130" t="inlineStr">
        <is>
          <t>Московская область</t>
        </is>
      </c>
      <c r="E127" s="130" t="inlineStr">
        <is>
          <t>М2</t>
        </is>
      </c>
      <c r="F127" s="130" t="inlineStr">
        <is>
          <t>АЗС</t>
        </is>
      </c>
      <c r="G127" s="130" t="inlineStr">
        <is>
          <t>Роснефть</t>
        </is>
      </c>
      <c r="H127" s="131" t="inlineStr">
        <is>
          <t>MR029</t>
        </is>
      </c>
      <c r="I127" s="637" t="inlineStr">
        <is>
          <t>RN_029</t>
        </is>
      </c>
      <c r="J127" s="637" t="inlineStr">
        <is>
          <t>MSK_RN_0029</t>
        </is>
      </c>
      <c r="K127" s="640" t="n">
        <v>1</v>
      </c>
      <c r="L127" s="640" t="n">
        <v>1</v>
      </c>
      <c r="M127" s="623" t="inlineStr">
        <is>
          <t>Samsung 32" вертикальный</t>
        </is>
      </c>
      <c r="N127" s="640" t="n"/>
      <c r="O127" s="640">
        <f>IF(AND(N127=1,L127=1),K127,"")</f>
        <v/>
      </c>
      <c r="P127" s="642" t="inlineStr">
        <is>
          <t>Московская область, Подольский район.,Стрелковский с.о., вблизи д. Ивлево 34 км. Автодороги Крым</t>
        </is>
      </c>
      <c r="Q127" s="640" t="inlineStr">
        <is>
          <t>55.457882</t>
        </is>
      </c>
      <c r="R127" s="494" t="inlineStr">
        <is>
          <t>37.620632</t>
        </is>
      </c>
      <c r="S127" s="436" t="n"/>
      <c r="T127" s="436" t="n"/>
      <c r="U127" s="436" t="n"/>
      <c r="V127" s="438">
        <f>IF(AND(N127=1,U127=1),C127,"")</f>
        <v/>
      </c>
      <c r="W127" s="387" t="n"/>
      <c r="X127" s="387" t="n"/>
      <c r="Y127" s="387" t="n"/>
    </row>
    <row r="128" hidden="1" ht="16.05" customHeight="1">
      <c r="A128" s="13" t="n">
        <v>173</v>
      </c>
      <c r="B128" s="13">
        <f>IF(OR(M128="Sam 32",M128="Sam 40"),"s",IF(M128="AMS","a","v"))</f>
        <v/>
      </c>
      <c r="C128" s="130" t="inlineStr">
        <is>
          <t>Москва</t>
        </is>
      </c>
      <c r="D128" s="130" t="inlineStr">
        <is>
          <t>Московская область</t>
        </is>
      </c>
      <c r="E128" s="130" t="inlineStr">
        <is>
          <t>М2</t>
        </is>
      </c>
      <c r="F128" s="130" t="n"/>
      <c r="G128" s="130" t="inlineStr">
        <is>
          <t>Роснефть</t>
        </is>
      </c>
      <c r="H128" s="131" t="inlineStr">
        <is>
          <t>MR030</t>
        </is>
      </c>
      <c r="I128" s="637" t="inlineStr">
        <is>
          <t>RN_030</t>
        </is>
      </c>
      <c r="J128" s="402" t="inlineStr">
        <is>
          <t>MSK_RN_0030</t>
        </is>
      </c>
      <c r="K128" s="640" t="n">
        <v>1</v>
      </c>
      <c r="L128" s="640" t="n">
        <v>0</v>
      </c>
      <c r="M128" s="640" t="inlineStr">
        <is>
          <t>Sam 32</t>
        </is>
      </c>
      <c r="N128" s="640" t="n"/>
      <c r="O128" s="640">
        <f>IF(AND(N128=1,L128=1),K128,"")</f>
        <v/>
      </c>
      <c r="P128" s="642" t="inlineStr">
        <is>
          <t>Московская область, Подольский район., Лаговский с.о., вблизи дер. Алтухово (50 км.а/д Москва-Крым)</t>
        </is>
      </c>
      <c r="Q128" s="640" t="n"/>
      <c r="R128" s="422" t="n"/>
      <c r="S128" s="436" t="n"/>
      <c r="T128" s="436" t="n"/>
      <c r="U128" s="436" t="n"/>
      <c r="V128" s="438">
        <f>IF(AND(N128=1,U128=1),C128,"")</f>
        <v/>
      </c>
      <c r="X128" s="1" t="n"/>
      <c r="Y128" s="1" t="n"/>
      <c r="Z128" s="1" t="n"/>
    </row>
    <row r="129" hidden="1" ht="16.05" customFormat="1" customHeight="1" s="126">
      <c r="A129" s="125" t="n">
        <v>174</v>
      </c>
      <c r="B129" s="125" t="n"/>
      <c r="C129" s="130" t="inlineStr">
        <is>
          <t>Москва</t>
        </is>
      </c>
      <c r="D129" s="130" t="inlineStr">
        <is>
          <t>Москва</t>
        </is>
      </c>
      <c r="E129" s="130" t="inlineStr">
        <is>
          <t>А130</t>
        </is>
      </c>
      <c r="F129" s="130" t="inlineStr">
        <is>
          <t>АЗС</t>
        </is>
      </c>
      <c r="G129" s="130" t="inlineStr">
        <is>
          <t>Роснефть</t>
        </is>
      </c>
      <c r="H129" s="131" t="inlineStr">
        <is>
          <t>MR031</t>
        </is>
      </c>
      <c r="I129" s="637" t="inlineStr">
        <is>
          <t>RN_031</t>
        </is>
      </c>
      <c r="J129" s="637" t="inlineStr">
        <is>
          <t>MSK_RN_0031</t>
        </is>
      </c>
      <c r="K129" s="640" t="n">
        <v>1</v>
      </c>
      <c r="L129" s="640" t="n">
        <v>1</v>
      </c>
      <c r="M129" s="623" t="inlineStr">
        <is>
          <t>Samsung 32" вертикальный</t>
        </is>
      </c>
      <c r="N129" s="640" t="n"/>
      <c r="O129" s="640">
        <f>IF(AND(N129=1,L129=1),K129,"")</f>
        <v/>
      </c>
      <c r="P129" s="642" t="inlineStr">
        <is>
          <t>Москва, Подольский район,  с.о. Краснопахорское, дер. Красная Пахра, 43 км. Старо-Калужского шоссе</t>
        </is>
      </c>
      <c r="Q129" s="640" t="inlineStr">
        <is>
          <t>55.440742</t>
        </is>
      </c>
      <c r="R129" s="494" t="inlineStr">
        <is>
          <t>37.290147</t>
        </is>
      </c>
      <c r="S129" s="436" t="n"/>
      <c r="T129" s="436" t="n"/>
      <c r="U129" s="436" t="n"/>
      <c r="V129" s="438">
        <f>IF(AND(N129=1,U129=1),C129,"")</f>
        <v/>
      </c>
      <c r="W129" s="387" t="n"/>
      <c r="X129" s="387" t="n"/>
      <c r="Y129" s="387" t="n"/>
    </row>
    <row r="130" hidden="1" ht="16.05" customFormat="1" customHeight="1" s="126">
      <c r="A130" s="125" t="n">
        <v>175</v>
      </c>
      <c r="B130" s="125" t="n"/>
      <c r="C130" s="130" t="inlineStr">
        <is>
          <t>Москва</t>
        </is>
      </c>
      <c r="D130" s="130" t="inlineStr">
        <is>
          <t>Московская область</t>
        </is>
      </c>
      <c r="E130" s="130" t="inlineStr">
        <is>
          <t>М5</t>
        </is>
      </c>
      <c r="F130" s="130" t="inlineStr">
        <is>
          <t>АЗС</t>
        </is>
      </c>
      <c r="G130" s="130" t="inlineStr">
        <is>
          <t>Роснефть</t>
        </is>
      </c>
      <c r="H130" s="131" t="inlineStr">
        <is>
          <t>MR032</t>
        </is>
      </c>
      <c r="I130" s="637" t="inlineStr">
        <is>
          <t>RN_032</t>
        </is>
      </c>
      <c r="J130" s="637" t="inlineStr">
        <is>
          <t>MSK_RN_0032</t>
        </is>
      </c>
      <c r="K130" s="640" t="n">
        <v>1</v>
      </c>
      <c r="L130" s="640" t="n">
        <v>1</v>
      </c>
      <c r="M130" s="623" t="inlineStr">
        <is>
          <t>Samsung 32" вертикальный</t>
        </is>
      </c>
      <c r="N130" s="640" t="n"/>
      <c r="O130" s="640">
        <f>IF(AND(N130=1,L130=1),K130,"")</f>
        <v/>
      </c>
      <c r="P130" s="642" t="inlineStr">
        <is>
          <t>Московская область, Раменский район, дер. Никитское, 79 км Автодороги Москва-Рязань "Урал"</t>
        </is>
      </c>
      <c r="Q130" s="640" t="inlineStr">
        <is>
          <t>55.293394</t>
        </is>
      </c>
      <c r="R130" s="494" t="inlineStr">
        <is>
          <t>38.476968</t>
        </is>
      </c>
      <c r="S130" s="436" t="n"/>
      <c r="T130" s="436" t="n"/>
      <c r="U130" s="436" t="n"/>
      <c r="V130" s="438">
        <f>IF(AND(N130=1,U130=1),C130,"")</f>
        <v/>
      </c>
      <c r="W130" s="387" t="n"/>
      <c r="X130" s="387" t="n"/>
      <c r="Y130" s="387" t="n"/>
    </row>
    <row r="131" hidden="1" ht="16.05" customFormat="1" customHeight="1" s="126">
      <c r="A131" s="125" t="n">
        <v>176</v>
      </c>
      <c r="B131" s="125" t="n"/>
      <c r="C131" s="130" t="inlineStr">
        <is>
          <t>Москва</t>
        </is>
      </c>
      <c r="D131" s="130" t="inlineStr">
        <is>
          <t>Московская область</t>
        </is>
      </c>
      <c r="E131" s="130" t="inlineStr">
        <is>
          <t>М5</t>
        </is>
      </c>
      <c r="F131" s="130" t="inlineStr">
        <is>
          <t>АЗС</t>
        </is>
      </c>
      <c r="G131" s="130" t="inlineStr">
        <is>
          <t>Роснефть</t>
        </is>
      </c>
      <c r="H131" s="131" t="inlineStr">
        <is>
          <t>MR033</t>
        </is>
      </c>
      <c r="I131" s="637" t="inlineStr">
        <is>
          <t>RN_033</t>
        </is>
      </c>
      <c r="J131" s="637" t="inlineStr">
        <is>
          <t>MSK_RN_0033</t>
        </is>
      </c>
      <c r="K131" s="640" t="n">
        <v>2</v>
      </c>
      <c r="L131" s="640" t="n">
        <v>1</v>
      </c>
      <c r="M131" s="623" t="inlineStr">
        <is>
          <t>Samsung 32" вертикальный</t>
        </is>
      </c>
      <c r="N131" s="640" t="n"/>
      <c r="O131" s="640">
        <f>IF(AND(N131=1,L131=1),K131,"")</f>
        <v/>
      </c>
      <c r="P131" s="642" t="inlineStr">
        <is>
          <t>Московская область, Луховицкий район, поселок Газопроводск, 151 км автомагистрали Москва-Рязань</t>
        </is>
      </c>
      <c r="Q131" s="640" t="inlineStr">
        <is>
          <t>54.839554</t>
        </is>
      </c>
      <c r="R131" s="422" t="inlineStr">
        <is>
          <t>39.253332</t>
        </is>
      </c>
      <c r="S131" s="436" t="n"/>
      <c r="T131" s="436" t="n"/>
      <c r="U131" s="436" t="n"/>
      <c r="V131" s="438">
        <f>IF(AND(N131=1,U131=1),C131,"")</f>
        <v/>
      </c>
      <c r="W131" s="387" t="n"/>
      <c r="X131" s="387" t="n"/>
      <c r="Y131" s="387" t="n"/>
    </row>
    <row r="132" hidden="1" ht="16.05" customFormat="1" customHeight="1" s="126">
      <c r="A132" s="125" t="n">
        <v>177</v>
      </c>
      <c r="B132" s="125" t="n"/>
      <c r="C132" s="130" t="inlineStr">
        <is>
          <t>Москва</t>
        </is>
      </c>
      <c r="D132" s="130" t="inlineStr">
        <is>
          <t>Московская область</t>
        </is>
      </c>
      <c r="E132" s="130" t="inlineStr">
        <is>
          <t>А104</t>
        </is>
      </c>
      <c r="F132" s="130" t="inlineStr">
        <is>
          <t>АЗС</t>
        </is>
      </c>
      <c r="G132" s="130" t="inlineStr">
        <is>
          <t>Роснефть</t>
        </is>
      </c>
      <c r="H132" s="131" t="inlineStr">
        <is>
          <t>MR034</t>
        </is>
      </c>
      <c r="I132" s="637" t="inlineStr">
        <is>
          <t>RN_034</t>
        </is>
      </c>
      <c r="J132" s="637" t="inlineStr">
        <is>
          <t>MSK_RN_0034</t>
        </is>
      </c>
      <c r="K132" s="640" t="n">
        <v>1</v>
      </c>
      <c r="L132" s="640" t="n">
        <v>1</v>
      </c>
      <c r="M132" s="623" t="inlineStr">
        <is>
          <t>Samsung 32" вертикальный</t>
        </is>
      </c>
      <c r="N132" s="640" t="n"/>
      <c r="O132" s="640">
        <f>IF(AND(N132=1,L132=1),K132,"")</f>
        <v/>
      </c>
      <c r="P132" s="642" t="inlineStr">
        <is>
          <t>Московская область, 81 км МКАД (г. Долгопрудный)</t>
        </is>
      </c>
      <c r="Q132" s="640" t="inlineStr">
        <is>
          <t>55.904546</t>
        </is>
      </c>
      <c r="R132" s="494" t="inlineStr">
        <is>
          <t>37.521557</t>
        </is>
      </c>
      <c r="S132" s="436" t="n"/>
      <c r="T132" s="436" t="n"/>
      <c r="U132" s="436" t="n"/>
      <c r="V132" s="438">
        <f>IF(AND(N132=1,U132=1),C132,"")</f>
        <v/>
      </c>
      <c r="W132" s="387" t="n"/>
      <c r="X132" s="387" t="n"/>
      <c r="Y132" s="387" t="n"/>
    </row>
    <row r="133" hidden="1" ht="16.05" customFormat="1" customHeight="1" s="126">
      <c r="A133" s="125" t="n">
        <v>178</v>
      </c>
      <c r="B133" s="125" t="n"/>
      <c r="C133" s="130" t="inlineStr">
        <is>
          <t>Москва</t>
        </is>
      </c>
      <c r="D133" s="130" t="inlineStr">
        <is>
          <t>Москва</t>
        </is>
      </c>
      <c r="E133" s="130" t="inlineStr">
        <is>
          <t>М5</t>
        </is>
      </c>
      <c r="F133" s="130" t="inlineStr">
        <is>
          <t>АЗС</t>
        </is>
      </c>
      <c r="G133" s="130" t="inlineStr">
        <is>
          <t>Роснефть</t>
        </is>
      </c>
      <c r="H133" s="131" t="inlineStr">
        <is>
          <t>MR035</t>
        </is>
      </c>
      <c r="I133" s="637" t="inlineStr">
        <is>
          <t>RN_035</t>
        </is>
      </c>
      <c r="J133" s="637" t="inlineStr">
        <is>
          <t>MSK_RN_0035</t>
        </is>
      </c>
      <c r="K133" s="640" t="n">
        <v>1</v>
      </c>
      <c r="L133" s="640" t="n">
        <v>1</v>
      </c>
      <c r="M133" s="623" t="inlineStr">
        <is>
          <t>Samsung 32" вертикальный</t>
        </is>
      </c>
      <c r="N133" s="640" t="n"/>
      <c r="O133" s="640">
        <f>IF(AND(N133=1,L133=1),K133,"")</f>
        <v/>
      </c>
      <c r="P133" s="642" t="inlineStr">
        <is>
          <t>Москва, МКАД , 8 км. , домовладение 13</t>
        </is>
      </c>
      <c r="Q133" s="640" t="inlineStr">
        <is>
          <t>55.6978</t>
        </is>
      </c>
      <c r="R133" s="494" t="inlineStr">
        <is>
          <t>37.831386</t>
        </is>
      </c>
      <c r="S133" s="436" t="n"/>
      <c r="T133" s="436" t="n"/>
      <c r="U133" s="436" t="n"/>
      <c r="V133" s="438">
        <f>IF(AND(N133=1,U133=1),C133,"")</f>
        <v/>
      </c>
      <c r="W133" s="387" t="n"/>
      <c r="X133" s="387" t="n"/>
      <c r="Y133" s="387" t="n"/>
    </row>
    <row r="134" hidden="1" ht="16.05" customFormat="1" customHeight="1" s="126">
      <c r="A134" s="125" t="n">
        <v>179</v>
      </c>
      <c r="B134" s="125" t="n"/>
      <c r="C134" s="130" t="inlineStr">
        <is>
          <t>Москва</t>
        </is>
      </c>
      <c r="D134" s="130" t="inlineStr">
        <is>
          <t>Москва</t>
        </is>
      </c>
      <c r="E134" s="130" t="inlineStr">
        <is>
          <t>ЮВАО</t>
        </is>
      </c>
      <c r="F134" s="130" t="inlineStr">
        <is>
          <t>АЗС</t>
        </is>
      </c>
      <c r="G134" s="130" t="inlineStr">
        <is>
          <t>Роснефть</t>
        </is>
      </c>
      <c r="H134" s="131" t="inlineStr">
        <is>
          <t>MR036</t>
        </is>
      </c>
      <c r="I134" s="637" t="inlineStr">
        <is>
          <t>RN_036</t>
        </is>
      </c>
      <c r="J134" s="637" t="inlineStr">
        <is>
          <t>MSK_RN_0036</t>
        </is>
      </c>
      <c r="K134" s="640" t="n">
        <v>1</v>
      </c>
      <c r="L134" s="640" t="n">
        <v>1</v>
      </c>
      <c r="M134" s="623" t="inlineStr">
        <is>
          <t>Samsung 32" вертикальный</t>
        </is>
      </c>
      <c r="N134" s="640" t="n"/>
      <c r="O134" s="640">
        <f>IF(AND(N134=1,L134=1),K134,"")</f>
        <v/>
      </c>
      <c r="P134" s="642" t="inlineStr">
        <is>
          <t>Москва,  Люблинская, д.92</t>
        </is>
      </c>
      <c r="Q134" s="640" t="inlineStr">
        <is>
          <t>55.658673</t>
        </is>
      </c>
      <c r="R134" s="494" t="inlineStr">
        <is>
          <t>37.738918</t>
        </is>
      </c>
      <c r="S134" s="436" t="n"/>
      <c r="T134" s="436" t="n"/>
      <c r="U134" s="436" t="n"/>
      <c r="V134" s="438">
        <f>IF(AND(N134=1,U134=1),C134,"")</f>
        <v/>
      </c>
      <c r="W134" s="387" t="n"/>
      <c r="X134" s="387" t="n"/>
      <c r="Y134" s="387" t="n"/>
    </row>
    <row r="135" hidden="1" ht="16.05" customFormat="1" customHeight="1" s="126">
      <c r="A135" s="125" t="n">
        <v>180</v>
      </c>
      <c r="B135" s="125" t="n"/>
      <c r="C135" s="130" t="inlineStr">
        <is>
          <t>Москва</t>
        </is>
      </c>
      <c r="D135" s="130" t="inlineStr">
        <is>
          <t>Москва</t>
        </is>
      </c>
      <c r="E135" s="130" t="inlineStr">
        <is>
          <t>ЮВАО</t>
        </is>
      </c>
      <c r="F135" s="130" t="inlineStr">
        <is>
          <t>АЗС</t>
        </is>
      </c>
      <c r="G135" s="130" t="inlineStr">
        <is>
          <t>Роснефть</t>
        </is>
      </c>
      <c r="H135" s="131" t="inlineStr">
        <is>
          <t>MR037</t>
        </is>
      </c>
      <c r="I135" s="637" t="inlineStr">
        <is>
          <t>RN_037</t>
        </is>
      </c>
      <c r="J135" s="637" t="inlineStr">
        <is>
          <t>MSK_RN_0037</t>
        </is>
      </c>
      <c r="K135" s="640" t="n">
        <v>1</v>
      </c>
      <c r="L135" s="640" t="n">
        <v>1</v>
      </c>
      <c r="M135" s="623" t="inlineStr">
        <is>
          <t>Samsung 32" вертикальный</t>
        </is>
      </c>
      <c r="N135" s="640" t="n"/>
      <c r="O135" s="640">
        <f>IF(AND(N135=1,L135=1),K135,"")</f>
        <v/>
      </c>
      <c r="P135" s="642" t="inlineStr">
        <is>
          <t>Москва,   Паперника, домовладение 22</t>
        </is>
      </c>
      <c r="Q135" s="640" t="inlineStr">
        <is>
          <t>55.722228</t>
        </is>
      </c>
      <c r="R135" s="494" t="inlineStr">
        <is>
          <t>37.796011</t>
        </is>
      </c>
      <c r="S135" s="436" t="n"/>
      <c r="T135" s="436" t="n"/>
      <c r="U135" s="436" t="n"/>
      <c r="V135" s="438">
        <f>IF(AND(N135=1,U135=1),C135,"")</f>
        <v/>
      </c>
      <c r="W135" s="387" t="n"/>
      <c r="X135" s="387" t="n"/>
      <c r="Y135" s="387" t="n"/>
    </row>
    <row r="136" hidden="1" ht="16.05" customFormat="1" customHeight="1" s="126">
      <c r="A136" s="125" t="n">
        <v>181</v>
      </c>
      <c r="B136" s="125" t="n"/>
      <c r="C136" s="130" t="inlineStr">
        <is>
          <t>Москва</t>
        </is>
      </c>
      <c r="D136" s="130" t="inlineStr">
        <is>
          <t>Москва</t>
        </is>
      </c>
      <c r="E136" s="130" t="inlineStr">
        <is>
          <t>САО</t>
        </is>
      </c>
      <c r="F136" s="130" t="inlineStr">
        <is>
          <t>АЗС</t>
        </is>
      </c>
      <c r="G136" s="130" t="inlineStr">
        <is>
          <t>Роснефть</t>
        </is>
      </c>
      <c r="H136" s="131" t="inlineStr">
        <is>
          <t>MR039</t>
        </is>
      </c>
      <c r="I136" s="637" t="inlineStr">
        <is>
          <t>RN_039</t>
        </is>
      </c>
      <c r="J136" s="637" t="inlineStr">
        <is>
          <t>MSK_RN_0039</t>
        </is>
      </c>
      <c r="K136" s="640" t="n">
        <v>1</v>
      </c>
      <c r="L136" s="640" t="n">
        <v>1</v>
      </c>
      <c r="M136" s="623" t="inlineStr">
        <is>
          <t>Samsung 32" вертикальный</t>
        </is>
      </c>
      <c r="N136" s="640" t="n"/>
      <c r="O136" s="640">
        <f>IF(AND(N136=1,L136=1),K136,"")</f>
        <v/>
      </c>
      <c r="P136" s="642" t="inlineStr">
        <is>
          <t>Москва,  Тимирязевская, д. 38А</t>
        </is>
      </c>
      <c r="Q136" s="640" t="inlineStr">
        <is>
          <t>55.823987</t>
        </is>
      </c>
      <c r="R136" s="494" t="inlineStr">
        <is>
          <t>37.558542</t>
        </is>
      </c>
      <c r="S136" s="436" t="n"/>
      <c r="T136" s="436" t="n"/>
      <c r="U136" s="436" t="n"/>
      <c r="V136" s="438">
        <f>IF(AND(N136=1,U136=1),C136,"")</f>
        <v/>
      </c>
      <c r="W136" s="387" t="n"/>
      <c r="X136" s="387" t="n"/>
      <c r="Y136" s="387" t="n"/>
    </row>
    <row r="137" hidden="1" ht="16.05" customFormat="1" customHeight="1" s="126">
      <c r="A137" s="125" t="n">
        <v>182</v>
      </c>
      <c r="B137" s="125" t="n"/>
      <c r="C137" s="130" t="inlineStr">
        <is>
          <t>Москва</t>
        </is>
      </c>
      <c r="D137" s="130" t="inlineStr">
        <is>
          <t>Москва</t>
        </is>
      </c>
      <c r="E137" s="130" t="inlineStr">
        <is>
          <t>М7</t>
        </is>
      </c>
      <c r="F137" s="130" t="inlineStr">
        <is>
          <t>АЗС</t>
        </is>
      </c>
      <c r="G137" s="130" t="inlineStr">
        <is>
          <t>Роснефть</t>
        </is>
      </c>
      <c r="H137" s="131" t="inlineStr">
        <is>
          <t>MR042</t>
        </is>
      </c>
      <c r="I137" s="637" t="inlineStr">
        <is>
          <t>RN_042</t>
        </is>
      </c>
      <c r="J137" s="637" t="inlineStr">
        <is>
          <t>MSK_RN_0042</t>
        </is>
      </c>
      <c r="K137" s="640" t="n">
        <v>1</v>
      </c>
      <c r="L137" s="640" t="n">
        <v>1</v>
      </c>
      <c r="M137" s="623" t="inlineStr">
        <is>
          <t>Samsung 32" вертикальный</t>
        </is>
      </c>
      <c r="N137" s="640" t="n"/>
      <c r="O137" s="640">
        <f>IF(AND(N137=1,L137=1),K137,"")</f>
        <v/>
      </c>
      <c r="P137" s="642" t="inlineStr">
        <is>
          <t>Москва, 5 км МКАД, вл. 6</t>
        </is>
      </c>
      <c r="Q137" s="640" t="inlineStr">
        <is>
          <t>55.738547</t>
        </is>
      </c>
      <c r="R137" s="494" t="inlineStr">
        <is>
          <t>37.84036</t>
        </is>
      </c>
      <c r="S137" s="436" t="n"/>
      <c r="T137" s="436" t="n"/>
      <c r="U137" s="436" t="n"/>
      <c r="V137" s="438">
        <f>IF(AND(N137=1,U137=1),C137,"")</f>
        <v/>
      </c>
      <c r="W137" s="387" t="n"/>
      <c r="X137" s="387" t="n"/>
      <c r="Y137" s="387" t="n"/>
    </row>
    <row r="138" hidden="1" ht="16.05" customFormat="1" customHeight="1" s="126">
      <c r="A138" s="125" t="n">
        <v>183</v>
      </c>
      <c r="B138" s="125" t="n"/>
      <c r="C138" s="130" t="inlineStr">
        <is>
          <t>Москва</t>
        </is>
      </c>
      <c r="D138" s="130" t="inlineStr">
        <is>
          <t>Москва</t>
        </is>
      </c>
      <c r="E138" s="130" t="inlineStr">
        <is>
          <t>М5</t>
        </is>
      </c>
      <c r="F138" s="130" t="inlineStr">
        <is>
          <t>АЗС</t>
        </is>
      </c>
      <c r="G138" s="130" t="inlineStr">
        <is>
          <t>Роснефть</t>
        </is>
      </c>
      <c r="H138" s="131" t="inlineStr">
        <is>
          <t>MR043</t>
        </is>
      </c>
      <c r="I138" s="637" t="inlineStr">
        <is>
          <t>RN_043</t>
        </is>
      </c>
      <c r="J138" s="637" t="inlineStr">
        <is>
          <t>MSK_RN_0043</t>
        </is>
      </c>
      <c r="K138" s="640" t="n">
        <v>1</v>
      </c>
      <c r="L138" s="640" t="n">
        <v>1</v>
      </c>
      <c r="M138" s="623" t="inlineStr">
        <is>
          <t>Samsung 32" вертикальный</t>
        </is>
      </c>
      <c r="N138" s="640" t="n"/>
      <c r="O138" s="640">
        <f>IF(AND(N138=1,L138=1),K138,"")</f>
        <v/>
      </c>
      <c r="P138" s="642" t="inlineStr">
        <is>
          <t>Москва, 8 км МКАД, вл.2</t>
        </is>
      </c>
      <c r="Q138" s="640" t="inlineStr">
        <is>
          <t>55.714393</t>
        </is>
      </c>
      <c r="R138" s="494" t="inlineStr">
        <is>
          <t>37.837</t>
        </is>
      </c>
      <c r="S138" s="436" t="n"/>
      <c r="T138" s="436" t="n"/>
      <c r="U138" s="436" t="n"/>
      <c r="V138" s="438">
        <f>IF(AND(N138=1,U138=1),C138,"")</f>
        <v/>
      </c>
      <c r="W138" s="387" t="n"/>
      <c r="X138" s="387" t="n"/>
      <c r="Y138" s="387" t="n"/>
    </row>
    <row r="139" hidden="1" ht="16.05" customFormat="1" customHeight="1" s="126">
      <c r="A139" s="125" t="n">
        <v>184</v>
      </c>
      <c r="B139" s="125" t="n"/>
      <c r="C139" s="130" t="inlineStr">
        <is>
          <t>Москва</t>
        </is>
      </c>
      <c r="D139" s="130" t="inlineStr">
        <is>
          <t>Москва</t>
        </is>
      </c>
      <c r="E139" s="130" t="inlineStr">
        <is>
          <t>ЗАО</t>
        </is>
      </c>
      <c r="F139" s="130" t="inlineStr">
        <is>
          <t>АЗС</t>
        </is>
      </c>
      <c r="G139" s="130" t="inlineStr">
        <is>
          <t>Роснефть</t>
        </is>
      </c>
      <c r="H139" s="131" t="inlineStr">
        <is>
          <t>MR044</t>
        </is>
      </c>
      <c r="I139" s="637" t="inlineStr">
        <is>
          <t>RN_044</t>
        </is>
      </c>
      <c r="J139" s="637" t="inlineStr">
        <is>
          <t>MSK_RN_0044</t>
        </is>
      </c>
      <c r="K139" s="640" t="n">
        <v>2</v>
      </c>
      <c r="L139" s="640" t="n">
        <v>1</v>
      </c>
      <c r="M139" s="623" t="inlineStr">
        <is>
          <t>Samsung 32" вертикальный</t>
        </is>
      </c>
      <c r="N139" s="640" t="n"/>
      <c r="O139" s="640">
        <f>IF(AND(N139=1,L139=1),K139,"")</f>
        <v/>
      </c>
      <c r="P139" s="642" t="inlineStr">
        <is>
          <t>Москва,  Минская, домовладение 2А</t>
        </is>
      </c>
      <c r="Q139" s="640" t="n">
        <v>55.726531</v>
      </c>
      <c r="R139" s="494" t="n">
        <v>37.495852</v>
      </c>
      <c r="S139" s="436" t="n"/>
      <c r="T139" s="436" t="n"/>
      <c r="U139" s="436" t="n"/>
      <c r="V139" s="438">
        <f>IF(AND(N139=1,U139=1),C139,"")</f>
        <v/>
      </c>
      <c r="W139" s="387" t="n"/>
      <c r="X139" s="387" t="n"/>
      <c r="Y139" s="387" t="n"/>
    </row>
    <row r="140" hidden="1" ht="16.05" customFormat="1" customHeight="1" s="126">
      <c r="A140" s="125" t="n">
        <v>185</v>
      </c>
      <c r="B140" s="125" t="n"/>
      <c r="C140" s="130" t="inlineStr">
        <is>
          <t>Москва</t>
        </is>
      </c>
      <c r="D140" s="130" t="inlineStr">
        <is>
          <t>Москва</t>
        </is>
      </c>
      <c r="E140" s="130" t="inlineStr">
        <is>
          <t>ЮВАО</t>
        </is>
      </c>
      <c r="F140" s="130" t="inlineStr">
        <is>
          <t>АЗС</t>
        </is>
      </c>
      <c r="G140" s="130" t="inlineStr">
        <is>
          <t>Роснефть</t>
        </is>
      </c>
      <c r="H140" s="131" t="inlineStr">
        <is>
          <t>MR046</t>
        </is>
      </c>
      <c r="I140" s="637" t="inlineStr">
        <is>
          <t>RN_046</t>
        </is>
      </c>
      <c r="J140" s="637" t="inlineStr">
        <is>
          <t>MSK_RN_0046</t>
        </is>
      </c>
      <c r="K140" s="640" t="n">
        <v>1</v>
      </c>
      <c r="L140" s="640" t="n">
        <v>1</v>
      </c>
      <c r="M140" s="623" t="inlineStr">
        <is>
          <t>Samsung 32" вертикальный</t>
        </is>
      </c>
      <c r="N140" s="640" t="n"/>
      <c r="O140" s="640">
        <f>IF(AND(N140=1,L140=1),K140,"")</f>
        <v/>
      </c>
      <c r="P140" s="642" t="inlineStr">
        <is>
          <t>Москва, пр-д  завода «Серп и Молот», д.5б</t>
        </is>
      </c>
      <c r="Q140" s="640" t="inlineStr">
        <is>
          <t>55.750489</t>
        </is>
      </c>
      <c r="R140" s="494" t="inlineStr">
        <is>
          <t>37.708094</t>
        </is>
      </c>
      <c r="S140" s="436" t="n"/>
      <c r="T140" s="436" t="n"/>
      <c r="U140" s="436" t="n"/>
      <c r="V140" s="438">
        <f>IF(AND(N140=1,U140=1),C140,"")</f>
        <v/>
      </c>
      <c r="W140" s="387" t="n"/>
      <c r="X140" s="387" t="n"/>
      <c r="Y140" s="387" t="n"/>
    </row>
    <row r="141" hidden="1" ht="16.05" customFormat="1" customHeight="1" s="126">
      <c r="A141" s="125" t="n">
        <v>186</v>
      </c>
      <c r="B141" s="125" t="n"/>
      <c r="C141" s="130" t="inlineStr">
        <is>
          <t>Москва</t>
        </is>
      </c>
      <c r="D141" s="130" t="inlineStr">
        <is>
          <t>Москва</t>
        </is>
      </c>
      <c r="E141" s="130" t="inlineStr">
        <is>
          <t>ЮВАО</t>
        </is>
      </c>
      <c r="F141" s="130" t="inlineStr">
        <is>
          <t>АЗС</t>
        </is>
      </c>
      <c r="G141" s="130" t="inlineStr">
        <is>
          <t>Роснефть</t>
        </is>
      </c>
      <c r="H141" s="131" t="inlineStr">
        <is>
          <t>MR049</t>
        </is>
      </c>
      <c r="I141" s="637" t="inlineStr">
        <is>
          <t>RN_049</t>
        </is>
      </c>
      <c r="J141" s="637" t="inlineStr">
        <is>
          <t>MSK_RN_0049</t>
        </is>
      </c>
      <c r="K141" s="640" t="n">
        <v>1</v>
      </c>
      <c r="L141" s="640" t="n">
        <v>1</v>
      </c>
      <c r="M141" s="623" t="inlineStr">
        <is>
          <t>Samsung 32" вертикальный</t>
        </is>
      </c>
      <c r="N141" s="640" t="n"/>
      <c r="O141" s="640">
        <f>IF(AND(N141=1,L141=1),K141,"")</f>
        <v/>
      </c>
      <c r="P141" s="642" t="inlineStr">
        <is>
          <t>Москва,  Академика Скрябина, д.11</t>
        </is>
      </c>
      <c r="Q141" s="640" t="inlineStr">
        <is>
          <t>55.71172</t>
        </is>
      </c>
      <c r="R141" s="494" t="inlineStr">
        <is>
          <t>37.796346</t>
        </is>
      </c>
      <c r="S141" s="436" t="n"/>
      <c r="T141" s="436" t="n"/>
      <c r="U141" s="436" t="n"/>
      <c r="V141" s="438">
        <f>IF(AND(N141=1,U141=1),C141,"")</f>
        <v/>
      </c>
      <c r="W141" s="387" t="n"/>
      <c r="X141" s="387" t="n"/>
      <c r="Y141" s="387" t="n"/>
    </row>
    <row r="142" hidden="1" ht="16.05" customFormat="1" customHeight="1" s="126">
      <c r="A142" s="125" t="n">
        <v>187</v>
      </c>
      <c r="B142" s="125" t="n"/>
      <c r="C142" s="130" t="inlineStr">
        <is>
          <t>Москва</t>
        </is>
      </c>
      <c r="D142" s="130" t="inlineStr">
        <is>
          <t>Москва</t>
        </is>
      </c>
      <c r="E142" s="130" t="inlineStr">
        <is>
          <t>ВАО</t>
        </is>
      </c>
      <c r="F142" s="130" t="inlineStr">
        <is>
          <t>АЗС</t>
        </is>
      </c>
      <c r="G142" s="130" t="inlineStr">
        <is>
          <t>Роснефть</t>
        </is>
      </c>
      <c r="H142" s="131" t="inlineStr">
        <is>
          <t>MR054</t>
        </is>
      </c>
      <c r="I142" s="637" t="inlineStr">
        <is>
          <t>RN_054</t>
        </is>
      </c>
      <c r="J142" s="637" t="inlineStr">
        <is>
          <t>MSK_RN_0054</t>
        </is>
      </c>
      <c r="K142" s="640" t="n">
        <v>1</v>
      </c>
      <c r="L142" s="640" t="n">
        <v>1</v>
      </c>
      <c r="M142" s="623" t="inlineStr">
        <is>
          <t>Samsung 32" вертикальный</t>
        </is>
      </c>
      <c r="N142" s="640" t="n"/>
      <c r="O142" s="640">
        <f>IF(AND(N142=1,L142=1),K142,"")</f>
        <v/>
      </c>
      <c r="P142" s="642" t="inlineStr">
        <is>
          <t>Москва,  Перовская, д.68а</t>
        </is>
      </c>
      <c r="Q142" s="640" t="inlineStr">
        <is>
          <t>55.743631</t>
        </is>
      </c>
      <c r="R142" s="494" t="inlineStr">
        <is>
          <t>37.810311</t>
        </is>
      </c>
      <c r="S142" s="436" t="n"/>
      <c r="T142" s="436" t="n"/>
      <c r="U142" s="436" t="n"/>
      <c r="V142" s="438">
        <f>IF(AND(N142=1,U142=1),C142,"")</f>
        <v/>
      </c>
      <c r="W142" s="387" t="n"/>
      <c r="X142" s="387" t="n"/>
      <c r="Y142" s="387" t="n"/>
    </row>
    <row r="143" hidden="1" ht="16.05" customFormat="1" customHeight="1" s="126">
      <c r="A143" s="125" t="n">
        <v>188</v>
      </c>
      <c r="B143" s="125" t="n"/>
      <c r="C143" s="130" t="inlineStr">
        <is>
          <t>Москва</t>
        </is>
      </c>
      <c r="D143" s="130" t="inlineStr">
        <is>
          <t>Москва</t>
        </is>
      </c>
      <c r="E143" s="130" t="inlineStr">
        <is>
          <t>ЮВАО</t>
        </is>
      </c>
      <c r="F143" s="130" t="inlineStr">
        <is>
          <t>АЗС</t>
        </is>
      </c>
      <c r="G143" s="130" t="inlineStr">
        <is>
          <t>Роснефть</t>
        </is>
      </c>
      <c r="H143" s="131" t="inlineStr">
        <is>
          <t>MR057</t>
        </is>
      </c>
      <c r="I143" s="637" t="inlineStr">
        <is>
          <t>RN_057</t>
        </is>
      </c>
      <c r="J143" s="637" t="inlineStr">
        <is>
          <t>MSK_RN_0057</t>
        </is>
      </c>
      <c r="K143" s="640" t="n">
        <v>1</v>
      </c>
      <c r="L143" s="640" t="n">
        <v>1</v>
      </c>
      <c r="M143" s="623" t="inlineStr">
        <is>
          <t>Samsung 32" вертикальный</t>
        </is>
      </c>
      <c r="N143" s="640" t="n"/>
      <c r="O143" s="640">
        <f>IF(AND(N143=1,L143=1),K143,"")</f>
        <v/>
      </c>
      <c r="P143" s="642" t="inlineStr">
        <is>
          <t>Москва, Рязанский пр-т вл. 26 корп. 2</t>
        </is>
      </c>
      <c r="Q143" s="640" t="inlineStr">
        <is>
          <t>55.719455</t>
        </is>
      </c>
      <c r="R143" s="494" t="inlineStr">
        <is>
          <t>37.777284</t>
        </is>
      </c>
      <c r="S143" s="436" t="n"/>
      <c r="T143" s="436" t="n"/>
      <c r="U143" s="436" t="n"/>
      <c r="V143" s="438">
        <f>IF(AND(N143=1,U143=1),C143,"")</f>
        <v/>
      </c>
      <c r="W143" s="387" t="n"/>
      <c r="X143" s="387" t="n"/>
      <c r="Y143" s="387" t="n"/>
    </row>
    <row r="144" hidden="1" ht="16.05" customFormat="1" customHeight="1" s="126">
      <c r="A144" s="125" t="n">
        <v>189</v>
      </c>
      <c r="B144" s="125" t="inlineStr">
        <is>
          <t>WF</t>
        </is>
      </c>
      <c r="C144" s="130" t="inlineStr">
        <is>
          <t>Москва</t>
        </is>
      </c>
      <c r="D144" s="130" t="inlineStr">
        <is>
          <t>Москва</t>
        </is>
      </c>
      <c r="E144" s="130" t="inlineStr">
        <is>
          <t>ЮВАО</t>
        </is>
      </c>
      <c r="F144" s="130" t="inlineStr">
        <is>
          <t>АЗС</t>
        </is>
      </c>
      <c r="G144" s="130" t="inlineStr">
        <is>
          <t>Роснефть</t>
        </is>
      </c>
      <c r="H144" s="131" t="inlineStr">
        <is>
          <t>MR058</t>
        </is>
      </c>
      <c r="I144" s="637" t="inlineStr">
        <is>
          <t>RN_058</t>
        </is>
      </c>
      <c r="J144" s="637" t="inlineStr">
        <is>
          <t>MSK_BP_RN58</t>
        </is>
      </c>
      <c r="K144" s="640" t="n">
        <v>2</v>
      </c>
      <c r="L144" s="640" t="n">
        <v>1</v>
      </c>
      <c r="M144" s="623" t="inlineStr">
        <is>
          <t>Samsung 32" вертикальный</t>
        </is>
      </c>
      <c r="N144" s="640" t="n"/>
      <c r="O144" s="640">
        <f>IF(AND(N144=1,L144=1),K144,"")</f>
        <v/>
      </c>
      <c r="P144" s="642" t="inlineStr">
        <is>
          <t>Москва,  Марьинский парк, вл. 53</t>
        </is>
      </c>
      <c r="Q144" s="640" t="inlineStr">
        <is>
          <t>55.674628</t>
        </is>
      </c>
      <c r="R144" s="494" t="inlineStr">
        <is>
          <t>37.793212</t>
        </is>
      </c>
      <c r="S144" s="438" t="n"/>
      <c r="T144" s="436" t="n"/>
      <c r="U144" s="436" t="n"/>
      <c r="V144" s="438">
        <f>IF(AND(N144=1,U144=1),C144,"")</f>
        <v/>
      </c>
      <c r="W144" s="387" t="n"/>
      <c r="X144" s="387" t="n"/>
      <c r="Y144" s="387" t="n"/>
    </row>
    <row r="145" hidden="1" ht="16.05" customFormat="1" customHeight="1" s="126">
      <c r="A145" s="125" t="n">
        <v>190</v>
      </c>
      <c r="B145" s="125" t="n"/>
      <c r="C145" s="130" t="inlineStr">
        <is>
          <t>Москва</t>
        </is>
      </c>
      <c r="D145" s="130" t="inlineStr">
        <is>
          <t>Москва</t>
        </is>
      </c>
      <c r="E145" s="130" t="inlineStr">
        <is>
          <t>СВАО</t>
        </is>
      </c>
      <c r="F145" s="130" t="inlineStr">
        <is>
          <t>АЗС</t>
        </is>
      </c>
      <c r="G145" s="130" t="inlineStr">
        <is>
          <t>Роснефть</t>
        </is>
      </c>
      <c r="H145" s="131" t="inlineStr">
        <is>
          <t>MR060</t>
        </is>
      </c>
      <c r="I145" s="637" t="inlineStr">
        <is>
          <t>RN_060</t>
        </is>
      </c>
      <c r="J145" s="637" t="inlineStr">
        <is>
          <t>MSK_RN_0060</t>
        </is>
      </c>
      <c r="K145" s="640" t="n">
        <v>1</v>
      </c>
      <c r="L145" s="640" t="n">
        <v>1</v>
      </c>
      <c r="M145" s="623" t="inlineStr">
        <is>
          <t>Samsung 32" вертикальный</t>
        </is>
      </c>
      <c r="N145" s="640" t="n"/>
      <c r="O145" s="640">
        <f>IF(AND(N145=1,L145=1),K145,"")</f>
        <v/>
      </c>
      <c r="P145" s="642" t="inlineStr">
        <is>
          <t>Москва, Новосущевская, вл. 19</t>
        </is>
      </c>
      <c r="Q145" s="640" t="inlineStr">
        <is>
          <t>55.791405</t>
        </is>
      </c>
      <c r="R145" s="494" t="inlineStr">
        <is>
          <t>37.603864</t>
        </is>
      </c>
      <c r="S145" s="436" t="n"/>
      <c r="T145" s="436" t="n"/>
      <c r="U145" s="436" t="n"/>
      <c r="V145" s="438">
        <f>IF(AND(N145=1,U145=1),C145,"")</f>
        <v/>
      </c>
      <c r="W145" s="387" t="n"/>
      <c r="X145" s="387" t="n"/>
      <c r="Y145" s="387" t="n"/>
    </row>
    <row r="146" hidden="1" ht="16.05" customFormat="1" customHeight="1" s="126">
      <c r="A146" s="125" t="n">
        <v>191</v>
      </c>
      <c r="B146" s="125" t="n"/>
      <c r="C146" s="130" t="inlineStr">
        <is>
          <t>Москва</t>
        </is>
      </c>
      <c r="D146" s="130" t="inlineStr">
        <is>
          <t>Дедовск</t>
        </is>
      </c>
      <c r="E146" s="130" t="inlineStr">
        <is>
          <t>М9</t>
        </is>
      </c>
      <c r="F146" s="130" t="inlineStr">
        <is>
          <t>АЗС</t>
        </is>
      </c>
      <c r="G146" s="130" t="inlineStr">
        <is>
          <t>Роснефть</t>
        </is>
      </c>
      <c r="H146" s="131" t="inlineStr">
        <is>
          <t>MR064</t>
        </is>
      </c>
      <c r="I146" s="637" t="inlineStr">
        <is>
          <t>RN_064</t>
        </is>
      </c>
      <c r="J146" s="637" t="inlineStr">
        <is>
          <t>MSK_RN_0064</t>
        </is>
      </c>
      <c r="K146" s="640" t="n">
        <v>1</v>
      </c>
      <c r="L146" s="640" t="n">
        <v>1</v>
      </c>
      <c r="M146" s="623" t="inlineStr">
        <is>
          <t>Samsung 32" вертикальный</t>
        </is>
      </c>
      <c r="N146" s="640" t="n"/>
      <c r="O146" s="640">
        <f>IF(AND(N146=1,L146=1),K146,"")</f>
        <v/>
      </c>
      <c r="P146" s="642" t="inlineStr">
        <is>
          <t>Московская область, Истринский район, г. Дедовск,  1-я Волоколамская, д. 60</t>
        </is>
      </c>
      <c r="Q146" s="640" t="inlineStr">
        <is>
          <t>55.874701</t>
        </is>
      </c>
      <c r="R146" s="494" t="inlineStr">
        <is>
          <t>37.126576</t>
        </is>
      </c>
      <c r="S146" s="436" t="n"/>
      <c r="T146" s="436" t="n"/>
      <c r="U146" s="436" t="n"/>
      <c r="V146" s="438">
        <f>IF(AND(N146=1,U146=1),C146,"")</f>
        <v/>
      </c>
      <c r="W146" s="387" t="n"/>
      <c r="X146" s="387" t="n"/>
      <c r="Y146" s="387" t="n"/>
    </row>
    <row r="147" hidden="1" ht="16.05" customFormat="1" customHeight="1" s="126">
      <c r="A147" s="125" t="n">
        <v>192</v>
      </c>
      <c r="B147" s="125" t="n"/>
      <c r="C147" s="130" t="inlineStr">
        <is>
          <t>Москва</t>
        </is>
      </c>
      <c r="D147" s="130" t="inlineStr">
        <is>
          <t>Москва</t>
        </is>
      </c>
      <c r="E147" s="130" t="inlineStr">
        <is>
          <t>СЗАО</t>
        </is>
      </c>
      <c r="F147" s="130" t="inlineStr">
        <is>
          <t>АЗС</t>
        </is>
      </c>
      <c r="G147" s="130" t="inlineStr">
        <is>
          <t>Роснефть</t>
        </is>
      </c>
      <c r="H147" s="131" t="inlineStr">
        <is>
          <t>MR065</t>
        </is>
      </c>
      <c r="I147" s="637" t="inlineStr">
        <is>
          <t>RN_065</t>
        </is>
      </c>
      <c r="J147" s="637" t="inlineStr">
        <is>
          <t>MSK_RN_0065</t>
        </is>
      </c>
      <c r="K147" s="640" t="n">
        <v>1</v>
      </c>
      <c r="L147" s="640" t="n">
        <v>1</v>
      </c>
      <c r="M147" s="623" t="inlineStr">
        <is>
          <t>Samsung 32" вертикальный</t>
        </is>
      </c>
      <c r="N147" s="640" t="n"/>
      <c r="O147" s="640">
        <f>IF(AND(N147=1,L147=1),K147,"")</f>
        <v/>
      </c>
      <c r="P147" s="642" t="inlineStr">
        <is>
          <t>Москва, Волоколамское ш., д. 79</t>
        </is>
      </c>
      <c r="Q147" s="640" t="inlineStr">
        <is>
          <t>55.82637</t>
        </is>
      </c>
      <c r="R147" s="494" t="inlineStr">
        <is>
          <t>37.420785</t>
        </is>
      </c>
      <c r="S147" s="436" t="n"/>
      <c r="T147" s="436" t="n"/>
      <c r="U147" s="436" t="n"/>
      <c r="V147" s="438">
        <f>IF(AND(N147=1,U147=1),C147,"")</f>
        <v/>
      </c>
      <c r="W147" s="387" t="n"/>
      <c r="X147" s="387" t="n"/>
      <c r="Y147" s="387" t="n"/>
    </row>
    <row r="148" hidden="1" ht="16.05" customFormat="1" customHeight="1" s="126">
      <c r="A148" s="125" t="n">
        <v>193</v>
      </c>
      <c r="B148" s="125" t="n"/>
      <c r="C148" s="130" t="inlineStr">
        <is>
          <t>Москва</t>
        </is>
      </c>
      <c r="D148" s="130" t="inlineStr">
        <is>
          <t>Московская область</t>
        </is>
      </c>
      <c r="E148" s="130" t="inlineStr">
        <is>
          <t>М10</t>
        </is>
      </c>
      <c r="F148" s="130" t="inlineStr">
        <is>
          <t>АЗС</t>
        </is>
      </c>
      <c r="G148" s="130" t="inlineStr">
        <is>
          <t>Роснефть</t>
        </is>
      </c>
      <c r="H148" s="131" t="inlineStr">
        <is>
          <t>MR066</t>
        </is>
      </c>
      <c r="I148" s="637" t="inlineStr">
        <is>
          <t>RN_066</t>
        </is>
      </c>
      <c r="J148" s="637" t="inlineStr">
        <is>
          <t>MSK_RN_0066</t>
        </is>
      </c>
      <c r="K148" s="640" t="n">
        <v>1</v>
      </c>
      <c r="L148" s="640" t="n">
        <v>1</v>
      </c>
      <c r="M148" s="623" t="inlineStr">
        <is>
          <t>Samsung 32" вертикальный</t>
        </is>
      </c>
      <c r="N148" s="640" t="n"/>
      <c r="O148" s="640">
        <f>IF(AND(N148=1,L148=1),K148,"")</f>
        <v/>
      </c>
      <c r="P148" s="642" t="inlineStr">
        <is>
          <t>Московская область,  Солнечногорский район, в районе д. Марьино, на пересечении Пятницкого шоссе и МБК</t>
        </is>
      </c>
      <c r="Q148" s="640" t="inlineStr">
        <is>
          <t>56.005742</t>
        </is>
      </c>
      <c r="R148" s="494" t="inlineStr">
        <is>
          <t>37.025842</t>
        </is>
      </c>
      <c r="S148" s="436" t="n"/>
      <c r="T148" s="436" t="n"/>
      <c r="U148" s="436" t="n"/>
      <c r="V148" s="438">
        <f>IF(AND(N148=1,U148=1),C148,"")</f>
        <v/>
      </c>
      <c r="W148" s="387" t="n"/>
      <c r="X148" s="387" t="n"/>
      <c r="Y148" s="387" t="n"/>
    </row>
    <row r="149" hidden="1" ht="16.05" customFormat="1" customHeight="1" s="126">
      <c r="A149" s="125" t="n">
        <v>194</v>
      </c>
      <c r="B149" s="125" t="n"/>
      <c r="C149" s="130" t="inlineStr">
        <is>
          <t>Москва</t>
        </is>
      </c>
      <c r="D149" s="130" t="inlineStr">
        <is>
          <t>Дедовск</t>
        </is>
      </c>
      <c r="E149" s="130" t="inlineStr">
        <is>
          <t>М9</t>
        </is>
      </c>
      <c r="F149" s="130" t="inlineStr">
        <is>
          <t>АЗС</t>
        </is>
      </c>
      <c r="G149" s="130" t="inlineStr">
        <is>
          <t>Роснефть</t>
        </is>
      </c>
      <c r="H149" s="131" t="inlineStr">
        <is>
          <t>MR067</t>
        </is>
      </c>
      <c r="I149" s="637" t="inlineStr">
        <is>
          <t>RN_067</t>
        </is>
      </c>
      <c r="J149" s="637" t="inlineStr">
        <is>
          <t>MSK_RN_0067</t>
        </is>
      </c>
      <c r="K149" s="640" t="n">
        <v>1</v>
      </c>
      <c r="L149" s="640" t="n">
        <v>1</v>
      </c>
      <c r="M149" s="623" t="inlineStr">
        <is>
          <t>Samsung 32" вертикальный</t>
        </is>
      </c>
      <c r="N149" s="640" t="n"/>
      <c r="O149" s="640">
        <f>IF(AND(N149=1,L149=1),K149,"")</f>
        <v/>
      </c>
      <c r="P149" s="642" t="inlineStr">
        <is>
          <t>Московская область, Истринский район, г. Дедовск, 36-й км Волоколамского шоссе, 48 квартал Дедовского лесничества</t>
        </is>
      </c>
      <c r="Q149" s="640" t="inlineStr">
        <is>
          <t>55.864473</t>
        </is>
      </c>
      <c r="R149" s="494" t="inlineStr">
        <is>
          <t>37.149433</t>
        </is>
      </c>
      <c r="S149" s="436" t="n"/>
      <c r="T149" s="436" t="n"/>
      <c r="U149" s="436" t="n"/>
      <c r="V149" s="438">
        <f>IF(AND(N149=1,U149=1),C149,"")</f>
        <v/>
      </c>
      <c r="W149" s="387" t="n"/>
      <c r="X149" s="387" t="n"/>
      <c r="Y149" s="387" t="n"/>
    </row>
    <row r="150" hidden="1" ht="16.05" customFormat="1" customHeight="1" s="126">
      <c r="A150" s="125" t="n">
        <v>195</v>
      </c>
      <c r="B150" s="125" t="n"/>
      <c r="C150" s="130" t="inlineStr">
        <is>
          <t>Москва</t>
        </is>
      </c>
      <c r="D150" s="130" t="inlineStr">
        <is>
          <t>Истра</t>
        </is>
      </c>
      <c r="E150" s="130" t="inlineStr">
        <is>
          <t>М9</t>
        </is>
      </c>
      <c r="F150" s="130" t="inlineStr">
        <is>
          <t>АЗС</t>
        </is>
      </c>
      <c r="G150" s="130" t="inlineStr">
        <is>
          <t>Роснефть</t>
        </is>
      </c>
      <c r="H150" s="131" t="inlineStr">
        <is>
          <t>MR068</t>
        </is>
      </c>
      <c r="I150" s="637" t="inlineStr">
        <is>
          <t>RN_068</t>
        </is>
      </c>
      <c r="J150" s="637" t="inlineStr">
        <is>
          <t>MSK_RN_0068</t>
        </is>
      </c>
      <c r="K150" s="640" t="n">
        <v>1</v>
      </c>
      <c r="L150" s="640" t="n">
        <v>1</v>
      </c>
      <c r="M150" s="623" t="inlineStr">
        <is>
          <t>Samsung 32" вертикальный</t>
        </is>
      </c>
      <c r="N150" s="640" t="n"/>
      <c r="O150" s="640">
        <f>IF(AND(N150=1,L150=1),K150,"")</f>
        <v/>
      </c>
      <c r="P150" s="642" t="inlineStr">
        <is>
          <t>Московская область, г. Истра,  Юбилейная, АЗС</t>
        </is>
      </c>
      <c r="Q150" s="640" t="inlineStr">
        <is>
          <t>55.903579</t>
        </is>
      </c>
      <c r="R150" s="494" t="inlineStr">
        <is>
          <t>36.859812</t>
        </is>
      </c>
      <c r="S150" s="436" t="n"/>
      <c r="T150" s="436" t="n"/>
      <c r="U150" s="436" t="n"/>
      <c r="V150" s="438">
        <f>IF(AND(N150=1,U150=1),C150,"")</f>
        <v/>
      </c>
      <c r="W150" s="387" t="n"/>
      <c r="X150" s="387" t="n"/>
      <c r="Y150" s="387" t="n"/>
    </row>
    <row r="151" hidden="1" ht="16.05" customFormat="1" customHeight="1" s="126">
      <c r="A151" s="125" t="n">
        <v>196</v>
      </c>
      <c r="B151" s="125" t="n"/>
      <c r="C151" s="130" t="inlineStr">
        <is>
          <t>Москва</t>
        </is>
      </c>
      <c r="D151" s="130" t="inlineStr">
        <is>
          <t>Московская область</t>
        </is>
      </c>
      <c r="E151" s="130" t="inlineStr">
        <is>
          <t>М1</t>
        </is>
      </c>
      <c r="F151" s="130" t="inlineStr">
        <is>
          <t>АЗС</t>
        </is>
      </c>
      <c r="G151" s="130" t="inlineStr">
        <is>
          <t>Роснефть</t>
        </is>
      </c>
      <c r="H151" s="131" t="inlineStr">
        <is>
          <t>MR069</t>
        </is>
      </c>
      <c r="I151" s="637" t="inlineStr">
        <is>
          <t>RN_069</t>
        </is>
      </c>
      <c r="J151" s="402" t="inlineStr">
        <is>
          <t>MSK_RN_0069</t>
        </is>
      </c>
      <c r="K151" s="640" t="n">
        <v>1</v>
      </c>
      <c r="L151" s="640" t="n">
        <v>0</v>
      </c>
      <c r="M151" s="640" t="inlineStr">
        <is>
          <t>Samsung 32" вертикальный</t>
        </is>
      </c>
      <c r="N151" s="640" t="n"/>
      <c r="O151" s="640">
        <f>IF(AND(N151=1,L151=1),K151,"")</f>
        <v/>
      </c>
      <c r="P151" s="642" t="inlineStr">
        <is>
          <t>Московская область, Одинцовский район, 72 км Минского шоссе</t>
        </is>
      </c>
      <c r="Q151" s="640" t="n">
        <v>55.557566</v>
      </c>
      <c r="R151" s="422" t="n">
        <v>36.572791</v>
      </c>
      <c r="S151" s="436" t="n"/>
      <c r="T151" s="436" t="n"/>
      <c r="U151" s="436" t="n"/>
      <c r="V151" s="438">
        <f>IF(AND(N151=1,U151=1),C151,"")</f>
        <v/>
      </c>
      <c r="W151" s="387" t="n"/>
      <c r="X151" s="1" t="n"/>
      <c r="Y151" s="1" t="n"/>
    </row>
    <row r="152" hidden="1" ht="16.05" customFormat="1" customHeight="1" s="126">
      <c r="A152" s="125" t="n">
        <v>197</v>
      </c>
      <c r="B152" s="125" t="n"/>
      <c r="C152" s="130" t="inlineStr">
        <is>
          <t>Москва</t>
        </is>
      </c>
      <c r="D152" s="130" t="inlineStr">
        <is>
          <t>Московская область</t>
        </is>
      </c>
      <c r="E152" s="130" t="inlineStr">
        <is>
          <t>М1</t>
        </is>
      </c>
      <c r="F152" s="130" t="inlineStr">
        <is>
          <t>АЗС</t>
        </is>
      </c>
      <c r="G152" s="130" t="inlineStr">
        <is>
          <t>Роснефть</t>
        </is>
      </c>
      <c r="H152" s="131" t="inlineStr">
        <is>
          <t>MR070</t>
        </is>
      </c>
      <c r="I152" s="637" t="inlineStr">
        <is>
          <t>RN_070</t>
        </is>
      </c>
      <c r="J152" s="637" t="inlineStr">
        <is>
          <t>MSK_RN_0070</t>
        </is>
      </c>
      <c r="K152" s="640" t="n">
        <v>1</v>
      </c>
      <c r="L152" s="640" t="n">
        <v>1</v>
      </c>
      <c r="M152" s="623" t="inlineStr">
        <is>
          <t>Samsung 32" вертикальный</t>
        </is>
      </c>
      <c r="N152" s="640" t="n"/>
      <c r="O152" s="640">
        <f>IF(AND(N152=1,L152=1),K152,"")</f>
        <v/>
      </c>
      <c r="P152" s="642" t="inlineStr">
        <is>
          <t>Московская область, Рузский район,  Старорузский с/о, дер, Нестерово</t>
        </is>
      </c>
      <c r="Q152" s="640" t="inlineStr">
        <is>
          <t>55.62507</t>
        </is>
      </c>
      <c r="R152" s="494" t="inlineStr">
        <is>
          <t>36.343017</t>
        </is>
      </c>
      <c r="S152" s="325" t="n"/>
      <c r="T152" s="325" t="n"/>
      <c r="U152" s="325" t="n"/>
      <c r="V152" s="438">
        <f>IF(AND(N152=1,U152=1),C152,"")</f>
        <v/>
      </c>
      <c r="W152" s="387" t="n"/>
      <c r="X152" s="387" t="n"/>
      <c r="Y152" s="387" t="n"/>
    </row>
    <row r="153" hidden="1" ht="16.05" customFormat="1" customHeight="1" s="126">
      <c r="A153" s="125" t="n">
        <v>198</v>
      </c>
      <c r="B153" s="125" t="n"/>
      <c r="C153" s="130" t="inlineStr">
        <is>
          <t>Москва</t>
        </is>
      </c>
      <c r="D153" s="130" t="inlineStr">
        <is>
          <t>Московская область</t>
        </is>
      </c>
      <c r="E153" s="130" t="inlineStr">
        <is>
          <t>М1</t>
        </is>
      </c>
      <c r="F153" s="130" t="inlineStr">
        <is>
          <t>АЗС</t>
        </is>
      </c>
      <c r="G153" s="130" t="inlineStr">
        <is>
          <t>Роснефть</t>
        </is>
      </c>
      <c r="H153" s="131" t="inlineStr">
        <is>
          <t>MR071</t>
        </is>
      </c>
      <c r="I153" s="637" t="inlineStr">
        <is>
          <t>RN_071</t>
        </is>
      </c>
      <c r="J153" s="637" t="inlineStr">
        <is>
          <t>MSK_RN_0071</t>
        </is>
      </c>
      <c r="K153" s="640" t="n">
        <v>1</v>
      </c>
      <c r="L153" s="640" t="n">
        <v>1</v>
      </c>
      <c r="M153" s="623" t="inlineStr">
        <is>
          <t>Samsung 32" вертикальный</t>
        </is>
      </c>
      <c r="N153" s="640" t="n"/>
      <c r="O153" s="640">
        <f>IF(AND(N153=1,L153=1),K153,"")</f>
        <v/>
      </c>
      <c r="P153" s="642" t="inlineStr">
        <is>
          <t>Московская область, Рузский район,  Волковский  с/о,  вблизи дер. Нововолково</t>
        </is>
      </c>
      <c r="Q153" s="640" t="inlineStr">
        <is>
          <t>55.777057</t>
        </is>
      </c>
      <c r="R153" s="494" t="inlineStr">
        <is>
          <t>36.270589</t>
        </is>
      </c>
      <c r="S153" s="325" t="n"/>
      <c r="T153" s="325" t="n"/>
      <c r="U153" s="325" t="n"/>
      <c r="V153" s="438">
        <f>IF(AND(N153=1,U153=1),C153,"")</f>
        <v/>
      </c>
      <c r="W153" s="387" t="n"/>
      <c r="X153" s="387" t="n"/>
      <c r="Y153" s="387" t="n"/>
    </row>
    <row r="154" hidden="1" ht="16.05" customFormat="1" customHeight="1" s="126">
      <c r="A154" s="125" t="n">
        <v>199</v>
      </c>
      <c r="B154" s="125" t="n"/>
      <c r="C154" s="130" t="inlineStr">
        <is>
          <t>Москва</t>
        </is>
      </c>
      <c r="D154" s="130" t="inlineStr">
        <is>
          <t>Московская область</t>
        </is>
      </c>
      <c r="E154" s="130" t="inlineStr">
        <is>
          <t>М9</t>
        </is>
      </c>
      <c r="F154" s="130" t="inlineStr">
        <is>
          <t>АЗС</t>
        </is>
      </c>
      <c r="G154" s="130" t="inlineStr">
        <is>
          <t>Роснефть</t>
        </is>
      </c>
      <c r="H154" s="131" t="inlineStr">
        <is>
          <t>MR072</t>
        </is>
      </c>
      <c r="I154" s="637" t="inlineStr">
        <is>
          <t>RN_072</t>
        </is>
      </c>
      <c r="J154" s="637" t="inlineStr">
        <is>
          <t>MSK_RN_0072</t>
        </is>
      </c>
      <c r="K154" s="640" t="n">
        <v>1</v>
      </c>
      <c r="L154" s="640" t="n">
        <v>1</v>
      </c>
      <c r="M154" s="623" t="inlineStr">
        <is>
          <t>Samsung 32" вертикальный</t>
        </is>
      </c>
      <c r="N154" s="640" t="n"/>
      <c r="O154" s="640">
        <f>IF(AND(N154=1,L154=1),K154,"")</f>
        <v/>
      </c>
      <c r="P154" s="642" t="inlineStr">
        <is>
          <t xml:space="preserve">Московская область, Истринский район, Новопетровский с.о., пос. Румянцево, 79 км. Волоколамского шоссе </t>
        </is>
      </c>
      <c r="Q154" s="640" t="inlineStr">
        <is>
          <t>55.971357</t>
        </is>
      </c>
      <c r="R154" s="494" t="inlineStr">
        <is>
          <t>36.542647</t>
        </is>
      </c>
      <c r="S154" s="325" t="n"/>
      <c r="T154" s="325" t="n"/>
      <c r="U154" s="325" t="n"/>
      <c r="V154" s="438">
        <f>IF(AND(N154=1,U154=1),C154,"")</f>
        <v/>
      </c>
      <c r="W154" s="387" t="n"/>
      <c r="X154" s="387" t="n"/>
      <c r="Y154" s="387" t="n"/>
    </row>
    <row r="155" hidden="1" ht="16.05" customFormat="1" customHeight="1" s="126">
      <c r="A155" s="125" t="n">
        <v>200</v>
      </c>
      <c r="B155" s="125" t="n"/>
      <c r="C155" s="130" t="inlineStr">
        <is>
          <t>Москва</t>
        </is>
      </c>
      <c r="D155" s="130" t="inlineStr">
        <is>
          <t>Московская область</t>
        </is>
      </c>
      <c r="E155" s="130" t="inlineStr">
        <is>
          <t>М9</t>
        </is>
      </c>
      <c r="F155" s="130" t="inlineStr">
        <is>
          <t>АЗС</t>
        </is>
      </c>
      <c r="G155" s="130" t="inlineStr">
        <is>
          <t>Роснефть</t>
        </is>
      </c>
      <c r="H155" s="131" t="inlineStr">
        <is>
          <t>MR073</t>
        </is>
      </c>
      <c r="I155" s="637" t="inlineStr">
        <is>
          <t>RN_073</t>
        </is>
      </c>
      <c r="J155" s="637" t="inlineStr">
        <is>
          <t>MSK_RN_0073</t>
        </is>
      </c>
      <c r="K155" s="640" t="n">
        <v>2</v>
      </c>
      <c r="L155" s="640" t="n">
        <v>1</v>
      </c>
      <c r="M155" s="623" t="inlineStr">
        <is>
          <t>Samsung 32" вертикальный</t>
        </is>
      </c>
      <c r="N155" s="640" t="n"/>
      <c r="O155" s="640">
        <f>IF(AND(N155=1,L155=1),K155,"")</f>
        <v/>
      </c>
      <c r="P155" s="642" t="inlineStr">
        <is>
          <t>Московская область, Истринский район, Лучинский с.о., 59 км а/м "Балтия" (из Москвы)</t>
        </is>
      </c>
      <c r="Q155" s="640" t="inlineStr">
        <is>
          <t>55.853936</t>
        </is>
      </c>
      <c r="R155" s="422" t="inlineStr">
        <is>
          <t>36.781641</t>
        </is>
      </c>
      <c r="S155" s="325" t="n"/>
      <c r="T155" s="325" t="n"/>
      <c r="U155" s="325" t="n"/>
      <c r="V155" s="438">
        <f>IF(AND(N155=1,U155=1),C155,"")</f>
        <v/>
      </c>
      <c r="W155" s="387" t="n"/>
      <c r="X155" s="387" t="n"/>
      <c r="Y155" s="387" t="n"/>
    </row>
    <row r="156" hidden="1" ht="16.05" customFormat="1" customHeight="1" s="126">
      <c r="A156" s="125" t="n">
        <v>201</v>
      </c>
      <c r="B156" s="125" t="n"/>
      <c r="C156" s="130" t="inlineStr">
        <is>
          <t>Москва</t>
        </is>
      </c>
      <c r="D156" s="130" t="inlineStr">
        <is>
          <t>Московская область</t>
        </is>
      </c>
      <c r="E156" s="130" t="inlineStr">
        <is>
          <t>М9</t>
        </is>
      </c>
      <c r="F156" s="130" t="inlineStr">
        <is>
          <t>АЗС</t>
        </is>
      </c>
      <c r="G156" s="130" t="inlineStr">
        <is>
          <t>Роснефть</t>
        </is>
      </c>
      <c r="H156" s="131" t="inlineStr">
        <is>
          <t>MR074</t>
        </is>
      </c>
      <c r="I156" s="637" t="inlineStr">
        <is>
          <t>RN_074</t>
        </is>
      </c>
      <c r="J156" s="637" t="inlineStr">
        <is>
          <t>MSK_RN_0074</t>
        </is>
      </c>
      <c r="K156" s="640" t="n">
        <v>2</v>
      </c>
      <c r="L156" s="640" t="n">
        <v>1</v>
      </c>
      <c r="M156" s="623" t="inlineStr">
        <is>
          <t>Samsung 32" вертикальный</t>
        </is>
      </c>
      <c r="N156" s="640" t="n"/>
      <c r="O156" s="640">
        <f>IF(AND(N156=1,L156=1),K156,"")</f>
        <v/>
      </c>
      <c r="P156" s="642" t="inlineStr">
        <is>
          <t>Московская область, Истринский район, Лучинский с.о., 59 км а/м "Балтия" (в Москву)</t>
        </is>
      </c>
      <c r="Q156" s="640" t="inlineStr">
        <is>
          <t>55.851966</t>
        </is>
      </c>
      <c r="R156" s="422" t="inlineStr">
        <is>
          <t>36.783528</t>
        </is>
      </c>
      <c r="S156" s="325" t="n"/>
      <c r="T156" s="325" t="n"/>
      <c r="U156" s="325" t="n"/>
      <c r="V156" s="438">
        <f>IF(AND(N156=1,U156=1),C156,"")</f>
        <v/>
      </c>
      <c r="W156" s="387" t="n"/>
      <c r="X156" s="387" t="n"/>
      <c r="Y156" s="387" t="n"/>
    </row>
    <row r="157" hidden="1" ht="16.05" customFormat="1" customHeight="1" s="126">
      <c r="A157" s="125" t="n">
        <v>202</v>
      </c>
      <c r="B157" s="125" t="n"/>
      <c r="C157" s="130" t="inlineStr">
        <is>
          <t>Москва</t>
        </is>
      </c>
      <c r="D157" s="130" t="inlineStr">
        <is>
          <t>Руза</t>
        </is>
      </c>
      <c r="E157" s="130" t="inlineStr">
        <is>
          <t>М1</t>
        </is>
      </c>
      <c r="F157" s="130" t="inlineStr">
        <is>
          <t>АЗС</t>
        </is>
      </c>
      <c r="G157" s="130" t="inlineStr">
        <is>
          <t>Роснефть</t>
        </is>
      </c>
      <c r="H157" s="131" t="inlineStr">
        <is>
          <t>MR075</t>
        </is>
      </c>
      <c r="I157" s="637" t="inlineStr">
        <is>
          <t>RN_075</t>
        </is>
      </c>
      <c r="J157" s="637" t="inlineStr">
        <is>
          <t>MSK_RN_0075</t>
        </is>
      </c>
      <c r="K157" s="640" t="n">
        <v>1</v>
      </c>
      <c r="L157" s="640" t="n">
        <v>1</v>
      </c>
      <c r="M157" s="623" t="inlineStr">
        <is>
          <t>Samsung 32" вертикальный</t>
        </is>
      </c>
      <c r="N157" s="640" t="n"/>
      <c r="O157" s="640">
        <f>IF(AND(N157=1,L157=1),K157,"")</f>
        <v/>
      </c>
      <c r="P157" s="642" t="inlineStr">
        <is>
          <t>Московская область, Рузский район, г. Руза,  Федеративная, дом 43</t>
        </is>
      </c>
      <c r="Q157" s="640" t="inlineStr">
        <is>
          <t>55.709459</t>
        </is>
      </c>
      <c r="R157" s="494" t="inlineStr">
        <is>
          <t>36.204768</t>
        </is>
      </c>
      <c r="S157" s="325" t="n"/>
      <c r="T157" s="325" t="n"/>
      <c r="U157" s="325" t="n"/>
      <c r="V157" s="438">
        <f>IF(AND(N157=1,U157=1),C157,"")</f>
        <v/>
      </c>
      <c r="W157" s="387" t="n"/>
      <c r="X157" s="387" t="n"/>
      <c r="Y157" s="387" t="n"/>
    </row>
    <row r="158" hidden="1" ht="16.05" customFormat="1" customHeight="1" s="126">
      <c r="A158" s="125" t="n">
        <v>203</v>
      </c>
      <c r="B158" s="125" t="n"/>
      <c r="C158" s="130" t="inlineStr">
        <is>
          <t>Москва</t>
        </is>
      </c>
      <c r="D158" s="130" t="inlineStr">
        <is>
          <t>Москва</t>
        </is>
      </c>
      <c r="E158" s="130" t="inlineStr">
        <is>
          <t>М5</t>
        </is>
      </c>
      <c r="F158" s="130" t="inlineStr">
        <is>
          <t>АЗС</t>
        </is>
      </c>
      <c r="G158" s="130" t="inlineStr">
        <is>
          <t>Роснефть</t>
        </is>
      </c>
      <c r="H158" s="131" t="inlineStr">
        <is>
          <t>MR076</t>
        </is>
      </c>
      <c r="I158" s="637" t="inlineStr">
        <is>
          <t>RN_076</t>
        </is>
      </c>
      <c r="J158" s="637" t="inlineStr">
        <is>
          <t>MSK_RN_0076</t>
        </is>
      </c>
      <c r="K158" s="640" t="n">
        <v>1</v>
      </c>
      <c r="L158" s="640" t="n">
        <v>1</v>
      </c>
      <c r="M158" s="623" t="inlineStr">
        <is>
          <t>Samsung 32" вертикальный</t>
        </is>
      </c>
      <c r="N158" s="640" t="n"/>
      <c r="O158" s="640">
        <f>IF(AND(N158=1,L158=1),K158,"")</f>
        <v/>
      </c>
      <c r="P158" s="642" t="inlineStr">
        <is>
          <t>Москва, 10 км МКАД (внутр. стор.), стр. 1</t>
        </is>
      </c>
      <c r="Q158" s="640" t="inlineStr">
        <is>
          <t>55.689422</t>
        </is>
      </c>
      <c r="R158" s="494" t="inlineStr">
        <is>
          <t>37.828946</t>
        </is>
      </c>
      <c r="S158" s="325" t="n"/>
      <c r="T158" s="325" t="n"/>
      <c r="U158" s="325" t="n"/>
      <c r="V158" s="438">
        <f>IF(AND(N158=1,U158=1),C158,"")</f>
        <v/>
      </c>
      <c r="W158" s="387" t="n"/>
      <c r="X158" s="387" t="n"/>
      <c r="Y158" s="387" t="n"/>
    </row>
    <row r="159" hidden="1" ht="16.05" customFormat="1" customHeight="1" s="126">
      <c r="A159" s="125" t="n">
        <v>204</v>
      </c>
      <c r="B159" s="125" t="n"/>
      <c r="C159" s="130" t="inlineStr">
        <is>
          <t>Москва</t>
        </is>
      </c>
      <c r="D159" s="130" t="inlineStr">
        <is>
          <t>Москва</t>
        </is>
      </c>
      <c r="E159" s="130" t="inlineStr">
        <is>
          <t>М10</t>
        </is>
      </c>
      <c r="F159" s="130" t="inlineStr">
        <is>
          <t>АЗС</t>
        </is>
      </c>
      <c r="G159" s="130" t="inlineStr">
        <is>
          <t>Роснефть</t>
        </is>
      </c>
      <c r="H159" s="131" t="inlineStr">
        <is>
          <t>MR077</t>
        </is>
      </c>
      <c r="I159" s="637" t="inlineStr">
        <is>
          <t>RN_077</t>
        </is>
      </c>
      <c r="J159" s="637" t="inlineStr">
        <is>
          <t>MSK_RN_0077</t>
        </is>
      </c>
      <c r="K159" s="640" t="n">
        <v>1</v>
      </c>
      <c r="L159" s="640" t="n">
        <v>1</v>
      </c>
      <c r="M159" s="623" t="inlineStr">
        <is>
          <t>Samsung 32" вертикальный</t>
        </is>
      </c>
      <c r="N159" s="640" t="n"/>
      <c r="O159" s="640">
        <f>IF(AND(N159=1,L159=1),K159,"")</f>
        <v/>
      </c>
      <c r="P159" s="642" t="inlineStr">
        <is>
          <t>Москва, г. Зеленоград, Панфиловский пр-т., д. 6</t>
        </is>
      </c>
      <c r="Q159" s="640" t="inlineStr">
        <is>
          <t>56.00953</t>
        </is>
      </c>
      <c r="R159" s="494" t="inlineStr">
        <is>
          <t>37.200821</t>
        </is>
      </c>
      <c r="S159" s="325" t="n"/>
      <c r="T159" s="325" t="n"/>
      <c r="U159" s="325" t="n"/>
      <c r="V159" s="438">
        <f>IF(AND(N159=1,U159=1),C159,"")</f>
        <v/>
      </c>
      <c r="W159" s="387" t="n"/>
      <c r="X159" s="387" t="n"/>
      <c r="Y159" s="387" t="n"/>
    </row>
    <row r="160" hidden="1" ht="16.05" customFormat="1" customHeight="1" s="126">
      <c r="A160" s="125" t="n">
        <v>205</v>
      </c>
      <c r="B160" s="125" t="n"/>
      <c r="C160" s="130" t="inlineStr">
        <is>
          <t>Москва</t>
        </is>
      </c>
      <c r="D160" s="130" t="inlineStr">
        <is>
          <t>Мытищи</t>
        </is>
      </c>
      <c r="E160" s="130" t="inlineStr">
        <is>
          <t>М8</t>
        </is>
      </c>
      <c r="F160" s="130" t="inlineStr">
        <is>
          <t>АЗС</t>
        </is>
      </c>
      <c r="G160" s="130" t="inlineStr">
        <is>
          <t>Роснефть</t>
        </is>
      </c>
      <c r="H160" s="131" t="inlineStr">
        <is>
          <t>MR078</t>
        </is>
      </c>
      <c r="I160" s="637" t="inlineStr">
        <is>
          <t>RN_078</t>
        </is>
      </c>
      <c r="J160" s="637" t="inlineStr">
        <is>
          <t>MSK_RN_0078</t>
        </is>
      </c>
      <c r="K160" s="640" t="n">
        <v>1</v>
      </c>
      <c r="L160" s="640" t="n">
        <v>1</v>
      </c>
      <c r="M160" s="623" t="inlineStr">
        <is>
          <t>Samsung 32" вертикальный</t>
        </is>
      </c>
      <c r="N160" s="640" t="n"/>
      <c r="O160" s="640">
        <f>IF(AND(N160=1,L160=1),K160,"")</f>
        <v/>
      </c>
      <c r="P160" s="642" t="inlineStr">
        <is>
          <t xml:space="preserve">Московская область, г. Мытищи, просп. Олимпийский, д. 38 а </t>
        </is>
      </c>
      <c r="Q160" s="640" t="inlineStr">
        <is>
          <t>55.926088</t>
        </is>
      </c>
      <c r="R160" s="422" t="inlineStr">
        <is>
          <t>37.755065</t>
        </is>
      </c>
      <c r="S160" s="325" t="n"/>
      <c r="T160" s="325" t="n"/>
      <c r="U160" s="325" t="n"/>
      <c r="V160" s="438">
        <f>IF(AND(N160=1,U160=1),C160,"")</f>
        <v/>
      </c>
      <c r="W160" s="387" t="n"/>
      <c r="X160" s="387" t="n"/>
      <c r="Y160" s="387" t="n"/>
    </row>
    <row r="161" hidden="1" ht="16.05" customFormat="1" customHeight="1" s="126">
      <c r="A161" s="125" t="n">
        <v>206</v>
      </c>
      <c r="B161" s="125" t="n"/>
      <c r="C161" s="130" t="inlineStr">
        <is>
          <t>Москва</t>
        </is>
      </c>
      <c r="D161" s="130" t="inlineStr">
        <is>
          <t>Мытищи</t>
        </is>
      </c>
      <c r="E161" s="130" t="inlineStr">
        <is>
          <t>М8</t>
        </is>
      </c>
      <c r="F161" s="130" t="inlineStr">
        <is>
          <t>АЗС</t>
        </is>
      </c>
      <c r="G161" s="130" t="inlineStr">
        <is>
          <t>Роснефть</t>
        </is>
      </c>
      <c r="H161" s="131" t="inlineStr">
        <is>
          <t>MR079</t>
        </is>
      </c>
      <c r="I161" s="637" t="inlineStr">
        <is>
          <t>RN_079</t>
        </is>
      </c>
      <c r="J161" s="637" t="inlineStr">
        <is>
          <t>MSK_RN_0079</t>
        </is>
      </c>
      <c r="K161" s="640" t="n">
        <v>1</v>
      </c>
      <c r="L161" s="640" t="n">
        <v>1</v>
      </c>
      <c r="M161" s="623" t="inlineStr">
        <is>
          <t>Samsung 32" вертикальный</t>
        </is>
      </c>
      <c r="N161" s="640" t="n"/>
      <c r="O161" s="640">
        <f>IF(AND(N161=1,L161=1),K161,"")</f>
        <v/>
      </c>
      <c r="P161" s="642" t="inlineStr">
        <is>
          <t xml:space="preserve">Московская область, г. Мытищи, Ярославское шоссе, д. 100 </t>
        </is>
      </c>
      <c r="Q161" s="640" t="inlineStr">
        <is>
          <t>55.909576</t>
        </is>
      </c>
      <c r="R161" s="494" t="inlineStr">
        <is>
          <t>37.777863</t>
        </is>
      </c>
      <c r="S161" s="325" t="n"/>
      <c r="T161" s="325" t="n"/>
      <c r="U161" s="325" t="n"/>
      <c r="V161" s="438">
        <f>IF(AND(N161=1,U161=1),C161,"")</f>
        <v/>
      </c>
      <c r="W161" s="387" t="n"/>
      <c r="X161" s="387" t="n"/>
      <c r="Y161" s="387" t="n"/>
    </row>
    <row r="162" hidden="1" ht="16.05" customFormat="1" customHeight="1" s="126">
      <c r="A162" s="125" t="n">
        <v>207</v>
      </c>
      <c r="B162" s="125" t="n"/>
      <c r="C162" s="130" t="inlineStr">
        <is>
          <t>Москва</t>
        </is>
      </c>
      <c r="D162" s="130" t="inlineStr">
        <is>
          <t>Московская область</t>
        </is>
      </c>
      <c r="E162" s="130" t="inlineStr">
        <is>
          <t>М8</t>
        </is>
      </c>
      <c r="F162" s="130" t="inlineStr">
        <is>
          <t>АЗС</t>
        </is>
      </c>
      <c r="G162" s="130" t="inlineStr">
        <is>
          <t>Роснефть</t>
        </is>
      </c>
      <c r="H162" s="131" t="inlineStr">
        <is>
          <t>MR080</t>
        </is>
      </c>
      <c r="I162" s="637" t="inlineStr">
        <is>
          <t>RN_080</t>
        </is>
      </c>
      <c r="J162" s="637" t="inlineStr">
        <is>
          <t>MSK_RN_0080</t>
        </is>
      </c>
      <c r="K162" s="640" t="n">
        <v>1</v>
      </c>
      <c r="L162" s="640" t="n">
        <v>1</v>
      </c>
      <c r="M162" s="623" t="inlineStr">
        <is>
          <t>Samsung 32" вертикальный</t>
        </is>
      </c>
      <c r="N162" s="640" t="n"/>
      <c r="O162" s="640">
        <f>IF(AND(N162=1,L162=1),K162,"")</f>
        <v/>
      </c>
      <c r="P162" s="642" t="inlineStr">
        <is>
          <t>Московская область, Мытищинский район, Ярославское шоссе, дом 141.</t>
        </is>
      </c>
      <c r="Q162" s="640" t="inlineStr">
        <is>
          <t>55.933106</t>
        </is>
      </c>
      <c r="R162" s="494" t="inlineStr">
        <is>
          <t>37.805437</t>
        </is>
      </c>
      <c r="S162" s="325" t="n"/>
      <c r="T162" s="325" t="n"/>
      <c r="U162" s="325" t="n"/>
      <c r="V162" s="438">
        <f>IF(AND(N162=1,U162=1),C162,"")</f>
        <v/>
      </c>
      <c r="W162" s="387" t="n"/>
      <c r="X162" s="387" t="n"/>
      <c r="Y162" s="387" t="n"/>
    </row>
    <row r="163" hidden="1" ht="16.05" customFormat="1" customHeight="1" s="126">
      <c r="A163" s="125" t="n">
        <v>208</v>
      </c>
      <c r="B163" s="125" t="n"/>
      <c r="C163" s="130" t="inlineStr">
        <is>
          <t>Москва</t>
        </is>
      </c>
      <c r="D163" s="130" t="inlineStr">
        <is>
          <t>Московская область</t>
        </is>
      </c>
      <c r="E163" s="130" t="inlineStr">
        <is>
          <t>М4</t>
        </is>
      </c>
      <c r="F163" s="130" t="inlineStr">
        <is>
          <t>АЗС</t>
        </is>
      </c>
      <c r="G163" s="130" t="inlineStr">
        <is>
          <t>Роснефть</t>
        </is>
      </c>
      <c r="H163" s="131" t="inlineStr">
        <is>
          <t>MR081</t>
        </is>
      </c>
      <c r="I163" s="637" t="inlineStr">
        <is>
          <t>RN_081</t>
        </is>
      </c>
      <c r="J163" s="637" t="inlineStr">
        <is>
          <t>MSK_RN_0081</t>
        </is>
      </c>
      <c r="K163" s="640" t="n">
        <v>1</v>
      </c>
      <c r="L163" s="640" t="n">
        <v>1</v>
      </c>
      <c r="M163" s="623" t="inlineStr">
        <is>
          <t>Samsung 32" вертикальный</t>
        </is>
      </c>
      <c r="N163" s="640" t="n"/>
      <c r="O163" s="640">
        <f>IF(AND(N163=1,L163=1),K163,"")</f>
        <v/>
      </c>
      <c r="P163" s="642" t="inlineStr">
        <is>
          <t>Московская область, Ленинский район, 22 км Каширского шоссе подъезда аэропорт "Домодедово"</t>
        </is>
      </c>
      <c r="Q163" s="640" t="inlineStr">
        <is>
          <t>55.585691</t>
        </is>
      </c>
      <c r="R163" s="494" t="inlineStr">
        <is>
          <t>37.741001</t>
        </is>
      </c>
      <c r="S163" s="325" t="n"/>
      <c r="T163" s="325" t="n"/>
      <c r="U163" s="325" t="n"/>
      <c r="V163" s="438">
        <f>IF(AND(N163=1,U163=1),C163,"")</f>
        <v/>
      </c>
      <c r="W163" s="387" t="n"/>
      <c r="X163" s="387" t="n"/>
      <c r="Y163" s="387" t="n"/>
    </row>
    <row r="164" hidden="1" ht="16.05" customFormat="1" customHeight="1" s="126">
      <c r="A164" s="125" t="n">
        <v>209</v>
      </c>
      <c r="B164" s="125" t="n"/>
      <c r="C164" s="130" t="inlineStr">
        <is>
          <t>Москва</t>
        </is>
      </c>
      <c r="D164" s="130" t="inlineStr">
        <is>
          <t>Московская область</t>
        </is>
      </c>
      <c r="E164" s="130" t="inlineStr">
        <is>
          <t>М9</t>
        </is>
      </c>
      <c r="F164" s="130" t="inlineStr">
        <is>
          <t>АЗС</t>
        </is>
      </c>
      <c r="G164" s="130" t="inlineStr">
        <is>
          <t>Роснефть</t>
        </is>
      </c>
      <c r="H164" s="131" t="inlineStr">
        <is>
          <t>MR082</t>
        </is>
      </c>
      <c r="I164" s="637" t="inlineStr">
        <is>
          <t>RN_082</t>
        </is>
      </c>
      <c r="J164" s="637" t="inlineStr">
        <is>
          <t>MSK_RN_0082</t>
        </is>
      </c>
      <c r="K164" s="640" t="n">
        <v>1</v>
      </c>
      <c r="L164" s="640" t="n">
        <v>1</v>
      </c>
      <c r="M164" s="623" t="inlineStr">
        <is>
          <t>Samsung 32" вертикальный</t>
        </is>
      </c>
      <c r="N164" s="640" t="n"/>
      <c r="O164" s="640">
        <f>IF(AND(N164=1,L164=1),K164,"")</f>
        <v/>
      </c>
      <c r="P164" s="642" t="inlineStr">
        <is>
          <t xml:space="preserve">Московская область, Пушкинский район, дер. Введенское, 13 км Красноармейского шоссе  </t>
        </is>
      </c>
      <c r="Q164" s="640" t="inlineStr">
        <is>
          <t>56.07585</t>
        </is>
      </c>
      <c r="R164" s="494" t="inlineStr">
        <is>
          <t>38.041291</t>
        </is>
      </c>
      <c r="S164" s="325" t="n"/>
      <c r="T164" s="325" t="n"/>
      <c r="U164" s="325" t="n"/>
      <c r="V164" s="438">
        <f>IF(AND(N164=1,U164=1),C164,"")</f>
        <v/>
      </c>
      <c r="W164" s="387" t="n"/>
      <c r="X164" s="387" t="n"/>
      <c r="Y164" s="387" t="n"/>
    </row>
    <row r="165" hidden="1" ht="16.05" customFormat="1" customHeight="1" s="126">
      <c r="A165" s="125" t="n">
        <v>210</v>
      </c>
      <c r="B165" s="125" t="n"/>
      <c r="C165" s="130" t="inlineStr">
        <is>
          <t>Москва</t>
        </is>
      </c>
      <c r="D165" s="130" t="inlineStr">
        <is>
          <t>Москва</t>
        </is>
      </c>
      <c r="E165" s="130" t="inlineStr">
        <is>
          <t>ЮАО</t>
        </is>
      </c>
      <c r="F165" s="130" t="inlineStr">
        <is>
          <t>АЗС</t>
        </is>
      </c>
      <c r="G165" s="130" t="inlineStr">
        <is>
          <t>Роснефть</t>
        </is>
      </c>
      <c r="H165" s="131" t="inlineStr">
        <is>
          <t>MR083</t>
        </is>
      </c>
      <c r="I165" s="637" t="inlineStr">
        <is>
          <t>RN_083</t>
        </is>
      </c>
      <c r="J165" s="637" t="inlineStr">
        <is>
          <t>MSK_RN_0083</t>
        </is>
      </c>
      <c r="K165" s="640" t="n">
        <v>1</v>
      </c>
      <c r="L165" s="640" t="n">
        <v>1</v>
      </c>
      <c r="M165" s="623" t="inlineStr">
        <is>
          <t>Samsung 32" вертикальный</t>
        </is>
      </c>
      <c r="N165" s="640" t="n"/>
      <c r="O165" s="640">
        <f>IF(AND(N165=1,L165=1),K165,"")</f>
        <v/>
      </c>
      <c r="P165" s="642" t="inlineStr">
        <is>
          <t>Москва, Кавказский б-р, вл. 49</t>
        </is>
      </c>
      <c r="Q165" s="640" t="inlineStr">
        <is>
          <t>55.627589</t>
        </is>
      </c>
      <c r="R165" s="494" t="inlineStr">
        <is>
          <t>37.647044</t>
        </is>
      </c>
      <c r="S165" s="325" t="n"/>
      <c r="T165" s="325" t="n"/>
      <c r="U165" s="325" t="n"/>
      <c r="V165" s="438">
        <f>IF(AND(N165=1,U165=1),C165,"")</f>
        <v/>
      </c>
      <c r="W165" s="387" t="n"/>
      <c r="X165" s="387" t="n"/>
      <c r="Y165" s="387" t="n"/>
    </row>
    <row r="166" hidden="1" ht="16.05" customFormat="1" customHeight="1" s="126">
      <c r="A166" s="125" t="n">
        <v>212</v>
      </c>
      <c r="B166" s="125" t="n"/>
      <c r="C166" s="130" t="inlineStr">
        <is>
          <t>Москва</t>
        </is>
      </c>
      <c r="D166" s="130" t="inlineStr">
        <is>
          <t>Московская область</t>
        </is>
      </c>
      <c r="E166" s="130" t="inlineStr">
        <is>
          <t>М1</t>
        </is>
      </c>
      <c r="F166" s="130" t="inlineStr">
        <is>
          <t>АЗС</t>
        </is>
      </c>
      <c r="G166" s="130" t="inlineStr">
        <is>
          <t>Роснефть</t>
        </is>
      </c>
      <c r="H166" s="131" t="inlineStr">
        <is>
          <t>MR085</t>
        </is>
      </c>
      <c r="I166" s="637" t="inlineStr">
        <is>
          <t>RN_085</t>
        </is>
      </c>
      <c r="J166" s="637" t="inlineStr">
        <is>
          <t>MSK_RN_0085</t>
        </is>
      </c>
      <c r="K166" s="640" t="n">
        <v>2</v>
      </c>
      <c r="L166" s="640" t="n">
        <v>0</v>
      </c>
      <c r="M166" s="623" t="inlineStr">
        <is>
          <t>Samsung 32" вертикальный</t>
        </is>
      </c>
      <c r="N166" s="640" t="n"/>
      <c r="O166" s="640">
        <f>IF(AND(N166=1,L166=1),K166,"")</f>
        <v/>
      </c>
      <c r="P166" s="642" t="inlineStr">
        <is>
          <t>Московская область, Одинцовский район, дер. Капань,  84 км Минского шоссе, строение 1</t>
        </is>
      </c>
      <c r="Q166" s="640" t="inlineStr">
        <is>
          <t>55.540804</t>
        </is>
      </c>
      <c r="R166" s="422" t="inlineStr">
        <is>
          <t>36.405609</t>
        </is>
      </c>
      <c r="S166" s="325" t="n"/>
      <c r="T166" s="325" t="n"/>
      <c r="U166" s="325" t="n"/>
      <c r="V166" s="438">
        <f>IF(AND(N166=1,U166=1),C166,"")</f>
        <v/>
      </c>
      <c r="W166" s="387" t="n"/>
      <c r="X166" s="387" t="n"/>
      <c r="Y166" s="387" t="n"/>
    </row>
    <row r="167" hidden="1" ht="16.05" customFormat="1" customHeight="1" s="126">
      <c r="A167" s="125" t="n">
        <v>213</v>
      </c>
      <c r="B167" s="125" t="n"/>
      <c r="C167" s="130" t="inlineStr">
        <is>
          <t>Москва</t>
        </is>
      </c>
      <c r="D167" s="130" t="inlineStr">
        <is>
          <t>Московская область</t>
        </is>
      </c>
      <c r="E167" s="130" t="inlineStr">
        <is>
          <t>М1</t>
        </is>
      </c>
      <c r="F167" s="130" t="inlineStr">
        <is>
          <t>АЗС</t>
        </is>
      </c>
      <c r="G167" s="130" t="inlineStr">
        <is>
          <t>Роснефть</t>
        </is>
      </c>
      <c r="H167" s="131" t="inlineStr">
        <is>
          <t>MR086</t>
        </is>
      </c>
      <c r="I167" s="637" t="inlineStr">
        <is>
          <t>RN_086</t>
        </is>
      </c>
      <c r="J167" s="637" t="inlineStr">
        <is>
          <t>MSK_RN_0086</t>
        </is>
      </c>
      <c r="K167" s="640" t="n">
        <v>2</v>
      </c>
      <c r="L167" s="640" t="n">
        <v>1</v>
      </c>
      <c r="M167" s="623" t="inlineStr">
        <is>
          <t>Samsung 32" вертикальный</t>
        </is>
      </c>
      <c r="N167" s="640" t="n"/>
      <c r="O167" s="640">
        <f>IF(AND(N167=1,L167=1),K167,"")</f>
        <v/>
      </c>
      <c r="P167" s="642" t="inlineStr">
        <is>
          <t>Московская область, Одинцовский район, дер. Капань, 84 км Минского  шоссе, строение 2</t>
        </is>
      </c>
      <c r="Q167" s="640" t="inlineStr">
        <is>
          <t>55.538469</t>
        </is>
      </c>
      <c r="R167" s="422" t="inlineStr">
        <is>
          <t>36.401966</t>
        </is>
      </c>
      <c r="S167" s="325" t="n"/>
      <c r="T167" s="325" t="n"/>
      <c r="U167" s="325" t="n"/>
      <c r="V167" s="438">
        <f>IF(AND(N167=1,U167=1),C167,"")</f>
        <v/>
      </c>
      <c r="W167" s="387" t="n"/>
      <c r="X167" s="387" t="n"/>
      <c r="Y167" s="387" t="n"/>
    </row>
    <row r="168" hidden="1" ht="16.05" customFormat="1" customHeight="1" s="126">
      <c r="A168" s="125" t="n">
        <v>214</v>
      </c>
      <c r="B168" s="125" t="n"/>
      <c r="C168" s="130" t="inlineStr">
        <is>
          <t>Москва</t>
        </is>
      </c>
      <c r="D168" s="130" t="inlineStr">
        <is>
          <t>Ивантеевка</t>
        </is>
      </c>
      <c r="E168" s="130" t="inlineStr">
        <is>
          <t>М8</t>
        </is>
      </c>
      <c r="F168" s="130" t="inlineStr">
        <is>
          <t>АЗС</t>
        </is>
      </c>
      <c r="G168" s="130" t="inlineStr">
        <is>
          <t>Роснефть</t>
        </is>
      </c>
      <c r="H168" s="131" t="inlineStr">
        <is>
          <t>MR087</t>
        </is>
      </c>
      <c r="I168" s="637" t="inlineStr">
        <is>
          <t>RN_087</t>
        </is>
      </c>
      <c r="J168" s="637" t="inlineStr">
        <is>
          <t>MSK_RN_0087</t>
        </is>
      </c>
      <c r="K168" s="640" t="n">
        <v>1</v>
      </c>
      <c r="L168" s="640" t="n">
        <v>1</v>
      </c>
      <c r="M168" s="623" t="inlineStr">
        <is>
          <t>Samsung 32" вертикальный</t>
        </is>
      </c>
      <c r="N168" s="640" t="n"/>
      <c r="O168" s="640">
        <f>IF(AND(N168=1,L168=1),K168,"")</f>
        <v/>
      </c>
      <c r="P168" s="642" t="inlineStr">
        <is>
          <t xml:space="preserve">Московская область, г. Ивантеевка, ш. Ивантеевское, д. 3 </t>
        </is>
      </c>
      <c r="Q168" s="640" t="inlineStr">
        <is>
          <t>55.983749</t>
        </is>
      </c>
      <c r="R168" s="494" t="inlineStr">
        <is>
          <t>37.882483</t>
        </is>
      </c>
      <c r="S168" s="325" t="n"/>
      <c r="T168" s="325" t="n"/>
      <c r="U168" s="325" t="n"/>
      <c r="V168" s="438">
        <f>IF(AND(N168=1,U168=1),C168,"")</f>
        <v/>
      </c>
      <c r="W168" s="387" t="n"/>
      <c r="X168" s="387" t="n"/>
      <c r="Y168" s="387" t="n"/>
    </row>
    <row r="169" hidden="1" ht="16.05" customFormat="1" customHeight="1" s="126">
      <c r="A169" s="125" t="n">
        <v>215</v>
      </c>
      <c r="B169" s="125" t="n"/>
      <c r="C169" s="130" t="inlineStr">
        <is>
          <t>Москва</t>
        </is>
      </c>
      <c r="D169" s="130" t="inlineStr">
        <is>
          <t>Пушкино</t>
        </is>
      </c>
      <c r="E169" s="130" t="inlineStr">
        <is>
          <t>М8</t>
        </is>
      </c>
      <c r="F169" s="130" t="inlineStr">
        <is>
          <t>АЗС</t>
        </is>
      </c>
      <c r="G169" s="130" t="inlineStr">
        <is>
          <t>Роснефть</t>
        </is>
      </c>
      <c r="H169" s="131" t="inlineStr">
        <is>
          <t>MR088</t>
        </is>
      </c>
      <c r="I169" s="637" t="inlineStr">
        <is>
          <t>RN_088</t>
        </is>
      </c>
      <c r="J169" s="637" t="inlineStr">
        <is>
          <t>MSK_RN_0088</t>
        </is>
      </c>
      <c r="K169" s="640" t="n">
        <v>1</v>
      </c>
      <c r="L169" s="640" t="n">
        <v>1</v>
      </c>
      <c r="M169" s="623" t="inlineStr">
        <is>
          <t>Samsung 32" вертикальный</t>
        </is>
      </c>
      <c r="N169" s="640" t="n"/>
      <c r="O169" s="640">
        <f>IF(AND(N169=1,L169=1),K169,"")</f>
        <v/>
      </c>
      <c r="P169" s="642" t="inlineStr">
        <is>
          <t xml:space="preserve">Московская область, г. Пушкино, 35 км Ярославского шоссе, слева  </t>
        </is>
      </c>
      <c r="Q169" s="640" t="inlineStr">
        <is>
          <t>56.009678</t>
        </is>
      </c>
      <c r="R169" s="494" t="inlineStr">
        <is>
          <t>37.876237</t>
        </is>
      </c>
      <c r="S169" s="325" t="n"/>
      <c r="T169" s="325" t="n"/>
      <c r="U169" s="325" t="n"/>
      <c r="V169" s="438">
        <f>IF(AND(N169=1,U169=1),C169,"")</f>
        <v/>
      </c>
      <c r="W169" s="387" t="n"/>
      <c r="X169" s="387" t="n"/>
      <c r="Y169" s="387" t="n"/>
    </row>
    <row r="170" hidden="1" ht="16.05" customFormat="1" customHeight="1" s="126">
      <c r="A170" s="125" t="n">
        <v>216</v>
      </c>
      <c r="B170" s="125" t="n"/>
      <c r="C170" s="130" t="inlineStr">
        <is>
          <t>Москва</t>
        </is>
      </c>
      <c r="D170" s="130" t="inlineStr">
        <is>
          <t>Сергиев Посад</t>
        </is>
      </c>
      <c r="E170" s="130" t="inlineStr">
        <is>
          <t>М8</t>
        </is>
      </c>
      <c r="F170" s="130" t="inlineStr">
        <is>
          <t>АЗС</t>
        </is>
      </c>
      <c r="G170" s="130" t="inlineStr">
        <is>
          <t>Роснефть</t>
        </is>
      </c>
      <c r="H170" s="131" t="inlineStr">
        <is>
          <t>MR089</t>
        </is>
      </c>
      <c r="I170" s="637" t="inlineStr">
        <is>
          <t>RN_089</t>
        </is>
      </c>
      <c r="J170" s="637" t="inlineStr">
        <is>
          <t>MSK_RN_0089</t>
        </is>
      </c>
      <c r="K170" s="640" t="n">
        <v>1</v>
      </c>
      <c r="L170" s="640" t="n">
        <v>1</v>
      </c>
      <c r="M170" s="623" t="inlineStr">
        <is>
          <t>Samsung 32" вертикальный</t>
        </is>
      </c>
      <c r="N170" s="640" t="n"/>
      <c r="O170" s="640">
        <f>IF(AND(N170=1,L170=1),K170,"")</f>
        <v/>
      </c>
      <c r="P170" s="642" t="inlineStr">
        <is>
          <t>Московская область, г. Сергиев Посад,  Московское шоссе, д. 58а</t>
        </is>
      </c>
      <c r="Q170" s="640" t="inlineStr">
        <is>
          <t>56.274236</t>
        </is>
      </c>
      <c r="R170" s="494" t="inlineStr">
        <is>
          <t>38.120676</t>
        </is>
      </c>
      <c r="S170" s="325" t="n"/>
      <c r="T170" s="325" t="n"/>
      <c r="U170" s="325" t="n"/>
      <c r="V170" s="438">
        <f>IF(AND(N170=1,U170=1),C170,"")</f>
        <v/>
      </c>
      <c r="W170" s="387" t="n"/>
      <c r="X170" s="387" t="n"/>
      <c r="Y170" s="387" t="n"/>
    </row>
    <row r="171" hidden="1" ht="16.05" customFormat="1" customHeight="1" s="126">
      <c r="A171" s="125" t="n">
        <v>217</v>
      </c>
      <c r="B171" s="125" t="n"/>
      <c r="C171" s="130" t="inlineStr">
        <is>
          <t>Москва</t>
        </is>
      </c>
      <c r="D171" s="130" t="inlineStr">
        <is>
          <t>Сергиев Посад</t>
        </is>
      </c>
      <c r="E171" s="130" t="inlineStr">
        <is>
          <t>М8</t>
        </is>
      </c>
      <c r="F171" s="130" t="inlineStr">
        <is>
          <t>АЗС</t>
        </is>
      </c>
      <c r="G171" s="130" t="inlineStr">
        <is>
          <t>Роснефть</t>
        </is>
      </c>
      <c r="H171" s="131" t="inlineStr">
        <is>
          <t>MR090</t>
        </is>
      </c>
      <c r="I171" s="637" t="inlineStr">
        <is>
          <t>RN_090</t>
        </is>
      </c>
      <c r="J171" s="637" t="inlineStr">
        <is>
          <t>MSK_RN_0090</t>
        </is>
      </c>
      <c r="K171" s="640" t="n">
        <v>1</v>
      </c>
      <c r="L171" s="640" t="n">
        <v>1</v>
      </c>
      <c r="M171" s="623" t="inlineStr">
        <is>
          <t>Samsung 32" вертикальный</t>
        </is>
      </c>
      <c r="N171" s="640" t="n"/>
      <c r="O171" s="640">
        <f>IF(AND(N171=1,L171=1),K171,"")</f>
        <v/>
      </c>
      <c r="P171" s="642" t="inlineStr">
        <is>
          <t>Московская область, г. Сергиев Посад, шоссе Ярославское, д. 1б</t>
        </is>
      </c>
      <c r="Q171" s="640" t="inlineStr">
        <is>
          <t>56.336971</t>
        </is>
      </c>
      <c r="R171" s="494" t="inlineStr">
        <is>
          <t>38.160083</t>
        </is>
      </c>
      <c r="S171" s="325" t="n"/>
      <c r="T171" s="325" t="n"/>
      <c r="U171" s="325" t="n"/>
      <c r="V171" s="438">
        <f>IF(AND(N171=1,U171=1),C171,"")</f>
        <v/>
      </c>
      <c r="W171" s="387" t="n"/>
      <c r="X171" s="387" t="n"/>
      <c r="Y171" s="387" t="n"/>
    </row>
    <row r="172" hidden="1" ht="16.05" customFormat="1" customHeight="1" s="126">
      <c r="A172" s="125" t="n">
        <v>218</v>
      </c>
      <c r="B172" s="125" t="n"/>
      <c r="C172" s="130" t="inlineStr">
        <is>
          <t>Москва</t>
        </is>
      </c>
      <c r="D172" s="130" t="inlineStr">
        <is>
          <t>Московская область</t>
        </is>
      </c>
      <c r="E172" s="130" t="inlineStr">
        <is>
          <t>М8</t>
        </is>
      </c>
      <c r="F172" s="130" t="inlineStr">
        <is>
          <t>АЗС</t>
        </is>
      </c>
      <c r="G172" s="130" t="inlineStr">
        <is>
          <t>Роснефть</t>
        </is>
      </c>
      <c r="H172" s="131" t="inlineStr">
        <is>
          <t>MR091</t>
        </is>
      </c>
      <c r="I172" s="637" t="inlineStr">
        <is>
          <t>RN_091</t>
        </is>
      </c>
      <c r="J172" s="637" t="inlineStr">
        <is>
          <t>MSK_RN_0091</t>
        </is>
      </c>
      <c r="K172" s="640" t="n">
        <v>1</v>
      </c>
      <c r="L172" s="640" t="n">
        <v>1</v>
      </c>
      <c r="M172" s="623" t="inlineStr">
        <is>
          <t>Samsung 32" вертикальный</t>
        </is>
      </c>
      <c r="N172" s="640" t="n"/>
      <c r="O172" s="640">
        <f>IF(AND(N172=1,L172=1),K172,"")</f>
        <v/>
      </c>
      <c r="P172" s="642" t="inlineStr">
        <is>
          <t>Московская область, Сергиево-Посадский муниципальный район, сельское поселение Березняковское, 81-й км автодороги М-8 "Холмогоры" слева</t>
        </is>
      </c>
      <c r="Q172" s="640" t="inlineStr">
        <is>
          <t>56.343545</t>
        </is>
      </c>
      <c r="R172" s="494" t="inlineStr">
        <is>
          <t>38.264625</t>
        </is>
      </c>
      <c r="S172" s="325" t="n"/>
      <c r="T172" s="325" t="n"/>
      <c r="U172" s="325" t="n"/>
      <c r="V172" s="438">
        <f>IF(AND(N172=1,U172=1),C172,"")</f>
        <v/>
      </c>
      <c r="W172" s="387" t="n"/>
      <c r="X172" s="387" t="n"/>
      <c r="Y172" s="387" t="n"/>
    </row>
    <row r="173" hidden="1" ht="16.05" customFormat="1" customHeight="1" s="126">
      <c r="A173" s="125" t="n">
        <v>219</v>
      </c>
      <c r="B173" s="125" t="n"/>
      <c r="C173" s="130" t="inlineStr">
        <is>
          <t>Москва</t>
        </is>
      </c>
      <c r="D173" s="130" t="inlineStr">
        <is>
          <t>Дубна</t>
        </is>
      </c>
      <c r="E173" s="130" t="inlineStr">
        <is>
          <t>А104</t>
        </is>
      </c>
      <c r="F173" s="130" t="inlineStr">
        <is>
          <t>АЗС</t>
        </is>
      </c>
      <c r="G173" s="130" t="inlineStr">
        <is>
          <t>Роснефть</t>
        </is>
      </c>
      <c r="H173" s="131" t="inlineStr">
        <is>
          <t>MR092</t>
        </is>
      </c>
      <c r="I173" s="637" t="inlineStr">
        <is>
          <t>RN_092</t>
        </is>
      </c>
      <c r="J173" s="637" t="inlineStr">
        <is>
          <t>MSK_RN_0092</t>
        </is>
      </c>
      <c r="K173" s="640" t="n">
        <v>1</v>
      </c>
      <c r="L173" s="640" t="n">
        <v>1</v>
      </c>
      <c r="M173" s="623" t="inlineStr">
        <is>
          <t>Samsung 32" вертикальный</t>
        </is>
      </c>
      <c r="N173" s="640" t="n"/>
      <c r="O173" s="640">
        <f>IF(AND(N173=1,L173=1),K173,"")</f>
        <v/>
      </c>
      <c r="P173" s="642" t="inlineStr">
        <is>
          <t>Московская область, г. Дубна, шоссе Дмитровское, д. 4</t>
        </is>
      </c>
      <c r="Q173" s="640" t="inlineStr">
        <is>
          <t>56.728239</t>
        </is>
      </c>
      <c r="R173" s="494" t="inlineStr">
        <is>
          <t>37.134597</t>
        </is>
      </c>
      <c r="S173" s="325" t="n"/>
      <c r="T173" s="325" t="n"/>
      <c r="U173" s="325" t="n"/>
      <c r="V173" s="438">
        <f>IF(AND(N173=1,U173=1),C173,"")</f>
        <v/>
      </c>
      <c r="W173" s="387" t="n"/>
      <c r="X173" s="387" t="n"/>
      <c r="Y173" s="387" t="n"/>
    </row>
    <row r="174" hidden="1" ht="16.05" customFormat="1" customHeight="1" s="126">
      <c r="A174" s="125" t="n">
        <v>220</v>
      </c>
      <c r="B174" s="125" t="n"/>
      <c r="C174" s="130" t="inlineStr">
        <is>
          <t>Москва</t>
        </is>
      </c>
      <c r="D174" s="130" t="inlineStr">
        <is>
          <t>Московская область</t>
        </is>
      </c>
      <c r="E174" s="130" t="inlineStr">
        <is>
          <t>М8</t>
        </is>
      </c>
      <c r="F174" s="130" t="inlineStr">
        <is>
          <t>АЗС</t>
        </is>
      </c>
      <c r="G174" s="130" t="inlineStr">
        <is>
          <t>Роснефть</t>
        </is>
      </c>
      <c r="H174" s="131" t="inlineStr">
        <is>
          <t>MR093</t>
        </is>
      </c>
      <c r="I174" s="637" t="inlineStr">
        <is>
          <t>RN_093</t>
        </is>
      </c>
      <c r="J174" s="637" t="inlineStr">
        <is>
          <t>MSK_RN_0093</t>
        </is>
      </c>
      <c r="K174" s="640" t="n">
        <v>1</v>
      </c>
      <c r="L174" s="640" t="n">
        <v>1</v>
      </c>
      <c r="M174" s="623" t="inlineStr">
        <is>
          <t>Samsung 32" вертикальный</t>
        </is>
      </c>
      <c r="N174" s="640" t="n"/>
      <c r="O174" s="640">
        <f>IF(AND(N174=1,L174=1),K174,"")</f>
        <v/>
      </c>
      <c r="P174" s="642" t="inlineStr">
        <is>
          <t>Московская область, Сергиево-Посадский муниципальный район, сельское поселение Березняковское, 81-й км автодороги М-8 "Холмогоры" справа</t>
        </is>
      </c>
      <c r="Q174" s="640" t="inlineStr">
        <is>
          <t>56.343006</t>
        </is>
      </c>
      <c r="R174" s="494" t="inlineStr">
        <is>
          <t>38.266277</t>
        </is>
      </c>
      <c r="S174" s="325" t="n"/>
      <c r="T174" s="325" t="n"/>
      <c r="U174" s="325" t="n"/>
      <c r="V174" s="438">
        <f>IF(AND(N174=1,U174=1),C174,"")</f>
        <v/>
      </c>
      <c r="W174" s="387" t="n"/>
      <c r="X174" s="387" t="n"/>
      <c r="Y174" s="387" t="n"/>
    </row>
    <row r="175" hidden="1" ht="16.05" customFormat="1" customHeight="1" s="126">
      <c r="A175" s="125" t="n">
        <v>221</v>
      </c>
      <c r="B175" s="125" t="n"/>
      <c r="C175" s="130" t="inlineStr">
        <is>
          <t>Москва</t>
        </is>
      </c>
      <c r="D175" s="130" t="inlineStr">
        <is>
          <t>Бронницы</t>
        </is>
      </c>
      <c r="E175" s="130" t="inlineStr">
        <is>
          <t>М5</t>
        </is>
      </c>
      <c r="F175" s="130" t="inlineStr">
        <is>
          <t>АЗС</t>
        </is>
      </c>
      <c r="G175" s="130" t="inlineStr">
        <is>
          <t>Роснефть</t>
        </is>
      </c>
      <c r="H175" s="131" t="inlineStr">
        <is>
          <t>MR095</t>
        </is>
      </c>
      <c r="I175" s="637" t="inlineStr">
        <is>
          <t>RN_095</t>
        </is>
      </c>
      <c r="J175" s="637" t="inlineStr">
        <is>
          <t>MSK_RN_0095</t>
        </is>
      </c>
      <c r="K175" s="640" t="n">
        <v>1</v>
      </c>
      <c r="L175" s="640" t="n">
        <v>1</v>
      </c>
      <c r="M175" s="623" t="inlineStr">
        <is>
          <t>Samsung 32" вертикальный</t>
        </is>
      </c>
      <c r="N175" s="640" t="n"/>
      <c r="O175" s="640">
        <f>IF(AND(N175=1,L175=1),K175,"")</f>
        <v/>
      </c>
      <c r="P175" s="642" t="inlineStr">
        <is>
          <t>Московская область, г. Бронницы,  Советская, д. 157а</t>
        </is>
      </c>
      <c r="Q175" s="640" t="inlineStr">
        <is>
          <t>55.414233</t>
        </is>
      </c>
      <c r="R175" s="494" t="inlineStr">
        <is>
          <t>38.286895</t>
        </is>
      </c>
      <c r="S175" s="325" t="n"/>
      <c r="T175" s="325" t="n"/>
      <c r="U175" s="325" t="n"/>
      <c r="V175" s="438">
        <f>IF(AND(N175=1,U175=1),C175,"")</f>
        <v/>
      </c>
      <c r="W175" s="387" t="n"/>
      <c r="X175" s="387" t="n"/>
      <c r="Y175" s="387" t="n"/>
    </row>
    <row r="176" hidden="1" ht="16.05" customFormat="1" customHeight="1" s="126">
      <c r="A176" s="125" t="n">
        <v>222</v>
      </c>
      <c r="B176" s="125" t="n"/>
      <c r="C176" s="130" t="inlineStr">
        <is>
          <t>Москва</t>
        </is>
      </c>
      <c r="D176" s="130" t="inlineStr">
        <is>
          <t>Клин</t>
        </is>
      </c>
      <c r="E176" s="130" t="inlineStr">
        <is>
          <t>М10</t>
        </is>
      </c>
      <c r="F176" s="130" t="inlineStr">
        <is>
          <t>АЗС</t>
        </is>
      </c>
      <c r="G176" s="130" t="inlineStr">
        <is>
          <t>Роснефть</t>
        </is>
      </c>
      <c r="H176" s="131" t="inlineStr">
        <is>
          <t>MR099</t>
        </is>
      </c>
      <c r="I176" s="637" t="inlineStr">
        <is>
          <t>RN_099</t>
        </is>
      </c>
      <c r="J176" s="637" t="inlineStr">
        <is>
          <t>MSK_RN_0099</t>
        </is>
      </c>
      <c r="K176" s="640" t="n">
        <v>1</v>
      </c>
      <c r="L176" s="640" t="n">
        <v>1</v>
      </c>
      <c r="M176" s="623" t="inlineStr">
        <is>
          <t>Samsung 32" вертикальный</t>
        </is>
      </c>
      <c r="N176" s="640" t="n"/>
      <c r="O176" s="640">
        <f>IF(AND(N176=1,L176=1),K176,"")</f>
        <v/>
      </c>
      <c r="P176" s="642" t="inlineStr">
        <is>
          <t>Московская область, г. Клин, 84 км шоссе Москва-Санкт-Петербург</t>
        </is>
      </c>
      <c r="Q176" s="640" t="inlineStr">
        <is>
          <t>56.321588</t>
        </is>
      </c>
      <c r="R176" s="494" t="inlineStr">
        <is>
          <t>36.761994</t>
        </is>
      </c>
      <c r="S176" s="325" t="n"/>
      <c r="T176" s="325" t="n"/>
      <c r="U176" s="325" t="n"/>
      <c r="V176" s="438">
        <f>IF(AND(N176=1,U176=1),C176,"")</f>
        <v/>
      </c>
      <c r="W176" s="387" t="n"/>
      <c r="X176" s="387" t="n"/>
      <c r="Y176" s="387" t="n"/>
    </row>
    <row r="177" hidden="1" ht="16.05" customFormat="1" customHeight="1" s="126">
      <c r="A177" s="125" t="n">
        <v>223</v>
      </c>
      <c r="B177" s="125" t="n"/>
      <c r="C177" s="130" t="inlineStr">
        <is>
          <t>Москва</t>
        </is>
      </c>
      <c r="D177" s="130" t="inlineStr">
        <is>
          <t>Талдом</t>
        </is>
      </c>
      <c r="E177" s="130" t="inlineStr">
        <is>
          <t>А104</t>
        </is>
      </c>
      <c r="F177" s="130" t="inlineStr">
        <is>
          <t>АЗС</t>
        </is>
      </c>
      <c r="G177" s="130" t="inlineStr">
        <is>
          <t>Роснефть</t>
        </is>
      </c>
      <c r="H177" s="131" t="inlineStr">
        <is>
          <t>MR100</t>
        </is>
      </c>
      <c r="I177" s="637" t="inlineStr">
        <is>
          <t>RN_100</t>
        </is>
      </c>
      <c r="J177" s="637" t="inlineStr">
        <is>
          <t>MSK_RN_0100</t>
        </is>
      </c>
      <c r="K177" s="640" t="n">
        <v>1</v>
      </c>
      <c r="L177" s="640" t="n">
        <v>1</v>
      </c>
      <c r="M177" s="623" t="inlineStr">
        <is>
          <t>Samsung 32" вертикальный</t>
        </is>
      </c>
      <c r="N177" s="640" t="n"/>
      <c r="O177" s="640">
        <f>IF(AND(N177=1,L177=1),K177,"")</f>
        <v/>
      </c>
      <c r="P177" s="642" t="inlineStr">
        <is>
          <t>Московская область, г. Талдом,  Кустарная</t>
        </is>
      </c>
      <c r="Q177" s="640" t="inlineStr">
        <is>
          <t>56.734567</t>
        </is>
      </c>
      <c r="R177" s="494" t="inlineStr">
        <is>
          <t>37.549467</t>
        </is>
      </c>
      <c r="S177" s="325" t="n"/>
      <c r="T177" s="325" t="n"/>
      <c r="U177" s="325" t="n"/>
      <c r="V177" s="438">
        <f>IF(AND(N177=1,U177=1),C177,"")</f>
        <v/>
      </c>
      <c r="W177" s="387" t="n"/>
      <c r="X177" s="387" t="n"/>
      <c r="Y177" s="387" t="n"/>
    </row>
    <row r="178" hidden="1" ht="16.05" customFormat="1" customHeight="1" s="126">
      <c r="A178" s="125" t="n">
        <v>224</v>
      </c>
      <c r="B178" s="125" t="n"/>
      <c r="C178" s="130" t="inlineStr">
        <is>
          <t>Москва</t>
        </is>
      </c>
      <c r="D178" s="130" t="inlineStr">
        <is>
          <t>Московская область</t>
        </is>
      </c>
      <c r="E178" s="130" t="inlineStr">
        <is>
          <t>М5</t>
        </is>
      </c>
      <c r="F178" s="130" t="inlineStr">
        <is>
          <t>АЗС</t>
        </is>
      </c>
      <c r="G178" s="130" t="inlineStr">
        <is>
          <t>Роснефть</t>
        </is>
      </c>
      <c r="H178" s="131" t="inlineStr">
        <is>
          <t>MR101</t>
        </is>
      </c>
      <c r="I178" s="637" t="inlineStr">
        <is>
          <t>RN_101</t>
        </is>
      </c>
      <c r="J178" s="637" t="inlineStr">
        <is>
          <t>MSK_RN_0101</t>
        </is>
      </c>
      <c r="K178" s="640" t="n">
        <v>1</v>
      </c>
      <c r="L178" s="640" t="n">
        <v>1</v>
      </c>
      <c r="M178" s="623" t="inlineStr">
        <is>
          <t>Samsung 32" вертикальный</t>
        </is>
      </c>
      <c r="N178" s="640" t="n"/>
      <c r="O178" s="640">
        <f>IF(AND(N178=1,L178=1),K178,"")</f>
        <v/>
      </c>
      <c r="P178" s="642" t="inlineStr">
        <is>
          <t>Московская область, Раменский район, д. Трошково, 70 км Егорьевского шоссе</t>
        </is>
      </c>
      <c r="Q178" s="640" t="inlineStr">
        <is>
          <t>55.60368</t>
        </is>
      </c>
      <c r="R178" s="494" t="inlineStr">
        <is>
          <t>38.43044</t>
        </is>
      </c>
      <c r="S178" s="325" t="n"/>
      <c r="T178" s="325" t="n"/>
      <c r="U178" s="325" t="n"/>
      <c r="V178" s="438">
        <f>IF(AND(N178=1,U178=1),C178,"")</f>
        <v/>
      </c>
      <c r="W178" s="387" t="n"/>
      <c r="X178" s="387" t="n"/>
      <c r="Y178" s="387" t="n"/>
    </row>
    <row r="179" hidden="1" ht="16.05" customFormat="1" customHeight="1" s="126">
      <c r="A179" s="125" t="n">
        <v>225</v>
      </c>
      <c r="B179" s="125" t="n"/>
      <c r="C179" s="130" t="inlineStr">
        <is>
          <t>Москва</t>
        </is>
      </c>
      <c r="D179" s="130" t="inlineStr">
        <is>
          <t>Московская область</t>
        </is>
      </c>
      <c r="E179" s="130" t="inlineStr">
        <is>
          <t>М10</t>
        </is>
      </c>
      <c r="F179" s="130" t="inlineStr">
        <is>
          <t>АЗС</t>
        </is>
      </c>
      <c r="G179" s="130" t="inlineStr">
        <is>
          <t>Роснефть</t>
        </is>
      </c>
      <c r="H179" s="131" t="inlineStr">
        <is>
          <t>MR102</t>
        </is>
      </c>
      <c r="I179" s="637" t="inlineStr">
        <is>
          <t>RN_102</t>
        </is>
      </c>
      <c r="J179" s="637" t="inlineStr">
        <is>
          <t>MSK_RN_0102</t>
        </is>
      </c>
      <c r="K179" s="640" t="n">
        <v>1</v>
      </c>
      <c r="L179" s="640" t="n">
        <v>1</v>
      </c>
      <c r="M179" s="623" t="inlineStr">
        <is>
          <t>Samsung 32" вертикальный</t>
        </is>
      </c>
      <c r="N179" s="640" t="n"/>
      <c r="O179" s="640">
        <f>IF(AND(N179=1,L179=1),K179,"")</f>
        <v/>
      </c>
      <c r="P179" s="642" t="inlineStr">
        <is>
          <t>Московская область, Солнечногорский район, Андреевский с.о., пос. Андреевка</t>
        </is>
      </c>
      <c r="Q179" s="640" t="inlineStr">
        <is>
          <t>55.991345</t>
        </is>
      </c>
      <c r="R179" s="494" t="inlineStr">
        <is>
          <t>37.14169</t>
        </is>
      </c>
      <c r="S179" s="325" t="n"/>
      <c r="T179" s="325" t="n"/>
      <c r="U179" s="325" t="n"/>
      <c r="V179" s="438">
        <f>IF(AND(N179=1,U179=1),C179,"")</f>
        <v/>
      </c>
      <c r="W179" s="387" t="n"/>
      <c r="X179" s="387" t="n"/>
      <c r="Y179" s="387" t="n"/>
    </row>
    <row r="180" hidden="1" ht="16.05" customFormat="1" customHeight="1" s="126">
      <c r="A180" s="125" t="n">
        <v>226</v>
      </c>
      <c r="B180" s="125" t="n"/>
      <c r="C180" s="130" t="inlineStr">
        <is>
          <t>Москва</t>
        </is>
      </c>
      <c r="D180" s="130" t="inlineStr">
        <is>
          <t>Московская область</t>
        </is>
      </c>
      <c r="E180" s="130" t="inlineStr">
        <is>
          <t>М10</t>
        </is>
      </c>
      <c r="F180" s="130" t="inlineStr">
        <is>
          <t>АЗС</t>
        </is>
      </c>
      <c r="G180" s="130" t="inlineStr">
        <is>
          <t>Роснефть</t>
        </is>
      </c>
      <c r="H180" s="131" t="inlineStr">
        <is>
          <t>MR103</t>
        </is>
      </c>
      <c r="I180" s="637" t="inlineStr">
        <is>
          <t>RN_103</t>
        </is>
      </c>
      <c r="J180" s="637" t="inlineStr">
        <is>
          <t>MSK_RN_0103</t>
        </is>
      </c>
      <c r="K180" s="640" t="n">
        <v>1</v>
      </c>
      <c r="L180" s="640" t="n">
        <v>1</v>
      </c>
      <c r="M180" s="623" t="inlineStr">
        <is>
          <t>Samsung 32" вертикальный</t>
        </is>
      </c>
      <c r="N180" s="640" t="n"/>
      <c r="O180" s="640">
        <f>IF(AND(N180=1,L180=1),K180,"")</f>
        <v/>
      </c>
      <c r="P180" s="642" t="inlineStr">
        <is>
          <t>Московская область, Солнечногорский район, д. Есипово, Пешковский с.о.</t>
        </is>
      </c>
      <c r="Q180" s="640" t="inlineStr">
        <is>
          <t>56.100131</t>
        </is>
      </c>
      <c r="R180" s="422" t="inlineStr">
        <is>
          <t>37.102145</t>
        </is>
      </c>
      <c r="S180" s="325" t="n"/>
      <c r="T180" s="325" t="n"/>
      <c r="U180" s="325" t="n"/>
      <c r="V180" s="438">
        <f>IF(AND(N180=1,U180=1),C180,"")</f>
        <v/>
      </c>
      <c r="W180" s="387" t="n"/>
      <c r="X180" s="387" t="n"/>
      <c r="Y180" s="387" t="n"/>
    </row>
    <row r="181" hidden="1" ht="16.05" customFormat="1" customHeight="1" s="126">
      <c r="A181" s="125" t="n">
        <v>227</v>
      </c>
      <c r="B181" s="125" t="n"/>
      <c r="C181" s="130" t="inlineStr">
        <is>
          <t>Москва</t>
        </is>
      </c>
      <c r="D181" s="130" t="inlineStr">
        <is>
          <t>Московская область</t>
        </is>
      </c>
      <c r="E181" s="130" t="inlineStr">
        <is>
          <t>М5</t>
        </is>
      </c>
      <c r="F181" s="130" t="inlineStr">
        <is>
          <t>АЗС</t>
        </is>
      </c>
      <c r="G181" s="130" t="inlineStr">
        <is>
          <t>Роснефть</t>
        </is>
      </c>
      <c r="H181" s="131" t="inlineStr">
        <is>
          <t>MR104</t>
        </is>
      </c>
      <c r="I181" s="637" t="inlineStr">
        <is>
          <t>RN_104</t>
        </is>
      </c>
      <c r="J181" s="637" t="inlineStr">
        <is>
          <t>MSK_RN_0104</t>
        </is>
      </c>
      <c r="K181" s="640" t="n">
        <v>1</v>
      </c>
      <c r="L181" s="640" t="n">
        <v>1</v>
      </c>
      <c r="M181" s="623" t="inlineStr">
        <is>
          <t>Samsung 32" вертикальный</t>
        </is>
      </c>
      <c r="N181" s="640" t="n"/>
      <c r="O181" s="640">
        <f>IF(AND(N181=1,L181=1),K181,"")</f>
        <v/>
      </c>
      <c r="P181" s="642" t="inlineStr">
        <is>
          <t>Московская область, Луховицкий район, 124 км автодороги М-5 "Урал"</t>
        </is>
      </c>
      <c r="Q181" s="640" t="inlineStr">
        <is>
          <t>55.012649</t>
        </is>
      </c>
      <c r="R181" s="422" t="inlineStr">
        <is>
          <t>38.941031</t>
        </is>
      </c>
      <c r="S181" s="325" t="n"/>
      <c r="T181" s="325" t="n"/>
      <c r="U181" s="325" t="n"/>
      <c r="V181" s="438">
        <f>IF(AND(N181=1,U181=1),C181,"")</f>
        <v/>
      </c>
      <c r="W181" s="387" t="n"/>
      <c r="X181" s="387" t="n"/>
      <c r="Y181" s="387" t="n"/>
    </row>
    <row r="182" hidden="1" ht="16.05" customFormat="1" customHeight="1" s="126">
      <c r="A182" s="125" t="n">
        <v>228</v>
      </c>
      <c r="B182" s="125" t="n"/>
      <c r="C182" s="130" t="inlineStr">
        <is>
          <t>Москва</t>
        </is>
      </c>
      <c r="D182" s="130" t="inlineStr">
        <is>
          <t>Московская область</t>
        </is>
      </c>
      <c r="E182" s="130" t="inlineStr">
        <is>
          <t>М10</t>
        </is>
      </c>
      <c r="F182" s="130" t="inlineStr">
        <is>
          <t>АЗС</t>
        </is>
      </c>
      <c r="G182" s="130" t="inlineStr">
        <is>
          <t>Роснефть</t>
        </is>
      </c>
      <c r="H182" s="131" t="inlineStr">
        <is>
          <t>MR105</t>
        </is>
      </c>
      <c r="I182" s="637" t="inlineStr">
        <is>
          <t>RN_105</t>
        </is>
      </c>
      <c r="J182" s="637" t="inlineStr">
        <is>
          <t>MSK_RN_0105</t>
        </is>
      </c>
      <c r="K182" s="640" t="n">
        <v>1</v>
      </c>
      <c r="L182" s="640" t="n">
        <v>1</v>
      </c>
      <c r="M182" s="623" t="inlineStr">
        <is>
          <t>Samsung 32" вертикальный</t>
        </is>
      </c>
      <c r="N182" s="640" t="n"/>
      <c r="O182" s="640">
        <f>IF(AND(N182=1,L182=1),K182,"")</f>
        <v/>
      </c>
      <c r="P182" s="642" t="inlineStr">
        <is>
          <t>Московская область, Солнечногорский район, д. Чашниково, 44 км. Автодороги Москва-С-Петербург (Ленинградского шоссе)</t>
        </is>
      </c>
      <c r="Q182" s="640" t="inlineStr">
        <is>
          <t>56.039989</t>
        </is>
      </c>
      <c r="R182" s="494" t="inlineStr">
        <is>
          <t>37.162685</t>
        </is>
      </c>
      <c r="S182" s="438" t="n"/>
      <c r="T182" s="438" t="n"/>
      <c r="U182" s="438" t="n"/>
      <c r="V182" s="438">
        <f>IF(AND(N182=1,U182=1),C182,"")</f>
        <v/>
      </c>
      <c r="W182" s="387" t="n"/>
      <c r="X182" s="387" t="n"/>
      <c r="Y182" s="387" t="n"/>
    </row>
    <row r="183" hidden="1" ht="16.05" customFormat="1" customHeight="1" s="126">
      <c r="A183" s="125" t="n">
        <v>229</v>
      </c>
      <c r="B183" s="125" t="n"/>
      <c r="C183" s="130" t="inlineStr">
        <is>
          <t>Москва</t>
        </is>
      </c>
      <c r="D183" s="130" t="inlineStr">
        <is>
          <t>Московская область</t>
        </is>
      </c>
      <c r="E183" s="130" t="inlineStr">
        <is>
          <t>М9</t>
        </is>
      </c>
      <c r="F183" s="130" t="inlineStr">
        <is>
          <t>АЗС</t>
        </is>
      </c>
      <c r="G183" s="130" t="inlineStr">
        <is>
          <t>Роснефть</t>
        </is>
      </c>
      <c r="H183" s="131" t="inlineStr">
        <is>
          <t>MR107</t>
        </is>
      </c>
      <c r="I183" s="637" t="inlineStr">
        <is>
          <t>RN_107</t>
        </is>
      </c>
      <c r="J183" s="637" t="inlineStr">
        <is>
          <t>MSK_RN_0107</t>
        </is>
      </c>
      <c r="K183" s="640" t="n">
        <v>1</v>
      </c>
      <c r="L183" s="640" t="n">
        <v>1</v>
      </c>
      <c r="M183" s="623" t="inlineStr">
        <is>
          <t>Samsung 32" вертикальный</t>
        </is>
      </c>
      <c r="N183" s="640" t="n"/>
      <c r="O183" s="640">
        <f>IF(AND(N183=1,L183=1),K183,"")</f>
        <v/>
      </c>
      <c r="P183" s="642" t="inlineStr">
        <is>
          <t>Московская область, Истринский район, гор. пос. Дедовск, д. Талицы</t>
        </is>
      </c>
      <c r="Q183" s="640" t="inlineStr">
        <is>
          <t>55.87806</t>
        </is>
      </c>
      <c r="R183" s="494" t="inlineStr">
        <is>
          <t>37.095894</t>
        </is>
      </c>
      <c r="S183" s="436" t="n"/>
      <c r="T183" s="436" t="n"/>
      <c r="U183" s="436" t="n"/>
      <c r="V183" s="438">
        <f>IF(AND(N183=1,U183=1),C183,"")</f>
        <v/>
      </c>
      <c r="W183" s="387" t="n"/>
      <c r="X183" s="387" t="n"/>
      <c r="Y183" s="387" t="n"/>
    </row>
    <row r="184" hidden="1" ht="16.05" customFormat="1" customHeight="1" s="126">
      <c r="A184" s="125" t="n">
        <v>230</v>
      </c>
      <c r="B184" s="125" t="n"/>
      <c r="C184" s="130" t="inlineStr">
        <is>
          <t>Москва</t>
        </is>
      </c>
      <c r="D184" s="130" t="inlineStr">
        <is>
          <t>Московская область</t>
        </is>
      </c>
      <c r="E184" s="130" t="inlineStr">
        <is>
          <t>М1</t>
        </is>
      </c>
      <c r="F184" s="130" t="inlineStr">
        <is>
          <t>АЗС</t>
        </is>
      </c>
      <c r="G184" s="130" t="inlineStr">
        <is>
          <t>Роснефть</t>
        </is>
      </c>
      <c r="H184" s="131" t="inlineStr">
        <is>
          <t>MR109</t>
        </is>
      </c>
      <c r="I184" s="637" t="inlineStr">
        <is>
          <t>RN_109</t>
        </is>
      </c>
      <c r="J184" s="637" t="inlineStr">
        <is>
          <t>MSK_RN_0109</t>
        </is>
      </c>
      <c r="K184" s="640" t="n">
        <v>1</v>
      </c>
      <c r="L184" s="640" t="n">
        <v>1</v>
      </c>
      <c r="M184" s="623" t="inlineStr">
        <is>
          <t>Samsung 32" вертикальный</t>
        </is>
      </c>
      <c r="N184" s="640" t="n"/>
      <c r="O184" s="640">
        <f>IF(AND(N184=1,L184=1),K184,"")</f>
        <v/>
      </c>
      <c r="P184" s="642" t="inlineStr">
        <is>
          <t>Московская область, Можайский район, дер. Моденово, стр. 60</t>
        </is>
      </c>
      <c r="Q184" s="640" t="inlineStr">
        <is>
          <t>55.511031</t>
        </is>
      </c>
      <c r="R184" s="494" t="inlineStr">
        <is>
          <t>36.250367</t>
        </is>
      </c>
      <c r="S184" s="436" t="n"/>
      <c r="T184" s="436" t="n"/>
      <c r="U184" s="436" t="n"/>
      <c r="V184" s="438">
        <f>IF(AND(N184=1,U184=1),C184,"")</f>
        <v/>
      </c>
      <c r="W184" s="387" t="n"/>
      <c r="X184" s="387" t="n"/>
      <c r="Y184" s="387" t="n"/>
    </row>
    <row r="185" hidden="1" ht="16.05" customFormat="1" customHeight="1" s="126">
      <c r="A185" s="125" t="n">
        <v>231</v>
      </c>
      <c r="B185" s="125" t="n"/>
      <c r="C185" s="130" t="inlineStr">
        <is>
          <t>Москва</t>
        </is>
      </c>
      <c r="D185" s="130" t="inlineStr">
        <is>
          <t>Московская область</t>
        </is>
      </c>
      <c r="E185" s="130" t="inlineStr">
        <is>
          <t>М2</t>
        </is>
      </c>
      <c r="F185" s="130" t="inlineStr">
        <is>
          <t>АЗС</t>
        </is>
      </c>
      <c r="G185" s="130" t="inlineStr">
        <is>
          <t>Роснефть</t>
        </is>
      </c>
      <c r="H185" s="131" t="inlineStr">
        <is>
          <t>MR110</t>
        </is>
      </c>
      <c r="I185" s="637" t="inlineStr">
        <is>
          <t>RN_110</t>
        </is>
      </c>
      <c r="J185" s="637" t="inlineStr">
        <is>
          <t>MSK_RN_0110</t>
        </is>
      </c>
      <c r="K185" s="640" t="n">
        <v>1</v>
      </c>
      <c r="L185" s="640" t="n">
        <v>1</v>
      </c>
      <c r="M185" s="623" t="inlineStr">
        <is>
          <t>Samsung 32" вертикальный</t>
        </is>
      </c>
      <c r="N185" s="640" t="n"/>
      <c r="O185" s="640">
        <f>IF(AND(N185=1,L185=1),K185,"")</f>
        <v/>
      </c>
      <c r="P185" s="642" t="inlineStr">
        <is>
          <t>Московская область, Подольский район, Лаговское с/п, вблизи д. Гривно (справа)</t>
        </is>
      </c>
      <c r="Q185" s="640" t="inlineStr">
        <is>
          <t>55.358872</t>
        </is>
      </c>
      <c r="R185" s="494" t="inlineStr">
        <is>
          <t>37.59659</t>
        </is>
      </c>
      <c r="S185" s="438" t="n"/>
      <c r="T185" s="438" t="n"/>
      <c r="U185" s="438" t="n"/>
      <c r="V185" s="438">
        <f>IF(AND(N185=1,U185=1),C185,"")</f>
        <v/>
      </c>
      <c r="W185" s="387" t="n"/>
      <c r="X185" s="387" t="n"/>
      <c r="Y185" s="387" t="n"/>
    </row>
    <row r="186" hidden="1" ht="16.05" customFormat="1" customHeight="1" s="126">
      <c r="A186" s="125" t="n">
        <v>232</v>
      </c>
      <c r="B186" s="125" t="n"/>
      <c r="C186" s="130" t="inlineStr">
        <is>
          <t>Москва</t>
        </is>
      </c>
      <c r="D186" s="130" t="inlineStr">
        <is>
          <t>Московская область</t>
        </is>
      </c>
      <c r="E186" s="130" t="inlineStr">
        <is>
          <t>М2</t>
        </is>
      </c>
      <c r="F186" s="130" t="inlineStr">
        <is>
          <t>АЗС</t>
        </is>
      </c>
      <c r="G186" s="130" t="inlineStr">
        <is>
          <t>Роснефть</t>
        </is>
      </c>
      <c r="H186" s="131" t="inlineStr">
        <is>
          <t>MR111</t>
        </is>
      </c>
      <c r="I186" s="637" t="inlineStr">
        <is>
          <t>RN_111</t>
        </is>
      </c>
      <c r="J186" s="637" t="inlineStr">
        <is>
          <t>MSK_RN_0111</t>
        </is>
      </c>
      <c r="K186" s="640" t="n">
        <v>1</v>
      </c>
      <c r="L186" s="640" t="n">
        <v>1</v>
      </c>
      <c r="M186" s="623" t="inlineStr">
        <is>
          <t>Samsung 32" вертикальный</t>
        </is>
      </c>
      <c r="N186" s="640" t="n"/>
      <c r="O186" s="640">
        <f>IF(AND(N186=1,L186=1),K186,"")</f>
        <v/>
      </c>
      <c r="P186" s="642" t="inlineStr">
        <is>
          <t>Московская область, Подольский район, Лаговское с/п, вблизи д. Гривно (слева)</t>
        </is>
      </c>
      <c r="Q186" s="640" t="inlineStr">
        <is>
          <t>55.357521</t>
        </is>
      </c>
      <c r="R186" s="494" t="inlineStr">
        <is>
          <t>37.598618</t>
        </is>
      </c>
      <c r="S186" s="438" t="n"/>
      <c r="T186" s="438" t="n"/>
      <c r="U186" s="438" t="n"/>
      <c r="V186" s="438">
        <f>IF(AND(N186=1,U186=1),C186,"")</f>
        <v/>
      </c>
      <c r="W186" s="387" t="n"/>
      <c r="X186" s="387" t="n"/>
      <c r="Y186" s="387" t="n"/>
    </row>
    <row r="187" hidden="1" ht="16.05" customFormat="1" customHeight="1" s="126">
      <c r="A187" s="125" t="n">
        <v>234</v>
      </c>
      <c r="B187" s="125" t="n"/>
      <c r="C187" s="130" t="inlineStr">
        <is>
          <t>Москва</t>
        </is>
      </c>
      <c r="D187" s="130" t="inlineStr">
        <is>
          <t>Московская область</t>
        </is>
      </c>
      <c r="E187" s="130" t="inlineStr">
        <is>
          <t>М5</t>
        </is>
      </c>
      <c r="F187" s="130" t="inlineStr">
        <is>
          <t>АЗС</t>
        </is>
      </c>
      <c r="G187" s="130" t="inlineStr">
        <is>
          <t>Роснефть</t>
        </is>
      </c>
      <c r="H187" s="131" t="inlineStr">
        <is>
          <t>MR114</t>
        </is>
      </c>
      <c r="I187" s="637" t="inlineStr">
        <is>
          <t>RN_114</t>
        </is>
      </c>
      <c r="J187" s="637" t="inlineStr">
        <is>
          <t>MSK_RN_0114</t>
        </is>
      </c>
      <c r="K187" s="640" t="n">
        <v>1</v>
      </c>
      <c r="L187" s="640" t="n">
        <v>1</v>
      </c>
      <c r="M187" s="623" t="inlineStr">
        <is>
          <t>Samsung 32" вертикальный</t>
        </is>
      </c>
      <c r="N187" s="640" t="n"/>
      <c r="O187" s="640">
        <f>IF(AND(N187=1,L187=1),K187,"")</f>
        <v/>
      </c>
      <c r="P187" s="642" t="inlineStr">
        <is>
          <t>Московская область, Раменский район, 45 км Новорязанского шоссе (справа)</t>
        </is>
      </c>
      <c r="Q187" s="640" t="inlineStr">
        <is>
          <t>55.509297</t>
        </is>
      </c>
      <c r="R187" s="494" t="inlineStr">
        <is>
          <t>38.135004</t>
        </is>
      </c>
      <c r="S187" s="438" t="n"/>
      <c r="T187" s="438" t="n"/>
      <c r="U187" s="438" t="n"/>
      <c r="V187" s="438">
        <f>IF(AND(N187=1,U187=1),C187,"")</f>
        <v/>
      </c>
      <c r="W187" s="387" t="n"/>
      <c r="X187" s="387" t="n"/>
      <c r="Y187" s="387" t="n"/>
    </row>
    <row r="188" hidden="1" ht="16.05" customFormat="1" customHeight="1" s="126">
      <c r="A188" s="125" t="n">
        <v>235</v>
      </c>
      <c r="B188" s="125" t="n"/>
      <c r="C188" s="130" t="inlineStr">
        <is>
          <t>Москва</t>
        </is>
      </c>
      <c r="D188" s="130" t="inlineStr">
        <is>
          <t>Московская область</t>
        </is>
      </c>
      <c r="E188" s="130" t="inlineStr">
        <is>
          <t>М5</t>
        </is>
      </c>
      <c r="F188" s="130" t="inlineStr">
        <is>
          <t>АЗС</t>
        </is>
      </c>
      <c r="G188" s="130" t="inlineStr">
        <is>
          <t>Роснефть</t>
        </is>
      </c>
      <c r="H188" s="131" t="inlineStr">
        <is>
          <t>MR115</t>
        </is>
      </c>
      <c r="I188" s="637" t="inlineStr">
        <is>
          <t>RN_115</t>
        </is>
      </c>
      <c r="J188" s="637" t="inlineStr">
        <is>
          <t>MSK_RN_0115</t>
        </is>
      </c>
      <c r="K188" s="640" t="n">
        <v>1</v>
      </c>
      <c r="L188" s="640" t="n">
        <v>1</v>
      </c>
      <c r="M188" s="623" t="inlineStr">
        <is>
          <t>Samsung 32" вертикальный</t>
        </is>
      </c>
      <c r="N188" s="640" t="n"/>
      <c r="O188" s="640">
        <f>IF(AND(N188=1,L188=1),K188,"")</f>
        <v/>
      </c>
      <c r="P188" s="642" t="inlineStr">
        <is>
          <t>Московская область, Раменский район, 45 км Новорязанского шоссе (слева)</t>
        </is>
      </c>
      <c r="Q188" s="640" t="inlineStr">
        <is>
          <t>55.509927</t>
        </is>
      </c>
      <c r="R188" s="494" t="inlineStr">
        <is>
          <t>38.137016</t>
        </is>
      </c>
      <c r="S188" s="438" t="n"/>
      <c r="T188" s="438" t="n"/>
      <c r="U188" s="438" t="n"/>
      <c r="V188" s="438">
        <f>IF(AND(N188=1,U188=1),C188,"")</f>
        <v/>
      </c>
      <c r="W188" s="387" t="n"/>
      <c r="X188" s="387" t="n"/>
      <c r="Y188" s="387" t="n"/>
    </row>
    <row r="189" hidden="1" ht="16.05" customFormat="1" customHeight="1" s="126">
      <c r="A189" s="125" t="n">
        <v>236</v>
      </c>
      <c r="B189" s="125" t="n"/>
      <c r="C189" s="130" t="inlineStr">
        <is>
          <t>Москва</t>
        </is>
      </c>
      <c r="D189" s="130" t="inlineStr">
        <is>
          <t>Московская область</t>
        </is>
      </c>
      <c r="E189" s="130" t="inlineStr">
        <is>
          <t>М5</t>
        </is>
      </c>
      <c r="F189" s="130" t="inlineStr">
        <is>
          <t>АЗС</t>
        </is>
      </c>
      <c r="G189" s="130" t="inlineStr">
        <is>
          <t>Роснефть</t>
        </is>
      </c>
      <c r="H189" s="131" t="inlineStr">
        <is>
          <t>MR116</t>
        </is>
      </c>
      <c r="I189" s="637" t="inlineStr">
        <is>
          <t>RN_116</t>
        </is>
      </c>
      <c r="J189" s="637" t="inlineStr">
        <is>
          <t>MSK_RN_0116</t>
        </is>
      </c>
      <c r="K189" s="640" t="n">
        <v>1</v>
      </c>
      <c r="L189" s="640" t="n">
        <v>1</v>
      </c>
      <c r="M189" s="623" t="inlineStr">
        <is>
          <t>Samsung 32" вертикальный</t>
        </is>
      </c>
      <c r="N189" s="640" t="n"/>
      <c r="O189" s="640">
        <f>IF(AND(N189=1,L189=1),K189,"")</f>
        <v/>
      </c>
      <c r="P189" s="642" t="inlineStr">
        <is>
          <t>Московская область, Раменский район, с/п Сафоновское, 2 км Донинского ш.</t>
        </is>
      </c>
      <c r="Q189" s="640" t="inlineStr">
        <is>
          <t>55.597492</t>
        </is>
      </c>
      <c r="R189" s="494" t="inlineStr">
        <is>
          <t>38.262089</t>
        </is>
      </c>
      <c r="S189" s="438" t="n"/>
      <c r="T189" s="438" t="n"/>
      <c r="U189" s="438" t="n"/>
      <c r="V189" s="438">
        <f>IF(AND(N189=1,U189=1),C189,"")</f>
        <v/>
      </c>
      <c r="W189" s="387" t="n"/>
      <c r="X189" s="387" t="n"/>
      <c r="Y189" s="387" t="n"/>
    </row>
    <row r="190" hidden="1" ht="16.05" customFormat="1" customHeight="1" s="126">
      <c r="A190" s="125" t="n">
        <v>237</v>
      </c>
      <c r="B190" s="125" t="n"/>
      <c r="C190" s="130" t="inlineStr">
        <is>
          <t>Москва</t>
        </is>
      </c>
      <c r="D190" s="130" t="inlineStr">
        <is>
          <t>Московская область</t>
        </is>
      </c>
      <c r="E190" s="130" t="inlineStr">
        <is>
          <t>М8</t>
        </is>
      </c>
      <c r="F190" s="130" t="inlineStr">
        <is>
          <t>АЗС</t>
        </is>
      </c>
      <c r="G190" s="130" t="inlineStr">
        <is>
          <t>Роснефть</t>
        </is>
      </c>
      <c r="H190" s="131" t="inlineStr">
        <is>
          <t>MR117</t>
        </is>
      </c>
      <c r="I190" s="637" t="inlineStr">
        <is>
          <t>RN_117</t>
        </is>
      </c>
      <c r="J190" s="637" t="inlineStr">
        <is>
          <t>MSK_RN_0117</t>
        </is>
      </c>
      <c r="K190" s="640" t="n">
        <v>1</v>
      </c>
      <c r="L190" s="640" t="n">
        <v>1</v>
      </c>
      <c r="M190" s="623" t="inlineStr">
        <is>
          <t>Samsung 32" вертикальный</t>
        </is>
      </c>
      <c r="N190" s="640" t="n"/>
      <c r="O190" s="640">
        <f>IF(AND(N190=1,L190=1),K190,"")</f>
        <v/>
      </c>
      <c r="P190" s="642" t="inlineStr">
        <is>
          <t>Московская область, Пушкинский район, 40 км Ярославского ш.</t>
        </is>
      </c>
      <c r="Q190" s="640" t="inlineStr">
        <is>
          <t>56.055575</t>
        </is>
      </c>
      <c r="R190" s="494" t="inlineStr">
        <is>
          <t>37.90003</t>
        </is>
      </c>
      <c r="S190" s="436" t="n"/>
      <c r="T190" s="436" t="n"/>
      <c r="U190" s="436" t="n"/>
      <c r="V190" s="438">
        <f>IF(AND(N190=1,U190=1),C190,"")</f>
        <v/>
      </c>
      <c r="W190" s="387" t="n"/>
      <c r="X190" s="387" t="n"/>
      <c r="Y190" s="387" t="n"/>
    </row>
    <row r="191" hidden="1" ht="16.05" customHeight="1">
      <c r="A191" s="13" t="n">
        <v>238</v>
      </c>
      <c r="B191" s="13">
        <f>IF(OR(M191="Sam 32",M191="Sam 40"),"s",IF(M191="AMS","a","v"))</f>
        <v/>
      </c>
      <c r="C191" s="130" t="inlineStr">
        <is>
          <t>Москва</t>
        </is>
      </c>
      <c r="D191" s="130" t="inlineStr">
        <is>
          <t>Московская область</t>
        </is>
      </c>
      <c r="E191" s="130" t="inlineStr">
        <is>
          <t>М5</t>
        </is>
      </c>
      <c r="F191" s="130" t="n"/>
      <c r="G191" s="130" t="inlineStr">
        <is>
          <t>ТНК</t>
        </is>
      </c>
      <c r="H191" s="131" t="inlineStr">
        <is>
          <t>MJ154</t>
        </is>
      </c>
      <c r="I191" s="637" t="inlineStr">
        <is>
          <t>Амерево</t>
        </is>
      </c>
      <c r="J191" s="402" t="inlineStr">
        <is>
          <t>MSK_TNK_Amerevo</t>
        </is>
      </c>
      <c r="K191" s="640" t="n">
        <v>1</v>
      </c>
      <c r="L191" s="640" t="n">
        <v>0</v>
      </c>
      <c r="M191" s="640" t="inlineStr">
        <is>
          <t>Sam 32</t>
        </is>
      </c>
      <c r="N191" s="640" t="n"/>
      <c r="O191" s="640">
        <f>IF(AND(N191=1,L191=1),K191,"")</f>
        <v/>
      </c>
      <c r="P191" s="642" t="inlineStr">
        <is>
          <t>Московская область, Коломенский район, с. Амерево, 110 км а/д "Москва-Челябинск" (пр. сторона)</t>
        </is>
      </c>
      <c r="Q191" s="640" t="n"/>
      <c r="R191" s="422" t="n"/>
      <c r="S191" s="438" t="n"/>
      <c r="T191" s="438" t="n"/>
      <c r="U191" s="438" t="n"/>
      <c r="V191" s="438">
        <f>IF(AND(N191=1,U191=1),C191,"")</f>
        <v/>
      </c>
      <c r="X191" s="1" t="n"/>
      <c r="Y191" s="1" t="n"/>
      <c r="Z191" s="1" t="n"/>
    </row>
    <row r="192" hidden="1" ht="16.05" customFormat="1" customHeight="1" s="126">
      <c r="A192" s="125" t="n">
        <v>239</v>
      </c>
      <c r="B192" s="125" t="n"/>
      <c r="C192" s="130" t="inlineStr">
        <is>
          <t>Москва</t>
        </is>
      </c>
      <c r="D192" s="130" t="inlineStr">
        <is>
          <t>Московская область</t>
        </is>
      </c>
      <c r="E192" s="130" t="inlineStr">
        <is>
          <t>М1</t>
        </is>
      </c>
      <c r="F192" s="130" t="inlineStr">
        <is>
          <t>АЗС</t>
        </is>
      </c>
      <c r="G192" s="130" t="inlineStr">
        <is>
          <t>Роснефть</t>
        </is>
      </c>
      <c r="H192" s="131" t="inlineStr">
        <is>
          <t>MJ076</t>
        </is>
      </c>
      <c r="I192" s="637" t="inlineStr">
        <is>
          <t>Баковка</t>
        </is>
      </c>
      <c r="J192" s="637" t="inlineStr">
        <is>
          <t>MSK_TNK_Bakovka</t>
        </is>
      </c>
      <c r="K192" s="640" t="n">
        <v>1</v>
      </c>
      <c r="L192" s="640" t="n">
        <v>1</v>
      </c>
      <c r="M192" s="623" t="inlineStr">
        <is>
          <t>Samsung 32" вертикальный</t>
        </is>
      </c>
      <c r="N192" s="640" t="n"/>
      <c r="O192" s="640">
        <f>IF(AND(N192=1,L192=1),K192,"")</f>
        <v/>
      </c>
      <c r="P192" s="642" t="inlineStr">
        <is>
          <t>Московская область, Одинцовский район, Мамоноский с.о.,  дер.Вырубово, строение №2 (справа)</t>
        </is>
      </c>
      <c r="Q192" s="640" t="inlineStr">
        <is>
          <t>55.670927</t>
        </is>
      </c>
      <c r="R192" s="494" t="inlineStr">
        <is>
          <t>37.313337</t>
        </is>
      </c>
      <c r="S192" s="438" t="n"/>
      <c r="T192" s="438" t="n"/>
      <c r="U192" s="438" t="n"/>
      <c r="V192" s="438">
        <f>IF(AND(N192=1,U192=1),C192,"")</f>
        <v/>
      </c>
      <c r="W192" s="387" t="n"/>
      <c r="X192" s="387" t="n"/>
      <c r="Y192" s="387" t="n"/>
    </row>
    <row r="193" hidden="1" ht="16.05" customFormat="1" customHeight="1" s="126">
      <c r="A193" s="125" t="n">
        <v>240</v>
      </c>
      <c r="B193" s="125" t="n"/>
      <c r="C193" s="130" t="inlineStr">
        <is>
          <t>Москва</t>
        </is>
      </c>
      <c r="D193" s="130" t="inlineStr">
        <is>
          <t>Москва</t>
        </is>
      </c>
      <c r="E193" s="130" t="inlineStr">
        <is>
          <t>М4</t>
        </is>
      </c>
      <c r="F193" s="130" t="inlineStr">
        <is>
          <t>АЗС</t>
        </is>
      </c>
      <c r="G193" s="130" t="inlineStr">
        <is>
          <t>Роснефть</t>
        </is>
      </c>
      <c r="H193" s="131" t="inlineStr">
        <is>
          <t>ML004</t>
        </is>
      </c>
      <c r="I193" s="637" t="inlineStr">
        <is>
          <t>Бирюлево</t>
        </is>
      </c>
      <c r="J193" s="637" t="inlineStr">
        <is>
          <t>MSK_TNK_Birulevo</t>
        </is>
      </c>
      <c r="K193" s="640" t="n">
        <v>1</v>
      </c>
      <c r="L193" s="640" t="n">
        <v>1</v>
      </c>
      <c r="M193" s="623" t="inlineStr">
        <is>
          <t>Samsung 32" вертикальный</t>
        </is>
      </c>
      <c r="N193" s="640" t="n"/>
      <c r="O193" s="640">
        <f>IF(AND(N193=1,L193=1),K193,"")</f>
        <v/>
      </c>
      <c r="P193" s="642" t="inlineStr">
        <is>
          <t>Москва, 25 км МКАД, вл. 12 (внутренняя сторона)</t>
        </is>
      </c>
      <c r="Q193" s="640" t="inlineStr">
        <is>
          <t>55.583601</t>
        </is>
      </c>
      <c r="R193" s="494" t="inlineStr">
        <is>
          <t>37.706488</t>
        </is>
      </c>
      <c r="S193" s="438" t="n"/>
      <c r="T193" s="438" t="n"/>
      <c r="U193" s="438" t="n"/>
      <c r="V193" s="438">
        <f>IF(AND(N193=1,U193=1),C193,"")</f>
        <v/>
      </c>
      <c r="W193" s="387" t="n"/>
      <c r="X193" s="387" t="n"/>
      <c r="Y193" s="387" t="n"/>
    </row>
    <row r="194" hidden="1" ht="16.05" customFormat="1" customHeight="1" s="126">
      <c r="A194" s="125" t="n">
        <v>241</v>
      </c>
      <c r="B194" s="125" t="n"/>
      <c r="C194" s="130" t="inlineStr">
        <is>
          <t>Москва</t>
        </is>
      </c>
      <c r="D194" s="130" t="inlineStr">
        <is>
          <t>Москва</t>
        </is>
      </c>
      <c r="E194" s="130" t="inlineStr">
        <is>
          <t>ЮАО</t>
        </is>
      </c>
      <c r="F194" s="130" t="inlineStr">
        <is>
          <t>АЗС</t>
        </is>
      </c>
      <c r="G194" s="130" t="inlineStr">
        <is>
          <t>Роснефть</t>
        </is>
      </c>
      <c r="H194" s="131" t="inlineStr">
        <is>
          <t>ML003</t>
        </is>
      </c>
      <c r="I194" s="637" t="inlineStr">
        <is>
          <t>Братеево</t>
        </is>
      </c>
      <c r="J194" s="637" t="inlineStr">
        <is>
          <t>MSK_TNK_Brateevo</t>
        </is>
      </c>
      <c r="K194" s="640" t="n">
        <v>1</v>
      </c>
      <c r="L194" s="640" t="n">
        <v>1</v>
      </c>
      <c r="M194" s="623" t="inlineStr">
        <is>
          <t>Samsung 32" вертикальный</t>
        </is>
      </c>
      <c r="N194" s="640" t="n"/>
      <c r="O194" s="640">
        <f>IF(AND(N194=1,L194=1),K194,"")</f>
        <v/>
      </c>
      <c r="P194" s="642" t="inlineStr">
        <is>
          <t>Москва, Братеевская, вл.4 корп.1</t>
        </is>
      </c>
      <c r="Q194" s="640" t="inlineStr">
        <is>
          <t>55.630653</t>
        </is>
      </c>
      <c r="R194" s="494" t="inlineStr">
        <is>
          <t>37.753367</t>
        </is>
      </c>
      <c r="S194" s="438" t="n"/>
      <c r="T194" s="438" t="n"/>
      <c r="U194" s="438" t="n"/>
      <c r="V194" s="438">
        <f>IF(AND(N194=1,U194=1),C194,"")</f>
        <v/>
      </c>
      <c r="W194" s="387" t="n"/>
      <c r="X194" s="387" t="n"/>
      <c r="Y194" s="387" t="n"/>
    </row>
    <row r="195" hidden="1" ht="16.05" customFormat="1" customHeight="1" s="126">
      <c r="A195" s="125" t="n">
        <v>242</v>
      </c>
      <c r="B195" s="125" t="n"/>
      <c r="C195" s="130" t="inlineStr">
        <is>
          <t>Москва</t>
        </is>
      </c>
      <c r="D195" s="130" t="inlineStr">
        <is>
          <t>Москва</t>
        </is>
      </c>
      <c r="E195" s="130" t="inlineStr">
        <is>
          <t>ЮАО</t>
        </is>
      </c>
      <c r="F195" s="130" t="inlineStr">
        <is>
          <t>АЗС</t>
        </is>
      </c>
      <c r="G195" s="130" t="inlineStr">
        <is>
          <t>Роснефть</t>
        </is>
      </c>
      <c r="H195" s="131" t="inlineStr">
        <is>
          <t>MN015</t>
        </is>
      </c>
      <c r="I195" s="637" t="inlineStr">
        <is>
          <t>Варшавская</t>
        </is>
      </c>
      <c r="J195" s="637" t="inlineStr">
        <is>
          <t>MSK_RN_Varshavskaya</t>
        </is>
      </c>
      <c r="K195" s="640" t="n">
        <v>1</v>
      </c>
      <c r="L195" s="640" t="n">
        <v>1</v>
      </c>
      <c r="M195" s="623" t="inlineStr">
        <is>
          <t>Samsung 32" вертикальный</t>
        </is>
      </c>
      <c r="N195" s="640" t="n"/>
      <c r="O195" s="640">
        <f>IF(AND(N195=1,L195=1),K195,"")</f>
        <v/>
      </c>
      <c r="P195" s="642" t="inlineStr">
        <is>
          <t>Москва, Варшавское ш., д.132А</t>
        </is>
      </c>
      <c r="Q195" s="640" t="inlineStr">
        <is>
          <t>55.616769</t>
        </is>
      </c>
      <c r="R195" s="494" t="inlineStr">
        <is>
          <t>37.610921</t>
        </is>
      </c>
      <c r="S195" s="438" t="n"/>
      <c r="T195" s="438" t="n"/>
      <c r="U195" s="438" t="n"/>
      <c r="V195" s="438">
        <f>IF(AND(N195=1,U195=1),C195,"")</f>
        <v/>
      </c>
      <c r="W195" s="387" t="n"/>
      <c r="X195" s="387" t="n"/>
      <c r="Y195" s="387" t="n"/>
    </row>
    <row r="196" hidden="1" ht="16.05" customFormat="1" customHeight="1" s="126">
      <c r="A196" s="125" t="n">
        <v>243</v>
      </c>
      <c r="B196" s="125" t="n"/>
      <c r="C196" s="130" t="inlineStr">
        <is>
          <t>Москва</t>
        </is>
      </c>
      <c r="D196" s="130" t="inlineStr">
        <is>
          <t>Видное</t>
        </is>
      </c>
      <c r="E196" s="130" t="inlineStr">
        <is>
          <t>М4</t>
        </is>
      </c>
      <c r="F196" s="130" t="inlineStr">
        <is>
          <t>АЗС</t>
        </is>
      </c>
      <c r="G196" s="130" t="inlineStr">
        <is>
          <t>Роснефть</t>
        </is>
      </c>
      <c r="H196" s="131" t="inlineStr">
        <is>
          <t>ML001</t>
        </is>
      </c>
      <c r="I196" s="637" t="inlineStr">
        <is>
          <t>Видное-1</t>
        </is>
      </c>
      <c r="J196" s="637" t="inlineStr">
        <is>
          <t>MSK_TNK_Vidnoe_1</t>
        </is>
      </c>
      <c r="K196" s="640" t="n">
        <v>1</v>
      </c>
      <c r="L196" s="640" t="n">
        <v>1</v>
      </c>
      <c r="M196" s="623" t="inlineStr">
        <is>
          <t>Samsung 32" вертикальный</t>
        </is>
      </c>
      <c r="N196" s="640" t="n"/>
      <c r="O196" s="640">
        <f>IF(AND(N196=1,L196=1),K196,"")</f>
        <v/>
      </c>
      <c r="P196" s="642" t="inlineStr">
        <is>
          <t>Московская область, Ленинский район, г.Видное, 27 км Каширского шоссе</t>
        </is>
      </c>
      <c r="Q196" s="640" t="inlineStr">
        <is>
          <t>55.548065</t>
        </is>
      </c>
      <c r="R196" s="494" t="inlineStr">
        <is>
          <t>37.773324</t>
        </is>
      </c>
      <c r="S196" s="438" t="n"/>
      <c r="T196" s="438" t="n"/>
      <c r="U196" s="438" t="n"/>
      <c r="V196" s="438">
        <f>IF(AND(N196=1,U196=1),C196,"")</f>
        <v/>
      </c>
      <c r="W196" s="387" t="n"/>
      <c r="X196" s="387" t="n"/>
      <c r="Y196" s="387" t="n"/>
    </row>
    <row r="197" hidden="1" ht="16.05" customFormat="1" customHeight="1" s="126">
      <c r="A197" s="125" t="n">
        <v>244</v>
      </c>
      <c r="B197" s="125" t="n"/>
      <c r="C197" s="130" t="inlineStr">
        <is>
          <t>Москва</t>
        </is>
      </c>
      <c r="D197" s="130" t="inlineStr">
        <is>
          <t>Видное</t>
        </is>
      </c>
      <c r="E197" s="130" t="inlineStr">
        <is>
          <t>М4</t>
        </is>
      </c>
      <c r="F197" s="130" t="inlineStr">
        <is>
          <t>АЗС</t>
        </is>
      </c>
      <c r="G197" s="130" t="inlineStr">
        <is>
          <t>Роснефть</t>
        </is>
      </c>
      <c r="H197" s="131" t="inlineStr">
        <is>
          <t>ML001</t>
        </is>
      </c>
      <c r="I197" s="637" t="inlineStr">
        <is>
          <t>Видное-2</t>
        </is>
      </c>
      <c r="J197" s="637" t="inlineStr">
        <is>
          <t>MSK_TNK_Vidnoe_2</t>
        </is>
      </c>
      <c r="K197" s="640" t="n">
        <v>1</v>
      </c>
      <c r="L197" s="640" t="n">
        <v>1</v>
      </c>
      <c r="M197" s="623" t="inlineStr">
        <is>
          <t>Samsung 32" вертикальный</t>
        </is>
      </c>
      <c r="N197" s="640" t="n"/>
      <c r="O197" s="640">
        <f>IF(AND(N197=1,L197=1),K197,"")</f>
        <v/>
      </c>
      <c r="P197" s="642" t="inlineStr">
        <is>
          <t>Московская область, г. Видное ул. Березовая д. 2А</t>
        </is>
      </c>
      <c r="Q197" s="640" t="inlineStr">
        <is>
          <t>55.546359</t>
        </is>
      </c>
      <c r="R197" s="494" t="inlineStr">
        <is>
          <t>37.718827</t>
        </is>
      </c>
      <c r="S197" s="438" t="n"/>
      <c r="T197" s="438" t="n"/>
      <c r="U197" s="438" t="n"/>
      <c r="V197" s="438">
        <f>IF(AND(N197=1,U197=1),C197,"")</f>
        <v/>
      </c>
      <c r="W197" s="387" t="n"/>
      <c r="X197" s="387" t="n"/>
      <c r="Y197" s="387" t="n"/>
    </row>
    <row r="198" hidden="1" ht="16.05" customFormat="1" customHeight="1" s="126">
      <c r="A198" s="125" t="n">
        <v>245</v>
      </c>
      <c r="B198" s="125" t="n"/>
      <c r="C198" s="130" t="inlineStr">
        <is>
          <t>Москва</t>
        </is>
      </c>
      <c r="D198" s="130" t="inlineStr">
        <is>
          <t>Московская область</t>
        </is>
      </c>
      <c r="E198" s="130" t="inlineStr">
        <is>
          <t>М7</t>
        </is>
      </c>
      <c r="F198" s="130" t="inlineStr">
        <is>
          <t>АЗС</t>
        </is>
      </c>
      <c r="G198" s="130" t="inlineStr">
        <is>
          <t>Роснефть</t>
        </is>
      </c>
      <c r="H198" s="131" t="inlineStr">
        <is>
          <t>MJ202</t>
        </is>
      </c>
      <c r="I198" s="637" t="inlineStr">
        <is>
          <t>Волга</t>
        </is>
      </c>
      <c r="J198" s="637" t="inlineStr">
        <is>
          <t>MSK_TNK_Volga</t>
        </is>
      </c>
      <c r="K198" s="640" t="n">
        <v>1</v>
      </c>
      <c r="L198" s="640" t="n">
        <v>1</v>
      </c>
      <c r="M198" s="623" t="inlineStr">
        <is>
          <t>Samsung 32" вертикальный</t>
        </is>
      </c>
      <c r="N198" s="640" t="n"/>
      <c r="O198" s="640">
        <f>IF(AND(N198=1,L198=1),K198,"")</f>
        <v/>
      </c>
      <c r="P198" s="642" t="inlineStr">
        <is>
          <t>Московская область, Балашихинский район, 16-й км автодороги М-7 "Волга"</t>
        </is>
      </c>
      <c r="Q198" s="640" t="inlineStr">
        <is>
          <t>55.779275</t>
        </is>
      </c>
      <c r="R198" s="494" t="inlineStr">
        <is>
          <t>37.850709</t>
        </is>
      </c>
      <c r="S198" s="438" t="n"/>
      <c r="T198" s="438" t="n"/>
      <c r="U198" s="438" t="n"/>
      <c r="V198" s="438">
        <f>IF(AND(N198=1,U198=1),C198,"")</f>
        <v/>
      </c>
      <c r="W198" s="387" t="n"/>
      <c r="X198" s="387" t="n"/>
      <c r="Y198" s="387" t="n"/>
    </row>
    <row r="199" hidden="1" ht="16.05" customFormat="1" customHeight="1" s="126">
      <c r="A199" s="125" t="n">
        <v>246</v>
      </c>
      <c r="B199" s="125" t="n"/>
      <c r="C199" s="130" t="inlineStr">
        <is>
          <t>Москва</t>
        </is>
      </c>
      <c r="D199" s="130" t="inlineStr">
        <is>
          <t>Московская область</t>
        </is>
      </c>
      <c r="E199" s="130" t="inlineStr">
        <is>
          <t>М5</t>
        </is>
      </c>
      <c r="F199" s="130" t="inlineStr">
        <is>
          <t>АЗС</t>
        </is>
      </c>
      <c r="G199" s="130" t="inlineStr">
        <is>
          <t>Роснефть</t>
        </is>
      </c>
      <c r="H199" s="131" t="inlineStr">
        <is>
          <t>RR120</t>
        </is>
      </c>
      <c r="I199" s="637" t="inlineStr">
        <is>
          <t>Врачово-1</t>
        </is>
      </c>
      <c r="J199" s="637" t="inlineStr">
        <is>
          <t>MSK_TNK_Vrachevo-1</t>
        </is>
      </c>
      <c r="K199" s="640" t="n">
        <v>1</v>
      </c>
      <c r="L199" s="640" t="n">
        <v>1</v>
      </c>
      <c r="M199" s="623" t="inlineStr">
        <is>
          <t>Samsung 32" вертикальный</t>
        </is>
      </c>
      <c r="N199" s="640" t="n"/>
      <c r="O199" s="640">
        <f>IF(AND(N199=1,L199=1),K199,"")</f>
        <v/>
      </c>
      <c r="P199" s="642" t="inlineStr">
        <is>
          <t>Московская область, Луховицкий район, дер. Врачово, 143 км а/д Урал слева (АЗС Рязаньнефтепродукт)</t>
        </is>
      </c>
      <c r="Q199" s="640" t="inlineStr">
        <is>
          <t>54.881371</t>
        </is>
      </c>
      <c r="R199" s="494" t="inlineStr">
        <is>
          <t>39.171641</t>
        </is>
      </c>
      <c r="S199" s="438" t="n"/>
      <c r="T199" s="438" t="n"/>
      <c r="U199" s="438" t="n"/>
      <c r="V199" s="438">
        <f>IF(AND(N199=1,U199=1),C199,"")</f>
        <v/>
      </c>
      <c r="W199" s="387" t="n"/>
      <c r="X199" s="387" t="n"/>
      <c r="Y199" s="387" t="n"/>
    </row>
    <row r="200" hidden="1" ht="16.05" customFormat="1" customHeight="1" s="126">
      <c r="A200" s="125" t="n">
        <v>247</v>
      </c>
      <c r="B200" s="125" t="n"/>
      <c r="C200" s="130" t="inlineStr">
        <is>
          <t>Москва</t>
        </is>
      </c>
      <c r="D200" s="130" t="inlineStr">
        <is>
          <t>Московская область</t>
        </is>
      </c>
      <c r="E200" s="130" t="inlineStr">
        <is>
          <t>М5</t>
        </is>
      </c>
      <c r="F200" s="130" t="inlineStr">
        <is>
          <t>АЗС</t>
        </is>
      </c>
      <c r="G200" s="130" t="inlineStr">
        <is>
          <t>Роснефть</t>
        </is>
      </c>
      <c r="H200" s="131" t="inlineStr">
        <is>
          <t>RR119</t>
        </is>
      </c>
      <c r="I200" s="637" t="inlineStr">
        <is>
          <t>Врачово-2</t>
        </is>
      </c>
      <c r="J200" s="637" t="inlineStr">
        <is>
          <t>MSK_TNK_Vrachevo-2</t>
        </is>
      </c>
      <c r="K200" s="640" t="n">
        <v>1</v>
      </c>
      <c r="L200" s="640" t="n">
        <v>1</v>
      </c>
      <c r="M200" s="623" t="inlineStr">
        <is>
          <t>Samsung 32" вертикальный</t>
        </is>
      </c>
      <c r="N200" s="640" t="n"/>
      <c r="O200" s="640">
        <f>IF(AND(N200=1,L200=1),K200,"")</f>
        <v/>
      </c>
      <c r="P200" s="642" t="inlineStr">
        <is>
          <t>Московская область, Луховицкий район, дер. Врачово, 142 км а/д Урал справа (АЗС Рязаньнефтепродукт)</t>
        </is>
      </c>
      <c r="Q200" s="640" t="inlineStr">
        <is>
          <t>54.888168</t>
        </is>
      </c>
      <c r="R200" s="494" t="inlineStr">
        <is>
          <t>39.156779</t>
        </is>
      </c>
      <c r="S200" s="438" t="n"/>
      <c r="T200" s="438" t="n"/>
      <c r="U200" s="438" t="n"/>
      <c r="V200" s="438">
        <f>IF(AND(N200=1,U200=1),C200,"")</f>
        <v/>
      </c>
      <c r="W200" s="387" t="n"/>
      <c r="X200" s="387" t="n"/>
      <c r="Y200" s="387" t="n"/>
    </row>
    <row r="201" hidden="1" ht="16.05" customFormat="1" customHeight="1" s="126">
      <c r="A201" s="125" t="n">
        <v>248</v>
      </c>
      <c r="B201" s="125" t="n"/>
      <c r="C201" s="130" t="inlineStr">
        <is>
          <t>Москва</t>
        </is>
      </c>
      <c r="D201" s="130" t="inlineStr">
        <is>
          <t>Московская область</t>
        </is>
      </c>
      <c r="E201" s="130" t="inlineStr">
        <is>
          <t>М1</t>
        </is>
      </c>
      <c r="F201" s="130" t="inlineStr">
        <is>
          <t>АЗС</t>
        </is>
      </c>
      <c r="G201" s="130" t="inlineStr">
        <is>
          <t>Роснефть</t>
        </is>
      </c>
      <c r="H201" s="131" t="inlineStr">
        <is>
          <t>MJ075</t>
        </is>
      </c>
      <c r="I201" s="637" t="inlineStr">
        <is>
          <t>Вырубово</t>
        </is>
      </c>
      <c r="J201" s="637" t="inlineStr">
        <is>
          <t>MSK_TNK_Vyrubovo</t>
        </is>
      </c>
      <c r="K201" s="640" t="n">
        <v>1</v>
      </c>
      <c r="L201" s="640" t="n">
        <v>1</v>
      </c>
      <c r="M201" s="623" t="inlineStr">
        <is>
          <t>Samsung 32" вертикальный</t>
        </is>
      </c>
      <c r="N201" s="640" t="n"/>
      <c r="O201" s="640">
        <f>IF(AND(N201=1,L201=1),K201,"")</f>
        <v/>
      </c>
      <c r="P201" s="642" t="inlineStr">
        <is>
          <t>Московская область, Одинцовский район, д. Вырубово, стр.1; (слева)</t>
        </is>
      </c>
      <c r="Q201" s="640" t="inlineStr">
        <is>
          <t>55.670964</t>
        </is>
      </c>
      <c r="R201" s="494" t="inlineStr">
        <is>
          <t>37.313865</t>
        </is>
      </c>
      <c r="S201" s="438" t="n"/>
      <c r="T201" s="438" t="n"/>
      <c r="U201" s="438" t="n"/>
      <c r="V201" s="438">
        <f>IF(AND(N201=1,U201=1),C201,"")</f>
        <v/>
      </c>
      <c r="W201" s="387" t="n"/>
      <c r="X201" s="387" t="n"/>
      <c r="Y201" s="387" t="n"/>
    </row>
    <row r="202" hidden="1" ht="16.05" customFormat="1" customHeight="1" s="126">
      <c r="A202" s="125" t="n">
        <v>249</v>
      </c>
      <c r="B202" s="125" t="n"/>
      <c r="C202" s="130" t="inlineStr">
        <is>
          <t>Москва</t>
        </is>
      </c>
      <c r="D202" s="130" t="inlineStr">
        <is>
          <t>Московская область</t>
        </is>
      </c>
      <c r="E202" s="130" t="inlineStr">
        <is>
          <t>М8</t>
        </is>
      </c>
      <c r="F202" s="130" t="n"/>
      <c r="G202" s="130" t="inlineStr">
        <is>
          <t>Роснефть</t>
        </is>
      </c>
      <c r="H202" s="131" t="inlineStr">
        <is>
          <t>MJ100</t>
        </is>
      </c>
      <c r="I202" s="637" t="inlineStr">
        <is>
          <t>Голыгино</t>
        </is>
      </c>
      <c r="J202" s="637" t="inlineStr">
        <is>
          <t>MSK_TNK_Golygino</t>
        </is>
      </c>
      <c r="K202" s="640" t="n">
        <v>2</v>
      </c>
      <c r="L202" s="640" t="n">
        <v>0</v>
      </c>
      <c r="M202" s="623" t="inlineStr">
        <is>
          <t>Samsung 32" вертикальный</t>
        </is>
      </c>
      <c r="N202" s="640" t="n"/>
      <c r="O202" s="640">
        <f>IF(AND(N202=1,L202=1),K202,"")</f>
        <v/>
      </c>
      <c r="P202" s="642" t="inlineStr">
        <is>
          <t>Московская область, Сергиево-Посадский район, дер.Голыгино, вл. 56</t>
        </is>
      </c>
      <c r="Q202" s="640" t="n">
        <v>56.181812</v>
      </c>
      <c r="R202" s="422" t="n">
        <v>38.027061</v>
      </c>
      <c r="S202" s="438" t="n"/>
      <c r="T202" s="438" t="n"/>
      <c r="U202" s="438" t="n"/>
      <c r="V202" s="438">
        <f>IF(AND(N202=1,U202=1),C202,"")</f>
        <v/>
      </c>
      <c r="W202" s="387" t="n"/>
      <c r="X202" s="1" t="n"/>
      <c r="Y202" s="1" t="n"/>
    </row>
    <row r="203" hidden="1" ht="16.05" customFormat="1" customHeight="1" s="126">
      <c r="A203" s="125" t="n">
        <v>250</v>
      </c>
      <c r="B203" s="125" t="n"/>
      <c r="C203" s="130" t="inlineStr">
        <is>
          <t>Москва</t>
        </is>
      </c>
      <c r="D203" s="130" t="inlineStr">
        <is>
          <t>Московская область</t>
        </is>
      </c>
      <c r="E203" s="130" t="inlineStr">
        <is>
          <t>М9</t>
        </is>
      </c>
      <c r="F203" s="130" t="inlineStr">
        <is>
          <t>АЗС</t>
        </is>
      </c>
      <c r="G203" s="130" t="inlineStr">
        <is>
          <t>Роснефть</t>
        </is>
      </c>
      <c r="H203" s="131" t="inlineStr">
        <is>
          <t>MJ255</t>
        </is>
      </c>
      <c r="I203" s="637" t="inlineStr">
        <is>
          <t>Городково</t>
        </is>
      </c>
      <c r="J203" s="637" t="inlineStr">
        <is>
          <t>MSK_BP_Gorodkovo</t>
        </is>
      </c>
      <c r="K203" s="640" t="n">
        <v>2</v>
      </c>
      <c r="L203" s="640" t="n">
        <v>1</v>
      </c>
      <c r="M203" s="623" t="inlineStr">
        <is>
          <t>Samsung 32" вертикальный</t>
        </is>
      </c>
      <c r="N203" s="640" t="n"/>
      <c r="O203" s="640">
        <f>IF(AND(N203=1,L203=1),K203,"")</f>
        <v/>
      </c>
      <c r="P203" s="642" t="inlineStr">
        <is>
          <t>Московская область, Шаховской район, с/п Раменское, вблизи д. Городково</t>
        </is>
      </c>
      <c r="Q203" s="640" t="inlineStr">
        <is>
          <t>56.06811</t>
        </is>
      </c>
      <c r="R203" s="494" t="inlineStr">
        <is>
          <t>35.355439</t>
        </is>
      </c>
      <c r="S203" s="438" t="n"/>
      <c r="T203" s="438" t="n"/>
      <c r="U203" s="438" t="n"/>
      <c r="V203" s="438">
        <f>IF(AND(N203=1,U203=1),C203,"")</f>
        <v/>
      </c>
      <c r="W203" s="387" t="n"/>
      <c r="X203" s="387" t="n"/>
      <c r="Y203" s="387" t="n"/>
    </row>
    <row r="204" hidden="1" ht="16.05" customFormat="1" customHeight="1" s="126">
      <c r="A204" s="125" t="n">
        <v>251</v>
      </c>
      <c r="B204" s="125" t="n"/>
      <c r="C204" s="130" t="inlineStr">
        <is>
          <t>Москва</t>
        </is>
      </c>
      <c r="D204" s="130" t="inlineStr">
        <is>
          <t>Москва</t>
        </is>
      </c>
      <c r="E204" s="130" t="inlineStr">
        <is>
          <t>ЮАО</t>
        </is>
      </c>
      <c r="F204" s="130" t="inlineStr">
        <is>
          <t>АЗС</t>
        </is>
      </c>
      <c r="G204" s="130" t="inlineStr">
        <is>
          <t>Роснефть</t>
        </is>
      </c>
      <c r="H204" s="131" t="inlineStr">
        <is>
          <t>MN014</t>
        </is>
      </c>
      <c r="I204" s="637" t="inlineStr">
        <is>
          <t>ТНК_Домодедовская</t>
        </is>
      </c>
      <c r="J204" s="637" t="inlineStr">
        <is>
          <t>MSK_TNK_Domodedovskaya</t>
        </is>
      </c>
      <c r="K204" s="640" t="n">
        <v>1</v>
      </c>
      <c r="L204" s="640" t="n">
        <v>1</v>
      </c>
      <c r="M204" s="623" t="inlineStr">
        <is>
          <t>Samsung 32" вертикальный</t>
        </is>
      </c>
      <c r="N204" s="640" t="n"/>
      <c r="O204" s="640">
        <f>IF(AND(N204=1,L204=1),K204,"")</f>
        <v/>
      </c>
      <c r="P204" s="642" t="inlineStr">
        <is>
          <t>Москва, Каширское ш, 61, корп. 5</t>
        </is>
      </c>
      <c r="Q204" s="640" t="inlineStr">
        <is>
          <t>55.612467</t>
        </is>
      </c>
      <c r="R204" s="494" t="inlineStr">
        <is>
          <t>37.717544</t>
        </is>
      </c>
      <c r="S204" s="438" t="n"/>
      <c r="T204" s="438" t="n"/>
      <c r="U204" s="438" t="n"/>
      <c r="V204" s="438">
        <f>IF(AND(N204=1,U204=1),C204,"")</f>
        <v/>
      </c>
      <c r="W204" s="387" t="n"/>
      <c r="X204" s="387" t="n"/>
      <c r="Y204" s="387" t="n"/>
    </row>
    <row r="205" hidden="1" ht="16.05" customFormat="1" customHeight="1" s="126">
      <c r="A205" s="125" t="n">
        <v>252</v>
      </c>
      <c r="B205" s="125" t="n"/>
      <c r="C205" s="130" t="inlineStr">
        <is>
          <t>Москва</t>
        </is>
      </c>
      <c r="D205" s="130" t="inlineStr">
        <is>
          <t>Московская область</t>
        </is>
      </c>
      <c r="E205" s="130" t="inlineStr">
        <is>
          <t>М4</t>
        </is>
      </c>
      <c r="F205" s="130" t="n"/>
      <c r="G205" s="130" t="inlineStr">
        <is>
          <t>Роснефть</t>
        </is>
      </c>
      <c r="H205" s="131" t="inlineStr">
        <is>
          <t>MJ041</t>
        </is>
      </c>
      <c r="I205" s="637" t="inlineStr">
        <is>
          <t>Дон-2</t>
        </is>
      </c>
      <c r="J205" s="637" t="inlineStr">
        <is>
          <t>MSK_TNK_Don2</t>
        </is>
      </c>
      <c r="K205" s="640" t="n">
        <v>2</v>
      </c>
      <c r="L205" s="640" t="n">
        <v>0</v>
      </c>
      <c r="M205" s="623" t="inlineStr">
        <is>
          <t>Samsung 32" вертикальный</t>
        </is>
      </c>
      <c r="N205" s="640" t="n"/>
      <c r="O205" s="640">
        <f>IF(AND(N205=1,L205=1),K205,"")</f>
        <v/>
      </c>
      <c r="P205" s="642" t="inlineStr">
        <is>
          <t>Московская область, Ленинский район, 21 км а/д "Москва-Дон", вблизи д. Тарычево левая сторона</t>
        </is>
      </c>
      <c r="Q205" s="640" t="n">
        <v>55.570392</v>
      </c>
      <c r="R205" s="422" t="n">
        <v>37.694112</v>
      </c>
      <c r="S205" s="438" t="n"/>
      <c r="T205" s="438" t="n"/>
      <c r="U205" s="438" t="n"/>
      <c r="V205" s="438">
        <f>IF(AND(N205=1,U205=1),C205,"")</f>
        <v/>
      </c>
      <c r="W205" s="387" t="n"/>
      <c r="X205" s="1" t="n"/>
      <c r="Y205" s="1" t="n"/>
    </row>
    <row r="206" hidden="1" ht="16.05" customHeight="1">
      <c r="A206" s="13" t="n">
        <v>253</v>
      </c>
      <c r="B206" s="10" t="n"/>
      <c r="C206" s="130" t="inlineStr">
        <is>
          <t>Москва</t>
        </is>
      </c>
      <c r="D206" s="130" t="inlineStr">
        <is>
          <t>МО</t>
        </is>
      </c>
      <c r="E206" s="130" t="inlineStr">
        <is>
          <t>МО</t>
        </is>
      </c>
      <c r="F206" s="130" t="n"/>
      <c r="G206" s="130" t="inlineStr">
        <is>
          <t>ТНК</t>
        </is>
      </c>
      <c r="H206" s="131" t="inlineStr">
        <is>
          <t>MN003</t>
        </is>
      </c>
      <c r="I206" s="637" t="inlineStr">
        <is>
          <t>Жилино</t>
        </is>
      </c>
      <c r="J206" s="402" t="n"/>
      <c r="K206" s="640" t="n">
        <v>1</v>
      </c>
      <c r="L206" s="640" t="n">
        <v>0</v>
      </c>
      <c r="M206" s="640" t="inlineStr">
        <is>
          <t>AMS</t>
        </is>
      </c>
      <c r="N206" s="640" t="n"/>
      <c r="O206" s="640">
        <f>IF(AND(N206=1,L206=1),K206,"")</f>
        <v/>
      </c>
      <c r="P206" s="642" t="inlineStr">
        <is>
          <t>140073, МО, Люберецкий р-н, д.Жилино, 26-ой км. Новорязанского ш.</t>
        </is>
      </c>
      <c r="Q206" s="640" t="n"/>
      <c r="R206" s="422" t="n"/>
      <c r="S206" s="325" t="n"/>
      <c r="T206" s="325" t="n"/>
      <c r="U206" s="325" t="n"/>
      <c r="V206" s="438">
        <f>IF(AND(N206=1,U206=1),C206,"")</f>
        <v/>
      </c>
      <c r="X206" s="1" t="n"/>
      <c r="Y206" s="1" t="n"/>
      <c r="Z206" s="1" t="n"/>
    </row>
    <row r="207" hidden="1" ht="16.05" customFormat="1" customHeight="1" s="126">
      <c r="A207" s="125" t="n">
        <v>254</v>
      </c>
      <c r="B207" s="125" t="n"/>
      <c r="C207" s="130" t="inlineStr">
        <is>
          <t>Москва</t>
        </is>
      </c>
      <c r="D207" s="130" t="inlineStr">
        <is>
          <t>Ивантеевка</t>
        </is>
      </c>
      <c r="E207" s="130" t="inlineStr">
        <is>
          <t>М8</t>
        </is>
      </c>
      <c r="F207" s="130" t="inlineStr">
        <is>
          <t>АЗС</t>
        </is>
      </c>
      <c r="G207" s="130" t="inlineStr">
        <is>
          <t>Роснефть</t>
        </is>
      </c>
      <c r="H207" s="131" t="inlineStr">
        <is>
          <t>MJ087</t>
        </is>
      </c>
      <c r="I207" s="637" t="inlineStr">
        <is>
          <t>Ивантеевка</t>
        </is>
      </c>
      <c r="J207" s="637" t="inlineStr">
        <is>
          <t>MSK_TNK_Ivanteevka</t>
        </is>
      </c>
      <c r="K207" s="640" t="n">
        <v>1</v>
      </c>
      <c r="L207" s="640" t="n">
        <v>1</v>
      </c>
      <c r="M207" s="623" t="inlineStr">
        <is>
          <t>Samsung 32" вертикальный</t>
        </is>
      </c>
      <c r="N207" s="640" t="n"/>
      <c r="O207" s="640">
        <f>IF(AND(N207=1,L207=1),K207,"")</f>
        <v/>
      </c>
      <c r="P207" s="642" t="inlineStr">
        <is>
          <t>Московская область, г.Ивантеевка, Толмачева, д.27"А"</t>
        </is>
      </c>
      <c r="Q207" s="640" t="inlineStr">
        <is>
          <t>55.96086</t>
        </is>
      </c>
      <c r="R207" s="494" t="inlineStr">
        <is>
          <t>37.921497</t>
        </is>
      </c>
      <c r="S207" s="438" t="n"/>
      <c r="T207" s="438" t="n"/>
      <c r="U207" s="438" t="n"/>
      <c r="V207" s="438">
        <f>IF(AND(N207=1,U207=1),C207,"")</f>
        <v/>
      </c>
      <c r="W207" s="387" t="n"/>
      <c r="X207" s="387" t="n"/>
      <c r="Y207" s="387" t="n"/>
    </row>
    <row r="208" hidden="1" ht="16.05" customFormat="1" customHeight="1" s="126">
      <c r="A208" s="125" t="n">
        <v>255</v>
      </c>
      <c r="B208" s="125" t="n"/>
      <c r="C208" s="130" t="inlineStr">
        <is>
          <t>Москва</t>
        </is>
      </c>
      <c r="D208" s="130" t="inlineStr">
        <is>
          <t>Москва</t>
        </is>
      </c>
      <c r="E208" s="130" t="inlineStr">
        <is>
          <t>ВАО</t>
        </is>
      </c>
      <c r="F208" s="130" t="inlineStr">
        <is>
          <t>АЗС</t>
        </is>
      </c>
      <c r="G208" s="130" t="inlineStr">
        <is>
          <t>Роснефть</t>
        </is>
      </c>
      <c r="H208" s="131" t="inlineStr">
        <is>
          <t>MJ130</t>
        </is>
      </c>
      <c r="I208" s="637" t="inlineStr">
        <is>
          <t>Измайлово</t>
        </is>
      </c>
      <c r="J208" s="637" t="inlineStr">
        <is>
          <t>MSK_TNK_Izmaylovo</t>
        </is>
      </c>
      <c r="K208" s="640" t="n">
        <v>1</v>
      </c>
      <c r="L208" s="640" t="n">
        <v>1</v>
      </c>
      <c r="M208" s="623" t="inlineStr">
        <is>
          <t>Samsung 32" вертикальный</t>
        </is>
      </c>
      <c r="N208" s="640" t="n"/>
      <c r="O208" s="640">
        <f>IF(AND(N208=1,L208=1),K208,"")</f>
        <v/>
      </c>
      <c r="P208" s="642" t="inlineStr">
        <is>
          <t>Москва, Большой Купавинский пр-д, вл.14</t>
        </is>
      </c>
      <c r="Q208" s="640" t="inlineStr">
        <is>
          <t>55.781179</t>
        </is>
      </c>
      <c r="R208" s="494" t="inlineStr">
        <is>
          <t>37.820897</t>
        </is>
      </c>
      <c r="S208" s="438" t="n"/>
      <c r="T208" s="438" t="n"/>
      <c r="U208" s="438" t="n"/>
      <c r="V208" s="438">
        <f>IF(AND(N208=1,U208=1),C208,"")</f>
        <v/>
      </c>
      <c r="W208" s="387" t="n"/>
      <c r="X208" s="387" t="n"/>
      <c r="Y208" s="387" t="n"/>
    </row>
    <row r="209" hidden="1" ht="16.05" customFormat="1" customHeight="1" s="126">
      <c r="A209" s="125" t="n">
        <v>256</v>
      </c>
      <c r="B209" s="125" t="n"/>
      <c r="C209" s="130" t="inlineStr">
        <is>
          <t>Москва</t>
        </is>
      </c>
      <c r="D209" s="130" t="inlineStr">
        <is>
          <t>Люберцы</t>
        </is>
      </c>
      <c r="E209" s="130" t="inlineStr">
        <is>
          <t>М5</t>
        </is>
      </c>
      <c r="F209" s="130" t="inlineStr">
        <is>
          <t>АЗС</t>
        </is>
      </c>
      <c r="G209" s="130" t="inlineStr">
        <is>
          <t>Роснефть</t>
        </is>
      </c>
      <c r="H209" s="131" t="inlineStr">
        <is>
          <t>MN012</t>
        </is>
      </c>
      <c r="I209" s="637" t="inlineStr">
        <is>
          <t>Инициативная</t>
        </is>
      </c>
      <c r="J209" s="637" t="inlineStr">
        <is>
          <t>MSK_TNK_Iniciativnaya</t>
        </is>
      </c>
      <c r="K209" s="640" t="n">
        <v>1</v>
      </c>
      <c r="L209" s="640" t="n">
        <v>1</v>
      </c>
      <c r="M209" s="623" t="inlineStr">
        <is>
          <t>Samsung 32" вертикальный</t>
        </is>
      </c>
      <c r="N209" s="640" t="n"/>
      <c r="O209" s="640">
        <f>IF(AND(N209=1,L209=1),K209,"")</f>
        <v/>
      </c>
      <c r="P209" s="642" t="inlineStr">
        <is>
          <t>Московская область, г.Люберцы, Инициативная, д.3"А"</t>
        </is>
      </c>
      <c r="Q209" s="640" t="inlineStr">
        <is>
          <t>55.68664</t>
        </is>
      </c>
      <c r="R209" s="494" t="inlineStr">
        <is>
          <t>37.892608</t>
        </is>
      </c>
      <c r="S209" s="438" t="n"/>
      <c r="T209" s="438" t="n"/>
      <c r="U209" s="438" t="n"/>
      <c r="V209" s="438">
        <f>IF(AND(N209=1,U209=1),C209,"")</f>
        <v/>
      </c>
      <c r="W209" s="387" t="n"/>
      <c r="X209" s="387" t="n"/>
      <c r="Y209" s="387" t="n"/>
    </row>
    <row r="210" hidden="1" ht="16.05" customFormat="1" customHeight="1" s="126">
      <c r="A210" s="125" t="n">
        <v>257</v>
      </c>
      <c r="B210" s="125" t="n"/>
      <c r="C210" s="130" t="inlineStr">
        <is>
          <t>Москва</t>
        </is>
      </c>
      <c r="D210" s="130" t="inlineStr">
        <is>
          <t>Московская область</t>
        </is>
      </c>
      <c r="E210" s="130" t="inlineStr">
        <is>
          <t>М4</t>
        </is>
      </c>
      <c r="F210" s="130" t="inlineStr">
        <is>
          <t>АЗС</t>
        </is>
      </c>
      <c r="G210" s="130" t="inlineStr">
        <is>
          <t>Роснефть</t>
        </is>
      </c>
      <c r="H210" s="131" t="inlineStr">
        <is>
          <t>MJ037</t>
        </is>
      </c>
      <c r="I210" s="637" t="inlineStr">
        <is>
          <t>Каменка</t>
        </is>
      </c>
      <c r="J210" s="637" t="inlineStr">
        <is>
          <t>MSK_TNK_Kamenka</t>
        </is>
      </c>
      <c r="K210" s="640" t="n">
        <v>1</v>
      </c>
      <c r="L210" s="640" t="n">
        <v>1</v>
      </c>
      <c r="M210" s="623" t="inlineStr">
        <is>
          <t>Samsung 32" вертикальный</t>
        </is>
      </c>
      <c r="N210" s="640" t="n"/>
      <c r="O210" s="640">
        <f>IF(AND(N210=1,L210=1),K210,"")</f>
        <v/>
      </c>
      <c r="P210" s="642" t="inlineStr">
        <is>
          <t>Московская область, Каширский район, сельское поселение Домнинское, 135 км автодороги "Москва-Астрахань"</t>
        </is>
      </c>
      <c r="Q210" s="640" t="inlineStr">
        <is>
          <t>54.701861</t>
        </is>
      </c>
      <c r="R210" s="494" t="inlineStr">
        <is>
          <t>38.304814</t>
        </is>
      </c>
      <c r="S210" s="438" t="n"/>
      <c r="T210" s="438" t="n"/>
      <c r="U210" s="438" t="n"/>
      <c r="V210" s="438">
        <f>IF(AND(N210=1,U210=1),C210,"")</f>
        <v/>
      </c>
      <c r="W210" s="387" t="n"/>
      <c r="X210" s="387" t="n"/>
      <c r="Y210" s="387" t="n"/>
    </row>
    <row r="211" hidden="1" ht="16.05" customFormat="1" customHeight="1" s="126">
      <c r="A211" s="125" t="n">
        <v>260</v>
      </c>
      <c r="B211" s="125">
        <f>IF(OR(M211="Sam 32",M211="Sam 40"),"s",IF(M211="AMS","a","v"))</f>
        <v/>
      </c>
      <c r="C211" s="130" t="inlineStr">
        <is>
          <t>Москва</t>
        </is>
      </c>
      <c r="D211" s="130" t="inlineStr">
        <is>
          <t>Наро-Фоминск</t>
        </is>
      </c>
      <c r="E211" s="130" t="inlineStr">
        <is>
          <t>М3</t>
        </is>
      </c>
      <c r="F211" s="130" t="n"/>
      <c r="G211" s="130" t="inlineStr">
        <is>
          <t>ТНК</t>
        </is>
      </c>
      <c r="H211" s="131" t="inlineStr">
        <is>
          <t>ML017</t>
        </is>
      </c>
      <c r="I211" s="637" t="inlineStr">
        <is>
          <t>Киевская</t>
        </is>
      </c>
      <c r="J211" s="402" t="inlineStr">
        <is>
          <t>MSK_TNK_Kievskaya</t>
        </is>
      </c>
      <c r="K211" s="640" t="n">
        <v>1</v>
      </c>
      <c r="L211" s="640" t="n">
        <v>0</v>
      </c>
      <c r="M211" s="640" t="inlineStr">
        <is>
          <t>AMS</t>
        </is>
      </c>
      <c r="N211" s="640" t="n"/>
      <c r="O211" s="640">
        <f>IF(AND(N211=1,L211=1),K211,"")</f>
        <v/>
      </c>
      <c r="P211" s="642" t="inlineStr">
        <is>
          <t>Московская область, г. Наро-Фоминск,  Киевское шоссе 74 км.</t>
        </is>
      </c>
      <c r="Q211" s="640" t="n">
        <v>55.359875</v>
      </c>
      <c r="R211" s="422" t="n">
        <v>36.749728</v>
      </c>
      <c r="S211" s="438" t="n"/>
      <c r="T211" s="438" t="n"/>
      <c r="U211" s="438" t="n"/>
      <c r="V211" s="438">
        <f>IF(AND(N211=1,U211=1),C211,"")</f>
        <v/>
      </c>
      <c r="W211" s="387" t="n"/>
      <c r="X211" s="1" t="n"/>
      <c r="Y211" s="1" t="n"/>
    </row>
    <row r="212" hidden="1" ht="16.05" customFormat="1" customHeight="1" s="126">
      <c r="A212" s="125" t="n">
        <v>261</v>
      </c>
      <c r="B212" s="125" t="n"/>
      <c r="C212" s="130" t="inlineStr">
        <is>
          <t>Москва</t>
        </is>
      </c>
      <c r="D212" s="130" t="inlineStr">
        <is>
          <t>Москва</t>
        </is>
      </c>
      <c r="E212" s="130" t="inlineStr">
        <is>
          <t>ЮЗАО</t>
        </is>
      </c>
      <c r="F212" s="130" t="inlineStr">
        <is>
          <t>АЗС</t>
        </is>
      </c>
      <c r="G212" s="130" t="inlineStr">
        <is>
          <t>Роснефть</t>
        </is>
      </c>
      <c r="H212" s="131" t="inlineStr">
        <is>
          <t>MJ074</t>
        </is>
      </c>
      <c r="I212" s="637" t="inlineStr">
        <is>
          <t>Коньково</t>
        </is>
      </c>
      <c r="J212" s="637" t="inlineStr">
        <is>
          <t>MSK_RN_Konkovo</t>
        </is>
      </c>
      <c r="K212" s="640" t="n">
        <v>1</v>
      </c>
      <c r="L212" s="640" t="n">
        <v>1</v>
      </c>
      <c r="M212" s="623" t="inlineStr">
        <is>
          <t>Samsung 32" вертикальный</t>
        </is>
      </c>
      <c r="N212" s="640" t="n"/>
      <c r="O212" s="640">
        <f>IF(AND(N212=1,L212=1),K212,"")</f>
        <v/>
      </c>
      <c r="P212" s="642" t="inlineStr">
        <is>
          <t>Москва,  Профсоюзная, вл.138 "А", стр.1;</t>
        </is>
      </c>
      <c r="Q212" s="640" t="inlineStr">
        <is>
          <t>55.627226</t>
        </is>
      </c>
      <c r="R212" s="494" t="inlineStr">
        <is>
          <t>37.513737</t>
        </is>
      </c>
      <c r="S212" s="438" t="n"/>
      <c r="T212" s="438" t="n"/>
      <c r="U212" s="438" t="n"/>
      <c r="V212" s="438">
        <f>IF(AND(N212=1,U212=1),C212,"")</f>
        <v/>
      </c>
      <c r="W212" s="387" t="n"/>
      <c r="X212" s="387" t="n"/>
      <c r="Y212" s="387" t="n"/>
    </row>
    <row r="213" hidden="1" ht="16.05" customFormat="1" customHeight="1" s="126">
      <c r="A213" s="125" t="n">
        <v>262</v>
      </c>
      <c r="B213" s="125" t="n"/>
      <c r="C213" s="130" t="inlineStr">
        <is>
          <t>Москва</t>
        </is>
      </c>
      <c r="D213" s="130" t="inlineStr">
        <is>
          <t>Московская область</t>
        </is>
      </c>
      <c r="E213" s="130" t="inlineStr">
        <is>
          <t>А104</t>
        </is>
      </c>
      <c r="F213" s="130" t="inlineStr">
        <is>
          <t>АЗС</t>
        </is>
      </c>
      <c r="G213" s="130" t="inlineStr">
        <is>
          <t>Роснефть</t>
        </is>
      </c>
      <c r="H213" s="131" t="inlineStr">
        <is>
          <t>MJ095</t>
        </is>
      </c>
      <c r="I213" s="637" t="inlineStr">
        <is>
          <t>Красная Горка</t>
        </is>
      </c>
      <c r="J213" s="637" t="inlineStr">
        <is>
          <t>MSK_TNK_Krasnaya_Gorka</t>
        </is>
      </c>
      <c r="K213" s="640" t="n">
        <v>1</v>
      </c>
      <c r="L213" s="640" t="n">
        <v>1</v>
      </c>
      <c r="M213" s="623" t="inlineStr">
        <is>
          <t>Samsung 32" вертикальный</t>
        </is>
      </c>
      <c r="N213" s="640" t="n"/>
      <c r="O213" s="640">
        <f>IF(AND(N213=1,L213=1),K213,"")</f>
        <v/>
      </c>
      <c r="P213" s="642" t="inlineStr">
        <is>
          <t>Московская область, Мытищинкий район, д.Красная горка, Рогачевское ш., д.2А</t>
        </is>
      </c>
      <c r="Q213" s="640" t="inlineStr">
        <is>
          <t>55.995577</t>
        </is>
      </c>
      <c r="R213" s="494" t="inlineStr">
        <is>
          <t>37.534001</t>
        </is>
      </c>
      <c r="S213" s="438" t="n"/>
      <c r="T213" s="438" t="n"/>
      <c r="U213" s="438" t="n"/>
      <c r="V213" s="438">
        <f>IF(AND(N213=1,U213=1),C213,"")</f>
        <v/>
      </c>
      <c r="W213" s="387" t="n"/>
      <c r="X213" s="387" t="n"/>
      <c r="Y213" s="387" t="n"/>
    </row>
    <row r="214" hidden="1" ht="16.05" customFormat="1" customHeight="1" s="126">
      <c r="A214" s="125" t="n">
        <v>263</v>
      </c>
      <c r="B214" s="125" t="n"/>
      <c r="C214" s="130" t="inlineStr">
        <is>
          <t>Москва</t>
        </is>
      </c>
      <c r="D214" s="130" t="inlineStr">
        <is>
          <t>Москва</t>
        </is>
      </c>
      <c r="E214" s="130" t="inlineStr">
        <is>
          <t>М10</t>
        </is>
      </c>
      <c r="F214" s="130" t="inlineStr">
        <is>
          <t>АЗС</t>
        </is>
      </c>
      <c r="G214" s="130" t="inlineStr">
        <is>
          <t>Роснефть</t>
        </is>
      </c>
      <c r="H214" s="131" t="inlineStr">
        <is>
          <t>ML010</t>
        </is>
      </c>
      <c r="I214" s="637" t="inlineStr">
        <is>
          <t>Куркино</t>
        </is>
      </c>
      <c r="J214" s="637" t="inlineStr">
        <is>
          <t>MSK_TNK_Kurkino</t>
        </is>
      </c>
      <c r="K214" s="640" t="n">
        <v>1</v>
      </c>
      <c r="L214" s="640" t="n">
        <v>1</v>
      </c>
      <c r="M214" s="623" t="inlineStr">
        <is>
          <t>Samsung 32" вертикальный</t>
        </is>
      </c>
      <c r="N214" s="640" t="n"/>
      <c r="O214" s="640">
        <f>IF(AND(N214=1,L214=1),K214,"")</f>
        <v/>
      </c>
      <c r="P214" s="642" t="inlineStr">
        <is>
          <t>Московская область, Куркино, Куркинское шоссе, д.13</t>
        </is>
      </c>
      <c r="Q214" s="640" t="inlineStr">
        <is>
          <t>55.883847</t>
        </is>
      </c>
      <c r="R214" s="494" t="inlineStr">
        <is>
          <t>37.409298</t>
        </is>
      </c>
      <c r="S214" s="438" t="n"/>
      <c r="T214" s="438" t="n"/>
      <c r="U214" s="438" t="n"/>
      <c r="V214" s="438">
        <f>IF(AND(N214=1,U214=1),C214,"")</f>
        <v/>
      </c>
      <c r="W214" s="387" t="n"/>
      <c r="X214" s="387" t="n"/>
      <c r="Y214" s="387" t="n"/>
    </row>
    <row r="215" hidden="1" ht="16.05" customFormat="1" customHeight="1" s="126">
      <c r="A215" s="125" t="n">
        <v>264</v>
      </c>
      <c r="B215" s="125" t="n"/>
      <c r="C215" s="130" t="inlineStr">
        <is>
          <t>Москва</t>
        </is>
      </c>
      <c r="D215" s="130" t="inlineStr">
        <is>
          <t>Орехово-Зуево</t>
        </is>
      </c>
      <c r="E215" s="130" t="inlineStr">
        <is>
          <t>М7</t>
        </is>
      </c>
      <c r="F215" s="130" t="inlineStr">
        <is>
          <t>АЗС</t>
        </is>
      </c>
      <c r="G215" s="130" t="inlineStr">
        <is>
          <t>Роснефть</t>
        </is>
      </c>
      <c r="H215" s="131" t="inlineStr">
        <is>
          <t>MJ099</t>
        </is>
      </c>
      <c r="I215" s="637" t="inlineStr">
        <is>
          <t>Ленина</t>
        </is>
      </c>
      <c r="J215" s="637" t="inlineStr">
        <is>
          <t>MSK_RN_Lenina</t>
        </is>
      </c>
      <c r="K215" s="640" t="n">
        <v>1</v>
      </c>
      <c r="L215" s="640" t="n">
        <v>1</v>
      </c>
      <c r="M215" s="623" t="inlineStr">
        <is>
          <t>Samsung 32" вертикальный</t>
        </is>
      </c>
      <c r="N215" s="640" t="n"/>
      <c r="O215" s="640">
        <f>IF(AND(N215=1,L215=1),K215,"")</f>
        <v/>
      </c>
      <c r="P215" s="642" t="inlineStr">
        <is>
          <t>Московская область, г.Орехово-Зуево,  Егорьевская, д.1</t>
        </is>
      </c>
      <c r="Q215" s="640" t="inlineStr">
        <is>
          <t>55.795016</t>
        </is>
      </c>
      <c r="R215" s="494" t="inlineStr">
        <is>
          <t>38.972508</t>
        </is>
      </c>
      <c r="S215" s="325" t="n"/>
      <c r="T215" s="325" t="n"/>
      <c r="U215" s="325" t="n"/>
      <c r="V215" s="438">
        <f>IF(AND(N215=1,U215=1),C215,"")</f>
        <v/>
      </c>
      <c r="W215" s="387" t="n"/>
      <c r="X215" s="387" t="n"/>
      <c r="Y215" s="387" t="n"/>
    </row>
    <row r="216" hidden="1" ht="16.05" customFormat="1" customHeight="1" s="126">
      <c r="A216" s="125" t="n">
        <v>265</v>
      </c>
      <c r="B216" s="125" t="n"/>
      <c r="C216" s="130" t="inlineStr">
        <is>
          <t>Москва</t>
        </is>
      </c>
      <c r="D216" s="130" t="inlineStr">
        <is>
          <t>Московская область</t>
        </is>
      </c>
      <c r="E216" s="130" t="inlineStr">
        <is>
          <t>М8</t>
        </is>
      </c>
      <c r="F216" s="130" t="inlineStr">
        <is>
          <t>АЗС</t>
        </is>
      </c>
      <c r="G216" s="130" t="inlineStr">
        <is>
          <t>Роснефть</t>
        </is>
      </c>
      <c r="H216" s="131" t="inlineStr">
        <is>
          <t>MJ147</t>
        </is>
      </c>
      <c r="I216" s="637" t="inlineStr">
        <is>
          <t>Лешково</t>
        </is>
      </c>
      <c r="J216" s="637" t="inlineStr">
        <is>
          <t>MSK_TNK_Leshkovo</t>
        </is>
      </c>
      <c r="K216" s="640" t="n">
        <v>1</v>
      </c>
      <c r="L216" s="640" t="n">
        <v>1</v>
      </c>
      <c r="M216" s="623" t="inlineStr">
        <is>
          <t>Samsung 32" вертикальный</t>
        </is>
      </c>
      <c r="N216" s="640" t="n"/>
      <c r="O216" s="640">
        <f>IF(AND(N216=1,L216=1),K216,"")</f>
        <v/>
      </c>
      <c r="P216" s="642" t="inlineStr">
        <is>
          <t>Московская область, Сергиево-Посадский район, дер.Лешково, вл. 61</t>
        </is>
      </c>
      <c r="Q216" s="640" t="inlineStr">
        <is>
          <t>56.209664</t>
        </is>
      </c>
      <c r="R216" s="494" t="inlineStr">
        <is>
          <t>38.075214</t>
        </is>
      </c>
      <c r="S216" s="438" t="n"/>
      <c r="T216" s="438" t="n"/>
      <c r="U216" s="438" t="n"/>
      <c r="V216" s="438">
        <f>IF(AND(N216=1,U216=1),C216,"")</f>
        <v/>
      </c>
      <c r="W216" s="387" t="n"/>
      <c r="X216" s="387" t="n"/>
      <c r="Y216" s="387" t="n"/>
    </row>
    <row r="217" hidden="1" ht="16.05" customFormat="1" customHeight="1" s="126">
      <c r="A217" s="125" t="n">
        <v>266</v>
      </c>
      <c r="B217" s="125" t="n"/>
      <c r="C217" s="130" t="inlineStr">
        <is>
          <t>Москва</t>
        </is>
      </c>
      <c r="D217" s="130" t="inlineStr">
        <is>
          <t>Москва</t>
        </is>
      </c>
      <c r="E217" s="130" t="inlineStr">
        <is>
          <t>САО</t>
        </is>
      </c>
      <c r="F217" s="130" t="inlineStr">
        <is>
          <t>АЗС</t>
        </is>
      </c>
      <c r="G217" s="130" t="inlineStr">
        <is>
          <t>Роснефть</t>
        </is>
      </c>
      <c r="H217" s="131" t="inlineStr">
        <is>
          <t>MJ127</t>
        </is>
      </c>
      <c r="I217" s="637" t="inlineStr">
        <is>
          <t>Лианозово</t>
        </is>
      </c>
      <c r="J217" s="637" t="inlineStr">
        <is>
          <t>MSK_TNK_Lianozovo</t>
        </is>
      </c>
      <c r="K217" s="640" t="n">
        <v>1</v>
      </c>
      <c r="L217" s="640" t="n">
        <v>1</v>
      </c>
      <c r="M217" s="623" t="inlineStr">
        <is>
          <t>Samsung 32" вертикальный</t>
        </is>
      </c>
      <c r="N217" s="640" t="n"/>
      <c r="O217" s="640">
        <f>IF(AND(N217=1,L217=1),K217,"")</f>
        <v/>
      </c>
      <c r="P217" s="642" t="inlineStr">
        <is>
          <t>Москва, Дмитровское ш., дом 116Г</t>
        </is>
      </c>
      <c r="Q217" s="640" t="inlineStr">
        <is>
          <t>55.901898</t>
        </is>
      </c>
      <c r="R217" s="494" t="inlineStr">
        <is>
          <t>37.543856</t>
        </is>
      </c>
      <c r="S217" s="325" t="n"/>
      <c r="T217" s="325" t="n"/>
      <c r="U217" s="325" t="n"/>
      <c r="V217" s="438">
        <f>IF(AND(N217=1,U217=1),C217,"")</f>
        <v/>
      </c>
      <c r="W217" s="387" t="n"/>
      <c r="X217" s="387" t="n"/>
      <c r="Y217" s="387" t="n"/>
    </row>
    <row r="218" hidden="1" ht="16.05" customFormat="1" customHeight="1" s="126">
      <c r="A218" s="125" t="n">
        <v>267</v>
      </c>
      <c r="B218" s="125" t="n"/>
      <c r="C218" s="130" t="inlineStr">
        <is>
          <t>Москва</t>
        </is>
      </c>
      <c r="D218" s="130" t="inlineStr">
        <is>
          <t>Московская область</t>
        </is>
      </c>
      <c r="E218" s="130" t="inlineStr">
        <is>
          <t>М1</t>
        </is>
      </c>
      <c r="F218" s="130" t="inlineStr">
        <is>
          <t>АЗС</t>
        </is>
      </c>
      <c r="G218" s="130" t="inlineStr">
        <is>
          <t>Роснефть</t>
        </is>
      </c>
      <c r="H218" s="131" t="inlineStr">
        <is>
          <t>MJ073</t>
        </is>
      </c>
      <c r="I218" s="637" t="inlineStr">
        <is>
          <t>Ликино</t>
        </is>
      </c>
      <c r="J218" s="637" t="inlineStr">
        <is>
          <t>MSK_TNK_Likino</t>
        </is>
      </c>
      <c r="K218" s="640" t="n">
        <v>1</v>
      </c>
      <c r="L218" s="640" t="n">
        <v>1</v>
      </c>
      <c r="M218" s="623" t="inlineStr">
        <is>
          <t>Samsung 32" вертикальный</t>
        </is>
      </c>
      <c r="N218" s="640" t="n"/>
      <c r="O218" s="640">
        <f>IF(AND(N218=1,L218=1),K218,"")</f>
        <v/>
      </c>
      <c r="P218" s="642" t="inlineStr">
        <is>
          <t>Московская область, Одинцовский район, 36 км а/д М-1 «Беларусь», стр. 1 (у деревни Ликино)</t>
        </is>
      </c>
      <c r="Q218" s="640" t="inlineStr">
        <is>
          <t>55.622288</t>
        </is>
      </c>
      <c r="R218" s="494" t="inlineStr">
        <is>
          <t>37.135625</t>
        </is>
      </c>
      <c r="S218" s="438" t="n"/>
      <c r="T218" s="438" t="n"/>
      <c r="U218" s="438" t="n"/>
      <c r="V218" s="438">
        <f>IF(AND(N218=1,U218=1),C218,"")</f>
        <v/>
      </c>
      <c r="W218" s="387" t="n"/>
      <c r="X218" s="387" t="n"/>
      <c r="Y218" s="387" t="n"/>
    </row>
    <row r="219" hidden="1" ht="16.05" customFormat="1" customHeight="1" s="126">
      <c r="A219" s="125" t="n">
        <v>268</v>
      </c>
      <c r="B219" s="125" t="n"/>
      <c r="C219" s="130" t="inlineStr">
        <is>
          <t>Москва</t>
        </is>
      </c>
      <c r="D219" s="130" t="inlineStr">
        <is>
          <t>Луховицы</t>
        </is>
      </c>
      <c r="E219" s="130" t="inlineStr">
        <is>
          <t>М5</t>
        </is>
      </c>
      <c r="F219" s="130" t="inlineStr">
        <is>
          <t>АЗС</t>
        </is>
      </c>
      <c r="G219" s="130" t="inlineStr">
        <is>
          <t>Роснефть</t>
        </is>
      </c>
      <c r="H219" s="131" t="inlineStr">
        <is>
          <t>MJ153</t>
        </is>
      </c>
      <c r="I219" s="637" t="inlineStr">
        <is>
          <t xml:space="preserve">Луховицы </t>
        </is>
      </c>
      <c r="J219" s="637" t="inlineStr">
        <is>
          <t>MSK_TNK_Luhovitsy</t>
        </is>
      </c>
      <c r="K219" s="640" t="n">
        <v>1</v>
      </c>
      <c r="L219" s="640" t="n">
        <v>1</v>
      </c>
      <c r="M219" s="623" t="inlineStr">
        <is>
          <t>Samsung 32" вертикальный</t>
        </is>
      </c>
      <c r="N219" s="640" t="n"/>
      <c r="O219" s="640">
        <f>IF(AND(N219=1,L219=1),K219,"")</f>
        <v/>
      </c>
      <c r="P219" s="642" t="inlineStr">
        <is>
          <t xml:space="preserve">Московская область, Луховицкий район, г. Луховицы, 134 км. а/д "Москва-Челябинск" </t>
        </is>
      </c>
      <c r="Q219" s="640" t="inlineStr">
        <is>
          <t>54.939552</t>
        </is>
      </c>
      <c r="R219" s="494" t="inlineStr">
        <is>
          <t>39.072923</t>
        </is>
      </c>
      <c r="S219" s="438" t="n"/>
      <c r="T219" s="438" t="n"/>
      <c r="U219" s="438" t="n"/>
      <c r="V219" s="438">
        <f>IF(AND(N219=1,U219=1),C219,"")</f>
        <v/>
      </c>
      <c r="W219" s="387" t="n"/>
      <c r="X219" s="387" t="n"/>
      <c r="Y219" s="387" t="n"/>
    </row>
    <row r="220" hidden="1" ht="16.05" customFormat="1" customHeight="1" s="126">
      <c r="A220" s="125" t="n">
        <v>269</v>
      </c>
      <c r="B220" s="125" t="n"/>
      <c r="C220" s="130" t="inlineStr">
        <is>
          <t>Москва</t>
        </is>
      </c>
      <c r="D220" s="130" t="inlineStr">
        <is>
          <t>Ступино</t>
        </is>
      </c>
      <c r="E220" s="130" t="inlineStr">
        <is>
          <t>М4</t>
        </is>
      </c>
      <c r="F220" s="130" t="inlineStr">
        <is>
          <t>АЗС</t>
        </is>
      </c>
      <c r="G220" s="130" t="inlineStr">
        <is>
          <t>Роснефть</t>
        </is>
      </c>
      <c r="H220" s="131" t="inlineStr">
        <is>
          <t>MJ151</t>
        </is>
      </c>
      <c r="I220" s="637" t="inlineStr">
        <is>
          <t>Малино</t>
        </is>
      </c>
      <c r="J220" s="637" t="inlineStr">
        <is>
          <t>MSK_TNK_Malino</t>
        </is>
      </c>
      <c r="K220" s="640" t="n">
        <v>1</v>
      </c>
      <c r="L220" s="640" t="n">
        <v>1</v>
      </c>
      <c r="M220" s="623" t="inlineStr">
        <is>
          <t>Samsung 32" вертикальный</t>
        </is>
      </c>
      <c r="N220" s="640" t="n"/>
      <c r="O220" s="640">
        <f>IF(AND(N220=1,L220=1),K220,"")</f>
        <v/>
      </c>
      <c r="P220" s="642" t="inlineStr">
        <is>
          <t>Московская область, г. Ступино, шоссе Староситненское, вл. 40</t>
        </is>
      </c>
      <c r="Q220" s="640" t="inlineStr">
        <is>
          <t>54.925863</t>
        </is>
      </c>
      <c r="R220" s="494" t="inlineStr">
        <is>
          <t>38.118389</t>
        </is>
      </c>
      <c r="S220" s="438" t="n"/>
      <c r="T220" s="438" t="n"/>
      <c r="U220" s="438" t="n"/>
      <c r="V220" s="438">
        <f>IF(AND(N220=1,U220=1),C220,"")</f>
        <v/>
      </c>
      <c r="W220" s="387" t="n"/>
      <c r="X220" s="387" t="n"/>
      <c r="Y220" s="387" t="n"/>
    </row>
    <row r="221" hidden="1" ht="16.05" customFormat="1" customHeight="1" s="126">
      <c r="A221" s="125" t="n">
        <v>270</v>
      </c>
      <c r="B221" s="125" t="n"/>
      <c r="C221" s="130" t="inlineStr">
        <is>
          <t>Москва</t>
        </is>
      </c>
      <c r="D221" s="130" t="inlineStr">
        <is>
          <t>Орехово-Зуево</t>
        </is>
      </c>
      <c r="E221" s="130" t="inlineStr">
        <is>
          <t>М7</t>
        </is>
      </c>
      <c r="F221" s="130" t="inlineStr">
        <is>
          <t>АЗС</t>
        </is>
      </c>
      <c r="G221" s="130" t="inlineStr">
        <is>
          <t>Роснефть</t>
        </is>
      </c>
      <c r="H221" s="131" t="inlineStr">
        <is>
          <t>MJ225</t>
        </is>
      </c>
      <c r="I221" s="637" t="inlineStr">
        <is>
          <t>Малодубенская</t>
        </is>
      </c>
      <c r="J221" s="637" t="inlineStr">
        <is>
          <t>MSK_TNK_Malodubenskaya</t>
        </is>
      </c>
      <c r="K221" s="640" t="n">
        <v>1</v>
      </c>
      <c r="L221" s="640" t="n">
        <v>1</v>
      </c>
      <c r="M221" s="623" t="inlineStr">
        <is>
          <t>Samsung 32" вертикальный</t>
        </is>
      </c>
      <c r="N221" s="640" t="n"/>
      <c r="O221" s="640">
        <f>IF(AND(N221=1,L221=1),K221,"")</f>
        <v/>
      </c>
      <c r="P221" s="642" t="inlineStr">
        <is>
          <t>Московская область, г.Орехово-Зуево, Малодубенское ш., д.2а  вторая бетонка, внутренняя сторона, ориентир ТЦ "Баррикады"</t>
        </is>
      </c>
      <c r="Q221" s="640" t="inlineStr">
        <is>
          <t>55.823203</t>
        </is>
      </c>
      <c r="R221" s="494" t="inlineStr">
        <is>
          <t>38.965643</t>
        </is>
      </c>
      <c r="S221" s="438" t="n"/>
      <c r="T221" s="438" t="n"/>
      <c r="U221" s="438" t="n"/>
      <c r="V221" s="438">
        <f>IF(AND(N221=1,U221=1),C221,"")</f>
        <v/>
      </c>
      <c r="W221" s="387" t="n"/>
      <c r="X221" s="387" t="n"/>
      <c r="Y221" s="387" t="n"/>
    </row>
    <row r="222" hidden="1" ht="16.05" customFormat="1" customHeight="1" s="126">
      <c r="A222" s="125" t="n">
        <v>271</v>
      </c>
      <c r="B222" s="125" t="n"/>
      <c r="C222" s="130" t="inlineStr">
        <is>
          <t>Москва</t>
        </is>
      </c>
      <c r="D222" s="130" t="inlineStr">
        <is>
          <t>Москва</t>
        </is>
      </c>
      <c r="E222" s="130" t="inlineStr">
        <is>
          <t>ЮВАО</t>
        </is>
      </c>
      <c r="F222" s="130" t="inlineStr">
        <is>
          <t>АЗС</t>
        </is>
      </c>
      <c r="G222" s="130" t="inlineStr">
        <is>
          <t>Роснефть</t>
        </is>
      </c>
      <c r="H222" s="131" t="inlineStr">
        <is>
          <t>MJ063</t>
        </is>
      </c>
      <c r="I222" s="637" t="inlineStr">
        <is>
          <t>Машиностроительная</t>
        </is>
      </c>
      <c r="J222" s="637" t="inlineStr">
        <is>
          <t>MSK_RN_Mashino-ya</t>
        </is>
      </c>
      <c r="K222" s="640" t="n">
        <v>1</v>
      </c>
      <c r="L222" s="640" t="n">
        <v>1</v>
      </c>
      <c r="M222" s="623" t="inlineStr">
        <is>
          <t>Samsung 32" вертикальный</t>
        </is>
      </c>
      <c r="N222" s="640" t="n"/>
      <c r="O222" s="640">
        <f>IF(AND(N222=1,L222=1),K222,"")</f>
        <v/>
      </c>
      <c r="P222" s="642" t="inlineStr">
        <is>
          <t>Москва, 2-ая улица Машиностроения, вл. 14, стр.1</t>
        </is>
      </c>
      <c r="Q222" s="640" t="inlineStr">
        <is>
          <t>55.719221</t>
        </is>
      </c>
      <c r="R222" s="494" t="inlineStr">
        <is>
          <t>37.695742</t>
        </is>
      </c>
      <c r="S222" s="438" t="n"/>
      <c r="T222" s="438" t="n"/>
      <c r="U222" s="438" t="n"/>
      <c r="V222" s="438">
        <f>IF(AND(N222=1,U222=1),C222,"")</f>
        <v/>
      </c>
      <c r="W222" s="387" t="n"/>
      <c r="X222" s="387" t="n"/>
      <c r="Y222" s="387" t="n"/>
    </row>
    <row r="223" hidden="1" ht="16.05" customFormat="1" customHeight="1" s="126">
      <c r="A223" s="125" t="n">
        <v>272</v>
      </c>
      <c r="B223" s="125" t="n"/>
      <c r="C223" s="130" t="inlineStr">
        <is>
          <t>Москва</t>
        </is>
      </c>
      <c r="D223" s="130" t="inlineStr">
        <is>
          <t>Московская область</t>
        </is>
      </c>
      <c r="E223" s="130" t="inlineStr">
        <is>
          <t>А104</t>
        </is>
      </c>
      <c r="F223" s="130" t="inlineStr">
        <is>
          <t>АЗС</t>
        </is>
      </c>
      <c r="G223" s="130" t="inlineStr">
        <is>
          <t>Роснефть</t>
        </is>
      </c>
      <c r="H223" s="131" t="inlineStr">
        <is>
          <t>MN025</t>
        </is>
      </c>
      <c r="I223" s="637" t="inlineStr">
        <is>
          <t>Микишкино</t>
        </is>
      </c>
      <c r="J223" s="637" t="inlineStr">
        <is>
          <t>MSK_TNK_Mikishino</t>
        </is>
      </c>
      <c r="K223" s="640" t="n">
        <v>1</v>
      </c>
      <c r="L223" s="640" t="n">
        <v>1</v>
      </c>
      <c r="M223" s="623" t="inlineStr">
        <is>
          <t>Samsung 32" вертикальный</t>
        </is>
      </c>
      <c r="N223" s="640" t="n"/>
      <c r="O223" s="640">
        <f>IF(AND(N223=1,L223=1),K223,"")</f>
        <v/>
      </c>
      <c r="P223" s="642" t="inlineStr">
        <is>
          <t xml:space="preserve">Московская область, Дмитровский район, Настасьинский с.о., вблизи дер. Микишкино (автодорога Яхрома-"Красная гора", правая сторона) </t>
        </is>
      </c>
      <c r="Q223" s="640" t="inlineStr">
        <is>
          <t>56.336551</t>
        </is>
      </c>
      <c r="R223" s="494" t="inlineStr">
        <is>
          <t>37.482959</t>
        </is>
      </c>
      <c r="S223" s="438" t="n"/>
      <c r="T223" s="438" t="n"/>
      <c r="U223" s="438" t="n"/>
      <c r="V223" s="438">
        <f>IF(AND(N223=1,U223=1),C223,"")</f>
        <v/>
      </c>
      <c r="W223" s="387" t="n"/>
      <c r="X223" s="387" t="n"/>
      <c r="Y223" s="387" t="n"/>
    </row>
    <row r="224" hidden="1" ht="16.05" customFormat="1" customHeight="1" s="126">
      <c r="A224" s="125" t="n">
        <v>273</v>
      </c>
      <c r="B224" s="125" t="n"/>
      <c r="C224" s="130" t="inlineStr">
        <is>
          <t>Москва</t>
        </is>
      </c>
      <c r="D224" s="130" t="inlineStr">
        <is>
          <t>Московская область</t>
        </is>
      </c>
      <c r="E224" s="130" t="inlineStr">
        <is>
          <t>М4</t>
        </is>
      </c>
      <c r="F224" s="130" t="inlineStr">
        <is>
          <t>АЗС</t>
        </is>
      </c>
      <c r="G224" s="130" t="inlineStr">
        <is>
          <t>Роснефть</t>
        </is>
      </c>
      <c r="H224" s="131" t="inlineStr">
        <is>
          <t>ML018</t>
        </is>
      </c>
      <c r="I224" s="637" t="inlineStr">
        <is>
          <t>Михнево</t>
        </is>
      </c>
      <c r="J224" s="637" t="inlineStr">
        <is>
          <t>MSK_TNK_Mihnevo</t>
        </is>
      </c>
      <c r="K224" s="640" t="n">
        <v>1</v>
      </c>
      <c r="L224" s="640" t="n">
        <v>1</v>
      </c>
      <c r="M224" s="623" t="inlineStr">
        <is>
          <t>Samsung 32" вертикальный</t>
        </is>
      </c>
      <c r="N224" s="640" t="n"/>
      <c r="O224" s="640">
        <f>IF(AND(N224=1,L224=1),K224,"")</f>
        <v/>
      </c>
      <c r="P224" s="642" t="inlineStr">
        <is>
          <t>Московская область, Ступинский район, Каширское шоссе, строен. 85 км (владение 1, 48 кв.Ульяновского лестничества)</t>
        </is>
      </c>
      <c r="Q224" s="640" t="inlineStr">
        <is>
          <t>55.076324</t>
        </is>
      </c>
      <c r="R224" s="494" t="inlineStr">
        <is>
          <t>37.95075</t>
        </is>
      </c>
      <c r="S224" s="438" t="n"/>
      <c r="T224" s="438" t="n"/>
      <c r="U224" s="438" t="n"/>
      <c r="V224" s="438">
        <f>IF(AND(N224=1,U224=1),C224,"")</f>
        <v/>
      </c>
      <c r="W224" s="387" t="n"/>
      <c r="X224" s="387" t="n"/>
      <c r="Y224" s="387" t="n"/>
    </row>
    <row r="225" hidden="1" ht="16.05" customFormat="1" customHeight="1" s="126">
      <c r="A225" s="125" t="n">
        <v>274</v>
      </c>
      <c r="B225" s="125" t="n"/>
      <c r="C225" s="130" t="inlineStr">
        <is>
          <t>Москва</t>
        </is>
      </c>
      <c r="D225" s="130" t="inlineStr">
        <is>
          <t>Московская область</t>
        </is>
      </c>
      <c r="E225" s="130" t="inlineStr">
        <is>
          <t>М8</t>
        </is>
      </c>
      <c r="F225" s="130" t="inlineStr">
        <is>
          <t>АЗС</t>
        </is>
      </c>
      <c r="G225" s="130" t="inlineStr">
        <is>
          <t>Роснефть</t>
        </is>
      </c>
      <c r="H225" s="131" t="inlineStr">
        <is>
          <t>MN024</t>
        </is>
      </c>
      <c r="I225" s="637" t="inlineStr">
        <is>
          <t>Нагорное</t>
        </is>
      </c>
      <c r="J225" s="637" t="inlineStr">
        <is>
          <t>MSK_RN_Nagornaya</t>
        </is>
      </c>
      <c r="K225" s="640" t="n">
        <v>1</v>
      </c>
      <c r="L225" s="640" t="n">
        <v>1</v>
      </c>
      <c r="M225" s="623" t="inlineStr">
        <is>
          <t>Samsung 32" вертикальный</t>
        </is>
      </c>
      <c r="N225" s="640" t="n"/>
      <c r="O225" s="640">
        <f>IF(AND(N225=1,L225=1),K225,"")</f>
        <v/>
      </c>
      <c r="P225" s="642" t="inlineStr">
        <is>
          <t>Московская область, Мытищинский район, поселок Нагорное, Центральная, владение № 4
(87-й км МКАД, внешн.ст)</t>
        </is>
      </c>
      <c r="Q225" s="640" t="inlineStr">
        <is>
          <t>55.900761</t>
        </is>
      </c>
      <c r="R225" s="494" t="inlineStr">
        <is>
          <t>37.631069</t>
        </is>
      </c>
      <c r="S225" s="438" t="n"/>
      <c r="T225" s="438" t="n"/>
      <c r="U225" s="438" t="n"/>
      <c r="V225" s="438">
        <f>IF(AND(N225=1,U225=1),C225,"")</f>
        <v/>
      </c>
      <c r="W225" s="387" t="n"/>
      <c r="X225" s="387" t="n"/>
      <c r="Y225" s="387" t="n"/>
    </row>
    <row r="226" hidden="1" ht="16.05" customFormat="1" customHeight="1" s="126">
      <c r="A226" s="125" t="n">
        <v>275</v>
      </c>
      <c r="B226" s="125" t="n"/>
      <c r="C226" s="130" t="inlineStr">
        <is>
          <t>Москва</t>
        </is>
      </c>
      <c r="D226" s="130" t="inlineStr">
        <is>
          <t>Московская область</t>
        </is>
      </c>
      <c r="E226" s="130" t="inlineStr">
        <is>
          <t>М3</t>
        </is>
      </c>
      <c r="F226" s="130" t="inlineStr">
        <is>
          <t>АЗС</t>
        </is>
      </c>
      <c r="G226" s="130" t="inlineStr">
        <is>
          <t>Роснефть</t>
        </is>
      </c>
      <c r="H226" s="131" t="inlineStr">
        <is>
          <t>MJ066</t>
        </is>
      </c>
      <c r="I226" s="637" t="inlineStr">
        <is>
          <t>ТНК_Наро-Фоминская</t>
        </is>
      </c>
      <c r="J226" s="637" t="inlineStr">
        <is>
          <t>MSK_TNK_Narofominskaya</t>
        </is>
      </c>
      <c r="K226" s="640" t="n">
        <v>1</v>
      </c>
      <c r="L226" s="640" t="n">
        <v>0</v>
      </c>
      <c r="M226" s="640" t="inlineStr">
        <is>
          <t>Samsung 32" вертикальный</t>
        </is>
      </c>
      <c r="N226" s="640" t="n"/>
      <c r="O226" s="640">
        <f>IF(AND(N226=1,L226=1),K226,"")</f>
        <v/>
      </c>
      <c r="P226" s="642" t="inlineStr">
        <is>
          <t>Московская область, Наро-Фоминский район, 71 км Киевского шоссе (слева)</t>
        </is>
      </c>
      <c r="Q226" s="640" t="inlineStr">
        <is>
          <t>55.381594</t>
        </is>
      </c>
      <c r="R226" s="422" t="inlineStr">
        <is>
          <t>36.780255</t>
        </is>
      </c>
      <c r="S226" s="438" t="n"/>
      <c r="T226" s="438" t="n"/>
      <c r="U226" s="438" t="n"/>
      <c r="V226" s="438">
        <f>IF(AND(N226=1,U226=1),C226,"")</f>
        <v/>
      </c>
      <c r="W226" s="387" t="n"/>
      <c r="X226" s="387" t="n"/>
      <c r="Y226" s="387" t="n"/>
    </row>
    <row r="227" hidden="1" ht="16.05" customFormat="1" customHeight="1" s="126">
      <c r="A227" s="125" t="n">
        <v>276</v>
      </c>
      <c r="B227" s="125" t="n"/>
      <c r="C227" s="130" t="inlineStr">
        <is>
          <t>Москва</t>
        </is>
      </c>
      <c r="D227" s="130" t="inlineStr">
        <is>
          <t>Московская область</t>
        </is>
      </c>
      <c r="E227" s="130" t="inlineStr">
        <is>
          <t>М4</t>
        </is>
      </c>
      <c r="F227" s="130" t="inlineStr">
        <is>
          <t>АЗС</t>
        </is>
      </c>
      <c r="G227" s="130" t="inlineStr">
        <is>
          <t>Роснефть</t>
        </is>
      </c>
      <c r="H227" s="131" t="inlineStr">
        <is>
          <t>MJ148</t>
        </is>
      </c>
      <c r="I227" s="637" t="inlineStr">
        <is>
          <t>Немцово</t>
        </is>
      </c>
      <c r="J227" s="637" t="inlineStr">
        <is>
          <t>MSK_RN_Nemtsovo</t>
        </is>
      </c>
      <c r="K227" s="640" t="n">
        <v>1</v>
      </c>
      <c r="L227" s="640" t="n">
        <v>1</v>
      </c>
      <c r="M227" s="623" t="inlineStr">
        <is>
          <t>Samsung 32" вертикальный</t>
        </is>
      </c>
      <c r="N227" s="640" t="n"/>
      <c r="O227" s="640">
        <f>IF(AND(N227=1,L227=1),K227,"")</f>
        <v/>
      </c>
      <c r="P227" s="642" t="inlineStr">
        <is>
          <t>Московская область, Домодедовский район, д. Немцово, стр. 1</t>
        </is>
      </c>
      <c r="Q227" s="640" t="inlineStr">
        <is>
          <t>55.172669</t>
        </is>
      </c>
      <c r="R227" s="494" t="inlineStr">
        <is>
          <t>37.912094</t>
        </is>
      </c>
      <c r="S227" s="438" t="n"/>
      <c r="T227" s="438" t="n"/>
      <c r="U227" s="438" t="n"/>
      <c r="V227" s="438">
        <f>IF(AND(N227=1,U227=1),C227,"")</f>
        <v/>
      </c>
      <c r="W227" s="387" t="n"/>
      <c r="X227" s="387" t="n"/>
      <c r="Y227" s="387" t="n"/>
    </row>
    <row r="228" hidden="1" ht="16.05" customFormat="1" customHeight="1" s="126">
      <c r="A228" s="125" t="n">
        <v>277</v>
      </c>
      <c r="B228" s="125" t="n"/>
      <c r="C228" s="130" t="inlineStr">
        <is>
          <t>Москва</t>
        </is>
      </c>
      <c r="D228" s="130" t="inlineStr">
        <is>
          <t>Москва</t>
        </is>
      </c>
      <c r="E228" s="130" t="inlineStr">
        <is>
          <t>ВАО</t>
        </is>
      </c>
      <c r="F228" s="130" t="inlineStr">
        <is>
          <t>АЗС</t>
        </is>
      </c>
      <c r="G228" s="130" t="inlineStr">
        <is>
          <t>Роснефть</t>
        </is>
      </c>
      <c r="H228" s="131" t="inlineStr">
        <is>
          <t>MJ060</t>
        </is>
      </c>
      <c r="I228" s="637" t="inlineStr">
        <is>
          <t>Новогиреевская</t>
        </is>
      </c>
      <c r="J228" s="637" t="inlineStr">
        <is>
          <t>MSK_TNK_Novogireevskaya</t>
        </is>
      </c>
      <c r="K228" s="640" t="n">
        <v>1</v>
      </c>
      <c r="L228" s="640" t="n">
        <v>1</v>
      </c>
      <c r="M228" s="623" t="inlineStr">
        <is>
          <t>Samsung 32" вертикальный</t>
        </is>
      </c>
      <c r="N228" s="640" t="n"/>
      <c r="O228" s="640">
        <f>IF(AND(N228=1,L228=1),K228,"")</f>
        <v/>
      </c>
      <c r="P228" s="642" t="inlineStr">
        <is>
          <t>Москва, шоссе Энтузиастов, вл. 33 "Б"</t>
        </is>
      </c>
      <c r="Q228" s="640" t="inlineStr">
        <is>
          <t>55.762582</t>
        </is>
      </c>
      <c r="R228" s="494" t="inlineStr">
        <is>
          <t>37.770031</t>
        </is>
      </c>
      <c r="S228" s="438" t="n"/>
      <c r="T228" s="438" t="n"/>
      <c r="U228" s="438" t="n"/>
      <c r="V228" s="438">
        <f>IF(AND(N228=1,U228=1),C228,"")</f>
        <v/>
      </c>
      <c r="W228" s="387" t="n"/>
      <c r="X228" s="387" t="n"/>
      <c r="Y228" s="387" t="n"/>
    </row>
    <row r="229" hidden="1" ht="16.05" customFormat="1" customHeight="1" s="126">
      <c r="A229" s="125" t="n">
        <v>278</v>
      </c>
      <c r="B229" s="125" t="n"/>
      <c r="C229" s="130" t="inlineStr">
        <is>
          <t>Москва</t>
        </is>
      </c>
      <c r="D229" s="130" t="inlineStr">
        <is>
          <t>Москва</t>
        </is>
      </c>
      <c r="E229" s="130" t="inlineStr">
        <is>
          <t>ЮЗАО</t>
        </is>
      </c>
      <c r="F229" s="130" t="inlineStr">
        <is>
          <t>АЗС</t>
        </is>
      </c>
      <c r="G229" s="130" t="inlineStr">
        <is>
          <t>Роснефть</t>
        </is>
      </c>
      <c r="H229" s="131" t="inlineStr">
        <is>
          <t>MJ062</t>
        </is>
      </c>
      <c r="I229" s="637" t="inlineStr">
        <is>
          <t>Обручева</t>
        </is>
      </c>
      <c r="J229" s="637" t="inlineStr">
        <is>
          <t>MSK_TNK_Obrucheva</t>
        </is>
      </c>
      <c r="K229" s="640" t="n">
        <v>1</v>
      </c>
      <c r="L229" s="640" t="n">
        <v>1</v>
      </c>
      <c r="M229" s="623" t="inlineStr">
        <is>
          <t>Samsung 32" вертикальный</t>
        </is>
      </c>
      <c r="N229" s="640" t="n"/>
      <c r="O229" s="640">
        <f>IF(AND(N229=1,L229=1),K229,"")</f>
        <v/>
      </c>
      <c r="P229" s="642" t="inlineStr">
        <is>
          <t>Москва,  Обручева, д. 28/2;</t>
        </is>
      </c>
      <c r="Q229" s="640" t="inlineStr">
        <is>
          <t>55.656839</t>
        </is>
      </c>
      <c r="R229" s="494" t="inlineStr">
        <is>
          <t>37.524201</t>
        </is>
      </c>
      <c r="S229" s="438" t="n"/>
      <c r="T229" s="438" t="n"/>
      <c r="U229" s="438" t="n"/>
      <c r="V229" s="438">
        <f>IF(AND(N229=1,U229=1),C229,"")</f>
        <v/>
      </c>
      <c r="W229" s="387" t="n"/>
      <c r="X229" s="387" t="n"/>
      <c r="Y229" s="387" t="n"/>
    </row>
    <row r="230" hidden="1" ht="16.05" customFormat="1" customHeight="1" s="126">
      <c r="A230" s="125" t="n">
        <v>279</v>
      </c>
      <c r="B230" s="125" t="n"/>
      <c r="C230" s="130" t="inlineStr">
        <is>
          <t>Москва</t>
        </is>
      </c>
      <c r="D230" s="130" t="inlineStr">
        <is>
          <t>Москва</t>
        </is>
      </c>
      <c r="E230" s="130" t="inlineStr">
        <is>
          <t>СВАО</t>
        </is>
      </c>
      <c r="F230" s="130" t="inlineStr">
        <is>
          <t>АЗС</t>
        </is>
      </c>
      <c r="G230" s="130" t="inlineStr">
        <is>
          <t>Роснефть</t>
        </is>
      </c>
      <c r="H230" s="131" t="inlineStr">
        <is>
          <t>MJ132</t>
        </is>
      </c>
      <c r="I230" s="637" t="inlineStr">
        <is>
          <t>Останкино</t>
        </is>
      </c>
      <c r="J230" s="637" t="inlineStr">
        <is>
          <t>MSK_TNK_Ostankino</t>
        </is>
      </c>
      <c r="K230" s="640" t="n">
        <v>1</v>
      </c>
      <c r="L230" s="640" t="n">
        <v>1</v>
      </c>
      <c r="M230" s="623" t="inlineStr">
        <is>
          <t>Samsung 32" вертикальный</t>
        </is>
      </c>
      <c r="N230" s="640" t="n"/>
      <c r="O230" s="640">
        <f>IF(AND(N230=1,L230=1),K230,"")</f>
        <v/>
      </c>
      <c r="P230" s="642" t="inlineStr">
        <is>
          <t>Москва,  Ак.Королева, вл. 13А</t>
        </is>
      </c>
      <c r="Q230" s="640" t="inlineStr">
        <is>
          <t>55.821054</t>
        </is>
      </c>
      <c r="R230" s="494" t="inlineStr">
        <is>
          <t>37.618501</t>
        </is>
      </c>
      <c r="S230" s="438" t="n"/>
      <c r="T230" s="438" t="n"/>
      <c r="U230" s="438" t="n"/>
      <c r="V230" s="438">
        <f>IF(AND(N230=1,U230=1),C230,"")</f>
        <v/>
      </c>
      <c r="W230" s="387" t="n"/>
      <c r="X230" s="387" t="n"/>
      <c r="Y230" s="387" t="n"/>
    </row>
    <row r="231" hidden="1" ht="16.05" customFormat="1" customHeight="1" s="126">
      <c r="A231" s="125" t="n">
        <v>280</v>
      </c>
      <c r="B231" s="125" t="n"/>
      <c r="C231" s="130" t="inlineStr">
        <is>
          <t>Москва</t>
        </is>
      </c>
      <c r="D231" s="130" t="inlineStr">
        <is>
          <t>Московская область</t>
        </is>
      </c>
      <c r="E231" s="130" t="inlineStr">
        <is>
          <t>М4</t>
        </is>
      </c>
      <c r="F231" s="130" t="inlineStr">
        <is>
          <t>АЗС</t>
        </is>
      </c>
      <c r="G231" s="130" t="inlineStr">
        <is>
          <t>Роснефть</t>
        </is>
      </c>
      <c r="H231" s="131" t="inlineStr">
        <is>
          <t>MJ150</t>
        </is>
      </c>
      <c r="I231" s="637" t="inlineStr">
        <is>
          <t>Павловская</t>
        </is>
      </c>
      <c r="J231" s="637" t="inlineStr">
        <is>
          <t>MSK_TNK_Pavlovskaya</t>
        </is>
      </c>
      <c r="K231" s="640" t="n">
        <v>1</v>
      </c>
      <c r="L231" s="640" t="n">
        <v>1</v>
      </c>
      <c r="M231" s="623" t="inlineStr">
        <is>
          <t>Samsung 32" вертикальный</t>
        </is>
      </c>
      <c r="N231" s="640" t="n"/>
      <c r="O231" s="640">
        <f>IF(AND(N231=1,L231=1),K231,"")</f>
        <v/>
      </c>
      <c r="P231" s="642" t="inlineStr">
        <is>
          <t>Московская область, Домодедовский район, а/д "Москва-Ростов-на Дону", 31 км. (прав. сторона, съезд на Домодедово)</t>
        </is>
      </c>
      <c r="Q231" s="640" t="inlineStr">
        <is>
          <t>55.482115</t>
        </is>
      </c>
      <c r="R231" s="494" t="inlineStr">
        <is>
          <t>37.740011</t>
        </is>
      </c>
      <c r="S231" s="438" t="n"/>
      <c r="T231" s="438" t="n"/>
      <c r="U231" s="438" t="n"/>
      <c r="V231" s="438">
        <f>IF(AND(N231=1,U231=1),C231,"")</f>
        <v/>
      </c>
      <c r="W231" s="387" t="n"/>
      <c r="X231" s="387" t="n"/>
      <c r="Y231" s="387" t="n"/>
    </row>
    <row r="232" hidden="1" ht="16.05" customHeight="1">
      <c r="A232" s="13" t="n">
        <v>281</v>
      </c>
      <c r="B232" s="10" t="n"/>
      <c r="C232" s="130" t="inlineStr">
        <is>
          <t>Москва</t>
        </is>
      </c>
      <c r="D232" s="130" t="inlineStr">
        <is>
          <t>МО</t>
        </is>
      </c>
      <c r="E232" s="130" t="inlineStr">
        <is>
          <t>МО</t>
        </is>
      </c>
      <c r="F232" s="130" t="n"/>
      <c r="G232" s="130" t="inlineStr">
        <is>
          <t>ТНК</t>
        </is>
      </c>
      <c r="H232" s="131" t="inlineStr">
        <is>
          <t>MJ152</t>
        </is>
      </c>
      <c r="I232" s="637" t="inlineStr">
        <is>
          <t>Павшино</t>
        </is>
      </c>
      <c r="J232" s="402" t="n"/>
      <c r="K232" s="640" t="n">
        <v>1</v>
      </c>
      <c r="L232" s="640" t="n">
        <v>0</v>
      </c>
      <c r="M232" s="640" t="inlineStr">
        <is>
          <t>AMS</t>
        </is>
      </c>
      <c r="N232" s="640" t="n"/>
      <c r="O232" s="640">
        <f>IF(AND(N232=1,L232=1),K232,"")</f>
        <v/>
      </c>
      <c r="P232" s="642" t="inlineStr">
        <is>
          <t>143405, МО, г. Красногорск, Ильинское шоссе, вл.1</t>
        </is>
      </c>
      <c r="Q232" s="640" t="n"/>
      <c r="R232" s="422" t="n"/>
      <c r="S232" s="438" t="n"/>
      <c r="T232" s="438" t="n"/>
      <c r="U232" s="438" t="n"/>
      <c r="V232" s="438">
        <f>IF(AND(N232=1,U232=1),C232,"")</f>
        <v/>
      </c>
      <c r="X232" s="1" t="n"/>
      <c r="Y232" s="1" t="n"/>
      <c r="Z232" s="1" t="n"/>
    </row>
    <row r="233" hidden="1" ht="16.05" customFormat="1" customHeight="1" s="126">
      <c r="A233" s="125" t="n">
        <v>282</v>
      </c>
      <c r="B233" s="125" t="n"/>
      <c r="C233" s="130" t="inlineStr">
        <is>
          <t>Москва</t>
        </is>
      </c>
      <c r="D233" s="130" t="inlineStr">
        <is>
          <t>Реутов</t>
        </is>
      </c>
      <c r="E233" s="130" t="inlineStr">
        <is>
          <t>М7</t>
        </is>
      </c>
      <c r="F233" s="130" t="inlineStr">
        <is>
          <t>АЗС</t>
        </is>
      </c>
      <c r="G233" s="130" t="inlineStr">
        <is>
          <t>Роснефть</t>
        </is>
      </c>
      <c r="H233" s="131" t="inlineStr">
        <is>
          <t>MJ053</t>
        </is>
      </c>
      <c r="I233" s="637" t="inlineStr">
        <is>
          <t>Реутов</t>
        </is>
      </c>
      <c r="J233" s="637" t="inlineStr">
        <is>
          <t>MSK_TNK_Reutov</t>
        </is>
      </c>
      <c r="K233" s="640" t="n">
        <v>1</v>
      </c>
      <c r="L233" s="640" t="n">
        <v>1</v>
      </c>
      <c r="M233" s="623" t="inlineStr">
        <is>
          <t>Samsung 32" вертикальный</t>
        </is>
      </c>
      <c r="N233" s="640" t="n"/>
      <c r="O233" s="640">
        <f>IF(AND(N233=1,L233=1),K233,"")</f>
        <v/>
      </c>
      <c r="P233" s="642" t="inlineStr">
        <is>
          <t>Московская область, г. Реутов, автомагистраль Москва-Н.Новгород, дом 17</t>
        </is>
      </c>
      <c r="Q233" s="640" t="inlineStr">
        <is>
          <t>55.779258</t>
        </is>
      </c>
      <c r="R233" s="494" t="inlineStr">
        <is>
          <t>37.853737</t>
        </is>
      </c>
      <c r="S233" s="438" t="n"/>
      <c r="T233" s="438" t="n"/>
      <c r="U233" s="438" t="n"/>
      <c r="V233" s="438">
        <f>IF(AND(N233=1,U233=1),C233,"")</f>
        <v/>
      </c>
      <c r="W233" s="387" t="n"/>
      <c r="X233" s="387" t="n"/>
      <c r="Y233" s="387" t="n"/>
    </row>
    <row r="234" hidden="1" ht="16.05" customFormat="1" customHeight="1" s="126">
      <c r="A234" s="125" t="n">
        <v>283</v>
      </c>
      <c r="B234" s="125" t="n"/>
      <c r="C234" s="130" t="inlineStr">
        <is>
          <t>Москва</t>
        </is>
      </c>
      <c r="D234" s="130" t="inlineStr">
        <is>
          <t>Москва</t>
        </is>
      </c>
      <c r="E234" s="130" t="inlineStr">
        <is>
          <t>ЮВАО</t>
        </is>
      </c>
      <c r="F234" s="130" t="inlineStr">
        <is>
          <t>АЗС</t>
        </is>
      </c>
      <c r="G234" s="130" t="inlineStr">
        <is>
          <t>Роснефть</t>
        </is>
      </c>
      <c r="H234" s="131" t="inlineStr">
        <is>
          <t>MJ115</t>
        </is>
      </c>
      <c r="I234" s="637" t="inlineStr">
        <is>
          <t>Рогожская</t>
        </is>
      </c>
      <c r="J234" s="637" t="inlineStr">
        <is>
          <t>MSK_TNK_Rogozhskaya</t>
        </is>
      </c>
      <c r="K234" s="640" t="n">
        <v>1</v>
      </c>
      <c r="L234" s="640" t="n">
        <v>1</v>
      </c>
      <c r="M234" s="623" t="inlineStr">
        <is>
          <t>Samsung 32" вертикальный</t>
        </is>
      </c>
      <c r="N234" s="640" t="n"/>
      <c r="O234" s="640">
        <f>IF(AND(N234=1,L234=1),K234,"")</f>
        <v/>
      </c>
      <c r="P234" s="642" t="inlineStr">
        <is>
          <t>Москва, ш.Энтузиастов, вл.6А</t>
        </is>
      </c>
      <c r="Q234" s="640" t="inlineStr">
        <is>
          <t>55.748008</t>
        </is>
      </c>
      <c r="R234" s="494" t="inlineStr">
        <is>
          <t>37.701022</t>
        </is>
      </c>
      <c r="S234" s="438" t="n"/>
      <c r="T234" s="438" t="n"/>
      <c r="U234" s="438" t="n"/>
      <c r="V234" s="438">
        <f>IF(AND(N234=1,U234=1),C234,"")</f>
        <v/>
      </c>
      <c r="W234" s="387" t="n"/>
      <c r="X234" s="387" t="n"/>
      <c r="Y234" s="387" t="n"/>
    </row>
    <row r="235" hidden="1" ht="16.05" customFormat="1" customHeight="1" s="126">
      <c r="A235" s="125" t="n">
        <v>284</v>
      </c>
      <c r="B235" s="125" t="n"/>
      <c r="C235" s="130" t="inlineStr">
        <is>
          <t>Москва</t>
        </is>
      </c>
      <c r="D235" s="130" t="inlineStr">
        <is>
          <t>Москва</t>
        </is>
      </c>
      <c r="E235" s="130" t="inlineStr">
        <is>
          <t>М10</t>
        </is>
      </c>
      <c r="F235" s="130" t="inlineStr">
        <is>
          <t>АЗС</t>
        </is>
      </c>
      <c r="G235" s="130" t="inlineStr">
        <is>
          <t>Роснефть</t>
        </is>
      </c>
      <c r="H235" s="131" t="inlineStr">
        <is>
          <t>MJ084</t>
        </is>
      </c>
      <c r="I235" s="637" t="inlineStr">
        <is>
          <t>Свободы</t>
        </is>
      </c>
      <c r="J235" s="637" t="inlineStr">
        <is>
          <t>MSK_RN_Svobodyi</t>
        </is>
      </c>
      <c r="K235" s="640" t="n">
        <v>1</v>
      </c>
      <c r="L235" s="640" t="n">
        <v>1</v>
      </c>
      <c r="M235" s="623" t="inlineStr">
        <is>
          <t>Samsung 32" вертикальный</t>
        </is>
      </c>
      <c r="N235" s="640" t="n"/>
      <c r="O235" s="640">
        <f>IF(AND(N235=1,L235=1),K235,"")</f>
        <v/>
      </c>
      <c r="P235" s="642" t="inlineStr">
        <is>
          <t xml:space="preserve">Москва, МКАД, 73 км, вл. 10 </t>
        </is>
      </c>
      <c r="Q235" s="640" t="inlineStr">
        <is>
          <t>55.876698</t>
        </is>
      </c>
      <c r="R235" s="494" t="inlineStr">
        <is>
          <t>37.430543</t>
        </is>
      </c>
      <c r="S235" s="438" t="n"/>
      <c r="T235" s="438" t="n"/>
      <c r="U235" s="438" t="n"/>
      <c r="V235" s="438">
        <f>IF(AND(N235=1,U235=1),C235,"")</f>
        <v/>
      </c>
      <c r="W235" s="387" t="n"/>
      <c r="X235" s="387" t="n"/>
      <c r="Y235" s="387" t="n"/>
    </row>
    <row r="236" hidden="1" ht="16.05" customFormat="1" customHeight="1" s="126">
      <c r="A236" s="125" t="n">
        <v>285</v>
      </c>
      <c r="B236" s="125" t="n"/>
      <c r="C236" s="130" t="inlineStr">
        <is>
          <t>Москва</t>
        </is>
      </c>
      <c r="D236" s="130" t="inlineStr">
        <is>
          <t>Орехово-Зуево</t>
        </is>
      </c>
      <c r="E236" s="130" t="inlineStr">
        <is>
          <t>М7</t>
        </is>
      </c>
      <c r="F236" s="130" t="inlineStr">
        <is>
          <t>АЗС</t>
        </is>
      </c>
      <c r="G236" s="130" t="inlineStr">
        <is>
          <t>Роснефть</t>
        </is>
      </c>
      <c r="H236" s="131" t="inlineStr">
        <is>
          <t>MJ097</t>
        </is>
      </c>
      <c r="I236" s="637" t="inlineStr">
        <is>
          <t>Северная</t>
        </is>
      </c>
      <c r="J236" s="637" t="inlineStr">
        <is>
          <t>MSK_TNK_Severnaya</t>
        </is>
      </c>
      <c r="K236" s="640" t="n">
        <v>1</v>
      </c>
      <c r="L236" s="640" t="n">
        <v>1</v>
      </c>
      <c r="M236" s="623" t="inlineStr">
        <is>
          <t>Samsung 32" вертикальный</t>
        </is>
      </c>
      <c r="N236" s="640" t="n"/>
      <c r="O236" s="640">
        <f>IF(AND(N236=1,L236=1),K236,"")</f>
        <v/>
      </c>
      <c r="P236" s="642" t="inlineStr">
        <is>
          <t>Московская область, г. Орехово-Зуево,  Северная, д. 59 "а"</t>
        </is>
      </c>
      <c r="Q236" s="640" t="inlineStr">
        <is>
          <t>55.830184</t>
        </is>
      </c>
      <c r="R236" s="494" t="inlineStr">
        <is>
          <t>38.97737</t>
        </is>
      </c>
      <c r="S236" s="438" t="n"/>
      <c r="T236" s="438" t="n"/>
      <c r="U236" s="438" t="n"/>
      <c r="V236" s="438">
        <f>IF(AND(N236=1,U236=1),C236,"")</f>
        <v/>
      </c>
      <c r="W236" s="387" t="n"/>
      <c r="X236" s="387" t="n"/>
      <c r="Y236" s="387" t="n"/>
    </row>
    <row r="237" hidden="1" ht="16.05" customFormat="1" customHeight="1" s="126">
      <c r="A237" s="125" t="n">
        <v>286</v>
      </c>
      <c r="B237" s="125" t="n"/>
      <c r="C237" s="130" t="inlineStr">
        <is>
          <t>Москва</t>
        </is>
      </c>
      <c r="D237" s="130" t="inlineStr">
        <is>
          <t>Москва</t>
        </is>
      </c>
      <c r="E237" s="130" t="inlineStr">
        <is>
          <t>М2</t>
        </is>
      </c>
      <c r="F237" s="130" t="inlineStr">
        <is>
          <t>АЗС</t>
        </is>
      </c>
      <c r="G237" s="130" t="inlineStr">
        <is>
          <t>Роснефть</t>
        </is>
      </c>
      <c r="H237" s="131" t="inlineStr">
        <is>
          <t>MJ040</t>
        </is>
      </c>
      <c r="I237" s="637" t="inlineStr">
        <is>
          <t>Северное Бутово</t>
        </is>
      </c>
      <c r="J237" s="637" t="inlineStr">
        <is>
          <t>MSK_RN_SevButovo</t>
        </is>
      </c>
      <c r="K237" s="640" t="n">
        <v>1</v>
      </c>
      <c r="L237" s="640" t="n">
        <v>1</v>
      </c>
      <c r="M237" s="623" t="inlineStr">
        <is>
          <t>Samsung 32" вертикальный</t>
        </is>
      </c>
      <c r="N237" s="640" t="n"/>
      <c r="O237" s="640">
        <f>IF(AND(N237=1,L237=1),K237,"")</f>
        <v/>
      </c>
      <c r="P237" s="642" t="inlineStr">
        <is>
          <t xml:space="preserve">Москва, Варшавское шоссе, вл. 179, стр. 1; </t>
        </is>
      </c>
      <c r="Q237" s="640" t="inlineStr">
        <is>
          <t>55.552361</t>
        </is>
      </c>
      <c r="R237" s="494" t="inlineStr">
        <is>
          <t>37.587605</t>
        </is>
      </c>
      <c r="S237" s="438" t="n"/>
      <c r="T237" s="438" t="n"/>
      <c r="U237" s="438" t="n"/>
      <c r="V237" s="438">
        <f>IF(AND(N237=1,U237=1),C237,"")</f>
        <v/>
      </c>
      <c r="W237" s="387" t="n"/>
      <c r="X237" s="387" t="n"/>
      <c r="Y237" s="387" t="n"/>
    </row>
    <row r="238" hidden="1" ht="16.05" customFormat="1" customHeight="1" s="126">
      <c r="A238" s="125" t="n">
        <v>287</v>
      </c>
      <c r="B238" s="125" t="n"/>
      <c r="C238" s="130" t="inlineStr">
        <is>
          <t>Москва</t>
        </is>
      </c>
      <c r="D238" s="130" t="inlineStr">
        <is>
          <t>Московская область</t>
        </is>
      </c>
      <c r="E238" s="130" t="inlineStr">
        <is>
          <t>М10</t>
        </is>
      </c>
      <c r="F238" s="130" t="inlineStr">
        <is>
          <t>АЗС</t>
        </is>
      </c>
      <c r="G238" s="130" t="inlineStr">
        <is>
          <t>Роснефть</t>
        </is>
      </c>
      <c r="H238" s="131" t="inlineStr">
        <is>
          <t>MN036</t>
        </is>
      </c>
      <c r="I238" s="637" t="inlineStr">
        <is>
          <t>Смирновка-2</t>
        </is>
      </c>
      <c r="J238" s="637" t="inlineStr">
        <is>
          <t>MSK_RN_Smirnovka</t>
        </is>
      </c>
      <c r="K238" s="640" t="n">
        <v>1</v>
      </c>
      <c r="L238" s="640" t="n">
        <v>1</v>
      </c>
      <c r="M238" s="623" t="inlineStr">
        <is>
          <t>Samsung 32" вертикальный</t>
        </is>
      </c>
      <c r="N238" s="640" t="n"/>
      <c r="O238" s="640">
        <f>IF(AND(N238=1,L238=1),K238,"")</f>
        <v/>
      </c>
      <c r="P238" s="642" t="inlineStr">
        <is>
          <t>Московская область, Солнечногорский район, д/о "Лесной",  68 км, а/д "Москва-Санкт-Петербург"</t>
        </is>
      </c>
      <c r="Q238" s="640" t="inlineStr">
        <is>
          <t>56.21293</t>
        </is>
      </c>
      <c r="R238" s="494" t="inlineStr">
        <is>
          <t>36.938953</t>
        </is>
      </c>
      <c r="S238" s="438" t="n"/>
      <c r="T238" s="438" t="n"/>
      <c r="U238" s="438" t="n"/>
      <c r="V238" s="438">
        <f>IF(AND(N238=1,U238=1),C238,"")</f>
        <v/>
      </c>
      <c r="W238" s="387" t="n"/>
      <c r="X238" s="387" t="n"/>
      <c r="Y238" s="387" t="n"/>
    </row>
    <row r="239" hidden="1" ht="16.05" customFormat="1" customHeight="1" s="126">
      <c r="A239" s="125" t="n">
        <v>288</v>
      </c>
      <c r="B239" s="125" t="n"/>
      <c r="C239" s="130" t="inlineStr">
        <is>
          <t>Москва</t>
        </is>
      </c>
      <c r="D239" s="130" t="inlineStr">
        <is>
          <t>Московская область</t>
        </is>
      </c>
      <c r="E239" s="130" t="inlineStr">
        <is>
          <t>А104</t>
        </is>
      </c>
      <c r="F239" s="130" t="inlineStr">
        <is>
          <t>АЗС</t>
        </is>
      </c>
      <c r="G239" s="130" t="inlineStr">
        <is>
          <t>Роснефть</t>
        </is>
      </c>
      <c r="H239" s="131" t="inlineStr">
        <is>
          <t>MJ088</t>
        </is>
      </c>
      <c r="I239" s="637" t="inlineStr">
        <is>
          <t>Сухарево</t>
        </is>
      </c>
      <c r="J239" s="637" t="inlineStr">
        <is>
          <t>MSK_TNK_Sukharevo</t>
        </is>
      </c>
      <c r="K239" s="640" t="n">
        <v>1</v>
      </c>
      <c r="L239" s="640" t="n">
        <v>1</v>
      </c>
      <c r="M239" s="623" t="inlineStr">
        <is>
          <t>Samsung 32" вертикальный</t>
        </is>
      </c>
      <c r="N239" s="640" t="n"/>
      <c r="O239" s="640">
        <f>IF(AND(N239=1,L239=1),K239,"")</f>
        <v/>
      </c>
      <c r="P239" s="642" t="inlineStr">
        <is>
          <t>Московская область, Мытищинский район, Дмитровское ш., д.Сухарево, д.186  (37-й км Дмитровского шоссе)</t>
        </is>
      </c>
      <c r="Q239" s="640" t="inlineStr">
        <is>
          <t>56.078699</t>
        </is>
      </c>
      <c r="R239" s="494" t="inlineStr">
        <is>
          <t>37.52305</t>
        </is>
      </c>
      <c r="S239" s="325" t="n"/>
      <c r="T239" s="325" t="n"/>
      <c r="U239" s="325" t="n"/>
      <c r="V239" s="438">
        <f>IF(AND(N239=1,U239=1),C239,"")</f>
        <v/>
      </c>
      <c r="W239" s="387" t="n"/>
      <c r="X239" s="387" t="n"/>
      <c r="Y239" s="387" t="n"/>
    </row>
    <row r="240" hidden="1" ht="16.05" customFormat="1" customHeight="1" s="126">
      <c r="A240" s="125" t="n">
        <v>289</v>
      </c>
      <c r="B240" s="125" t="n"/>
      <c r="C240" s="130" t="inlineStr">
        <is>
          <t>Москва</t>
        </is>
      </c>
      <c r="D240" s="130" t="inlineStr">
        <is>
          <t>Московская область</t>
        </is>
      </c>
      <c r="E240" s="130" t="inlineStr">
        <is>
          <t>М10</t>
        </is>
      </c>
      <c r="F240" s="130" t="inlineStr">
        <is>
          <t>АЗС</t>
        </is>
      </c>
      <c r="G240" s="130" t="inlineStr">
        <is>
          <t>Роснефть</t>
        </is>
      </c>
      <c r="H240" s="131" t="inlineStr">
        <is>
          <t>MJ029</t>
        </is>
      </c>
      <c r="I240" s="637" t="inlineStr">
        <is>
          <t>Сходня</t>
        </is>
      </c>
      <c r="J240" s="637" t="inlineStr">
        <is>
          <t>MSK_TNK_Skhodnya</t>
        </is>
      </c>
      <c r="K240" s="640" t="n">
        <v>1</v>
      </c>
      <c r="L240" s="640" t="n">
        <v>1</v>
      </c>
      <c r="M240" s="623" t="inlineStr">
        <is>
          <t>Samsung 32" вертикальный</t>
        </is>
      </c>
      <c r="N240" s="640" t="n"/>
      <c r="O240" s="640">
        <f>IF(AND(N240=1,L240=1),K240,"")</f>
        <v/>
      </c>
      <c r="P240" s="642" t="inlineStr">
        <is>
          <t>Московская область, Солнечногорский район, дер. Черная Грязь, 32 км шоссе-Москва-С.Петербург  (слева)</t>
        </is>
      </c>
      <c r="Q240" s="640" t="inlineStr">
        <is>
          <t>55.976027</t>
        </is>
      </c>
      <c r="R240" s="494" t="inlineStr">
        <is>
          <t>37.304214</t>
        </is>
      </c>
      <c r="S240" s="438" t="n"/>
      <c r="T240" s="438" t="n"/>
      <c r="U240" s="438" t="n"/>
      <c r="V240" s="438">
        <f>IF(AND(N240=1,U240=1),C240,"")</f>
        <v/>
      </c>
      <c r="W240" s="387" t="n"/>
      <c r="X240" s="387" t="n"/>
      <c r="Y240" s="387" t="n"/>
    </row>
    <row r="241" hidden="1" ht="16.05" customFormat="1" customHeight="1" s="126">
      <c r="A241" s="125" t="n">
        <v>290</v>
      </c>
      <c r="B241" s="125" t="n"/>
      <c r="C241" s="130" t="inlineStr">
        <is>
          <t>Москва</t>
        </is>
      </c>
      <c r="D241" s="130" t="inlineStr">
        <is>
          <t>Талдом</t>
        </is>
      </c>
      <c r="E241" s="130" t="inlineStr">
        <is>
          <t>А104</t>
        </is>
      </c>
      <c r="F241" s="130" t="inlineStr">
        <is>
          <t>АЗС</t>
        </is>
      </c>
      <c r="G241" s="130" t="inlineStr">
        <is>
          <t>Роснефть</t>
        </is>
      </c>
      <c r="H241" s="131" t="inlineStr">
        <is>
          <t>MJ039</t>
        </is>
      </c>
      <c r="I241" s="637" t="inlineStr">
        <is>
          <t>Талдом</t>
        </is>
      </c>
      <c r="J241" s="637" t="inlineStr">
        <is>
          <t>MSK_TNK_Taldom</t>
        </is>
      </c>
      <c r="K241" s="640" t="n">
        <v>1</v>
      </c>
      <c r="L241" s="640" t="n">
        <v>1</v>
      </c>
      <c r="M241" s="623" t="inlineStr">
        <is>
          <t>Samsung 32" вертикальный</t>
        </is>
      </c>
      <c r="N241" s="640" t="n"/>
      <c r="O241" s="640">
        <f>IF(AND(N241=1,L241=1),K241,"")</f>
        <v/>
      </c>
      <c r="P241" s="642" t="inlineStr">
        <is>
          <t>Московская область, г. Талдом,  Советская, д.39  (а/д Дмитров-Талдом)</t>
        </is>
      </c>
      <c r="Q241" s="640" t="inlineStr">
        <is>
          <t>56.716078</t>
        </is>
      </c>
      <c r="R241" s="494" t="inlineStr">
        <is>
          <t>37.548349</t>
        </is>
      </c>
      <c r="S241" s="438" t="n"/>
      <c r="T241" s="438" t="n"/>
      <c r="U241" s="438" t="n"/>
      <c r="V241" s="438">
        <f>IF(AND(N241=1,U241=1),C241,"")</f>
        <v/>
      </c>
      <c r="W241" s="387" t="n"/>
      <c r="X241" s="387" t="n"/>
      <c r="Y241" s="387" t="n"/>
    </row>
    <row r="242" hidden="1" ht="16.05" customFormat="1" customHeight="1" s="126">
      <c r="A242" s="125" t="n">
        <v>291</v>
      </c>
      <c r="B242" s="125" t="n"/>
      <c r="C242" s="130" t="inlineStr">
        <is>
          <t>Москва</t>
        </is>
      </c>
      <c r="D242" s="130" t="inlineStr">
        <is>
          <t>Московская область</t>
        </is>
      </c>
      <c r="E242" s="130" t="inlineStr">
        <is>
          <t>М5</t>
        </is>
      </c>
      <c r="F242" s="130" t="inlineStr">
        <is>
          <t>АЗС</t>
        </is>
      </c>
      <c r="G242" s="130" t="inlineStr">
        <is>
          <t>Роснефть</t>
        </is>
      </c>
      <c r="H242" s="131" t="inlineStr">
        <is>
          <t>MN010</t>
        </is>
      </c>
      <c r="I242" s="637" t="inlineStr">
        <is>
          <t>Томилино</t>
        </is>
      </c>
      <c r="J242" s="637" t="inlineStr">
        <is>
          <t>MSK_TNK_Tomilino</t>
        </is>
      </c>
      <c r="K242" s="640" t="n">
        <v>1</v>
      </c>
      <c r="L242" s="640" t="n">
        <v>1</v>
      </c>
      <c r="M242" s="623" t="inlineStr">
        <is>
          <t>Samsung 32" вертикальный</t>
        </is>
      </c>
      <c r="N242" s="640" t="n"/>
      <c r="O242" s="640">
        <f>IF(AND(N242=1,L242=1),K242,"")</f>
        <v/>
      </c>
      <c r="P242" s="642" t="inlineStr">
        <is>
          <t>Московская область, Люберецкий район, МТО, пос. Томилино, Новорязанское ш, д.19</t>
        </is>
      </c>
      <c r="Q242" s="640" t="inlineStr">
        <is>
          <t>55.653161</t>
        </is>
      </c>
      <c r="R242" s="494" t="inlineStr">
        <is>
          <t>37.90579</t>
        </is>
      </c>
      <c r="S242" s="438" t="n"/>
      <c r="T242" s="438" t="n"/>
      <c r="U242" s="438" t="n"/>
      <c r="V242" s="438">
        <f>IF(AND(N242=1,U242=1),C242,"")</f>
        <v/>
      </c>
      <c r="W242" s="387" t="n"/>
      <c r="X242" s="387" t="n"/>
      <c r="Y242" s="387" t="n"/>
    </row>
    <row r="243" hidden="1" ht="16.05" customFormat="1" customHeight="1" s="126">
      <c r="A243" s="125" t="n">
        <v>292</v>
      </c>
      <c r="B243" s="125" t="n"/>
      <c r="C243" s="130" t="inlineStr">
        <is>
          <t>Москва</t>
        </is>
      </c>
      <c r="D243" s="130" t="inlineStr">
        <is>
          <t>Мытищи</t>
        </is>
      </c>
      <c r="E243" s="130" t="inlineStr">
        <is>
          <t>М8</t>
        </is>
      </c>
      <c r="F243" s="130" t="inlineStr">
        <is>
          <t>АЗС</t>
        </is>
      </c>
      <c r="G243" s="130" t="inlineStr">
        <is>
          <t>Роснефть</t>
        </is>
      </c>
      <c r="H243" s="131" t="inlineStr">
        <is>
          <t>MJ056</t>
        </is>
      </c>
      <c r="I243" s="637" t="inlineStr">
        <is>
          <t>Трудовая</t>
        </is>
      </c>
      <c r="J243" s="637" t="inlineStr">
        <is>
          <t>MSK_RN_Trudovaya</t>
        </is>
      </c>
      <c r="K243" s="640" t="n">
        <v>2</v>
      </c>
      <c r="L243" s="640" t="n">
        <v>0</v>
      </c>
      <c r="M243" s="623" t="inlineStr">
        <is>
          <t>Samsung 32" вертикальный</t>
        </is>
      </c>
      <c r="N243" s="640" t="n"/>
      <c r="O243" s="640">
        <f>IF(AND(N243=1,L243=1),K243,"")</f>
        <v/>
      </c>
      <c r="P243" s="642" t="inlineStr">
        <is>
          <t>Московская область, г. Мытищи,  Трудовая, дом 31</t>
        </is>
      </c>
      <c r="Q243" s="640" t="n">
        <v>55.890233</v>
      </c>
      <c r="R243" s="422" t="n">
        <v>37.713062</v>
      </c>
      <c r="S243" s="438" t="n"/>
      <c r="T243" s="438" t="n"/>
      <c r="U243" s="438" t="n"/>
      <c r="V243" s="438">
        <f>IF(AND(N243=1,U243=1),C243,"")</f>
        <v/>
      </c>
      <c r="W243" s="387" t="n"/>
      <c r="X243" s="1" t="n"/>
      <c r="Y243" s="1" t="n"/>
    </row>
    <row r="244" hidden="1" ht="16.05" customFormat="1" customHeight="1" s="126">
      <c r="A244" s="125" t="n">
        <v>293</v>
      </c>
      <c r="B244" s="125" t="n"/>
      <c r="C244" s="130" t="inlineStr">
        <is>
          <t>Москва</t>
        </is>
      </c>
      <c r="D244" s="130" t="inlineStr">
        <is>
          <t>Жуковский</t>
        </is>
      </c>
      <c r="E244" s="130" t="inlineStr">
        <is>
          <t>М5</t>
        </is>
      </c>
      <c r="F244" s="130" t="inlineStr">
        <is>
          <t>АЗС</t>
        </is>
      </c>
      <c r="G244" s="130" t="inlineStr">
        <is>
          <t>Роснефть</t>
        </is>
      </c>
      <c r="H244" s="131" t="inlineStr">
        <is>
          <t>MJ055</t>
        </is>
      </c>
      <c r="I244" s="637" t="inlineStr">
        <is>
          <t>ТНК_Туполева</t>
        </is>
      </c>
      <c r="J244" s="402" t="inlineStr">
        <is>
          <t>MSK_TNK_Tupoleva</t>
        </is>
      </c>
      <c r="K244" s="640" t="n">
        <v>1</v>
      </c>
      <c r="L244" s="640" t="n">
        <v>0</v>
      </c>
      <c r="M244" s="640" t="inlineStr">
        <is>
          <t>AMS</t>
        </is>
      </c>
      <c r="N244" s="640" t="n"/>
      <c r="O244" s="640">
        <f>IF(AND(N244=1,L244=1),K244,"")</f>
        <v/>
      </c>
      <c r="P244" s="642" t="inlineStr">
        <is>
          <t>Московская область, г. Жуковский,  Туполева, д. 30, стр. 1</t>
        </is>
      </c>
      <c r="Q244" s="640" t="n">
        <v>55.573578</v>
      </c>
      <c r="R244" s="422" t="n">
        <v>38.168699</v>
      </c>
      <c r="S244" s="438" t="n"/>
      <c r="T244" s="438" t="n"/>
      <c r="U244" s="438" t="n"/>
      <c r="V244" s="438">
        <f>IF(AND(N244=1,U244=1),C244,"")</f>
        <v/>
      </c>
      <c r="W244" s="387" t="n"/>
      <c r="X244" s="1" t="n"/>
      <c r="Y244" s="1" t="n"/>
    </row>
    <row r="245" hidden="1" ht="16.05" customFormat="1" customHeight="1" s="126">
      <c r="A245" s="125" t="n">
        <v>294</v>
      </c>
      <c r="B245" s="125" t="n"/>
      <c r="C245" s="130" t="inlineStr">
        <is>
          <t>Москва</t>
        </is>
      </c>
      <c r="D245" s="130" t="inlineStr">
        <is>
          <t>Московская область</t>
        </is>
      </c>
      <c r="E245" s="130" t="inlineStr">
        <is>
          <t>М1</t>
        </is>
      </c>
      <c r="F245" s="130" t="inlineStr">
        <is>
          <t>АЗС</t>
        </is>
      </c>
      <c r="G245" s="130" t="inlineStr">
        <is>
          <t>Роснефть</t>
        </is>
      </c>
      <c r="H245" s="131" t="inlineStr">
        <is>
          <t>ML011</t>
        </is>
      </c>
      <c r="I245" s="637" t="inlineStr">
        <is>
          <t>Хващевка</t>
        </is>
      </c>
      <c r="J245" s="637" t="inlineStr">
        <is>
          <t>MSK_TNK_Hvashevka</t>
        </is>
      </c>
      <c r="K245" s="640" t="n">
        <v>1</v>
      </c>
      <c r="L245" s="640" t="n">
        <v>1</v>
      </c>
      <c r="M245" s="623" t="inlineStr">
        <is>
          <t>Samsung 32" вертикальный</t>
        </is>
      </c>
      <c r="N245" s="640" t="n"/>
      <c r="O245" s="640">
        <f>IF(AND(N245=1,L245=1),K245,"")</f>
        <v/>
      </c>
      <c r="P245" s="642" t="inlineStr">
        <is>
          <t>Московская область, Можайский район, 141 км. Федеральной автодороги "Беларусь" (Минское шоссе)</t>
        </is>
      </c>
      <c r="Q245" s="640" t="inlineStr">
        <is>
          <t>55.471351</t>
        </is>
      </c>
      <c r="R245" s="494" t="inlineStr">
        <is>
          <t>35.520525</t>
        </is>
      </c>
      <c r="S245" s="438" t="n"/>
      <c r="T245" s="438" t="n"/>
      <c r="U245" s="438" t="n"/>
      <c r="V245" s="438">
        <f>IF(AND(N245=1,U245=1),C245,"")</f>
        <v/>
      </c>
      <c r="W245" s="387" t="n"/>
      <c r="X245" s="387" t="n"/>
      <c r="Y245" s="387" t="n"/>
    </row>
    <row r="246" hidden="1" ht="16.05" customFormat="1" customHeight="1" s="126">
      <c r="A246" s="125" t="n">
        <v>295</v>
      </c>
      <c r="B246" s="125" t="n"/>
      <c r="C246" s="130" t="inlineStr">
        <is>
          <t>Москва</t>
        </is>
      </c>
      <c r="D246" s="130" t="inlineStr">
        <is>
          <t>Московская область</t>
        </is>
      </c>
      <c r="E246" s="130" t="inlineStr">
        <is>
          <t>А104</t>
        </is>
      </c>
      <c r="F246" s="130" t="inlineStr">
        <is>
          <t>АЗС</t>
        </is>
      </c>
      <c r="G246" s="130" t="inlineStr">
        <is>
          <t>Роснефть</t>
        </is>
      </c>
      <c r="H246" s="131" t="inlineStr">
        <is>
          <t>MJ065</t>
        </is>
      </c>
      <c r="I246" s="637" t="inlineStr">
        <is>
          <t>Шолохово</t>
        </is>
      </c>
      <c r="J246" s="637" t="inlineStr">
        <is>
          <t>MSK_RN_Sholohovo</t>
        </is>
      </c>
      <c r="K246" s="640" t="n">
        <v>1</v>
      </c>
      <c r="L246" s="640" t="n">
        <v>1</v>
      </c>
      <c r="M246" s="623" t="inlineStr">
        <is>
          <t>Samsung 32" вертикальный</t>
        </is>
      </c>
      <c r="N246" s="640" t="n"/>
      <c r="O246" s="640">
        <f>IF(AND(N246=1,L246=1),K246,"")</f>
        <v/>
      </c>
      <c r="P246" s="642" t="inlineStr">
        <is>
          <t>Московская область, Мытищинский район, сельское поселение Федоскинское, д.Шолохово, шоссе Дмитровское, д.2 (35-й км справа)</t>
        </is>
      </c>
      <c r="Q246" s="640" t="inlineStr">
        <is>
          <t>56.042559</t>
        </is>
      </c>
      <c r="R246" s="494" t="inlineStr">
        <is>
          <t>37.541488</t>
        </is>
      </c>
      <c r="S246" s="438" t="n"/>
      <c r="T246" s="438" t="n"/>
      <c r="U246" s="438" t="n"/>
      <c r="V246" s="438">
        <f>IF(AND(N246=1,U246=1),C246,"")</f>
        <v/>
      </c>
      <c r="W246" s="387" t="n"/>
      <c r="X246" s="387" t="n"/>
      <c r="Y246" s="387" t="n"/>
    </row>
    <row r="247" hidden="1" ht="16.05" customFormat="1" customHeight="1" s="126">
      <c r="A247" s="125" t="n">
        <v>296</v>
      </c>
      <c r="B247" s="125" t="n"/>
      <c r="C247" s="130" t="inlineStr">
        <is>
          <t>Москва</t>
        </is>
      </c>
      <c r="D247" s="130" t="inlineStr">
        <is>
          <t>Коломна</t>
        </is>
      </c>
      <c r="E247" s="130" t="inlineStr">
        <is>
          <t>М5</t>
        </is>
      </c>
      <c r="F247" s="130" t="inlineStr">
        <is>
          <t>АЗС</t>
        </is>
      </c>
      <c r="G247" s="130" t="inlineStr">
        <is>
          <t>Роснефть</t>
        </is>
      </c>
      <c r="H247" s="131" t="inlineStr">
        <is>
          <t>MJ010</t>
        </is>
      </c>
      <c r="I247" s="637" t="inlineStr">
        <is>
          <t>Щуровская</t>
        </is>
      </c>
      <c r="J247" s="637" t="inlineStr">
        <is>
          <t>MSK_TNK_Shurovskaya</t>
        </is>
      </c>
      <c r="K247" s="640" t="n">
        <v>1</v>
      </c>
      <c r="L247" s="640" t="n">
        <v>1</v>
      </c>
      <c r="M247" s="623" t="inlineStr">
        <is>
          <t>Samsung 32" вертикальный</t>
        </is>
      </c>
      <c r="N247" s="640" t="n"/>
      <c r="O247" s="640">
        <f>IF(AND(N247=1,L247=1),K247,"")</f>
        <v/>
      </c>
      <c r="P247" s="642" t="inlineStr">
        <is>
          <t>Московская область, г.Коломна,  Щуровская, д.2</t>
        </is>
      </c>
      <c r="Q247" s="640" t="inlineStr">
        <is>
          <t>55.061287</t>
        </is>
      </c>
      <c r="R247" s="494" t="inlineStr">
        <is>
          <t>38.852912</t>
        </is>
      </c>
      <c r="S247" s="438" t="n"/>
      <c r="T247" s="438" t="n"/>
      <c r="U247" s="438" t="n"/>
      <c r="V247" s="438">
        <f>IF(AND(N247=1,U247=1),C247,"")</f>
        <v/>
      </c>
      <c r="W247" s="387" t="n"/>
      <c r="X247" s="387" t="n"/>
      <c r="Y247" s="387" t="n"/>
    </row>
    <row r="248" hidden="1" ht="16.05" customFormat="1" customHeight="1" s="126">
      <c r="A248" s="125" t="n">
        <v>297</v>
      </c>
      <c r="B248" s="125" t="n"/>
      <c r="C248" s="130" t="inlineStr">
        <is>
          <t>Москва</t>
        </is>
      </c>
      <c r="D248" s="130" t="inlineStr">
        <is>
          <t>Москва</t>
        </is>
      </c>
      <c r="E248" s="130" t="inlineStr">
        <is>
          <t>СВАО</t>
        </is>
      </c>
      <c r="F248" s="130" t="inlineStr">
        <is>
          <t>АЗС</t>
        </is>
      </c>
      <c r="G248" s="130" t="inlineStr">
        <is>
          <t>Роснефть</t>
        </is>
      </c>
      <c r="H248" s="131" t="inlineStr">
        <is>
          <t>MJ033</t>
        </is>
      </c>
      <c r="I248" s="637" t="inlineStr">
        <is>
          <t>Юрловский</t>
        </is>
      </c>
      <c r="J248" s="637" t="inlineStr">
        <is>
          <t>MSK_TNK_Yurlovskiy</t>
        </is>
      </c>
      <c r="K248" s="640" t="n">
        <v>1</v>
      </c>
      <c r="L248" s="640" t="n">
        <v>1</v>
      </c>
      <c r="M248" s="623" t="inlineStr">
        <is>
          <t>Samsung 32" вертикальный</t>
        </is>
      </c>
      <c r="N248" s="640" t="n"/>
      <c r="O248" s="640">
        <f>IF(AND(N248=1,L248=1),K248,"")</f>
        <v/>
      </c>
      <c r="P248" s="642" t="inlineStr">
        <is>
          <t>Москва, Юрловский проезд, вл. 8</t>
        </is>
      </c>
      <c r="Q248" s="640" t="inlineStr">
        <is>
          <t>55.868794</t>
        </is>
      </c>
      <c r="R248" s="494" t="inlineStr">
        <is>
          <t>37.622885</t>
        </is>
      </c>
      <c r="S248" s="438" t="n"/>
      <c r="T248" s="438" t="n"/>
      <c r="U248" s="438" t="n"/>
      <c r="V248" s="438">
        <f>IF(AND(N248=1,U248=1),C248,"")</f>
        <v/>
      </c>
      <c r="W248" s="387" t="n"/>
      <c r="X248" s="387" t="n"/>
      <c r="Y248" s="387" t="n"/>
    </row>
    <row r="249" hidden="1" ht="16.05" customFormat="1" customHeight="1" s="126">
      <c r="A249" s="125" t="n">
        <v>298</v>
      </c>
      <c r="B249" s="125" t="n"/>
      <c r="C249" s="130" t="inlineStr">
        <is>
          <t>Москва</t>
        </is>
      </c>
      <c r="D249" s="130" t="inlineStr">
        <is>
          <t>Москва</t>
        </is>
      </c>
      <c r="E249" s="130" t="inlineStr">
        <is>
          <t>СВАО</t>
        </is>
      </c>
      <c r="F249" s="130" t="inlineStr">
        <is>
          <t>АЗС</t>
        </is>
      </c>
      <c r="G249" s="130" t="inlineStr">
        <is>
          <t>Роснефть</t>
        </is>
      </c>
      <c r="H249" s="131" t="inlineStr">
        <is>
          <t>MJ032</t>
        </is>
      </c>
      <c r="I249" s="637" t="inlineStr">
        <is>
          <t>Яблочкова</t>
        </is>
      </c>
      <c r="J249" s="637" t="inlineStr">
        <is>
          <t>MSK_TNK_Yablochkova</t>
        </is>
      </c>
      <c r="K249" s="640" t="n">
        <v>1</v>
      </c>
      <c r="L249" s="640" t="n">
        <v>1</v>
      </c>
      <c r="M249" s="623" t="inlineStr">
        <is>
          <t>Samsung 32" вертикальный</t>
        </is>
      </c>
      <c r="N249" s="640" t="n"/>
      <c r="O249" s="640">
        <f>IF(AND(N249=1,L249=1),K249,"")</f>
        <v/>
      </c>
      <c r="P249" s="642" t="inlineStr">
        <is>
          <t>Москва,  Яблочкова, дом 1Г</t>
        </is>
      </c>
      <c r="Q249" s="640" t="inlineStr">
        <is>
          <t>55.811636</t>
        </is>
      </c>
      <c r="R249" s="494" t="inlineStr">
        <is>
          <t>37.581341</t>
        </is>
      </c>
      <c r="S249" s="438" t="n"/>
      <c r="T249" s="438" t="n"/>
      <c r="U249" s="438" t="n"/>
      <c r="V249" s="438">
        <f>IF(AND(N249=1,U249=1),C249,"")</f>
        <v/>
      </c>
      <c r="W249" s="387" t="n"/>
      <c r="X249" s="387" t="n"/>
      <c r="Y249" s="387" t="n"/>
    </row>
    <row r="250" hidden="1" ht="16.05" customFormat="1" customHeight="1" s="126">
      <c r="A250" s="125" t="n">
        <v>299</v>
      </c>
      <c r="B250" s="125" t="inlineStr">
        <is>
          <t>WF</t>
        </is>
      </c>
      <c r="C250" s="130" t="inlineStr">
        <is>
          <t>Москва</t>
        </is>
      </c>
      <c r="D250" s="130" t="inlineStr">
        <is>
          <t>Котельники</t>
        </is>
      </c>
      <c r="E250" s="130" t="inlineStr">
        <is>
          <t>М5</t>
        </is>
      </c>
      <c r="F250" s="130" t="inlineStr">
        <is>
          <t>АЗС</t>
        </is>
      </c>
      <c r="G250" s="130" t="inlineStr">
        <is>
          <t>Лукойл</t>
        </is>
      </c>
      <c r="H250" s="131" t="inlineStr">
        <is>
          <t>LUK_003</t>
        </is>
      </c>
      <c r="I250" s="637" t="n">
        <v>50003</v>
      </c>
      <c r="J250" s="402" t="inlineStr">
        <is>
          <t>MSK_LUK_0003</t>
        </is>
      </c>
      <c r="K250" s="640" t="n">
        <v>1</v>
      </c>
      <c r="L250" s="640" t="n">
        <v>0</v>
      </c>
      <c r="M250" s="640" t="inlineStr">
        <is>
          <t>1 октября</t>
        </is>
      </c>
      <c r="N250" s="640" t="n"/>
      <c r="O250" s="640">
        <f>IF(AND(N250=1,L250=1),K250,"")</f>
        <v/>
      </c>
      <c r="P250" s="642" t="inlineStr">
        <is>
          <t>Российская Федерация, Московская область, г. Котельники, Новорязанское шоссе 22 км, строение 10</t>
        </is>
      </c>
      <c r="Q250" s="640" t="n">
        <v>55.65742</v>
      </c>
      <c r="R250" s="422" t="n">
        <v>37.89413</v>
      </c>
      <c r="S250" s="438" t="n"/>
      <c r="T250" s="438" t="n"/>
      <c r="U250" s="438" t="n"/>
      <c r="V250" s="438">
        <f>IF(AND(N250=1,U250=1),C250,"")</f>
        <v/>
      </c>
      <c r="W250" s="387" t="n"/>
      <c r="X250" s="1" t="n"/>
      <c r="Y250" s="1" t="n"/>
    </row>
    <row r="251" hidden="1" ht="16.05" customFormat="1" customHeight="1" s="126">
      <c r="A251" s="125" t="n">
        <v>302</v>
      </c>
      <c r="B251" s="125" t="inlineStr">
        <is>
          <t>WF</t>
        </is>
      </c>
      <c r="C251" s="130" t="inlineStr">
        <is>
          <t>Москва</t>
        </is>
      </c>
      <c r="D251" s="130" t="inlineStr">
        <is>
          <t>Москва</t>
        </is>
      </c>
      <c r="E251" s="130" t="inlineStr">
        <is>
          <t>А106</t>
        </is>
      </c>
      <c r="F251" s="130" t="inlineStr">
        <is>
          <t>АЗС</t>
        </is>
      </c>
      <c r="G251" s="130" t="inlineStr">
        <is>
          <t>Лукойл</t>
        </is>
      </c>
      <c r="H251" s="131" t="inlineStr">
        <is>
          <t>LUK_109</t>
        </is>
      </c>
      <c r="I251" s="637" t="n">
        <v>77109</v>
      </c>
      <c r="J251" s="402" t="inlineStr">
        <is>
          <t>MSK_LUK_0109</t>
        </is>
      </c>
      <c r="K251" s="640" t="n">
        <v>2</v>
      </c>
      <c r="L251" s="640" t="n">
        <v>0</v>
      </c>
      <c r="M251" s="640" t="inlineStr">
        <is>
          <t>1 октября</t>
        </is>
      </c>
      <c r="N251" s="640" t="n"/>
      <c r="O251" s="640">
        <f>IF(AND(N251=1,L251=1),K251,"")</f>
        <v/>
      </c>
      <c r="P251" s="642" t="inlineStr">
        <is>
          <t>г. Москва, с.о. Успенский, д. Борки, 20 км Рублево-Успенского шоссе</t>
        </is>
      </c>
      <c r="Q251" s="640" t="n">
        <v>55.71568</v>
      </c>
      <c r="R251" s="422" t="n">
        <v>37.09021</v>
      </c>
      <c r="S251" s="438" t="n"/>
      <c r="T251" s="438" t="n"/>
      <c r="U251" s="438" t="n"/>
      <c r="V251" s="438">
        <f>IF(AND(N251=1,U251=1),C251,"")</f>
        <v/>
      </c>
      <c r="W251" s="387" t="n"/>
      <c r="X251" s="1" t="n"/>
      <c r="Y251" s="1" t="n"/>
    </row>
    <row r="252" hidden="1" ht="16.05" customFormat="1" customHeight="1" s="126">
      <c r="A252" s="125" t="n">
        <v>304</v>
      </c>
      <c r="B252" s="125" t="inlineStr">
        <is>
          <t>WF</t>
        </is>
      </c>
      <c r="C252" s="130" t="inlineStr">
        <is>
          <t>Москва</t>
        </is>
      </c>
      <c r="D252" s="130" t="inlineStr">
        <is>
          <t>Московская область</t>
        </is>
      </c>
      <c r="E252" s="130" t="inlineStr">
        <is>
          <t>М1</t>
        </is>
      </c>
      <c r="F252" s="130" t="inlineStr">
        <is>
          <t>АЗС</t>
        </is>
      </c>
      <c r="G252" s="130" t="inlineStr">
        <is>
          <t>Лукойл</t>
        </is>
      </c>
      <c r="H252" s="131" t="inlineStr">
        <is>
          <t>LUK_110</t>
        </is>
      </c>
      <c r="I252" s="637" t="n">
        <v>50110</v>
      </c>
      <c r="J252" s="402" t="inlineStr">
        <is>
          <t>MSK_LUK_0110</t>
        </is>
      </c>
      <c r="K252" s="640" t="n">
        <v>1</v>
      </c>
      <c r="L252" s="640" t="n">
        <v>0</v>
      </c>
      <c r="M252" s="640" t="inlineStr">
        <is>
          <t>1 октября</t>
        </is>
      </c>
      <c r="N252" s="640" t="n"/>
      <c r="O252" s="640">
        <f>IF(AND(N252=1,L252=1),K252,"")</f>
        <v/>
      </c>
      <c r="P252" s="642" t="inlineStr">
        <is>
          <t>Московская область, Рузский район, Космодемьянский с.о., 86 км автодороги "Москва-Минск"</t>
        </is>
      </c>
      <c r="Q252" s="640" t="n">
        <v>55.53097</v>
      </c>
      <c r="R252" s="422" t="n">
        <v>36.36035</v>
      </c>
      <c r="S252" s="438" t="n"/>
      <c r="T252" s="438" t="n"/>
      <c r="U252" s="438" t="n"/>
      <c r="V252" s="438">
        <f>IF(AND(N252=1,U252=1),C252,"")</f>
        <v/>
      </c>
      <c r="W252" s="387" t="n"/>
      <c r="X252" s="1" t="n"/>
      <c r="Y252" s="1" t="n"/>
    </row>
    <row r="253" hidden="1" ht="16.05" customFormat="1" customHeight="1" s="126">
      <c r="A253" s="127" t="n">
        <v>305</v>
      </c>
      <c r="B253" s="125" t="inlineStr">
        <is>
          <t>WF</t>
        </is>
      </c>
      <c r="C253" s="130" t="inlineStr">
        <is>
          <t>Москва</t>
        </is>
      </c>
      <c r="D253" s="130" t="inlineStr">
        <is>
          <t>Московская область</t>
        </is>
      </c>
      <c r="E253" s="130" t="inlineStr">
        <is>
          <t>М3</t>
        </is>
      </c>
      <c r="F253" s="130" t="inlineStr">
        <is>
          <t>АЗС</t>
        </is>
      </c>
      <c r="G253" s="130" t="inlineStr">
        <is>
          <t>Лукойл</t>
        </is>
      </c>
      <c r="H253" s="131" t="inlineStr">
        <is>
          <t>LUK_111</t>
        </is>
      </c>
      <c r="I253" s="637" t="n">
        <v>50111</v>
      </c>
      <c r="J253" s="402" t="inlineStr">
        <is>
          <t>MSK_LUK_0111</t>
        </is>
      </c>
      <c r="K253" s="640" t="n">
        <v>1</v>
      </c>
      <c r="L253" s="640" t="n">
        <v>0</v>
      </c>
      <c r="M253" s="640" t="inlineStr">
        <is>
          <t>1 октября</t>
        </is>
      </c>
      <c r="N253" s="640" t="n"/>
      <c r="O253" s="640">
        <f>IF(AND(N253=1,L253=1),K253,"")</f>
        <v/>
      </c>
      <c r="P253" s="642" t="inlineStr">
        <is>
          <t>Московская область, Наро-Фоминский район, Петровский с.о., Киевское шоссе, 49 км, АЗС /у дер. Софьино/</t>
        </is>
      </c>
      <c r="Q253" s="640" t="n">
        <v>55.52262</v>
      </c>
      <c r="R253" s="422" t="n">
        <v>37.01039</v>
      </c>
      <c r="S253" s="438" t="n"/>
      <c r="T253" s="438" t="n"/>
      <c r="U253" s="438" t="n"/>
      <c r="V253" s="438">
        <f>IF(AND(N253=1,U253=1),C253,"")</f>
        <v/>
      </c>
      <c r="W253" s="387" t="n"/>
      <c r="X253" s="1" t="n"/>
      <c r="Y253" s="1" t="n"/>
    </row>
    <row r="254" hidden="1" ht="16.05" customFormat="1" customHeight="1" s="126">
      <c r="A254" s="125" t="n">
        <v>306</v>
      </c>
      <c r="B254" s="125" t="inlineStr">
        <is>
          <t>WF</t>
        </is>
      </c>
      <c r="C254" s="130" t="inlineStr">
        <is>
          <t>Москва</t>
        </is>
      </c>
      <c r="D254" s="130" t="inlineStr">
        <is>
          <t>Москва</t>
        </is>
      </c>
      <c r="E254" s="130" t="inlineStr">
        <is>
          <t>М3</t>
        </is>
      </c>
      <c r="F254" s="130" t="inlineStr">
        <is>
          <t>АЗС</t>
        </is>
      </c>
      <c r="G254" s="130" t="inlineStr">
        <is>
          <t>Лукойл</t>
        </is>
      </c>
      <c r="H254" s="131" t="inlineStr">
        <is>
          <t>LUK_112</t>
        </is>
      </c>
      <c r="I254" s="637" t="n">
        <v>77112</v>
      </c>
      <c r="J254" s="402" t="inlineStr">
        <is>
          <t>MSK_LUK_0112</t>
        </is>
      </c>
      <c r="K254" s="640" t="n">
        <v>1</v>
      </c>
      <c r="L254" s="640" t="n">
        <v>0</v>
      </c>
      <c r="M254" s="640" t="inlineStr">
        <is>
          <t>1 октября</t>
        </is>
      </c>
      <c r="N254" s="640" t="n"/>
      <c r="O254" s="640">
        <f>IF(AND(N254=1,L254=1),K254,"")</f>
        <v/>
      </c>
      <c r="P254" s="642" t="inlineStr">
        <is>
          <t>г. Москва, п. Первомайское, Киевское шоссе, 39-ый км, вл. 1, строен. 1</t>
        </is>
      </c>
      <c r="Q254" s="640" t="n">
        <v>55.55896</v>
      </c>
      <c r="R254" s="422" t="n">
        <v>37.15997</v>
      </c>
      <c r="S254" s="438" t="n"/>
      <c r="T254" s="438" t="n"/>
      <c r="U254" s="438" t="n"/>
      <c r="V254" s="438">
        <f>IF(AND(N254=1,U254=1),C254,"")</f>
        <v/>
      </c>
      <c r="W254" s="387" t="n"/>
      <c r="X254" s="1" t="n"/>
      <c r="Y254" s="1" t="n"/>
    </row>
    <row r="255" hidden="1" ht="16.05" customFormat="1" customHeight="1" s="126">
      <c r="A255" s="125" t="n">
        <v>307</v>
      </c>
      <c r="B255" s="125" t="inlineStr">
        <is>
          <t>WF</t>
        </is>
      </c>
      <c r="C255" s="130" t="inlineStr">
        <is>
          <t>Москва</t>
        </is>
      </c>
      <c r="D255" s="130" t="inlineStr">
        <is>
          <t>Московская область</t>
        </is>
      </c>
      <c r="E255" s="130" t="inlineStr">
        <is>
          <t>М3</t>
        </is>
      </c>
      <c r="F255" s="130" t="inlineStr">
        <is>
          <t>АЗС</t>
        </is>
      </c>
      <c r="G255" s="130" t="inlineStr">
        <is>
          <t>Лукойл</t>
        </is>
      </c>
      <c r="H255" s="131" t="inlineStr">
        <is>
          <t>LUK_113</t>
        </is>
      </c>
      <c r="I255" s="637" t="n">
        <v>50113</v>
      </c>
      <c r="J255" s="402" t="inlineStr">
        <is>
          <t>MSK_LUK_0113</t>
        </is>
      </c>
      <c r="K255" s="640" t="n">
        <v>1</v>
      </c>
      <c r="L255" s="640" t="n">
        <v>0</v>
      </c>
      <c r="M255" s="640" t="inlineStr">
        <is>
          <t>1 октября</t>
        </is>
      </c>
      <c r="N255" s="640" t="n"/>
      <c r="O255" s="640">
        <f>IF(AND(N255=1,L255=1),K255,"")</f>
        <v/>
      </c>
      <c r="P255" s="642" t="inlineStr">
        <is>
          <t>Московская область, Наро-Фоминский район, Атепцевский с.о., у дер. Елагино, АЗС 76-й км Киевского шоссе</t>
        </is>
      </c>
      <c r="Q255" s="640" t="n">
        <v>55.34278</v>
      </c>
      <c r="R255" s="422" t="n">
        <v>36.72957</v>
      </c>
      <c r="S255" s="438" t="n"/>
      <c r="T255" s="438" t="n"/>
      <c r="U255" s="438" t="n"/>
      <c r="V255" s="438">
        <f>IF(AND(N255=1,U255=1),C255,"")</f>
        <v/>
      </c>
      <c r="W255" s="387" t="n"/>
      <c r="X255" s="1" t="n"/>
      <c r="Y255" s="1" t="n"/>
    </row>
    <row r="256" hidden="1" ht="16.05" customFormat="1" customHeight="1" s="126">
      <c r="A256" s="125" t="n">
        <v>309</v>
      </c>
      <c r="B256" s="125" t="inlineStr">
        <is>
          <t>WF</t>
        </is>
      </c>
      <c r="C256" s="130" t="inlineStr">
        <is>
          <t>Москва</t>
        </is>
      </c>
      <c r="D256" s="130" t="inlineStr">
        <is>
          <t>Московская область</t>
        </is>
      </c>
      <c r="E256" s="130" t="inlineStr">
        <is>
          <t>М7</t>
        </is>
      </c>
      <c r="F256" s="130" t="inlineStr">
        <is>
          <t>АЗС</t>
        </is>
      </c>
      <c r="G256" s="130" t="inlineStr">
        <is>
          <t>Лукойл</t>
        </is>
      </c>
      <c r="H256" s="131" t="inlineStr">
        <is>
          <t>LUK_201</t>
        </is>
      </c>
      <c r="I256" s="637" t="n">
        <v>50201</v>
      </c>
      <c r="J256" s="402" t="inlineStr">
        <is>
          <t>MSK_LUK_0201</t>
        </is>
      </c>
      <c r="K256" s="640" t="n">
        <v>1</v>
      </c>
      <c r="L256" s="640" t="n">
        <v>0</v>
      </c>
      <c r="M256" s="640" t="inlineStr">
        <is>
          <t>1 октября</t>
        </is>
      </c>
      <c r="N256" s="640" t="n"/>
      <c r="O256" s="640">
        <f>IF(AND(N256=1,L256=1),K256,"")</f>
        <v/>
      </c>
      <c r="P256" s="642" t="inlineStr">
        <is>
          <t>Московская область, Ногинский район, 35-й км автодороги Москва-Нижний Новгород, М-7 Волга-1</t>
        </is>
      </c>
      <c r="Q256" s="640" t="n">
        <v>55.81617</v>
      </c>
      <c r="R256" s="422" t="n">
        <v>38.13082</v>
      </c>
      <c r="S256" s="438" t="n"/>
      <c r="T256" s="438" t="n"/>
      <c r="U256" s="438" t="n"/>
      <c r="V256" s="438">
        <f>IF(AND(N256=1,U256=1),C256,"")</f>
        <v/>
      </c>
      <c r="W256" s="387" t="n"/>
      <c r="X256" s="1" t="n"/>
      <c r="Y256" s="1" t="n"/>
    </row>
    <row r="257" hidden="1" ht="16.05" customFormat="1" customHeight="1" s="126">
      <c r="A257" s="125" t="n">
        <v>310</v>
      </c>
      <c r="B257" s="125" t="inlineStr">
        <is>
          <t>WF</t>
        </is>
      </c>
      <c r="C257" s="130" t="inlineStr">
        <is>
          <t>Москва</t>
        </is>
      </c>
      <c r="D257" s="130" t="inlineStr">
        <is>
          <t>Московская область</t>
        </is>
      </c>
      <c r="E257" s="130" t="inlineStr">
        <is>
          <t>М4</t>
        </is>
      </c>
      <c r="F257" s="130" t="inlineStr">
        <is>
          <t>АЗС</t>
        </is>
      </c>
      <c r="G257" s="130" t="inlineStr">
        <is>
          <t>Лукойл</t>
        </is>
      </c>
      <c r="H257" s="131" t="inlineStr">
        <is>
          <t>LUK_203</t>
        </is>
      </c>
      <c r="I257" s="637" t="n">
        <v>50203</v>
      </c>
      <c r="J257" s="402" t="inlineStr">
        <is>
          <t>MSK_LUK_0203</t>
        </is>
      </c>
      <c r="K257" s="640" t="n">
        <v>1</v>
      </c>
      <c r="L257" s="640" t="n">
        <v>0</v>
      </c>
      <c r="M257" s="640" t="inlineStr">
        <is>
          <t>1 октября</t>
        </is>
      </c>
      <c r="N257" s="640" t="n"/>
      <c r="O257" s="640">
        <f>IF(AND(N257=1,L257=1),K257,"")</f>
        <v/>
      </c>
      <c r="P257" s="642" t="inlineStr">
        <is>
          <t>Московская область, Домодедовский район, 44км. Каширского шоссе</t>
        </is>
      </c>
      <c r="Q257" s="640" t="n">
        <v>55.41132</v>
      </c>
      <c r="R257" s="422" t="n">
        <v>37.78411</v>
      </c>
      <c r="S257" s="438" t="n"/>
      <c r="T257" s="438" t="n"/>
      <c r="U257" s="438" t="n"/>
      <c r="V257" s="438">
        <f>IF(AND(N257=1,U257=1),C257,"")</f>
        <v/>
      </c>
      <c r="W257" s="387" t="n"/>
      <c r="X257" s="1" t="n"/>
      <c r="Y257" s="1" t="n"/>
    </row>
    <row r="258" hidden="1" ht="16.05" customFormat="1" customHeight="1" s="126">
      <c r="A258" s="125" t="n">
        <v>311</v>
      </c>
      <c r="B258" s="125" t="inlineStr">
        <is>
          <t>WF</t>
        </is>
      </c>
      <c r="C258" s="130" t="inlineStr">
        <is>
          <t>Москва</t>
        </is>
      </c>
      <c r="D258" s="130" t="inlineStr">
        <is>
          <t>Московская область</t>
        </is>
      </c>
      <c r="E258" s="130" t="inlineStr">
        <is>
          <t>А104</t>
        </is>
      </c>
      <c r="F258" s="130" t="inlineStr">
        <is>
          <t>АЗС</t>
        </is>
      </c>
      <c r="G258" s="130" t="inlineStr">
        <is>
          <t>Лукойл</t>
        </is>
      </c>
      <c r="H258" s="131" t="inlineStr">
        <is>
          <t>LUK_204</t>
        </is>
      </c>
      <c r="I258" s="637" t="n">
        <v>50204</v>
      </c>
      <c r="J258" s="402" t="inlineStr">
        <is>
          <t>MSK_LUK_0204</t>
        </is>
      </c>
      <c r="K258" s="640" t="n">
        <v>1</v>
      </c>
      <c r="L258" s="640" t="n">
        <v>0</v>
      </c>
      <c r="M258" s="640" t="inlineStr">
        <is>
          <t>1 октября</t>
        </is>
      </c>
      <c r="N258" s="640" t="n"/>
      <c r="O258" s="640">
        <f>IF(AND(N258=1,L258=1),K258,"")</f>
        <v/>
      </c>
      <c r="P258" s="642" t="inlineStr">
        <is>
          <t>Московская область, Мытищинский район, 38 км автодороги Москва-Дубна</t>
        </is>
      </c>
      <c r="Q258" s="640" t="n">
        <v>56.06822</v>
      </c>
      <c r="R258" s="422" t="n">
        <v>37.51843</v>
      </c>
      <c r="S258" s="438" t="n"/>
      <c r="T258" s="438" t="n"/>
      <c r="U258" s="438" t="n"/>
      <c r="V258" s="438">
        <f>IF(AND(N258=1,U258=1),C258,"")</f>
        <v/>
      </c>
      <c r="W258" s="387" t="n"/>
      <c r="X258" s="1" t="n"/>
      <c r="Y258" s="1" t="n"/>
    </row>
    <row r="259" hidden="1" ht="16.05" customFormat="1" customHeight="1" s="126">
      <c r="A259" s="125" t="n">
        <v>312</v>
      </c>
      <c r="B259" s="125" t="inlineStr">
        <is>
          <t>WF</t>
        </is>
      </c>
      <c r="C259" s="130" t="inlineStr">
        <is>
          <t>Москва</t>
        </is>
      </c>
      <c r="D259" s="130" t="inlineStr">
        <is>
          <t>Московская область</t>
        </is>
      </c>
      <c r="E259" s="130" t="inlineStr">
        <is>
          <t>А104</t>
        </is>
      </c>
      <c r="F259" s="130" t="inlineStr">
        <is>
          <t>АЗС</t>
        </is>
      </c>
      <c r="G259" s="130" t="inlineStr">
        <is>
          <t>Лукойл</t>
        </is>
      </c>
      <c r="H259" s="131" t="inlineStr">
        <is>
          <t>LUK_206</t>
        </is>
      </c>
      <c r="I259" s="637" t="n">
        <v>50206</v>
      </c>
      <c r="J259" s="402" t="inlineStr">
        <is>
          <t>MSK_LUK_0206</t>
        </is>
      </c>
      <c r="K259" s="640" t="n">
        <v>1</v>
      </c>
      <c r="L259" s="640" t="n">
        <v>0</v>
      </c>
      <c r="M259" s="640" t="inlineStr">
        <is>
          <t>1 октября</t>
        </is>
      </c>
      <c r="N259" s="640" t="n"/>
      <c r="O259" s="640">
        <f>IF(AND(N259=1,L259=1),K259,"")</f>
        <v/>
      </c>
      <c r="P259" s="642" t="inlineStr">
        <is>
          <t>Московская область, Дмитровский район, Габовский с.о., пос.совхоза "Останкино" (10 км автодороги Лобня-Рогачево)</t>
        </is>
      </c>
      <c r="Q259" s="640" t="n">
        <v>56.04661</v>
      </c>
      <c r="R259" s="422" t="n">
        <v>37.41773</v>
      </c>
      <c r="S259" s="438" t="n"/>
      <c r="T259" s="438" t="n"/>
      <c r="U259" s="438" t="n"/>
      <c r="V259" s="438">
        <f>IF(AND(N259=1,U259=1),C259,"")</f>
        <v/>
      </c>
      <c r="W259" s="387" t="n"/>
      <c r="X259" s="1" t="n"/>
      <c r="Y259" s="1" t="n"/>
    </row>
    <row r="260" hidden="1" ht="16.05" customFormat="1" customHeight="1" s="126">
      <c r="A260" s="125" t="n">
        <v>313</v>
      </c>
      <c r="B260" s="125" t="inlineStr">
        <is>
          <t>WF</t>
        </is>
      </c>
      <c r="C260" s="130" t="inlineStr">
        <is>
          <t>Москва</t>
        </is>
      </c>
      <c r="D260" s="130" t="inlineStr">
        <is>
          <t>Московская область</t>
        </is>
      </c>
      <c r="E260" s="130" t="inlineStr">
        <is>
          <t>А103</t>
        </is>
      </c>
      <c r="F260" s="130" t="inlineStr">
        <is>
          <t>АЗС</t>
        </is>
      </c>
      <c r="G260" s="130" t="inlineStr">
        <is>
          <t>Лукойл</t>
        </is>
      </c>
      <c r="H260" s="131" t="inlineStr">
        <is>
          <t>LUK_207</t>
        </is>
      </c>
      <c r="I260" s="637" t="n">
        <v>50207</v>
      </c>
      <c r="J260" s="402" t="inlineStr">
        <is>
          <t>MSK_LUK_0207</t>
        </is>
      </c>
      <c r="K260" s="640" t="n">
        <v>1</v>
      </c>
      <c r="L260" s="640" t="n">
        <v>0</v>
      </c>
      <c r="M260" s="640" t="inlineStr">
        <is>
          <t>1 октября</t>
        </is>
      </c>
      <c r="N260" s="640" t="n"/>
      <c r="O260" s="640">
        <f>IF(AND(N260=1,L260=1),K260,"")</f>
        <v/>
      </c>
      <c r="P260" s="642" t="inlineStr">
        <is>
          <t>Московская область, Щелковский район, 9 км автодороги Щелково - Фряново</t>
        </is>
      </c>
      <c r="Q260" s="640" t="n">
        <v>55.97238</v>
      </c>
      <c r="R260" s="422" t="n">
        <v>38.08971</v>
      </c>
      <c r="S260" s="438" t="n"/>
      <c r="T260" s="438" t="n"/>
      <c r="U260" s="438" t="n"/>
      <c r="V260" s="438">
        <f>IF(AND(N260=1,U260=1),C260,"")</f>
        <v/>
      </c>
      <c r="W260" s="387" t="n"/>
      <c r="X260" s="1" t="n"/>
      <c r="Y260" s="1" t="n"/>
    </row>
    <row r="261" hidden="1" ht="16.05" customFormat="1" customHeight="1" s="126">
      <c r="A261" s="125" t="n">
        <v>314</v>
      </c>
      <c r="B261" s="125" t="inlineStr">
        <is>
          <t>WF</t>
        </is>
      </c>
      <c r="C261" s="130" t="inlineStr">
        <is>
          <t>Москва</t>
        </is>
      </c>
      <c r="D261" s="130" t="inlineStr">
        <is>
          <t>Коломна</t>
        </is>
      </c>
      <c r="E261" s="130" t="inlineStr">
        <is>
          <t>М5</t>
        </is>
      </c>
      <c r="F261" s="130" t="inlineStr">
        <is>
          <t>АЗС</t>
        </is>
      </c>
      <c r="G261" s="130" t="inlineStr">
        <is>
          <t>Лукойл</t>
        </is>
      </c>
      <c r="H261" s="131" t="inlineStr">
        <is>
          <t>LUK_213</t>
        </is>
      </c>
      <c r="I261" s="637" t="n">
        <v>50213</v>
      </c>
      <c r="J261" s="402" t="inlineStr">
        <is>
          <t>MSK_LUK_0213</t>
        </is>
      </c>
      <c r="K261" s="640" t="n">
        <v>1</v>
      </c>
      <c r="L261" s="640" t="n">
        <v>0</v>
      </c>
      <c r="M261" s="640" t="inlineStr">
        <is>
          <t>1 октября</t>
        </is>
      </c>
      <c r="N261" s="640" t="n"/>
      <c r="O261" s="640">
        <f>IF(AND(N261=1,L261=1),K261,"")</f>
        <v/>
      </c>
      <c r="P261" s="642" t="inlineStr">
        <is>
          <t>Московская область, г. Коломна, ул. Ленина, д. 86</t>
        </is>
      </c>
      <c r="Q261" s="640" t="n">
        <v>55.09227</v>
      </c>
      <c r="R261" s="422" t="n">
        <v>38.7499</v>
      </c>
      <c r="S261" s="438" t="n"/>
      <c r="T261" s="438" t="n"/>
      <c r="U261" s="438" t="n"/>
      <c r="V261" s="438">
        <f>IF(AND(N261=1,U261=1),C261,"")</f>
        <v/>
      </c>
      <c r="W261" s="387" t="n"/>
      <c r="X261" s="1" t="n"/>
      <c r="Y261" s="1" t="n"/>
    </row>
    <row r="262" hidden="1" ht="16.05" customFormat="1" customHeight="1" s="126">
      <c r="A262" s="125" t="n">
        <v>315</v>
      </c>
      <c r="B262" s="125" t="inlineStr">
        <is>
          <t>WF</t>
        </is>
      </c>
      <c r="C262" s="130" t="inlineStr">
        <is>
          <t>Москва</t>
        </is>
      </c>
      <c r="D262" s="130" t="inlineStr">
        <is>
          <t>Московская область</t>
        </is>
      </c>
      <c r="E262" s="130" t="inlineStr">
        <is>
          <t>А103</t>
        </is>
      </c>
      <c r="F262" s="130" t="inlineStr">
        <is>
          <t>АЗС</t>
        </is>
      </c>
      <c r="G262" s="130" t="inlineStr">
        <is>
          <t>Лукойл</t>
        </is>
      </c>
      <c r="H262" s="131" t="inlineStr">
        <is>
          <t>LUK_222</t>
        </is>
      </c>
      <c r="I262" s="637" t="n">
        <v>50222</v>
      </c>
      <c r="J262" s="402" t="inlineStr">
        <is>
          <t>MSK_LUK_0222</t>
        </is>
      </c>
      <c r="K262" s="640" t="n">
        <v>1</v>
      </c>
      <c r="L262" s="640" t="n">
        <v>0</v>
      </c>
      <c r="M262" s="640" t="inlineStr">
        <is>
          <t>1 октября</t>
        </is>
      </c>
      <c r="N262" s="640" t="n"/>
      <c r="O262" s="640">
        <f>IF(AND(N262=1,L262=1),K262,"")</f>
        <v/>
      </c>
      <c r="P262" s="642" t="inlineStr">
        <is>
          <t>Московская область, Щелковский р-н., д. Малое Ледово, АЗС с навесом</t>
        </is>
      </c>
      <c r="Q262" s="640" t="n">
        <v>55.89411</v>
      </c>
      <c r="R262" s="422" t="n">
        <v>37.98424</v>
      </c>
      <c r="S262" s="438" t="n"/>
      <c r="T262" s="438" t="n"/>
      <c r="U262" s="438" t="n"/>
      <c r="V262" s="438">
        <f>IF(AND(N262=1,U262=1),C262,"")</f>
        <v/>
      </c>
      <c r="W262" s="387" t="n"/>
      <c r="X262" s="1" t="n"/>
      <c r="Y262" s="1" t="n"/>
    </row>
    <row r="263" hidden="1" ht="16.05" customFormat="1" customHeight="1" s="126">
      <c r="A263" s="125" t="n">
        <v>316</v>
      </c>
      <c r="B263" s="125" t="inlineStr">
        <is>
          <t>WF</t>
        </is>
      </c>
      <c r="C263" s="130" t="inlineStr">
        <is>
          <t>Москва</t>
        </is>
      </c>
      <c r="D263" s="130" t="inlineStr">
        <is>
          <t>Московская область</t>
        </is>
      </c>
      <c r="E263" s="130" t="inlineStr">
        <is>
          <t>М5</t>
        </is>
      </c>
      <c r="F263" s="130" t="inlineStr">
        <is>
          <t>АЗС</t>
        </is>
      </c>
      <c r="G263" s="130" t="inlineStr">
        <is>
          <t>Лукойл</t>
        </is>
      </c>
      <c r="H263" s="131" t="inlineStr">
        <is>
          <t>LUK_228</t>
        </is>
      </c>
      <c r="I263" s="637" t="n">
        <v>50228</v>
      </c>
      <c r="J263" s="402" t="inlineStr">
        <is>
          <t>MSK_LUK_0228</t>
        </is>
      </c>
      <c r="K263" s="640" t="n">
        <v>1</v>
      </c>
      <c r="L263" s="640" t="n">
        <v>0</v>
      </c>
      <c r="M263" s="640" t="inlineStr">
        <is>
          <t>1 октября</t>
        </is>
      </c>
      <c r="N263" s="640" t="n"/>
      <c r="O263" s="640">
        <f>IF(AND(N263=1,L263=1),K263,"")</f>
        <v/>
      </c>
      <c r="P263" s="642" t="inlineStr">
        <is>
          <t>Московская область, Раменский район, дер. Кулаково, ул. Дорожная, уч. 5</t>
        </is>
      </c>
      <c r="Q263" s="640" t="n">
        <v>55.56226</v>
      </c>
      <c r="R263" s="422" t="n">
        <v>38.05241</v>
      </c>
      <c r="S263" s="438" t="n"/>
      <c r="T263" s="438" t="n"/>
      <c r="U263" s="438" t="n"/>
      <c r="V263" s="438">
        <f>IF(AND(N263=1,U263=1),C263,"")</f>
        <v/>
      </c>
      <c r="W263" s="387" t="n"/>
      <c r="X263" s="1" t="n"/>
      <c r="Y263" s="1" t="n"/>
    </row>
    <row r="264" hidden="1" ht="16.05" customFormat="1" customHeight="1" s="126">
      <c r="A264" s="125" t="n">
        <v>317</v>
      </c>
      <c r="B264" s="125" t="inlineStr">
        <is>
          <t>WF</t>
        </is>
      </c>
      <c r="C264" s="130" t="inlineStr">
        <is>
          <t>Москва</t>
        </is>
      </c>
      <c r="D264" s="130" t="inlineStr">
        <is>
          <t>Коломна</t>
        </is>
      </c>
      <c r="E264" s="130" t="inlineStr">
        <is>
          <t>М5</t>
        </is>
      </c>
      <c r="F264" s="130" t="inlineStr">
        <is>
          <t>АЗС</t>
        </is>
      </c>
      <c r="G264" s="130" t="inlineStr">
        <is>
          <t>Лукойл</t>
        </is>
      </c>
      <c r="H264" s="131" t="inlineStr">
        <is>
          <t>LUK_229</t>
        </is>
      </c>
      <c r="I264" s="637" t="n">
        <v>50229</v>
      </c>
      <c r="J264" s="402" t="inlineStr">
        <is>
          <t>MSK_LUK_0229</t>
        </is>
      </c>
      <c r="K264" s="640" t="n">
        <v>1</v>
      </c>
      <c r="L264" s="640" t="n">
        <v>0</v>
      </c>
      <c r="M264" s="640" t="inlineStr">
        <is>
          <t>1 октября</t>
        </is>
      </c>
      <c r="N264" s="640" t="n"/>
      <c r="O264" s="640">
        <f>IF(AND(N264=1,L264=1),K264,"")</f>
        <v/>
      </c>
      <c r="P264" s="642" t="inlineStr">
        <is>
          <t>Московская область, г. Коломна, ул. Щуровская, д. 4</t>
        </is>
      </c>
      <c r="Q264" s="640" t="n">
        <v>55.06483</v>
      </c>
      <c r="R264" s="422" t="n">
        <v>38.84319</v>
      </c>
      <c r="S264" s="438" t="n"/>
      <c r="T264" s="438" t="n"/>
      <c r="U264" s="438" t="n"/>
      <c r="V264" s="438">
        <f>IF(AND(N264=1,U264=1),C264,"")</f>
        <v/>
      </c>
      <c r="W264" s="387" t="n"/>
      <c r="X264" s="1" t="n"/>
      <c r="Y264" s="1" t="n"/>
    </row>
    <row r="265" hidden="1" ht="16.05" customFormat="1" customHeight="1" s="126">
      <c r="A265" s="125" t="n">
        <v>318</v>
      </c>
      <c r="B265" s="125" t="inlineStr">
        <is>
          <t>WF</t>
        </is>
      </c>
      <c r="C265" s="130" t="inlineStr">
        <is>
          <t>Москва</t>
        </is>
      </c>
      <c r="D265" s="130" t="inlineStr">
        <is>
          <t>Московская область</t>
        </is>
      </c>
      <c r="E265" s="130" t="inlineStr">
        <is>
          <t>М8</t>
        </is>
      </c>
      <c r="F265" s="130" t="inlineStr">
        <is>
          <t>АЗС</t>
        </is>
      </c>
      <c r="G265" s="130" t="inlineStr">
        <is>
          <t>Лукойл</t>
        </is>
      </c>
      <c r="H265" s="131" t="inlineStr">
        <is>
          <t>LUK_230</t>
        </is>
      </c>
      <c r="I265" s="637" t="n">
        <v>50230</v>
      </c>
      <c r="J265" s="402" t="inlineStr">
        <is>
          <t>MSK_LUK_0230</t>
        </is>
      </c>
      <c r="K265" s="640" t="n">
        <v>1</v>
      </c>
      <c r="L265" s="640" t="n">
        <v>0</v>
      </c>
      <c r="M265" s="640" t="inlineStr">
        <is>
          <t>1 октября</t>
        </is>
      </c>
      <c r="N265" s="640" t="n"/>
      <c r="O265" s="640">
        <f>IF(AND(N265=1,L265=1),K265,"")</f>
        <v/>
      </c>
      <c r="P265" s="642" t="inlineStr">
        <is>
          <t>Московская область, Сергиево-Посадский муниципальный район, сельское поселение Лозовское, д. Варавино, д. 50</t>
        </is>
      </c>
      <c r="Q265" s="640" t="n">
        <v>56.23287</v>
      </c>
      <c r="R265" s="422" t="n">
        <v>38.13743</v>
      </c>
      <c r="S265" s="438" t="n"/>
      <c r="T265" s="438" t="n"/>
      <c r="U265" s="438" t="n"/>
      <c r="V265" s="438">
        <f>IF(AND(N265=1,U265=1),C265,"")</f>
        <v/>
      </c>
      <c r="W265" s="387" t="n"/>
      <c r="X265" s="1" t="n"/>
      <c r="Y265" s="1" t="n"/>
    </row>
    <row r="266" hidden="1" ht="16.05" customHeight="1">
      <c r="A266" s="13" t="n">
        <v>319</v>
      </c>
      <c r="B266" s="125" t="inlineStr">
        <is>
          <t>WF</t>
        </is>
      </c>
      <c r="C266" s="130" t="inlineStr">
        <is>
          <t>Москва</t>
        </is>
      </c>
      <c r="D266" s="130" t="inlineStr">
        <is>
          <t>Дмитров</t>
        </is>
      </c>
      <c r="E266" s="130" t="inlineStr">
        <is>
          <t>А104</t>
        </is>
      </c>
      <c r="F266" s="130" t="inlineStr">
        <is>
          <t>АЗС</t>
        </is>
      </c>
      <c r="G266" s="130" t="inlineStr">
        <is>
          <t>Лукойл</t>
        </is>
      </c>
      <c r="H266" s="131" t="inlineStr">
        <is>
          <t>LUK_231</t>
        </is>
      </c>
      <c r="I266" s="637" t="n">
        <v>50231</v>
      </c>
      <c r="J266" s="402" t="inlineStr">
        <is>
          <t>MSK_LUK_0231</t>
        </is>
      </c>
      <c r="K266" s="640" t="n">
        <v>1</v>
      </c>
      <c r="L266" s="640" t="n">
        <v>0</v>
      </c>
      <c r="M266" s="640" t="inlineStr">
        <is>
          <t>1 октября</t>
        </is>
      </c>
      <c r="N266" s="640" t="n"/>
      <c r="O266" s="640">
        <f>IF(AND(N266=1,L266=1),K266,"")</f>
        <v/>
      </c>
      <c r="P266" s="642" t="inlineStr">
        <is>
          <t>Московская область, г. Дмитров, ул. Бирлово поле, владение 27</t>
        </is>
      </c>
      <c r="Q266" s="640" t="n">
        <v>56.337771</v>
      </c>
      <c r="R266" s="422" t="n">
        <v>37.555714</v>
      </c>
      <c r="S266" s="438" t="n"/>
      <c r="T266" s="438" t="n"/>
      <c r="U266" s="438" t="n"/>
      <c r="V266" s="438">
        <f>IF(AND(N266=1,U266=1),C266,"")</f>
        <v/>
      </c>
      <c r="X266" s="1" t="n"/>
      <c r="Y266" s="1" t="n"/>
      <c r="Z266" s="1" t="n"/>
    </row>
    <row r="267" hidden="1" ht="16.05" customFormat="1" customHeight="1" s="126">
      <c r="A267" s="125" t="n">
        <v>320</v>
      </c>
      <c r="B267" s="125" t="inlineStr">
        <is>
          <t>WF</t>
        </is>
      </c>
      <c r="C267" s="130" t="inlineStr">
        <is>
          <t>Москва</t>
        </is>
      </c>
      <c r="D267" s="130" t="inlineStr">
        <is>
          <t>Московская область</t>
        </is>
      </c>
      <c r="E267" s="130" t="inlineStr">
        <is>
          <t>М1</t>
        </is>
      </c>
      <c r="F267" s="130" t="inlineStr">
        <is>
          <t>АЗС</t>
        </is>
      </c>
      <c r="G267" s="130" t="inlineStr">
        <is>
          <t>Лукойл</t>
        </is>
      </c>
      <c r="H267" s="131" t="inlineStr">
        <is>
          <t>LUK_232</t>
        </is>
      </c>
      <c r="I267" s="637" t="n">
        <v>50232</v>
      </c>
      <c r="J267" s="402" t="inlineStr">
        <is>
          <t>MSK_LUK_0232</t>
        </is>
      </c>
      <c r="K267" s="640" t="n">
        <v>1</v>
      </c>
      <c r="L267" s="640" t="n">
        <v>0</v>
      </c>
      <c r="M267" s="640" t="inlineStr">
        <is>
          <t>1 октября</t>
        </is>
      </c>
      <c r="N267" s="640" t="n"/>
      <c r="O267" s="640">
        <f>IF(AND(N267=1,L267=1),K267,"")</f>
        <v/>
      </c>
      <c r="P267" s="642" t="inlineStr">
        <is>
          <t>Московская область, Одинцовский район, городское поселение Кубинка, г. Кубинка, Можайское шоссе, 79-а</t>
        </is>
      </c>
      <c r="Q267" s="640" t="n">
        <v>55.57383</v>
      </c>
      <c r="R267" s="422" t="n">
        <v>36.71717</v>
      </c>
      <c r="S267" s="438" t="n"/>
      <c r="T267" s="438" t="n"/>
      <c r="U267" s="438" t="n"/>
      <c r="V267" s="438">
        <f>IF(AND(N267=1,U267=1),C267,"")</f>
        <v/>
      </c>
      <c r="W267" s="387" t="n"/>
      <c r="X267" s="1" t="n"/>
      <c r="Y267" s="1" t="n"/>
    </row>
    <row r="268" hidden="1" ht="16.05" customFormat="1" customHeight="1" s="126">
      <c r="A268" s="125" t="n">
        <v>321</v>
      </c>
      <c r="B268" s="125" t="inlineStr">
        <is>
          <t>WF</t>
        </is>
      </c>
      <c r="C268" s="130" t="inlineStr">
        <is>
          <t>Москва</t>
        </is>
      </c>
      <c r="D268" s="130" t="inlineStr">
        <is>
          <t>Московская область</t>
        </is>
      </c>
      <c r="E268" s="130" t="inlineStr">
        <is>
          <t>М4</t>
        </is>
      </c>
      <c r="F268" s="130" t="inlineStr">
        <is>
          <t>АЗС</t>
        </is>
      </c>
      <c r="G268" s="130" t="inlineStr">
        <is>
          <t>Лукойл</t>
        </is>
      </c>
      <c r="H268" s="131" t="inlineStr">
        <is>
          <t>LUK_234</t>
        </is>
      </c>
      <c r="I268" s="637" t="n">
        <v>50234</v>
      </c>
      <c r="J268" s="402" t="inlineStr">
        <is>
          <t>MSK_LUK_0234</t>
        </is>
      </c>
      <c r="K268" s="640" t="n">
        <v>1</v>
      </c>
      <c r="L268" s="640" t="n">
        <v>0</v>
      </c>
      <c r="M268" s="640" t="inlineStr">
        <is>
          <t>1 октября</t>
        </is>
      </c>
      <c r="N268" s="640" t="n"/>
      <c r="O268" s="640">
        <f>IF(AND(N268=1,L268=1),K268,"")</f>
        <v/>
      </c>
      <c r="P268" s="642" t="inlineStr">
        <is>
          <t>Московская область, Домодедовский район, М-4 68 км, стр. 1</t>
        </is>
      </c>
      <c r="Q268" s="640" t="n">
        <v>55.18431</v>
      </c>
      <c r="R268" s="422" t="n">
        <v>37.90307</v>
      </c>
      <c r="S268" s="438" t="n"/>
      <c r="T268" s="438" t="n"/>
      <c r="U268" s="438" t="n"/>
      <c r="V268" s="438">
        <f>IF(AND(N268=1,U268=1),C268,"")</f>
        <v/>
      </c>
      <c r="W268" s="387" t="n"/>
      <c r="X268" s="1" t="n"/>
      <c r="Y268" s="1" t="n"/>
    </row>
    <row r="269" hidden="1" ht="16.05" customFormat="1" customHeight="1" s="126">
      <c r="A269" s="125" t="n">
        <v>322</v>
      </c>
      <c r="B269" s="125" t="inlineStr">
        <is>
          <t>WF</t>
        </is>
      </c>
      <c r="C269" s="130" t="inlineStr">
        <is>
          <t>Москва</t>
        </is>
      </c>
      <c r="D269" s="130" t="inlineStr">
        <is>
          <t>Московская область</t>
        </is>
      </c>
      <c r="E269" s="130" t="inlineStr">
        <is>
          <t>А104</t>
        </is>
      </c>
      <c r="F269" s="130" t="inlineStr">
        <is>
          <t>АЗС</t>
        </is>
      </c>
      <c r="G269" s="130" t="inlineStr">
        <is>
          <t>Лукойл</t>
        </is>
      </c>
      <c r="H269" s="131" t="inlineStr">
        <is>
          <t>LUK_235</t>
        </is>
      </c>
      <c r="I269" s="637" t="n">
        <v>50235</v>
      </c>
      <c r="J269" s="402" t="inlineStr">
        <is>
          <t>MSK_LUK_0235</t>
        </is>
      </c>
      <c r="K269" s="640" t="n">
        <v>1</v>
      </c>
      <c r="L269" s="640" t="n">
        <v>0</v>
      </c>
      <c r="M269" s="640" t="inlineStr">
        <is>
          <t>1 октября</t>
        </is>
      </c>
      <c r="N269" s="640" t="n"/>
      <c r="O269" s="640">
        <f>IF(AND(N269=1,L269=1),K269,"")</f>
        <v/>
      </c>
      <c r="P269" s="642" t="inlineStr">
        <is>
          <t>Московская область, Дмитровский район, в районе д. Ермолино</t>
        </is>
      </c>
      <c r="Q269" s="640" t="n">
        <v>56.143857</v>
      </c>
      <c r="R269" s="422" t="n">
        <v>37.491569</v>
      </c>
      <c r="S269" s="438" t="n"/>
      <c r="T269" s="438" t="n"/>
      <c r="U269" s="438" t="n"/>
      <c r="V269" s="438">
        <f>IF(AND(N269=1,U269=1),C269,"")</f>
        <v/>
      </c>
      <c r="W269" s="387" t="n"/>
      <c r="X269" s="1" t="n"/>
      <c r="Y269" s="1" t="n"/>
    </row>
    <row r="270" hidden="1" ht="16.05" customFormat="1" customHeight="1" s="126">
      <c r="A270" s="125" t="n">
        <v>323</v>
      </c>
      <c r="B270" s="125" t="inlineStr">
        <is>
          <t>WF</t>
        </is>
      </c>
      <c r="C270" s="130" t="inlineStr">
        <is>
          <t>Москва</t>
        </is>
      </c>
      <c r="D270" s="130" t="inlineStr">
        <is>
          <t>Московская область</t>
        </is>
      </c>
      <c r="E270" s="130" t="inlineStr">
        <is>
          <t>М8</t>
        </is>
      </c>
      <c r="F270" s="130" t="inlineStr">
        <is>
          <t>АЗС</t>
        </is>
      </c>
      <c r="G270" s="130" t="inlineStr">
        <is>
          <t>Лукойл</t>
        </is>
      </c>
      <c r="H270" s="131" t="inlineStr">
        <is>
          <t>LUK_236</t>
        </is>
      </c>
      <c r="I270" s="637" t="n">
        <v>50236</v>
      </c>
      <c r="J270" s="402" t="inlineStr">
        <is>
          <t>MSK_LUK_0236</t>
        </is>
      </c>
      <c r="K270" s="640" t="n">
        <v>1</v>
      </c>
      <c r="L270" s="640" t="n">
        <v>0</v>
      </c>
      <c r="M270" s="640" t="inlineStr">
        <is>
          <t>1 октября</t>
        </is>
      </c>
      <c r="N270" s="640" t="n"/>
      <c r="O270" s="640">
        <f>IF(AND(N270=1,L270=1),K270,"")</f>
        <v/>
      </c>
      <c r="P270" s="642" t="inlineStr">
        <is>
          <t>Российская Федерация, Московская область, Сергиево-Посадский муниципальный район, сельское поселение Березняковское, 78 км автодороги М-8 "Холмогоры", зд. 1</t>
        </is>
      </c>
      <c r="Q270" s="640" t="n">
        <v>56.320918</v>
      </c>
      <c r="R270" s="422" t="n">
        <v>38.248972</v>
      </c>
      <c r="S270" s="438" t="n"/>
      <c r="T270" s="438" t="n"/>
      <c r="U270" s="438" t="n"/>
      <c r="V270" s="438">
        <f>IF(AND(N270=1,U270=1),C270,"")</f>
        <v/>
      </c>
      <c r="W270" s="387" t="n"/>
      <c r="X270" s="1" t="n"/>
      <c r="Y270" s="1" t="n"/>
    </row>
    <row r="271" hidden="1" ht="16.05" customFormat="1" customHeight="1" s="126">
      <c r="A271" s="125" t="n">
        <v>324</v>
      </c>
      <c r="B271" s="125" t="inlineStr">
        <is>
          <t>WF</t>
        </is>
      </c>
      <c r="C271" s="130" t="inlineStr">
        <is>
          <t>Москва</t>
        </is>
      </c>
      <c r="D271" s="130" t="inlineStr">
        <is>
          <t>Московская область</t>
        </is>
      </c>
      <c r="E271" s="130" t="inlineStr">
        <is>
          <t>М2</t>
        </is>
      </c>
      <c r="F271" s="130" t="inlineStr">
        <is>
          <t>АЗС</t>
        </is>
      </c>
      <c r="G271" s="130" t="inlineStr">
        <is>
          <t>Лукойл</t>
        </is>
      </c>
      <c r="H271" s="131" t="inlineStr">
        <is>
          <t>LUK_238</t>
        </is>
      </c>
      <c r="I271" s="637" t="n">
        <v>50238</v>
      </c>
      <c r="J271" s="402" t="inlineStr">
        <is>
          <t>MSK_LUK_0238</t>
        </is>
      </c>
      <c r="K271" s="640" t="n">
        <v>1</v>
      </c>
      <c r="L271" s="640" t="n">
        <v>0</v>
      </c>
      <c r="M271" s="640" t="inlineStr">
        <is>
          <t>1 октября</t>
        </is>
      </c>
      <c r="N271" s="640" t="n"/>
      <c r="O271" s="640">
        <f>IF(AND(N271=1,L271=1),K271,"")</f>
        <v/>
      </c>
      <c r="P271" s="642" t="inlineStr">
        <is>
          <t>Московская область, городской округ Подольск, деревня Быковка, 32-й километр автомагистрали М-2 "Крым", дом 2</t>
        </is>
      </c>
      <c r="Q271" s="640" t="n">
        <v>55.474409</v>
      </c>
      <c r="R271" s="422" t="n">
        <v>37.617009</v>
      </c>
      <c r="S271" s="438" t="n"/>
      <c r="T271" s="438" t="n"/>
      <c r="U271" s="438" t="n"/>
      <c r="V271" s="438">
        <f>IF(AND(N271=1,U271=1),C271,"")</f>
        <v/>
      </c>
      <c r="W271" s="387" t="n"/>
      <c r="X271" s="1" t="n"/>
      <c r="Y271" s="1" t="n"/>
    </row>
    <row r="272" hidden="1" ht="16.05" customFormat="1" customHeight="1" s="126">
      <c r="A272" s="125" t="n">
        <v>325</v>
      </c>
      <c r="B272" s="125" t="inlineStr">
        <is>
          <t>WF</t>
        </is>
      </c>
      <c r="C272" s="130" t="inlineStr">
        <is>
          <t>Москва</t>
        </is>
      </c>
      <c r="D272" s="130" t="inlineStr">
        <is>
          <t>Домодедово</t>
        </is>
      </c>
      <c r="E272" s="130" t="inlineStr">
        <is>
          <t>М4</t>
        </is>
      </c>
      <c r="F272" s="130" t="inlineStr">
        <is>
          <t>АЗС</t>
        </is>
      </c>
      <c r="G272" s="130" t="inlineStr">
        <is>
          <t>Лукойл</t>
        </is>
      </c>
      <c r="H272" s="131" t="inlineStr">
        <is>
          <t>LUK_239</t>
        </is>
      </c>
      <c r="I272" s="637" t="n">
        <v>50239</v>
      </c>
      <c r="J272" s="402" t="inlineStr">
        <is>
          <t>MSK_LUK_0239</t>
        </is>
      </c>
      <c r="K272" s="640" t="n">
        <v>2</v>
      </c>
      <c r="L272" s="640" t="n">
        <v>0</v>
      </c>
      <c r="M272" s="640" t="inlineStr">
        <is>
          <t>1 октября</t>
        </is>
      </c>
      <c r="N272" s="640" t="n"/>
      <c r="O272" s="640">
        <f>IF(AND(N272=1,L272=1),K272,"")</f>
        <v/>
      </c>
      <c r="P272" s="642" t="inlineStr">
        <is>
          <t>Московская область, г. Домодедово, с. Ям</t>
        </is>
      </c>
      <c r="Q272" s="640" t="n">
        <v>55.477767</v>
      </c>
      <c r="R272" s="422" t="n">
        <v>37.746731</v>
      </c>
      <c r="S272" s="438" t="n"/>
      <c r="T272" s="325" t="n"/>
      <c r="U272" s="325" t="n"/>
      <c r="V272" s="438">
        <f>IF(AND(N272=1,U272=1),C272,"")</f>
        <v/>
      </c>
      <c r="W272" s="387" t="n"/>
      <c r="X272" s="1" t="n"/>
      <c r="Y272" s="1" t="n"/>
    </row>
    <row r="273" hidden="1" ht="16.05" customFormat="1" customHeight="1" s="126">
      <c r="A273" s="125" t="n">
        <v>327</v>
      </c>
      <c r="B273" s="125" t="inlineStr">
        <is>
          <t>WF</t>
        </is>
      </c>
      <c r="C273" s="130" t="inlineStr">
        <is>
          <t>Москва</t>
        </is>
      </c>
      <c r="D273" s="130" t="inlineStr">
        <is>
          <t>Московская область</t>
        </is>
      </c>
      <c r="E273" s="130" t="inlineStr">
        <is>
          <t>М2</t>
        </is>
      </c>
      <c r="F273" s="130" t="inlineStr">
        <is>
          <t>АЗС</t>
        </is>
      </c>
      <c r="G273" s="130" t="inlineStr">
        <is>
          <t>Лукойл</t>
        </is>
      </c>
      <c r="H273" s="131" t="inlineStr">
        <is>
          <t>LUK_240</t>
        </is>
      </c>
      <c r="I273" s="637" t="n">
        <v>50240</v>
      </c>
      <c r="J273" s="402" t="inlineStr">
        <is>
          <t>MSK_LUK_0240</t>
        </is>
      </c>
      <c r="K273" s="640" t="n">
        <v>1</v>
      </c>
      <c r="L273" s="640" t="n">
        <v>0</v>
      </c>
      <c r="M273" s="640" t="inlineStr">
        <is>
          <t>1 октября</t>
        </is>
      </c>
      <c r="N273" s="640" t="n"/>
      <c r="O273" s="640">
        <f>IF(AND(N273=1,L273=1),K273,"")</f>
        <v/>
      </c>
      <c r="P273" s="642" t="inlineStr">
        <is>
          <t>Российская Федерация, Московская область, городской округ Подольск, 31-й километр автомагистрали М-2 "Крым", 1б</t>
        </is>
      </c>
      <c r="Q273" s="640" t="n">
        <v>55.485607</v>
      </c>
      <c r="R273" s="422" t="n">
        <v>37.612568</v>
      </c>
      <c r="S273" s="438" t="n"/>
      <c r="T273" s="438" t="n"/>
      <c r="U273" s="438" t="n"/>
      <c r="V273" s="438">
        <f>IF(AND(N273=1,U273=1),C273,"")</f>
        <v/>
      </c>
      <c r="W273" s="387" t="n"/>
      <c r="X273" s="1" t="n"/>
      <c r="Y273" s="1" t="n"/>
    </row>
    <row r="274" hidden="1" ht="16.05" customFormat="1" customHeight="1" s="126">
      <c r="A274" s="125" t="n">
        <v>328</v>
      </c>
      <c r="B274" s="125" t="inlineStr">
        <is>
          <t>WF</t>
        </is>
      </c>
      <c r="C274" s="130" t="inlineStr">
        <is>
          <t>Москва</t>
        </is>
      </c>
      <c r="D274" s="130" t="inlineStr">
        <is>
          <t>Московская область</t>
        </is>
      </c>
      <c r="E274" s="130" t="inlineStr">
        <is>
          <t>М5</t>
        </is>
      </c>
      <c r="F274" s="130" t="inlineStr">
        <is>
          <t>АЗС</t>
        </is>
      </c>
      <c r="G274" s="130" t="inlineStr">
        <is>
          <t>Лукойл</t>
        </is>
      </c>
      <c r="H274" s="131" t="inlineStr">
        <is>
          <t>LUK_241</t>
        </is>
      </c>
      <c r="I274" s="637" t="n">
        <v>50241</v>
      </c>
      <c r="J274" s="402" t="inlineStr">
        <is>
          <t>MSK_LUK_0241</t>
        </is>
      </c>
      <c r="K274" s="640" t="n">
        <v>1</v>
      </c>
      <c r="L274" s="640" t="n">
        <v>0</v>
      </c>
      <c r="M274" s="640" t="inlineStr">
        <is>
          <t>1 октября</t>
        </is>
      </c>
      <c r="N274" s="640" t="n"/>
      <c r="O274" s="640">
        <f>IF(AND(N274=1,L274=1),K274,"")</f>
        <v/>
      </c>
      <c r="P274" s="642" t="inlineStr">
        <is>
          <t>Московская область, р-н Раменский, с/п Софьинское, д. Становое</t>
        </is>
      </c>
      <c r="Q274" s="640" t="n">
        <v>55.503119</v>
      </c>
      <c r="R274" s="422" t="n">
        <v>38.142064</v>
      </c>
      <c r="S274" s="438" t="n"/>
      <c r="T274" s="438" t="n"/>
      <c r="U274" s="438" t="n"/>
      <c r="V274" s="438">
        <f>IF(AND(N274=1,U274=1),C274,"")</f>
        <v/>
      </c>
      <c r="W274" s="387" t="n"/>
      <c r="X274" s="1" t="n"/>
      <c r="Y274" s="1" t="n"/>
    </row>
    <row r="275" hidden="1" ht="16.05" customFormat="1" customHeight="1" s="126">
      <c r="A275" s="125" t="n">
        <v>329</v>
      </c>
      <c r="B275" s="125" t="inlineStr">
        <is>
          <t>WF</t>
        </is>
      </c>
      <c r="C275" s="130" t="inlineStr">
        <is>
          <t>Москва</t>
        </is>
      </c>
      <c r="D275" s="130" t="inlineStr">
        <is>
          <t>Московская область</t>
        </is>
      </c>
      <c r="E275" s="130" t="inlineStr">
        <is>
          <t>М9</t>
        </is>
      </c>
      <c r="F275" s="130" t="inlineStr">
        <is>
          <t>АЗС</t>
        </is>
      </c>
      <c r="G275" s="130" t="inlineStr">
        <is>
          <t>Лукойл</t>
        </is>
      </c>
      <c r="H275" s="131" t="inlineStr">
        <is>
          <t>LUK_242</t>
        </is>
      </c>
      <c r="I275" s="637" t="n">
        <v>50242</v>
      </c>
      <c r="J275" s="402" t="inlineStr">
        <is>
          <t>MSK_LUK_0242</t>
        </is>
      </c>
      <c r="K275" s="640" t="n">
        <v>1</v>
      </c>
      <c r="L275" s="640" t="n">
        <v>0</v>
      </c>
      <c r="M275" s="640" t="inlineStr">
        <is>
          <t>1 октября</t>
        </is>
      </c>
      <c r="N275" s="640" t="n"/>
      <c r="O275" s="640">
        <f>IF(AND(N275=1,L275=1),K275,"")</f>
        <v/>
      </c>
      <c r="P275" s="642" t="inlineStr">
        <is>
          <t>Российская Федерация, Московская область, Истринский район, с/п Ядроминское, д вблизи Веретенки</t>
        </is>
      </c>
      <c r="Q275" s="640" t="n">
        <v>55.917387</v>
      </c>
      <c r="R275" s="422" t="n">
        <v>36.596686</v>
      </c>
      <c r="S275" s="438" t="n"/>
      <c r="T275" s="438" t="n"/>
      <c r="U275" s="438" t="n"/>
      <c r="V275" s="438">
        <f>IF(AND(N275=1,U275=1),C275,"")</f>
        <v/>
      </c>
      <c r="W275" s="387" t="n"/>
      <c r="X275" s="1" t="n"/>
      <c r="Y275" s="1" t="n"/>
    </row>
    <row r="276" hidden="1" ht="16.05" customFormat="1" customHeight="1" s="126">
      <c r="A276" s="125" t="n">
        <v>330</v>
      </c>
      <c r="B276" s="125" t="inlineStr">
        <is>
          <t>WF</t>
        </is>
      </c>
      <c r="C276" s="130" t="inlineStr">
        <is>
          <t>Москва</t>
        </is>
      </c>
      <c r="D276" s="130" t="inlineStr">
        <is>
          <t>Московская область</t>
        </is>
      </c>
      <c r="E276" s="130" t="inlineStr">
        <is>
          <t>М9</t>
        </is>
      </c>
      <c r="F276" s="130" t="inlineStr">
        <is>
          <t>АЗС</t>
        </is>
      </c>
      <c r="G276" s="130" t="inlineStr">
        <is>
          <t>Лукойл</t>
        </is>
      </c>
      <c r="H276" s="131" t="inlineStr">
        <is>
          <t>LUK_243</t>
        </is>
      </c>
      <c r="I276" s="637" t="n">
        <v>50243</v>
      </c>
      <c r="J276" s="402" t="inlineStr">
        <is>
          <t>MSK_LUK_0243</t>
        </is>
      </c>
      <c r="K276" s="640" t="n">
        <v>1</v>
      </c>
      <c r="L276" s="640" t="n">
        <v>0</v>
      </c>
      <c r="M276" s="640" t="inlineStr">
        <is>
          <t>1 октября</t>
        </is>
      </c>
      <c r="N276" s="640" t="n"/>
      <c r="O276" s="640">
        <f>IF(AND(N276=1,L276=1),K276,"")</f>
        <v/>
      </c>
      <c r="P276" s="642" t="inlineStr">
        <is>
          <t>Российская Федерация, Московская область, Истринский район, с/п Новопетровское, вблизи деревни Кореньки</t>
        </is>
      </c>
      <c r="Q276" s="640" t="n">
        <v>55.976784</v>
      </c>
      <c r="R276" s="422" t="n">
        <v>36.472635</v>
      </c>
      <c r="S276" s="438" t="n"/>
      <c r="T276" s="438" t="n"/>
      <c r="U276" s="438" t="n"/>
      <c r="V276" s="438">
        <f>IF(AND(N276=1,U276=1),C276,"")</f>
        <v/>
      </c>
      <c r="W276" s="387" t="n"/>
      <c r="X276" s="1" t="n"/>
      <c r="Y276" s="1" t="n"/>
    </row>
    <row r="277" hidden="1" ht="16.05" customFormat="1" customHeight="1" s="126">
      <c r="A277" s="125" t="n">
        <v>331</v>
      </c>
      <c r="B277" s="125" t="inlineStr">
        <is>
          <t>WF</t>
        </is>
      </c>
      <c r="C277" s="130" t="inlineStr">
        <is>
          <t>Москва</t>
        </is>
      </c>
      <c r="D277" s="130" t="inlineStr">
        <is>
          <t>Домодедово</t>
        </is>
      </c>
      <c r="E277" s="130" t="inlineStr">
        <is>
          <t>М4</t>
        </is>
      </c>
      <c r="F277" s="130" t="inlineStr">
        <is>
          <t>АЗС</t>
        </is>
      </c>
      <c r="G277" s="130" t="inlineStr">
        <is>
          <t>Лукойл</t>
        </is>
      </c>
      <c r="H277" s="131" t="inlineStr">
        <is>
          <t>LUK_244</t>
        </is>
      </c>
      <c r="I277" s="637" t="n">
        <v>50244</v>
      </c>
      <c r="J277" s="402" t="inlineStr">
        <is>
          <t>MSK_LUK_0244</t>
        </is>
      </c>
      <c r="K277" s="640" t="n">
        <v>1</v>
      </c>
      <c r="L277" s="640" t="n">
        <v>0</v>
      </c>
      <c r="M277" s="640" t="inlineStr">
        <is>
          <t>1 октября</t>
        </is>
      </c>
      <c r="N277" s="640" t="n"/>
      <c r="O277" s="640">
        <f>IF(AND(N277=1,L277=1),K277,"")</f>
        <v/>
      </c>
      <c r="P277" s="642" t="inlineStr">
        <is>
          <t>Московская область, г. Домодедово, мкр. Белые Столбы</t>
        </is>
      </c>
      <c r="Q277" s="640" t="n">
        <v>55.288808</v>
      </c>
      <c r="R277" s="422" t="n">
        <v>37.852039</v>
      </c>
      <c r="S277" s="438" t="n"/>
      <c r="T277" s="438" t="n"/>
      <c r="U277" s="438" t="n"/>
      <c r="V277" s="438">
        <f>IF(AND(N277=1,U277=1),C277,"")</f>
        <v/>
      </c>
      <c r="W277" s="387" t="n"/>
      <c r="X277" s="1" t="n"/>
      <c r="Y277" s="1" t="n"/>
    </row>
    <row r="278" hidden="1" ht="16.05" customFormat="1" customHeight="1" s="126">
      <c r="A278" s="125" t="n">
        <v>332</v>
      </c>
      <c r="B278" s="125" t="inlineStr">
        <is>
          <t>WF</t>
        </is>
      </c>
      <c r="C278" s="130" t="inlineStr">
        <is>
          <t>Москва</t>
        </is>
      </c>
      <c r="D278" s="130" t="inlineStr">
        <is>
          <t>Балашиха</t>
        </is>
      </c>
      <c r="E278" s="130" t="inlineStr">
        <is>
          <t>М7</t>
        </is>
      </c>
      <c r="F278" s="130" t="inlineStr">
        <is>
          <t>АЗС</t>
        </is>
      </c>
      <c r="G278" s="130" t="inlineStr">
        <is>
          <t>Лукойл</t>
        </is>
      </c>
      <c r="H278" s="131" t="inlineStr">
        <is>
          <t>LUK_246</t>
        </is>
      </c>
      <c r="I278" s="637" t="n">
        <v>50246</v>
      </c>
      <c r="J278" s="402" t="inlineStr">
        <is>
          <t>MSK_LUK_0246</t>
        </is>
      </c>
      <c r="K278" s="640" t="n">
        <v>1</v>
      </c>
      <c r="L278" s="640" t="n">
        <v>0</v>
      </c>
      <c r="M278" s="640" t="inlineStr">
        <is>
          <t>1 октября</t>
        </is>
      </c>
      <c r="N278" s="640" t="n"/>
      <c r="O278" s="640">
        <f>IF(AND(N278=1,L278=1),K278,"")</f>
        <v/>
      </c>
      <c r="P278" s="642" t="inlineStr">
        <is>
          <t>Российская Федерация, Московская область, г. Балашиха ул. Советская 27вл1</t>
        </is>
      </c>
      <c r="Q278" s="640" t="n">
        <v>55.811777</v>
      </c>
      <c r="R278" s="422" t="n">
        <v>37.952567</v>
      </c>
      <c r="S278" s="438" t="n"/>
      <c r="T278" s="438" t="n"/>
      <c r="U278" s="438" t="n"/>
      <c r="V278" s="438">
        <f>IF(AND(N278=1,U278=1),C278,"")</f>
        <v/>
      </c>
      <c r="W278" s="387" t="n"/>
      <c r="X278" s="1" t="n"/>
      <c r="Y278" s="1" t="n"/>
    </row>
    <row r="279" hidden="1" ht="16.05" customFormat="1" customHeight="1" s="126">
      <c r="A279" s="125" t="n">
        <v>333</v>
      </c>
      <c r="B279" s="125" t="inlineStr">
        <is>
          <t>WF</t>
        </is>
      </c>
      <c r="C279" s="130" t="inlineStr">
        <is>
          <t>Москва</t>
        </is>
      </c>
      <c r="D279" s="130" t="inlineStr">
        <is>
          <t>Московская область</t>
        </is>
      </c>
      <c r="E279" s="130" t="inlineStr">
        <is>
          <t>М4</t>
        </is>
      </c>
      <c r="F279" s="130" t="inlineStr">
        <is>
          <t>АЗС</t>
        </is>
      </c>
      <c r="G279" s="130" t="inlineStr">
        <is>
          <t>Лукойл</t>
        </is>
      </c>
      <c r="H279" s="131" t="inlineStr">
        <is>
          <t>LUK_249</t>
        </is>
      </c>
      <c r="I279" s="637" t="n">
        <v>50249</v>
      </c>
      <c r="J279" s="402" t="inlineStr">
        <is>
          <t>MSK_LUK_0249</t>
        </is>
      </c>
      <c r="K279" s="640" t="n">
        <v>1</v>
      </c>
      <c r="L279" s="640" t="n">
        <v>0</v>
      </c>
      <c r="M279" s="640" t="inlineStr">
        <is>
          <t>1 октября</t>
        </is>
      </c>
      <c r="N279" s="640" t="n"/>
      <c r="O279" s="640">
        <f>IF(AND(N279=1,L279=1),K279,"")</f>
        <v/>
      </c>
      <c r="P279" s="642" t="inlineStr">
        <is>
          <t>Московская область, Раменский район, сельское поселение Ганусовское, вблизи д. Жирошкино</t>
        </is>
      </c>
      <c r="Q279" s="640" t="n">
        <v>55.36574</v>
      </c>
      <c r="R279" s="422" t="n">
        <v>38.043104</v>
      </c>
      <c r="S279" s="438" t="n"/>
      <c r="T279" s="438" t="n"/>
      <c r="U279" s="438" t="n"/>
      <c r="V279" s="438">
        <f>IF(AND(N279=1,U279=1),C279,"")</f>
        <v/>
      </c>
      <c r="W279" s="387" t="n"/>
      <c r="X279" s="1" t="n"/>
      <c r="Y279" s="1" t="n"/>
    </row>
    <row r="280" hidden="1" ht="16.05" customFormat="1" customHeight="1" s="126">
      <c r="A280" s="125" t="n">
        <v>334</v>
      </c>
      <c r="B280" s="125" t="inlineStr">
        <is>
          <t>WF</t>
        </is>
      </c>
      <c r="C280" s="130" t="inlineStr">
        <is>
          <t>Москва</t>
        </is>
      </c>
      <c r="D280" s="130" t="inlineStr">
        <is>
          <t>Московская область</t>
        </is>
      </c>
      <c r="E280" s="130" t="inlineStr">
        <is>
          <t>М5</t>
        </is>
      </c>
      <c r="F280" s="130" t="inlineStr">
        <is>
          <t>АЗС</t>
        </is>
      </c>
      <c r="G280" s="130" t="inlineStr">
        <is>
          <t>Лукойл</t>
        </is>
      </c>
      <c r="H280" s="131" t="inlineStr">
        <is>
          <t>LUK_250</t>
        </is>
      </c>
      <c r="I280" s="637" t="n">
        <v>50250</v>
      </c>
      <c r="J280" s="402" t="inlineStr">
        <is>
          <t>MSK_LUK_0250</t>
        </is>
      </c>
      <c r="K280" s="640" t="n">
        <v>1</v>
      </c>
      <c r="L280" s="640" t="n">
        <v>0</v>
      </c>
      <c r="M280" s="640" t="inlineStr">
        <is>
          <t>1 октября</t>
        </is>
      </c>
      <c r="N280" s="640" t="n"/>
      <c r="O280" s="640">
        <f>IF(AND(N280=1,L280=1),K280,"")</f>
        <v/>
      </c>
      <c r="P280" s="642" t="inlineStr">
        <is>
          <t>Российская Федерация, Московская область, Раменский район, сельское поселение Гжельское, вблизи д. Фенино</t>
        </is>
      </c>
      <c r="Q280" s="640" t="n">
        <v>55.574932</v>
      </c>
      <c r="R280" s="422" t="n">
        <v>38.390469</v>
      </c>
      <c r="S280" s="438" t="n"/>
      <c r="T280" s="438" t="n"/>
      <c r="U280" s="438" t="n"/>
      <c r="V280" s="438">
        <f>IF(AND(N280=1,U280=1),C280,"")</f>
        <v/>
      </c>
      <c r="W280" s="387" t="n"/>
      <c r="X280" s="1" t="n"/>
      <c r="Y280" s="1" t="n"/>
    </row>
    <row r="281" hidden="1" ht="16.05" customFormat="1" customHeight="1" s="126">
      <c r="A281" s="125" t="n">
        <v>335</v>
      </c>
      <c r="B281" s="125" t="inlineStr">
        <is>
          <t>WF</t>
        </is>
      </c>
      <c r="C281" s="130" t="inlineStr">
        <is>
          <t>Москва</t>
        </is>
      </c>
      <c r="D281" s="130" t="inlineStr">
        <is>
          <t>Московская область</t>
        </is>
      </c>
      <c r="E281" s="130" t="inlineStr">
        <is>
          <t>М7</t>
        </is>
      </c>
      <c r="F281" s="130" t="inlineStr">
        <is>
          <t>АЗС</t>
        </is>
      </c>
      <c r="G281" s="130" t="inlineStr">
        <is>
          <t>Лукойл</t>
        </is>
      </c>
      <c r="H281" s="131" t="inlineStr">
        <is>
          <t>LUK_253</t>
        </is>
      </c>
      <c r="I281" s="637" t="n">
        <v>50253</v>
      </c>
      <c r="J281" s="402" t="inlineStr">
        <is>
          <t>MSK_LUK_0253</t>
        </is>
      </c>
      <c r="K281" s="640" t="n">
        <v>1</v>
      </c>
      <c r="L281" s="640" t="n">
        <v>0</v>
      </c>
      <c r="M281" s="640" t="inlineStr">
        <is>
          <t>1 октября</t>
        </is>
      </c>
      <c r="N281" s="640" t="n"/>
      <c r="O281" s="640">
        <f>IF(AND(N281=1,L281=1),K281,"")</f>
        <v/>
      </c>
      <c r="P281" s="642" t="inlineStr">
        <is>
          <t>Московская область, город Электросталь, Ногинское шоссе, АЗС № 346</t>
        </is>
      </c>
      <c r="Q281" s="640" t="n">
        <v>55.81224</v>
      </c>
      <c r="R281" s="422" t="n">
        <v>38.427997</v>
      </c>
      <c r="S281" s="438" t="n"/>
      <c r="T281" s="438" t="n"/>
      <c r="U281" s="438" t="n"/>
      <c r="V281" s="438">
        <f>IF(AND(N281=1,U281=1),C281,"")</f>
        <v/>
      </c>
      <c r="W281" s="387" t="n"/>
      <c r="X281" s="1" t="n"/>
      <c r="Y281" s="1" t="n"/>
    </row>
    <row r="282" hidden="1" ht="16.05" customFormat="1" customHeight="1" s="126">
      <c r="A282" s="125" t="n">
        <v>336</v>
      </c>
      <c r="B282" s="125" t="inlineStr">
        <is>
          <t>WF</t>
        </is>
      </c>
      <c r="C282" s="130" t="inlineStr">
        <is>
          <t>Москва</t>
        </is>
      </c>
      <c r="D282" s="130" t="inlineStr">
        <is>
          <t>Московская область</t>
        </is>
      </c>
      <c r="E282" s="130" t="inlineStr">
        <is>
          <t>М7</t>
        </is>
      </c>
      <c r="F282" s="130" t="inlineStr">
        <is>
          <t>АЗС</t>
        </is>
      </c>
      <c r="G282" s="130" t="inlineStr">
        <is>
          <t>Лукойл</t>
        </is>
      </c>
      <c r="H282" s="131" t="inlineStr">
        <is>
          <t>LUK_254</t>
        </is>
      </c>
      <c r="I282" s="637" t="n">
        <v>50254</v>
      </c>
      <c r="J282" s="402" t="inlineStr">
        <is>
          <t>MSK_LUK_0254</t>
        </is>
      </c>
      <c r="K282" s="640" t="n">
        <v>1</v>
      </c>
      <c r="L282" s="640" t="n">
        <v>0</v>
      </c>
      <c r="M282" s="640" t="inlineStr">
        <is>
          <t>1 октября</t>
        </is>
      </c>
      <c r="N282" s="640" t="n"/>
      <c r="O282" s="640">
        <f>IF(AND(N282=1,L282=1),K282,"")</f>
        <v/>
      </c>
      <c r="P282" s="642" t="inlineStr">
        <is>
          <t>Московская область, Павлово-Посадский район, пос. Большие Дворы</t>
        </is>
      </c>
      <c r="Q282" s="640" t="n">
        <v>55.804767</v>
      </c>
      <c r="R282" s="422" t="n">
        <v>38.65153</v>
      </c>
      <c r="S282" s="438" t="n"/>
      <c r="T282" s="438" t="n"/>
      <c r="U282" s="438" t="n"/>
      <c r="V282" s="438">
        <f>IF(AND(N282=1,U282=1),C282,"")</f>
        <v/>
      </c>
      <c r="W282" s="387" t="n"/>
      <c r="X282" s="1" t="n"/>
      <c r="Y282" s="1" t="n"/>
    </row>
    <row r="283" hidden="1" ht="16.05" customFormat="1" customHeight="1" s="126">
      <c r="A283" s="125" t="n">
        <v>337</v>
      </c>
      <c r="B283" s="125" t="inlineStr">
        <is>
          <t>WF</t>
        </is>
      </c>
      <c r="C283" s="130" t="inlineStr">
        <is>
          <t>Москва</t>
        </is>
      </c>
      <c r="D283" s="130" t="inlineStr">
        <is>
          <t>Московская область</t>
        </is>
      </c>
      <c r="E283" s="130" t="inlineStr">
        <is>
          <t>М7</t>
        </is>
      </c>
      <c r="F283" s="130" t="inlineStr">
        <is>
          <t>АЗС</t>
        </is>
      </c>
      <c r="G283" s="130" t="inlineStr">
        <is>
          <t>Лукойл</t>
        </is>
      </c>
      <c r="H283" s="131" t="inlineStr">
        <is>
          <t>LUK_255</t>
        </is>
      </c>
      <c r="I283" s="637" t="n">
        <v>50255</v>
      </c>
      <c r="J283" s="402" t="inlineStr">
        <is>
          <t>MSK_LUK_0255</t>
        </is>
      </c>
      <c r="K283" s="640" t="n">
        <v>1</v>
      </c>
      <c r="L283" s="640" t="n">
        <v>0</v>
      </c>
      <c r="M283" s="640" t="inlineStr">
        <is>
          <t>1 октября</t>
        </is>
      </c>
      <c r="N283" s="640" t="n"/>
      <c r="O283" s="640">
        <f>IF(AND(N283=1,L283=1),K283,"")</f>
        <v/>
      </c>
      <c r="P283" s="642" t="inlineStr">
        <is>
          <t>Московская область, г. Железнодорожный, ул. Центральная, д. 44 В</t>
        </is>
      </c>
      <c r="Q283" s="640" t="n">
        <v>55.751424</v>
      </c>
      <c r="R283" s="422" t="n">
        <v>37.948788</v>
      </c>
      <c r="S283" s="438" t="n"/>
      <c r="T283" s="438" t="n"/>
      <c r="U283" s="438" t="n"/>
      <c r="V283" s="438">
        <f>IF(AND(N283=1,U283=1),C283,"")</f>
        <v/>
      </c>
      <c r="W283" s="387" t="n"/>
      <c r="X283" s="1" t="n"/>
      <c r="Y283" s="1" t="n"/>
    </row>
    <row r="284" hidden="1" ht="16.05" customFormat="1" customHeight="1" s="126">
      <c r="A284" s="125" t="n">
        <v>338</v>
      </c>
      <c r="B284" s="125" t="inlineStr">
        <is>
          <t>WF</t>
        </is>
      </c>
      <c r="C284" s="130" t="inlineStr">
        <is>
          <t>Москва</t>
        </is>
      </c>
      <c r="D284" s="130" t="inlineStr">
        <is>
          <t>Московская область</t>
        </is>
      </c>
      <c r="E284" s="130" t="inlineStr">
        <is>
          <t>М7</t>
        </is>
      </c>
      <c r="F284" s="130" t="inlineStr">
        <is>
          <t>АЗС</t>
        </is>
      </c>
      <c r="G284" s="130" t="inlineStr">
        <is>
          <t>Лукойл</t>
        </is>
      </c>
      <c r="H284" s="131" t="inlineStr">
        <is>
          <t>LUK_400</t>
        </is>
      </c>
      <c r="I284" s="637" t="n">
        <v>50400</v>
      </c>
      <c r="J284" s="402" t="inlineStr">
        <is>
          <t>MSK_LUK_0400</t>
        </is>
      </c>
      <c r="K284" s="640" t="n">
        <v>1</v>
      </c>
      <c r="L284" s="640" t="n">
        <v>0</v>
      </c>
      <c r="M284" s="640" t="inlineStr">
        <is>
          <t>1 октября</t>
        </is>
      </c>
      <c r="N284" s="640" t="n"/>
      <c r="O284" s="640">
        <f>IF(AND(N284=1,L284=1),K284,"")</f>
        <v/>
      </c>
      <c r="P284" s="642" t="inlineStr">
        <is>
          <t>Московская область, Орехово-Зуевский район, Малодубенский с.о., восточнее дер. Ожерелки</t>
        </is>
      </c>
      <c r="Q284" s="640" t="n">
        <v>55.8577</v>
      </c>
      <c r="R284" s="422" t="n">
        <v>38.88706</v>
      </c>
      <c r="S284" s="438" t="n"/>
      <c r="T284" s="438" t="n"/>
      <c r="U284" s="438" t="n"/>
      <c r="V284" s="438">
        <f>IF(AND(N284=1,U284=1),C284,"")</f>
        <v/>
      </c>
      <c r="W284" s="387" t="n"/>
      <c r="X284" s="1" t="n"/>
      <c r="Y284" s="1" t="n"/>
    </row>
    <row r="285" hidden="1" ht="16.05" customFormat="1" customHeight="1" s="126">
      <c r="A285" s="125" t="n">
        <v>339</v>
      </c>
      <c r="B285" s="125" t="inlineStr">
        <is>
          <t>WF</t>
        </is>
      </c>
      <c r="C285" s="130" t="inlineStr">
        <is>
          <t>Москва</t>
        </is>
      </c>
      <c r="D285" s="130" t="inlineStr">
        <is>
          <t>Московская область</t>
        </is>
      </c>
      <c r="E285" s="130" t="inlineStr">
        <is>
          <t>М8</t>
        </is>
      </c>
      <c r="F285" s="130" t="inlineStr">
        <is>
          <t>АЗС</t>
        </is>
      </c>
      <c r="G285" s="130" t="inlineStr">
        <is>
          <t>Лукойл</t>
        </is>
      </c>
      <c r="H285" s="131" t="inlineStr">
        <is>
          <t>LUK_401</t>
        </is>
      </c>
      <c r="I285" s="637" t="n">
        <v>50401</v>
      </c>
      <c r="J285" s="402" t="inlineStr">
        <is>
          <t>MSK_LUK_0401</t>
        </is>
      </c>
      <c r="K285" s="640" t="n">
        <v>1</v>
      </c>
      <c r="L285" s="640" t="n">
        <v>0</v>
      </c>
      <c r="M285" s="640" t="inlineStr">
        <is>
          <t>1 октября</t>
        </is>
      </c>
      <c r="N285" s="640" t="n"/>
      <c r="O285" s="640">
        <f>IF(AND(N285=1,L285=1),K285,"")</f>
        <v/>
      </c>
      <c r="P285" s="642" t="inlineStr">
        <is>
          <t>Московская область, Пушкинский район, 36 км Ярославского шоссе (левая сторона)</t>
        </is>
      </c>
      <c r="Q285" s="640" t="n">
        <v>56.02011</v>
      </c>
      <c r="R285" s="422" t="n">
        <v>37.88046</v>
      </c>
      <c r="S285" s="438" t="n"/>
      <c r="T285" s="438" t="n"/>
      <c r="U285" s="438" t="n"/>
      <c r="V285" s="438">
        <f>IF(AND(N285=1,U285=1),C285,"")</f>
        <v/>
      </c>
      <c r="W285" s="387" t="n"/>
      <c r="X285" s="1" t="n"/>
      <c r="Y285" s="1" t="n"/>
    </row>
    <row r="286" hidden="1" ht="16.05" customFormat="1" customHeight="1" s="126">
      <c r="A286" s="125" t="n">
        <v>340</v>
      </c>
      <c r="B286" s="125" t="inlineStr">
        <is>
          <t>WF</t>
        </is>
      </c>
      <c r="C286" s="130" t="inlineStr">
        <is>
          <t>Москва</t>
        </is>
      </c>
      <c r="D286" s="130" t="inlineStr">
        <is>
          <t>Московская область</t>
        </is>
      </c>
      <c r="E286" s="130" t="inlineStr">
        <is>
          <t>М8</t>
        </is>
      </c>
      <c r="F286" s="130" t="inlineStr">
        <is>
          <t>АЗС</t>
        </is>
      </c>
      <c r="G286" s="130" t="inlineStr">
        <is>
          <t>Лукойл</t>
        </is>
      </c>
      <c r="H286" s="131" t="inlineStr">
        <is>
          <t>LUK_402</t>
        </is>
      </c>
      <c r="I286" s="637" t="n">
        <v>50402</v>
      </c>
      <c r="J286" s="402" t="inlineStr">
        <is>
          <t>MSK_LUK_0402</t>
        </is>
      </c>
      <c r="K286" s="640" t="n">
        <v>1</v>
      </c>
      <c r="L286" s="640" t="n">
        <v>0</v>
      </c>
      <c r="M286" s="640" t="inlineStr">
        <is>
          <t>1 октября</t>
        </is>
      </c>
      <c r="N286" s="640" t="n"/>
      <c r="O286" s="640">
        <f>IF(AND(N286=1,L286=1),K286,"")</f>
        <v/>
      </c>
      <c r="P286" s="642" t="inlineStr">
        <is>
          <t>Московская область, Сергиево-Посадский муниципальный район, Городское поселение Скоропусковский, раб. пос. Скоропусковский, производственная зона, 4</t>
        </is>
      </c>
      <c r="Q286" s="640" t="n">
        <v>56.37391</v>
      </c>
      <c r="R286" s="422" t="n">
        <v>38.11595</v>
      </c>
      <c r="S286" s="438" t="n"/>
      <c r="T286" s="438" t="n"/>
      <c r="U286" s="438" t="n"/>
      <c r="V286" s="438">
        <f>IF(AND(N286=1,U286=1),C286,"")</f>
        <v/>
      </c>
      <c r="W286" s="387" t="n"/>
      <c r="X286" s="1" t="n"/>
      <c r="Y286" s="1" t="n"/>
    </row>
    <row r="287" hidden="1" ht="16.05" customFormat="1" customHeight="1" s="126">
      <c r="A287" s="125" t="n">
        <v>341</v>
      </c>
      <c r="B287" s="125" t="inlineStr">
        <is>
          <t>WF</t>
        </is>
      </c>
      <c r="C287" s="130" t="inlineStr">
        <is>
          <t>Москва</t>
        </is>
      </c>
      <c r="D287" s="130" t="inlineStr">
        <is>
          <t>Московская область</t>
        </is>
      </c>
      <c r="E287" s="130" t="inlineStr">
        <is>
          <t>М10</t>
        </is>
      </c>
      <c r="F287" s="130" t="inlineStr">
        <is>
          <t>АЗС</t>
        </is>
      </c>
      <c r="G287" s="130" t="inlineStr">
        <is>
          <t>Лукойл</t>
        </is>
      </c>
      <c r="H287" s="131" t="inlineStr">
        <is>
          <t>LUK_405</t>
        </is>
      </c>
      <c r="I287" s="637" t="n">
        <v>50405</v>
      </c>
      <c r="J287" s="402" t="inlineStr">
        <is>
          <t>MSK_LUK_0405</t>
        </is>
      </c>
      <c r="K287" s="640" t="n">
        <v>1</v>
      </c>
      <c r="L287" s="640" t="n">
        <v>0</v>
      </c>
      <c r="M287" s="640" t="inlineStr">
        <is>
          <t>1 октября</t>
        </is>
      </c>
      <c r="N287" s="640" t="n"/>
      <c r="O287" s="640">
        <f>IF(AND(N287=1,L287=1),K287,"")</f>
        <v/>
      </c>
      <c r="P287" s="642" t="inlineStr">
        <is>
          <t>Московская область, г. Химки, в районе 23 км, Ленинградского шоссе</t>
        </is>
      </c>
      <c r="Q287" s="640" t="n">
        <v>55.90916</v>
      </c>
      <c r="R287" s="422" t="n">
        <v>37.40735</v>
      </c>
      <c r="S287" s="438" t="n"/>
      <c r="T287" s="438" t="n"/>
      <c r="U287" s="438" t="n"/>
      <c r="V287" s="438">
        <f>IF(AND(N287=1,U287=1),C287,"")</f>
        <v/>
      </c>
      <c r="W287" s="387" t="n"/>
      <c r="X287" s="1" t="n"/>
      <c r="Y287" s="1" t="n"/>
    </row>
    <row r="288" hidden="1" ht="16.05" customFormat="1" customHeight="1" s="126">
      <c r="A288" s="125" t="n">
        <v>343</v>
      </c>
      <c r="B288" s="125" t="inlineStr">
        <is>
          <t>WF</t>
        </is>
      </c>
      <c r="C288" s="130" t="inlineStr">
        <is>
          <t>Москва</t>
        </is>
      </c>
      <c r="D288" s="130" t="inlineStr">
        <is>
          <t>Химки</t>
        </is>
      </c>
      <c r="E288" s="130" t="inlineStr">
        <is>
          <t>М10</t>
        </is>
      </c>
      <c r="F288" s="130" t="inlineStr">
        <is>
          <t>АЗС</t>
        </is>
      </c>
      <c r="G288" s="130" t="inlineStr">
        <is>
          <t>Лукойл</t>
        </is>
      </c>
      <c r="H288" s="131" t="inlineStr">
        <is>
          <t>LUK_406</t>
        </is>
      </c>
      <c r="I288" s="637" t="n">
        <v>50406</v>
      </c>
      <c r="J288" s="402" t="inlineStr">
        <is>
          <t>MSK_LUK_0406</t>
        </is>
      </c>
      <c r="K288" s="640" t="n">
        <v>1</v>
      </c>
      <c r="L288" s="640" t="n">
        <v>0</v>
      </c>
      <c r="M288" s="640" t="inlineStr">
        <is>
          <t>1 октября</t>
        </is>
      </c>
      <c r="N288" s="640" t="n"/>
      <c r="O288" s="640">
        <f>IF(AND(N288=1,L288=1),K288,"")</f>
        <v/>
      </c>
      <c r="P288" s="642" t="inlineStr">
        <is>
          <t>Московская область, г. Химки, Юбилейный просп., вблизи дома №77</t>
        </is>
      </c>
      <c r="Q288" s="640" t="n">
        <v>55.89752</v>
      </c>
      <c r="R288" s="422" t="n">
        <v>37.4085</v>
      </c>
      <c r="S288" s="438" t="n"/>
      <c r="T288" s="438" t="n"/>
      <c r="U288" s="438" t="n"/>
      <c r="V288" s="438">
        <f>IF(AND(N288=1,U288=1),C288,"")</f>
        <v/>
      </c>
      <c r="W288" s="387" t="n"/>
      <c r="X288" s="1" t="n"/>
      <c r="Y288" s="1" t="n"/>
    </row>
    <row r="289" hidden="1" ht="16.05" customFormat="1" customHeight="1" s="126">
      <c r="A289" s="125" t="n">
        <v>344</v>
      </c>
      <c r="B289" s="125" t="inlineStr">
        <is>
          <t>WF</t>
        </is>
      </c>
      <c r="C289" s="130" t="inlineStr">
        <is>
          <t>Москва</t>
        </is>
      </c>
      <c r="D289" s="130" t="inlineStr">
        <is>
          <t>Московская область</t>
        </is>
      </c>
      <c r="E289" s="130" t="inlineStr">
        <is>
          <t>М10</t>
        </is>
      </c>
      <c r="F289" s="130" t="inlineStr">
        <is>
          <t>АЗС</t>
        </is>
      </c>
      <c r="G289" s="130" t="inlineStr">
        <is>
          <t>Лукойл</t>
        </is>
      </c>
      <c r="H289" s="131" t="inlineStr">
        <is>
          <t>LUK_407</t>
        </is>
      </c>
      <c r="I289" s="637" t="n">
        <v>50407</v>
      </c>
      <c r="J289" s="402" t="inlineStr">
        <is>
          <t>MSK_LUK_0407</t>
        </is>
      </c>
      <c r="K289" s="640" t="n">
        <v>2</v>
      </c>
      <c r="L289" s="640" t="n">
        <v>0</v>
      </c>
      <c r="M289" s="640" t="inlineStr">
        <is>
          <t>1 октября</t>
        </is>
      </c>
      <c r="N289" s="640" t="n"/>
      <c r="O289" s="640">
        <f>IF(AND(N289=1,L289=1),K289,"")</f>
        <v/>
      </c>
      <c r="P289" s="642" t="inlineStr">
        <is>
          <t>Московская область, г. Химки, 78 км МКАД, вл. 1</t>
        </is>
      </c>
      <c r="Q289" s="640" t="n">
        <v>55.88955</v>
      </c>
      <c r="R289" s="422" t="n">
        <v>37.48833</v>
      </c>
      <c r="S289" s="438" t="n"/>
      <c r="T289" s="438" t="n"/>
      <c r="U289" s="438" t="n"/>
      <c r="V289" s="438">
        <f>IF(AND(N289=1,U289=1),C289,"")</f>
        <v/>
      </c>
      <c r="W289" s="387" t="n"/>
      <c r="X289" s="1" t="n"/>
      <c r="Y289" s="1" t="n"/>
    </row>
    <row r="290" hidden="1" ht="16.05" customFormat="1" customHeight="1" s="126">
      <c r="A290" s="125" t="n">
        <v>346</v>
      </c>
      <c r="B290" s="125" t="inlineStr">
        <is>
          <t>WF</t>
        </is>
      </c>
      <c r="C290" s="130" t="inlineStr">
        <is>
          <t>Москва</t>
        </is>
      </c>
      <c r="D290" s="130" t="inlineStr">
        <is>
          <t>Московская область</t>
        </is>
      </c>
      <c r="E290" s="130" t="inlineStr">
        <is>
          <t>М1</t>
        </is>
      </c>
      <c r="F290" s="130" t="inlineStr">
        <is>
          <t>АЗС</t>
        </is>
      </c>
      <c r="G290" s="130" t="inlineStr">
        <is>
          <t>Лукойл</t>
        </is>
      </c>
      <c r="H290" s="131" t="inlineStr">
        <is>
          <t>LUK_411</t>
        </is>
      </c>
      <c r="I290" s="637" t="n">
        <v>50411</v>
      </c>
      <c r="J290" s="402" t="inlineStr">
        <is>
          <t>MSK_LUK_0411</t>
        </is>
      </c>
      <c r="K290" s="640" t="n">
        <v>1</v>
      </c>
      <c r="L290" s="640" t="n">
        <v>0</v>
      </c>
      <c r="M290" s="640" t="inlineStr">
        <is>
          <t>1 октября</t>
        </is>
      </c>
      <c r="N290" s="640" t="n"/>
      <c r="O290" s="640">
        <f>IF(AND(N290=1,L290=1),K290,"")</f>
        <v/>
      </c>
      <c r="P290" s="642" t="inlineStr">
        <is>
          <t>Московская область, Одинцовский район, 18 км а/д Москва-Минск</t>
        </is>
      </c>
      <c r="Q290" s="640" t="n">
        <v>55.70462</v>
      </c>
      <c r="R290" s="422" t="n">
        <v>37.35396</v>
      </c>
      <c r="S290" s="438" t="n"/>
      <c r="T290" s="438" t="n"/>
      <c r="U290" s="438" t="n"/>
      <c r="V290" s="438">
        <f>IF(AND(N290=1,U290=1),C290,"")</f>
        <v/>
      </c>
      <c r="W290" s="387" t="n"/>
      <c r="X290" s="1" t="n"/>
      <c r="Y290" s="1" t="n"/>
    </row>
    <row r="291" hidden="1" ht="16.05" customFormat="1" customHeight="1" s="126">
      <c r="A291" s="125" t="n">
        <v>347</v>
      </c>
      <c r="B291" s="125" t="inlineStr">
        <is>
          <t>WF</t>
        </is>
      </c>
      <c r="C291" s="130" t="inlineStr">
        <is>
          <t>Москва</t>
        </is>
      </c>
      <c r="D291" s="130" t="inlineStr">
        <is>
          <t>Одинцово</t>
        </is>
      </c>
      <c r="E291" s="130" t="inlineStr">
        <is>
          <t>М1</t>
        </is>
      </c>
      <c r="F291" s="130" t="inlineStr">
        <is>
          <t>АЗС</t>
        </is>
      </c>
      <c r="G291" s="130" t="inlineStr">
        <is>
          <t>Лукойл</t>
        </is>
      </c>
      <c r="H291" s="131" t="inlineStr">
        <is>
          <t>LUK_412</t>
        </is>
      </c>
      <c r="I291" s="637" t="n">
        <v>50412</v>
      </c>
      <c r="J291" s="402" t="inlineStr">
        <is>
          <t>MSK_LUK_0412</t>
        </is>
      </c>
      <c r="K291" s="640" t="n">
        <v>1</v>
      </c>
      <c r="L291" s="640" t="n">
        <v>0</v>
      </c>
      <c r="M291" s="640" t="inlineStr">
        <is>
          <t>1 октября</t>
        </is>
      </c>
      <c r="N291" s="640" t="n"/>
      <c r="O291" s="640">
        <f>IF(AND(N291=1,L291=1),K291,"")</f>
        <v/>
      </c>
      <c r="P291" s="642" t="inlineStr">
        <is>
          <t>Московская область, Одинцовский район, городское поселение Новоивановское, 19 км ФАД М-1 "Беларусь" левая сторона</t>
        </is>
      </c>
      <c r="Q291" s="640" t="n">
        <v>55.69762</v>
      </c>
      <c r="R291" s="422" t="n">
        <v>37.350108</v>
      </c>
      <c r="S291" s="438" t="n"/>
      <c r="T291" s="438" t="n"/>
      <c r="U291" s="438" t="n"/>
      <c r="V291" s="438">
        <f>IF(AND(N291=1,U291=1),C291,"")</f>
        <v/>
      </c>
      <c r="W291" s="387" t="n"/>
      <c r="X291" s="1" t="n"/>
      <c r="Y291" s="1" t="n"/>
    </row>
    <row r="292" hidden="1" ht="16.05" customFormat="1" customHeight="1" s="126">
      <c r="A292" s="125" t="n">
        <v>349</v>
      </c>
      <c r="B292" s="125" t="inlineStr">
        <is>
          <t>WF</t>
        </is>
      </c>
      <c r="C292" s="130" t="inlineStr">
        <is>
          <t>Москва</t>
        </is>
      </c>
      <c r="D292" s="130" t="inlineStr">
        <is>
          <t>Московская область</t>
        </is>
      </c>
      <c r="E292" s="130" t="inlineStr">
        <is>
          <t>М1</t>
        </is>
      </c>
      <c r="F292" s="130" t="inlineStr">
        <is>
          <t>АЗС</t>
        </is>
      </c>
      <c r="G292" s="130" t="inlineStr">
        <is>
          <t>Лукойл</t>
        </is>
      </c>
      <c r="H292" s="131" t="inlineStr">
        <is>
          <t>LUK_416</t>
        </is>
      </c>
      <c r="I292" s="637" t="n">
        <v>50416</v>
      </c>
      <c r="J292" s="402" t="inlineStr">
        <is>
          <t>MSK_LUK_0416</t>
        </is>
      </c>
      <c r="K292" s="640" t="n">
        <v>1</v>
      </c>
      <c r="L292" s="640" t="n">
        <v>0</v>
      </c>
      <c r="M292" s="640" t="inlineStr">
        <is>
          <t>1 октября</t>
        </is>
      </c>
      <c r="N292" s="640" t="n"/>
      <c r="O292" s="640">
        <f>IF(AND(N292=1,L292=1),K292,"")</f>
        <v/>
      </c>
      <c r="P292" s="642" t="inlineStr">
        <is>
          <t xml:space="preserve">Московская область, Одинцовский район, 39 км автодороги "М-1 Беларусь", строен. 1 </t>
        </is>
      </c>
      <c r="Q292" s="640" t="n">
        <v>55.61248</v>
      </c>
      <c r="R292" s="422" t="n">
        <v>37.08083</v>
      </c>
      <c r="S292" s="438" t="n"/>
      <c r="T292" s="438" t="n"/>
      <c r="U292" s="438" t="n"/>
      <c r="V292" s="438">
        <f>IF(AND(N292=1,U292=1),C292,"")</f>
        <v/>
      </c>
      <c r="W292" s="387" t="n"/>
      <c r="X292" s="1" t="n"/>
      <c r="Y292" s="1" t="n"/>
    </row>
    <row r="293" hidden="1" ht="16.05" customFormat="1" customHeight="1" s="126">
      <c r="A293" s="125" t="n">
        <v>350</v>
      </c>
      <c r="B293" s="125" t="inlineStr">
        <is>
          <t>WF</t>
        </is>
      </c>
      <c r="C293" s="130" t="inlineStr">
        <is>
          <t>Москва</t>
        </is>
      </c>
      <c r="D293" s="130" t="inlineStr">
        <is>
          <t>Московская область</t>
        </is>
      </c>
      <c r="E293" s="130" t="inlineStr">
        <is>
          <t>М1</t>
        </is>
      </c>
      <c r="F293" s="130" t="inlineStr">
        <is>
          <t>АЗС</t>
        </is>
      </c>
      <c r="G293" s="130" t="inlineStr">
        <is>
          <t>Лукойл</t>
        </is>
      </c>
      <c r="H293" s="131" t="inlineStr">
        <is>
          <t>LUK_417</t>
        </is>
      </c>
      <c r="I293" s="637" t="n">
        <v>50417</v>
      </c>
      <c r="J293" s="402" t="inlineStr">
        <is>
          <t>MSK_LUK_0417</t>
        </is>
      </c>
      <c r="K293" s="640" t="n">
        <v>1</v>
      </c>
      <c r="L293" s="640" t="n">
        <v>0</v>
      </c>
      <c r="M293" s="640" t="inlineStr">
        <is>
          <t>1 октября</t>
        </is>
      </c>
      <c r="N293" s="640" t="n"/>
      <c r="O293" s="640">
        <f>IF(AND(N293=1,L293=1),K293,"")</f>
        <v/>
      </c>
      <c r="P293" s="642" t="inlineStr">
        <is>
          <t>Московская область, Можайский район, дер. Артемки, 121 км а/м Москва-Минск, (левая сторона), д. 39</t>
        </is>
      </c>
      <c r="Q293" s="640" t="n">
        <v>55.46387</v>
      </c>
      <c r="R293" s="422" t="n">
        <v>35.8288</v>
      </c>
      <c r="S293" s="438" t="n"/>
      <c r="T293" s="438" t="n"/>
      <c r="U293" s="438" t="n"/>
      <c r="V293" s="438">
        <f>IF(AND(N293=1,U293=1),C293,"")</f>
        <v/>
      </c>
      <c r="W293" s="387" t="n"/>
      <c r="X293" s="1" t="n"/>
      <c r="Y293" s="1" t="n"/>
    </row>
    <row r="294" hidden="1" ht="16.05" customFormat="1" customHeight="1" s="126">
      <c r="A294" s="125" t="n">
        <v>351</v>
      </c>
      <c r="B294" s="125" t="inlineStr">
        <is>
          <t>WF</t>
        </is>
      </c>
      <c r="C294" s="130" t="inlineStr">
        <is>
          <t>Москва</t>
        </is>
      </c>
      <c r="D294" s="130" t="inlineStr">
        <is>
          <t>Московская область</t>
        </is>
      </c>
      <c r="E294" s="130" t="inlineStr">
        <is>
          <t>М1</t>
        </is>
      </c>
      <c r="F294" s="130" t="inlineStr">
        <is>
          <t>АЗС</t>
        </is>
      </c>
      <c r="G294" s="130" t="inlineStr">
        <is>
          <t>Лукойл</t>
        </is>
      </c>
      <c r="H294" s="131" t="inlineStr">
        <is>
          <t>LUK_418</t>
        </is>
      </c>
      <c r="I294" s="637" t="n">
        <v>50418</v>
      </c>
      <c r="J294" s="402" t="inlineStr">
        <is>
          <t>MSK_LUK_0418</t>
        </is>
      </c>
      <c r="K294" s="640" t="n">
        <v>1</v>
      </c>
      <c r="L294" s="640" t="n">
        <v>0</v>
      </c>
      <c r="M294" s="640" t="inlineStr">
        <is>
          <t>Sam 32</t>
        </is>
      </c>
      <c r="N294" s="640" t="n"/>
      <c r="O294" s="640">
        <f>IF(AND(N294=1,L294=1),K294,"")</f>
        <v/>
      </c>
      <c r="P294" s="642" t="inlineStr">
        <is>
          <t>Московская область, Можайский район, дер. Артемки, 121 км а/м Москва-Минск, (правая сторона), д. 40</t>
        </is>
      </c>
      <c r="Q294" s="640" t="n">
        <v>55.46539</v>
      </c>
      <c r="R294" s="422" t="n">
        <v>35.8303</v>
      </c>
      <c r="S294" s="438" t="n"/>
      <c r="T294" s="438" t="n"/>
      <c r="U294" s="438" t="n"/>
      <c r="V294" s="438">
        <f>IF(AND(N294=1,U294=1),C294,"")</f>
        <v/>
      </c>
      <c r="W294" s="387" t="n"/>
      <c r="X294" s="1" t="n"/>
      <c r="Y294" s="1" t="n"/>
    </row>
    <row r="295" hidden="1" ht="16.05" customFormat="1" customHeight="1" s="126">
      <c r="A295" s="125" t="n">
        <v>352</v>
      </c>
      <c r="B295" s="125" t="inlineStr">
        <is>
          <t>WF</t>
        </is>
      </c>
      <c r="C295" s="130" t="inlineStr">
        <is>
          <t>Москва</t>
        </is>
      </c>
      <c r="D295" s="130" t="inlineStr">
        <is>
          <t>Московская область</t>
        </is>
      </c>
      <c r="E295" s="130" t="inlineStr">
        <is>
          <t>М4</t>
        </is>
      </c>
      <c r="F295" s="130" t="inlineStr">
        <is>
          <t>АЗС</t>
        </is>
      </c>
      <c r="G295" s="130" t="inlineStr">
        <is>
          <t>Лукойл</t>
        </is>
      </c>
      <c r="H295" s="131" t="inlineStr">
        <is>
          <t>LUK_420</t>
        </is>
      </c>
      <c r="I295" s="637" t="n">
        <v>50420</v>
      </c>
      <c r="J295" s="402" t="inlineStr">
        <is>
          <t>MSK_LUK_0420</t>
        </is>
      </c>
      <c r="K295" s="640" t="n">
        <v>1</v>
      </c>
      <c r="L295" s="640" t="n">
        <v>0</v>
      </c>
      <c r="M295" s="640" t="inlineStr">
        <is>
          <t>1 октября</t>
        </is>
      </c>
      <c r="N295" s="640" t="n"/>
      <c r="O295" s="640">
        <f>IF(AND(N295=1,L295=1),K295,"")</f>
        <v/>
      </c>
      <c r="P295" s="642" t="inlineStr">
        <is>
          <t>Московская область, Каширский район, автомагистраль "ДОН" км. 129+150 правая сторона, вблизи д. Барабаново</t>
        </is>
      </c>
      <c r="Q295" s="640" t="n">
        <v>54.72251</v>
      </c>
      <c r="R295" s="422" t="n">
        <v>38.15852</v>
      </c>
      <c r="S295" s="438" t="n"/>
      <c r="T295" s="438" t="n"/>
      <c r="U295" s="438" t="n"/>
      <c r="V295" s="438">
        <f>IF(AND(N295=1,U295=1),C295,"")</f>
        <v/>
      </c>
      <c r="W295" s="387" t="n"/>
      <c r="X295" s="1" t="n"/>
      <c r="Y295" s="1" t="n"/>
    </row>
    <row r="296" hidden="1" ht="16.05" customFormat="1" customHeight="1" s="126">
      <c r="A296" s="125" t="n">
        <v>353</v>
      </c>
      <c r="B296" s="125" t="inlineStr">
        <is>
          <t>WF</t>
        </is>
      </c>
      <c r="C296" s="130" t="inlineStr">
        <is>
          <t>Москва</t>
        </is>
      </c>
      <c r="D296" s="130" t="inlineStr">
        <is>
          <t>Московская область</t>
        </is>
      </c>
      <c r="E296" s="130" t="inlineStr">
        <is>
          <t>М4</t>
        </is>
      </c>
      <c r="F296" s="130" t="inlineStr">
        <is>
          <t>АЗС</t>
        </is>
      </c>
      <c r="G296" s="130" t="inlineStr">
        <is>
          <t>Лукойл</t>
        </is>
      </c>
      <c r="H296" s="131" t="inlineStr">
        <is>
          <t>LUK_421</t>
        </is>
      </c>
      <c r="I296" s="637" t="n">
        <v>50421</v>
      </c>
      <c r="J296" s="402" t="inlineStr">
        <is>
          <t>MSK_LUK_0421</t>
        </is>
      </c>
      <c r="K296" s="640" t="n">
        <v>1</v>
      </c>
      <c r="L296" s="640" t="n">
        <v>0</v>
      </c>
      <c r="M296" s="640" t="inlineStr">
        <is>
          <t>1 октября</t>
        </is>
      </c>
      <c r="N296" s="640" t="n"/>
      <c r="O296" s="640">
        <f>IF(AND(N296=1,L296=1),K296,"")</f>
        <v/>
      </c>
      <c r="P296" s="642" t="inlineStr">
        <is>
          <t>Московская область, Каширский район, 116 км. автодороги "Москва-Дон"</t>
        </is>
      </c>
      <c r="Q296" s="640" t="n">
        <v>54.787721</v>
      </c>
      <c r="R296" s="422" t="n">
        <v>38.105018</v>
      </c>
      <c r="S296" s="438" t="n"/>
      <c r="T296" s="438" t="n"/>
      <c r="U296" s="438" t="n"/>
      <c r="V296" s="438">
        <f>IF(AND(N296=1,U296=1),C296,"")</f>
        <v/>
      </c>
      <c r="W296" s="387" t="n"/>
      <c r="X296" s="1" t="n"/>
      <c r="Y296" s="1" t="n"/>
    </row>
    <row r="297" hidden="1" ht="16.05" customFormat="1" customHeight="1" s="126">
      <c r="A297" s="125" t="n">
        <v>354</v>
      </c>
      <c r="B297" s="125" t="inlineStr">
        <is>
          <t>WF</t>
        </is>
      </c>
      <c r="C297" s="130" t="inlineStr">
        <is>
          <t>Москва</t>
        </is>
      </c>
      <c r="D297" s="130" t="inlineStr">
        <is>
          <t>Московская область</t>
        </is>
      </c>
      <c r="E297" s="130" t="inlineStr">
        <is>
          <t>М4</t>
        </is>
      </c>
      <c r="F297" s="130" t="inlineStr">
        <is>
          <t>АЗС</t>
        </is>
      </c>
      <c r="G297" s="130" t="inlineStr">
        <is>
          <t>Лукойл</t>
        </is>
      </c>
      <c r="H297" s="131" t="inlineStr">
        <is>
          <t>LUK_422</t>
        </is>
      </c>
      <c r="I297" s="637" t="n">
        <v>50422</v>
      </c>
      <c r="J297" s="402" t="inlineStr">
        <is>
          <t>MSK_LUK_0422_1</t>
        </is>
      </c>
      <c r="K297" s="640" t="n">
        <v>1</v>
      </c>
      <c r="L297" s="640" t="n">
        <v>0</v>
      </c>
      <c r="M297" s="640" t="inlineStr">
        <is>
          <t>1 октября</t>
        </is>
      </c>
      <c r="N297" s="640" t="n"/>
      <c r="O297" s="640">
        <f>IF(AND(N297=1,L297=1),K297,"")</f>
        <v/>
      </c>
      <c r="P297" s="642" t="inlineStr">
        <is>
          <t>Московская область, Каширский район, 117 км. автодороги "Москва-Дон"</t>
        </is>
      </c>
      <c r="Q297" s="640" t="n">
        <v>54.78584</v>
      </c>
      <c r="R297" s="422" t="n">
        <v>38.11312</v>
      </c>
      <c r="S297" s="438" t="n"/>
      <c r="T297" s="438" t="n"/>
      <c r="U297" s="438" t="n"/>
      <c r="V297" s="438">
        <f>IF(AND(N297=1,U297=1),C297,"")</f>
        <v/>
      </c>
      <c r="W297" s="387" t="n"/>
      <c r="X297" s="1" t="n"/>
      <c r="Y297" s="1" t="n"/>
    </row>
    <row r="298" hidden="1" ht="16.05" customFormat="1" customHeight="1" s="126">
      <c r="A298" s="125" t="n">
        <v>355</v>
      </c>
      <c r="B298" s="125" t="inlineStr">
        <is>
          <t>WF</t>
        </is>
      </c>
      <c r="C298" s="130" t="inlineStr">
        <is>
          <t>Москва</t>
        </is>
      </c>
      <c r="D298" s="130" t="inlineStr">
        <is>
          <t>Химки</t>
        </is>
      </c>
      <c r="E298" s="130" t="inlineStr">
        <is>
          <t>М10</t>
        </is>
      </c>
      <c r="F298" s="130" t="inlineStr">
        <is>
          <t>АЗС</t>
        </is>
      </c>
      <c r="G298" s="130" t="inlineStr">
        <is>
          <t>Лукойл</t>
        </is>
      </c>
      <c r="H298" s="131" t="inlineStr">
        <is>
          <t>LUK_423</t>
        </is>
      </c>
      <c r="I298" s="637" t="n">
        <v>50423</v>
      </c>
      <c r="J298" s="402" t="inlineStr">
        <is>
          <t>MSK_LUK_0423</t>
        </is>
      </c>
      <c r="K298" s="640" t="n">
        <v>2</v>
      </c>
      <c r="L298" s="640" t="n">
        <v>0</v>
      </c>
      <c r="M298" s="640" t="inlineStr">
        <is>
          <t>1 октября</t>
        </is>
      </c>
      <c r="N298" s="640" t="n"/>
      <c r="O298" s="640">
        <f>IF(AND(N298=1,L298=1),K298,"")</f>
        <v/>
      </c>
      <c r="P298" s="642" t="inlineStr">
        <is>
          <t>Московская область, г. Химки, ш. Ленинградское, д.30</t>
        </is>
      </c>
      <c r="Q298" s="640" t="n">
        <v>55.90389</v>
      </c>
      <c r="R298" s="422" t="n">
        <v>37.418</v>
      </c>
      <c r="S298" s="438" t="n"/>
      <c r="T298" s="438" t="n"/>
      <c r="U298" s="438" t="n"/>
      <c r="V298" s="438">
        <f>IF(AND(N298=1,U298=1),C298,"")</f>
        <v/>
      </c>
      <c r="W298" s="387" t="n"/>
      <c r="X298" s="1" t="n"/>
      <c r="Y298" s="1" t="n"/>
    </row>
    <row r="299" hidden="1" ht="16.05" customFormat="1" customHeight="1" s="126">
      <c r="A299" s="125" t="n">
        <v>358</v>
      </c>
      <c r="B299" s="125" t="inlineStr">
        <is>
          <t>WF</t>
        </is>
      </c>
      <c r="C299" s="130" t="inlineStr">
        <is>
          <t>Москва</t>
        </is>
      </c>
      <c r="D299" s="130" t="inlineStr">
        <is>
          <t>Москва</t>
        </is>
      </c>
      <c r="E299" s="130" t="inlineStr">
        <is>
          <t>М3</t>
        </is>
      </c>
      <c r="F299" s="130" t="inlineStr">
        <is>
          <t>АЗС</t>
        </is>
      </c>
      <c r="G299" s="130" t="inlineStr">
        <is>
          <t>Лукойл</t>
        </is>
      </c>
      <c r="H299" s="131" t="inlineStr">
        <is>
          <t>LUK_424</t>
        </is>
      </c>
      <c r="I299" s="637" t="n">
        <v>77424</v>
      </c>
      <c r="J299" s="402" t="inlineStr">
        <is>
          <t>MSK_LUK_0424</t>
        </is>
      </c>
      <c r="K299" s="640" t="n">
        <v>3</v>
      </c>
      <c r="L299" s="640" t="n">
        <v>0</v>
      </c>
      <c r="M299" s="640" t="inlineStr">
        <is>
          <t>1 октября</t>
        </is>
      </c>
      <c r="N299" s="640" t="n"/>
      <c r="O299" s="640">
        <f>IF(AND(N299=1,L299=1),K299,"")</f>
        <v/>
      </c>
      <c r="P299" s="642" t="inlineStr">
        <is>
          <t>г. Москва, п. Московский, Киевское шоссе, 28-ой км, вл. 2, стр. 1</t>
        </is>
      </c>
      <c r="Q299" s="640" t="n">
        <v>55.599822</v>
      </c>
      <c r="R299" s="422" t="n">
        <v>37.314593</v>
      </c>
      <c r="S299" s="438" t="n"/>
      <c r="T299" s="438" t="n"/>
      <c r="U299" s="438" t="n"/>
      <c r="V299" s="438">
        <f>IF(AND(N299=1,U299=1),C299,"")</f>
        <v/>
      </c>
      <c r="W299" s="387" t="n"/>
      <c r="X299" s="1" t="n"/>
      <c r="Y299" s="1" t="n"/>
    </row>
    <row r="300" hidden="1" ht="16.05" customFormat="1" customHeight="1" s="126">
      <c r="A300" s="125" t="n">
        <v>361</v>
      </c>
      <c r="B300" s="125" t="inlineStr">
        <is>
          <t>WF</t>
        </is>
      </c>
      <c r="C300" s="130" t="inlineStr">
        <is>
          <t>Москва</t>
        </is>
      </c>
      <c r="D300" s="130" t="inlineStr">
        <is>
          <t>Московская область</t>
        </is>
      </c>
      <c r="E300" s="130" t="inlineStr">
        <is>
          <t>М9</t>
        </is>
      </c>
      <c r="F300" s="130" t="inlineStr">
        <is>
          <t>АЗС</t>
        </is>
      </c>
      <c r="G300" s="130" t="inlineStr">
        <is>
          <t>Лукойл</t>
        </is>
      </c>
      <c r="H300" s="131" t="inlineStr">
        <is>
          <t>LUK_425</t>
        </is>
      </c>
      <c r="I300" s="637" t="n">
        <v>50425</v>
      </c>
      <c r="J300" s="402" t="inlineStr">
        <is>
          <t>MSK_LUK_0425</t>
        </is>
      </c>
      <c r="K300" s="640" t="n">
        <v>2</v>
      </c>
      <c r="L300" s="640" t="n">
        <v>0</v>
      </c>
      <c r="M300" s="640" t="inlineStr">
        <is>
          <t>1 октября</t>
        </is>
      </c>
      <c r="N300" s="640" t="n"/>
      <c r="O300" s="640">
        <f>IF(AND(N300=1,L300=1),K300,"")</f>
        <v/>
      </c>
      <c r="P300" s="642" t="inlineStr">
        <is>
          <t>Московская область, Красногорский район, 25 км а/д "Балтия", вл. 1, строен. 2</t>
        </is>
      </c>
      <c r="Q300" s="640" t="n">
        <v>55.78833</v>
      </c>
      <c r="R300" s="422" t="n">
        <v>37.25406</v>
      </c>
      <c r="S300" s="438" t="n"/>
      <c r="T300" s="438" t="n"/>
      <c r="U300" s="438" t="n"/>
      <c r="V300" s="438">
        <f>IF(AND(N300=1,U300=1),C300,"")</f>
        <v/>
      </c>
      <c r="W300" s="387" t="n"/>
      <c r="X300" s="1" t="n"/>
      <c r="Y300" s="1" t="n"/>
    </row>
    <row r="301" hidden="1" ht="16.05" customFormat="1" customHeight="1" s="126">
      <c r="A301" s="125" t="n">
        <v>363</v>
      </c>
      <c r="B301" s="125" t="inlineStr">
        <is>
          <t>WF</t>
        </is>
      </c>
      <c r="C301" s="130" t="inlineStr">
        <is>
          <t>Москва</t>
        </is>
      </c>
      <c r="D301" s="130" t="inlineStr">
        <is>
          <t>Московская область</t>
        </is>
      </c>
      <c r="E301" s="130" t="inlineStr">
        <is>
          <t>М4</t>
        </is>
      </c>
      <c r="F301" s="130" t="inlineStr">
        <is>
          <t>АЗС</t>
        </is>
      </c>
      <c r="G301" s="130" t="inlineStr">
        <is>
          <t>Лукойл</t>
        </is>
      </c>
      <c r="H301" s="131" t="inlineStr">
        <is>
          <t>LUK_426</t>
        </is>
      </c>
      <c r="I301" s="637" t="n">
        <v>50426</v>
      </c>
      <c r="J301" s="402" t="inlineStr">
        <is>
          <t>MSK_LUK_0426</t>
        </is>
      </c>
      <c r="K301" s="640" t="n">
        <v>3</v>
      </c>
      <c r="L301" s="640" t="n">
        <v>0</v>
      </c>
      <c r="M301" s="640" t="inlineStr">
        <is>
          <t>1 октября</t>
        </is>
      </c>
      <c r="N301" s="640" t="n"/>
      <c r="O301" s="640">
        <f>IF(AND(N301=1,L301=1),K301,"")</f>
        <v/>
      </c>
      <c r="P301" s="642" t="inlineStr">
        <is>
          <t>Московская область, Домодедовский район, 35-й км трассы Москва-аэропорт "Домодедово"</t>
        </is>
      </c>
      <c r="Q301" s="640" t="n">
        <v>55.49661</v>
      </c>
      <c r="R301" s="422" t="n">
        <v>37.84131</v>
      </c>
      <c r="S301" s="438" t="n"/>
      <c r="T301" s="438" t="n"/>
      <c r="U301" s="438" t="n"/>
      <c r="V301" s="438">
        <f>IF(AND(N301=1,U301=1),C301,"")</f>
        <v/>
      </c>
      <c r="W301" s="387" t="n"/>
      <c r="X301" s="1" t="n"/>
      <c r="Y301" s="1" t="n"/>
    </row>
    <row r="302" hidden="1" ht="16.05" customFormat="1" customHeight="1" s="126">
      <c r="A302" s="125" t="n">
        <v>366</v>
      </c>
      <c r="B302" s="125" t="inlineStr">
        <is>
          <t>WF</t>
        </is>
      </c>
      <c r="C302" s="130" t="inlineStr">
        <is>
          <t>Москва</t>
        </is>
      </c>
      <c r="D302" s="130" t="inlineStr">
        <is>
          <t>Московская область</t>
        </is>
      </c>
      <c r="E302" s="130" t="inlineStr">
        <is>
          <t>М4</t>
        </is>
      </c>
      <c r="F302" s="130" t="inlineStr">
        <is>
          <t>АЗС</t>
        </is>
      </c>
      <c r="G302" s="130" t="inlineStr">
        <is>
          <t>Лукойл</t>
        </is>
      </c>
      <c r="H302" s="131" t="inlineStr">
        <is>
          <t>LUK_427</t>
        </is>
      </c>
      <c r="I302" s="637" t="n">
        <v>50427</v>
      </c>
      <c r="J302" s="402" t="inlineStr">
        <is>
          <t>MSK_LUK_0427</t>
        </is>
      </c>
      <c r="K302" s="640" t="n">
        <v>1</v>
      </c>
      <c r="L302" s="640" t="n">
        <v>0</v>
      </c>
      <c r="M302" s="640" t="inlineStr">
        <is>
          <t>1 октября</t>
        </is>
      </c>
      <c r="N302" s="640" t="n"/>
      <c r="O302" s="640">
        <f>IF(AND(N302=1,L302=1),K302,"")</f>
        <v/>
      </c>
      <c r="P302" s="642" t="inlineStr">
        <is>
          <t>Московская область, Домодедовский район, 33-й км автодороги Москва-аэропорт "Домодедово"</t>
        </is>
      </c>
      <c r="Q302" s="640" t="n">
        <v>55.50966</v>
      </c>
      <c r="R302" s="422" t="n">
        <v>37.83398</v>
      </c>
      <c r="S302" s="438" t="n"/>
      <c r="T302" s="438" t="n"/>
      <c r="U302" s="438" t="n"/>
      <c r="V302" s="438">
        <f>IF(AND(N302=1,U302=1),C302,"")</f>
        <v/>
      </c>
      <c r="W302" s="387" t="n"/>
      <c r="X302" s="1" t="n"/>
      <c r="Y302" s="1" t="n"/>
    </row>
    <row r="303" hidden="1" ht="16.05" customFormat="1" customHeight="1" s="126">
      <c r="A303" s="125" t="n">
        <v>367</v>
      </c>
      <c r="B303" s="125" t="inlineStr">
        <is>
          <t>WF</t>
        </is>
      </c>
      <c r="C303" s="130" t="inlineStr">
        <is>
          <t>Москва</t>
        </is>
      </c>
      <c r="D303" s="130" t="inlineStr">
        <is>
          <t>Московская область</t>
        </is>
      </c>
      <c r="E303" s="130" t="inlineStr">
        <is>
          <t>М9</t>
        </is>
      </c>
      <c r="F303" s="130" t="inlineStr">
        <is>
          <t>АЗС</t>
        </is>
      </c>
      <c r="G303" s="130" t="inlineStr">
        <is>
          <t>Лукойл</t>
        </is>
      </c>
      <c r="H303" s="131" t="inlineStr">
        <is>
          <t>LUK_428</t>
        </is>
      </c>
      <c r="I303" s="637" t="n">
        <v>50428</v>
      </c>
      <c r="J303" s="402" t="inlineStr">
        <is>
          <t>MSK_LUK_0428</t>
        </is>
      </c>
      <c r="K303" s="640" t="n">
        <v>1</v>
      </c>
      <c r="L303" s="640" t="n">
        <v>0</v>
      </c>
      <c r="M303" s="640" t="inlineStr">
        <is>
          <t>1 октября</t>
        </is>
      </c>
      <c r="N303" s="640" t="n"/>
      <c r="O303" s="640">
        <f>IF(AND(N303=1,L303=1),K303,"")</f>
        <v/>
      </c>
      <c r="P303" s="642" t="inlineStr">
        <is>
          <t>Московская область, Красногорский район, 25 км автомагистрали "Балтия", (слева)</t>
        </is>
      </c>
      <c r="Q303" s="640" t="n">
        <v>55.78828</v>
      </c>
      <c r="R303" s="422" t="n">
        <v>37.25646</v>
      </c>
      <c r="S303" s="438" t="n"/>
      <c r="T303" s="325" t="n"/>
      <c r="U303" s="325" t="n"/>
      <c r="V303" s="438">
        <f>IF(AND(N303=1,U303=1),C303,"")</f>
        <v/>
      </c>
      <c r="W303" s="387" t="n"/>
      <c r="X303" s="1" t="n"/>
      <c r="Y303" s="1" t="n"/>
    </row>
    <row r="304" hidden="1" ht="16.05" customFormat="1" customHeight="1" s="126">
      <c r="A304" s="125" t="n">
        <v>369</v>
      </c>
      <c r="B304" s="125" t="inlineStr">
        <is>
          <t>WF</t>
        </is>
      </c>
      <c r="C304" s="130" t="inlineStr">
        <is>
          <t>Москва</t>
        </is>
      </c>
      <c r="D304" s="130" t="inlineStr">
        <is>
          <t>Москва</t>
        </is>
      </c>
      <c r="E304" s="130" t="inlineStr">
        <is>
          <t>М3</t>
        </is>
      </c>
      <c r="F304" s="130" t="inlineStr">
        <is>
          <t>АЗС</t>
        </is>
      </c>
      <c r="G304" s="130" t="inlineStr">
        <is>
          <t>Лукойл</t>
        </is>
      </c>
      <c r="H304" s="131" t="inlineStr">
        <is>
          <t>LUK_430</t>
        </is>
      </c>
      <c r="I304" s="637" t="n">
        <v>77430</v>
      </c>
      <c r="J304" s="402" t="inlineStr">
        <is>
          <t>MSK_LUK_0430</t>
        </is>
      </c>
      <c r="K304" s="640" t="n">
        <v>1</v>
      </c>
      <c r="L304" s="640" t="n">
        <v>0</v>
      </c>
      <c r="M304" s="640" t="inlineStr">
        <is>
          <t>1 октября</t>
        </is>
      </c>
      <c r="N304" s="640" t="n"/>
      <c r="O304" s="640">
        <f>IF(AND(N304=1,L304=1),K304,"")</f>
        <v/>
      </c>
      <c r="P304" s="642" t="inlineStr">
        <is>
          <t>г. Москва, п. Марушкинское, Киевское шоссе, 32-й км, вл. 3, стр. 1</t>
        </is>
      </c>
      <c r="Q304" s="640" t="n">
        <v>55.58348</v>
      </c>
      <c r="R304" s="422" t="n">
        <v>37.25859</v>
      </c>
      <c r="S304" s="438" t="n"/>
      <c r="T304" s="438" t="n"/>
      <c r="U304" s="438" t="n"/>
      <c r="V304" s="438">
        <f>IF(AND(N304=1,U304=1),C304,"")</f>
        <v/>
      </c>
      <c r="W304" s="387" t="n"/>
      <c r="X304" s="1" t="n"/>
      <c r="Y304" s="1" t="n"/>
    </row>
    <row r="305" hidden="1" ht="16.05" customFormat="1" customHeight="1" s="126">
      <c r="A305" s="125" t="n">
        <v>370</v>
      </c>
      <c r="B305" s="125" t="inlineStr">
        <is>
          <t>WF</t>
        </is>
      </c>
      <c r="C305" s="130" t="inlineStr">
        <is>
          <t>Москва</t>
        </is>
      </c>
      <c r="D305" s="130" t="inlineStr">
        <is>
          <t>Москва</t>
        </is>
      </c>
      <c r="E305" s="130" t="inlineStr">
        <is>
          <t>М3</t>
        </is>
      </c>
      <c r="F305" s="130" t="inlineStr">
        <is>
          <t>АЗС</t>
        </is>
      </c>
      <c r="G305" s="130" t="inlineStr">
        <is>
          <t>Лукойл</t>
        </is>
      </c>
      <c r="H305" s="131" t="inlineStr">
        <is>
          <t>LUK_431</t>
        </is>
      </c>
      <c r="I305" s="637" t="n">
        <v>77431</v>
      </c>
      <c r="J305" s="402" t="inlineStr">
        <is>
          <t>MSK_LUK_0431</t>
        </is>
      </c>
      <c r="K305" s="640" t="n">
        <v>1</v>
      </c>
      <c r="L305" s="640" t="n">
        <v>0</v>
      </c>
      <c r="M305" s="640" t="inlineStr">
        <is>
          <t>1 октября</t>
        </is>
      </c>
      <c r="N305" s="640" t="n"/>
      <c r="O305" s="640">
        <f>IF(AND(N305=1,L305=1),K305,"")</f>
        <v/>
      </c>
      <c r="P305" s="642" t="inlineStr">
        <is>
          <t>г. Москва, п. Марушкинское, Киевское шоссе, 39-й км, вл. 2, стр. 1</t>
        </is>
      </c>
      <c r="Q305" s="640" t="n">
        <v>55.558996</v>
      </c>
      <c r="R305" s="422" t="n">
        <v>37.153834</v>
      </c>
      <c r="S305" s="438" t="n"/>
      <c r="T305" s="325" t="n"/>
      <c r="U305" s="325" t="n"/>
      <c r="V305" s="438">
        <f>IF(AND(N305=1,U305=1),C305,"")</f>
        <v/>
      </c>
      <c r="W305" s="387" t="n"/>
      <c r="X305" s="1" t="n"/>
      <c r="Y305" s="1" t="n"/>
    </row>
    <row r="306" hidden="1" ht="16.05" customFormat="1" customHeight="1" s="126">
      <c r="A306" s="125" t="n">
        <v>371</v>
      </c>
      <c r="B306" s="125" t="inlineStr">
        <is>
          <t>WF</t>
        </is>
      </c>
      <c r="C306" s="130" t="inlineStr">
        <is>
          <t>Москва</t>
        </is>
      </c>
      <c r="D306" s="130" t="inlineStr">
        <is>
          <t>Наро-Фоминск</t>
        </is>
      </c>
      <c r="E306" s="130" t="inlineStr">
        <is>
          <t>М3</t>
        </is>
      </c>
      <c r="F306" s="130" t="inlineStr">
        <is>
          <t>АЗС</t>
        </is>
      </c>
      <c r="G306" s="130" t="inlineStr">
        <is>
          <t>Лукойл</t>
        </is>
      </c>
      <c r="H306" s="131" t="inlineStr">
        <is>
          <t>LUK_432</t>
        </is>
      </c>
      <c r="I306" s="637" t="n">
        <v>50432</v>
      </c>
      <c r="J306" s="402" t="inlineStr">
        <is>
          <t>MSK_LUK_0432</t>
        </is>
      </c>
      <c r="K306" s="640" t="n">
        <v>1</v>
      </c>
      <c r="L306" s="640" t="n">
        <v>0</v>
      </c>
      <c r="M306" s="640" t="inlineStr">
        <is>
          <t>1 октября</t>
        </is>
      </c>
      <c r="N306" s="640" t="n"/>
      <c r="O306" s="640">
        <f>IF(AND(N306=1,L306=1),K306,"")</f>
        <v/>
      </c>
      <c r="P306" s="642" t="inlineStr">
        <is>
          <t>Московская область, Наро-Фоминский район, городское поселение Наро-Фоминск, г. Наро-Фоминск, ул. Найдова-Железова, д. 5</t>
        </is>
      </c>
      <c r="Q306" s="640" t="n">
        <v>55.39567</v>
      </c>
      <c r="R306" s="422" t="n">
        <v>36.73593</v>
      </c>
      <c r="S306" s="438" t="n"/>
      <c r="T306" s="438" t="n"/>
      <c r="U306" s="438" t="n"/>
      <c r="V306" s="438">
        <f>IF(AND(N306=1,U306=1),C306,"")</f>
        <v/>
      </c>
      <c r="W306" s="387" t="n"/>
      <c r="X306" s="1" t="n"/>
      <c r="Y306" s="1" t="n"/>
    </row>
    <row r="307" hidden="1" ht="16.05" customFormat="1" customHeight="1" s="126">
      <c r="A307" s="125" t="n">
        <v>372</v>
      </c>
      <c r="B307" s="125" t="inlineStr">
        <is>
          <t>WF</t>
        </is>
      </c>
      <c r="C307" s="130" t="inlineStr">
        <is>
          <t>Москва</t>
        </is>
      </c>
      <c r="D307" s="130" t="inlineStr">
        <is>
          <t>Клин</t>
        </is>
      </c>
      <c r="E307" s="130" t="inlineStr">
        <is>
          <t>М10</t>
        </is>
      </c>
      <c r="F307" s="130" t="inlineStr">
        <is>
          <t>АЗС</t>
        </is>
      </c>
      <c r="G307" s="130" t="inlineStr">
        <is>
          <t>Лукойл</t>
        </is>
      </c>
      <c r="H307" s="131" t="inlineStr">
        <is>
          <t>LUK_433</t>
        </is>
      </c>
      <c r="I307" s="637" t="n">
        <v>50433</v>
      </c>
      <c r="J307" s="402" t="inlineStr">
        <is>
          <t>MSK_LUK_0433</t>
        </is>
      </c>
      <c r="K307" s="640" t="n">
        <v>1</v>
      </c>
      <c r="L307" s="640" t="n">
        <v>0</v>
      </c>
      <c r="M307" s="640" t="inlineStr">
        <is>
          <t>1 октября</t>
        </is>
      </c>
      <c r="N307" s="640" t="n"/>
      <c r="O307" s="640">
        <f>IF(AND(N307=1,L307=1),K307,"")</f>
        <v/>
      </c>
      <c r="P307" s="642" t="inlineStr">
        <is>
          <t>Московская область, г. Клин, шоссе Ленинградское, 87 км + 600 м (левая сторона)</t>
        </is>
      </c>
      <c r="Q307" s="640" t="n">
        <v>56.33624</v>
      </c>
      <c r="R307" s="422" t="n">
        <v>36.71837</v>
      </c>
      <c r="S307" s="438" t="n"/>
      <c r="T307" s="438" t="n"/>
      <c r="U307" s="438" t="n"/>
      <c r="V307" s="438">
        <f>IF(AND(N307=1,U307=1),C307,"")</f>
        <v/>
      </c>
      <c r="W307" s="387" t="n"/>
      <c r="X307" s="1" t="n"/>
      <c r="Y307" s="1" t="n"/>
    </row>
    <row r="308" hidden="1" ht="16.05" customFormat="1" customHeight="1" s="126">
      <c r="A308" s="125" t="n">
        <v>373</v>
      </c>
      <c r="B308" s="125" t="inlineStr">
        <is>
          <t>WF</t>
        </is>
      </c>
      <c r="C308" s="130" t="inlineStr">
        <is>
          <t>Москва</t>
        </is>
      </c>
      <c r="D308" s="130" t="inlineStr">
        <is>
          <t>Луховицы</t>
        </is>
      </c>
      <c r="E308" s="130" t="inlineStr">
        <is>
          <t>М5</t>
        </is>
      </c>
      <c r="F308" s="130" t="inlineStr">
        <is>
          <t>АЗС</t>
        </is>
      </c>
      <c r="G308" s="130" t="inlineStr">
        <is>
          <t>Лукойл</t>
        </is>
      </c>
      <c r="H308" s="131" t="inlineStr">
        <is>
          <t>LUK_434</t>
        </is>
      </c>
      <c r="I308" s="637" t="n">
        <v>50434</v>
      </c>
      <c r="J308" s="402" t="inlineStr">
        <is>
          <t>MSK_LUK_0434</t>
        </is>
      </c>
      <c r="K308" s="640" t="n">
        <v>1</v>
      </c>
      <c r="L308" s="640" t="n">
        <v>0</v>
      </c>
      <c r="M308" s="640" t="inlineStr">
        <is>
          <t>1 октября</t>
        </is>
      </c>
      <c r="N308" s="640" t="n"/>
      <c r="O308" s="640">
        <f>IF(AND(N308=1,L308=1),K308,"")</f>
        <v/>
      </c>
      <c r="P308" s="642" t="inlineStr">
        <is>
          <t>Московская область, г. Луховицы, ул. Куйбышева, 128 км</t>
        </is>
      </c>
      <c r="Q308" s="640" t="n">
        <v>54.9763</v>
      </c>
      <c r="R308" s="422" t="n">
        <v>39.00709</v>
      </c>
      <c r="S308" s="438" t="n"/>
      <c r="T308" s="438" t="n"/>
      <c r="U308" s="438" t="n"/>
      <c r="V308" s="438">
        <f>IF(AND(N308=1,U308=1),C308,"")</f>
        <v/>
      </c>
      <c r="W308" s="387" t="n"/>
      <c r="X308" s="1" t="n"/>
      <c r="Y308" s="1" t="n"/>
    </row>
    <row r="309" hidden="1" ht="16.05" customHeight="1">
      <c r="A309" s="125" t="n">
        <v>374</v>
      </c>
      <c r="B309" s="125" t="inlineStr">
        <is>
          <t>WF</t>
        </is>
      </c>
      <c r="C309" s="130" t="inlineStr">
        <is>
          <t>Москва</t>
        </is>
      </c>
      <c r="D309" s="130" t="inlineStr">
        <is>
          <t>Луховицы</t>
        </is>
      </c>
      <c r="E309" s="130" t="inlineStr">
        <is>
          <t>М5</t>
        </is>
      </c>
      <c r="F309" s="130" t="inlineStr">
        <is>
          <t>АЗС</t>
        </is>
      </c>
      <c r="G309" s="130" t="inlineStr">
        <is>
          <t>Лукойл</t>
        </is>
      </c>
      <c r="H309" s="131" t="inlineStr">
        <is>
          <t>LUK_435</t>
        </is>
      </c>
      <c r="I309" s="637" t="n">
        <v>50435</v>
      </c>
      <c r="J309" s="402" t="inlineStr">
        <is>
          <t>MSK_LUK_0435</t>
        </is>
      </c>
      <c r="K309" s="640" t="n">
        <v>1</v>
      </c>
      <c r="L309" s="640" t="n">
        <v>0</v>
      </c>
      <c r="M309" s="640" t="inlineStr">
        <is>
          <t>1 октября</t>
        </is>
      </c>
      <c r="N309" s="640" t="n"/>
      <c r="O309" s="640">
        <f>IF(AND(N309=1,L309=1),K309,"")</f>
        <v/>
      </c>
      <c r="P309" s="642" t="inlineStr">
        <is>
          <t>Московская область, г. Луховицы, 137 км</t>
        </is>
      </c>
      <c r="Q309" s="640" t="n">
        <v>54.92728</v>
      </c>
      <c r="R309" s="422" t="n">
        <v>39.09234</v>
      </c>
      <c r="S309" s="438" t="n"/>
      <c r="T309" s="438" t="n"/>
      <c r="U309" s="438" t="n"/>
      <c r="V309" s="438">
        <f>IF(AND(N309=1,U309=1),C309,"")</f>
        <v/>
      </c>
      <c r="X309" s="1" t="n"/>
      <c r="Y309" s="1" t="n"/>
      <c r="Z309" s="1" t="n"/>
    </row>
    <row r="310" hidden="1" ht="16.05" customFormat="1" customHeight="1" s="126">
      <c r="A310" s="125" t="n">
        <v>375</v>
      </c>
      <c r="B310" s="125" t="inlineStr">
        <is>
          <t>WF</t>
        </is>
      </c>
      <c r="C310" s="130" t="inlineStr">
        <is>
          <t>Москва</t>
        </is>
      </c>
      <c r="D310" s="130" t="inlineStr">
        <is>
          <t>Московская область</t>
        </is>
      </c>
      <c r="E310" s="130" t="inlineStr">
        <is>
          <t>М5</t>
        </is>
      </c>
      <c r="F310" s="130" t="inlineStr">
        <is>
          <t>АЗС</t>
        </is>
      </c>
      <c r="G310" s="130" t="inlineStr">
        <is>
          <t>Лукойл</t>
        </is>
      </c>
      <c r="H310" s="131" t="inlineStr">
        <is>
          <t>LUK_436</t>
        </is>
      </c>
      <c r="I310" s="637" t="n">
        <v>50436</v>
      </c>
      <c r="J310" s="402" t="inlineStr">
        <is>
          <t>MSK_LUK_0436</t>
        </is>
      </c>
      <c r="K310" s="640" t="n">
        <v>1</v>
      </c>
      <c r="L310" s="640" t="n">
        <v>0</v>
      </c>
      <c r="M310" s="640" t="inlineStr">
        <is>
          <t>1 октября</t>
        </is>
      </c>
      <c r="N310" s="640" t="n"/>
      <c r="O310" s="640">
        <f>IF(AND(N310=1,L310=1),K310,"")</f>
        <v/>
      </c>
      <c r="P310" s="642" t="inlineStr">
        <is>
          <t>Московская область, Воскресенский район, автодорога Москва-Челябинск, 89 км-левая сторона</t>
        </is>
      </c>
      <c r="Q310" s="640" t="n">
        <v>55.23323</v>
      </c>
      <c r="R310" s="422" t="n">
        <v>38.56472</v>
      </c>
      <c r="S310" s="438" t="n"/>
      <c r="T310" s="438" t="n"/>
      <c r="U310" s="438" t="n"/>
      <c r="V310" s="438">
        <f>IF(AND(N310=1,U310=1),C310,"")</f>
        <v/>
      </c>
      <c r="W310" s="387" t="n"/>
      <c r="X310" s="1" t="n"/>
      <c r="Y310" s="1" t="n"/>
    </row>
    <row r="311" hidden="1" ht="16.05" customFormat="1" customHeight="1" s="126">
      <c r="A311" s="13" t="n">
        <v>376</v>
      </c>
      <c r="B311" s="125" t="inlineStr">
        <is>
          <t>WF</t>
        </is>
      </c>
      <c r="C311" s="130" t="inlineStr">
        <is>
          <t>Москва</t>
        </is>
      </c>
      <c r="D311" s="130" t="inlineStr">
        <is>
          <t>Московская область</t>
        </is>
      </c>
      <c r="E311" s="130" t="inlineStr">
        <is>
          <t>М5</t>
        </is>
      </c>
      <c r="F311" s="130" t="inlineStr">
        <is>
          <t>АЗС</t>
        </is>
      </c>
      <c r="G311" s="130" t="inlineStr">
        <is>
          <t>Лукойл</t>
        </is>
      </c>
      <c r="H311" s="131" t="inlineStr">
        <is>
          <t>LUK_437</t>
        </is>
      </c>
      <c r="I311" s="637" t="n">
        <v>50437</v>
      </c>
      <c r="J311" s="402" t="inlineStr">
        <is>
          <t>MSK_LUK_0437</t>
        </is>
      </c>
      <c r="K311" s="640" t="n">
        <v>1</v>
      </c>
      <c r="L311" s="640" t="n">
        <v>0</v>
      </c>
      <c r="M311" s="640" t="inlineStr">
        <is>
          <t>1 октября</t>
        </is>
      </c>
      <c r="N311" s="640" t="n"/>
      <c r="O311" s="640">
        <f>IF(AND(N311=1,L311=1),K311,"")</f>
        <v/>
      </c>
      <c r="P311" s="642" t="inlineStr">
        <is>
          <t>Московская область, Воскресенский район, автодорога Москва-Челябинск, 89 км-правая сторона</t>
        </is>
      </c>
      <c r="Q311" s="640" t="n">
        <v>55.2317</v>
      </c>
      <c r="R311" s="422" t="n">
        <v>38.56381</v>
      </c>
      <c r="S311" s="438" t="n"/>
      <c r="T311" s="438" t="n"/>
      <c r="U311" s="438" t="n"/>
      <c r="V311" s="438">
        <f>IF(AND(N311=1,U311=1),C311,"")</f>
        <v/>
      </c>
      <c r="W311" s="387" t="n"/>
      <c r="X311" s="1" t="n"/>
      <c r="Y311" s="1" t="n"/>
    </row>
    <row r="312" hidden="1" ht="16.05" customFormat="1" customHeight="1" s="126">
      <c r="A312" s="125" t="n">
        <v>377</v>
      </c>
      <c r="B312" s="125" t="inlineStr">
        <is>
          <t>WF</t>
        </is>
      </c>
      <c r="C312" s="130" t="inlineStr">
        <is>
          <t>Москва</t>
        </is>
      </c>
      <c r="D312" s="130" t="inlineStr">
        <is>
          <t>Кашира</t>
        </is>
      </c>
      <c r="E312" s="130" t="inlineStr">
        <is>
          <t>М4</t>
        </is>
      </c>
      <c r="F312" s="130" t="inlineStr">
        <is>
          <t>АЗС</t>
        </is>
      </c>
      <c r="G312" s="130" t="inlineStr">
        <is>
          <t>Лукойл</t>
        </is>
      </c>
      <c r="H312" s="131" t="inlineStr">
        <is>
          <t>LUK_438</t>
        </is>
      </c>
      <c r="I312" s="637" t="n">
        <v>50438</v>
      </c>
      <c r="J312" s="402" t="inlineStr">
        <is>
          <t>MSK_LUK_0438</t>
        </is>
      </c>
      <c r="K312" s="640" t="n">
        <v>1</v>
      </c>
      <c r="L312" s="640" t="n">
        <v>0</v>
      </c>
      <c r="M312" s="640" t="inlineStr">
        <is>
          <t>1 октября</t>
        </is>
      </c>
      <c r="N312" s="640" t="n"/>
      <c r="O312" s="640">
        <f>IF(AND(N312=1,L312=1),K312,"")</f>
        <v/>
      </c>
      <c r="P312" s="642" t="inlineStr">
        <is>
          <t>Московская область, Каширский район, г. Кашира, ул. Путейская, АЗС "Терново"</t>
        </is>
      </c>
      <c r="Q312" s="640" t="n">
        <v>54.85055</v>
      </c>
      <c r="R312" s="422" t="n">
        <v>38.21826</v>
      </c>
      <c r="S312" s="438" t="n"/>
      <c r="T312" s="438" t="n"/>
      <c r="U312" s="438" t="n"/>
      <c r="V312" s="438">
        <f>IF(AND(N312=1,U312=1),C312,"")</f>
        <v/>
      </c>
      <c r="W312" s="387" t="n"/>
      <c r="X312" s="1" t="n"/>
      <c r="Y312" s="1" t="n"/>
    </row>
    <row r="313" hidden="1" ht="16.05" customFormat="1" customHeight="1" s="126">
      <c r="A313" s="125" t="n">
        <v>378</v>
      </c>
      <c r="B313" s="125" t="inlineStr">
        <is>
          <t>WF</t>
        </is>
      </c>
      <c r="C313" s="130" t="inlineStr">
        <is>
          <t>Москва</t>
        </is>
      </c>
      <c r="D313" s="130" t="inlineStr">
        <is>
          <t>Московская область</t>
        </is>
      </c>
      <c r="E313" s="130" t="inlineStr">
        <is>
          <t>М4</t>
        </is>
      </c>
      <c r="F313" s="130" t="inlineStr">
        <is>
          <t>АЗС</t>
        </is>
      </c>
      <c r="G313" s="130" t="inlineStr">
        <is>
          <t>Лукойл</t>
        </is>
      </c>
      <c r="H313" s="131" t="inlineStr">
        <is>
          <t>LUK_439</t>
        </is>
      </c>
      <c r="I313" s="637" t="n">
        <v>50439</v>
      </c>
      <c r="J313" s="402" t="inlineStr">
        <is>
          <t>MSK_LUK_0439</t>
        </is>
      </c>
      <c r="K313" s="640" t="n">
        <v>1</v>
      </c>
      <c r="L313" s="640" t="n">
        <v>0</v>
      </c>
      <c r="M313" s="640" t="inlineStr">
        <is>
          <t>Sam 32</t>
        </is>
      </c>
      <c r="N313" s="640" t="n"/>
      <c r="O313" s="640">
        <f>IF(AND(N313=1,L313=1),K313,"")</f>
        <v/>
      </c>
      <c r="P313" s="642" t="inlineStr">
        <is>
          <t>Московская область, Каширский район, вблизи д. Кокино, 126 км а/д М-6 «Каспий»</t>
        </is>
      </c>
      <c r="Q313" s="640" t="n">
        <v>54.75825</v>
      </c>
      <c r="R313" s="422" t="n">
        <v>38.20642</v>
      </c>
      <c r="S313" s="438" t="n"/>
      <c r="T313" s="438" t="n"/>
      <c r="U313" s="438" t="n"/>
      <c r="V313" s="438">
        <f>IF(AND(N313=1,U313=1),C313,"")</f>
        <v/>
      </c>
      <c r="W313" s="387" t="n"/>
      <c r="X313" s="1" t="n"/>
      <c r="Y313" s="1" t="n"/>
    </row>
    <row r="314" hidden="1" ht="16.05" customFormat="1" customHeight="1" s="126">
      <c r="A314" s="125" t="n">
        <v>379</v>
      </c>
      <c r="B314" s="125" t="inlineStr">
        <is>
          <t>WF</t>
        </is>
      </c>
      <c r="C314" s="130" t="inlineStr">
        <is>
          <t>Москва</t>
        </is>
      </c>
      <c r="D314" s="130" t="inlineStr">
        <is>
          <t>Московская область</t>
        </is>
      </c>
      <c r="E314" s="130" t="inlineStr">
        <is>
          <t>М4</t>
        </is>
      </c>
      <c r="F314" s="130" t="inlineStr">
        <is>
          <t>АЗС</t>
        </is>
      </c>
      <c r="G314" s="130" t="inlineStr">
        <is>
          <t>Лукойл</t>
        </is>
      </c>
      <c r="H314" s="131" t="inlineStr">
        <is>
          <t>LUK_440</t>
        </is>
      </c>
      <c r="I314" s="637" t="n">
        <v>50440</v>
      </c>
      <c r="J314" s="402" t="inlineStr">
        <is>
          <t>MSK_LUK_0440</t>
        </is>
      </c>
      <c r="K314" s="640" t="n">
        <v>1</v>
      </c>
      <c r="L314" s="640" t="n">
        <v>0</v>
      </c>
      <c r="M314" s="640" t="inlineStr">
        <is>
          <t>1 октября</t>
        </is>
      </c>
      <c r="N314" s="640" t="n"/>
      <c r="O314" s="640">
        <f>IF(AND(N314=1,L314=1),K314,"")</f>
        <v/>
      </c>
      <c r="P314" s="642" t="inlineStr">
        <is>
          <t>Московская область, Каширский район, км 5+275 автомобильной дороги «Кашира-Серебряные Пруды-Узловая» (левая сторона)</t>
        </is>
      </c>
      <c r="Q314" s="640" t="n">
        <v>54.80749</v>
      </c>
      <c r="R314" s="422" t="n">
        <v>38.21654</v>
      </c>
      <c r="S314" s="438" t="n"/>
      <c r="T314" s="438" t="n"/>
      <c r="U314" s="438" t="n"/>
      <c r="V314" s="438">
        <f>IF(AND(N314=1,U314=1),C314,"")</f>
        <v/>
      </c>
      <c r="W314" s="387" t="n"/>
      <c r="X314" s="1" t="n"/>
      <c r="Y314" s="1" t="n"/>
    </row>
    <row r="315" hidden="1" ht="16.05" customFormat="1" customHeight="1" s="126">
      <c r="A315" s="125" t="n">
        <v>380</v>
      </c>
      <c r="B315" s="125" t="inlineStr">
        <is>
          <t>WF</t>
        </is>
      </c>
      <c r="C315" s="130" t="inlineStr">
        <is>
          <t>Москва</t>
        </is>
      </c>
      <c r="D315" s="130" t="inlineStr">
        <is>
          <t>Одинцово</t>
        </is>
      </c>
      <c r="E315" s="130" t="inlineStr">
        <is>
          <t>М1</t>
        </is>
      </c>
      <c r="F315" s="130" t="inlineStr">
        <is>
          <t>АЗС</t>
        </is>
      </c>
      <c r="G315" s="130" t="inlineStr">
        <is>
          <t>Лукойл</t>
        </is>
      </c>
      <c r="H315" s="131" t="inlineStr">
        <is>
          <t>LUK_441</t>
        </is>
      </c>
      <c r="I315" s="637" t="n">
        <v>50441</v>
      </c>
      <c r="J315" s="402" t="inlineStr">
        <is>
          <t>MSK_LUK_0441</t>
        </is>
      </c>
      <c r="K315" s="640" t="n">
        <v>1</v>
      </c>
      <c r="L315" s="640" t="n">
        <v>0</v>
      </c>
      <c r="M315" s="640" t="inlineStr">
        <is>
          <t>Sam 32</t>
        </is>
      </c>
      <c r="N315" s="640" t="n"/>
      <c r="O315" s="640">
        <f>IF(AND(N315=1,L315=1),K315,"")</f>
        <v/>
      </c>
      <c r="P315" s="642" t="inlineStr">
        <is>
          <t>Московская область, г. Одинцово, 25 км Минского шоссе</t>
        </is>
      </c>
      <c r="Q315" s="640" t="n">
        <v>55.65587</v>
      </c>
      <c r="R315" s="422" t="n">
        <v>37.28707</v>
      </c>
      <c r="S315" s="438" t="n"/>
      <c r="T315" s="438" t="n"/>
      <c r="U315" s="438" t="n"/>
      <c r="V315" s="438">
        <f>IF(AND(N315=1,U315=1),C315,"")</f>
        <v/>
      </c>
      <c r="W315" s="387" t="n"/>
      <c r="X315" s="1" t="n"/>
      <c r="Y315" s="1" t="n"/>
    </row>
    <row r="316" hidden="1" ht="16.05" customFormat="1" customHeight="1" s="126">
      <c r="A316" s="125" t="n">
        <v>381</v>
      </c>
      <c r="B316" s="125" t="n"/>
      <c r="C316" s="130" t="inlineStr">
        <is>
          <t>Тверь</t>
        </is>
      </c>
      <c r="D316" s="130" t="inlineStr">
        <is>
          <t>Тверь</t>
        </is>
      </c>
      <c r="E316" s="130" t="inlineStr">
        <is>
          <t>Тверь</t>
        </is>
      </c>
      <c r="F316" s="130" t="inlineStr">
        <is>
          <t>АЗС</t>
        </is>
      </c>
      <c r="G316" s="130" t="inlineStr">
        <is>
          <t>Лукойл</t>
        </is>
      </c>
      <c r="H316" s="131" t="inlineStr">
        <is>
          <t>LUK_442</t>
        </is>
      </c>
      <c r="I316" s="637" t="n">
        <v>69442</v>
      </c>
      <c r="J316" s="402" t="inlineStr">
        <is>
          <t>TVE_LUK_0442</t>
        </is>
      </c>
      <c r="K316" s="640" t="n">
        <v>1</v>
      </c>
      <c r="L316" s="640" t="n">
        <v>0</v>
      </c>
      <c r="M316" s="640" t="inlineStr">
        <is>
          <t>Sam 32</t>
        </is>
      </c>
      <c r="N316" s="640" t="n"/>
      <c r="O316" s="640">
        <f>IF(AND(N316=1,L316=1),K316,"")</f>
        <v/>
      </c>
      <c r="P316" s="642" t="inlineStr">
        <is>
          <t>Тверская область, Калининский район, Эммаусское сельское поселение, пос. Эммаусс, на 152 км. + 400 м. (правая сторона) автодороги М-10</t>
        </is>
      </c>
      <c r="Q316" s="640" t="n">
        <v>56.78161</v>
      </c>
      <c r="R316" s="422" t="n">
        <v>36.10514</v>
      </c>
      <c r="S316" s="325" t="n"/>
      <c r="T316" s="325" t="n"/>
      <c r="U316" s="325" t="n"/>
      <c r="V316" s="438">
        <f>IF(AND(N316=1,U316=1),C316,"")</f>
        <v/>
      </c>
      <c r="W316" s="387" t="n"/>
      <c r="X316" s="1" t="n"/>
      <c r="Y316" s="1" t="n"/>
    </row>
    <row r="317" hidden="1" ht="16.05" customFormat="1" customHeight="1" s="126">
      <c r="A317" s="125" t="n">
        <v>382</v>
      </c>
      <c r="B317" s="125" t="n"/>
      <c r="C317" s="130" t="inlineStr">
        <is>
          <t>Тверь</t>
        </is>
      </c>
      <c r="D317" s="130" t="inlineStr">
        <is>
          <t>Тверь</t>
        </is>
      </c>
      <c r="E317" s="130" t="inlineStr">
        <is>
          <t>Тверь</t>
        </is>
      </c>
      <c r="F317" s="130" t="inlineStr">
        <is>
          <t>АЗС</t>
        </is>
      </c>
      <c r="G317" s="130" t="inlineStr">
        <is>
          <t>Лукойл</t>
        </is>
      </c>
      <c r="H317" s="131" t="inlineStr">
        <is>
          <t>LUK_443</t>
        </is>
      </c>
      <c r="I317" s="637" t="n">
        <v>69443</v>
      </c>
      <c r="J317" s="402" t="inlineStr">
        <is>
          <t>TVE_LUK_0443</t>
        </is>
      </c>
      <c r="K317" s="640" t="n">
        <v>1</v>
      </c>
      <c r="L317" s="640" t="n">
        <v>0</v>
      </c>
      <c r="M317" s="640" t="inlineStr">
        <is>
          <t>Sam 32</t>
        </is>
      </c>
      <c r="N317" s="640" t="n"/>
      <c r="O317" s="640">
        <f>IF(AND(N317=1,L317=1),K317,"")</f>
        <v/>
      </c>
      <c r="P317" s="642" t="inlineStr">
        <is>
          <t>Тверская область, Калининский район, Эммаусское сельское поселение, 150 км. + 00 м. (левая сторона) автодороги Москва-С.Петербург</t>
        </is>
      </c>
      <c r="Q317" s="640" t="n">
        <v>56.7708</v>
      </c>
      <c r="R317" s="422" t="n">
        <v>36.13584</v>
      </c>
      <c r="S317" s="325" t="n"/>
      <c r="T317" s="325" t="n"/>
      <c r="U317" s="325" t="n"/>
      <c r="V317" s="438">
        <f>IF(AND(N317=1,U317=1),C317,"")</f>
        <v/>
      </c>
      <c r="W317" s="387" t="n"/>
      <c r="X317" s="1" t="n"/>
      <c r="Y317" s="1" t="n"/>
    </row>
    <row r="318" hidden="1" ht="16.05" customFormat="1" customHeight="1" s="126">
      <c r="A318" s="125" t="n">
        <v>383</v>
      </c>
      <c r="B318" s="125" t="inlineStr">
        <is>
          <t>WF</t>
        </is>
      </c>
      <c r="C318" s="130" t="inlineStr">
        <is>
          <t>Москва</t>
        </is>
      </c>
      <c r="D318" s="130" t="inlineStr">
        <is>
          <t>Московская область</t>
        </is>
      </c>
      <c r="E318" s="130" t="inlineStr">
        <is>
          <t>М10</t>
        </is>
      </c>
      <c r="F318" s="130" t="inlineStr">
        <is>
          <t>АЗС</t>
        </is>
      </c>
      <c r="G318" s="130" t="inlineStr">
        <is>
          <t>Лукойл</t>
        </is>
      </c>
      <c r="H318" s="131" t="inlineStr">
        <is>
          <t>LUK_444</t>
        </is>
      </c>
      <c r="I318" s="637" t="n">
        <v>50444</v>
      </c>
      <c r="J318" s="402" t="inlineStr">
        <is>
          <t>MSK_LUK_0444</t>
        </is>
      </c>
      <c r="K318" s="640" t="n">
        <v>1</v>
      </c>
      <c r="L318" s="640" t="n">
        <v>0</v>
      </c>
      <c r="M318" s="640" t="inlineStr">
        <is>
          <t>1 октября</t>
        </is>
      </c>
      <c r="N318" s="640" t="n"/>
      <c r="O318" s="640">
        <f>IF(AND(N318=1,L318=1),K318,"")</f>
        <v/>
      </c>
      <c r="P318" s="642" t="inlineStr">
        <is>
          <t>Московская область, Клинский район, 104 км а/д Москва-С.Петербург (левая сторона)</t>
        </is>
      </c>
      <c r="Q318" s="640" t="n">
        <v>56.46377</v>
      </c>
      <c r="R318" s="422" t="n">
        <v>36.58739</v>
      </c>
      <c r="S318" s="438" t="n"/>
      <c r="T318" s="438" t="n"/>
      <c r="U318" s="438" t="n"/>
      <c r="V318" s="438">
        <f>IF(AND(N318=1,U318=1),C318,"")</f>
        <v/>
      </c>
      <c r="W318" s="387" t="n"/>
      <c r="X318" s="1" t="n"/>
      <c r="Y318" s="1" t="n"/>
    </row>
    <row r="319" hidden="1" ht="16.05" customFormat="1" customHeight="1" s="126">
      <c r="A319" s="125" t="n">
        <v>384</v>
      </c>
      <c r="B319" s="125" t="inlineStr">
        <is>
          <t>WF</t>
        </is>
      </c>
      <c r="C319" s="130" t="inlineStr">
        <is>
          <t>Москва</t>
        </is>
      </c>
      <c r="D319" s="130" t="inlineStr">
        <is>
          <t>Московская область</t>
        </is>
      </c>
      <c r="E319" s="130" t="inlineStr">
        <is>
          <t>М3</t>
        </is>
      </c>
      <c r="F319" s="130" t="inlineStr">
        <is>
          <t>АЗС</t>
        </is>
      </c>
      <c r="G319" s="130" t="inlineStr">
        <is>
          <t>Лукойл</t>
        </is>
      </c>
      <c r="H319" s="131" t="inlineStr">
        <is>
          <t>LUK_446</t>
        </is>
      </c>
      <c r="I319" s="637" t="n">
        <v>50446</v>
      </c>
      <c r="J319" s="402" t="inlineStr">
        <is>
          <t>MSK_LUK_0446</t>
        </is>
      </c>
      <c r="K319" s="640" t="n">
        <v>1</v>
      </c>
      <c r="L319" s="640" t="n">
        <v>0</v>
      </c>
      <c r="M319" s="640" t="inlineStr">
        <is>
          <t>1 октября</t>
        </is>
      </c>
      <c r="N319" s="640" t="n"/>
      <c r="O319" s="640">
        <f>IF(AND(N319=1,L319=1),K319,"")</f>
        <v/>
      </c>
      <c r="P319" s="642" t="inlineStr">
        <is>
          <t>Московская область, Наро-Фоминский район, у д. Нефедово, 85-ый км Киевского шоссе (правая сторона)</t>
        </is>
      </c>
      <c r="Q319" s="640" t="n">
        <v>55.27073</v>
      </c>
      <c r="R319" s="422" t="n">
        <v>36.692</v>
      </c>
      <c r="S319" s="438" t="n"/>
      <c r="T319" s="325" t="n"/>
      <c r="U319" s="325" t="n"/>
      <c r="V319" s="438">
        <f>IF(AND(N319=1,U319=1),C319,"")</f>
        <v/>
      </c>
      <c r="W319" s="387" t="n"/>
      <c r="X319" s="1" t="n"/>
      <c r="Y319" s="1" t="n"/>
    </row>
    <row r="320" hidden="1" ht="16.05" customFormat="1" customHeight="1" s="126">
      <c r="A320" s="125" t="n">
        <v>385</v>
      </c>
      <c r="B320" s="125" t="inlineStr">
        <is>
          <t>WF</t>
        </is>
      </c>
      <c r="C320" s="130" t="inlineStr">
        <is>
          <t>Москва</t>
        </is>
      </c>
      <c r="D320" s="130" t="inlineStr">
        <is>
          <t>Московская область</t>
        </is>
      </c>
      <c r="E320" s="130" t="inlineStr">
        <is>
          <t>М10</t>
        </is>
      </c>
      <c r="F320" s="130" t="inlineStr">
        <is>
          <t>АЗС</t>
        </is>
      </c>
      <c r="G320" s="130" t="inlineStr">
        <is>
          <t>Лукойл</t>
        </is>
      </c>
      <c r="H320" s="131" t="inlineStr">
        <is>
          <t>LUK_445</t>
        </is>
      </c>
      <c r="I320" s="637" t="n">
        <v>50445</v>
      </c>
      <c r="J320" s="402" t="inlineStr">
        <is>
          <t>MSK_LUK_0445</t>
        </is>
      </c>
      <c r="K320" s="640" t="n">
        <v>1</v>
      </c>
      <c r="L320" s="640" t="n">
        <v>0</v>
      </c>
      <c r="M320" s="640" t="inlineStr">
        <is>
          <t>1 октября</t>
        </is>
      </c>
      <c r="N320" s="640" t="n"/>
      <c r="O320" s="640">
        <f>IF(AND(N320=1,L320=1),K320,"")</f>
        <v/>
      </c>
      <c r="P320" s="642" t="inlineStr">
        <is>
          <t>Московская область, Клинский район, 83-84 км а/д "Россия" (правая сторона), вблизи д. Борозда</t>
        </is>
      </c>
      <c r="Q320" s="640" t="n">
        <v>56.31063</v>
      </c>
      <c r="R320" s="422" t="n">
        <v>36.78051</v>
      </c>
      <c r="S320" s="438" t="n"/>
      <c r="T320" s="325" t="n"/>
      <c r="U320" s="325" t="n"/>
      <c r="V320" s="438">
        <f>IF(AND(N320=1,U320=1),C320,"")</f>
        <v/>
      </c>
      <c r="W320" s="387" t="n"/>
      <c r="X320" s="1" t="n"/>
      <c r="Y320" s="1" t="n"/>
    </row>
    <row r="321" hidden="1" ht="16.05" customFormat="1" customHeight="1" s="126">
      <c r="A321" s="125" t="n">
        <v>386</v>
      </c>
      <c r="B321" s="125" t="inlineStr">
        <is>
          <t>WF</t>
        </is>
      </c>
      <c r="C321" s="130" t="inlineStr">
        <is>
          <t>Москва</t>
        </is>
      </c>
      <c r="D321" s="130" t="inlineStr">
        <is>
          <t>Московская область</t>
        </is>
      </c>
      <c r="E321" s="130" t="inlineStr">
        <is>
          <t>А104</t>
        </is>
      </c>
      <c r="F321" s="130" t="inlineStr">
        <is>
          <t>АЗС</t>
        </is>
      </c>
      <c r="G321" s="130" t="inlineStr">
        <is>
          <t>Лукойл</t>
        </is>
      </c>
      <c r="H321" s="131" t="inlineStr">
        <is>
          <t>LUK_447</t>
        </is>
      </c>
      <c r="I321" s="637" t="n">
        <v>50447</v>
      </c>
      <c r="J321" s="402" t="inlineStr">
        <is>
          <t>MSK_LUK_0447</t>
        </is>
      </c>
      <c r="K321" s="640" t="n">
        <v>1</v>
      </c>
      <c r="L321" s="640" t="n">
        <v>0</v>
      </c>
      <c r="M321" s="640" t="inlineStr">
        <is>
          <t>1 октября</t>
        </is>
      </c>
      <c r="N321" s="640" t="n"/>
      <c r="O321" s="640">
        <f>IF(AND(N321=1,L321=1),K321,"")</f>
        <v/>
      </c>
      <c r="P321" s="642" t="inlineStr">
        <is>
          <t>Московская область, Дмитровский район, Настасьинский с.о., дер. Спиридово</t>
        </is>
      </c>
      <c r="Q321" s="640" t="n">
        <v>56.36752</v>
      </c>
      <c r="R321" s="422" t="n">
        <v>37.46514</v>
      </c>
      <c r="S321" s="438" t="n"/>
      <c r="T321" s="438" t="n"/>
      <c r="U321" s="438" t="n"/>
      <c r="V321" s="438">
        <f>IF(AND(N321=1,U321=1),C321,"")</f>
        <v/>
      </c>
      <c r="W321" s="387" t="n"/>
      <c r="X321" s="1" t="n"/>
      <c r="Y321" s="1" t="n"/>
    </row>
    <row r="322" hidden="1" ht="16.05" customFormat="1" customHeight="1" s="126">
      <c r="A322" s="125" t="n">
        <v>387</v>
      </c>
      <c r="B322" s="125" t="n"/>
      <c r="C322" s="130" t="inlineStr">
        <is>
          <t>Москва</t>
        </is>
      </c>
      <c r="D322" s="130" t="inlineStr">
        <is>
          <t>Московская область</t>
        </is>
      </c>
      <c r="E322" s="130" t="inlineStr">
        <is>
          <t>М10</t>
        </is>
      </c>
      <c r="F322" s="130" t="n"/>
      <c r="G322" s="130" t="inlineStr">
        <is>
          <t>Лукойл</t>
        </is>
      </c>
      <c r="H322" s="131" t="inlineStr">
        <is>
          <t>LUK_450</t>
        </is>
      </c>
      <c r="I322" s="637" t="n">
        <v>50450</v>
      </c>
      <c r="J322" s="402" t="inlineStr">
        <is>
          <t>MSK_LUK_0450</t>
        </is>
      </c>
      <c r="K322" s="640" t="n">
        <v>1</v>
      </c>
      <c r="L322" s="640" t="n">
        <v>0</v>
      </c>
      <c r="M322" s="640" t="inlineStr">
        <is>
          <t>Sam 32</t>
        </is>
      </c>
      <c r="N322" s="640" t="n"/>
      <c r="O322" s="640">
        <f>IF(AND(N322=1,L322=1),K322,"")</f>
        <v/>
      </c>
      <c r="P322" s="642" t="inlineStr">
        <is>
          <t>Московская область, Химкинский район, д. Кирилловка, д. 5, Ленинградское шоссе (30 км)</t>
        </is>
      </c>
      <c r="Q322" s="640" t="n">
        <v>55.96178</v>
      </c>
      <c r="R322" s="422" t="n">
        <v>37.33504</v>
      </c>
      <c r="S322" s="325" t="n"/>
      <c r="T322" s="325" t="n"/>
      <c r="U322" s="325" t="n"/>
      <c r="V322" s="438">
        <f>IF(AND(N322=1,U322=1),C322,"")</f>
        <v/>
      </c>
      <c r="W322" s="387" t="n"/>
      <c r="X322" s="1" t="n"/>
      <c r="Y322" s="1" t="n"/>
    </row>
    <row r="323" hidden="1" ht="16.05" customHeight="1">
      <c r="A323" s="13" t="n">
        <v>388</v>
      </c>
      <c r="B323" s="13">
        <f>IF(OR(M323="Sam 32",M323="Sam 40"),"s",IF(M323="AMS","a","v"))</f>
        <v/>
      </c>
      <c r="C323" s="130" t="inlineStr">
        <is>
          <t>Москва</t>
        </is>
      </c>
      <c r="D323" s="130" t="inlineStr">
        <is>
          <t>МО</t>
        </is>
      </c>
      <c r="E323" s="130" t="inlineStr">
        <is>
          <t>М10</t>
        </is>
      </c>
      <c r="F323" s="130" t="n"/>
      <c r="G323" s="130" t="inlineStr">
        <is>
          <t>Лукойл</t>
        </is>
      </c>
      <c r="H323" s="131" t="inlineStr">
        <is>
          <t>LUK_452</t>
        </is>
      </c>
      <c r="I323" s="637" t="inlineStr">
        <is>
          <t>LUK_452</t>
        </is>
      </c>
      <c r="J323" s="402" t="inlineStr">
        <is>
          <t>MSK_LUK_0452</t>
        </is>
      </c>
      <c r="K323" s="640" t="n">
        <v>1</v>
      </c>
      <c r="L323" s="640" t="n">
        <v>0</v>
      </c>
      <c r="M323" s="640" t="inlineStr">
        <is>
          <t>Sam 32</t>
        </is>
      </c>
      <c r="N323" s="640" t="n"/>
      <c r="O323" s="640">
        <f>IF(AND(N323=1,L323=1),K323,"")</f>
        <v/>
      </c>
      <c r="P323" s="642" t="inlineStr">
        <is>
          <t>МО, Клинский район, автодорога "Россия", 104 км</t>
        </is>
      </c>
      <c r="Q323" s="640" t="n"/>
      <c r="R323" s="422" t="n"/>
      <c r="S323" s="438" t="n"/>
      <c r="T323" s="438" t="n"/>
      <c r="U323" s="438" t="n"/>
      <c r="V323" s="438">
        <f>IF(AND(N323=1,U323=1),C323,"")</f>
        <v/>
      </c>
      <c r="X323" s="1" t="n"/>
      <c r="Y323" s="1" t="n"/>
      <c r="Z323" s="1" t="n"/>
    </row>
    <row r="324" hidden="1" ht="16.05" customFormat="1" customHeight="1" s="126">
      <c r="A324" s="125" t="n">
        <v>389</v>
      </c>
      <c r="B324" s="125" t="inlineStr">
        <is>
          <t>WF</t>
        </is>
      </c>
      <c r="C324" s="130" t="inlineStr">
        <is>
          <t>Москва</t>
        </is>
      </c>
      <c r="D324" s="130" t="inlineStr">
        <is>
          <t>Московская область</t>
        </is>
      </c>
      <c r="E324" s="130" t="inlineStr">
        <is>
          <t>А104</t>
        </is>
      </c>
      <c r="F324" s="130" t="inlineStr">
        <is>
          <t>АЗС</t>
        </is>
      </c>
      <c r="G324" s="130" t="inlineStr">
        <is>
          <t>Лукойл</t>
        </is>
      </c>
      <c r="H324" s="131" t="inlineStr">
        <is>
          <t>LUK_456</t>
        </is>
      </c>
      <c r="I324" s="637" t="n">
        <v>50456</v>
      </c>
      <c r="J324" s="402" t="inlineStr">
        <is>
          <t>MSK_LUK_0456</t>
        </is>
      </c>
      <c r="K324" s="640" t="n">
        <v>1</v>
      </c>
      <c r="L324" s="640" t="n">
        <v>0</v>
      </c>
      <c r="M324" s="640" t="inlineStr">
        <is>
          <t>1 октября</t>
        </is>
      </c>
      <c r="N324" s="640" t="n"/>
      <c r="O324" s="640">
        <f>IF(AND(N324=1,L324=1),K324,"")</f>
        <v/>
      </c>
      <c r="P324" s="642" t="inlineStr">
        <is>
          <t>Московская область, Дмитровский район, с. Рогачево, 34 км шоссе Клин-Дмитров</t>
        </is>
      </c>
      <c r="Q324" s="640" t="n">
        <v>56.44053</v>
      </c>
      <c r="R324" s="422" t="n">
        <v>37.16769</v>
      </c>
      <c r="S324" s="438" t="n"/>
      <c r="T324" s="325" t="n"/>
      <c r="U324" s="325" t="n"/>
      <c r="V324" s="438">
        <f>IF(AND(N324=1,U324=1),C324,"")</f>
        <v/>
      </c>
      <c r="W324" s="387" t="n"/>
      <c r="X324" s="1" t="n"/>
      <c r="Y324" s="1" t="n"/>
    </row>
    <row r="325" hidden="1" ht="16.05" customFormat="1" customHeight="1" s="126">
      <c r="A325" s="125" t="n">
        <v>390</v>
      </c>
      <c r="B325" s="125" t="inlineStr">
        <is>
          <t>WF</t>
        </is>
      </c>
      <c r="C325" s="130" t="inlineStr">
        <is>
          <t>Москва</t>
        </is>
      </c>
      <c r="D325" s="130" t="inlineStr">
        <is>
          <t>Дубна</t>
        </is>
      </c>
      <c r="E325" s="130" t="inlineStr">
        <is>
          <t>А104</t>
        </is>
      </c>
      <c r="F325" s="130" t="inlineStr">
        <is>
          <t>АЗС</t>
        </is>
      </c>
      <c r="G325" s="130" t="inlineStr">
        <is>
          <t>Лукойл</t>
        </is>
      </c>
      <c r="H325" s="131" t="inlineStr">
        <is>
          <t>LUK_458</t>
        </is>
      </c>
      <c r="I325" s="637" t="n">
        <v>50458</v>
      </c>
      <c r="J325" s="402" t="inlineStr">
        <is>
          <t>MSK_LUK_0458</t>
        </is>
      </c>
      <c r="K325" s="640" t="n">
        <v>1</v>
      </c>
      <c r="L325" s="640" t="n">
        <v>0</v>
      </c>
      <c r="M325" s="640" t="inlineStr">
        <is>
          <t>1 октября</t>
        </is>
      </c>
      <c r="N325" s="640" t="n"/>
      <c r="O325" s="640">
        <f>IF(AND(N325=1,L325=1),K325,"")</f>
        <v/>
      </c>
      <c r="P325" s="642" t="inlineStr">
        <is>
          <t>141981, Московская область, г. Дубна, ш. Дмитровское, д. 10</t>
        </is>
      </c>
      <c r="Q325" s="640" t="n">
        <v>56.72414</v>
      </c>
      <c r="R325" s="422" t="n">
        <v>37.13668</v>
      </c>
      <c r="S325" s="438" t="n"/>
      <c r="T325" s="325" t="n"/>
      <c r="U325" s="325" t="n"/>
      <c r="V325" s="438">
        <f>IF(AND(N325=1,U325=1),C325,"")</f>
        <v/>
      </c>
      <c r="W325" s="387" t="n"/>
      <c r="X325" s="1" t="n"/>
      <c r="Y325" s="1" t="n"/>
    </row>
    <row r="326" hidden="1" ht="16.05" customHeight="1">
      <c r="A326" s="13" t="n">
        <v>392</v>
      </c>
      <c r="B326" s="13">
        <f>IF(OR(M326="Sam 32",M326="Sam 40"),"s",IF(M326="AMS","a","v"))</f>
        <v/>
      </c>
      <c r="C326" s="130" t="inlineStr">
        <is>
          <t>Тверь</t>
        </is>
      </c>
      <c r="D326" s="130" t="inlineStr">
        <is>
          <t>Тверь</t>
        </is>
      </c>
      <c r="E326" s="130" t="inlineStr">
        <is>
          <t>Тверь</t>
        </is>
      </c>
      <c r="F326" s="130" t="n"/>
      <c r="G326" s="130" t="inlineStr">
        <is>
          <t>Лукойл</t>
        </is>
      </c>
      <c r="H326" s="131" t="inlineStr">
        <is>
          <t>LUK_470</t>
        </is>
      </c>
      <c r="I326" s="637" t="inlineStr">
        <is>
          <t>LUK_470</t>
        </is>
      </c>
      <c r="J326" s="402" t="n"/>
      <c r="K326" s="640" t="n">
        <v>0</v>
      </c>
      <c r="L326" s="640" t="n">
        <v>0</v>
      </c>
      <c r="M326" s="640" t="inlineStr">
        <is>
          <t>Sam 32</t>
        </is>
      </c>
      <c r="N326" s="640" t="n"/>
      <c r="O326" s="640">
        <f>IF(AND(N326=1,L326=1),K326,"")</f>
        <v/>
      </c>
      <c r="P326" s="642" t="inlineStr">
        <is>
          <t>Тверская область, Нелидовский район, Земцовское сельское поселение, д. Подберезье, 345 км а/д "Москва Рига" (право)</t>
        </is>
      </c>
      <c r="Q326" s="640" t="n"/>
      <c r="R326" s="422" t="n"/>
      <c r="S326" s="325" t="n"/>
      <c r="T326" s="325" t="n"/>
      <c r="U326" s="325" t="n"/>
      <c r="V326" s="438">
        <f>IF(AND(N326=1,U326=1),C326,"")</f>
        <v/>
      </c>
      <c r="X326" s="1" t="n"/>
      <c r="Y326" s="1" t="n"/>
      <c r="Z326" s="1" t="n"/>
    </row>
    <row r="327" hidden="1" ht="16.05" customHeight="1">
      <c r="A327" s="13" t="n">
        <v>393</v>
      </c>
      <c r="B327" s="125" t="inlineStr">
        <is>
          <t>WF</t>
        </is>
      </c>
      <c r="C327" s="130" t="inlineStr">
        <is>
          <t>Москва</t>
        </is>
      </c>
      <c r="D327" s="130" t="inlineStr">
        <is>
          <t>Москва</t>
        </is>
      </c>
      <c r="E327" s="130" t="inlineStr">
        <is>
          <t>А130</t>
        </is>
      </c>
      <c r="F327" s="130" t="inlineStr">
        <is>
          <t>АЗС</t>
        </is>
      </c>
      <c r="G327" s="130" t="inlineStr">
        <is>
          <t>Лукойл</t>
        </is>
      </c>
      <c r="H327" s="131" t="inlineStr">
        <is>
          <t>LUK_471</t>
        </is>
      </c>
      <c r="I327" s="637" t="n">
        <v>77471</v>
      </c>
      <c r="J327" s="402" t="inlineStr">
        <is>
          <t>MSK_LUK_0471</t>
        </is>
      </c>
      <c r="K327" s="640" t="n">
        <v>1</v>
      </c>
      <c r="L327" s="640" t="n">
        <v>0</v>
      </c>
      <c r="M327" s="640" t="inlineStr">
        <is>
          <t>1 октября</t>
        </is>
      </c>
      <c r="N327" s="640" t="n"/>
      <c r="O327" s="640">
        <f>IF(AND(N327=1,L327=1),K327,"")</f>
        <v/>
      </c>
      <c r="P327" s="642" t="inlineStr">
        <is>
          <t>Москва, поселение Сосенское, деревня Сосенки, 25км а/д «Москва-Рославль»</t>
        </is>
      </c>
      <c r="Q327" s="640" t="n">
        <v>55.5657081604004</v>
      </c>
      <c r="R327" s="422" t="n">
        <v>37.4456787109375</v>
      </c>
      <c r="S327" s="438" t="n"/>
      <c r="T327" s="325" t="n"/>
      <c r="U327" s="325" t="n"/>
      <c r="V327" s="438">
        <f>IF(AND(N327=1,U327=1),C327,"")</f>
        <v/>
      </c>
      <c r="X327" s="1" t="n"/>
      <c r="Y327" s="1" t="n"/>
      <c r="Z327" s="1" t="n"/>
    </row>
    <row r="328" hidden="1" ht="16.05" customFormat="1" customHeight="1" s="126">
      <c r="A328" s="125" t="n">
        <v>394</v>
      </c>
      <c r="B328" s="125" t="inlineStr">
        <is>
          <t>WF</t>
        </is>
      </c>
      <c r="C328" s="130" t="inlineStr">
        <is>
          <t>Москва</t>
        </is>
      </c>
      <c r="D328" s="130" t="inlineStr">
        <is>
          <t>Московская область</t>
        </is>
      </c>
      <c r="E328" s="130" t="inlineStr">
        <is>
          <t>М5</t>
        </is>
      </c>
      <c r="F328" s="130" t="inlineStr">
        <is>
          <t>АЗС</t>
        </is>
      </c>
      <c r="G328" s="130" t="inlineStr">
        <is>
          <t>Лукойл</t>
        </is>
      </c>
      <c r="H328" s="131" t="inlineStr">
        <is>
          <t>LUK_472</t>
        </is>
      </c>
      <c r="I328" s="637" t="n">
        <v>50472</v>
      </c>
      <c r="J328" s="402" t="inlineStr">
        <is>
          <t>MSK_LUK_0472</t>
        </is>
      </c>
      <c r="K328" s="640" t="n">
        <v>1</v>
      </c>
      <c r="L328" s="640" t="n">
        <v>0</v>
      </c>
      <c r="M328" s="640" t="inlineStr">
        <is>
          <t>1 октября</t>
        </is>
      </c>
      <c r="N328" s="640" t="n"/>
      <c r="O328" s="640">
        <f>IF(AND(N328=1,L328=1),K328,"")</f>
        <v/>
      </c>
      <c r="P328" s="642" t="inlineStr">
        <is>
          <t>Московская область, Люберецкий район, поселок Октябрьский, ул. Ленина, строение 60</t>
        </is>
      </c>
      <c r="Q328" s="640" t="n">
        <v>55.6035</v>
      </c>
      <c r="R328" s="422" t="n">
        <v>37.9805</v>
      </c>
      <c r="S328" s="438" t="n"/>
      <c r="T328" s="325" t="n"/>
      <c r="U328" s="325" t="n"/>
      <c r="V328" s="438">
        <f>IF(AND(N328=1,U328=1),C328,"")</f>
        <v/>
      </c>
      <c r="W328" s="387" t="n"/>
      <c r="X328" s="1" t="n"/>
      <c r="Y328" s="1" t="n"/>
    </row>
    <row r="329" hidden="1" ht="16.05" customFormat="1" customHeight="1" s="126">
      <c r="A329" s="125" t="n">
        <v>395</v>
      </c>
      <c r="B329" s="125" t="inlineStr">
        <is>
          <t>WF</t>
        </is>
      </c>
      <c r="C329" s="130" t="inlineStr">
        <is>
          <t>Москва</t>
        </is>
      </c>
      <c r="D329" s="130" t="inlineStr">
        <is>
          <t>Московская область</t>
        </is>
      </c>
      <c r="E329" s="130" t="inlineStr">
        <is>
          <t>М1</t>
        </is>
      </c>
      <c r="F329" s="130" t="inlineStr">
        <is>
          <t>АЗС</t>
        </is>
      </c>
      <c r="G329" s="130" t="inlineStr">
        <is>
          <t>Лукойл</t>
        </is>
      </c>
      <c r="H329" s="131" t="inlineStr">
        <is>
          <t>LUK_473</t>
        </is>
      </c>
      <c r="I329" s="637" t="n">
        <v>50473</v>
      </c>
      <c r="J329" s="402" t="inlineStr">
        <is>
          <t>MSK_LUK_0473</t>
        </is>
      </c>
      <c r="K329" s="640" t="n">
        <v>1</v>
      </c>
      <c r="L329" s="640" t="n">
        <v>0</v>
      </c>
      <c r="M329" s="640" t="inlineStr">
        <is>
          <t>1 октября</t>
        </is>
      </c>
      <c r="N329" s="640" t="n"/>
      <c r="O329" s="640">
        <f>IF(AND(N329=1,L329=1),K329,"")</f>
        <v/>
      </c>
      <c r="P329" s="642" t="inlineStr">
        <is>
          <t>Московская область, Рузский район, сельское поселение Волковское, д. Таблово, сооружение № 16А</t>
        </is>
      </c>
      <c r="Q329" s="640" t="n">
        <v>55.7326</v>
      </c>
      <c r="R329" s="422" t="n">
        <v>36.22209</v>
      </c>
      <c r="S329" s="438" t="n"/>
      <c r="T329" s="325" t="n"/>
      <c r="U329" s="325" t="n"/>
      <c r="V329" s="438">
        <f>IF(AND(N329=1,U329=1),C329,"")</f>
        <v/>
      </c>
      <c r="W329" s="387" t="n"/>
      <c r="X329" s="1" t="n"/>
      <c r="Y329" s="1" t="n"/>
    </row>
    <row r="330" hidden="1" ht="16.05" customFormat="1" customHeight="1" s="126">
      <c r="A330" s="13" t="n">
        <v>396</v>
      </c>
      <c r="B330" s="13">
        <f>IF(OR(M330="Sam 32",M330="Sam 40"),"s",IF(M330="AMS","a","v"))</f>
        <v/>
      </c>
      <c r="C330" s="130" t="inlineStr">
        <is>
          <t>Москва</t>
        </is>
      </c>
      <c r="D330" s="130" t="inlineStr">
        <is>
          <t>Балашиха</t>
        </is>
      </c>
      <c r="E330" s="130" t="inlineStr">
        <is>
          <t>М7</t>
        </is>
      </c>
      <c r="F330" s="130" t="n"/>
      <c r="G330" s="130" t="inlineStr">
        <is>
          <t>Лукойл</t>
        </is>
      </c>
      <c r="H330" s="131" t="inlineStr">
        <is>
          <t>LUK_474</t>
        </is>
      </c>
      <c r="I330" s="637" t="inlineStr">
        <is>
          <t>LUK_474</t>
        </is>
      </c>
      <c r="J330" s="402" t="inlineStr">
        <is>
          <t>MSK_LUK_0484_1</t>
        </is>
      </c>
      <c r="K330" s="640" t="n">
        <v>1</v>
      </c>
      <c r="L330" s="640" t="n">
        <v>0</v>
      </c>
      <c r="M330" s="640" t="inlineStr">
        <is>
          <t>AMS</t>
        </is>
      </c>
      <c r="N330" s="640" t="n"/>
      <c r="O330" s="640">
        <f>IF(AND(N330=1,L330=1),K330,"")</f>
        <v/>
      </c>
      <c r="P330" s="642" t="inlineStr">
        <is>
          <t>Московская область, г. Балашиха, Западная коммунальная зона, шоссе Энтузиастов, влад. 12</t>
        </is>
      </c>
      <c r="Q330" s="640" t="n"/>
      <c r="R330" s="422" t="n"/>
      <c r="S330" s="325" t="n"/>
      <c r="T330" s="325" t="n"/>
      <c r="U330" s="325" t="n"/>
      <c r="V330" s="438">
        <f>IF(AND(N330=1,U330=1),C330,"")</f>
        <v/>
      </c>
      <c r="W330" s="387" t="n"/>
      <c r="X330" s="1" t="n"/>
      <c r="Y330" s="1" t="n"/>
    </row>
    <row r="331" hidden="1" ht="16.05" customFormat="1" customHeight="1" s="126">
      <c r="A331" s="125" t="n">
        <v>397</v>
      </c>
      <c r="B331" s="125" t="inlineStr">
        <is>
          <t>WF</t>
        </is>
      </c>
      <c r="C331" s="130" t="inlineStr">
        <is>
          <t>Москва</t>
        </is>
      </c>
      <c r="D331" s="130" t="inlineStr">
        <is>
          <t>Московская область</t>
        </is>
      </c>
      <c r="E331" s="130" t="inlineStr">
        <is>
          <t>А106</t>
        </is>
      </c>
      <c r="F331" s="130" t="inlineStr">
        <is>
          <t>АЗС</t>
        </is>
      </c>
      <c r="G331" s="130" t="inlineStr">
        <is>
          <t>Лукойл</t>
        </is>
      </c>
      <c r="H331" s="131" t="inlineStr">
        <is>
          <t>LUK_475</t>
        </is>
      </c>
      <c r="I331" s="637" t="n">
        <v>50475</v>
      </c>
      <c r="J331" s="402" t="inlineStr">
        <is>
          <t>MSK_LUK_0475</t>
        </is>
      </c>
      <c r="K331" s="640" t="n">
        <v>2</v>
      </c>
      <c r="L331" s="640" t="n">
        <v>0</v>
      </c>
      <c r="M331" s="640" t="inlineStr">
        <is>
          <t>1 октября</t>
        </is>
      </c>
      <c r="N331" s="640" t="n"/>
      <c r="O331" s="640">
        <f>IF(AND(N331=1,L331=1),K331,"")</f>
        <v/>
      </c>
      <c r="P331" s="642" t="inlineStr">
        <is>
          <t>Московская область, Одинцовский район, д. Раздоры, 1-й км Рублево-Успенского шоссе, д. 1/1</t>
        </is>
      </c>
      <c r="Q331" s="640" t="n">
        <v>55.76495</v>
      </c>
      <c r="R331" s="422" t="n">
        <v>37.36508</v>
      </c>
      <c r="S331" s="438" t="n"/>
      <c r="T331" s="325" t="n"/>
      <c r="U331" s="325" t="n"/>
      <c r="V331" s="438">
        <f>IF(AND(N331=1,U331=1),C331,"")</f>
        <v/>
      </c>
      <c r="W331" s="387" t="n"/>
      <c r="X331" s="1" t="n"/>
      <c r="Y331" s="1" t="n"/>
    </row>
    <row r="332" hidden="1" ht="16.05" customFormat="1" customHeight="1" s="126">
      <c r="A332" s="125" t="n">
        <v>400</v>
      </c>
      <c r="B332" s="125" t="inlineStr">
        <is>
          <t>WF</t>
        </is>
      </c>
      <c r="C332" s="130" t="inlineStr">
        <is>
          <t>Москва</t>
        </is>
      </c>
      <c r="D332" s="130" t="inlineStr">
        <is>
          <t>Московская область</t>
        </is>
      </c>
      <c r="E332" s="130" t="inlineStr">
        <is>
          <t>М7</t>
        </is>
      </c>
      <c r="F332" s="130" t="inlineStr">
        <is>
          <t>АЗС</t>
        </is>
      </c>
      <c r="G332" s="130" t="inlineStr">
        <is>
          <t>Лукойл</t>
        </is>
      </c>
      <c r="H332" s="131" t="inlineStr">
        <is>
          <t>LUK_477</t>
        </is>
      </c>
      <c r="I332" s="637" t="n">
        <v>50477</v>
      </c>
      <c r="J332" s="402" t="inlineStr">
        <is>
          <t>MSK_LUK_0477</t>
        </is>
      </c>
      <c r="K332" s="640" t="n">
        <v>1</v>
      </c>
      <c r="L332" s="640" t="n">
        <v>0</v>
      </c>
      <c r="M332" s="640" t="inlineStr">
        <is>
          <t>1 октября</t>
        </is>
      </c>
      <c r="N332" s="640" t="n"/>
      <c r="O332" s="640">
        <f>IF(AND(N332=1,L332=1),K332,"")</f>
        <v/>
      </c>
      <c r="P332" s="642" t="inlineStr">
        <is>
          <t>Московская область, Ногинский район, 51 км автодороги Москва - Н.Новгород</t>
        </is>
      </c>
      <c r="Q332" s="640" t="n">
        <v>55.830607</v>
      </c>
      <c r="R332" s="422" t="n">
        <v>38.402861</v>
      </c>
      <c r="S332" s="438" t="n"/>
      <c r="T332" s="325" t="n"/>
      <c r="U332" s="325" t="n"/>
      <c r="V332" s="438">
        <f>IF(AND(N332=1,U332=1),C332,"")</f>
        <v/>
      </c>
      <c r="W332" s="387" t="n"/>
      <c r="X332" s="1" t="n"/>
      <c r="Y332" s="1" t="n"/>
    </row>
    <row r="333" hidden="1" ht="16.05" customFormat="1" customHeight="1" s="126">
      <c r="A333" s="125" t="n">
        <v>401</v>
      </c>
      <c r="B333" s="125" t="inlineStr">
        <is>
          <t>WF</t>
        </is>
      </c>
      <c r="C333" s="130" t="inlineStr">
        <is>
          <t>Москва</t>
        </is>
      </c>
      <c r="D333" s="130" t="inlineStr">
        <is>
          <t>Московская область</t>
        </is>
      </c>
      <c r="E333" s="130" t="inlineStr">
        <is>
          <t>М5</t>
        </is>
      </c>
      <c r="F333" s="130" t="inlineStr">
        <is>
          <t>АЗС</t>
        </is>
      </c>
      <c r="G333" s="130" t="inlineStr">
        <is>
          <t>Лукойл</t>
        </is>
      </c>
      <c r="H333" s="131" t="inlineStr">
        <is>
          <t>LUK_478</t>
        </is>
      </c>
      <c r="I333" s="637" t="n">
        <v>50478</v>
      </c>
      <c r="J333" s="402" t="inlineStr">
        <is>
          <t>MSK_LUK_0478</t>
        </is>
      </c>
      <c r="K333" s="640" t="n">
        <v>1</v>
      </c>
      <c r="L333" s="640" t="n">
        <v>0</v>
      </c>
      <c r="M333" s="640" t="inlineStr">
        <is>
          <t>1 октября</t>
        </is>
      </c>
      <c r="N333" s="640" t="n"/>
      <c r="O333" s="640">
        <f>IF(AND(N333=1,L333=1),K333,"")</f>
        <v/>
      </c>
      <c r="P333" s="642" t="inlineStr">
        <is>
          <t>Московская область, Люберецкий район, пос. Томилино, 25 км Новорязанского шоссе</t>
        </is>
      </c>
      <c r="Q333" s="640" t="n">
        <v>55.6375</v>
      </c>
      <c r="R333" s="422" t="n">
        <v>37.926597</v>
      </c>
      <c r="S333" s="438" t="n"/>
      <c r="T333" s="325" t="n"/>
      <c r="U333" s="325" t="n"/>
      <c r="V333" s="438">
        <f>IF(AND(N333=1,U333=1),C333,"")</f>
        <v/>
      </c>
      <c r="W333" s="387" t="n"/>
      <c r="X333" s="1" t="n"/>
      <c r="Y333" s="1" t="n"/>
    </row>
    <row r="334" hidden="1" ht="16.05" customFormat="1" customHeight="1" s="126">
      <c r="A334" s="125" t="n">
        <v>402</v>
      </c>
      <c r="B334" s="125" t="inlineStr">
        <is>
          <t>WF</t>
        </is>
      </c>
      <c r="C334" s="130" t="inlineStr">
        <is>
          <t>Москва</t>
        </is>
      </c>
      <c r="D334" s="130" t="inlineStr">
        <is>
          <t>Московская область</t>
        </is>
      </c>
      <c r="E334" s="130" t="inlineStr">
        <is>
          <t>М1</t>
        </is>
      </c>
      <c r="F334" s="130" t="inlineStr">
        <is>
          <t>АЗС</t>
        </is>
      </c>
      <c r="G334" s="130" t="inlineStr">
        <is>
          <t>Лукойл</t>
        </is>
      </c>
      <c r="H334" s="131" t="inlineStr">
        <is>
          <t>LUK_479</t>
        </is>
      </c>
      <c r="I334" s="637" t="n">
        <v>50479</v>
      </c>
      <c r="J334" s="402" t="inlineStr">
        <is>
          <t>MSK_LUK_0479</t>
        </is>
      </c>
      <c r="K334" s="640" t="n">
        <v>1</v>
      </c>
      <c r="L334" s="640" t="n">
        <v>0</v>
      </c>
      <c r="M334" s="640" t="inlineStr">
        <is>
          <t>1 октября</t>
        </is>
      </c>
      <c r="N334" s="640" t="n"/>
      <c r="O334" s="640">
        <f>IF(AND(N334=1,L334=1),K334,"")</f>
        <v/>
      </c>
      <c r="P334" s="642" t="inlineStr">
        <is>
          <t>Московская область, Наро-Фоминский муниципальный район, сельское поселение Волченковское, д. Назарьево</t>
        </is>
      </c>
      <c r="Q334" s="640" t="n">
        <v>55.376895</v>
      </c>
      <c r="R334" s="422" t="n">
        <v>36.406097</v>
      </c>
      <c r="S334" s="438" t="n"/>
      <c r="T334" s="325" t="n"/>
      <c r="U334" s="325" t="n"/>
      <c r="V334" s="438">
        <f>IF(AND(N334=1,U334=1),C334,"")</f>
        <v/>
      </c>
      <c r="W334" s="387" t="n"/>
      <c r="X334" s="1" t="n"/>
      <c r="Y334" s="1" t="n"/>
    </row>
    <row r="335" hidden="1" ht="16.05" customFormat="1" customHeight="1" s="126">
      <c r="A335" s="125" t="n">
        <v>403</v>
      </c>
      <c r="B335" s="125" t="inlineStr">
        <is>
          <t>WF</t>
        </is>
      </c>
      <c r="C335" s="130" t="inlineStr">
        <is>
          <t>Москва</t>
        </is>
      </c>
      <c r="D335" s="130" t="inlineStr">
        <is>
          <t>Орехово-Зуево</t>
        </is>
      </c>
      <c r="E335" s="130" t="inlineStr">
        <is>
          <t>М7</t>
        </is>
      </c>
      <c r="F335" s="130" t="inlineStr">
        <is>
          <t>АЗС</t>
        </is>
      </c>
      <c r="G335" s="130" t="inlineStr">
        <is>
          <t>Лукойл</t>
        </is>
      </c>
      <c r="H335" s="131" t="inlineStr">
        <is>
          <t>LUK_480</t>
        </is>
      </c>
      <c r="I335" s="637" t="n">
        <v>50480</v>
      </c>
      <c r="J335" s="402" t="inlineStr">
        <is>
          <t>MSK_LUK_0480</t>
        </is>
      </c>
      <c r="K335" s="640" t="n">
        <v>1</v>
      </c>
      <c r="L335" s="640" t="n">
        <v>0</v>
      </c>
      <c r="M335" s="640" t="inlineStr">
        <is>
          <t>1 октября</t>
        </is>
      </c>
      <c r="N335" s="640" t="n"/>
      <c r="O335" s="640">
        <f>IF(AND(N335=1,L335=1),K335,"")</f>
        <v/>
      </c>
      <c r="P335" s="642" t="inlineStr">
        <is>
          <t>Московская область, г. Орехово-Зуево, ул. Егорьевская, д. 8</t>
        </is>
      </c>
      <c r="Q335" s="640" t="n">
        <v>55.792496</v>
      </c>
      <c r="R335" s="422" t="n">
        <v>38.970705</v>
      </c>
      <c r="S335" s="438" t="n"/>
      <c r="T335" s="325" t="n"/>
      <c r="U335" s="325" t="n"/>
      <c r="V335" s="438">
        <f>IF(AND(N335=1,U335=1),C335,"")</f>
        <v/>
      </c>
      <c r="W335" s="387" t="n"/>
      <c r="X335" s="1" t="n"/>
      <c r="Y335" s="1" t="n"/>
    </row>
    <row r="336" hidden="1" ht="16.05" customFormat="1" customHeight="1" s="126">
      <c r="A336" s="125" t="n">
        <v>404</v>
      </c>
      <c r="B336" s="125" t="inlineStr">
        <is>
          <t>WF</t>
        </is>
      </c>
      <c r="C336" s="130" t="inlineStr">
        <is>
          <t>Москва</t>
        </is>
      </c>
      <c r="D336" s="130" t="inlineStr">
        <is>
          <t>Московская область</t>
        </is>
      </c>
      <c r="E336" s="130" t="inlineStr">
        <is>
          <t>М9</t>
        </is>
      </c>
      <c r="F336" s="130" t="inlineStr">
        <is>
          <t>АЗС</t>
        </is>
      </c>
      <c r="G336" s="130" t="inlineStr">
        <is>
          <t>Лукойл</t>
        </is>
      </c>
      <c r="H336" s="131" t="inlineStr">
        <is>
          <t>LUK_481</t>
        </is>
      </c>
      <c r="I336" s="637" t="n">
        <v>50481</v>
      </c>
      <c r="J336" s="402" t="inlineStr">
        <is>
          <t>MSK_LUK_0481</t>
        </is>
      </c>
      <c r="K336" s="640" t="n">
        <v>1</v>
      </c>
      <c r="L336" s="640" t="n">
        <v>0</v>
      </c>
      <c r="M336" s="640" t="inlineStr">
        <is>
          <t>1 октября</t>
        </is>
      </c>
      <c r="N336" s="640" t="n"/>
      <c r="O336" s="640">
        <f>IF(AND(N336=1,L336=1),K336,"")</f>
        <v/>
      </c>
      <c r="P336" s="642" t="inlineStr">
        <is>
          <t>Московская область, Истринский район, Павло-Слободское с/пос., с. Павловская Слобода, ул. Ленина, уч. 74</t>
        </is>
      </c>
      <c r="Q336" s="640" t="n">
        <v>55.815263</v>
      </c>
      <c r="R336" s="422" t="n">
        <v>37.072181</v>
      </c>
      <c r="S336" s="438" t="n"/>
      <c r="T336" s="325" t="n"/>
      <c r="U336" s="325" t="n"/>
      <c r="V336" s="438">
        <f>IF(AND(N336=1,U336=1),C336,"")</f>
        <v/>
      </c>
      <c r="W336" s="387" t="n"/>
      <c r="X336" s="1" t="n"/>
      <c r="Y336" s="1" t="n"/>
    </row>
    <row r="337" hidden="1" ht="16.05" customFormat="1" customHeight="1" s="126">
      <c r="A337" s="125" t="n">
        <v>405</v>
      </c>
      <c r="B337" s="125" t="inlineStr">
        <is>
          <t>WF</t>
        </is>
      </c>
      <c r="C337" s="130" t="inlineStr">
        <is>
          <t>Москва</t>
        </is>
      </c>
      <c r="D337" s="130" t="inlineStr">
        <is>
          <t>Московская область</t>
        </is>
      </c>
      <c r="E337" s="130" t="inlineStr">
        <is>
          <t>М9</t>
        </is>
      </c>
      <c r="F337" s="130" t="inlineStr">
        <is>
          <t>АЗС</t>
        </is>
      </c>
      <c r="G337" s="130" t="inlineStr">
        <is>
          <t>Лукойл</t>
        </is>
      </c>
      <c r="H337" s="131" t="inlineStr">
        <is>
          <t>LUK_482</t>
        </is>
      </c>
      <c r="I337" s="637" t="n">
        <v>50482</v>
      </c>
      <c r="J337" s="402" t="inlineStr">
        <is>
          <t>MSK_LUK_0482</t>
        </is>
      </c>
      <c r="K337" s="640" t="n">
        <v>1</v>
      </c>
      <c r="L337" s="640" t="n">
        <v>0</v>
      </c>
      <c r="M337" s="640" t="inlineStr">
        <is>
          <t>1 октября</t>
        </is>
      </c>
      <c r="N337" s="640" t="n"/>
      <c r="O337" s="640">
        <f>IF(AND(N337=1,L337=1),K337,"")</f>
        <v/>
      </c>
      <c r="P337" s="642" t="inlineStr">
        <is>
          <t>Московская область, Истринский район, г. Дедовск, Волоколамское шоссе, 36 км., правая сторона</t>
        </is>
      </c>
      <c r="Q337" s="640" t="n">
        <v>55.861905</v>
      </c>
      <c r="R337" s="422" t="n">
        <v>37.161726</v>
      </c>
      <c r="S337" s="438" t="n"/>
      <c r="T337" s="325" t="n"/>
      <c r="U337" s="325" t="n"/>
      <c r="V337" s="438">
        <f>IF(AND(N337=1,U337=1),C337,"")</f>
        <v/>
      </c>
      <c r="W337" s="387" t="n"/>
      <c r="X337" s="1" t="n"/>
      <c r="Y337" s="1" t="n"/>
    </row>
    <row r="338" hidden="1" ht="16.05" customFormat="1" customHeight="1" s="126">
      <c r="A338" s="125" t="n">
        <v>406</v>
      </c>
      <c r="B338" s="125" t="inlineStr">
        <is>
          <t>WF</t>
        </is>
      </c>
      <c r="C338" s="130" t="inlineStr">
        <is>
          <t>Москва</t>
        </is>
      </c>
      <c r="D338" s="130" t="inlineStr">
        <is>
          <t>Ступино</t>
        </is>
      </c>
      <c r="E338" s="130" t="inlineStr">
        <is>
          <t>М4</t>
        </is>
      </c>
      <c r="F338" s="130" t="inlineStr">
        <is>
          <t>АЗС</t>
        </is>
      </c>
      <c r="G338" s="130" t="inlineStr">
        <is>
          <t>Лукойл</t>
        </is>
      </c>
      <c r="H338" s="131" t="inlineStr">
        <is>
          <t>LUK_483</t>
        </is>
      </c>
      <c r="I338" s="637" t="n">
        <v>50483</v>
      </c>
      <c r="J338" s="402" t="inlineStr">
        <is>
          <t>MSK_LUK_0483</t>
        </is>
      </c>
      <c r="K338" s="640" t="n">
        <v>1</v>
      </c>
      <c r="L338" s="640" t="n">
        <v>0</v>
      </c>
      <c r="M338" s="640" t="inlineStr">
        <is>
          <t>1 октября</t>
        </is>
      </c>
      <c r="N338" s="640" t="n"/>
      <c r="O338" s="640">
        <f>IF(AND(N338=1,L338=1),K338,"")</f>
        <v/>
      </c>
      <c r="P338" s="642" t="inlineStr">
        <is>
          <t>Россия, Московская область, Ступинский муниципальный район, городское поселение Ступино, г. Ступино, ул. Транспортная, стр. 7</t>
        </is>
      </c>
      <c r="Q338" s="640" t="n">
        <v>54.89693</v>
      </c>
      <c r="R338" s="422" t="n">
        <v>38.056036</v>
      </c>
      <c r="S338" s="438" t="n"/>
      <c r="T338" s="325" t="n"/>
      <c r="U338" s="325" t="n"/>
      <c r="V338" s="438">
        <f>IF(AND(N338=1,U338=1),C338,"")</f>
        <v/>
      </c>
      <c r="W338" s="387" t="n"/>
      <c r="X338" s="1" t="n"/>
      <c r="Y338" s="1" t="n"/>
    </row>
    <row r="339" hidden="1" ht="16.05" customHeight="1">
      <c r="A339" s="125" t="n">
        <v>407</v>
      </c>
      <c r="B339" s="125" t="inlineStr">
        <is>
          <t>WF</t>
        </is>
      </c>
      <c r="C339" s="130" t="inlineStr">
        <is>
          <t>Москва</t>
        </is>
      </c>
      <c r="D339" s="130" t="inlineStr">
        <is>
          <t>Воскресенск</t>
        </is>
      </c>
      <c r="E339" s="130" t="inlineStr">
        <is>
          <t>М5</t>
        </is>
      </c>
      <c r="F339" s="130" t="inlineStr">
        <is>
          <t>АЗС</t>
        </is>
      </c>
      <c r="G339" s="130" t="inlineStr">
        <is>
          <t>Лукойл</t>
        </is>
      </c>
      <c r="H339" s="131" t="inlineStr">
        <is>
          <t>LUK_484</t>
        </is>
      </c>
      <c r="I339" s="637" t="n">
        <v>50484</v>
      </c>
      <c r="J339" s="402" t="inlineStr">
        <is>
          <t>MSK_LUK_0484</t>
        </is>
      </c>
      <c r="K339" s="640" t="n">
        <v>1</v>
      </c>
      <c r="L339" s="640" t="n">
        <v>0</v>
      </c>
      <c r="M339" s="640" t="inlineStr">
        <is>
          <t>1 октября</t>
        </is>
      </c>
      <c r="N339" s="640" t="n"/>
      <c r="O339" s="640">
        <f>IF(AND(N339=1,L339=1),K339,"")</f>
        <v/>
      </c>
      <c r="P339" s="642" t="inlineStr">
        <is>
          <t>Московская область, р-н Воскресенский, г. Воскресенск, ул. Вокзальная, д. 39</t>
        </is>
      </c>
      <c r="Q339" s="640" t="n">
        <v>55.312877</v>
      </c>
      <c r="R339" s="422" t="n">
        <v>38.690072</v>
      </c>
      <c r="S339" s="438" t="n"/>
      <c r="T339" s="436" t="n"/>
      <c r="U339" s="436" t="n"/>
      <c r="V339" s="438">
        <f>IF(AND(N339=1,U339=1),C339,"")</f>
        <v/>
      </c>
      <c r="X339" s="1" t="n"/>
      <c r="Y339" s="1" t="n"/>
      <c r="Z339" s="1" t="n"/>
    </row>
    <row r="340" hidden="1" ht="16.05" customFormat="1" customHeight="1" s="126">
      <c r="A340" s="125" t="n">
        <v>408</v>
      </c>
      <c r="B340" s="125" t="inlineStr">
        <is>
          <t>WF</t>
        </is>
      </c>
      <c r="C340" s="130" t="inlineStr">
        <is>
          <t>Москва</t>
        </is>
      </c>
      <c r="D340" s="130" t="inlineStr">
        <is>
          <t>Московская область</t>
        </is>
      </c>
      <c r="E340" s="130" t="inlineStr">
        <is>
          <t>М5</t>
        </is>
      </c>
      <c r="F340" s="130" t="inlineStr">
        <is>
          <t>АЗС</t>
        </is>
      </c>
      <c r="G340" s="130" t="inlineStr">
        <is>
          <t>Лукойл</t>
        </is>
      </c>
      <c r="H340" s="131" t="inlineStr">
        <is>
          <t>LUK_485</t>
        </is>
      </c>
      <c r="I340" s="637" t="n">
        <v>50485</v>
      </c>
      <c r="J340" s="402" t="inlineStr">
        <is>
          <t>MSK_LUK_0485</t>
        </is>
      </c>
      <c r="K340" s="640" t="n">
        <v>1</v>
      </c>
      <c r="L340" s="640" t="n">
        <v>0</v>
      </c>
      <c r="M340" s="640" t="inlineStr">
        <is>
          <t>1 октября</t>
        </is>
      </c>
      <c r="N340" s="640" t="n"/>
      <c r="O340" s="640">
        <f>IF(AND(N340=1,L340=1),K340,"")</f>
        <v/>
      </c>
      <c r="P340" s="642" t="inlineStr">
        <is>
          <t>Московская область, Воскресенский район, вблизи дер. Новотроицкое (81 км автомобильной дороги «Москва-Челябинск», левая сторона)</t>
        </is>
      </c>
      <c r="Q340" s="640" t="n">
        <v>55.27913</v>
      </c>
      <c r="R340" s="422" t="n">
        <v>38.498059</v>
      </c>
      <c r="S340" s="438" t="n"/>
      <c r="T340" s="436" t="n"/>
      <c r="U340" s="436" t="n"/>
      <c r="V340" s="438">
        <f>IF(AND(N340=1,U340=1),C340,"")</f>
        <v/>
      </c>
      <c r="W340" s="387" t="n"/>
      <c r="X340" s="1" t="n"/>
      <c r="Y340" s="1" t="n"/>
    </row>
    <row r="341" hidden="1" ht="16.05" customFormat="1" customHeight="1" s="126">
      <c r="A341" s="125" t="n">
        <v>409</v>
      </c>
      <c r="B341" s="125" t="inlineStr">
        <is>
          <t>WF</t>
        </is>
      </c>
      <c r="C341" s="130" t="inlineStr">
        <is>
          <t>Москва</t>
        </is>
      </c>
      <c r="D341" s="130" t="inlineStr">
        <is>
          <t>Московская область</t>
        </is>
      </c>
      <c r="E341" s="130" t="inlineStr">
        <is>
          <t>М4</t>
        </is>
      </c>
      <c r="F341" s="130" t="inlineStr">
        <is>
          <t>АЗС</t>
        </is>
      </c>
      <c r="G341" s="130" t="inlineStr">
        <is>
          <t>Лукойл</t>
        </is>
      </c>
      <c r="H341" s="131" t="inlineStr">
        <is>
          <t>LUK_486</t>
        </is>
      </c>
      <c r="I341" s="637" t="n">
        <v>50486</v>
      </c>
      <c r="J341" s="402" t="inlineStr">
        <is>
          <t>MSK_LUK_0486</t>
        </is>
      </c>
      <c r="K341" s="640" t="n">
        <v>1</v>
      </c>
      <c r="L341" s="640" t="n">
        <v>0</v>
      </c>
      <c r="M341" s="640" t="inlineStr">
        <is>
          <t>1 октября</t>
        </is>
      </c>
      <c r="N341" s="640" t="n"/>
      <c r="O341" s="640">
        <f>IF(AND(N341=1,L341=1),K341,"")</f>
        <v/>
      </c>
      <c r="P341" s="642" t="inlineStr">
        <is>
          <t>Московская область, Каширский район, вблизи г. Кашира, 115км+900 м автодороги "Егорьевск-Коломна-Кашира-Ненашево"</t>
        </is>
      </c>
      <c r="Q341" s="640" t="n">
        <v>54.822997</v>
      </c>
      <c r="R341" s="422" t="n">
        <v>38.140286</v>
      </c>
      <c r="S341" s="438" t="n"/>
      <c r="T341" s="436" t="n"/>
      <c r="U341" s="436" t="n"/>
      <c r="V341" s="438">
        <f>IF(AND(N341=1,U341=1),C341,"")</f>
        <v/>
      </c>
      <c r="W341" s="387" t="n"/>
      <c r="X341" s="1" t="n"/>
      <c r="Y341" s="1" t="n"/>
    </row>
    <row r="342" hidden="1" ht="16.05" customFormat="1" customHeight="1" s="126">
      <c r="A342" s="125" t="n">
        <v>410</v>
      </c>
      <c r="B342" s="125" t="inlineStr">
        <is>
          <t>WF</t>
        </is>
      </c>
      <c r="C342" s="130" t="inlineStr">
        <is>
          <t>Москва</t>
        </is>
      </c>
      <c r="D342" s="130" t="inlineStr">
        <is>
          <t>Московская область</t>
        </is>
      </c>
      <c r="E342" s="130" t="inlineStr">
        <is>
          <t>М9</t>
        </is>
      </c>
      <c r="F342" s="130" t="inlineStr">
        <is>
          <t>АЗС</t>
        </is>
      </c>
      <c r="G342" s="130" t="inlineStr">
        <is>
          <t>Лукойл</t>
        </is>
      </c>
      <c r="H342" s="131" t="inlineStr">
        <is>
          <t>LUK_487</t>
        </is>
      </c>
      <c r="I342" s="637" t="n">
        <v>50487</v>
      </c>
      <c r="J342" s="402" t="inlineStr">
        <is>
          <t>MSK_LUK_0487</t>
        </is>
      </c>
      <c r="K342" s="640" t="n">
        <v>1</v>
      </c>
      <c r="L342" s="640" t="n">
        <v>0</v>
      </c>
      <c r="M342" s="640" t="inlineStr">
        <is>
          <t>1 октября</t>
        </is>
      </c>
      <c r="N342" s="640" t="n"/>
      <c r="O342" s="640">
        <f>IF(AND(N342=1,L342=1),K342,"")</f>
        <v/>
      </c>
      <c r="P342" s="642" t="inlineStr">
        <is>
          <t>Московская область, Волоколамский район, г. Волоколамск</t>
        </is>
      </c>
      <c r="Q342" s="640" t="n">
        <v>56.022509</v>
      </c>
      <c r="R342" s="422" t="n">
        <v>35.962651</v>
      </c>
      <c r="S342" s="438" t="n"/>
      <c r="T342" s="436" t="n"/>
      <c r="U342" s="436" t="n"/>
      <c r="V342" s="438">
        <f>IF(AND(N342=1,U342=1),C342,"")</f>
        <v/>
      </c>
      <c r="W342" s="387" t="n"/>
      <c r="X342" s="1" t="n"/>
      <c r="Y342" s="1" t="n"/>
    </row>
    <row r="343" hidden="1" ht="16.05" customFormat="1" customHeight="1" s="126">
      <c r="A343" s="127" t="n">
        <v>411</v>
      </c>
      <c r="B343" s="125" t="inlineStr">
        <is>
          <t>WF</t>
        </is>
      </c>
      <c r="C343" s="130" t="inlineStr">
        <is>
          <t>Москва</t>
        </is>
      </c>
      <c r="D343" s="130" t="inlineStr">
        <is>
          <t>Московская область</t>
        </is>
      </c>
      <c r="E343" s="130" t="inlineStr">
        <is>
          <t>А104</t>
        </is>
      </c>
      <c r="F343" s="130" t="inlineStr">
        <is>
          <t>АЗС</t>
        </is>
      </c>
      <c r="G343" s="130" t="inlineStr">
        <is>
          <t>Лукойл</t>
        </is>
      </c>
      <c r="H343" s="131" t="inlineStr">
        <is>
          <t>LUK_488</t>
        </is>
      </c>
      <c r="I343" s="637" t="n">
        <v>50488</v>
      </c>
      <c r="J343" s="402" t="inlineStr">
        <is>
          <t>MSK_LUK_0488</t>
        </is>
      </c>
      <c r="K343" s="640" t="n">
        <v>1</v>
      </c>
      <c r="L343" s="640" t="n">
        <v>0</v>
      </c>
      <c r="M343" s="640" t="inlineStr">
        <is>
          <t>Sam 32</t>
        </is>
      </c>
      <c r="N343" s="640" t="n"/>
      <c r="O343" s="640">
        <f>IF(AND(N343=1,L343=1),K343,"")</f>
        <v/>
      </c>
      <c r="P343" s="642" t="inlineStr">
        <is>
          <t>Россия, Московская область, г.о. Мытищи, д. Капустино, ш. Дмитровское, сооружение 32</t>
        </is>
      </c>
      <c r="Q343" s="640" t="n">
        <v>55.988819</v>
      </c>
      <c r="R343" s="422" t="n">
        <v>37.532034</v>
      </c>
      <c r="S343" s="438" t="n"/>
      <c r="T343" s="436" t="n"/>
      <c r="U343" s="436" t="n"/>
      <c r="V343" s="438">
        <f>IF(AND(N343=1,U343=1),C343,"")</f>
        <v/>
      </c>
      <c r="W343" s="387" t="n"/>
      <c r="X343" s="1" t="n"/>
      <c r="Y343" s="1" t="n"/>
    </row>
    <row r="344" hidden="1" ht="16.05" customFormat="1" customHeight="1" s="126">
      <c r="A344" s="125" t="n">
        <v>412</v>
      </c>
      <c r="B344" s="125" t="inlineStr">
        <is>
          <t>WF</t>
        </is>
      </c>
      <c r="C344" s="130" t="inlineStr">
        <is>
          <t>Москва</t>
        </is>
      </c>
      <c r="D344" s="130" t="inlineStr">
        <is>
          <t>Московская область</t>
        </is>
      </c>
      <c r="E344" s="130" t="inlineStr">
        <is>
          <t>М10</t>
        </is>
      </c>
      <c r="F344" s="130" t="inlineStr">
        <is>
          <t>АЗС</t>
        </is>
      </c>
      <c r="G344" s="130" t="inlineStr">
        <is>
          <t>Лукойл</t>
        </is>
      </c>
      <c r="H344" s="131" t="inlineStr">
        <is>
          <t>LUK_489</t>
        </is>
      </c>
      <c r="I344" s="637" t="n">
        <v>50489</v>
      </c>
      <c r="J344" s="402" t="inlineStr">
        <is>
          <t>MSK_LUK_0489</t>
        </is>
      </c>
      <c r="K344" s="640" t="n">
        <v>1</v>
      </c>
      <c r="L344" s="640" t="n">
        <v>0</v>
      </c>
      <c r="M344" s="640" t="inlineStr">
        <is>
          <t>1 октября</t>
        </is>
      </c>
      <c r="N344" s="640" t="n"/>
      <c r="O344" s="640">
        <f>IF(AND(N344=1,L344=1),K344,"")</f>
        <v/>
      </c>
      <c r="P344" s="642" t="inlineStr">
        <is>
          <t>Московская область, Солнечногорский район, д. Исаково, Искровский с.о.</t>
        </is>
      </c>
      <c r="Q344" s="640" t="n">
        <v>55.978028</v>
      </c>
      <c r="R344" s="422" t="n">
        <v>37.387083</v>
      </c>
      <c r="S344" s="438" t="n"/>
      <c r="T344" s="436" t="n"/>
      <c r="U344" s="436" t="n"/>
      <c r="V344" s="438">
        <f>IF(AND(N344=1,U344=1),C344,"")</f>
        <v/>
      </c>
      <c r="W344" s="387" t="n"/>
      <c r="X344" s="1" t="n"/>
      <c r="Y344" s="1" t="n"/>
    </row>
    <row r="345" hidden="1" ht="16.05" customFormat="1" customHeight="1" s="126">
      <c r="A345" s="125" t="n">
        <v>413</v>
      </c>
      <c r="B345" s="125" t="inlineStr">
        <is>
          <t>WF</t>
        </is>
      </c>
      <c r="C345" s="130" t="inlineStr">
        <is>
          <t>Москва</t>
        </is>
      </c>
      <c r="D345" s="130" t="inlineStr">
        <is>
          <t>Московская область</t>
        </is>
      </c>
      <c r="E345" s="130" t="inlineStr">
        <is>
          <t>А104</t>
        </is>
      </c>
      <c r="F345" s="130" t="inlineStr">
        <is>
          <t>АЗС</t>
        </is>
      </c>
      <c r="G345" s="130" t="inlineStr">
        <is>
          <t>Лукойл</t>
        </is>
      </c>
      <c r="H345" s="131" t="inlineStr">
        <is>
          <t>LUK_490</t>
        </is>
      </c>
      <c r="I345" s="637" t="n">
        <v>50490</v>
      </c>
      <c r="J345" s="402" t="inlineStr">
        <is>
          <t>MSK_LUK_0490</t>
        </is>
      </c>
      <c r="K345" s="640" t="n">
        <v>1</v>
      </c>
      <c r="L345" s="640" t="n">
        <v>0</v>
      </c>
      <c r="M345" s="640" t="inlineStr">
        <is>
          <t>1 октября</t>
        </is>
      </c>
      <c r="N345" s="640" t="n"/>
      <c r="O345" s="640">
        <f>IF(AND(N345=1,L345=1),K345,"")</f>
        <v/>
      </c>
      <c r="P345" s="642" t="inlineStr">
        <is>
          <t>Московская область, г. Долгопрудный, пос. Шереметьевский, ул. Новое шоссе, д. 1а</t>
        </is>
      </c>
      <c r="Q345" s="640" t="n">
        <v>55.976432</v>
      </c>
      <c r="R345" s="422" t="n">
        <v>37.522691</v>
      </c>
      <c r="S345" s="438" t="n"/>
      <c r="T345" s="436" t="n"/>
      <c r="U345" s="436" t="n"/>
      <c r="V345" s="438">
        <f>IF(AND(N345=1,U345=1),C345,"")</f>
        <v/>
      </c>
      <c r="W345" s="387" t="n"/>
      <c r="X345" s="1" t="n"/>
      <c r="Y345" s="1" t="n"/>
    </row>
    <row r="346" hidden="1" ht="16.05" customFormat="1" customHeight="1" s="126">
      <c r="A346" s="125" t="n">
        <v>414</v>
      </c>
      <c r="B346" s="125" t="inlineStr">
        <is>
          <t>WF</t>
        </is>
      </c>
      <c r="C346" s="130" t="inlineStr">
        <is>
          <t>Москва</t>
        </is>
      </c>
      <c r="D346" s="130" t="inlineStr">
        <is>
          <t>Москва</t>
        </is>
      </c>
      <c r="E346" s="130" t="inlineStr">
        <is>
          <t>САО</t>
        </is>
      </c>
      <c r="F346" s="130" t="inlineStr">
        <is>
          <t>АЗС</t>
        </is>
      </c>
      <c r="G346" s="130" t="inlineStr">
        <is>
          <t>Лукойл</t>
        </is>
      </c>
      <c r="H346" s="131" t="inlineStr">
        <is>
          <t>LUK_502</t>
        </is>
      </c>
      <c r="I346" s="637" t="n">
        <v>77502</v>
      </c>
      <c r="J346" s="402" t="inlineStr">
        <is>
          <t>MSK_LUK_0502</t>
        </is>
      </c>
      <c r="K346" s="640" t="n">
        <v>2</v>
      </c>
      <c r="L346" s="640" t="n">
        <v>0</v>
      </c>
      <c r="M346" s="640" t="inlineStr">
        <is>
          <t>1 октября</t>
        </is>
      </c>
      <c r="N346" s="640" t="n"/>
      <c r="O346" s="640">
        <f>IF(AND(N346=1,L346=1),K346,"")</f>
        <v/>
      </c>
      <c r="P346" s="642" t="inlineStr">
        <is>
          <t>г. Москва, ш. Дмитровское, вл. 104</t>
        </is>
      </c>
      <c r="Q346" s="640" t="n">
        <v>55.8838</v>
      </c>
      <c r="R346" s="422" t="n">
        <v>37.54462</v>
      </c>
      <c r="S346" s="438" t="n"/>
      <c r="T346" s="436" t="n"/>
      <c r="U346" s="436" t="n"/>
      <c r="V346" s="438">
        <f>IF(AND(N346=1,U346=1),C346,"")</f>
        <v/>
      </c>
      <c r="W346" s="387" t="n"/>
      <c r="X346" s="1" t="n"/>
      <c r="Y346" s="1" t="n"/>
    </row>
    <row r="347" hidden="1" ht="16.05" customFormat="1" customHeight="1" s="126">
      <c r="A347" s="125" t="n">
        <v>416</v>
      </c>
      <c r="B347" s="125" t="inlineStr">
        <is>
          <t>WF</t>
        </is>
      </c>
      <c r="C347" s="130" t="inlineStr">
        <is>
          <t>Москва</t>
        </is>
      </c>
      <c r="D347" s="130" t="inlineStr">
        <is>
          <t>Москва</t>
        </is>
      </c>
      <c r="E347" s="130" t="inlineStr">
        <is>
          <t>САО</t>
        </is>
      </c>
      <c r="F347" s="130" t="inlineStr">
        <is>
          <t>АЗС</t>
        </is>
      </c>
      <c r="G347" s="130" t="inlineStr">
        <is>
          <t>Лукойл</t>
        </is>
      </c>
      <c r="H347" s="131" t="inlineStr">
        <is>
          <t>LUK_505</t>
        </is>
      </c>
      <c r="I347" s="637" t="n">
        <v>77505</v>
      </c>
      <c r="J347" s="402" t="inlineStr">
        <is>
          <t>MSK_LUK_0505</t>
        </is>
      </c>
      <c r="K347" s="640" t="n">
        <v>1</v>
      </c>
      <c r="L347" s="640" t="n">
        <v>0</v>
      </c>
      <c r="M347" s="640" t="inlineStr">
        <is>
          <t>1 октября</t>
        </is>
      </c>
      <c r="N347" s="640" t="n"/>
      <c r="O347" s="640">
        <f>IF(AND(N347=1,L347=1),K347,"")</f>
        <v/>
      </c>
      <c r="P347" s="642" t="inlineStr">
        <is>
          <t>г. Москва, ш. Дмитровское, д. 159А</t>
        </is>
      </c>
      <c r="Q347" s="640" t="n">
        <v>55.903712</v>
      </c>
      <c r="R347" s="422" t="n">
        <v>37.54139</v>
      </c>
      <c r="S347" s="438" t="n"/>
      <c r="T347" s="436" t="n"/>
      <c r="U347" s="436" t="n"/>
      <c r="V347" s="438">
        <f>IF(AND(N347=1,U347=1),C347,"")</f>
        <v/>
      </c>
      <c r="W347" s="387" t="n"/>
      <c r="X347" s="1" t="n"/>
      <c r="Y347" s="1" t="n"/>
    </row>
    <row r="348" hidden="1" ht="16.05" customFormat="1" customHeight="1" s="126">
      <c r="A348" s="125" t="n">
        <v>417</v>
      </c>
      <c r="B348" s="125" t="inlineStr">
        <is>
          <t>WF</t>
        </is>
      </c>
      <c r="C348" s="130" t="inlineStr">
        <is>
          <t>Москва</t>
        </is>
      </c>
      <c r="D348" s="130" t="inlineStr">
        <is>
          <t>Москва</t>
        </is>
      </c>
      <c r="E348" s="130" t="inlineStr">
        <is>
          <t>М8</t>
        </is>
      </c>
      <c r="F348" s="130" t="inlineStr">
        <is>
          <t>АЗС</t>
        </is>
      </c>
      <c r="G348" s="130" t="inlineStr">
        <is>
          <t>Лукойл</t>
        </is>
      </c>
      <c r="H348" s="131" t="inlineStr">
        <is>
          <t>LUK_506</t>
        </is>
      </c>
      <c r="I348" s="637" t="n">
        <v>77506</v>
      </c>
      <c r="J348" s="402" t="inlineStr">
        <is>
          <t>MSK_LUK_0506</t>
        </is>
      </c>
      <c r="K348" s="640" t="n">
        <v>1</v>
      </c>
      <c r="L348" s="640" t="n">
        <v>0</v>
      </c>
      <c r="M348" s="640" t="inlineStr">
        <is>
          <t>Sam 32</t>
        </is>
      </c>
      <c r="N348" s="640" t="n"/>
      <c r="O348" s="640">
        <f>IF(AND(N348=1,L348=1),K348,"")</f>
        <v/>
      </c>
      <c r="P348" s="642" t="inlineStr">
        <is>
          <t>г. Москва, ул. Осташковская, д. 34</t>
        </is>
      </c>
      <c r="Q348" s="640" t="n">
        <v>55.89504463</v>
      </c>
      <c r="R348" s="422" t="n">
        <v>37.67444207</v>
      </c>
      <c r="S348" s="438" t="n"/>
      <c r="T348" s="436" t="n"/>
      <c r="U348" s="436" t="n"/>
      <c r="V348" s="438">
        <f>IF(AND(N348=1,U348=1),C348,"")</f>
        <v/>
      </c>
      <c r="W348" s="387" t="n"/>
      <c r="X348" s="1" t="n"/>
      <c r="Y348" s="1" t="n"/>
    </row>
    <row r="349" hidden="1" ht="16.05" customFormat="1" customHeight="1" s="126">
      <c r="A349" s="125" t="n">
        <v>418</v>
      </c>
      <c r="B349" s="125" t="inlineStr">
        <is>
          <t>WF</t>
        </is>
      </c>
      <c r="C349" s="130" t="inlineStr">
        <is>
          <t>Москва</t>
        </is>
      </c>
      <c r="D349" s="130" t="inlineStr">
        <is>
          <t>Москва</t>
        </is>
      </c>
      <c r="E349" s="130" t="inlineStr">
        <is>
          <t>СВАО</t>
        </is>
      </c>
      <c r="F349" s="130" t="inlineStr">
        <is>
          <t>АЗС</t>
        </is>
      </c>
      <c r="G349" s="130" t="inlineStr">
        <is>
          <t>Лукойл</t>
        </is>
      </c>
      <c r="H349" s="131" t="inlineStr">
        <is>
          <t>LUK_507</t>
        </is>
      </c>
      <c r="I349" s="637" t="n">
        <v>77507</v>
      </c>
      <c r="J349" s="402" t="inlineStr">
        <is>
          <t>MSK_LUK_0507</t>
        </is>
      </c>
      <c r="K349" s="640" t="n">
        <v>1</v>
      </c>
      <c r="L349" s="640" t="n">
        <v>0</v>
      </c>
      <c r="M349" s="640" t="inlineStr">
        <is>
          <t>1 октября</t>
        </is>
      </c>
      <c r="N349" s="640" t="n"/>
      <c r="O349" s="640">
        <f>IF(AND(N349=1,L349=1),K349,"")</f>
        <v/>
      </c>
      <c r="P349" s="642" t="inlineStr">
        <is>
          <t>г. Москва, ул. Шереметьевская, д. 47А, строен. 1</t>
        </is>
      </c>
      <c r="Q349" s="640" t="n">
        <v>55.810012</v>
      </c>
      <c r="R349" s="422" t="n">
        <v>37.612832</v>
      </c>
      <c r="S349" s="438" t="n"/>
      <c r="T349" s="436" t="n"/>
      <c r="U349" s="436" t="n"/>
      <c r="V349" s="438">
        <f>IF(AND(N349=1,U349=1),C349,"")</f>
        <v/>
      </c>
      <c r="W349" s="387" t="n"/>
      <c r="X349" s="1" t="n"/>
      <c r="Y349" s="1" t="n"/>
    </row>
    <row r="350" hidden="1" ht="16.05" customFormat="1" customHeight="1" s="126">
      <c r="A350" s="125" t="n">
        <v>419</v>
      </c>
      <c r="B350" s="160" t="inlineStr">
        <is>
          <t>_WF_</t>
        </is>
      </c>
      <c r="C350" s="130" t="inlineStr">
        <is>
          <t>Москва</t>
        </is>
      </c>
      <c r="D350" s="130" t="inlineStr">
        <is>
          <t>Москва</t>
        </is>
      </c>
      <c r="E350" s="130" t="inlineStr">
        <is>
          <t>СЗАО</t>
        </is>
      </c>
      <c r="F350" s="130" t="n"/>
      <c r="G350" s="130" t="inlineStr">
        <is>
          <t>Лукойл</t>
        </is>
      </c>
      <c r="H350" s="131" t="inlineStr">
        <is>
          <t>LUK_509</t>
        </is>
      </c>
      <c r="I350" s="637" t="n">
        <v>77509</v>
      </c>
      <c r="J350" s="402" t="inlineStr">
        <is>
          <t>MSK_LUK_0509</t>
        </is>
      </c>
      <c r="K350" s="640" t="n">
        <v>1</v>
      </c>
      <c r="L350" s="640" t="n">
        <v>0</v>
      </c>
      <c r="M350" s="640" t="inlineStr">
        <is>
          <t>Sam 32</t>
        </is>
      </c>
      <c r="N350" s="640" t="n"/>
      <c r="O350" s="640">
        <f>IF(AND(N350=1,L350=1),K350,"")</f>
        <v/>
      </c>
      <c r="P350" s="642" t="inlineStr">
        <is>
          <t>Москва,  Хорошевская 3-я, д. 9, корп. 1, стр. 1</t>
        </is>
      </c>
      <c r="Q350" s="640" t="n">
        <v>55.780768</v>
      </c>
      <c r="R350" s="422" t="n">
        <v>37.500193</v>
      </c>
      <c r="S350" s="436" t="n"/>
      <c r="T350" s="436" t="n"/>
      <c r="U350" s="436" t="n"/>
      <c r="V350" s="438">
        <f>IF(AND(N350=1,U350=1),C350,"")</f>
        <v/>
      </c>
      <c r="W350" s="387" t="n"/>
      <c r="X350" s="1" t="n"/>
      <c r="Y350" s="1" t="n"/>
    </row>
    <row r="351" hidden="1" ht="16.05" customFormat="1" customHeight="1" s="126">
      <c r="A351" s="125" t="n">
        <v>420</v>
      </c>
      <c r="B351" s="125" t="inlineStr">
        <is>
          <t>WF</t>
        </is>
      </c>
      <c r="C351" s="130" t="inlineStr">
        <is>
          <t>Москва</t>
        </is>
      </c>
      <c r="D351" s="130" t="inlineStr">
        <is>
          <t>Москва</t>
        </is>
      </c>
      <c r="E351" s="130" t="inlineStr">
        <is>
          <t>СЗАО</t>
        </is>
      </c>
      <c r="F351" s="130" t="inlineStr">
        <is>
          <t>АЗС</t>
        </is>
      </c>
      <c r="G351" s="130" t="inlineStr">
        <is>
          <t>Лукойл</t>
        </is>
      </c>
      <c r="H351" s="131" t="inlineStr">
        <is>
          <t>LUK_510</t>
        </is>
      </c>
      <c r="I351" s="637" t="n">
        <v>77510</v>
      </c>
      <c r="J351" s="402" t="inlineStr">
        <is>
          <t>MSK_LUK_0510</t>
        </is>
      </c>
      <c r="K351" s="640" t="n">
        <v>1</v>
      </c>
      <c r="L351" s="640" t="n">
        <v>0</v>
      </c>
      <c r="M351" s="640" t="inlineStr">
        <is>
          <t>1 октября</t>
        </is>
      </c>
      <c r="N351" s="640" t="n"/>
      <c r="O351" s="640">
        <f>IF(AND(N351=1,L351=1),K351,"")</f>
        <v/>
      </c>
      <c r="P351" s="642" t="inlineStr">
        <is>
          <t>г. Москва, пер. Митинский 1-й, вл. 12, строен. 1</t>
        </is>
      </c>
      <c r="Q351" s="640" t="n">
        <v>55.845686</v>
      </c>
      <c r="R351" s="422" t="n">
        <v>37.380148</v>
      </c>
      <c r="S351" s="438" t="n"/>
      <c r="T351" s="436" t="n"/>
      <c r="U351" s="436" t="n"/>
      <c r="V351" s="438">
        <f>IF(AND(N351=1,U351=1),C351,"")</f>
        <v/>
      </c>
      <c r="W351" s="387" t="n"/>
      <c r="X351" s="1" t="n"/>
      <c r="Y351" s="1" t="n"/>
    </row>
    <row r="352" hidden="1" ht="16.05" customFormat="1" customHeight="1" s="126">
      <c r="A352" s="125" t="n">
        <v>421</v>
      </c>
      <c r="B352" s="125" t="inlineStr">
        <is>
          <t>WF</t>
        </is>
      </c>
      <c r="C352" s="130" t="inlineStr">
        <is>
          <t>Москва</t>
        </is>
      </c>
      <c r="D352" s="130" t="inlineStr">
        <is>
          <t>Москва</t>
        </is>
      </c>
      <c r="E352" s="130" t="inlineStr">
        <is>
          <t>ЦАО</t>
        </is>
      </c>
      <c r="F352" s="130" t="inlineStr">
        <is>
          <t>АЗС</t>
        </is>
      </c>
      <c r="G352" s="130" t="inlineStr">
        <is>
          <t>Лукойл</t>
        </is>
      </c>
      <c r="H352" s="131" t="inlineStr">
        <is>
          <t>LUK_511</t>
        </is>
      </c>
      <c r="I352" s="637" t="n">
        <v>77511</v>
      </c>
      <c r="J352" s="402" t="inlineStr">
        <is>
          <t>MSK_LUK_0511</t>
        </is>
      </c>
      <c r="K352" s="640" t="n">
        <v>1</v>
      </c>
      <c r="L352" s="640" t="n">
        <v>0</v>
      </c>
      <c r="M352" s="640" t="inlineStr">
        <is>
          <t>1 октября</t>
        </is>
      </c>
      <c r="N352" s="640" t="n"/>
      <c r="O352" s="640">
        <f>IF(AND(N352=1,L352=1),K352,"")</f>
        <v/>
      </c>
      <c r="P352" s="642" t="inlineStr">
        <is>
          <t>г. Москва, просп. Олимпийский, д. 5, стр. 1</t>
        </is>
      </c>
      <c r="Q352" s="640" t="n">
        <v>55.783991</v>
      </c>
      <c r="R352" s="422" t="n">
        <v>37.622667</v>
      </c>
      <c r="S352" s="438" t="n"/>
      <c r="T352" s="436" t="n"/>
      <c r="U352" s="436" t="n"/>
      <c r="V352" s="438">
        <f>IF(AND(N352=1,U352=1),C352,"")</f>
        <v/>
      </c>
      <c r="W352" s="387" t="n"/>
      <c r="X352" s="1" t="n"/>
      <c r="Y352" s="1" t="n"/>
    </row>
    <row r="353" hidden="1" ht="16.05" customFormat="1" customHeight="1" s="126">
      <c r="A353" s="125" t="n">
        <v>425</v>
      </c>
      <c r="B353" s="125" t="inlineStr">
        <is>
          <t>WF</t>
        </is>
      </c>
      <c r="C353" s="130" t="inlineStr">
        <is>
          <t>Москва</t>
        </is>
      </c>
      <c r="D353" s="130" t="inlineStr">
        <is>
          <t>Москва</t>
        </is>
      </c>
      <c r="E353" s="130" t="inlineStr">
        <is>
          <t>ЮАО</t>
        </is>
      </c>
      <c r="F353" s="130" t="inlineStr">
        <is>
          <t>АЗС</t>
        </is>
      </c>
      <c r="G353" s="130" t="inlineStr">
        <is>
          <t>Лукойл</t>
        </is>
      </c>
      <c r="H353" s="131" t="inlineStr">
        <is>
          <t>LUK_516</t>
        </is>
      </c>
      <c r="I353" s="637" t="n">
        <v>77516</v>
      </c>
      <c r="J353" s="402" t="inlineStr">
        <is>
          <t>MSK_LUK_0516</t>
        </is>
      </c>
      <c r="K353" s="640" t="n">
        <v>1</v>
      </c>
      <c r="L353" s="640" t="n">
        <v>0</v>
      </c>
      <c r="M353" s="640" t="inlineStr">
        <is>
          <t>1 октября</t>
        </is>
      </c>
      <c r="N353" s="640" t="n"/>
      <c r="O353" s="640">
        <f>IF(AND(N353=1,L353=1),K353,"")</f>
        <v/>
      </c>
      <c r="P353" s="642" t="inlineStr">
        <is>
          <t>г. Москва, Варшавское шоссе, вл. 142Б</t>
        </is>
      </c>
      <c r="Q353" s="640" t="n">
        <v>55.60583</v>
      </c>
      <c r="R353" s="422" t="n">
        <v>37.60654</v>
      </c>
      <c r="S353" s="438" t="n"/>
      <c r="T353" s="436" t="n"/>
      <c r="U353" s="436" t="n"/>
      <c r="V353" s="438">
        <f>IF(AND(N353=1,U353=1),C353,"")</f>
        <v/>
      </c>
      <c r="W353" s="387" t="n"/>
      <c r="X353" s="1" t="n"/>
      <c r="Y353" s="1" t="n"/>
    </row>
    <row r="354" hidden="1" ht="16.05" customFormat="1" customHeight="1" s="126">
      <c r="A354" s="125" t="n">
        <v>426</v>
      </c>
      <c r="B354" s="125" t="inlineStr">
        <is>
          <t>WF</t>
        </is>
      </c>
      <c r="C354" s="130" t="inlineStr">
        <is>
          <t>Москва</t>
        </is>
      </c>
      <c r="D354" s="130" t="inlineStr">
        <is>
          <t>Москва</t>
        </is>
      </c>
      <c r="E354" s="130" t="inlineStr">
        <is>
          <t>ЮАО</t>
        </is>
      </c>
      <c r="F354" s="130" t="inlineStr">
        <is>
          <t>АЗС</t>
        </is>
      </c>
      <c r="G354" s="130" t="inlineStr">
        <is>
          <t>Лукойл</t>
        </is>
      </c>
      <c r="H354" s="131" t="inlineStr">
        <is>
          <t>LUK_517</t>
        </is>
      </c>
      <c r="I354" s="637" t="n">
        <v>77517</v>
      </c>
      <c r="J354" s="402" t="inlineStr">
        <is>
          <t>MSK_LUK_0517</t>
        </is>
      </c>
      <c r="K354" s="640" t="n">
        <v>2</v>
      </c>
      <c r="L354" s="640" t="n">
        <v>0</v>
      </c>
      <c r="M354" s="640" t="inlineStr">
        <is>
          <t>1 октября</t>
        </is>
      </c>
      <c r="N354" s="640" t="n"/>
      <c r="O354" s="640">
        <f>IF(AND(N354=1,L354=1),K354,"")</f>
        <v/>
      </c>
      <c r="P354" s="642" t="inlineStr">
        <is>
          <t>г. Москва, ул. Подольских курсантов, д. 36</t>
        </is>
      </c>
      <c r="Q354" s="640" t="n">
        <v>55.58781</v>
      </c>
      <c r="R354" s="422" t="n">
        <v>37.63608</v>
      </c>
      <c r="S354" s="438" t="n"/>
      <c r="T354" s="436" t="n"/>
      <c r="U354" s="436" t="n"/>
      <c r="V354" s="438">
        <f>IF(AND(N354=1,U354=1),C354,"")</f>
        <v/>
      </c>
      <c r="W354" s="387" t="n"/>
      <c r="X354" s="1" t="n"/>
      <c r="Y354" s="1" t="n"/>
    </row>
    <row r="355" hidden="1" ht="16.05" customFormat="1" customHeight="1" s="126">
      <c r="A355" s="125" t="n">
        <v>428</v>
      </c>
      <c r="B355" s="125" t="inlineStr">
        <is>
          <t>WF</t>
        </is>
      </c>
      <c r="C355" s="130" t="inlineStr">
        <is>
          <t>Москва</t>
        </is>
      </c>
      <c r="D355" s="130" t="inlineStr">
        <is>
          <t>Москва</t>
        </is>
      </c>
      <c r="E355" s="130" t="inlineStr">
        <is>
          <t>ЮВАО</t>
        </is>
      </c>
      <c r="F355" s="130" t="inlineStr">
        <is>
          <t>АЗС</t>
        </is>
      </c>
      <c r="G355" s="130" t="inlineStr">
        <is>
          <t>Лукойл</t>
        </is>
      </c>
      <c r="H355" s="131" t="inlineStr">
        <is>
          <t>LUK_520</t>
        </is>
      </c>
      <c r="I355" s="637" t="n">
        <v>77520</v>
      </c>
      <c r="J355" s="402" t="inlineStr">
        <is>
          <t>MSK_LUK_0520</t>
        </is>
      </c>
      <c r="K355" s="640" t="n">
        <v>1</v>
      </c>
      <c r="L355" s="640" t="n">
        <v>0</v>
      </c>
      <c r="M355" s="640" t="inlineStr">
        <is>
          <t>1 октября</t>
        </is>
      </c>
      <c r="N355" s="640" t="n"/>
      <c r="O355" s="640">
        <f>IF(AND(N355=1,L355=1),K355,"")</f>
        <v/>
      </c>
      <c r="P355" s="642" t="inlineStr">
        <is>
          <t>г. Москва, ул. Грайвороновская, д. 1</t>
        </is>
      </c>
      <c r="Q355" s="640" t="n">
        <v>55.71627</v>
      </c>
      <c r="R355" s="422" t="n">
        <v>37.72533</v>
      </c>
      <c r="S355" s="438" t="n"/>
      <c r="T355" s="436" t="n"/>
      <c r="U355" s="436" t="n"/>
      <c r="V355" s="438">
        <f>IF(AND(N355=1,U355=1),C355,"")</f>
        <v/>
      </c>
      <c r="W355" s="387" t="n"/>
      <c r="X355" s="1" t="n"/>
      <c r="Y355" s="1" t="n"/>
    </row>
    <row r="356" hidden="1" ht="16.05" customFormat="1" customHeight="1" s="126">
      <c r="A356" s="125" t="n">
        <v>429</v>
      </c>
      <c r="B356" s="125" t="inlineStr">
        <is>
          <t>WF</t>
        </is>
      </c>
      <c r="C356" s="130" t="inlineStr">
        <is>
          <t>Москва</t>
        </is>
      </c>
      <c r="D356" s="130" t="inlineStr">
        <is>
          <t>Московская область</t>
        </is>
      </c>
      <c r="E356" s="130" t="inlineStr">
        <is>
          <t>М8</t>
        </is>
      </c>
      <c r="F356" s="130" t="inlineStr">
        <is>
          <t>АЗС</t>
        </is>
      </c>
      <c r="G356" s="130" t="inlineStr">
        <is>
          <t>Лукойл</t>
        </is>
      </c>
      <c r="H356" s="131" t="inlineStr">
        <is>
          <t>LUK_521</t>
        </is>
      </c>
      <c r="I356" s="637" t="n">
        <v>50521</v>
      </c>
      <c r="J356" s="402" t="inlineStr">
        <is>
          <t>MSK_LUK_0521</t>
        </is>
      </c>
      <c r="K356" s="640" t="n">
        <v>1</v>
      </c>
      <c r="L356" s="640" t="n">
        <v>0</v>
      </c>
      <c r="M356" s="640" t="inlineStr">
        <is>
          <t>1 октября</t>
        </is>
      </c>
      <c r="N356" s="640" t="n"/>
      <c r="O356" s="640">
        <f>IF(AND(N356=1,L356=1),K356,"")</f>
        <v/>
      </c>
      <c r="P356" s="642" t="inlineStr">
        <is>
          <t>Российская Федерация, Московская область, городской округ Мытищи, город Мытищи, Осташковское шоссе</t>
        </is>
      </c>
      <c r="Q356" s="640" t="n">
        <v>55.89566</v>
      </c>
      <c r="R356" s="422" t="n">
        <v>37.67873</v>
      </c>
      <c r="S356" s="438" t="n"/>
      <c r="T356" s="436" t="n"/>
      <c r="U356" s="436" t="n"/>
      <c r="V356" s="438">
        <f>IF(AND(N356=1,U356=1),C356,"")</f>
        <v/>
      </c>
      <c r="W356" s="387" t="n"/>
      <c r="X356" s="1" t="n"/>
      <c r="Y356" s="1" t="n"/>
    </row>
    <row r="357" hidden="1" ht="16.05" customFormat="1" customHeight="1" s="126">
      <c r="A357" s="125" t="n">
        <v>430</v>
      </c>
      <c r="B357" s="125" t="inlineStr">
        <is>
          <t>WF</t>
        </is>
      </c>
      <c r="C357" s="130" t="inlineStr">
        <is>
          <t>Москва</t>
        </is>
      </c>
      <c r="D357" s="130" t="inlineStr">
        <is>
          <t>Москва</t>
        </is>
      </c>
      <c r="E357" s="130" t="inlineStr">
        <is>
          <t>ЮВАО</t>
        </is>
      </c>
      <c r="F357" s="130" t="inlineStr">
        <is>
          <t>АЗС</t>
        </is>
      </c>
      <c r="G357" s="130" t="inlineStr">
        <is>
          <t>Лукойл</t>
        </is>
      </c>
      <c r="H357" s="131" t="inlineStr">
        <is>
          <t>LUK_523</t>
        </is>
      </c>
      <c r="I357" s="637" t="n">
        <v>77523</v>
      </c>
      <c r="J357" s="402" t="inlineStr">
        <is>
          <t>MSK_LUK_0523</t>
        </is>
      </c>
      <c r="K357" s="640" t="n">
        <v>2</v>
      </c>
      <c r="L357" s="640" t="n">
        <v>0</v>
      </c>
      <c r="M357" s="640" t="inlineStr">
        <is>
          <t>1 октября</t>
        </is>
      </c>
      <c r="N357" s="640" t="n"/>
      <c r="O357" s="640">
        <f>IF(AND(N357=1,L357=1),K357,"")</f>
        <v/>
      </c>
      <c r="P357" s="642" t="inlineStr">
        <is>
          <t>г. Москва, Волгоградский проспект, вл. 37</t>
        </is>
      </c>
      <c r="Q357" s="640" t="n">
        <v>55.72182</v>
      </c>
      <c r="R357" s="422" t="n">
        <v>37.69883</v>
      </c>
      <c r="S357" s="438" t="n"/>
      <c r="T357" s="436" t="n"/>
      <c r="U357" s="436" t="n"/>
      <c r="V357" s="438">
        <f>IF(AND(N357=1,U357=1),C357,"")</f>
        <v/>
      </c>
      <c r="W357" s="387" t="n"/>
      <c r="X357" s="1" t="n"/>
      <c r="Y357" s="1" t="n"/>
    </row>
    <row r="358" hidden="1" ht="16.05" customFormat="1" customHeight="1" s="126">
      <c r="A358" s="125" t="n">
        <v>432</v>
      </c>
      <c r="B358" s="125" t="inlineStr">
        <is>
          <t>WF</t>
        </is>
      </c>
      <c r="C358" s="130" t="inlineStr">
        <is>
          <t>Москва</t>
        </is>
      </c>
      <c r="D358" s="130" t="inlineStr">
        <is>
          <t>Москва</t>
        </is>
      </c>
      <c r="E358" s="130" t="inlineStr">
        <is>
          <t>СЗАО</t>
        </is>
      </c>
      <c r="F358" s="130" t="inlineStr">
        <is>
          <t>АЗС</t>
        </is>
      </c>
      <c r="G358" s="130" t="inlineStr">
        <is>
          <t>Лукойл</t>
        </is>
      </c>
      <c r="H358" s="131" t="inlineStr">
        <is>
          <t>LUK_525</t>
        </is>
      </c>
      <c r="I358" s="637" t="n">
        <v>77525</v>
      </c>
      <c r="J358" s="402" t="inlineStr">
        <is>
          <t>MSK_LUK_0525</t>
        </is>
      </c>
      <c r="K358" s="640" t="n">
        <v>1</v>
      </c>
      <c r="L358" s="640" t="n">
        <v>0</v>
      </c>
      <c r="M358" s="640" t="inlineStr">
        <is>
          <t>1 октября</t>
        </is>
      </c>
      <c r="N358" s="640" t="n"/>
      <c r="O358" s="640">
        <f>IF(AND(N358=1,L358=1),K358,"")</f>
        <v/>
      </c>
      <c r="P358" s="642" t="inlineStr">
        <is>
          <t>г. Москва, ш. Волоколамское, д. 22</t>
        </is>
      </c>
      <c r="Q358" s="640" t="n">
        <v>55.81124</v>
      </c>
      <c r="R358" s="422" t="n">
        <v>37.487</v>
      </c>
      <c r="S358" s="438" t="n"/>
      <c r="T358" s="436" t="n"/>
      <c r="U358" s="436" t="n"/>
      <c r="V358" s="438">
        <f>IF(AND(N358=1,U358=1),C358,"")</f>
        <v/>
      </c>
      <c r="W358" s="387" t="n"/>
      <c r="X358" s="1" t="n"/>
      <c r="Y358" s="1" t="n"/>
    </row>
    <row r="359" hidden="1" ht="16.05" customFormat="1" customHeight="1" s="126">
      <c r="A359" s="125" t="n">
        <v>433</v>
      </c>
      <c r="B359" s="125" t="inlineStr">
        <is>
          <t>WF</t>
        </is>
      </c>
      <c r="C359" s="130" t="inlineStr">
        <is>
          <t>Москва</t>
        </is>
      </c>
      <c r="D359" s="130" t="inlineStr">
        <is>
          <t>Москва</t>
        </is>
      </c>
      <c r="E359" s="130" t="inlineStr">
        <is>
          <t>ЮЗАО</t>
        </is>
      </c>
      <c r="F359" s="130" t="inlineStr">
        <is>
          <t>АЗС</t>
        </is>
      </c>
      <c r="G359" s="130" t="inlineStr">
        <is>
          <t>Лукойл</t>
        </is>
      </c>
      <c r="H359" s="131" t="inlineStr">
        <is>
          <t>LUK_527</t>
        </is>
      </c>
      <c r="I359" s="637" t="n">
        <v>77527</v>
      </c>
      <c r="J359" s="402" t="inlineStr">
        <is>
          <t>MSK_LUK_0527</t>
        </is>
      </c>
      <c r="K359" s="640" t="n">
        <v>1</v>
      </c>
      <c r="L359" s="640" t="n">
        <v>0</v>
      </c>
      <c r="M359" s="640" t="inlineStr">
        <is>
          <t>1 октября</t>
        </is>
      </c>
      <c r="N359" s="640" t="n"/>
      <c r="O359" s="640">
        <f>IF(AND(N359=1,L359=1),K359,"")</f>
        <v/>
      </c>
      <c r="P359" s="642" t="inlineStr">
        <is>
          <t>г. Москва, ул. Варги Академика, вл. 13, стр. 1</t>
        </is>
      </c>
      <c r="Q359" s="640" t="n">
        <v>55.63516</v>
      </c>
      <c r="R359" s="422" t="n">
        <v>37.4733</v>
      </c>
      <c r="S359" s="438" t="n"/>
      <c r="T359" s="436" t="n"/>
      <c r="U359" s="436" t="n"/>
      <c r="V359" s="438">
        <f>IF(AND(N359=1,U359=1),C359,"")</f>
        <v/>
      </c>
      <c r="W359" s="387" t="n"/>
      <c r="X359" s="1" t="n"/>
      <c r="Y359" s="1" t="n"/>
    </row>
    <row r="360" hidden="1" ht="16.05" customFormat="1" customHeight="1" s="126">
      <c r="A360" s="125" t="n">
        <v>434</v>
      </c>
      <c r="B360" s="125" t="inlineStr">
        <is>
          <t>WF</t>
        </is>
      </c>
      <c r="C360" s="130" t="inlineStr">
        <is>
          <t>Москва</t>
        </is>
      </c>
      <c r="D360" s="130" t="inlineStr">
        <is>
          <t>Москва</t>
        </is>
      </c>
      <c r="E360" s="130" t="inlineStr">
        <is>
          <t>ЮЗАО</t>
        </is>
      </c>
      <c r="F360" s="130" t="inlineStr">
        <is>
          <t>АЗС</t>
        </is>
      </c>
      <c r="G360" s="130" t="inlineStr">
        <is>
          <t>Лукойл</t>
        </is>
      </c>
      <c r="H360" s="131" t="inlineStr">
        <is>
          <t>LUK_528</t>
        </is>
      </c>
      <c r="I360" s="637" t="n">
        <v>77528</v>
      </c>
      <c r="J360" s="402" t="inlineStr">
        <is>
          <t>MSK_LUK_0528</t>
        </is>
      </c>
      <c r="K360" s="640" t="n">
        <v>1</v>
      </c>
      <c r="L360" s="640" t="n">
        <v>0</v>
      </c>
      <c r="M360" s="640" t="inlineStr">
        <is>
          <t>Sam 32</t>
        </is>
      </c>
      <c r="N360" s="640" t="n"/>
      <c r="O360" s="640">
        <f>IF(AND(N360=1,L360=1),K360,"")</f>
        <v/>
      </c>
      <c r="P360" s="642" t="inlineStr">
        <is>
          <t>г. Москва, Азовская улица, вл. 32Б, стр. 1</t>
        </is>
      </c>
      <c r="Q360" s="640" t="n">
        <v>55.64261</v>
      </c>
      <c r="R360" s="422" t="n">
        <v>37.59292</v>
      </c>
      <c r="S360" s="438" t="n"/>
      <c r="T360" s="436" t="n"/>
      <c r="U360" s="436" t="n"/>
      <c r="V360" s="438">
        <f>IF(AND(N360=1,U360=1),C360,"")</f>
        <v/>
      </c>
      <c r="W360" s="387" t="n"/>
      <c r="X360" s="1" t="n"/>
      <c r="Y360" s="1" t="n"/>
    </row>
    <row r="361" hidden="1" ht="16.05" customFormat="1" customHeight="1" s="126">
      <c r="A361" s="125" t="n">
        <v>435</v>
      </c>
      <c r="B361" s="125" t="inlineStr">
        <is>
          <t>WF</t>
        </is>
      </c>
      <c r="C361" s="130" t="inlineStr">
        <is>
          <t>Москва</t>
        </is>
      </c>
      <c r="D361" s="130" t="inlineStr">
        <is>
          <t>Москва</t>
        </is>
      </c>
      <c r="E361" s="130" t="inlineStr">
        <is>
          <t>ЮВАО</t>
        </is>
      </c>
      <c r="F361" s="130" t="inlineStr">
        <is>
          <t>АЗС</t>
        </is>
      </c>
      <c r="G361" s="130" t="inlineStr">
        <is>
          <t>Лукойл</t>
        </is>
      </c>
      <c r="H361" s="131" t="inlineStr">
        <is>
          <t>LUK_529</t>
        </is>
      </c>
      <c r="I361" s="637" t="n">
        <v>77529</v>
      </c>
      <c r="J361" s="402" t="inlineStr">
        <is>
          <t>MSK_LUK_0529</t>
        </is>
      </c>
      <c r="K361" s="640" t="n">
        <v>1</v>
      </c>
      <c r="L361" s="640" t="n">
        <v>0</v>
      </c>
      <c r="M361" s="640" t="inlineStr">
        <is>
          <t>1 октября</t>
        </is>
      </c>
      <c r="N361" s="640" t="n"/>
      <c r="O361" s="640">
        <f>IF(AND(N361=1,L361=1),K361,"")</f>
        <v/>
      </c>
      <c r="P361" s="642" t="inlineStr">
        <is>
          <t>г. Москва, ул. Кожуховская 7-я, д. 7</t>
        </is>
      </c>
      <c r="Q361" s="640" t="n">
        <v>55.70959</v>
      </c>
      <c r="R361" s="422" t="n">
        <v>37.67067</v>
      </c>
      <c r="S361" s="438" t="n"/>
      <c r="T361" s="436" t="n"/>
      <c r="U361" s="436" t="n"/>
      <c r="V361" s="438">
        <f>IF(AND(N361=1,U361=1),C361,"")</f>
        <v/>
      </c>
      <c r="W361" s="387" t="n"/>
      <c r="X361" s="1" t="n"/>
      <c r="Y361" s="1" t="n"/>
    </row>
    <row r="362" hidden="1" ht="16.05" customFormat="1" customHeight="1" s="126">
      <c r="A362" s="125" t="n">
        <v>436</v>
      </c>
      <c r="B362" s="125" t="inlineStr">
        <is>
          <t>WF</t>
        </is>
      </c>
      <c r="C362" s="130" t="inlineStr">
        <is>
          <t>Москва</t>
        </is>
      </c>
      <c r="D362" s="130" t="inlineStr">
        <is>
          <t>Москва</t>
        </is>
      </c>
      <c r="E362" s="130" t="inlineStr">
        <is>
          <t>СЗАО</t>
        </is>
      </c>
      <c r="F362" s="130" t="inlineStr">
        <is>
          <t>АЗС</t>
        </is>
      </c>
      <c r="G362" s="130" t="inlineStr">
        <is>
          <t>Лукойл</t>
        </is>
      </c>
      <c r="H362" s="131" t="inlineStr">
        <is>
          <t>LUK_532</t>
        </is>
      </c>
      <c r="I362" s="637" t="n">
        <v>77532</v>
      </c>
      <c r="J362" s="402" t="inlineStr">
        <is>
          <t>MSK_LUK_0532</t>
        </is>
      </c>
      <c r="K362" s="640" t="n">
        <v>1</v>
      </c>
      <c r="L362" s="640" t="n">
        <v>0</v>
      </c>
      <c r="M362" s="640" t="inlineStr">
        <is>
          <t>1 октября</t>
        </is>
      </c>
      <c r="N362" s="640" t="n"/>
      <c r="O362" s="640">
        <f>IF(AND(N362=1,L362=1),K362,"")</f>
        <v/>
      </c>
      <c r="P362" s="642" t="inlineStr">
        <is>
          <t>г. Москва, ул. Свободы, д. 99</t>
        </is>
      </c>
      <c r="Q362" s="640" t="n">
        <v>55.87158</v>
      </c>
      <c r="R362" s="422" t="n">
        <v>37.43915</v>
      </c>
      <c r="S362" s="438" t="n"/>
      <c r="T362" s="436" t="n"/>
      <c r="U362" s="436" t="n"/>
      <c r="V362" s="438">
        <f>IF(AND(N362=1,U362=1),C362,"")</f>
        <v/>
      </c>
      <c r="W362" s="387" t="n"/>
      <c r="X362" s="1" t="n"/>
      <c r="Y362" s="1" t="n"/>
    </row>
    <row r="363" hidden="1" ht="16.05" customFormat="1" customHeight="1" s="126">
      <c r="A363" s="125" t="n">
        <v>437</v>
      </c>
      <c r="B363" s="125" t="inlineStr">
        <is>
          <t>WF</t>
        </is>
      </c>
      <c r="C363" s="130" t="inlineStr">
        <is>
          <t>Москва</t>
        </is>
      </c>
      <c r="D363" s="130" t="inlineStr">
        <is>
          <t>Москва</t>
        </is>
      </c>
      <c r="E363" s="130" t="inlineStr">
        <is>
          <t>СВАО</t>
        </is>
      </c>
      <c r="F363" s="130" t="inlineStr">
        <is>
          <t>АЗС</t>
        </is>
      </c>
      <c r="G363" s="130" t="inlineStr">
        <is>
          <t>Лукойл</t>
        </is>
      </c>
      <c r="H363" s="131" t="inlineStr">
        <is>
          <t>LUK_533</t>
        </is>
      </c>
      <c r="I363" s="637" t="n">
        <v>77533</v>
      </c>
      <c r="J363" s="402" t="inlineStr">
        <is>
          <t>MSK_LUK_0533</t>
        </is>
      </c>
      <c r="K363" s="640" t="n">
        <v>1</v>
      </c>
      <c r="L363" s="640" t="n">
        <v>0</v>
      </c>
      <c r="M363" s="640" t="inlineStr">
        <is>
          <t>1 октября</t>
        </is>
      </c>
      <c r="N363" s="640" t="n"/>
      <c r="O363" s="640">
        <f>IF(AND(N363=1,L363=1),K363,"")</f>
        <v/>
      </c>
      <c r="P363" s="642" t="inlineStr">
        <is>
          <t>г. Москва, ул. Докукина, вл. 2</t>
        </is>
      </c>
      <c r="Q363" s="640" t="n">
        <v>55.83755</v>
      </c>
      <c r="R363" s="422" t="n">
        <v>37.65662</v>
      </c>
      <c r="S363" s="438" t="n"/>
      <c r="T363" s="436" t="n"/>
      <c r="U363" s="436" t="n"/>
      <c r="V363" s="438">
        <f>IF(AND(N363=1,U363=1),C363,"")</f>
        <v/>
      </c>
      <c r="W363" s="387" t="n"/>
      <c r="X363" s="1" t="n"/>
      <c r="Y363" s="1" t="n"/>
    </row>
    <row r="364" hidden="1" ht="16.05" customFormat="1" customHeight="1" s="126">
      <c r="A364" s="125" t="n">
        <v>438</v>
      </c>
      <c r="B364" s="125" t="inlineStr">
        <is>
          <t>WF</t>
        </is>
      </c>
      <c r="C364" s="130" t="inlineStr">
        <is>
          <t>Москва</t>
        </is>
      </c>
      <c r="D364" s="130" t="inlineStr">
        <is>
          <t>Москва</t>
        </is>
      </c>
      <c r="E364" s="130" t="inlineStr">
        <is>
          <t>СВАО</t>
        </is>
      </c>
      <c r="F364" s="130" t="inlineStr">
        <is>
          <t>АЗС</t>
        </is>
      </c>
      <c r="G364" s="130" t="inlineStr">
        <is>
          <t>Лукойл</t>
        </is>
      </c>
      <c r="H364" s="131" t="inlineStr">
        <is>
          <t>LUK_535</t>
        </is>
      </c>
      <c r="I364" s="637" t="n">
        <v>77535</v>
      </c>
      <c r="J364" s="402" t="inlineStr">
        <is>
          <t>MSK_LUK_0535</t>
        </is>
      </c>
      <c r="K364" s="640" t="n">
        <v>1</v>
      </c>
      <c r="L364" s="640" t="n">
        <v>0</v>
      </c>
      <c r="M364" s="640" t="inlineStr">
        <is>
          <t>1 октября</t>
        </is>
      </c>
      <c r="N364" s="640" t="n"/>
      <c r="O364" s="640">
        <f>IF(AND(N364=1,L364=1),K364,"")</f>
        <v/>
      </c>
      <c r="P364" s="642" t="inlineStr">
        <is>
          <t>г. Москва, проезд Дежнева, вл. 5, строен. 1</t>
        </is>
      </c>
      <c r="Q364" s="640" t="n">
        <v>55.8713</v>
      </c>
      <c r="R364" s="422" t="n">
        <v>37.64577</v>
      </c>
      <c r="S364" s="438" t="n"/>
      <c r="T364" s="436" t="n"/>
      <c r="U364" s="436" t="n"/>
      <c r="V364" s="438">
        <f>IF(AND(N364=1,U364=1),C364,"")</f>
        <v/>
      </c>
      <c r="W364" s="387" t="n"/>
      <c r="X364" s="1" t="n"/>
      <c r="Y364" s="1" t="n"/>
    </row>
    <row r="365" hidden="1" ht="16.05" customFormat="1" customHeight="1" s="126">
      <c r="A365" s="125" t="n">
        <v>439</v>
      </c>
      <c r="B365" s="125" t="inlineStr">
        <is>
          <t>WF</t>
        </is>
      </c>
      <c r="C365" s="130" t="inlineStr">
        <is>
          <t>Москва</t>
        </is>
      </c>
      <c r="D365" s="130" t="inlineStr">
        <is>
          <t>Москва</t>
        </is>
      </c>
      <c r="E365" s="130" t="inlineStr">
        <is>
          <t>СВАО</t>
        </is>
      </c>
      <c r="F365" s="130" t="inlineStr">
        <is>
          <t>АЗС</t>
        </is>
      </c>
      <c r="G365" s="130" t="inlineStr">
        <is>
          <t>Лукойл</t>
        </is>
      </c>
      <c r="H365" s="131" t="inlineStr">
        <is>
          <t>LUK_542</t>
        </is>
      </c>
      <c r="I365" s="637" t="n">
        <v>77542</v>
      </c>
      <c r="J365" s="402" t="inlineStr">
        <is>
          <t>MSK_LUK_0542</t>
        </is>
      </c>
      <c r="K365" s="640" t="n">
        <v>1</v>
      </c>
      <c r="L365" s="640" t="n">
        <v>0</v>
      </c>
      <c r="M365" s="640" t="inlineStr">
        <is>
          <t>1 октября</t>
        </is>
      </c>
      <c r="N365" s="640" t="n"/>
      <c r="O365" s="640">
        <f>IF(AND(N365=1,L365=1),K365,"")</f>
        <v/>
      </c>
      <c r="P365" s="642" t="inlineStr">
        <is>
          <t>г. Москва, ш. Алтуфьевское, д. 52А, строен. 1</t>
        </is>
      </c>
      <c r="Q365" s="640" t="n">
        <v>55.87803</v>
      </c>
      <c r="R365" s="422" t="n">
        <v>37.58836</v>
      </c>
      <c r="S365" s="438" t="n"/>
      <c r="T365" s="436" t="n"/>
      <c r="U365" s="436" t="n"/>
      <c r="V365" s="438">
        <f>IF(AND(N365=1,U365=1),C365,"")</f>
        <v/>
      </c>
      <c r="W365" s="387" t="n"/>
      <c r="X365" s="1" t="n"/>
      <c r="Y365" s="1" t="n"/>
    </row>
    <row r="366" hidden="1" ht="16.05" customFormat="1" customHeight="1" s="126">
      <c r="A366" s="125" t="n">
        <v>440</v>
      </c>
      <c r="B366" s="125" t="inlineStr">
        <is>
          <t>WF</t>
        </is>
      </c>
      <c r="C366" s="130" t="inlineStr">
        <is>
          <t>Москва</t>
        </is>
      </c>
      <c r="D366" s="130" t="inlineStr">
        <is>
          <t>Москва</t>
        </is>
      </c>
      <c r="E366" s="130" t="inlineStr">
        <is>
          <t>ЮВАО</t>
        </is>
      </c>
      <c r="F366" s="130" t="inlineStr">
        <is>
          <t>АЗС</t>
        </is>
      </c>
      <c r="G366" s="130" t="inlineStr">
        <is>
          <t>Лукойл</t>
        </is>
      </c>
      <c r="H366" s="131" t="inlineStr">
        <is>
          <t>LUK_554</t>
        </is>
      </c>
      <c r="I366" s="637" t="n">
        <v>77554</v>
      </c>
      <c r="J366" s="402" t="inlineStr">
        <is>
          <t>MSK_LUK_0554</t>
        </is>
      </c>
      <c r="K366" s="640" t="n">
        <v>1</v>
      </c>
      <c r="L366" s="640" t="n">
        <v>0</v>
      </c>
      <c r="M366" s="640" t="inlineStr">
        <is>
          <t>1 октября</t>
        </is>
      </c>
      <c r="N366" s="640" t="n"/>
      <c r="O366" s="640">
        <f>IF(AND(N366=1,L366=1),K366,"")</f>
        <v/>
      </c>
      <c r="P366" s="642" t="inlineStr">
        <is>
          <t>г. Москва, ул. Верхние Поля, вл. 24, строен. 3</t>
        </is>
      </c>
      <c r="Q366" s="640" t="n">
        <v>55.65746</v>
      </c>
      <c r="R366" s="422" t="n">
        <v>37.789</v>
      </c>
      <c r="S366" s="438" t="n"/>
      <c r="T366" s="436" t="n"/>
      <c r="U366" s="436" t="n"/>
      <c r="V366" s="438">
        <f>IF(AND(N366=1,U366=1),C366,"")</f>
        <v/>
      </c>
      <c r="W366" s="387" t="n"/>
      <c r="X366" s="1" t="n"/>
      <c r="Y366" s="1" t="n"/>
    </row>
    <row r="367" hidden="1" ht="16.05" customFormat="1" customHeight="1" s="126">
      <c r="A367" s="125" t="n">
        <v>441</v>
      </c>
      <c r="B367" s="125" t="inlineStr">
        <is>
          <t>WF</t>
        </is>
      </c>
      <c r="C367" s="130" t="inlineStr">
        <is>
          <t>Москва</t>
        </is>
      </c>
      <c r="D367" s="130" t="inlineStr">
        <is>
          <t>Москва</t>
        </is>
      </c>
      <c r="E367" s="130" t="inlineStr">
        <is>
          <t>А103</t>
        </is>
      </c>
      <c r="F367" s="130" t="inlineStr">
        <is>
          <t>АЗС</t>
        </is>
      </c>
      <c r="G367" s="130" t="inlineStr">
        <is>
          <t>Лукойл</t>
        </is>
      </c>
      <c r="H367" s="131" t="inlineStr">
        <is>
          <t>LUK_565</t>
        </is>
      </c>
      <c r="I367" s="637" t="n">
        <v>77565</v>
      </c>
      <c r="J367" s="402" t="inlineStr">
        <is>
          <t>MSK_LUK_0565</t>
        </is>
      </c>
      <c r="K367" s="640" t="n">
        <v>1</v>
      </c>
      <c r="L367" s="640" t="n">
        <v>0</v>
      </c>
      <c r="M367" s="640" t="inlineStr">
        <is>
          <t>1 октября</t>
        </is>
      </c>
      <c r="N367" s="640" t="n"/>
      <c r="O367" s="640">
        <f>IF(AND(N367=1,L367=1),K367,"")</f>
        <v/>
      </c>
      <c r="P367" s="642" t="inlineStr">
        <is>
          <t>г. Москва, ш. Щелковское, вл. 102А</t>
        </is>
      </c>
      <c r="Q367" s="640" t="n">
        <v>55.812491</v>
      </c>
      <c r="R367" s="422" t="n">
        <v>37.836977</v>
      </c>
      <c r="S367" s="438" t="n"/>
      <c r="T367" s="436" t="n"/>
      <c r="U367" s="436" t="n"/>
      <c r="V367" s="438">
        <f>IF(AND(N367=1,U367=1),C367,"")</f>
        <v/>
      </c>
      <c r="W367" s="387" t="n"/>
      <c r="X367" s="1" t="n"/>
      <c r="Y367" s="1" t="n"/>
    </row>
    <row r="368" hidden="1" ht="16.05" customFormat="1" customHeight="1" s="126">
      <c r="A368" s="125" t="n">
        <v>442</v>
      </c>
      <c r="B368" s="125" t="inlineStr">
        <is>
          <t>WF</t>
        </is>
      </c>
      <c r="C368" s="130" t="inlineStr">
        <is>
          <t>Москва</t>
        </is>
      </c>
      <c r="D368" s="130" t="inlineStr">
        <is>
          <t>Москва</t>
        </is>
      </c>
      <c r="E368" s="130" t="inlineStr">
        <is>
          <t>ЗАО</t>
        </is>
      </c>
      <c r="F368" s="130" t="inlineStr">
        <is>
          <t>АЗС</t>
        </is>
      </c>
      <c r="G368" s="130" t="inlineStr">
        <is>
          <t>Лукойл</t>
        </is>
      </c>
      <c r="H368" s="131" t="inlineStr">
        <is>
          <t>LUK_579</t>
        </is>
      </c>
      <c r="I368" s="637" t="n">
        <v>77579</v>
      </c>
      <c r="J368" s="402" t="inlineStr">
        <is>
          <t>MSK_LUK_0579</t>
        </is>
      </c>
      <c r="K368" s="640" t="n">
        <v>1</v>
      </c>
      <c r="L368" s="640" t="n">
        <v>0</v>
      </c>
      <c r="M368" s="640" t="inlineStr">
        <is>
          <t>1 октября</t>
        </is>
      </c>
      <c r="N368" s="640" t="n"/>
      <c r="O368" s="640">
        <f>IF(AND(N368=1,L368=1),K368,"")</f>
        <v/>
      </c>
      <c r="P368" s="642" t="inlineStr">
        <is>
          <t>г. Москва, ул. Рябиновая, вл. 20, соор. 1</t>
        </is>
      </c>
      <c r="Q368" s="640" t="n">
        <v>55.70384</v>
      </c>
      <c r="R368" s="422" t="n">
        <v>37.41933</v>
      </c>
      <c r="S368" s="438" t="n"/>
      <c r="T368" s="436" t="n"/>
      <c r="U368" s="436" t="n"/>
      <c r="V368" s="438">
        <f>IF(AND(N368=1,U368=1),C368,"")</f>
        <v/>
      </c>
      <c r="W368" s="387" t="n"/>
      <c r="X368" s="1" t="n"/>
      <c r="Y368" s="1" t="n"/>
    </row>
    <row r="369" hidden="1" ht="16.05" customFormat="1" customHeight="1" s="126">
      <c r="A369" s="125" t="n">
        <v>443</v>
      </c>
      <c r="B369" s="125" t="inlineStr">
        <is>
          <t>WF</t>
        </is>
      </c>
      <c r="C369" s="130" t="inlineStr">
        <is>
          <t>Москва</t>
        </is>
      </c>
      <c r="D369" s="130" t="inlineStr">
        <is>
          <t>Москва</t>
        </is>
      </c>
      <c r="E369" s="130" t="inlineStr">
        <is>
          <t>ЗАО</t>
        </is>
      </c>
      <c r="F369" s="130" t="inlineStr">
        <is>
          <t>АЗС</t>
        </is>
      </c>
      <c r="G369" s="130" t="inlineStr">
        <is>
          <t>Лукойл</t>
        </is>
      </c>
      <c r="H369" s="131" t="inlineStr">
        <is>
          <t>LUK_595</t>
        </is>
      </c>
      <c r="I369" s="637" t="n">
        <v>77595</v>
      </c>
      <c r="J369" s="402" t="inlineStr">
        <is>
          <t>MSK_LUK_0595</t>
        </is>
      </c>
      <c r="K369" s="640" t="n">
        <v>2</v>
      </c>
      <c r="L369" s="640" t="n">
        <v>0</v>
      </c>
      <c r="M369" s="640" t="inlineStr">
        <is>
          <t>1 октября</t>
        </is>
      </c>
      <c r="N369" s="640" t="n"/>
      <c r="O369" s="640">
        <f>IF(AND(N369=1,L369=1),K369,"")</f>
        <v/>
      </c>
      <c r="P369" s="642" t="inlineStr">
        <is>
          <t>г. Москва, просп. Ленинский, вл. 164</t>
        </is>
      </c>
      <c r="Q369" s="640" t="n">
        <v>55.64419</v>
      </c>
      <c r="R369" s="422" t="n">
        <v>37.46909</v>
      </c>
      <c r="S369" s="438" t="n"/>
      <c r="T369" s="436" t="n"/>
      <c r="U369" s="436" t="n"/>
      <c r="V369" s="438">
        <f>IF(AND(N369=1,U369=1),C369,"")</f>
        <v/>
      </c>
      <c r="W369" s="387" t="n"/>
      <c r="X369" s="1" t="n"/>
      <c r="Y369" s="1" t="n"/>
    </row>
    <row r="370" hidden="1" ht="16.05" customFormat="1" customHeight="1" s="126">
      <c r="A370" s="125" t="n">
        <v>445</v>
      </c>
      <c r="B370" s="125" t="inlineStr">
        <is>
          <t>WF</t>
        </is>
      </c>
      <c r="C370" s="130" t="inlineStr">
        <is>
          <t>Москва</t>
        </is>
      </c>
      <c r="D370" s="130" t="inlineStr">
        <is>
          <t>Москва</t>
        </is>
      </c>
      <c r="E370" s="130" t="inlineStr">
        <is>
          <t>ЮАО</t>
        </is>
      </c>
      <c r="F370" s="130" t="inlineStr">
        <is>
          <t>АЗС</t>
        </is>
      </c>
      <c r="G370" s="130" t="inlineStr">
        <is>
          <t>Лукойл</t>
        </is>
      </c>
      <c r="H370" s="131" t="inlineStr">
        <is>
          <t>LUK_596</t>
        </is>
      </c>
      <c r="I370" s="637" t="n">
        <v>77596</v>
      </c>
      <c r="J370" s="402" t="inlineStr">
        <is>
          <t>MSK_LUK_0596</t>
        </is>
      </c>
      <c r="K370" s="640" t="n">
        <v>2</v>
      </c>
      <c r="L370" s="640" t="n">
        <v>0</v>
      </c>
      <c r="M370" s="640" t="inlineStr">
        <is>
          <t>1 октября</t>
        </is>
      </c>
      <c r="N370" s="640" t="n"/>
      <c r="O370" s="640">
        <f>IF(AND(N370=1,L370=1),K370,"")</f>
        <v/>
      </c>
      <c r="P370" s="642" t="inlineStr">
        <is>
          <t>г. Москва, ул. Тульская М., вл. 54</t>
        </is>
      </c>
      <c r="Q370" s="640" t="n">
        <v>55.70176</v>
      </c>
      <c r="R370" s="422" t="n">
        <v>37.61554</v>
      </c>
      <c r="S370" s="438" t="n"/>
      <c r="T370" s="436" t="n"/>
      <c r="U370" s="436" t="n"/>
      <c r="V370" s="438">
        <f>IF(AND(N370=1,U370=1),C370,"")</f>
        <v/>
      </c>
      <c r="W370" s="387" t="n"/>
      <c r="X370" s="1" t="n"/>
      <c r="Y370" s="1" t="n"/>
    </row>
    <row r="371" hidden="1" ht="16.05" customFormat="1" customHeight="1" s="126">
      <c r="A371" s="125" t="n">
        <v>447</v>
      </c>
      <c r="B371" s="125" t="inlineStr">
        <is>
          <t>WF</t>
        </is>
      </c>
      <c r="C371" s="130" t="inlineStr">
        <is>
          <t>Москва</t>
        </is>
      </c>
      <c r="D371" s="130" t="inlineStr">
        <is>
          <t>Москва</t>
        </is>
      </c>
      <c r="E371" s="130" t="inlineStr">
        <is>
          <t>ЮАО</t>
        </is>
      </c>
      <c r="F371" s="130" t="inlineStr">
        <is>
          <t>АЗС</t>
        </is>
      </c>
      <c r="G371" s="130" t="inlineStr">
        <is>
          <t>Лукойл</t>
        </is>
      </c>
      <c r="H371" s="131" t="inlineStr">
        <is>
          <t>LUK_597</t>
        </is>
      </c>
      <c r="I371" s="637" t="n">
        <v>77597</v>
      </c>
      <c r="J371" s="402" t="inlineStr">
        <is>
          <t>MSK_LUK_0597</t>
        </is>
      </c>
      <c r="K371" s="640" t="n">
        <v>2</v>
      </c>
      <c r="L371" s="640" t="n">
        <v>0</v>
      </c>
      <c r="M371" s="640" t="inlineStr">
        <is>
          <t>1 октября</t>
        </is>
      </c>
      <c r="N371" s="640" t="n"/>
      <c r="O371" s="640">
        <f>IF(AND(N371=1,L371=1),K371,"")</f>
        <v/>
      </c>
      <c r="P371" s="642" t="inlineStr">
        <is>
          <t>г. Москва, ЮАО, Нагорный, Варшавское шоссе, вл. 24А</t>
        </is>
      </c>
      <c r="Q371" s="640" t="n">
        <v>55.68606</v>
      </c>
      <c r="R371" s="422" t="n">
        <v>37.62224</v>
      </c>
      <c r="S371" s="438" t="n"/>
      <c r="T371" s="436" t="n"/>
      <c r="U371" s="436" t="n"/>
      <c r="V371" s="438">
        <f>IF(AND(N371=1,U371=1),C371,"")</f>
        <v/>
      </c>
      <c r="W371" s="387" t="n"/>
      <c r="X371" s="1" t="n"/>
      <c r="Y371" s="1" t="n"/>
    </row>
    <row r="372" hidden="1" ht="16.05" customFormat="1" customHeight="1" s="126">
      <c r="A372" s="125" t="n">
        <v>449</v>
      </c>
      <c r="B372" s="125" t="inlineStr">
        <is>
          <t>WF</t>
        </is>
      </c>
      <c r="C372" s="130" t="inlineStr">
        <is>
          <t>Москва</t>
        </is>
      </c>
      <c r="D372" s="130" t="inlineStr">
        <is>
          <t>Москва</t>
        </is>
      </c>
      <c r="E372" s="130" t="inlineStr">
        <is>
          <t>ЮАО</t>
        </is>
      </c>
      <c r="F372" s="130" t="inlineStr">
        <is>
          <t>АЗС</t>
        </is>
      </c>
      <c r="G372" s="130" t="inlineStr">
        <is>
          <t>Лукойл</t>
        </is>
      </c>
      <c r="H372" s="131" t="inlineStr">
        <is>
          <t>LUK_602</t>
        </is>
      </c>
      <c r="I372" s="637" t="n">
        <v>77602</v>
      </c>
      <c r="J372" s="402" t="inlineStr">
        <is>
          <t>MSK_LUK_0602</t>
        </is>
      </c>
      <c r="K372" s="640" t="n">
        <v>1</v>
      </c>
      <c r="L372" s="640" t="n">
        <v>0</v>
      </c>
      <c r="M372" s="640" t="inlineStr">
        <is>
          <t>1 октября</t>
        </is>
      </c>
      <c r="N372" s="640" t="n"/>
      <c r="O372" s="640">
        <f>IF(AND(N372=1,L372=1),K372,"")</f>
        <v/>
      </c>
      <c r="P372" s="642" t="inlineStr">
        <is>
          <t>г. Москва, пр. Коломенский, вл. 3А</t>
        </is>
      </c>
      <c r="Q372" s="640" t="n">
        <v>55.66713</v>
      </c>
      <c r="R372" s="422" t="n">
        <v>37.65598</v>
      </c>
      <c r="S372" s="438" t="n"/>
      <c r="T372" s="436" t="n"/>
      <c r="U372" s="436" t="n"/>
      <c r="V372" s="438">
        <f>IF(AND(N372=1,U372=1),C372,"")</f>
        <v/>
      </c>
      <c r="W372" s="387" t="n"/>
      <c r="X372" s="1" t="n"/>
      <c r="Y372" s="1" t="n"/>
    </row>
    <row r="373" hidden="1" ht="16.05" customFormat="1" customHeight="1" s="126">
      <c r="A373" s="125" t="n">
        <v>450</v>
      </c>
      <c r="B373" s="125" t="inlineStr">
        <is>
          <t>WF</t>
        </is>
      </c>
      <c r="C373" s="130" t="inlineStr">
        <is>
          <t>Москва</t>
        </is>
      </c>
      <c r="D373" s="130" t="inlineStr">
        <is>
          <t>Москва</t>
        </is>
      </c>
      <c r="E373" s="130" t="inlineStr">
        <is>
          <t>ЗАО</t>
        </is>
      </c>
      <c r="F373" s="130" t="inlineStr">
        <is>
          <t>АЗС</t>
        </is>
      </c>
      <c r="G373" s="130" t="inlineStr">
        <is>
          <t>Лукойл</t>
        </is>
      </c>
      <c r="H373" s="131" t="inlineStr">
        <is>
          <t>LUK_612</t>
        </is>
      </c>
      <c r="I373" s="637" t="n">
        <v>77612</v>
      </c>
      <c r="J373" s="402" t="inlineStr">
        <is>
          <t>MSK_LUK_0612</t>
        </is>
      </c>
      <c r="K373" s="640" t="n">
        <v>1</v>
      </c>
      <c r="L373" s="640" t="n">
        <v>0</v>
      </c>
      <c r="M373" s="640" t="inlineStr">
        <is>
          <t>Sam 32</t>
        </is>
      </c>
      <c r="N373" s="640" t="n"/>
      <c r="O373" s="640">
        <f>IF(AND(N373=1,L373=1),K373,"")</f>
        <v/>
      </c>
      <c r="P373" s="642" t="inlineStr">
        <is>
          <t>г. Москва, просп. Вернадского, д. 5А</t>
        </is>
      </c>
      <c r="Q373" s="640" t="n">
        <v>55.69593</v>
      </c>
      <c r="R373" s="422" t="n">
        <v>37.54112</v>
      </c>
      <c r="S373" s="438" t="n"/>
      <c r="T373" s="436" t="n"/>
      <c r="U373" s="436" t="n"/>
      <c r="V373" s="438">
        <f>IF(AND(N373=1,U373=1),C373,"")</f>
        <v/>
      </c>
      <c r="W373" s="387" t="n"/>
      <c r="X373" s="1" t="n"/>
      <c r="Y373" s="1" t="n"/>
    </row>
    <row r="374" hidden="1" ht="16.05" customFormat="1" customHeight="1" s="126">
      <c r="A374" s="125" t="n">
        <v>451</v>
      </c>
      <c r="B374" s="125" t="inlineStr">
        <is>
          <t>WF</t>
        </is>
      </c>
      <c r="C374" s="130" t="inlineStr">
        <is>
          <t>Москва</t>
        </is>
      </c>
      <c r="D374" s="130" t="inlineStr">
        <is>
          <t>Москва</t>
        </is>
      </c>
      <c r="E374" s="130" t="inlineStr">
        <is>
          <t>ЮЗАО</t>
        </is>
      </c>
      <c r="F374" s="130" t="inlineStr">
        <is>
          <t>АЗС</t>
        </is>
      </c>
      <c r="G374" s="130" t="inlineStr">
        <is>
          <t>Лукойл</t>
        </is>
      </c>
      <c r="H374" s="131" t="inlineStr">
        <is>
          <t>LUK_614</t>
        </is>
      </c>
      <c r="I374" s="637" t="n">
        <v>77614</v>
      </c>
      <c r="J374" s="402" t="inlineStr">
        <is>
          <t>MSK_LUK_0614</t>
        </is>
      </c>
      <c r="K374" s="640" t="n">
        <v>2</v>
      </c>
      <c r="L374" s="640" t="n">
        <v>0</v>
      </c>
      <c r="M374" s="640" t="inlineStr">
        <is>
          <t>Sam 32</t>
        </is>
      </c>
      <c r="N374" s="640" t="n"/>
      <c r="O374" s="640">
        <f>IF(AND(N374=1,L374=1),K374,"")</f>
        <v/>
      </c>
      <c r="P374" s="642" t="inlineStr">
        <is>
          <t>г. Москва, ул. Профсоюзная, вл. 144, стр. 1</t>
        </is>
      </c>
      <c r="Q374" s="640" t="n">
        <v>55.624381</v>
      </c>
      <c r="R374" s="422" t="n">
        <v>37.510562</v>
      </c>
      <c r="S374" s="438" t="n"/>
      <c r="T374" s="436" t="n"/>
      <c r="U374" s="436" t="n"/>
      <c r="V374" s="438">
        <f>IF(AND(N374=1,U374=1),C374,"")</f>
        <v/>
      </c>
      <c r="W374" s="387" t="n"/>
      <c r="X374" s="1" t="n"/>
      <c r="Y374" s="1" t="n"/>
    </row>
    <row r="375" hidden="1" ht="16.05" customFormat="1" customHeight="1" s="126">
      <c r="A375" s="125" t="n">
        <v>453</v>
      </c>
      <c r="B375" s="125" t="inlineStr">
        <is>
          <t>WF</t>
        </is>
      </c>
      <c r="C375" s="130" t="inlineStr">
        <is>
          <t>Москва</t>
        </is>
      </c>
      <c r="D375" s="130" t="inlineStr">
        <is>
          <t>Москва</t>
        </is>
      </c>
      <c r="E375" s="130" t="inlineStr">
        <is>
          <t>ЮАО</t>
        </is>
      </c>
      <c r="F375" s="130" t="inlineStr">
        <is>
          <t>АЗС</t>
        </is>
      </c>
      <c r="G375" s="130" t="inlineStr">
        <is>
          <t>Лукойл</t>
        </is>
      </c>
      <c r="H375" s="131" t="inlineStr">
        <is>
          <t>LUK_615</t>
        </is>
      </c>
      <c r="I375" s="637" t="n">
        <v>77615</v>
      </c>
      <c r="J375" s="402" t="inlineStr">
        <is>
          <t>MSK_LUK_0615</t>
        </is>
      </c>
      <c r="K375" s="640" t="n">
        <v>2</v>
      </c>
      <c r="L375" s="640" t="n">
        <v>0</v>
      </c>
      <c r="M375" s="640" t="inlineStr">
        <is>
          <t>1 октября</t>
        </is>
      </c>
      <c r="N375" s="640" t="n"/>
      <c r="O375" s="640">
        <f>IF(AND(N375=1,L375=1),K375,"")</f>
        <v/>
      </c>
      <c r="P375" s="642" t="inlineStr">
        <is>
          <t>г. Москва, просп. Андропова, вл. 22/30А</t>
        </is>
      </c>
      <c r="Q375" s="640" t="n">
        <v>55.684278</v>
      </c>
      <c r="R375" s="422" t="n">
        <v>37.663954</v>
      </c>
      <c r="S375" s="438" t="n"/>
      <c r="T375" s="436" t="n"/>
      <c r="U375" s="436" t="n"/>
      <c r="V375" s="438">
        <f>IF(AND(N375=1,U375=1),C375,"")</f>
        <v/>
      </c>
      <c r="W375" s="387" t="n"/>
      <c r="X375" s="1" t="n"/>
      <c r="Y375" s="1" t="n"/>
    </row>
    <row r="376" hidden="1" ht="16.05" customFormat="1" customHeight="1" s="126">
      <c r="A376" s="125" t="n">
        <v>455</v>
      </c>
      <c r="B376" s="160" t="inlineStr">
        <is>
          <t>WF</t>
        </is>
      </c>
      <c r="C376" s="130" t="inlineStr">
        <is>
          <t>Москва</t>
        </is>
      </c>
      <c r="D376" s="130" t="inlineStr">
        <is>
          <t>Москва</t>
        </is>
      </c>
      <c r="E376" s="130" t="inlineStr">
        <is>
          <t>СЗАО</t>
        </is>
      </c>
      <c r="F376" s="130" t="inlineStr">
        <is>
          <t>АЗС</t>
        </is>
      </c>
      <c r="G376" s="130" t="inlineStr">
        <is>
          <t>Лукойл</t>
        </is>
      </c>
      <c r="H376" s="131" t="inlineStr">
        <is>
          <t>LUK_616</t>
        </is>
      </c>
      <c r="I376" s="637" t="n">
        <v>77616</v>
      </c>
      <c r="J376" s="402" t="inlineStr">
        <is>
          <t>MSK_LUK_0616</t>
        </is>
      </c>
      <c r="K376" s="640" t="n">
        <v>2</v>
      </c>
      <c r="L376" s="640" t="n">
        <v>0</v>
      </c>
      <c r="M376" s="640" t="inlineStr">
        <is>
          <t>Sam 32</t>
        </is>
      </c>
      <c r="N376" s="640" t="n"/>
      <c r="O376" s="640">
        <f>IF(AND(N376=1,L376=1),K376,"")</f>
        <v/>
      </c>
      <c r="P376" s="642" t="inlineStr">
        <is>
          <t>г. Москва, Волоколамское шоссе, вл. 67</t>
        </is>
      </c>
      <c r="Q376" s="640" t="n">
        <v>55.822871</v>
      </c>
      <c r="R376" s="422" t="n">
        <v>37.43764</v>
      </c>
      <c r="S376" s="438" t="n"/>
      <c r="T376" s="436" t="n"/>
      <c r="U376" s="436" t="n"/>
      <c r="V376" s="438">
        <f>IF(AND(N376=1,U376=1),C376,"")</f>
        <v/>
      </c>
      <c r="W376" s="387" t="n"/>
      <c r="X376" s="1" t="n"/>
      <c r="Y376" s="1" t="n"/>
    </row>
    <row r="377" hidden="1" ht="16.05" customFormat="1" customHeight="1" s="126">
      <c r="A377" s="125" t="n">
        <v>457</v>
      </c>
      <c r="B377" s="125" t="inlineStr">
        <is>
          <t>WF</t>
        </is>
      </c>
      <c r="C377" s="130" t="inlineStr">
        <is>
          <t>Москва</t>
        </is>
      </c>
      <c r="D377" s="130" t="inlineStr">
        <is>
          <t>Москва</t>
        </is>
      </c>
      <c r="E377" s="130" t="inlineStr">
        <is>
          <t>ЮАО</t>
        </is>
      </c>
      <c r="F377" s="130" t="inlineStr">
        <is>
          <t>АЗС</t>
        </is>
      </c>
      <c r="G377" s="130" t="inlineStr">
        <is>
          <t>Лукойл</t>
        </is>
      </c>
      <c r="H377" s="131" t="inlineStr">
        <is>
          <t>LUK_617</t>
        </is>
      </c>
      <c r="I377" s="637" t="n">
        <v>77617</v>
      </c>
      <c r="J377" s="402" t="inlineStr">
        <is>
          <t>MSK_LUK_0617</t>
        </is>
      </c>
      <c r="K377" s="640" t="n">
        <v>1</v>
      </c>
      <c r="L377" s="640" t="n">
        <v>0</v>
      </c>
      <c r="M377" s="640" t="inlineStr">
        <is>
          <t>1 октября</t>
        </is>
      </c>
      <c r="N377" s="640" t="n"/>
      <c r="O377" s="640">
        <f>IF(AND(N377=1,L377=1),K377,"")</f>
        <v/>
      </c>
      <c r="P377" s="642" t="inlineStr">
        <is>
          <t>г. Москва, пр. Электролитный, д. 14</t>
        </is>
      </c>
      <c r="Q377" s="640" t="n">
        <v>55.67313</v>
      </c>
      <c r="R377" s="422" t="n">
        <v>37.613351</v>
      </c>
      <c r="S377" s="438" t="n"/>
      <c r="T377" s="436" t="n"/>
      <c r="U377" s="436" t="n"/>
      <c r="V377" s="438">
        <f>IF(AND(N377=1,U377=1),C377,"")</f>
        <v/>
      </c>
      <c r="W377" s="387" t="n"/>
      <c r="X377" s="1" t="n"/>
      <c r="Y377" s="1" t="n"/>
    </row>
    <row r="378" hidden="1" ht="16.05" customFormat="1" customHeight="1" s="126">
      <c r="A378" s="125" t="n">
        <v>458</v>
      </c>
      <c r="B378" s="125" t="inlineStr">
        <is>
          <t>WF</t>
        </is>
      </c>
      <c r="C378" s="130" t="inlineStr">
        <is>
          <t>Москва</t>
        </is>
      </c>
      <c r="D378" s="130" t="inlineStr">
        <is>
          <t>Москва</t>
        </is>
      </c>
      <c r="E378" s="130" t="inlineStr">
        <is>
          <t>СЗАО</t>
        </is>
      </c>
      <c r="F378" s="130" t="inlineStr">
        <is>
          <t>АЗС</t>
        </is>
      </c>
      <c r="G378" s="130" t="inlineStr">
        <is>
          <t>Лукойл</t>
        </is>
      </c>
      <c r="H378" s="131" t="inlineStr">
        <is>
          <t>LUK_618</t>
        </is>
      </c>
      <c r="I378" s="637" t="n">
        <v>77618</v>
      </c>
      <c r="J378" s="402" t="inlineStr">
        <is>
          <t>MSK_LUK_0618</t>
        </is>
      </c>
      <c r="K378" s="640" t="n">
        <v>1</v>
      </c>
      <c r="L378" s="640" t="n">
        <v>0</v>
      </c>
      <c r="M378" s="640" t="inlineStr">
        <is>
          <t>1 октября</t>
        </is>
      </c>
      <c r="N378" s="640" t="n"/>
      <c r="O378" s="640">
        <f>IF(AND(N378=1,L378=1),K378,"")</f>
        <v/>
      </c>
      <c r="P378" s="642" t="inlineStr">
        <is>
          <t>г. Москва, пр. 3-й Силикатный, д. 6</t>
        </is>
      </c>
      <c r="Q378" s="640" t="n">
        <v>55.774194</v>
      </c>
      <c r="R378" s="422" t="n">
        <v>37.506584</v>
      </c>
      <c r="S378" s="438" t="n"/>
      <c r="T378" s="436" t="n"/>
      <c r="U378" s="436" t="n"/>
      <c r="V378" s="438">
        <f>IF(AND(N378=1,U378=1),C378,"")</f>
        <v/>
      </c>
      <c r="W378" s="387" t="n"/>
      <c r="X378" s="1" t="n"/>
      <c r="Y378" s="1" t="n"/>
    </row>
    <row r="379" hidden="1" ht="16.05" customFormat="1" customHeight="1" s="126">
      <c r="A379" s="125" t="n">
        <v>459</v>
      </c>
      <c r="B379" s="125" t="inlineStr">
        <is>
          <t>WF</t>
        </is>
      </c>
      <c r="C379" s="130" t="inlineStr">
        <is>
          <t>Москва</t>
        </is>
      </c>
      <c r="D379" s="130" t="inlineStr">
        <is>
          <t>Москва</t>
        </is>
      </c>
      <c r="E379" s="130" t="inlineStr">
        <is>
          <t>СВАО</t>
        </is>
      </c>
      <c r="F379" s="130" t="inlineStr">
        <is>
          <t>АЗС</t>
        </is>
      </c>
      <c r="G379" s="130" t="inlineStr">
        <is>
          <t>Лукойл</t>
        </is>
      </c>
      <c r="H379" s="131" t="inlineStr">
        <is>
          <t>LUK_619</t>
        </is>
      </c>
      <c r="I379" s="637" t="n">
        <v>77619</v>
      </c>
      <c r="J379" s="402" t="inlineStr">
        <is>
          <t>MSK_LUK_0619</t>
        </is>
      </c>
      <c r="K379" s="640" t="n">
        <v>1</v>
      </c>
      <c r="L379" s="640" t="n">
        <v>0</v>
      </c>
      <c r="M379" s="640" t="inlineStr">
        <is>
          <t>1 октября</t>
        </is>
      </c>
      <c r="N379" s="640" t="n"/>
      <c r="O379" s="640">
        <f>IF(AND(N379=1,L379=1),K379,"")</f>
        <v/>
      </c>
      <c r="P379" s="642" t="inlineStr">
        <is>
          <t>г. Москва, пр. Добролюбова, д. 2</t>
        </is>
      </c>
      <c r="Q379" s="640" t="n">
        <v>55.809626</v>
      </c>
      <c r="R379" s="422" t="n">
        <v>37.598192</v>
      </c>
      <c r="S379" s="438" t="n"/>
      <c r="T379" s="436" t="n"/>
      <c r="U379" s="436" t="n"/>
      <c r="V379" s="438">
        <f>IF(AND(N379=1,U379=1),C379,"")</f>
        <v/>
      </c>
      <c r="W379" s="387" t="n"/>
      <c r="X379" s="1" t="n"/>
      <c r="Y379" s="1" t="n"/>
    </row>
    <row r="380" hidden="1" ht="16.05" customFormat="1" customHeight="1" s="126">
      <c r="A380" s="125" t="n">
        <v>460</v>
      </c>
      <c r="B380" s="125" t="inlineStr">
        <is>
          <t>WF</t>
        </is>
      </c>
      <c r="C380" s="130" t="inlineStr">
        <is>
          <t>Москва</t>
        </is>
      </c>
      <c r="D380" s="130" t="inlineStr">
        <is>
          <t>Москва</t>
        </is>
      </c>
      <c r="E380" s="130" t="inlineStr">
        <is>
          <t>САО</t>
        </is>
      </c>
      <c r="F380" s="130" t="inlineStr">
        <is>
          <t>АЗС</t>
        </is>
      </c>
      <c r="G380" s="130" t="inlineStr">
        <is>
          <t>Лукойл</t>
        </is>
      </c>
      <c r="H380" s="131" t="inlineStr">
        <is>
          <t>LUK_620</t>
        </is>
      </c>
      <c r="I380" s="637" t="n">
        <v>77620</v>
      </c>
      <c r="J380" s="402" t="inlineStr">
        <is>
          <t>MSK_LUK_0620</t>
        </is>
      </c>
      <c r="K380" s="640" t="n">
        <v>1</v>
      </c>
      <c r="L380" s="640" t="n">
        <v>0</v>
      </c>
      <c r="M380" s="640" t="inlineStr">
        <is>
          <t>1 октября</t>
        </is>
      </c>
      <c r="N380" s="640" t="n"/>
      <c r="O380" s="640">
        <f>IF(AND(N380=1,L380=1),K380,"")</f>
        <v/>
      </c>
      <c r="P380" s="642" t="inlineStr">
        <is>
          <t>г. Москва, ш. Дмитровское, д. 65, строен. 4</t>
        </is>
      </c>
      <c r="Q380" s="640" t="n">
        <v>55.848657</v>
      </c>
      <c r="R380" s="422" t="n">
        <v>37.565314</v>
      </c>
      <c r="S380" s="438" t="n"/>
      <c r="T380" s="436" t="n"/>
      <c r="U380" s="436" t="n"/>
      <c r="V380" s="438">
        <f>IF(AND(N380=1,U380=1),C380,"")</f>
        <v/>
      </c>
      <c r="W380" s="387" t="n"/>
      <c r="X380" s="1" t="n"/>
      <c r="Y380" s="1" t="n"/>
    </row>
    <row r="381" hidden="1" ht="16.05" customFormat="1" customHeight="1" s="126">
      <c r="A381" s="125" t="n">
        <v>461</v>
      </c>
      <c r="B381" s="125" t="inlineStr">
        <is>
          <t>WF</t>
        </is>
      </c>
      <c r="C381" s="130" t="inlineStr">
        <is>
          <t>Москва</t>
        </is>
      </c>
      <c r="D381" s="130" t="inlineStr">
        <is>
          <t>Москва</t>
        </is>
      </c>
      <c r="E381" s="130" t="inlineStr">
        <is>
          <t>ЮЗАО</t>
        </is>
      </c>
      <c r="F381" s="130" t="inlineStr">
        <is>
          <t>АЗС</t>
        </is>
      </c>
      <c r="G381" s="130" t="inlineStr">
        <is>
          <t>Лукойл</t>
        </is>
      </c>
      <c r="H381" s="131" t="inlineStr">
        <is>
          <t>LUK_621</t>
        </is>
      </c>
      <c r="I381" s="637" t="n">
        <v>77621</v>
      </c>
      <c r="J381" s="637" t="inlineStr">
        <is>
          <t>MSK_LUK_0621</t>
        </is>
      </c>
      <c r="K381" s="640" t="n">
        <v>1</v>
      </c>
      <c r="L381" s="640" t="n">
        <v>0</v>
      </c>
      <c r="M381" s="640" t="inlineStr">
        <is>
          <t>Samsung 32" вертикальный</t>
        </is>
      </c>
      <c r="N381" s="640" t="n"/>
      <c r="O381" s="640">
        <f>IF(AND(N381=1,L381=1),K381,"")</f>
        <v/>
      </c>
      <c r="P381" s="642" t="inlineStr">
        <is>
          <t>г. Москва, ул. Карьер, д. 4</t>
        </is>
      </c>
      <c r="Q381" s="640" t="inlineStr">
        <is>
          <t>55.694901</t>
        </is>
      </c>
      <c r="R381" s="422" t="inlineStr">
        <is>
          <t>37.592941</t>
        </is>
      </c>
      <c r="S381" s="438" t="n"/>
      <c r="T381" s="436" t="n"/>
      <c r="U381" s="436" t="n"/>
      <c r="V381" s="438">
        <f>IF(AND(N381=1,U381=1),C381,"")</f>
        <v/>
      </c>
      <c r="W381" s="387" t="n"/>
      <c r="X381" s="387" t="n"/>
      <c r="Y381" s="387" t="n"/>
    </row>
    <row r="382" hidden="1" ht="16.05" customFormat="1" customHeight="1" s="126">
      <c r="A382" s="125" t="n">
        <v>462</v>
      </c>
      <c r="B382" s="125" t="inlineStr">
        <is>
          <t>WF</t>
        </is>
      </c>
      <c r="C382" s="130" t="inlineStr">
        <is>
          <t>Москва</t>
        </is>
      </c>
      <c r="D382" s="130" t="inlineStr">
        <is>
          <t>Москва</t>
        </is>
      </c>
      <c r="E382" s="130" t="inlineStr">
        <is>
          <t>СЗАО</t>
        </is>
      </c>
      <c r="F382" s="130" t="inlineStr">
        <is>
          <t>АЗС</t>
        </is>
      </c>
      <c r="G382" s="130" t="inlineStr">
        <is>
          <t>Лукойл</t>
        </is>
      </c>
      <c r="H382" s="131" t="inlineStr">
        <is>
          <t>LUK_622</t>
        </is>
      </c>
      <c r="I382" s="637" t="n">
        <v>77622</v>
      </c>
      <c r="J382" s="402" t="inlineStr">
        <is>
          <t>MSK_LUK_0622</t>
        </is>
      </c>
      <c r="K382" s="640" t="n">
        <v>1</v>
      </c>
      <c r="L382" s="640" t="n">
        <v>0</v>
      </c>
      <c r="M382" s="640" t="inlineStr">
        <is>
          <t>1 октября</t>
        </is>
      </c>
      <c r="N382" s="640" t="n"/>
      <c r="O382" s="640">
        <f>IF(AND(N382=1,L382=1),K382,"")</f>
        <v/>
      </c>
      <c r="P382" s="642" t="inlineStr">
        <is>
          <t>г. Москва, пр. Трикотажный, д. 5</t>
        </is>
      </c>
      <c r="Q382" s="640" t="n">
        <v>55.835484</v>
      </c>
      <c r="R382" s="422" t="n">
        <v>37.399212</v>
      </c>
      <c r="S382" s="438" t="n"/>
      <c r="T382" s="436" t="n"/>
      <c r="U382" s="436" t="n"/>
      <c r="V382" s="438">
        <f>IF(AND(N382=1,U382=1),C382,"")</f>
        <v/>
      </c>
      <c r="W382" s="387" t="n"/>
      <c r="X382" s="1" t="n"/>
      <c r="Y382" s="1" t="n"/>
    </row>
    <row r="383" hidden="1" ht="16.05" customFormat="1" customHeight="1" s="126">
      <c r="A383" s="125" t="n">
        <v>463</v>
      </c>
      <c r="B383" s="125" t="inlineStr">
        <is>
          <t>WF</t>
        </is>
      </c>
      <c r="C383" s="130" t="inlineStr">
        <is>
          <t>Москва</t>
        </is>
      </c>
      <c r="D383" s="130" t="inlineStr">
        <is>
          <t>Москва</t>
        </is>
      </c>
      <c r="E383" s="130" t="inlineStr">
        <is>
          <t>СВАО</t>
        </is>
      </c>
      <c r="F383" s="130" t="inlineStr">
        <is>
          <t>АЗС</t>
        </is>
      </c>
      <c r="G383" s="130" t="inlineStr">
        <is>
          <t>Лукойл</t>
        </is>
      </c>
      <c r="H383" s="131" t="inlineStr">
        <is>
          <t>LUK_623</t>
        </is>
      </c>
      <c r="I383" s="637" t="n">
        <v>77623</v>
      </c>
      <c r="J383" s="402" t="inlineStr">
        <is>
          <t>MSK_LUK_0623</t>
        </is>
      </c>
      <c r="K383" s="640" t="n">
        <v>1</v>
      </c>
      <c r="L383" s="640" t="n">
        <v>0</v>
      </c>
      <c r="M383" s="640" t="inlineStr">
        <is>
          <t>Sam 32</t>
        </is>
      </c>
      <c r="N383" s="640" t="n"/>
      <c r="O383" s="640">
        <f>IF(AND(N383=1,L383=1),K383,"")</f>
        <v/>
      </c>
      <c r="P383" s="642" t="inlineStr">
        <is>
          <t>г. Москва, Ярославское шоссе, д. 1, кор. 1</t>
        </is>
      </c>
      <c r="Q383" s="640" t="n">
        <v>55.850649</v>
      </c>
      <c r="R383" s="422" t="n">
        <v>37.674941</v>
      </c>
      <c r="S383" s="438" t="n"/>
      <c r="T383" s="436" t="n"/>
      <c r="U383" s="436" t="n"/>
      <c r="V383" s="438">
        <f>IF(AND(N383=1,U383=1),C383,"")</f>
        <v/>
      </c>
      <c r="W383" s="387" t="n"/>
      <c r="X383" s="1" t="n"/>
      <c r="Y383" s="1" t="n"/>
    </row>
    <row r="384" hidden="1" ht="16.05" customFormat="1" customHeight="1" s="126">
      <c r="A384" s="125" t="n">
        <v>464</v>
      </c>
      <c r="B384" s="125" t="inlineStr">
        <is>
          <t>WF</t>
        </is>
      </c>
      <c r="C384" s="130" t="inlineStr">
        <is>
          <t>Москва</t>
        </is>
      </c>
      <c r="D384" s="130" t="inlineStr">
        <is>
          <t>Москва</t>
        </is>
      </c>
      <c r="E384" s="130" t="inlineStr">
        <is>
          <t>М4</t>
        </is>
      </c>
      <c r="F384" s="130" t="inlineStr">
        <is>
          <t>АЗС</t>
        </is>
      </c>
      <c r="G384" s="130" t="inlineStr">
        <is>
          <t>Лукойл</t>
        </is>
      </c>
      <c r="H384" s="131" t="inlineStr">
        <is>
          <t>LUK_624</t>
        </is>
      </c>
      <c r="I384" s="637" t="n">
        <v>77624</v>
      </c>
      <c r="J384" s="402" t="inlineStr">
        <is>
          <t>MSK_LUK_0624</t>
        </is>
      </c>
      <c r="K384" s="640" t="n">
        <v>2</v>
      </c>
      <c r="L384" s="640" t="n">
        <v>0</v>
      </c>
      <c r="M384" s="640" t="inlineStr">
        <is>
          <t>1 октября</t>
        </is>
      </c>
      <c r="N384" s="640" t="n"/>
      <c r="O384" s="640">
        <f>IF(AND(N384=1,L384=1),K384,"")</f>
        <v/>
      </c>
      <c r="P384" s="642" t="inlineStr">
        <is>
          <t>г. Москва, МКАД, 28 км, вл. 2</t>
        </is>
      </c>
      <c r="Q384" s="640" t="n">
        <v>55.57285</v>
      </c>
      <c r="R384" s="422" t="n">
        <v>37.674499</v>
      </c>
      <c r="S384" s="438" t="n"/>
      <c r="T384" s="436" t="n"/>
      <c r="U384" s="436" t="n"/>
      <c r="V384" s="438">
        <f>IF(AND(N384=1,U384=1),C384,"")</f>
        <v/>
      </c>
      <c r="W384" s="387" t="n"/>
      <c r="X384" s="1" t="n"/>
      <c r="Y384" s="1" t="n"/>
    </row>
    <row r="385" hidden="1" ht="16.05" customFormat="1" customHeight="1" s="126">
      <c r="A385" s="125" t="n">
        <v>466</v>
      </c>
      <c r="B385" s="125" t="inlineStr">
        <is>
          <t>WF</t>
        </is>
      </c>
      <c r="C385" s="130" t="inlineStr">
        <is>
          <t>Москва</t>
        </is>
      </c>
      <c r="D385" s="130" t="inlineStr">
        <is>
          <t>Москва</t>
        </is>
      </c>
      <c r="E385" s="130" t="inlineStr">
        <is>
          <t>М2</t>
        </is>
      </c>
      <c r="F385" s="130" t="inlineStr">
        <is>
          <t>АЗС</t>
        </is>
      </c>
      <c r="G385" s="130" t="inlineStr">
        <is>
          <t>Лукойл</t>
        </is>
      </c>
      <c r="H385" s="131" t="inlineStr">
        <is>
          <t>LUK_625</t>
        </is>
      </c>
      <c r="I385" s="637" t="n">
        <v>77625</v>
      </c>
      <c r="J385" s="402" t="inlineStr">
        <is>
          <t>MSK_LUK_0625</t>
        </is>
      </c>
      <c r="K385" s="640" t="n">
        <v>1</v>
      </c>
      <c r="L385" s="640" t="n">
        <v>0</v>
      </c>
      <c r="M385" s="640" t="inlineStr">
        <is>
          <t>1 октября</t>
        </is>
      </c>
      <c r="N385" s="640" t="n"/>
      <c r="O385" s="640">
        <f>IF(AND(N385=1,L385=1),K385,"")</f>
        <v/>
      </c>
      <c r="P385" s="642" t="inlineStr">
        <is>
          <t>г. Москва, коммунальная зона «Чечера», Чечерский проезд, напротив вл. 92-94 (участок № 3)</t>
        </is>
      </c>
      <c r="Q385" s="640" t="n">
        <v>55.529226</v>
      </c>
      <c r="R385" s="422" t="n">
        <v>37.52231</v>
      </c>
      <c r="S385" s="438" t="n"/>
      <c r="T385" s="436" t="n"/>
      <c r="U385" s="436" t="n"/>
      <c r="V385" s="438">
        <f>IF(AND(N385=1,U385=1),C385,"")</f>
        <v/>
      </c>
      <c r="W385" s="387" t="n"/>
      <c r="X385" s="1" t="n"/>
      <c r="Y385" s="1" t="n"/>
    </row>
    <row r="386" hidden="1" ht="16.05" customFormat="1" customHeight="1" s="126">
      <c r="A386" s="125" t="n">
        <v>467</v>
      </c>
      <c r="B386" s="125" t="inlineStr">
        <is>
          <t>WF</t>
        </is>
      </c>
      <c r="C386" s="130" t="inlineStr">
        <is>
          <t>Москва</t>
        </is>
      </c>
      <c r="D386" s="130" t="inlineStr">
        <is>
          <t>Москва</t>
        </is>
      </c>
      <c r="E386" s="130" t="inlineStr">
        <is>
          <t>М5</t>
        </is>
      </c>
      <c r="F386" s="130" t="inlineStr">
        <is>
          <t>АЗС</t>
        </is>
      </c>
      <c r="G386" s="130" t="inlineStr">
        <is>
          <t>Лукойл</t>
        </is>
      </c>
      <c r="H386" s="131" t="inlineStr">
        <is>
          <t>LUK_629</t>
        </is>
      </c>
      <c r="I386" s="637" t="n">
        <v>77629</v>
      </c>
      <c r="J386" s="402" t="inlineStr">
        <is>
          <t>MSK_LUK_0629</t>
        </is>
      </c>
      <c r="K386" s="640" t="n">
        <v>1</v>
      </c>
      <c r="L386" s="640" t="n">
        <v>0</v>
      </c>
      <c r="M386" s="640" t="inlineStr">
        <is>
          <t>1 октября</t>
        </is>
      </c>
      <c r="N386" s="640" t="n"/>
      <c r="O386" s="640">
        <f>IF(AND(N386=1,L386=1),K386,"")</f>
        <v/>
      </c>
      <c r="P386" s="642" t="inlineStr">
        <is>
          <t>г. Москва, Некрасовка, ул. Покровская</t>
        </is>
      </c>
      <c r="Q386" s="640" t="n">
        <v>55.707721</v>
      </c>
      <c r="R386" s="422" t="n">
        <v>37.920091</v>
      </c>
      <c r="S386" s="438" t="n"/>
      <c r="T386" s="436" t="n"/>
      <c r="U386" s="436" t="n"/>
      <c r="V386" s="438">
        <f>IF(AND(N386=1,U386=1),C386,"")</f>
        <v/>
      </c>
      <c r="W386" s="387" t="n"/>
      <c r="X386" s="1" t="n"/>
      <c r="Y386" s="1" t="n"/>
    </row>
    <row r="387" hidden="1" ht="16.05" customFormat="1" customHeight="1" s="126">
      <c r="A387" s="125" t="n">
        <v>468</v>
      </c>
      <c r="B387" s="125" t="inlineStr">
        <is>
          <t>WF</t>
        </is>
      </c>
      <c r="C387" s="130" t="inlineStr">
        <is>
          <t>Москва</t>
        </is>
      </c>
      <c r="D387" s="130" t="inlineStr">
        <is>
          <t>Москва</t>
        </is>
      </c>
      <c r="E387" s="130" t="inlineStr">
        <is>
          <t>М9</t>
        </is>
      </c>
      <c r="F387" s="130" t="inlineStr">
        <is>
          <t>АЗС</t>
        </is>
      </c>
      <c r="G387" s="130" t="inlineStr">
        <is>
          <t>Лукойл</t>
        </is>
      </c>
      <c r="H387" s="131" t="inlineStr">
        <is>
          <t>LUK_630</t>
        </is>
      </c>
      <c r="I387" s="637" t="n">
        <v>77630</v>
      </c>
      <c r="J387" s="402" t="inlineStr">
        <is>
          <t>MSK_LUK_0630</t>
        </is>
      </c>
      <c r="K387" s="640" t="n">
        <v>1</v>
      </c>
      <c r="L387" s="640" t="n">
        <v>0</v>
      </c>
      <c r="M387" s="640" t="inlineStr">
        <is>
          <t>1 октября</t>
        </is>
      </c>
      <c r="N387" s="640" t="n"/>
      <c r="O387" s="640">
        <f>IF(AND(N387=1,L387=1),K387,"")</f>
        <v/>
      </c>
      <c r="P387" s="642" t="inlineStr">
        <is>
          <t>г. Москва, Волоколамское шоссе, вл. 140</t>
        </is>
      </c>
      <c r="Q387" s="640" t="n">
        <v>55.830303</v>
      </c>
      <c r="R387" s="422" t="n">
        <v>37.376359</v>
      </c>
      <c r="S387" s="438" t="n"/>
      <c r="T387" s="436" t="n"/>
      <c r="U387" s="436" t="n"/>
      <c r="V387" s="438">
        <f>IF(AND(N387=1,U387=1),C387,"")</f>
        <v/>
      </c>
      <c r="W387" s="387" t="n"/>
      <c r="X387" s="1" t="n"/>
      <c r="Y387" s="1" t="n"/>
    </row>
    <row r="388" hidden="1" ht="16.05" customFormat="1" customHeight="1" s="126">
      <c r="A388" s="125" t="n">
        <v>469</v>
      </c>
      <c r="B388" s="125" t="inlineStr">
        <is>
          <t>WF</t>
        </is>
      </c>
      <c r="C388" s="130" t="inlineStr">
        <is>
          <t>Москва</t>
        </is>
      </c>
      <c r="D388" s="130" t="inlineStr">
        <is>
          <t>Москва</t>
        </is>
      </c>
      <c r="E388" s="130" t="inlineStr">
        <is>
          <t>ЦАО</t>
        </is>
      </c>
      <c r="F388" s="130" t="inlineStr">
        <is>
          <t>Супермаркет</t>
        </is>
      </c>
      <c r="G388" s="130" t="inlineStr">
        <is>
          <t>Азбука Вкуса</t>
        </is>
      </c>
      <c r="H388" s="131" t="inlineStr">
        <is>
          <t>АВК4</t>
        </is>
      </c>
      <c r="I388" s="637" t="n">
        <v>1</v>
      </c>
      <c r="J388" s="637" t="inlineStr">
        <is>
          <t>MSK_A_001</t>
        </is>
      </c>
      <c r="K388" s="640" t="n">
        <v>2</v>
      </c>
      <c r="L388" s="640" t="n">
        <v>1</v>
      </c>
      <c r="M388" s="623" t="inlineStr">
        <is>
          <t>Samsung 43" вертикальный</t>
        </is>
      </c>
      <c r="N388" s="640" t="n"/>
      <c r="O388" s="640">
        <f>IF(AND(N388=1,L388=1),K388,"")</f>
        <v/>
      </c>
      <c r="P388" s="642" t="inlineStr">
        <is>
          <t>Москва, Комсомольский пр-т, д.4</t>
        </is>
      </c>
      <c r="Q388" s="640" t="inlineStr">
        <is>
          <t>55.733092</t>
        </is>
      </c>
      <c r="R388" s="494" t="inlineStr">
        <is>
          <t>37.592285</t>
        </is>
      </c>
      <c r="S388" s="528" t="n">
        <v>24</v>
      </c>
      <c r="T388" s="436">
        <f>IF(N388=1,O388*S388,"")</f>
        <v/>
      </c>
      <c r="U388" s="436" t="n">
        <v>1</v>
      </c>
      <c r="V388" s="438">
        <f>IF(AND(N388=1,U388=1),C388,"")</f>
        <v/>
      </c>
      <c r="W388" s="387" t="n"/>
      <c r="X388" s="387" t="n"/>
      <c r="Y388" s="387" t="n"/>
    </row>
    <row r="389" ht="16.05" customFormat="1" customHeight="1" s="126">
      <c r="A389" s="125" t="n">
        <v>471</v>
      </c>
      <c r="B389" s="125" t="inlineStr">
        <is>
          <t>WF</t>
        </is>
      </c>
      <c r="C389" s="130" t="inlineStr">
        <is>
          <t>Москва</t>
        </is>
      </c>
      <c r="D389" s="130" t="inlineStr">
        <is>
          <t>Москва</t>
        </is>
      </c>
      <c r="E389" s="130" t="inlineStr">
        <is>
          <t>ЗАО</t>
        </is>
      </c>
      <c r="F389" s="130" t="inlineStr">
        <is>
          <t>Супермаркет</t>
        </is>
      </c>
      <c r="G389" s="130" t="inlineStr">
        <is>
          <t>Азбука Вкуса</t>
        </is>
      </c>
      <c r="H389" s="131" t="inlineStr">
        <is>
          <t>АВМИ</t>
        </is>
      </c>
      <c r="I389" s="637" t="n">
        <v>2</v>
      </c>
      <c r="J389" s="637" t="inlineStr">
        <is>
          <t>MSK_A_002</t>
        </is>
      </c>
      <c r="K389" s="640" t="n">
        <v>3</v>
      </c>
      <c r="L389" s="640" t="n">
        <v>1</v>
      </c>
      <c r="M389" s="623" t="inlineStr">
        <is>
          <t>Samsung 43" вертикальный</t>
        </is>
      </c>
      <c r="N389" s="640" t="n">
        <v>1</v>
      </c>
      <c r="O389" s="640">
        <f>IF(AND(N389=1,L389=1),K389,"")</f>
        <v/>
      </c>
      <c r="P389" s="642" t="inlineStr">
        <is>
          <t>Москва, Мичуринский пр-т, д. 22 корп 1</t>
        </is>
      </c>
      <c r="Q389" s="640" t="inlineStr">
        <is>
          <t>55.701298</t>
        </is>
      </c>
      <c r="R389" s="494" t="inlineStr">
        <is>
          <t>37.503837</t>
        </is>
      </c>
      <c r="S389" s="528" t="n">
        <v>24</v>
      </c>
      <c r="T389" s="436">
        <f>IF(N389=1,O389*S389,"")</f>
        <v/>
      </c>
      <c r="U389" s="436" t="n">
        <v>1</v>
      </c>
      <c r="V389" s="438">
        <f>IF(AND(N389=1,U389=1),C389,"")</f>
        <v/>
      </c>
      <c r="W389" s="387" t="n"/>
      <c r="X389" s="387" t="n"/>
      <c r="Y389" s="387" t="n"/>
    </row>
    <row r="390" hidden="1" ht="16.05" customFormat="1" customHeight="1" s="126">
      <c r="A390" s="125" t="n">
        <v>474</v>
      </c>
      <c r="B390" s="125" t="inlineStr">
        <is>
          <t>WF</t>
        </is>
      </c>
      <c r="C390" s="130" t="inlineStr">
        <is>
          <t>Москва</t>
        </is>
      </c>
      <c r="D390" s="130" t="inlineStr">
        <is>
          <t>Москва</t>
        </is>
      </c>
      <c r="E390" s="130" t="inlineStr">
        <is>
          <t>ЗАО</t>
        </is>
      </c>
      <c r="F390" s="130" t="inlineStr">
        <is>
          <t>Супермаркет</t>
        </is>
      </c>
      <c r="G390" s="130" t="inlineStr">
        <is>
          <t>Азбука Вкуса</t>
        </is>
      </c>
      <c r="H390" s="131" t="inlineStr">
        <is>
          <t>АВПО04</t>
        </is>
      </c>
      <c r="I390" s="637" t="n">
        <v>3</v>
      </c>
      <c r="J390" s="637" t="inlineStr">
        <is>
          <t>MSK_A_003</t>
        </is>
      </c>
      <c r="K390" s="640" t="n">
        <v>4</v>
      </c>
      <c r="L390" s="640" t="n">
        <v>1</v>
      </c>
      <c r="M390" s="623" t="inlineStr">
        <is>
          <t>Samsung 43" вертикальный</t>
        </is>
      </c>
      <c r="N390" s="640" t="n"/>
      <c r="O390" s="640">
        <f>IF(AND(N390=1,L390=1),K390,"")</f>
        <v/>
      </c>
      <c r="P390" s="642" t="inlineStr">
        <is>
          <t>Москва, Покрышкина , д.4</t>
        </is>
      </c>
      <c r="Q390" s="640" t="inlineStr">
        <is>
          <t>55.665061</t>
        </is>
      </c>
      <c r="R390" s="494" t="inlineStr">
        <is>
          <t>37.481487</t>
        </is>
      </c>
      <c r="S390" s="528" t="n">
        <v>15</v>
      </c>
      <c r="T390" s="436">
        <f>IF(N390=1,O390*S390,"")</f>
        <v/>
      </c>
      <c r="U390" s="436" t="n">
        <v>1</v>
      </c>
      <c r="V390" s="438">
        <f>IF(AND(N390=1,U390=1),C390,"")</f>
        <v/>
      </c>
      <c r="W390" s="387" t="n"/>
      <c r="X390" s="387" t="n"/>
      <c r="Y390" s="387" t="n"/>
    </row>
    <row r="391" ht="16.05" customFormat="1" customHeight="1" s="126">
      <c r="A391" s="125" t="n">
        <v>478</v>
      </c>
      <c r="B391" s="125" t="inlineStr">
        <is>
          <t>WF</t>
        </is>
      </c>
      <c r="C391" s="130" t="inlineStr">
        <is>
          <t>Москва</t>
        </is>
      </c>
      <c r="D391" s="130" t="inlineStr">
        <is>
          <t>Москва</t>
        </is>
      </c>
      <c r="E391" s="130" t="inlineStr">
        <is>
          <t>ЦАО</t>
        </is>
      </c>
      <c r="F391" s="130" t="inlineStr">
        <is>
          <t>Супермаркет</t>
        </is>
      </c>
      <c r="G391" s="130" t="inlineStr">
        <is>
          <t>Азбука Вкуса</t>
        </is>
      </c>
      <c r="H391" s="131" t="inlineStr">
        <is>
          <t>АВК34</t>
        </is>
      </c>
      <c r="I391" s="637" t="n">
        <v>4</v>
      </c>
      <c r="J391" s="637" t="inlineStr">
        <is>
          <t>MSK_A_004</t>
        </is>
      </c>
      <c r="K391" s="640" t="n">
        <v>3</v>
      </c>
      <c r="L391" s="640" t="n">
        <v>1</v>
      </c>
      <c r="M391" s="623" t="inlineStr">
        <is>
          <t>Samsung 43" вертикальный</t>
        </is>
      </c>
      <c r="N391" s="640" t="n">
        <v>1</v>
      </c>
      <c r="O391" s="640">
        <f>IF(AND(N391=1,L391=1),K391,"")</f>
        <v/>
      </c>
      <c r="P391" s="642" t="inlineStr">
        <is>
          <t>Москва, Комсомольский пр-т, д.34 стр.1</t>
        </is>
      </c>
      <c r="Q391" s="640" t="inlineStr">
        <is>
          <t>55.724287</t>
        </is>
      </c>
      <c r="R391" s="494" t="inlineStr">
        <is>
          <t>37.577265</t>
        </is>
      </c>
      <c r="S391" s="528" t="n">
        <v>24</v>
      </c>
      <c r="T391" s="436">
        <f>IF(N391=1,O391*S391,"")</f>
        <v/>
      </c>
      <c r="U391" s="436" t="n">
        <v>1</v>
      </c>
      <c r="V391" s="438">
        <f>IF(AND(N391=1,U391=1),C391,"")</f>
        <v/>
      </c>
      <c r="W391" s="387" t="n"/>
      <c r="X391" s="387" t="n"/>
      <c r="Y391" s="387" t="n"/>
    </row>
    <row r="392" hidden="1" ht="16.05" customFormat="1" customHeight="1" s="126">
      <c r="A392" s="125" t="n">
        <v>481</v>
      </c>
      <c r="B392" s="125" t="inlineStr">
        <is>
          <t>WF</t>
        </is>
      </c>
      <c r="C392" s="130" t="inlineStr">
        <is>
          <t>Москва</t>
        </is>
      </c>
      <c r="D392" s="130" t="inlineStr">
        <is>
          <t>Москва</t>
        </is>
      </c>
      <c r="E392" s="130" t="inlineStr">
        <is>
          <t>ЗАО</t>
        </is>
      </c>
      <c r="F392" s="130" t="inlineStr">
        <is>
          <t>Супермаркет</t>
        </is>
      </c>
      <c r="G392" s="130" t="inlineStr">
        <is>
          <t>Азбука Вкуса</t>
        </is>
      </c>
      <c r="H392" s="131" t="inlineStr">
        <is>
          <t>АВПВ14</t>
        </is>
      </c>
      <c r="I392" s="637" t="n">
        <v>5</v>
      </c>
      <c r="J392" s="637" t="inlineStr">
        <is>
          <t>MSK_A_005</t>
        </is>
      </c>
      <c r="K392" s="640" t="n">
        <v>3</v>
      </c>
      <c r="L392" s="640" t="n">
        <v>1</v>
      </c>
      <c r="M392" s="623" t="inlineStr">
        <is>
          <t>Samsung 43" вертикальный</t>
        </is>
      </c>
      <c r="N392" s="640" t="n"/>
      <c r="O392" s="640">
        <f>IF(AND(N392=1,L392=1),K392,"")</f>
        <v/>
      </c>
      <c r="P392" s="642" t="inlineStr">
        <is>
          <t>Москва, Проспект Вернадского, д. 14А</t>
        </is>
      </c>
      <c r="Q392" s="640" t="inlineStr">
        <is>
          <t>55.677965</t>
        </is>
      </c>
      <c r="R392" s="494" t="inlineStr">
        <is>
          <t>37.507526</t>
        </is>
      </c>
      <c r="S392" s="528" t="n">
        <v>24</v>
      </c>
      <c r="T392" s="436">
        <f>IF(N392=1,O392*S392,"")</f>
        <v/>
      </c>
      <c r="U392" s="436" t="n">
        <v>1</v>
      </c>
      <c r="V392" s="438">
        <f>IF(AND(N392=1,U392=1),C392,"")</f>
        <v/>
      </c>
      <c r="W392" s="387" t="n"/>
      <c r="X392" s="387" t="n"/>
      <c r="Y392" s="387" t="n"/>
    </row>
    <row r="393" hidden="1" ht="16.05" customFormat="1" customHeight="1" s="126">
      <c r="A393" s="125" t="n">
        <v>484</v>
      </c>
      <c r="B393" s="125" t="inlineStr">
        <is>
          <t>WF</t>
        </is>
      </c>
      <c r="C393" s="130" t="inlineStr">
        <is>
          <t>Москва</t>
        </is>
      </c>
      <c r="D393" s="130" t="inlineStr">
        <is>
          <t>Москва</t>
        </is>
      </c>
      <c r="E393" s="130" t="inlineStr">
        <is>
          <t>ЗАО</t>
        </is>
      </c>
      <c r="F393" s="130" t="inlineStr">
        <is>
          <t>Супермаркет</t>
        </is>
      </c>
      <c r="G393" s="130" t="inlineStr">
        <is>
          <t>Азбука Вкуса</t>
        </is>
      </c>
      <c r="H393" s="131" t="inlineStr">
        <is>
          <t>АВМ</t>
        </is>
      </c>
      <c r="I393" s="637" t="n">
        <v>6</v>
      </c>
      <c r="J393" s="637" t="inlineStr">
        <is>
          <t>MSK_A_006</t>
        </is>
      </c>
      <c r="K393" s="640" t="n">
        <v>2</v>
      </c>
      <c r="L393" s="640" t="n">
        <v>1</v>
      </c>
      <c r="M393" s="623" t="inlineStr">
        <is>
          <t>Samsung 43" вертикальный</t>
        </is>
      </c>
      <c r="N393" s="640" t="n"/>
      <c r="O393" s="640">
        <f>IF(AND(N393=1,L393=1),K393,"")</f>
        <v/>
      </c>
      <c r="P393" s="642" t="inlineStr">
        <is>
          <t>Москва, Можайское ш., д.32</t>
        </is>
      </c>
      <c r="Q393" s="640" t="inlineStr">
        <is>
          <t>55.719622</t>
        </is>
      </c>
      <c r="R393" s="494" t="inlineStr">
        <is>
          <t>37.418506</t>
        </is>
      </c>
      <c r="S393" s="528" t="n">
        <v>24</v>
      </c>
      <c r="T393" s="436">
        <f>IF(N393=1,O393*S393,"")</f>
        <v/>
      </c>
      <c r="U393" s="436" t="n">
        <v>1</v>
      </c>
      <c r="V393" s="438">
        <f>IF(AND(N393=1,U393=1),C393,"")</f>
        <v/>
      </c>
      <c r="W393" s="387" t="n"/>
      <c r="X393" s="387" t="n"/>
      <c r="Y393" s="387" t="n"/>
    </row>
    <row r="394" hidden="1" ht="16.05" customFormat="1" customHeight="1" s="126">
      <c r="A394" s="125" t="n">
        <v>486</v>
      </c>
      <c r="B394" s="125" t="inlineStr">
        <is>
          <t>WF</t>
        </is>
      </c>
      <c r="C394" s="130" t="inlineStr">
        <is>
          <t>Москва</t>
        </is>
      </c>
      <c r="D394" s="130" t="inlineStr">
        <is>
          <t>Москва</t>
        </is>
      </c>
      <c r="E394" s="130" t="inlineStr">
        <is>
          <t>ЮЗАО</t>
        </is>
      </c>
      <c r="F394" s="130" t="inlineStr">
        <is>
          <t>Супермаркет</t>
        </is>
      </c>
      <c r="G394" s="130" t="inlineStr">
        <is>
          <t>Азбука Вкуса</t>
        </is>
      </c>
      <c r="H394" s="131" t="inlineStr">
        <is>
          <t>АВОС</t>
        </is>
      </c>
      <c r="I394" s="637" t="n">
        <v>7</v>
      </c>
      <c r="J394" s="637" t="inlineStr">
        <is>
          <t>MSK_A_007</t>
        </is>
      </c>
      <c r="K394" s="640" t="n">
        <v>5</v>
      </c>
      <c r="L394" s="640" t="n">
        <v>1</v>
      </c>
      <c r="M394" s="623" t="inlineStr">
        <is>
          <t>Samsung 43" вертикальный</t>
        </is>
      </c>
      <c r="N394" s="640" t="n"/>
      <c r="O394" s="640">
        <f>IF(AND(N394=1,L394=1),K394,"")</f>
        <v/>
      </c>
      <c r="P394" s="642" t="inlineStr">
        <is>
          <t>Москва, Островитянова, д. 2, ТЦ «Азбука Вкуса»</t>
        </is>
      </c>
      <c r="Q394" s="640" t="inlineStr">
        <is>
          <t>55.645929</t>
        </is>
      </c>
      <c r="R394" s="494" t="inlineStr">
        <is>
          <t>37.486159</t>
        </is>
      </c>
      <c r="S394" s="528" t="n">
        <v>24</v>
      </c>
      <c r="T394" s="436">
        <f>IF(N394=1,O394*S394,"")</f>
        <v/>
      </c>
      <c r="U394" s="436" t="n">
        <v>1</v>
      </c>
      <c r="V394" s="438">
        <f>IF(AND(N394=1,U394=1),C394,"")</f>
        <v/>
      </c>
      <c r="W394" s="387" t="n"/>
      <c r="X394" s="387" t="n"/>
      <c r="Y394" s="387" t="n"/>
    </row>
    <row r="395" hidden="1" ht="16.05" customFormat="1" customHeight="1" s="126">
      <c r="A395" s="125" t="n">
        <v>491</v>
      </c>
      <c r="B395" s="125" t="inlineStr">
        <is>
          <t>WF</t>
        </is>
      </c>
      <c r="C395" s="130" t="inlineStr">
        <is>
          <t>Москва</t>
        </is>
      </c>
      <c r="D395" s="130" t="inlineStr">
        <is>
          <t>Москва</t>
        </is>
      </c>
      <c r="E395" s="130" t="inlineStr">
        <is>
          <t>ЗАО</t>
        </is>
      </c>
      <c r="F395" s="130" t="inlineStr">
        <is>
          <t>Супермаркет</t>
        </is>
      </c>
      <c r="G395" s="130" t="inlineStr">
        <is>
          <t>Азбука Вкуса</t>
        </is>
      </c>
      <c r="H395" s="131" t="inlineStr">
        <is>
          <t>АВМИ58</t>
        </is>
      </c>
      <c r="I395" s="637" t="n">
        <v>8</v>
      </c>
      <c r="J395" s="637" t="inlineStr">
        <is>
          <t>MSK_A_008</t>
        </is>
      </c>
      <c r="K395" s="640" t="n">
        <v>2</v>
      </c>
      <c r="L395" s="640" t="n">
        <v>1</v>
      </c>
      <c r="M395" s="623" t="inlineStr">
        <is>
          <t>Samsung 43" вертикальный</t>
        </is>
      </c>
      <c r="N395" s="640" t="n"/>
      <c r="O395" s="640">
        <f>IF(AND(N395=1,L395=1),K395,"")</f>
        <v/>
      </c>
      <c r="P395" s="642" t="inlineStr">
        <is>
          <t>Москва, Мичуринский проспект, д. 58, стр.1</t>
        </is>
      </c>
      <c r="Q395" s="640" t="inlineStr">
        <is>
          <t>55.691306</t>
        </is>
      </c>
      <c r="R395" s="494" t="inlineStr">
        <is>
          <t>37.486471</t>
        </is>
      </c>
      <c r="S395" s="528" t="n">
        <v>15</v>
      </c>
      <c r="T395" s="436">
        <f>IF(N395=1,O395*S395,"")</f>
        <v/>
      </c>
      <c r="U395" s="436" t="n">
        <v>1</v>
      </c>
      <c r="V395" s="438">
        <f>IF(AND(N395=1,U395=1),C395,"")</f>
        <v/>
      </c>
      <c r="W395" s="387" t="n"/>
      <c r="X395" s="387" t="n"/>
      <c r="Y395" s="387" t="n"/>
    </row>
    <row r="396" hidden="1" ht="16.05" customFormat="1" customHeight="1" s="126">
      <c r="A396" s="125" t="n">
        <v>493</v>
      </c>
      <c r="B396" s="125" t="inlineStr">
        <is>
          <t>WF</t>
        </is>
      </c>
      <c r="C396" s="130" t="inlineStr">
        <is>
          <t>Москва</t>
        </is>
      </c>
      <c r="D396" s="130" t="inlineStr">
        <is>
          <t>Москва</t>
        </is>
      </c>
      <c r="E396" s="130" t="inlineStr">
        <is>
          <t>ЦАО</t>
        </is>
      </c>
      <c r="F396" s="130" t="inlineStr">
        <is>
          <t>Супермаркет</t>
        </is>
      </c>
      <c r="G396" s="130" t="inlineStr">
        <is>
          <t>Азбука Вкуса</t>
        </is>
      </c>
      <c r="H396" s="131" t="inlineStr">
        <is>
          <t>АВТП</t>
        </is>
      </c>
      <c r="I396" s="637" t="n">
        <v>9</v>
      </c>
      <c r="J396" s="637" t="inlineStr">
        <is>
          <t>MSK_A_009</t>
        </is>
      </c>
      <c r="K396" s="640" t="n">
        <v>2</v>
      </c>
      <c r="L396" s="640" t="n">
        <v>1</v>
      </c>
      <c r="M396" s="623" t="inlineStr">
        <is>
          <t>Samsung 43" вертикальный</t>
        </is>
      </c>
      <c r="N396" s="640" t="n"/>
      <c r="O396" s="640">
        <f>IF(AND(N396=1,L396=1),K396,"")</f>
        <v/>
      </c>
      <c r="P396" s="642" t="inlineStr">
        <is>
          <t>Москва, Трубная площадь, д. 2, ТЦ «Неглинная Плаза»</t>
        </is>
      </c>
      <c r="Q396" s="640" t="inlineStr">
        <is>
          <t>55.766038</t>
        </is>
      </c>
      <c r="R396" s="494" t="inlineStr">
        <is>
          <t>37.621239</t>
        </is>
      </c>
      <c r="S396" s="528" t="n">
        <v>24</v>
      </c>
      <c r="T396" s="436">
        <f>IF(N396=1,O396*S396,"")</f>
        <v/>
      </c>
      <c r="U396" s="436" t="n">
        <v>1</v>
      </c>
      <c r="V396" s="438">
        <f>IF(AND(N396=1,U396=1),C396,"")</f>
        <v/>
      </c>
      <c r="W396" s="387" t="n"/>
      <c r="X396" s="387" t="n"/>
      <c r="Y396" s="387" t="n"/>
    </row>
    <row r="397" hidden="1" ht="16.05" customFormat="1" customHeight="1" s="126">
      <c r="A397" s="125" t="n">
        <v>495</v>
      </c>
      <c r="B397" s="125" t="inlineStr">
        <is>
          <t>WF</t>
        </is>
      </c>
      <c r="C397" s="130" t="inlineStr">
        <is>
          <t>Москва</t>
        </is>
      </c>
      <c r="D397" s="130" t="inlineStr">
        <is>
          <t>Москва</t>
        </is>
      </c>
      <c r="E397" s="130" t="inlineStr">
        <is>
          <t>СВАО</t>
        </is>
      </c>
      <c r="F397" s="130" t="inlineStr">
        <is>
          <t>Супермаркет</t>
        </is>
      </c>
      <c r="G397" s="130" t="inlineStr">
        <is>
          <t>Азбука Вкуса</t>
        </is>
      </c>
      <c r="H397" s="131" t="inlineStr">
        <is>
          <t>АВПМ97</t>
        </is>
      </c>
      <c r="I397" s="637" t="n">
        <v>10</v>
      </c>
      <c r="J397" s="637" t="inlineStr">
        <is>
          <t>MSK_A_010</t>
        </is>
      </c>
      <c r="K397" s="640" t="n">
        <v>2</v>
      </c>
      <c r="L397" s="640" t="n">
        <v>1</v>
      </c>
      <c r="M397" s="623" t="inlineStr">
        <is>
          <t>Samsung 43" вертикальный</t>
        </is>
      </c>
      <c r="N397" s="640" t="n"/>
      <c r="O397" s="640">
        <f>IF(AND(N397=1,L397=1),K397,"")</f>
        <v/>
      </c>
      <c r="P397" s="642" t="inlineStr">
        <is>
          <t>Москва, Проспект Мира, д.97</t>
        </is>
      </c>
      <c r="Q397" s="640" t="inlineStr">
        <is>
          <t>55.809231</t>
        </is>
      </c>
      <c r="R397" s="494" t="inlineStr">
        <is>
          <t>37.636392</t>
        </is>
      </c>
      <c r="S397" s="528" t="n">
        <v>24</v>
      </c>
      <c r="T397" s="436">
        <f>IF(N397=1,O397*S397,"")</f>
        <v/>
      </c>
      <c r="U397" s="436" t="n">
        <v>1</v>
      </c>
      <c r="V397" s="438">
        <f>IF(AND(N397=1,U397=1),C397,"")</f>
        <v/>
      </c>
      <c r="W397" s="387" t="n"/>
      <c r="X397" s="387" t="n"/>
      <c r="Y397" s="387" t="n"/>
    </row>
    <row r="398" hidden="1" ht="16.05" customFormat="1" customHeight="1" s="126">
      <c r="A398" s="125" t="n">
        <v>497</v>
      </c>
      <c r="B398" s="125" t="inlineStr">
        <is>
          <t>WF</t>
        </is>
      </c>
      <c r="C398" s="130" t="inlineStr">
        <is>
          <t>Москва</t>
        </is>
      </c>
      <c r="D398" s="130" t="inlineStr">
        <is>
          <t>Москва</t>
        </is>
      </c>
      <c r="E398" s="130" t="inlineStr">
        <is>
          <t>ЦАО</t>
        </is>
      </c>
      <c r="F398" s="130" t="inlineStr">
        <is>
          <t>Супермаркет</t>
        </is>
      </c>
      <c r="G398" s="130" t="inlineStr">
        <is>
          <t>Азбука Вкуса</t>
        </is>
      </c>
      <c r="H398" s="131" t="inlineStr">
        <is>
          <t>АВВ</t>
        </is>
      </c>
      <c r="I398" s="637" t="n">
        <v>11</v>
      </c>
      <c r="J398" s="637" t="inlineStr">
        <is>
          <t>MSK_A_011</t>
        </is>
      </c>
      <c r="K398" s="640" t="n">
        <v>2</v>
      </c>
      <c r="L398" s="640" t="n">
        <v>1</v>
      </c>
      <c r="M398" s="623" t="inlineStr">
        <is>
          <t>Samsung 43" вертикальный</t>
        </is>
      </c>
      <c r="N398" s="640" t="n"/>
      <c r="O398" s="640">
        <f>IF(AND(N398=1,L398=1),K398,"")</f>
        <v/>
      </c>
      <c r="P398" s="642" t="inlineStr">
        <is>
          <t>Москва, Валовая , д.8/18</t>
        </is>
      </c>
      <c r="Q398" s="640" t="inlineStr">
        <is>
          <t>55.730775</t>
        </is>
      </c>
      <c r="R398" s="494" t="inlineStr">
        <is>
          <t>37.631259</t>
        </is>
      </c>
      <c r="S398" s="528" t="n">
        <v>24</v>
      </c>
      <c r="T398" s="436">
        <f>IF(N398=1,O398*S398,"")</f>
        <v/>
      </c>
      <c r="U398" s="436" t="n">
        <v>1</v>
      </c>
      <c r="V398" s="438">
        <f>IF(AND(N398=1,U398=1),C398,"")</f>
        <v/>
      </c>
      <c r="W398" s="387" t="n"/>
      <c r="X398" s="387" t="n"/>
      <c r="Y398" s="387" t="n"/>
    </row>
    <row r="399" hidden="1" ht="16.05" customFormat="1" customHeight="1" s="126">
      <c r="A399" s="125" t="n">
        <v>499</v>
      </c>
      <c r="B399" s="125" t="inlineStr">
        <is>
          <t>WF</t>
        </is>
      </c>
      <c r="C399" s="130" t="inlineStr">
        <is>
          <t>Москва</t>
        </is>
      </c>
      <c r="D399" s="130" t="inlineStr">
        <is>
          <t>Москва</t>
        </is>
      </c>
      <c r="E399" s="130" t="inlineStr">
        <is>
          <t>ЦАО</t>
        </is>
      </c>
      <c r="F399" s="130" t="inlineStr">
        <is>
          <t>Супермаркет</t>
        </is>
      </c>
      <c r="G399" s="130" t="inlineStr">
        <is>
          <t>Азбука Вкуса</t>
        </is>
      </c>
      <c r="H399" s="131" t="inlineStr">
        <is>
          <t>АВПМ</t>
        </is>
      </c>
      <c r="I399" s="637" t="n">
        <v>12</v>
      </c>
      <c r="J399" s="637" t="inlineStr">
        <is>
          <t>MSK_A_012</t>
        </is>
      </c>
      <c r="K399" s="640" t="n">
        <v>3</v>
      </c>
      <c r="L399" s="640" t="n">
        <v>1</v>
      </c>
      <c r="M399" s="623" t="inlineStr">
        <is>
          <t>Samsung 43" вертикальный</t>
        </is>
      </c>
      <c r="N399" s="640" t="n"/>
      <c r="O399" s="640">
        <f>IF(AND(N399=1,L399=1),K399,"")</f>
        <v/>
      </c>
      <c r="P399" s="642" t="inlineStr">
        <is>
          <t>Москва, Проспект Мира, д.58 стр.1</t>
        </is>
      </c>
      <c r="Q399" s="640" t="inlineStr">
        <is>
          <t>55.785322</t>
        </is>
      </c>
      <c r="R399" s="494" t="inlineStr">
        <is>
          <t>37.635979</t>
        </is>
      </c>
      <c r="S399" s="528" t="n">
        <v>24</v>
      </c>
      <c r="T399" s="436">
        <f>IF(N399=1,O399*S399,"")</f>
        <v/>
      </c>
      <c r="U399" s="436" t="n">
        <v>1</v>
      </c>
      <c r="V399" s="438">
        <f>IF(AND(N399=1,U399=1),C399,"")</f>
        <v/>
      </c>
      <c r="W399" s="387" t="n"/>
      <c r="X399" s="387" t="n"/>
      <c r="Y399" s="387" t="n"/>
    </row>
    <row r="400" hidden="1" ht="16.05" customHeight="1">
      <c r="A400" s="13" t="n">
        <v>502</v>
      </c>
      <c r="B400" s="13">
        <f>IF(OR(M400="Sam 32",M400="Sam 40"),"s",IF(M400="AMS","a","v"))</f>
        <v/>
      </c>
      <c r="C400" s="130" t="inlineStr">
        <is>
          <t>Москва</t>
        </is>
      </c>
      <c r="D400" s="130" t="inlineStr">
        <is>
          <t>Москва</t>
        </is>
      </c>
      <c r="E400" s="130" t="inlineStr">
        <is>
          <t>Москва</t>
        </is>
      </c>
      <c r="F400" s="130" t="n"/>
      <c r="G400" s="130" t="inlineStr">
        <is>
          <t>Азбука Вкуса</t>
        </is>
      </c>
      <c r="H400" s="131" t="inlineStr">
        <is>
          <t>АВСТ</t>
        </is>
      </c>
      <c r="I400" s="637" t="n">
        <v>13</v>
      </c>
      <c r="J400" s="402" t="n"/>
      <c r="K400" s="640" t="n">
        <v>4</v>
      </c>
      <c r="L400" s="640" t="n">
        <v>0</v>
      </c>
      <c r="M400" s="640" t="inlineStr">
        <is>
          <t>Sam 40</t>
        </is>
      </c>
      <c r="N400" s="640" t="n"/>
      <c r="O400" s="640">
        <f>IF(AND(N400=1,L400=1),K400,"")</f>
        <v/>
      </c>
      <c r="P400" s="642" t="inlineStr">
        <is>
          <t>Москва, Садовая-Триумфальная , д.22/31, стр.1</t>
        </is>
      </c>
      <c r="Q400" s="640" t="n"/>
      <c r="R400" s="422" t="n"/>
      <c r="S400" s="436" t="n"/>
      <c r="T400" s="436" t="n">
        <v>120</v>
      </c>
      <c r="U400" s="436" t="n">
        <v>1</v>
      </c>
      <c r="V400" s="438">
        <f>IF(AND(N400=1,U400=1),C400,"")</f>
        <v/>
      </c>
      <c r="Z400" s="1" t="n"/>
    </row>
    <row r="401" hidden="1" ht="16.05" customFormat="1" customHeight="1" s="126">
      <c r="A401" s="125" t="n">
        <v>507</v>
      </c>
      <c r="B401" s="125" t="inlineStr">
        <is>
          <t>WF</t>
        </is>
      </c>
      <c r="C401" s="130" t="inlineStr">
        <is>
          <t>Москва</t>
        </is>
      </c>
      <c r="D401" s="130" t="inlineStr">
        <is>
          <t>Москва</t>
        </is>
      </c>
      <c r="E401" s="130" t="inlineStr">
        <is>
          <t>ЦАО</t>
        </is>
      </c>
      <c r="F401" s="130" t="inlineStr">
        <is>
          <t>Супермаркет</t>
        </is>
      </c>
      <c r="G401" s="130" t="inlineStr">
        <is>
          <t>Азбука Вкуса</t>
        </is>
      </c>
      <c r="H401" s="131" t="inlineStr">
        <is>
          <t>АВП</t>
        </is>
      </c>
      <c r="I401" s="637" t="n">
        <v>14</v>
      </c>
      <c r="J401" s="637" t="inlineStr">
        <is>
          <t>MSK_A_014</t>
        </is>
      </c>
      <c r="K401" s="640" t="n">
        <v>1</v>
      </c>
      <c r="L401" s="640" t="n">
        <v>1</v>
      </c>
      <c r="M401" s="623" t="inlineStr">
        <is>
          <t>Samsung 43" вертикальный</t>
        </is>
      </c>
      <c r="N401" s="640" t="n"/>
      <c r="O401" s="640">
        <f>IF(AND(N401=1,L401=1),K401,"")</f>
        <v/>
      </c>
      <c r="P401" s="642" t="inlineStr">
        <is>
          <t>Москва, Петровка, д.19 стр.1</t>
        </is>
      </c>
      <c r="Q401" s="640" t="inlineStr">
        <is>
          <t>55.765199</t>
        </is>
      </c>
      <c r="R401" s="494" t="inlineStr">
        <is>
          <t>37.616035</t>
        </is>
      </c>
      <c r="S401" s="528" t="n">
        <v>14</v>
      </c>
      <c r="T401" s="436">
        <f>IF(N401=1,O401*S401,"")</f>
        <v/>
      </c>
      <c r="U401" s="436" t="n">
        <v>1</v>
      </c>
      <c r="V401" s="438">
        <f>IF(AND(N401=1,U401=1),C401,"")</f>
        <v/>
      </c>
      <c r="W401" s="387" t="n"/>
      <c r="X401" s="387" t="n"/>
      <c r="Y401" s="387" t="n"/>
    </row>
    <row r="402" hidden="1" ht="16.05" customFormat="1" customHeight="1" s="126">
      <c r="A402" s="125" t="n">
        <v>509</v>
      </c>
      <c r="B402" s="125" t="inlineStr">
        <is>
          <t>WF</t>
        </is>
      </c>
      <c r="C402" s="130" t="inlineStr">
        <is>
          <t>Москва</t>
        </is>
      </c>
      <c r="D402" s="130" t="inlineStr">
        <is>
          <t>Москва</t>
        </is>
      </c>
      <c r="E402" s="130" t="inlineStr">
        <is>
          <t>СВАО</t>
        </is>
      </c>
      <c r="F402" s="130" t="inlineStr">
        <is>
          <t>Супермаркет</t>
        </is>
      </c>
      <c r="G402" s="130" t="inlineStr">
        <is>
          <t>Азбука Вкуса</t>
        </is>
      </c>
      <c r="H402" s="131" t="inlineStr">
        <is>
          <t>АВЯР12</t>
        </is>
      </c>
      <c r="I402" s="637" t="n">
        <v>15</v>
      </c>
      <c r="J402" s="637" t="inlineStr">
        <is>
          <t>MSK_A_015</t>
        </is>
      </c>
      <c r="K402" s="640" t="n">
        <v>2</v>
      </c>
      <c r="L402" s="640" t="n">
        <v>0</v>
      </c>
      <c r="M402" s="640" t="inlineStr">
        <is>
          <t>Samsung 43" вертикальный</t>
        </is>
      </c>
      <c r="N402" s="640" t="n"/>
      <c r="O402" s="640">
        <f>IF(AND(N402=1,L402=1),K402,"")</f>
        <v/>
      </c>
      <c r="P402" s="642" t="inlineStr">
        <is>
          <t>Москва, Ярославское шоссе, д.12. к.2</t>
        </is>
      </c>
      <c r="Q402" s="640" t="inlineStr">
        <is>
          <t>55.85474</t>
        </is>
      </c>
      <c r="R402" s="422" t="inlineStr">
        <is>
          <t>37.683183</t>
        </is>
      </c>
      <c r="S402" s="528" t="n">
        <v>15</v>
      </c>
      <c r="T402" s="436">
        <f>IF(N402=1,O402*S402,"")</f>
        <v/>
      </c>
      <c r="U402" s="436" t="n">
        <v>1</v>
      </c>
      <c r="V402" s="438">
        <f>IF(AND(N402=1,U402=1),C402,"")</f>
        <v/>
      </c>
      <c r="W402" s="387" t="n"/>
      <c r="X402" s="387" t="n"/>
      <c r="Y402" s="387" t="n"/>
    </row>
    <row r="403" hidden="1" ht="16.05" customFormat="1" customHeight="1" s="126">
      <c r="A403" s="125" t="n">
        <v>511</v>
      </c>
      <c r="B403" s="125" t="inlineStr">
        <is>
          <t>WF</t>
        </is>
      </c>
      <c r="C403" s="130" t="inlineStr">
        <is>
          <t>Москва</t>
        </is>
      </c>
      <c r="D403" s="130" t="inlineStr">
        <is>
          <t>Москва</t>
        </is>
      </c>
      <c r="E403" s="130" t="inlineStr">
        <is>
          <t>ЦАО</t>
        </is>
      </c>
      <c r="F403" s="130" t="inlineStr">
        <is>
          <t>Супермаркет</t>
        </is>
      </c>
      <c r="G403" s="130" t="inlineStr">
        <is>
          <t>Азбука Вкуса</t>
        </is>
      </c>
      <c r="H403" s="131" t="inlineStr">
        <is>
          <t>АВНЖ16</t>
        </is>
      </c>
      <c r="I403" s="637" t="n">
        <v>16</v>
      </c>
      <c r="J403" s="637" t="inlineStr">
        <is>
          <t>MSK_A_016</t>
        </is>
      </c>
      <c r="K403" s="640" t="n">
        <v>2</v>
      </c>
      <c r="L403" s="640" t="n">
        <v>1</v>
      </c>
      <c r="M403" s="623" t="inlineStr">
        <is>
          <t>Samsung 43" вертикальный</t>
        </is>
      </c>
      <c r="N403" s="640" t="n"/>
      <c r="O403" s="640">
        <f>IF(AND(N403=1,L403=1),K403,"")</f>
        <v/>
      </c>
      <c r="P403" s="642" t="inlineStr">
        <is>
          <t>Москва, Нижегородская ул, д. 16</t>
        </is>
      </c>
      <c r="Q403" s="640" t="inlineStr">
        <is>
          <t>55.737561</t>
        </is>
      </c>
      <c r="R403" s="494" t="inlineStr">
        <is>
          <t>37.683374</t>
        </is>
      </c>
      <c r="S403" s="528" t="n">
        <v>15</v>
      </c>
      <c r="T403" s="436">
        <f>IF(N403=1,O403*S403,"")</f>
        <v/>
      </c>
      <c r="U403" s="436" t="n">
        <v>1</v>
      </c>
      <c r="V403" s="438">
        <f>IF(AND(N403=1,U403=1),C403,"")</f>
        <v/>
      </c>
      <c r="W403" s="387" t="n"/>
      <c r="X403" s="387" t="n"/>
      <c r="Y403" s="387" t="n"/>
    </row>
    <row r="404" hidden="1" ht="16.05" customFormat="1" customHeight="1" s="126">
      <c r="A404" s="125" t="n">
        <v>513</v>
      </c>
      <c r="B404" s="125" t="inlineStr">
        <is>
          <t>WF</t>
        </is>
      </c>
      <c r="C404" s="130" t="inlineStr">
        <is>
          <t>Москва</t>
        </is>
      </c>
      <c r="D404" s="130" t="inlineStr">
        <is>
          <t>Москва</t>
        </is>
      </c>
      <c r="E404" s="130" t="inlineStr">
        <is>
          <t>ЮАО</t>
        </is>
      </c>
      <c r="F404" s="130" t="inlineStr">
        <is>
          <t>Супермаркет</t>
        </is>
      </c>
      <c r="G404" s="130" t="inlineStr">
        <is>
          <t>Азбука Вкуса</t>
        </is>
      </c>
      <c r="H404" s="131" t="inlineStr">
        <is>
          <t>АВБТ</t>
        </is>
      </c>
      <c r="I404" s="637" t="n">
        <v>17</v>
      </c>
      <c r="J404" s="637" t="inlineStr">
        <is>
          <t>MSK_A_017</t>
        </is>
      </c>
      <c r="K404" s="640" t="n">
        <v>3</v>
      </c>
      <c r="L404" s="640" t="n">
        <v>1</v>
      </c>
      <c r="M404" s="623" t="inlineStr">
        <is>
          <t>Samsung 43" вертикальный</t>
        </is>
      </c>
      <c r="N404" s="640" t="n"/>
      <c r="O404" s="640">
        <f>IF(AND(N404=1,L404=1),K404,"")</f>
        <v/>
      </c>
      <c r="P404" s="642" t="inlineStr">
        <is>
          <t>Москва, Большая Тульская д. 13, ТЦ «Ереван Плаза»</t>
        </is>
      </c>
      <c r="Q404" s="640" t="inlineStr">
        <is>
          <t>55.708351</t>
        </is>
      </c>
      <c r="R404" s="494" t="inlineStr">
        <is>
          <t>37.621994</t>
        </is>
      </c>
      <c r="S404" s="528" t="n">
        <v>24</v>
      </c>
      <c r="T404" s="436">
        <f>IF(N404=1,O404*S404,"")</f>
        <v/>
      </c>
      <c r="U404" s="436" t="n">
        <v>1</v>
      </c>
      <c r="V404" s="438">
        <f>IF(AND(N404=1,U404=1),C404,"")</f>
        <v/>
      </c>
      <c r="W404" s="387" t="n"/>
      <c r="X404" s="387" t="n"/>
      <c r="Y404" s="387" t="n"/>
    </row>
    <row r="405" hidden="1" ht="16.05" customHeight="1">
      <c r="A405" s="13" t="n">
        <v>516</v>
      </c>
      <c r="B405" s="13" t="inlineStr">
        <is>
          <t>v</t>
        </is>
      </c>
      <c r="C405" s="130" t="inlineStr">
        <is>
          <t>Москва</t>
        </is>
      </c>
      <c r="D405" s="130" t="inlineStr">
        <is>
          <t>Москва</t>
        </is>
      </c>
      <c r="E405" s="130" t="inlineStr">
        <is>
          <t>ЦАО</t>
        </is>
      </c>
      <c r="F405" s="130" t="n"/>
      <c r="G405" s="130" t="inlineStr">
        <is>
          <t>Азбука Вкуса</t>
        </is>
      </c>
      <c r="H405" s="131" t="inlineStr">
        <is>
          <t>АВКА</t>
        </is>
      </c>
      <c r="I405" s="637" t="n">
        <v>18</v>
      </c>
      <c r="J405" s="402" t="n"/>
      <c r="K405" s="640" t="n">
        <v>2</v>
      </c>
      <c r="L405" s="640" t="n">
        <v>0</v>
      </c>
      <c r="M405" s="640" t="inlineStr">
        <is>
          <t>Sam 40</t>
        </is>
      </c>
      <c r="N405" s="640" t="n"/>
      <c r="O405" s="640">
        <f>IF(AND(N405=1,L405=1),K405,"")</f>
        <v/>
      </c>
      <c r="P405" s="642" t="inlineStr">
        <is>
          <t>Москва, Калужская площадь, д. 1, стр. 2</t>
        </is>
      </c>
      <c r="Q405" s="640" t="n"/>
      <c r="R405" s="422" t="n"/>
      <c r="S405" s="528" t="n">
        <v>15</v>
      </c>
      <c r="T405" s="436">
        <f>S405*O405</f>
        <v/>
      </c>
      <c r="U405" s="436" t="n">
        <v>1</v>
      </c>
      <c r="V405" s="438">
        <f>IF(AND(N405=1,U405=1),C405,"")</f>
        <v/>
      </c>
      <c r="Z405" s="1" t="n"/>
    </row>
    <row r="406" hidden="1" ht="16.05" customFormat="1" customHeight="1" s="126">
      <c r="A406" s="125" t="n">
        <v>518</v>
      </c>
      <c r="B406" s="125" t="inlineStr">
        <is>
          <t>WF</t>
        </is>
      </c>
      <c r="C406" s="130" t="inlineStr">
        <is>
          <t>Москва</t>
        </is>
      </c>
      <c r="D406" s="130" t="inlineStr">
        <is>
          <t>Москва</t>
        </is>
      </c>
      <c r="E406" s="130" t="inlineStr">
        <is>
          <t>ЮАО</t>
        </is>
      </c>
      <c r="F406" s="130" t="inlineStr">
        <is>
          <t>Супермаркет</t>
        </is>
      </c>
      <c r="G406" s="130" t="inlineStr">
        <is>
          <t>Азбука Вкуса</t>
        </is>
      </c>
      <c r="H406" s="131" t="inlineStr">
        <is>
          <t>АВЛЮ60</t>
        </is>
      </c>
      <c r="I406" s="637" t="n">
        <v>19</v>
      </c>
      <c r="J406" s="637" t="inlineStr">
        <is>
          <t>MSK_A_019</t>
        </is>
      </c>
      <c r="K406" s="640" t="n">
        <v>3</v>
      </c>
      <c r="L406" s="640" t="n">
        <v>1</v>
      </c>
      <c r="M406" s="623" t="inlineStr">
        <is>
          <t>Samsung 43" вертикальный</t>
        </is>
      </c>
      <c r="N406" s="640" t="n"/>
      <c r="O406" s="640">
        <f>IF(AND(N406=1,L406=1),K406,"")</f>
        <v/>
      </c>
      <c r="P406" s="642" t="inlineStr">
        <is>
          <t>Москва, Люсиновская , д.60</t>
        </is>
      </c>
      <c r="Q406" s="640" t="inlineStr">
        <is>
          <t>55.718171</t>
        </is>
      </c>
      <c r="R406" s="494" t="inlineStr">
        <is>
          <t>37.621913</t>
        </is>
      </c>
      <c r="S406" s="528" t="n">
        <v>24</v>
      </c>
      <c r="T406" s="436">
        <f>IF(N406=1,O406*S406,"")</f>
        <v/>
      </c>
      <c r="U406" s="436" t="n">
        <v>1</v>
      </c>
      <c r="V406" s="438">
        <f>IF(AND(N406=1,U406=1),C406,"")</f>
        <v/>
      </c>
      <c r="W406" s="387" t="n"/>
      <c r="X406" s="387" t="n"/>
      <c r="Y406" s="387" t="n"/>
    </row>
    <row r="407" hidden="1" ht="16.05" customFormat="1" customHeight="1" s="126">
      <c r="A407" s="125" t="n">
        <v>521</v>
      </c>
      <c r="B407" s="125" t="inlineStr">
        <is>
          <t>WF</t>
        </is>
      </c>
      <c r="C407" s="130" t="inlineStr">
        <is>
          <t>Москва</t>
        </is>
      </c>
      <c r="D407" s="130" t="inlineStr">
        <is>
          <t>Москва</t>
        </is>
      </c>
      <c r="E407" s="130" t="inlineStr">
        <is>
          <t>ЗАО</t>
        </is>
      </c>
      <c r="F407" s="130" t="inlineStr">
        <is>
          <t>Супермаркет</t>
        </is>
      </c>
      <c r="G407" s="130" t="inlineStr">
        <is>
          <t>Азбука Вкуса</t>
        </is>
      </c>
      <c r="H407" s="131" t="inlineStr">
        <is>
          <t>АВКУ8</t>
        </is>
      </c>
      <c r="I407" s="637" t="n">
        <v>20</v>
      </c>
      <c r="J407" s="637" t="inlineStr">
        <is>
          <t>MSK_A_020</t>
        </is>
      </c>
      <c r="K407" s="640" t="n">
        <v>3</v>
      </c>
      <c r="L407" s="640" t="n">
        <v>0</v>
      </c>
      <c r="M407" s="640" t="inlineStr">
        <is>
          <t>Samsung 43" вертикальный</t>
        </is>
      </c>
      <c r="N407" s="640" t="n"/>
      <c r="O407" s="640">
        <f>IF(AND(N407=1,L407=1),K407,"")</f>
        <v/>
      </c>
      <c r="P407" s="642" t="inlineStr">
        <is>
          <t>Москва, Кутузовский пр., д.8</t>
        </is>
      </c>
      <c r="Q407" s="640" t="inlineStr">
        <is>
          <t>55.749103</t>
        </is>
      </c>
      <c r="R407" s="422" t="inlineStr">
        <is>
          <t>37.56034</t>
        </is>
      </c>
      <c r="S407" s="528" t="n">
        <v>24</v>
      </c>
      <c r="T407" s="436">
        <f>IF(N407=1,O407*S407,"")</f>
        <v/>
      </c>
      <c r="U407" s="436" t="n">
        <v>1</v>
      </c>
      <c r="V407" s="438">
        <f>IF(AND(N407=1,U407=1),C407,"")</f>
        <v/>
      </c>
      <c r="W407" s="387" t="n"/>
      <c r="X407" s="387" t="n"/>
      <c r="Y407" s="387" t="n"/>
    </row>
    <row r="408" hidden="1" ht="16.05" customFormat="1" customHeight="1" s="126">
      <c r="A408" s="125" t="n">
        <v>524</v>
      </c>
      <c r="B408" s="125" t="inlineStr">
        <is>
          <t>WF</t>
        </is>
      </c>
      <c r="C408" s="130" t="inlineStr">
        <is>
          <t>Москва</t>
        </is>
      </c>
      <c r="D408" s="130" t="inlineStr">
        <is>
          <t>Москва</t>
        </is>
      </c>
      <c r="E408" s="130" t="inlineStr">
        <is>
          <t>ЦАО</t>
        </is>
      </c>
      <c r="F408" s="130" t="inlineStr">
        <is>
          <t>Супермаркет</t>
        </is>
      </c>
      <c r="G408" s="130" t="inlineStr">
        <is>
          <t>Азбука Вкуса</t>
        </is>
      </c>
      <c r="H408" s="131" t="inlineStr">
        <is>
          <t>АВБЯ32</t>
        </is>
      </c>
      <c r="I408" s="637" t="n">
        <v>21</v>
      </c>
      <c r="J408" s="637" t="inlineStr">
        <is>
          <t>MSK_A_021</t>
        </is>
      </c>
      <c r="K408" s="640" t="n">
        <v>3</v>
      </c>
      <c r="L408" s="640" t="n">
        <v>1</v>
      </c>
      <c r="M408" s="623" t="inlineStr">
        <is>
          <t>Samsung 43" вертикальный</t>
        </is>
      </c>
      <c r="N408" s="640" t="n"/>
      <c r="O408" s="640">
        <f>IF(AND(N408=1,L408=1),K408,"")</f>
        <v/>
      </c>
      <c r="P408" s="642" t="inlineStr">
        <is>
          <t>Москва, Большая Якиманка , д.32</t>
        </is>
      </c>
      <c r="Q408" s="640" t="inlineStr">
        <is>
          <t>55.7353</t>
        </is>
      </c>
      <c r="R408" s="494" t="inlineStr">
        <is>
          <t>37.612729</t>
        </is>
      </c>
      <c r="S408" s="528" t="n">
        <v>24</v>
      </c>
      <c r="T408" s="436">
        <f>IF(N408=1,O408*S408,"")</f>
        <v/>
      </c>
      <c r="U408" s="436" t="n">
        <v>1</v>
      </c>
      <c r="V408" s="438">
        <f>IF(AND(N408=1,U408=1),C408,"")</f>
        <v/>
      </c>
      <c r="W408" s="387" t="n"/>
      <c r="X408" s="387" t="n"/>
      <c r="Y408" s="387" t="n"/>
    </row>
    <row r="409" hidden="1" ht="16.05" customFormat="1" customHeight="1" s="126">
      <c r="A409" s="125" t="n">
        <v>527</v>
      </c>
      <c r="B409" s="125" t="inlineStr">
        <is>
          <t>WF</t>
        </is>
      </c>
      <c r="C409" s="130" t="inlineStr">
        <is>
          <t>Москва</t>
        </is>
      </c>
      <c r="D409" s="130" t="inlineStr">
        <is>
          <t>Москва</t>
        </is>
      </c>
      <c r="E409" s="130" t="inlineStr">
        <is>
          <t>ЮАО</t>
        </is>
      </c>
      <c r="F409" s="130" t="inlineStr">
        <is>
          <t>Супермаркет</t>
        </is>
      </c>
      <c r="G409" s="130" t="inlineStr">
        <is>
          <t>Азбука Вкуса</t>
        </is>
      </c>
      <c r="H409" s="131" t="inlineStr">
        <is>
          <t>АВВШ34</t>
        </is>
      </c>
      <c r="I409" s="637" t="n">
        <v>22</v>
      </c>
      <c r="J409" s="637" t="inlineStr">
        <is>
          <t>MSK_A_022</t>
        </is>
      </c>
      <c r="K409" s="640" t="n">
        <v>2</v>
      </c>
      <c r="L409" s="640" t="n">
        <v>1</v>
      </c>
      <c r="M409" s="623" t="inlineStr">
        <is>
          <t>Samsung 43" вертикальный</t>
        </is>
      </c>
      <c r="N409" s="640" t="n"/>
      <c r="O409" s="640">
        <f>IF(AND(N409=1,L409=1),K409,"")</f>
        <v/>
      </c>
      <c r="P409" s="642" t="inlineStr">
        <is>
          <t>Москва, Варшавское шоссе, д.34</t>
        </is>
      </c>
      <c r="Q409" s="640" t="inlineStr">
        <is>
          <t>55.680232</t>
        </is>
      </c>
      <c r="R409" s="494" t="inlineStr">
        <is>
          <t>37.62358</t>
        </is>
      </c>
      <c r="S409" s="528" t="n">
        <v>15</v>
      </c>
      <c r="T409" s="436">
        <f>IF(N409=1,O409*S409,"")</f>
        <v/>
      </c>
      <c r="U409" s="436" t="n">
        <v>1</v>
      </c>
      <c r="V409" s="438">
        <f>IF(AND(N409=1,U409=1),C409,"")</f>
        <v/>
      </c>
      <c r="W409" s="387" t="n"/>
      <c r="X409" s="387" t="n"/>
      <c r="Y409" s="387" t="n"/>
    </row>
    <row r="410" hidden="1" ht="16.05" customFormat="1" customHeight="1" s="126">
      <c r="A410" s="125" t="n">
        <v>529</v>
      </c>
      <c r="B410" s="125" t="inlineStr">
        <is>
          <t>WF</t>
        </is>
      </c>
      <c r="C410" s="130" t="inlineStr">
        <is>
          <t>Москва</t>
        </is>
      </c>
      <c r="D410" s="130" t="inlineStr">
        <is>
          <t>Москва</t>
        </is>
      </c>
      <c r="E410" s="130" t="inlineStr">
        <is>
          <t>ЮАО</t>
        </is>
      </c>
      <c r="F410" s="130" t="inlineStr">
        <is>
          <t>Супермаркет</t>
        </is>
      </c>
      <c r="G410" s="130" t="inlineStr">
        <is>
          <t>Азбука Вкуса</t>
        </is>
      </c>
      <c r="H410" s="131" t="inlineStr">
        <is>
          <t>АВЛН21</t>
        </is>
      </c>
      <c r="I410" s="637" t="n">
        <v>23</v>
      </c>
      <c r="J410" s="637" t="inlineStr">
        <is>
          <t>MSK_A_023</t>
        </is>
      </c>
      <c r="K410" s="640" t="n">
        <v>3</v>
      </c>
      <c r="L410" s="640" t="n">
        <v>1</v>
      </c>
      <c r="M410" s="623" t="inlineStr">
        <is>
          <t>Samsung 43" вертикальный</t>
        </is>
      </c>
      <c r="N410" s="640" t="n"/>
      <c r="O410" s="640">
        <f>IF(AND(N410=1,L410=1),K410,"")</f>
        <v/>
      </c>
      <c r="P410" s="642" t="inlineStr">
        <is>
          <t>Москва, Ленинский пр-т, д 21</t>
        </is>
      </c>
      <c r="Q410" s="640" t="inlineStr">
        <is>
          <t>55.718123</t>
        </is>
      </c>
      <c r="R410" s="494" t="inlineStr">
        <is>
          <t>37.596258</t>
        </is>
      </c>
      <c r="S410" s="528" t="n">
        <v>24</v>
      </c>
      <c r="T410" s="436">
        <f>IF(N410=1,O410*S410,"")</f>
        <v/>
      </c>
      <c r="U410" s="436" t="n">
        <v>1</v>
      </c>
      <c r="V410" s="438">
        <f>IF(AND(N410=1,U410=1),C410,"")</f>
        <v/>
      </c>
      <c r="W410" s="387" t="n"/>
      <c r="X410" s="387" t="n"/>
      <c r="Y410" s="387" t="n"/>
    </row>
    <row r="411" hidden="1" ht="16.05" customFormat="1" customHeight="1" s="126">
      <c r="A411" s="125" t="n">
        <v>532</v>
      </c>
      <c r="B411" s="125" t="inlineStr">
        <is>
          <t>WF</t>
        </is>
      </c>
      <c r="C411" s="130" t="inlineStr">
        <is>
          <t>Москва</t>
        </is>
      </c>
      <c r="D411" s="130" t="inlineStr">
        <is>
          <t>Москва</t>
        </is>
      </c>
      <c r="E411" s="130" t="inlineStr">
        <is>
          <t>ЮАО</t>
        </is>
      </c>
      <c r="F411" s="130" t="inlineStr">
        <is>
          <t>Супермаркет</t>
        </is>
      </c>
      <c r="G411" s="130" t="inlineStr">
        <is>
          <t>Азбука Вкуса</t>
        </is>
      </c>
      <c r="H411" s="131" t="inlineStr">
        <is>
          <t>АВКШ78</t>
        </is>
      </c>
      <c r="I411" s="637" t="n">
        <v>24</v>
      </c>
      <c r="J411" s="637" t="inlineStr">
        <is>
          <t>MSK_A_024</t>
        </is>
      </c>
      <c r="K411" s="640" t="n">
        <v>3</v>
      </c>
      <c r="L411" s="640" t="n">
        <v>1</v>
      </c>
      <c r="M411" s="623" t="inlineStr">
        <is>
          <t>Samsung 43" вертикальный</t>
        </is>
      </c>
      <c r="N411" s="640" t="n"/>
      <c r="O411" s="640">
        <f>IF(AND(N411=1,L411=1),K411,"")</f>
        <v/>
      </c>
      <c r="P411" s="642" t="inlineStr">
        <is>
          <t>Москва, Каширское шоссе, д.78, корп.1А</t>
        </is>
      </c>
      <c r="Q411" s="640" t="inlineStr">
        <is>
          <t>55.641042</t>
        </is>
      </c>
      <c r="R411" s="494" t="inlineStr">
        <is>
          <t>37.682611</t>
        </is>
      </c>
      <c r="S411" s="528" t="n">
        <v>24</v>
      </c>
      <c r="T411" s="436">
        <f>IF(N411=1,O411*S411,"")</f>
        <v/>
      </c>
      <c r="U411" s="436" t="n">
        <v>1</v>
      </c>
      <c r="V411" s="438">
        <f>IF(AND(N411=1,U411=1),C411,"")</f>
        <v/>
      </c>
      <c r="W411" s="387" t="n"/>
      <c r="X411" s="387" t="n"/>
      <c r="Y411" s="387" t="n"/>
    </row>
    <row r="412" hidden="1" ht="16.05" customFormat="1" customHeight="1" s="126">
      <c r="A412" s="125" t="n">
        <v>535</v>
      </c>
      <c r="B412" s="125" t="inlineStr">
        <is>
          <t>WF</t>
        </is>
      </c>
      <c r="C412" s="130" t="inlineStr">
        <is>
          <t>Москва</t>
        </is>
      </c>
      <c r="D412" s="130" t="inlineStr">
        <is>
          <t>Москва</t>
        </is>
      </c>
      <c r="E412" s="130" t="inlineStr">
        <is>
          <t>ЦАО</t>
        </is>
      </c>
      <c r="F412" s="130" t="inlineStr">
        <is>
          <t>Супермаркет</t>
        </is>
      </c>
      <c r="G412" s="130" t="inlineStr">
        <is>
          <t>Азбука Вкуса</t>
        </is>
      </c>
      <c r="H412" s="131" t="inlineStr">
        <is>
          <t>АВНА</t>
        </is>
      </c>
      <c r="I412" s="637" t="n">
        <v>25</v>
      </c>
      <c r="J412" s="637" t="inlineStr">
        <is>
          <t>MSK_A_025</t>
        </is>
      </c>
      <c r="K412" s="640" t="n">
        <v>2</v>
      </c>
      <c r="L412" s="640" t="n">
        <v>1</v>
      </c>
      <c r="M412" s="623" t="inlineStr">
        <is>
          <t>Samsung 43" вертикальный</t>
        </is>
      </c>
      <c r="N412" s="640" t="n"/>
      <c r="O412" s="640">
        <f>IF(AND(N412=1,L412=1),K412,"")</f>
        <v/>
      </c>
      <c r="P412" s="642" t="inlineStr">
        <is>
          <t>Москва, Новинский бульвар, д. 8, ТЦ Lotte Plaza</t>
        </is>
      </c>
      <c r="Q412" s="640" t="inlineStr">
        <is>
          <t>55.751325</t>
        </is>
      </c>
      <c r="R412" s="494" t="inlineStr">
        <is>
          <t>37.583702</t>
        </is>
      </c>
      <c r="S412" s="528" t="n">
        <v>15</v>
      </c>
      <c r="T412" s="436">
        <f>IF(N412=1,O412*S412,"")</f>
        <v/>
      </c>
      <c r="U412" s="436" t="n">
        <v>1</v>
      </c>
      <c r="V412" s="438">
        <f>IF(AND(N412=1,U412=1),C412,"")</f>
        <v/>
      </c>
      <c r="W412" s="387" t="n"/>
      <c r="X412" s="387" t="n"/>
      <c r="Y412" s="387" t="n"/>
    </row>
    <row r="413" hidden="1" ht="16.05" customFormat="1" customHeight="1" s="126">
      <c r="A413" s="125" t="n">
        <v>538</v>
      </c>
      <c r="B413" s="125" t="inlineStr">
        <is>
          <t>WF</t>
        </is>
      </c>
      <c r="C413" s="130" t="inlineStr">
        <is>
          <t>Москва</t>
        </is>
      </c>
      <c r="D413" s="130" t="inlineStr">
        <is>
          <t>Москва</t>
        </is>
      </c>
      <c r="E413" s="130" t="inlineStr">
        <is>
          <t>ЗАО</t>
        </is>
      </c>
      <c r="F413" s="130" t="inlineStr">
        <is>
          <t>Супермаркет</t>
        </is>
      </c>
      <c r="G413" s="130" t="inlineStr">
        <is>
          <t>Азбука Вкуса</t>
        </is>
      </c>
      <c r="H413" s="131" t="inlineStr">
        <is>
          <t>АВБД</t>
        </is>
      </c>
      <c r="I413" s="637" t="n">
        <v>26</v>
      </c>
      <c r="J413" s="637" t="inlineStr">
        <is>
          <t>MSK_A_026</t>
        </is>
      </c>
      <c r="K413" s="640" t="n">
        <v>3</v>
      </c>
      <c r="L413" s="640" t="n">
        <v>1</v>
      </c>
      <c r="M413" s="623" t="inlineStr">
        <is>
          <t>Samsung 43" вертикальный</t>
        </is>
      </c>
      <c r="N413" s="640" t="n"/>
      <c r="O413" s="640">
        <f>IF(AND(N413=1,L413=1),K413,"")</f>
        <v/>
      </c>
      <c r="P413" s="642" t="inlineStr">
        <is>
          <t>Москва, Б.Дорогомиловская , д.16</t>
        </is>
      </c>
      <c r="Q413" s="640" t="inlineStr">
        <is>
          <t>55.746695</t>
        </is>
      </c>
      <c r="R413" s="494" t="inlineStr">
        <is>
          <t>37.557293</t>
        </is>
      </c>
      <c r="S413" s="528" t="n">
        <v>24</v>
      </c>
      <c r="T413" s="436">
        <f>IF(N413=1,O413*S413,"")</f>
        <v/>
      </c>
      <c r="U413" s="436" t="n">
        <v>1</v>
      </c>
      <c r="V413" s="438">
        <f>IF(AND(N413=1,U413=1),C413,"")</f>
        <v/>
      </c>
      <c r="W413" s="387" t="n"/>
      <c r="X413" s="387" t="n"/>
      <c r="Y413" s="387" t="n"/>
    </row>
    <row r="414" hidden="1" ht="16.05" customFormat="1" customHeight="1" s="126">
      <c r="A414" s="125" t="n">
        <v>541</v>
      </c>
      <c r="B414" s="125" t="inlineStr">
        <is>
          <t>WF</t>
        </is>
      </c>
      <c r="C414" s="130" t="inlineStr">
        <is>
          <t>Москва</t>
        </is>
      </c>
      <c r="D414" s="130" t="inlineStr">
        <is>
          <t>Москва</t>
        </is>
      </c>
      <c r="E414" s="130" t="inlineStr">
        <is>
          <t>СЗАО</t>
        </is>
      </c>
      <c r="F414" s="130" t="inlineStr">
        <is>
          <t>Супермаркет</t>
        </is>
      </c>
      <c r="G414" s="130" t="inlineStr">
        <is>
          <t>Азбука Вкуса</t>
        </is>
      </c>
      <c r="H414" s="131" t="inlineStr">
        <is>
          <t>АВАЛ07</t>
        </is>
      </c>
      <c r="I414" s="637" t="n">
        <v>27</v>
      </c>
      <c r="J414" s="637" t="inlineStr">
        <is>
          <t>MSK_A_027</t>
        </is>
      </c>
      <c r="K414" s="640" t="n">
        <v>3</v>
      </c>
      <c r="L414" s="640" t="n">
        <v>1</v>
      </c>
      <c r="M414" s="623" t="inlineStr">
        <is>
          <t>Samsung 43" вертикальный</t>
        </is>
      </c>
      <c r="N414" s="640" t="n"/>
      <c r="O414" s="640">
        <f>IF(AND(N414=1,L414=1),K414,"")</f>
        <v/>
      </c>
      <c r="P414" s="642" t="inlineStr">
        <is>
          <t>Москва, Алабяна , д.7</t>
        </is>
      </c>
      <c r="Q414" s="640" t="inlineStr">
        <is>
          <t>55.801874</t>
        </is>
      </c>
      <c r="R414" s="494" t="inlineStr">
        <is>
          <t>37.508029</t>
        </is>
      </c>
      <c r="S414" s="528" t="n">
        <v>24</v>
      </c>
      <c r="T414" s="436">
        <f>IF(N414=1,O414*S414,"")</f>
        <v/>
      </c>
      <c r="U414" s="436" t="n">
        <v>1</v>
      </c>
      <c r="V414" s="438">
        <f>IF(AND(N414=1,U414=1),C414,"")</f>
        <v/>
      </c>
      <c r="W414" s="387" t="n"/>
      <c r="X414" s="387" t="n"/>
      <c r="Y414" s="387" t="n"/>
    </row>
    <row r="415" hidden="1" ht="16.05" customFormat="1" customHeight="1" s="126">
      <c r="A415" s="125" t="n">
        <v>544</v>
      </c>
      <c r="B415" s="125" t="inlineStr">
        <is>
          <t>WF</t>
        </is>
      </c>
      <c r="C415" s="130" t="inlineStr">
        <is>
          <t>Москва</t>
        </is>
      </c>
      <c r="D415" s="130" t="inlineStr">
        <is>
          <t>Москва</t>
        </is>
      </c>
      <c r="E415" s="130" t="inlineStr">
        <is>
          <t>САО</t>
        </is>
      </c>
      <c r="F415" s="130" t="inlineStr">
        <is>
          <t>Супермаркет</t>
        </is>
      </c>
      <c r="G415" s="130" t="inlineStr">
        <is>
          <t>Азбука Вкуса</t>
        </is>
      </c>
      <c r="H415" s="131" t="inlineStr">
        <is>
          <t>АВГР</t>
        </is>
      </c>
      <c r="I415" s="637" t="n">
        <v>28</v>
      </c>
      <c r="J415" s="637" t="inlineStr">
        <is>
          <t>MSK_A_028</t>
        </is>
      </c>
      <c r="K415" s="640" t="n">
        <v>3</v>
      </c>
      <c r="L415" s="640" t="n">
        <v>1</v>
      </c>
      <c r="M415" s="623" t="inlineStr">
        <is>
          <t>Samsung 43" вертикальный</t>
        </is>
      </c>
      <c r="N415" s="640" t="n"/>
      <c r="O415" s="640">
        <f>IF(AND(N415=1,L415=1),K415,"")</f>
        <v/>
      </c>
      <c r="P415" s="642" t="inlineStr">
        <is>
          <t>Москва,  Гризодубовой, д.1а</t>
        </is>
      </c>
      <c r="Q415" s="640" t="inlineStr">
        <is>
          <t>55.781896</t>
        </is>
      </c>
      <c r="R415" s="494" t="inlineStr">
        <is>
          <t>37.534404</t>
        </is>
      </c>
      <c r="S415" s="528" t="n">
        <v>24</v>
      </c>
      <c r="T415" s="436">
        <f>IF(N415=1,O415*S415,"")</f>
        <v/>
      </c>
      <c r="U415" s="436" t="n">
        <v>1</v>
      </c>
      <c r="V415" s="438">
        <f>IF(AND(N415=1,U415=1),C415,"")</f>
        <v/>
      </c>
      <c r="W415" s="387" t="n"/>
      <c r="X415" s="387" t="n"/>
      <c r="Y415" s="387" t="n"/>
    </row>
    <row r="416" hidden="1" ht="16.05" customFormat="1" customHeight="1" s="126">
      <c r="A416" s="125" t="n">
        <v>547</v>
      </c>
      <c r="B416" s="125" t="inlineStr">
        <is>
          <t>WF</t>
        </is>
      </c>
      <c r="C416" s="130" t="inlineStr">
        <is>
          <t>Москва</t>
        </is>
      </c>
      <c r="D416" s="130" t="inlineStr">
        <is>
          <t>Москва</t>
        </is>
      </c>
      <c r="E416" s="130" t="inlineStr">
        <is>
          <t>САО</t>
        </is>
      </c>
      <c r="F416" s="130" t="inlineStr">
        <is>
          <t>Супермаркет</t>
        </is>
      </c>
      <c r="G416" s="130" t="inlineStr">
        <is>
          <t>Азбука Вкуса</t>
        </is>
      </c>
      <c r="H416" s="131" t="inlineStr">
        <is>
          <t>АВЛП</t>
        </is>
      </c>
      <c r="I416" s="637" t="n">
        <v>29</v>
      </c>
      <c r="J416" s="637" t="inlineStr">
        <is>
          <t>MSK_A_029</t>
        </is>
      </c>
      <c r="K416" s="640" t="n">
        <v>2</v>
      </c>
      <c r="L416" s="640" t="n">
        <v>1</v>
      </c>
      <c r="M416" s="623" t="inlineStr">
        <is>
          <t>Samsung 43" вертикальный</t>
        </is>
      </c>
      <c r="N416" s="640" t="n"/>
      <c r="O416" s="640">
        <f>IF(AND(N416=1,L416=1),K416,"")</f>
        <v/>
      </c>
      <c r="P416" s="642" t="inlineStr">
        <is>
          <t>Москва, Ленинградский пр-т, д.52</t>
        </is>
      </c>
      <c r="Q416" s="640" t="inlineStr">
        <is>
          <t>55.797115</t>
        </is>
      </c>
      <c r="R416" s="494" t="inlineStr">
        <is>
          <t>37.541236</t>
        </is>
      </c>
      <c r="S416" s="528" t="n">
        <v>24</v>
      </c>
      <c r="T416" s="436">
        <f>IF(N416=1,O416*S416,"")</f>
        <v/>
      </c>
      <c r="U416" s="436" t="n">
        <v>1</v>
      </c>
      <c r="V416" s="438">
        <f>IF(AND(N416=1,U416=1),C416,"")</f>
        <v/>
      </c>
      <c r="W416" s="387" t="n"/>
      <c r="X416" s="387" t="n"/>
      <c r="Y416" s="387" t="n"/>
    </row>
    <row r="417" hidden="1" ht="16.05" customFormat="1" customHeight="1" s="126">
      <c r="A417" s="125" t="n">
        <v>549</v>
      </c>
      <c r="B417" s="125" t="inlineStr">
        <is>
          <t>WF</t>
        </is>
      </c>
      <c r="C417" s="130" t="inlineStr">
        <is>
          <t>Москва</t>
        </is>
      </c>
      <c r="D417" s="130" t="inlineStr">
        <is>
          <t>Москва</t>
        </is>
      </c>
      <c r="E417" s="130" t="inlineStr">
        <is>
          <t>ЦАО</t>
        </is>
      </c>
      <c r="F417" s="130" t="inlineStr">
        <is>
          <t>Супермаркет</t>
        </is>
      </c>
      <c r="G417" s="130" t="inlineStr">
        <is>
          <t>Азбука Вкуса</t>
        </is>
      </c>
      <c r="H417" s="131" t="inlineStr">
        <is>
          <t>АВПТ11</t>
        </is>
      </c>
      <c r="I417" s="637" t="n">
        <v>30</v>
      </c>
      <c r="J417" s="637" t="inlineStr">
        <is>
          <t>MSK_A_030</t>
        </is>
      </c>
      <c r="K417" s="640" t="n">
        <v>2</v>
      </c>
      <c r="L417" s="640" t="n">
        <v>1</v>
      </c>
      <c r="M417" s="623" t="inlineStr">
        <is>
          <t>Samsung 43" вертикальный</t>
        </is>
      </c>
      <c r="N417" s="640" t="n"/>
      <c r="O417" s="640">
        <f>IF(AND(N417=1,L417=1),K417,"")</f>
        <v/>
      </c>
      <c r="P417" s="642" t="inlineStr">
        <is>
          <t>Москва, Проточный переулок, д.11</t>
        </is>
      </c>
      <c r="Q417" s="640" t="inlineStr">
        <is>
          <t>55.749987</t>
        </is>
      </c>
      <c r="R417" s="494" t="inlineStr">
        <is>
          <t>37.578544</t>
        </is>
      </c>
      <c r="S417" s="528" t="n">
        <v>24</v>
      </c>
      <c r="T417" s="436">
        <f>IF(N417=1,O417*S417,"")</f>
        <v/>
      </c>
      <c r="U417" s="436" t="n">
        <v>1</v>
      </c>
      <c r="V417" s="438">
        <f>IF(AND(N417=1,U417=1),C417,"")</f>
        <v/>
      </c>
      <c r="W417" s="387" t="n"/>
      <c r="X417" s="387" t="n"/>
      <c r="Y417" s="387" t="n"/>
    </row>
    <row r="418" hidden="1" ht="16.05" customFormat="1" customHeight="1" s="126">
      <c r="A418" s="125" t="n">
        <v>551</v>
      </c>
      <c r="B418" s="125" t="inlineStr">
        <is>
          <t>WF</t>
        </is>
      </c>
      <c r="C418" s="130" t="inlineStr">
        <is>
          <t>Москва</t>
        </is>
      </c>
      <c r="D418" s="130" t="inlineStr">
        <is>
          <t>Москва</t>
        </is>
      </c>
      <c r="E418" s="130" t="inlineStr">
        <is>
          <t>ЦАО</t>
        </is>
      </c>
      <c r="F418" s="130" t="inlineStr">
        <is>
          <t>Супермаркет</t>
        </is>
      </c>
      <c r="G418" s="130" t="inlineStr">
        <is>
          <t>Азбука Вкуса</t>
        </is>
      </c>
      <c r="H418" s="131" t="inlineStr">
        <is>
          <t>АВПР14</t>
        </is>
      </c>
      <c r="I418" s="637" t="n">
        <v>31</v>
      </c>
      <c r="J418" s="637" t="inlineStr">
        <is>
          <t>MSK_A_031</t>
        </is>
      </c>
      <c r="K418" s="640" t="n">
        <v>2</v>
      </c>
      <c r="L418" s="640" t="n">
        <v>1</v>
      </c>
      <c r="M418" s="623" t="inlineStr">
        <is>
          <t>Samsung 43" вертикальный</t>
        </is>
      </c>
      <c r="N418" s="640" t="n"/>
      <c r="O418" s="640">
        <f>IF(AND(N418=1,L418=1),K418,"")</f>
        <v/>
      </c>
      <c r="P418" s="642" t="inlineStr">
        <is>
          <t>Москва, Красная пресня, д .14</t>
        </is>
      </c>
      <c r="Q418" s="640" t="inlineStr">
        <is>
          <t>55.761699</t>
        </is>
      </c>
      <c r="R418" s="494" t="inlineStr">
        <is>
          <t>37.572242</t>
        </is>
      </c>
      <c r="S418" s="528" t="n">
        <v>24</v>
      </c>
      <c r="T418" s="436">
        <f>IF(N418=1,O418*S418,"")</f>
        <v/>
      </c>
      <c r="U418" s="436" t="n">
        <v>1</v>
      </c>
      <c r="V418" s="438">
        <f>IF(AND(N418=1,U418=1),C418,"")</f>
        <v/>
      </c>
      <c r="W418" s="387" t="n"/>
      <c r="X418" s="387" t="n"/>
      <c r="Y418" s="387" t="n"/>
    </row>
    <row r="419" hidden="1" ht="16.05" customFormat="1" customHeight="1" s="126">
      <c r="A419" s="125" t="n">
        <v>554</v>
      </c>
      <c r="B419" s="125" t="inlineStr">
        <is>
          <t>WF</t>
        </is>
      </c>
      <c r="C419" s="130" t="inlineStr">
        <is>
          <t>Москва</t>
        </is>
      </c>
      <c r="D419" s="130" t="inlineStr">
        <is>
          <t>Москва</t>
        </is>
      </c>
      <c r="E419" s="130" t="inlineStr">
        <is>
          <t>ЮЗАО</t>
        </is>
      </c>
      <c r="F419" s="130" t="inlineStr">
        <is>
          <t>Супермаркет</t>
        </is>
      </c>
      <c r="G419" s="130" t="inlineStr">
        <is>
          <t>Азбука Вкуса</t>
        </is>
      </c>
      <c r="H419" s="131" t="inlineStr">
        <is>
          <t>АВНП</t>
        </is>
      </c>
      <c r="I419" s="637" t="n">
        <v>32</v>
      </c>
      <c r="J419" s="637" t="inlineStr">
        <is>
          <t>MSK_A_032</t>
        </is>
      </c>
      <c r="K419" s="640" t="n">
        <v>3</v>
      </c>
      <c r="L419" s="640" t="n">
        <v>1</v>
      </c>
      <c r="M419" s="623" t="inlineStr">
        <is>
          <t>Samsung 43" вертикальный</t>
        </is>
      </c>
      <c r="N419" s="640" t="n"/>
      <c r="O419" s="640">
        <f>IF(AND(N419=1,L419=1),K419,"")</f>
        <v/>
      </c>
      <c r="P419" s="642" t="inlineStr">
        <is>
          <t>Москва, Нахимовский пр-т., д.61</t>
        </is>
      </c>
      <c r="Q419" s="640" t="inlineStr">
        <is>
          <t>55.679017</t>
        </is>
      </c>
      <c r="R419" s="494" t="inlineStr">
        <is>
          <t>37.559831</t>
        </is>
      </c>
      <c r="S419" s="528" t="n">
        <v>24</v>
      </c>
      <c r="T419" s="436">
        <f>IF(N419=1,O419*S419,"")</f>
        <v/>
      </c>
      <c r="U419" s="436" t="n">
        <v>1</v>
      </c>
      <c r="V419" s="438">
        <f>IF(AND(N419=1,U419=1),C419,"")</f>
        <v/>
      </c>
      <c r="W419" s="387" t="n"/>
      <c r="X419" s="387" t="n"/>
      <c r="Y419" s="387" t="n"/>
    </row>
    <row r="420" hidden="1" ht="16.05" customFormat="1" customHeight="1" s="126">
      <c r="A420" s="125" t="n">
        <v>557</v>
      </c>
      <c r="B420" s="125" t="inlineStr">
        <is>
          <t>WF</t>
        </is>
      </c>
      <c r="C420" s="130" t="inlineStr">
        <is>
          <t>Москва</t>
        </is>
      </c>
      <c r="D420" s="130" t="inlineStr">
        <is>
          <t>Москва</t>
        </is>
      </c>
      <c r="E420" s="130" t="inlineStr">
        <is>
          <t>ЮЗАО</t>
        </is>
      </c>
      <c r="F420" s="130" t="inlineStr">
        <is>
          <t>Супермаркет</t>
        </is>
      </c>
      <c r="G420" s="130" t="inlineStr">
        <is>
          <t>Азбука Вкуса</t>
        </is>
      </c>
      <c r="H420" s="131" t="inlineStr">
        <is>
          <t>АВПФ</t>
        </is>
      </c>
      <c r="I420" s="637" t="n">
        <v>33</v>
      </c>
      <c r="J420" s="637" t="inlineStr">
        <is>
          <t>MSK_A_033</t>
        </is>
      </c>
      <c r="K420" s="640" t="n">
        <v>2</v>
      </c>
      <c r="L420" s="640" t="n">
        <v>1</v>
      </c>
      <c r="M420" s="623" t="inlineStr">
        <is>
          <t>Samsung 43" вертикальный</t>
        </is>
      </c>
      <c r="N420" s="640" t="n"/>
      <c r="O420" s="640">
        <f>IF(AND(N420=1,L420=1),K420,"")</f>
        <v/>
      </c>
      <c r="P420" s="642" t="inlineStr">
        <is>
          <t>Москва, Профсоюзная , д.16/10</t>
        </is>
      </c>
      <c r="Q420" s="640" t="inlineStr">
        <is>
          <t>55.684112</t>
        </is>
      </c>
      <c r="R420" s="494" t="inlineStr">
        <is>
          <t>37.568727</t>
        </is>
      </c>
      <c r="S420" s="528" t="n">
        <v>24</v>
      </c>
      <c r="T420" s="436">
        <f>IF(N420=1,O420*S420,"")</f>
        <v/>
      </c>
      <c r="U420" s="436" t="n">
        <v>1</v>
      </c>
      <c r="V420" s="438">
        <f>IF(AND(N420=1,U420=1),C420,"")</f>
        <v/>
      </c>
      <c r="W420" s="387" t="n"/>
      <c r="X420" s="387" t="n"/>
      <c r="Y420" s="387" t="n"/>
    </row>
    <row r="421" hidden="1" ht="16.05" customFormat="1" customHeight="1" s="126">
      <c r="A421" s="125" t="n">
        <v>559</v>
      </c>
      <c r="B421" s="125" t="inlineStr">
        <is>
          <t>WF</t>
        </is>
      </c>
      <c r="C421" s="130" t="inlineStr">
        <is>
          <t>Москва</t>
        </is>
      </c>
      <c r="D421" s="130" t="inlineStr">
        <is>
          <t>Москва</t>
        </is>
      </c>
      <c r="E421" s="130" t="inlineStr">
        <is>
          <t>ЮЗАО</t>
        </is>
      </c>
      <c r="F421" s="130" t="inlineStr">
        <is>
          <t>Супермаркет</t>
        </is>
      </c>
      <c r="G421" s="130" t="inlineStr">
        <is>
          <t>Азбука Вкуса</t>
        </is>
      </c>
      <c r="H421" s="131" t="inlineStr">
        <is>
          <t>АВСИБ</t>
        </is>
      </c>
      <c r="I421" s="637" t="n">
        <v>34</v>
      </c>
      <c r="J421" s="637" t="inlineStr">
        <is>
          <t>MSK_A_034</t>
        </is>
      </c>
      <c r="K421" s="640" t="n">
        <v>3</v>
      </c>
      <c r="L421" s="640" t="n">
        <v>1</v>
      </c>
      <c r="M421" s="623" t="inlineStr">
        <is>
          <t>Samsung 43" вертикальный</t>
        </is>
      </c>
      <c r="N421" s="640" t="n"/>
      <c r="O421" s="640">
        <f>IF(AND(N421=1,L421=1),K421,"")</f>
        <v/>
      </c>
      <c r="P421" s="642" t="inlineStr">
        <is>
          <t>Москва, Симферопольский б-р, д. 22 корп3</t>
        </is>
      </c>
      <c r="Q421" s="640" t="inlineStr">
        <is>
          <t>55.646908</t>
        </is>
      </c>
      <c r="R421" s="494" t="inlineStr">
        <is>
          <t>37.604816</t>
        </is>
      </c>
      <c r="S421" s="528" t="n">
        <v>24</v>
      </c>
      <c r="T421" s="436">
        <f>IF(N421=1,O421*S421,"")</f>
        <v/>
      </c>
      <c r="U421" s="436" t="n">
        <v>1</v>
      </c>
      <c r="V421" s="438">
        <f>IF(AND(N421=1,U421=1),C421,"")</f>
        <v/>
      </c>
      <c r="W421" s="387" t="n"/>
      <c r="X421" s="387" t="n"/>
      <c r="Y421" s="387" t="n"/>
    </row>
    <row r="422" hidden="1" ht="16.05" customFormat="1" customHeight="1" s="126">
      <c r="A422" s="125" t="n">
        <v>562</v>
      </c>
      <c r="B422" s="125" t="inlineStr">
        <is>
          <t>WF</t>
        </is>
      </c>
      <c r="C422" s="130" t="inlineStr">
        <is>
          <t>Москва</t>
        </is>
      </c>
      <c r="D422" s="130" t="inlineStr">
        <is>
          <t>Москва</t>
        </is>
      </c>
      <c r="E422" s="130" t="inlineStr">
        <is>
          <t>ЦАО</t>
        </is>
      </c>
      <c r="F422" s="130" t="inlineStr">
        <is>
          <t>Супермаркет</t>
        </is>
      </c>
      <c r="G422" s="130" t="inlineStr">
        <is>
          <t>Азбука Вкуса</t>
        </is>
      </c>
      <c r="H422" s="131" t="inlineStr">
        <is>
          <t>АВНЯ02</t>
        </is>
      </c>
      <c r="I422" s="637" t="n">
        <v>35</v>
      </c>
      <c r="J422" s="637" t="inlineStr">
        <is>
          <t>MSK_A_035</t>
        </is>
      </c>
      <c r="K422" s="640" t="n">
        <v>3</v>
      </c>
      <c r="L422" s="640" t="n">
        <v>1</v>
      </c>
      <c r="M422" s="623" t="inlineStr">
        <is>
          <t>Samsung 43" вертикальный</t>
        </is>
      </c>
      <c r="N422" s="640" t="n"/>
      <c r="O422" s="640">
        <f>IF(AND(N422=1,L422=1),K422,"")</f>
        <v/>
      </c>
      <c r="P422" s="642" t="inlineStr">
        <is>
          <t>Москва, Николоямский переулок, д.2</t>
        </is>
      </c>
      <c r="Q422" s="640" t="inlineStr">
        <is>
          <t>55.749215</t>
        </is>
      </c>
      <c r="R422" s="494" t="inlineStr">
        <is>
          <t>37.662118</t>
        </is>
      </c>
      <c r="S422" s="528" t="n">
        <v>24</v>
      </c>
      <c r="T422" s="436">
        <f>IF(N422=1,O422*S422,"")</f>
        <v/>
      </c>
      <c r="U422" s="436" t="n">
        <v>1</v>
      </c>
      <c r="V422" s="438">
        <f>IF(AND(N422=1,U422=1),C422,"")</f>
        <v/>
      </c>
      <c r="W422" s="387" t="n"/>
      <c r="X422" s="387" t="n"/>
      <c r="Y422" s="387" t="n"/>
    </row>
    <row r="423" hidden="1" ht="16.05" customFormat="1" customHeight="1" s="126">
      <c r="A423" s="125" t="n">
        <v>565</v>
      </c>
      <c r="B423" s="125" t="inlineStr">
        <is>
          <t>WF</t>
        </is>
      </c>
      <c r="C423" s="130" t="inlineStr">
        <is>
          <t>Москва</t>
        </is>
      </c>
      <c r="D423" s="130" t="inlineStr">
        <is>
          <t>Москва</t>
        </is>
      </c>
      <c r="E423" s="130" t="inlineStr">
        <is>
          <t>ЦАО</t>
        </is>
      </c>
      <c r="F423" s="130" t="inlineStr">
        <is>
          <t>Супермаркет</t>
        </is>
      </c>
      <c r="G423" s="130" t="inlineStr">
        <is>
          <t>Азбука Вкуса</t>
        </is>
      </c>
      <c r="H423" s="131" t="inlineStr">
        <is>
          <t>АВТА12</t>
        </is>
      </c>
      <c r="I423" s="637" t="n">
        <v>36</v>
      </c>
      <c r="J423" s="637" t="inlineStr">
        <is>
          <t>MSK_A_036</t>
        </is>
      </c>
      <c r="K423" s="640" t="n">
        <v>2</v>
      </c>
      <c r="L423" s="640" t="n">
        <v>1</v>
      </c>
      <c r="M423" s="623" t="inlineStr">
        <is>
          <t>Samsung 43" вертикальный</t>
        </is>
      </c>
      <c r="N423" s="640" t="n"/>
      <c r="O423" s="640">
        <f>IF(AND(N423=1,L423=1),K423,"")</f>
        <v/>
      </c>
      <c r="P423" s="642" t="inlineStr">
        <is>
          <t>Москва, Таганская пл., д.12/4, стр.5</t>
        </is>
      </c>
      <c r="Q423" s="640" t="inlineStr">
        <is>
          <t>55.740215</t>
        </is>
      </c>
      <c r="R423" s="494" t="inlineStr">
        <is>
          <t>37.654003</t>
        </is>
      </c>
      <c r="S423" s="528" t="n">
        <v>24</v>
      </c>
      <c r="T423" s="436">
        <f>IF(N423=1,O423*S423,"")</f>
        <v/>
      </c>
      <c r="U423" s="436" t="n">
        <v>1</v>
      </c>
      <c r="V423" s="438">
        <f>IF(AND(N423=1,U423=1),C423,"")</f>
        <v/>
      </c>
      <c r="W423" s="387" t="n"/>
      <c r="X423" s="387" t="n"/>
      <c r="Y423" s="387" t="n"/>
    </row>
    <row r="424" hidden="1" ht="16.05" customFormat="1" customHeight="1" s="126">
      <c r="A424" s="125" t="n">
        <v>567</v>
      </c>
      <c r="B424" s="125" t="inlineStr">
        <is>
          <t>WF</t>
        </is>
      </c>
      <c r="C424" s="130" t="inlineStr">
        <is>
          <t>Москва</t>
        </is>
      </c>
      <c r="D424" s="130" t="inlineStr">
        <is>
          <t>Москва</t>
        </is>
      </c>
      <c r="E424" s="130" t="inlineStr">
        <is>
          <t>ЮЗАО</t>
        </is>
      </c>
      <c r="F424" s="130" t="inlineStr">
        <is>
          <t>Супермаркет</t>
        </is>
      </c>
      <c r="G424" s="130" t="inlineStr">
        <is>
          <t>Азбука Вкуса</t>
        </is>
      </c>
      <c r="H424" s="131" t="inlineStr">
        <is>
          <t>АВЛН34</t>
        </is>
      </c>
      <c r="I424" s="637" t="n">
        <v>37</v>
      </c>
      <c r="J424" s="637" t="inlineStr">
        <is>
          <t>MSK_A_037</t>
        </is>
      </c>
      <c r="K424" s="640" t="n">
        <v>3</v>
      </c>
      <c r="L424" s="640" t="n">
        <v>1</v>
      </c>
      <c r="M424" s="623" t="inlineStr">
        <is>
          <t>Samsung 43" вертикальный</t>
        </is>
      </c>
      <c r="N424" s="640" t="n"/>
      <c r="O424" s="640">
        <f>IF(AND(N424=1,L424=1),K424,"")</f>
        <v/>
      </c>
      <c r="P424" s="642" t="inlineStr">
        <is>
          <t>Москва, Ленинский пр-т, д.34/1</t>
        </is>
      </c>
      <c r="Q424" s="640" t="inlineStr">
        <is>
          <t>55.707072</t>
        </is>
      </c>
      <c r="R424" s="494" t="inlineStr">
        <is>
          <t>37.577887</t>
        </is>
      </c>
      <c r="S424" s="528" t="n">
        <v>24</v>
      </c>
      <c r="T424" s="436">
        <f>IF(N424=1,O424*S424,"")</f>
        <v/>
      </c>
      <c r="U424" s="436" t="n">
        <v>1</v>
      </c>
      <c r="V424" s="438">
        <f>IF(AND(N424=1,U424=1),C424,"")</f>
        <v/>
      </c>
      <c r="W424" s="387" t="n"/>
      <c r="X424" s="387" t="n"/>
      <c r="Y424" s="387" t="n"/>
    </row>
    <row r="425" hidden="1" ht="16.05" customFormat="1" customHeight="1" s="126">
      <c r="A425" s="125" t="n">
        <v>570</v>
      </c>
      <c r="B425" s="125" t="inlineStr">
        <is>
          <t>WF</t>
        </is>
      </c>
      <c r="C425" s="130" t="inlineStr">
        <is>
          <t>Москва</t>
        </is>
      </c>
      <c r="D425" s="130" t="inlineStr">
        <is>
          <t>Москва</t>
        </is>
      </c>
      <c r="E425" s="130" t="inlineStr">
        <is>
          <t>ЮЗАО</t>
        </is>
      </c>
      <c r="F425" s="130" t="inlineStr">
        <is>
          <t>Супермаркет</t>
        </is>
      </c>
      <c r="G425" s="130" t="inlineStr">
        <is>
          <t>Азбука Вкуса</t>
        </is>
      </c>
      <c r="H425" s="131" t="inlineStr">
        <is>
          <t>АВЛП64</t>
        </is>
      </c>
      <c r="I425" s="637" t="n">
        <v>38</v>
      </c>
      <c r="J425" s="637" t="inlineStr">
        <is>
          <t>MSK_A_038</t>
        </is>
      </c>
      <c r="K425" s="640" t="n">
        <v>3</v>
      </c>
      <c r="L425" s="640" t="n">
        <v>1</v>
      </c>
      <c r="M425" s="623" t="inlineStr">
        <is>
          <t>Samsung 43" вертикальный</t>
        </is>
      </c>
      <c r="N425" s="640" t="n"/>
      <c r="O425" s="640">
        <f>IF(AND(N425=1,L425=1),K425,"")</f>
        <v/>
      </c>
      <c r="P425" s="642" t="inlineStr">
        <is>
          <t>Москва, Ленинский пр-т, д.64</t>
        </is>
      </c>
      <c r="Q425" s="640" t="inlineStr">
        <is>
          <t>55.692319</t>
        </is>
      </c>
      <c r="R425" s="494" t="inlineStr">
        <is>
          <t>37.551457</t>
        </is>
      </c>
      <c r="S425" s="528" t="n">
        <v>24</v>
      </c>
      <c r="T425" s="436">
        <f>IF(N425=1,O425*S425,"")</f>
        <v/>
      </c>
      <c r="U425" s="436" t="n">
        <v>1</v>
      </c>
      <c r="V425" s="438">
        <f>IF(AND(N425=1,U425=1),C425,"")</f>
        <v/>
      </c>
      <c r="W425" s="387" t="n"/>
      <c r="X425" s="387" t="n"/>
      <c r="Y425" s="387" t="n"/>
    </row>
    <row r="426" hidden="1" ht="16.05" customFormat="1" customHeight="1" s="126">
      <c r="A426" s="125" t="n">
        <v>573</v>
      </c>
      <c r="B426" s="125" t="inlineStr">
        <is>
          <t>WF</t>
        </is>
      </c>
      <c r="C426" s="130" t="inlineStr">
        <is>
          <t>Москва</t>
        </is>
      </c>
      <c r="D426" s="130" t="inlineStr">
        <is>
          <t>Москва</t>
        </is>
      </c>
      <c r="E426" s="130" t="inlineStr">
        <is>
          <t>ЮЗАО</t>
        </is>
      </c>
      <c r="F426" s="130" t="inlineStr">
        <is>
          <t>Супермаркет</t>
        </is>
      </c>
      <c r="G426" s="130" t="inlineStr">
        <is>
          <t>Азбука Вкуса</t>
        </is>
      </c>
      <c r="H426" s="131" t="inlineStr">
        <is>
          <t>АВПФ64</t>
        </is>
      </c>
      <c r="I426" s="637" t="n">
        <v>39</v>
      </c>
      <c r="J426" s="637" t="inlineStr">
        <is>
          <t>MSK_A_039</t>
        </is>
      </c>
      <c r="K426" s="640" t="n">
        <v>2</v>
      </c>
      <c r="L426" s="640" t="n">
        <v>1</v>
      </c>
      <c r="M426" s="623" t="inlineStr">
        <is>
          <t>Samsung 43" вертикальный</t>
        </is>
      </c>
      <c r="N426" s="640" t="n"/>
      <c r="O426" s="640">
        <f>IF(AND(N426=1,L426=1),K426,"")</f>
        <v/>
      </c>
      <c r="P426" s="642" t="inlineStr">
        <is>
          <t>Москва, Профсоюзная, д. 64/66</t>
        </is>
      </c>
      <c r="Q426" s="640" t="inlineStr">
        <is>
          <t>55.665713</t>
        </is>
      </c>
      <c r="R426" s="494" t="inlineStr">
        <is>
          <t>37.548722</t>
        </is>
      </c>
      <c r="S426" s="528" t="n">
        <v>15</v>
      </c>
      <c r="T426" s="436">
        <f>IF(N426=1,O426*S426,"")</f>
        <v/>
      </c>
      <c r="U426" s="436" t="n">
        <v>1</v>
      </c>
      <c r="V426" s="438">
        <f>IF(AND(N426=1,U426=1),C426,"")</f>
        <v/>
      </c>
      <c r="W426" s="387" t="n"/>
      <c r="X426" s="387" t="n"/>
      <c r="Y426" s="387" t="n"/>
    </row>
    <row r="427" hidden="1" ht="16.05" customFormat="1" customHeight="1" s="126">
      <c r="A427" s="125" t="n">
        <v>575</v>
      </c>
      <c r="B427" s="125" t="inlineStr">
        <is>
          <t>WF</t>
        </is>
      </c>
      <c r="C427" s="130" t="inlineStr">
        <is>
          <t>Москва</t>
        </is>
      </c>
      <c r="D427" s="130" t="inlineStr">
        <is>
          <t>Москва</t>
        </is>
      </c>
      <c r="E427" s="130" t="inlineStr">
        <is>
          <t>ЮЗАО</t>
        </is>
      </c>
      <c r="F427" s="130" t="inlineStr">
        <is>
          <t>Супермаркет</t>
        </is>
      </c>
      <c r="G427" s="130" t="inlineStr">
        <is>
          <t>Азбука Вкуса</t>
        </is>
      </c>
      <c r="H427" s="131" t="inlineStr">
        <is>
          <t>АВЛН54</t>
        </is>
      </c>
      <c r="I427" s="637" t="n">
        <v>40</v>
      </c>
      <c r="J427" s="637" t="inlineStr">
        <is>
          <t>MSK_A_040</t>
        </is>
      </c>
      <c r="K427" s="640" t="n">
        <v>2</v>
      </c>
      <c r="L427" s="640" t="n">
        <v>1</v>
      </c>
      <c r="M427" s="623" t="inlineStr">
        <is>
          <t>Samsung 43" вертикальный</t>
        </is>
      </c>
      <c r="N427" s="640" t="n"/>
      <c r="O427" s="640">
        <f>IF(AND(N427=1,L427=1),K427,"")</f>
        <v/>
      </c>
      <c r="P427" s="642" t="inlineStr">
        <is>
          <t>Москва, Ленинский проспект, д. 54</t>
        </is>
      </c>
      <c r="Q427" s="640" t="inlineStr">
        <is>
          <t>55.697861</t>
        </is>
      </c>
      <c r="R427" s="494" t="inlineStr">
        <is>
          <t>37.560443</t>
        </is>
      </c>
      <c r="S427" s="528" t="n">
        <v>24</v>
      </c>
      <c r="T427" s="436">
        <f>IF(N427=1,O427*S427,"")</f>
        <v/>
      </c>
      <c r="U427" s="436" t="n">
        <v>1</v>
      </c>
      <c r="V427" s="438">
        <f>IF(AND(N427=1,U427=1),C427,"")</f>
        <v/>
      </c>
      <c r="W427" s="387" t="n"/>
      <c r="X427" s="387" t="n"/>
      <c r="Y427" s="387" t="n"/>
    </row>
    <row r="428" hidden="1" ht="16.05" customFormat="1" customHeight="1" s="126">
      <c r="A428" s="125" t="n">
        <v>577</v>
      </c>
      <c r="B428" s="125" t="inlineStr">
        <is>
          <t>WF</t>
        </is>
      </c>
      <c r="C428" s="130" t="inlineStr">
        <is>
          <t>Москва</t>
        </is>
      </c>
      <c r="D428" s="130" t="inlineStr">
        <is>
          <t>Московская область</t>
        </is>
      </c>
      <c r="E428" s="130" t="inlineStr">
        <is>
          <t>М9</t>
        </is>
      </c>
      <c r="F428" s="130" t="inlineStr">
        <is>
          <t>Супермаркет</t>
        </is>
      </c>
      <c r="G428" s="130" t="inlineStr">
        <is>
          <t>Азбука Вкуса</t>
        </is>
      </c>
      <c r="H428" s="131" t="inlineStr">
        <is>
          <t>АВНР</t>
        </is>
      </c>
      <c r="I428" s="637" t="n">
        <v>41</v>
      </c>
      <c r="J428" s="637" t="inlineStr">
        <is>
          <t>MSK_A_041</t>
        </is>
      </c>
      <c r="K428" s="640" t="n">
        <v>3</v>
      </c>
      <c r="L428" s="640" t="n">
        <v>1</v>
      </c>
      <c r="M428" s="623" t="inlineStr">
        <is>
          <t>Samsung 43" вертикальный</t>
        </is>
      </c>
      <c r="N428" s="640" t="n"/>
      <c r="O428" s="640">
        <f>IF(AND(N428=1,L428=1),K428,"")</f>
        <v/>
      </c>
      <c r="P428" s="642" t="inlineStr">
        <is>
          <t>Московская область, Новорижское шоссе, 6-й км, ТК «ЮНИМОЛЛ»</t>
        </is>
      </c>
      <c r="Q428" s="640" t="inlineStr">
        <is>
          <t>55.799743</t>
        </is>
      </c>
      <c r="R428" s="494" t="inlineStr">
        <is>
          <t>37.279909</t>
        </is>
      </c>
      <c r="S428" s="528" t="n">
        <v>24</v>
      </c>
      <c r="T428" s="436">
        <f>IF(N428=1,O428*S428,"")</f>
        <v/>
      </c>
      <c r="U428" s="436" t="n">
        <v>1</v>
      </c>
      <c r="V428" s="438">
        <f>IF(AND(N428=1,U428=1),C428,"")</f>
        <v/>
      </c>
      <c r="W428" s="387" t="n"/>
      <c r="X428" s="387" t="n"/>
      <c r="Y428" s="387" t="n"/>
    </row>
    <row r="429" hidden="1" ht="16.05" customFormat="1" customHeight="1" s="126">
      <c r="A429" s="125" t="n">
        <v>580</v>
      </c>
      <c r="B429" s="125" t="inlineStr">
        <is>
          <t>WF</t>
        </is>
      </c>
      <c r="C429" s="130" t="inlineStr">
        <is>
          <t>Москва</t>
        </is>
      </c>
      <c r="D429" s="130" t="inlineStr">
        <is>
          <t>Московская область</t>
        </is>
      </c>
      <c r="E429" s="130" t="inlineStr">
        <is>
          <t>А106</t>
        </is>
      </c>
      <c r="F429" s="130" t="inlineStr">
        <is>
          <t>Супермаркет</t>
        </is>
      </c>
      <c r="G429" s="130" t="inlineStr">
        <is>
          <t>Азбука Вкуса</t>
        </is>
      </c>
      <c r="H429" s="131" t="inlineStr">
        <is>
          <t>АВР</t>
        </is>
      </c>
      <c r="I429" s="637" t="n">
        <v>42</v>
      </c>
      <c r="J429" s="637" t="inlineStr">
        <is>
          <t>MSK_A_042</t>
        </is>
      </c>
      <c r="K429" s="640" t="n">
        <v>4</v>
      </c>
      <c r="L429" s="640" t="n">
        <v>1</v>
      </c>
      <c r="M429" s="623" t="inlineStr">
        <is>
          <t>Samsung 43" вертикальный</t>
        </is>
      </c>
      <c r="N429" s="640" t="n"/>
      <c r="O429" s="640">
        <f>IF(AND(N429=1,L429=1),K429,"")</f>
        <v/>
      </c>
      <c r="P429" s="642" t="inlineStr">
        <is>
          <t>Московская область, п.Барвиха, Рублево-Успенское ш, д. 85/1, ТЦ Dream House</t>
        </is>
      </c>
      <c r="Q429" s="640" t="inlineStr">
        <is>
          <t>55.738854</t>
        </is>
      </c>
      <c r="R429" s="494" t="inlineStr">
        <is>
          <t>37.27029</t>
        </is>
      </c>
      <c r="S429" s="528" t="n">
        <v>14</v>
      </c>
      <c r="T429" s="529">
        <f>S429*O429</f>
        <v/>
      </c>
      <c r="U429" s="436" t="n">
        <v>1</v>
      </c>
      <c r="V429" s="438">
        <f>IF(AND(N429=1,U429=1),C429,"")</f>
        <v/>
      </c>
      <c r="W429" s="387" t="n"/>
      <c r="X429" s="387" t="n"/>
      <c r="Y429" s="387" t="n"/>
    </row>
    <row r="430" hidden="1" ht="16.05" customFormat="1" customHeight="1" s="126">
      <c r="A430" s="125" t="n">
        <v>583</v>
      </c>
      <c r="B430" s="125" t="inlineStr">
        <is>
          <t>WF</t>
        </is>
      </c>
      <c r="C430" s="130" t="inlineStr">
        <is>
          <t>Москва</t>
        </is>
      </c>
      <c r="D430" s="130" t="inlineStr">
        <is>
          <t>Московская область</t>
        </is>
      </c>
      <c r="E430" s="130" t="inlineStr">
        <is>
          <t>А106</t>
        </is>
      </c>
      <c r="F430" s="130" t="inlineStr">
        <is>
          <t>Супермаркет</t>
        </is>
      </c>
      <c r="G430" s="130" t="inlineStr">
        <is>
          <t>Азбука Вкуса</t>
        </is>
      </c>
      <c r="H430" s="131" t="inlineStr">
        <is>
          <t>АВГО11</t>
        </is>
      </c>
      <c r="I430" s="637" t="n">
        <v>43</v>
      </c>
      <c r="J430" s="637" t="inlineStr">
        <is>
          <t>MSK_A_043</t>
        </is>
      </c>
      <c r="K430" s="640" t="n">
        <v>2</v>
      </c>
      <c r="L430" s="640" t="n">
        <v>1</v>
      </c>
      <c r="M430" s="623" t="inlineStr">
        <is>
          <t>Samsung 43" вертикальный</t>
        </is>
      </c>
      <c r="N430" s="640" t="n"/>
      <c r="O430" s="640">
        <f>IF(AND(N430=1,L430=1),K430,"")</f>
        <v/>
      </c>
      <c r="P430" s="642" t="inlineStr">
        <is>
          <t>Московская область, Горки-2, д. 11, ТЦ «Живой Дом»</t>
        </is>
      </c>
      <c r="Q430" s="640" t="inlineStr">
        <is>
          <t>55.724592</t>
        </is>
      </c>
      <c r="R430" s="494" t="inlineStr">
        <is>
          <t>37.158949</t>
        </is>
      </c>
      <c r="S430" s="528" t="n">
        <v>24</v>
      </c>
      <c r="T430" s="436">
        <f>IF(N430=1,O430*S430,"")</f>
        <v/>
      </c>
      <c r="U430" s="436" t="n">
        <v>1</v>
      </c>
      <c r="V430" s="438">
        <f>IF(AND(N430=1,U430=1),C430,"")</f>
        <v/>
      </c>
      <c r="W430" s="387" t="n"/>
      <c r="X430" s="387" t="n"/>
      <c r="Y430" s="387" t="n"/>
    </row>
    <row r="431" hidden="1" ht="16.05" customFormat="1" customHeight="1" s="126">
      <c r="A431" s="125" t="n">
        <v>585</v>
      </c>
      <c r="B431" s="125" t="inlineStr">
        <is>
          <t>WF</t>
        </is>
      </c>
      <c r="C431" s="130" t="inlineStr">
        <is>
          <t>Москва</t>
        </is>
      </c>
      <c r="D431" s="130" t="inlineStr">
        <is>
          <t>Красногорск</t>
        </is>
      </c>
      <c r="E431" s="130" t="inlineStr">
        <is>
          <t>М9</t>
        </is>
      </c>
      <c r="F431" s="130" t="inlineStr">
        <is>
          <t>Супермаркет</t>
        </is>
      </c>
      <c r="G431" s="130" t="inlineStr">
        <is>
          <t>Азбука Вкуса</t>
        </is>
      </c>
      <c r="H431" s="131" t="inlineStr">
        <is>
          <t>АВКР35</t>
        </is>
      </c>
      <c r="I431" s="637" t="n">
        <v>44</v>
      </c>
      <c r="J431" s="637" t="inlineStr">
        <is>
          <t>MSK_A_044</t>
        </is>
      </c>
      <c r="K431" s="640" t="n">
        <v>2</v>
      </c>
      <c r="L431" s="640" t="n">
        <v>1</v>
      </c>
      <c r="M431" s="623" t="inlineStr">
        <is>
          <t>Samsung 43" вертикальный</t>
        </is>
      </c>
      <c r="N431" s="640" t="n"/>
      <c r="O431" s="640">
        <f>IF(AND(N431=1,L431=1),K431,"")</f>
        <v/>
      </c>
      <c r="P431" s="642" t="inlineStr">
        <is>
          <t>Московская область, г.Красногорск, Ленина, д.35а</t>
        </is>
      </c>
      <c r="Q431" s="640" t="inlineStr">
        <is>
          <t>55.829501</t>
        </is>
      </c>
      <c r="R431" s="494" t="inlineStr">
        <is>
          <t>37.308142</t>
        </is>
      </c>
      <c r="S431" s="528" t="n">
        <v>24</v>
      </c>
      <c r="T431" s="436">
        <f>IF(N431=1,O431*S431,"")</f>
        <v/>
      </c>
      <c r="U431" s="436" t="n">
        <v>1</v>
      </c>
      <c r="V431" s="438">
        <f>IF(AND(N431=1,U431=1),C431,"")</f>
        <v/>
      </c>
      <c r="W431" s="387" t="n"/>
      <c r="X431" s="387" t="n"/>
      <c r="Y431" s="387" t="n"/>
    </row>
    <row r="432" hidden="1" ht="16.05" customFormat="1" customHeight="1" s="126">
      <c r="A432" s="125" t="n">
        <v>587</v>
      </c>
      <c r="B432" s="125" t="inlineStr">
        <is>
          <t>WF</t>
        </is>
      </c>
      <c r="C432" s="130" t="inlineStr">
        <is>
          <t>Москва</t>
        </is>
      </c>
      <c r="D432" s="130" t="inlineStr">
        <is>
          <t>Москва</t>
        </is>
      </c>
      <c r="E432" s="130" t="inlineStr">
        <is>
          <t>СЗАО</t>
        </is>
      </c>
      <c r="F432" s="130" t="inlineStr">
        <is>
          <t>Супермаркет</t>
        </is>
      </c>
      <c r="G432" s="130" t="inlineStr">
        <is>
          <t>Азбука Вкуса</t>
        </is>
      </c>
      <c r="H432" s="131" t="inlineStr">
        <is>
          <t>АВПЖ</t>
        </is>
      </c>
      <c r="I432" s="637" t="n">
        <v>45</v>
      </c>
      <c r="J432" s="637" t="inlineStr">
        <is>
          <t>MSK_A_045</t>
        </is>
      </c>
      <c r="K432" s="640" t="n">
        <v>4</v>
      </c>
      <c r="L432" s="640" t="n">
        <v>1</v>
      </c>
      <c r="M432" s="623" t="inlineStr">
        <is>
          <t>Samsung 43" вертикальный</t>
        </is>
      </c>
      <c r="N432" s="640" t="n"/>
      <c r="O432" s="640">
        <f>IF(AND(N432=1,L432=1),K432,"")</f>
        <v/>
      </c>
      <c r="P432" s="642" t="inlineStr">
        <is>
          <t>Москва, проспект Маршала Жукова, д.41 корп 1</t>
        </is>
      </c>
      <c r="Q432" s="640" t="inlineStr">
        <is>
          <t>55.775459</t>
        </is>
      </c>
      <c r="R432" s="494" t="inlineStr">
        <is>
          <t>37.469844</t>
        </is>
      </c>
      <c r="S432" s="528" t="n">
        <v>24</v>
      </c>
      <c r="T432" s="436">
        <f>IF(N432=1,O432*S432,"")</f>
        <v/>
      </c>
      <c r="U432" s="436" t="n">
        <v>1</v>
      </c>
      <c r="V432" s="438">
        <f>IF(AND(N432=1,U432=1),C432,"")</f>
        <v/>
      </c>
      <c r="W432" s="387" t="n"/>
      <c r="X432" s="387" t="n"/>
      <c r="Y432" s="387" t="n"/>
    </row>
    <row r="433" hidden="1" ht="16.05" customFormat="1" customHeight="1" s="126">
      <c r="A433" s="125" t="n">
        <v>591</v>
      </c>
      <c r="B433" s="125" t="inlineStr">
        <is>
          <t>WF</t>
        </is>
      </c>
      <c r="C433" s="130" t="inlineStr">
        <is>
          <t>Москва</t>
        </is>
      </c>
      <c r="D433" s="130" t="inlineStr">
        <is>
          <t>Москва</t>
        </is>
      </c>
      <c r="E433" s="130" t="inlineStr">
        <is>
          <t>СЗАО</t>
        </is>
      </c>
      <c r="F433" s="130" t="inlineStr">
        <is>
          <t>Супермаркет</t>
        </is>
      </c>
      <c r="G433" s="130" t="inlineStr">
        <is>
          <t>Азбука Вкуса</t>
        </is>
      </c>
      <c r="H433" s="131" t="inlineStr">
        <is>
          <t>АВП14</t>
        </is>
      </c>
      <c r="I433" s="637" t="n">
        <v>46</v>
      </c>
      <c r="J433" s="637" t="inlineStr">
        <is>
          <t>MSK_A_046</t>
        </is>
      </c>
      <c r="K433" s="640" t="n">
        <v>1</v>
      </c>
      <c r="L433" s="640" t="n">
        <v>1</v>
      </c>
      <c r="M433" s="623" t="inlineStr">
        <is>
          <t>Samsung 43" вертикальный</t>
        </is>
      </c>
      <c r="N433" s="640" t="n"/>
      <c r="O433" s="640">
        <f>IF(AND(N433=1,L433=1),K433,"")</f>
        <v/>
      </c>
      <c r="P433" s="642" t="inlineStr">
        <is>
          <t>Московская область, Пятницкое ш., д.14</t>
        </is>
      </c>
      <c r="Q433" s="640" t="inlineStr">
        <is>
          <t>55.841673</t>
        </is>
      </c>
      <c r="R433" s="494" t="inlineStr">
        <is>
          <t>37.3857</t>
        </is>
      </c>
      <c r="S433" s="528" t="n">
        <v>24</v>
      </c>
      <c r="T433" s="436">
        <f>IF(N433=1,O433*S433,"")</f>
        <v/>
      </c>
      <c r="U433" s="436" t="n">
        <v>1</v>
      </c>
      <c r="V433" s="438">
        <f>IF(AND(N433=1,U433=1),C433,"")</f>
        <v/>
      </c>
      <c r="W433" s="387" t="n"/>
      <c r="X433" s="387" t="n"/>
      <c r="Y433" s="387" t="n"/>
    </row>
    <row r="434" hidden="1" ht="16.05" customFormat="1" customHeight="1" s="126">
      <c r="A434" s="125" t="n">
        <v>593</v>
      </c>
      <c r="B434" s="125" t="inlineStr">
        <is>
          <t>WF</t>
        </is>
      </c>
      <c r="C434" s="130" t="inlineStr">
        <is>
          <t>Москва</t>
        </is>
      </c>
      <c r="D434" s="130" t="inlineStr">
        <is>
          <t>Московская область</t>
        </is>
      </c>
      <c r="E434" s="130" t="inlineStr">
        <is>
          <t>СЗАО</t>
        </is>
      </c>
      <c r="F434" s="130" t="inlineStr">
        <is>
          <t>Супермаркет</t>
        </is>
      </c>
      <c r="G434" s="130" t="inlineStr">
        <is>
          <t>Азбука Вкуса</t>
        </is>
      </c>
      <c r="H434" s="131" t="inlineStr">
        <is>
          <t>АВМ300</t>
        </is>
      </c>
      <c r="I434" s="637" t="n">
        <v>47</v>
      </c>
      <c r="J434" s="637" t="inlineStr">
        <is>
          <t>MSK_A_047</t>
        </is>
      </c>
      <c r="K434" s="640" t="n">
        <v>2</v>
      </c>
      <c r="L434" s="640" t="n">
        <v>1</v>
      </c>
      <c r="M434" s="623" t="inlineStr">
        <is>
          <t>Samsung 43" вертикальный</t>
        </is>
      </c>
      <c r="N434" s="640" t="n"/>
      <c r="O434" s="640">
        <f>IF(AND(N434=1,L434=1),K434,"")</f>
        <v/>
      </c>
      <c r="P434" s="642" t="inlineStr">
        <is>
          <t>Московская область, Пятницкое шоссе, 8 км от МКАД, Марьино-Знаменское</t>
        </is>
      </c>
      <c r="Q434" s="640" t="inlineStr">
        <is>
          <t>55.890507</t>
        </is>
      </c>
      <c r="R434" s="494" t="inlineStr">
        <is>
          <t>37.30076</t>
        </is>
      </c>
      <c r="S434" s="528" t="n">
        <v>24</v>
      </c>
      <c r="T434" s="436">
        <f>IF(N434=1,O434*S434,"")</f>
        <v/>
      </c>
      <c r="U434" s="436" t="n">
        <v>1</v>
      </c>
      <c r="V434" s="438">
        <f>IF(AND(N434=1,U434=1),C434,"")</f>
        <v/>
      </c>
      <c r="W434" s="387" t="n"/>
      <c r="X434" s="387" t="n"/>
      <c r="Y434" s="387" t="n"/>
    </row>
    <row r="435" hidden="1" ht="16.05" customFormat="1" customHeight="1" s="126">
      <c r="A435" s="125" t="n">
        <v>595</v>
      </c>
      <c r="B435" s="125" t="inlineStr">
        <is>
          <t>WF</t>
        </is>
      </c>
      <c r="C435" s="130" t="inlineStr">
        <is>
          <t>Москва</t>
        </is>
      </c>
      <c r="D435" s="130" t="inlineStr">
        <is>
          <t>Москва</t>
        </is>
      </c>
      <c r="E435" s="130" t="inlineStr">
        <is>
          <t>ЗАО</t>
        </is>
      </c>
      <c r="F435" s="130" t="inlineStr">
        <is>
          <t>Супермаркет</t>
        </is>
      </c>
      <c r="G435" s="130" t="inlineStr">
        <is>
          <t>Азбука Вкуса</t>
        </is>
      </c>
      <c r="H435" s="131" t="inlineStr">
        <is>
          <t>АВРШ42</t>
        </is>
      </c>
      <c r="I435" s="637" t="n">
        <v>48</v>
      </c>
      <c r="J435" s="637" t="inlineStr">
        <is>
          <t>MSK_A_048</t>
        </is>
      </c>
      <c r="K435" s="640" t="n">
        <v>2</v>
      </c>
      <c r="L435" s="640" t="n">
        <v>1</v>
      </c>
      <c r="M435" s="623" t="inlineStr">
        <is>
          <t>Samsung 43" вертикальный</t>
        </is>
      </c>
      <c r="N435" s="640" t="n"/>
      <c r="O435" s="640">
        <f>IF(AND(N435=1,L435=1),K435,"")</f>
        <v/>
      </c>
      <c r="P435" s="642" t="inlineStr">
        <is>
          <t>Москва, Рублевское шоссе, д. 42 к.1, ТЦ ZAR</t>
        </is>
      </c>
      <c r="Q435" s="640" t="inlineStr">
        <is>
          <t>55.750764</t>
        </is>
      </c>
      <c r="R435" s="494" t="inlineStr">
        <is>
          <t>37.412503</t>
        </is>
      </c>
      <c r="S435" s="528" t="n">
        <v>24</v>
      </c>
      <c r="T435" s="436">
        <f>IF(N435=1,O435*S435,"")</f>
        <v/>
      </c>
      <c r="U435" s="436" t="n">
        <v>1</v>
      </c>
      <c r="V435" s="438">
        <f>IF(AND(N435=1,U435=1),C435,"")</f>
        <v/>
      </c>
      <c r="W435" s="387" t="n"/>
      <c r="X435" s="387" t="n"/>
      <c r="Y435" s="387" t="n"/>
    </row>
    <row r="436" hidden="1" ht="16.05" customFormat="1" customHeight="1" s="126">
      <c r="A436" s="125" t="n">
        <v>597</v>
      </c>
      <c r="B436" s="125" t="inlineStr">
        <is>
          <t>WF</t>
        </is>
      </c>
      <c r="C436" s="130" t="inlineStr">
        <is>
          <t>Москва</t>
        </is>
      </c>
      <c r="D436" s="130" t="inlineStr">
        <is>
          <t>Московская область</t>
        </is>
      </c>
      <c r="E436" s="130" t="inlineStr">
        <is>
          <t>А106</t>
        </is>
      </c>
      <c r="F436" s="130" t="inlineStr">
        <is>
          <t>Супермаркет</t>
        </is>
      </c>
      <c r="G436" s="130" t="inlineStr">
        <is>
          <t>Азбука Вкуса</t>
        </is>
      </c>
      <c r="H436" s="131" t="inlineStr">
        <is>
          <t>АВЖУ01</t>
        </is>
      </c>
      <c r="I436" s="637" t="n">
        <v>49</v>
      </c>
      <c r="J436" s="637" t="inlineStr">
        <is>
          <t>MSK_A_049</t>
        </is>
      </c>
      <c r="K436" s="640" t="n">
        <v>3</v>
      </c>
      <c r="L436" s="640" t="n">
        <v>1</v>
      </c>
      <c r="M436" s="623" t="inlineStr">
        <is>
          <t>Samsung 43" вертикальный</t>
        </is>
      </c>
      <c r="N436" s="640" t="n"/>
      <c r="O436" s="640">
        <f>IF(AND(N436=1,L436=1),K436,"")</f>
        <v/>
      </c>
      <c r="P436" s="642" t="inlineStr">
        <is>
          <t>Московская область, Жуковка, Рублево-Успенское шоссе, 201, ТЦ «Жуковка Плаза»</t>
        </is>
      </c>
      <c r="Q436" s="640" t="inlineStr">
        <is>
          <t>55.737475</t>
        </is>
      </c>
      <c r="R436" s="494" t="inlineStr">
        <is>
          <t>37.247118</t>
        </is>
      </c>
      <c r="S436" s="528" t="n">
        <v>24</v>
      </c>
      <c r="T436" s="436">
        <f>IF(N436=1,O436*S436,"")</f>
        <v/>
      </c>
      <c r="U436" s="436" t="n">
        <v>1</v>
      </c>
      <c r="V436" s="438">
        <f>IF(AND(N436=1,U436=1),C436,"")</f>
        <v/>
      </c>
      <c r="W436" s="387" t="n"/>
      <c r="X436" s="387" t="n"/>
      <c r="Y436" s="387" t="n"/>
    </row>
    <row r="437" hidden="1" ht="16.05" customFormat="1" customHeight="1" s="126">
      <c r="A437" s="125" t="n">
        <v>600</v>
      </c>
      <c r="B437" s="125" t="inlineStr">
        <is>
          <t>WF</t>
        </is>
      </c>
      <c r="C437" s="130" t="inlineStr">
        <is>
          <t>Москва</t>
        </is>
      </c>
      <c r="D437" s="130" t="inlineStr">
        <is>
          <t>Москва</t>
        </is>
      </c>
      <c r="E437" s="130" t="inlineStr">
        <is>
          <t>СЗАО</t>
        </is>
      </c>
      <c r="F437" s="130" t="inlineStr">
        <is>
          <t>Супермаркет</t>
        </is>
      </c>
      <c r="G437" s="130" t="inlineStr">
        <is>
          <t>Азбука Вкуса</t>
        </is>
      </c>
      <c r="H437" s="131" t="inlineStr">
        <is>
          <t>АВИС33</t>
        </is>
      </c>
      <c r="I437" s="637" t="n">
        <v>50</v>
      </c>
      <c r="J437" s="637" t="inlineStr">
        <is>
          <t>MSK_A_050</t>
        </is>
      </c>
      <c r="K437" s="640" t="n">
        <v>2</v>
      </c>
      <c r="L437" s="640" t="n">
        <v>1</v>
      </c>
      <c r="M437" s="623" t="inlineStr">
        <is>
          <t>Samsung 43" вертикальный</t>
        </is>
      </c>
      <c r="N437" s="640" t="n"/>
      <c r="O437" s="640">
        <f>IF(AND(N437=1,L437=1),K437,"")</f>
        <v/>
      </c>
      <c r="P437" s="642" t="inlineStr">
        <is>
          <t>Москва, Исаковского, д. 33 ТЦ IBIZA</t>
        </is>
      </c>
      <c r="Q437" s="640" t="inlineStr">
        <is>
          <t>55.804976</t>
        </is>
      </c>
      <c r="R437" s="494" t="inlineStr">
        <is>
          <t>37.419336</t>
        </is>
      </c>
      <c r="S437" s="528" t="n">
        <v>15</v>
      </c>
      <c r="T437" s="436">
        <f>IF(N437=1,O437*S437,"")</f>
        <v/>
      </c>
      <c r="U437" s="436" t="n">
        <v>1</v>
      </c>
      <c r="V437" s="438">
        <f>IF(AND(N437=1,U437=1),C437,"")</f>
        <v/>
      </c>
      <c r="W437" s="387" t="n"/>
      <c r="X437" s="387" t="n"/>
      <c r="Y437" s="387" t="n"/>
    </row>
    <row r="438" hidden="1" ht="16.05" customFormat="1" customHeight="1" s="126">
      <c r="A438" s="125" t="n">
        <v>602</v>
      </c>
      <c r="B438" s="125" t="inlineStr">
        <is>
          <t>WF</t>
        </is>
      </c>
      <c r="C438" s="130" t="inlineStr">
        <is>
          <t>Москва</t>
        </is>
      </c>
      <c r="D438" s="130" t="inlineStr">
        <is>
          <t>Москва</t>
        </is>
      </c>
      <c r="E438" s="130" t="inlineStr">
        <is>
          <t>САО</t>
        </is>
      </c>
      <c r="F438" s="130" t="inlineStr">
        <is>
          <t>Супермаркет</t>
        </is>
      </c>
      <c r="G438" s="130" t="inlineStr">
        <is>
          <t>Азбука Вкуса</t>
        </is>
      </c>
      <c r="H438" s="131" t="inlineStr">
        <is>
          <t>АВЛШ46</t>
        </is>
      </c>
      <c r="I438" s="637" t="n">
        <v>51</v>
      </c>
      <c r="J438" s="637" t="inlineStr">
        <is>
          <t>MSK_A_051</t>
        </is>
      </c>
      <c r="K438" s="640" t="n">
        <v>2</v>
      </c>
      <c r="L438" s="640" t="n">
        <v>1</v>
      </c>
      <c r="M438" s="623" t="inlineStr">
        <is>
          <t>Samsung 43" вертикальный</t>
        </is>
      </c>
      <c r="N438" s="640" t="n"/>
      <c r="O438" s="640">
        <f>IF(AND(N438=1,L438=1),K438,"")</f>
        <v/>
      </c>
      <c r="P438" s="642" t="inlineStr">
        <is>
          <t>Москва, Ленинградское шоссе, д.46</t>
        </is>
      </c>
      <c r="Q438" s="640" t="inlineStr">
        <is>
          <t>55.833547</t>
        </is>
      </c>
      <c r="R438" s="494" t="inlineStr">
        <is>
          <t>37.486604</t>
        </is>
      </c>
      <c r="S438" s="528" t="n">
        <v>24</v>
      </c>
      <c r="T438" s="436">
        <f>IF(N438=1,O438*S438,"")</f>
        <v/>
      </c>
      <c r="U438" s="436" t="n">
        <v>1</v>
      </c>
      <c r="V438" s="438">
        <f>IF(AND(N438=1,U438=1),C438,"")</f>
        <v/>
      </c>
      <c r="W438" s="387" t="n"/>
      <c r="X438" s="387" t="n"/>
      <c r="Y438" s="387" t="n"/>
    </row>
    <row r="439" hidden="1" ht="16.05" customFormat="1" customHeight="1" s="126">
      <c r="A439" s="125" t="n">
        <v>604</v>
      </c>
      <c r="B439" s="125" t="inlineStr">
        <is>
          <t>WF</t>
        </is>
      </c>
      <c r="C439" s="130" t="inlineStr">
        <is>
          <t>Москва</t>
        </is>
      </c>
      <c r="D439" s="130" t="inlineStr">
        <is>
          <t>Химки</t>
        </is>
      </c>
      <c r="E439" s="130" t="inlineStr">
        <is>
          <t>М10</t>
        </is>
      </c>
      <c r="F439" s="130" t="inlineStr">
        <is>
          <t>Супермаркет</t>
        </is>
      </c>
      <c r="G439" s="130" t="inlineStr">
        <is>
          <t>Азбука Вкуса</t>
        </is>
      </c>
      <c r="H439" s="131" t="inlineStr">
        <is>
          <t>АВХЛ16</t>
        </is>
      </c>
      <c r="I439" s="637" t="n">
        <v>52</v>
      </c>
      <c r="J439" s="637" t="inlineStr">
        <is>
          <t>MSK_A_052</t>
        </is>
      </c>
      <c r="K439" s="640" t="n">
        <v>2</v>
      </c>
      <c r="L439" s="640" t="n">
        <v>1</v>
      </c>
      <c r="M439" s="623" t="inlineStr">
        <is>
          <t>Samsung 43" вертикальный</t>
        </is>
      </c>
      <c r="N439" s="640" t="n"/>
      <c r="O439" s="640">
        <f>IF(AND(N439=1,L439=1),K439,"")</f>
        <v/>
      </c>
      <c r="P439" s="642" t="inlineStr">
        <is>
          <t>Московская область, г.Химки, Ленинградская, д.16б</t>
        </is>
      </c>
      <c r="Q439" s="640" t="inlineStr">
        <is>
          <t>55.888081</t>
        </is>
      </c>
      <c r="R439" s="494" t="inlineStr">
        <is>
          <t>37.438498</t>
        </is>
      </c>
      <c r="S439" s="528" t="n">
        <v>24</v>
      </c>
      <c r="T439" s="436">
        <f>IF(N439=1,O439*S439,"")</f>
        <v/>
      </c>
      <c r="U439" s="436" t="n">
        <v>1</v>
      </c>
      <c r="V439" s="438">
        <f>IF(AND(N439=1,U439=1),C439,"")</f>
        <v/>
      </c>
      <c r="W439" s="387" t="n"/>
      <c r="X439" s="387" t="n"/>
      <c r="Y439" s="387" t="n"/>
    </row>
    <row r="440" hidden="1" ht="16.05" customFormat="1" customHeight="1" s="126">
      <c r="A440" s="125" t="n">
        <v>606</v>
      </c>
      <c r="B440" s="125" t="inlineStr">
        <is>
          <t>WF</t>
        </is>
      </c>
      <c r="C440" s="130" t="inlineStr">
        <is>
          <t>Москва</t>
        </is>
      </c>
      <c r="D440" s="130" t="inlineStr">
        <is>
          <t>Москва</t>
        </is>
      </c>
      <c r="E440" s="130" t="inlineStr">
        <is>
          <t>САО</t>
        </is>
      </c>
      <c r="F440" s="130" t="inlineStr">
        <is>
          <t>Супермаркет</t>
        </is>
      </c>
      <c r="G440" s="130" t="inlineStr">
        <is>
          <t>Азбука Вкуса</t>
        </is>
      </c>
      <c r="H440" s="131" t="inlineStr">
        <is>
          <t>АВДШ08</t>
        </is>
      </c>
      <c r="I440" s="637" t="n">
        <v>53</v>
      </c>
      <c r="J440" s="637" t="inlineStr">
        <is>
          <t>MSK_A_053</t>
        </is>
      </c>
      <c r="K440" s="640" t="n">
        <v>2</v>
      </c>
      <c r="L440" s="640" t="n">
        <v>1</v>
      </c>
      <c r="M440" s="623" t="inlineStr">
        <is>
          <t>Samsung 43" вертикальный</t>
        </is>
      </c>
      <c r="N440" s="640" t="n"/>
      <c r="O440" s="640">
        <f>IF(AND(N440=1,L440=1),K440,"")</f>
        <v/>
      </c>
      <c r="P440" s="642" t="inlineStr">
        <is>
          <t>Москва, Дмитровское шоссе, д.108 Б, стр.1</t>
        </is>
      </c>
      <c r="Q440" s="640" t="inlineStr">
        <is>
          <t>55.886527</t>
        </is>
      </c>
      <c r="R440" s="494" t="inlineStr">
        <is>
          <t>37.543712</t>
        </is>
      </c>
      <c r="S440" s="528" t="n">
        <v>24</v>
      </c>
      <c r="T440" s="436">
        <f>IF(N440=1,O440*S440,"")</f>
        <v/>
      </c>
      <c r="U440" s="436" t="n">
        <v>1</v>
      </c>
      <c r="V440" s="438">
        <f>IF(AND(N440=1,U440=1),C440,"")</f>
        <v/>
      </c>
      <c r="W440" s="387" t="n"/>
      <c r="X440" s="387" t="n"/>
      <c r="Y440" s="387" t="n"/>
    </row>
    <row r="441" hidden="1" ht="16.05" customFormat="1" customHeight="1" s="126">
      <c r="A441" s="125" t="n">
        <v>608</v>
      </c>
      <c r="B441" s="125" t="inlineStr">
        <is>
          <t>WF</t>
        </is>
      </c>
      <c r="C441" s="130" t="inlineStr">
        <is>
          <t>Москва</t>
        </is>
      </c>
      <c r="D441" s="130" t="inlineStr">
        <is>
          <t>Московская область</t>
        </is>
      </c>
      <c r="E441" s="130" t="inlineStr">
        <is>
          <t>А104</t>
        </is>
      </c>
      <c r="F441" s="130" t="inlineStr">
        <is>
          <t>Супермаркет</t>
        </is>
      </c>
      <c r="G441" s="130" t="inlineStr">
        <is>
          <t>Азбука Вкуса</t>
        </is>
      </c>
      <c r="H441" s="131" t="inlineStr">
        <is>
          <t>АВДШ02</t>
        </is>
      </c>
      <c r="I441" s="637" t="n">
        <v>54</v>
      </c>
      <c r="J441" s="637" t="inlineStr">
        <is>
          <t>MSK_A_054</t>
        </is>
      </c>
      <c r="K441" s="640" t="n">
        <v>3</v>
      </c>
      <c r="L441" s="640" t="n">
        <v>1</v>
      </c>
      <c r="M441" s="623" t="inlineStr">
        <is>
          <t>Samsung 43" вертикальный</t>
        </is>
      </c>
      <c r="N441" s="640" t="n"/>
      <c r="O441" s="640">
        <f>IF(AND(N441=1,L441=1),K441,"")</f>
        <v/>
      </c>
      <c r="P441" s="642" t="inlineStr">
        <is>
          <t>Московская область, д.Шолохово, Дмитровское ш, вл. 2Б, стр.1, Дмитровское шоссе, 17-й км, ТЦ «Каштановая роща»</t>
        </is>
      </c>
      <c r="Q441" s="640" t="inlineStr">
        <is>
          <t>56.056213</t>
        </is>
      </c>
      <c r="R441" s="494" t="inlineStr">
        <is>
          <t>37.530973</t>
        </is>
      </c>
      <c r="S441" s="528" t="n">
        <v>24</v>
      </c>
      <c r="T441" s="436">
        <f>IF(N441=1,O441*S441,"")</f>
        <v/>
      </c>
      <c r="U441" s="436" t="n">
        <v>1</v>
      </c>
      <c r="V441" s="438">
        <f>IF(AND(N441=1,U441=1),C441,"")</f>
        <v/>
      </c>
      <c r="W441" s="387" t="n"/>
      <c r="X441" s="387" t="n"/>
      <c r="Y441" s="387" t="n"/>
    </row>
    <row r="442" hidden="1" ht="16.05" customFormat="1" customHeight="1" s="126">
      <c r="A442" s="125" t="n">
        <v>611</v>
      </c>
      <c r="B442" s="125" t="inlineStr">
        <is>
          <t>WF</t>
        </is>
      </c>
      <c r="C442" s="130" t="inlineStr">
        <is>
          <t>Москва</t>
        </is>
      </c>
      <c r="D442" s="130" t="inlineStr">
        <is>
          <t>Мытищи</t>
        </is>
      </c>
      <c r="E442" s="130" t="inlineStr">
        <is>
          <t>М8</t>
        </is>
      </c>
      <c r="F442" s="130" t="inlineStr">
        <is>
          <t>Супермаркет</t>
        </is>
      </c>
      <c r="G442" s="130" t="inlineStr">
        <is>
          <t>Азбука Вкуса</t>
        </is>
      </c>
      <c r="H442" s="131" t="inlineStr">
        <is>
          <t>АВЯР01</t>
        </is>
      </c>
      <c r="I442" s="637" t="n">
        <v>55</v>
      </c>
      <c r="J442" s="637" t="inlineStr">
        <is>
          <t>MSK_A_055</t>
        </is>
      </c>
      <c r="K442" s="640" t="n">
        <v>3</v>
      </c>
      <c r="L442" s="640" t="n">
        <v>1</v>
      </c>
      <c r="M442" s="623" t="inlineStr">
        <is>
          <t>Samsung 43" вертикальный</t>
        </is>
      </c>
      <c r="N442" s="640" t="n"/>
      <c r="O442" s="640">
        <f>IF(AND(N442=1,L442=1),K442,"")</f>
        <v/>
      </c>
      <c r="P442" s="642" t="inlineStr">
        <is>
          <t>Московская область, г Мытищи, ул Коммунистическая, д.10, к.1</t>
        </is>
      </c>
      <c r="Q442" s="640" t="inlineStr">
        <is>
          <t>55.891768</t>
        </is>
      </c>
      <c r="R442" s="494" t="inlineStr">
        <is>
          <t>37.744954</t>
        </is>
      </c>
      <c r="S442" s="528" t="n">
        <v>24</v>
      </c>
      <c r="T442" s="436">
        <f>IF(N442=1,O442*S442,"")</f>
        <v/>
      </c>
      <c r="U442" s="436" t="n">
        <v>1</v>
      </c>
      <c r="V442" s="438">
        <f>IF(AND(N442=1,U442=1),C442,"")</f>
        <v/>
      </c>
      <c r="W442" s="387" t="n"/>
      <c r="X442" s="387" t="n"/>
      <c r="Y442" s="387" t="n"/>
    </row>
    <row r="443" hidden="1" ht="16.05" customFormat="1" customHeight="1" s="126">
      <c r="A443" s="125" t="n">
        <v>614</v>
      </c>
      <c r="B443" s="125" t="inlineStr">
        <is>
          <t>WF</t>
        </is>
      </c>
      <c r="C443" s="130" t="inlineStr">
        <is>
          <t>Москва</t>
        </is>
      </c>
      <c r="D443" s="130" t="inlineStr">
        <is>
          <t>Московская область</t>
        </is>
      </c>
      <c r="E443" s="130" t="inlineStr">
        <is>
          <t>М8</t>
        </is>
      </c>
      <c r="F443" s="130" t="inlineStr">
        <is>
          <t>Супермаркет</t>
        </is>
      </c>
      <c r="G443" s="130" t="inlineStr">
        <is>
          <t>Азбука Вкуса</t>
        </is>
      </c>
      <c r="H443" s="131" t="inlineStr">
        <is>
          <t>АВОШ59</t>
        </is>
      </c>
      <c r="I443" s="637" t="n">
        <v>56</v>
      </c>
      <c r="J443" s="637" t="inlineStr">
        <is>
          <t>MSK_A_056</t>
        </is>
      </c>
      <c r="K443" s="640" t="n">
        <v>3</v>
      </c>
      <c r="L443" s="640" t="n">
        <v>1</v>
      </c>
      <c r="M443" s="623" t="inlineStr">
        <is>
          <t>Samsung 43" вертикальный</t>
        </is>
      </c>
      <c r="N443" s="640" t="n"/>
      <c r="O443" s="640">
        <f>IF(AND(N443=1,L443=1),K443,"")</f>
        <v/>
      </c>
      <c r="P443" s="642" t="inlineStr">
        <is>
          <t>Московская область, д. Бородино, Осташковское шоссе, д.59</t>
        </is>
      </c>
      <c r="Q443" s="640" t="inlineStr">
        <is>
          <t>55.921476</t>
        </is>
      </c>
      <c r="R443" s="494" t="inlineStr">
        <is>
          <t>37.664986</t>
        </is>
      </c>
      <c r="S443" s="528" t="n">
        <v>24</v>
      </c>
      <c r="T443" s="436">
        <f>IF(N443=1,O443*S443,"")</f>
        <v/>
      </c>
      <c r="U443" s="436" t="n">
        <v>1</v>
      </c>
      <c r="V443" s="438">
        <f>IF(AND(N443=1,U443=1),C443,"")</f>
        <v/>
      </c>
      <c r="W443" s="387" t="n"/>
      <c r="X443" s="387" t="n"/>
      <c r="Y443" s="387" t="n"/>
    </row>
    <row r="444" hidden="1" ht="16.05" customFormat="1" customHeight="1" s="126">
      <c r="A444" s="125" t="n">
        <v>617</v>
      </c>
      <c r="B444" s="125" t="inlineStr">
        <is>
          <t>WF</t>
        </is>
      </c>
      <c r="C444" s="130" t="inlineStr">
        <is>
          <t>Москва</t>
        </is>
      </c>
      <c r="D444" s="130" t="inlineStr">
        <is>
          <t>Королев</t>
        </is>
      </c>
      <c r="E444" s="130" t="inlineStr">
        <is>
          <t>М8</t>
        </is>
      </c>
      <c r="F444" s="130" t="inlineStr">
        <is>
          <t>Супермаркет</t>
        </is>
      </c>
      <c r="G444" s="130" t="inlineStr">
        <is>
          <t>Азбука Вкуса</t>
        </is>
      </c>
      <c r="H444" s="131" t="inlineStr">
        <is>
          <t>АВКО04</t>
        </is>
      </c>
      <c r="I444" s="637" t="n">
        <v>57</v>
      </c>
      <c r="J444" s="637" t="inlineStr">
        <is>
          <t>MSK_A_057</t>
        </is>
      </c>
      <c r="K444" s="640" t="n">
        <v>2</v>
      </c>
      <c r="L444" s="640" t="n">
        <v>1</v>
      </c>
      <c r="M444" s="623" t="inlineStr">
        <is>
          <t>Samsung 43" вертикальный</t>
        </is>
      </c>
      <c r="N444" s="640" t="n"/>
      <c r="O444" s="640">
        <f>IF(AND(N444=1,L444=1),K444,"")</f>
        <v/>
      </c>
      <c r="P444" s="642" t="inlineStr">
        <is>
          <t>Московская область, г.Королев, пр-т Космонавтов, д.4в</t>
        </is>
      </c>
      <c r="Q444" s="640" t="inlineStr">
        <is>
          <t>55.920541</t>
        </is>
      </c>
      <c r="R444" s="494" t="inlineStr">
        <is>
          <t>37.867837</t>
        </is>
      </c>
      <c r="S444" s="528" t="n">
        <v>24</v>
      </c>
      <c r="T444" s="436">
        <f>IF(N444=1,O444*S444,"")</f>
        <v/>
      </c>
      <c r="U444" s="436" t="n">
        <v>1</v>
      </c>
      <c r="V444" s="438">
        <f>IF(AND(N444=1,U444=1),C444,"")</f>
        <v/>
      </c>
      <c r="W444" s="387" t="n"/>
      <c r="X444" s="387" t="n"/>
      <c r="Y444" s="387" t="n"/>
    </row>
    <row r="445" hidden="1" ht="16.05" customFormat="1" customHeight="1" s="126">
      <c r="A445" s="125" t="n">
        <v>619</v>
      </c>
      <c r="B445" s="125" t="inlineStr">
        <is>
          <t>WF</t>
        </is>
      </c>
      <c r="C445" s="130" t="inlineStr">
        <is>
          <t>Москва</t>
        </is>
      </c>
      <c r="D445" s="130" t="inlineStr">
        <is>
          <t>Москва</t>
        </is>
      </c>
      <c r="E445" s="130" t="inlineStr">
        <is>
          <t>М10</t>
        </is>
      </c>
      <c r="F445" s="130" t="inlineStr">
        <is>
          <t>Супермаркет</t>
        </is>
      </c>
      <c r="G445" s="130" t="inlineStr">
        <is>
          <t>Азбука Вкуса</t>
        </is>
      </c>
      <c r="H445" s="131" t="inlineStr">
        <is>
          <t>АВЗ514</t>
        </is>
      </c>
      <c r="I445" s="637" t="n">
        <v>58</v>
      </c>
      <c r="J445" s="637" t="inlineStr">
        <is>
          <t>MSK_A_058</t>
        </is>
      </c>
      <c r="K445" s="640" t="n">
        <v>2</v>
      </c>
      <c r="L445" s="640" t="n">
        <v>1</v>
      </c>
      <c r="M445" s="623" t="inlineStr">
        <is>
          <t>Samsung 43" вертикальный</t>
        </is>
      </c>
      <c r="N445" s="640" t="n"/>
      <c r="O445" s="640">
        <f>IF(AND(N445=1,L445=1),K445,"")</f>
        <v/>
      </c>
      <c r="P445" s="642" t="inlineStr">
        <is>
          <t>Московская область, Зеленоград,Московский пр-т,корп.514, стр.1</t>
        </is>
      </c>
      <c r="Q445" s="640" t="inlineStr">
        <is>
          <t>55.9975</t>
        </is>
      </c>
      <c r="R445" s="494" t="inlineStr">
        <is>
          <t>37.236372</t>
        </is>
      </c>
      <c r="S445" s="528" t="n">
        <v>24</v>
      </c>
      <c r="T445" s="436">
        <f>IF(N445=1,O445*S445,"")</f>
        <v/>
      </c>
      <c r="U445" s="436" t="n">
        <v>1</v>
      </c>
      <c r="V445" s="438">
        <f>IF(AND(N445=1,U445=1),C445,"")</f>
        <v/>
      </c>
      <c r="W445" s="387" t="n"/>
      <c r="X445" s="387" t="n"/>
      <c r="Y445" s="387" t="n"/>
    </row>
    <row r="446" hidden="1" ht="16.05" customFormat="1" customHeight="1" s="126">
      <c r="A446" s="125" t="n">
        <v>621</v>
      </c>
      <c r="B446" s="125" t="inlineStr">
        <is>
          <t>WF</t>
        </is>
      </c>
      <c r="C446" s="130" t="inlineStr">
        <is>
          <t>Москва</t>
        </is>
      </c>
      <c r="D446" s="130" t="inlineStr">
        <is>
          <t>Москва</t>
        </is>
      </c>
      <c r="E446" s="130" t="inlineStr">
        <is>
          <t>СЗАО</t>
        </is>
      </c>
      <c r="F446" s="130" t="inlineStr">
        <is>
          <t>Супермаркет</t>
        </is>
      </c>
      <c r="G446" s="130" t="inlineStr">
        <is>
          <t>Азбука Вкуса</t>
        </is>
      </c>
      <c r="H446" s="131" t="inlineStr">
        <is>
          <t>АВСВ42</t>
        </is>
      </c>
      <c r="I446" s="637" t="n">
        <v>59</v>
      </c>
      <c r="J446" s="637" t="inlineStr">
        <is>
          <t>MSK_A_059</t>
        </is>
      </c>
      <c r="K446" s="640" t="n">
        <v>1</v>
      </c>
      <c r="L446" s="640" t="n">
        <v>1</v>
      </c>
      <c r="M446" s="623" t="inlineStr">
        <is>
          <t>Samsung 43" вертикальный</t>
        </is>
      </c>
      <c r="N446" s="640" t="n"/>
      <c r="O446" s="640">
        <f>IF(AND(N446=1,L446=1),K446,"")</f>
        <v/>
      </c>
      <c r="P446" s="642" t="inlineStr">
        <is>
          <t>Москва, Свободы , д.42</t>
        </is>
      </c>
      <c r="Q446" s="640" t="inlineStr">
        <is>
          <t>55.845218</t>
        </is>
      </c>
      <c r="R446" s="494" t="inlineStr">
        <is>
          <t>37.455389</t>
        </is>
      </c>
      <c r="S446" s="528" t="n">
        <v>24</v>
      </c>
      <c r="T446" s="436">
        <f>IF(N446=1,O446*S446,"")</f>
        <v/>
      </c>
      <c r="U446" s="436" t="n">
        <v>1</v>
      </c>
      <c r="V446" s="438">
        <f>IF(AND(N446=1,U446=1),C446,"")</f>
        <v/>
      </c>
      <c r="W446" s="387" t="n"/>
      <c r="X446" s="387" t="n"/>
      <c r="Y446" s="387" t="n"/>
    </row>
    <row r="447" hidden="1" ht="16.05" customFormat="1" customHeight="1" s="126">
      <c r="A447" s="125" t="n">
        <v>623</v>
      </c>
      <c r="B447" s="125" t="inlineStr">
        <is>
          <t>WF</t>
        </is>
      </c>
      <c r="C447" s="130" t="inlineStr">
        <is>
          <t>Москва</t>
        </is>
      </c>
      <c r="D447" s="130" t="inlineStr">
        <is>
          <t>Химки</t>
        </is>
      </c>
      <c r="E447" s="130" t="inlineStr">
        <is>
          <t>М10</t>
        </is>
      </c>
      <c r="F447" s="130" t="inlineStr">
        <is>
          <t>Супермаркет</t>
        </is>
      </c>
      <c r="G447" s="130" t="inlineStr">
        <is>
          <t>Азбука Вкуса</t>
        </is>
      </c>
      <c r="H447" s="131" t="inlineStr">
        <is>
          <t>АВХМ06</t>
        </is>
      </c>
      <c r="I447" s="637" t="n">
        <v>60</v>
      </c>
      <c r="J447" s="637" t="inlineStr">
        <is>
          <t>MSK_A_060</t>
        </is>
      </c>
      <c r="K447" s="640" t="n">
        <v>2</v>
      </c>
      <c r="L447" s="640" t="n">
        <v>1</v>
      </c>
      <c r="M447" s="623" t="inlineStr">
        <is>
          <t>Samsung 43" вертикальный</t>
        </is>
      </c>
      <c r="N447" s="640" t="n"/>
      <c r="O447" s="640">
        <f>IF(AND(N447=1,L447=1),K447,"")</f>
        <v/>
      </c>
      <c r="P447" s="642" t="inlineStr">
        <is>
          <t>Московская область, г. Химки, Молодежная, д.6</t>
        </is>
      </c>
      <c r="Q447" s="640" t="inlineStr">
        <is>
          <t>55.881265</t>
        </is>
      </c>
      <c r="R447" s="494" t="inlineStr">
        <is>
          <t>37.419119</t>
        </is>
      </c>
      <c r="S447" s="528" t="n">
        <v>24</v>
      </c>
      <c r="T447" s="436">
        <f>IF(N447=1,O447*S447,"")</f>
        <v/>
      </c>
      <c r="U447" s="436" t="n">
        <v>1</v>
      </c>
      <c r="V447" s="438">
        <f>IF(AND(N447=1,U447=1),C447,"")</f>
        <v/>
      </c>
      <c r="W447" s="387" t="n"/>
      <c r="X447" s="387" t="n"/>
      <c r="Y447" s="387" t="n"/>
    </row>
    <row r="448" hidden="1" ht="16.05" customFormat="1" customHeight="1" s="126">
      <c r="A448" s="125" t="n">
        <v>625</v>
      </c>
      <c r="B448" s="125" t="inlineStr">
        <is>
          <t>WF</t>
        </is>
      </c>
      <c r="C448" s="130" t="inlineStr">
        <is>
          <t>Москва</t>
        </is>
      </c>
      <c r="D448" s="130" t="inlineStr">
        <is>
          <t>Москва</t>
        </is>
      </c>
      <c r="E448" s="130" t="inlineStr">
        <is>
          <t>ВАО</t>
        </is>
      </c>
      <c r="F448" s="130" t="inlineStr">
        <is>
          <t>Супермаркет</t>
        </is>
      </c>
      <c r="G448" s="130" t="inlineStr">
        <is>
          <t>Азбука Вкуса</t>
        </is>
      </c>
      <c r="H448" s="131" t="inlineStr">
        <is>
          <t>АВРУ22</t>
        </is>
      </c>
      <c r="I448" s="637" t="n">
        <v>61</v>
      </c>
      <c r="J448" s="637" t="inlineStr">
        <is>
          <t>MSK_A_061</t>
        </is>
      </c>
      <c r="K448" s="640" t="n">
        <v>4</v>
      </c>
      <c r="L448" s="640" t="n">
        <v>1</v>
      </c>
      <c r="M448" s="623" t="inlineStr">
        <is>
          <t>Samsung 43" вертикальный</t>
        </is>
      </c>
      <c r="N448" s="640" t="n"/>
      <c r="O448" s="640">
        <f>IF(AND(N448=1,L448=1),K448,"")</f>
        <v/>
      </c>
      <c r="P448" s="642" t="inlineStr">
        <is>
          <t>Москва, Русаковская , д.22</t>
        </is>
      </c>
      <c r="Q448" s="640" t="inlineStr">
        <is>
          <t>55.786378</t>
        </is>
      </c>
      <c r="R448" s="494" t="inlineStr">
        <is>
          <t>37.678609</t>
        </is>
      </c>
      <c r="S448" s="528" t="n">
        <v>24</v>
      </c>
      <c r="T448" s="436">
        <f>IF(N448=1,O448*S448,"")</f>
        <v/>
      </c>
      <c r="U448" s="436" t="n">
        <v>1</v>
      </c>
      <c r="V448" s="438">
        <f>IF(AND(N448=1,U448=1),C448,"")</f>
        <v/>
      </c>
      <c r="W448" s="387" t="n"/>
      <c r="X448" s="387" t="n"/>
      <c r="Y448" s="387" t="n"/>
    </row>
    <row r="449" hidden="1" ht="16.05" customFormat="1" customHeight="1" s="126">
      <c r="A449" s="125" t="n">
        <v>629</v>
      </c>
      <c r="B449" s="125" t="inlineStr">
        <is>
          <t>WF</t>
        </is>
      </c>
      <c r="C449" s="130" t="inlineStr">
        <is>
          <t>Москва</t>
        </is>
      </c>
      <c r="D449" s="130" t="inlineStr">
        <is>
          <t>Москва</t>
        </is>
      </c>
      <c r="E449" s="130" t="inlineStr">
        <is>
          <t>ЦАО</t>
        </is>
      </c>
      <c r="F449" s="130" t="inlineStr">
        <is>
          <t>Супермаркет</t>
        </is>
      </c>
      <c r="G449" s="130" t="inlineStr">
        <is>
          <t>Азбука Вкуса</t>
        </is>
      </c>
      <c r="H449" s="131" t="inlineStr">
        <is>
          <t>АВСЧ</t>
        </is>
      </c>
      <c r="I449" s="637" t="n">
        <v>62</v>
      </c>
      <c r="J449" s="637" t="inlineStr">
        <is>
          <t>MSK_A_062</t>
        </is>
      </c>
      <c r="K449" s="640" t="n">
        <v>2</v>
      </c>
      <c r="L449" s="640" t="n">
        <v>1</v>
      </c>
      <c r="M449" s="623" t="inlineStr">
        <is>
          <t>Samsung 43" вертикальный</t>
        </is>
      </c>
      <c r="N449" s="640" t="n"/>
      <c r="O449" s="640">
        <f>IF(AND(N449=1,L449=1),K449,"")</f>
        <v/>
      </c>
      <c r="P449" s="642" t="inlineStr">
        <is>
          <t>Москва, Садовая-Черногрязская , д.13/3, стр1</t>
        </is>
      </c>
      <c r="Q449" s="640" t="inlineStr">
        <is>
          <t>55.7647</t>
        </is>
      </c>
      <c r="R449" s="494" t="inlineStr">
        <is>
          <t>37.656123</t>
        </is>
      </c>
      <c r="S449" s="528" t="n">
        <v>24</v>
      </c>
      <c r="T449" s="436">
        <f>IF(N449=1,O449*S449,"")</f>
        <v/>
      </c>
      <c r="U449" s="436" t="n">
        <v>1</v>
      </c>
      <c r="V449" s="438">
        <f>IF(AND(N449=1,U449=1),C449,"")</f>
        <v/>
      </c>
      <c r="W449" s="387" t="n"/>
      <c r="X449" s="387" t="n"/>
      <c r="Y449" s="387" t="n"/>
    </row>
    <row r="450" hidden="1" ht="16.05" customFormat="1" customHeight="1" s="126">
      <c r="A450" s="125" t="n">
        <v>631</v>
      </c>
      <c r="B450" s="125" t="inlineStr">
        <is>
          <t>WF</t>
        </is>
      </c>
      <c r="C450" s="130" t="inlineStr">
        <is>
          <t>Москва</t>
        </is>
      </c>
      <c r="D450" s="130" t="inlineStr">
        <is>
          <t>Москва</t>
        </is>
      </c>
      <c r="E450" s="130" t="inlineStr">
        <is>
          <t>ЦАО</t>
        </is>
      </c>
      <c r="F450" s="130" t="inlineStr">
        <is>
          <t>Супермаркет</t>
        </is>
      </c>
      <c r="G450" s="130" t="inlineStr">
        <is>
          <t>Азбука Вкуса</t>
        </is>
      </c>
      <c r="H450" s="131" t="inlineStr">
        <is>
          <t>АВСБ</t>
        </is>
      </c>
      <c r="I450" s="637" t="n">
        <v>63</v>
      </c>
      <c r="J450" s="637" t="inlineStr">
        <is>
          <t>MSK_A_063</t>
        </is>
      </c>
      <c r="K450" s="640" t="n">
        <v>2</v>
      </c>
      <c r="L450" s="640" t="n">
        <v>1</v>
      </c>
      <c r="M450" s="623" t="inlineStr">
        <is>
          <t>Samsung 43" вертикальный</t>
        </is>
      </c>
      <c r="N450" s="640" t="n"/>
      <c r="O450" s="640">
        <f>IF(AND(N450=1,L450=1),K450,"")</f>
        <v/>
      </c>
      <c r="P450" s="642" t="inlineStr">
        <is>
          <t>Москва, Старая Басманная , д. 28/2</t>
        </is>
      </c>
      <c r="Q450" s="640" t="inlineStr">
        <is>
          <t>55.768127</t>
        </is>
      </c>
      <c r="R450" s="494" t="inlineStr">
        <is>
          <t>37.667656</t>
        </is>
      </c>
      <c r="S450" s="528" t="n">
        <v>24</v>
      </c>
      <c r="T450" s="436">
        <f>IF(N450=1,O450*S450,"")</f>
        <v/>
      </c>
      <c r="U450" s="436" t="n">
        <v>1</v>
      </c>
      <c r="V450" s="438">
        <f>IF(AND(N450=1,U450=1),C450,"")</f>
        <v/>
      </c>
      <c r="W450" s="387" t="n"/>
      <c r="X450" s="387" t="n"/>
      <c r="Y450" s="387" t="n"/>
    </row>
    <row r="451" hidden="1" ht="16.05" customFormat="1" customHeight="1" s="126">
      <c r="A451" s="125" t="n">
        <v>633</v>
      </c>
      <c r="B451" s="125" t="inlineStr">
        <is>
          <t>WF</t>
        </is>
      </c>
      <c r="C451" s="130" t="inlineStr">
        <is>
          <t>Москва</t>
        </is>
      </c>
      <c r="D451" s="130" t="inlineStr">
        <is>
          <t>Москва</t>
        </is>
      </c>
      <c r="E451" s="130" t="inlineStr">
        <is>
          <t>ЦАО</t>
        </is>
      </c>
      <c r="F451" s="130" t="inlineStr">
        <is>
          <t>Супермаркет</t>
        </is>
      </c>
      <c r="G451" s="130" t="inlineStr">
        <is>
          <t>Азбука Вкуса</t>
        </is>
      </c>
      <c r="H451" s="131" t="inlineStr">
        <is>
          <t>АВТВ</t>
        </is>
      </c>
      <c r="I451" s="637" t="n">
        <v>64</v>
      </c>
      <c r="J451" s="637" t="inlineStr">
        <is>
          <t>MSK_A_064</t>
        </is>
      </c>
      <c r="K451" s="640" t="n">
        <v>2</v>
      </c>
      <c r="L451" s="640" t="n">
        <v>1</v>
      </c>
      <c r="M451" s="623" t="inlineStr">
        <is>
          <t>Samsung 43" вертикальный</t>
        </is>
      </c>
      <c r="N451" s="640" t="n"/>
      <c r="O451" s="640">
        <f>IF(AND(N451=1,L451=1),K451,"")</f>
        <v/>
      </c>
      <c r="P451" s="642" t="inlineStr">
        <is>
          <t>Москва, 2-я Тверская-Ямская , д.54</t>
        </is>
      </c>
      <c r="Q451" s="640" t="inlineStr">
        <is>
          <t>55.775344</t>
        </is>
      </c>
      <c r="R451" s="494" t="inlineStr">
        <is>
          <t>37.588967</t>
        </is>
      </c>
      <c r="S451" s="528" t="n">
        <v>24</v>
      </c>
      <c r="T451" s="436">
        <f>IF(N451=1,O451*S451,"")</f>
        <v/>
      </c>
      <c r="U451" s="436" t="n">
        <v>1</v>
      </c>
      <c r="V451" s="438">
        <f>IF(AND(N451=1,U451=1),C451,"")</f>
        <v/>
      </c>
      <c r="W451" s="387" t="n"/>
      <c r="X451" s="387" t="n"/>
      <c r="Y451" s="387" t="n"/>
    </row>
    <row r="452" hidden="1" ht="16.05" customFormat="1" customHeight="1" s="126">
      <c r="A452" s="125" t="n">
        <v>635</v>
      </c>
      <c r="B452" s="125" t="inlineStr">
        <is>
          <t>WF</t>
        </is>
      </c>
      <c r="C452" s="130" t="inlineStr">
        <is>
          <t>Москва</t>
        </is>
      </c>
      <c r="D452" s="130" t="inlineStr">
        <is>
          <t>Москва</t>
        </is>
      </c>
      <c r="E452" s="130" t="inlineStr">
        <is>
          <t>ЦАО</t>
        </is>
      </c>
      <c r="F452" s="130" t="inlineStr">
        <is>
          <t>Супермаркет</t>
        </is>
      </c>
      <c r="G452" s="130" t="inlineStr">
        <is>
          <t>Азбука Вкуса</t>
        </is>
      </c>
      <c r="H452" s="131" t="inlineStr">
        <is>
          <t>АВБГ</t>
        </is>
      </c>
      <c r="I452" s="637" t="n">
        <v>65</v>
      </c>
      <c r="J452" s="637" t="inlineStr">
        <is>
          <t>MSK_A_065</t>
        </is>
      </c>
      <c r="K452" s="640" t="n">
        <v>2</v>
      </c>
      <c r="L452" s="640" t="n">
        <v>1</v>
      </c>
      <c r="M452" s="623" t="inlineStr">
        <is>
          <t>Samsung 43" вертикальный</t>
        </is>
      </c>
      <c r="N452" s="640" t="n"/>
      <c r="O452" s="640">
        <f>IF(AND(N452=1,L452=1),K452,"")</f>
        <v/>
      </c>
      <c r="P452" s="642" t="inlineStr">
        <is>
          <t>Москва, Большая Грузинская , д.42</t>
        </is>
      </c>
      <c r="Q452" s="640" t="inlineStr">
        <is>
          <t>55.768767</t>
        </is>
      </c>
      <c r="R452" s="494" t="inlineStr">
        <is>
          <t>37.581002</t>
        </is>
      </c>
      <c r="S452" s="528" t="n">
        <v>24</v>
      </c>
      <c r="T452" s="436">
        <f>IF(N452=1,O452*S452,"")</f>
        <v/>
      </c>
      <c r="U452" s="436" t="n">
        <v>1</v>
      </c>
      <c r="V452" s="438">
        <f>IF(AND(N452=1,U452=1),C452,"")</f>
        <v/>
      </c>
      <c r="W452" s="387" t="n"/>
      <c r="X452" s="387" t="n"/>
      <c r="Y452" s="387" t="n"/>
    </row>
    <row r="453" hidden="1" ht="16.05" customFormat="1" customHeight="1" s="126">
      <c r="A453" s="125" t="n">
        <v>638</v>
      </c>
      <c r="B453" s="125" t="inlineStr">
        <is>
          <t>WF</t>
        </is>
      </c>
      <c r="C453" s="130" t="inlineStr">
        <is>
          <t>Москва</t>
        </is>
      </c>
      <c r="D453" s="130" t="inlineStr">
        <is>
          <t>Москва</t>
        </is>
      </c>
      <c r="E453" s="130" t="inlineStr">
        <is>
          <t>ЦАО</t>
        </is>
      </c>
      <c r="F453" s="130" t="inlineStr">
        <is>
          <t>Супермаркет</t>
        </is>
      </c>
      <c r="G453" s="130" t="inlineStr">
        <is>
          <t>Азбука Вкуса</t>
        </is>
      </c>
      <c r="H453" s="131" t="inlineStr">
        <is>
          <t>АВЧА14</t>
        </is>
      </c>
      <c r="I453" s="637" t="n">
        <v>66</v>
      </c>
      <c r="J453" s="637" t="inlineStr">
        <is>
          <t>MSK_A_066</t>
        </is>
      </c>
      <c r="K453" s="640" t="n">
        <v>2</v>
      </c>
      <c r="L453" s="640" t="n">
        <v>1</v>
      </c>
      <c r="M453" s="623" t="inlineStr">
        <is>
          <t>Samsung 43" вертикальный</t>
        </is>
      </c>
      <c r="N453" s="640" t="n"/>
      <c r="O453" s="640">
        <f>IF(AND(N453=1,L453=1),K453,"")</f>
        <v/>
      </c>
      <c r="P453" s="642" t="inlineStr">
        <is>
          <t>Москва, Чаянова , д.14/10, стр.2</t>
        </is>
      </c>
      <c r="Q453" s="640" t="inlineStr">
        <is>
          <t>55.77624</t>
        </is>
      </c>
      <c r="R453" s="494" t="inlineStr">
        <is>
          <t>37.596339</t>
        </is>
      </c>
      <c r="S453" s="528" t="n">
        <v>24</v>
      </c>
      <c r="T453" s="436">
        <f>IF(N453=1,O453*S453,"")</f>
        <v/>
      </c>
      <c r="U453" s="436" t="n">
        <v>1</v>
      </c>
      <c r="V453" s="438">
        <f>IF(AND(N453=1,U453=1),C453,"")</f>
        <v/>
      </c>
      <c r="W453" s="387" t="n"/>
      <c r="X453" s="387" t="n"/>
      <c r="Y453" s="387" t="n"/>
    </row>
    <row r="454" hidden="1" ht="16.05" customFormat="1" customHeight="1" s="126">
      <c r="A454" s="125" t="n">
        <v>640</v>
      </c>
      <c r="B454" s="125" t="inlineStr">
        <is>
          <t>WF</t>
        </is>
      </c>
      <c r="C454" s="130" t="inlineStr">
        <is>
          <t>Москва</t>
        </is>
      </c>
      <c r="D454" s="130" t="inlineStr">
        <is>
          <t>Москва</t>
        </is>
      </c>
      <c r="E454" s="130" t="inlineStr">
        <is>
          <t>ЦАО</t>
        </is>
      </c>
      <c r="F454" s="130" t="inlineStr">
        <is>
          <t>Супермаркет</t>
        </is>
      </c>
      <c r="G454" s="130" t="inlineStr">
        <is>
          <t>Азбука Вкуса</t>
        </is>
      </c>
      <c r="H454" s="131" t="inlineStr">
        <is>
          <t>АВБА26</t>
        </is>
      </c>
      <c r="I454" s="637" t="n">
        <v>67</v>
      </c>
      <c r="J454" s="637" t="inlineStr">
        <is>
          <t>MSK_A_067</t>
        </is>
      </c>
      <c r="K454" s="640" t="n">
        <v>2</v>
      </c>
      <c r="L454" s="640" t="n">
        <v>1</v>
      </c>
      <c r="M454" s="623" t="inlineStr">
        <is>
          <t>Samsung 43" вертикальный</t>
        </is>
      </c>
      <c r="N454" s="640" t="n"/>
      <c r="O454" s="640">
        <f>IF(AND(N454=1,L454=1),K454,"")</f>
        <v/>
      </c>
      <c r="P454" s="642" t="inlineStr">
        <is>
          <t>Москва, ул Бакунинская, д.26_30, стр.1</t>
        </is>
      </c>
      <c r="Q454" s="640" t="inlineStr">
        <is>
          <t>55.775008</t>
        </is>
      </c>
      <c r="R454" s="494" t="inlineStr">
        <is>
          <t>37.684915</t>
        </is>
      </c>
      <c r="S454" s="528" t="n">
        <v>24</v>
      </c>
      <c r="T454" s="436">
        <f>IF(N454=1,O454*S454,"")</f>
        <v/>
      </c>
      <c r="U454" s="436" t="n">
        <v>1</v>
      </c>
      <c r="V454" s="438">
        <f>IF(AND(N454=1,U454=1),C454,"")</f>
        <v/>
      </c>
      <c r="W454" s="387" t="n"/>
      <c r="X454" s="387" t="n"/>
      <c r="Y454" s="387" t="n"/>
    </row>
    <row r="455" hidden="1" ht="16.05" customFormat="1" customHeight="1" s="126">
      <c r="A455" s="125" t="n">
        <v>642</v>
      </c>
      <c r="B455" s="125" t="inlineStr">
        <is>
          <t>WF</t>
        </is>
      </c>
      <c r="C455" s="130" t="inlineStr">
        <is>
          <t>Москва</t>
        </is>
      </c>
      <c r="D455" s="130" t="inlineStr">
        <is>
          <t>Московская область</t>
        </is>
      </c>
      <c r="E455" s="130" t="inlineStr">
        <is>
          <t>А130</t>
        </is>
      </c>
      <c r="F455" s="130" t="inlineStr">
        <is>
          <t>Супермаркет</t>
        </is>
      </c>
      <c r="G455" s="130" t="inlineStr">
        <is>
          <t>Азбука Вкуса</t>
        </is>
      </c>
      <c r="H455" s="131" t="inlineStr">
        <is>
          <t>АВМА03</t>
        </is>
      </c>
      <c r="I455" s="637" t="n">
        <v>68</v>
      </c>
      <c r="J455" s="637" t="inlineStr">
        <is>
          <t>MSK_A_068</t>
        </is>
      </c>
      <c r="K455" s="640" t="n">
        <v>2</v>
      </c>
      <c r="L455" s="640" t="n">
        <v>1</v>
      </c>
      <c r="M455" s="623" t="inlineStr">
        <is>
          <t>Samsung 43" вертикальный</t>
        </is>
      </c>
      <c r="N455" s="640" t="n"/>
      <c r="O455" s="640">
        <f>IF(AND(N455=1,L455=1),K455,"")</f>
        <v/>
      </c>
      <c r="P455" s="642" t="inlineStr">
        <is>
          <t>Московская область, д.Мамыри, д.3/1, Калужское шоссе, 1-й км, ТЦ «Славянский град»</t>
        </is>
      </c>
      <c r="Q455" s="640" t="inlineStr">
        <is>
          <t>55.601624</t>
        </is>
      </c>
      <c r="R455" s="494" t="inlineStr">
        <is>
          <t>37.482867</t>
        </is>
      </c>
      <c r="S455" s="528" t="n">
        <v>24</v>
      </c>
      <c r="T455" s="436">
        <f>IF(N455=1,O455*S455,"")</f>
        <v/>
      </c>
      <c r="U455" s="436" t="n">
        <v>1</v>
      </c>
      <c r="V455" s="438">
        <f>IF(AND(N455=1,U455=1),C455,"")</f>
        <v/>
      </c>
      <c r="W455" s="387" t="n"/>
      <c r="X455" s="387" t="n"/>
      <c r="Y455" s="387" t="n"/>
    </row>
    <row r="456" hidden="1" ht="16.05" customFormat="1" customHeight="1" s="126">
      <c r="A456" s="125" t="n">
        <v>644</v>
      </c>
      <c r="B456" s="125" t="inlineStr">
        <is>
          <t>WF</t>
        </is>
      </c>
      <c r="C456" s="130" t="inlineStr">
        <is>
          <t>Москва</t>
        </is>
      </c>
      <c r="D456" s="130" t="inlineStr">
        <is>
          <t>Одинцово</t>
        </is>
      </c>
      <c r="E456" s="130" t="inlineStr">
        <is>
          <t>М1</t>
        </is>
      </c>
      <c r="F456" s="130" t="inlineStr">
        <is>
          <t>Супермаркет</t>
        </is>
      </c>
      <c r="G456" s="130" t="inlineStr">
        <is>
          <t>Азбука Вкуса</t>
        </is>
      </c>
      <c r="H456" s="131" t="inlineStr">
        <is>
          <t>АВМШ33</t>
        </is>
      </c>
      <c r="I456" s="637" t="n">
        <v>69</v>
      </c>
      <c r="J456" s="637" t="inlineStr">
        <is>
          <t>MSK_A_069</t>
        </is>
      </c>
      <c r="K456" s="640" t="n">
        <v>2</v>
      </c>
      <c r="L456" s="640" t="n">
        <v>0</v>
      </c>
      <c r="M456" s="640" t="inlineStr">
        <is>
          <t>Samsung 43" вертикальный</t>
        </is>
      </c>
      <c r="N456" s="640" t="n"/>
      <c r="O456" s="640">
        <f>IF(AND(N456=1,L456=1),K456,"")</f>
        <v/>
      </c>
      <c r="P456" s="642" t="inlineStr">
        <is>
          <t>Московская область, г. Одинцово, Можайское ш, д.133А</t>
        </is>
      </c>
      <c r="Q456" s="640" t="inlineStr">
        <is>
          <t>55.684397</t>
        </is>
      </c>
      <c r="R456" s="422" t="inlineStr">
        <is>
          <t>37.295892</t>
        </is>
      </c>
      <c r="S456" s="528" t="n">
        <v>15</v>
      </c>
      <c r="T456" s="436">
        <f>IF(N456=1,O456*S456,"")</f>
        <v/>
      </c>
      <c r="U456" s="436" t="n">
        <v>1</v>
      </c>
      <c r="V456" s="438">
        <f>IF(AND(N456=1,U456=1),C456,"")</f>
        <v/>
      </c>
      <c r="W456" s="387" t="n"/>
      <c r="X456" s="387" t="n"/>
      <c r="Y456" s="387" t="n"/>
    </row>
    <row r="457" hidden="1" ht="16.05" customFormat="1" customHeight="1" s="126">
      <c r="A457" s="125" t="n">
        <v>646</v>
      </c>
      <c r="B457" s="125" t="inlineStr">
        <is>
          <t>WF</t>
        </is>
      </c>
      <c r="C457" s="130" t="inlineStr">
        <is>
          <t>Москва</t>
        </is>
      </c>
      <c r="D457" s="130" t="inlineStr">
        <is>
          <t>Московская область</t>
        </is>
      </c>
      <c r="E457" s="130" t="inlineStr">
        <is>
          <t>М1</t>
        </is>
      </c>
      <c r="F457" s="130" t="inlineStr">
        <is>
          <t>Супермаркет</t>
        </is>
      </c>
      <c r="G457" s="130" t="inlineStr">
        <is>
          <t>Азбука Вкуса</t>
        </is>
      </c>
      <c r="H457" s="131" t="inlineStr">
        <is>
          <t>АВНИ13</t>
        </is>
      </c>
      <c r="I457" s="637" t="n">
        <v>70</v>
      </c>
      <c r="J457" s="637" t="inlineStr">
        <is>
          <t>MSK_A_070</t>
        </is>
      </c>
      <c r="K457" s="640" t="n">
        <v>2</v>
      </c>
      <c r="L457" s="640" t="n">
        <v>1</v>
      </c>
      <c r="M457" s="623" t="inlineStr">
        <is>
          <t>Samsung 43" вертикальный</t>
        </is>
      </c>
      <c r="N457" s="640" t="n"/>
      <c r="O457" s="640">
        <f>IF(AND(N457=1,L457=1),K457,"")</f>
        <v/>
      </c>
      <c r="P457" s="642" t="inlineStr">
        <is>
          <t>Московская область, Одинцовский район, нгт Новоивановское, Западная , д. 11, Минское ш., ТЦ «Сквер»</t>
        </is>
      </c>
      <c r="Q457" s="640" t="inlineStr">
        <is>
          <t>55.708952</t>
        </is>
      </c>
      <c r="R457" s="494" t="inlineStr">
        <is>
          <t>37.361524</t>
        </is>
      </c>
      <c r="S457" s="528" t="n">
        <v>15</v>
      </c>
      <c r="T457" s="436">
        <f>IF(N457=1,O457*S457,"")</f>
        <v/>
      </c>
      <c r="U457" s="436" t="n">
        <v>1</v>
      </c>
      <c r="V457" s="438">
        <f>IF(AND(N457=1,U457=1),C457,"")</f>
        <v/>
      </c>
      <c r="W457" s="387" t="n"/>
      <c r="X457" s="387" t="n"/>
      <c r="Y457" s="387" t="n"/>
    </row>
    <row r="458" hidden="1" ht="16.05" customFormat="1" customHeight="1" s="126">
      <c r="A458" s="125" t="n">
        <v>648</v>
      </c>
      <c r="B458" s="125" t="inlineStr">
        <is>
          <t>WF</t>
        </is>
      </c>
      <c r="C458" s="130" t="inlineStr">
        <is>
          <t>Москва</t>
        </is>
      </c>
      <c r="D458" s="130" t="inlineStr">
        <is>
          <t>Московская область</t>
        </is>
      </c>
      <c r="E458" s="130" t="inlineStr">
        <is>
          <t>М3</t>
        </is>
      </c>
      <c r="F458" s="130" t="inlineStr">
        <is>
          <t>Супермаркет</t>
        </is>
      </c>
      <c r="G458" s="130" t="inlineStr">
        <is>
          <t>Азбука Вкуса</t>
        </is>
      </c>
      <c r="H458" s="131" t="inlineStr">
        <is>
          <t>АВЛА08</t>
        </is>
      </c>
      <c r="I458" s="637" t="n">
        <v>71</v>
      </c>
      <c r="J458" s="637" t="inlineStr">
        <is>
          <t>MSK_A_071</t>
        </is>
      </c>
      <c r="K458" s="640" t="n">
        <v>3</v>
      </c>
      <c r="L458" s="640" t="n">
        <v>1</v>
      </c>
      <c r="M458" s="623" t="inlineStr">
        <is>
          <t>Samsung 43" вертикальный</t>
        </is>
      </c>
      <c r="N458" s="640" t="n"/>
      <c r="O458" s="640">
        <f>IF(AND(N458=1,L458=1),K458,"")</f>
        <v/>
      </c>
      <c r="P458" s="642" t="inlineStr">
        <is>
          <t>Московская область, п.Московский, д.Лапшинка, вл.8к.1, Киевское шоссе, ТЦ Vnukovo Outlet Village</t>
        </is>
      </c>
      <c r="Q458" s="640" t="inlineStr">
        <is>
          <t>55.609052</t>
        </is>
      </c>
      <c r="R458" s="494" t="inlineStr">
        <is>
          <t>37.332451</t>
        </is>
      </c>
      <c r="S458" s="528" t="n">
        <v>24</v>
      </c>
      <c r="T458" s="436">
        <f>IF(N458=1,O458*S458,"")</f>
        <v/>
      </c>
      <c r="U458" s="436" t="n">
        <v>1</v>
      </c>
      <c r="V458" s="438">
        <f>IF(AND(N458=1,U458=1),C458,"")</f>
        <v/>
      </c>
      <c r="W458" s="387" t="n"/>
      <c r="X458" s="387" t="n"/>
      <c r="Y458" s="387" t="n"/>
    </row>
    <row r="459" hidden="1" ht="16.05" customFormat="1" customHeight="1" s="126">
      <c r="A459" s="125" t="n">
        <v>651</v>
      </c>
      <c r="B459" s="125" t="inlineStr">
        <is>
          <t>WF</t>
        </is>
      </c>
      <c r="C459" s="130" t="inlineStr">
        <is>
          <t>Москва</t>
        </is>
      </c>
      <c r="D459" s="130" t="inlineStr">
        <is>
          <t>Москва</t>
        </is>
      </c>
      <c r="E459" s="130" t="inlineStr">
        <is>
          <t>М5</t>
        </is>
      </c>
      <c r="F459" s="130" t="inlineStr">
        <is>
          <t>Супермаркет</t>
        </is>
      </c>
      <c r="G459" s="130" t="inlineStr">
        <is>
          <t>Азбука Вкуса</t>
        </is>
      </c>
      <c r="H459" s="131" t="inlineStr">
        <is>
          <t>АВЖБ16</t>
        </is>
      </c>
      <c r="I459" s="637" t="n">
        <v>72</v>
      </c>
      <c r="J459" s="637" t="inlineStr">
        <is>
          <t>MSK_A_072</t>
        </is>
      </c>
      <c r="K459" s="640" t="n">
        <v>3</v>
      </c>
      <c r="L459" s="640" t="n">
        <v>1</v>
      </c>
      <c r="M459" s="623" t="inlineStr">
        <is>
          <t>Samsung 43" вертикальный</t>
        </is>
      </c>
      <c r="N459" s="640" t="n"/>
      <c r="O459" s="640">
        <f>IF(AND(N459=1,L459=1),K459,"")</f>
        <v/>
      </c>
      <c r="P459" s="642" t="inlineStr">
        <is>
          <t>Москва, Жулебинский б-р, д.16</t>
        </is>
      </c>
      <c r="Q459" s="640" t="inlineStr">
        <is>
          <t>55.6966</t>
        </is>
      </c>
      <c r="R459" s="494" t="inlineStr">
        <is>
          <t>37.852879</t>
        </is>
      </c>
      <c r="S459" s="528" t="n">
        <v>24</v>
      </c>
      <c r="T459" s="436">
        <f>IF(N459=1,O459*S459,"")</f>
        <v/>
      </c>
      <c r="U459" s="436" t="n">
        <v>1</v>
      </c>
      <c r="V459" s="438">
        <f>IF(AND(N459=1,U459=1),C459,"")</f>
        <v/>
      </c>
      <c r="W459" s="387" t="n"/>
      <c r="X459" s="387" t="n"/>
      <c r="Y459" s="387" t="n"/>
    </row>
    <row r="460" hidden="1" ht="16.05" customHeight="1">
      <c r="A460" s="13" t="n">
        <v>654</v>
      </c>
      <c r="B460" s="13" t="inlineStr">
        <is>
          <t>v</t>
        </is>
      </c>
      <c r="C460" s="130" t="inlineStr">
        <is>
          <t>Москва</t>
        </is>
      </c>
      <c r="D460" s="130" t="inlineStr">
        <is>
          <t>Москва</t>
        </is>
      </c>
      <c r="E460" s="130" t="inlineStr">
        <is>
          <t>М5</t>
        </is>
      </c>
      <c r="F460" s="130" t="n"/>
      <c r="G460" s="130" t="inlineStr">
        <is>
          <t>Азбука Вкуса</t>
        </is>
      </c>
      <c r="H460" s="131" t="inlineStr">
        <is>
          <t>АВЛЕ02</t>
        </is>
      </c>
      <c r="I460" s="637" t="n">
        <v>73</v>
      </c>
      <c r="J460" s="402" t="n"/>
      <c r="K460" s="640" t="n">
        <v>2</v>
      </c>
      <c r="L460" s="640" t="n">
        <v>0</v>
      </c>
      <c r="M460" s="640" t="inlineStr">
        <is>
          <t>Sam 40</t>
        </is>
      </c>
      <c r="N460" s="640" t="n"/>
      <c r="O460" s="640">
        <f>IF(AND(N460=1,L460=1),K460,"")</f>
        <v/>
      </c>
      <c r="P460" s="642" t="inlineStr">
        <is>
          <t xml:space="preserve">Москва, Лермонтовский пр-т д 2 </t>
        </is>
      </c>
      <c r="Q460" s="640" t="n"/>
      <c r="R460" s="422" t="n"/>
      <c r="S460" s="528" t="n">
        <v>15</v>
      </c>
      <c r="T460" s="436">
        <f>S460*O460</f>
        <v/>
      </c>
      <c r="U460" s="436" t="n">
        <v>1</v>
      </c>
      <c r="V460" s="438">
        <f>IF(AND(N460=1,U460=1),C460,"")</f>
        <v/>
      </c>
      <c r="Z460" s="1" t="n"/>
    </row>
    <row r="461" hidden="1" ht="16.05" customFormat="1" customHeight="1" s="126">
      <c r="A461" s="125" t="n">
        <v>656</v>
      </c>
      <c r="B461" s="125" t="inlineStr">
        <is>
          <t>WF</t>
        </is>
      </c>
      <c r="C461" s="130" t="inlineStr">
        <is>
          <t>Москва</t>
        </is>
      </c>
      <c r="D461" s="130" t="inlineStr">
        <is>
          <t>Московская область</t>
        </is>
      </c>
      <c r="E461" s="130" t="inlineStr">
        <is>
          <t>М1</t>
        </is>
      </c>
      <c r="F461" s="130" t="inlineStr">
        <is>
          <t>Супермаркет</t>
        </is>
      </c>
      <c r="G461" s="130" t="inlineStr">
        <is>
          <t>Азбука Вкуса</t>
        </is>
      </c>
      <c r="H461" s="131" t="inlineStr">
        <is>
          <t>АВЗА02</t>
        </is>
      </c>
      <c r="I461" s="637" t="n">
        <v>74</v>
      </c>
      <c r="J461" s="637" t="inlineStr">
        <is>
          <t>MSK_A_074</t>
        </is>
      </c>
      <c r="K461" s="640" t="n">
        <v>2</v>
      </c>
      <c r="L461" s="640" t="n">
        <v>1</v>
      </c>
      <c r="M461" s="623" t="inlineStr">
        <is>
          <t>Samsung 43" вертикальный</t>
        </is>
      </c>
      <c r="N461" s="640" t="n"/>
      <c r="O461" s="640">
        <f>IF(AND(N461=1,L461=1),K461,"")</f>
        <v/>
      </c>
      <c r="P461" s="642" t="inlineStr">
        <is>
          <t>Московская область, Одинцовский район, поселок Заречье,  Заречная д. 2</t>
        </is>
      </c>
      <c r="Q461" s="640" t="inlineStr">
        <is>
          <t>55.688528</t>
        </is>
      </c>
      <c r="R461" s="494" t="inlineStr">
        <is>
          <t>37.394547</t>
        </is>
      </c>
      <c r="S461" s="528" t="n">
        <v>24</v>
      </c>
      <c r="T461" s="436">
        <f>IF(N461=1,O461*S461,"")</f>
        <v/>
      </c>
      <c r="U461" s="436" t="n">
        <v>1</v>
      </c>
      <c r="V461" s="438">
        <f>IF(AND(N461=1,U461=1),C461,"")</f>
        <v/>
      </c>
      <c r="W461" s="387" t="n"/>
      <c r="X461" s="387" t="n"/>
      <c r="Y461" s="387" t="n"/>
    </row>
    <row r="462" hidden="1" ht="16.05" customFormat="1" customHeight="1" s="126">
      <c r="A462" s="125" t="n">
        <v>658</v>
      </c>
      <c r="B462" s="125" t="inlineStr">
        <is>
          <t>WF</t>
        </is>
      </c>
      <c r="C462" s="130" t="inlineStr">
        <is>
          <t>Москва</t>
        </is>
      </c>
      <c r="D462" s="130" t="inlineStr">
        <is>
          <t>Москва</t>
        </is>
      </c>
      <c r="E462" s="130" t="inlineStr">
        <is>
          <t>ЦАО</t>
        </is>
      </c>
      <c r="F462" s="130" t="inlineStr">
        <is>
          <t>Супермаркет</t>
        </is>
      </c>
      <c r="G462" s="130" t="inlineStr">
        <is>
          <t>Азбука Вкуса</t>
        </is>
      </c>
      <c r="H462" s="131" t="n"/>
      <c r="I462" s="637" t="inlineStr">
        <is>
          <t>75_Daily</t>
        </is>
      </c>
      <c r="J462" s="637" t="inlineStr">
        <is>
          <t>MSK_D_075</t>
        </is>
      </c>
      <c r="K462" s="640" t="n">
        <v>2</v>
      </c>
      <c r="L462" s="640" t="n">
        <v>1</v>
      </c>
      <c r="M462" s="623" t="inlineStr">
        <is>
          <t>Samsung 43" вертикальный</t>
        </is>
      </c>
      <c r="N462" s="640" t="n"/>
      <c r="O462" s="640">
        <f>IF(AND(N462=1,L462=1),K462,"")</f>
        <v/>
      </c>
      <c r="P462" s="642" t="inlineStr">
        <is>
          <t>Москва, Бауманская д. 32, стр. 2</t>
        </is>
      </c>
      <c r="Q462" s="640" t="inlineStr">
        <is>
          <t>55.772451</t>
        </is>
      </c>
      <c r="R462" s="494" t="inlineStr">
        <is>
          <t>37.678367</t>
        </is>
      </c>
      <c r="S462" s="528" t="n">
        <v>18</v>
      </c>
      <c r="T462" s="436">
        <f>IF(N462=1,O462*S462,"")</f>
        <v/>
      </c>
      <c r="U462" s="436" t="n">
        <v>1</v>
      </c>
      <c r="V462" s="438">
        <f>IF(AND(N462=1,U462=1),C462,"")</f>
        <v/>
      </c>
      <c r="W462" s="387" t="n"/>
      <c r="X462" s="387" t="n"/>
      <c r="Y462" s="387" t="n"/>
    </row>
    <row r="463" hidden="1" ht="16.05" customFormat="1" customHeight="1" s="126">
      <c r="A463" s="125" t="n">
        <v>660</v>
      </c>
      <c r="B463" s="125" t="inlineStr">
        <is>
          <t>WF</t>
        </is>
      </c>
      <c r="C463" s="130" t="inlineStr">
        <is>
          <t>Москва</t>
        </is>
      </c>
      <c r="D463" s="130" t="inlineStr">
        <is>
          <t>Москва</t>
        </is>
      </c>
      <c r="E463" s="130" t="inlineStr">
        <is>
          <t>ЦАО</t>
        </is>
      </c>
      <c r="F463" s="130" t="inlineStr">
        <is>
          <t>Супермаркет</t>
        </is>
      </c>
      <c r="G463" s="130" t="inlineStr">
        <is>
          <t>Азбука Вкуса</t>
        </is>
      </c>
      <c r="H463" s="131" t="n"/>
      <c r="I463" s="637" t="inlineStr">
        <is>
          <t>76_Daily</t>
        </is>
      </c>
      <c r="J463" s="637" t="inlineStr">
        <is>
          <t>MSK_D_076</t>
        </is>
      </c>
      <c r="K463" s="640" t="n">
        <v>2</v>
      </c>
      <c r="L463" s="640" t="n">
        <v>1</v>
      </c>
      <c r="M463" s="623" t="inlineStr">
        <is>
          <t>Samsung 43" вертикальный</t>
        </is>
      </c>
      <c r="N463" s="640" t="n"/>
      <c r="O463" s="640">
        <f>IF(AND(N463=1,L463=1),K463,"")</f>
        <v/>
      </c>
      <c r="P463" s="642" t="inlineStr">
        <is>
          <t>Москва, Цветной бульвар д.25</t>
        </is>
      </c>
      <c r="Q463" s="640" t="inlineStr">
        <is>
          <t>55.772799</t>
        </is>
      </c>
      <c r="R463" s="494" t="inlineStr">
        <is>
          <t>37.620749</t>
        </is>
      </c>
      <c r="S463" s="528" t="n">
        <v>24</v>
      </c>
      <c r="T463" s="436">
        <f>IF(N463=1,O463*S463,"")</f>
        <v/>
      </c>
      <c r="U463" s="436" t="n">
        <v>1</v>
      </c>
      <c r="V463" s="438">
        <f>IF(AND(N463=1,U463=1),C463,"")</f>
        <v/>
      </c>
      <c r="W463" s="387" t="n"/>
      <c r="X463" s="387" t="n"/>
      <c r="Y463" s="387" t="n"/>
    </row>
    <row r="464" hidden="1" ht="16.05" customFormat="1" customHeight="1" s="126">
      <c r="A464" s="125" t="n">
        <v>662</v>
      </c>
      <c r="B464" s="125" t="inlineStr">
        <is>
          <t>WF</t>
        </is>
      </c>
      <c r="C464" s="130" t="inlineStr">
        <is>
          <t>Москва</t>
        </is>
      </c>
      <c r="D464" s="130" t="inlineStr">
        <is>
          <t>Москва</t>
        </is>
      </c>
      <c r="E464" s="130" t="inlineStr">
        <is>
          <t>ЦАО</t>
        </is>
      </c>
      <c r="F464" s="130" t="inlineStr">
        <is>
          <t>Супермаркет</t>
        </is>
      </c>
      <c r="G464" s="130" t="inlineStr">
        <is>
          <t>Азбука Вкуса</t>
        </is>
      </c>
      <c r="H464" s="131" t="n"/>
      <c r="I464" s="637" t="inlineStr">
        <is>
          <t>77_Daily</t>
        </is>
      </c>
      <c r="J464" s="637" t="inlineStr">
        <is>
          <t>MSK_D_077</t>
        </is>
      </c>
      <c r="K464" s="640" t="n">
        <v>2</v>
      </c>
      <c r="L464" s="640" t="n">
        <v>1</v>
      </c>
      <c r="M464" s="623" t="inlineStr">
        <is>
          <t>Samsung 43" вертикальный</t>
        </is>
      </c>
      <c r="N464" s="640" t="n"/>
      <c r="O464" s="640">
        <f>IF(AND(N464=1,L464=1),K464,"")</f>
        <v/>
      </c>
      <c r="P464" s="642" t="inlineStr">
        <is>
          <t>Москва, Проспект мира д.49</t>
        </is>
      </c>
      <c r="Q464" s="640" t="inlineStr">
        <is>
          <t>55.783481</t>
        </is>
      </c>
      <c r="R464" s="494" t="inlineStr">
        <is>
          <t>37.633869</t>
        </is>
      </c>
      <c r="S464" s="528" t="n">
        <v>24</v>
      </c>
      <c r="T464" s="436">
        <f>IF(N464=1,O464*S464,"")</f>
        <v/>
      </c>
      <c r="U464" s="436" t="n">
        <v>1</v>
      </c>
      <c r="V464" s="438">
        <f>IF(AND(N464=1,U464=1),C464,"")</f>
        <v/>
      </c>
      <c r="W464" s="387" t="n"/>
      <c r="X464" s="387" t="n"/>
      <c r="Y464" s="387" t="n"/>
    </row>
    <row r="465" hidden="1" ht="16.05" customFormat="1" customHeight="1" s="126">
      <c r="A465" s="125" t="n">
        <v>664</v>
      </c>
      <c r="B465" s="125" t="inlineStr">
        <is>
          <t>WF</t>
        </is>
      </c>
      <c r="C465" s="130" t="inlineStr">
        <is>
          <t>Москва</t>
        </is>
      </c>
      <c r="D465" s="130" t="inlineStr">
        <is>
          <t>Москва</t>
        </is>
      </c>
      <c r="E465" s="130" t="inlineStr">
        <is>
          <t>ЦАО</t>
        </is>
      </c>
      <c r="F465" s="130" t="inlineStr">
        <is>
          <t>Супермаркет</t>
        </is>
      </c>
      <c r="G465" s="130" t="inlineStr">
        <is>
          <t>Азбука Вкуса</t>
        </is>
      </c>
      <c r="H465" s="131" t="n"/>
      <c r="I465" s="637" t="inlineStr">
        <is>
          <t>78_Daily</t>
        </is>
      </c>
      <c r="J465" s="637" t="inlineStr">
        <is>
          <t>MSK_D_078</t>
        </is>
      </c>
      <c r="K465" s="640" t="n">
        <v>2</v>
      </c>
      <c r="L465" s="640" t="n">
        <v>1</v>
      </c>
      <c r="M465" s="623" t="inlineStr">
        <is>
          <t>Samsung 43" вертикальный</t>
        </is>
      </c>
      <c r="N465" s="640" t="n"/>
      <c r="O465" s="640">
        <f>IF(AND(N465=1,L465=1),K465,"")</f>
        <v/>
      </c>
      <c r="P465" s="642" t="inlineStr">
        <is>
          <t>Москва, Новокузнецкая д.1 стр.3</t>
        </is>
      </c>
      <c r="Q465" s="640" t="inlineStr">
        <is>
          <t>55.740652</t>
        </is>
      </c>
      <c r="R465" s="494" t="inlineStr">
        <is>
          <t>37.629934</t>
        </is>
      </c>
      <c r="S465" s="528" t="n">
        <v>24</v>
      </c>
      <c r="T465" s="436">
        <f>IF(N465=1,O465*S465,"")</f>
        <v/>
      </c>
      <c r="U465" s="436" t="n">
        <v>1</v>
      </c>
      <c r="V465" s="438">
        <f>IF(AND(N465=1,U465=1),C465,"")</f>
        <v/>
      </c>
      <c r="W465" s="387" t="n"/>
      <c r="X465" s="387" t="n"/>
      <c r="Y465" s="387" t="n"/>
    </row>
    <row r="466" hidden="1" ht="16.05" customFormat="1" customHeight="1" s="126">
      <c r="A466" s="125" t="n">
        <v>666</v>
      </c>
      <c r="B466" s="125" t="inlineStr">
        <is>
          <t>WF</t>
        </is>
      </c>
      <c r="C466" s="130" t="inlineStr">
        <is>
          <t>Москва</t>
        </is>
      </c>
      <c r="D466" s="130" t="inlineStr">
        <is>
          <t>Москва</t>
        </is>
      </c>
      <c r="E466" s="130" t="inlineStr">
        <is>
          <t>ЮЗАО</t>
        </is>
      </c>
      <c r="F466" s="130" t="inlineStr">
        <is>
          <t>Супермаркет</t>
        </is>
      </c>
      <c r="G466" s="130" t="inlineStr">
        <is>
          <t>Азбука Вкуса</t>
        </is>
      </c>
      <c r="H466" s="131" t="n"/>
      <c r="I466" s="637" t="inlineStr">
        <is>
          <t>79_Daily</t>
        </is>
      </c>
      <c r="J466" s="637" t="inlineStr">
        <is>
          <t>MSK_D_079</t>
        </is>
      </c>
      <c r="K466" s="640" t="n">
        <v>2</v>
      </c>
      <c r="L466" s="640" t="n">
        <v>1</v>
      </c>
      <c r="M466" s="623" t="inlineStr">
        <is>
          <t>Samsung 43" вертикальный</t>
        </is>
      </c>
      <c r="N466" s="640" t="n"/>
      <c r="O466" s="640">
        <f>IF(AND(N466=1,L466=1),K466,"")</f>
        <v/>
      </c>
      <c r="P466" s="642" t="inlineStr">
        <is>
          <t>Москва, Ленинский пр. д. 91</t>
        </is>
      </c>
      <c r="Q466" s="640" t="inlineStr">
        <is>
          <t>55.676437</t>
        </is>
      </c>
      <c r="R466" s="494" t="inlineStr">
        <is>
          <t>37.529317</t>
        </is>
      </c>
      <c r="S466" s="528" t="n">
        <v>24</v>
      </c>
      <c r="T466" s="436">
        <f>IF(N466=1,O466*S466,"")</f>
        <v/>
      </c>
      <c r="U466" s="436" t="n">
        <v>1</v>
      </c>
      <c r="V466" s="438">
        <f>IF(AND(N466=1,U466=1),C466,"")</f>
        <v/>
      </c>
      <c r="W466" s="387" t="n"/>
      <c r="X466" s="387" t="n"/>
      <c r="Y466" s="387" t="n"/>
    </row>
    <row r="467" hidden="1" ht="16.05" customFormat="1" customHeight="1" s="126">
      <c r="A467" s="125" t="n">
        <v>668</v>
      </c>
      <c r="B467" s="125" t="inlineStr">
        <is>
          <t>WF</t>
        </is>
      </c>
      <c r="C467" s="130" t="inlineStr">
        <is>
          <t>Москва</t>
        </is>
      </c>
      <c r="D467" s="130" t="inlineStr">
        <is>
          <t>Москва</t>
        </is>
      </c>
      <c r="E467" s="130" t="inlineStr">
        <is>
          <t>ЮЗАО</t>
        </is>
      </c>
      <c r="F467" s="130" t="inlineStr">
        <is>
          <t>Супермаркет</t>
        </is>
      </c>
      <c r="G467" s="130" t="inlineStr">
        <is>
          <t>Азбука Вкуса</t>
        </is>
      </c>
      <c r="H467" s="131" t="n"/>
      <c r="I467" s="637" t="inlineStr">
        <is>
          <t>80_Daily</t>
        </is>
      </c>
      <c r="J467" s="637" t="inlineStr">
        <is>
          <t>MSK_D_080</t>
        </is>
      </c>
      <c r="K467" s="640" t="n">
        <v>2</v>
      </c>
      <c r="L467" s="640" t="n">
        <v>1</v>
      </c>
      <c r="M467" s="623" t="inlineStr">
        <is>
          <t>Samsung 43" вертикальный</t>
        </is>
      </c>
      <c r="N467" s="640" t="n"/>
      <c r="O467" s="640">
        <f>IF(AND(N467=1,L467=1),K467,"")</f>
        <v/>
      </c>
      <c r="P467" s="642" t="inlineStr">
        <is>
          <t>Москва, Ленинский пр. д. 82</t>
        </is>
      </c>
      <c r="Q467" s="640" t="inlineStr">
        <is>
          <t>55.681278</t>
        </is>
      </c>
      <c r="R467" s="494" t="inlineStr">
        <is>
          <t>37.534194</t>
        </is>
      </c>
      <c r="S467" s="528" t="n">
        <v>16</v>
      </c>
      <c r="T467" s="436">
        <f>IF(N467=1,O467*S467,"")</f>
        <v/>
      </c>
      <c r="U467" s="436" t="n">
        <v>1</v>
      </c>
      <c r="V467" s="438">
        <f>IF(AND(N467=1,U467=1),C467,"")</f>
        <v/>
      </c>
      <c r="W467" s="387" t="n"/>
      <c r="X467" s="387" t="n"/>
      <c r="Y467" s="387" t="n"/>
    </row>
    <row r="468" hidden="1" ht="16.05" customFormat="1" customHeight="1" s="126">
      <c r="A468" s="125" t="n">
        <v>670</v>
      </c>
      <c r="B468" s="125" t="inlineStr">
        <is>
          <t>WF</t>
        </is>
      </c>
      <c r="C468" s="130" t="inlineStr">
        <is>
          <t>Москва</t>
        </is>
      </c>
      <c r="D468" s="130" t="inlineStr">
        <is>
          <t>Москва</t>
        </is>
      </c>
      <c r="E468" s="130" t="inlineStr">
        <is>
          <t>ЦАО</t>
        </is>
      </c>
      <c r="F468" s="130" t="inlineStr">
        <is>
          <t>Супермаркет</t>
        </is>
      </c>
      <c r="G468" s="130" t="inlineStr">
        <is>
          <t>Азбука Вкуса</t>
        </is>
      </c>
      <c r="H468" s="131" t="n"/>
      <c r="I468" s="637" t="inlineStr">
        <is>
          <t>81_Daily</t>
        </is>
      </c>
      <c r="J468" s="637" t="inlineStr">
        <is>
          <t>MSK_D_081</t>
        </is>
      </c>
      <c r="K468" s="640" t="n">
        <v>2</v>
      </c>
      <c r="L468" s="640" t="n">
        <v>1</v>
      </c>
      <c r="M468" s="623" t="inlineStr">
        <is>
          <t>Samsung 43" вертикальный</t>
        </is>
      </c>
      <c r="N468" s="640" t="n"/>
      <c r="O468" s="640">
        <f>IF(AND(N468=1,L468=1),K468,"")</f>
        <v/>
      </c>
      <c r="P468" s="642" t="inlineStr">
        <is>
          <t>Москва, Бутырский вл д.10</t>
        </is>
      </c>
      <c r="Q468" s="640" t="inlineStr">
        <is>
          <t>55.778495</t>
        </is>
      </c>
      <c r="R468" s="494" t="inlineStr">
        <is>
          <t>37.585656</t>
        </is>
      </c>
      <c r="S468" s="528" t="n">
        <v>24</v>
      </c>
      <c r="T468" s="436">
        <f>IF(N468=1,O468*S468,"")</f>
        <v/>
      </c>
      <c r="U468" s="436" t="n">
        <v>1</v>
      </c>
      <c r="V468" s="438">
        <f>IF(AND(N468=1,U468=1),C468,"")</f>
        <v/>
      </c>
      <c r="W468" s="387" t="n"/>
      <c r="X468" s="387" t="n"/>
      <c r="Y468" s="387" t="n"/>
    </row>
    <row r="469" hidden="1" ht="16.05" customFormat="1" customHeight="1" s="126">
      <c r="A469" s="125" t="n">
        <v>672</v>
      </c>
      <c r="B469" s="125" t="inlineStr">
        <is>
          <t>WF</t>
        </is>
      </c>
      <c r="C469" s="130" t="inlineStr">
        <is>
          <t>Москва</t>
        </is>
      </c>
      <c r="D469" s="130" t="inlineStr">
        <is>
          <t>Москва</t>
        </is>
      </c>
      <c r="E469" s="130" t="inlineStr">
        <is>
          <t>ЦАО</t>
        </is>
      </c>
      <c r="F469" s="130" t="inlineStr">
        <is>
          <t>Супермаркет</t>
        </is>
      </c>
      <c r="G469" s="130" t="inlineStr">
        <is>
          <t>Азбука Вкуса</t>
        </is>
      </c>
      <c r="H469" s="131" t="n"/>
      <c r="I469" s="637" t="inlineStr">
        <is>
          <t>82_Daily</t>
        </is>
      </c>
      <c r="J469" s="637" t="inlineStr">
        <is>
          <t>MSK_D_082</t>
        </is>
      </c>
      <c r="K469" s="640" t="n">
        <v>2</v>
      </c>
      <c r="L469" s="640" t="n">
        <v>1</v>
      </c>
      <c r="M469" s="623" t="inlineStr">
        <is>
          <t>Samsung 43" вертикальный</t>
        </is>
      </c>
      <c r="N469" s="640" t="n"/>
      <c r="O469" s="640">
        <f>IF(AND(N469=1,L469=1),K469,"")</f>
        <v/>
      </c>
      <c r="P469" s="642" t="inlineStr">
        <is>
          <t>Москва, Покровка д.15</t>
        </is>
      </c>
      <c r="Q469" s="640" t="inlineStr">
        <is>
          <t>55.759374</t>
        </is>
      </c>
      <c r="R469" s="494" t="inlineStr">
        <is>
          <t>37.644772</t>
        </is>
      </c>
      <c r="S469" s="528" t="n">
        <v>24</v>
      </c>
      <c r="T469" s="436">
        <f>IF(N469=1,O469*S469,"")</f>
        <v/>
      </c>
      <c r="U469" s="436" t="n">
        <v>1</v>
      </c>
      <c r="V469" s="438">
        <f>IF(AND(N469=1,U469=1),C469,"")</f>
        <v/>
      </c>
      <c r="W469" s="387" t="n"/>
      <c r="X469" s="387" t="n"/>
      <c r="Y469" s="387" t="n"/>
    </row>
    <row r="470" hidden="1" ht="16.05" customFormat="1" customHeight="1" s="126">
      <c r="A470" s="125" t="n">
        <v>674</v>
      </c>
      <c r="B470" s="125" t="inlineStr">
        <is>
          <t>WF</t>
        </is>
      </c>
      <c r="C470" s="130" t="inlineStr">
        <is>
          <t>Москва</t>
        </is>
      </c>
      <c r="D470" s="130" t="inlineStr">
        <is>
          <t>Одинцово</t>
        </is>
      </c>
      <c r="E470" s="130" t="inlineStr">
        <is>
          <t>М1</t>
        </is>
      </c>
      <c r="F470" s="130" t="inlineStr">
        <is>
          <t>Супермаркет</t>
        </is>
      </c>
      <c r="G470" s="130" t="inlineStr">
        <is>
          <t>Азбука Вкуса</t>
        </is>
      </c>
      <c r="H470" s="131" t="n"/>
      <c r="I470" s="637" t="inlineStr">
        <is>
          <t>83_Маркет</t>
        </is>
      </c>
      <c r="J470" s="637" t="inlineStr">
        <is>
          <t>MSK_M_083</t>
        </is>
      </c>
      <c r="K470" s="640" t="n">
        <v>4</v>
      </c>
      <c r="L470" s="640" t="n">
        <v>1</v>
      </c>
      <c r="M470" s="623" t="inlineStr">
        <is>
          <t>Samsung 43" вертикальный</t>
        </is>
      </c>
      <c r="N470" s="640" t="n"/>
      <c r="O470" s="640">
        <f>IF(AND(N470=1,L470=1),K470,"")</f>
        <v/>
      </c>
      <c r="P470" s="642" t="inlineStr">
        <is>
          <t>Московская область, г. Одинцово,  Говорова, 163, ТЦ «Атлас»</t>
        </is>
      </c>
      <c r="Q470" s="640" t="inlineStr">
        <is>
          <t>55.690576</t>
        </is>
      </c>
      <c r="R470" s="494" t="inlineStr">
        <is>
          <t>37.303329</t>
        </is>
      </c>
      <c r="S470" s="528" t="n">
        <v>15</v>
      </c>
      <c r="T470" s="436">
        <f>IF(N470=1,O470*S470,"")</f>
        <v/>
      </c>
      <c r="U470" s="436" t="n">
        <v>1</v>
      </c>
      <c r="V470" s="438">
        <f>IF(AND(N470=1,U470=1),C470,"")</f>
        <v/>
      </c>
      <c r="W470" s="387" t="n"/>
      <c r="X470" s="387" t="n"/>
      <c r="Y470" s="387" t="n"/>
    </row>
    <row r="471" hidden="1" ht="16.05" customFormat="1" customHeight="1" s="126">
      <c r="A471" s="125" t="n">
        <v>678</v>
      </c>
      <c r="B471" s="160" t="inlineStr">
        <is>
          <t>WF</t>
        </is>
      </c>
      <c r="C471" s="130" t="inlineStr">
        <is>
          <t>Москва</t>
        </is>
      </c>
      <c r="D471" s="130" t="inlineStr">
        <is>
          <t>Ступино</t>
        </is>
      </c>
      <c r="E471" s="130" t="inlineStr">
        <is>
          <t>М4</t>
        </is>
      </c>
      <c r="F471" s="130" t="inlineStr">
        <is>
          <t>Супермаркет</t>
        </is>
      </c>
      <c r="G471" s="130" t="inlineStr">
        <is>
          <t>Азбука Вкуса</t>
        </is>
      </c>
      <c r="H471" s="131" t="n"/>
      <c r="I471" s="637" t="inlineStr">
        <is>
          <t>84_Маркет</t>
        </is>
      </c>
      <c r="J471" s="402" t="inlineStr">
        <is>
          <t>MSK_M_084</t>
        </is>
      </c>
      <c r="K471" s="640" t="n">
        <v>4</v>
      </c>
      <c r="L471" s="640" t="n">
        <v>0</v>
      </c>
      <c r="M471" s="640" t="inlineStr">
        <is>
          <t>Sam 40</t>
        </is>
      </c>
      <c r="N471" s="640" t="n"/>
      <c r="O471" s="640">
        <f>IF(AND(N471=1,L471=1),K471,"")</f>
        <v/>
      </c>
      <c r="P471" s="642" t="inlineStr">
        <is>
          <t>Московская область, г. Ступино, проспект Победы 63а, ТЦ "Курс"</t>
        </is>
      </c>
      <c r="Q471" s="640" t="n">
        <v>54.898101</v>
      </c>
      <c r="R471" s="422" t="n">
        <v>38.079156</v>
      </c>
      <c r="S471" s="528" t="n">
        <v>24</v>
      </c>
      <c r="T471" s="529">
        <f>S471*O471</f>
        <v/>
      </c>
      <c r="U471" s="436" t="n">
        <v>1</v>
      </c>
      <c r="V471" s="438">
        <f>IF(AND(N471=1,U471=1),C471,"")</f>
        <v/>
      </c>
      <c r="W471" s="387" t="n"/>
      <c r="X471" s="387" t="n"/>
      <c r="Y471" s="387" t="n"/>
    </row>
    <row r="472" hidden="1" ht="16.05" customFormat="1" customHeight="1" s="126">
      <c r="A472" s="125" t="n">
        <v>682</v>
      </c>
      <c r="B472" s="125" t="inlineStr">
        <is>
          <t>WF</t>
        </is>
      </c>
      <c r="C472" s="130" t="inlineStr">
        <is>
          <t>Москва</t>
        </is>
      </c>
      <c r="D472" s="130" t="inlineStr">
        <is>
          <t>Москва</t>
        </is>
      </c>
      <c r="E472" s="130" t="inlineStr">
        <is>
          <t>ЦАО</t>
        </is>
      </c>
      <c r="F472" s="130" t="inlineStr">
        <is>
          <t>Супермаркет</t>
        </is>
      </c>
      <c r="G472" s="130" t="inlineStr">
        <is>
          <t>Азбука Вкуса</t>
        </is>
      </c>
      <c r="H472" s="131" t="n"/>
      <c r="I472" s="637" t="inlineStr">
        <is>
          <t>85_Daily</t>
        </is>
      </c>
      <c r="J472" s="637" t="inlineStr">
        <is>
          <t>MSK_D_085</t>
        </is>
      </c>
      <c r="K472" s="640" t="n">
        <v>2</v>
      </c>
      <c r="L472" s="640" t="n">
        <v>1</v>
      </c>
      <c r="M472" s="623" t="inlineStr">
        <is>
          <t>Samsung 43" вертикальный</t>
        </is>
      </c>
      <c r="N472" s="640" t="n"/>
      <c r="O472" s="640">
        <f>IF(AND(N472=1,L472=1),K472,"")</f>
        <v/>
      </c>
      <c r="P472" s="642" t="inlineStr">
        <is>
          <t>Москва, Пятницкая д.13</t>
        </is>
      </c>
      <c r="Q472" s="640" t="inlineStr">
        <is>
          <t>55.74368</t>
        </is>
      </c>
      <c r="R472" s="494" t="inlineStr">
        <is>
          <t>37.628277</t>
        </is>
      </c>
      <c r="S472" s="528" t="n">
        <v>24</v>
      </c>
      <c r="T472" s="436">
        <f>IF(N472=1,O472*S472,"")</f>
        <v/>
      </c>
      <c r="U472" s="436" t="n">
        <v>1</v>
      </c>
      <c r="V472" s="438">
        <f>IF(AND(N472=1,U472=1),C472,"")</f>
        <v/>
      </c>
      <c r="W472" s="387" t="n"/>
      <c r="X472" s="387" t="n"/>
      <c r="Y472" s="387" t="n"/>
    </row>
    <row r="473" hidden="1" ht="16.05" customFormat="1" customHeight="1" s="126">
      <c r="A473" s="125" t="n">
        <v>684</v>
      </c>
      <c r="B473" s="125" t="inlineStr">
        <is>
          <t>WF</t>
        </is>
      </c>
      <c r="C473" s="130" t="inlineStr">
        <is>
          <t>Москва</t>
        </is>
      </c>
      <c r="D473" s="130" t="inlineStr">
        <is>
          <t>Москва</t>
        </is>
      </c>
      <c r="E473" s="130" t="inlineStr">
        <is>
          <t>ЦАО</t>
        </is>
      </c>
      <c r="F473" s="130" t="inlineStr">
        <is>
          <t>Супермаркет</t>
        </is>
      </c>
      <c r="G473" s="130" t="inlineStr">
        <is>
          <t>Азбука Вкуса</t>
        </is>
      </c>
      <c r="H473" s="131" t="n"/>
      <c r="I473" s="637" t="inlineStr">
        <is>
          <t>86_Daily</t>
        </is>
      </c>
      <c r="J473" s="637" t="inlineStr">
        <is>
          <t>MSK_D_086</t>
        </is>
      </c>
      <c r="K473" s="640" t="n">
        <v>2</v>
      </c>
      <c r="L473" s="640" t="n">
        <v>1</v>
      </c>
      <c r="M473" s="623" t="inlineStr">
        <is>
          <t>Samsung 43" вертикальный</t>
        </is>
      </c>
      <c r="N473" s="640" t="n"/>
      <c r="O473" s="640">
        <f>IF(AND(N473=1,L473=1),K473,"")</f>
        <v/>
      </c>
      <c r="P473" s="642" t="inlineStr">
        <is>
          <t>Москва, Смоленская-сенная пл, д.27, стр.1А</t>
        </is>
      </c>
      <c r="Q473" s="640" t="inlineStr">
        <is>
          <t>55.744961</t>
        </is>
      </c>
      <c r="R473" s="494" t="inlineStr">
        <is>
          <t>37.582522</t>
        </is>
      </c>
      <c r="S473" s="528" t="n">
        <v>24</v>
      </c>
      <c r="T473" s="436">
        <f>IF(N473=1,O473*S473,"")</f>
        <v/>
      </c>
      <c r="U473" s="436" t="n">
        <v>1</v>
      </c>
      <c r="V473" s="438">
        <f>IF(AND(N473=1,U473=1),C473,"")</f>
        <v/>
      </c>
      <c r="W473" s="387" t="n"/>
      <c r="X473" s="387" t="n"/>
      <c r="Y473" s="387" t="n"/>
    </row>
    <row r="474" hidden="1" ht="16.05" customFormat="1" customHeight="1" s="126">
      <c r="A474" s="125" t="n">
        <v>686</v>
      </c>
      <c r="B474" s="125" t="inlineStr">
        <is>
          <t>WF</t>
        </is>
      </c>
      <c r="C474" s="130" t="inlineStr">
        <is>
          <t>Москва</t>
        </is>
      </c>
      <c r="D474" s="130" t="inlineStr">
        <is>
          <t>Московская область</t>
        </is>
      </c>
      <c r="E474" s="130" t="inlineStr">
        <is>
          <t>М9</t>
        </is>
      </c>
      <c r="F474" s="130" t="inlineStr">
        <is>
          <t>Супермаркет</t>
        </is>
      </c>
      <c r="G474" s="130" t="inlineStr">
        <is>
          <t>Азбука Вкуса</t>
        </is>
      </c>
      <c r="H474" s="131" t="n"/>
      <c r="I474" s="637" t="inlineStr">
        <is>
          <t>87_Маркет</t>
        </is>
      </c>
      <c r="J474" s="637" t="inlineStr">
        <is>
          <t>MSK_M_087</t>
        </is>
      </c>
      <c r="K474" s="640" t="n">
        <v>5</v>
      </c>
      <c r="L474" s="640" t="n">
        <v>1</v>
      </c>
      <c r="M474" s="623" t="inlineStr">
        <is>
          <t>Samsung 43" вертикальный</t>
        </is>
      </c>
      <c r="N474" s="640" t="n"/>
      <c r="O474" s="640">
        <f>IF(AND(N474=1,L474=1),K474,"")</f>
        <v/>
      </c>
      <c r="P474" s="642" t="inlineStr">
        <is>
          <t>Московская область, 7 км Новорижского ш. Рига-Молл</t>
        </is>
      </c>
      <c r="Q474" s="640" t="inlineStr">
        <is>
          <t>55.799097</t>
        </is>
      </c>
      <c r="R474" s="494" t="inlineStr">
        <is>
          <t>37.273043</t>
        </is>
      </c>
      <c r="S474" s="528" t="n">
        <v>24</v>
      </c>
      <c r="T474" s="436">
        <f>IF(N474=1,O474*S474,"")</f>
        <v/>
      </c>
      <c r="U474" s="436" t="n">
        <v>1</v>
      </c>
      <c r="V474" s="438">
        <f>IF(AND(N474=1,U474=1),C474,"")</f>
        <v/>
      </c>
      <c r="W474" s="387" t="n"/>
      <c r="X474" s="387" t="n"/>
      <c r="Y474" s="387" t="n"/>
    </row>
    <row r="475" hidden="1" ht="16.05" customFormat="1" customHeight="1" s="126">
      <c r="A475" s="125" t="n">
        <v>692</v>
      </c>
      <c r="B475" s="125" t="inlineStr">
        <is>
          <t>WF</t>
        </is>
      </c>
      <c r="C475" s="130" t="inlineStr">
        <is>
          <t>Санкт-Петербург</t>
        </is>
      </c>
      <c r="D475" s="130" t="inlineStr">
        <is>
          <t>Санкт-Петербург</t>
        </is>
      </c>
      <c r="E475" s="130" t="n"/>
      <c r="F475" s="130" t="inlineStr">
        <is>
          <t>Супермаркет</t>
        </is>
      </c>
      <c r="G475" s="130" t="inlineStr">
        <is>
          <t>Азбука Вкуса</t>
        </is>
      </c>
      <c r="H475" s="131" t="inlineStr">
        <is>
          <t>АВ78БП58</t>
        </is>
      </c>
      <c r="I475" s="637" t="inlineStr">
        <is>
          <t>SPB_001</t>
        </is>
      </c>
      <c r="J475" s="637" t="inlineStr">
        <is>
          <t>SPB_A_001</t>
        </is>
      </c>
      <c r="K475" s="640" t="n">
        <v>3</v>
      </c>
      <c r="L475" s="640" t="n">
        <v>1</v>
      </c>
      <c r="M475" s="623" t="inlineStr">
        <is>
          <t>Samsung 43" вертикальный</t>
        </is>
      </c>
      <c r="N475" s="640" t="n"/>
      <c r="O475" s="640">
        <f>IF(AND(N475=1,L475=1),K475,"")</f>
        <v/>
      </c>
      <c r="P475" s="642" t="inlineStr">
        <is>
          <t>Санкт-Петербург, Большой проспект П.С., д. 58, ТК «Априори»</t>
        </is>
      </c>
      <c r="Q475" s="640" t="inlineStr">
        <is>
          <t>59.961135</t>
        </is>
      </c>
      <c r="R475" s="494" t="inlineStr">
        <is>
          <t>30.303601</t>
        </is>
      </c>
      <c r="S475" s="528" t="n">
        <v>15</v>
      </c>
      <c r="T475" s="436">
        <f>IF(N475=1,O475*S475,"")</f>
        <v/>
      </c>
      <c r="U475" s="436" t="n">
        <v>1</v>
      </c>
      <c r="V475" s="438">
        <f>IF(AND(N475=1,U475=1),C475,"")</f>
        <v/>
      </c>
      <c r="W475" s="387" t="n"/>
      <c r="X475" s="387" t="n"/>
      <c r="Y475" s="387" t="n"/>
    </row>
    <row r="476" hidden="1" ht="16.05" customFormat="1" customHeight="1" s="126">
      <c r="A476" s="125" t="n">
        <v>695</v>
      </c>
      <c r="B476" s="125" t="inlineStr">
        <is>
          <t>WF</t>
        </is>
      </c>
      <c r="C476" s="130" t="inlineStr">
        <is>
          <t>Санкт-Петербург</t>
        </is>
      </c>
      <c r="D476" s="130" t="inlineStr">
        <is>
          <t>Санкт-Петербург</t>
        </is>
      </c>
      <c r="E476" s="130" t="n"/>
      <c r="F476" s="130" t="inlineStr">
        <is>
          <t>Супермаркет</t>
        </is>
      </c>
      <c r="G476" s="130" t="inlineStr">
        <is>
          <t>Азбука Вкуса</t>
        </is>
      </c>
      <c r="H476" s="131" t="inlineStr">
        <is>
          <t>АВ78ВШ13</t>
        </is>
      </c>
      <c r="I476" s="637" t="inlineStr">
        <is>
          <t>SPB_002</t>
        </is>
      </c>
      <c r="J476" s="637" t="inlineStr">
        <is>
          <t>SPB_A_002</t>
        </is>
      </c>
      <c r="K476" s="640" t="n">
        <v>3</v>
      </c>
      <c r="L476" s="640" t="n">
        <v>1</v>
      </c>
      <c r="M476" s="623" t="inlineStr">
        <is>
          <t>Samsung 43" вертикальный</t>
        </is>
      </c>
      <c r="N476" s="640" t="n"/>
      <c r="O476" s="640">
        <f>IF(AND(N476=1,L476=1),K476,"")</f>
        <v/>
      </c>
      <c r="P476" s="642" t="inlineStr">
        <is>
          <t>Санкт-Петербург, Выборгское шоссе, д. 13, ТЦ «Экополис премиум»</t>
        </is>
      </c>
      <c r="Q476" s="640" t="inlineStr">
        <is>
          <t>60.0484</t>
        </is>
      </c>
      <c r="R476" s="494" t="inlineStr">
        <is>
          <t>30.314022</t>
        </is>
      </c>
      <c r="S476" s="528" t="n">
        <v>24</v>
      </c>
      <c r="T476" s="436">
        <f>IF(N476=1,O476*S476,"")</f>
        <v/>
      </c>
      <c r="U476" s="436" t="n">
        <v>1</v>
      </c>
      <c r="V476" s="438">
        <f>IF(AND(N476=1,U476=1),C476,"")</f>
        <v/>
      </c>
      <c r="W476" s="387" t="n"/>
      <c r="X476" s="387" t="n"/>
      <c r="Y476" s="387" t="n"/>
    </row>
    <row r="477" hidden="1" ht="16.05" customFormat="1" customHeight="1" s="126">
      <c r="A477" s="125" t="n">
        <v>698</v>
      </c>
      <c r="B477" s="125" t="inlineStr">
        <is>
          <t>WF</t>
        </is>
      </c>
      <c r="C477" s="130" t="inlineStr">
        <is>
          <t>Санкт-Петербург</t>
        </is>
      </c>
      <c r="D477" s="130" t="inlineStr">
        <is>
          <t>Санкт-Петербург</t>
        </is>
      </c>
      <c r="E477" s="130" t="n"/>
      <c r="F477" s="130" t="inlineStr">
        <is>
          <t>Супермаркет</t>
        </is>
      </c>
      <c r="G477" s="130" t="inlineStr">
        <is>
          <t>Азбука Вкуса</t>
        </is>
      </c>
      <c r="H477" s="131" t="inlineStr">
        <is>
          <t>АВ78ЛИ26</t>
        </is>
      </c>
      <c r="I477" s="637" t="inlineStr">
        <is>
          <t>SPB_003</t>
        </is>
      </c>
      <c r="J477" s="637" t="inlineStr">
        <is>
          <t>SPB_A_003</t>
        </is>
      </c>
      <c r="K477" s="640" t="n">
        <v>2</v>
      </c>
      <c r="L477" s="640" t="n">
        <v>1</v>
      </c>
      <c r="M477" s="623" t="inlineStr">
        <is>
          <t>Samsung 43" вертикальный</t>
        </is>
      </c>
      <c r="N477" s="640" t="n"/>
      <c r="O477" s="640">
        <f>IF(AND(N477=1,L477=1),K477,"")</f>
        <v/>
      </c>
      <c r="P477" s="642" t="inlineStr">
        <is>
          <t>Санкт-Петербург, Литейный проспект, д. 26</t>
        </is>
      </c>
      <c r="Q477" s="640" t="inlineStr">
        <is>
          <t>59.941845</t>
        </is>
      </c>
      <c r="R477" s="494" t="inlineStr">
        <is>
          <t>30.348794</t>
        </is>
      </c>
      <c r="S477" s="528" t="n">
        <v>24</v>
      </c>
      <c r="T477" s="436">
        <f>IF(N477=1,O477*S477,"")</f>
        <v/>
      </c>
      <c r="U477" s="436" t="n">
        <v>1</v>
      </c>
      <c r="V477" s="438">
        <f>IF(AND(N477=1,U477=1),C477,"")</f>
        <v/>
      </c>
      <c r="W477" s="387" t="n"/>
      <c r="X477" s="387" t="n"/>
      <c r="Y477" s="387" t="n"/>
    </row>
    <row r="478" hidden="1" ht="16.05" customFormat="1" customHeight="1" s="126">
      <c r="A478" s="125" t="n">
        <v>700</v>
      </c>
      <c r="B478" s="125" t="inlineStr">
        <is>
          <t>WF</t>
        </is>
      </c>
      <c r="C478" s="130" t="inlineStr">
        <is>
          <t>Санкт-Петербург</t>
        </is>
      </c>
      <c r="D478" s="130" t="inlineStr">
        <is>
          <t>Санкт-Петербург</t>
        </is>
      </c>
      <c r="E478" s="130" t="n"/>
      <c r="F478" s="130" t="inlineStr">
        <is>
          <t>Супермаркет</t>
        </is>
      </c>
      <c r="G478" s="130" t="inlineStr">
        <is>
          <t>Азбука Вкуса</t>
        </is>
      </c>
      <c r="H478" s="131" t="inlineStr">
        <is>
          <t>АВ78МП11</t>
        </is>
      </c>
      <c r="I478" s="637" t="inlineStr">
        <is>
          <t>SPB_004</t>
        </is>
      </c>
      <c r="J478" s="637" t="inlineStr">
        <is>
          <t>SPB_A_004</t>
        </is>
      </c>
      <c r="K478" s="640" t="n">
        <v>3</v>
      </c>
      <c r="L478" s="640" t="n">
        <v>1</v>
      </c>
      <c r="M478" s="623" t="inlineStr">
        <is>
          <t>Samsung 43" вертикальный</t>
        </is>
      </c>
      <c r="N478" s="640" t="n"/>
      <c r="O478" s="640">
        <f>IF(AND(N478=1,L478=1),K478,"")</f>
        <v/>
      </c>
      <c r="P478" s="642" t="inlineStr">
        <is>
          <t>Санкт-Петербург, Московский проспект, д. 111</t>
        </is>
      </c>
      <c r="Q478" s="640" t="inlineStr">
        <is>
          <t>59.888967</t>
        </is>
      </c>
      <c r="R478" s="494" t="inlineStr">
        <is>
          <t>30.318766</t>
        </is>
      </c>
      <c r="S478" s="528" t="n">
        <v>24</v>
      </c>
      <c r="T478" s="436">
        <f>IF(N478=1,O478*S478,"")</f>
        <v/>
      </c>
      <c r="U478" s="436" t="n">
        <v>1</v>
      </c>
      <c r="V478" s="438">
        <f>IF(AND(N478=1,U478=1),C478,"")</f>
        <v/>
      </c>
      <c r="W478" s="387" t="n"/>
      <c r="X478" s="387" t="n"/>
      <c r="Y478" s="387" t="n"/>
    </row>
    <row r="479" hidden="1" ht="16.05" customFormat="1" customHeight="1" s="126">
      <c r="A479" s="125" t="n">
        <v>703</v>
      </c>
      <c r="B479" s="125" t="inlineStr">
        <is>
          <t>WF</t>
        </is>
      </c>
      <c r="C479" s="130" t="inlineStr">
        <is>
          <t>Санкт-Петербург</t>
        </is>
      </c>
      <c r="D479" s="130" t="inlineStr">
        <is>
          <t>Санкт-Петербург</t>
        </is>
      </c>
      <c r="E479" s="130" t="n"/>
      <c r="F479" s="130" t="inlineStr">
        <is>
          <t>Супермаркет</t>
        </is>
      </c>
      <c r="G479" s="130" t="inlineStr">
        <is>
          <t>Азбука Вкуса</t>
        </is>
      </c>
      <c r="H479" s="131" t="inlineStr">
        <is>
          <t>АВ78НА05</t>
        </is>
      </c>
      <c r="I479" s="637" t="inlineStr">
        <is>
          <t>SPB_005</t>
        </is>
      </c>
      <c r="J479" s="637" t="inlineStr">
        <is>
          <t>SPB_A_005</t>
        </is>
      </c>
      <c r="K479" s="640" t="n">
        <v>3</v>
      </c>
      <c r="L479" s="640" t="n">
        <v>1</v>
      </c>
      <c r="M479" s="623" t="inlineStr">
        <is>
          <t>Samsung 43" вертикальный</t>
        </is>
      </c>
      <c r="N479" s="640" t="n"/>
      <c r="O479" s="640">
        <f>IF(AND(N479=1,L479=1),K479,"")</f>
        <v/>
      </c>
      <c r="P479" s="642" t="inlineStr">
        <is>
          <t>Санкт-Петербург, Нахимова, д. 5</t>
        </is>
      </c>
      <c r="Q479" s="640" t="inlineStr">
        <is>
          <t>59.941989</t>
        </is>
      </c>
      <c r="R479" s="494" t="inlineStr">
        <is>
          <t>30.224638</t>
        </is>
      </c>
      <c r="S479" s="528" t="n">
        <v>24</v>
      </c>
      <c r="T479" s="436">
        <f>IF(N479=1,O479*S479,"")</f>
        <v/>
      </c>
      <c r="U479" s="436" t="n">
        <v>1</v>
      </c>
      <c r="V479" s="438">
        <f>IF(AND(N479=1,U479=1),C479,"")</f>
        <v/>
      </c>
      <c r="W479" s="387" t="n"/>
      <c r="X479" s="387" t="n"/>
      <c r="Y479" s="387" t="n"/>
    </row>
    <row r="480" hidden="1" ht="16.05" customFormat="1" customHeight="1" s="126">
      <c r="A480" s="125" t="n">
        <v>706</v>
      </c>
      <c r="B480" s="125" t="n"/>
      <c r="C480" s="130" t="inlineStr">
        <is>
          <t>Санкт-Петербург</t>
        </is>
      </c>
      <c r="D480" s="130" t="inlineStr">
        <is>
          <t>Санкт-Петербург</t>
        </is>
      </c>
      <c r="E480" s="130" t="n"/>
      <c r="F480" s="130" t="inlineStr">
        <is>
          <t>АЗС</t>
        </is>
      </c>
      <c r="G480" s="130" t="inlineStr">
        <is>
          <t>Роснефть</t>
        </is>
      </c>
      <c r="H480" s="131" t="n">
        <v>135</v>
      </c>
      <c r="I480" s="637" t="inlineStr">
        <is>
          <t>135 Автозаводская</t>
        </is>
      </c>
      <c r="J480" s="637" t="inlineStr">
        <is>
          <t>SPB_BP_Avtozavodskaya</t>
        </is>
      </c>
      <c r="K480" s="640" t="n">
        <v>2</v>
      </c>
      <c r="L480" s="640" t="n">
        <v>1</v>
      </c>
      <c r="M480" s="623" t="inlineStr">
        <is>
          <t>Samsung 32" вертикальный</t>
        </is>
      </c>
      <c r="N480" s="640" t="n"/>
      <c r="O480" s="640">
        <f>IF(AND(N480=1,L480=1),K480,"")</f>
        <v/>
      </c>
      <c r="P480" s="642" t="inlineStr">
        <is>
          <t>Санкт-Петербург, п. Петро-Славянка, Софийская , уч.1 (южнее уч.108 по Софийская)</t>
        </is>
      </c>
      <c r="Q480" s="640" t="inlineStr">
        <is>
          <t>59.813761</t>
        </is>
      </c>
      <c r="R480" s="494" t="inlineStr">
        <is>
          <t>30.45924</t>
        </is>
      </c>
      <c r="S480" s="436" t="n"/>
      <c r="T480" s="436" t="n"/>
      <c r="U480" s="325" t="n"/>
      <c r="V480" s="438">
        <f>IF(AND(N480=1,U480=1),C480,"")</f>
        <v/>
      </c>
      <c r="W480" s="387" t="n"/>
      <c r="X480" s="387" t="n"/>
      <c r="Y480" s="387" t="n"/>
    </row>
    <row r="481" hidden="1" ht="16.05" customFormat="1" customHeight="1" s="126">
      <c r="A481" s="125" t="n">
        <v>707</v>
      </c>
      <c r="B481" s="125" t="n"/>
      <c r="C481" s="130" t="inlineStr">
        <is>
          <t>Санкт-Петербург</t>
        </is>
      </c>
      <c r="D481" s="130" t="inlineStr">
        <is>
          <t>Санкт-Петербург</t>
        </is>
      </c>
      <c r="E481" s="130" t="n"/>
      <c r="F481" s="130" t="inlineStr">
        <is>
          <t>АЗС</t>
        </is>
      </c>
      <c r="G481" s="130" t="inlineStr">
        <is>
          <t>Роснефть</t>
        </is>
      </c>
      <c r="H481" s="131" t="n">
        <v>107</v>
      </c>
      <c r="I481" s="637" t="inlineStr">
        <is>
          <t>107 Дальневосточный</t>
        </is>
      </c>
      <c r="J481" s="637" t="inlineStr">
        <is>
          <t>SPB_BP_Dalnevostochniy</t>
        </is>
      </c>
      <c r="K481" s="640" t="n">
        <v>2</v>
      </c>
      <c r="L481" s="640" t="n">
        <v>1</v>
      </c>
      <c r="M481" s="623" t="inlineStr">
        <is>
          <t>Samsung 32" вертикальный</t>
        </is>
      </c>
      <c r="N481" s="640" t="n"/>
      <c r="O481" s="640">
        <f>IF(AND(N481=1,L481=1),K481,"")</f>
        <v/>
      </c>
      <c r="P481" s="642" t="inlineStr">
        <is>
          <t>Санкт-Петербург, Дальневосточный пр.,д. 22 кор. 1</t>
        </is>
      </c>
      <c r="Q481" s="640" t="inlineStr">
        <is>
          <t>59.904793</t>
        </is>
      </c>
      <c r="R481" s="494" t="inlineStr">
        <is>
          <t>30.455024</t>
        </is>
      </c>
      <c r="S481" s="436" t="n"/>
      <c r="T481" s="436" t="n"/>
      <c r="U481" s="325" t="n"/>
      <c r="V481" s="438">
        <f>IF(AND(N481=1,U481=1),C481,"")</f>
        <v/>
      </c>
      <c r="W481" s="387" t="n"/>
      <c r="X481" s="387" t="n"/>
      <c r="Y481" s="387" t="n"/>
    </row>
    <row r="482" hidden="1" ht="16.05" customFormat="1" customHeight="1" s="126">
      <c r="A482" s="125" t="n">
        <v>708</v>
      </c>
      <c r="B482" s="125" t="n"/>
      <c r="C482" s="130" t="inlineStr">
        <is>
          <t>Санкт-Петербург</t>
        </is>
      </c>
      <c r="D482" s="130" t="inlineStr">
        <is>
          <t>Санкт-Петербург</t>
        </is>
      </c>
      <c r="E482" s="130" t="n"/>
      <c r="F482" s="130" t="inlineStr">
        <is>
          <t>АЗС</t>
        </is>
      </c>
      <c r="G482" s="130" t="inlineStr">
        <is>
          <t>Роснефть</t>
        </is>
      </c>
      <c r="H482" s="131" t="n">
        <v>119</v>
      </c>
      <c r="I482" s="637" t="inlineStr">
        <is>
          <t>119 Доблести</t>
        </is>
      </c>
      <c r="J482" s="637" t="inlineStr">
        <is>
          <t>SPB_BP_Doblesti</t>
        </is>
      </c>
      <c r="K482" s="640" t="n">
        <v>2</v>
      </c>
      <c r="L482" s="640" t="n">
        <v>1</v>
      </c>
      <c r="M482" s="623" t="inlineStr">
        <is>
          <t>Samsung 32" вертикальный</t>
        </is>
      </c>
      <c r="N482" s="640" t="n"/>
      <c r="O482" s="640">
        <f>IF(AND(N482=1,L482=1),K482,"")</f>
        <v/>
      </c>
      <c r="P482" s="642" t="inlineStr">
        <is>
          <t>Санкт-Петербург, Доблести, д.19</t>
        </is>
      </c>
      <c r="Q482" s="640" t="inlineStr">
        <is>
          <t>59.858223</t>
        </is>
      </c>
      <c r="R482" s="494" t="inlineStr">
        <is>
          <t>30.175151</t>
        </is>
      </c>
      <c r="S482" s="436" t="n"/>
      <c r="T482" s="436" t="n"/>
      <c r="U482" s="325" t="n"/>
      <c r="V482" s="438">
        <f>IF(AND(N482=1,U482=1),C482,"")</f>
        <v/>
      </c>
      <c r="W482" s="387" t="n"/>
      <c r="X482" s="387" t="n"/>
      <c r="Y482" s="387" t="n"/>
    </row>
    <row r="483" hidden="1" ht="16.05" customFormat="1" customHeight="1" s="126">
      <c r="A483" s="125" t="n">
        <v>709</v>
      </c>
      <c r="B483" s="125" t="n"/>
      <c r="C483" s="130" t="inlineStr">
        <is>
          <t>Санкт-Петербург</t>
        </is>
      </c>
      <c r="D483" s="130" t="inlineStr">
        <is>
          <t>Санкт-Петербург</t>
        </is>
      </c>
      <c r="E483" s="130" t="n"/>
      <c r="F483" s="130" t="inlineStr">
        <is>
          <t>АЗС</t>
        </is>
      </c>
      <c r="G483" s="130" t="inlineStr">
        <is>
          <t>Роснефть</t>
        </is>
      </c>
      <c r="H483" s="131" t="n">
        <v>106</v>
      </c>
      <c r="I483" s="637" t="inlineStr">
        <is>
          <t>106 Карбышева</t>
        </is>
      </c>
      <c r="J483" s="637" t="inlineStr">
        <is>
          <t>SPB_BP_Karbysheva</t>
        </is>
      </c>
      <c r="K483" s="640" t="n">
        <v>2</v>
      </c>
      <c r="L483" s="640" t="n">
        <v>1</v>
      </c>
      <c r="M483" s="623" t="inlineStr">
        <is>
          <t>Samsung 32" вертикальный</t>
        </is>
      </c>
      <c r="N483" s="640" t="n"/>
      <c r="O483" s="640">
        <f>IF(AND(N483=1,L483=1),K483,"")</f>
        <v/>
      </c>
      <c r="P483" s="642" t="inlineStr">
        <is>
          <t>Санкт-Петербург, Карбышева д. 5</t>
        </is>
      </c>
      <c r="Q483" s="640" t="inlineStr">
        <is>
          <t>59.991221</t>
        </is>
      </c>
      <c r="R483" s="494" t="inlineStr">
        <is>
          <t>30.349253</t>
        </is>
      </c>
      <c r="S483" s="436" t="n"/>
      <c r="T483" s="436" t="n"/>
      <c r="U483" s="325" t="n"/>
      <c r="V483" s="438">
        <f>IF(AND(N483=1,U483=1),C483,"")</f>
        <v/>
      </c>
      <c r="W483" s="387" t="n"/>
      <c r="X483" s="387" t="n"/>
      <c r="Y483" s="387" t="n"/>
    </row>
    <row r="484" hidden="1" ht="16.05" customFormat="1" customHeight="1" s="126">
      <c r="A484" s="125" t="n">
        <v>711</v>
      </c>
      <c r="B484" s="125" t="n"/>
      <c r="C484" s="130" t="inlineStr">
        <is>
          <t>Санкт-Петербург</t>
        </is>
      </c>
      <c r="D484" s="130" t="inlineStr">
        <is>
          <t>Санкт-Петербург</t>
        </is>
      </c>
      <c r="E484" s="130" t="n"/>
      <c r="F484" s="130" t="inlineStr">
        <is>
          <t>АЗС</t>
        </is>
      </c>
      <c r="G484" s="130" t="inlineStr">
        <is>
          <t>BP</t>
        </is>
      </c>
      <c r="H484" s="131" t="n">
        <v>131</v>
      </c>
      <c r="I484" s="637" t="inlineStr">
        <is>
          <t>131 Ленсоветовский</t>
        </is>
      </c>
      <c r="J484" s="637" t="inlineStr">
        <is>
          <t>SPB_BP_Lensovetovskiy</t>
        </is>
      </c>
      <c r="K484" s="640" t="n">
        <v>2</v>
      </c>
      <c r="L484" s="640" t="n">
        <v>0</v>
      </c>
      <c r="M484" s="640" t="inlineStr">
        <is>
          <t>Samsung 32" вертикальный</t>
        </is>
      </c>
      <c r="N484" s="640" t="n"/>
      <c r="O484" s="640">
        <f>IF(AND(N484=1,L484=1),K484,"")</f>
        <v/>
      </c>
      <c r="P484" s="642" t="inlineStr">
        <is>
          <t>Санкт-Петербург, п. Шушары, территория предприятия "Ленсоветовское", уч. 212</t>
        </is>
      </c>
      <c r="Q484" s="640" t="inlineStr">
        <is>
          <t>59.762468</t>
        </is>
      </c>
      <c r="R484" s="422" t="inlineStr">
        <is>
          <t>30.472422</t>
        </is>
      </c>
      <c r="S484" s="436" t="n"/>
      <c r="T484" s="436" t="n"/>
      <c r="U484" s="325" t="n"/>
      <c r="V484" s="438">
        <f>IF(AND(N484=1,U484=1),C484,"")</f>
        <v/>
      </c>
      <c r="W484" s="387" t="n"/>
      <c r="X484" s="387" t="n"/>
      <c r="Y484" s="387" t="n"/>
    </row>
    <row r="485" hidden="1" ht="16.05" customFormat="1" customHeight="1" s="126">
      <c r="A485" s="125" t="n">
        <v>712</v>
      </c>
      <c r="B485" s="125" t="n"/>
      <c r="C485" s="130" t="inlineStr">
        <is>
          <t>Санкт-Петербург</t>
        </is>
      </c>
      <c r="D485" s="130" t="inlineStr">
        <is>
          <t>Санкт-Петербург</t>
        </is>
      </c>
      <c r="E485" s="130" t="n"/>
      <c r="F485" s="130" t="inlineStr">
        <is>
          <t>АЗС</t>
        </is>
      </c>
      <c r="G485" s="130" t="inlineStr">
        <is>
          <t>Роснефть</t>
        </is>
      </c>
      <c r="H485" s="131" t="n">
        <v>108</v>
      </c>
      <c r="I485" s="637" t="inlineStr">
        <is>
          <t>108 Малоохтинская</t>
        </is>
      </c>
      <c r="J485" s="637" t="inlineStr">
        <is>
          <t>SPB_BP_Malookhtinskaya</t>
        </is>
      </c>
      <c r="K485" s="640" t="n">
        <v>2</v>
      </c>
      <c r="L485" s="640" t="n">
        <v>1</v>
      </c>
      <c r="M485" s="623" t="inlineStr">
        <is>
          <t>Samsung 32" вертикальный</t>
        </is>
      </c>
      <c r="N485" s="640" t="n"/>
      <c r="O485" s="640">
        <f>IF(AND(N485=1,L485=1),K485,"")</f>
        <v/>
      </c>
      <c r="P485" s="642" t="inlineStr">
        <is>
          <t>Санкт-Петербург, Малоохтинская наб.,  д. 16</t>
        </is>
      </c>
      <c r="Q485" s="640" t="inlineStr">
        <is>
          <t>59.934445</t>
        </is>
      </c>
      <c r="R485" s="494" t="inlineStr">
        <is>
          <t>30.402163</t>
        </is>
      </c>
      <c r="S485" s="436" t="n"/>
      <c r="T485" s="436" t="n"/>
      <c r="U485" s="325" t="n"/>
      <c r="V485" s="438">
        <f>IF(AND(N485=1,U485=1),C485,"")</f>
        <v/>
      </c>
      <c r="W485" s="387" t="n"/>
      <c r="X485" s="387" t="n"/>
      <c r="Y485" s="387" t="n"/>
    </row>
    <row r="486" hidden="1" ht="16.05" customFormat="1" customHeight="1" s="126">
      <c r="A486" s="125" t="n">
        <v>713</v>
      </c>
      <c r="B486" s="125" t="n"/>
      <c r="C486" s="130" t="inlineStr">
        <is>
          <t>Санкт-Петербург</t>
        </is>
      </c>
      <c r="D486" s="130" t="inlineStr">
        <is>
          <t>Санкт-Петербург</t>
        </is>
      </c>
      <c r="E486" s="130" t="n"/>
      <c r="F486" s="130" t="inlineStr">
        <is>
          <t>АЗС</t>
        </is>
      </c>
      <c r="G486" s="130" t="inlineStr">
        <is>
          <t>Роснефть</t>
        </is>
      </c>
      <c r="H486" s="131" t="n">
        <v>104</v>
      </c>
      <c r="I486" s="637" t="inlineStr">
        <is>
          <t>104 Малый</t>
        </is>
      </c>
      <c r="J486" s="637" t="inlineStr">
        <is>
          <t>SPB_BP_Maliy</t>
        </is>
      </c>
      <c r="K486" s="640" t="n">
        <v>2</v>
      </c>
      <c r="L486" s="640" t="n">
        <v>1</v>
      </c>
      <c r="M486" s="623" t="inlineStr">
        <is>
          <t>Samsung 32" вертикальный</t>
        </is>
      </c>
      <c r="N486" s="640" t="n"/>
      <c r="O486" s="640">
        <f>IF(AND(N486=1,L486=1),K486,"")</f>
        <v/>
      </c>
      <c r="P486" s="642" t="inlineStr">
        <is>
          <t>Санкт-Петербург, Малый пр. В.О., д. 61</t>
        </is>
      </c>
      <c r="Q486" s="640" t="inlineStr">
        <is>
          <t>59.938951</t>
        </is>
      </c>
      <c r="R486" s="494" t="inlineStr">
        <is>
          <t>30.245295</t>
        </is>
      </c>
      <c r="S486" s="436" t="n"/>
      <c r="T486" s="436" t="n"/>
      <c r="U486" s="325" t="n"/>
      <c r="V486" s="438">
        <f>IF(AND(N486=1,U486=1),C486,"")</f>
        <v/>
      </c>
      <c r="W486" s="387" t="n"/>
      <c r="X486" s="387" t="n"/>
      <c r="Y486" s="387" t="n"/>
    </row>
    <row r="487" hidden="1" ht="16.05" customFormat="1" customHeight="1" s="126">
      <c r="A487" s="125" t="n">
        <v>714</v>
      </c>
      <c r="B487" s="125" t="n"/>
      <c r="C487" s="130" t="inlineStr">
        <is>
          <t>Санкт-Петербург</t>
        </is>
      </c>
      <c r="D487" s="130" t="inlineStr">
        <is>
          <t>Санкт-Петербург</t>
        </is>
      </c>
      <c r="E487" s="130" t="n"/>
      <c r="F487" s="130" t="inlineStr">
        <is>
          <t>АЗС</t>
        </is>
      </c>
      <c r="G487" s="130" t="inlineStr">
        <is>
          <t>BP</t>
        </is>
      </c>
      <c r="H487" s="131" t="inlineStr">
        <is>
          <t>Метрика</t>
        </is>
      </c>
      <c r="I487" s="637" t="inlineStr">
        <is>
          <t>Метрика</t>
        </is>
      </c>
      <c r="J487" s="402" t="inlineStr">
        <is>
          <t>SPB_BP_Metrika</t>
        </is>
      </c>
      <c r="K487" s="640" t="n">
        <v>2</v>
      </c>
      <c r="L487" s="640" t="n">
        <v>0</v>
      </c>
      <c r="M487" s="640" t="inlineStr">
        <is>
          <t>Samsung 32" вертикальный</t>
        </is>
      </c>
      <c r="N487" s="640" t="n"/>
      <c r="O487" s="640">
        <f>IF(AND(N487=1,L487=1),K487,"")</f>
        <v/>
      </c>
      <c r="P487" s="642" t="inlineStr">
        <is>
          <t>Санкт-Петербург, Выборгское ш., д.214,к.3</t>
        </is>
      </c>
      <c r="Q487" s="640" t="n">
        <v>60.074647</v>
      </c>
      <c r="R487" s="422" t="n">
        <v>30.275465</v>
      </c>
      <c r="S487" s="436" t="n"/>
      <c r="T487" s="436" t="n"/>
      <c r="U487" s="325" t="n"/>
      <c r="V487" s="438">
        <f>IF(AND(N487=1,U487=1),C487,"")</f>
        <v/>
      </c>
      <c r="W487" s="387" t="n"/>
      <c r="X487" s="1" t="n"/>
      <c r="Y487" s="1" t="n"/>
    </row>
    <row r="488" hidden="1" ht="16.05" customFormat="1" customHeight="1" s="126">
      <c r="A488" s="125" t="n">
        <v>715</v>
      </c>
      <c r="B488" s="125" t="n"/>
      <c r="C488" s="130" t="inlineStr">
        <is>
          <t>Санкт-Петербург</t>
        </is>
      </c>
      <c r="D488" s="130" t="inlineStr">
        <is>
          <t>Санкт-Петербург</t>
        </is>
      </c>
      <c r="E488" s="130" t="n"/>
      <c r="F488" s="130" t="inlineStr">
        <is>
          <t>АЗС</t>
        </is>
      </c>
      <c r="G488" s="130" t="inlineStr">
        <is>
          <t>Роснефть</t>
        </is>
      </c>
      <c r="H488" s="131" t="n">
        <v>137</v>
      </c>
      <c r="I488" s="637" t="inlineStr">
        <is>
          <t>137 Николаевский проезд</t>
        </is>
      </c>
      <c r="J488" s="637" t="inlineStr">
        <is>
          <t>SPB_BP_Nikolaevskiy</t>
        </is>
      </c>
      <c r="K488" s="640" t="n">
        <v>2</v>
      </c>
      <c r="L488" s="640" t="n">
        <v>1</v>
      </c>
      <c r="M488" s="623" t="inlineStr">
        <is>
          <t>Samsung 32" вертикальный</t>
        </is>
      </c>
      <c r="N488" s="640" t="n"/>
      <c r="O488" s="640">
        <f>IF(AND(N488=1,L488=1),K488,"")</f>
        <v/>
      </c>
      <c r="P488" s="642" t="inlineStr">
        <is>
          <t>Санкт-Петербург, п. Петро-Славянка, территория предприятия "Ленсоветовский", уч.к 240</t>
        </is>
      </c>
      <c r="Q488" s="640" t="inlineStr">
        <is>
          <t>59.804902</t>
        </is>
      </c>
      <c r="R488" s="494" t="inlineStr">
        <is>
          <t>30.472863</t>
        </is>
      </c>
      <c r="S488" s="436" t="n"/>
      <c r="T488" s="436" t="n"/>
      <c r="U488" s="325" t="n"/>
      <c r="V488" s="438">
        <f>IF(AND(N488=1,U488=1),C488,"")</f>
        <v/>
      </c>
      <c r="W488" s="387" t="n"/>
      <c r="X488" s="387" t="n"/>
      <c r="Y488" s="387" t="n"/>
    </row>
    <row r="489" hidden="1" ht="16.05" customFormat="1" customHeight="1" s="126">
      <c r="A489" s="125" t="n">
        <v>716</v>
      </c>
      <c r="B489" s="125" t="n"/>
      <c r="C489" s="130" t="inlineStr">
        <is>
          <t>Санкт-Петербург</t>
        </is>
      </c>
      <c r="D489" s="130" t="inlineStr">
        <is>
          <t>Новгородская область</t>
        </is>
      </c>
      <c r="E489" s="130" t="n"/>
      <c r="F489" s="130" t="inlineStr">
        <is>
          <t>АЗС</t>
        </is>
      </c>
      <c r="G489" s="130" t="inlineStr">
        <is>
          <t>Роснефть</t>
        </is>
      </c>
      <c r="H489" s="131" t="n">
        <v>147</v>
      </c>
      <c r="I489" s="637" t="inlineStr">
        <is>
          <t>147 Новгород-1</t>
        </is>
      </c>
      <c r="J489" s="637" t="inlineStr">
        <is>
          <t>NVG_BP_Novgorod1</t>
        </is>
      </c>
      <c r="K489" s="640" t="n">
        <v>2</v>
      </c>
      <c r="L489" s="640" t="n">
        <v>1</v>
      </c>
      <c r="M489" s="623" t="inlineStr">
        <is>
          <t>Samsung 32" вертикальный</t>
        </is>
      </c>
      <c r="N489" s="640" t="n"/>
      <c r="O489" s="640">
        <f>IF(AND(N489=1,L489=1),K489,"")</f>
        <v/>
      </c>
      <c r="P489" s="642" t="inlineStr">
        <is>
          <t>Новгородская область, 506 км.  М10 Москва-Санкт-Петербург, Новоселицкое сельское поселение,право</t>
        </is>
      </c>
      <c r="Q489" s="640" t="inlineStr">
        <is>
          <t>58.521502</t>
        </is>
      </c>
      <c r="R489" s="494" t="inlineStr">
        <is>
          <t>31.668265</t>
        </is>
      </c>
      <c r="S489" s="436" t="n"/>
      <c r="T489" s="436" t="n"/>
      <c r="U489" s="325" t="n"/>
      <c r="V489" s="438">
        <f>IF(AND(N489=1,U489=1),C489,"")</f>
        <v/>
      </c>
      <c r="W489" s="387" t="n"/>
      <c r="X489" s="387" t="n"/>
      <c r="Y489" s="387" t="n"/>
    </row>
    <row r="490" hidden="1" ht="16.05" customFormat="1" customHeight="1" s="126">
      <c r="A490" s="125" t="n">
        <v>717</v>
      </c>
      <c r="B490" s="125" t="n"/>
      <c r="C490" s="130" t="inlineStr">
        <is>
          <t>Санкт-Петербург</t>
        </is>
      </c>
      <c r="D490" s="130" t="inlineStr">
        <is>
          <t>Новгородская область</t>
        </is>
      </c>
      <c r="E490" s="130" t="n"/>
      <c r="F490" s="130" t="inlineStr">
        <is>
          <t>АЗС</t>
        </is>
      </c>
      <c r="G490" s="130" t="inlineStr">
        <is>
          <t>Роснефть</t>
        </is>
      </c>
      <c r="H490" s="131" t="n">
        <v>148</v>
      </c>
      <c r="I490" s="637" t="inlineStr">
        <is>
          <t>148 Новгород-2</t>
        </is>
      </c>
      <c r="J490" s="637" t="inlineStr">
        <is>
          <t>NVG_BP_Novgorod2</t>
        </is>
      </c>
      <c r="K490" s="640" t="n">
        <v>2</v>
      </c>
      <c r="L490" s="640" t="n">
        <v>1</v>
      </c>
      <c r="M490" s="623" t="inlineStr">
        <is>
          <t>Samsung 32" вертикальный</t>
        </is>
      </c>
      <c r="N490" s="640" t="n"/>
      <c r="O490" s="640">
        <f>IF(AND(N490=1,L490=1),K490,"")</f>
        <v/>
      </c>
      <c r="P490" s="642" t="inlineStr">
        <is>
          <t>Новгородская область, 506 км.  М10 Москва-Санкт-Петербург, Новоселицкое сельское поселение,лево</t>
        </is>
      </c>
      <c r="Q490" s="640" t="inlineStr">
        <is>
          <t>58.519887</t>
        </is>
      </c>
      <c r="R490" s="494" t="inlineStr">
        <is>
          <t>31.668203</t>
        </is>
      </c>
      <c r="S490" s="436" t="n"/>
      <c r="T490" s="436" t="n"/>
      <c r="U490" s="325" t="n"/>
      <c r="V490" s="438">
        <f>IF(AND(N490=1,U490=1),C490,"")</f>
        <v/>
      </c>
      <c r="W490" s="387" t="n"/>
      <c r="X490" s="387" t="n"/>
      <c r="Y490" s="387" t="n"/>
    </row>
    <row r="491" hidden="1" ht="16.05" customFormat="1" customHeight="1" s="126">
      <c r="A491" s="125" t="n">
        <v>718</v>
      </c>
      <c r="B491" s="125" t="n"/>
      <c r="C491" s="130" t="inlineStr">
        <is>
          <t>Санкт-Петербург</t>
        </is>
      </c>
      <c r="D491" s="130" t="inlineStr">
        <is>
          <t>Санкт-Петербург</t>
        </is>
      </c>
      <c r="E491" s="130" t="n"/>
      <c r="F491" s="130" t="inlineStr">
        <is>
          <t>АЗС</t>
        </is>
      </c>
      <c r="G491" s="130" t="inlineStr">
        <is>
          <t>Роснефть</t>
        </is>
      </c>
      <c r="H491" s="131" t="n">
        <v>121</v>
      </c>
      <c r="I491" s="637" t="inlineStr">
        <is>
          <t>121 Пискаревский</t>
        </is>
      </c>
      <c r="J491" s="637" t="inlineStr">
        <is>
          <t>SPB_BP_Piskarevskiy</t>
        </is>
      </c>
      <c r="K491" s="640" t="n">
        <v>2</v>
      </c>
      <c r="L491" s="640" t="n">
        <v>1</v>
      </c>
      <c r="M491" s="623" t="inlineStr">
        <is>
          <t>Samsung 32" вертикальный</t>
        </is>
      </c>
      <c r="N491" s="640" t="n"/>
      <c r="O491" s="640">
        <f>IF(AND(N491=1,L491=1),K491,"")</f>
        <v/>
      </c>
      <c r="P491" s="642" t="inlineStr">
        <is>
          <t>Санкт-Петербург, Пискаревкий пр., д. 27, к. 1</t>
        </is>
      </c>
      <c r="Q491" s="640" t="inlineStr">
        <is>
          <t>59.971694</t>
        </is>
      </c>
      <c r="R491" s="494" t="inlineStr">
        <is>
          <t>30.413987</t>
        </is>
      </c>
      <c r="S491" s="436" t="n"/>
      <c r="T491" s="436" t="n"/>
      <c r="U491" s="325" t="n"/>
      <c r="V491" s="438">
        <f>IF(AND(N491=1,U491=1),C491,"")</f>
        <v/>
      </c>
      <c r="W491" s="387" t="n"/>
      <c r="X491" s="387" t="n"/>
      <c r="Y491" s="387" t="n"/>
    </row>
    <row r="492" hidden="1" ht="16.05" customFormat="1" customHeight="1" s="126">
      <c r="A492" s="125" t="n">
        <v>719</v>
      </c>
      <c r="B492" s="125" t="n"/>
      <c r="C492" s="130" t="inlineStr">
        <is>
          <t>Санкт-Петербург</t>
        </is>
      </c>
      <c r="D492" s="130" t="inlineStr">
        <is>
          <t>Санкт-Петербург</t>
        </is>
      </c>
      <c r="E492" s="130" t="n"/>
      <c r="F492" s="130" t="inlineStr">
        <is>
          <t>АЗС</t>
        </is>
      </c>
      <c r="G492" s="130" t="inlineStr">
        <is>
          <t>Роснефть</t>
        </is>
      </c>
      <c r="H492" s="131" t="n">
        <v>124</v>
      </c>
      <c r="I492" s="637" t="inlineStr">
        <is>
          <t>124 Стрельна</t>
        </is>
      </c>
      <c r="J492" s="637" t="inlineStr">
        <is>
          <t>SPB_BP_Strelna</t>
        </is>
      </c>
      <c r="K492" s="640" t="n">
        <v>2</v>
      </c>
      <c r="L492" s="640" t="n">
        <v>1</v>
      </c>
      <c r="M492" s="623" t="inlineStr">
        <is>
          <t>Samsung 32" вертикальный</t>
        </is>
      </c>
      <c r="N492" s="640" t="n"/>
      <c r="O492" s="640">
        <f>IF(AND(N492=1,L492=1),K492,"")</f>
        <v/>
      </c>
      <c r="P492" s="642" t="inlineStr">
        <is>
          <t>Санкт-Петербург, Петергофское ш., д. 100</t>
        </is>
      </c>
      <c r="Q492" s="640" t="inlineStr">
        <is>
          <t>59.852887</t>
        </is>
      </c>
      <c r="R492" s="494" t="inlineStr">
        <is>
          <t>30.092475</t>
        </is>
      </c>
      <c r="S492" s="436" t="n"/>
      <c r="T492" s="436" t="n"/>
      <c r="U492" s="325" t="n"/>
      <c r="V492" s="438">
        <f>IF(AND(N492=1,U492=1),C492,"")</f>
        <v/>
      </c>
      <c r="W492" s="387" t="n"/>
      <c r="X492" s="387" t="n"/>
      <c r="Y492" s="387" t="n"/>
    </row>
    <row r="493" hidden="1" ht="16.05" customFormat="1" customHeight="1" s="126">
      <c r="A493" s="125" t="n">
        <v>720</v>
      </c>
      <c r="B493" s="125" t="n"/>
      <c r="C493" s="130" t="inlineStr">
        <is>
          <t>Санкт-Петербург</t>
        </is>
      </c>
      <c r="D493" s="130" t="inlineStr">
        <is>
          <t>Санкт-Петербург</t>
        </is>
      </c>
      <c r="E493" s="130" t="n"/>
      <c r="F493" s="130" t="inlineStr">
        <is>
          <t>АЗС</t>
        </is>
      </c>
      <c r="G493" s="130" t="inlineStr">
        <is>
          <t>Роснефть</t>
        </is>
      </c>
      <c r="H493" s="131" t="n">
        <v>118</v>
      </c>
      <c r="I493" s="637" t="inlineStr">
        <is>
          <t>118 Пулковская</t>
        </is>
      </c>
      <c r="J493" s="637" t="inlineStr">
        <is>
          <t>SPB_BP_Pulkovskaya</t>
        </is>
      </c>
      <c r="K493" s="640" t="n">
        <v>2</v>
      </c>
      <c r="L493" s="640" t="n">
        <v>1</v>
      </c>
      <c r="M493" s="623" t="inlineStr">
        <is>
          <t>Samsung 32" вертикальный</t>
        </is>
      </c>
      <c r="N493" s="640" t="n"/>
      <c r="O493" s="640">
        <f>IF(AND(N493=1,L493=1),K493,"")</f>
        <v/>
      </c>
      <c r="P493" s="642" t="inlineStr">
        <is>
          <t>Санкт-Петербург, Пулковское ш., д. 35, к. 6</t>
        </is>
      </c>
      <c r="Q493" s="640" t="inlineStr">
        <is>
          <t>59.802166</t>
        </is>
      </c>
      <c r="R493" s="494" t="inlineStr">
        <is>
          <t>30.322536</t>
        </is>
      </c>
      <c r="S493" s="436" t="n"/>
      <c r="T493" s="436" t="n"/>
      <c r="U493" s="325" t="n"/>
      <c r="V493" s="438">
        <f>IF(AND(N493=1,U493=1),C493,"")</f>
        <v/>
      </c>
      <c r="W493" s="387" t="n"/>
      <c r="X493" s="387" t="n"/>
      <c r="Y493" s="387" t="n"/>
    </row>
    <row r="494" hidden="1" ht="16.05" customFormat="1" customHeight="1" s="126">
      <c r="A494" s="125" t="n">
        <v>1687</v>
      </c>
      <c r="B494" s="125" t="n"/>
      <c r="C494" s="130" t="inlineStr">
        <is>
          <t>Санкт-Петербург</t>
        </is>
      </c>
      <c r="D494" s="130" t="inlineStr">
        <is>
          <t>Ленинградская область</t>
        </is>
      </c>
      <c r="E494" s="130" t="n"/>
      <c r="F494" s="130" t="inlineStr">
        <is>
          <t>АЗС</t>
        </is>
      </c>
      <c r="G494" s="130" t="inlineStr">
        <is>
          <t>ПТК</t>
        </is>
      </c>
      <c r="H494" s="131" t="n">
        <v>364</v>
      </c>
      <c r="I494" s="637" t="inlineStr">
        <is>
          <t>364 Кировск</t>
        </is>
      </c>
      <c r="J494" s="637" t="inlineStr">
        <is>
          <t>PTK_0064</t>
        </is>
      </c>
      <c r="K494" s="640" t="n">
        <v>1</v>
      </c>
      <c r="L494" s="640" t="n">
        <v>0</v>
      </c>
      <c r="M494" s="640" t="inlineStr">
        <is>
          <t>Samsung 32" вертикальный</t>
        </is>
      </c>
      <c r="N494" s="640" t="n"/>
      <c r="O494" s="640">
        <f>IF(AND(N494=1,L494=1),K494,"")</f>
        <v/>
      </c>
      <c r="P494" s="642" t="inlineStr">
        <is>
          <t>Ленинградская область, Кировск, ул. Набережная, 47</t>
        </is>
      </c>
      <c r="Q494" s="640" t="inlineStr">
        <is>
          <t>59.854041</t>
        </is>
      </c>
      <c r="R494" s="422" t="inlineStr">
        <is>
          <t>30.964056</t>
        </is>
      </c>
      <c r="S494" s="436" t="n"/>
      <c r="T494" s="436" t="n"/>
      <c r="U494" s="325" t="n"/>
      <c r="V494" s="438">
        <f>IF(AND(N494=1,U494=1),C494,"")</f>
        <v/>
      </c>
      <c r="W494" s="387" t="n"/>
      <c r="X494" s="387" t="n"/>
      <c r="Y494" s="387" t="n"/>
    </row>
    <row r="495" hidden="1" ht="16.05" customFormat="1" customHeight="1" s="126">
      <c r="A495" s="125" t="n">
        <v>721</v>
      </c>
      <c r="B495" s="125" t="n"/>
      <c r="C495" s="130" t="inlineStr">
        <is>
          <t>Санкт-Петербург</t>
        </is>
      </c>
      <c r="D495" s="130" t="inlineStr">
        <is>
          <t>Ленинградская область</t>
        </is>
      </c>
      <c r="E495" s="130" t="n"/>
      <c r="F495" s="130" t="inlineStr">
        <is>
          <t>АЗС</t>
        </is>
      </c>
      <c r="G495" s="130" t="inlineStr">
        <is>
          <t>Роснефть</t>
        </is>
      </c>
      <c r="H495" s="131" t="n">
        <v>127</v>
      </c>
      <c r="I495" s="637" t="inlineStr">
        <is>
          <t>127 Разметелево</t>
        </is>
      </c>
      <c r="J495" s="637" t="inlineStr">
        <is>
          <t>SPB_BP_Razmetelevo</t>
        </is>
      </c>
      <c r="K495" s="640" t="n">
        <v>2</v>
      </c>
      <c r="L495" s="640" t="n">
        <v>1</v>
      </c>
      <c r="M495" s="623" t="inlineStr">
        <is>
          <t>Samsung 32" вертикальный</t>
        </is>
      </c>
      <c r="N495" s="640" t="n"/>
      <c r="O495" s="640">
        <f>IF(AND(N495=1,L495=1),K495,"")</f>
        <v/>
      </c>
      <c r="P495" s="642" t="inlineStr">
        <is>
          <t>Ленинградская область, Всеволожский район, Разметелевская волость, массив "Соржа - Рыжики" (Россия, Ленинградская область, Всеволожский район, Р-21 Кола, 20-й километр)</t>
        </is>
      </c>
      <c r="Q495" s="640" t="inlineStr">
        <is>
          <t>59.891992</t>
        </is>
      </c>
      <c r="R495" s="494" t="inlineStr">
        <is>
          <t>30.644045</t>
        </is>
      </c>
      <c r="S495" s="436" t="n"/>
      <c r="T495" s="436" t="n"/>
      <c r="U495" s="325" t="n"/>
      <c r="V495" s="438">
        <f>IF(AND(N495=1,U495=1),C495,"")</f>
        <v/>
      </c>
      <c r="W495" s="387" t="n"/>
      <c r="X495" s="387" t="n"/>
      <c r="Y495" s="387" t="n"/>
    </row>
    <row r="496" hidden="1" ht="16.05" customFormat="1" customHeight="1" s="126">
      <c r="A496" s="125" t="n">
        <v>722</v>
      </c>
      <c r="B496" s="125" t="n"/>
      <c r="C496" s="130" t="inlineStr">
        <is>
          <t>Санкт-Петербург</t>
        </is>
      </c>
      <c r="D496" s="130" t="inlineStr">
        <is>
          <t>Санкт-Петербург</t>
        </is>
      </c>
      <c r="E496" s="130" t="n"/>
      <c r="F496" s="130" t="inlineStr">
        <is>
          <t>АЗС</t>
        </is>
      </c>
      <c r="G496" s="130" t="inlineStr">
        <is>
          <t>Роснефть</t>
        </is>
      </c>
      <c r="H496" s="131" t="n">
        <v>109</v>
      </c>
      <c r="I496" s="637" t="inlineStr">
        <is>
          <t>109 Северная</t>
        </is>
      </c>
      <c r="J496" s="637" t="inlineStr">
        <is>
          <t>SPB_BP_Severnaya</t>
        </is>
      </c>
      <c r="K496" s="640" t="n">
        <v>2</v>
      </c>
      <c r="L496" s="640" t="n">
        <v>1</v>
      </c>
      <c r="M496" s="623" t="inlineStr">
        <is>
          <t>Samsung 32" вертикальный</t>
        </is>
      </c>
      <c r="N496" s="640" t="n"/>
      <c r="O496" s="640">
        <f>IF(AND(N496=1,L496=1),K496,"")</f>
        <v/>
      </c>
      <c r="P496" s="642" t="inlineStr">
        <is>
          <t>Санкт-Петербург, Северная пл., д.2</t>
        </is>
      </c>
      <c r="Q496" s="640" t="inlineStr">
        <is>
          <t>60.023439</t>
        </is>
      </c>
      <c r="R496" s="494" t="inlineStr">
        <is>
          <t>30.407092</t>
        </is>
      </c>
      <c r="S496" s="436" t="n"/>
      <c r="T496" s="436" t="n"/>
      <c r="U496" s="325" t="n"/>
      <c r="V496" s="438">
        <f>IF(AND(N496=1,U496=1),C496,"")</f>
        <v/>
      </c>
      <c r="W496" s="387" t="n"/>
      <c r="X496" s="387" t="n"/>
      <c r="Y496" s="387" t="n"/>
    </row>
    <row r="497" hidden="1" ht="16.05" customFormat="1" customHeight="1" s="126">
      <c r="A497" s="125" t="n">
        <v>724</v>
      </c>
      <c r="B497" s="125" t="n"/>
      <c r="C497" s="130" t="inlineStr">
        <is>
          <t>Санкт-Петербург</t>
        </is>
      </c>
      <c r="D497" s="130" t="inlineStr">
        <is>
          <t>Ленинградская область</t>
        </is>
      </c>
      <c r="E497" s="130" t="n"/>
      <c r="F497" s="130" t="inlineStr">
        <is>
          <t>АЗС</t>
        </is>
      </c>
      <c r="G497" s="130" t="inlineStr">
        <is>
          <t>Роснефть</t>
        </is>
      </c>
      <c r="H497" s="131" t="n">
        <v>126</v>
      </c>
      <c r="I497" s="637" t="inlineStr">
        <is>
          <t>126 Скотное</t>
        </is>
      </c>
      <c r="J497" s="637" t="inlineStr">
        <is>
          <t>SPB_BP_Skotnoe</t>
        </is>
      </c>
      <c r="K497" s="640" t="n">
        <v>2</v>
      </c>
      <c r="L497" s="640" t="n">
        <v>1</v>
      </c>
      <c r="M497" s="623" t="inlineStr">
        <is>
          <t>Samsung 32" вертикальный</t>
        </is>
      </c>
      <c r="N497" s="640" t="n"/>
      <c r="O497" s="640">
        <f>IF(AND(N497=1,L497=1),K497,"")</f>
        <v/>
      </c>
      <c r="P497" s="642" t="inlineStr">
        <is>
          <t>Ленинградская область, Всеволожский район, Массив "Скотное" (Скотное, а/д Р33 (Санкт-Петербург - Приозерск), 8 км от КАД)
Ленинградская обл
Ленинградская обл)</t>
        </is>
      </c>
      <c r="Q497" s="640" t="inlineStr">
        <is>
          <t>60.166061</t>
        </is>
      </c>
      <c r="R497" s="494" t="inlineStr">
        <is>
          <t>30.353291</t>
        </is>
      </c>
      <c r="S497" s="436" t="n"/>
      <c r="T497" s="436" t="n"/>
      <c r="U497" s="325" t="n"/>
      <c r="V497" s="438">
        <f>IF(AND(N497=1,U497=1),C497,"")</f>
        <v/>
      </c>
      <c r="W497" s="387" t="n"/>
      <c r="X497" s="387" t="n"/>
      <c r="Y497" s="387" t="n"/>
    </row>
    <row r="498" hidden="1" ht="16.05" customFormat="1" customHeight="1" s="126">
      <c r="A498" s="125" t="n">
        <v>723</v>
      </c>
      <c r="B498" s="125" t="n"/>
      <c r="C498" s="130" t="inlineStr">
        <is>
          <t>Санкт-Петербург</t>
        </is>
      </c>
      <c r="D498" s="130" t="inlineStr">
        <is>
          <t>Ленинградская область</t>
        </is>
      </c>
      <c r="E498" s="130" t="n"/>
      <c r="F498" s="130" t="inlineStr">
        <is>
          <t>АЗС</t>
        </is>
      </c>
      <c r="G498" s="130" t="inlineStr">
        <is>
          <t>BP</t>
        </is>
      </c>
      <c r="H498" s="131" t="n">
        <v>128</v>
      </c>
      <c r="I498" s="637" t="inlineStr">
        <is>
          <t>128 Кирилловское</t>
        </is>
      </c>
      <c r="J498" s="637" t="inlineStr">
        <is>
          <t>SPB_BP_Skandinaviya</t>
        </is>
      </c>
      <c r="K498" s="640" t="n">
        <v>2</v>
      </c>
      <c r="L498" s="640" t="n">
        <v>0</v>
      </c>
      <c r="M498" s="640" t="inlineStr">
        <is>
          <t>Samsung 32" вертикальный</t>
        </is>
      </c>
      <c r="N498" s="640" t="n"/>
      <c r="O498" s="640">
        <f>IF(AND(N498=1,L498=1),K498,"")</f>
        <v/>
      </c>
      <c r="P498" s="642" t="inlineStr">
        <is>
          <t>Ленинградская область, Выборгский район, 98 км.автодороги Е-18 "Скандинавия"</t>
        </is>
      </c>
      <c r="Q498" s="640" t="inlineStr">
        <is>
          <t>60.461888</t>
        </is>
      </c>
      <c r="R498" s="422" t="inlineStr">
        <is>
          <t>29.336849</t>
        </is>
      </c>
      <c r="S498" s="436" t="n"/>
      <c r="T498" s="436" t="n"/>
      <c r="U498" s="325" t="n"/>
      <c r="V498" s="438">
        <f>IF(AND(N498=1,U498=1),C498,"")</f>
        <v/>
      </c>
      <c r="W498" s="387" t="n"/>
      <c r="X498" s="387" t="n"/>
      <c r="Y498" s="387" t="n"/>
    </row>
    <row r="499" hidden="1" ht="16.05" customFormat="1" customHeight="1" s="126">
      <c r="A499" s="125" t="n">
        <v>725</v>
      </c>
      <c r="B499" s="125" t="n"/>
      <c r="C499" s="130" t="inlineStr">
        <is>
          <t>Санкт-Петербург</t>
        </is>
      </c>
      <c r="D499" s="130" t="inlineStr">
        <is>
          <t>Санкт-Петербург</t>
        </is>
      </c>
      <c r="E499" s="130" t="n"/>
      <c r="F499" s="130" t="inlineStr">
        <is>
          <t>АЗС</t>
        </is>
      </c>
      <c r="G499" s="130" t="inlineStr">
        <is>
          <t>Роснефть</t>
        </is>
      </c>
      <c r="H499" s="131" t="n">
        <v>116</v>
      </c>
      <c r="I499" s="637" t="inlineStr">
        <is>
          <t>116 Софийская</t>
        </is>
      </c>
      <c r="J499" s="637" t="inlineStr">
        <is>
          <t>SPB_BP_Sofiyskaya</t>
        </is>
      </c>
      <c r="K499" s="640" t="n">
        <v>2</v>
      </c>
      <c r="L499" s="640" t="n">
        <v>1</v>
      </c>
      <c r="M499" s="623" t="inlineStr">
        <is>
          <t>Samsung 32" вертикальный</t>
        </is>
      </c>
      <c r="N499" s="640" t="n"/>
      <c r="O499" s="640">
        <f>IF(AND(N499=1,L499=1),K499,"")</f>
        <v/>
      </c>
      <c r="P499" s="642" t="inlineStr">
        <is>
          <t>Санкт-Петербург,  Софийская, д. 73, к.2</t>
        </is>
      </c>
      <c r="Q499" s="640" t="inlineStr">
        <is>
          <t>59.852395</t>
        </is>
      </c>
      <c r="R499" s="494" t="inlineStr">
        <is>
          <t>30.424781</t>
        </is>
      </c>
      <c r="S499" s="436" t="n"/>
      <c r="T499" s="436" t="n"/>
      <c r="U499" s="325" t="n"/>
      <c r="V499" s="438">
        <f>IF(AND(N499=1,U499=1),C499,"")</f>
        <v/>
      </c>
      <c r="W499" s="387" t="n"/>
      <c r="X499" s="387" t="n"/>
      <c r="Y499" s="387" t="n"/>
    </row>
    <row r="500" hidden="1" ht="16.05" customFormat="1" customHeight="1" s="126">
      <c r="A500" s="125" t="n">
        <v>726</v>
      </c>
      <c r="B500" s="125" t="n"/>
      <c r="C500" s="130" t="inlineStr">
        <is>
          <t>Санкт-Петербург</t>
        </is>
      </c>
      <c r="D500" s="130" t="inlineStr">
        <is>
          <t>Санкт-Петербург</t>
        </is>
      </c>
      <c r="E500" s="130" t="n"/>
      <c r="F500" s="130" t="inlineStr">
        <is>
          <t>АЗС</t>
        </is>
      </c>
      <c r="G500" s="130" t="inlineStr">
        <is>
          <t>Роснефть</t>
        </is>
      </c>
      <c r="H500" s="131" t="n">
        <v>125</v>
      </c>
      <c r="I500" s="637" t="inlineStr">
        <is>
          <t>125 Шафировский</t>
        </is>
      </c>
      <c r="J500" s="637" t="inlineStr">
        <is>
          <t>SPB_RN_Shafirovskiy</t>
        </is>
      </c>
      <c r="K500" s="640" t="n">
        <v>2</v>
      </c>
      <c r="L500" s="640" t="n">
        <v>1</v>
      </c>
      <c r="M500" s="623" t="inlineStr">
        <is>
          <t>Samsung 32" вертикальный</t>
        </is>
      </c>
      <c r="N500" s="640" t="n"/>
      <c r="O500" s="640">
        <f>IF(AND(N500=1,L500=1),K500,"")</f>
        <v/>
      </c>
      <c r="P500" s="642" t="inlineStr">
        <is>
          <t>Санкт-Петербург, Красногвардейский район, тер. предприятия "Ручьи", уч. 92 (Беляевка)</t>
        </is>
      </c>
      <c r="Q500" s="640" t="inlineStr">
        <is>
          <t>59.988782</t>
        </is>
      </c>
      <c r="R500" s="494" t="inlineStr">
        <is>
          <t>30.464854</t>
        </is>
      </c>
      <c r="S500" s="436" t="n"/>
      <c r="T500" s="436" t="n"/>
      <c r="U500" s="325" t="n"/>
      <c r="V500" s="438">
        <f>IF(AND(N500=1,U500=1),C500,"")</f>
        <v/>
      </c>
      <c r="W500" s="387" t="n"/>
      <c r="X500" s="387" t="n"/>
      <c r="Y500" s="387" t="n"/>
    </row>
    <row r="501" hidden="1" ht="16.05" customFormat="1" customHeight="1" s="126">
      <c r="A501" s="125" t="n">
        <v>727</v>
      </c>
      <c r="B501" s="125" t="n"/>
      <c r="C501" s="130" t="inlineStr">
        <is>
          <t>Санкт-Петербург</t>
        </is>
      </c>
      <c r="D501" s="130" t="inlineStr">
        <is>
          <t>Санкт-Петербург</t>
        </is>
      </c>
      <c r="E501" s="130" t="n"/>
      <c r="F501" s="130" t="inlineStr">
        <is>
          <t>АЗС</t>
        </is>
      </c>
      <c r="G501" s="130" t="inlineStr">
        <is>
          <t>Роснефть</t>
        </is>
      </c>
      <c r="H501" s="131" t="n">
        <v>136</v>
      </c>
      <c r="I501" s="637" t="inlineStr">
        <is>
          <t>136 Шушары</t>
        </is>
      </c>
      <c r="J501" s="637" t="inlineStr">
        <is>
          <t>SPB_BP_Shushary</t>
        </is>
      </c>
      <c r="K501" s="640" t="n">
        <v>2</v>
      </c>
      <c r="L501" s="640" t="n">
        <v>1</v>
      </c>
      <c r="M501" s="623" t="inlineStr">
        <is>
          <t>Samsung 32" вертикальный</t>
        </is>
      </c>
      <c r="N501" s="640" t="n"/>
      <c r="O501" s="640">
        <f>IF(AND(N501=1,L501=1),K501,"")</f>
        <v/>
      </c>
      <c r="P501" s="642" t="inlineStr">
        <is>
          <t>Санкт-Петербург, п. Шушары, Московское шоссе, на выезд из Санкт-Петербург, уч. 225</t>
        </is>
      </c>
      <c r="Q501" s="640" t="inlineStr">
        <is>
          <t>59.778251</t>
        </is>
      </c>
      <c r="R501" s="494" t="inlineStr">
        <is>
          <t>30.440104</t>
        </is>
      </c>
      <c r="S501" s="436" t="n"/>
      <c r="T501" s="436" t="n"/>
      <c r="U501" s="325" t="n"/>
      <c r="V501" s="438">
        <f>IF(AND(N501=1,U501=1),C501,"")</f>
        <v/>
      </c>
      <c r="W501" s="387" t="n"/>
      <c r="X501" s="387" t="n"/>
      <c r="Y501" s="387" t="n"/>
    </row>
    <row r="502" hidden="1" ht="16.05" customFormat="1" customHeight="1" s="126">
      <c r="A502" s="125" t="n">
        <v>728</v>
      </c>
      <c r="B502" s="125" t="n"/>
      <c r="C502" s="130" t="inlineStr">
        <is>
          <t>Санкт-Петербург</t>
        </is>
      </c>
      <c r="D502" s="130" t="inlineStr">
        <is>
          <t>Санкт-Петербург</t>
        </is>
      </c>
      <c r="E502" s="130" t="n"/>
      <c r="F502" s="130" t="inlineStr">
        <is>
          <t>АЗС</t>
        </is>
      </c>
      <c r="G502" s="130" t="inlineStr">
        <is>
          <t>Роснефть</t>
        </is>
      </c>
      <c r="H502" s="131" t="inlineStr">
        <is>
          <t>АЗК 001</t>
        </is>
      </c>
      <c r="I502" s="637" t="inlineStr">
        <is>
          <t>001 Королева</t>
        </is>
      </c>
      <c r="J502" s="637" t="inlineStr">
        <is>
          <t>SPB_RN_0001</t>
        </is>
      </c>
      <c r="K502" s="640" t="n">
        <v>1</v>
      </c>
      <c r="L502" s="640" t="n">
        <v>1</v>
      </c>
      <c r="M502" s="623" t="inlineStr">
        <is>
          <t>Samsung 32" вертикальный</t>
        </is>
      </c>
      <c r="N502" s="640" t="n"/>
      <c r="O502" s="640">
        <f>IF(AND(N502=1,L502=1),K502,"")</f>
        <v/>
      </c>
      <c r="P502" s="642" t="inlineStr">
        <is>
          <t>Санкт-Петербург, пр-кт Королева, д.40, лит. А</t>
        </is>
      </c>
      <c r="Q502" s="640" t="inlineStr">
        <is>
          <t>60.01815</t>
        </is>
      </c>
      <c r="R502" s="494" t="inlineStr">
        <is>
          <t>30.256582</t>
        </is>
      </c>
      <c r="S502" s="436" t="n"/>
      <c r="T502" s="436" t="n"/>
      <c r="U502" s="325" t="n"/>
      <c r="V502" s="438">
        <f>IF(AND(N502=1,U502=1),C502,"")</f>
        <v/>
      </c>
      <c r="W502" s="387" t="n"/>
      <c r="X502" s="387" t="n"/>
      <c r="Y502" s="387" t="n"/>
    </row>
    <row r="503" hidden="1" ht="16.05" customFormat="1" customHeight="1" s="126">
      <c r="A503" s="125" t="n">
        <v>729</v>
      </c>
      <c r="B503" s="125" t="n"/>
      <c r="C503" s="130" t="inlineStr">
        <is>
          <t>Санкт-Петербург</t>
        </is>
      </c>
      <c r="D503" s="130" t="inlineStr">
        <is>
          <t>Санкт-Петербург</t>
        </is>
      </c>
      <c r="E503" s="130" t="n"/>
      <c r="F503" s="130" t="inlineStr">
        <is>
          <t>АЗС</t>
        </is>
      </c>
      <c r="G503" s="130" t="inlineStr">
        <is>
          <t>Роснефть</t>
        </is>
      </c>
      <c r="H503" s="131" t="inlineStr">
        <is>
          <t>АЗК 002</t>
        </is>
      </c>
      <c r="I503" s="637" t="inlineStr">
        <is>
          <t>002 Казакова</t>
        </is>
      </c>
      <c r="J503" s="637" t="inlineStr">
        <is>
          <t>SPB_RN_0002</t>
        </is>
      </c>
      <c r="K503" s="640" t="n">
        <v>2</v>
      </c>
      <c r="L503" s="640" t="n">
        <v>1</v>
      </c>
      <c r="M503" s="623" t="inlineStr">
        <is>
          <t>Samsung 32" вертикальный</t>
        </is>
      </c>
      <c r="N503" s="640" t="n"/>
      <c r="O503" s="640">
        <f>IF(AND(N503=1,L503=1),K503,"")</f>
        <v/>
      </c>
      <c r="P503" s="642" t="inlineStr">
        <is>
          <t>Санкт-Петербург,  Маршала Козакова д.25, лит А</t>
        </is>
      </c>
      <c r="Q503" s="640" t="inlineStr">
        <is>
          <t>59.860281</t>
        </is>
      </c>
      <c r="R503" s="494" t="inlineStr">
        <is>
          <t>30.217303</t>
        </is>
      </c>
      <c r="S503" s="436" t="n"/>
      <c r="T503" s="436" t="n"/>
      <c r="U503" s="325" t="n"/>
      <c r="V503" s="438">
        <f>IF(AND(N503=1,U503=1),C503,"")</f>
        <v/>
      </c>
      <c r="W503" s="387" t="n"/>
      <c r="X503" s="387" t="n"/>
      <c r="Y503" s="387" t="n"/>
    </row>
    <row r="504" hidden="1" ht="16.05" customFormat="1" customHeight="1" s="126">
      <c r="A504" s="125" t="n">
        <v>731</v>
      </c>
      <c r="B504" s="125" t="n"/>
      <c r="C504" s="130" t="inlineStr">
        <is>
          <t>Санкт-Петербург</t>
        </is>
      </c>
      <c r="D504" s="130" t="inlineStr">
        <is>
          <t>Ленинградская область</t>
        </is>
      </c>
      <c r="E504" s="130" t="n"/>
      <c r="F504" s="130" t="inlineStr">
        <is>
          <t>АЗС</t>
        </is>
      </c>
      <c r="G504" s="130" t="inlineStr">
        <is>
          <t>Роснефть</t>
        </is>
      </c>
      <c r="H504" s="131" t="inlineStr">
        <is>
          <t>АЗК 004</t>
        </is>
      </c>
      <c r="I504" s="637" t="inlineStr">
        <is>
          <t>004 Юшково</t>
        </is>
      </c>
      <c r="J504" s="637" t="inlineStr">
        <is>
          <t>SPB_RN_0004</t>
        </is>
      </c>
      <c r="K504" s="640" t="n">
        <v>1</v>
      </c>
      <c r="L504" s="640" t="n">
        <v>1</v>
      </c>
      <c r="M504" s="623" t="inlineStr">
        <is>
          <t>Samsung 32" вертикальный</t>
        </is>
      </c>
      <c r="N504" s="640" t="n"/>
      <c r="O504" s="640">
        <f>IF(AND(N504=1,L504=1),K504,"")</f>
        <v/>
      </c>
      <c r="P504" s="642" t="inlineStr">
        <is>
          <t>Ленинградская область, Волховский район, дер. Юшково, 120-й км. трассы "Кола"</t>
        </is>
      </c>
      <c r="Q504" s="640" t="inlineStr">
        <is>
          <t>59.83527</t>
        </is>
      </c>
      <c r="R504" s="494" t="inlineStr">
        <is>
          <t>30.371232</t>
        </is>
      </c>
      <c r="S504" s="436" t="n"/>
      <c r="T504" s="436" t="n"/>
      <c r="U504" s="325" t="n"/>
      <c r="V504" s="438">
        <f>IF(AND(N504=1,U504=1),C504,"")</f>
        <v/>
      </c>
      <c r="W504" s="387" t="n"/>
      <c r="X504" s="387" t="n"/>
      <c r="Y504" s="387" t="n"/>
    </row>
    <row r="505" hidden="1" ht="16.05" customFormat="1" customHeight="1" s="126">
      <c r="A505" s="125" t="n">
        <v>730</v>
      </c>
      <c r="B505" s="125" t="n"/>
      <c r="C505" s="130" t="inlineStr">
        <is>
          <t>Санкт-Петербург</t>
        </is>
      </c>
      <c r="D505" s="130" t="inlineStr">
        <is>
          <t>Санкт-Петербург</t>
        </is>
      </c>
      <c r="E505" s="130" t="n"/>
      <c r="F505" s="130" t="inlineStr">
        <is>
          <t>АЗС</t>
        </is>
      </c>
      <c r="G505" s="130" t="inlineStr">
        <is>
          <t>Роснефть</t>
        </is>
      </c>
      <c r="H505" s="131" t="inlineStr">
        <is>
          <t>АЗК 003</t>
        </is>
      </c>
      <c r="I505" s="637" t="inlineStr">
        <is>
          <t>003 Витебский</t>
        </is>
      </c>
      <c r="J505" s="637" t="inlineStr">
        <is>
          <t>SPB_RN_0003</t>
        </is>
      </c>
      <c r="K505" s="640" t="n">
        <v>1</v>
      </c>
      <c r="L505" s="640" t="n">
        <v>1</v>
      </c>
      <c r="M505" s="623" t="inlineStr">
        <is>
          <t>Samsung 32" вертикальный</t>
        </is>
      </c>
      <c r="N505" s="640" t="n"/>
      <c r="O505" s="640">
        <f>IF(AND(N505=1,L505=1),K505,"")</f>
        <v/>
      </c>
      <c r="P505" s="642" t="inlineStr">
        <is>
          <t>Санкт-Петербург, Витебский пр. д.91, лит. А</t>
        </is>
      </c>
      <c r="Q505" s="640" t="inlineStr">
        <is>
          <t>59.835281</t>
        </is>
      </c>
      <c r="R505" s="422" t="inlineStr">
        <is>
          <t>30.371168</t>
        </is>
      </c>
      <c r="S505" s="436" t="n"/>
      <c r="T505" s="436" t="n"/>
      <c r="U505" s="325" t="n"/>
      <c r="V505" s="438">
        <f>IF(AND(N505=1,U505=1),C505,"")</f>
        <v/>
      </c>
      <c r="W505" s="387" t="n"/>
      <c r="X505" s="387" t="n"/>
      <c r="Y505" s="387" t="n"/>
    </row>
    <row r="506" hidden="1" ht="16.05" customFormat="1" customHeight="1" s="126">
      <c r="A506" s="125" t="n">
        <v>732</v>
      </c>
      <c r="B506" s="125" t="n"/>
      <c r="C506" s="130" t="inlineStr">
        <is>
          <t>Санкт-Петербург</t>
        </is>
      </c>
      <c r="D506" s="130" t="inlineStr">
        <is>
          <t>Санкт-Петербург</t>
        </is>
      </c>
      <c r="E506" s="130" t="n"/>
      <c r="F506" s="130" t="inlineStr">
        <is>
          <t>АЗС</t>
        </is>
      </c>
      <c r="G506" s="130" t="inlineStr">
        <is>
          <t>Роснефть</t>
        </is>
      </c>
      <c r="H506" s="131" t="inlineStr">
        <is>
          <t>АЗК 005</t>
        </is>
      </c>
      <c r="I506" s="637" t="inlineStr">
        <is>
          <t>005 Ветеранов</t>
        </is>
      </c>
      <c r="J506" s="637" t="inlineStr">
        <is>
          <t>SPB_RN_0005</t>
        </is>
      </c>
      <c r="K506" s="640" t="n">
        <v>1</v>
      </c>
      <c r="L506" s="640" t="n">
        <v>1</v>
      </c>
      <c r="M506" s="623" t="inlineStr">
        <is>
          <t>Samsung 32" вертикальный</t>
        </is>
      </c>
      <c r="N506" s="640" t="n"/>
      <c r="O506" s="640">
        <f>IF(AND(N506=1,L506=1),K506,"")</f>
        <v/>
      </c>
      <c r="P506" s="642" t="inlineStr">
        <is>
          <t>Санкт-Петербург, пр. Ветеранов д.182, лит. А</t>
        </is>
      </c>
      <c r="Q506" s="640" t="inlineStr">
        <is>
          <t>59.834654</t>
        </is>
      </c>
      <c r="R506" s="494" t="inlineStr">
        <is>
          <t>30.12571</t>
        </is>
      </c>
      <c r="S506" s="436" t="n"/>
      <c r="T506" s="436" t="n"/>
      <c r="U506" s="325" t="n"/>
      <c r="V506" s="438">
        <f>IF(AND(N506=1,U506=1),C506,"")</f>
        <v/>
      </c>
      <c r="W506" s="387" t="n"/>
      <c r="X506" s="387" t="n"/>
      <c r="Y506" s="387" t="n"/>
    </row>
    <row r="507" hidden="1" ht="16.05" customFormat="1" customHeight="1" s="126">
      <c r="A507" s="125" t="n">
        <v>733</v>
      </c>
      <c r="B507" s="125" t="n"/>
      <c r="C507" s="130" t="inlineStr">
        <is>
          <t>Санкт-Петербург</t>
        </is>
      </c>
      <c r="D507" s="130" t="inlineStr">
        <is>
          <t>Ленинградская область</t>
        </is>
      </c>
      <c r="E507" s="130" t="n"/>
      <c r="F507" s="130" t="inlineStr">
        <is>
          <t>АЗС</t>
        </is>
      </c>
      <c r="G507" s="130" t="inlineStr">
        <is>
          <t>Роснефть</t>
        </is>
      </c>
      <c r="H507" s="131" t="inlineStr">
        <is>
          <t>АЗК 006</t>
        </is>
      </c>
      <c r="I507" s="637" t="inlineStr">
        <is>
          <t>006 Ломоносов</t>
        </is>
      </c>
      <c r="J507" s="637" t="inlineStr">
        <is>
          <t>SPB_RN_0006</t>
        </is>
      </c>
      <c r="K507" s="640" t="n">
        <v>1</v>
      </c>
      <c r="L507" s="640" t="n">
        <v>1</v>
      </c>
      <c r="M507" s="623" t="inlineStr">
        <is>
          <t>Samsung 32" вертикальный</t>
        </is>
      </c>
      <c r="N507" s="640" t="n"/>
      <c r="O507" s="640">
        <f>IF(AND(N507=1,L507=1),K507,"")</f>
        <v/>
      </c>
      <c r="P507" s="642" t="inlineStr">
        <is>
          <t>Ленинградская область, г. Ломоносов,  Федючинского д.1, лит. А</t>
        </is>
      </c>
      <c r="Q507" s="640" t="inlineStr">
        <is>
          <t>59.893052</t>
        </is>
      </c>
      <c r="R507" s="494" t="inlineStr">
        <is>
          <t>29.79482</t>
        </is>
      </c>
      <c r="S507" s="436" t="n"/>
      <c r="T507" s="436" t="n"/>
      <c r="U507" s="325" t="n"/>
      <c r="V507" s="438">
        <f>IF(AND(N507=1,U507=1),C507,"")</f>
        <v/>
      </c>
      <c r="W507" s="387" t="n"/>
      <c r="X507" s="387" t="n"/>
      <c r="Y507" s="387" t="n"/>
    </row>
    <row r="508" hidden="1" ht="16.05" customFormat="1" customHeight="1" s="126">
      <c r="A508" s="125" t="n">
        <v>734</v>
      </c>
      <c r="B508" s="125" t="n"/>
      <c r="C508" s="130" t="inlineStr">
        <is>
          <t>Санкт-Петербург</t>
        </is>
      </c>
      <c r="D508" s="130" t="inlineStr">
        <is>
          <t>Санкт-Петербург</t>
        </is>
      </c>
      <c r="E508" s="130" t="n"/>
      <c r="F508" s="130" t="inlineStr">
        <is>
          <t>АЗС</t>
        </is>
      </c>
      <c r="G508" s="130" t="inlineStr">
        <is>
          <t>Роснефть</t>
        </is>
      </c>
      <c r="H508" s="131" t="inlineStr">
        <is>
          <t>АЗК 007</t>
        </is>
      </c>
      <c r="I508" s="637" t="inlineStr">
        <is>
          <t>007 Парголово</t>
        </is>
      </c>
      <c r="J508" s="637" t="inlineStr">
        <is>
          <t>SPB_RN_0007</t>
        </is>
      </c>
      <c r="K508" s="640" t="n">
        <v>1</v>
      </c>
      <c r="L508" s="640" t="n">
        <v>1</v>
      </c>
      <c r="M508" s="623" t="inlineStr">
        <is>
          <t>Samsung 32" вертикальный</t>
        </is>
      </c>
      <c r="N508" s="640" t="n"/>
      <c r="O508" s="640">
        <f>IF(AND(N508=1,L508=1),K508,"")</f>
        <v/>
      </c>
      <c r="P508" s="642" t="inlineStr">
        <is>
          <t>Санкт-Петербург, п. Парголово, Выборгское ш., д.222, кор.2, лит. А</t>
        </is>
      </c>
      <c r="Q508" s="640" t="inlineStr">
        <is>
          <t>60.077219</t>
        </is>
      </c>
      <c r="R508" s="494" t="inlineStr">
        <is>
          <t>30.269833</t>
        </is>
      </c>
      <c r="S508" s="436" t="n"/>
      <c r="T508" s="436" t="n"/>
      <c r="U508" s="325" t="n"/>
      <c r="V508" s="438">
        <f>IF(AND(N508=1,U508=1),C508,"")</f>
        <v/>
      </c>
      <c r="W508" s="387" t="n"/>
      <c r="X508" s="387" t="n"/>
      <c r="Y508" s="387" t="n"/>
    </row>
    <row r="509" hidden="1" ht="16.05" customFormat="1" customHeight="1" s="126">
      <c r="A509" s="125" t="n">
        <v>736</v>
      </c>
      <c r="B509" s="125" t="n"/>
      <c r="C509" s="130" t="inlineStr">
        <is>
          <t>Санкт-Петербург</t>
        </is>
      </c>
      <c r="D509" s="130" t="inlineStr">
        <is>
          <t>Санкт-Петербург</t>
        </is>
      </c>
      <c r="E509" s="130" t="n"/>
      <c r="F509" s="130" t="inlineStr">
        <is>
          <t>АЗС</t>
        </is>
      </c>
      <c r="G509" s="130" t="inlineStr">
        <is>
          <t>Роснефть</t>
        </is>
      </c>
      <c r="H509" s="131" t="inlineStr">
        <is>
          <t>АЗК 009</t>
        </is>
      </c>
      <c r="I509" s="637" t="inlineStr">
        <is>
          <t>009 Лахтинский</t>
        </is>
      </c>
      <c r="J509" s="402" t="inlineStr">
        <is>
          <t>SPB_RN_0009</t>
        </is>
      </c>
      <c r="K509" s="640" t="n">
        <v>1</v>
      </c>
      <c r="L509" s="640" t="n">
        <v>0</v>
      </c>
      <c r="M509" s="640" t="inlineStr">
        <is>
          <t>Samsung 32" вертикальный</t>
        </is>
      </c>
      <c r="N509" s="640" t="n"/>
      <c r="O509" s="640">
        <f>IF(AND(N509=1,L509=1),K509,"")</f>
        <v/>
      </c>
      <c r="P509" s="642" t="inlineStr">
        <is>
          <t>Санкт-Петербург, Лахтинский пр., д.2, кор.5, лит. А</t>
        </is>
      </c>
      <c r="Q509" s="640" t="n">
        <v>59.988675</v>
      </c>
      <c r="R509" s="422" t="n">
        <v>30.17464</v>
      </c>
      <c r="S509" s="436" t="n"/>
      <c r="T509" s="436" t="n"/>
      <c r="U509" s="325" t="n"/>
      <c r="V509" s="438">
        <f>IF(AND(N509=1,U509=1),C509,"")</f>
        <v/>
      </c>
      <c r="W509" s="387" t="n"/>
      <c r="X509" s="1" t="n"/>
      <c r="Y509" s="1" t="n"/>
    </row>
    <row r="510" hidden="1" ht="16.05" customFormat="1" customHeight="1" s="126">
      <c r="A510" s="125" t="n">
        <v>735</v>
      </c>
      <c r="B510" s="125" t="n"/>
      <c r="C510" s="130" t="inlineStr">
        <is>
          <t>Санкт-Петербург</t>
        </is>
      </c>
      <c r="D510" s="130" t="inlineStr">
        <is>
          <t>Санкт-Петербург</t>
        </is>
      </c>
      <c r="E510" s="130" t="n"/>
      <c r="F510" s="130" t="inlineStr">
        <is>
          <t>АЗС</t>
        </is>
      </c>
      <c r="G510" s="130" t="inlineStr">
        <is>
          <t>Роснефть</t>
        </is>
      </c>
      <c r="H510" s="131" t="inlineStr">
        <is>
          <t>АЗК 008</t>
        </is>
      </c>
      <c r="I510" s="637" t="inlineStr">
        <is>
          <t>008 Кронштадт</t>
        </is>
      </c>
      <c r="J510" s="637" t="inlineStr">
        <is>
          <t>SPB_RN_0008</t>
        </is>
      </c>
      <c r="K510" s="640" t="n">
        <v>1</v>
      </c>
      <c r="L510" s="640" t="n">
        <v>1</v>
      </c>
      <c r="M510" s="623" t="inlineStr">
        <is>
          <t>Samsung 32" вертикальный</t>
        </is>
      </c>
      <c r="N510" s="640" t="n"/>
      <c r="O510" s="640">
        <f>IF(AND(N510=1,L510=1),K510,"")</f>
        <v/>
      </c>
      <c r="P510" s="642" t="inlineStr">
        <is>
          <t>Санкт-Петербург, г. Кронштадт,  Гидростроителей д.9, лит. А</t>
        </is>
      </c>
      <c r="Q510" s="640" t="inlineStr">
        <is>
          <t>60.006931</t>
        </is>
      </c>
      <c r="R510" s="494" t="inlineStr">
        <is>
          <t>29.712164</t>
        </is>
      </c>
      <c r="S510" s="436" t="n"/>
      <c r="T510" s="436" t="n"/>
      <c r="U510" s="325" t="n"/>
      <c r="V510" s="438">
        <f>IF(AND(N510=1,U510=1),C510,"")</f>
        <v/>
      </c>
      <c r="W510" s="387" t="n"/>
      <c r="X510" s="387" t="n"/>
      <c r="Y510" s="387" t="n"/>
    </row>
    <row r="511" hidden="1" ht="16.05" customFormat="1" customHeight="1" s="126">
      <c r="A511" s="125" t="n">
        <v>737</v>
      </c>
      <c r="B511" s="125" t="n"/>
      <c r="C511" s="130" t="inlineStr">
        <is>
          <t>Санкт-Петербург</t>
        </is>
      </c>
      <c r="D511" s="130" t="inlineStr">
        <is>
          <t>Санкт-Петербург</t>
        </is>
      </c>
      <c r="E511" s="130" t="n"/>
      <c r="F511" s="130" t="inlineStr">
        <is>
          <t>АЗС</t>
        </is>
      </c>
      <c r="G511" s="130" t="inlineStr">
        <is>
          <t>Роснефть</t>
        </is>
      </c>
      <c r="H511" s="131" t="inlineStr">
        <is>
          <t>АЗК 010</t>
        </is>
      </c>
      <c r="I511" s="637" t="inlineStr">
        <is>
          <t>010 Шушары</t>
        </is>
      </c>
      <c r="J511" s="637" t="inlineStr">
        <is>
          <t>SPB_RN_0010</t>
        </is>
      </c>
      <c r="K511" s="640" t="n">
        <v>1</v>
      </c>
      <c r="L511" s="640" t="n">
        <v>1</v>
      </c>
      <c r="M511" s="623" t="inlineStr">
        <is>
          <t>Samsung 32" вертикальный</t>
        </is>
      </c>
      <c r="N511" s="640" t="n"/>
      <c r="O511" s="640">
        <f>IF(AND(N511=1,L511=1),K511,"")</f>
        <v/>
      </c>
      <c r="P511" s="642" t="inlineStr">
        <is>
          <t>Санкт-Петербург, п. Шушары,  Ленина д.2в, лит. А</t>
        </is>
      </c>
      <c r="Q511" s="640" t="inlineStr">
        <is>
          <t>59.811964</t>
        </is>
      </c>
      <c r="R511" s="494" t="inlineStr">
        <is>
          <t>30.394016</t>
        </is>
      </c>
      <c r="S511" s="436" t="n"/>
      <c r="T511" s="436" t="n"/>
      <c r="U511" s="325" t="n"/>
      <c r="V511" s="438">
        <f>IF(AND(N511=1,U511=1),C511,"")</f>
        <v/>
      </c>
      <c r="W511" s="387" t="n"/>
      <c r="X511" s="387" t="n"/>
      <c r="Y511" s="387" t="n"/>
    </row>
    <row r="512" hidden="1" ht="16.05" customFormat="1" customHeight="1" s="126">
      <c r="A512" s="125" t="n">
        <v>738</v>
      </c>
      <c r="B512" s="125" t="n"/>
      <c r="C512" s="130" t="inlineStr">
        <is>
          <t>Санкт-Петербург</t>
        </is>
      </c>
      <c r="D512" s="130" t="inlineStr">
        <is>
          <t>Санкт-Петербург</t>
        </is>
      </c>
      <c r="E512" s="130" t="n"/>
      <c r="F512" s="130" t="inlineStr">
        <is>
          <t>АЗС</t>
        </is>
      </c>
      <c r="G512" s="130" t="inlineStr">
        <is>
          <t>Роснефть</t>
        </is>
      </c>
      <c r="H512" s="131" t="inlineStr">
        <is>
          <t>АЗК 011</t>
        </is>
      </c>
      <c r="I512" s="637" t="inlineStr">
        <is>
          <t>011 Культуры</t>
        </is>
      </c>
      <c r="J512" s="637" t="inlineStr">
        <is>
          <t>SPB_RN_0011</t>
        </is>
      </c>
      <c r="K512" s="640" t="n">
        <v>1</v>
      </c>
      <c r="L512" s="640" t="n">
        <v>1</v>
      </c>
      <c r="M512" s="623" t="inlineStr">
        <is>
          <t>Samsung 32" вертикальный</t>
        </is>
      </c>
      <c r="N512" s="640" t="n"/>
      <c r="O512" s="640">
        <f>IF(AND(N512=1,L512=1),K512,"")</f>
        <v/>
      </c>
      <c r="P512" s="642" t="inlineStr">
        <is>
          <t>Санкт-Петербург, пр. Культуры д.30, лит. А</t>
        </is>
      </c>
      <c r="Q512" s="640" t="inlineStr">
        <is>
          <t>60.055994</t>
        </is>
      </c>
      <c r="R512" s="494" t="inlineStr">
        <is>
          <t>30.383072</t>
        </is>
      </c>
      <c r="S512" s="436" t="n"/>
      <c r="T512" s="436" t="n"/>
      <c r="U512" s="325" t="n"/>
      <c r="V512" s="438">
        <f>IF(AND(N512=1,U512=1),C512,"")</f>
        <v/>
      </c>
      <c r="W512" s="387" t="n"/>
      <c r="X512" s="387" t="n"/>
      <c r="Y512" s="387" t="n"/>
    </row>
    <row r="513" hidden="1" ht="16.05" customFormat="1" customHeight="1" s="126">
      <c r="A513" s="125" t="n">
        <v>739</v>
      </c>
      <c r="B513" s="125" t="n"/>
      <c r="C513" s="130" t="inlineStr">
        <is>
          <t>Санкт-Петербург</t>
        </is>
      </c>
      <c r="D513" s="130" t="inlineStr">
        <is>
          <t>Санкт-Петербург</t>
        </is>
      </c>
      <c r="E513" s="130" t="n"/>
      <c r="F513" s="130" t="inlineStr">
        <is>
          <t>АЗС</t>
        </is>
      </c>
      <c r="G513" s="130" t="inlineStr">
        <is>
          <t>Роснефть</t>
        </is>
      </c>
      <c r="H513" s="131" t="inlineStr">
        <is>
          <t>АЗК 012</t>
        </is>
      </c>
      <c r="I513" s="637" t="inlineStr">
        <is>
          <t>012 Красное</t>
        </is>
      </c>
      <c r="J513" s="637" t="inlineStr">
        <is>
          <t>SPB_RN_0012</t>
        </is>
      </c>
      <c r="K513" s="640" t="n">
        <v>1</v>
      </c>
      <c r="L513" s="640" t="n">
        <v>1</v>
      </c>
      <c r="M513" s="623" t="inlineStr">
        <is>
          <t>Samsung 32" вертикальный</t>
        </is>
      </c>
      <c r="N513" s="640" t="n"/>
      <c r="O513" s="640">
        <f>IF(AND(N513=1,L513=1),K513,"")</f>
        <v/>
      </c>
      <c r="P513" s="642" t="inlineStr">
        <is>
          <t>Санкт-Петербург, г. Красное Село, пр. Ленина д.2, кор.4, лит.А</t>
        </is>
      </c>
      <c r="Q513" s="640" t="inlineStr">
        <is>
          <t>59.761545</t>
        </is>
      </c>
      <c r="R513" s="494" t="inlineStr">
        <is>
          <t>30.113992</t>
        </is>
      </c>
      <c r="S513" s="436" t="n"/>
      <c r="T513" s="436" t="n"/>
      <c r="U513" s="325" t="n"/>
      <c r="V513" s="438">
        <f>IF(AND(N513=1,U513=1),C513,"")</f>
        <v/>
      </c>
      <c r="W513" s="387" t="n"/>
      <c r="X513" s="387" t="n"/>
      <c r="Y513" s="387" t="n"/>
    </row>
    <row r="514" hidden="1" ht="16.05" customFormat="1" customHeight="1" s="126">
      <c r="A514" s="125" t="n">
        <v>740</v>
      </c>
      <c r="B514" s="125" t="n"/>
      <c r="C514" s="130" t="inlineStr">
        <is>
          <t>Санкт-Петербург</t>
        </is>
      </c>
      <c r="D514" s="130" t="inlineStr">
        <is>
          <t>Санкт-Петербург</t>
        </is>
      </c>
      <c r="E514" s="130" t="n"/>
      <c r="F514" s="130" t="inlineStr">
        <is>
          <t>АЗС</t>
        </is>
      </c>
      <c r="G514" s="130" t="inlineStr">
        <is>
          <t>Роснефть</t>
        </is>
      </c>
      <c r="H514" s="131" t="inlineStr">
        <is>
          <t>АЗК 014</t>
        </is>
      </c>
      <c r="I514" s="637" t="inlineStr">
        <is>
          <t>014 Дальневосточный</t>
        </is>
      </c>
      <c r="J514" s="637" t="inlineStr">
        <is>
          <t>SPB_RN_0014</t>
        </is>
      </c>
      <c r="K514" s="640" t="n">
        <v>1</v>
      </c>
      <c r="L514" s="640" t="n">
        <v>1</v>
      </c>
      <c r="M514" s="623" t="inlineStr">
        <is>
          <t>Samsung 32" вертикальный</t>
        </is>
      </c>
      <c r="N514" s="640" t="n"/>
      <c r="O514" s="640">
        <f>IF(AND(N514=1,L514=1),K514,"")</f>
        <v/>
      </c>
      <c r="P514" s="642" t="inlineStr">
        <is>
          <t>Санкт-Петербург, Дальневосточный пр.,  д.13, кор.1, лит.А</t>
        </is>
      </c>
      <c r="Q514" s="640" t="inlineStr">
        <is>
          <t>59.905489</t>
        </is>
      </c>
      <c r="R514" s="494" t="inlineStr">
        <is>
          <t>30.452219</t>
        </is>
      </c>
      <c r="S514" s="436" t="n"/>
      <c r="T514" s="436" t="n"/>
      <c r="U514" s="325" t="n"/>
      <c r="V514" s="438">
        <f>IF(AND(N514=1,U514=1),C514,"")</f>
        <v/>
      </c>
      <c r="W514" s="387" t="n"/>
      <c r="X514" s="387" t="n"/>
      <c r="Y514" s="387" t="n"/>
    </row>
    <row r="515" hidden="1" ht="16.05" customFormat="1" customHeight="1" s="126">
      <c r="A515" s="125" t="n">
        <v>741</v>
      </c>
      <c r="B515" s="125" t="n"/>
      <c r="C515" s="130" t="inlineStr">
        <is>
          <t>Санкт-Петербург</t>
        </is>
      </c>
      <c r="D515" s="130" t="inlineStr">
        <is>
          <t>Санкт-Петербург</t>
        </is>
      </c>
      <c r="E515" s="130" t="n"/>
      <c r="F515" s="130" t="inlineStr">
        <is>
          <t>АЗС</t>
        </is>
      </c>
      <c r="G515" s="130" t="inlineStr">
        <is>
          <t>Роснефть</t>
        </is>
      </c>
      <c r="H515" s="131" t="inlineStr">
        <is>
          <t>АЗК 015</t>
        </is>
      </c>
      <c r="I515" s="637" t="inlineStr">
        <is>
          <t>015 Будапештская</t>
        </is>
      </c>
      <c r="J515" s="637" t="inlineStr">
        <is>
          <t>SPB_RN_0015</t>
        </is>
      </c>
      <c r="K515" s="640" t="n">
        <v>1</v>
      </c>
      <c r="L515" s="640" t="n">
        <v>1</v>
      </c>
      <c r="M515" s="623" t="inlineStr">
        <is>
          <t>Samsung 32" вертикальный</t>
        </is>
      </c>
      <c r="N515" s="640" t="n"/>
      <c r="O515" s="640">
        <f>IF(AND(N515=1,L515=1),K515,"")</f>
        <v/>
      </c>
      <c r="P515" s="642" t="inlineStr">
        <is>
          <t>Санкт-Петербург,  Будапештская д.116, лит.А</t>
        </is>
      </c>
      <c r="Q515" s="640" t="inlineStr">
        <is>
          <t>59.82599</t>
        </is>
      </c>
      <c r="R515" s="494" t="inlineStr">
        <is>
          <t>30.411092</t>
        </is>
      </c>
      <c r="S515" s="436" t="n"/>
      <c r="T515" s="436" t="n"/>
      <c r="U515" s="325" t="n"/>
      <c r="V515" s="438">
        <f>IF(AND(N515=1,U515=1),C515,"")</f>
        <v/>
      </c>
      <c r="W515" s="387" t="n"/>
      <c r="X515" s="387" t="n"/>
      <c r="Y515" s="387" t="n"/>
    </row>
    <row r="516" hidden="1" ht="16.05" customFormat="1" customHeight="1" s="126">
      <c r="A516" s="125" t="n">
        <v>742</v>
      </c>
      <c r="B516" s="125" t="n"/>
      <c r="C516" s="130" t="inlineStr">
        <is>
          <t>Санкт-Петербург</t>
        </is>
      </c>
      <c r="D516" s="130" t="inlineStr">
        <is>
          <t>Ленинградская область</t>
        </is>
      </c>
      <c r="E516" s="130" t="n"/>
      <c r="F516" s="130" t="inlineStr">
        <is>
          <t>АЗС</t>
        </is>
      </c>
      <c r="G516" s="130" t="inlineStr">
        <is>
          <t>Роснефть</t>
        </is>
      </c>
      <c r="H516" s="131" t="inlineStr">
        <is>
          <t>АЗК 016</t>
        </is>
      </c>
      <c r="I516" s="637" t="inlineStr">
        <is>
          <t>016 Скандинавия–1</t>
        </is>
      </c>
      <c r="J516" s="637" t="inlineStr">
        <is>
          <t>SPB_RN_0016</t>
        </is>
      </c>
      <c r="K516" s="640" t="n">
        <v>1</v>
      </c>
      <c r="L516" s="640" t="n">
        <v>1</v>
      </c>
      <c r="M516" s="623" t="inlineStr">
        <is>
          <t>Samsung 32" вертикальный</t>
        </is>
      </c>
      <c r="N516" s="640" t="n"/>
      <c r="O516" s="640">
        <f>IF(AND(N516=1,L516=1),K516,"")</f>
        <v/>
      </c>
      <c r="P516" s="642" t="inlineStr">
        <is>
          <t>Ленинградская область, Выборгский район, Гаврилово, п., а/д М-10 'Скандинавия'</t>
        </is>
      </c>
      <c r="Q516" s="640" t="inlineStr">
        <is>
          <t>60.616681</t>
        </is>
      </c>
      <c r="R516" s="494" t="inlineStr">
        <is>
          <t>29.069396</t>
        </is>
      </c>
      <c r="S516" s="436" t="n"/>
      <c r="T516" s="436" t="n"/>
      <c r="U516" s="325" t="n"/>
      <c r="V516" s="438">
        <f>IF(AND(N516=1,U516=1),C516,"")</f>
        <v/>
      </c>
      <c r="W516" s="387" t="n"/>
      <c r="X516" s="387" t="n"/>
      <c r="Y516" s="387" t="n"/>
    </row>
    <row r="517" hidden="1" ht="16.05" customFormat="1" customHeight="1" s="126">
      <c r="A517" s="125" t="n">
        <v>743</v>
      </c>
      <c r="B517" s="125" t="n"/>
      <c r="C517" s="130" t="inlineStr">
        <is>
          <t>Санкт-Петербург</t>
        </is>
      </c>
      <c r="D517" s="130" t="inlineStr">
        <is>
          <t>Ленинградская область</t>
        </is>
      </c>
      <c r="E517" s="130" t="n"/>
      <c r="F517" s="130" t="inlineStr">
        <is>
          <t>АЗС</t>
        </is>
      </c>
      <c r="G517" s="130" t="inlineStr">
        <is>
          <t>Роснефть</t>
        </is>
      </c>
      <c r="H517" s="131" t="inlineStr">
        <is>
          <t>АЗК 017</t>
        </is>
      </c>
      <c r="I517" s="637" t="inlineStr">
        <is>
          <t>017 Скандинавия–2</t>
        </is>
      </c>
      <c r="J517" s="637" t="inlineStr">
        <is>
          <t>SPB_RN_0017</t>
        </is>
      </c>
      <c r="K517" s="640" t="n">
        <v>1</v>
      </c>
      <c r="L517" s="640" t="n">
        <v>1</v>
      </c>
      <c r="M517" s="623" t="inlineStr">
        <is>
          <t>Samsung 32" вертикальный</t>
        </is>
      </c>
      <c r="N517" s="640" t="n"/>
      <c r="O517" s="640">
        <f>IF(AND(N517=1,L517=1),K517,"")</f>
        <v/>
      </c>
      <c r="P517" s="642" t="inlineStr">
        <is>
          <t xml:space="preserve">Ленинградская область, Выборгский район, Гаврилово, п., а/д М-10 'Скандинавия' </t>
        </is>
      </c>
      <c r="Q517" s="640" t="inlineStr">
        <is>
          <t>60.609663</t>
        </is>
      </c>
      <c r="R517" s="494" t="inlineStr">
        <is>
          <t>29.086866</t>
        </is>
      </c>
      <c r="S517" s="436" t="n"/>
      <c r="T517" s="436" t="n"/>
      <c r="U517" s="325" t="n"/>
      <c r="V517" s="438">
        <f>IF(AND(N517=1,U517=1),C517,"")</f>
        <v/>
      </c>
      <c r="W517" s="387" t="n"/>
      <c r="X517" s="387" t="n"/>
      <c r="Y517" s="387" t="n"/>
    </row>
    <row r="518" hidden="1" ht="16.05" customFormat="1" customHeight="1" s="126">
      <c r="A518" s="125" t="n">
        <v>744</v>
      </c>
      <c r="B518" s="125" t="n"/>
      <c r="C518" s="130" t="inlineStr">
        <is>
          <t>Санкт-Петербург</t>
        </is>
      </c>
      <c r="D518" s="130" t="inlineStr">
        <is>
          <t>Ленинградская область</t>
        </is>
      </c>
      <c r="E518" s="130" t="n"/>
      <c r="F518" s="130" t="inlineStr">
        <is>
          <t>АЗС</t>
        </is>
      </c>
      <c r="G518" s="130" t="inlineStr">
        <is>
          <t>Роснефть</t>
        </is>
      </c>
      <c r="H518" s="131" t="inlineStr">
        <is>
          <t>АЗК 018</t>
        </is>
      </c>
      <c r="I518" s="637" t="inlineStr">
        <is>
          <t>018 Хвалово</t>
        </is>
      </c>
      <c r="J518" s="637" t="inlineStr">
        <is>
          <t>SPB_RN_0018</t>
        </is>
      </c>
      <c r="K518" s="640" t="n">
        <v>1</v>
      </c>
      <c r="L518" s="640" t="n">
        <v>1</v>
      </c>
      <c r="M518" s="623" t="inlineStr">
        <is>
          <t>Samsung 32" вертикальный</t>
        </is>
      </c>
      <c r="N518" s="640" t="n"/>
      <c r="O518" s="640">
        <f>IF(AND(N518=1,L518=1),K518,"")</f>
        <v/>
      </c>
      <c r="P518" s="642" t="inlineStr">
        <is>
          <t xml:space="preserve">Ленинградская область, Волховксий район, Хвалово, п., а/д М-18 'Кола' </t>
        </is>
      </c>
      <c r="Q518" s="640" t="inlineStr">
        <is>
          <t>59.945689</t>
        </is>
      </c>
      <c r="R518" s="494" t="inlineStr">
        <is>
          <t>32.745699</t>
        </is>
      </c>
      <c r="S518" s="436" t="n"/>
      <c r="T518" s="436" t="n"/>
      <c r="U518" s="325" t="n"/>
      <c r="V518" s="438">
        <f>IF(AND(N518=1,U518=1),C518,"")</f>
        <v/>
      </c>
      <c r="W518" s="387" t="n"/>
      <c r="X518" s="387" t="n"/>
      <c r="Y518" s="387" t="n"/>
    </row>
    <row r="519" hidden="1" ht="16.05" customHeight="1">
      <c r="A519" s="125" t="n">
        <v>745</v>
      </c>
      <c r="B519" s="125" t="n"/>
      <c r="C519" s="130" t="inlineStr">
        <is>
          <t>Санкт-Петербург</t>
        </is>
      </c>
      <c r="D519" s="130" t="inlineStr">
        <is>
          <t>Ленинградская область</t>
        </is>
      </c>
      <c r="E519" s="130" t="n"/>
      <c r="F519" s="130" t="inlineStr">
        <is>
          <t>АЗС</t>
        </is>
      </c>
      <c r="G519" s="130" t="inlineStr">
        <is>
          <t>Роснефть</t>
        </is>
      </c>
      <c r="H519" s="131" t="inlineStr">
        <is>
          <t>АЗК 019</t>
        </is>
      </c>
      <c r="I519" s="637" t="inlineStr">
        <is>
          <t>019 Паша</t>
        </is>
      </c>
      <c r="J519" s="637" t="inlineStr">
        <is>
          <t>SPB_RN_0019</t>
        </is>
      </c>
      <c r="K519" s="640" t="n">
        <v>1</v>
      </c>
      <c r="L519" s="640" t="n">
        <v>1</v>
      </c>
      <c r="M519" s="623" t="inlineStr">
        <is>
          <t>Samsung 32" вертикальный</t>
        </is>
      </c>
      <c r="N519" s="640" t="n"/>
      <c r="O519" s="640">
        <f>IF(AND(N519=1,L519=1),K519,"")</f>
        <v/>
      </c>
      <c r="P519" s="642" t="inlineStr">
        <is>
          <t>Ленинградская область, Волховcксий район, Паша, с., Юбилейная, , 6</t>
        </is>
      </c>
      <c r="Q519" s="640" t="inlineStr">
        <is>
          <t>60.401355</t>
        </is>
      </c>
      <c r="R519" s="494" t="inlineStr">
        <is>
          <t>33.020747</t>
        </is>
      </c>
      <c r="S519" s="436" t="n"/>
      <c r="T519" s="436" t="n"/>
      <c r="U519" s="325" t="n"/>
      <c r="V519" s="438">
        <f>IF(AND(N519=1,U519=1),C519,"")</f>
        <v/>
      </c>
      <c r="Z519" s="1" t="n"/>
    </row>
    <row r="520" hidden="1" ht="16.05" customFormat="1" customHeight="1" s="126">
      <c r="A520" s="125" t="n">
        <v>748</v>
      </c>
      <c r="B520" s="125" t="n"/>
      <c r="C520" s="130" t="inlineStr">
        <is>
          <t>Санкт-Петербург</t>
        </is>
      </c>
      <c r="D520" s="130" t="inlineStr">
        <is>
          <t>Санкт-Петербург</t>
        </is>
      </c>
      <c r="E520" s="130" t="n"/>
      <c r="F520" s="130" t="n"/>
      <c r="G520" s="130" t="inlineStr">
        <is>
          <t>ТНК</t>
        </is>
      </c>
      <c r="H520" s="131" t="inlineStr">
        <is>
          <t xml:space="preserve"> Рыбачий</t>
        </is>
      </c>
      <c r="I520" s="637" t="inlineStr">
        <is>
          <t>Рыбачий На всегда</t>
        </is>
      </c>
      <c r="J520" s="402" t="inlineStr">
        <is>
          <t>SPB_TNK_Rybachiy</t>
        </is>
      </c>
      <c r="K520" s="640" t="n">
        <v>1</v>
      </c>
      <c r="L520" s="640" t="n">
        <v>0</v>
      </c>
      <c r="M520" s="640" t="inlineStr">
        <is>
          <t>Sam 32</t>
        </is>
      </c>
      <c r="N520" s="640" t="n"/>
      <c r="O520" s="640">
        <f>IF(AND(N520=1,L520=1),K520,"")</f>
        <v/>
      </c>
      <c r="P520" s="642" t="inlineStr">
        <is>
          <t>Санкт-Петербург, г. Кронштадт,  Восстания, д.11, к.2</t>
        </is>
      </c>
      <c r="Q520" s="640" t="n">
        <v>60.000726</v>
      </c>
      <c r="R520" s="422" t="n">
        <v>29.772578</v>
      </c>
      <c r="S520" s="436" t="n"/>
      <c r="T520" s="436" t="n"/>
      <c r="U520" s="325" t="n"/>
      <c r="V520" s="438">
        <f>IF(AND(N520=1,U520=1),C520,"")</f>
        <v/>
      </c>
      <c r="W520" s="387" t="n"/>
      <c r="X520" s="1" t="n"/>
      <c r="Y520" s="1" t="n"/>
    </row>
    <row r="521" hidden="1" ht="16.05" customFormat="1" customHeight="1" s="126">
      <c r="A521" s="125" t="n">
        <v>749</v>
      </c>
      <c r="B521" s="125" t="n"/>
      <c r="C521" s="130" t="inlineStr">
        <is>
          <t>Санкт-Петербург</t>
        </is>
      </c>
      <c r="D521" s="130" t="inlineStr">
        <is>
          <t>Санкт-Петербург</t>
        </is>
      </c>
      <c r="E521" s="130" t="n"/>
      <c r="F521" s="130" t="n"/>
      <c r="G521" s="130" t="inlineStr">
        <is>
          <t>ТНК</t>
        </is>
      </c>
      <c r="H521" s="131" t="inlineStr">
        <is>
          <t xml:space="preserve"> Салова</t>
        </is>
      </c>
      <c r="I521" s="637" t="inlineStr">
        <is>
          <t>Салова</t>
        </is>
      </c>
      <c r="J521" s="402" t="inlineStr">
        <is>
          <t>SPB_TNK_Salovo</t>
        </is>
      </c>
      <c r="K521" s="640" t="n">
        <v>1</v>
      </c>
      <c r="L521" s="640" t="n">
        <v>0</v>
      </c>
      <c r="M521" s="640" t="inlineStr">
        <is>
          <t>Sam 32</t>
        </is>
      </c>
      <c r="N521" s="640" t="n"/>
      <c r="O521" s="640">
        <f>IF(AND(N521=1,L521=1),K521,"")</f>
        <v/>
      </c>
      <c r="P521" s="642" t="inlineStr">
        <is>
          <t>Санкт-Петербург,  Салова, д. 72</t>
        </is>
      </c>
      <c r="Q521" s="640" t="n">
        <v>59.884753</v>
      </c>
      <c r="R521" s="422" t="n">
        <v>30.373277</v>
      </c>
      <c r="S521" s="436" t="n"/>
      <c r="T521" s="436" t="n"/>
      <c r="U521" s="325" t="n"/>
      <c r="V521" s="438">
        <f>IF(AND(N521=1,U521=1),C521,"")</f>
        <v/>
      </c>
      <c r="W521" s="387" t="n"/>
      <c r="X521" s="1" t="n"/>
      <c r="Y521" s="1" t="n"/>
    </row>
    <row r="522" hidden="1" ht="16.05" customFormat="1" customHeight="1" s="126">
      <c r="A522" s="13" t="n">
        <v>746</v>
      </c>
      <c r="B522" s="13" t="n"/>
      <c r="C522" s="130" t="inlineStr">
        <is>
          <t>Санкт-Петербург</t>
        </is>
      </c>
      <c r="D522" s="130" t="inlineStr">
        <is>
          <t>Санкт-Петербург</t>
        </is>
      </c>
      <c r="E522" s="130" t="n"/>
      <c r="F522" s="130" t="inlineStr">
        <is>
          <t>АЗС</t>
        </is>
      </c>
      <c r="G522" s="130" t="inlineStr">
        <is>
          <t>Роснефть</t>
        </is>
      </c>
      <c r="H522" s="131" t="n">
        <v>20</v>
      </c>
      <c r="I522" s="637" t="inlineStr">
        <is>
          <t>020 Ириновский</t>
        </is>
      </c>
      <c r="J522" s="637" t="inlineStr">
        <is>
          <t>SPB_BP_020</t>
        </is>
      </c>
      <c r="K522" s="640" t="n">
        <v>2</v>
      </c>
      <c r="L522" s="640" t="n">
        <v>1</v>
      </c>
      <c r="M522" s="623" t="inlineStr">
        <is>
          <t>Samsung 32" вертикальный</t>
        </is>
      </c>
      <c r="N522" s="640" t="n"/>
      <c r="O522" s="640">
        <f>IF(AND(N522=1,L522=1),K522,"")</f>
        <v/>
      </c>
      <c r="P522" s="642" t="inlineStr">
        <is>
          <t>Санкт-Петербург, Ириновский пр-т, 22А</t>
        </is>
      </c>
      <c r="Q522" s="640" t="inlineStr">
        <is>
          <t>59.957888</t>
        </is>
      </c>
      <c r="R522" s="494" t="inlineStr">
        <is>
          <t>30.473135</t>
        </is>
      </c>
      <c r="S522" s="436" t="n"/>
      <c r="T522" s="436" t="n"/>
      <c r="U522" s="325" t="n"/>
      <c r="V522" s="438">
        <f>IF(AND(N522=1,U522=1),C522,"")</f>
        <v/>
      </c>
      <c r="W522" s="387" t="n"/>
      <c r="X522" s="387" t="n"/>
      <c r="Y522" s="387" t="n"/>
    </row>
    <row r="523" hidden="1" ht="16.05" customFormat="1" customHeight="1" s="126">
      <c r="A523" s="125" t="n">
        <v>750</v>
      </c>
      <c r="B523" s="125" t="n"/>
      <c r="C523" s="130" t="inlineStr">
        <is>
          <t>Санкт-Петербург</t>
        </is>
      </c>
      <c r="D523" s="130" t="inlineStr">
        <is>
          <t>Санкт-Петербург</t>
        </is>
      </c>
      <c r="E523" s="130" t="n"/>
      <c r="F523" s="130" t="inlineStr">
        <is>
          <t>АЗС</t>
        </is>
      </c>
      <c r="G523" s="130" t="inlineStr">
        <is>
          <t>Роснефть</t>
        </is>
      </c>
      <c r="H523" s="131" t="n">
        <v>117</v>
      </c>
      <c r="I523" s="637" t="inlineStr">
        <is>
          <t>117 Александровской фермы</t>
        </is>
      </c>
      <c r="J523" s="637" t="inlineStr">
        <is>
          <t>SPB_TNK_Alexandrovskaya</t>
        </is>
      </c>
      <c r="K523" s="640" t="n">
        <v>1</v>
      </c>
      <c r="L523" s="640" t="n">
        <v>1</v>
      </c>
      <c r="M523" s="623" t="inlineStr">
        <is>
          <t>Samsung 32" вертикальный</t>
        </is>
      </c>
      <c r="N523" s="640" t="n"/>
      <c r="O523" s="640">
        <f>IF(AND(N523=1,L523=1),K523,"")</f>
        <v/>
      </c>
      <c r="P523" s="642" t="inlineStr">
        <is>
          <t>Санкт-Петербург, пр. Александровской фермы, д. 17, к. 2</t>
        </is>
      </c>
      <c r="Q523" s="640" t="inlineStr">
        <is>
          <t>59.860171</t>
        </is>
      </c>
      <c r="R523" s="494" t="inlineStr">
        <is>
          <t>30.449793</t>
        </is>
      </c>
      <c r="S523" s="436" t="n"/>
      <c r="T523" s="436" t="n"/>
      <c r="U523" s="325" t="n"/>
      <c r="V523" s="438">
        <f>IF(AND(N523=1,U523=1),C523,"")</f>
        <v/>
      </c>
      <c r="W523" s="387" t="n"/>
      <c r="X523" s="387" t="n"/>
      <c r="Y523" s="387" t="n"/>
    </row>
    <row r="524" hidden="1" ht="16.05" customFormat="1" customHeight="1" s="126">
      <c r="A524" s="125" t="n">
        <v>751</v>
      </c>
      <c r="B524" s="125" t="n"/>
      <c r="C524" s="130" t="inlineStr">
        <is>
          <t>Санкт-Петербург</t>
        </is>
      </c>
      <c r="D524" s="130" t="inlineStr">
        <is>
          <t>Санкт-Петербург</t>
        </is>
      </c>
      <c r="E524" s="130" t="n"/>
      <c r="F524" s="130" t="inlineStr">
        <is>
          <t>АЗС</t>
        </is>
      </c>
      <c r="G524" s="130" t="inlineStr">
        <is>
          <t>Роснефть</t>
        </is>
      </c>
      <c r="H524" s="131" t="n">
        <v>112</v>
      </c>
      <c r="I524" s="637" t="inlineStr">
        <is>
          <t>112 Большевиков</t>
        </is>
      </c>
      <c r="J524" s="637" t="inlineStr">
        <is>
          <t>SPB_TNK_Bolshevikov</t>
        </is>
      </c>
      <c r="K524" s="640" t="n">
        <v>1</v>
      </c>
      <c r="L524" s="640" t="n">
        <v>1</v>
      </c>
      <c r="M524" s="623" t="inlineStr">
        <is>
          <t>Samsung 32" вертикальный</t>
        </is>
      </c>
      <c r="N524" s="640" t="n"/>
      <c r="O524" s="640">
        <f>IF(AND(N524=1,L524=1),K524,"")</f>
        <v/>
      </c>
      <c r="P524" s="642" t="inlineStr">
        <is>
          <t>Санкт-Петербург, пр. Большевиков, д. 49, корп. 2</t>
        </is>
      </c>
      <c r="Q524" s="640" t="inlineStr">
        <is>
          <t>59.887419</t>
        </is>
      </c>
      <c r="R524" s="494" t="inlineStr">
        <is>
          <t>30.488957</t>
        </is>
      </c>
      <c r="S524" s="436" t="n"/>
      <c r="T524" s="436" t="n"/>
      <c r="U524" s="325" t="n"/>
      <c r="V524" s="438">
        <f>IF(AND(N524=1,U524=1),C524,"")</f>
        <v/>
      </c>
      <c r="W524" s="387" t="n"/>
      <c r="X524" s="387" t="n"/>
      <c r="Y524" s="387" t="n"/>
    </row>
    <row r="525" hidden="1" ht="16.05" customFormat="1" customHeight="1" s="126">
      <c r="A525" s="125" t="n">
        <v>752</v>
      </c>
      <c r="B525" s="125" t="n"/>
      <c r="C525" s="130" t="inlineStr">
        <is>
          <t>Санкт-Петербург</t>
        </is>
      </c>
      <c r="D525" s="130" t="inlineStr">
        <is>
          <t>Санкт-Петербург</t>
        </is>
      </c>
      <c r="E525" s="130" t="n"/>
      <c r="F525" s="130" t="inlineStr">
        <is>
          <t>АЗС</t>
        </is>
      </c>
      <c r="G525" s="130" t="inlineStr">
        <is>
          <t>Роснефть</t>
        </is>
      </c>
      <c r="H525" s="131" t="n">
        <v>122</v>
      </c>
      <c r="I525" s="637" t="inlineStr">
        <is>
          <t>122 Горская</t>
        </is>
      </c>
      <c r="J525" s="637" t="inlineStr">
        <is>
          <t>SPB_TNK_Gorskaya</t>
        </is>
      </c>
      <c r="K525" s="640" t="n">
        <v>1</v>
      </c>
      <c r="L525" s="640" t="n">
        <v>1</v>
      </c>
      <c r="M525" s="623" t="inlineStr">
        <is>
          <t>Samsung 32" вертикальный</t>
        </is>
      </c>
      <c r="N525" s="640" t="n"/>
      <c r="O525" s="640">
        <f>IF(AND(N525=1,L525=1),K525,"")</f>
        <v/>
      </c>
      <c r="P525" s="642" t="inlineStr">
        <is>
          <t>Санкт-Петербург, г. Сестрорецк, Владимирский пр., д. 16</t>
        </is>
      </c>
      <c r="Q525" s="640" t="inlineStr">
        <is>
          <t>60.038675</t>
        </is>
      </c>
      <c r="R525" s="494" t="inlineStr">
        <is>
          <t>30.00001</t>
        </is>
      </c>
      <c r="S525" s="436" t="n"/>
      <c r="T525" s="436" t="n"/>
      <c r="U525" s="325" t="n"/>
      <c r="V525" s="438">
        <f>IF(AND(N525=1,U525=1),C525,"")</f>
        <v/>
      </c>
      <c r="W525" s="387" t="n"/>
      <c r="X525" s="387" t="n"/>
      <c r="Y525" s="387" t="n"/>
    </row>
    <row r="526" hidden="1" ht="16.05" customFormat="1" customHeight="1" s="126">
      <c r="A526" s="125" t="n">
        <v>753</v>
      </c>
      <c r="B526" s="125" t="n"/>
      <c r="C526" s="130" t="inlineStr">
        <is>
          <t>Санкт-Петербург</t>
        </is>
      </c>
      <c r="D526" s="130" t="inlineStr">
        <is>
          <t>Санкт-Петербург</t>
        </is>
      </c>
      <c r="E526" s="130" t="n"/>
      <c r="F526" s="130" t="inlineStr">
        <is>
          <t>АЗС</t>
        </is>
      </c>
      <c r="G526" s="130" t="inlineStr">
        <is>
          <t>Роснефть</t>
        </is>
      </c>
      <c r="H526" s="131" t="n">
        <v>123</v>
      </c>
      <c r="I526" s="637" t="inlineStr">
        <is>
          <t>123 Дачное</t>
        </is>
      </c>
      <c r="J526" s="637" t="inlineStr">
        <is>
          <t>SPB_TNK_Dachnoe</t>
        </is>
      </c>
      <c r="K526" s="640" t="n">
        <v>1</v>
      </c>
      <c r="L526" s="640" t="n">
        <v>1</v>
      </c>
      <c r="M526" s="623" t="inlineStr">
        <is>
          <t>Samsung 32" вертикальный</t>
        </is>
      </c>
      <c r="N526" s="640" t="n"/>
      <c r="O526" s="640">
        <f>IF(AND(N526=1,L526=1),K526,"")</f>
        <v/>
      </c>
      <c r="P526" s="642" t="inlineStr">
        <is>
          <t>Санкт-Петербург, пр. Народного Ополчения, д.26, к. 3</t>
        </is>
      </c>
      <c r="Q526" s="640" t="inlineStr">
        <is>
          <t>59.836942</t>
        </is>
      </c>
      <c r="R526" s="494" t="inlineStr">
        <is>
          <t>30.270054</t>
        </is>
      </c>
      <c r="S526" s="436" t="n"/>
      <c r="T526" s="436" t="n"/>
      <c r="U526" s="325" t="n"/>
      <c r="V526" s="438">
        <f>IF(AND(N526=1,U526=1),C526,"")</f>
        <v/>
      </c>
      <c r="W526" s="387" t="n"/>
      <c r="X526" s="387" t="n"/>
      <c r="Y526" s="387" t="n"/>
    </row>
    <row r="527" hidden="1" ht="16.05" customFormat="1" customHeight="1" s="126">
      <c r="A527" s="125" t="n">
        <v>754</v>
      </c>
      <c r="B527" s="125" t="n"/>
      <c r="C527" s="130" t="inlineStr">
        <is>
          <t>Санкт-Петербург</t>
        </is>
      </c>
      <c r="D527" s="130" t="inlineStr">
        <is>
          <t>Санкт-Петербург</t>
        </is>
      </c>
      <c r="E527" s="130" t="n"/>
      <c r="F527" s="130" t="inlineStr">
        <is>
          <t>АЗС</t>
        </is>
      </c>
      <c r="G527" s="130" t="inlineStr">
        <is>
          <t>Роснефть</t>
        </is>
      </c>
      <c r="H527" s="131" t="n">
        <v>110</v>
      </c>
      <c r="I527" s="637" t="inlineStr">
        <is>
          <t>110 Коммуны</t>
        </is>
      </c>
      <c r="J527" s="637" t="inlineStr">
        <is>
          <t>SPB_TNK_Irinovskiy</t>
        </is>
      </c>
      <c r="K527" s="640" t="n">
        <v>1</v>
      </c>
      <c r="L527" s="640" t="n">
        <v>1</v>
      </c>
      <c r="M527" s="623" t="inlineStr">
        <is>
          <t>Samsung 32" вертикальный</t>
        </is>
      </c>
      <c r="N527" s="640" t="n"/>
      <c r="O527" s="640">
        <f>IF(AND(N527=1,L527=1),K527,"")</f>
        <v/>
      </c>
      <c r="P527" s="642" t="inlineStr">
        <is>
          <t>Санкт-Петербург, Ириновский пр., д.52</t>
        </is>
      </c>
      <c r="Q527" s="640" t="inlineStr">
        <is>
          <t>59.962275</t>
        </is>
      </c>
      <c r="R527" s="494" t="inlineStr">
        <is>
          <t>30.48754</t>
        </is>
      </c>
      <c r="S527" s="436" t="n"/>
      <c r="T527" s="436" t="n"/>
      <c r="U527" s="325" t="n"/>
      <c r="V527" s="438">
        <f>IF(AND(N527=1,U527=1),C527,"")</f>
        <v/>
      </c>
      <c r="W527" s="387" t="n"/>
      <c r="X527" s="387" t="n"/>
      <c r="Y527" s="387" t="n"/>
    </row>
    <row r="528" hidden="1" ht="16.05" customFormat="1" customHeight="1" s="126">
      <c r="A528" s="125" t="n">
        <v>755</v>
      </c>
      <c r="B528" s="125" t="n"/>
      <c r="C528" s="130" t="inlineStr">
        <is>
          <t>Санкт-Петербург</t>
        </is>
      </c>
      <c r="D528" s="130" t="inlineStr">
        <is>
          <t>Санкт-Петербург</t>
        </is>
      </c>
      <c r="E528" s="130" t="n"/>
      <c r="F528" s="130" t="inlineStr">
        <is>
          <t>АЗС</t>
        </is>
      </c>
      <c r="G528" s="130" t="inlineStr">
        <is>
          <t>Роснефть</t>
        </is>
      </c>
      <c r="H528" s="131" t="n">
        <v>105</v>
      </c>
      <c r="I528" s="637" t="inlineStr">
        <is>
          <t>105 Карпатская</t>
        </is>
      </c>
      <c r="J528" s="637" t="inlineStr">
        <is>
          <t>SPB_TNK_Karpatskaya</t>
        </is>
      </c>
      <c r="K528" s="640" t="n">
        <v>1</v>
      </c>
      <c r="L528" s="640" t="n">
        <v>1</v>
      </c>
      <c r="M528" s="623" t="inlineStr">
        <is>
          <t>Samsung 32" вертикальный</t>
        </is>
      </c>
      <c r="N528" s="640" t="n"/>
      <c r="O528" s="640">
        <f>IF(AND(N528=1,L528=1),K528,"")</f>
        <v/>
      </c>
      <c r="P528" s="642" t="inlineStr">
        <is>
          <t>Санкт-Петербург,  Карпатская, д. 1</t>
        </is>
      </c>
      <c r="Q528" s="640" t="inlineStr">
        <is>
          <t>59.844167</t>
        </is>
      </c>
      <c r="R528" s="494" t="inlineStr">
        <is>
          <t>30.422403</t>
        </is>
      </c>
      <c r="S528" s="436" t="n"/>
      <c r="T528" s="436" t="n"/>
      <c r="U528" s="325" t="n"/>
      <c r="V528" s="438">
        <f>IF(AND(N528=1,U528=1),C528,"")</f>
        <v/>
      </c>
      <c r="W528" s="387" t="n"/>
      <c r="X528" s="387" t="n"/>
      <c r="Y528" s="387" t="n"/>
    </row>
    <row r="529" hidden="1" ht="16.05" customFormat="1" customHeight="1" s="126">
      <c r="A529" s="125" t="n">
        <v>756</v>
      </c>
      <c r="B529" s="125" t="n"/>
      <c r="C529" s="130" t="inlineStr">
        <is>
          <t>Санкт-Петербург</t>
        </is>
      </c>
      <c r="D529" s="130" t="inlineStr">
        <is>
          <t>Санкт-Петербург</t>
        </is>
      </c>
      <c r="E529" s="130" t="n"/>
      <c r="F529" s="130" t="inlineStr">
        <is>
          <t>АЗС</t>
        </is>
      </c>
      <c r="G529" s="130" t="inlineStr">
        <is>
          <t>Роснефть</t>
        </is>
      </c>
      <c r="H529" s="131" t="n">
        <v>120</v>
      </c>
      <c r="I529" s="637" t="inlineStr">
        <is>
          <t>120 Коломяжский</t>
        </is>
      </c>
      <c r="J529" s="637" t="inlineStr">
        <is>
          <t>SPB_TNK_Kolomyazhskiy</t>
        </is>
      </c>
      <c r="K529" s="640" t="n">
        <v>1</v>
      </c>
      <c r="L529" s="640" t="n">
        <v>1</v>
      </c>
      <c r="M529" s="623" t="inlineStr">
        <is>
          <t>Samsung 32" вертикальный</t>
        </is>
      </c>
      <c r="N529" s="640" t="n"/>
      <c r="O529" s="640">
        <f>IF(AND(N529=1,L529=1),K529,"")</f>
        <v/>
      </c>
      <c r="P529" s="642" t="inlineStr">
        <is>
          <t>Санкт-Петербург, Коломяжский пр., д. 13, к. 7</t>
        </is>
      </c>
      <c r="Q529" s="640" t="inlineStr">
        <is>
          <t>59.999126</t>
        </is>
      </c>
      <c r="R529" s="494" t="inlineStr">
        <is>
          <t>30.300405</t>
        </is>
      </c>
      <c r="S529" s="436" t="n"/>
      <c r="T529" s="436" t="n"/>
      <c r="U529" s="325" t="n"/>
      <c r="V529" s="438">
        <f>IF(AND(N529=1,U529=1),C529,"")</f>
        <v/>
      </c>
      <c r="W529" s="387" t="n"/>
      <c r="X529" s="387" t="n"/>
      <c r="Y529" s="387" t="n"/>
    </row>
    <row r="530" hidden="1" ht="16.05" customFormat="1" customHeight="1" s="126">
      <c r="A530" s="125" t="n">
        <v>757</v>
      </c>
      <c r="B530" s="125" t="n"/>
      <c r="C530" s="130" t="inlineStr">
        <is>
          <t>Санкт-Петербург</t>
        </is>
      </c>
      <c r="D530" s="130" t="inlineStr">
        <is>
          <t>Санкт-Петербург</t>
        </is>
      </c>
      <c r="E530" s="130" t="n"/>
      <c r="F530" s="130" t="inlineStr">
        <is>
          <t>АЗС</t>
        </is>
      </c>
      <c r="G530" s="130" t="inlineStr">
        <is>
          <t>Роснефть</t>
        </is>
      </c>
      <c r="H530" s="131" t="n">
        <v>111</v>
      </c>
      <c r="I530" s="637" t="inlineStr">
        <is>
          <t>111 Косыгина</t>
        </is>
      </c>
      <c r="J530" s="637" t="inlineStr">
        <is>
          <t>SPB_TNK_Kosygino</t>
        </is>
      </c>
      <c r="K530" s="640" t="n">
        <v>1</v>
      </c>
      <c r="L530" s="640" t="n">
        <v>0</v>
      </c>
      <c r="M530" s="623" t="inlineStr">
        <is>
          <t>Samsung 32" вертикальный</t>
        </is>
      </c>
      <c r="N530" s="640" t="n"/>
      <c r="O530" s="640">
        <f>IF(AND(N530=1,L530=1),K530,"")</f>
        <v/>
      </c>
      <c r="P530" s="642" t="inlineStr">
        <is>
          <t>Санкт-Петербург,  Коммуны, д.17</t>
        </is>
      </c>
      <c r="Q530" s="640" t="inlineStr">
        <is>
          <t>59.946894</t>
        </is>
      </c>
      <c r="R530" s="494" t="inlineStr">
        <is>
          <t>30.506286</t>
        </is>
      </c>
      <c r="S530" s="436" t="n"/>
      <c r="T530" s="436" t="n"/>
      <c r="U530" s="325" t="n"/>
      <c r="V530" s="438">
        <f>IF(AND(N530=1,U530=1),C530,"")</f>
        <v/>
      </c>
      <c r="W530" s="387" t="n"/>
      <c r="X530" s="387" t="n"/>
      <c r="Y530" s="387" t="n"/>
    </row>
    <row r="531" hidden="1" ht="16.05" customFormat="1" customHeight="1" s="126">
      <c r="A531" s="125" t="n">
        <v>758</v>
      </c>
      <c r="B531" s="125" t="n"/>
      <c r="C531" s="130" t="inlineStr">
        <is>
          <t>Санкт-Петербург</t>
        </is>
      </c>
      <c r="D531" s="130" t="inlineStr">
        <is>
          <t>Санкт-Петербург</t>
        </is>
      </c>
      <c r="E531" s="130" t="n"/>
      <c r="F531" s="130" t="inlineStr">
        <is>
          <t>АЗС</t>
        </is>
      </c>
      <c r="G531" s="130" t="inlineStr">
        <is>
          <t>Роснефть</t>
        </is>
      </c>
      <c r="H531" s="131" t="n">
        <v>114</v>
      </c>
      <c r="I531" s="637" t="inlineStr">
        <is>
          <t>114 Кубинская</t>
        </is>
      </c>
      <c r="J531" s="637" t="inlineStr">
        <is>
          <t>SPB_TNK_Kubinskaya</t>
        </is>
      </c>
      <c r="K531" s="640" t="n">
        <v>1</v>
      </c>
      <c r="L531" s="640" t="n">
        <v>1</v>
      </c>
      <c r="M531" s="623" t="inlineStr">
        <is>
          <t>Samsung 32" вертикальный</t>
        </is>
      </c>
      <c r="N531" s="640" t="n"/>
      <c r="O531" s="640">
        <f>IF(AND(N531=1,L531=1),K531,"")</f>
        <v/>
      </c>
      <c r="P531" s="642" t="inlineStr">
        <is>
          <t>Санкт-Петербург,  Кубинская, д.92</t>
        </is>
      </c>
      <c r="Q531" s="640" t="inlineStr">
        <is>
          <t>59.833234</t>
        </is>
      </c>
      <c r="R531" s="494" t="inlineStr">
        <is>
          <t>30.309557</t>
        </is>
      </c>
      <c r="S531" s="436" t="n"/>
      <c r="T531" s="436" t="n"/>
      <c r="U531" s="325" t="n"/>
      <c r="V531" s="438">
        <f>IF(AND(N531=1,U531=1),C531,"")</f>
        <v/>
      </c>
      <c r="W531" s="387" t="n"/>
      <c r="X531" s="387" t="n"/>
      <c r="Y531" s="387" t="n"/>
    </row>
    <row r="532" hidden="1" ht="16.05" customFormat="1" customHeight="1" s="126">
      <c r="A532" s="125" t="n">
        <v>759</v>
      </c>
      <c r="B532" s="125" t="n"/>
      <c r="C532" s="130" t="inlineStr">
        <is>
          <t>Санкт-Петербург</t>
        </is>
      </c>
      <c r="D532" s="130" t="inlineStr">
        <is>
          <t>Санкт-Петербург</t>
        </is>
      </c>
      <c r="E532" s="130" t="n"/>
      <c r="F532" s="130" t="inlineStr">
        <is>
          <t>АЗС</t>
        </is>
      </c>
      <c r="G532" s="130" t="inlineStr">
        <is>
          <t>Роснефть</t>
        </is>
      </c>
      <c r="H532" s="131" t="n">
        <v>113</v>
      </c>
      <c r="I532" s="637" t="inlineStr">
        <is>
          <t>113 Наставников</t>
        </is>
      </c>
      <c r="J532" s="637" t="inlineStr">
        <is>
          <t>SPB_TNK_Nastavnikov</t>
        </is>
      </c>
      <c r="K532" s="640" t="n">
        <v>1</v>
      </c>
      <c r="L532" s="640" t="n">
        <v>1</v>
      </c>
      <c r="M532" s="623" t="inlineStr">
        <is>
          <t>Samsung 32" вертикальный</t>
        </is>
      </c>
      <c r="N532" s="640" t="n"/>
      <c r="O532" s="640">
        <f>IF(AND(N532=1,L532=1),K532,"")</f>
        <v/>
      </c>
      <c r="P532" s="642" t="inlineStr">
        <is>
          <t>Санкт-Петербург, пр. Наставников, д. 2, корп. 1</t>
        </is>
      </c>
      <c r="Q532" s="640" t="inlineStr">
        <is>
          <t>59.833224</t>
        </is>
      </c>
      <c r="R532" s="494" t="inlineStr">
        <is>
          <t>30.309656</t>
        </is>
      </c>
      <c r="S532" s="436" t="n"/>
      <c r="T532" s="436" t="n"/>
      <c r="U532" s="325" t="n"/>
      <c r="V532" s="438">
        <f>IF(AND(N532=1,U532=1),C532,"")</f>
        <v/>
      </c>
      <c r="W532" s="387" t="n"/>
      <c r="X532" s="387" t="n"/>
      <c r="Y532" s="387" t="n"/>
    </row>
    <row r="533" hidden="1" ht="16.05" customFormat="1" customHeight="1" s="126">
      <c r="A533" s="125" t="n">
        <v>760</v>
      </c>
      <c r="B533" s="125" t="n"/>
      <c r="C533" s="130" t="inlineStr">
        <is>
          <t>Санкт-Петербург</t>
        </is>
      </c>
      <c r="D533" s="130" t="inlineStr">
        <is>
          <t>Санкт-Петербург</t>
        </is>
      </c>
      <c r="E533" s="130" t="n"/>
      <c r="F533" s="130" t="inlineStr">
        <is>
          <t>АЗС</t>
        </is>
      </c>
      <c r="G533" s="130" t="inlineStr">
        <is>
          <t>Роснефть</t>
        </is>
      </c>
      <c r="H533" s="131" t="n">
        <v>101</v>
      </c>
      <c r="I533" s="637" t="inlineStr">
        <is>
          <t>101 Непокоренных</t>
        </is>
      </c>
      <c r="J533" s="637" t="inlineStr">
        <is>
          <t>SPB_TNK_Nepokorennyh</t>
        </is>
      </c>
      <c r="K533" s="640" t="n">
        <v>1</v>
      </c>
      <c r="L533" s="640" t="n">
        <v>1</v>
      </c>
      <c r="M533" s="623" t="inlineStr">
        <is>
          <t>Samsung 32" вертикальный</t>
        </is>
      </c>
      <c r="N533" s="640" t="n"/>
      <c r="O533" s="640">
        <f>IF(AND(N533=1,L533=1),K533,"")</f>
        <v/>
      </c>
      <c r="P533" s="642" t="inlineStr">
        <is>
          <t>Санкт-Петербург, пр. Непокоренных д. 53</t>
        </is>
      </c>
      <c r="Q533" s="640" t="inlineStr">
        <is>
          <t>59.993763</t>
        </is>
      </c>
      <c r="R533" s="494" t="inlineStr">
        <is>
          <t>30.391543</t>
        </is>
      </c>
      <c r="S533" s="436" t="n"/>
      <c r="T533" s="436" t="n"/>
      <c r="U533" s="325" t="n"/>
      <c r="V533" s="438">
        <f>IF(AND(N533=1,U533=1),C533,"")</f>
        <v/>
      </c>
      <c r="W533" s="387" t="n"/>
      <c r="X533" s="387" t="n"/>
      <c r="Y533" s="387" t="n"/>
    </row>
    <row r="534" hidden="1" ht="16.05" customFormat="1" customHeight="1" s="126">
      <c r="A534" s="125" t="n">
        <v>761</v>
      </c>
      <c r="B534" s="125" t="n"/>
      <c r="C534" s="130" t="inlineStr">
        <is>
          <t>Санкт-Петербург</t>
        </is>
      </c>
      <c r="D534" s="130" t="inlineStr">
        <is>
          <t>Санкт-Петербург</t>
        </is>
      </c>
      <c r="E534" s="130" t="n"/>
      <c r="F534" s="130" t="inlineStr">
        <is>
          <t>АЗС</t>
        </is>
      </c>
      <c r="G534" s="130" t="inlineStr">
        <is>
          <t>Роснефть</t>
        </is>
      </c>
      <c r="H534" s="131" t="n">
        <v>103</v>
      </c>
      <c r="I534" s="637" t="inlineStr">
        <is>
          <t>103 Октябрьская</t>
        </is>
      </c>
      <c r="J534" s="637" t="inlineStr">
        <is>
          <t>SPB_TNK_Oktyabrskaya</t>
        </is>
      </c>
      <c r="K534" s="640" t="n">
        <v>1</v>
      </c>
      <c r="L534" s="640" t="n">
        <v>1</v>
      </c>
      <c r="M534" s="623" t="inlineStr">
        <is>
          <t>Samsung 32" вертикальный</t>
        </is>
      </c>
      <c r="N534" s="640" t="n"/>
      <c r="O534" s="640">
        <f>IF(AND(N534=1,L534=1),K534,"")</f>
        <v/>
      </c>
      <c r="P534" s="642" t="inlineStr">
        <is>
          <t>Санкт-Петербург, Октябрьская наб.,  д. 68. к.2</t>
        </is>
      </c>
      <c r="Q534" s="640" t="inlineStr">
        <is>
          <t>59.878424</t>
        </is>
      </c>
      <c r="R534" s="494" t="inlineStr">
        <is>
          <t>30.457776</t>
        </is>
      </c>
      <c r="S534" s="436" t="n"/>
      <c r="T534" s="436" t="n"/>
      <c r="U534" s="325" t="n"/>
      <c r="V534" s="438">
        <f>IF(AND(N534=1,U534=1),C534,"")</f>
        <v/>
      </c>
      <c r="W534" s="387" t="n"/>
      <c r="X534" s="387" t="n"/>
      <c r="Y534" s="387" t="n"/>
    </row>
    <row r="535" hidden="1" ht="16.05" customFormat="1" customHeight="1" s="126">
      <c r="A535" s="125" t="n">
        <v>762</v>
      </c>
      <c r="B535" s="125" t="n"/>
      <c r="C535" s="130" t="inlineStr">
        <is>
          <t>Санкт-Петербург</t>
        </is>
      </c>
      <c r="D535" s="130" t="inlineStr">
        <is>
          <t>Санкт-Петербург</t>
        </is>
      </c>
      <c r="E535" s="130" t="n"/>
      <c r="F535" s="130" t="inlineStr">
        <is>
          <t>АЗС</t>
        </is>
      </c>
      <c r="G535" s="130" t="inlineStr">
        <is>
          <t>Роснефть</t>
        </is>
      </c>
      <c r="H535" s="131" t="n">
        <v>102</v>
      </c>
      <c r="I535" s="637" t="inlineStr">
        <is>
          <t>102 Революции</t>
        </is>
      </c>
      <c r="J535" s="637" t="inlineStr">
        <is>
          <t>SPB_TNK_Revolutsii</t>
        </is>
      </c>
      <c r="K535" s="640" t="n">
        <v>1</v>
      </c>
      <c r="L535" s="640" t="n">
        <v>1</v>
      </c>
      <c r="M535" s="623" t="inlineStr">
        <is>
          <t>Samsung 32" вертикальный</t>
        </is>
      </c>
      <c r="N535" s="640" t="n"/>
      <c r="O535" s="640">
        <f>IF(AND(N535=1,L535=1),K535,"")</f>
        <v/>
      </c>
      <c r="P535" s="642" t="inlineStr">
        <is>
          <t>Санкт-Петербург, ш. Революции д. 86 к.3</t>
        </is>
      </c>
      <c r="Q535" s="640" t="inlineStr">
        <is>
          <t>59.962264</t>
        </is>
      </c>
      <c r="R535" s="494" t="inlineStr">
        <is>
          <t>30.459004</t>
        </is>
      </c>
      <c r="S535" s="436" t="n"/>
      <c r="T535" s="436" t="n"/>
      <c r="U535" s="325" t="n"/>
      <c r="V535" s="438">
        <f>IF(AND(N535=1,U535=1),C535,"")</f>
        <v/>
      </c>
      <c r="W535" s="387" t="n"/>
      <c r="X535" s="387" t="n"/>
      <c r="Y535" s="387" t="n"/>
    </row>
    <row r="536" hidden="1" ht="16.05" customFormat="1" customHeight="1" s="126">
      <c r="A536" s="125" t="n">
        <v>763</v>
      </c>
      <c r="B536" s="125" t="n"/>
      <c r="C536" s="130" t="inlineStr">
        <is>
          <t>Санкт-Петербург</t>
        </is>
      </c>
      <c r="D536" s="130" t="inlineStr">
        <is>
          <t>Ленинградская область</t>
        </is>
      </c>
      <c r="E536" s="130" t="n"/>
      <c r="F536" s="130" t="inlineStr">
        <is>
          <t>АЗС</t>
        </is>
      </c>
      <c r="G536" s="130" t="inlineStr">
        <is>
          <t>Роснефть</t>
        </is>
      </c>
      <c r="H536" s="131" t="n">
        <v>129</v>
      </c>
      <c r="I536" s="637" t="inlineStr">
        <is>
          <t>129 Рождествено</t>
        </is>
      </c>
      <c r="J536" s="637" t="inlineStr">
        <is>
          <t>SPB_TNK_Rozhdestvenno</t>
        </is>
      </c>
      <c r="K536" s="640" t="n">
        <v>1</v>
      </c>
      <c r="L536" s="640" t="n">
        <v>1</v>
      </c>
      <c r="M536" s="623" t="inlineStr">
        <is>
          <t>Samsung 32" вертикальный</t>
        </is>
      </c>
      <c r="N536" s="640" t="n"/>
      <c r="O536" s="640">
        <f>IF(AND(N536=1,L536=1),K536,"")</f>
        <v/>
      </c>
      <c r="P536" s="642" t="inlineStr">
        <is>
          <t>Ленинградская область, Гатчинский район, с. Рождествено, 75км- 500 м (справа)</t>
        </is>
      </c>
      <c r="Q536" s="640" t="inlineStr">
        <is>
          <t>59.336093</t>
        </is>
      </c>
      <c r="R536" s="494" t="inlineStr">
        <is>
          <t>29.954845</t>
        </is>
      </c>
      <c r="S536" s="436" t="n"/>
      <c r="T536" s="436" t="n"/>
      <c r="U536" s="325" t="n"/>
      <c r="V536" s="438">
        <f>IF(AND(N536=1,U536=1),C536,"")</f>
        <v/>
      </c>
      <c r="W536" s="387" t="n"/>
      <c r="X536" s="387" t="n"/>
      <c r="Y536" s="387" t="n"/>
    </row>
    <row r="537" hidden="1" ht="16.05" customFormat="1" customHeight="1" s="126">
      <c r="A537" s="125" t="n">
        <v>765</v>
      </c>
      <c r="B537" s="125" t="n"/>
      <c r="C537" s="130" t="inlineStr">
        <is>
          <t>Санкт-Петербург</t>
        </is>
      </c>
      <c r="D537" s="130" t="inlineStr">
        <is>
          <t>Ленинградская область</t>
        </is>
      </c>
      <c r="E537" s="130" t="n"/>
      <c r="F537" s="130" t="inlineStr">
        <is>
          <t>АЗС</t>
        </is>
      </c>
      <c r="G537" s="130" t="inlineStr">
        <is>
          <t>Роснефть</t>
        </is>
      </c>
      <c r="H537" s="131" t="inlineStr">
        <is>
          <t>Трубников Бор-2</t>
        </is>
      </c>
      <c r="I537" s="637" t="inlineStr">
        <is>
          <t>Трубников Бор-2</t>
        </is>
      </c>
      <c r="J537" s="402" t="inlineStr">
        <is>
          <t>SPB_TNK_Trubnikov_Bor_2</t>
        </is>
      </c>
      <c r="K537" s="640" t="n">
        <v>1</v>
      </c>
      <c r="L537" s="640" t="n">
        <v>0</v>
      </c>
      <c r="M537" s="640" t="inlineStr">
        <is>
          <t>Samsung 32" вертикальный</t>
        </is>
      </c>
      <c r="N537" s="640" t="n"/>
      <c r="O537" s="640">
        <f>IF(AND(N537=1,L537=1),K537,"")</f>
        <v/>
      </c>
      <c r="P537" s="642" t="inlineStr">
        <is>
          <t>Ленинградская область,Тосненский район, а/д Россия, 601 км + 800 м  (лево)</t>
        </is>
      </c>
      <c r="Q537" s="640" t="n">
        <v>59.255603</v>
      </c>
      <c r="R537" s="422" t="n">
        <v>31.410634</v>
      </c>
      <c r="S537" s="436" t="n"/>
      <c r="T537" s="436" t="n"/>
      <c r="U537" s="325" t="n"/>
      <c r="V537" s="438">
        <f>IF(AND(N537=1,U537=1),C537,"")</f>
        <v/>
      </c>
      <c r="W537" s="387" t="n"/>
      <c r="X537" s="1" t="n"/>
      <c r="Y537" s="1" t="n"/>
    </row>
    <row r="538" hidden="1" ht="16.05" customFormat="1" customHeight="1" s="126">
      <c r="A538" s="125" t="n">
        <v>766</v>
      </c>
      <c r="B538" s="125" t="n"/>
      <c r="C538" s="130" t="inlineStr">
        <is>
          <t>Калуга</t>
        </is>
      </c>
      <c r="D538" s="130" t="inlineStr">
        <is>
          <t>Калуга</t>
        </is>
      </c>
      <c r="E538" s="130" t="n"/>
      <c r="F538" s="130" t="inlineStr">
        <is>
          <t>АЗС</t>
        </is>
      </c>
      <c r="G538" s="130" t="inlineStr">
        <is>
          <t>Роснефть</t>
        </is>
      </c>
      <c r="H538" s="131" t="inlineStr">
        <is>
          <t>тнк 73</t>
        </is>
      </c>
      <c r="I538" s="637" t="inlineStr">
        <is>
          <t>TNK_73</t>
        </is>
      </c>
      <c r="J538" s="637" t="inlineStr">
        <is>
          <t>KLG_TNK_073</t>
        </is>
      </c>
      <c r="K538" s="640" t="n">
        <v>1</v>
      </c>
      <c r="L538" s="640" t="n">
        <v>1</v>
      </c>
      <c r="M538" s="623" t="inlineStr">
        <is>
          <t>Samsung 32" вертикальный</t>
        </is>
      </c>
      <c r="N538" s="640" t="n"/>
      <c r="O538" s="640">
        <f>IF(AND(N538=1,L538=1),K538,"")</f>
        <v/>
      </c>
      <c r="P538" s="642" t="inlineStr">
        <is>
          <t>Калуга, Железняки, 31</t>
        </is>
      </c>
      <c r="Q538" s="640" t="inlineStr">
        <is>
          <t>54.547728</t>
        </is>
      </c>
      <c r="R538" s="494" t="inlineStr">
        <is>
          <t>36.246523</t>
        </is>
      </c>
      <c r="S538" s="436" t="n"/>
      <c r="T538" s="436" t="n"/>
      <c r="U538" s="652" t="n"/>
      <c r="V538" s="438">
        <f>IF(AND(N538=1,U538=1),C538,"")</f>
        <v/>
      </c>
      <c r="W538" s="387" t="n"/>
      <c r="X538" s="387" t="n"/>
      <c r="Y538" s="387" t="n"/>
    </row>
    <row r="539" hidden="1" ht="16.05" customFormat="1" customHeight="1" s="126">
      <c r="A539" s="125" t="n">
        <v>767</v>
      </c>
      <c r="B539" s="125" t="n"/>
      <c r="C539" s="130" t="inlineStr">
        <is>
          <t>Калуга</t>
        </is>
      </c>
      <c r="D539" s="130" t="inlineStr">
        <is>
          <t>Калуга</t>
        </is>
      </c>
      <c r="E539" s="130" t="n"/>
      <c r="F539" s="130" t="inlineStr">
        <is>
          <t>АЗС</t>
        </is>
      </c>
      <c r="G539" s="130" t="inlineStr">
        <is>
          <t>Роснефть</t>
        </is>
      </c>
      <c r="H539" s="131" t="inlineStr">
        <is>
          <t>тнк 72</t>
        </is>
      </c>
      <c r="I539" s="637" t="inlineStr">
        <is>
          <t>TNK_72</t>
        </is>
      </c>
      <c r="J539" s="637" t="inlineStr">
        <is>
          <t>KLG_TNK_072</t>
        </is>
      </c>
      <c r="K539" s="640" t="n">
        <v>1</v>
      </c>
      <c r="L539" s="640" t="n">
        <v>1</v>
      </c>
      <c r="M539" s="623" t="inlineStr">
        <is>
          <t>Samsung 32" вертикальный</t>
        </is>
      </c>
      <c r="N539" s="640" t="n"/>
      <c r="O539" s="640">
        <f>IF(AND(N539=1,L539=1),K539,"")</f>
        <v/>
      </c>
      <c r="P539" s="642" t="inlineStr">
        <is>
          <t>Калуга, д. Анненки (Калуга, улица Анненки, 49)</t>
        </is>
      </c>
      <c r="Q539" s="640" t="inlineStr">
        <is>
          <t>54.537398</t>
        </is>
      </c>
      <c r="R539" s="494" t="inlineStr">
        <is>
          <t>36.157977</t>
        </is>
      </c>
      <c r="S539" s="436" t="n"/>
      <c r="T539" s="436" t="n"/>
      <c r="U539" s="652" t="n"/>
      <c r="V539" s="438">
        <f>IF(AND(N539=1,U539=1),C539,"")</f>
        <v/>
      </c>
      <c r="W539" s="387" t="n"/>
      <c r="X539" s="387" t="n"/>
      <c r="Y539" s="387" t="n"/>
    </row>
    <row r="540" hidden="1" ht="16.05" customFormat="1" customHeight="1" s="126">
      <c r="A540" s="125" t="n">
        <v>768</v>
      </c>
      <c r="B540" s="125" t="n"/>
      <c r="C540" s="130" t="inlineStr">
        <is>
          <t>Калуга</t>
        </is>
      </c>
      <c r="D540" s="130" t="inlineStr">
        <is>
          <t>Калуга</t>
        </is>
      </c>
      <c r="E540" s="130" t="n"/>
      <c r="F540" s="130" t="inlineStr">
        <is>
          <t>АЗС</t>
        </is>
      </c>
      <c r="G540" s="130" t="inlineStr">
        <is>
          <t>Роснефть</t>
        </is>
      </c>
      <c r="H540" s="131" t="inlineStr">
        <is>
          <t>тнк 23</t>
        </is>
      </c>
      <c r="I540" s="637" t="inlineStr">
        <is>
          <t>TNK_23</t>
        </is>
      </c>
      <c r="J540" s="637" t="inlineStr">
        <is>
          <t>KLG_TNK_023</t>
        </is>
      </c>
      <c r="K540" s="640" t="n">
        <v>1</v>
      </c>
      <c r="L540" s="640" t="n">
        <v>1</v>
      </c>
      <c r="M540" s="623" t="inlineStr">
        <is>
          <t>Samsung 32" вертикальный</t>
        </is>
      </c>
      <c r="N540" s="640" t="n"/>
      <c r="O540" s="640">
        <f>IF(AND(N540=1,L540=1),K540,"")</f>
        <v/>
      </c>
      <c r="P540" s="642" t="inlineStr">
        <is>
          <t>Калуга,  Ромодановская, д. б/н (Калуга, Правобережный проезд, 15)</t>
        </is>
      </c>
      <c r="Q540" s="640" t="inlineStr">
        <is>
          <t>54.494597</t>
        </is>
      </c>
      <c r="R540" s="494" t="inlineStr">
        <is>
          <t>36.225163</t>
        </is>
      </c>
      <c r="S540" s="436" t="n"/>
      <c r="T540" s="436" t="n"/>
      <c r="U540" s="652" t="n"/>
      <c r="V540" s="438">
        <f>IF(AND(N540=1,U540=1),C540,"")</f>
        <v/>
      </c>
      <c r="W540" s="387" t="n"/>
      <c r="X540" s="387" t="n"/>
      <c r="Y540" s="387" t="n"/>
    </row>
    <row r="541" hidden="1" ht="16.05" customFormat="1" customHeight="1" s="126">
      <c r="A541" s="125" t="n">
        <v>769</v>
      </c>
      <c r="B541" s="125" t="n"/>
      <c r="C541" s="130" t="inlineStr">
        <is>
          <t>Калуга</t>
        </is>
      </c>
      <c r="D541" s="130" t="inlineStr">
        <is>
          <t>Калуга</t>
        </is>
      </c>
      <c r="E541" s="130" t="n"/>
      <c r="F541" s="130" t="inlineStr">
        <is>
          <t>АЗС</t>
        </is>
      </c>
      <c r="G541" s="130" t="inlineStr">
        <is>
          <t>Роснефть</t>
        </is>
      </c>
      <c r="H541" s="131" t="inlineStr">
        <is>
          <t>тнк 75</t>
        </is>
      </c>
      <c r="I541" s="637" t="inlineStr">
        <is>
          <t>TNK_75</t>
        </is>
      </c>
      <c r="J541" s="637" t="inlineStr">
        <is>
          <t>KLG_TNK_075</t>
        </is>
      </c>
      <c r="K541" s="640" t="n">
        <v>1</v>
      </c>
      <c r="L541" s="640" t="n">
        <v>1</v>
      </c>
      <c r="M541" s="623" t="inlineStr">
        <is>
          <t>Samsung 32" вертикальный</t>
        </is>
      </c>
      <c r="N541" s="640" t="n"/>
      <c r="O541" s="640">
        <f>IF(AND(N541=1,L541=1),K541,"")</f>
        <v/>
      </c>
      <c r="P541" s="642" t="inlineStr">
        <is>
          <t>Калуга,  С.-Щедрина, д. 76, кор. 2</t>
        </is>
      </c>
      <c r="Q541" s="640" t="inlineStr">
        <is>
          <t>54.499083</t>
        </is>
      </c>
      <c r="R541" s="494" t="inlineStr">
        <is>
          <t>36.289893</t>
        </is>
      </c>
      <c r="S541" s="436" t="n"/>
      <c r="T541" s="436" t="n"/>
      <c r="U541" s="652" t="n"/>
      <c r="V541" s="438">
        <f>IF(AND(N541=1,U541=1),C541,"")</f>
        <v/>
      </c>
      <c r="W541" s="387" t="n"/>
      <c r="X541" s="387" t="n"/>
      <c r="Y541" s="387" t="n"/>
    </row>
    <row r="542" hidden="1" ht="16.05" customFormat="1" customHeight="1" s="126">
      <c r="A542" s="125" t="n">
        <v>770</v>
      </c>
      <c r="B542" s="125" t="n"/>
      <c r="C542" s="130" t="inlineStr">
        <is>
          <t>Калуга</t>
        </is>
      </c>
      <c r="D542" s="130" t="inlineStr">
        <is>
          <t>Калуга</t>
        </is>
      </c>
      <c r="E542" s="130" t="n"/>
      <c r="F542" s="130" t="inlineStr">
        <is>
          <t>АЗС</t>
        </is>
      </c>
      <c r="G542" s="130" t="inlineStr">
        <is>
          <t>Роснефть</t>
        </is>
      </c>
      <c r="H542" s="131" t="inlineStr">
        <is>
          <t>тнк 71</t>
        </is>
      </c>
      <c r="I542" s="637" t="inlineStr">
        <is>
          <t>TNK_71</t>
        </is>
      </c>
      <c r="J542" s="637" t="inlineStr">
        <is>
          <t>KLG_TNK_071</t>
        </is>
      </c>
      <c r="K542" s="640" t="n">
        <v>1</v>
      </c>
      <c r="L542" s="640" t="n">
        <v>1</v>
      </c>
      <c r="M542" s="623" t="inlineStr">
        <is>
          <t>Samsung 32" вертикальный</t>
        </is>
      </c>
      <c r="N542" s="640" t="n"/>
      <c r="O542" s="640">
        <f>IF(AND(N542=1,L542=1),K542,"")</f>
        <v/>
      </c>
      <c r="P542" s="642" t="inlineStr">
        <is>
          <t>Калуга, Грабцевское шоссе, д. 27</t>
        </is>
      </c>
      <c r="Q542" s="640" t="inlineStr">
        <is>
          <t>54.522098</t>
        </is>
      </c>
      <c r="R542" s="494" t="inlineStr">
        <is>
          <t>36.284595</t>
        </is>
      </c>
      <c r="S542" s="436" t="n"/>
      <c r="T542" s="436" t="n"/>
      <c r="U542" s="652" t="n"/>
      <c r="V542" s="438">
        <f>IF(AND(N542=1,U542=1),C542,"")</f>
        <v/>
      </c>
      <c r="W542" s="387" t="n"/>
      <c r="X542" s="387" t="n"/>
      <c r="Y542" s="387" t="n"/>
    </row>
    <row r="543" hidden="1" ht="16.05" customFormat="1" customHeight="1" s="126">
      <c r="A543" s="125" t="n">
        <v>771</v>
      </c>
      <c r="B543" s="125" t="n"/>
      <c r="C543" s="130" t="inlineStr">
        <is>
          <t>Калуга</t>
        </is>
      </c>
      <c r="D543" s="130" t="inlineStr">
        <is>
          <t>Калуга</t>
        </is>
      </c>
      <c r="E543" s="130" t="n"/>
      <c r="F543" s="130" t="inlineStr">
        <is>
          <t>АЗС</t>
        </is>
      </c>
      <c r="G543" s="130" t="inlineStr">
        <is>
          <t>Роснефть</t>
        </is>
      </c>
      <c r="H543" s="131" t="inlineStr">
        <is>
          <t>тнк 77</t>
        </is>
      </c>
      <c r="I543" s="637" t="inlineStr">
        <is>
          <t>TNK_77</t>
        </is>
      </c>
      <c r="J543" s="637" t="inlineStr">
        <is>
          <t>KLG_TNK_077</t>
        </is>
      </c>
      <c r="K543" s="640" t="n">
        <v>1</v>
      </c>
      <c r="L543" s="640" t="n">
        <v>1</v>
      </c>
      <c r="M543" s="623" t="inlineStr">
        <is>
          <t>Samsung 32" вертикальный</t>
        </is>
      </c>
      <c r="N543" s="640" t="n"/>
      <c r="O543" s="640">
        <f>IF(AND(N543=1,L543=1),K543,"")</f>
        <v/>
      </c>
      <c r="P543" s="642" t="inlineStr">
        <is>
          <t>Калуга,  Зерновая, д. 34</t>
        </is>
      </c>
      <c r="Q543" s="640" t="inlineStr">
        <is>
          <t>54.542593</t>
        </is>
      </c>
      <c r="R543" s="494" t="inlineStr">
        <is>
          <t>36.299743</t>
        </is>
      </c>
      <c r="S543" s="436" t="n"/>
      <c r="T543" s="436" t="n"/>
      <c r="U543" s="652" t="n"/>
      <c r="V543" s="438">
        <f>IF(AND(N543=1,U543=1),C543,"")</f>
        <v/>
      </c>
      <c r="W543" s="387" t="n"/>
      <c r="X543" s="387" t="n"/>
      <c r="Y543" s="387" t="n"/>
    </row>
    <row r="544" hidden="1" ht="16.05" customFormat="1" customHeight="1" s="126">
      <c r="A544" s="125" t="n">
        <v>772</v>
      </c>
      <c r="B544" s="125" t="n"/>
      <c r="C544" s="130" t="inlineStr">
        <is>
          <t>Калуга</t>
        </is>
      </c>
      <c r="D544" s="130" t="inlineStr">
        <is>
          <t>Калуга</t>
        </is>
      </c>
      <c r="E544" s="130" t="n"/>
      <c r="F544" s="130" t="inlineStr">
        <is>
          <t>АЗС</t>
        </is>
      </c>
      <c r="G544" s="130" t="inlineStr">
        <is>
          <t>Роснефть</t>
        </is>
      </c>
      <c r="H544" s="131" t="inlineStr">
        <is>
          <t>тнк 83</t>
        </is>
      </c>
      <c r="I544" s="637" t="inlineStr">
        <is>
          <t>TNK_83</t>
        </is>
      </c>
      <c r="J544" s="637" t="inlineStr">
        <is>
          <t>KLG_TNK_083</t>
        </is>
      </c>
      <c r="K544" s="640" t="n">
        <v>1</v>
      </c>
      <c r="L544" s="640" t="n">
        <v>1</v>
      </c>
      <c r="M544" s="623" t="inlineStr">
        <is>
          <t>Samsung 32" вертикальный</t>
        </is>
      </c>
      <c r="N544" s="640" t="n"/>
      <c r="O544" s="640">
        <f>IF(AND(N544=1,L544=1),K544,"")</f>
        <v/>
      </c>
      <c r="P544" s="642" t="inlineStr">
        <is>
          <t>Калуга, Грабцевское шоссе, д. б/н (Калуга, Грабцевское шоссе, 27)</t>
        </is>
      </c>
      <c r="Q544" s="640" t="inlineStr">
        <is>
          <t>54.522023</t>
        </is>
      </c>
      <c r="R544" s="494" t="inlineStr">
        <is>
          <t>36.284655</t>
        </is>
      </c>
      <c r="S544" s="436" t="n"/>
      <c r="T544" s="436" t="n"/>
      <c r="U544" s="652" t="n"/>
      <c r="V544" s="438">
        <f>IF(AND(N544=1,U544=1),C544,"")</f>
        <v/>
      </c>
      <c r="W544" s="387" t="n"/>
      <c r="X544" s="387" t="n"/>
      <c r="Y544" s="387" t="n"/>
    </row>
    <row r="545" hidden="1" ht="16.05" customFormat="1" customHeight="1" s="126">
      <c r="A545" s="125" t="n">
        <v>773</v>
      </c>
      <c r="B545" s="125" t="n"/>
      <c r="C545" s="130" t="inlineStr">
        <is>
          <t>Калуга</t>
        </is>
      </c>
      <c r="D545" s="130" t="inlineStr">
        <is>
          <t>Калуга</t>
        </is>
      </c>
      <c r="E545" s="130" t="n"/>
      <c r="F545" s="130" t="inlineStr">
        <is>
          <t>АЗС</t>
        </is>
      </c>
      <c r="G545" s="130" t="inlineStr">
        <is>
          <t>Роснефть</t>
        </is>
      </c>
      <c r="H545" s="131" t="inlineStr">
        <is>
          <t>тнк 82</t>
        </is>
      </c>
      <c r="I545" s="637" t="inlineStr">
        <is>
          <t>TNK_82</t>
        </is>
      </c>
      <c r="J545" s="637" t="inlineStr">
        <is>
          <t>KLG_TNK_082</t>
        </is>
      </c>
      <c r="K545" s="640" t="n">
        <v>1</v>
      </c>
      <c r="L545" s="640" t="n">
        <v>1</v>
      </c>
      <c r="M545" s="623" t="inlineStr">
        <is>
          <t>Samsung 32" вертикальный</t>
        </is>
      </c>
      <c r="N545" s="640" t="n"/>
      <c r="O545" s="640">
        <f>IF(AND(N545=1,L545=1),K545,"")</f>
        <v/>
      </c>
      <c r="P545" s="642" t="inlineStr">
        <is>
          <t>Калуга,  Московская, 344</t>
        </is>
      </c>
      <c r="Q545" s="640" t="inlineStr">
        <is>
          <t>54.594459</t>
        </is>
      </c>
      <c r="R545" s="494" t="inlineStr">
        <is>
          <t>36.257627</t>
        </is>
      </c>
      <c r="S545" s="436" t="n"/>
      <c r="T545" s="436" t="n"/>
      <c r="U545" s="652" t="n"/>
      <c r="V545" s="438">
        <f>IF(AND(N545=1,U545=1),C545,"")</f>
        <v/>
      </c>
      <c r="W545" s="387" t="n"/>
      <c r="X545" s="387" t="n"/>
      <c r="Y545" s="387" t="n"/>
    </row>
    <row r="546" hidden="1" ht="16.05" customFormat="1" customHeight="1" s="126">
      <c r="A546" s="125" t="n">
        <v>774</v>
      </c>
      <c r="B546" s="125" t="n"/>
      <c r="C546" s="130" t="inlineStr">
        <is>
          <t>Калуга</t>
        </is>
      </c>
      <c r="D546" s="130" t="inlineStr">
        <is>
          <t>Обнинск</t>
        </is>
      </c>
      <c r="E546" s="130" t="n"/>
      <c r="F546" s="130" t="inlineStr">
        <is>
          <t>АЗС</t>
        </is>
      </c>
      <c r="G546" s="130" t="inlineStr">
        <is>
          <t>Роснефть</t>
        </is>
      </c>
      <c r="H546" s="131" t="inlineStr">
        <is>
          <t>тнк 3</t>
        </is>
      </c>
      <c r="I546" s="637" t="inlineStr">
        <is>
          <t>TNK_3</t>
        </is>
      </c>
      <c r="J546" s="637" t="inlineStr">
        <is>
          <t>KLG_TNK_003</t>
        </is>
      </c>
      <c r="K546" s="640" t="n">
        <v>1</v>
      </c>
      <c r="L546" s="640" t="n">
        <v>1</v>
      </c>
      <c r="M546" s="623" t="inlineStr">
        <is>
          <t>Samsung 32" вертикальный</t>
        </is>
      </c>
      <c r="N546" s="640" t="n"/>
      <c r="O546" s="640">
        <f>IF(AND(N546=1,L546=1),K546,"")</f>
        <v/>
      </c>
      <c r="P546" s="642" t="inlineStr">
        <is>
          <t>Калужская область, г. Обнинск, Киевское шоссе, 104 км</t>
        </is>
      </c>
      <c r="Q546" s="640" t="inlineStr">
        <is>
          <t>55.105338</t>
        </is>
      </c>
      <c r="R546" s="494" t="inlineStr">
        <is>
          <t>36.642584</t>
        </is>
      </c>
      <c r="S546" s="436" t="n"/>
      <c r="T546" s="436" t="n"/>
      <c r="U546" s="652" t="n"/>
      <c r="V546" s="438">
        <f>IF(AND(N546=1,U546=1),C546,"")</f>
        <v/>
      </c>
      <c r="W546" s="387" t="n"/>
      <c r="X546" s="387" t="n"/>
      <c r="Y546" s="387" t="n"/>
    </row>
    <row r="547" hidden="1" ht="16.05" customFormat="1" customHeight="1" s="126">
      <c r="A547" s="125" t="n">
        <v>775</v>
      </c>
      <c r="B547" s="125" t="n"/>
      <c r="C547" s="130" t="inlineStr">
        <is>
          <t>Калуга</t>
        </is>
      </c>
      <c r="D547" s="130" t="inlineStr">
        <is>
          <t>Обнинск</t>
        </is>
      </c>
      <c r="E547" s="130" t="n"/>
      <c r="F547" s="130" t="inlineStr">
        <is>
          <t>АЗС</t>
        </is>
      </c>
      <c r="G547" s="130" t="inlineStr">
        <is>
          <t>Роснефть</t>
        </is>
      </c>
      <c r="H547" s="131" t="inlineStr">
        <is>
          <t>тнк 2</t>
        </is>
      </c>
      <c r="I547" s="637" t="inlineStr">
        <is>
          <t>TNK_2</t>
        </is>
      </c>
      <c r="J547" s="637" t="inlineStr">
        <is>
          <t>KLG_TNK_002</t>
        </is>
      </c>
      <c r="K547" s="640" t="n">
        <v>1</v>
      </c>
      <c r="L547" s="640" t="n">
        <v>1</v>
      </c>
      <c r="M547" s="623" t="inlineStr">
        <is>
          <t>Samsung 32" вертикальный</t>
        </is>
      </c>
      <c r="N547" s="640" t="n"/>
      <c r="O547" s="640">
        <f>IF(AND(N547=1,L547=1),K547,"")</f>
        <v/>
      </c>
      <c r="P547" s="642" t="inlineStr">
        <is>
          <t>Калужская область, г. Обнинск, Киевское шоссе, 104 км</t>
        </is>
      </c>
      <c r="Q547" s="640" t="inlineStr">
        <is>
          <t>55.105492</t>
        </is>
      </c>
      <c r="R547" s="494" t="inlineStr">
        <is>
          <t>36.640377</t>
        </is>
      </c>
      <c r="S547" s="436" t="n"/>
      <c r="T547" s="436" t="n"/>
      <c r="U547" s="652" t="n"/>
      <c r="V547" s="438">
        <f>IF(AND(N547=1,U547=1),C547,"")</f>
        <v/>
      </c>
      <c r="W547" s="387" t="n"/>
      <c r="X547" s="387" t="n"/>
      <c r="Y547" s="387" t="n"/>
    </row>
    <row r="548" hidden="1" ht="16.05" customFormat="1" customHeight="1" s="126">
      <c r="A548" s="125" t="n">
        <v>776</v>
      </c>
      <c r="B548" s="125" t="n"/>
      <c r="C548" s="130" t="inlineStr">
        <is>
          <t>Калуга</t>
        </is>
      </c>
      <c r="D548" s="130" t="inlineStr">
        <is>
          <t>Боровск</t>
        </is>
      </c>
      <c r="E548" s="130" t="n"/>
      <c r="F548" s="130" t="inlineStr">
        <is>
          <t>АЗС</t>
        </is>
      </c>
      <c r="G548" s="130" t="inlineStr">
        <is>
          <t>Роснефть</t>
        </is>
      </c>
      <c r="H548" s="131" t="inlineStr">
        <is>
          <t>тнк 1</t>
        </is>
      </c>
      <c r="I548" s="637" t="inlineStr">
        <is>
          <t>TNK_1</t>
        </is>
      </c>
      <c r="J548" s="637" t="inlineStr">
        <is>
          <t>KLG_TNK_001</t>
        </is>
      </c>
      <c r="K548" s="640" t="n">
        <v>1</v>
      </c>
      <c r="L548" s="640" t="n">
        <v>1</v>
      </c>
      <c r="M548" s="623" t="inlineStr">
        <is>
          <t>Samsung 32" вертикальный</t>
        </is>
      </c>
      <c r="N548" s="640" t="n"/>
      <c r="O548" s="640">
        <f>IF(AND(N548=1,L548=1),K548,"")</f>
        <v/>
      </c>
      <c r="P548" s="642" t="inlineStr">
        <is>
          <t>Калужская область, г. Боровск,  Коммунистическая, строение 1</t>
        </is>
      </c>
      <c r="Q548" s="640" t="inlineStr">
        <is>
          <t>55.218526</t>
        </is>
      </c>
      <c r="R548" s="494" t="inlineStr">
        <is>
          <t>36.514961</t>
        </is>
      </c>
      <c r="S548" s="436" t="n"/>
      <c r="T548" s="436" t="n"/>
      <c r="U548" s="652" t="n"/>
      <c r="V548" s="438">
        <f>IF(AND(N548=1,U548=1),C548,"")</f>
        <v/>
      </c>
      <c r="W548" s="387" t="n"/>
      <c r="X548" s="387" t="n"/>
      <c r="Y548" s="387" t="n"/>
    </row>
    <row r="549" hidden="1" ht="16.05" customFormat="1" customHeight="1" s="126">
      <c r="A549" s="125" t="n">
        <v>777</v>
      </c>
      <c r="B549" s="125" t="n"/>
      <c r="C549" s="130" t="inlineStr">
        <is>
          <t>Калуга</t>
        </is>
      </c>
      <c r="D549" s="130" t="inlineStr">
        <is>
          <t>Балабаново</t>
        </is>
      </c>
      <c r="E549" s="130" t="n"/>
      <c r="F549" s="130" t="inlineStr">
        <is>
          <t>АЗС</t>
        </is>
      </c>
      <c r="G549" s="130" t="inlineStr">
        <is>
          <t>Роснефть</t>
        </is>
      </c>
      <c r="H549" s="131" t="inlineStr">
        <is>
          <t>тнк 79</t>
        </is>
      </c>
      <c r="I549" s="637" t="inlineStr">
        <is>
          <t>TNK_79</t>
        </is>
      </c>
      <c r="J549" s="637" t="inlineStr">
        <is>
          <t>KLG_TNK_079</t>
        </is>
      </c>
      <c r="K549" s="640" t="n">
        <v>1</v>
      </c>
      <c r="L549" s="640" t="n">
        <v>1</v>
      </c>
      <c r="M549" s="623" t="inlineStr">
        <is>
          <t>Samsung 32" вертикальный</t>
        </is>
      </c>
      <c r="N549" s="640" t="n"/>
      <c r="O549" s="640">
        <f>IF(AND(N549=1,L549=1),K549,"")</f>
        <v/>
      </c>
      <c r="P549" s="642" t="inlineStr">
        <is>
          <t>Калужская область, г. Балабаново, 96 км автодороги Украина левая сторона</t>
        </is>
      </c>
      <c r="Q549" s="640" t="n">
        <v>55.175648</v>
      </c>
      <c r="R549" s="494" t="n">
        <v>36.674579</v>
      </c>
      <c r="S549" s="436" t="n"/>
      <c r="T549" s="436" t="n"/>
      <c r="U549" s="652" t="n"/>
      <c r="V549" s="438">
        <f>IF(AND(N549=1,U549=1),C549,"")</f>
        <v/>
      </c>
      <c r="W549" s="387" t="n"/>
      <c r="X549" s="387" t="n"/>
      <c r="Y549" s="1" t="n"/>
    </row>
    <row r="550" hidden="1" ht="16.05" customFormat="1" customHeight="1" s="126">
      <c r="A550" s="125" t="n">
        <v>778</v>
      </c>
      <c r="B550" s="125" t="n"/>
      <c r="C550" s="130" t="inlineStr">
        <is>
          <t>Калуга</t>
        </is>
      </c>
      <c r="D550" s="130" t="inlineStr">
        <is>
          <t>Балабаново</t>
        </is>
      </c>
      <c r="E550" s="130" t="n"/>
      <c r="F550" s="130" t="inlineStr">
        <is>
          <t>АЗС</t>
        </is>
      </c>
      <c r="G550" s="130" t="inlineStr">
        <is>
          <t>Роснефть</t>
        </is>
      </c>
      <c r="H550" s="131" t="inlineStr">
        <is>
          <t>тнк78</t>
        </is>
      </c>
      <c r="I550" s="637" t="inlineStr">
        <is>
          <t>TNK_78</t>
        </is>
      </c>
      <c r="J550" s="637" t="inlineStr">
        <is>
          <t>KLG_TNK_078</t>
        </is>
      </c>
      <c r="K550" s="640" t="n">
        <v>1</v>
      </c>
      <c r="L550" s="640" t="n">
        <v>1</v>
      </c>
      <c r="M550" s="623" t="inlineStr">
        <is>
          <t>Samsung 32" вертикальный</t>
        </is>
      </c>
      <c r="N550" s="640" t="n"/>
      <c r="O550" s="640">
        <f>IF(AND(N550=1,L550=1),K550,"")</f>
        <v/>
      </c>
      <c r="P550" s="642" t="inlineStr">
        <is>
          <t>Калужская область, г. Балабаново, 96 км автодороги Украина правая сторона</t>
        </is>
      </c>
      <c r="Q550" s="640" t="inlineStr">
        <is>
          <t>55.175478</t>
        </is>
      </c>
      <c r="R550" s="494" t="inlineStr">
        <is>
          <t>36.672818</t>
        </is>
      </c>
      <c r="S550" s="436" t="n"/>
      <c r="T550" s="436" t="n"/>
      <c r="U550" s="652" t="n"/>
      <c r="V550" s="438">
        <f>IF(AND(N550=1,U550=1),C550,"")</f>
        <v/>
      </c>
      <c r="W550" s="387" t="n"/>
      <c r="X550" s="387" t="n"/>
      <c r="Y550" s="387" t="n"/>
    </row>
    <row r="551" hidden="1" ht="16.05" customFormat="1" customHeight="1" s="126">
      <c r="A551" s="125" t="n">
        <v>779</v>
      </c>
      <c r="B551" s="125" t="n"/>
      <c r="C551" s="130" t="inlineStr">
        <is>
          <t>Калуга</t>
        </is>
      </c>
      <c r="D551" s="130" t="inlineStr">
        <is>
          <t>Калуга</t>
        </is>
      </c>
      <c r="E551" s="130" t="n"/>
      <c r="F551" s="130" t="inlineStr">
        <is>
          <t>АЗС</t>
        </is>
      </c>
      <c r="G551" s="130" t="inlineStr">
        <is>
          <t>Роснефть</t>
        </is>
      </c>
      <c r="H551" s="131" t="inlineStr">
        <is>
          <t>тнк7</t>
        </is>
      </c>
      <c r="I551" s="637" t="inlineStr">
        <is>
          <t>TNK_7</t>
        </is>
      </c>
      <c r="J551" s="637" t="inlineStr">
        <is>
          <t>KLG_TNK_007</t>
        </is>
      </c>
      <c r="K551" s="640" t="n">
        <v>1</v>
      </c>
      <c r="L551" s="640" t="n">
        <v>1</v>
      </c>
      <c r="M551" s="623" t="inlineStr">
        <is>
          <t>Samsung 32" вертикальный</t>
        </is>
      </c>
      <c r="N551" s="640" t="n"/>
      <c r="O551" s="640">
        <f>IF(AND(N551=1,L551=1),K551,"")</f>
        <v/>
      </c>
      <c r="P551" s="642" t="inlineStr">
        <is>
          <t>Калуга,  Киёвка, д. 2а</t>
        </is>
      </c>
      <c r="Q551" s="640" t="inlineStr">
        <is>
          <t>54.515388</t>
        </is>
      </c>
      <c r="R551" s="494" t="inlineStr">
        <is>
          <t>36.302407</t>
        </is>
      </c>
      <c r="S551" s="436" t="n"/>
      <c r="T551" s="436" t="n"/>
      <c r="U551" s="652" t="n"/>
      <c r="V551" s="438">
        <f>IF(AND(N551=1,U551=1),C551,"")</f>
        <v/>
      </c>
      <c r="W551" s="387" t="n"/>
      <c r="X551" s="387" t="n"/>
      <c r="Y551" s="387" t="n"/>
    </row>
    <row r="552" hidden="1" ht="16.05" customFormat="1" customHeight="1" s="126">
      <c r="A552" s="125" t="n">
        <v>780</v>
      </c>
      <c r="B552" s="125" t="inlineStr">
        <is>
          <t>WF</t>
        </is>
      </c>
      <c r="C552" s="130" t="inlineStr">
        <is>
          <t>Нижний Новгород</t>
        </is>
      </c>
      <c r="D552" s="130" t="inlineStr">
        <is>
          <t>Нижний Новгород</t>
        </is>
      </c>
      <c r="E552" s="130" t="n"/>
      <c r="F552" s="130" t="inlineStr">
        <is>
          <t>АЗС</t>
        </is>
      </c>
      <c r="G552" s="130" t="inlineStr">
        <is>
          <t>Лукойл</t>
        </is>
      </c>
      <c r="H552" s="131" t="n">
        <v>1</v>
      </c>
      <c r="I552" s="637" t="n">
        <v>52001</v>
      </c>
      <c r="J552" s="402" t="inlineStr">
        <is>
          <t>NN_LUK_52001</t>
        </is>
      </c>
      <c r="K552" s="640" t="n">
        <v>1</v>
      </c>
      <c r="L552" s="640" t="n">
        <v>0</v>
      </c>
      <c r="M552" s="640" t="inlineStr">
        <is>
          <t>1 октября</t>
        </is>
      </c>
      <c r="N552" s="640" t="n"/>
      <c r="O552" s="640">
        <f>IF(AND(N552=1,L552=1),K552,"")</f>
        <v/>
      </c>
      <c r="P552" s="642" t="inlineStr">
        <is>
          <t xml:space="preserve">Россия, 603079, Нижегородская обл., г. Нижний Новгород, проезд Бурнаковский, 17   </t>
        </is>
      </c>
      <c r="Q552" s="640" t="n">
        <v>56.322015</v>
      </c>
      <c r="R552" s="422" t="n">
        <v>43.911151</v>
      </c>
      <c r="S552" s="436" t="n"/>
      <c r="T552" s="436" t="n"/>
      <c r="U552" s="652" t="n"/>
      <c r="V552" s="438">
        <f>IF(AND(N552=1,U552=1),C552,"")</f>
        <v/>
      </c>
      <c r="W552" s="387" t="n"/>
      <c r="X552" s="1" t="n"/>
      <c r="Y552" s="1" t="n"/>
    </row>
    <row r="553" hidden="1" ht="16.05" customHeight="1">
      <c r="A553" s="13" t="n">
        <v>781</v>
      </c>
      <c r="B553" s="13">
        <f>IF(OR(M553="Sam 32",M553="Sam 40"),"s",IF(M553="AMS","a","v"))</f>
        <v/>
      </c>
      <c r="C553" s="130" t="inlineStr">
        <is>
          <t>НН</t>
        </is>
      </c>
      <c r="D553" s="130" t="inlineStr">
        <is>
          <t>НН</t>
        </is>
      </c>
      <c r="E553" s="130" t="n"/>
      <c r="F553" s="130" t="n"/>
      <c r="G553" s="130" t="inlineStr">
        <is>
          <t>Лукойл</t>
        </is>
      </c>
      <c r="H553" s="131" t="n">
        <v>2</v>
      </c>
      <c r="I553" s="637" t="inlineStr">
        <is>
          <t>LUK_2</t>
        </is>
      </c>
      <c r="J553" s="402" t="n"/>
      <c r="K553" s="640" t="n">
        <v>1</v>
      </c>
      <c r="L553" s="640" t="n">
        <v>0</v>
      </c>
      <c r="M553" s="640" t="inlineStr">
        <is>
          <t>Sam 32</t>
        </is>
      </c>
      <c r="N553" s="640" t="n"/>
      <c r="O553" s="640">
        <f>IF(AND(N553=1,L553=1),K553,"")</f>
        <v/>
      </c>
      <c r="P553" s="642" t="inlineStr">
        <is>
          <t>НН, Комсомольское ш., 2</t>
        </is>
      </c>
      <c r="Q553" s="640" t="n"/>
      <c r="R553" s="422" t="n"/>
      <c r="S553" s="436" t="n"/>
      <c r="T553" s="436" t="n"/>
      <c r="U553" s="652" t="n"/>
      <c r="V553" s="438">
        <f>IF(AND(N553=1,U553=1),C553,"")</f>
        <v/>
      </c>
      <c r="X553" s="1" t="n"/>
      <c r="Y553" s="1" t="n"/>
      <c r="Z553" s="1" t="n"/>
    </row>
    <row r="554" hidden="1" ht="16.05" customFormat="1" customHeight="1" s="126">
      <c r="A554" s="125" t="n">
        <v>782</v>
      </c>
      <c r="B554" s="125" t="inlineStr">
        <is>
          <t>WF</t>
        </is>
      </c>
      <c r="C554" s="130" t="inlineStr">
        <is>
          <t>Владимир</t>
        </is>
      </c>
      <c r="D554" s="130" t="inlineStr">
        <is>
          <t>Владимир</t>
        </is>
      </c>
      <c r="E554" s="130" t="n"/>
      <c r="F554" s="130" t="inlineStr">
        <is>
          <t>АЗС</t>
        </is>
      </c>
      <c r="G554" s="130" t="inlineStr">
        <is>
          <t>Лукойл</t>
        </is>
      </c>
      <c r="H554" s="131" t="n">
        <v>2</v>
      </c>
      <c r="I554" s="637" t="n">
        <v>33002</v>
      </c>
      <c r="J554" s="402" t="inlineStr">
        <is>
          <t>VLA_LUK_33002</t>
        </is>
      </c>
      <c r="K554" s="640" t="n">
        <v>1</v>
      </c>
      <c r="L554" s="640" t="n">
        <v>0</v>
      </c>
      <c r="M554" s="640" t="inlineStr">
        <is>
          <t>1 октября</t>
        </is>
      </c>
      <c r="N554" s="640" t="n"/>
      <c r="O554" s="640">
        <f>IF(AND(N554=1,L554=1),K554,"")</f>
        <v/>
      </c>
      <c r="P554" s="642" t="inlineStr">
        <is>
          <t xml:space="preserve">Россия, 600028, Владимирская обл., г. Владимир, ул. Лакина,д. 211   </t>
        </is>
      </c>
      <c r="Q554" s="640" t="n">
        <v>56.12033</v>
      </c>
      <c r="R554" s="422" t="n">
        <v>40.34211</v>
      </c>
      <c r="S554" s="436" t="n"/>
      <c r="T554" s="436" t="n"/>
      <c r="U554" s="652" t="n"/>
      <c r="V554" s="438">
        <f>IF(AND(N554=1,U554=1),C554,"")</f>
        <v/>
      </c>
      <c r="W554" s="387" t="n"/>
      <c r="X554" s="1" t="n"/>
      <c r="Y554" s="1" t="n"/>
    </row>
    <row r="555" hidden="1" ht="16.05" customFormat="1" customHeight="1" s="126">
      <c r="A555" s="125" t="n">
        <v>783</v>
      </c>
      <c r="B555" s="125" t="inlineStr">
        <is>
          <t>WF</t>
        </is>
      </c>
      <c r="C555" s="130" t="inlineStr">
        <is>
          <t>Владимир</t>
        </is>
      </c>
      <c r="D555" s="130" t="inlineStr">
        <is>
          <t>Владимир</t>
        </is>
      </c>
      <c r="E555" s="130" t="n"/>
      <c r="F555" s="130" t="inlineStr">
        <is>
          <t>АЗС</t>
        </is>
      </c>
      <c r="G555" s="130" t="inlineStr">
        <is>
          <t>Лукойл</t>
        </is>
      </c>
      <c r="H555" s="131" t="n">
        <v>3</v>
      </c>
      <c r="I555" s="637" t="n">
        <v>33003</v>
      </c>
      <c r="J555" s="402" t="inlineStr">
        <is>
          <t>VLA_LUK_33003</t>
        </is>
      </c>
      <c r="K555" s="640" t="n">
        <v>1</v>
      </c>
      <c r="L555" s="640" t="n">
        <v>0</v>
      </c>
      <c r="M555" s="640" t="inlineStr">
        <is>
          <t>Sam 32</t>
        </is>
      </c>
      <c r="N555" s="640" t="n"/>
      <c r="O555" s="640">
        <f>IF(AND(N555=1,L555=1),K555,"")</f>
        <v/>
      </c>
      <c r="P555" s="642" t="inlineStr">
        <is>
          <t xml:space="preserve">Россия, 600032, Владимирская обл., г. Владимир, ул. Растопчина, д. 2   </t>
        </is>
      </c>
      <c r="Q555" s="640" t="n">
        <v>56.17489</v>
      </c>
      <c r="R555" s="422" t="n">
        <v>40.48809</v>
      </c>
      <c r="S555" s="436" t="n"/>
      <c r="T555" s="436" t="n"/>
      <c r="U555" s="652" t="n"/>
      <c r="V555" s="438">
        <f>IF(AND(N555=1,U555=1),C555,"")</f>
        <v/>
      </c>
      <c r="W555" s="387" t="n"/>
      <c r="X555" s="1" t="n"/>
      <c r="Y555" s="1" t="n"/>
    </row>
    <row r="556" hidden="1" ht="16.05" customFormat="1" customHeight="1" s="126">
      <c r="A556" s="125" t="n">
        <v>784</v>
      </c>
      <c r="B556" s="125" t="inlineStr">
        <is>
          <t>WF</t>
        </is>
      </c>
      <c r="C556" s="130" t="inlineStr">
        <is>
          <t>Нижний Новгород</t>
        </is>
      </c>
      <c r="D556" s="130" t="inlineStr">
        <is>
          <t>Нижний Новгород</t>
        </is>
      </c>
      <c r="E556" s="130" t="n"/>
      <c r="F556" s="130" t="inlineStr">
        <is>
          <t>АЗС</t>
        </is>
      </c>
      <c r="G556" s="130" t="inlineStr">
        <is>
          <t>Лукойл</t>
        </is>
      </c>
      <c r="H556" s="131" t="n">
        <v>4</v>
      </c>
      <c r="I556" s="637" t="n">
        <v>52004</v>
      </c>
      <c r="J556" s="402" t="inlineStr">
        <is>
          <t>NN_LUK_52004</t>
        </is>
      </c>
      <c r="K556" s="640" t="n">
        <v>1</v>
      </c>
      <c r="L556" s="640" t="n">
        <v>0</v>
      </c>
      <c r="M556" s="640" t="inlineStr">
        <is>
          <t>1 октября</t>
        </is>
      </c>
      <c r="N556" s="640" t="n"/>
      <c r="O556" s="640">
        <f>IF(AND(N556=1,L556=1),K556,"")</f>
        <v/>
      </c>
      <c r="P556" s="642" t="inlineStr">
        <is>
          <t xml:space="preserve">Россия, 603022, Нижегородская обл., г. Нижний Новгород, пр-кт Гагарина, 23В   </t>
        </is>
      </c>
      <c r="Q556" s="640" t="n">
        <v>56.296309</v>
      </c>
      <c r="R556" s="422" t="n">
        <v>43.983016</v>
      </c>
      <c r="S556" s="436" t="n"/>
      <c r="T556" s="436" t="n"/>
      <c r="U556" s="652" t="n"/>
      <c r="V556" s="438">
        <f>IF(AND(N556=1,U556=1),C556,"")</f>
        <v/>
      </c>
      <c r="W556" s="387" t="n"/>
      <c r="X556" s="1" t="n"/>
      <c r="Y556" s="1" t="n"/>
    </row>
    <row r="557" hidden="1" ht="16.05" customFormat="1" customHeight="1" s="126">
      <c r="A557" s="125" t="n">
        <v>785</v>
      </c>
      <c r="B557" s="125" t="inlineStr">
        <is>
          <t>WF</t>
        </is>
      </c>
      <c r="C557" s="130" t="inlineStr">
        <is>
          <t>Владимир</t>
        </is>
      </c>
      <c r="D557" s="130" t="inlineStr">
        <is>
          <t>Владимир</t>
        </is>
      </c>
      <c r="E557" s="130" t="n"/>
      <c r="F557" s="130" t="inlineStr">
        <is>
          <t>АЗС</t>
        </is>
      </c>
      <c r="G557" s="130" t="inlineStr">
        <is>
          <t>Лукойл</t>
        </is>
      </c>
      <c r="H557" s="131" t="n">
        <v>4</v>
      </c>
      <c r="I557" s="637" t="n">
        <v>33004</v>
      </c>
      <c r="J557" s="402" t="inlineStr">
        <is>
          <t>VLA_LUK_33004</t>
        </is>
      </c>
      <c r="K557" s="640" t="n">
        <v>1</v>
      </c>
      <c r="L557" s="640" t="n">
        <v>0</v>
      </c>
      <c r="M557" s="640" t="inlineStr">
        <is>
          <t>1 октября</t>
        </is>
      </c>
      <c r="N557" s="640" t="n"/>
      <c r="O557" s="640">
        <f>IF(AND(N557=1,L557=1),K557,"")</f>
        <v/>
      </c>
      <c r="P557" s="642" t="inlineStr">
        <is>
          <t xml:space="preserve">Россия, 600023, Владимирская обл., г. Владимир, Судогодское ш., 12   </t>
        </is>
      </c>
      <c r="Q557" s="640" t="n">
        <v>56.0964</v>
      </c>
      <c r="R557" s="422" t="n">
        <v>40.44574</v>
      </c>
      <c r="S557" s="436" t="n"/>
      <c r="T557" s="436" t="n"/>
      <c r="U557" s="652" t="n"/>
      <c r="V557" s="438">
        <f>IF(AND(N557=1,U557=1),C557,"")</f>
        <v/>
      </c>
      <c r="W557" s="387" t="n"/>
      <c r="X557" s="1" t="n"/>
      <c r="Y557" s="1" t="n"/>
    </row>
    <row r="558" hidden="1" ht="16.05" customHeight="1">
      <c r="A558" s="13" t="n">
        <v>786</v>
      </c>
      <c r="B558" s="13">
        <f>IF(OR(M558="Sam 32",M558="Sam 40"),"s",IF(M558="AMS","a","v"))</f>
        <v/>
      </c>
      <c r="C558" s="130" t="inlineStr">
        <is>
          <t>НН</t>
        </is>
      </c>
      <c r="D558" s="130" t="inlineStr">
        <is>
          <t>НН</t>
        </is>
      </c>
      <c r="E558" s="130" t="n"/>
      <c r="F558" s="130" t="n"/>
      <c r="G558" s="130" t="inlineStr">
        <is>
          <t>Лукойл</t>
        </is>
      </c>
      <c r="H558" s="131" t="n">
        <v>5</v>
      </c>
      <c r="I558" s="637" t="inlineStr">
        <is>
          <t>LUK_5</t>
        </is>
      </c>
      <c r="J558" s="402" t="n"/>
      <c r="K558" s="640" t="n">
        <v>1</v>
      </c>
      <c r="L558" s="640" t="n">
        <v>0</v>
      </c>
      <c r="M558" s="640" t="inlineStr">
        <is>
          <t>Sam 32</t>
        </is>
      </c>
      <c r="N558" s="640" t="n"/>
      <c r="O558" s="640">
        <f>IF(AND(N558=1,L558=1),K558,"")</f>
        <v/>
      </c>
      <c r="P558" s="642" t="inlineStr">
        <is>
          <t>НН, пр. Гагарина, 121б</t>
        </is>
      </c>
      <c r="Q558" s="640" t="n"/>
      <c r="R558" s="422" t="n"/>
      <c r="S558" s="436" t="n"/>
      <c r="T558" s="436" t="n"/>
      <c r="U558" s="652" t="n"/>
      <c r="V558" s="438">
        <f>IF(AND(N558=1,U558=1),C558,"")</f>
        <v/>
      </c>
      <c r="X558" s="1" t="n"/>
      <c r="Y558" s="1" t="n"/>
      <c r="Z558" s="1" t="n"/>
    </row>
    <row r="559" hidden="1" ht="16.05" customFormat="1" customHeight="1" s="126">
      <c r="A559" s="125" t="n">
        <v>787</v>
      </c>
      <c r="B559" s="125" t="inlineStr">
        <is>
          <t>WF</t>
        </is>
      </c>
      <c r="C559" s="130" t="inlineStr">
        <is>
          <t>Владимир</t>
        </is>
      </c>
      <c r="D559" s="130" t="inlineStr">
        <is>
          <t>Владимир</t>
        </is>
      </c>
      <c r="E559" s="130" t="n"/>
      <c r="F559" s="130" t="inlineStr">
        <is>
          <t>АЗС</t>
        </is>
      </c>
      <c r="G559" s="130" t="inlineStr">
        <is>
          <t>Лукойл</t>
        </is>
      </c>
      <c r="H559" s="131" t="n">
        <v>5</v>
      </c>
      <c r="I559" s="637" t="n">
        <v>33005</v>
      </c>
      <c r="J559" s="402" t="inlineStr">
        <is>
          <t>VLA_LUK_33005</t>
        </is>
      </c>
      <c r="K559" s="640" t="n">
        <v>2</v>
      </c>
      <c r="L559" s="640" t="n">
        <v>0</v>
      </c>
      <c r="M559" s="640" t="inlineStr">
        <is>
          <t>1 октября</t>
        </is>
      </c>
      <c r="N559" s="640" t="n"/>
      <c r="O559" s="640">
        <f>IF(AND(N559=1,L559=1),K559,"")</f>
        <v/>
      </c>
      <c r="P559" s="642" t="inlineStr">
        <is>
          <t xml:space="preserve">Россия, 600007, Владимирская обл., г. Владимир, ул. Усти-на-Лабе, 35А   </t>
        </is>
      </c>
      <c r="Q559" s="640" t="n">
        <v>56.15231</v>
      </c>
      <c r="R559" s="422" t="n">
        <v>40.41767</v>
      </c>
      <c r="S559" s="436" t="n"/>
      <c r="T559" s="436" t="n"/>
      <c r="U559" s="652" t="n"/>
      <c r="V559" s="438">
        <f>IF(AND(N559=1,U559=1),C559,"")</f>
        <v/>
      </c>
      <c r="W559" s="387" t="n"/>
      <c r="X559" s="1" t="n"/>
      <c r="Y559" s="1" t="n"/>
    </row>
    <row r="560" hidden="1" ht="16.05" customFormat="1" customHeight="1" s="126">
      <c r="A560" s="125" t="n">
        <v>788</v>
      </c>
      <c r="B560" s="125" t="inlineStr">
        <is>
          <t>WF</t>
        </is>
      </c>
      <c r="C560" s="130" t="inlineStr">
        <is>
          <t>Нижний Новгород</t>
        </is>
      </c>
      <c r="D560" s="130" t="inlineStr">
        <is>
          <t>Нижний Новгород</t>
        </is>
      </c>
      <c r="E560" s="130" t="n"/>
      <c r="F560" s="130" t="inlineStr">
        <is>
          <t>АЗС</t>
        </is>
      </c>
      <c r="G560" s="130" t="inlineStr">
        <is>
          <t>Лукойл</t>
        </is>
      </c>
      <c r="H560" s="131" t="n">
        <v>6</v>
      </c>
      <c r="I560" s="637" t="n">
        <v>52006</v>
      </c>
      <c r="J560" s="402" t="inlineStr">
        <is>
          <t>NN_LUK_52006</t>
        </is>
      </c>
      <c r="K560" s="640" t="n">
        <v>2</v>
      </c>
      <c r="L560" s="640" t="n">
        <v>0</v>
      </c>
      <c r="M560" s="640" t="inlineStr">
        <is>
          <t>1 октября</t>
        </is>
      </c>
      <c r="N560" s="640" t="n"/>
      <c r="O560" s="640">
        <f>IF(AND(N560=1,L560=1),K560,"")</f>
        <v/>
      </c>
      <c r="P560" s="642" t="inlineStr">
        <is>
          <t xml:space="preserve">Россия, 603093, Нижегородская обл., г. Нижний Новгород, ул.Родионова, 163а   </t>
        </is>
      </c>
      <c r="Q560" s="640" t="n">
        <v>56.316289</v>
      </c>
      <c r="R560" s="422" t="n">
        <v>44.06939</v>
      </c>
      <c r="S560" s="436" t="n"/>
      <c r="T560" s="436" t="n"/>
      <c r="U560" s="652" t="n"/>
      <c r="V560" s="438">
        <f>IF(AND(N560=1,U560=1),C560,"")</f>
        <v/>
      </c>
      <c r="W560" s="387" t="n"/>
      <c r="X560" s="1" t="n"/>
      <c r="Y560" s="1" t="n"/>
    </row>
    <row r="561" hidden="1" ht="16.05" customFormat="1" customHeight="1" s="126">
      <c r="A561" s="125" t="n">
        <v>789</v>
      </c>
      <c r="B561" s="125" t="inlineStr">
        <is>
          <t>WF</t>
        </is>
      </c>
      <c r="C561" s="130" t="inlineStr">
        <is>
          <t>Владимир</t>
        </is>
      </c>
      <c r="D561" s="130" t="inlineStr">
        <is>
          <t>Владимир</t>
        </is>
      </c>
      <c r="E561" s="130" t="n"/>
      <c r="F561" s="130" t="inlineStr">
        <is>
          <t>АЗС</t>
        </is>
      </c>
      <c r="G561" s="130" t="inlineStr">
        <is>
          <t>Лукойл</t>
        </is>
      </c>
      <c r="H561" s="131" t="n">
        <v>6</v>
      </c>
      <c r="I561" s="637" t="n">
        <v>33006</v>
      </c>
      <c r="J561" s="402" t="inlineStr">
        <is>
          <t>VLA_LUK_33006</t>
        </is>
      </c>
      <c r="K561" s="640" t="n">
        <v>2</v>
      </c>
      <c r="L561" s="640" t="n">
        <v>0</v>
      </c>
      <c r="M561" s="640" t="inlineStr">
        <is>
          <t>1 октября</t>
        </is>
      </c>
      <c r="N561" s="640" t="n"/>
      <c r="O561" s="640">
        <f>IF(AND(N561=1,L561=1),K561,"")</f>
        <v/>
      </c>
      <c r="P561" s="642" t="inlineStr">
        <is>
          <t xml:space="preserve">Россия, 600900, Владимирская обл., г. Владимир, мкр. Юрьевец, ул. Ноябрьская, 136   </t>
        </is>
      </c>
      <c r="Q561" s="640" t="n">
        <v>56.09235</v>
      </c>
      <c r="R561" s="422" t="n">
        <v>40.23878</v>
      </c>
      <c r="S561" s="436" t="n"/>
      <c r="T561" s="436" t="n"/>
      <c r="U561" s="652" t="n"/>
      <c r="V561" s="438">
        <f>IF(AND(N561=1,U561=1),C561,"")</f>
        <v/>
      </c>
      <c r="W561" s="387" t="n"/>
      <c r="X561" s="1" t="n"/>
      <c r="Y561" s="1" t="n"/>
    </row>
    <row r="562" hidden="1" ht="16.05" customFormat="1" customHeight="1" s="126">
      <c r="A562" s="125" t="n">
        <v>790</v>
      </c>
      <c r="B562" s="125" t="inlineStr">
        <is>
          <t>WF</t>
        </is>
      </c>
      <c r="C562" s="130" t="inlineStr">
        <is>
          <t>Нижний Новгород</t>
        </is>
      </c>
      <c r="D562" s="130" t="inlineStr">
        <is>
          <t>Нижний Новгород</t>
        </is>
      </c>
      <c r="E562" s="130" t="n"/>
      <c r="F562" s="130" t="inlineStr">
        <is>
          <t>АЗС</t>
        </is>
      </c>
      <c r="G562" s="130" t="inlineStr">
        <is>
          <t>Лукойл</t>
        </is>
      </c>
      <c r="H562" s="131" t="n">
        <v>7</v>
      </c>
      <c r="I562" s="637" t="n">
        <v>52007</v>
      </c>
      <c r="J562" s="402" t="inlineStr">
        <is>
          <t>NN_LUK_52007</t>
        </is>
      </c>
      <c r="K562" s="640" t="n">
        <v>1</v>
      </c>
      <c r="L562" s="640" t="n">
        <v>0</v>
      </c>
      <c r="M562" s="640" t="inlineStr">
        <is>
          <t>Sam 32</t>
        </is>
      </c>
      <c r="N562" s="640" t="n"/>
      <c r="O562" s="640">
        <f>IF(AND(N562=1,L562=1),K562,"")</f>
        <v/>
      </c>
      <c r="P562" s="642" t="inlineStr">
        <is>
          <t xml:space="preserve">Россия, 603038, Нижегородская обл., г. Нижний Новгород, ул.Кима, 339   </t>
        </is>
      </c>
      <c r="Q562" s="640" t="n">
        <v>56.38302</v>
      </c>
      <c r="R562" s="422" t="n">
        <v>43.793256</v>
      </c>
      <c r="S562" s="436" t="n"/>
      <c r="T562" s="436" t="n"/>
      <c r="U562" s="652" t="n"/>
      <c r="V562" s="438">
        <f>IF(AND(N562=1,U562=1),C562,"")</f>
        <v/>
      </c>
      <c r="W562" s="387" t="n"/>
      <c r="X562" s="1" t="n"/>
      <c r="Y562" s="1" t="n"/>
    </row>
    <row r="563" hidden="1" ht="16.05" customFormat="1" customHeight="1" s="126">
      <c r="A563" s="125" t="n">
        <v>791</v>
      </c>
      <c r="B563" s="125" t="inlineStr">
        <is>
          <t>WF</t>
        </is>
      </c>
      <c r="C563" s="130" t="inlineStr">
        <is>
          <t>Владимир</t>
        </is>
      </c>
      <c r="D563" s="130" t="inlineStr">
        <is>
          <t>Судогодский район</t>
        </is>
      </c>
      <c r="E563" s="130" t="n"/>
      <c r="F563" s="130" t="inlineStr">
        <is>
          <t>АЗС</t>
        </is>
      </c>
      <c r="G563" s="130" t="inlineStr">
        <is>
          <t>Лукойл</t>
        </is>
      </c>
      <c r="H563" s="131" t="n">
        <v>7</v>
      </c>
      <c r="I563" s="637" t="n">
        <v>33007</v>
      </c>
      <c r="J563" s="402" t="inlineStr">
        <is>
          <t>VLA_LUK_33007</t>
        </is>
      </c>
      <c r="K563" s="640" t="n">
        <v>1</v>
      </c>
      <c r="L563" s="640" t="n">
        <v>0</v>
      </c>
      <c r="M563" s="640" t="inlineStr">
        <is>
          <t>Sam 32</t>
        </is>
      </c>
      <c r="N563" s="640" t="n"/>
      <c r="O563" s="640">
        <f>IF(AND(N563=1,L563=1),K563,"")</f>
        <v/>
      </c>
      <c r="P563" s="642" t="inlineStr">
        <is>
          <t xml:space="preserve">Россия, 601390, Владимирская обл., 202 км+250м слева ф/д М-7"Волга"   </t>
        </is>
      </c>
      <c r="Q563" s="640" t="n">
        <v>56.062</v>
      </c>
      <c r="R563" s="422" t="n">
        <v>40.45344</v>
      </c>
      <c r="S563" s="436" t="n"/>
      <c r="T563" s="436" t="n"/>
      <c r="U563" s="652" t="n"/>
      <c r="V563" s="438">
        <f>IF(AND(N563=1,U563=1),C563,"")</f>
        <v/>
      </c>
      <c r="W563" s="387" t="n"/>
      <c r="X563" s="1" t="n"/>
      <c r="Y563" s="1" t="n"/>
    </row>
    <row r="564" hidden="1" ht="16.05" customFormat="1" customHeight="1" s="126">
      <c r="A564" s="125" t="n">
        <v>792</v>
      </c>
      <c r="B564" s="125" t="inlineStr">
        <is>
          <t>WF</t>
        </is>
      </c>
      <c r="C564" s="130" t="inlineStr">
        <is>
          <t>Владимир</t>
        </is>
      </c>
      <c r="D564" s="130" t="inlineStr">
        <is>
          <t>Судогодский район</t>
        </is>
      </c>
      <c r="E564" s="130" t="n"/>
      <c r="F564" s="130" t="inlineStr">
        <is>
          <t>АЗС</t>
        </is>
      </c>
      <c r="G564" s="130" t="inlineStr">
        <is>
          <t>Лукойл</t>
        </is>
      </c>
      <c r="H564" s="131" t="n">
        <v>8</v>
      </c>
      <c r="I564" s="637" t="n">
        <v>33008</v>
      </c>
      <c r="J564" s="402" t="inlineStr">
        <is>
          <t>VLA_LUK_33008</t>
        </is>
      </c>
      <c r="K564" s="640" t="n">
        <v>1</v>
      </c>
      <c r="L564" s="640" t="n">
        <v>0</v>
      </c>
      <c r="M564" s="640" t="inlineStr">
        <is>
          <t>Sam 32</t>
        </is>
      </c>
      <c r="N564" s="640" t="n"/>
      <c r="O564" s="640">
        <f>IF(AND(N564=1,L564=1),K564,"")</f>
        <v/>
      </c>
      <c r="P564" s="642" t="inlineStr">
        <is>
          <t xml:space="preserve">Россия, 601390, Владимирская обл., МО Вяткинское c.п., 17 км.+230м справа ф/д М-7 "Волга"   </t>
        </is>
      </c>
      <c r="Q564" s="640" t="n">
        <v>56.06316</v>
      </c>
      <c r="R564" s="422" t="n">
        <v>40.45767</v>
      </c>
      <c r="S564" s="436" t="n"/>
      <c r="T564" s="436" t="n"/>
      <c r="U564" s="652" t="n"/>
      <c r="V564" s="438">
        <f>IF(AND(N564=1,U564=1),C564,"")</f>
        <v/>
      </c>
      <c r="W564" s="387" t="n"/>
      <c r="X564" s="1" t="n"/>
      <c r="Y564" s="1" t="n"/>
    </row>
    <row r="565" hidden="1" ht="16.05" customFormat="1" customHeight="1" s="126">
      <c r="A565" s="125" t="n">
        <v>793</v>
      </c>
      <c r="B565" s="125" t="inlineStr">
        <is>
          <t>WF</t>
        </is>
      </c>
      <c r="C565" s="130" t="inlineStr">
        <is>
          <t>Нижний Новгород</t>
        </is>
      </c>
      <c r="D565" s="130" t="inlineStr">
        <is>
          <t>Нижний Новгород</t>
        </is>
      </c>
      <c r="E565" s="130" t="n"/>
      <c r="F565" s="130" t="inlineStr">
        <is>
          <t>АЗС</t>
        </is>
      </c>
      <c r="G565" s="130" t="inlineStr">
        <is>
          <t>Лукойл</t>
        </is>
      </c>
      <c r="H565" s="131" t="n">
        <v>9</v>
      </c>
      <c r="I565" s="637" t="n">
        <v>52009</v>
      </c>
      <c r="J565" s="402" t="inlineStr">
        <is>
          <t>NN_LUK_52009</t>
        </is>
      </c>
      <c r="K565" s="640" t="n">
        <v>1</v>
      </c>
      <c r="L565" s="640" t="n">
        <v>0</v>
      </c>
      <c r="M565" s="640" t="inlineStr">
        <is>
          <t>1 октября</t>
        </is>
      </c>
      <c r="N565" s="640" t="n"/>
      <c r="O565" s="640">
        <f>IF(AND(N565=1,L565=1),K565,"")</f>
        <v/>
      </c>
      <c r="P565" s="642" t="inlineStr">
        <is>
          <t xml:space="preserve">Россия, 603101, Нижегородская обл., г. Нижний Новгород, пр-кт Молодежный, 39   </t>
        </is>
      </c>
      <c r="Q565" s="640" t="n">
        <v>56.246161</v>
      </c>
      <c r="R565" s="422" t="n">
        <v>43.807899</v>
      </c>
      <c r="S565" s="436" t="n"/>
      <c r="T565" s="436" t="n"/>
      <c r="U565" s="652" t="n"/>
      <c r="V565" s="438">
        <f>IF(AND(N565=1,U565=1),C565,"")</f>
        <v/>
      </c>
      <c r="W565" s="387" t="n"/>
      <c r="X565" s="1" t="n"/>
      <c r="Y565" s="1" t="n"/>
    </row>
    <row r="566" hidden="1" ht="16.05" customFormat="1" customHeight="1" s="126">
      <c r="A566" s="125" t="n">
        <v>794</v>
      </c>
      <c r="B566" s="125" t="inlineStr">
        <is>
          <t>WF</t>
        </is>
      </c>
      <c r="C566" s="130" t="inlineStr">
        <is>
          <t>Нижний Новгород</t>
        </is>
      </c>
      <c r="D566" s="130" t="inlineStr">
        <is>
          <t>Нижний Новгород</t>
        </is>
      </c>
      <c r="E566" s="130" t="n"/>
      <c r="F566" s="130" t="inlineStr">
        <is>
          <t>АЗС</t>
        </is>
      </c>
      <c r="G566" s="130" t="inlineStr">
        <is>
          <t>Лукойл</t>
        </is>
      </c>
      <c r="H566" s="131" t="n">
        <v>10</v>
      </c>
      <c r="I566" s="637" t="n">
        <v>52010</v>
      </c>
      <c r="J566" s="402" t="inlineStr">
        <is>
          <t>NN_LUK_52010</t>
        </is>
      </c>
      <c r="K566" s="640" t="n">
        <v>1</v>
      </c>
      <c r="L566" s="640" t="n">
        <v>0</v>
      </c>
      <c r="M566" s="640" t="inlineStr">
        <is>
          <t>1 октября</t>
        </is>
      </c>
      <c r="N566" s="640" t="n"/>
      <c r="O566" s="640">
        <f>IF(AND(N566=1,L566=1),K566,"")</f>
        <v/>
      </c>
      <c r="P566" s="642" t="inlineStr">
        <is>
          <t xml:space="preserve">Россия, 603105, Нижегородская обл., г. Нижний Новгород, ул.Салганская, 31   </t>
        </is>
      </c>
      <c r="Q566" s="640" t="n">
        <v>56.302378</v>
      </c>
      <c r="R566" s="422" t="n">
        <v>44.013802</v>
      </c>
      <c r="S566" s="436" t="n"/>
      <c r="T566" s="436" t="n"/>
      <c r="U566" s="652" t="n"/>
      <c r="V566" s="438">
        <f>IF(AND(N566=1,U566=1),C566,"")</f>
        <v/>
      </c>
      <c r="W566" s="387" t="n"/>
      <c r="X566" s="1" t="n"/>
      <c r="Y566" s="1" t="n"/>
    </row>
    <row r="567" hidden="1" ht="16.05" customFormat="1" customHeight="1" s="126">
      <c r="A567" s="125" t="n">
        <v>795</v>
      </c>
      <c r="B567" s="125" t="inlineStr">
        <is>
          <t>WF</t>
        </is>
      </c>
      <c r="C567" s="130" t="inlineStr">
        <is>
          <t>Нижний Новгород</t>
        </is>
      </c>
      <c r="D567" s="130" t="inlineStr">
        <is>
          <t>Нижний Новгород</t>
        </is>
      </c>
      <c r="E567" s="130" t="n"/>
      <c r="F567" s="130" t="inlineStr">
        <is>
          <t>АЗС</t>
        </is>
      </c>
      <c r="G567" s="130" t="inlineStr">
        <is>
          <t>Лукойл</t>
        </is>
      </c>
      <c r="H567" s="131" t="n">
        <v>11</v>
      </c>
      <c r="I567" s="637" t="n">
        <v>52011</v>
      </c>
      <c r="J567" s="402" t="inlineStr">
        <is>
          <t>NN_LUK_52011</t>
        </is>
      </c>
      <c r="K567" s="640" t="n">
        <v>1</v>
      </c>
      <c r="L567" s="640" t="n">
        <v>0</v>
      </c>
      <c r="M567" s="640" t="inlineStr">
        <is>
          <t>1 октября</t>
        </is>
      </c>
      <c r="N567" s="640" t="n"/>
      <c r="O567" s="640">
        <f>IF(AND(N567=1,L567=1),K567,"")</f>
        <v/>
      </c>
      <c r="P567" s="642" t="inlineStr">
        <is>
          <t xml:space="preserve">Россия, 603116, Нижегородская обл., г. Нижний Новгород, ш. Московское, 34а   </t>
        </is>
      </c>
      <c r="Q567" s="640" t="n">
        <v>56.317697</v>
      </c>
      <c r="R567" s="422" t="n">
        <v>43.929531</v>
      </c>
      <c r="S567" s="436" t="n"/>
      <c r="T567" s="436" t="n"/>
      <c r="U567" s="652" t="n"/>
      <c r="V567" s="438">
        <f>IF(AND(N567=1,U567=1),C567,"")</f>
        <v/>
      </c>
      <c r="W567" s="387" t="n"/>
      <c r="X567" s="1" t="n"/>
      <c r="Y567" s="1" t="n"/>
    </row>
    <row r="568" hidden="1" ht="16.05" customFormat="1" customHeight="1" s="126">
      <c r="A568" s="125" t="n">
        <v>797</v>
      </c>
      <c r="B568" s="125" t="inlineStr">
        <is>
          <t>WF</t>
        </is>
      </c>
      <c r="C568" s="130" t="inlineStr">
        <is>
          <t>Нижний Новгород</t>
        </is>
      </c>
      <c r="D568" s="130" t="inlineStr">
        <is>
          <t>Нижний Новгород</t>
        </is>
      </c>
      <c r="E568" s="130" t="n"/>
      <c r="F568" s="130" t="inlineStr">
        <is>
          <t>АЗС</t>
        </is>
      </c>
      <c r="G568" s="130" t="inlineStr">
        <is>
          <t>Лукойл</t>
        </is>
      </c>
      <c r="H568" s="131" t="n">
        <v>13</v>
      </c>
      <c r="I568" s="637" t="n">
        <v>52013</v>
      </c>
      <c r="J568" s="402" t="inlineStr">
        <is>
          <t>NN_LUK_52013</t>
        </is>
      </c>
      <c r="K568" s="640" t="n">
        <v>2</v>
      </c>
      <c r="L568" s="640" t="n">
        <v>0</v>
      </c>
      <c r="M568" s="640" t="inlineStr">
        <is>
          <t>1 октября</t>
        </is>
      </c>
      <c r="N568" s="640" t="n"/>
      <c r="O568" s="640">
        <f>IF(AND(N568=1,L568=1),K568,"")</f>
        <v/>
      </c>
      <c r="P568" s="642" t="inlineStr">
        <is>
          <t xml:space="preserve">Россия, 603132, Нижегородская обл., г. Нижний Новгород, ул.Голубева 55 метров на юг от дома №3   </t>
        </is>
      </c>
      <c r="Q568" s="640" t="n">
        <v>56.288463</v>
      </c>
      <c r="R568" s="422" t="n">
        <v>43.953224</v>
      </c>
      <c r="S568" s="436" t="n"/>
      <c r="T568" s="436" t="n"/>
      <c r="U568" s="652" t="n"/>
      <c r="V568" s="438">
        <f>IF(AND(N568=1,U568=1),C568,"")</f>
        <v/>
      </c>
      <c r="W568" s="387" t="n"/>
      <c r="X568" s="1" t="n"/>
      <c r="Y568" s="1" t="n"/>
    </row>
    <row r="569" hidden="1" ht="16.05" customFormat="1" customHeight="1" s="126">
      <c r="A569" s="125" t="n">
        <v>798</v>
      </c>
      <c r="B569" s="125" t="inlineStr">
        <is>
          <t>WF</t>
        </is>
      </c>
      <c r="C569" s="130" t="inlineStr">
        <is>
          <t>Нижний Новгород</t>
        </is>
      </c>
      <c r="D569" s="130" t="inlineStr">
        <is>
          <t>Нижний Новгород</t>
        </is>
      </c>
      <c r="E569" s="130" t="n"/>
      <c r="F569" s="130" t="inlineStr">
        <is>
          <t>АЗС</t>
        </is>
      </c>
      <c r="G569" s="130" t="inlineStr">
        <is>
          <t>Лукойл</t>
        </is>
      </c>
      <c r="H569" s="131" t="n">
        <v>14</v>
      </c>
      <c r="I569" s="637" t="n">
        <v>52014</v>
      </c>
      <c r="J569" s="402" t="inlineStr">
        <is>
          <t>NN_LUK_52014</t>
        </is>
      </c>
      <c r="K569" s="640" t="n">
        <v>1</v>
      </c>
      <c r="L569" s="640" t="n">
        <v>0</v>
      </c>
      <c r="M569" s="640" t="inlineStr">
        <is>
          <t>1 октября</t>
        </is>
      </c>
      <c r="N569" s="640" t="n"/>
      <c r="O569" s="640">
        <f>IF(AND(N569=1,L569=1),K569,"")</f>
        <v/>
      </c>
      <c r="P569" s="642" t="inlineStr">
        <is>
          <t xml:space="preserve">Россия, 603069, Нижегородская обл., г. Нижний Новгород, ул.Безводная, 14   </t>
        </is>
      </c>
      <c r="Q569" s="640" t="n">
        <v>56.212515</v>
      </c>
      <c r="R569" s="422" t="n">
        <v>43.802356</v>
      </c>
      <c r="S569" s="436" t="n"/>
      <c r="T569" s="436" t="n"/>
      <c r="U569" s="652" t="n"/>
      <c r="V569" s="438">
        <f>IF(AND(N569=1,U569=1),C569,"")</f>
        <v/>
      </c>
      <c r="W569" s="387" t="n"/>
      <c r="X569" s="1" t="n"/>
      <c r="Y569" s="1" t="n"/>
    </row>
    <row r="570" hidden="1" ht="16.05" customFormat="1" customHeight="1" s="126">
      <c r="A570" s="125" t="n">
        <v>799</v>
      </c>
      <c r="B570" s="125" t="inlineStr">
        <is>
          <t>WF</t>
        </is>
      </c>
      <c r="C570" s="130" t="inlineStr">
        <is>
          <t>Нижний Новгород</t>
        </is>
      </c>
      <c r="D570" s="130" t="inlineStr">
        <is>
          <t>Нижний Новгород</t>
        </is>
      </c>
      <c r="E570" s="130" t="n"/>
      <c r="F570" s="130" t="inlineStr">
        <is>
          <t>АЗС</t>
        </is>
      </c>
      <c r="G570" s="130" t="inlineStr">
        <is>
          <t>Лукойл</t>
        </is>
      </c>
      <c r="H570" s="131" t="n">
        <v>15</v>
      </c>
      <c r="I570" s="637" t="n">
        <v>52015</v>
      </c>
      <c r="J570" s="402" t="inlineStr">
        <is>
          <t>NN_LUK_52015</t>
        </is>
      </c>
      <c r="K570" s="640" t="n">
        <v>1</v>
      </c>
      <c r="L570" s="640" t="n">
        <v>0</v>
      </c>
      <c r="M570" s="640" t="inlineStr">
        <is>
          <t>1 октября</t>
        </is>
      </c>
      <c r="N570" s="640" t="n"/>
      <c r="O570" s="640">
        <f>IF(AND(N570=1,L570=1),K570,"")</f>
        <v/>
      </c>
      <c r="P570" s="642" t="inlineStr">
        <is>
          <t xml:space="preserve">Россия, 603016, Нижегородская обл., г. Нижний Новгород, ул.Монастырка, 19   </t>
        </is>
      </c>
      <c r="Q570" s="640" t="n">
        <v>56.236211</v>
      </c>
      <c r="R570" s="422" t="n">
        <v>43.882944</v>
      </c>
      <c r="S570" s="436" t="n"/>
      <c r="T570" s="436" t="n"/>
      <c r="U570" s="652" t="n"/>
      <c r="V570" s="438">
        <f>IF(AND(N570=1,U570=1),C570,"")</f>
        <v/>
      </c>
      <c r="W570" s="387" t="n"/>
      <c r="X570" s="1" t="n"/>
      <c r="Y570" s="1" t="n"/>
    </row>
    <row r="571" hidden="1" ht="16.05" customFormat="1" customHeight="1" s="126">
      <c r="A571" s="125" t="n">
        <v>800</v>
      </c>
      <c r="B571" s="125" t="inlineStr">
        <is>
          <t>WF</t>
        </is>
      </c>
      <c r="C571" s="130" t="inlineStr">
        <is>
          <t>Владимир</t>
        </is>
      </c>
      <c r="D571" s="130" t="inlineStr">
        <is>
          <t>Александров</t>
        </is>
      </c>
      <c r="E571" s="130" t="n"/>
      <c r="F571" s="130" t="inlineStr">
        <is>
          <t>АЗС</t>
        </is>
      </c>
      <c r="G571" s="130" t="inlineStr">
        <is>
          <t>Лукойл</t>
        </is>
      </c>
      <c r="H571" s="131" t="n">
        <v>16</v>
      </c>
      <c r="I571" s="637" t="n">
        <v>33016</v>
      </c>
      <c r="J571" s="402" t="inlineStr">
        <is>
          <t>VLA_LUK_33016</t>
        </is>
      </c>
      <c r="K571" s="640" t="n">
        <v>1</v>
      </c>
      <c r="L571" s="640" t="n">
        <v>0</v>
      </c>
      <c r="M571" s="640" t="inlineStr">
        <is>
          <t>1 октября</t>
        </is>
      </c>
      <c r="N571" s="640" t="n"/>
      <c r="O571" s="640">
        <f>IF(AND(N571=1,L571=1),K571,"")</f>
        <v/>
      </c>
      <c r="P571" s="642" t="inlineStr">
        <is>
          <t xml:space="preserve">Россия, 601650, Владимирская обл., г. Александров, ул. 1-я Лесная, 2Б   </t>
        </is>
      </c>
      <c r="Q571" s="640" t="n">
        <v>56.38734</v>
      </c>
      <c r="R571" s="422" t="n">
        <v>38.70383</v>
      </c>
      <c r="S571" s="436" t="n"/>
      <c r="T571" s="436" t="n"/>
      <c r="U571" s="652" t="n"/>
      <c r="V571" s="438">
        <f>IF(AND(N571=1,U571=1),C571,"")</f>
        <v/>
      </c>
      <c r="W571" s="387" t="n"/>
      <c r="X571" s="1" t="n"/>
      <c r="Y571" s="1" t="n"/>
    </row>
    <row r="572" hidden="1" ht="16.05" customFormat="1" customHeight="1" s="126">
      <c r="A572" s="125" t="n">
        <v>801</v>
      </c>
      <c r="B572" s="125" t="inlineStr">
        <is>
          <t>WF</t>
        </is>
      </c>
      <c r="C572" s="130" t="inlineStr">
        <is>
          <t>Нижний Новгород</t>
        </is>
      </c>
      <c r="D572" s="130" t="inlineStr">
        <is>
          <t>Нижний Новгород</t>
        </is>
      </c>
      <c r="E572" s="130" t="n"/>
      <c r="F572" s="130" t="inlineStr">
        <is>
          <t>АЗС</t>
        </is>
      </c>
      <c r="G572" s="130" t="inlineStr">
        <is>
          <t>Лукойл</t>
        </is>
      </c>
      <c r="H572" s="131" t="n">
        <v>17</v>
      </c>
      <c r="I572" s="637" t="n">
        <v>52017</v>
      </c>
      <c r="J572" s="402" t="inlineStr">
        <is>
          <t>NN_LUK_52017</t>
        </is>
      </c>
      <c r="K572" s="640" t="n">
        <v>1</v>
      </c>
      <c r="L572" s="640" t="n">
        <v>0</v>
      </c>
      <c r="M572" s="640" t="inlineStr">
        <is>
          <t>1 октября</t>
        </is>
      </c>
      <c r="N572" s="640" t="n"/>
      <c r="O572" s="640">
        <f>IF(AND(N572=1,L572=1),K572,"")</f>
        <v/>
      </c>
      <c r="P572" s="642" t="inlineStr">
        <is>
          <t xml:space="preserve">Россия, 603070, Нижегородская обл., г. Нижний Новгород, б-рМещерский, 3   </t>
        </is>
      </c>
      <c r="Q572" s="640" t="n">
        <v>56.333282</v>
      </c>
      <c r="R572" s="422" t="n">
        <v>43.948657</v>
      </c>
      <c r="S572" s="436" t="n"/>
      <c r="T572" s="436" t="n"/>
      <c r="U572" s="652" t="n"/>
      <c r="V572" s="438">
        <f>IF(AND(N572=1,U572=1),C572,"")</f>
        <v/>
      </c>
      <c r="W572" s="387" t="n"/>
      <c r="X572" s="1" t="n"/>
      <c r="Y572" s="1" t="n"/>
    </row>
    <row r="573" hidden="1" ht="16.05" customFormat="1" customHeight="1" s="126">
      <c r="A573" s="125" t="n">
        <v>802</v>
      </c>
      <c r="B573" s="125" t="inlineStr">
        <is>
          <t>WF</t>
        </is>
      </c>
      <c r="C573" s="130" t="inlineStr">
        <is>
          <t>Нижний Новгород</t>
        </is>
      </c>
      <c r="D573" s="130" t="inlineStr">
        <is>
          <t>Нижний Новгород</t>
        </is>
      </c>
      <c r="E573" s="130" t="n"/>
      <c r="F573" s="130" t="inlineStr">
        <is>
          <t>АЗС</t>
        </is>
      </c>
      <c r="G573" s="130" t="inlineStr">
        <is>
          <t>Лукойл</t>
        </is>
      </c>
      <c r="H573" s="131" t="n">
        <v>19</v>
      </c>
      <c r="I573" s="637" t="n">
        <v>52019</v>
      </c>
      <c r="J573" s="402" t="inlineStr">
        <is>
          <t>NN_LUK_52019</t>
        </is>
      </c>
      <c r="K573" s="640" t="n">
        <v>1</v>
      </c>
      <c r="L573" s="640" t="n">
        <v>0</v>
      </c>
      <c r="M573" s="640" t="inlineStr">
        <is>
          <t>1 октября</t>
        </is>
      </c>
      <c r="N573" s="640" t="n"/>
      <c r="O573" s="640">
        <f>IF(AND(N573=1,L573=1),K573,"")</f>
        <v/>
      </c>
      <c r="P573" s="642" t="inlineStr">
        <is>
          <t xml:space="preserve">Россия, 603127, Нижегородская обл., г. Нижний Новгород, ул.Коновалова, 1а   </t>
        </is>
      </c>
      <c r="Q573" s="640" t="n">
        <v>56.351165</v>
      </c>
      <c r="R573" s="422" t="n">
        <v>43.801719</v>
      </c>
      <c r="S573" s="436" t="n"/>
      <c r="T573" s="436" t="n"/>
      <c r="U573" s="652" t="n"/>
      <c r="V573" s="438">
        <f>IF(AND(N573=1,U573=1),C573,"")</f>
        <v/>
      </c>
      <c r="W573" s="387" t="n"/>
      <c r="X573" s="1" t="n"/>
      <c r="Y573" s="1" t="n"/>
    </row>
    <row r="574" hidden="1" ht="16.05" customFormat="1" customHeight="1" s="126">
      <c r="A574" s="125" t="n">
        <v>803</v>
      </c>
      <c r="B574" s="125" t="inlineStr">
        <is>
          <t>WF</t>
        </is>
      </c>
      <c r="C574" s="130" t="inlineStr">
        <is>
          <t>Нижний Новгород</t>
        </is>
      </c>
      <c r="D574" s="130" t="inlineStr">
        <is>
          <t>Нижний Новгород</t>
        </is>
      </c>
      <c r="E574" s="130" t="n"/>
      <c r="F574" s="130" t="inlineStr">
        <is>
          <t>АЗС</t>
        </is>
      </c>
      <c r="G574" s="130" t="inlineStr">
        <is>
          <t>Лукойл</t>
        </is>
      </c>
      <c r="H574" s="131" t="n">
        <v>20</v>
      </c>
      <c r="I574" s="637" t="n">
        <v>52020</v>
      </c>
      <c r="J574" s="402" t="inlineStr">
        <is>
          <t>NN_LUK_52020</t>
        </is>
      </c>
      <c r="K574" s="640" t="n">
        <v>1</v>
      </c>
      <c r="L574" s="640" t="n">
        <v>0</v>
      </c>
      <c r="M574" s="640" t="inlineStr">
        <is>
          <t>Sam 32</t>
        </is>
      </c>
      <c r="N574" s="640" t="n"/>
      <c r="O574" s="640">
        <f>IF(AND(N574=1,L574=1),K574,"")</f>
        <v/>
      </c>
      <c r="P574" s="642" t="inlineStr">
        <is>
          <t xml:space="preserve">Россия, 603057, Нижегородская обл., г. Нижний Новгород, пр-кт Гагарина, д. 31 А   </t>
        </is>
      </c>
      <c r="Q574" s="640" t="n">
        <v>56.288256</v>
      </c>
      <c r="R574" s="422" t="n">
        <v>43.98007</v>
      </c>
      <c r="S574" s="436" t="n"/>
      <c r="T574" s="436" t="n"/>
      <c r="U574" s="652" t="n"/>
      <c r="V574" s="438">
        <f>IF(AND(N574=1,U574=1),C574,"")</f>
        <v/>
      </c>
      <c r="W574" s="387" t="n"/>
      <c r="X574" s="1" t="n"/>
      <c r="Y574" s="1" t="n"/>
    </row>
    <row r="575" hidden="1" ht="16.05" customFormat="1" customHeight="1" s="126">
      <c r="A575" s="125" t="n">
        <v>804</v>
      </c>
      <c r="B575" s="125" t="inlineStr">
        <is>
          <t>WF</t>
        </is>
      </c>
      <c r="C575" s="130" t="inlineStr">
        <is>
          <t>Нижний Новгород</t>
        </is>
      </c>
      <c r="D575" s="130" t="inlineStr">
        <is>
          <t>Нижний Новгород</t>
        </is>
      </c>
      <c r="E575" s="130" t="n"/>
      <c r="F575" s="130" t="inlineStr">
        <is>
          <t>АЗС</t>
        </is>
      </c>
      <c r="G575" s="130" t="inlineStr">
        <is>
          <t>Лукойл</t>
        </is>
      </c>
      <c r="H575" s="131" t="n">
        <v>21</v>
      </c>
      <c r="I575" s="637" t="n">
        <v>52021</v>
      </c>
      <c r="J575" s="402" t="inlineStr">
        <is>
          <t>NN_LUK_52021</t>
        </is>
      </c>
      <c r="K575" s="640" t="n">
        <v>1</v>
      </c>
      <c r="L575" s="640" t="n">
        <v>0</v>
      </c>
      <c r="M575" s="640" t="inlineStr">
        <is>
          <t>1 октября</t>
        </is>
      </c>
      <c r="N575" s="640" t="n"/>
      <c r="O575" s="640">
        <f>IF(AND(N575=1,L575=1),K575,"")</f>
        <v/>
      </c>
      <c r="P575" s="642" t="inlineStr">
        <is>
          <t xml:space="preserve">Россия, 603106, Нижегородская обл., г. Нижний Новгород, ул.Надежды Сусловой, д. 21   </t>
        </is>
      </c>
      <c r="Q575" s="640" t="n">
        <v>56.302423</v>
      </c>
      <c r="R575" s="422" t="n">
        <v>44.048782</v>
      </c>
      <c r="S575" s="436" t="n"/>
      <c r="T575" s="436" t="n"/>
      <c r="U575" s="652" t="n"/>
      <c r="V575" s="438">
        <f>IF(AND(N575=1,U575=1),C575,"")</f>
        <v/>
      </c>
      <c r="W575" s="387" t="n"/>
      <c r="X575" s="1" t="n"/>
      <c r="Y575" s="1" t="n"/>
    </row>
    <row r="576" hidden="1" ht="16.05" customFormat="1" customHeight="1" s="126">
      <c r="A576" s="125" t="n">
        <v>805</v>
      </c>
      <c r="B576" s="125" t="inlineStr">
        <is>
          <t>WF</t>
        </is>
      </c>
      <c r="C576" s="130" t="inlineStr">
        <is>
          <t>Нижний Новгород</t>
        </is>
      </c>
      <c r="D576" s="130" t="inlineStr">
        <is>
          <t>Нижний Новгород</t>
        </is>
      </c>
      <c r="E576" s="130" t="n"/>
      <c r="F576" s="130" t="inlineStr">
        <is>
          <t>АЗС</t>
        </is>
      </c>
      <c r="G576" s="130" t="inlineStr">
        <is>
          <t>Лукойл</t>
        </is>
      </c>
      <c r="H576" s="131" t="n">
        <v>22</v>
      </c>
      <c r="I576" s="637" t="n">
        <v>52022</v>
      </c>
      <c r="J576" s="402" t="inlineStr">
        <is>
          <t>NN_LUK_52022</t>
        </is>
      </c>
      <c r="K576" s="640" t="n">
        <v>1</v>
      </c>
      <c r="L576" s="640" t="n">
        <v>0</v>
      </c>
      <c r="M576" s="640" t="inlineStr">
        <is>
          <t>1 октября</t>
        </is>
      </c>
      <c r="N576" s="640" t="n"/>
      <c r="O576" s="640">
        <f>IF(AND(N576=1,L576=1),K576,"")</f>
        <v/>
      </c>
      <c r="P576" s="642" t="inlineStr">
        <is>
          <t xml:space="preserve">Россия, 603070, Нижегородская обл., г. Нижний Новгород, ул.Ванеева, 3   </t>
        </is>
      </c>
      <c r="Q576" s="640" t="n">
        <v>56.2798554</v>
      </c>
      <c r="R576" s="422" t="n">
        <v>44.0350108</v>
      </c>
      <c r="S576" s="436" t="n"/>
      <c r="T576" s="436" t="n"/>
      <c r="U576" s="652" t="n"/>
      <c r="V576" s="438">
        <f>IF(AND(N576=1,U576=1),C576,"")</f>
        <v/>
      </c>
      <c r="W576" s="387" t="n"/>
      <c r="X576" s="1" t="n"/>
      <c r="Y576" s="1" t="n"/>
    </row>
    <row r="577" hidden="1" ht="16.05" customFormat="1" customHeight="1" s="126">
      <c r="A577" s="125" t="n">
        <v>806</v>
      </c>
      <c r="B577" s="125" t="inlineStr">
        <is>
          <t>WF</t>
        </is>
      </c>
      <c r="C577" s="130" t="inlineStr">
        <is>
          <t>Нижний Новгород</t>
        </is>
      </c>
      <c r="D577" s="130" t="inlineStr">
        <is>
          <t>Нижний Новгород</t>
        </is>
      </c>
      <c r="E577" s="130" t="n"/>
      <c r="F577" s="130" t="inlineStr">
        <is>
          <t>АЗС</t>
        </is>
      </c>
      <c r="G577" s="130" t="inlineStr">
        <is>
          <t>Лукойл</t>
        </is>
      </c>
      <c r="H577" s="131" t="n">
        <v>23</v>
      </c>
      <c r="I577" s="637" t="n">
        <v>52023</v>
      </c>
      <c r="J577" s="402" t="inlineStr">
        <is>
          <t>NN_LUK_52023</t>
        </is>
      </c>
      <c r="K577" s="640" t="n">
        <v>2</v>
      </c>
      <c r="L577" s="640" t="n">
        <v>0</v>
      </c>
      <c r="M577" s="640" t="inlineStr">
        <is>
          <t>1 октября</t>
        </is>
      </c>
      <c r="N577" s="640" t="n"/>
      <c r="O577" s="640">
        <f>IF(AND(N577=1,L577=1),K577,"")</f>
        <v/>
      </c>
      <c r="P577" s="642" t="inlineStr">
        <is>
          <t xml:space="preserve">Россия, 603005, Нижегородская обл., г. Нижний Новгород, ул.Красная Слобода, 10   </t>
        </is>
      </c>
      <c r="Q577" s="640" t="n">
        <v>56.328743</v>
      </c>
      <c r="R577" s="422" t="n">
        <v>44.03113</v>
      </c>
      <c r="S577" s="436" t="n"/>
      <c r="T577" s="436" t="n"/>
      <c r="U577" s="652" t="n"/>
      <c r="V577" s="438">
        <f>IF(AND(N577=1,U577=1),C577,"")</f>
        <v/>
      </c>
      <c r="W577" s="387" t="n"/>
      <c r="X577" s="1" t="n"/>
      <c r="Y577" s="1" t="n"/>
    </row>
    <row r="578" hidden="1" ht="16.05" customFormat="1" customHeight="1" s="126">
      <c r="A578" s="125" t="n">
        <v>807</v>
      </c>
      <c r="B578" s="125" t="inlineStr">
        <is>
          <t>WF</t>
        </is>
      </c>
      <c r="C578" s="130" t="inlineStr">
        <is>
          <t>Владимир</t>
        </is>
      </c>
      <c r="D578" s="130" t="inlineStr">
        <is>
          <t>Вязники</t>
        </is>
      </c>
      <c r="E578" s="130" t="n"/>
      <c r="F578" s="130" t="inlineStr">
        <is>
          <t>АЗС</t>
        </is>
      </c>
      <c r="G578" s="130" t="inlineStr">
        <is>
          <t>Лукойл</t>
        </is>
      </c>
      <c r="H578" s="131" t="n">
        <v>23</v>
      </c>
      <c r="I578" s="637" t="n">
        <v>33023</v>
      </c>
      <c r="J578" s="402" t="inlineStr">
        <is>
          <t>VLA_LUK_33023</t>
        </is>
      </c>
      <c r="K578" s="640" t="n">
        <v>1</v>
      </c>
      <c r="L578" s="640" t="n">
        <v>0</v>
      </c>
      <c r="M578" s="640" t="inlineStr">
        <is>
          <t>1 октября</t>
        </is>
      </c>
      <c r="N578" s="640" t="n"/>
      <c r="O578" s="640">
        <f>IF(AND(N578=1,L578=1),K578,"")</f>
        <v/>
      </c>
      <c r="P578" s="642" t="inlineStr">
        <is>
          <t xml:space="preserve">Россия, 601443, Владимирская обл., г. Вязники, ул. Ленина, д. 43   </t>
        </is>
      </c>
      <c r="Q578" s="640" t="n">
        <v>56.24019</v>
      </c>
      <c r="R578" s="422" t="n">
        <v>42.11882</v>
      </c>
      <c r="S578" s="436" t="n"/>
      <c r="T578" s="436" t="n"/>
      <c r="U578" s="652" t="n"/>
      <c r="V578" s="438">
        <f>IF(AND(N578=1,U578=1),C578,"")</f>
        <v/>
      </c>
      <c r="W578" s="387" t="n"/>
      <c r="X578" s="1" t="n"/>
      <c r="Y578" s="1" t="n"/>
    </row>
    <row r="579" hidden="1" ht="16.05" customFormat="1" customHeight="1" s="126">
      <c r="A579" s="125" t="n">
        <v>809</v>
      </c>
      <c r="B579" s="125" t="inlineStr">
        <is>
          <t>WF</t>
        </is>
      </c>
      <c r="C579" s="130" t="inlineStr">
        <is>
          <t>Нижний Новгород</t>
        </is>
      </c>
      <c r="D579" s="130" t="inlineStr">
        <is>
          <t>Нижний Новгород</t>
        </is>
      </c>
      <c r="E579" s="130" t="n"/>
      <c r="F579" s="130" t="inlineStr">
        <is>
          <t>АЗС</t>
        </is>
      </c>
      <c r="G579" s="130" t="inlineStr">
        <is>
          <t>Лукойл</t>
        </is>
      </c>
      <c r="H579" s="131" t="n">
        <v>26</v>
      </c>
      <c r="I579" s="637" t="n">
        <v>52026</v>
      </c>
      <c r="J579" s="402" t="inlineStr">
        <is>
          <t>NN_LUK_52026</t>
        </is>
      </c>
      <c r="K579" s="640" t="n">
        <v>1</v>
      </c>
      <c r="L579" s="640" t="n">
        <v>0</v>
      </c>
      <c r="M579" s="640" t="inlineStr">
        <is>
          <t>Sam 32</t>
        </is>
      </c>
      <c r="N579" s="640" t="n"/>
      <c r="O579" s="640">
        <f>IF(AND(N579=1,L579=1),K579,"")</f>
        <v/>
      </c>
      <c r="P579" s="642" t="inlineStr">
        <is>
          <t xml:space="preserve">Россия, 603108, Нижегородская обл., г. Нижний Новгород, ул.Кузбасская, д. 2 в   </t>
        </is>
      </c>
      <c r="Q579" s="640" t="n">
        <v>56.303121</v>
      </c>
      <c r="R579" s="422" t="n">
        <v>43.872116</v>
      </c>
      <c r="S579" s="436" t="n"/>
      <c r="T579" s="436" t="n"/>
      <c r="U579" s="652" t="n"/>
      <c r="V579" s="438">
        <f>IF(AND(N579=1,U579=1),C579,"")</f>
        <v/>
      </c>
      <c r="W579" s="387" t="n"/>
      <c r="X579" s="1" t="n"/>
      <c r="Y579" s="1" t="n"/>
    </row>
    <row r="580" hidden="1" ht="16.05" customFormat="1" customHeight="1" s="126">
      <c r="A580" s="125" t="n">
        <v>810</v>
      </c>
      <c r="B580" s="125" t="inlineStr">
        <is>
          <t>WF</t>
        </is>
      </c>
      <c r="C580" s="130" t="inlineStr">
        <is>
          <t>Нижний Новгород</t>
        </is>
      </c>
      <c r="D580" s="130" t="inlineStr">
        <is>
          <t>Нижний Новгород</t>
        </is>
      </c>
      <c r="E580" s="130" t="n"/>
      <c r="F580" s="130" t="inlineStr">
        <is>
          <t>АЗС</t>
        </is>
      </c>
      <c r="G580" s="130" t="inlineStr">
        <is>
          <t>Лукойл</t>
        </is>
      </c>
      <c r="H580" s="131" t="n">
        <v>27</v>
      </c>
      <c r="I580" s="637" t="n">
        <v>52227</v>
      </c>
      <c r="J580" s="402" t="inlineStr">
        <is>
          <t>NN_LUK_52227</t>
        </is>
      </c>
      <c r="K580" s="640" t="n">
        <v>1</v>
      </c>
      <c r="L580" s="640" t="n">
        <v>0</v>
      </c>
      <c r="M580" s="640" t="inlineStr">
        <is>
          <t>1 октября</t>
        </is>
      </c>
      <c r="N580" s="640" t="n"/>
      <c r="O580" s="640">
        <f>IF(AND(N580=1,L580=1),K580,"")</f>
        <v/>
      </c>
      <c r="P580" s="642" t="inlineStr">
        <is>
          <t xml:space="preserve">Россия, 603163, Нижегородская обл., г. Нижний Новгород, ш. Казанское, д. 6а   </t>
        </is>
      </c>
      <c r="Q580" s="640" t="n">
        <v>56.292303</v>
      </c>
      <c r="R580" s="422" t="n">
        <v>44.075561</v>
      </c>
      <c r="S580" s="436" t="n"/>
      <c r="T580" s="436" t="n"/>
      <c r="U580" s="652" t="n"/>
      <c r="V580" s="438">
        <f>IF(AND(N580=1,U580=1),C580,"")</f>
        <v/>
      </c>
      <c r="W580" s="387" t="n"/>
      <c r="X580" s="1" t="n"/>
      <c r="Y580" s="1" t="n"/>
    </row>
    <row r="581" hidden="1" ht="16.05" customFormat="1" customHeight="1" s="126">
      <c r="A581" s="125" t="n">
        <v>811</v>
      </c>
      <c r="B581" s="125" t="inlineStr">
        <is>
          <t>WF</t>
        </is>
      </c>
      <c r="C581" s="130" t="inlineStr">
        <is>
          <t>Нижний Новгород</t>
        </is>
      </c>
      <c r="D581" s="130" t="inlineStr">
        <is>
          <t>Нижний Новгород</t>
        </is>
      </c>
      <c r="E581" s="130" t="n"/>
      <c r="F581" s="130" t="inlineStr">
        <is>
          <t>АЗС</t>
        </is>
      </c>
      <c r="G581" s="130" t="inlineStr">
        <is>
          <t>Лукойл</t>
        </is>
      </c>
      <c r="H581" s="131" t="n">
        <v>27</v>
      </c>
      <c r="I581" s="637" t="n">
        <v>52027</v>
      </c>
      <c r="J581" s="402" t="inlineStr">
        <is>
          <t>NN_LUK_52027</t>
        </is>
      </c>
      <c r="K581" s="640" t="n">
        <v>1</v>
      </c>
      <c r="L581" s="640" t="n">
        <v>0</v>
      </c>
      <c r="M581" s="640" t="inlineStr">
        <is>
          <t>1 октября</t>
        </is>
      </c>
      <c r="N581" s="640" t="n"/>
      <c r="O581" s="640">
        <f>IF(AND(N581=1,L581=1),K581,"")</f>
        <v/>
      </c>
      <c r="P581" s="642" t="inlineStr">
        <is>
          <t xml:space="preserve">Россия, 603015, Нижегородская обл., г. Нижний Новгород, ш. Московское, д. 232 б   </t>
        </is>
      </c>
      <c r="Q581" s="640" t="n">
        <v>56.311861</v>
      </c>
      <c r="R581" s="422" t="n">
        <v>43.867134</v>
      </c>
      <c r="S581" s="436" t="n"/>
      <c r="T581" s="436" t="n"/>
      <c r="U581" s="652" t="n"/>
      <c r="V581" s="438">
        <f>IF(AND(N581=1,U581=1),C581,"")</f>
        <v/>
      </c>
      <c r="W581" s="387" t="n"/>
      <c r="X581" s="1" t="n"/>
      <c r="Y581" s="1" t="n"/>
    </row>
    <row r="582" hidden="1" ht="16.05" customFormat="1" customHeight="1" s="126">
      <c r="A582" s="125" t="n">
        <v>812</v>
      </c>
      <c r="B582" s="125" t="inlineStr">
        <is>
          <t>WF</t>
        </is>
      </c>
      <c r="C582" s="130" t="inlineStr">
        <is>
          <t>Владимир</t>
        </is>
      </c>
      <c r="D582" s="130" t="inlineStr">
        <is>
          <t>Гороховец</t>
        </is>
      </c>
      <c r="E582" s="130" t="n"/>
      <c r="F582" s="130" t="inlineStr">
        <is>
          <t>АЗС</t>
        </is>
      </c>
      <c r="G582" s="130" t="inlineStr">
        <is>
          <t>Лукойл</t>
        </is>
      </c>
      <c r="H582" s="131" t="n">
        <v>27</v>
      </c>
      <c r="I582" s="637" t="n">
        <v>33027</v>
      </c>
      <c r="J582" s="402" t="inlineStr">
        <is>
          <t>VLA_LUK_33027</t>
        </is>
      </c>
      <c r="K582" s="640" t="n">
        <v>1</v>
      </c>
      <c r="L582" s="640" t="n">
        <v>0</v>
      </c>
      <c r="M582" s="640" t="inlineStr">
        <is>
          <t>1 октября</t>
        </is>
      </c>
      <c r="N582" s="640" t="n"/>
      <c r="O582" s="640">
        <f>IF(AND(N582=1,L582=1),K582,"")</f>
        <v/>
      </c>
      <c r="P582" s="642" t="inlineStr">
        <is>
          <t xml:space="preserve">Россия, 601483, Владимирская обл., г. Гороховец, ул. Московская, д. 123   </t>
        </is>
      </c>
      <c r="Q582" s="640" t="n">
        <v>56.18509</v>
      </c>
      <c r="R582" s="422" t="n">
        <v>42.67426</v>
      </c>
      <c r="S582" s="436" t="n"/>
      <c r="T582" s="436" t="n"/>
      <c r="U582" s="652" t="n"/>
      <c r="V582" s="438">
        <f>IF(AND(N582=1,U582=1),C582,"")</f>
        <v/>
      </c>
      <c r="W582" s="387" t="n"/>
      <c r="X582" s="1" t="n"/>
      <c r="Y582" s="1" t="n"/>
    </row>
    <row r="583" hidden="1" ht="16.05" customFormat="1" customHeight="1" s="126">
      <c r="A583" s="125" t="n">
        <v>813</v>
      </c>
      <c r="B583" s="125" t="inlineStr">
        <is>
          <t>WF</t>
        </is>
      </c>
      <c r="C583" s="130" t="inlineStr">
        <is>
          <t>Нижний Новгород</t>
        </is>
      </c>
      <c r="D583" s="130" t="inlineStr">
        <is>
          <t>Нижний Новгород</t>
        </is>
      </c>
      <c r="E583" s="130" t="n"/>
      <c r="F583" s="130" t="inlineStr">
        <is>
          <t>АЗС</t>
        </is>
      </c>
      <c r="G583" s="130" t="inlineStr">
        <is>
          <t>Лукойл</t>
        </is>
      </c>
      <c r="H583" s="131" t="n">
        <v>28</v>
      </c>
      <c r="I583" s="637" t="n">
        <v>52028</v>
      </c>
      <c r="J583" s="402" t="inlineStr">
        <is>
          <t>NN_LUK_52028</t>
        </is>
      </c>
      <c r="K583" s="640" t="n">
        <v>1</v>
      </c>
      <c r="L583" s="640" t="n">
        <v>0</v>
      </c>
      <c r="M583" s="640" t="inlineStr">
        <is>
          <t>1 октября</t>
        </is>
      </c>
      <c r="N583" s="640" t="n"/>
      <c r="O583" s="640">
        <f>IF(AND(N583=1,L583=1),K583,"")</f>
        <v/>
      </c>
      <c r="P583" s="642" t="inlineStr">
        <is>
          <t xml:space="preserve">Россия, 603127, Нижегородская обл., г. Нижний Новгород, ул.Федосеенко, д. 61   </t>
        </is>
      </c>
      <c r="Q583" s="640" t="n">
        <v>56.339553</v>
      </c>
      <c r="R583" s="422" t="n">
        <v>43.805727</v>
      </c>
      <c r="S583" s="436" t="n"/>
      <c r="T583" s="436" t="n"/>
      <c r="U583" s="652" t="n"/>
      <c r="V583" s="438">
        <f>IF(AND(N583=1,U583=1),C583,"")</f>
        <v/>
      </c>
      <c r="W583" s="387" t="n"/>
      <c r="X583" s="1" t="n"/>
      <c r="Y583" s="1" t="n"/>
    </row>
    <row r="584" hidden="1" ht="16.05" customFormat="1" customHeight="1" s="126">
      <c r="A584" s="125" t="n">
        <v>814</v>
      </c>
      <c r="B584" s="125" t="inlineStr">
        <is>
          <t>WF</t>
        </is>
      </c>
      <c r="C584" s="130" t="inlineStr">
        <is>
          <t>Владимир</t>
        </is>
      </c>
      <c r="D584" s="130" t="inlineStr">
        <is>
          <t>Гороховец</t>
        </is>
      </c>
      <c r="E584" s="130" t="n"/>
      <c r="F584" s="130" t="inlineStr">
        <is>
          <t>АЗС</t>
        </is>
      </c>
      <c r="G584" s="130" t="inlineStr">
        <is>
          <t>Лукойл</t>
        </is>
      </c>
      <c r="H584" s="131" t="n">
        <v>28</v>
      </c>
      <c r="I584" s="637" t="n">
        <v>33028</v>
      </c>
      <c r="J584" s="402" t="inlineStr">
        <is>
          <t>VLA_LUK_33028</t>
        </is>
      </c>
      <c r="K584" s="640" t="n">
        <v>1</v>
      </c>
      <c r="L584" s="640" t="n">
        <v>0</v>
      </c>
      <c r="M584" s="640" t="inlineStr">
        <is>
          <t>1 октября</t>
        </is>
      </c>
      <c r="N584" s="640" t="n"/>
      <c r="O584" s="640">
        <f>IF(AND(N584=1,L584=1),K584,"")</f>
        <v/>
      </c>
      <c r="P584" s="642" t="inlineStr">
        <is>
          <t xml:space="preserve">Россия, 601480, Владимирская обл., г. Гороховец, ул. Московская, д. 134а   </t>
        </is>
      </c>
      <c r="Q584" s="640" t="n">
        <v>56.19198</v>
      </c>
      <c r="R584" s="422" t="n">
        <v>42.68594</v>
      </c>
      <c r="S584" s="436" t="n"/>
      <c r="T584" s="436" t="n"/>
      <c r="U584" s="652" t="n"/>
      <c r="V584" s="438">
        <f>IF(AND(N584=1,U584=1),C584,"")</f>
        <v/>
      </c>
      <c r="W584" s="387" t="n"/>
      <c r="X584" s="1" t="n"/>
      <c r="Y584" s="1" t="n"/>
    </row>
    <row r="585" hidden="1" ht="16.05" customFormat="1" customHeight="1" s="126">
      <c r="A585" s="125" t="n">
        <v>816</v>
      </c>
      <c r="B585" s="125" t="inlineStr">
        <is>
          <t>WF</t>
        </is>
      </c>
      <c r="C585" s="130" t="inlineStr">
        <is>
          <t>Нижний Новгород</t>
        </is>
      </c>
      <c r="D585" s="130" t="inlineStr">
        <is>
          <t>Нижний Новгород</t>
        </is>
      </c>
      <c r="E585" s="130" t="n"/>
      <c r="F585" s="130" t="inlineStr">
        <is>
          <t>АЗС</t>
        </is>
      </c>
      <c r="G585" s="130" t="inlineStr">
        <is>
          <t>Лукойл</t>
        </is>
      </c>
      <c r="H585" s="131" t="n">
        <v>34</v>
      </c>
      <c r="I585" s="637" t="n">
        <v>52034</v>
      </c>
      <c r="J585" s="402" t="inlineStr">
        <is>
          <t>NN_LUK_52034</t>
        </is>
      </c>
      <c r="K585" s="640" t="n">
        <v>1</v>
      </c>
      <c r="L585" s="640" t="n">
        <v>0</v>
      </c>
      <c r="M585" s="640" t="inlineStr">
        <is>
          <t>1 октября</t>
        </is>
      </c>
      <c r="N585" s="640" t="n"/>
      <c r="O585" s="640">
        <f>IF(AND(N585=1,L585=1),K585,"")</f>
        <v/>
      </c>
      <c r="P585" s="642" t="inlineStr">
        <is>
          <t xml:space="preserve">Россия, 603028, Нижегородская обл., г. Нижний Новгород, ш. Комсомольское, д. 3 в   </t>
        </is>
      </c>
      <c r="Q585" s="640" t="n">
        <v>56.298882</v>
      </c>
      <c r="R585" s="422" t="n">
        <v>43.926503</v>
      </c>
      <c r="S585" s="436" t="n"/>
      <c r="T585" s="436" t="n"/>
      <c r="U585" s="325" t="n"/>
      <c r="V585" s="438">
        <f>IF(AND(N585=1,U585=1),C585,"")</f>
        <v/>
      </c>
      <c r="W585" s="387" t="n"/>
      <c r="X585" s="1" t="n"/>
      <c r="Y585" s="1" t="n"/>
    </row>
    <row r="586" hidden="1" ht="16.05" customFormat="1" customHeight="1" s="126">
      <c r="A586" s="125" t="n">
        <v>817</v>
      </c>
      <c r="B586" s="125" t="inlineStr">
        <is>
          <t>WF</t>
        </is>
      </c>
      <c r="C586" s="130" t="inlineStr">
        <is>
          <t>Нижний Новгород</t>
        </is>
      </c>
      <c r="D586" s="130" t="inlineStr">
        <is>
          <t>Дзержинск</t>
        </is>
      </c>
      <c r="E586" s="130" t="n"/>
      <c r="F586" s="130" t="inlineStr">
        <is>
          <t>АЗС</t>
        </is>
      </c>
      <c r="G586" s="130" t="inlineStr">
        <is>
          <t>Лукойл</t>
        </is>
      </c>
      <c r="H586" s="131" t="n">
        <v>37</v>
      </c>
      <c r="I586" s="637" t="n">
        <v>52037</v>
      </c>
      <c r="J586" s="402" t="inlineStr">
        <is>
          <t>NN_LUK_52037</t>
        </is>
      </c>
      <c r="K586" s="640" t="n">
        <v>1</v>
      </c>
      <c r="L586" s="640" t="n">
        <v>0</v>
      </c>
      <c r="M586" s="640" t="inlineStr">
        <is>
          <t>1 октября</t>
        </is>
      </c>
      <c r="N586" s="640" t="n"/>
      <c r="O586" s="640">
        <f>IF(AND(N586=1,L586=1),K586,"")</f>
        <v/>
      </c>
      <c r="P586" s="642" t="inlineStr">
        <is>
          <t xml:space="preserve">Россия, 606034, Нижегородская обл., г. Дзержинск, пр-кт Ленинского Комсомола, 28 А   </t>
        </is>
      </c>
      <c r="Q586" s="640" t="n">
        <v>56.23699</v>
      </c>
      <c r="R586" s="422" t="n">
        <v>43.40643</v>
      </c>
      <c r="S586" s="436" t="n"/>
      <c r="T586" s="436" t="n"/>
      <c r="U586" s="325" t="n"/>
      <c r="V586" s="438">
        <f>IF(AND(N586=1,U586=1),C586,"")</f>
        <v/>
      </c>
      <c r="W586" s="387" t="n"/>
      <c r="X586" s="1" t="n"/>
      <c r="Y586" s="1" t="n"/>
    </row>
    <row r="587" hidden="1" ht="16.05" customFormat="1" customHeight="1" s="126">
      <c r="A587" s="125" t="n">
        <v>818</v>
      </c>
      <c r="B587" s="125" t="inlineStr">
        <is>
          <t>WF</t>
        </is>
      </c>
      <c r="C587" s="130" t="inlineStr">
        <is>
          <t>Нижний Новгород</t>
        </is>
      </c>
      <c r="D587" s="130" t="inlineStr">
        <is>
          <t>Дзержинск</t>
        </is>
      </c>
      <c r="E587" s="130" t="n"/>
      <c r="F587" s="130" t="inlineStr">
        <is>
          <t>АЗС</t>
        </is>
      </c>
      <c r="G587" s="130" t="inlineStr">
        <is>
          <t>Лукойл</t>
        </is>
      </c>
      <c r="H587" s="131" t="n">
        <v>38</v>
      </c>
      <c r="I587" s="637" t="n">
        <v>52038</v>
      </c>
      <c r="J587" s="402" t="inlineStr">
        <is>
          <t>NN_LUK_52038</t>
        </is>
      </c>
      <c r="K587" s="640" t="n">
        <v>2</v>
      </c>
      <c r="L587" s="640" t="n">
        <v>0</v>
      </c>
      <c r="M587" s="640" t="inlineStr">
        <is>
          <t>1 октября</t>
        </is>
      </c>
      <c r="N587" s="640" t="n"/>
      <c r="O587" s="640">
        <f>IF(AND(N587=1,L587=1),K587,"")</f>
        <v/>
      </c>
      <c r="P587" s="642" t="inlineStr">
        <is>
          <t xml:space="preserve">Россия, 606041, Нижегородская обл., г. Дзержинск, п. Гавриловка, 7км+700м Гавриловской дороги, 2   </t>
        </is>
      </c>
      <c r="Q587" s="640" t="n">
        <v>56.24238</v>
      </c>
      <c r="R587" s="422" t="n">
        <v>43.72205</v>
      </c>
      <c r="S587" s="436" t="n"/>
      <c r="T587" s="436" t="n"/>
      <c r="U587" s="652" t="n"/>
      <c r="V587" s="438">
        <f>IF(AND(N587=1,U587=1),C587,"")</f>
        <v/>
      </c>
      <c r="W587" s="387" t="n"/>
      <c r="X587" s="1" t="n"/>
      <c r="Y587" s="1" t="n"/>
    </row>
    <row r="588" hidden="1" ht="16.05" customFormat="1" customHeight="1" s="126">
      <c r="A588" s="125" t="n">
        <v>819</v>
      </c>
      <c r="B588" s="125" t="inlineStr">
        <is>
          <t>WF</t>
        </is>
      </c>
      <c r="C588" s="130" t="inlineStr">
        <is>
          <t>Владимир</t>
        </is>
      </c>
      <c r="D588" s="130" t="inlineStr">
        <is>
          <t>Ковров</t>
        </is>
      </c>
      <c r="E588" s="130" t="n"/>
      <c r="F588" s="130" t="inlineStr">
        <is>
          <t>АЗС</t>
        </is>
      </c>
      <c r="G588" s="130" t="inlineStr">
        <is>
          <t>Лукойл</t>
        </is>
      </c>
      <c r="H588" s="131" t="n">
        <v>38</v>
      </c>
      <c r="I588" s="637" t="n">
        <v>33038</v>
      </c>
      <c r="J588" s="402" t="inlineStr">
        <is>
          <t>VLA_LUK_33038</t>
        </is>
      </c>
      <c r="K588" s="640" t="n">
        <v>2</v>
      </c>
      <c r="L588" s="640" t="n">
        <v>0</v>
      </c>
      <c r="M588" s="640" t="inlineStr">
        <is>
          <t>1 октября</t>
        </is>
      </c>
      <c r="N588" s="640" t="n"/>
      <c r="O588" s="640">
        <f>IF(AND(N588=1,L588=1),K588,"")</f>
        <v/>
      </c>
      <c r="P588" s="642" t="inlineStr">
        <is>
          <t xml:space="preserve">Россия, 601900, Владимирская обл., г. Ковров, ул. Еловая, д. 29   </t>
        </is>
      </c>
      <c r="Q588" s="640" t="n">
        <v>56.3323</v>
      </c>
      <c r="R588" s="422" t="n">
        <v>41.29024</v>
      </c>
      <c r="S588" s="436" t="n"/>
      <c r="T588" s="436" t="n"/>
      <c r="U588" s="325" t="n"/>
      <c r="V588" s="438">
        <f>IF(AND(N588=1,U588=1),C588,"")</f>
        <v/>
      </c>
      <c r="W588" s="387" t="n"/>
      <c r="X588" s="1" t="n"/>
      <c r="Y588" s="1" t="n"/>
    </row>
    <row r="589" hidden="1" ht="16.05" customFormat="1" customHeight="1" s="126">
      <c r="A589" s="125" t="n">
        <v>820</v>
      </c>
      <c r="B589" s="125" t="inlineStr">
        <is>
          <t>WF</t>
        </is>
      </c>
      <c r="C589" s="130" t="inlineStr">
        <is>
          <t>Нижний Новгород</t>
        </is>
      </c>
      <c r="D589" s="130" t="inlineStr">
        <is>
          <t>Дзержинск</t>
        </is>
      </c>
      <c r="E589" s="130" t="n"/>
      <c r="F589" s="130" t="inlineStr">
        <is>
          <t>АЗС</t>
        </is>
      </c>
      <c r="G589" s="130" t="inlineStr">
        <is>
          <t>Лукойл</t>
        </is>
      </c>
      <c r="H589" s="131" t="n">
        <v>39</v>
      </c>
      <c r="I589" s="637" t="n">
        <v>52039</v>
      </c>
      <c r="J589" s="402" t="inlineStr">
        <is>
          <t>NN_LUK_52039</t>
        </is>
      </c>
      <c r="K589" s="640" t="n">
        <v>2</v>
      </c>
      <c r="L589" s="640" t="n">
        <v>0</v>
      </c>
      <c r="M589" s="640" t="inlineStr">
        <is>
          <t>1 октября</t>
        </is>
      </c>
      <c r="N589" s="640" t="n"/>
      <c r="O589" s="640">
        <f>IF(AND(N589=1,L589=1),K589,"")</f>
        <v/>
      </c>
      <c r="P589" s="642" t="inlineStr">
        <is>
          <t xml:space="preserve">Россия, 606042, Нижегородская обл., г. Дзержинск, п. Гавриловка, 7км+700м Гавриловской дороги, 1   </t>
        </is>
      </c>
      <c r="Q589" s="640" t="n">
        <v>56.24306</v>
      </c>
      <c r="R589" s="422" t="n">
        <v>43.72523</v>
      </c>
      <c r="S589" s="436" t="n"/>
      <c r="T589" s="436" t="n"/>
      <c r="U589" s="325" t="n"/>
      <c r="V589" s="438">
        <f>IF(AND(N589=1,U589=1),C589,"")</f>
        <v/>
      </c>
      <c r="W589" s="387" t="n"/>
      <c r="X589" s="1" t="n"/>
      <c r="Y589" s="1" t="n"/>
    </row>
    <row r="590" hidden="1" ht="16.05" customFormat="1" customHeight="1" s="126">
      <c r="A590" s="125" t="n">
        <v>821</v>
      </c>
      <c r="B590" s="125" t="inlineStr">
        <is>
          <t>WF</t>
        </is>
      </c>
      <c r="C590" s="130" t="inlineStr">
        <is>
          <t>Владимир</t>
        </is>
      </c>
      <c r="D590" s="130" t="inlineStr">
        <is>
          <t>Ковровский район</t>
        </is>
      </c>
      <c r="E590" s="130" t="n"/>
      <c r="F590" s="130" t="inlineStr">
        <is>
          <t>АЗС</t>
        </is>
      </c>
      <c r="G590" s="130" t="inlineStr">
        <is>
          <t>Лукойл</t>
        </is>
      </c>
      <c r="H590" s="131" t="n">
        <v>39</v>
      </c>
      <c r="I590" s="637" t="n">
        <v>33039</v>
      </c>
      <c r="J590" s="402" t="inlineStr">
        <is>
          <t>VLA_LUK_33039</t>
        </is>
      </c>
      <c r="K590" s="640" t="n">
        <v>1</v>
      </c>
      <c r="L590" s="640" t="n">
        <v>0</v>
      </c>
      <c r="M590" s="640" t="inlineStr">
        <is>
          <t>1 октября</t>
        </is>
      </c>
      <c r="N590" s="640" t="n"/>
      <c r="O590" s="640">
        <f>IF(AND(N590=1,L590=1),K590,"")</f>
        <v/>
      </c>
      <c r="P590" s="642" t="inlineStr">
        <is>
          <t xml:space="preserve">Россия, 601965, Владимирская обл., д. Сенино, 920 м по направлению восток   </t>
        </is>
      </c>
      <c r="Q590" s="640" t="n">
        <v>56.21178</v>
      </c>
      <c r="R590" s="422" t="n">
        <v>41.30124</v>
      </c>
      <c r="S590" s="436" t="n"/>
      <c r="T590" s="436" t="n"/>
      <c r="U590" s="652" t="n"/>
      <c r="V590" s="438">
        <f>IF(AND(N590=1,U590=1),C590,"")</f>
        <v/>
      </c>
      <c r="W590" s="387" t="n"/>
      <c r="X590" s="1" t="n"/>
      <c r="Y590" s="1" t="n"/>
    </row>
    <row r="591" hidden="1" ht="16.05" customFormat="1" customHeight="1" s="126">
      <c r="A591" s="125" t="n">
        <v>822</v>
      </c>
      <c r="B591" s="125" t="inlineStr">
        <is>
          <t>WF</t>
        </is>
      </c>
      <c r="C591" s="130" t="inlineStr">
        <is>
          <t>Нижний Новгород</t>
        </is>
      </c>
      <c r="D591" s="130" t="inlineStr">
        <is>
          <t>Дзержинск</t>
        </is>
      </c>
      <c r="E591" s="130" t="n"/>
      <c r="F591" s="130" t="inlineStr">
        <is>
          <t>АЗС</t>
        </is>
      </c>
      <c r="G591" s="130" t="inlineStr">
        <is>
          <t>Лукойл</t>
        </is>
      </c>
      <c r="H591" s="131" t="n">
        <v>42</v>
      </c>
      <c r="I591" s="637" t="n">
        <v>52042</v>
      </c>
      <c r="J591" s="402" t="inlineStr">
        <is>
          <t>NN_LUK_52042</t>
        </is>
      </c>
      <c r="K591" s="640" t="n">
        <v>1</v>
      </c>
      <c r="L591" s="640" t="n">
        <v>0</v>
      </c>
      <c r="M591" s="640" t="inlineStr">
        <is>
          <t>1 октября</t>
        </is>
      </c>
      <c r="N591" s="640" t="n"/>
      <c r="O591" s="640">
        <f>IF(AND(N591=1,L591=1),K591,"")</f>
        <v/>
      </c>
      <c r="P591" s="642" t="inlineStr">
        <is>
          <t xml:space="preserve">Россия, 606000, Нижегородская обл., г. Дзержинск, ш. Северное, 4 км   </t>
        </is>
      </c>
      <c r="Q591" s="640" t="n">
        <v>56.26214</v>
      </c>
      <c r="R591" s="422" t="n">
        <v>43.46749</v>
      </c>
      <c r="S591" s="436" t="n"/>
      <c r="T591" s="436" t="n"/>
      <c r="U591" s="325" t="n"/>
      <c r="V591" s="438">
        <f>IF(AND(N591=1,U591=1),C591,"")</f>
        <v/>
      </c>
      <c r="W591" s="387" t="n"/>
      <c r="X591" s="1" t="n"/>
      <c r="Y591" s="1" t="n"/>
    </row>
    <row r="592" hidden="1" ht="16.05" customFormat="1" customHeight="1" s="126">
      <c r="A592" s="125" t="n">
        <v>823</v>
      </c>
      <c r="B592" s="125" t="inlineStr">
        <is>
          <t>WF</t>
        </is>
      </c>
      <c r="C592" s="130" t="inlineStr">
        <is>
          <t>Нижний Новгород</t>
        </is>
      </c>
      <c r="D592" s="130" t="inlineStr">
        <is>
          <t>Дзержинск</t>
        </is>
      </c>
      <c r="E592" s="130" t="n"/>
      <c r="F592" s="130" t="inlineStr">
        <is>
          <t>АЗС</t>
        </is>
      </c>
      <c r="G592" s="130" t="inlineStr">
        <is>
          <t>Лукойл</t>
        </is>
      </c>
      <c r="H592" s="131" t="n">
        <v>43</v>
      </c>
      <c r="I592" s="637" t="n">
        <v>52043</v>
      </c>
      <c r="J592" s="402" t="inlineStr">
        <is>
          <t>NN_LUK_52043</t>
        </is>
      </c>
      <c r="K592" s="640" t="n">
        <v>1</v>
      </c>
      <c r="L592" s="640" t="n">
        <v>0</v>
      </c>
      <c r="M592" s="640" t="inlineStr">
        <is>
          <t>1 октября</t>
        </is>
      </c>
      <c r="N592" s="640" t="n"/>
      <c r="O592" s="640">
        <f>IF(AND(N592=1,L592=1),K592,"")</f>
        <v/>
      </c>
      <c r="P592" s="642" t="inlineStr">
        <is>
          <t xml:space="preserve">Россия, 606030, Нижегородская обл., г. Дзержинск, ул. Попова    </t>
        </is>
      </c>
      <c r="Q592" s="640" t="n">
        <v>56.232383</v>
      </c>
      <c r="R592" s="422" t="n">
        <v>43.485368</v>
      </c>
      <c r="S592" s="436" t="n"/>
      <c r="T592" s="436" t="n"/>
      <c r="U592" s="652" t="n"/>
      <c r="V592" s="438">
        <f>IF(AND(N592=1,U592=1),C592,"")</f>
        <v/>
      </c>
      <c r="W592" s="387" t="n"/>
      <c r="X592" s="1" t="n"/>
      <c r="Y592" s="1" t="n"/>
    </row>
    <row r="593" hidden="1" ht="16.05" customFormat="1" customHeight="1" s="126">
      <c r="A593" s="125" t="n">
        <v>824</v>
      </c>
      <c r="B593" s="125" t="inlineStr">
        <is>
          <t>WF</t>
        </is>
      </c>
      <c r="C593" s="130" t="inlineStr">
        <is>
          <t>Нижний Новгород</t>
        </is>
      </c>
      <c r="D593" s="130" t="inlineStr">
        <is>
          <t>Балахна</t>
        </is>
      </c>
      <c r="E593" s="130" t="n"/>
      <c r="F593" s="130" t="inlineStr">
        <is>
          <t>АЗС</t>
        </is>
      </c>
      <c r="G593" s="130" t="inlineStr">
        <is>
          <t>Лукойл</t>
        </is>
      </c>
      <c r="H593" s="131" t="n">
        <v>44</v>
      </c>
      <c r="I593" s="637" t="n">
        <v>52044</v>
      </c>
      <c r="J593" s="402" t="inlineStr">
        <is>
          <t>NN_LUK_52044</t>
        </is>
      </c>
      <c r="K593" s="640" t="n">
        <v>1</v>
      </c>
      <c r="L593" s="640" t="n">
        <v>0</v>
      </c>
      <c r="M593" s="640" t="inlineStr">
        <is>
          <t>1 октября</t>
        </is>
      </c>
      <c r="N593" s="640" t="n"/>
      <c r="O593" s="640">
        <f>IF(AND(N593=1,L593=1),K593,"")</f>
        <v/>
      </c>
      <c r="P593" s="642" t="inlineStr">
        <is>
          <t xml:space="preserve">Россия, 606406, Нижегородская обл., г. Балахна, ул. Челюскинцев, д.27 Б   </t>
        </is>
      </c>
      <c r="Q593" s="640" t="n">
        <v>56.4776</v>
      </c>
      <c r="R593" s="422" t="n">
        <v>43.60718</v>
      </c>
      <c r="S593" s="436" t="n"/>
      <c r="T593" s="436" t="n"/>
      <c r="U593" s="325" t="n"/>
      <c r="V593" s="438">
        <f>IF(AND(N593=1,U593=1),C593,"")</f>
        <v/>
      </c>
      <c r="W593" s="387" t="n"/>
      <c r="X593" s="1" t="n"/>
      <c r="Y593" s="1" t="n"/>
    </row>
    <row r="594" hidden="1" ht="16.05" customFormat="1" customHeight="1" s="126">
      <c r="A594" s="125" t="n">
        <v>825</v>
      </c>
      <c r="B594" s="125" t="inlineStr">
        <is>
          <t>WF</t>
        </is>
      </c>
      <c r="C594" s="130" t="inlineStr">
        <is>
          <t>Нижний Новгород</t>
        </is>
      </c>
      <c r="D594" s="130" t="inlineStr">
        <is>
          <t>Дзержинск</t>
        </is>
      </c>
      <c r="E594" s="130" t="n"/>
      <c r="F594" s="130" t="inlineStr">
        <is>
          <t>АЗС</t>
        </is>
      </c>
      <c r="G594" s="130" t="inlineStr">
        <is>
          <t>Лукойл</t>
        </is>
      </c>
      <c r="H594" s="131" t="n">
        <v>45</v>
      </c>
      <c r="I594" s="637" t="n">
        <v>52045</v>
      </c>
      <c r="J594" s="402" t="inlineStr">
        <is>
          <t>NN_LUK_52045</t>
        </is>
      </c>
      <c r="K594" s="640" t="n">
        <v>1</v>
      </c>
      <c r="L594" s="640" t="n">
        <v>0</v>
      </c>
      <c r="M594" s="640" t="inlineStr">
        <is>
          <t>1 октября</t>
        </is>
      </c>
      <c r="N594" s="640" t="n"/>
      <c r="O594" s="640">
        <f>IF(AND(N594=1,L594=1),K594,"")</f>
        <v/>
      </c>
      <c r="P594" s="642" t="inlineStr">
        <is>
          <t xml:space="preserve">Россия, 606000, Нижегородская обл., г. Дзержинск, Северо-Западный промрайон, 378 км Московского шоссе, 2   </t>
        </is>
      </c>
      <c r="Q594" s="640" t="n">
        <v>56.29447</v>
      </c>
      <c r="R594" s="422" t="n">
        <v>43.36609</v>
      </c>
      <c r="S594" s="436" t="n"/>
      <c r="T594" s="436" t="n"/>
      <c r="U594" s="325" t="n"/>
      <c r="V594" s="438">
        <f>IF(AND(N594=1,U594=1),C594,"")</f>
        <v/>
      </c>
      <c r="W594" s="387" t="n"/>
      <c r="X594" s="1" t="n"/>
      <c r="Y594" s="1" t="n"/>
    </row>
    <row r="595" hidden="1" ht="16.05" customFormat="1" customHeight="1" s="126">
      <c r="A595" s="125" t="n">
        <v>826</v>
      </c>
      <c r="B595" s="125" t="inlineStr">
        <is>
          <t>WF</t>
        </is>
      </c>
      <c r="C595" s="130" t="inlineStr">
        <is>
          <t>Нижний Новгород</t>
        </is>
      </c>
      <c r="D595" s="130" t="inlineStr">
        <is>
          <t>Дзержинск</t>
        </is>
      </c>
      <c r="E595" s="130" t="n"/>
      <c r="F595" s="130" t="inlineStr">
        <is>
          <t>АЗС</t>
        </is>
      </c>
      <c r="G595" s="130" t="inlineStr">
        <is>
          <t>Лукойл</t>
        </is>
      </c>
      <c r="H595" s="131" t="n">
        <v>46</v>
      </c>
      <c r="I595" s="637" t="n">
        <v>52046</v>
      </c>
      <c r="J595" s="402" t="inlineStr">
        <is>
          <t>NN_LUK_52046</t>
        </is>
      </c>
      <c r="K595" s="640" t="n">
        <v>2</v>
      </c>
      <c r="L595" s="640" t="n">
        <v>0</v>
      </c>
      <c r="M595" s="640" t="inlineStr">
        <is>
          <t>1 октября</t>
        </is>
      </c>
      <c r="N595" s="640" t="n"/>
      <c r="O595" s="640">
        <f>IF(AND(N595=1,L595=1),K595,"")</f>
        <v/>
      </c>
      <c r="P595" s="642" t="inlineStr">
        <is>
          <t xml:space="preserve">Россия, 606034, Нижегородская обл., 378 км Московского шоссе, 1   </t>
        </is>
      </c>
      <c r="Q595" s="640" t="n">
        <v>56.29319</v>
      </c>
      <c r="R595" s="422" t="n">
        <v>43.36772</v>
      </c>
      <c r="S595" s="436" t="n"/>
      <c r="T595" s="436" t="n"/>
      <c r="U595" s="652" t="n"/>
      <c r="V595" s="438">
        <f>IF(AND(N595=1,U595=1),C595,"")</f>
        <v/>
      </c>
      <c r="W595" s="387" t="n"/>
      <c r="X595" s="1" t="n"/>
      <c r="Y595" s="1" t="n"/>
    </row>
    <row r="596" hidden="1" ht="16.05" customFormat="1" customHeight="1" s="126">
      <c r="A596" s="125" t="n">
        <v>828</v>
      </c>
      <c r="B596" s="125" t="inlineStr">
        <is>
          <t>WF</t>
        </is>
      </c>
      <c r="C596" s="130" t="inlineStr">
        <is>
          <t>Нижний Новгород</t>
        </is>
      </c>
      <c r="D596" s="130" t="inlineStr">
        <is>
          <t>Кстово</t>
        </is>
      </c>
      <c r="E596" s="130" t="n"/>
      <c r="F596" s="130" t="inlineStr">
        <is>
          <t>АЗС</t>
        </is>
      </c>
      <c r="G596" s="130" t="inlineStr">
        <is>
          <t>Лукойл</t>
        </is>
      </c>
      <c r="H596" s="131" t="n">
        <v>48</v>
      </c>
      <c r="I596" s="637" t="n">
        <v>52048</v>
      </c>
      <c r="J596" s="402" t="inlineStr">
        <is>
          <t>NN_LUK_52048</t>
        </is>
      </c>
      <c r="K596" s="640" t="n">
        <v>1</v>
      </c>
      <c r="L596" s="640" t="n">
        <v>0</v>
      </c>
      <c r="M596" s="640" t="inlineStr">
        <is>
          <t>1 октября</t>
        </is>
      </c>
      <c r="N596" s="640" t="n"/>
      <c r="O596" s="640">
        <f>IF(AND(N596=1,L596=1),K596,"")</f>
        <v/>
      </c>
      <c r="P596" s="642" t="inlineStr">
        <is>
          <t xml:space="preserve">Россия, 607650, Нижегородская обл., г. Кстово, ул. Магистральная, 2   </t>
        </is>
      </c>
      <c r="Q596" s="640" t="n">
        <v>56.1439</v>
      </c>
      <c r="R596" s="422" t="n">
        <v>44.2235</v>
      </c>
      <c r="S596" s="436" t="n"/>
      <c r="T596" s="436" t="n"/>
      <c r="U596" s="325" t="n"/>
      <c r="V596" s="438">
        <f>IF(AND(N596=1,U596=1),C596,"")</f>
        <v/>
      </c>
      <c r="W596" s="387" t="n"/>
      <c r="X596" s="1" t="n"/>
      <c r="Y596" s="1" t="n"/>
    </row>
    <row r="597" hidden="1" ht="16.05" customFormat="1" customHeight="1" s="126">
      <c r="A597" s="125" t="n">
        <v>829</v>
      </c>
      <c r="B597" s="125" t="inlineStr">
        <is>
          <t>WF</t>
        </is>
      </c>
      <c r="C597" s="130" t="inlineStr">
        <is>
          <t>Нижний Новгород</t>
        </is>
      </c>
      <c r="D597" s="130" t="inlineStr">
        <is>
          <t>Кстово</t>
        </is>
      </c>
      <c r="E597" s="130" t="n"/>
      <c r="F597" s="130" t="inlineStr">
        <is>
          <t>АЗС</t>
        </is>
      </c>
      <c r="G597" s="130" t="inlineStr">
        <is>
          <t>Лукойл</t>
        </is>
      </c>
      <c r="H597" s="131" t="n">
        <v>50</v>
      </c>
      <c r="I597" s="637" t="n">
        <v>52050</v>
      </c>
      <c r="J597" s="402" t="inlineStr">
        <is>
          <t>NN_LUK_52050</t>
        </is>
      </c>
      <c r="K597" s="640" t="n">
        <v>1</v>
      </c>
      <c r="L597" s="640" t="n">
        <v>0</v>
      </c>
      <c r="M597" s="640" t="inlineStr">
        <is>
          <t>1 октября</t>
        </is>
      </c>
      <c r="N597" s="640" t="n"/>
      <c r="O597" s="640">
        <f>IF(AND(N597=1,L597=1),K597,"")</f>
        <v/>
      </c>
      <c r="P597" s="642" t="inlineStr">
        <is>
          <t xml:space="preserve">Россия, 607684, Нижегородская обл., п. Ждановский, ул. Магистральная   </t>
        </is>
      </c>
      <c r="Q597" s="640" t="n">
        <v>56.21343</v>
      </c>
      <c r="R597" s="422" t="n">
        <v>44.10555</v>
      </c>
      <c r="S597" s="436" t="n"/>
      <c r="T597" s="436" t="n"/>
      <c r="U597" s="325" t="n"/>
      <c r="V597" s="438">
        <f>IF(AND(N597=1,U597=1),C597,"")</f>
        <v/>
      </c>
      <c r="W597" s="387" t="n"/>
      <c r="X597" s="1" t="n"/>
      <c r="Y597" s="1" t="n"/>
    </row>
    <row r="598" hidden="1" ht="16.05" customFormat="1" customHeight="1" s="126">
      <c r="A598" s="125" t="n">
        <v>830</v>
      </c>
      <c r="B598" s="125" t="inlineStr">
        <is>
          <t>WF</t>
        </is>
      </c>
      <c r="C598" s="130" t="inlineStr">
        <is>
          <t>Владимир</t>
        </is>
      </c>
      <c r="D598" s="130" t="inlineStr">
        <is>
          <t>Петушинский район</t>
        </is>
      </c>
      <c r="E598" s="130" t="n"/>
      <c r="F598" s="130" t="inlineStr">
        <is>
          <t>АЗС</t>
        </is>
      </c>
      <c r="G598" s="130" t="inlineStr">
        <is>
          <t>Лукойл</t>
        </is>
      </c>
      <c r="H598" s="131" t="n">
        <v>50</v>
      </c>
      <c r="I598" s="637" t="n">
        <v>33050</v>
      </c>
      <c r="J598" s="402" t="inlineStr">
        <is>
          <t>VLA_LUK_33050</t>
        </is>
      </c>
      <c r="K598" s="640" t="n">
        <v>2</v>
      </c>
      <c r="L598" s="640" t="n">
        <v>0</v>
      </c>
      <c r="M598" s="640" t="inlineStr">
        <is>
          <t>1 октября</t>
        </is>
      </c>
      <c r="N598" s="640" t="n"/>
      <c r="O598" s="640">
        <f>IF(AND(N598=1,L598=1),K598,"")</f>
        <v/>
      </c>
      <c r="P598" s="642" t="inlineStr">
        <is>
          <t xml:space="preserve">Россия, 601144, Владимирская обл., д. Старые Петушки, 124 км ф/д М-7 "Волга"   </t>
        </is>
      </c>
      <c r="Q598" s="640" t="n">
        <v>55.94443</v>
      </c>
      <c r="R598" s="422" t="n">
        <v>39.50057</v>
      </c>
      <c r="S598" s="436" t="n"/>
      <c r="T598" s="436" t="n"/>
      <c r="U598" s="652" t="n"/>
      <c r="V598" s="438">
        <f>IF(AND(N598=1,U598=1),C598,"")</f>
        <v/>
      </c>
      <c r="W598" s="387" t="n"/>
      <c r="X598" s="1" t="n"/>
      <c r="Y598" s="1" t="n"/>
    </row>
    <row r="599" hidden="1" ht="16.05" customFormat="1" customHeight="1" s="126">
      <c r="A599" s="125" t="n">
        <v>831</v>
      </c>
      <c r="B599" s="125" t="inlineStr">
        <is>
          <t>WF</t>
        </is>
      </c>
      <c r="C599" s="130" t="inlineStr">
        <is>
          <t>Нижний Новгород</t>
        </is>
      </c>
      <c r="D599" s="130" t="inlineStr">
        <is>
          <t>Кстово</t>
        </is>
      </c>
      <c r="E599" s="130" t="n"/>
      <c r="F599" s="130" t="inlineStr">
        <is>
          <t>АЗС</t>
        </is>
      </c>
      <c r="G599" s="130" t="inlineStr">
        <is>
          <t>Лукойл</t>
        </is>
      </c>
      <c r="H599" s="131" t="n">
        <v>51</v>
      </c>
      <c r="I599" s="637" t="n">
        <v>52051</v>
      </c>
      <c r="J599" s="402" t="inlineStr">
        <is>
          <t>NN_LUK_52051</t>
        </is>
      </c>
      <c r="K599" s="640" t="n">
        <v>1</v>
      </c>
      <c r="L599" s="640" t="n">
        <v>0</v>
      </c>
      <c r="M599" s="640" t="inlineStr">
        <is>
          <t>1 октября</t>
        </is>
      </c>
      <c r="N599" s="640" t="n"/>
      <c r="O599" s="640">
        <f>IF(AND(N599=1,L599=1),K599,"")</f>
        <v/>
      </c>
      <c r="P599" s="642" t="inlineStr">
        <is>
          <t xml:space="preserve">Россия, 607650, Нижегородская обл., 472 км +100 км автомагистрали Н.Новгород - Уфа, в 0,6 км д. малиновка   </t>
        </is>
      </c>
      <c r="Q599" s="640" t="n">
        <v>56.02912</v>
      </c>
      <c r="R599" s="422" t="n">
        <v>44.60663</v>
      </c>
      <c r="S599" s="436" t="n"/>
      <c r="T599" s="436" t="n"/>
      <c r="U599" s="652" t="n"/>
      <c r="V599" s="438">
        <f>IF(AND(N599=1,U599=1),C599,"")</f>
        <v/>
      </c>
      <c r="W599" s="387" t="n"/>
      <c r="X599" s="1" t="n"/>
      <c r="Y599" s="1" t="n"/>
    </row>
    <row r="600" hidden="1" ht="16.05" customFormat="1" customHeight="1" s="126">
      <c r="A600" s="125" t="n">
        <v>832</v>
      </c>
      <c r="B600" s="125" t="inlineStr">
        <is>
          <t>WF</t>
        </is>
      </c>
      <c r="C600" s="130" t="inlineStr">
        <is>
          <t>Нижний Новгород</t>
        </is>
      </c>
      <c r="D600" s="130" t="inlineStr">
        <is>
          <t>Лысково</t>
        </is>
      </c>
      <c r="E600" s="130" t="n"/>
      <c r="F600" s="130" t="inlineStr">
        <is>
          <t>АЗС</t>
        </is>
      </c>
      <c r="G600" s="130" t="inlineStr">
        <is>
          <t>Лукойл</t>
        </is>
      </c>
      <c r="H600" s="131" t="n">
        <v>52</v>
      </c>
      <c r="I600" s="637" t="n">
        <v>52052</v>
      </c>
      <c r="J600" s="402" t="inlineStr">
        <is>
          <t>NN_LUK_52052</t>
        </is>
      </c>
      <c r="K600" s="640" t="n">
        <v>1</v>
      </c>
      <c r="L600" s="640" t="n">
        <v>0</v>
      </c>
      <c r="M600" s="640" t="inlineStr">
        <is>
          <t>1 октября</t>
        </is>
      </c>
      <c r="N600" s="640" t="n"/>
      <c r="O600" s="640">
        <f>IF(AND(N600=1,L600=1),K600,"")</f>
        <v/>
      </c>
      <c r="P600" s="642" t="inlineStr">
        <is>
          <t xml:space="preserve">Россия, 606210, Нижегородская обл., г. Лысково, ул. Казанская, д. 32   </t>
        </is>
      </c>
      <c r="Q600" s="640" t="n">
        <v>56.01394</v>
      </c>
      <c r="R600" s="422" t="n">
        <v>45.01666</v>
      </c>
      <c r="S600" s="436" t="n"/>
      <c r="T600" s="436" t="n"/>
      <c r="U600" s="652" t="n"/>
      <c r="V600" s="438">
        <f>IF(AND(N600=1,U600=1),C600,"")</f>
        <v/>
      </c>
      <c r="W600" s="387" t="n"/>
      <c r="X600" s="1" t="n"/>
      <c r="Y600" s="1" t="n"/>
    </row>
    <row r="601" hidden="1" ht="16.05" customHeight="1">
      <c r="A601" s="13" t="n">
        <v>833</v>
      </c>
      <c r="B601" s="125" t="inlineStr">
        <is>
          <t>WF</t>
        </is>
      </c>
      <c r="C601" s="130" t="inlineStr">
        <is>
          <t>Владимир</t>
        </is>
      </c>
      <c r="D601" s="130" t="inlineStr">
        <is>
          <t>Петушинский р-он</t>
        </is>
      </c>
      <c r="E601" s="130" t="n"/>
      <c r="F601" s="130" t="inlineStr">
        <is>
          <t>АЗС</t>
        </is>
      </c>
      <c r="G601" s="130" t="inlineStr">
        <is>
          <t>Лукойл</t>
        </is>
      </c>
      <c r="H601" s="131" t="n">
        <v>52</v>
      </c>
      <c r="I601" s="637" t="n">
        <v>33052</v>
      </c>
      <c r="J601" s="402" t="inlineStr">
        <is>
          <t>VLA_LUK_33052</t>
        </is>
      </c>
      <c r="K601" s="640" t="n">
        <v>1</v>
      </c>
      <c r="L601" s="640" t="n">
        <v>0</v>
      </c>
      <c r="M601" s="640" t="inlineStr">
        <is>
          <t>1 октября</t>
        </is>
      </c>
      <c r="N601" s="640" t="n"/>
      <c r="O601" s="640">
        <f>IF(AND(N601=1,L601=1),K601,"")</f>
        <v/>
      </c>
      <c r="P601" s="642" t="inlineStr">
        <is>
          <t xml:space="preserve">Россия, 601120, Владимирская обл., г. Покров, ул. Ленина, д. 187   </t>
        </is>
      </c>
      <c r="Q601" s="640" t="n">
        <v>55.913163</v>
      </c>
      <c r="R601" s="422" t="n">
        <v>39.149681</v>
      </c>
      <c r="S601" s="436" t="n"/>
      <c r="T601" s="436" t="n"/>
      <c r="U601" s="652" t="n"/>
      <c r="V601" s="438">
        <f>IF(AND(N601=1,U601=1),C601,"")</f>
        <v/>
      </c>
      <c r="X601" s="1" t="n"/>
      <c r="Y601" s="1" t="n"/>
      <c r="Z601" s="1" t="n"/>
    </row>
    <row r="602" hidden="1" ht="16.05" customFormat="1" customHeight="1" s="126">
      <c r="A602" s="125" t="n">
        <v>834</v>
      </c>
      <c r="B602" s="125" t="inlineStr">
        <is>
          <t>WF</t>
        </is>
      </c>
      <c r="C602" s="130" t="inlineStr">
        <is>
          <t>Нижний Новгород</t>
        </is>
      </c>
      <c r="D602" s="130" t="inlineStr">
        <is>
          <t>Лысковский район</t>
        </is>
      </c>
      <c r="E602" s="130" t="n"/>
      <c r="F602" s="130" t="inlineStr">
        <is>
          <t>АЗС</t>
        </is>
      </c>
      <c r="G602" s="130" t="inlineStr">
        <is>
          <t>Лукойл</t>
        </is>
      </c>
      <c r="H602" s="131" t="n">
        <v>54</v>
      </c>
      <c r="I602" s="637" t="n">
        <v>52054</v>
      </c>
      <c r="J602" s="402" t="inlineStr">
        <is>
          <t>NN_LUK_52054</t>
        </is>
      </c>
      <c r="K602" s="640" t="n">
        <v>2</v>
      </c>
      <c r="L602" s="640" t="n">
        <v>0</v>
      </c>
      <c r="M602" s="640" t="inlineStr">
        <is>
          <t>1 октября</t>
        </is>
      </c>
      <c r="N602" s="640" t="n"/>
      <c r="O602" s="640">
        <f>IF(AND(N602=1,L602=1),K602,"")</f>
        <v/>
      </c>
      <c r="P602" s="642" t="inlineStr">
        <is>
          <t xml:space="preserve">Россия, 606210, Нижегородская обл., д. Неверово, ул. Казанская, д. 2а   </t>
        </is>
      </c>
      <c r="Q602" s="640" t="n">
        <v>56.0219751</v>
      </c>
      <c r="R602" s="422" t="n">
        <v>45.0833679</v>
      </c>
      <c r="S602" s="436" t="n"/>
      <c r="T602" s="436" t="n"/>
      <c r="U602" s="652" t="n"/>
      <c r="V602" s="438">
        <f>IF(AND(N602=1,U602=1),C602,"")</f>
        <v/>
      </c>
      <c r="W602" s="387" t="n"/>
      <c r="X602" s="1" t="n"/>
      <c r="Y602" s="1" t="n"/>
    </row>
    <row r="603" hidden="1" ht="16.05" customFormat="1" customHeight="1" s="126">
      <c r="A603" s="125" t="n">
        <v>835</v>
      </c>
      <c r="B603" s="125" t="inlineStr">
        <is>
          <t>WF</t>
        </is>
      </c>
      <c r="C603" s="130" t="inlineStr">
        <is>
          <t>Нижний Новгород</t>
        </is>
      </c>
      <c r="D603" s="130" t="inlineStr">
        <is>
          <t>Воротынский район</t>
        </is>
      </c>
      <c r="E603" s="130" t="n"/>
      <c r="F603" s="130" t="inlineStr">
        <is>
          <t>АЗС</t>
        </is>
      </c>
      <c r="G603" s="130" t="inlineStr">
        <is>
          <t>Лукойл</t>
        </is>
      </c>
      <c r="H603" s="131" t="n">
        <v>62</v>
      </c>
      <c r="I603" s="637" t="n">
        <v>52062</v>
      </c>
      <c r="J603" s="402" t="inlineStr">
        <is>
          <t>NN_LUK_52062</t>
        </is>
      </c>
      <c r="K603" s="640" t="n">
        <v>1</v>
      </c>
      <c r="L603" s="640" t="n">
        <v>0</v>
      </c>
      <c r="M603" s="640" t="inlineStr">
        <is>
          <t>1 октября</t>
        </is>
      </c>
      <c r="N603" s="640" t="n"/>
      <c r="O603" s="640">
        <f>IF(AND(N603=1,L603=1),K603,"")</f>
        <v/>
      </c>
      <c r="P603" s="642" t="inlineStr">
        <is>
          <t xml:space="preserve">Россия, 606268, Нижегородская обл., с. Белавка, ул. Чкалова, 5   </t>
        </is>
      </c>
      <c r="Q603" s="640" t="n">
        <v>55.998383</v>
      </c>
      <c r="R603" s="422" t="n">
        <v>46.091299</v>
      </c>
      <c r="S603" s="436" t="n"/>
      <c r="T603" s="436" t="n"/>
      <c r="U603" s="652" t="n"/>
      <c r="V603" s="438">
        <f>IF(AND(N603=1,U603=1),C603,"")</f>
        <v/>
      </c>
      <c r="W603" s="387" t="n"/>
      <c r="X603" s="1" t="n"/>
      <c r="Y603" s="1" t="n"/>
    </row>
    <row r="604" hidden="1" ht="16.05" customFormat="1" customHeight="1" s="126">
      <c r="A604" s="125" t="n">
        <v>836</v>
      </c>
      <c r="B604" s="125" t="inlineStr">
        <is>
          <t>WF</t>
        </is>
      </c>
      <c r="C604" s="130" t="inlineStr">
        <is>
          <t>Нижний Новгород</t>
        </is>
      </c>
      <c r="D604" s="130" t="inlineStr">
        <is>
          <t>Бор</t>
        </is>
      </c>
      <c r="E604" s="130" t="n"/>
      <c r="F604" s="130" t="inlineStr">
        <is>
          <t>АЗС</t>
        </is>
      </c>
      <c r="G604" s="130" t="inlineStr">
        <is>
          <t>Лукойл</t>
        </is>
      </c>
      <c r="H604" s="131" t="n">
        <v>71</v>
      </c>
      <c r="I604" s="637" t="n">
        <v>52071</v>
      </c>
      <c r="J604" s="402" t="inlineStr">
        <is>
          <t>NN_LUK_52071</t>
        </is>
      </c>
      <c r="K604" s="640" t="n">
        <v>1</v>
      </c>
      <c r="L604" s="640" t="n">
        <v>0</v>
      </c>
      <c r="M604" s="640" t="inlineStr">
        <is>
          <t>1 октября</t>
        </is>
      </c>
      <c r="N604" s="640" t="n"/>
      <c r="O604" s="640">
        <f>IF(AND(N604=1,L604=1),K604,"")</f>
        <v/>
      </c>
      <c r="P604" s="642" t="inlineStr">
        <is>
          <t xml:space="preserve">Россия, 606440, Нижегородская обл., г. Бор, ш. Стеклозаводское, 4 к1   </t>
        </is>
      </c>
      <c r="Q604" s="640" t="n">
        <v>56.35253</v>
      </c>
      <c r="R604" s="422" t="n">
        <v>44.07725</v>
      </c>
      <c r="S604" s="436" t="n"/>
      <c r="T604" s="436" t="n"/>
      <c r="U604" s="652" t="n"/>
      <c r="V604" s="438">
        <f>IF(AND(N604=1,U604=1),C604,"")</f>
        <v/>
      </c>
      <c r="W604" s="387" t="n"/>
      <c r="X604" s="1" t="n"/>
      <c r="Y604" s="1" t="n"/>
    </row>
    <row r="605" hidden="1" ht="16.05" customFormat="1" customHeight="1" s="126">
      <c r="A605" s="125" t="n">
        <v>838</v>
      </c>
      <c r="B605" s="125" t="inlineStr">
        <is>
          <t>WF</t>
        </is>
      </c>
      <c r="C605" s="130" t="inlineStr">
        <is>
          <t>Нижний Новгород</t>
        </is>
      </c>
      <c r="D605" s="130" t="inlineStr">
        <is>
          <t>Борский район</t>
        </is>
      </c>
      <c r="E605" s="130" t="n"/>
      <c r="F605" s="130" t="inlineStr">
        <is>
          <t>АЗС</t>
        </is>
      </c>
      <c r="G605" s="130" t="inlineStr">
        <is>
          <t>Лукойл</t>
        </is>
      </c>
      <c r="H605" s="131" t="n">
        <v>73</v>
      </c>
      <c r="I605" s="637" t="n">
        <v>52073</v>
      </c>
      <c r="J605" s="402" t="inlineStr">
        <is>
          <t>NN_LUK_52073</t>
        </is>
      </c>
      <c r="K605" s="640" t="n">
        <v>1</v>
      </c>
      <c r="L605" s="640" t="n">
        <v>0</v>
      </c>
      <c r="M605" s="640" t="inlineStr">
        <is>
          <t>1 октября</t>
        </is>
      </c>
      <c r="N605" s="640" t="n"/>
      <c r="O605" s="640">
        <f>IF(AND(N605=1,L605=1),K605,"")</f>
        <v/>
      </c>
      <c r="P605" s="642" t="inlineStr">
        <is>
          <t xml:space="preserve">606461, Россия, Нижегородская обл., г. Бор, рп. Неклюдово, ул. Озерная, 3а   </t>
        </is>
      </c>
      <c r="Q605" s="640" t="n">
        <v>56.39538</v>
      </c>
      <c r="R605" s="422" t="n">
        <v>44.00007</v>
      </c>
      <c r="S605" s="436" t="n"/>
      <c r="T605" s="436" t="n"/>
      <c r="U605" s="652" t="n"/>
      <c r="V605" s="438">
        <f>IF(AND(N605=1,U605=1),C605,"")</f>
        <v/>
      </c>
      <c r="W605" s="387" t="n"/>
      <c r="X605" s="1" t="n"/>
      <c r="Y605" s="1" t="n"/>
    </row>
    <row r="606" hidden="1" ht="16.05" customFormat="1" customHeight="1" s="126">
      <c r="A606" s="125" t="n">
        <v>839</v>
      </c>
      <c r="B606" s="125" t="inlineStr">
        <is>
          <t>WF</t>
        </is>
      </c>
      <c r="C606" s="130" t="inlineStr">
        <is>
          <t>Нижний Новгород</t>
        </is>
      </c>
      <c r="D606" s="130" t="inlineStr">
        <is>
          <t>Богородск</t>
        </is>
      </c>
      <c r="E606" s="130" t="n"/>
      <c r="F606" s="130" t="inlineStr">
        <is>
          <t>АЗС</t>
        </is>
      </c>
      <c r="G606" s="130" t="inlineStr">
        <is>
          <t>Лукойл</t>
        </is>
      </c>
      <c r="H606" s="131" t="n">
        <v>77</v>
      </c>
      <c r="I606" s="637" t="n">
        <v>52077</v>
      </c>
      <c r="J606" s="402" t="inlineStr">
        <is>
          <t>NN_LUK_52077</t>
        </is>
      </c>
      <c r="K606" s="640" t="n">
        <v>1</v>
      </c>
      <c r="L606" s="640" t="n">
        <v>0</v>
      </c>
      <c r="M606" s="640" t="inlineStr">
        <is>
          <t>1 октября</t>
        </is>
      </c>
      <c r="N606" s="640" t="n"/>
      <c r="O606" s="640">
        <f>IF(AND(N606=1,L606=1),K606,"")</f>
        <v/>
      </c>
      <c r="P606" s="642" t="inlineStr">
        <is>
          <t xml:space="preserve">Россия, 607600, Нижегородская обл., д. Березовка    </t>
        </is>
      </c>
      <c r="Q606" s="640" t="n">
        <v>56.13124</v>
      </c>
      <c r="R606" s="422" t="n">
        <v>43.60681</v>
      </c>
      <c r="S606" s="436" t="n"/>
      <c r="T606" s="436" t="n"/>
      <c r="U606" s="652" t="n"/>
      <c r="V606" s="438">
        <f>IF(AND(N606=1,U606=1),C606,"")</f>
        <v/>
      </c>
      <c r="W606" s="387" t="n"/>
      <c r="X606" s="1" t="n"/>
      <c r="Y606" s="1" t="n"/>
    </row>
    <row r="607" hidden="1" ht="16.05" customFormat="1" customHeight="1" s="126">
      <c r="A607" s="125" t="n">
        <v>841</v>
      </c>
      <c r="B607" s="125" t="inlineStr">
        <is>
          <t>WF</t>
        </is>
      </c>
      <c r="C607" s="130" t="inlineStr">
        <is>
          <t>Нижний Новгород</t>
        </is>
      </c>
      <c r="D607" s="130" t="inlineStr">
        <is>
          <t>Заволжье</t>
        </is>
      </c>
      <c r="E607" s="130" t="n"/>
      <c r="F607" s="130" t="inlineStr">
        <is>
          <t>АЗС</t>
        </is>
      </c>
      <c r="G607" s="130" t="inlineStr">
        <is>
          <t>Лукойл</t>
        </is>
      </c>
      <c r="H607" s="131" t="n">
        <v>83</v>
      </c>
      <c r="I607" s="637" t="n">
        <v>52083</v>
      </c>
      <c r="J607" s="402" t="inlineStr">
        <is>
          <t>NN_LUK_52083</t>
        </is>
      </c>
      <c r="K607" s="640" t="n">
        <v>1</v>
      </c>
      <c r="L607" s="640" t="n">
        <v>0</v>
      </c>
      <c r="M607" s="640" t="inlineStr">
        <is>
          <t>1 октября</t>
        </is>
      </c>
      <c r="N607" s="640" t="n"/>
      <c r="O607" s="640">
        <f>IF(AND(N607=1,L607=1),K607,"")</f>
        <v/>
      </c>
      <c r="P607" s="642" t="inlineStr">
        <is>
          <t xml:space="preserve">Россия, 606524, Нижегородская обл., г. Заволжье, ул. Баумана, 2а   </t>
        </is>
      </c>
      <c r="Q607" s="640" t="n">
        <v>56.6408</v>
      </c>
      <c r="R607" s="422" t="n">
        <v>43.401357</v>
      </c>
      <c r="S607" s="436" t="n"/>
      <c r="T607" s="436" t="n"/>
      <c r="U607" s="652" t="n"/>
      <c r="V607" s="438">
        <f>IF(AND(N607=1,U607=1),C607,"")</f>
        <v/>
      </c>
      <c r="W607" s="387" t="n"/>
      <c r="X607" s="1" t="n"/>
      <c r="Y607" s="1" t="n"/>
    </row>
    <row r="608" hidden="1" ht="16.05" customFormat="1" customHeight="1" s="126">
      <c r="A608" s="125" t="n">
        <v>842</v>
      </c>
      <c r="B608" s="125" t="inlineStr">
        <is>
          <t>WF</t>
        </is>
      </c>
      <c r="C608" s="130" t="inlineStr">
        <is>
          <t>Нижний Новгород</t>
        </is>
      </c>
      <c r="D608" s="130" t="inlineStr">
        <is>
          <t>Нижний Новгород</t>
        </is>
      </c>
      <c r="E608" s="130" t="n"/>
      <c r="F608" s="130" t="inlineStr">
        <is>
          <t>АЗС</t>
        </is>
      </c>
      <c r="G608" s="130" t="inlineStr">
        <is>
          <t>Лукойл</t>
        </is>
      </c>
      <c r="H608" s="131" t="n">
        <v>186</v>
      </c>
      <c r="I608" s="637" t="n">
        <v>52186</v>
      </c>
      <c r="J608" s="402" t="inlineStr">
        <is>
          <t>NN_LUK_52186</t>
        </is>
      </c>
      <c r="K608" s="640" t="n">
        <v>2</v>
      </c>
      <c r="L608" s="640" t="n">
        <v>0</v>
      </c>
      <c r="M608" s="640" t="inlineStr">
        <is>
          <t>1 октября</t>
        </is>
      </c>
      <c r="N608" s="640" t="n"/>
      <c r="O608" s="640">
        <f>IF(AND(N608=1,L608=1),K608,"")</f>
        <v/>
      </c>
      <c r="P608" s="642" t="inlineStr">
        <is>
          <t xml:space="preserve">Россия, 603137, Нижегородская обл., г. Нижний Новгород, пр-кт Гагарина, 232 А   </t>
        </is>
      </c>
      <c r="Q608" s="640" t="n">
        <v>56.223952</v>
      </c>
      <c r="R608" s="422" t="n">
        <v>43.941182</v>
      </c>
      <c r="S608" s="436" t="n"/>
      <c r="T608" s="436" t="n"/>
      <c r="U608" s="652" t="n"/>
      <c r="V608" s="438">
        <f>IF(AND(N608=1,U608=1),C608,"")</f>
        <v/>
      </c>
      <c r="W608" s="387" t="n"/>
      <c r="X608" s="1" t="n"/>
      <c r="Y608" s="1" t="n"/>
    </row>
    <row r="609" hidden="1" ht="16.05" customFormat="1" customHeight="1" s="126">
      <c r="A609" s="125" t="n">
        <v>845</v>
      </c>
      <c r="B609" s="125" t="inlineStr">
        <is>
          <t>WF</t>
        </is>
      </c>
      <c r="C609" s="130" t="inlineStr">
        <is>
          <t>Нижний Новгород</t>
        </is>
      </c>
      <c r="D609" s="130" t="inlineStr">
        <is>
          <t>Нижний Новгород</t>
        </is>
      </c>
      <c r="E609" s="130" t="n"/>
      <c r="F609" s="130" t="inlineStr">
        <is>
          <t>АЗС</t>
        </is>
      </c>
      <c r="G609" s="130" t="inlineStr">
        <is>
          <t>Лукойл</t>
        </is>
      </c>
      <c r="H609" s="131" t="inlineStr">
        <is>
          <t>019</t>
        </is>
      </c>
      <c r="I609" s="637" t="n">
        <v>52219</v>
      </c>
      <c r="J609" s="402" t="inlineStr">
        <is>
          <t>NN_LUK_52219</t>
        </is>
      </c>
      <c r="K609" s="640" t="n">
        <v>1</v>
      </c>
      <c r="L609" s="640" t="n">
        <v>0</v>
      </c>
      <c r="M609" s="640" t="inlineStr">
        <is>
          <t>1 октября</t>
        </is>
      </c>
      <c r="N609" s="640" t="n"/>
      <c r="O609" s="640">
        <f>IF(AND(N609=1,L609=1),K609,"")</f>
        <v/>
      </c>
      <c r="P609" s="642" t="inlineStr">
        <is>
          <t xml:space="preserve">Россия, 603092, Нижегородская обл., г. Нижний Новгород, ш. Московское, 237а   </t>
        </is>
      </c>
      <c r="Q609" s="640" t="n">
        <v>56.3129727</v>
      </c>
      <c r="R609" s="422" t="n">
        <v>43.8415868</v>
      </c>
      <c r="S609" s="436" t="n"/>
      <c r="T609" s="436" t="n"/>
      <c r="U609" s="652" t="n"/>
      <c r="V609" s="438">
        <f>IF(AND(N609=1,U609=1),C609,"")</f>
        <v/>
      </c>
      <c r="W609" s="387" t="n"/>
      <c r="X609" s="1" t="n"/>
      <c r="Y609" s="1" t="n"/>
    </row>
    <row r="610" hidden="1" ht="16.05" customFormat="1" customHeight="1" s="126">
      <c r="A610" s="125" t="n">
        <v>846</v>
      </c>
      <c r="B610" s="125" t="inlineStr">
        <is>
          <t>WF</t>
        </is>
      </c>
      <c r="C610" s="130" t="inlineStr">
        <is>
          <t>Нижний Новгород</t>
        </is>
      </c>
      <c r="D610" s="130" t="inlineStr">
        <is>
          <t>Нижний Новгород</t>
        </is>
      </c>
      <c r="E610" s="130" t="n"/>
      <c r="F610" s="130" t="inlineStr">
        <is>
          <t>АЗС</t>
        </is>
      </c>
      <c r="G610" s="130" t="inlineStr">
        <is>
          <t>Лукойл</t>
        </is>
      </c>
      <c r="H610" s="131" t="inlineStr">
        <is>
          <t>021</t>
        </is>
      </c>
      <c r="I610" s="637" t="n">
        <v>52221</v>
      </c>
      <c r="J610" s="402" t="inlineStr">
        <is>
          <t>NN_LUK_52221</t>
        </is>
      </c>
      <c r="K610" s="640" t="n">
        <v>1</v>
      </c>
      <c r="L610" s="640" t="n">
        <v>0</v>
      </c>
      <c r="M610" s="640" t="inlineStr">
        <is>
          <t>1 октября</t>
        </is>
      </c>
      <c r="N610" s="640" t="n"/>
      <c r="O610" s="640">
        <f>IF(AND(N610=1,L610=1),K610,"")</f>
        <v/>
      </c>
      <c r="P610" s="642" t="inlineStr">
        <is>
          <t xml:space="preserve">Россия, 603092, Нижегородская обл., г. Нижний Новгород, ш. Московское, 352 Б   </t>
        </is>
      </c>
      <c r="Q610" s="640" t="n">
        <v>56.310066</v>
      </c>
      <c r="R610" s="422" t="n">
        <v>43.788465</v>
      </c>
      <c r="S610" s="436" t="n"/>
      <c r="T610" s="436" t="n"/>
      <c r="U610" s="652" t="n"/>
      <c r="V610" s="438">
        <f>IF(AND(N610=1,U610=1),C610,"")</f>
        <v/>
      </c>
      <c r="W610" s="387" t="n"/>
      <c r="X610" s="1" t="n"/>
      <c r="Y610" s="1" t="n"/>
    </row>
    <row r="611" hidden="1" ht="16.05" customFormat="1" customHeight="1" s="126">
      <c r="A611" s="125" t="n">
        <v>847</v>
      </c>
      <c r="B611" s="125" t="inlineStr">
        <is>
          <t>WF</t>
        </is>
      </c>
      <c r="C611" s="130" t="inlineStr">
        <is>
          <t>Нижний Новгород</t>
        </is>
      </c>
      <c r="D611" s="130" t="inlineStr">
        <is>
          <t>Нижний Новгород</t>
        </is>
      </c>
      <c r="E611" s="130" t="n"/>
      <c r="F611" s="130" t="inlineStr">
        <is>
          <t>АЗС</t>
        </is>
      </c>
      <c r="G611" s="130" t="inlineStr">
        <is>
          <t>Лукойл</t>
        </is>
      </c>
      <c r="H611" s="131" t="inlineStr">
        <is>
          <t>024</t>
        </is>
      </c>
      <c r="I611" s="637" t="n">
        <v>52024</v>
      </c>
      <c r="J611" s="402" t="inlineStr">
        <is>
          <t>NN_LUK_52024</t>
        </is>
      </c>
      <c r="K611" s="640" t="n">
        <v>1</v>
      </c>
      <c r="L611" s="640" t="n">
        <v>0</v>
      </c>
      <c r="M611" s="640" t="inlineStr">
        <is>
          <t>1 октября</t>
        </is>
      </c>
      <c r="N611" s="640" t="n"/>
      <c r="O611" s="640">
        <f>IF(AND(N611=1,L611=1),K611,"")</f>
        <v/>
      </c>
      <c r="P611" s="642" t="inlineStr">
        <is>
          <t xml:space="preserve">Россия, 603064, Нижегородская обл., г. Нижний Новгород, пр-кт Ленина, 82 б   </t>
        </is>
      </c>
      <c r="Q611" s="640" t="n">
        <v>56.261503</v>
      </c>
      <c r="R611" s="422" t="n">
        <v>43.90878</v>
      </c>
      <c r="S611" s="436" t="n"/>
      <c r="T611" s="436" t="n"/>
      <c r="U611" s="652" t="n"/>
      <c r="V611" s="438">
        <f>IF(AND(N611=1,U611=1),C611,"")</f>
        <v/>
      </c>
      <c r="W611" s="387" t="n"/>
      <c r="X611" s="1" t="n"/>
      <c r="Y611" s="1" t="n"/>
    </row>
    <row r="612" hidden="1" ht="16.05" customHeight="1">
      <c r="A612" s="13" t="n">
        <v>848</v>
      </c>
      <c r="B612" s="125" t="inlineStr">
        <is>
          <t>WF</t>
        </is>
      </c>
      <c r="C612" s="130" t="inlineStr">
        <is>
          <t>Нижний Новгород</t>
        </is>
      </c>
      <c r="D612" s="130" t="inlineStr">
        <is>
          <t>Нижний Новгород</t>
        </is>
      </c>
      <c r="E612" s="130" t="n"/>
      <c r="F612" s="130" t="inlineStr">
        <is>
          <t>АЗС</t>
        </is>
      </c>
      <c r="G612" s="130" t="inlineStr">
        <is>
          <t>Лукойл</t>
        </is>
      </c>
      <c r="H612" s="131" t="inlineStr">
        <is>
          <t>О188</t>
        </is>
      </c>
      <c r="I612" s="637" t="n">
        <v>52188</v>
      </c>
      <c r="J612" s="402" t="inlineStr">
        <is>
          <t>NN_LUK_52188</t>
        </is>
      </c>
      <c r="K612" s="640" t="n">
        <v>1</v>
      </c>
      <c r="L612" s="640" t="n">
        <v>0</v>
      </c>
      <c r="M612" s="640" t="inlineStr">
        <is>
          <t>1 октября</t>
        </is>
      </c>
      <c r="N612" s="640" t="n"/>
      <c r="O612" s="640">
        <f>IF(AND(N612=1,L612=1),K612,"")</f>
        <v/>
      </c>
      <c r="P612" s="642" t="inlineStr">
        <is>
          <t xml:space="preserve">Россия, 603058, Нижегородская обл., г. Нижний Новгород, ул.Героя Попова, 35 А   </t>
        </is>
      </c>
      <c r="Q612" s="640" t="n">
        <v>56.258383</v>
      </c>
      <c r="R612" s="422" t="n">
        <v>43.933474</v>
      </c>
      <c r="S612" s="436" t="n"/>
      <c r="T612" s="436" t="n"/>
      <c r="U612" s="652" t="n"/>
      <c r="V612" s="438">
        <f>IF(AND(N612=1,U612=1),C612,"")</f>
        <v/>
      </c>
      <c r="X612" s="1" t="n"/>
      <c r="Y612" s="1" t="n"/>
      <c r="Z612" s="1" t="n"/>
    </row>
    <row r="613" hidden="1" ht="16.05" customFormat="1" customHeight="1" s="126">
      <c r="A613" s="125" t="n">
        <v>849</v>
      </c>
      <c r="B613" s="125" t="inlineStr">
        <is>
          <t>WF</t>
        </is>
      </c>
      <c r="C613" s="130" t="inlineStr">
        <is>
          <t>Нижний Новгород</t>
        </is>
      </c>
      <c r="D613" s="130" t="inlineStr">
        <is>
          <t>Нижний Новгород</t>
        </is>
      </c>
      <c r="E613" s="130" t="n"/>
      <c r="F613" s="130" t="inlineStr">
        <is>
          <t>АЗС</t>
        </is>
      </c>
      <c r="G613" s="130" t="inlineStr">
        <is>
          <t>Лукойл</t>
        </is>
      </c>
      <c r="H613" s="131" t="inlineStr">
        <is>
          <t>О65</t>
        </is>
      </c>
      <c r="I613" s="637" t="n">
        <v>52065</v>
      </c>
      <c r="J613" s="402" t="inlineStr">
        <is>
          <t>NN_LUK_52065</t>
        </is>
      </c>
      <c r="K613" s="640" t="n">
        <v>1</v>
      </c>
      <c r="L613" s="640" t="n">
        <v>0</v>
      </c>
      <c r="M613" s="640" t="inlineStr">
        <is>
          <t>1 октября</t>
        </is>
      </c>
      <c r="N613" s="640" t="n"/>
      <c r="O613" s="640">
        <f>IF(AND(N613=1,L613=1),K613,"")</f>
        <v/>
      </c>
      <c r="P613" s="642" t="inlineStr">
        <is>
          <t xml:space="preserve">Россия, 607650, Нижегородская обл., г. Кстово, 433 км трассы М-7   </t>
        </is>
      </c>
      <c r="Q613" s="640" t="n">
        <v>56.1853305</v>
      </c>
      <c r="R613" s="422" t="n">
        <v>44.1436438</v>
      </c>
      <c r="S613" s="436" t="n"/>
      <c r="T613" s="436" t="n"/>
      <c r="U613" s="652" t="n"/>
      <c r="V613" s="438">
        <f>IF(AND(N613=1,U613=1),C613,"")</f>
        <v/>
      </c>
      <c r="W613" s="387" t="n"/>
      <c r="X613" s="1" t="n"/>
      <c r="Y613" s="1" t="n"/>
    </row>
    <row r="614" hidden="1" ht="16.05" customFormat="1" customHeight="1" s="126">
      <c r="A614" s="125" t="n">
        <v>850</v>
      </c>
      <c r="B614" s="125" t="inlineStr">
        <is>
          <t>WF</t>
        </is>
      </c>
      <c r="C614" s="130" t="inlineStr">
        <is>
          <t>Нижний Новгород</t>
        </is>
      </c>
      <c r="D614" s="130" t="inlineStr">
        <is>
          <t>Нижний Новгород</t>
        </is>
      </c>
      <c r="E614" s="130" t="n"/>
      <c r="F614" s="130" t="inlineStr">
        <is>
          <t>АЗС</t>
        </is>
      </c>
      <c r="G614" s="130" t="inlineStr">
        <is>
          <t>Лукойл</t>
        </is>
      </c>
      <c r="H614" s="131" t="inlineStr">
        <is>
          <t>О66</t>
        </is>
      </c>
      <c r="I614" s="637" t="n">
        <v>52066</v>
      </c>
      <c r="J614" s="402" t="inlineStr">
        <is>
          <t>NN_LUK_52066</t>
        </is>
      </c>
      <c r="K614" s="640" t="n">
        <v>1</v>
      </c>
      <c r="L614" s="640" t="n">
        <v>0</v>
      </c>
      <c r="M614" s="640" t="inlineStr">
        <is>
          <t>1 октября</t>
        </is>
      </c>
      <c r="N614" s="640" t="n"/>
      <c r="O614" s="640">
        <f>IF(AND(N614=1,L614=1),K614,"")</f>
        <v/>
      </c>
      <c r="P614" s="642" t="inlineStr">
        <is>
          <t xml:space="preserve">Россия, 607650, Нижегородская обл., г. Кстово, 433 км трассы М-7   </t>
        </is>
      </c>
      <c r="Q614" s="640" t="n">
        <v>56.184994</v>
      </c>
      <c r="R614" s="422" t="n">
        <v>44.1427107</v>
      </c>
      <c r="S614" s="436" t="n"/>
      <c r="T614" s="436" t="n"/>
      <c r="U614" s="652" t="n"/>
      <c r="V614" s="438">
        <f>IF(AND(N614=1,U614=1),C614,"")</f>
        <v/>
      </c>
      <c r="W614" s="387" t="n"/>
      <c r="X614" s="1" t="n"/>
      <c r="Y614" s="1" t="n"/>
    </row>
    <row r="615" hidden="1" ht="16.05" customFormat="1" customHeight="1" s="126">
      <c r="A615" s="125" t="n">
        <v>851</v>
      </c>
      <c r="B615" s="160" t="inlineStr">
        <is>
          <t>WF</t>
        </is>
      </c>
      <c r="C615" s="130" t="inlineStr">
        <is>
          <t>Чебоксары</t>
        </is>
      </c>
      <c r="D615" s="130" t="inlineStr">
        <is>
          <t>Чебоксары</t>
        </is>
      </c>
      <c r="E615" s="130" t="n"/>
      <c r="F615" s="130" t="n"/>
      <c r="G615" s="130" t="inlineStr">
        <is>
          <t>Лукойл</t>
        </is>
      </c>
      <c r="H615" s="131" t="n">
        <v>119</v>
      </c>
      <c r="I615" s="637" t="n">
        <v>21119</v>
      </c>
      <c r="J615" s="402" t="inlineStr">
        <is>
          <t>CHBS_LUK_21119</t>
        </is>
      </c>
      <c r="K615" s="640" t="n">
        <v>1</v>
      </c>
      <c r="L615" s="640" t="n">
        <v>0</v>
      </c>
      <c r="M615" s="640" t="inlineStr">
        <is>
          <t>Sam 32</t>
        </is>
      </c>
      <c r="N615" s="640" t="n"/>
      <c r="O615" s="640">
        <f>IF(AND(N615=1,L615=1),K615,"")</f>
        <v/>
      </c>
      <c r="P615" s="642" t="inlineStr">
        <is>
          <t>Чебоксары Шевченко, 8а</t>
        </is>
      </c>
      <c r="Q615" s="640" t="n">
        <v>56.130628</v>
      </c>
      <c r="R615" s="422" t="n">
        <v>47.241853</v>
      </c>
      <c r="S615" s="436" t="n"/>
      <c r="T615" s="436" t="n"/>
      <c r="U615" s="652" t="n"/>
      <c r="V615" s="438">
        <f>IF(AND(N615=1,U615=1),C615,"")</f>
        <v/>
      </c>
      <c r="W615" s="387" t="n"/>
      <c r="X615" s="1" t="n"/>
      <c r="Y615" s="1" t="n"/>
    </row>
    <row r="616" hidden="1" ht="16.05" customFormat="1" customHeight="1" s="126">
      <c r="A616" s="125" t="n">
        <v>852</v>
      </c>
      <c r="B616" s="125" t="inlineStr">
        <is>
          <t>WF</t>
        </is>
      </c>
      <c r="C616" s="130" t="inlineStr">
        <is>
          <t>Чебоксары</t>
        </is>
      </c>
      <c r="D616" s="130" t="inlineStr">
        <is>
          <t>Чебоксары</t>
        </is>
      </c>
      <c r="E616" s="130" t="n"/>
      <c r="F616" s="130" t="inlineStr">
        <is>
          <t>АЗС</t>
        </is>
      </c>
      <c r="G616" s="130" t="inlineStr">
        <is>
          <t>Лукойл</t>
        </is>
      </c>
      <c r="H616" s="131" t="n">
        <v>115</v>
      </c>
      <c r="I616" s="637" t="n">
        <v>21115</v>
      </c>
      <c r="J616" s="402" t="inlineStr">
        <is>
          <t>CHBS_LUK_21115</t>
        </is>
      </c>
      <c r="K616" s="640" t="n">
        <v>1</v>
      </c>
      <c r="L616" s="640" t="n">
        <v>0</v>
      </c>
      <c r="M616" s="640" t="inlineStr">
        <is>
          <t>1 октября</t>
        </is>
      </c>
      <c r="N616" s="640" t="n"/>
      <c r="O616" s="640">
        <f>IF(AND(N616=1,L616=1),K616,"")</f>
        <v/>
      </c>
      <c r="P616" s="642" t="inlineStr">
        <is>
          <t xml:space="preserve">Россия, 428022, Чувашская республика, г. Чебоксары, ш. Марпосадское, 2   </t>
        </is>
      </c>
      <c r="Q616" s="640" t="n">
        <v>56.129965</v>
      </c>
      <c r="R616" s="422" t="n">
        <v>47.289884</v>
      </c>
      <c r="S616" s="436" t="n"/>
      <c r="T616" s="436" t="n"/>
      <c r="U616" s="652" t="n"/>
      <c r="V616" s="438">
        <f>IF(AND(N616=1,U616=1),C616,"")</f>
        <v/>
      </c>
      <c r="W616" s="387" t="n"/>
      <c r="X616" s="1" t="n"/>
      <c r="Y616" s="1" t="n"/>
    </row>
    <row r="617" hidden="1" ht="16.05" customFormat="1" customHeight="1" s="126">
      <c r="A617" s="125" t="n">
        <v>853</v>
      </c>
      <c r="B617" s="125" t="inlineStr">
        <is>
          <t>WF</t>
        </is>
      </c>
      <c r="C617" s="130" t="inlineStr">
        <is>
          <t>Чебоксары</t>
        </is>
      </c>
      <c r="D617" s="130" t="inlineStr">
        <is>
          <t>Новочебоксарск</t>
        </is>
      </c>
      <c r="E617" s="130" t="n"/>
      <c r="F617" s="130" t="inlineStr">
        <is>
          <t>АЗС</t>
        </is>
      </c>
      <c r="G617" s="130" t="inlineStr">
        <is>
          <t>Лукойл</t>
        </is>
      </c>
      <c r="H617" s="131" t="n">
        <v>116</v>
      </c>
      <c r="I617" s="637" t="n">
        <v>21116</v>
      </c>
      <c r="J617" s="402" t="inlineStr">
        <is>
          <t>CHBS_LUK_21116</t>
        </is>
      </c>
      <c r="K617" s="640" t="n">
        <v>1</v>
      </c>
      <c r="L617" s="640" t="n">
        <v>0</v>
      </c>
      <c r="M617" s="640" t="inlineStr">
        <is>
          <t>1 октября</t>
        </is>
      </c>
      <c r="N617" s="640" t="n"/>
      <c r="O617" s="640">
        <f>IF(AND(N617=1,L617=1),K617,"")</f>
        <v/>
      </c>
      <c r="P617" s="642" t="inlineStr">
        <is>
          <t xml:space="preserve">Россия, 429950, Чувашская республика, г. Новочебоксарск, ул. Винокурова, д. 44   </t>
        </is>
      </c>
      <c r="Q617" s="640" t="n">
        <v>56.109933</v>
      </c>
      <c r="R617" s="422" t="n">
        <v>47.473618</v>
      </c>
      <c r="S617" s="436" t="n"/>
      <c r="T617" s="436" t="n"/>
      <c r="U617" s="652" t="n"/>
      <c r="V617" s="438">
        <f>IF(AND(N617=1,U617=1),C617,"")</f>
        <v/>
      </c>
      <c r="W617" s="387" t="n"/>
      <c r="X617" s="1" t="n"/>
      <c r="Y617" s="1" t="n"/>
    </row>
    <row r="618" hidden="1" ht="16.05" customFormat="1" customHeight="1" s="126">
      <c r="A618" s="125" t="n">
        <v>854</v>
      </c>
      <c r="B618" s="125" t="inlineStr">
        <is>
          <t>WF</t>
        </is>
      </c>
      <c r="C618" s="130" t="inlineStr">
        <is>
          <t>Чебоксары</t>
        </is>
      </c>
      <c r="D618" s="130" t="inlineStr">
        <is>
          <t>Новочебоксарск</t>
        </is>
      </c>
      <c r="E618" s="130" t="n"/>
      <c r="F618" s="130" t="inlineStr">
        <is>
          <t>АЗС</t>
        </is>
      </c>
      <c r="G618" s="130" t="inlineStr">
        <is>
          <t>Лукойл</t>
        </is>
      </c>
      <c r="H618" s="131" t="n">
        <v>123</v>
      </c>
      <c r="I618" s="637" t="n">
        <v>21123</v>
      </c>
      <c r="J618" s="402" t="inlineStr">
        <is>
          <t>CHBS_LUK_21123</t>
        </is>
      </c>
      <c r="K618" s="640" t="n">
        <v>1</v>
      </c>
      <c r="L618" s="640" t="n">
        <v>0</v>
      </c>
      <c r="M618" s="640" t="inlineStr">
        <is>
          <t>1 октября</t>
        </is>
      </c>
      <c r="N618" s="640" t="n"/>
      <c r="O618" s="640">
        <f>IF(AND(N618=1,L618=1),K618,"")</f>
        <v/>
      </c>
      <c r="P618" s="642" t="inlineStr">
        <is>
          <t xml:space="preserve">Россия, 429950, Чувашская республика, г. Новочебоксарск, ул. 10 Пятилетки, д. 19   </t>
        </is>
      </c>
      <c r="Q618" s="640" t="n">
        <v>56.105711</v>
      </c>
      <c r="R618" s="422" t="n">
        <v>47.465228</v>
      </c>
      <c r="S618" s="436" t="n"/>
      <c r="T618" s="436" t="n"/>
      <c r="U618" s="652" t="n"/>
      <c r="V618" s="438">
        <f>IF(AND(N618=1,U618=1),C618,"")</f>
        <v/>
      </c>
      <c r="W618" s="387" t="n"/>
      <c r="X618" s="1" t="n"/>
      <c r="Y618" s="1" t="n"/>
    </row>
    <row r="619" hidden="1" ht="16.05" customFormat="1" customHeight="1" s="126">
      <c r="A619" s="125" t="n">
        <v>861</v>
      </c>
      <c r="B619" s="125" t="inlineStr">
        <is>
          <t>WF</t>
        </is>
      </c>
      <c r="C619" s="130" t="inlineStr">
        <is>
          <t>Нижний Новгород</t>
        </is>
      </c>
      <c r="D619" s="130" t="inlineStr">
        <is>
          <t>Городец</t>
        </is>
      </c>
      <c r="E619" s="130" t="n"/>
      <c r="F619" s="130" t="inlineStr">
        <is>
          <t>АЗС</t>
        </is>
      </c>
      <c r="G619" s="130" t="inlineStr">
        <is>
          <t>Лукойл</t>
        </is>
      </c>
      <c r="H619" s="131" t="n">
        <v>81</v>
      </c>
      <c r="I619" s="637" t="n">
        <v>52081</v>
      </c>
      <c r="J619" s="402" t="inlineStr">
        <is>
          <t>NN_LUK_52081</t>
        </is>
      </c>
      <c r="K619" s="640" t="n">
        <v>1</v>
      </c>
      <c r="L619" s="640" t="n">
        <v>0</v>
      </c>
      <c r="M619" s="640" t="inlineStr">
        <is>
          <t>1 октября</t>
        </is>
      </c>
      <c r="N619" s="640" t="n"/>
      <c r="O619" s="640">
        <f>IF(AND(N619=1,L619=1),K619,"")</f>
        <v/>
      </c>
      <c r="P619" s="642" t="inlineStr">
        <is>
          <t xml:space="preserve">Россия, 603430, Нижегородская обл., г. Городец, ул. Новая, 125   </t>
        </is>
      </c>
      <c r="Q619" s="640" t="n">
        <v>56.640228</v>
      </c>
      <c r="R619" s="422" t="n">
        <v>43.500576</v>
      </c>
      <c r="S619" s="436" t="n"/>
      <c r="T619" s="436" t="n"/>
      <c r="U619" s="652" t="n"/>
      <c r="V619" s="438">
        <f>IF(AND(N619=1,U619=1),C619,"")</f>
        <v/>
      </c>
      <c r="W619" s="387" t="n"/>
      <c r="X619" s="1" t="n"/>
      <c r="Y619" s="1" t="n"/>
    </row>
    <row r="620" hidden="1" ht="16.05" customFormat="1" customHeight="1" s="126">
      <c r="A620" s="125" t="n">
        <v>863</v>
      </c>
      <c r="B620" s="125" t="inlineStr">
        <is>
          <t>WF</t>
        </is>
      </c>
      <c r="C620" s="130" t="inlineStr">
        <is>
          <t>Саранск</t>
        </is>
      </c>
      <c r="D620" s="130" t="inlineStr">
        <is>
          <t>Саранск</t>
        </is>
      </c>
      <c r="E620" s="130" t="n"/>
      <c r="F620" s="130" t="inlineStr">
        <is>
          <t>АЗС</t>
        </is>
      </c>
      <c r="G620" s="130" t="inlineStr">
        <is>
          <t>Лукойл</t>
        </is>
      </c>
      <c r="H620" s="131" t="n">
        <v>217</v>
      </c>
      <c r="I620" s="637" t="n">
        <v>13217</v>
      </c>
      <c r="J620" s="402" t="inlineStr">
        <is>
          <t>SRN_LUK_13217</t>
        </is>
      </c>
      <c r="K620" s="640" t="n">
        <v>2</v>
      </c>
      <c r="L620" s="640" t="n">
        <v>0</v>
      </c>
      <c r="M620" s="640" t="inlineStr">
        <is>
          <t>1 октября</t>
        </is>
      </c>
      <c r="N620" s="640" t="n"/>
      <c r="O620" s="640">
        <f>IF(AND(N620=1,L620=1),K620,"")</f>
        <v/>
      </c>
      <c r="P620" s="642" t="inlineStr">
        <is>
          <t xml:space="preserve">Россия, 430000, Республика Мордовия, г. Саранск, ул. Косарева, 130А   </t>
        </is>
      </c>
      <c r="Q620" s="640" t="n">
        <v>54.20228</v>
      </c>
      <c r="R620" s="422" t="n">
        <v>45.252927</v>
      </c>
      <c r="S620" s="436" t="n"/>
      <c r="T620" s="436" t="n"/>
      <c r="U620" s="652" t="n"/>
      <c r="V620" s="438">
        <f>IF(AND(N620=1,U620=1),C620,"")</f>
        <v/>
      </c>
      <c r="W620" s="387" t="n"/>
      <c r="X620" s="1" t="n"/>
      <c r="Y620" s="1" t="n"/>
    </row>
    <row r="621" hidden="1" ht="16.05" customFormat="1" customHeight="1" s="126">
      <c r="A621" s="125" t="n">
        <v>864</v>
      </c>
      <c r="B621" s="125" t="inlineStr">
        <is>
          <t>WF</t>
        </is>
      </c>
      <c r="C621" s="130" t="inlineStr">
        <is>
          <t>Саранск</t>
        </is>
      </c>
      <c r="D621" s="130" t="inlineStr">
        <is>
          <t>Саранск</t>
        </is>
      </c>
      <c r="E621" s="130" t="n"/>
      <c r="F621" s="130" t="inlineStr">
        <is>
          <t>АЗС</t>
        </is>
      </c>
      <c r="G621" s="130" t="inlineStr">
        <is>
          <t>Лукойл</t>
        </is>
      </c>
      <c r="H621" s="131" t="n">
        <v>202</v>
      </c>
      <c r="I621" s="637" t="n">
        <v>13202</v>
      </c>
      <c r="J621" s="402" t="inlineStr">
        <is>
          <t>SRN_LUK_13202</t>
        </is>
      </c>
      <c r="K621" s="640" t="n">
        <v>1</v>
      </c>
      <c r="L621" s="640" t="n">
        <v>0</v>
      </c>
      <c r="M621" s="640" t="inlineStr">
        <is>
          <t>1 октября</t>
        </is>
      </c>
      <c r="N621" s="640" t="n"/>
      <c r="O621" s="640">
        <f>IF(AND(N621=1,L621=1),K621,"")</f>
        <v/>
      </c>
      <c r="P621" s="642" t="inlineStr">
        <is>
          <t xml:space="preserve">Россия, 430000, Республика Мордовия, г. Саранск, ул. Волгоградская   </t>
        </is>
      </c>
      <c r="Q621" s="640" t="n">
        <v>54.1845526</v>
      </c>
      <c r="R621" s="422" t="n">
        <v>45.2057154</v>
      </c>
      <c r="S621" s="436" t="n"/>
      <c r="T621" s="436" t="n"/>
      <c r="U621" s="652" t="n"/>
      <c r="V621" s="438">
        <f>IF(AND(N621=1,U621=1),C621,"")</f>
        <v/>
      </c>
      <c r="W621" s="387" t="n"/>
      <c r="X621" s="1" t="n"/>
      <c r="Y621" s="1" t="n"/>
    </row>
    <row r="622" hidden="1" ht="16.05" customFormat="1" customHeight="1" s="126">
      <c r="A622" s="125" t="n">
        <v>865</v>
      </c>
      <c r="B622" s="125" t="inlineStr">
        <is>
          <t>WF</t>
        </is>
      </c>
      <c r="C622" s="130" t="inlineStr">
        <is>
          <t>Саранск</t>
        </is>
      </c>
      <c r="D622" s="130" t="inlineStr">
        <is>
          <t>Саранск</t>
        </is>
      </c>
      <c r="E622" s="130" t="n"/>
      <c r="F622" s="130" t="inlineStr">
        <is>
          <t>АЗС</t>
        </is>
      </c>
      <c r="G622" s="130" t="inlineStr">
        <is>
          <t>Лукойл</t>
        </is>
      </c>
      <c r="H622" s="131" t="n">
        <v>210</v>
      </c>
      <c r="I622" s="637" t="n">
        <v>13210</v>
      </c>
      <c r="J622" s="402" t="inlineStr">
        <is>
          <t>SRN_LUK_13210</t>
        </is>
      </c>
      <c r="K622" s="640" t="n">
        <v>2</v>
      </c>
      <c r="L622" s="640" t="n">
        <v>0</v>
      </c>
      <c r="M622" s="640" t="inlineStr">
        <is>
          <t>1 октября</t>
        </is>
      </c>
      <c r="N622" s="640" t="n"/>
      <c r="O622" s="640">
        <f>IF(AND(N622=1,L622=1),K622,"")</f>
        <v/>
      </c>
      <c r="P622" s="642" t="inlineStr">
        <is>
          <t xml:space="preserve">Россия, 430000, Республика Мордовия, г. Саранск, ул. Осипенко, 8 Б   </t>
        </is>
      </c>
      <c r="Q622" s="640" t="n">
        <v>54.153117</v>
      </c>
      <c r="R622" s="422" t="n">
        <v>45.162219</v>
      </c>
      <c r="S622" s="436" t="n"/>
      <c r="T622" s="436" t="n"/>
      <c r="U622" s="652" t="n"/>
      <c r="V622" s="438">
        <f>IF(AND(N622=1,U622=1),C622,"")</f>
        <v/>
      </c>
      <c r="W622" s="387" t="n"/>
      <c r="X622" s="1" t="n"/>
      <c r="Y622" s="1" t="n"/>
    </row>
    <row r="623" hidden="1" ht="16.05" customFormat="1" customHeight="1" s="126">
      <c r="A623" s="125" t="n">
        <v>882</v>
      </c>
      <c r="B623" s="125" t="n"/>
      <c r="C623" s="130" t="inlineStr">
        <is>
          <t>Тула</t>
        </is>
      </c>
      <c r="D623" s="130" t="inlineStr">
        <is>
          <t>Тула</t>
        </is>
      </c>
      <c r="E623" s="130" t="n"/>
      <c r="F623" s="130" t="inlineStr">
        <is>
          <t>АЗС</t>
        </is>
      </c>
      <c r="G623" s="130" t="inlineStr">
        <is>
          <t>Роснефть</t>
        </is>
      </c>
      <c r="H623" s="131" t="n">
        <v>69</v>
      </c>
      <c r="I623" s="637" t="inlineStr">
        <is>
          <t>RN_69</t>
        </is>
      </c>
      <c r="J623" s="637" t="inlineStr">
        <is>
          <t>TUL_RN_069</t>
        </is>
      </c>
      <c r="K623" s="640" t="n">
        <v>2</v>
      </c>
      <c r="L623" s="640" t="n">
        <v>1</v>
      </c>
      <c r="M623" s="623" t="inlineStr">
        <is>
          <t>Samsung 32" вертикальный</t>
        </is>
      </c>
      <c r="N623" s="640" t="n"/>
      <c r="O623" s="640">
        <f>IF(AND(N623=1,L623=1),K623,"")</f>
        <v/>
      </c>
      <c r="P623" s="642" t="inlineStr">
        <is>
          <t>Тула, Зареченский район,  Октябрьская, 301</t>
        </is>
      </c>
      <c r="Q623" s="640" t="inlineStr">
        <is>
          <t>54.242419</t>
        </is>
      </c>
      <c r="R623" s="494" t="inlineStr">
        <is>
          <t>37.61801</t>
        </is>
      </c>
      <c r="S623" s="436" t="n"/>
      <c r="T623" s="436" t="n"/>
      <c r="U623" s="652" t="n"/>
      <c r="V623" s="438">
        <f>IF(AND(N623=1,U623=1),C623,"")</f>
        <v/>
      </c>
      <c r="W623" s="387" t="n"/>
      <c r="X623" s="387" t="n"/>
      <c r="Y623" s="387" t="n"/>
    </row>
    <row r="624" hidden="1" ht="16.05" customFormat="1" customHeight="1" s="126">
      <c r="A624" s="125" t="n">
        <v>866</v>
      </c>
      <c r="B624" s="125" t="n"/>
      <c r="C624" s="130" t="inlineStr">
        <is>
          <t>Вологда</t>
        </is>
      </c>
      <c r="D624" s="130" t="inlineStr">
        <is>
          <t>Череповец</t>
        </is>
      </c>
      <c r="E624" s="130" t="n"/>
      <c r="F624" s="130" t="inlineStr">
        <is>
          <t>АЗС</t>
        </is>
      </c>
      <c r="G624" s="130" t="inlineStr">
        <is>
          <t>Лукойл</t>
        </is>
      </c>
      <c r="H624" s="637" t="n">
        <v>35009</v>
      </c>
      <c r="I624" s="637" t="n">
        <v>35460</v>
      </c>
      <c r="J624" s="637" t="inlineStr">
        <is>
          <t>CHRV_LUK_35009</t>
        </is>
      </c>
      <c r="K624" s="640" t="n">
        <v>1</v>
      </c>
      <c r="L624" s="640" t="n">
        <v>0</v>
      </c>
      <c r="M624" s="640" t="inlineStr">
        <is>
          <t>Samsung 32" вертикальный</t>
        </is>
      </c>
      <c r="N624" s="640" t="n"/>
      <c r="O624" s="640">
        <f>IF(AND(N624=1,L624=1),K624,"")</f>
        <v/>
      </c>
      <c r="P624" s="642" t="inlineStr">
        <is>
          <t xml:space="preserve">Россия, 162600, Вологодская обл., г. Череповец, ш. Северное, 47   </t>
        </is>
      </c>
      <c r="Q624" s="640" t="inlineStr">
        <is>
          <t>59.15634</t>
        </is>
      </c>
      <c r="R624" s="422" t="inlineStr">
        <is>
          <t>37.80281</t>
        </is>
      </c>
      <c r="S624" s="436" t="n"/>
      <c r="T624" s="436" t="n"/>
      <c r="U624" s="325" t="n"/>
      <c r="V624" s="438">
        <f>IF(AND(N624=1,U624=1),C624,"")</f>
        <v/>
      </c>
      <c r="W624" s="387" t="n"/>
      <c r="X624" s="387" t="n"/>
      <c r="Y624" s="387" t="n"/>
    </row>
    <row r="625" hidden="1" ht="16.05" customFormat="1" customHeight="1" s="126">
      <c r="A625" s="125" t="n">
        <v>867</v>
      </c>
      <c r="B625" s="125" t="n"/>
      <c r="C625" s="130" t="inlineStr">
        <is>
          <t>Вологда</t>
        </is>
      </c>
      <c r="D625" s="130" t="inlineStr">
        <is>
          <t>Череповец</t>
        </is>
      </c>
      <c r="E625" s="130" t="n"/>
      <c r="F625" s="130" t="inlineStr">
        <is>
          <t>АЗС</t>
        </is>
      </c>
      <c r="G625" s="130" t="inlineStr">
        <is>
          <t>Лукойл</t>
        </is>
      </c>
      <c r="H625" s="637" t="n">
        <v>35055</v>
      </c>
      <c r="I625" s="637" t="n">
        <v>35453</v>
      </c>
      <c r="J625" s="637" t="inlineStr">
        <is>
          <t>CHRV_LUK_35055</t>
        </is>
      </c>
      <c r="K625" s="640" t="n">
        <v>2</v>
      </c>
      <c r="L625" s="640" t="n">
        <v>0</v>
      </c>
      <c r="M625" s="640" t="inlineStr">
        <is>
          <t>Samsung 32" вертикальный</t>
        </is>
      </c>
      <c r="N625" s="640" t="n"/>
      <c r="O625" s="640">
        <f>IF(AND(N625=1,L625=1),K625,"")</f>
        <v/>
      </c>
      <c r="P625" s="642" t="inlineStr">
        <is>
          <t>Россия, 162600, Вологодская обл., г. Череповец, ул. Рыбинская (микрорайон 5.5)</t>
        </is>
      </c>
      <c r="Q625" s="640" t="inlineStr">
        <is>
          <t>59.07951</t>
        </is>
      </c>
      <c r="R625" s="422" t="inlineStr">
        <is>
          <t>37.91817</t>
        </is>
      </c>
      <c r="S625" s="436" t="n"/>
      <c r="T625" s="436" t="n"/>
      <c r="U625" s="325" t="n"/>
      <c r="V625" s="438">
        <f>IF(AND(N625=1,U625=1),C625,"")</f>
        <v/>
      </c>
      <c r="W625" s="387" t="n"/>
      <c r="X625" s="387" t="n"/>
      <c r="Y625" s="387" t="n"/>
    </row>
    <row r="626" hidden="1" ht="16.05" customFormat="1" customHeight="1" s="126">
      <c r="A626" s="125" t="n">
        <v>868</v>
      </c>
      <c r="B626" s="125" t="n"/>
      <c r="C626" s="130" t="inlineStr">
        <is>
          <t>Вологда</t>
        </is>
      </c>
      <c r="D626" s="130" t="inlineStr">
        <is>
          <t>Череповец</t>
        </is>
      </c>
      <c r="E626" s="130" t="n"/>
      <c r="F626" s="130" t="inlineStr">
        <is>
          <t>АЗС</t>
        </is>
      </c>
      <c r="G626" s="130" t="inlineStr">
        <is>
          <t>Лукойл</t>
        </is>
      </c>
      <c r="H626" s="637" t="n">
        <v>35050</v>
      </c>
      <c r="I626" s="411" t="n">
        <v>35452</v>
      </c>
      <c r="J626" s="637" t="inlineStr">
        <is>
          <t>CHRV_LUK_35050</t>
        </is>
      </c>
      <c r="K626" s="640" t="n">
        <v>1</v>
      </c>
      <c r="L626" s="640" t="n">
        <v>0</v>
      </c>
      <c r="M626" s="640" t="inlineStr">
        <is>
          <t>Samsung 32" вертикальный</t>
        </is>
      </c>
      <c r="N626" s="640" t="n"/>
      <c r="O626" s="640">
        <f>IF(AND(N626=1,L626=1),K626,"")</f>
        <v/>
      </c>
      <c r="P626" s="642" t="inlineStr">
        <is>
          <t xml:space="preserve">Россия, 162600, Вологодская обл., г. Череповец, ул. Металлургов, д. 71   </t>
        </is>
      </c>
      <c r="Q626" s="640" t="inlineStr">
        <is>
          <t>59.13271</t>
        </is>
      </c>
      <c r="R626" s="422" t="inlineStr">
        <is>
          <t>37.87599</t>
        </is>
      </c>
      <c r="S626" s="436" t="n"/>
      <c r="T626" s="436" t="n"/>
      <c r="U626" s="436" t="n"/>
      <c r="V626" s="438">
        <f>IF(AND(N626=1,U626=1),C626,"")</f>
        <v/>
      </c>
      <c r="W626" s="387" t="n"/>
      <c r="X626" s="387" t="n"/>
      <c r="Y626" s="387" t="n"/>
    </row>
    <row r="627" hidden="1" ht="16.05" customFormat="1" customHeight="1" s="126">
      <c r="A627" s="125" t="n">
        <v>869</v>
      </c>
      <c r="B627" s="125" t="n"/>
      <c r="C627" s="130" t="inlineStr">
        <is>
          <t>Вологда</t>
        </is>
      </c>
      <c r="D627" s="130" t="inlineStr">
        <is>
          <t>Череповец</t>
        </is>
      </c>
      <c r="E627" s="130" t="n"/>
      <c r="F627" s="130" t="inlineStr">
        <is>
          <t>АЗС</t>
        </is>
      </c>
      <c r="G627" s="130" t="inlineStr">
        <is>
          <t>Лукойл</t>
        </is>
      </c>
      <c r="H627" s="637" t="n">
        <v>35025</v>
      </c>
      <c r="I627" s="637" t="n">
        <v>35451</v>
      </c>
      <c r="J627" s="637" t="inlineStr">
        <is>
          <t>CHRV_LUK_35025</t>
        </is>
      </c>
      <c r="K627" s="640" t="n">
        <v>1</v>
      </c>
      <c r="L627" s="640" t="n">
        <v>0</v>
      </c>
      <c r="M627" s="640" t="inlineStr">
        <is>
          <t>Samsung 32" вертикальный</t>
        </is>
      </c>
      <c r="N627" s="640" t="n"/>
      <c r="O627" s="640">
        <f>IF(AND(N627=1,L627=1),K627,"")</f>
        <v/>
      </c>
      <c r="P627" s="642" t="inlineStr">
        <is>
          <t xml:space="preserve">Россия, 162604, Вологодская обл., г. Череповец, ш. Кирилловское   </t>
        </is>
      </c>
      <c r="Q627" s="640" t="inlineStr">
        <is>
          <t>59.16049</t>
        </is>
      </c>
      <c r="R627" s="422" t="inlineStr">
        <is>
          <t>37.93277</t>
        </is>
      </c>
      <c r="S627" s="436" t="n"/>
      <c r="T627" s="436" t="n"/>
      <c r="U627" s="438" t="n"/>
      <c r="V627" s="438">
        <f>IF(AND(N627=1,U627=1),C627,"")</f>
        <v/>
      </c>
      <c r="W627" s="387" t="n"/>
      <c r="X627" s="387" t="n"/>
      <c r="Y627" s="387" t="n"/>
    </row>
    <row r="628" hidden="1" ht="16.05" customFormat="1" customHeight="1" s="126">
      <c r="A628" s="125" t="n">
        <v>870</v>
      </c>
      <c r="B628" s="125" t="n"/>
      <c r="C628" s="130" t="inlineStr">
        <is>
          <t>Вологда</t>
        </is>
      </c>
      <c r="D628" s="130" t="inlineStr">
        <is>
          <t>Череповец</t>
        </is>
      </c>
      <c r="E628" s="130" t="n"/>
      <c r="F628" s="130" t="inlineStr">
        <is>
          <t>АЗС</t>
        </is>
      </c>
      <c r="G628" s="130" t="inlineStr">
        <is>
          <t>Лукойл</t>
        </is>
      </c>
      <c r="H628" s="637" t="n">
        <v>35008</v>
      </c>
      <c r="I628" s="637" t="n">
        <v>35457</v>
      </c>
      <c r="J628" s="637" t="inlineStr">
        <is>
          <t>CHRV_LUK_35008</t>
        </is>
      </c>
      <c r="K628" s="640" t="n">
        <v>1</v>
      </c>
      <c r="L628" s="640" t="n">
        <v>0</v>
      </c>
      <c r="M628" s="640" t="inlineStr">
        <is>
          <t>Samsung 32" вертикальный</t>
        </is>
      </c>
      <c r="N628" s="640" t="n"/>
      <c r="O628" s="640">
        <f>IF(AND(N628=1,L628=1),K628,"")</f>
        <v/>
      </c>
      <c r="P628" s="642" t="inlineStr">
        <is>
          <t xml:space="preserve">Россия, 162600, Вологодская обл., г. Череповец, ул. Краснодонцев, 1А   </t>
        </is>
      </c>
      <c r="Q628" s="640" t="inlineStr">
        <is>
          <t>59.12954</t>
        </is>
      </c>
      <c r="R628" s="422" t="inlineStr">
        <is>
          <t>37.96242</t>
        </is>
      </c>
      <c r="S628" s="436" t="n"/>
      <c r="T628" s="436" t="n"/>
      <c r="U628" s="438" t="n"/>
      <c r="V628" s="438">
        <f>IF(AND(N628=1,U628=1),C628,"")</f>
        <v/>
      </c>
      <c r="W628" s="387" t="n"/>
      <c r="X628" s="387" t="n"/>
      <c r="Y628" s="387" t="n"/>
    </row>
    <row r="629" hidden="1" ht="16.05" customFormat="1" customHeight="1" s="126">
      <c r="A629" s="125" t="n">
        <v>871</v>
      </c>
      <c r="B629" s="125" t="n"/>
      <c r="C629" s="130" t="inlineStr">
        <is>
          <t>Вологда</t>
        </is>
      </c>
      <c r="D629" s="130" t="inlineStr">
        <is>
          <t>Вологодский район</t>
        </is>
      </c>
      <c r="E629" s="130" t="n"/>
      <c r="F629" s="130" t="inlineStr">
        <is>
          <t>АЗС</t>
        </is>
      </c>
      <c r="G629" s="130" t="inlineStr">
        <is>
          <t>Лукойл</t>
        </is>
      </c>
      <c r="H629" s="637" t="n">
        <v>35021</v>
      </c>
      <c r="I629" s="637" t="n">
        <v>35419</v>
      </c>
      <c r="J629" s="637" t="inlineStr">
        <is>
          <t>VGD_LUK_35021</t>
        </is>
      </c>
      <c r="K629" s="640" t="n">
        <v>2</v>
      </c>
      <c r="L629" s="640" t="n">
        <v>0</v>
      </c>
      <c r="M629" s="640" t="inlineStr">
        <is>
          <t>Samsung 32" вертикальный</t>
        </is>
      </c>
      <c r="N629" s="640" t="n"/>
      <c r="O629" s="640">
        <f>IF(AND(N629=1,L629=1),K629,"")</f>
        <v/>
      </c>
      <c r="P629" s="642" t="inlineStr">
        <is>
          <t xml:space="preserve">Россия, 160901, Вологодская обл., с. Молочное, 15 км а/д А-119   </t>
        </is>
      </c>
      <c r="Q629" s="640" t="inlineStr">
        <is>
          <t>59.28956</t>
        </is>
      </c>
      <c r="R629" s="422" t="inlineStr">
        <is>
          <t>39.68892</t>
        </is>
      </c>
      <c r="S629" s="436" t="n"/>
      <c r="T629" s="436" t="n"/>
      <c r="U629" s="438" t="n"/>
      <c r="V629" s="438">
        <f>IF(AND(N629=1,U629=1),C629,"")</f>
        <v/>
      </c>
      <c r="W629" s="387" t="n"/>
      <c r="X629" s="387" t="n"/>
      <c r="Y629" s="387" t="n"/>
    </row>
    <row r="630" hidden="1" ht="16.05" customFormat="1" customHeight="1" s="126">
      <c r="A630" s="125" t="n">
        <v>872</v>
      </c>
      <c r="B630" s="125" t="n"/>
      <c r="C630" s="130" t="inlineStr">
        <is>
          <t>Вологда</t>
        </is>
      </c>
      <c r="D630" s="130" t="inlineStr">
        <is>
          <t>Сокольский район</t>
        </is>
      </c>
      <c r="E630" s="130" t="n"/>
      <c r="F630" s="130" t="inlineStr">
        <is>
          <t>АЗС</t>
        </is>
      </c>
      <c r="G630" s="130" t="inlineStr">
        <is>
          <t>Лукойл</t>
        </is>
      </c>
      <c r="H630" s="637" t="n">
        <v>35041</v>
      </c>
      <c r="I630" s="637" t="n">
        <v>35429</v>
      </c>
      <c r="J630" s="637" t="inlineStr">
        <is>
          <t>VGD_LUK_35041</t>
        </is>
      </c>
      <c r="K630" s="640" t="n">
        <v>2</v>
      </c>
      <c r="L630" s="640" t="n">
        <v>0</v>
      </c>
      <c r="M630" s="640" t="inlineStr">
        <is>
          <t>Samsung 32" вертикальный</t>
        </is>
      </c>
      <c r="N630" s="640" t="n"/>
      <c r="O630" s="640">
        <f>IF(AND(N630=1,L630=1),K630,"")</f>
        <v/>
      </c>
      <c r="P630" s="642" t="inlineStr">
        <is>
          <t xml:space="preserve">Россия, Вологодская обл., Сокольский р-н, п. Чекшино, 529 км а/д М-8   </t>
        </is>
      </c>
      <c r="Q630" s="640" t="inlineStr">
        <is>
          <t>59.65515</t>
        </is>
      </c>
      <c r="R630" s="422" t="inlineStr">
        <is>
          <t>40.57137</t>
        </is>
      </c>
      <c r="S630" s="436" t="n"/>
      <c r="T630" s="436" t="n"/>
      <c r="U630" s="438" t="n"/>
      <c r="V630" s="438">
        <f>IF(AND(N630=1,U630=1),C630,"")</f>
        <v/>
      </c>
      <c r="W630" s="387" t="n"/>
      <c r="X630" s="387" t="n"/>
      <c r="Y630" s="387" t="n"/>
    </row>
    <row r="631" hidden="1" ht="16.05" customFormat="1" customHeight="1" s="126">
      <c r="A631" s="125" t="n">
        <v>873</v>
      </c>
      <c r="B631" s="125" t="n"/>
      <c r="C631" s="130" t="inlineStr">
        <is>
          <t>Вологда</t>
        </is>
      </c>
      <c r="D631" s="130" t="inlineStr">
        <is>
          <t>Вологда</t>
        </is>
      </c>
      <c r="E631" s="130" t="n"/>
      <c r="F631" s="130" t="inlineStr">
        <is>
          <t>АЗС</t>
        </is>
      </c>
      <c r="G631" s="130" t="inlineStr">
        <is>
          <t>Лукойл</t>
        </is>
      </c>
      <c r="H631" s="637" t="n">
        <v>35006</v>
      </c>
      <c r="I631" s="637" t="n">
        <v>35445</v>
      </c>
      <c r="J631" s="637" t="inlineStr">
        <is>
          <t>VGD_LUK_35006</t>
        </is>
      </c>
      <c r="K631" s="640" t="n">
        <v>1</v>
      </c>
      <c r="L631" s="640" t="n">
        <v>0</v>
      </c>
      <c r="M631" s="640" t="inlineStr">
        <is>
          <t>Samsung 32" вертикальный</t>
        </is>
      </c>
      <c r="N631" s="640" t="n"/>
      <c r="O631" s="640">
        <f>IF(AND(N631=1,L631=1),K631,"")</f>
        <v/>
      </c>
      <c r="P631" s="642" t="inlineStr">
        <is>
          <t xml:space="preserve">Россия, 160019, Вологодская обл., г. Вологда, ул. Чернышевского, д. 149   </t>
        </is>
      </c>
      <c r="Q631" s="640" t="inlineStr">
        <is>
          <t>59.2524</t>
        </is>
      </c>
      <c r="R631" s="422" t="inlineStr">
        <is>
          <t>39.89609</t>
        </is>
      </c>
      <c r="S631" s="436" t="n"/>
      <c r="T631" s="436" t="n"/>
      <c r="U631" s="438" t="n"/>
      <c r="V631" s="438">
        <f>IF(AND(N631=1,U631=1),C631,"")</f>
        <v/>
      </c>
      <c r="W631" s="387" t="n"/>
      <c r="X631" s="387" t="n"/>
      <c r="Y631" s="387" t="n"/>
    </row>
    <row r="632" hidden="1" ht="16.05" customFormat="1" customHeight="1" s="126">
      <c r="A632" s="125" t="n">
        <v>874</v>
      </c>
      <c r="B632" s="125" t="n"/>
      <c r="C632" s="130" t="inlineStr">
        <is>
          <t>Вологда</t>
        </is>
      </c>
      <c r="D632" s="130" t="inlineStr">
        <is>
          <t>Вологда</t>
        </is>
      </c>
      <c r="E632" s="130" t="n"/>
      <c r="F632" s="130" t="inlineStr">
        <is>
          <t>АЗС</t>
        </is>
      </c>
      <c r="G632" s="130" t="inlineStr">
        <is>
          <t>Лукойл</t>
        </is>
      </c>
      <c r="H632" s="637" t="n">
        <v>35023</v>
      </c>
      <c r="I632" s="637" t="n">
        <v>35441</v>
      </c>
      <c r="J632" s="637" t="inlineStr">
        <is>
          <t>VGD_LUK_35023</t>
        </is>
      </c>
      <c r="K632" s="640" t="n">
        <v>2</v>
      </c>
      <c r="L632" s="640" t="n">
        <v>0</v>
      </c>
      <c r="M632" s="640" t="inlineStr">
        <is>
          <t>Samsung 32" вертикальный</t>
        </is>
      </c>
      <c r="N632" s="640" t="n"/>
      <c r="O632" s="640">
        <f>IF(AND(N632=1,L632=1),K632,"")</f>
        <v/>
      </c>
      <c r="P632" s="642" t="inlineStr">
        <is>
          <t xml:space="preserve">Россия, 160000, Вологодская обл., г. Вологда, ул. Преображенского, 38   </t>
        </is>
      </c>
      <c r="Q632" s="640" t="inlineStr">
        <is>
          <t>59.21676</t>
        </is>
      </c>
      <c r="R632" s="422" t="inlineStr">
        <is>
          <t>39.81361</t>
        </is>
      </c>
      <c r="S632" s="436" t="n"/>
      <c r="T632" s="436" t="n"/>
      <c r="U632" s="438" t="n"/>
      <c r="V632" s="438">
        <f>IF(AND(N632=1,U632=1),C632,"")</f>
        <v/>
      </c>
      <c r="W632" s="387" t="n"/>
      <c r="X632" s="387" t="n"/>
      <c r="Y632" s="387" t="n"/>
    </row>
    <row r="633" hidden="1" ht="16.05" customFormat="1" customHeight="1" s="126">
      <c r="A633" s="125" t="n">
        <v>875</v>
      </c>
      <c r="B633" s="125" t="n"/>
      <c r="C633" s="130" t="inlineStr">
        <is>
          <t>Вологда</t>
        </is>
      </c>
      <c r="D633" s="130" t="inlineStr">
        <is>
          <t>Вологда</t>
        </is>
      </c>
      <c r="E633" s="130" t="n"/>
      <c r="F633" s="130" t="inlineStr">
        <is>
          <t>АЗС</t>
        </is>
      </c>
      <c r="G633" s="130" t="inlineStr">
        <is>
          <t>Лукойл</t>
        </is>
      </c>
      <c r="H633" s="637" t="n">
        <v>35078</v>
      </c>
      <c r="I633" s="637" t="n">
        <v>35448</v>
      </c>
      <c r="J633" s="637" t="inlineStr">
        <is>
          <t>VGD_LUK_35078</t>
        </is>
      </c>
      <c r="K633" s="640" t="n">
        <v>1</v>
      </c>
      <c r="L633" s="640" t="n">
        <v>0</v>
      </c>
      <c r="M633" s="640" t="inlineStr">
        <is>
          <t>Samsung 32" вертикальный</t>
        </is>
      </c>
      <c r="N633" s="640" t="n"/>
      <c r="O633" s="640">
        <f>IF(AND(N633=1,L633=1),K633,"")</f>
        <v/>
      </c>
      <c r="P633" s="642" t="inlineStr">
        <is>
          <t xml:space="preserve">Россия, 160000, Вологодская обл., г. Вологда, ул. Северная    </t>
        </is>
      </c>
      <c r="Q633" s="640" t="inlineStr">
        <is>
          <t>59.21535</t>
        </is>
      </c>
      <c r="R633" s="422" t="inlineStr">
        <is>
          <t>39.92917</t>
        </is>
      </c>
      <c r="S633" s="436" t="n"/>
      <c r="T633" s="436" t="n"/>
      <c r="U633" s="438" t="n"/>
      <c r="V633" s="438">
        <f>IF(AND(N633=1,U633=1),C633,"")</f>
        <v/>
      </c>
      <c r="W633" s="387" t="n"/>
      <c r="X633" s="387" t="n"/>
      <c r="Y633" s="387" t="n"/>
    </row>
    <row r="634" hidden="1" ht="16.05" customFormat="1" customHeight="1" s="126">
      <c r="A634" s="125" t="n">
        <v>877</v>
      </c>
      <c r="B634" s="125" t="inlineStr">
        <is>
          <t>WF</t>
        </is>
      </c>
      <c r="C634" s="130" t="inlineStr">
        <is>
          <t>Нижний Новгород</t>
        </is>
      </c>
      <c r="D634" s="130" t="inlineStr">
        <is>
          <t>Кстово</t>
        </is>
      </c>
      <c r="E634" s="130" t="n"/>
      <c r="F634" s="130" t="inlineStr">
        <is>
          <t>АЗС</t>
        </is>
      </c>
      <c r="G634" s="130" t="inlineStr">
        <is>
          <t>Лукойл</t>
        </is>
      </c>
      <c r="H634" s="131" t="n">
        <v>53</v>
      </c>
      <c r="I634" s="637" t="n">
        <v>52053</v>
      </c>
      <c r="J634" s="402" t="inlineStr">
        <is>
          <t>NN_LUK_52053</t>
        </is>
      </c>
      <c r="K634" s="640" t="n">
        <v>2</v>
      </c>
      <c r="L634" s="640" t="n">
        <v>0</v>
      </c>
      <c r="M634" s="640" t="inlineStr">
        <is>
          <t>1 октября</t>
        </is>
      </c>
      <c r="N634" s="640" t="n"/>
      <c r="O634" s="640">
        <f>IF(AND(N634=1,L634=1),K634,"")</f>
        <v/>
      </c>
      <c r="P634" s="642" t="inlineStr">
        <is>
          <t xml:space="preserve">Россия, 607686, Нижегородская обл., с. Федяково, а/д М-7 "Волга"   </t>
        </is>
      </c>
      <c r="Q634" s="640" t="n">
        <v>56.10388</v>
      </c>
      <c r="R634" s="422" t="n">
        <v>44.14076</v>
      </c>
      <c r="S634" s="436" t="n"/>
      <c r="T634" s="436" t="n"/>
      <c r="U634" s="438" t="n"/>
      <c r="V634" s="438">
        <f>IF(AND(N634=1,U634=1),C634,"")</f>
        <v/>
      </c>
      <c r="W634" s="387" t="n"/>
      <c r="X634" s="1" t="n"/>
      <c r="Y634" s="1" t="n"/>
    </row>
    <row r="635" hidden="1" ht="16.05" customHeight="1">
      <c r="A635" s="13" t="n">
        <v>878</v>
      </c>
      <c r="B635" s="125" t="inlineStr">
        <is>
          <t>WF</t>
        </is>
      </c>
      <c r="C635" s="130" t="inlineStr">
        <is>
          <t>Чебоксары</t>
        </is>
      </c>
      <c r="D635" s="130" t="inlineStr">
        <is>
          <t>Чебоксарский район</t>
        </is>
      </c>
      <c r="E635" s="130" t="n"/>
      <c r="F635" s="130" t="inlineStr">
        <is>
          <t>АЗС</t>
        </is>
      </c>
      <c r="G635" s="130" t="inlineStr">
        <is>
          <t>Лукойл</t>
        </is>
      </c>
      <c r="H635" s="131" t="n">
        <v>138</v>
      </c>
      <c r="I635" s="637" t="n">
        <v>21138</v>
      </c>
      <c r="J635" s="402" t="inlineStr">
        <is>
          <t>CHBS_LUK_21138</t>
        </is>
      </c>
      <c r="K635" s="640" t="n">
        <v>1</v>
      </c>
      <c r="L635" s="640" t="n">
        <v>0</v>
      </c>
      <c r="M635" s="640" t="inlineStr">
        <is>
          <t>1 октября</t>
        </is>
      </c>
      <c r="N635" s="640" t="n"/>
      <c r="O635" s="640">
        <f>IF(AND(N635=1,L635=1),K635,"")</f>
        <v/>
      </c>
      <c r="P635" s="642" t="inlineStr">
        <is>
          <t xml:space="preserve">Россия, 429525, Чувашская республика, д. Большие Карачуры, ул. Южная, д. 2 А   </t>
        </is>
      </c>
      <c r="Q635" s="640" t="n">
        <v>56.076699</v>
      </c>
      <c r="R635" s="422" t="n">
        <v>47.181378</v>
      </c>
      <c r="S635" s="436" t="n"/>
      <c r="T635" s="436" t="n"/>
      <c r="U635" s="438" t="n"/>
      <c r="V635" s="438">
        <f>IF(AND(N635=1,U635=1),C635,"")</f>
        <v/>
      </c>
      <c r="X635" s="1" t="n"/>
      <c r="Y635" s="1" t="n"/>
      <c r="Z635" s="1" t="n"/>
    </row>
    <row r="636" hidden="1" ht="16.05" customFormat="1" customHeight="1" s="126">
      <c r="A636" s="125" t="n">
        <v>879</v>
      </c>
      <c r="B636" s="125" t="inlineStr">
        <is>
          <t>WF</t>
        </is>
      </c>
      <c r="C636" s="130" t="inlineStr">
        <is>
          <t>Чебоксары</t>
        </is>
      </c>
      <c r="D636" s="130" t="inlineStr">
        <is>
          <t>Чебоксары</t>
        </is>
      </c>
      <c r="E636" s="130" t="n"/>
      <c r="F636" s="130" t="inlineStr">
        <is>
          <t>АЗС</t>
        </is>
      </c>
      <c r="G636" s="130" t="inlineStr">
        <is>
          <t>Лукойл</t>
        </is>
      </c>
      <c r="H636" s="131" t="n">
        <v>121</v>
      </c>
      <c r="I636" s="637" t="n">
        <v>21121</v>
      </c>
      <c r="J636" s="402" t="inlineStr">
        <is>
          <t>CHBS_LUK_21121</t>
        </is>
      </c>
      <c r="K636" s="640" t="n">
        <v>1</v>
      </c>
      <c r="L636" s="640" t="n">
        <v>0</v>
      </c>
      <c r="M636" s="640" t="inlineStr">
        <is>
          <t>1 октября</t>
        </is>
      </c>
      <c r="N636" s="640" t="n"/>
      <c r="O636" s="640">
        <f>IF(AND(N636=1,L636=1),K636,"")</f>
        <v/>
      </c>
      <c r="P636" s="642" t="inlineStr">
        <is>
          <t xml:space="preserve">Россия, 428020, Чувашская республика, г. Чебоксары, ул. Гладкова, д. 13 А   </t>
        </is>
      </c>
      <c r="Q636" s="640" t="n">
        <v>56.111295</v>
      </c>
      <c r="R636" s="422" t="n">
        <v>47.24694</v>
      </c>
      <c r="S636" s="436" t="n"/>
      <c r="T636" s="436" t="n"/>
      <c r="U636" s="438" t="n"/>
      <c r="V636" s="438">
        <f>IF(AND(N636=1,U636=1),C636,"")</f>
        <v/>
      </c>
      <c r="W636" s="387" t="n"/>
      <c r="X636" s="1" t="n"/>
      <c r="Y636" s="1" t="n"/>
    </row>
    <row r="637" hidden="1" ht="16.05" customFormat="1" customHeight="1" s="126">
      <c r="A637" s="125" t="n">
        <v>880</v>
      </c>
      <c r="B637" s="125" t="inlineStr">
        <is>
          <t>WF</t>
        </is>
      </c>
      <c r="C637" s="130" t="inlineStr">
        <is>
          <t>Чебоксары</t>
        </is>
      </c>
      <c r="D637" s="130" t="inlineStr">
        <is>
          <t>Чебоксары</t>
        </is>
      </c>
      <c r="E637" s="130" t="n"/>
      <c r="F637" s="130" t="inlineStr">
        <is>
          <t>АЗС</t>
        </is>
      </c>
      <c r="G637" s="130" t="inlineStr">
        <is>
          <t>Лукойл</t>
        </is>
      </c>
      <c r="H637" s="131" t="n">
        <v>122</v>
      </c>
      <c r="I637" s="637" t="n">
        <v>21122</v>
      </c>
      <c r="J637" s="402" t="inlineStr">
        <is>
          <t>CHBS_LUK_21122</t>
        </is>
      </c>
      <c r="K637" s="640" t="n">
        <v>1</v>
      </c>
      <c r="L637" s="640" t="n">
        <v>0</v>
      </c>
      <c r="M637" s="640" t="inlineStr">
        <is>
          <t>1 октября</t>
        </is>
      </c>
      <c r="N637" s="640" t="n"/>
      <c r="O637" s="640">
        <f>IF(AND(N637=1,L637=1),K637,"")</f>
        <v/>
      </c>
      <c r="P637" s="642" t="inlineStr">
        <is>
          <t xml:space="preserve">Россия, 428000, Чувашская республика, г. Чебоксары, пр-кт Ивана Яковлева, д. 33   </t>
        </is>
      </c>
      <c r="Q637" s="640" t="n">
        <v>56.082175</v>
      </c>
      <c r="R637" s="422" t="n">
        <v>47.266467</v>
      </c>
      <c r="S637" s="436" t="n"/>
      <c r="T637" s="436" t="n"/>
      <c r="U637" s="438" t="n"/>
      <c r="V637" s="438">
        <f>IF(AND(N637=1,U637=1),C637,"")</f>
        <v/>
      </c>
      <c r="W637" s="387" t="n"/>
      <c r="X637" s="1" t="n"/>
      <c r="Y637" s="1" t="n"/>
    </row>
    <row r="638" hidden="1" ht="16.05" customFormat="1" customHeight="1" s="126">
      <c r="A638" s="125" t="n">
        <v>881</v>
      </c>
      <c r="B638" s="125" t="inlineStr">
        <is>
          <t>WF</t>
        </is>
      </c>
      <c r="C638" s="130" t="inlineStr">
        <is>
          <t>Чебоксары</t>
        </is>
      </c>
      <c r="D638" s="130" t="inlineStr">
        <is>
          <t>Чебоксары</t>
        </is>
      </c>
      <c r="E638" s="130" t="n"/>
      <c r="F638" s="130" t="inlineStr">
        <is>
          <t>АЗС</t>
        </is>
      </c>
      <c r="G638" s="130" t="inlineStr">
        <is>
          <t>Лукойл</t>
        </is>
      </c>
      <c r="H638" s="131" t="n">
        <v>120</v>
      </c>
      <c r="I638" s="637" t="n">
        <v>21120</v>
      </c>
      <c r="J638" s="402" t="inlineStr">
        <is>
          <t>CHBS_LUK_21120</t>
        </is>
      </c>
      <c r="K638" s="640" t="n">
        <v>1</v>
      </c>
      <c r="L638" s="640" t="n">
        <v>0</v>
      </c>
      <c r="M638" s="640" t="inlineStr">
        <is>
          <t>1 октября</t>
        </is>
      </c>
      <c r="N638" s="640" t="n"/>
      <c r="O638" s="640">
        <f>IF(AND(N638=1,L638=1),K638,"")</f>
        <v/>
      </c>
      <c r="P638" s="642" t="inlineStr">
        <is>
          <t xml:space="preserve">Россия, 428000, Чувашская республика, г. Чебоксары, пр-кт Максима Горького, д. 18   </t>
        </is>
      </c>
      <c r="Q638" s="640" t="n">
        <v>56.149241</v>
      </c>
      <c r="R638" s="422" t="n">
        <v>47.1887</v>
      </c>
      <c r="S638" s="436" t="n"/>
      <c r="T638" s="436" t="n"/>
      <c r="U638" s="438" t="n"/>
      <c r="V638" s="438">
        <f>IF(AND(N638=1,U638=1),C638,"")</f>
        <v/>
      </c>
      <c r="W638" s="387" t="n"/>
      <c r="X638" s="1" t="n"/>
      <c r="Y638" s="1" t="n"/>
    </row>
    <row r="639" hidden="1" ht="16.05" customFormat="1" customHeight="1" s="126">
      <c r="A639" s="125" t="n">
        <v>876</v>
      </c>
      <c r="B639" s="125" t="n"/>
      <c r="C639" s="130" t="inlineStr">
        <is>
          <t>Вологда</t>
        </is>
      </c>
      <c r="D639" s="130" t="inlineStr">
        <is>
          <t>Грязовецкий район</t>
        </is>
      </c>
      <c r="E639" s="130" t="n"/>
      <c r="F639" s="130" t="inlineStr">
        <is>
          <t>АЗС</t>
        </is>
      </c>
      <c r="G639" s="130" t="inlineStr">
        <is>
          <t>Лукойл</t>
        </is>
      </c>
      <c r="H639" s="637" t="n">
        <v>35064</v>
      </c>
      <c r="I639" s="637" t="n">
        <v>35408</v>
      </c>
      <c r="J639" s="637" t="inlineStr">
        <is>
          <t>VGD_LUK_35064</t>
        </is>
      </c>
      <c r="K639" s="640" t="n">
        <v>2</v>
      </c>
      <c r="L639" s="640" t="n">
        <v>0</v>
      </c>
      <c r="M639" s="640" t="inlineStr">
        <is>
          <t>Samsung 32" вертикальный</t>
        </is>
      </c>
      <c r="N639" s="640" t="n"/>
      <c r="O639" s="640">
        <f>IF(AND(N639=1,L639=1),K639,"")</f>
        <v/>
      </c>
      <c r="P639" s="642" t="inlineStr">
        <is>
          <t xml:space="preserve">Россия, 162000, Вологодская обл., г. Грязовец, 416 й км а.д. Москва-Архангельск (М-8)   </t>
        </is>
      </c>
      <c r="Q639" s="640" t="inlineStr">
        <is>
          <t>58.88366</t>
        </is>
      </c>
      <c r="R639" s="422" t="inlineStr">
        <is>
          <t>40.19164</t>
        </is>
      </c>
      <c r="S639" s="436" t="n"/>
      <c r="T639" s="436" t="n"/>
      <c r="U639" s="438" t="n"/>
      <c r="V639" s="438">
        <f>IF(AND(N639=1,U639=1),C639,"")</f>
        <v/>
      </c>
      <c r="W639" s="387" t="n"/>
      <c r="X639" s="387" t="n"/>
      <c r="Y639" s="387" t="n"/>
    </row>
    <row r="640" hidden="1" ht="16.05" customFormat="1" customHeight="1" s="126">
      <c r="A640" s="125" t="n">
        <v>883</v>
      </c>
      <c r="B640" s="125" t="n"/>
      <c r="C640" s="130" t="inlineStr">
        <is>
          <t>Тула</t>
        </is>
      </c>
      <c r="D640" s="130" t="inlineStr">
        <is>
          <t>Тула</t>
        </is>
      </c>
      <c r="E640" s="130" t="n"/>
      <c r="F640" s="130" t="inlineStr">
        <is>
          <t>АЗС</t>
        </is>
      </c>
      <c r="G640" s="130" t="inlineStr">
        <is>
          <t>Роснефть</t>
        </is>
      </c>
      <c r="H640" s="131" t="n">
        <v>80</v>
      </c>
      <c r="I640" s="637" t="inlineStr">
        <is>
          <t>TNK_80</t>
        </is>
      </c>
      <c r="J640" s="637" t="inlineStr">
        <is>
          <t>TUL_RN_080</t>
        </is>
      </c>
      <c r="K640" s="640" t="n">
        <v>1</v>
      </c>
      <c r="L640" s="640" t="n">
        <v>1</v>
      </c>
      <c r="M640" s="623" t="inlineStr">
        <is>
          <t>Samsung 32" вертикальный</t>
        </is>
      </c>
      <c r="N640" s="640" t="n"/>
      <c r="O640" s="640">
        <f>IF(AND(N640=1,L640=1),K640,"")</f>
        <v/>
      </c>
      <c r="P640" s="642" t="inlineStr">
        <is>
          <t>Тула, Центральный район, Староникитская, 110</t>
        </is>
      </c>
      <c r="Q640" s="640" t="inlineStr">
        <is>
          <t>54.178125</t>
        </is>
      </c>
      <c r="R640" s="494" t="inlineStr">
        <is>
          <t>37.62992</t>
        </is>
      </c>
      <c r="S640" s="436" t="n"/>
      <c r="T640" s="436" t="n"/>
      <c r="U640" s="438" t="n"/>
      <c r="V640" s="438">
        <f>IF(AND(N640=1,U640=1),C640,"")</f>
        <v/>
      </c>
      <c r="W640" s="387" t="n"/>
      <c r="X640" s="387" t="n"/>
      <c r="Y640" s="387" t="n"/>
    </row>
    <row r="641" hidden="1" ht="16.05" customFormat="1" customHeight="1" s="126">
      <c r="A641" s="125" t="n">
        <v>884</v>
      </c>
      <c r="B641" s="125" t="n"/>
      <c r="C641" s="130" t="inlineStr">
        <is>
          <t>Тула</t>
        </is>
      </c>
      <c r="D641" s="130" t="inlineStr">
        <is>
          <t>Тула</t>
        </is>
      </c>
      <c r="E641" s="130" t="n"/>
      <c r="F641" s="130" t="inlineStr">
        <is>
          <t>АЗС</t>
        </is>
      </c>
      <c r="G641" s="130" t="inlineStr">
        <is>
          <t>Роснефть</t>
        </is>
      </c>
      <c r="H641" s="131" t="n">
        <v>66</v>
      </c>
      <c r="I641" s="637" t="inlineStr">
        <is>
          <t>TNK_66</t>
        </is>
      </c>
      <c r="J641" s="637" t="inlineStr">
        <is>
          <t>TUL_RN_066</t>
        </is>
      </c>
      <c r="K641" s="640" t="n">
        <v>1</v>
      </c>
      <c r="L641" s="640" t="n">
        <v>1</v>
      </c>
      <c r="M641" s="623" t="inlineStr">
        <is>
          <t>Samsung 32" вертикальный</t>
        </is>
      </c>
      <c r="N641" s="640" t="n"/>
      <c r="O641" s="640">
        <f>IF(AND(N641=1,L641=1),K641,"")</f>
        <v/>
      </c>
      <c r="P641" s="642" t="inlineStr">
        <is>
          <t>Тула, Пролетарский район, Ложевая 149</t>
        </is>
      </c>
      <c r="Q641" s="640" t="inlineStr">
        <is>
          <t>54.197431</t>
        </is>
      </c>
      <c r="R641" s="494" t="inlineStr">
        <is>
          <t>37.659884</t>
        </is>
      </c>
      <c r="S641" s="436" t="n"/>
      <c r="T641" s="436" t="n"/>
      <c r="U641" s="438" t="n"/>
      <c r="V641" s="438">
        <f>IF(AND(N641=1,U641=1),C641,"")</f>
        <v/>
      </c>
      <c r="W641" s="387" t="n"/>
      <c r="X641" s="387" t="n"/>
      <c r="Y641" s="387" t="n"/>
    </row>
    <row r="642" hidden="1" ht="16.05" customFormat="1" customHeight="1" s="126">
      <c r="A642" s="125" t="n">
        <v>885</v>
      </c>
      <c r="B642" s="125" t="n"/>
      <c r="C642" s="130" t="inlineStr">
        <is>
          <t>Тула</t>
        </is>
      </c>
      <c r="D642" s="130" t="inlineStr">
        <is>
          <t>Тула</t>
        </is>
      </c>
      <c r="E642" s="130" t="n"/>
      <c r="F642" s="130" t="inlineStr">
        <is>
          <t>АЗС</t>
        </is>
      </c>
      <c r="G642" s="130" t="inlineStr">
        <is>
          <t>Роснефть</t>
        </is>
      </c>
      <c r="H642" s="131" t="n">
        <v>35</v>
      </c>
      <c r="I642" s="637" t="inlineStr">
        <is>
          <t>TNK_35</t>
        </is>
      </c>
      <c r="J642" s="637" t="inlineStr">
        <is>
          <t>TUL_RN_035</t>
        </is>
      </c>
      <c r="K642" s="640" t="n">
        <v>1</v>
      </c>
      <c r="L642" s="640" t="n">
        <v>1</v>
      </c>
      <c r="M642" s="623" t="inlineStr">
        <is>
          <t>Samsung 32" вертикальный</t>
        </is>
      </c>
      <c r="N642" s="640" t="n"/>
      <c r="O642" s="640">
        <f>IF(AND(N642=1,L642=1),K642,"")</f>
        <v/>
      </c>
      <c r="P642" s="642" t="inlineStr">
        <is>
          <t>Тула, Зареченский район, п. Горелки,  Большая, 1</t>
        </is>
      </c>
      <c r="Q642" s="640" t="inlineStr">
        <is>
          <t>54.249614</t>
        </is>
      </c>
      <c r="R642" s="494" t="inlineStr">
        <is>
          <t>37.609636</t>
        </is>
      </c>
      <c r="S642" s="436" t="n"/>
      <c r="T642" s="436" t="n"/>
      <c r="U642" s="438" t="n"/>
      <c r="V642" s="438">
        <f>IF(AND(N642=1,U642=1),C642,"")</f>
        <v/>
      </c>
      <c r="W642" s="387" t="n"/>
      <c r="X642" s="387" t="n"/>
      <c r="Y642" s="387" t="n"/>
    </row>
    <row r="643" hidden="1" ht="16.05" customFormat="1" customHeight="1" s="126">
      <c r="A643" s="125" t="n">
        <v>886</v>
      </c>
      <c r="B643" s="125" t="n"/>
      <c r="C643" s="130" t="inlineStr">
        <is>
          <t>Тула</t>
        </is>
      </c>
      <c r="D643" s="130" t="inlineStr">
        <is>
          <t>Тула</t>
        </is>
      </c>
      <c r="E643" s="130" t="n"/>
      <c r="F643" s="130" t="inlineStr">
        <is>
          <t>АЗС</t>
        </is>
      </c>
      <c r="G643" s="130" t="inlineStr">
        <is>
          <t>Роснефть</t>
        </is>
      </c>
      <c r="H643" s="131" t="n">
        <v>21</v>
      </c>
      <c r="I643" s="637" t="inlineStr">
        <is>
          <t>TNK_21</t>
        </is>
      </c>
      <c r="J643" s="637" t="inlineStr">
        <is>
          <t>TUL_RN_021</t>
        </is>
      </c>
      <c r="K643" s="640" t="n">
        <v>1</v>
      </c>
      <c r="L643" s="640" t="n">
        <v>1</v>
      </c>
      <c r="M643" s="623" t="inlineStr">
        <is>
          <t>Samsung 32" вертикальный</t>
        </is>
      </c>
      <c r="N643" s="640" t="n"/>
      <c r="O643" s="640">
        <f>IF(AND(N643=1,L643=1),K643,"")</f>
        <v/>
      </c>
      <c r="P643" s="642" t="inlineStr">
        <is>
          <t>Тула, Пролетарский район, Веневское шоссе,24</t>
        </is>
      </c>
      <c r="Q643" s="640" t="inlineStr">
        <is>
          <t>54.228243</t>
        </is>
      </c>
      <c r="R643" s="494" t="inlineStr">
        <is>
          <t>37.655787</t>
        </is>
      </c>
      <c r="S643" s="436" t="n"/>
      <c r="T643" s="436" t="n"/>
      <c r="U643" s="438" t="n"/>
      <c r="V643" s="438">
        <f>IF(AND(N643=1,U643=1),C643,"")</f>
        <v/>
      </c>
      <c r="W643" s="387" t="n"/>
      <c r="X643" s="387" t="n"/>
      <c r="Y643" s="387" t="n"/>
    </row>
    <row r="644" hidden="1" ht="16.05" customFormat="1" customHeight="1" s="126">
      <c r="A644" s="125" t="n">
        <v>887</v>
      </c>
      <c r="B644" s="125" t="n"/>
      <c r="C644" s="130" t="inlineStr">
        <is>
          <t>Тула</t>
        </is>
      </c>
      <c r="D644" s="130" t="inlineStr">
        <is>
          <t>Тула</t>
        </is>
      </c>
      <c r="E644" s="130" t="n"/>
      <c r="F644" s="130" t="inlineStr">
        <is>
          <t>АЗС</t>
        </is>
      </c>
      <c r="G644" s="130" t="inlineStr">
        <is>
          <t>Роснефть</t>
        </is>
      </c>
      <c r="H644" s="131" t="n">
        <v>17</v>
      </c>
      <c r="I644" s="637" t="inlineStr">
        <is>
          <t>TNK_17</t>
        </is>
      </c>
      <c r="J644" s="637" t="inlineStr">
        <is>
          <t>TUL_RN_017</t>
        </is>
      </c>
      <c r="K644" s="640" t="n">
        <v>1</v>
      </c>
      <c r="L644" s="640" t="n">
        <v>1</v>
      </c>
      <c r="M644" s="623" t="inlineStr">
        <is>
          <t>Samsung 32" вертикальный</t>
        </is>
      </c>
      <c r="N644" s="640" t="n"/>
      <c r="O644" s="640">
        <f>IF(AND(N644=1,L644=1),K644,"")</f>
        <v/>
      </c>
      <c r="P644" s="642" t="inlineStr">
        <is>
          <t>Тула, Ленинский район, а/дорога Москва-Харьков, 191 км</t>
        </is>
      </c>
      <c r="Q644" s="640" t="inlineStr">
        <is>
          <t>54.162302</t>
        </is>
      </c>
      <c r="R644" s="494" t="inlineStr">
        <is>
          <t>37.495</t>
        </is>
      </c>
      <c r="S644" s="436" t="n"/>
      <c r="T644" s="436" t="n"/>
      <c r="U644" s="438" t="n"/>
      <c r="V644" s="438">
        <f>IF(AND(N644=1,U644=1),C644,"")</f>
        <v/>
      </c>
      <c r="W644" s="387" t="n"/>
      <c r="X644" s="387" t="n"/>
      <c r="Y644" s="387" t="n"/>
    </row>
    <row r="645" hidden="1" ht="16.05" customFormat="1" customHeight="1" s="126">
      <c r="A645" s="125" t="n">
        <v>888</v>
      </c>
      <c r="B645" s="125" t="n"/>
      <c r="C645" s="130" t="inlineStr">
        <is>
          <t>Тула</t>
        </is>
      </c>
      <c r="D645" s="130" t="inlineStr">
        <is>
          <t>Тула</t>
        </is>
      </c>
      <c r="E645" s="130" t="n"/>
      <c r="F645" s="130" t="inlineStr">
        <is>
          <t>АЗС</t>
        </is>
      </c>
      <c r="G645" s="130" t="inlineStr">
        <is>
          <t>Роснефть</t>
        </is>
      </c>
      <c r="H645" s="131" t="n">
        <v>72</v>
      </c>
      <c r="I645" s="637" t="inlineStr">
        <is>
          <t>TNK_72</t>
        </is>
      </c>
      <c r="J645" s="637" t="inlineStr">
        <is>
          <t>TUL_RN_072</t>
        </is>
      </c>
      <c r="K645" s="640" t="n">
        <v>1</v>
      </c>
      <c r="L645" s="640" t="n">
        <v>1</v>
      </c>
      <c r="M645" s="623" t="inlineStr">
        <is>
          <t>Samsung 32" вертикальный</t>
        </is>
      </c>
      <c r="N645" s="640" t="n"/>
      <c r="O645" s="640">
        <f>IF(AND(N645=1,L645=1),K645,"")</f>
        <v/>
      </c>
      <c r="P645" s="642" t="inlineStr">
        <is>
          <t>Тула, Привокзальный район, Нижнеупская, 15</t>
        </is>
      </c>
      <c r="Q645" s="640" t="inlineStr">
        <is>
          <t>54.208412</t>
        </is>
      </c>
      <c r="R645" s="494" t="inlineStr">
        <is>
          <t>37.575693</t>
        </is>
      </c>
      <c r="S645" s="436" t="n"/>
      <c r="T645" s="436" t="n"/>
      <c r="U645" s="438" t="n"/>
      <c r="V645" s="438">
        <f>IF(AND(N645=1,U645=1),C645,"")</f>
        <v/>
      </c>
      <c r="W645" s="387" t="n"/>
      <c r="X645" s="387" t="n"/>
      <c r="Y645" s="387" t="n"/>
    </row>
    <row r="646" hidden="1" ht="16.05" customFormat="1" customHeight="1" s="126">
      <c r="A646" s="125" t="n">
        <v>889</v>
      </c>
      <c r="B646" s="125" t="n"/>
      <c r="C646" s="130" t="inlineStr">
        <is>
          <t>Тула</t>
        </is>
      </c>
      <c r="D646" s="130" t="inlineStr">
        <is>
          <t>Тула</t>
        </is>
      </c>
      <c r="E646" s="130" t="n"/>
      <c r="F646" s="130" t="inlineStr">
        <is>
          <t>АЗС</t>
        </is>
      </c>
      <c r="G646" s="130" t="inlineStr">
        <is>
          <t>Роснефть</t>
        </is>
      </c>
      <c r="H646" s="131" t="n">
        <v>71</v>
      </c>
      <c r="I646" s="637" t="inlineStr">
        <is>
          <t>TNK_71</t>
        </is>
      </c>
      <c r="J646" s="637" t="inlineStr">
        <is>
          <t>TUL_RN_071</t>
        </is>
      </c>
      <c r="K646" s="640" t="n">
        <v>1</v>
      </c>
      <c r="L646" s="640" t="n">
        <v>1</v>
      </c>
      <c r="M646" s="623" t="inlineStr">
        <is>
          <t>Samsung 32" вертикальный</t>
        </is>
      </c>
      <c r="N646" s="640" t="n"/>
      <c r="O646" s="640">
        <f>IF(AND(N646=1,L646=1),K646,"")</f>
        <v/>
      </c>
      <c r="P646" s="642" t="inlineStr">
        <is>
          <t>Тула, Привокзальный район, Калужское шоссе 2-а</t>
        </is>
      </c>
      <c r="Q646" s="640" t="inlineStr">
        <is>
          <t>54.156922</t>
        </is>
      </c>
      <c r="R646" s="494" t="inlineStr">
        <is>
          <t>37.580822</t>
        </is>
      </c>
      <c r="S646" s="436" t="n"/>
      <c r="T646" s="436" t="n"/>
      <c r="U646" s="438" t="n"/>
      <c r="V646" s="438">
        <f>IF(AND(N646=1,U646=1),C646,"")</f>
        <v/>
      </c>
      <c r="W646" s="387" t="n"/>
      <c r="X646" s="387" t="n"/>
      <c r="Y646" s="387" t="n"/>
    </row>
    <row r="647" hidden="1" ht="16.05" customFormat="1" customHeight="1" s="126">
      <c r="A647" s="125" t="n">
        <v>890</v>
      </c>
      <c r="B647" s="125" t="n"/>
      <c r="C647" s="130" t="inlineStr">
        <is>
          <t>Тула</t>
        </is>
      </c>
      <c r="D647" s="130" t="inlineStr">
        <is>
          <t>Тула</t>
        </is>
      </c>
      <c r="E647" s="130" t="n"/>
      <c r="F647" s="130" t="inlineStr">
        <is>
          <t>АЗС</t>
        </is>
      </c>
      <c r="G647" s="130" t="inlineStr">
        <is>
          <t>Роснефть</t>
        </is>
      </c>
      <c r="H647" s="131" t="n">
        <v>67</v>
      </c>
      <c r="I647" s="637" t="inlineStr">
        <is>
          <t>TNK_67</t>
        </is>
      </c>
      <c r="J647" s="637" t="inlineStr">
        <is>
          <t>TUL_RN_067</t>
        </is>
      </c>
      <c r="K647" s="640" t="n">
        <v>1</v>
      </c>
      <c r="L647" s="640" t="n">
        <v>1</v>
      </c>
      <c r="M647" s="623" t="inlineStr">
        <is>
          <t>Samsung 32" вертикальный</t>
        </is>
      </c>
      <c r="N647" s="640" t="n"/>
      <c r="O647" s="640">
        <f>IF(AND(N647=1,L647=1),K647,"")</f>
        <v/>
      </c>
      <c r="P647" s="642" t="inlineStr">
        <is>
          <t>Тула, Привокзальный район, пр-т Ленина 130-а</t>
        </is>
      </c>
      <c r="Q647" s="640" t="inlineStr">
        <is>
          <t>54.146793</t>
        </is>
      </c>
      <c r="R647" s="494" t="inlineStr">
        <is>
          <t>37.581805</t>
        </is>
      </c>
      <c r="S647" s="436" t="n"/>
      <c r="T647" s="436" t="n"/>
      <c r="U647" s="438" t="n"/>
      <c r="V647" s="438">
        <f>IF(AND(N647=1,U647=1),C647,"")</f>
        <v/>
      </c>
      <c r="W647" s="387" t="n"/>
      <c r="X647" s="387" t="n"/>
      <c r="Y647" s="387" t="n"/>
    </row>
    <row r="648" hidden="1" ht="16.05" customFormat="1" customHeight="1" s="126">
      <c r="A648" s="125" t="n">
        <v>891</v>
      </c>
      <c r="B648" s="125" t="n"/>
      <c r="C648" s="130" t="inlineStr">
        <is>
          <t>Тула</t>
        </is>
      </c>
      <c r="D648" s="130" t="inlineStr">
        <is>
          <t>Тула</t>
        </is>
      </c>
      <c r="E648" s="130" t="n"/>
      <c r="F648" s="130" t="inlineStr">
        <is>
          <t>АЗС</t>
        </is>
      </c>
      <c r="G648" s="130" t="inlineStr">
        <is>
          <t>Роснефть</t>
        </is>
      </c>
      <c r="H648" s="131" t="n">
        <v>5</v>
      </c>
      <c r="I648" s="637" t="inlineStr">
        <is>
          <t>TNK_5</t>
        </is>
      </c>
      <c r="J648" s="637" t="inlineStr">
        <is>
          <t>TUL_RN_005</t>
        </is>
      </c>
      <c r="K648" s="640" t="n">
        <v>1</v>
      </c>
      <c r="L648" s="640" t="n">
        <v>1</v>
      </c>
      <c r="M648" s="623" t="inlineStr">
        <is>
          <t>Samsung 32" вертикальный</t>
        </is>
      </c>
      <c r="N648" s="640" t="n"/>
      <c r="O648" s="640">
        <f>IF(AND(N648=1,L648=1),K648,"")</f>
        <v/>
      </c>
      <c r="P648" s="642" t="inlineStr">
        <is>
          <t>Тула, Центральный район ,  Рязанская, 38а</t>
        </is>
      </c>
      <c r="Q648" s="640" t="inlineStr">
        <is>
          <t>54.161787</t>
        </is>
      </c>
      <c r="R648" s="494" t="inlineStr">
        <is>
          <t>37.616567</t>
        </is>
      </c>
      <c r="S648" s="436" t="n"/>
      <c r="T648" s="436" t="n"/>
      <c r="U648" s="438" t="n"/>
      <c r="V648" s="438">
        <f>IF(AND(N648=1,U648=1),C648,"")</f>
        <v/>
      </c>
      <c r="W648" s="387" t="n"/>
      <c r="X648" s="387" t="n"/>
      <c r="Y648" s="387" t="n"/>
    </row>
    <row r="649" hidden="1" ht="16.05" customFormat="1" customHeight="1" s="126">
      <c r="A649" s="125" t="n">
        <v>892</v>
      </c>
      <c r="B649" s="125" t="n"/>
      <c r="C649" s="130" t="inlineStr">
        <is>
          <t>Тула</t>
        </is>
      </c>
      <c r="D649" s="130" t="inlineStr">
        <is>
          <t>Тула</t>
        </is>
      </c>
      <c r="E649" s="130" t="n"/>
      <c r="F649" s="130" t="inlineStr">
        <is>
          <t>АЗС</t>
        </is>
      </c>
      <c r="G649" s="130" t="inlineStr">
        <is>
          <t>Роснефть</t>
        </is>
      </c>
      <c r="H649" s="131" t="n">
        <v>48</v>
      </c>
      <c r="I649" s="637" t="inlineStr">
        <is>
          <t>TNK_48</t>
        </is>
      </c>
      <c r="J649" s="637" t="inlineStr">
        <is>
          <t>TUL_RN_048</t>
        </is>
      </c>
      <c r="K649" s="640" t="n">
        <v>1</v>
      </c>
      <c r="L649" s="640" t="n">
        <v>1</v>
      </c>
      <c r="M649" s="623" t="inlineStr">
        <is>
          <t>Samsung 32" вертикальный</t>
        </is>
      </c>
      <c r="N649" s="640" t="n"/>
      <c r="O649" s="640">
        <f>IF(AND(N649=1,L649=1),K649,"")</f>
        <v/>
      </c>
      <c r="P649" s="642" t="inlineStr">
        <is>
          <t>Тула, Центральный район,  Рязанская , 5а.</t>
        </is>
      </c>
      <c r="Q649" s="640" t="inlineStr">
        <is>
          <t>54.164122</t>
        </is>
      </c>
      <c r="R649" s="494" t="inlineStr">
        <is>
          <t>37.620776</t>
        </is>
      </c>
      <c r="S649" s="436" t="n"/>
      <c r="T649" s="436" t="n"/>
      <c r="U649" s="438" t="n"/>
      <c r="V649" s="438">
        <f>IF(AND(N649=1,U649=1),C649,"")</f>
        <v/>
      </c>
      <c r="W649" s="387" t="n"/>
      <c r="X649" s="387" t="n"/>
      <c r="Y649" s="387" t="n"/>
    </row>
    <row r="650" hidden="1" ht="16.05" customFormat="1" customHeight="1" s="126">
      <c r="A650" s="125" t="n">
        <v>893</v>
      </c>
      <c r="B650" s="125" t="n"/>
      <c r="C650" s="130" t="inlineStr">
        <is>
          <t>Тула</t>
        </is>
      </c>
      <c r="D650" s="130" t="inlineStr">
        <is>
          <t>Тула</t>
        </is>
      </c>
      <c r="E650" s="130" t="n"/>
      <c r="F650" s="130" t="inlineStr">
        <is>
          <t>АЗС</t>
        </is>
      </c>
      <c r="G650" s="130" t="inlineStr">
        <is>
          <t>Роснефть</t>
        </is>
      </c>
      <c r="H650" s="131" t="n">
        <v>68</v>
      </c>
      <c r="I650" s="637" t="inlineStr">
        <is>
          <t>TNK_68</t>
        </is>
      </c>
      <c r="J650" s="637" t="inlineStr">
        <is>
          <t>TUL_RN_068</t>
        </is>
      </c>
      <c r="K650" s="640" t="n">
        <v>1</v>
      </c>
      <c r="L650" s="640" t="n">
        <v>1</v>
      </c>
      <c r="M650" s="623" t="inlineStr">
        <is>
          <t>Samsung 32" вертикальный</t>
        </is>
      </c>
      <c r="N650" s="640" t="n"/>
      <c r="O650" s="640">
        <f>IF(AND(N650=1,L650=1),K650,"")</f>
        <v/>
      </c>
      <c r="P650" s="642" t="inlineStr">
        <is>
          <t>Тула, Центральный район, Новомосковское шоссе, 64</t>
        </is>
      </c>
      <c r="Q650" s="640" t="inlineStr">
        <is>
          <t>54.153702</t>
        </is>
      </c>
      <c r="R650" s="494" t="inlineStr">
        <is>
          <t>37.638133</t>
        </is>
      </c>
      <c r="S650" s="436" t="n"/>
      <c r="T650" s="436" t="n"/>
      <c r="U650" s="438" t="n"/>
      <c r="V650" s="438">
        <f>IF(AND(N650=1,U650=1),C650,"")</f>
        <v/>
      </c>
      <c r="W650" s="387" t="n"/>
      <c r="X650" s="387" t="n"/>
      <c r="Y650" s="387" t="n"/>
    </row>
    <row r="651" hidden="1" ht="16.05" customFormat="1" customHeight="1" s="126">
      <c r="A651" s="125" t="n">
        <v>894</v>
      </c>
      <c r="B651" s="125" t="n"/>
      <c r="C651" s="130" t="inlineStr">
        <is>
          <t>Тула</t>
        </is>
      </c>
      <c r="D651" s="130" t="inlineStr">
        <is>
          <t>Тула</t>
        </is>
      </c>
      <c r="E651" s="130" t="n"/>
      <c r="F651" s="130" t="inlineStr">
        <is>
          <t>АЗС</t>
        </is>
      </c>
      <c r="G651" s="130" t="inlineStr">
        <is>
          <t>Роснефть</t>
        </is>
      </c>
      <c r="H651" s="131" t="n">
        <v>78</v>
      </c>
      <c r="I651" s="637" t="inlineStr">
        <is>
          <t>TNK_78</t>
        </is>
      </c>
      <c r="J651" s="637" t="inlineStr">
        <is>
          <t>TUL_RN_078</t>
        </is>
      </c>
      <c r="K651" s="640" t="n">
        <v>1</v>
      </c>
      <c r="L651" s="640" t="n">
        <v>1</v>
      </c>
      <c r="M651" s="623" t="inlineStr">
        <is>
          <t>Samsung 32" вертикальный</t>
        </is>
      </c>
      <c r="N651" s="640" t="n"/>
      <c r="O651" s="640">
        <f>IF(AND(N651=1,L651=1),K651,"")</f>
        <v/>
      </c>
      <c r="P651" s="642" t="inlineStr">
        <is>
          <t>Тула, Ленинский район, д.Малевка, Новомосковское ш-ссе, 7 км.</t>
        </is>
      </c>
      <c r="Q651" s="640" t="inlineStr">
        <is>
          <t>54.14688</t>
        </is>
      </c>
      <c r="R651" s="494" t="inlineStr">
        <is>
          <t>37.648108</t>
        </is>
      </c>
      <c r="S651" s="436" t="n"/>
      <c r="T651" s="436" t="n"/>
      <c r="U651" s="438" t="n"/>
      <c r="V651" s="438">
        <f>IF(AND(N651=1,U651=1),C651,"")</f>
        <v/>
      </c>
      <c r="W651" s="387" t="n"/>
      <c r="X651" s="387" t="n"/>
      <c r="Y651" s="387" t="n"/>
    </row>
    <row r="652" hidden="1" ht="16.05" customFormat="1" customHeight="1" s="126">
      <c r="A652" s="125" t="n">
        <v>895</v>
      </c>
      <c r="B652" s="125" t="n"/>
      <c r="C652" s="130" t="inlineStr">
        <is>
          <t>Ярославль</t>
        </is>
      </c>
      <c r="D652" s="130" t="inlineStr">
        <is>
          <t>Ростов</t>
        </is>
      </c>
      <c r="E652" s="130" t="n"/>
      <c r="F652" s="130" t="inlineStr">
        <is>
          <t>АЗС</t>
        </is>
      </c>
      <c r="G652" s="130" t="inlineStr">
        <is>
          <t>Роснефть</t>
        </is>
      </c>
      <c r="H652" s="131" t="n">
        <v>41</v>
      </c>
      <c r="I652" s="637" t="inlineStr">
        <is>
          <t>TNK_41</t>
        </is>
      </c>
      <c r="J652" s="637" t="inlineStr">
        <is>
          <t>YAR_TNK_041</t>
        </is>
      </c>
      <c r="K652" s="640" t="n">
        <v>1</v>
      </c>
      <c r="L652" s="640" t="n">
        <v>1</v>
      </c>
      <c r="M652" s="623" t="inlineStr">
        <is>
          <t>Samsung 32" вертикальный</t>
        </is>
      </c>
      <c r="N652" s="640" t="n"/>
      <c r="O652" s="640">
        <f>IF(AND(N652=1,L652=1),K652,"")</f>
        <v/>
      </c>
      <c r="P652" s="642" t="inlineStr">
        <is>
          <t>Ростов,  Загородная, 42.,АЗК 41</t>
        </is>
      </c>
      <c r="Q652" s="640" t="inlineStr">
        <is>
          <t>57.201612</t>
        </is>
      </c>
      <c r="R652" s="494" t="inlineStr">
        <is>
          <t>39.423843</t>
        </is>
      </c>
      <c r="S652" s="436" t="n"/>
      <c r="T652" s="436" t="n"/>
      <c r="U652" s="438" t="n"/>
      <c r="V652" s="438">
        <f>IF(AND(N652=1,U652=1),C652,"")</f>
        <v/>
      </c>
      <c r="W652" s="387" t="n"/>
      <c r="X652" s="387" t="n"/>
      <c r="Y652" s="387" t="n"/>
    </row>
    <row r="653" hidden="1" ht="16.05" customFormat="1" customHeight="1" s="126">
      <c r="A653" s="125" t="n">
        <v>896</v>
      </c>
      <c r="B653" s="125" t="n"/>
      <c r="C653" s="130" t="inlineStr">
        <is>
          <t>Ярославль</t>
        </is>
      </c>
      <c r="D653" s="130" t="inlineStr">
        <is>
          <t>Углич</t>
        </is>
      </c>
      <c r="E653" s="130" t="n"/>
      <c r="F653" s="130" t="inlineStr">
        <is>
          <t>АЗС</t>
        </is>
      </c>
      <c r="G653" s="130" t="inlineStr">
        <is>
          <t>Роснефть</t>
        </is>
      </c>
      <c r="H653" s="131" t="n">
        <v>69</v>
      </c>
      <c r="I653" s="637" t="inlineStr">
        <is>
          <t>TNK_69</t>
        </is>
      </c>
      <c r="J653" s="637" t="inlineStr">
        <is>
          <t>YAR_TNK_069</t>
        </is>
      </c>
      <c r="K653" s="640" t="n">
        <v>1</v>
      </c>
      <c r="L653" s="640" t="n">
        <v>1</v>
      </c>
      <c r="M653" s="623" t="inlineStr">
        <is>
          <t>Samsung 32" вертикальный</t>
        </is>
      </c>
      <c r="N653" s="640" t="n"/>
      <c r="O653" s="640">
        <f>IF(AND(N653=1,L653=1),K653,"")</f>
        <v/>
      </c>
      <c r="P653" s="642" t="inlineStr">
        <is>
          <t>Углич,  Ростовское шоссе,14</t>
        </is>
      </c>
      <c r="Q653" s="640" t="inlineStr">
        <is>
          <t>57.511735</t>
        </is>
      </c>
      <c r="R653" s="494" t="inlineStr">
        <is>
          <t>38.337092</t>
        </is>
      </c>
      <c r="S653" s="436" t="n"/>
      <c r="T653" s="436" t="n"/>
      <c r="U653" s="438" t="n"/>
      <c r="V653" s="438">
        <f>IF(AND(N653=1,U653=1),C653,"")</f>
        <v/>
      </c>
      <c r="W653" s="387" t="n"/>
      <c r="X653" s="387" t="n"/>
      <c r="Y653" s="387" t="n"/>
    </row>
    <row r="654" hidden="1" ht="16.05" customFormat="1" customHeight="1" s="126">
      <c r="A654" s="125" t="n">
        <v>897</v>
      </c>
      <c r="B654" s="125" t="n"/>
      <c r="C654" s="130" t="inlineStr">
        <is>
          <t>Ярославль</t>
        </is>
      </c>
      <c r="D654" s="130" t="inlineStr">
        <is>
          <t>Ярославль</t>
        </is>
      </c>
      <c r="E654" s="130" t="n"/>
      <c r="F654" s="130" t="inlineStr">
        <is>
          <t>АЗС</t>
        </is>
      </c>
      <c r="G654" s="130" t="inlineStr">
        <is>
          <t>Роснефть</t>
        </is>
      </c>
      <c r="H654" s="131" t="n">
        <v>57</v>
      </c>
      <c r="I654" s="637" t="inlineStr">
        <is>
          <t>TNK_57</t>
        </is>
      </c>
      <c r="J654" s="637" t="inlineStr">
        <is>
          <t>YAR_TNK_057</t>
        </is>
      </c>
      <c r="K654" s="640" t="n">
        <v>1</v>
      </c>
      <c r="L654" s="640" t="n">
        <v>1</v>
      </c>
      <c r="M654" s="623" t="inlineStr">
        <is>
          <t>Samsung 32" вертикальный</t>
        </is>
      </c>
      <c r="N654" s="640" t="n"/>
      <c r="O654" s="640">
        <f>IF(AND(N654=1,L654=1),K654,"")</f>
        <v/>
      </c>
      <c r="P654" s="642" t="inlineStr">
        <is>
          <t>Ярословская область, г.Углич,Ярославское шоссе,68</t>
        </is>
      </c>
      <c r="Q654" s="640" t="inlineStr">
        <is>
          <t>57.53809</t>
        </is>
      </c>
      <c r="R654" s="494" t="inlineStr">
        <is>
          <t>38.354477</t>
        </is>
      </c>
      <c r="S654" s="436" t="n"/>
      <c r="T654" s="436" t="n"/>
      <c r="U654" s="438" t="n"/>
      <c r="V654" s="438">
        <f>IF(AND(N654=1,U654=1),C654,"")</f>
        <v/>
      </c>
      <c r="W654" s="387" t="n"/>
      <c r="X654" s="387" t="n"/>
      <c r="Y654" s="387" t="n"/>
    </row>
    <row r="655" hidden="1" ht="16.05" customFormat="1" customHeight="1" s="126">
      <c r="A655" s="125" t="n">
        <v>898</v>
      </c>
      <c r="B655" s="125" t="n"/>
      <c r="C655" s="130" t="inlineStr">
        <is>
          <t>Кострома</t>
        </is>
      </c>
      <c r="D655" s="130" t="inlineStr">
        <is>
          <t>Кострома</t>
        </is>
      </c>
      <c r="E655" s="130" t="n"/>
      <c r="F655" s="130" t="inlineStr">
        <is>
          <t>АЗС</t>
        </is>
      </c>
      <c r="G655" s="130" t="inlineStr">
        <is>
          <t>Роснефть</t>
        </is>
      </c>
      <c r="H655" s="131" t="n">
        <v>207</v>
      </c>
      <c r="I655" s="637" t="inlineStr">
        <is>
          <t>TNK_207</t>
        </is>
      </c>
      <c r="J655" s="637" t="inlineStr">
        <is>
          <t>KRM_TNK_207</t>
        </is>
      </c>
      <c r="K655" s="640" t="n">
        <v>1</v>
      </c>
      <c r="L655" s="640" t="n">
        <v>1</v>
      </c>
      <c r="M655" s="623" t="inlineStr">
        <is>
          <t>Samsung 32" вертикальный</t>
        </is>
      </c>
      <c r="N655" s="640" t="n"/>
      <c r="O655" s="640">
        <f>IF(AND(N655=1,L655=1),K655,"")</f>
        <v/>
      </c>
      <c r="P655" s="642" t="inlineStr">
        <is>
          <t>Кострома, по Волгореченскому шоссе (Кострома, Волгореченское шоссе, 3Б)</t>
        </is>
      </c>
      <c r="Q655" s="640" t="inlineStr">
        <is>
          <t>57.725263</t>
        </is>
      </c>
      <c r="R655" s="494" t="inlineStr">
        <is>
          <t>40.896774</t>
        </is>
      </c>
      <c r="S655" s="436" t="n"/>
      <c r="T655" s="436" t="n"/>
      <c r="U655" s="438" t="n"/>
      <c r="V655" s="438">
        <f>IF(AND(N655=1,U655=1),C655,"")</f>
        <v/>
      </c>
      <c r="W655" s="387" t="n"/>
      <c r="X655" s="387" t="n"/>
      <c r="Y655" s="387" t="n"/>
    </row>
    <row r="656" hidden="1" ht="16.05" customFormat="1" customHeight="1" s="126">
      <c r="A656" s="125" t="n">
        <v>899</v>
      </c>
      <c r="B656" s="125" t="n"/>
      <c r="C656" s="130" t="inlineStr">
        <is>
          <t>Кострома</t>
        </is>
      </c>
      <c r="D656" s="130" t="inlineStr">
        <is>
          <t>Кострома</t>
        </is>
      </c>
      <c r="E656" s="130" t="n"/>
      <c r="F656" s="130" t="inlineStr">
        <is>
          <t>АЗС</t>
        </is>
      </c>
      <c r="G656" s="130" t="inlineStr">
        <is>
          <t>Роснефть</t>
        </is>
      </c>
      <c r="H656" s="131" t="n">
        <v>212</v>
      </c>
      <c r="I656" s="637" t="inlineStr">
        <is>
          <t>TNK_212</t>
        </is>
      </c>
      <c r="J656" s="637" t="inlineStr">
        <is>
          <t>KRM_TNK_212</t>
        </is>
      </c>
      <c r="K656" s="640" t="n">
        <v>1</v>
      </c>
      <c r="L656" s="640" t="n">
        <v>1</v>
      </c>
      <c r="M656" s="623" t="inlineStr">
        <is>
          <t>Samsung 32" вертикальный</t>
        </is>
      </c>
      <c r="N656" s="640" t="n"/>
      <c r="O656" s="640">
        <f>IF(AND(N656=1,L656=1),K656,"")</f>
        <v/>
      </c>
      <c r="P656" s="642" t="inlineStr">
        <is>
          <t>Кострома, Галичская (Кострома, Галичская улица, 101Б)</t>
        </is>
      </c>
      <c r="Q656" s="640" t="inlineStr">
        <is>
          <t>57.780193</t>
        </is>
      </c>
      <c r="R656" s="494" t="inlineStr">
        <is>
          <t>40.965889</t>
        </is>
      </c>
      <c r="S656" s="436" t="n"/>
      <c r="T656" s="436" t="n"/>
      <c r="U656" s="438" t="n"/>
      <c r="V656" s="438">
        <f>IF(AND(N656=1,U656=1),C656,"")</f>
        <v/>
      </c>
      <c r="W656" s="387" t="n"/>
      <c r="X656" s="387" t="n"/>
      <c r="Y656" s="387" t="n"/>
    </row>
    <row r="657" hidden="1" ht="16.05" customFormat="1" customHeight="1" s="126">
      <c r="A657" s="125" t="n">
        <v>900</v>
      </c>
      <c r="B657" s="125" t="n"/>
      <c r="C657" s="130" t="inlineStr">
        <is>
          <t>Кострома</t>
        </is>
      </c>
      <c r="D657" s="130" t="inlineStr">
        <is>
          <t>Кострома</t>
        </is>
      </c>
      <c r="E657" s="130" t="n"/>
      <c r="F657" s="130" t="inlineStr">
        <is>
          <t>АЗС</t>
        </is>
      </c>
      <c r="G657" s="130" t="inlineStr">
        <is>
          <t>Роснефть</t>
        </is>
      </c>
      <c r="H657" s="131" t="n">
        <v>205</v>
      </c>
      <c r="I657" s="637" t="inlineStr">
        <is>
          <t>TNK_205</t>
        </is>
      </c>
      <c r="J657" s="637" t="inlineStr">
        <is>
          <t>KRM_TNK_205</t>
        </is>
      </c>
      <c r="K657" s="640" t="n">
        <v>1</v>
      </c>
      <c r="L657" s="640" t="n">
        <v>1</v>
      </c>
      <c r="M657" s="623" t="inlineStr">
        <is>
          <t>Samsung 32" вертикальный</t>
        </is>
      </c>
      <c r="N657" s="640" t="n"/>
      <c r="O657" s="640">
        <f>IF(AND(N657=1,L657=1),K657,"")</f>
        <v/>
      </c>
      <c r="P657" s="642" t="inlineStr">
        <is>
          <t>Кострома, Профсоюзная (Кострома, Профсоюзная улица, 8Б)</t>
        </is>
      </c>
      <c r="Q657" s="640" t="inlineStr">
        <is>
          <t>57.735704</t>
        </is>
      </c>
      <c r="R657" s="494" t="inlineStr">
        <is>
          <t>40.994631</t>
        </is>
      </c>
      <c r="S657" s="436" t="n"/>
      <c r="T657" s="436" t="n"/>
      <c r="U657" s="438" t="n"/>
      <c r="V657" s="438">
        <f>IF(AND(N657=1,U657=1),C657,"")</f>
        <v/>
      </c>
      <c r="W657" s="387" t="n"/>
      <c r="X657" s="387" t="n"/>
      <c r="Y657" s="387" t="n"/>
    </row>
    <row r="658" hidden="1" ht="16.05" customFormat="1" customHeight="1" s="126">
      <c r="A658" s="125" t="n">
        <v>902</v>
      </c>
      <c r="B658" s="125" t="n"/>
      <c r="C658" s="130" t="inlineStr">
        <is>
          <t>Ярославль</t>
        </is>
      </c>
      <c r="D658" s="130" t="inlineStr">
        <is>
          <t>Ярославль</t>
        </is>
      </c>
      <c r="E658" s="130" t="n"/>
      <c r="F658" s="130" t="inlineStr">
        <is>
          <t>АЗС</t>
        </is>
      </c>
      <c r="G658" s="130" t="inlineStr">
        <is>
          <t>Роснефть</t>
        </is>
      </c>
      <c r="H658" s="131" t="inlineStr">
        <is>
          <t>56 A</t>
        </is>
      </c>
      <c r="I658" s="637" t="inlineStr">
        <is>
          <t>TNK_56 A</t>
        </is>
      </c>
      <c r="J658" s="637" t="inlineStr">
        <is>
          <t>YAR_TNK_056_a</t>
        </is>
      </c>
      <c r="K658" s="640" t="n">
        <v>1</v>
      </c>
      <c r="L658" s="640" t="n">
        <v>1</v>
      </c>
      <c r="M658" s="623" t="inlineStr">
        <is>
          <t>Samsung 32" вертикальный</t>
        </is>
      </c>
      <c r="N658" s="640" t="n"/>
      <c r="O658" s="640">
        <f>IF(AND(N658=1,L658=1),K658,"")</f>
        <v/>
      </c>
      <c r="P658" s="642" t="inlineStr">
        <is>
          <t>Ярославль, Дачная, 1</t>
        </is>
      </c>
      <c r="Q658" s="640" t="inlineStr">
        <is>
          <t>57.644442</t>
        </is>
      </c>
      <c r="R658" s="494" t="inlineStr">
        <is>
          <t>39.91456</t>
        </is>
      </c>
      <c r="S658" s="436" t="n"/>
      <c r="T658" s="436" t="n"/>
      <c r="U658" s="438" t="n"/>
      <c r="V658" s="438">
        <f>IF(AND(N658=1,U658=1),C658,"")</f>
        <v/>
      </c>
      <c r="W658" s="387" t="n"/>
      <c r="X658" s="387" t="n"/>
      <c r="Y658" s="387" t="n"/>
    </row>
    <row r="659" hidden="1" ht="16.05" customFormat="1" customHeight="1" s="126">
      <c r="A659" s="125" t="n">
        <v>903</v>
      </c>
      <c r="B659" s="125" t="n"/>
      <c r="C659" s="130" t="inlineStr">
        <is>
          <t>Ярославль</t>
        </is>
      </c>
      <c r="D659" s="130" t="inlineStr">
        <is>
          <t>Ярославль</t>
        </is>
      </c>
      <c r="E659" s="130" t="n"/>
      <c r="F659" s="130" t="inlineStr">
        <is>
          <t>АЗС</t>
        </is>
      </c>
      <c r="G659" s="130" t="inlineStr">
        <is>
          <t>Роснефть</t>
        </is>
      </c>
      <c r="H659" s="131" t="inlineStr">
        <is>
          <t>56 B</t>
        </is>
      </c>
      <c r="I659" s="637" t="inlineStr">
        <is>
          <t>TNK_56 B</t>
        </is>
      </c>
      <c r="J659" s="637" t="inlineStr">
        <is>
          <t>YAR_TNK_056_b</t>
        </is>
      </c>
      <c r="K659" s="640" t="n">
        <v>1</v>
      </c>
      <c r="L659" s="640" t="n">
        <v>1</v>
      </c>
      <c r="M659" s="623" t="inlineStr">
        <is>
          <t>Samsung 32" вертикальный</t>
        </is>
      </c>
      <c r="N659" s="640" t="n"/>
      <c r="O659" s="640">
        <f>IF(AND(N659=1,L659=1),K659,"")</f>
        <v/>
      </c>
      <c r="P659" s="642" t="inlineStr">
        <is>
          <t>Ярославль, Дачная, 2</t>
        </is>
      </c>
      <c r="Q659" s="640" t="inlineStr">
        <is>
          <t>57.643665</t>
        </is>
      </c>
      <c r="R659" s="494" t="inlineStr">
        <is>
          <t>39.913415</t>
        </is>
      </c>
      <c r="S659" s="436" t="n"/>
      <c r="T659" s="436" t="n"/>
      <c r="U659" s="438" t="n"/>
      <c r="V659" s="438">
        <f>IF(AND(N659=1,U659=1),C659,"")</f>
        <v/>
      </c>
      <c r="W659" s="387" t="n"/>
      <c r="X659" s="387" t="n"/>
      <c r="Y659" s="387" t="n"/>
    </row>
    <row r="660" hidden="1" ht="16.05" customFormat="1" customHeight="1" s="126">
      <c r="A660" s="125" t="n">
        <v>904</v>
      </c>
      <c r="B660" s="125" t="n"/>
      <c r="C660" s="130" t="inlineStr">
        <is>
          <t>Ярославль</t>
        </is>
      </c>
      <c r="D660" s="130" t="inlineStr">
        <is>
          <t>Ярославль</t>
        </is>
      </c>
      <c r="E660" s="130" t="n"/>
      <c r="F660" s="130" t="inlineStr">
        <is>
          <t>АЗС</t>
        </is>
      </c>
      <c r="G660" s="130" t="inlineStr">
        <is>
          <t>Роснефть</t>
        </is>
      </c>
      <c r="H660" s="131" t="n">
        <v>22</v>
      </c>
      <c r="I660" s="637" t="inlineStr">
        <is>
          <t>TNK_22</t>
        </is>
      </c>
      <c r="J660" s="637" t="inlineStr">
        <is>
          <t>YAR_TNK_022</t>
        </is>
      </c>
      <c r="K660" s="640" t="n">
        <v>1</v>
      </c>
      <c r="L660" s="640" t="n">
        <v>0</v>
      </c>
      <c r="M660" s="623" t="inlineStr">
        <is>
          <t>Samsung 32" вертикальный</t>
        </is>
      </c>
      <c r="N660" s="640" t="n"/>
      <c r="O660" s="640">
        <f>IF(AND(N660=1,L660=1),K660,"")</f>
        <v/>
      </c>
      <c r="P660" s="642" t="inlineStr">
        <is>
          <t>Ярославль,Тормозное шоссе, 107</t>
        </is>
      </c>
      <c r="Q660" s="640" t="inlineStr">
        <is>
          <t>57.563261</t>
        </is>
      </c>
      <c r="R660" s="494" t="inlineStr">
        <is>
          <t>39.943697</t>
        </is>
      </c>
      <c r="S660" s="436" t="n"/>
      <c r="T660" s="436" t="n"/>
      <c r="U660" s="438" t="n"/>
      <c r="V660" s="438">
        <f>IF(AND(N660=1,U660=1),C660,"")</f>
        <v/>
      </c>
      <c r="W660" s="387" t="n"/>
      <c r="X660" s="387" t="n"/>
      <c r="Y660" s="387" t="n"/>
    </row>
    <row r="661" hidden="1" ht="16.05" customFormat="1" customHeight="1" s="126">
      <c r="A661" s="125" t="n">
        <v>901</v>
      </c>
      <c r="B661" s="125" t="n"/>
      <c r="C661" s="130" t="inlineStr">
        <is>
          <t>Кострома</t>
        </is>
      </c>
      <c r="D661" s="130" t="inlineStr">
        <is>
          <t>Кострома</t>
        </is>
      </c>
      <c r="E661" s="130" t="n"/>
      <c r="F661" s="130" t="inlineStr">
        <is>
          <t>АЗС</t>
        </is>
      </c>
      <c r="G661" s="130" t="inlineStr">
        <is>
          <t>ТНК</t>
        </is>
      </c>
      <c r="H661" s="131" t="n">
        <v>202</v>
      </c>
      <c r="I661" s="637" t="inlineStr">
        <is>
          <t>TNK_202</t>
        </is>
      </c>
      <c r="J661" s="637" t="inlineStr">
        <is>
          <t>KRM_TNK_202</t>
        </is>
      </c>
      <c r="K661" s="640" t="n">
        <v>1</v>
      </c>
      <c r="L661" s="640" t="n">
        <v>0</v>
      </c>
      <c r="M661" s="640" t="inlineStr">
        <is>
          <t>Samsung 32" вертикальный</t>
        </is>
      </c>
      <c r="N661" s="640" t="n"/>
      <c r="O661" s="640">
        <f>IF(AND(N661=1,L661=1),K661,"")</f>
        <v/>
      </c>
      <c r="P661" s="642" t="inlineStr">
        <is>
          <t>Кострома, 2-я Волжская, д.23</t>
        </is>
      </c>
      <c r="Q661" s="640" t="inlineStr">
        <is>
          <t>57.743785</t>
        </is>
      </c>
      <c r="R661" s="422" t="inlineStr">
        <is>
          <t>40.978727</t>
        </is>
      </c>
      <c r="S661" s="436" t="n"/>
      <c r="T661" s="436" t="n"/>
      <c r="U661" s="438" t="n"/>
      <c r="V661" s="438">
        <f>IF(AND(N661=1,U661=1),C661,"")</f>
        <v/>
      </c>
      <c r="W661" s="387" t="n"/>
      <c r="X661" s="387" t="n"/>
      <c r="Y661" s="387" t="n"/>
    </row>
    <row r="662" hidden="1" ht="16.05" customFormat="1" customHeight="1" s="126">
      <c r="A662" s="125" t="n">
        <v>905</v>
      </c>
      <c r="B662" s="125" t="n"/>
      <c r="C662" s="130" t="inlineStr">
        <is>
          <t>Ярославль</t>
        </is>
      </c>
      <c r="D662" s="130" t="inlineStr">
        <is>
          <t>Ярославская область</t>
        </is>
      </c>
      <c r="E662" s="130" t="n"/>
      <c r="F662" s="130" t="inlineStr">
        <is>
          <t>АЗС</t>
        </is>
      </c>
      <c r="G662" s="130" t="inlineStr">
        <is>
          <t>Роснефть</t>
        </is>
      </c>
      <c r="H662" s="131" t="n">
        <v>46</v>
      </c>
      <c r="I662" s="637" t="inlineStr">
        <is>
          <t>TNK_46</t>
        </is>
      </c>
      <c r="J662" s="637" t="inlineStr">
        <is>
          <t>YAR_TNK_046</t>
        </is>
      </c>
      <c r="K662" s="640" t="n">
        <v>1</v>
      </c>
      <c r="L662" s="640" t="n">
        <v>1</v>
      </c>
      <c r="M662" s="623" t="inlineStr">
        <is>
          <t>Samsung 32" вертикальный</t>
        </is>
      </c>
      <c r="N662" s="640" t="n"/>
      <c r="O662" s="640">
        <f>IF(AND(N662=1,L662=1),K662,"")</f>
        <v/>
      </c>
      <c r="P662" s="642" t="inlineStr">
        <is>
          <t>Ярославская область, Пересл.район,Троицкий с/с, д.Маурино, а/д М8 при въезде из г.Переславль, (в районе 155км.) справа</t>
        </is>
      </c>
      <c r="Q662" s="640" t="inlineStr">
        <is>
          <t>56.780363</t>
        </is>
      </c>
      <c r="R662" s="494" t="inlineStr">
        <is>
          <t>38.882182</t>
        </is>
      </c>
      <c r="S662" s="436" t="n"/>
      <c r="T662" s="436" t="n"/>
      <c r="U662" s="438" t="n"/>
      <c r="V662" s="438">
        <f>IF(AND(N662=1,U662=1),C662,"")</f>
        <v/>
      </c>
      <c r="W662" s="387" t="n"/>
      <c r="X662" s="387" t="n"/>
      <c r="Y662" s="387" t="n"/>
    </row>
    <row r="663" hidden="1" ht="16.05" customFormat="1" customHeight="1" s="126">
      <c r="A663" s="125" t="n">
        <v>906</v>
      </c>
      <c r="B663" s="125" t="n"/>
      <c r="C663" s="130" t="inlineStr">
        <is>
          <t>Ярославль</t>
        </is>
      </c>
      <c r="D663" s="130" t="inlineStr">
        <is>
          <t>Ярославль</t>
        </is>
      </c>
      <c r="E663" s="130" t="n"/>
      <c r="F663" s="130" t="inlineStr">
        <is>
          <t>АЗС</t>
        </is>
      </c>
      <c r="G663" s="130" t="inlineStr">
        <is>
          <t>Роснефть</t>
        </is>
      </c>
      <c r="H663" s="131" t="n">
        <v>55</v>
      </c>
      <c r="I663" s="637" t="inlineStr">
        <is>
          <t>TNK_55</t>
        </is>
      </c>
      <c r="J663" s="637" t="inlineStr">
        <is>
          <t>YAR_TNK_055</t>
        </is>
      </c>
      <c r="K663" s="640" t="n">
        <v>1</v>
      </c>
      <c r="L663" s="640" t="n">
        <v>1</v>
      </c>
      <c r="M663" s="623" t="inlineStr">
        <is>
          <t>Samsung 32" вертикальный</t>
        </is>
      </c>
      <c r="N663" s="640" t="n"/>
      <c r="O663" s="640">
        <f>IF(AND(N663=1,L663=1),K663,"")</f>
        <v/>
      </c>
      <c r="P663" s="642" t="inlineStr">
        <is>
          <t>Ярославль, пр.Фрунзе, 1</t>
        </is>
      </c>
      <c r="Q663" s="640" t="inlineStr">
        <is>
          <t>57.599981</t>
        </is>
      </c>
      <c r="R663" s="494" t="inlineStr">
        <is>
          <t>39.876744</t>
        </is>
      </c>
      <c r="S663" s="436" t="n"/>
      <c r="T663" s="436" t="n"/>
      <c r="U663" s="438" t="n"/>
      <c r="V663" s="438">
        <f>IF(AND(N663=1,U663=1),C663,"")</f>
        <v/>
      </c>
      <c r="W663" s="387" t="n"/>
      <c r="X663" s="387" t="n"/>
      <c r="Y663" s="387" t="n"/>
    </row>
    <row r="664" hidden="1" ht="16.05" customFormat="1" customHeight="1" s="126">
      <c r="A664" s="125" t="n">
        <v>907</v>
      </c>
      <c r="B664" s="125" t="n"/>
      <c r="C664" s="130" t="inlineStr">
        <is>
          <t>Ярославль</t>
        </is>
      </c>
      <c r="D664" s="130" t="inlineStr">
        <is>
          <t>Ярославская область</t>
        </is>
      </c>
      <c r="E664" s="130" t="n"/>
      <c r="F664" s="130" t="inlineStr">
        <is>
          <t>АЗС</t>
        </is>
      </c>
      <c r="G664" s="130" t="inlineStr">
        <is>
          <t>Роснефть</t>
        </is>
      </c>
      <c r="H664" s="131" t="n">
        <v>28</v>
      </c>
      <c r="I664" s="637" t="inlineStr">
        <is>
          <t>TNK_28</t>
        </is>
      </c>
      <c r="J664" s="637" t="inlineStr">
        <is>
          <t>YAR_TNK_028</t>
        </is>
      </c>
      <c r="K664" s="640" t="n">
        <v>1</v>
      </c>
      <c r="L664" s="640" t="n">
        <v>1</v>
      </c>
      <c r="M664" s="623" t="inlineStr">
        <is>
          <t>Samsung 32" вертикальный</t>
        </is>
      </c>
      <c r="N664" s="640" t="n"/>
      <c r="O664" s="640">
        <f>IF(AND(N664=1,L664=1),K664,"")</f>
        <v/>
      </c>
      <c r="P664" s="642" t="inlineStr">
        <is>
          <t>Ярославская область, Гаврилов-Ямский район, д. Шалаево,АЗК 28</t>
        </is>
      </c>
      <c r="Q664" s="640" t="inlineStr">
        <is>
          <t>57.368803</t>
        </is>
      </c>
      <c r="R664" s="494" t="inlineStr">
        <is>
          <t>39.59854</t>
        </is>
      </c>
      <c r="S664" s="436" t="n"/>
      <c r="T664" s="436" t="n"/>
      <c r="U664" s="438" t="n"/>
      <c r="V664" s="438">
        <f>IF(AND(N664=1,U664=1),C664,"")</f>
        <v/>
      </c>
      <c r="W664" s="387" t="n"/>
      <c r="X664" s="387" t="n"/>
      <c r="Y664" s="387" t="n"/>
    </row>
    <row r="665" hidden="1" ht="16.05" customFormat="1" customHeight="1" s="126">
      <c r="A665" s="125" t="n">
        <v>908</v>
      </c>
      <c r="B665" s="125" t="n"/>
      <c r="C665" s="130" t="inlineStr">
        <is>
          <t>Ярославль</t>
        </is>
      </c>
      <c r="D665" s="130" t="inlineStr">
        <is>
          <t>Ярославль</t>
        </is>
      </c>
      <c r="E665" s="130" t="n"/>
      <c r="F665" s="130" t="inlineStr">
        <is>
          <t>АЗС</t>
        </is>
      </c>
      <c r="G665" s="130" t="inlineStr">
        <is>
          <t>Роснефть</t>
        </is>
      </c>
      <c r="H665" s="131" t="n">
        <v>12</v>
      </c>
      <c r="I665" s="637" t="inlineStr">
        <is>
          <t>TNK_12</t>
        </is>
      </c>
      <c r="J665" s="637" t="inlineStr">
        <is>
          <t>YAR_TNK_012</t>
        </is>
      </c>
      <c r="K665" s="640" t="n">
        <v>1</v>
      </c>
      <c r="L665" s="640" t="n">
        <v>1</v>
      </c>
      <c r="M665" s="623" t="inlineStr">
        <is>
          <t>Samsung 32" вертикальный</t>
        </is>
      </c>
      <c r="N665" s="640" t="n"/>
      <c r="O665" s="640">
        <f>IF(AND(N665=1,L665=1),K665,"")</f>
        <v/>
      </c>
      <c r="P665" s="642" t="inlineStr">
        <is>
          <t>Ярославль,Тутаевское шоссе  (Ярославль,Тутаевское шоссе , 9А)</t>
        </is>
      </c>
      <c r="Q665" s="640" t="inlineStr">
        <is>
          <t>57.67269</t>
        </is>
      </c>
      <c r="R665" s="494" t="inlineStr">
        <is>
          <t>39.833254</t>
        </is>
      </c>
      <c r="S665" s="436" t="n"/>
      <c r="T665" s="436" t="n"/>
      <c r="U665" s="438" t="n"/>
      <c r="V665" s="438">
        <f>IF(AND(N665=1,U665=1),C665,"")</f>
        <v/>
      </c>
      <c r="W665" s="387" t="n"/>
      <c r="X665" s="387" t="n"/>
      <c r="Y665" s="387" t="n"/>
    </row>
    <row r="666" hidden="1" ht="16.05" customFormat="1" customHeight="1" s="126">
      <c r="A666" s="125" t="n">
        <v>909</v>
      </c>
      <c r="B666" s="125" t="n"/>
      <c r="C666" s="130" t="inlineStr">
        <is>
          <t>Ярославль</t>
        </is>
      </c>
      <c r="D666" s="130" t="inlineStr">
        <is>
          <t>Ярославль</t>
        </is>
      </c>
      <c r="E666" s="130" t="n"/>
      <c r="F666" s="130" t="inlineStr">
        <is>
          <t>АЗС</t>
        </is>
      </c>
      <c r="G666" s="130" t="inlineStr">
        <is>
          <t>Роснефть</t>
        </is>
      </c>
      <c r="H666" s="131" t="n">
        <v>86</v>
      </c>
      <c r="I666" s="637" t="inlineStr">
        <is>
          <t>TNK_86</t>
        </is>
      </c>
      <c r="J666" s="637" t="inlineStr">
        <is>
          <t>YAR_TNK_086</t>
        </is>
      </c>
      <c r="K666" s="640" t="n">
        <v>1</v>
      </c>
      <c r="L666" s="640" t="n">
        <v>1</v>
      </c>
      <c r="M666" s="623" t="inlineStr">
        <is>
          <t>Samsung 32" вертикальный</t>
        </is>
      </c>
      <c r="N666" s="640" t="n"/>
      <c r="O666" s="640">
        <f>IF(AND(N666=1,L666=1),K666,"")</f>
        <v/>
      </c>
      <c r="P666" s="642" t="inlineStr">
        <is>
          <t>Ярославль,  Декабристов, 11</t>
        </is>
      </c>
      <c r="Q666" s="640" t="inlineStr">
        <is>
          <t>57.596331</t>
        </is>
      </c>
      <c r="R666" s="494" t="inlineStr">
        <is>
          <t>39.807762</t>
        </is>
      </c>
      <c r="S666" s="436" t="n"/>
      <c r="T666" s="436" t="n"/>
      <c r="U666" s="438" t="n"/>
      <c r="V666" s="438">
        <f>IF(AND(N666=1,U666=1),C666,"")</f>
        <v/>
      </c>
      <c r="W666" s="387" t="n"/>
      <c r="X666" s="387" t="n"/>
      <c r="Y666" s="387" t="n"/>
    </row>
    <row r="667" hidden="1" ht="16.05" customFormat="1" customHeight="1" s="126">
      <c r="A667" s="125" t="n">
        <v>910</v>
      </c>
      <c r="B667" s="125" t="n"/>
      <c r="C667" s="130" t="inlineStr">
        <is>
          <t>Ярославль</t>
        </is>
      </c>
      <c r="D667" s="130" t="inlineStr">
        <is>
          <t>Ярославль</t>
        </is>
      </c>
      <c r="E667" s="130" t="n"/>
      <c r="F667" s="130" t="inlineStr">
        <is>
          <t>АЗС</t>
        </is>
      </c>
      <c r="G667" s="130" t="inlineStr">
        <is>
          <t>Роснефть</t>
        </is>
      </c>
      <c r="H667" s="131" t="n">
        <v>90</v>
      </c>
      <c r="I667" s="637" t="inlineStr">
        <is>
          <t>TNK_90</t>
        </is>
      </c>
      <c r="J667" s="637" t="inlineStr">
        <is>
          <t>YAR_TNK_090</t>
        </is>
      </c>
      <c r="K667" s="640" t="n">
        <v>1</v>
      </c>
      <c r="L667" s="640" t="n">
        <v>1</v>
      </c>
      <c r="M667" s="623" t="inlineStr">
        <is>
          <t>Samsung 32" вертикальный</t>
        </is>
      </c>
      <c r="N667" s="640" t="n"/>
      <c r="O667" s="640">
        <f>IF(AND(N667=1,L667=1),K667,"")</f>
        <v/>
      </c>
      <c r="P667" s="642" t="inlineStr">
        <is>
          <t>Ярославль, Тутаевское ш.,рядом с д.№13,АЗК 90</t>
        </is>
      </c>
      <c r="Q667" s="640" t="inlineStr">
        <is>
          <t>57.674821</t>
        </is>
      </c>
      <c r="R667" s="494" t="inlineStr">
        <is>
          <t>39.834296</t>
        </is>
      </c>
      <c r="S667" s="436" t="n"/>
      <c r="T667" s="436" t="n"/>
      <c r="U667" s="438" t="n"/>
      <c r="V667" s="438">
        <f>IF(AND(N667=1,U667=1),C667,"")</f>
        <v/>
      </c>
      <c r="W667" s="387" t="n"/>
      <c r="X667" s="387" t="n"/>
      <c r="Y667" s="387" t="n"/>
    </row>
    <row r="668" hidden="1" ht="16.05" customFormat="1" customHeight="1" s="126">
      <c r="A668" s="125" t="n">
        <v>911</v>
      </c>
      <c r="B668" s="125" t="n"/>
      <c r="C668" s="130" t="inlineStr">
        <is>
          <t>Ярославль</t>
        </is>
      </c>
      <c r="D668" s="130" t="inlineStr">
        <is>
          <t>Ярославская область</t>
        </is>
      </c>
      <c r="E668" s="130" t="n"/>
      <c r="F668" s="130" t="inlineStr">
        <is>
          <t>АЗС</t>
        </is>
      </c>
      <c r="G668" s="130" t="inlineStr">
        <is>
          <t>Роснефть</t>
        </is>
      </c>
      <c r="H668" s="131" t="n">
        <v>45</v>
      </c>
      <c r="I668" s="637" t="inlineStr">
        <is>
          <t>TNK_45</t>
        </is>
      </c>
      <c r="J668" s="637" t="inlineStr">
        <is>
          <t>YAR_TNK_045</t>
        </is>
      </c>
      <c r="K668" s="640" t="n">
        <v>1</v>
      </c>
      <c r="L668" s="640" t="n">
        <v>1</v>
      </c>
      <c r="M668" s="623" t="inlineStr">
        <is>
          <t>Samsung 32" вертикальный</t>
        </is>
      </c>
      <c r="N668" s="640" t="n"/>
      <c r="O668" s="640">
        <f>IF(AND(N668=1,L668=1),K668,"")</f>
        <v/>
      </c>
      <c r="P668" s="642" t="inlineStr">
        <is>
          <t>Ярославская область, Пересл.район,вблизи г.Переславля-Залесского, а/д М8 при въезде в г.Переславль, (в районе 148км) слева</t>
        </is>
      </c>
      <c r="Q668" s="640" t="inlineStr">
        <is>
          <t>56.708275</t>
        </is>
      </c>
      <c r="R668" s="494" t="inlineStr">
        <is>
          <t>38.799178</t>
        </is>
      </c>
      <c r="S668" s="436" t="n"/>
      <c r="T668" s="436" t="n"/>
      <c r="U668" s="438" t="n"/>
      <c r="V668" s="438">
        <f>IF(AND(N668=1,U668=1),C668,"")</f>
        <v/>
      </c>
      <c r="W668" s="387" t="n"/>
      <c r="X668" s="387" t="n"/>
      <c r="Y668" s="387" t="n"/>
    </row>
    <row r="669" hidden="1" ht="16.05" customHeight="1">
      <c r="A669" s="13" t="n">
        <v>912</v>
      </c>
      <c r="B669" s="13">
        <f>IF(OR(M669="Sam 32",M669="Sam 40"),"s",IF(M669="AMS","a","v"))</f>
        <v/>
      </c>
      <c r="C669" s="130" t="inlineStr">
        <is>
          <t>Рязань</t>
        </is>
      </c>
      <c r="D669" s="130" t="inlineStr">
        <is>
          <t>Рязань</t>
        </is>
      </c>
      <c r="E669" s="130" t="n"/>
      <c r="F669" s="130" t="n"/>
      <c r="G669" s="130" t="inlineStr">
        <is>
          <t>ТНК</t>
        </is>
      </c>
      <c r="H669" s="131" t="n">
        <v>3</v>
      </c>
      <c r="I669" s="637" t="inlineStr">
        <is>
          <t>TNK_3</t>
        </is>
      </c>
      <c r="J669" s="402" t="inlineStr">
        <is>
          <t>RZN_TNK_003</t>
        </is>
      </c>
      <c r="K669" s="640" t="n">
        <v>1</v>
      </c>
      <c r="L669" s="640" t="n">
        <v>0</v>
      </c>
      <c r="M669" s="640" t="inlineStr">
        <is>
          <t>Sam 32</t>
        </is>
      </c>
      <c r="N669" s="640" t="n"/>
      <c r="O669" s="640">
        <f>IF(AND(N669=1,L669=1),K669,"")</f>
        <v/>
      </c>
      <c r="P669" s="642" t="inlineStr">
        <is>
          <t>Рязань, 184 км (Окружная дорога), 1а (Московский округ</t>
        </is>
      </c>
      <c r="Q669" s="640" t="n"/>
      <c r="R669" s="422" t="n"/>
      <c r="S669" s="436" t="n"/>
      <c r="T669" s="436" t="n"/>
      <c r="U669" s="438" t="n"/>
      <c r="V669" s="438">
        <f>IF(AND(N669=1,U669=1),C669,"")</f>
        <v/>
      </c>
      <c r="X669" s="1" t="n"/>
      <c r="Y669" s="1" t="n"/>
      <c r="Z669" s="1" t="n"/>
    </row>
    <row r="670" hidden="1" ht="16.05" customFormat="1" customHeight="1" s="126">
      <c r="A670" s="125" t="n">
        <v>913</v>
      </c>
      <c r="B670" s="125" t="n"/>
      <c r="C670" s="130" t="inlineStr">
        <is>
          <t>Рязань</t>
        </is>
      </c>
      <c r="D670" s="130" t="inlineStr">
        <is>
          <t>Рязань</t>
        </is>
      </c>
      <c r="E670" s="130" t="n"/>
      <c r="F670" s="130" t="inlineStr">
        <is>
          <t>АЗС</t>
        </is>
      </c>
      <c r="G670" s="130" t="inlineStr">
        <is>
          <t>Роснефть</t>
        </is>
      </c>
      <c r="H670" s="131" t="n">
        <v>4</v>
      </c>
      <c r="I670" s="637" t="inlineStr">
        <is>
          <t>TNK_4</t>
        </is>
      </c>
      <c r="J670" s="637" t="inlineStr">
        <is>
          <t>RZN_TNK_004</t>
        </is>
      </c>
      <c r="K670" s="640" t="n">
        <v>1</v>
      </c>
      <c r="L670" s="640" t="n">
        <v>1</v>
      </c>
      <c r="M670" s="623" t="inlineStr">
        <is>
          <t>Samsung 32" вертикальный</t>
        </is>
      </c>
      <c r="N670" s="640" t="n"/>
      <c r="O670" s="640">
        <f>IF(AND(N670=1,L670=1),K670,"")</f>
        <v/>
      </c>
      <c r="P670" s="642" t="inlineStr">
        <is>
          <t>Рязань, 184 км (Окружная дорога), 6 (Московский округ)</t>
        </is>
      </c>
      <c r="Q670" s="640" t="inlineStr">
        <is>
          <t>54.647039</t>
        </is>
      </c>
      <c r="R670" s="494" t="inlineStr">
        <is>
          <t>39.640506</t>
        </is>
      </c>
      <c r="S670" s="436" t="n"/>
      <c r="T670" s="436" t="n"/>
      <c r="U670" s="438" t="n"/>
      <c r="V670" s="438">
        <f>IF(AND(N670=1,U670=1),C670,"")</f>
        <v/>
      </c>
      <c r="W670" s="387" t="n"/>
      <c r="X670" s="387" t="n"/>
      <c r="Y670" s="387" t="n"/>
    </row>
    <row r="671" hidden="1" ht="16.05" customFormat="1" customHeight="1" s="126">
      <c r="A671" s="125" t="n">
        <v>914</v>
      </c>
      <c r="B671" s="125" t="n"/>
      <c r="C671" s="130" t="inlineStr">
        <is>
          <t>Рязань</t>
        </is>
      </c>
      <c r="D671" s="130" t="inlineStr">
        <is>
          <t>Рязань</t>
        </is>
      </c>
      <c r="E671" s="130" t="n"/>
      <c r="F671" s="130" t="inlineStr">
        <is>
          <t>АЗС</t>
        </is>
      </c>
      <c r="G671" s="130" t="inlineStr">
        <is>
          <t>Роснефть</t>
        </is>
      </c>
      <c r="H671" s="131" t="n">
        <v>1</v>
      </c>
      <c r="I671" s="637" t="inlineStr">
        <is>
          <t>TNK_1</t>
        </is>
      </c>
      <c r="J671" s="637" t="inlineStr">
        <is>
          <t>RZN_TNK_001</t>
        </is>
      </c>
      <c r="K671" s="640" t="n">
        <v>2</v>
      </c>
      <c r="L671" s="640" t="n">
        <v>1</v>
      </c>
      <c r="M671" s="623" t="inlineStr">
        <is>
          <t>Samsung 32" вертикальный</t>
        </is>
      </c>
      <c r="N671" s="640" t="n"/>
      <c r="O671" s="640">
        <f>IF(AND(N671=1,L671=1),K671,"")</f>
        <v/>
      </c>
      <c r="P671" s="642" t="inlineStr">
        <is>
          <t>Рязань, Куйбышевское шоссе, 36 (Октябрьский округ)</t>
        </is>
      </c>
      <c r="Q671" s="640" t="inlineStr">
        <is>
          <t>54.582462</t>
        </is>
      </c>
      <c r="R671" s="494" t="inlineStr">
        <is>
          <t>39.773806</t>
        </is>
      </c>
      <c r="S671" s="436" t="n"/>
      <c r="T671" s="436" t="n"/>
      <c r="U671" s="438" t="n"/>
      <c r="V671" s="438">
        <f>IF(AND(N671=1,U671=1),C671,"")</f>
        <v/>
      </c>
      <c r="W671" s="387" t="n"/>
      <c r="X671" s="387" t="n"/>
      <c r="Y671" s="387" t="n"/>
    </row>
    <row r="672" hidden="1" ht="16.05" customFormat="1" customHeight="1" s="126">
      <c r="A672" s="125" t="n">
        <v>915</v>
      </c>
      <c r="B672" s="125" t="n"/>
      <c r="C672" s="130" t="inlineStr">
        <is>
          <t>Рязань</t>
        </is>
      </c>
      <c r="D672" s="130" t="inlineStr">
        <is>
          <t>Рязань</t>
        </is>
      </c>
      <c r="E672" s="130" t="n"/>
      <c r="F672" s="130" t="inlineStr">
        <is>
          <t>АЗС</t>
        </is>
      </c>
      <c r="G672" s="130" t="inlineStr">
        <is>
          <t>Роснефть</t>
        </is>
      </c>
      <c r="H672" s="131" t="n">
        <v>17</v>
      </c>
      <c r="I672" s="637" t="inlineStr">
        <is>
          <t>TNK_17</t>
        </is>
      </c>
      <c r="J672" s="637" t="inlineStr">
        <is>
          <t>RZN_TNK_017</t>
        </is>
      </c>
      <c r="K672" s="640" t="n">
        <v>1</v>
      </c>
      <c r="L672" s="640" t="n">
        <v>1</v>
      </c>
      <c r="M672" s="623" t="inlineStr">
        <is>
          <t>Samsung 32" вертикальный</t>
        </is>
      </c>
      <c r="N672" s="640" t="n"/>
      <c r="O672" s="640">
        <f>IF(AND(N672=1,L672=1),K672,"")</f>
        <v/>
      </c>
      <c r="P672" s="642" t="inlineStr">
        <is>
          <t>Рязань, Московское шоссе, 38 (Московский округ)</t>
        </is>
      </c>
      <c r="Q672" s="640" t="inlineStr">
        <is>
          <t>54.65947</t>
        </is>
      </c>
      <c r="R672" s="494" t="inlineStr">
        <is>
          <t>39.62094</t>
        </is>
      </c>
      <c r="S672" s="436" t="n"/>
      <c r="T672" s="436" t="n"/>
      <c r="U672" s="438" t="n"/>
      <c r="V672" s="438">
        <f>IF(AND(N672=1,U672=1),C672,"")</f>
        <v/>
      </c>
      <c r="W672" s="387" t="n"/>
      <c r="X672" s="387" t="n"/>
      <c r="Y672" s="387" t="n"/>
    </row>
    <row r="673" hidden="1" ht="16.05" customFormat="1" customHeight="1" s="126">
      <c r="A673" s="125" t="n">
        <v>916</v>
      </c>
      <c r="B673" s="125" t="n"/>
      <c r="C673" s="130" t="inlineStr">
        <is>
          <t>Рязань</t>
        </is>
      </c>
      <c r="D673" s="130" t="inlineStr">
        <is>
          <t>Рязань</t>
        </is>
      </c>
      <c r="E673" s="130" t="n"/>
      <c r="F673" s="130" t="inlineStr">
        <is>
          <t>АЗС</t>
        </is>
      </c>
      <c r="G673" s="130" t="inlineStr">
        <is>
          <t>Роснефть</t>
        </is>
      </c>
      <c r="H673" s="131" t="n">
        <v>19</v>
      </c>
      <c r="I673" s="637" t="inlineStr">
        <is>
          <t>TNK_19</t>
        </is>
      </c>
      <c r="J673" s="637" t="inlineStr">
        <is>
          <t>RZN_TNK_019</t>
        </is>
      </c>
      <c r="K673" s="640" t="n">
        <v>1</v>
      </c>
      <c r="L673" s="640" t="n">
        <v>1</v>
      </c>
      <c r="M673" s="623" t="inlineStr">
        <is>
          <t>Samsung 32" вертикальный</t>
        </is>
      </c>
      <c r="N673" s="640" t="n"/>
      <c r="O673" s="640">
        <f>IF(AND(N673=1,L673=1),K673,"")</f>
        <v/>
      </c>
      <c r="P673" s="642" t="inlineStr">
        <is>
          <t>Рязань, Бирюзова, 9/23, стр.1 (Московский округ)</t>
        </is>
      </c>
      <c r="Q673" s="640" t="inlineStr">
        <is>
          <t>54.671335</t>
        </is>
      </c>
      <c r="R673" s="494" t="inlineStr">
        <is>
          <t>39.649745</t>
        </is>
      </c>
      <c r="S673" s="436" t="n"/>
      <c r="T673" s="436" t="n"/>
      <c r="U673" s="438" t="n"/>
      <c r="V673" s="438">
        <f>IF(AND(N673=1,U673=1),C673,"")</f>
        <v/>
      </c>
      <c r="W673" s="387" t="n"/>
      <c r="X673" s="387" t="n"/>
      <c r="Y673" s="387" t="n"/>
    </row>
    <row r="674" hidden="1" ht="16.05" customFormat="1" customHeight="1" s="126">
      <c r="A674" s="125" t="n">
        <v>917</v>
      </c>
      <c r="B674" s="125" t="n"/>
      <c r="C674" s="130" t="inlineStr">
        <is>
          <t>Рязань</t>
        </is>
      </c>
      <c r="D674" s="130" t="inlineStr">
        <is>
          <t>Рязань</t>
        </is>
      </c>
      <c r="E674" s="130" t="n"/>
      <c r="F674" s="130" t="inlineStr">
        <is>
          <t>АЗС</t>
        </is>
      </c>
      <c r="G674" s="130" t="inlineStr">
        <is>
          <t>Роснефть</t>
        </is>
      </c>
      <c r="H674" s="131" t="n">
        <v>11</v>
      </c>
      <c r="I674" s="637" t="inlineStr">
        <is>
          <t>TNK_11</t>
        </is>
      </c>
      <c r="J674" s="637" t="inlineStr">
        <is>
          <t>RZN_TNK_011</t>
        </is>
      </c>
      <c r="K674" s="640" t="n">
        <v>1</v>
      </c>
      <c r="L674" s="640" t="n">
        <v>1</v>
      </c>
      <c r="M674" s="623" t="inlineStr">
        <is>
          <t>Samsung 32" вертикальный</t>
        </is>
      </c>
      <c r="N674" s="640" t="n"/>
      <c r="O674" s="640">
        <f>IF(AND(N674=1,L674=1),K674,"")</f>
        <v/>
      </c>
      <c r="P674" s="642" t="inlineStr">
        <is>
          <t>Рязань,  Зубковой, д.8, стр.3</t>
        </is>
      </c>
      <c r="Q674" s="640" t="inlineStr">
        <is>
          <t>54.606437</t>
        </is>
      </c>
      <c r="R674" s="494" t="inlineStr">
        <is>
          <t>39.78731</t>
        </is>
      </c>
      <c r="S674" s="436" t="n"/>
      <c r="T674" s="436" t="n"/>
      <c r="U674" s="438" t="n"/>
      <c r="V674" s="438">
        <f>IF(AND(N674=1,U674=1),C674,"")</f>
        <v/>
      </c>
      <c r="W674" s="387" t="n"/>
      <c r="X674" s="387" t="n"/>
      <c r="Y674" s="387" t="n"/>
    </row>
    <row r="675" hidden="1" ht="16.05" customFormat="1" customHeight="1" s="126">
      <c r="A675" s="125" t="n">
        <v>918</v>
      </c>
      <c r="B675" s="125" t="n"/>
      <c r="C675" s="130" t="inlineStr">
        <is>
          <t>Рязань</t>
        </is>
      </c>
      <c r="D675" s="130" t="inlineStr">
        <is>
          <t>Рязань</t>
        </is>
      </c>
      <c r="E675" s="130" t="n"/>
      <c r="F675" s="130" t="inlineStr">
        <is>
          <t>АЗС</t>
        </is>
      </c>
      <c r="G675" s="130" t="inlineStr">
        <is>
          <t>Роснефть</t>
        </is>
      </c>
      <c r="H675" s="131" t="n">
        <v>2</v>
      </c>
      <c r="I675" s="637" t="inlineStr">
        <is>
          <t>TNK_2</t>
        </is>
      </c>
      <c r="J675" s="637" t="inlineStr">
        <is>
          <t>RZN_TNK_002</t>
        </is>
      </c>
      <c r="K675" s="640" t="n">
        <v>1</v>
      </c>
      <c r="L675" s="640" t="n">
        <v>1</v>
      </c>
      <c r="M675" s="623" t="inlineStr">
        <is>
          <t>Samsung 32" вертикальный</t>
        </is>
      </c>
      <c r="N675" s="640" t="n"/>
      <c r="O675" s="640">
        <f>IF(AND(N675=1,L675=1),K675,"")</f>
        <v/>
      </c>
      <c r="P675" s="642" t="inlineStr">
        <is>
          <t>Рязань, Куйбышевское шоссе, 28 (Октябрьский округ)</t>
        </is>
      </c>
      <c r="Q675" s="640" t="inlineStr">
        <is>
          <t>54.589884</t>
        </is>
      </c>
      <c r="R675" s="494" t="inlineStr">
        <is>
          <t>39.769282</t>
        </is>
      </c>
      <c r="S675" s="436" t="n"/>
      <c r="T675" s="436" t="n"/>
      <c r="U675" s="438" t="n"/>
      <c r="V675" s="438">
        <f>IF(AND(N675=1,U675=1),C675,"")</f>
        <v/>
      </c>
      <c r="W675" s="387" t="n"/>
      <c r="X675" s="387" t="n"/>
      <c r="Y675" s="387" t="n"/>
    </row>
    <row r="676" hidden="1" ht="16.05" customFormat="1" customHeight="1" s="126">
      <c r="A676" s="125" t="n">
        <v>919</v>
      </c>
      <c r="B676" s="125" t="n"/>
      <c r="C676" s="130" t="inlineStr">
        <is>
          <t>Рязань</t>
        </is>
      </c>
      <c r="D676" s="130" t="inlineStr">
        <is>
          <t>Рязань</t>
        </is>
      </c>
      <c r="E676" s="130" t="n"/>
      <c r="F676" s="130" t="inlineStr">
        <is>
          <t>АЗС</t>
        </is>
      </c>
      <c r="G676" s="130" t="inlineStr">
        <is>
          <t>Роснефть</t>
        </is>
      </c>
      <c r="H676" s="131" t="n">
        <v>21</v>
      </c>
      <c r="I676" s="637" t="inlineStr">
        <is>
          <t>TNK_21</t>
        </is>
      </c>
      <c r="J676" s="637" t="inlineStr">
        <is>
          <t>RZN_TNK_021</t>
        </is>
      </c>
      <c r="K676" s="640" t="n">
        <v>1</v>
      </c>
      <c r="L676" s="640" t="n">
        <v>1</v>
      </c>
      <c r="M676" s="623" t="inlineStr">
        <is>
          <t>Samsung 32" вертикальный</t>
        </is>
      </c>
      <c r="N676" s="640" t="n"/>
      <c r="O676" s="640">
        <f>IF(AND(N676=1,L676=1),K676,"")</f>
        <v/>
      </c>
      <c r="P676" s="642" t="inlineStr">
        <is>
          <t>Рязань, пр.Шабулина, 29 (Московский округ)</t>
        </is>
      </c>
      <c r="Q676" s="640" t="inlineStr">
        <is>
          <t>54.659512</t>
        </is>
      </c>
      <c r="R676" s="494" t="inlineStr">
        <is>
          <t>39.663047</t>
        </is>
      </c>
      <c r="S676" s="436" t="n"/>
      <c r="T676" s="436" t="n"/>
      <c r="U676" s="438" t="n"/>
      <c r="V676" s="438">
        <f>IF(AND(N676=1,U676=1),C676,"")</f>
        <v/>
      </c>
      <c r="W676" s="387" t="n"/>
      <c r="X676" s="387" t="n"/>
      <c r="Y676" s="387" t="n"/>
    </row>
    <row r="677" hidden="1" ht="16.05" customFormat="1" customHeight="1" s="126">
      <c r="A677" s="125" t="n">
        <v>920</v>
      </c>
      <c r="B677" s="125" t="n"/>
      <c r="C677" s="130" t="inlineStr">
        <is>
          <t>Рязань</t>
        </is>
      </c>
      <c r="D677" s="130" t="inlineStr">
        <is>
          <t>Рязань</t>
        </is>
      </c>
      <c r="E677" s="130" t="n"/>
      <c r="F677" s="130" t="inlineStr">
        <is>
          <t>АЗС</t>
        </is>
      </c>
      <c r="G677" s="130" t="inlineStr">
        <is>
          <t>Роснефть</t>
        </is>
      </c>
      <c r="H677" s="131" t="n">
        <v>6</v>
      </c>
      <c r="I677" s="637" t="inlineStr">
        <is>
          <t>TNK_6</t>
        </is>
      </c>
      <c r="J677" s="637" t="inlineStr">
        <is>
          <t>RZN_TNK_006</t>
        </is>
      </c>
      <c r="K677" s="640" t="n">
        <v>1</v>
      </c>
      <c r="L677" s="640" t="n">
        <v>1</v>
      </c>
      <c r="M677" s="623" t="inlineStr">
        <is>
          <t>Samsung 32" вертикальный</t>
        </is>
      </c>
      <c r="N677" s="640" t="n"/>
      <c r="O677" s="640">
        <f>IF(AND(N677=1,L677=1),K677,"")</f>
        <v/>
      </c>
      <c r="P677" s="642" t="inlineStr">
        <is>
          <t>Рязань, Магистральная , 11 б (Московский округ)</t>
        </is>
      </c>
      <c r="Q677" s="640" t="inlineStr">
        <is>
          <t>54.653527</t>
        </is>
      </c>
      <c r="R677" s="494" t="inlineStr">
        <is>
          <t>39.640078</t>
        </is>
      </c>
      <c r="S677" s="436" t="n"/>
      <c r="T677" s="436" t="n"/>
      <c r="U677" s="438" t="n"/>
      <c r="V677" s="438">
        <f>IF(AND(N677=1,U677=1),C677,"")</f>
        <v/>
      </c>
      <c r="W677" s="387" t="n"/>
      <c r="X677" s="387" t="n"/>
      <c r="Y677" s="387" t="n"/>
    </row>
    <row r="678" hidden="1" ht="16.05" customFormat="1" customHeight="1" s="126">
      <c r="A678" s="125" t="n">
        <v>921</v>
      </c>
      <c r="B678" s="125" t="n"/>
      <c r="C678" s="130" t="inlineStr">
        <is>
          <t>Рязань</t>
        </is>
      </c>
      <c r="D678" s="130" t="inlineStr">
        <is>
          <t>Рязань</t>
        </is>
      </c>
      <c r="E678" s="130" t="n"/>
      <c r="F678" s="130" t="inlineStr">
        <is>
          <t>АЗС</t>
        </is>
      </c>
      <c r="G678" s="130" t="inlineStr">
        <is>
          <t>Роснефть</t>
        </is>
      </c>
      <c r="H678" s="131" t="n">
        <v>7</v>
      </c>
      <c r="I678" s="637" t="inlineStr">
        <is>
          <t>TNK_7</t>
        </is>
      </c>
      <c r="J678" s="637" t="inlineStr">
        <is>
          <t>RZN_TNK_007</t>
        </is>
      </c>
      <c r="K678" s="640" t="n">
        <v>1</v>
      </c>
      <c r="L678" s="640" t="n">
        <v>1</v>
      </c>
      <c r="M678" s="623" t="inlineStr">
        <is>
          <t>Samsung 32" вертикальный</t>
        </is>
      </c>
      <c r="N678" s="640" t="n"/>
      <c r="O678" s="640">
        <f>IF(AND(N678=1,L678=1),K678,"")</f>
        <v/>
      </c>
      <c r="P678" s="642" t="inlineStr">
        <is>
          <t>Рязань, Ситниковская , 69, стр.2 (Железнодорожный округ)</t>
        </is>
      </c>
      <c r="Q678" s="640" t="inlineStr">
        <is>
          <t>54.613306</t>
        </is>
      </c>
      <c r="R678" s="494" t="inlineStr">
        <is>
          <t>39.647207</t>
        </is>
      </c>
      <c r="S678" s="436" t="n"/>
      <c r="T678" s="436" t="n"/>
      <c r="U678" s="438" t="n"/>
      <c r="V678" s="438">
        <f>IF(AND(N678=1,U678=1),C678,"")</f>
        <v/>
      </c>
      <c r="W678" s="387" t="n"/>
      <c r="X678" s="387" t="n"/>
      <c r="Y678" s="387" t="n"/>
    </row>
    <row r="679" hidden="1" ht="16.05" customFormat="1" customHeight="1" s="126">
      <c r="A679" s="125" t="n">
        <v>922</v>
      </c>
      <c r="B679" s="125" t="n"/>
      <c r="C679" s="130" t="inlineStr">
        <is>
          <t>Рязань</t>
        </is>
      </c>
      <c r="D679" s="130" t="inlineStr">
        <is>
          <t>Рязань</t>
        </is>
      </c>
      <c r="E679" s="130" t="n"/>
      <c r="F679" s="130" t="inlineStr">
        <is>
          <t>АЗС</t>
        </is>
      </c>
      <c r="G679" s="130" t="inlineStr">
        <is>
          <t>Роснефть</t>
        </is>
      </c>
      <c r="H679" s="131" t="n">
        <v>25</v>
      </c>
      <c r="I679" s="637" t="inlineStr">
        <is>
          <t>RN_25</t>
        </is>
      </c>
      <c r="J679" s="637" t="inlineStr">
        <is>
          <t>RZN_TNK_025</t>
        </is>
      </c>
      <c r="K679" s="640" t="n">
        <v>1</v>
      </c>
      <c r="L679" s="640" t="n">
        <v>1</v>
      </c>
      <c r="M679" s="623" t="inlineStr">
        <is>
          <t>Samsung 32" вертикальный</t>
        </is>
      </c>
      <c r="N679" s="640" t="n"/>
      <c r="O679" s="640">
        <f>IF(AND(N679=1,L679=1),K679,"")</f>
        <v/>
      </c>
      <c r="P679" s="642" t="inlineStr">
        <is>
          <t>Рязань, 197 км (Окружная дор.), 5в (Октябрьский округ)</t>
        </is>
      </c>
      <c r="Q679" s="640" t="inlineStr">
        <is>
          <t>54.583564</t>
        </is>
      </c>
      <c r="R679" s="494" t="inlineStr">
        <is>
          <t>39.753586</t>
        </is>
      </c>
      <c r="S679" s="436" t="n"/>
      <c r="T679" s="436" t="n"/>
      <c r="U679" s="438" t="n"/>
      <c r="V679" s="438">
        <f>IF(AND(N679=1,U679=1),C679,"")</f>
        <v/>
      </c>
      <c r="W679" s="387" t="n"/>
      <c r="X679" s="387" t="n"/>
      <c r="Y679" s="387" t="n"/>
    </row>
    <row r="680" hidden="1" ht="16.05" customFormat="1" customHeight="1" s="126">
      <c r="A680" s="125" t="n">
        <v>924</v>
      </c>
      <c r="B680" s="125" t="n"/>
      <c r="C680" s="130" t="inlineStr">
        <is>
          <t>Курск</t>
        </is>
      </c>
      <c r="D680" s="130" t="inlineStr">
        <is>
          <t>Курск</t>
        </is>
      </c>
      <c r="E680" s="130" t="n"/>
      <c r="F680" s="130" t="inlineStr">
        <is>
          <t>АЗС</t>
        </is>
      </c>
      <c r="G680" s="130" t="inlineStr">
        <is>
          <t>Роснефть</t>
        </is>
      </c>
      <c r="H680" s="131" t="n">
        <v>99</v>
      </c>
      <c r="I680" s="637" t="inlineStr">
        <is>
          <t>TNK_99</t>
        </is>
      </c>
      <c r="J680" s="637" t="inlineStr">
        <is>
          <t>KSK_TNK_099</t>
        </is>
      </c>
      <c r="K680" s="640" t="n">
        <v>1</v>
      </c>
      <c r="L680" s="640" t="n">
        <v>1</v>
      </c>
      <c r="M680" s="623" t="inlineStr">
        <is>
          <t>Samsung 32" вертикальный</t>
        </is>
      </c>
      <c r="N680" s="640" t="n"/>
      <c r="O680" s="640">
        <f>IF(AND(N680=1,L680=1),K680,"")</f>
        <v/>
      </c>
      <c r="P680" s="642" t="inlineStr">
        <is>
          <t>Курск, Чайковского, 70</t>
        </is>
      </c>
      <c r="Q680" s="640" t="inlineStr">
        <is>
          <t>51.731534</t>
        </is>
      </c>
      <c r="R680" s="494" t="inlineStr">
        <is>
          <t>36.242929</t>
        </is>
      </c>
      <c r="S680" s="436" t="n"/>
      <c r="T680" s="436" t="n"/>
      <c r="U680" s="438" t="n"/>
      <c r="V680" s="438">
        <f>IF(AND(N680=1,U680=1),C680,"")</f>
        <v/>
      </c>
      <c r="W680" s="387" t="n"/>
      <c r="X680" s="387" t="n"/>
      <c r="Y680" s="387" t="n"/>
    </row>
    <row r="681" hidden="1" ht="16.05" customFormat="1" customHeight="1" s="126">
      <c r="A681" s="125" t="n">
        <v>925</v>
      </c>
      <c r="B681" s="125" t="n"/>
      <c r="C681" s="130" t="inlineStr">
        <is>
          <t>Курск</t>
        </is>
      </c>
      <c r="D681" s="130" t="inlineStr">
        <is>
          <t>Курск</t>
        </is>
      </c>
      <c r="E681" s="130" t="n"/>
      <c r="F681" s="130" t="inlineStr">
        <is>
          <t>АЗС</t>
        </is>
      </c>
      <c r="G681" s="130" t="inlineStr">
        <is>
          <t>Роснефть</t>
        </is>
      </c>
      <c r="H681" s="131" t="n">
        <v>2</v>
      </c>
      <c r="I681" s="637" t="inlineStr">
        <is>
          <t>TNK_2</t>
        </is>
      </c>
      <c r="J681" s="637" t="inlineStr">
        <is>
          <t>KSK_TNK_002</t>
        </is>
      </c>
      <c r="K681" s="640" t="n">
        <v>1</v>
      </c>
      <c r="L681" s="640" t="n">
        <v>1</v>
      </c>
      <c r="M681" s="623" t="inlineStr">
        <is>
          <t>Samsung 32" вертикальный</t>
        </is>
      </c>
      <c r="N681" s="640" t="n"/>
      <c r="O681" s="640">
        <f>IF(AND(N681=1,L681=1),K681,"")</f>
        <v/>
      </c>
      <c r="P681" s="642" t="inlineStr">
        <is>
          <t>Курск, Энгельса,5</t>
        </is>
      </c>
      <c r="Q681" s="640" t="n">
        <v>51.717345</v>
      </c>
      <c r="R681" s="494" t="n">
        <v>36.164943</v>
      </c>
      <c r="S681" s="436" t="n"/>
      <c r="T681" s="436" t="n"/>
      <c r="U681" s="438" t="n"/>
      <c r="V681" s="438">
        <f>IF(AND(N681=1,U681=1),C681,"")</f>
        <v/>
      </c>
      <c r="W681" s="387" t="n"/>
      <c r="X681" s="387" t="n"/>
      <c r="Y681" s="387" t="n"/>
    </row>
    <row r="682" hidden="1" ht="16.05" customFormat="1" customHeight="1" s="126">
      <c r="A682" s="125" t="n">
        <v>926</v>
      </c>
      <c r="B682" s="125" t="n"/>
      <c r="C682" s="130" t="inlineStr">
        <is>
          <t>Курск</t>
        </is>
      </c>
      <c r="D682" s="130" t="inlineStr">
        <is>
          <t>Курск</t>
        </is>
      </c>
      <c r="E682" s="130" t="n"/>
      <c r="F682" s="130" t="inlineStr">
        <is>
          <t>АЗС</t>
        </is>
      </c>
      <c r="G682" s="130" t="inlineStr">
        <is>
          <t>Роснефть</t>
        </is>
      </c>
      <c r="H682" s="131" t="n">
        <v>46</v>
      </c>
      <c r="I682" s="637" t="inlineStr">
        <is>
          <t>TNK_46</t>
        </is>
      </c>
      <c r="J682" s="637" t="inlineStr">
        <is>
          <t>KSK_TNK_046</t>
        </is>
      </c>
      <c r="K682" s="640" t="n">
        <v>1</v>
      </c>
      <c r="L682" s="640" t="n">
        <v>1</v>
      </c>
      <c r="M682" s="623" t="inlineStr">
        <is>
          <t>Samsung 32" вертикальный</t>
        </is>
      </c>
      <c r="N682" s="640" t="n"/>
      <c r="O682" s="640">
        <f>IF(AND(N682=1,L682=1),K682,"")</f>
        <v/>
      </c>
      <c r="P682" s="642" t="inlineStr">
        <is>
          <t>Курск, Дубровинского,131а</t>
        </is>
      </c>
      <c r="Q682" s="640" t="n">
        <v>51.766717</v>
      </c>
      <c r="R682" s="494" t="n">
        <v>36.221689</v>
      </c>
      <c r="S682" s="436" t="n"/>
      <c r="T682" s="436" t="n"/>
      <c r="U682" s="438" t="n"/>
      <c r="V682" s="438">
        <f>IF(AND(N682=1,U682=1),C682,"")</f>
        <v/>
      </c>
      <c r="W682" s="387" t="n"/>
      <c r="X682" s="387" t="n"/>
      <c r="Y682" s="387" t="n"/>
    </row>
    <row r="683" hidden="1" ht="16.05" customFormat="1" customHeight="1" s="126">
      <c r="A683" s="125" t="n">
        <v>927</v>
      </c>
      <c r="B683" s="125" t="n"/>
      <c r="C683" s="130" t="inlineStr">
        <is>
          <t>Курск</t>
        </is>
      </c>
      <c r="D683" s="130" t="inlineStr">
        <is>
          <t>Курск</t>
        </is>
      </c>
      <c r="E683" s="130" t="n"/>
      <c r="F683" s="130" t="inlineStr">
        <is>
          <t>АЗС</t>
        </is>
      </c>
      <c r="G683" s="130" t="inlineStr">
        <is>
          <t>Роснефть</t>
        </is>
      </c>
      <c r="H683" s="131" t="n">
        <v>5</v>
      </c>
      <c r="I683" s="637" t="inlineStr">
        <is>
          <t>TNK_5</t>
        </is>
      </c>
      <c r="J683" s="637" t="inlineStr">
        <is>
          <t>KSK_TNK_005</t>
        </is>
      </c>
      <c r="K683" s="640" t="n">
        <v>1</v>
      </c>
      <c r="L683" s="640" t="n">
        <v>1</v>
      </c>
      <c r="M683" s="623" t="inlineStr">
        <is>
          <t>Samsung 32" вертикальный</t>
        </is>
      </c>
      <c r="N683" s="640" t="n"/>
      <c r="O683" s="640">
        <f>IF(AND(N683=1,L683=1),K683,"")</f>
        <v/>
      </c>
      <c r="P683" s="642" t="inlineStr">
        <is>
          <t>Курск, 3-й Шоссейный пер-к, 5</t>
        </is>
      </c>
      <c r="Q683" s="640" t="inlineStr">
        <is>
          <t>51.699602</t>
        </is>
      </c>
      <c r="R683" s="494" t="inlineStr">
        <is>
          <t>36.162071</t>
        </is>
      </c>
      <c r="S683" s="436" t="n"/>
      <c r="T683" s="436" t="n"/>
      <c r="U683" s="438" t="n"/>
      <c r="V683" s="438">
        <f>IF(AND(N683=1,U683=1),C683,"")</f>
        <v/>
      </c>
      <c r="W683" s="387" t="n"/>
      <c r="X683" s="387" t="n"/>
      <c r="Y683" s="387" t="n"/>
    </row>
    <row r="684" hidden="1" ht="16.05" customFormat="1" customHeight="1" s="126">
      <c r="A684" s="125" t="n">
        <v>928</v>
      </c>
      <c r="B684" s="125" t="n"/>
      <c r="C684" s="130" t="inlineStr">
        <is>
          <t>Курск</t>
        </is>
      </c>
      <c r="D684" s="130" t="inlineStr">
        <is>
          <t>Курск</t>
        </is>
      </c>
      <c r="E684" s="130" t="n"/>
      <c r="F684" s="130" t="inlineStr">
        <is>
          <t>АЗС</t>
        </is>
      </c>
      <c r="G684" s="130" t="inlineStr">
        <is>
          <t>Роснефть</t>
        </is>
      </c>
      <c r="H684" s="131" t="n">
        <v>20</v>
      </c>
      <c r="I684" s="637" t="inlineStr">
        <is>
          <t>TNK_20</t>
        </is>
      </c>
      <c r="J684" s="637" t="inlineStr">
        <is>
          <t>KSK_TNK_020</t>
        </is>
      </c>
      <c r="K684" s="640" t="n">
        <v>1</v>
      </c>
      <c r="L684" s="640" t="n">
        <v>1</v>
      </c>
      <c r="M684" s="623" t="inlineStr">
        <is>
          <t>Samsung 32" вертикальный</t>
        </is>
      </c>
      <c r="N684" s="640" t="n"/>
      <c r="O684" s="640">
        <f>IF(AND(N684=1,L684=1),K684,"")</f>
        <v/>
      </c>
      <c r="P684" s="642" t="inlineStr">
        <is>
          <t>Курск, пр-т Ленинского комсомола (объездная дорога)</t>
        </is>
      </c>
      <c r="Q684" s="640" t="inlineStr">
        <is>
          <t>51.6564</t>
        </is>
      </c>
      <c r="R684" s="494" t="inlineStr">
        <is>
          <t>36.067219</t>
        </is>
      </c>
      <c r="S684" s="436" t="n"/>
      <c r="T684" s="436" t="n"/>
      <c r="U684" s="438" t="n"/>
      <c r="V684" s="438">
        <f>IF(AND(N684=1,U684=1),C684,"")</f>
        <v/>
      </c>
      <c r="W684" s="387" t="n"/>
      <c r="X684" s="387" t="n"/>
      <c r="Y684" s="387" t="n"/>
    </row>
    <row r="685" hidden="1" ht="16.05" customFormat="1" customHeight="1" s="126">
      <c r="A685" s="125" t="n">
        <v>929</v>
      </c>
      <c r="B685" s="125" t="n"/>
      <c r="C685" s="130" t="inlineStr">
        <is>
          <t>Курск</t>
        </is>
      </c>
      <c r="D685" s="130" t="inlineStr">
        <is>
          <t>Курск</t>
        </is>
      </c>
      <c r="E685" s="130" t="n"/>
      <c r="F685" s="130" t="inlineStr">
        <is>
          <t>АЗС</t>
        </is>
      </c>
      <c r="G685" s="130" t="inlineStr">
        <is>
          <t>Роснефть</t>
        </is>
      </c>
      <c r="H685" s="131" t="n">
        <v>38</v>
      </c>
      <c r="I685" s="637" t="inlineStr">
        <is>
          <t>TNK_38</t>
        </is>
      </c>
      <c r="J685" s="637" t="inlineStr">
        <is>
          <t>KSK_TNK_038</t>
        </is>
      </c>
      <c r="K685" s="640" t="n">
        <v>1</v>
      </c>
      <c r="L685" s="640" t="n">
        <v>1</v>
      </c>
      <c r="M685" s="623" t="inlineStr">
        <is>
          <t>Samsung 32" вертикальный</t>
        </is>
      </c>
      <c r="N685" s="640" t="n"/>
      <c r="O685" s="640">
        <f>IF(AND(N685=1,L685=1),K685,"")</f>
        <v/>
      </c>
      <c r="P685" s="642" t="inlineStr">
        <is>
          <t>Курск,  Магистральная, 44</t>
        </is>
      </c>
      <c r="Q685" s="640" t="inlineStr">
        <is>
          <t>51.64414</t>
        </is>
      </c>
      <c r="R685" s="494" t="inlineStr">
        <is>
          <t>36.127132</t>
        </is>
      </c>
      <c r="S685" s="436" t="n"/>
      <c r="T685" s="436" t="n"/>
      <c r="U685" s="438" t="n"/>
      <c r="V685" s="438">
        <f>IF(AND(N685=1,U685=1),C685,"")</f>
        <v/>
      </c>
      <c r="W685" s="387" t="n"/>
      <c r="X685" s="387" t="n"/>
      <c r="Y685" s="387" t="n"/>
    </row>
    <row r="686" hidden="1" ht="16.05" customFormat="1" customHeight="1" s="126">
      <c r="A686" s="125" t="n">
        <v>930</v>
      </c>
      <c r="B686" s="125" t="n"/>
      <c r="C686" s="130" t="inlineStr">
        <is>
          <t>Курск</t>
        </is>
      </c>
      <c r="D686" s="130" t="inlineStr">
        <is>
          <t>Медвенский район</t>
        </is>
      </c>
      <c r="E686" s="130" t="n"/>
      <c r="F686" s="130" t="inlineStr">
        <is>
          <t>АЗС</t>
        </is>
      </c>
      <c r="G686" s="130" t="inlineStr">
        <is>
          <t>Роснефть</t>
        </is>
      </c>
      <c r="H686" s="131" t="n">
        <v>28</v>
      </c>
      <c r="I686" s="637" t="inlineStr">
        <is>
          <t>TNK_28</t>
        </is>
      </c>
      <c r="J686" s="637" t="inlineStr">
        <is>
          <t>KSK_TNK_028</t>
        </is>
      </c>
      <c r="K686" s="640" t="n">
        <v>1</v>
      </c>
      <c r="L686" s="640" t="n">
        <v>1</v>
      </c>
      <c r="M686" s="623" t="inlineStr">
        <is>
          <t>Samsung 32" вертикальный</t>
        </is>
      </c>
      <c r="N686" s="640" t="n"/>
      <c r="O686" s="640">
        <f>IF(AND(N686=1,L686=1),K686,"")</f>
        <v/>
      </c>
      <c r="P686" s="642" t="inlineStr">
        <is>
          <t>Курская область, Медвенский район, п.Медвенка</t>
        </is>
      </c>
      <c r="Q686" s="640" t="inlineStr">
        <is>
          <t>51.406923</t>
        </is>
      </c>
      <c r="R686" s="494" t="inlineStr">
        <is>
          <t>36.137229</t>
        </is>
      </c>
      <c r="S686" s="436" t="n"/>
      <c r="T686" s="436" t="n"/>
      <c r="U686" s="438" t="n"/>
      <c r="V686" s="438">
        <f>IF(AND(N686=1,U686=1),C686,"")</f>
        <v/>
      </c>
      <c r="W686" s="387" t="n"/>
      <c r="X686" s="387" t="n"/>
      <c r="Y686" s="387" t="n"/>
    </row>
    <row r="687" hidden="1" ht="16.05" customFormat="1" customHeight="1" s="126">
      <c r="A687" s="125" t="n">
        <v>931</v>
      </c>
      <c r="B687" s="125" t="n"/>
      <c r="C687" s="130" t="inlineStr">
        <is>
          <t>Белгород</t>
        </is>
      </c>
      <c r="D687" s="130" t="inlineStr">
        <is>
          <t>Белгород</t>
        </is>
      </c>
      <c r="E687" s="130" t="n"/>
      <c r="F687" s="130" t="inlineStr">
        <is>
          <t>АЗС</t>
        </is>
      </c>
      <c r="G687" s="130" t="inlineStr">
        <is>
          <t>Роснефть</t>
        </is>
      </c>
      <c r="H687" s="131" t="n">
        <v>110</v>
      </c>
      <c r="I687" s="637" t="inlineStr">
        <is>
          <t>TNK_110</t>
        </is>
      </c>
      <c r="J687" s="637" t="inlineStr">
        <is>
          <t>BGD_TNK_110</t>
        </is>
      </c>
      <c r="K687" s="640" t="n">
        <v>1</v>
      </c>
      <c r="L687" s="640" t="n">
        <v>1</v>
      </c>
      <c r="M687" s="623" t="inlineStr">
        <is>
          <t>Samsung 32" вертикальный</t>
        </is>
      </c>
      <c r="N687" s="640" t="n"/>
      <c r="O687" s="640">
        <f>IF(AND(N687=1,L687=1),K687,"")</f>
        <v/>
      </c>
      <c r="P687" s="642" t="inlineStr">
        <is>
          <t>Белгород,  ул. Б.Хмельницкого, 135-К</t>
        </is>
      </c>
      <c r="Q687" s="640" t="inlineStr">
        <is>
          <t>50.623947</t>
        </is>
      </c>
      <c r="R687" s="494" t="inlineStr">
        <is>
          <t>36.574444</t>
        </is>
      </c>
      <c r="S687" s="436" t="n"/>
      <c r="T687" s="436" t="n"/>
      <c r="U687" s="438" t="n"/>
      <c r="V687" s="438">
        <f>IF(AND(N687=1,U687=1),C687,"")</f>
        <v/>
      </c>
      <c r="W687" s="387" t="n"/>
      <c r="X687" s="387" t="n"/>
      <c r="Y687" s="387" t="n"/>
    </row>
    <row r="688" hidden="1" ht="16.05" customFormat="1" customHeight="1" s="126">
      <c r="A688" s="125" t="n">
        <v>932</v>
      </c>
      <c r="B688" s="125" t="n"/>
      <c r="C688" s="130" t="inlineStr">
        <is>
          <t>Белгород</t>
        </is>
      </c>
      <c r="D688" s="130" t="inlineStr">
        <is>
          <t>Белгород</t>
        </is>
      </c>
      <c r="E688" s="130" t="n"/>
      <c r="F688" s="130" t="inlineStr">
        <is>
          <t>АЗС</t>
        </is>
      </c>
      <c r="G688" s="130" t="inlineStr">
        <is>
          <t>Роснефть</t>
        </is>
      </c>
      <c r="H688" s="131" t="n">
        <v>108</v>
      </c>
      <c r="I688" s="637" t="inlineStr">
        <is>
          <t>TNK_108</t>
        </is>
      </c>
      <c r="J688" s="637" t="inlineStr">
        <is>
          <t>BGD_TNK_108</t>
        </is>
      </c>
      <c r="K688" s="640" t="n">
        <v>1</v>
      </c>
      <c r="L688" s="640" t="n">
        <v>1</v>
      </c>
      <c r="M688" s="623" t="inlineStr">
        <is>
          <t>Samsung 32" вертикальный</t>
        </is>
      </c>
      <c r="N688" s="640" t="n"/>
      <c r="O688" s="640">
        <f>IF(AND(N688=1,L688=1),K688,"")</f>
        <v/>
      </c>
      <c r="P688" s="642" t="inlineStr">
        <is>
          <t>Белгород,  ул. Студенческая, 1-В</t>
        </is>
      </c>
      <c r="Q688" s="640" t="inlineStr">
        <is>
          <t>50.616652</t>
        </is>
      </c>
      <c r="R688" s="494" t="inlineStr">
        <is>
          <t>36.617206</t>
        </is>
      </c>
      <c r="S688" s="436" t="n"/>
      <c r="T688" s="436" t="n"/>
      <c r="U688" s="438" t="n"/>
      <c r="V688" s="438">
        <f>IF(AND(N688=1,U688=1),C688,"")</f>
        <v/>
      </c>
      <c r="W688" s="387" t="n"/>
      <c r="X688" s="387" t="n"/>
      <c r="Y688" s="387" t="n"/>
    </row>
    <row r="689" hidden="1" ht="16.05" customFormat="1" customHeight="1" s="126">
      <c r="A689" s="125" t="n">
        <v>933</v>
      </c>
      <c r="B689" s="125" t="n"/>
      <c r="C689" s="130" t="inlineStr">
        <is>
          <t>Белгород</t>
        </is>
      </c>
      <c r="D689" s="130" t="inlineStr">
        <is>
          <t>Белгород</t>
        </is>
      </c>
      <c r="E689" s="130" t="n"/>
      <c r="F689" s="130" t="inlineStr">
        <is>
          <t>АЗС</t>
        </is>
      </c>
      <c r="G689" s="130" t="inlineStr">
        <is>
          <t>Роснефть</t>
        </is>
      </c>
      <c r="H689" s="131" t="n">
        <v>103</v>
      </c>
      <c r="I689" s="637" t="inlineStr">
        <is>
          <t>TNK_103</t>
        </is>
      </c>
      <c r="J689" s="637" t="inlineStr">
        <is>
          <t>BGD_TNK_103</t>
        </is>
      </c>
      <c r="K689" s="640" t="n">
        <v>1</v>
      </c>
      <c r="L689" s="640" t="n">
        <v>1</v>
      </c>
      <c r="M689" s="623" t="inlineStr">
        <is>
          <t>Samsung 32" вертикальный</t>
        </is>
      </c>
      <c r="N689" s="640" t="n"/>
      <c r="O689" s="640">
        <f>IF(AND(N689=1,L689=1),K689,"")</f>
        <v/>
      </c>
      <c r="P689" s="642" t="inlineStr">
        <is>
          <t>Белгород,  ул. Дзгоева, 2.</t>
        </is>
      </c>
      <c r="Q689" s="640" t="inlineStr">
        <is>
          <t>50.583611</t>
        </is>
      </c>
      <c r="R689" s="494" t="inlineStr">
        <is>
          <t>36.655146</t>
        </is>
      </c>
      <c r="S689" s="436" t="n"/>
      <c r="T689" s="436" t="n"/>
      <c r="U689" s="438" t="n"/>
      <c r="V689" s="438">
        <f>IF(AND(N689=1,U689=1),C689,"")</f>
        <v/>
      </c>
      <c r="W689" s="387" t="n"/>
      <c r="X689" s="387" t="n"/>
      <c r="Y689" s="387" t="n"/>
    </row>
    <row r="690" hidden="1" ht="16.05" customFormat="1" customHeight="1" s="126">
      <c r="A690" s="125" t="n">
        <v>934</v>
      </c>
      <c r="B690" s="125" t="n"/>
      <c r="C690" s="130" t="inlineStr">
        <is>
          <t>Белгород</t>
        </is>
      </c>
      <c r="D690" s="130" t="inlineStr">
        <is>
          <t>Белгород</t>
        </is>
      </c>
      <c r="E690" s="130" t="n"/>
      <c r="F690" s="130" t="inlineStr">
        <is>
          <t>АЗС</t>
        </is>
      </c>
      <c r="G690" s="130" t="inlineStr">
        <is>
          <t>Роснефть</t>
        </is>
      </c>
      <c r="H690" s="131" t="n">
        <v>105</v>
      </c>
      <c r="I690" s="637" t="inlineStr">
        <is>
          <t>TNK_105</t>
        </is>
      </c>
      <c r="J690" s="637" t="inlineStr">
        <is>
          <t>BGD_TNK_105</t>
        </is>
      </c>
      <c r="K690" s="640" t="n">
        <v>1</v>
      </c>
      <c r="L690" s="640" t="n">
        <v>1</v>
      </c>
      <c r="M690" s="623" t="inlineStr">
        <is>
          <t>Samsung 32" вертикальный</t>
        </is>
      </c>
      <c r="N690" s="640" t="n"/>
      <c r="O690" s="640">
        <f>IF(AND(N690=1,L690=1),K690,"")</f>
        <v/>
      </c>
      <c r="P690" s="642" t="inlineStr">
        <is>
          <t>Белгород,  ул. Щорса, 45г</t>
        </is>
      </c>
      <c r="Q690" s="640" t="inlineStr">
        <is>
          <t>50.559172</t>
        </is>
      </c>
      <c r="R690" s="494" t="inlineStr">
        <is>
          <t>36.572314</t>
        </is>
      </c>
      <c r="S690" s="436" t="n"/>
      <c r="T690" s="436" t="n"/>
      <c r="U690" s="438" t="n"/>
      <c r="V690" s="438">
        <f>IF(AND(N690=1,U690=1),C690,"")</f>
        <v/>
      </c>
      <c r="W690" s="387" t="n"/>
      <c r="X690" s="387" t="n"/>
      <c r="Y690" s="387" t="n"/>
    </row>
    <row r="691" hidden="1" ht="16.05" customFormat="1" customHeight="1" s="126">
      <c r="A691" s="125" t="n">
        <v>935</v>
      </c>
      <c r="B691" s="125" t="n"/>
      <c r="C691" s="130" t="inlineStr">
        <is>
          <t>Белгород</t>
        </is>
      </c>
      <c r="D691" s="130" t="inlineStr">
        <is>
          <t>Белгород</t>
        </is>
      </c>
      <c r="E691" s="130" t="n"/>
      <c r="F691" s="130" t="inlineStr">
        <is>
          <t>АЗС</t>
        </is>
      </c>
      <c r="G691" s="130" t="inlineStr">
        <is>
          <t>Роснефть</t>
        </is>
      </c>
      <c r="H691" s="131" t="n">
        <v>106</v>
      </c>
      <c r="I691" s="637" t="inlineStr">
        <is>
          <t>TNK_106</t>
        </is>
      </c>
      <c r="J691" s="637" t="inlineStr">
        <is>
          <t>BGD_TNK_106</t>
        </is>
      </c>
      <c r="K691" s="640" t="n">
        <v>1</v>
      </c>
      <c r="L691" s="640" t="n">
        <v>0</v>
      </c>
      <c r="M691" s="623" t="inlineStr">
        <is>
          <t>Samsung 32" вертикальный</t>
        </is>
      </c>
      <c r="N691" s="640" t="n"/>
      <c r="O691" s="640">
        <f>IF(AND(N691=1,L691=1),K691,"")</f>
        <v/>
      </c>
      <c r="P691" s="642" t="inlineStr">
        <is>
          <t>Белгородская область, пос. Дубовое,  Садовая, 4</t>
        </is>
      </c>
      <c r="Q691" s="640" t="inlineStr">
        <is>
          <t>50.541874</t>
        </is>
      </c>
      <c r="R691" s="494" t="inlineStr">
        <is>
          <t>36.57297</t>
        </is>
      </c>
      <c r="S691" s="436" t="n"/>
      <c r="T691" s="436" t="n"/>
      <c r="U691" s="438" t="n"/>
      <c r="V691" s="438">
        <f>IF(AND(N691=1,U691=1),C691,"")</f>
        <v/>
      </c>
      <c r="W691" s="387" t="n"/>
      <c r="X691" s="387" t="n"/>
      <c r="Y691" s="387" t="n"/>
    </row>
    <row r="692" hidden="1" ht="16.05" customFormat="1" customHeight="1" s="126">
      <c r="A692" s="125" t="n">
        <v>936</v>
      </c>
      <c r="B692" s="125" t="n"/>
      <c r="C692" s="130" t="inlineStr">
        <is>
          <t>Белгород</t>
        </is>
      </c>
      <c r="D692" s="130" t="inlineStr">
        <is>
          <t>Белгород</t>
        </is>
      </c>
      <c r="E692" s="130" t="n"/>
      <c r="F692" s="130" t="inlineStr">
        <is>
          <t>АЗС</t>
        </is>
      </c>
      <c r="G692" s="130" t="inlineStr">
        <is>
          <t>Роснефть</t>
        </is>
      </c>
      <c r="H692" s="131" t="n">
        <v>112</v>
      </c>
      <c r="I692" s="637" t="inlineStr">
        <is>
          <t>TNK_112</t>
        </is>
      </c>
      <c r="J692" s="637" t="inlineStr">
        <is>
          <t>BGD_TNK_112</t>
        </is>
      </c>
      <c r="K692" s="640" t="n">
        <v>1</v>
      </c>
      <c r="L692" s="640" t="n">
        <v>1</v>
      </c>
      <c r="M692" s="623" t="inlineStr">
        <is>
          <t>Samsung 32" вертикальный</t>
        </is>
      </c>
      <c r="N692" s="640" t="n"/>
      <c r="O692" s="640">
        <f>IF(AND(N692=1,L692=1),K692,"")</f>
        <v/>
      </c>
      <c r="P692" s="642" t="inlineStr">
        <is>
          <t>Белгород,   ул. Магистральная, вдоль автодороги «Белгород – Харьков» пикет 22 км + 630 м (по левой стороне) в 830 м от поворота на п.Репное</t>
        </is>
      </c>
      <c r="Q692" s="640" t="inlineStr">
        <is>
          <t>50.559471</t>
        </is>
      </c>
      <c r="R692" s="494" t="inlineStr">
        <is>
          <t>36.504273</t>
        </is>
      </c>
      <c r="S692" s="436" t="n"/>
      <c r="T692" s="436" t="n"/>
      <c r="U692" s="438" t="n"/>
      <c r="V692" s="438">
        <f>IF(AND(N692=1,U692=1),C692,"")</f>
        <v/>
      </c>
      <c r="W692" s="387" t="n"/>
      <c r="X692" s="387" t="n"/>
      <c r="Y692" s="387" t="n"/>
    </row>
    <row r="693" hidden="1" ht="16.05" customFormat="1" customHeight="1" s="126">
      <c r="A693" s="125" t="n">
        <v>937</v>
      </c>
      <c r="B693" s="125" t="n"/>
      <c r="C693" s="130" t="inlineStr">
        <is>
          <t>Ростов-на-Дону</t>
        </is>
      </c>
      <c r="D693" s="130" t="inlineStr">
        <is>
          <t>Ростов-на-Дону</t>
        </is>
      </c>
      <c r="E693" s="130" t="n"/>
      <c r="F693" s="130" t="inlineStr">
        <is>
          <t>АЗС</t>
        </is>
      </c>
      <c r="G693" s="130" t="inlineStr">
        <is>
          <t>Лукойл</t>
        </is>
      </c>
      <c r="H693" s="131" t="n">
        <v>607</v>
      </c>
      <c r="I693" s="637" t="n">
        <v>61295</v>
      </c>
      <c r="J693" s="637" t="inlineStr">
        <is>
          <t>RND_LUK_61295</t>
        </is>
      </c>
      <c r="K693" s="640" t="n">
        <v>1</v>
      </c>
      <c r="L693" s="640" t="n">
        <v>0</v>
      </c>
      <c r="M693" s="640" t="inlineStr">
        <is>
          <t>Samsung 32" вертикальный</t>
        </is>
      </c>
      <c r="N693" s="640" t="n"/>
      <c r="O693" s="640">
        <f>IF(AND(N693=1,L693=1),K693,"")</f>
        <v/>
      </c>
      <c r="P693" s="642" t="inlineStr">
        <is>
          <t>Ростов-На-Дону,  Малиновского 35</t>
        </is>
      </c>
      <c r="Q693" s="640" t="inlineStr">
        <is>
          <t>47.236837</t>
        </is>
      </c>
      <c r="R693" s="422" t="inlineStr">
        <is>
          <t>39.612569</t>
        </is>
      </c>
      <c r="S693" s="436" t="n"/>
      <c r="T693" s="436" t="n"/>
      <c r="U693" s="438" t="n"/>
      <c r="V693" s="438">
        <f>IF(AND(N693=1,U693=1),C693,"")</f>
        <v/>
      </c>
      <c r="W693" s="387" t="n"/>
      <c r="X693" s="1" t="n"/>
      <c r="Y693" s="1" t="n"/>
    </row>
    <row r="694" hidden="1" ht="16.05" customFormat="1" customHeight="1" s="126">
      <c r="A694" s="125" t="n">
        <v>938</v>
      </c>
      <c r="B694" s="125" t="n"/>
      <c r="C694" s="130" t="inlineStr">
        <is>
          <t>Ростов-на-Дону</t>
        </is>
      </c>
      <c r="D694" s="130" t="inlineStr">
        <is>
          <t>Ростов-на-Дону</t>
        </is>
      </c>
      <c r="E694" s="130" t="n"/>
      <c r="F694" s="130" t="inlineStr">
        <is>
          <t>АЗС</t>
        </is>
      </c>
      <c r="G694" s="130" t="inlineStr">
        <is>
          <t>Лукойл</t>
        </is>
      </c>
      <c r="H694" s="131" t="n">
        <v>606</v>
      </c>
      <c r="I694" s="637" t="inlineStr">
        <is>
          <t>61294</t>
        </is>
      </c>
      <c r="J694" s="402" t="inlineStr">
        <is>
          <t>RND_LUK_61294</t>
        </is>
      </c>
      <c r="K694" s="640" t="n">
        <v>1</v>
      </c>
      <c r="L694" s="640" t="n">
        <v>0</v>
      </c>
      <c r="M694" s="640" t="inlineStr">
        <is>
          <t>Sam 32</t>
        </is>
      </c>
      <c r="N694" s="640" t="n"/>
      <c r="O694" s="640">
        <f>IF(AND(N694=1,L694=1),K694,"")</f>
        <v/>
      </c>
      <c r="P694" s="642" t="inlineStr">
        <is>
          <t>Ростов-На-Дону, Портовая 238/2</t>
        </is>
      </c>
      <c r="Q694" s="640" t="n">
        <v>47.202285</v>
      </c>
      <c r="R694" s="422" t="n">
        <v>39.669589</v>
      </c>
      <c r="S694" s="436" t="n"/>
      <c r="T694" s="436" t="n"/>
      <c r="U694" s="438" t="n"/>
      <c r="V694" s="438">
        <f>IF(AND(N694=1,U694=1),C694,"")</f>
        <v/>
      </c>
      <c r="W694" s="387" t="n"/>
      <c r="X694" s="1" t="n"/>
      <c r="Y694" s="1" t="n"/>
    </row>
    <row r="695" hidden="1" ht="16.05" customFormat="1" customHeight="1" s="126">
      <c r="A695" s="125" t="n">
        <v>939</v>
      </c>
      <c r="B695" s="125" t="n"/>
      <c r="C695" s="130" t="inlineStr">
        <is>
          <t>Ростов-на-Дону</t>
        </is>
      </c>
      <c r="D695" s="130" t="inlineStr">
        <is>
          <t>Ростов-на-Дону</t>
        </is>
      </c>
      <c r="E695" s="130" t="n"/>
      <c r="F695" s="130" t="inlineStr">
        <is>
          <t>АЗС</t>
        </is>
      </c>
      <c r="G695" s="130" t="inlineStr">
        <is>
          <t>Лукойл</t>
        </is>
      </c>
      <c r="H695" s="131" t="n">
        <v>615</v>
      </c>
      <c r="I695" s="637" t="inlineStr">
        <is>
          <t>61303</t>
        </is>
      </c>
      <c r="J695" s="637" t="inlineStr">
        <is>
          <t>RND_LUK_61303</t>
        </is>
      </c>
      <c r="K695" s="640" t="n">
        <v>1</v>
      </c>
      <c r="L695" s="640" t="n">
        <v>0</v>
      </c>
      <c r="M695" s="640" t="inlineStr">
        <is>
          <t>Samsung 32" вертикальный</t>
        </is>
      </c>
      <c r="N695" s="640" t="n"/>
      <c r="O695" s="640">
        <f>IF(AND(N695=1,L695=1),K695,"")</f>
        <v/>
      </c>
      <c r="P695" s="642" t="inlineStr">
        <is>
          <t>Ростов-На-Дону, около 1км от поста ГАИ г.Ростов-на-Д.в напр.на юг по Мали (улица Малиновского, 73У)</t>
        </is>
      </c>
      <c r="Q695" s="640" t="inlineStr">
        <is>
          <t>47.2552111</t>
        </is>
      </c>
      <c r="R695" s="422" t="inlineStr">
        <is>
          <t>39.6141565</t>
        </is>
      </c>
      <c r="S695" s="436" t="n"/>
      <c r="T695" s="436" t="n"/>
      <c r="U695" s="438" t="n"/>
      <c r="V695" s="438">
        <f>IF(AND(N695=1,U695=1),C695,"")</f>
        <v/>
      </c>
      <c r="W695" s="387" t="n"/>
      <c r="X695" s="1" t="n"/>
      <c r="Y695" s="1" t="n"/>
    </row>
    <row r="696" hidden="1" ht="16.05" customFormat="1" customHeight="1" s="126">
      <c r="A696" s="125" t="n">
        <v>942</v>
      </c>
      <c r="B696" s="125" t="n"/>
      <c r="C696" s="130" t="inlineStr">
        <is>
          <t>Волгоград</t>
        </is>
      </c>
      <c r="D696" s="130" t="inlineStr">
        <is>
          <t>Краснослободск</t>
        </is>
      </c>
      <c r="E696" s="130" t="n"/>
      <c r="F696" s="130" t="n"/>
      <c r="G696" s="130" t="inlineStr">
        <is>
          <t>Лукойл</t>
        </is>
      </c>
      <c r="H696" s="131" t="inlineStr">
        <is>
          <t>АЗС-65</t>
        </is>
      </c>
      <c r="I696" s="637" t="n">
        <v>34486</v>
      </c>
      <c r="J696" s="402" t="inlineStr">
        <is>
          <t>VGG_LUK_34486</t>
        </is>
      </c>
      <c r="K696" s="640" t="n">
        <v>1</v>
      </c>
      <c r="L696" s="640" t="n">
        <v>0</v>
      </c>
      <c r="M696" s="640" t="inlineStr">
        <is>
          <t>Sam 32</t>
        </is>
      </c>
      <c r="N696" s="640" t="n"/>
      <c r="O696" s="640">
        <f>IF(AND(N696=1,L696=1),K696,"")</f>
        <v/>
      </c>
      <c r="P696" s="642" t="inlineStr">
        <is>
          <t>Краснослободск, в 150м от моста через ерик "Песчанный"</t>
        </is>
      </c>
      <c r="Q696" s="640" t="n">
        <v>48.7052239</v>
      </c>
      <c r="R696" s="422" t="n">
        <v>44.6129948</v>
      </c>
      <c r="S696" s="436" t="n"/>
      <c r="T696" s="436" t="n"/>
      <c r="U696" s="438" t="n"/>
      <c r="V696" s="438">
        <f>IF(AND(N696=1,U696=1),C696,"")</f>
        <v/>
      </c>
      <c r="W696" s="387" t="n"/>
      <c r="X696" s="1" t="n"/>
      <c r="Y696" s="1" t="n"/>
    </row>
    <row r="697" hidden="1" ht="16.05" customFormat="1" customHeight="1" s="126">
      <c r="A697" s="125" t="n">
        <v>943</v>
      </c>
      <c r="B697" s="125" t="n"/>
      <c r="C697" s="130" t="inlineStr">
        <is>
          <t>Волгоград</t>
        </is>
      </c>
      <c r="D697" s="130" t="inlineStr">
        <is>
          <t>Волгоград</t>
        </is>
      </c>
      <c r="E697" s="130" t="n"/>
      <c r="F697" s="130" t="inlineStr">
        <is>
          <t>АЗС</t>
        </is>
      </c>
      <c r="G697" s="130" t="inlineStr">
        <is>
          <t>Лукойл</t>
        </is>
      </c>
      <c r="H697" s="131" t="inlineStr">
        <is>
          <t>АЗС-118</t>
        </is>
      </c>
      <c r="I697" s="637" t="n">
        <v>34417</v>
      </c>
      <c r="J697" s="637" t="inlineStr">
        <is>
          <t>VGG_LUK_34417</t>
        </is>
      </c>
      <c r="K697" s="640" t="n">
        <v>1</v>
      </c>
      <c r="L697" s="640" t="n">
        <v>0</v>
      </c>
      <c r="M697" s="640" t="inlineStr">
        <is>
          <t>Samsung 32" вертикальный</t>
        </is>
      </c>
      <c r="N697" s="640" t="n"/>
      <c r="O697" s="640">
        <f>IF(AND(N697=1,L697=1),K697,"")</f>
        <v/>
      </c>
      <c r="P697" s="642" t="inlineStr">
        <is>
          <t>Волгоград,  им. Пархоменко 57А</t>
        </is>
      </c>
      <c r="Q697" s="640" t="inlineStr">
        <is>
          <t>48.7236878</t>
        </is>
      </c>
      <c r="R697" s="422" t="inlineStr">
        <is>
          <t>44.5265633</t>
        </is>
      </c>
      <c r="S697" s="436" t="n"/>
      <c r="T697" s="436" t="n"/>
      <c r="U697" s="438" t="n"/>
      <c r="V697" s="438">
        <f>IF(AND(N697=1,U697=1),C697,"")</f>
        <v/>
      </c>
      <c r="W697" s="387" t="n"/>
      <c r="X697" s="1" t="n"/>
      <c r="Y697" s="1" t="n"/>
    </row>
    <row r="698" hidden="1" ht="16.05" customFormat="1" customHeight="1" s="126">
      <c r="A698" s="125" t="n">
        <v>944</v>
      </c>
      <c r="B698" s="125" t="n"/>
      <c r="C698" s="130" t="inlineStr">
        <is>
          <t>Волгоград</t>
        </is>
      </c>
      <c r="D698" s="130" t="inlineStr">
        <is>
          <t>Волгоград</t>
        </is>
      </c>
      <c r="E698" s="130" t="n"/>
      <c r="F698" s="130" t="inlineStr">
        <is>
          <t>АЗС</t>
        </is>
      </c>
      <c r="G698" s="130" t="inlineStr">
        <is>
          <t>Лукойл</t>
        </is>
      </c>
      <c r="H698" s="131" t="inlineStr">
        <is>
          <t>АЗС-137</t>
        </is>
      </c>
      <c r="I698" s="637" t="n">
        <v>34438</v>
      </c>
      <c r="J698" s="402" t="inlineStr">
        <is>
          <t>VGG_LUK_34438</t>
        </is>
      </c>
      <c r="K698" s="640" t="n">
        <v>1</v>
      </c>
      <c r="L698" s="640" t="n">
        <v>0</v>
      </c>
      <c r="M698" s="640" t="inlineStr">
        <is>
          <t>Sam 32</t>
        </is>
      </c>
      <c r="N698" s="640" t="n"/>
      <c r="O698" s="640">
        <f>IF(AND(N698=1,L698=1),K698,"")</f>
        <v/>
      </c>
      <c r="P698" s="642" t="inlineStr">
        <is>
          <t>Волгоград, Волжский Карбышева 59а</t>
        </is>
      </c>
      <c r="Q698" s="640" t="n">
        <v>48.7720535</v>
      </c>
      <c r="R698" s="422" t="n">
        <v>44.7811002</v>
      </c>
      <c r="S698" s="436" t="n"/>
      <c r="T698" s="436" t="n"/>
      <c r="U698" s="438" t="n"/>
      <c r="V698" s="438">
        <f>IF(AND(N698=1,U698=1),C698,"")</f>
        <v/>
      </c>
      <c r="W698" s="387" t="n"/>
      <c r="X698" s="1" t="n"/>
      <c r="Y698" s="1" t="n"/>
    </row>
    <row r="699" hidden="1" ht="16.05" customFormat="1" customHeight="1" s="126">
      <c r="A699" s="125" t="n">
        <v>945</v>
      </c>
      <c r="B699" s="125" t="n"/>
      <c r="C699" s="130" t="inlineStr">
        <is>
          <t>Волгоград</t>
        </is>
      </c>
      <c r="D699" s="130" t="inlineStr">
        <is>
          <t>Волгоград</t>
        </is>
      </c>
      <c r="E699" s="130" t="n"/>
      <c r="F699" s="130" t="inlineStr">
        <is>
          <t>АЗС</t>
        </is>
      </c>
      <c r="G699" s="130" t="inlineStr">
        <is>
          <t>Лукойл</t>
        </is>
      </c>
      <c r="H699" s="131" t="inlineStr">
        <is>
          <t>LUK_43</t>
        </is>
      </c>
      <c r="I699" s="637" t="n">
        <v>34465</v>
      </c>
      <c r="J699" s="637" t="inlineStr">
        <is>
          <t>VGG_LUK_34465</t>
        </is>
      </c>
      <c r="K699" s="640" t="n">
        <v>1</v>
      </c>
      <c r="L699" s="640" t="n">
        <v>0</v>
      </c>
      <c r="M699" s="640" t="inlineStr">
        <is>
          <t>Samsung 32" вертикальный</t>
        </is>
      </c>
      <c r="N699" s="640" t="n"/>
      <c r="O699" s="640">
        <f>IF(AND(N699=1,L699=1),K699,"")</f>
        <v/>
      </c>
      <c r="P699" s="642" t="inlineStr">
        <is>
          <t>Волгоград, проспект Ленина 63Б</t>
        </is>
      </c>
      <c r="Q699" s="640" t="inlineStr">
        <is>
          <t>48.7514071</t>
        </is>
      </c>
      <c r="R699" s="422" t="inlineStr">
        <is>
          <t>44.547168</t>
        </is>
      </c>
      <c r="S699" s="436" t="n"/>
      <c r="T699" s="436" t="n"/>
      <c r="U699" s="438" t="n"/>
      <c r="V699" s="438">
        <f>IF(AND(N699=1,U699=1),C699,"")</f>
        <v/>
      </c>
      <c r="W699" s="387" t="n"/>
      <c r="X699" s="1" t="n"/>
      <c r="Y699" s="1" t="n"/>
    </row>
    <row r="700" hidden="1" ht="16.05" customFormat="1" customHeight="1" s="126">
      <c r="A700" s="125" t="n">
        <v>946</v>
      </c>
      <c r="B700" s="125" t="n"/>
      <c r="C700" s="130" t="inlineStr">
        <is>
          <t>Волгоград</t>
        </is>
      </c>
      <c r="D700" s="130" t="inlineStr">
        <is>
          <t>Волгоград</t>
        </is>
      </c>
      <c r="E700" s="130" t="n"/>
      <c r="F700" s="130" t="inlineStr">
        <is>
          <t>АЗС</t>
        </is>
      </c>
      <c r="G700" s="130" t="inlineStr">
        <is>
          <t>Лукойл</t>
        </is>
      </c>
      <c r="H700" s="131" t="inlineStr">
        <is>
          <t>АЗС-64</t>
        </is>
      </c>
      <c r="I700" s="637" t="n">
        <v>34485</v>
      </c>
      <c r="J700" s="637" t="inlineStr">
        <is>
          <t>VGG_LUK_34485</t>
        </is>
      </c>
      <c r="K700" s="640" t="n">
        <v>1</v>
      </c>
      <c r="L700" s="640" t="n">
        <v>0</v>
      </c>
      <c r="M700" s="640" t="inlineStr">
        <is>
          <t>Samsung 32" вертикальный</t>
        </is>
      </c>
      <c r="N700" s="640" t="n"/>
      <c r="O700" s="640">
        <f>IF(AND(N700=1,L700=1),K700,"")</f>
        <v/>
      </c>
      <c r="P700" s="642" t="inlineStr">
        <is>
          <t>Волгоград,  64-й Армии 50а</t>
        </is>
      </c>
      <c r="Q700" s="640" t="inlineStr">
        <is>
          <t>48.6248354</t>
        </is>
      </c>
      <c r="R700" s="422" t="inlineStr">
        <is>
          <t>44.4265732</t>
        </is>
      </c>
      <c r="S700" s="436" t="n"/>
      <c r="T700" s="436" t="n"/>
      <c r="U700" s="438" t="n"/>
      <c r="V700" s="438">
        <f>IF(AND(N700=1,U700=1),C700,"")</f>
        <v/>
      </c>
      <c r="W700" s="387" t="n"/>
      <c r="X700" s="1" t="n"/>
      <c r="Y700" s="1" t="n"/>
    </row>
    <row r="701" hidden="1" ht="16.05" customFormat="1" customHeight="1" s="126">
      <c r="A701" s="125" t="n">
        <v>947</v>
      </c>
      <c r="B701" s="125" t="n"/>
      <c r="C701" s="130" t="inlineStr">
        <is>
          <t>Волгоград</t>
        </is>
      </c>
      <c r="D701" s="130" t="inlineStr">
        <is>
          <t>Волгоград</t>
        </is>
      </c>
      <c r="E701" s="130" t="n"/>
      <c r="F701" s="130" t="inlineStr">
        <is>
          <t>АЗС</t>
        </is>
      </c>
      <c r="G701" s="130" t="inlineStr">
        <is>
          <t>Лукойл</t>
        </is>
      </c>
      <c r="H701" s="131" t="inlineStr">
        <is>
          <t>АЗС-133</t>
        </is>
      </c>
      <c r="I701" s="637" t="n">
        <v>34434</v>
      </c>
      <c r="J701" s="637" t="inlineStr">
        <is>
          <t>VGG_LUK_34434</t>
        </is>
      </c>
      <c r="K701" s="640" t="n">
        <v>1</v>
      </c>
      <c r="L701" s="640" t="n">
        <v>0</v>
      </c>
      <c r="M701" s="640" t="inlineStr">
        <is>
          <t>Samsung 32" вертикальный</t>
        </is>
      </c>
      <c r="N701" s="640" t="n"/>
      <c r="O701" s="640">
        <f>IF(AND(N701=1,L701=1),K701,"")</f>
        <v/>
      </c>
      <c r="P701" s="642" t="inlineStr">
        <is>
          <t>Волгоград, Историческая 160</t>
        </is>
      </c>
      <c r="Q701" s="640" t="inlineStr">
        <is>
          <t>48.7691256</t>
        </is>
      </c>
      <c r="R701" s="422" t="inlineStr">
        <is>
          <t>44.4728521</t>
        </is>
      </c>
      <c r="S701" s="436" t="n"/>
      <c r="T701" s="436" t="n"/>
      <c r="U701" s="438" t="n"/>
      <c r="V701" s="438">
        <f>IF(AND(N701=1,U701=1),C701,"")</f>
        <v/>
      </c>
      <c r="W701" s="387" t="n"/>
      <c r="X701" s="1" t="n"/>
      <c r="Y701" s="1" t="n"/>
    </row>
    <row r="702" hidden="1" ht="16.05" customFormat="1" customHeight="1" s="126">
      <c r="A702" s="125" t="n">
        <v>948</v>
      </c>
      <c r="B702" s="125" t="n"/>
      <c r="C702" s="130" t="inlineStr">
        <is>
          <t>Волгоград</t>
        </is>
      </c>
      <c r="D702" s="130" t="inlineStr">
        <is>
          <t>Волгоград</t>
        </is>
      </c>
      <c r="E702" s="130" t="n"/>
      <c r="F702" s="130" t="inlineStr">
        <is>
          <t>АЗС</t>
        </is>
      </c>
      <c r="G702" s="130" t="inlineStr">
        <is>
          <t>Лукойл</t>
        </is>
      </c>
      <c r="H702" s="131" t="inlineStr">
        <is>
          <t>АЗС-2</t>
        </is>
      </c>
      <c r="I702" s="637" t="n">
        <v>34444</v>
      </c>
      <c r="J702" s="637" t="inlineStr">
        <is>
          <t>VGG_LUK_34444</t>
        </is>
      </c>
      <c r="K702" s="640" t="n">
        <v>1</v>
      </c>
      <c r="L702" s="640" t="n">
        <v>0</v>
      </c>
      <c r="M702" s="640" t="inlineStr">
        <is>
          <t>Samsung 32" вертикальный</t>
        </is>
      </c>
      <c r="N702" s="640" t="n"/>
      <c r="O702" s="640">
        <f>IF(AND(N702=1,L702=1),K702,"")</f>
        <v/>
      </c>
      <c r="P702" s="642" t="inlineStr">
        <is>
          <t>Волгоград,  им. маршала Еременко 49А</t>
        </is>
      </c>
      <c r="Q702" s="640" t="inlineStr">
        <is>
          <t>48.7885923</t>
        </is>
      </c>
      <c r="R702" s="422" t="inlineStr">
        <is>
          <t>44.5724492</t>
        </is>
      </c>
      <c r="S702" s="436" t="n"/>
      <c r="T702" s="436" t="n"/>
      <c r="U702" s="438" t="n"/>
      <c r="V702" s="438">
        <f>IF(AND(N702=1,U702=1),C702,"")</f>
        <v/>
      </c>
      <c r="W702" s="387" t="n"/>
      <c r="X702" s="1" t="n"/>
      <c r="Y702" s="1" t="n"/>
    </row>
    <row r="703" hidden="1" ht="16.05" customFormat="1" customHeight="1" s="126">
      <c r="A703" s="125" t="n">
        <v>949</v>
      </c>
      <c r="B703" s="125" t="n"/>
      <c r="C703" s="130" t="inlineStr">
        <is>
          <t>Волгоград</t>
        </is>
      </c>
      <c r="D703" s="130" t="inlineStr">
        <is>
          <t>Волгоград</t>
        </is>
      </c>
      <c r="E703" s="130" t="n"/>
      <c r="F703" s="130" t="inlineStr">
        <is>
          <t>АЗС</t>
        </is>
      </c>
      <c r="G703" s="130" t="inlineStr">
        <is>
          <t>Лукойл</t>
        </is>
      </c>
      <c r="H703" s="131" t="inlineStr">
        <is>
          <t>МТАЗС-4</t>
        </is>
      </c>
      <c r="I703" s="637" t="n">
        <v>34523</v>
      </c>
      <c r="J703" s="637" t="inlineStr">
        <is>
          <t>VGG_LUK_34523</t>
        </is>
      </c>
      <c r="K703" s="640" t="n">
        <v>1</v>
      </c>
      <c r="L703" s="640" t="n">
        <v>0</v>
      </c>
      <c r="M703" s="640" t="inlineStr">
        <is>
          <t>Samsung 32" вертикальный</t>
        </is>
      </c>
      <c r="N703" s="640" t="n"/>
      <c r="O703" s="640">
        <f>IF(AND(N703=1,L703=1),K703,"")</f>
        <v/>
      </c>
      <c r="P703" s="642" t="inlineStr">
        <is>
          <t>Волгоград, шоссе Авиаторов 1Д</t>
        </is>
      </c>
      <c r="Q703" s="640" t="inlineStr">
        <is>
          <t>48.7556963</t>
        </is>
      </c>
      <c r="R703" s="422" t="inlineStr">
        <is>
          <t>44.4763108</t>
        </is>
      </c>
      <c r="S703" s="436" t="n"/>
      <c r="T703" s="436" t="n"/>
      <c r="U703" s="438" t="n"/>
      <c r="V703" s="438">
        <f>IF(AND(N703=1,U703=1),C703,"")</f>
        <v/>
      </c>
      <c r="W703" s="387" t="n"/>
      <c r="X703" s="1" t="n"/>
      <c r="Y703" s="1" t="n"/>
    </row>
    <row r="704" hidden="1" ht="16.05" customFormat="1" customHeight="1" s="126">
      <c r="A704" s="125" t="n">
        <v>950</v>
      </c>
      <c r="B704" s="125" t="n"/>
      <c r="C704" s="130" t="inlineStr">
        <is>
          <t>Волгоград</t>
        </is>
      </c>
      <c r="D704" s="130" t="inlineStr">
        <is>
          <t>Волгоград</t>
        </is>
      </c>
      <c r="E704" s="130" t="n"/>
      <c r="F704" s="130" t="inlineStr">
        <is>
          <t>АЗС</t>
        </is>
      </c>
      <c r="G704" s="130" t="inlineStr">
        <is>
          <t>Лукойл</t>
        </is>
      </c>
      <c r="H704" s="131" t="inlineStr">
        <is>
          <t>МТАЗС-63</t>
        </is>
      </c>
      <c r="I704" s="637" t="n">
        <v>34525</v>
      </c>
      <c r="J704" s="637" t="inlineStr">
        <is>
          <t>VGG_LUK_34525</t>
        </is>
      </c>
      <c r="K704" s="640" t="n">
        <v>1</v>
      </c>
      <c r="L704" s="640" t="n">
        <v>0</v>
      </c>
      <c r="M704" s="640" t="inlineStr">
        <is>
          <t>Samsung 32" вертикальный</t>
        </is>
      </c>
      <c r="N704" s="640" t="n"/>
      <c r="O704" s="640">
        <f>IF(AND(N704=1,L704=1),K704,"")</f>
        <v/>
      </c>
      <c r="P704" s="642" t="inlineStr">
        <is>
          <t>Волгоград,  64-й Армии 143а</t>
        </is>
      </c>
      <c r="Q704" s="640" t="inlineStr">
        <is>
          <t>48.6272554</t>
        </is>
      </c>
      <c r="R704" s="422" t="inlineStr">
        <is>
          <t>44.4259228</t>
        </is>
      </c>
      <c r="S704" s="436" t="n"/>
      <c r="T704" s="436" t="n"/>
      <c r="U704" s="438" t="n"/>
      <c r="V704" s="438">
        <f>IF(AND(N704=1,U704=1),C704,"")</f>
        <v/>
      </c>
      <c r="W704" s="387" t="n"/>
      <c r="X704" s="1" t="n"/>
      <c r="Y704" s="1" t="n"/>
    </row>
    <row r="705" hidden="1" ht="16.05" customFormat="1" customHeight="1" s="126">
      <c r="A705" s="125" t="n">
        <v>951</v>
      </c>
      <c r="B705" s="125" t="n"/>
      <c r="C705" s="130" t="inlineStr">
        <is>
          <t>Волгоград</t>
        </is>
      </c>
      <c r="D705" s="130" t="inlineStr">
        <is>
          <t>Волгоград</t>
        </is>
      </c>
      <c r="E705" s="130" t="n"/>
      <c r="F705" s="130" t="inlineStr">
        <is>
          <t>АЗС</t>
        </is>
      </c>
      <c r="G705" s="130" t="inlineStr">
        <is>
          <t>Лукойл</t>
        </is>
      </c>
      <c r="H705" s="131" t="inlineStr">
        <is>
          <t>АЗС-135</t>
        </is>
      </c>
      <c r="I705" s="637" t="n">
        <v>34436</v>
      </c>
      <c r="J705" s="637" t="inlineStr">
        <is>
          <t>VGG_LUK_34436</t>
        </is>
      </c>
      <c r="K705" s="640" t="n">
        <v>1</v>
      </c>
      <c r="L705" s="640" t="n">
        <v>0</v>
      </c>
      <c r="M705" s="640" t="inlineStr">
        <is>
          <t>Samsung 32" вертикальный</t>
        </is>
      </c>
      <c r="N705" s="640" t="n"/>
      <c r="O705" s="640">
        <f>IF(AND(N705=1,L705=1),K705,"")</f>
        <v/>
      </c>
      <c r="P705" s="642" t="inlineStr">
        <is>
          <t>Волгоград, Менжинского 15А</t>
        </is>
      </c>
      <c r="Q705" s="640" t="inlineStr">
        <is>
          <t>48.8134115</t>
        </is>
      </c>
      <c r="R705" s="422" t="inlineStr">
        <is>
          <t>44.6184692</t>
        </is>
      </c>
      <c r="S705" s="436" t="n"/>
      <c r="T705" s="436" t="n"/>
      <c r="U705" s="438" t="n"/>
      <c r="V705" s="438">
        <f>IF(AND(N705=1,U705=1),C705,"")</f>
        <v/>
      </c>
      <c r="W705" s="387" t="n"/>
      <c r="X705" s="1" t="n"/>
      <c r="Y705" s="1" t="n"/>
    </row>
    <row r="706" hidden="1" ht="16.05" customFormat="1" customHeight="1" s="126">
      <c r="A706" s="125" t="n">
        <v>952</v>
      </c>
      <c r="B706" s="125" t="n"/>
      <c r="C706" s="130" t="inlineStr">
        <is>
          <t>Волгоград</t>
        </is>
      </c>
      <c r="D706" s="130" t="inlineStr">
        <is>
          <t>Волгоград</t>
        </is>
      </c>
      <c r="E706" s="130" t="n"/>
      <c r="F706" s="130" t="inlineStr">
        <is>
          <t>АЗС</t>
        </is>
      </c>
      <c r="G706" s="130" t="inlineStr">
        <is>
          <t>Лукойл</t>
        </is>
      </c>
      <c r="H706" s="131" t="inlineStr">
        <is>
          <t>АЗС-60</t>
        </is>
      </c>
      <c r="I706" s="637" t="n">
        <v>34482</v>
      </c>
      <c r="J706" s="637" t="inlineStr">
        <is>
          <t>VGG_LUK_34482</t>
        </is>
      </c>
      <c r="K706" s="640" t="n">
        <v>1</v>
      </c>
      <c r="L706" s="640" t="n">
        <v>0</v>
      </c>
      <c r="M706" s="640" t="inlineStr">
        <is>
          <t>Samsung 32" вертикальный</t>
        </is>
      </c>
      <c r="N706" s="640" t="n"/>
      <c r="O706" s="640">
        <f>IF(AND(N706=1,L706=1),K706,"")</f>
        <v/>
      </c>
      <c r="P706" s="642" t="inlineStr">
        <is>
          <t>Волгоград,  им. Землячки 74Б</t>
        </is>
      </c>
      <c r="Q706" s="640" t="inlineStr">
        <is>
          <t>48.7613484</t>
        </is>
      </c>
      <c r="R706" s="422" t="inlineStr">
        <is>
          <t>44.5092201</t>
        </is>
      </c>
      <c r="S706" s="436" t="n"/>
      <c r="T706" s="436" t="n"/>
      <c r="U706" s="438" t="n"/>
      <c r="V706" s="438">
        <f>IF(AND(N706=1,U706=1),C706,"")</f>
        <v/>
      </c>
      <c r="W706" s="387" t="n"/>
      <c r="X706" s="1" t="n"/>
      <c r="Y706" s="1" t="n"/>
    </row>
    <row r="707" hidden="1" ht="16.05" customFormat="1" customHeight="1" s="126">
      <c r="A707" s="125" t="n">
        <v>953</v>
      </c>
      <c r="B707" s="125" t="n"/>
      <c r="C707" s="130" t="inlineStr">
        <is>
          <t>Волгоград</t>
        </is>
      </c>
      <c r="D707" s="130" t="inlineStr">
        <is>
          <t>Волгоград</t>
        </is>
      </c>
      <c r="E707" s="130" t="n"/>
      <c r="F707" s="130" t="inlineStr">
        <is>
          <t>АЗС</t>
        </is>
      </c>
      <c r="G707" s="130" t="inlineStr">
        <is>
          <t>Лукойл</t>
        </is>
      </c>
      <c r="H707" s="131" t="inlineStr">
        <is>
          <t>АЗС-3</t>
        </is>
      </c>
      <c r="I707" s="637" t="n">
        <v>34453</v>
      </c>
      <c r="J707" s="637" t="inlineStr">
        <is>
          <t>VGG_LUK_34453</t>
        </is>
      </c>
      <c r="K707" s="640" t="n">
        <v>1</v>
      </c>
      <c r="L707" s="640" t="n">
        <v>0</v>
      </c>
      <c r="M707" s="640" t="inlineStr">
        <is>
          <t>Samsung 32" вертикальный</t>
        </is>
      </c>
      <c r="N707" s="640" t="n"/>
      <c r="O707" s="640">
        <f>IF(AND(N707=1,L707=1),K707,"")</f>
        <v/>
      </c>
      <c r="P707" s="642" t="inlineStr">
        <is>
          <t>Волгоград,  им.Неждановой 4б</t>
        </is>
      </c>
      <c r="Q707" s="640" t="inlineStr">
        <is>
          <t>48.7039406</t>
        </is>
      </c>
      <c r="R707" s="422" t="inlineStr">
        <is>
          <t>44.4529849</t>
        </is>
      </c>
      <c r="S707" s="436" t="n"/>
      <c r="T707" s="436" t="n"/>
      <c r="U707" s="438" t="n"/>
      <c r="V707" s="438">
        <f>IF(AND(N707=1,U707=1),C707,"")</f>
        <v/>
      </c>
      <c r="W707" s="387" t="n"/>
      <c r="X707" s="1" t="n"/>
      <c r="Y707" s="1" t="n"/>
    </row>
    <row r="708" hidden="1" ht="16.05" customFormat="1" customHeight="1" s="126">
      <c r="A708" s="125" t="n">
        <v>954</v>
      </c>
      <c r="B708" s="125" t="n"/>
      <c r="C708" s="130" t="inlineStr">
        <is>
          <t>Волгоград</t>
        </is>
      </c>
      <c r="D708" s="130" t="inlineStr">
        <is>
          <t>Волгоград</t>
        </is>
      </c>
      <c r="E708" s="130" t="n"/>
      <c r="F708" s="130" t="inlineStr">
        <is>
          <t>АЗС</t>
        </is>
      </c>
      <c r="G708" s="130" t="inlineStr">
        <is>
          <t>Лукойл</t>
        </is>
      </c>
      <c r="H708" s="131" t="inlineStr">
        <is>
          <t>АЗС-98</t>
        </is>
      </c>
      <c r="I708" s="637" t="n">
        <v>34516</v>
      </c>
      <c r="J708" s="637" t="inlineStr">
        <is>
          <t>VGG_LUK_34516</t>
        </is>
      </c>
      <c r="K708" s="640" t="n">
        <v>1</v>
      </c>
      <c r="L708" s="640" t="n">
        <v>0</v>
      </c>
      <c r="M708" s="640" t="inlineStr">
        <is>
          <t>Samsung 32" вертикальный</t>
        </is>
      </c>
      <c r="N708" s="640" t="n"/>
      <c r="O708" s="640">
        <f>IF(AND(N708=1,L708=1),K708,"")</f>
        <v/>
      </c>
      <c r="P708" s="642" t="inlineStr">
        <is>
          <t>Волгоград, пр. им. маршала Г.К. Жукова 94А</t>
        </is>
      </c>
      <c r="Q708" s="640" t="inlineStr">
        <is>
          <t>48.7391591</t>
        </is>
      </c>
      <c r="R708" s="422" t="inlineStr">
        <is>
          <t>44.4927621</t>
        </is>
      </c>
      <c r="S708" s="436" t="n"/>
      <c r="T708" s="436" t="n"/>
      <c r="U708" s="438" t="n"/>
      <c r="V708" s="438">
        <f>IF(AND(N708=1,U708=1),C708,"")</f>
        <v/>
      </c>
      <c r="W708" s="387" t="n"/>
      <c r="X708" s="1" t="n"/>
      <c r="Y708" s="1" t="n"/>
    </row>
    <row r="709" hidden="1" ht="16.05" customFormat="1" customHeight="1" s="126">
      <c r="A709" s="125" t="n">
        <v>955</v>
      </c>
      <c r="B709" s="125" t="n"/>
      <c r="C709" s="130" t="inlineStr">
        <is>
          <t>Волгоград</t>
        </is>
      </c>
      <c r="D709" s="130" t="inlineStr">
        <is>
          <t>Волжский</t>
        </is>
      </c>
      <c r="E709" s="130" t="n"/>
      <c r="F709" s="130" t="inlineStr">
        <is>
          <t>АЗС</t>
        </is>
      </c>
      <c r="G709" s="130" t="inlineStr">
        <is>
          <t>Лукойл</t>
        </is>
      </c>
      <c r="H709" s="131" t="inlineStr">
        <is>
          <t>АЗС-57</t>
        </is>
      </c>
      <c r="I709" s="637" t="n">
        <v>34479</v>
      </c>
      <c r="J709" s="637" t="inlineStr">
        <is>
          <t>VGG_LUK_34479</t>
        </is>
      </c>
      <c r="K709" s="640" t="n">
        <v>1</v>
      </c>
      <c r="L709" s="640" t="n">
        <v>0</v>
      </c>
      <c r="M709" s="640" t="inlineStr">
        <is>
          <t>Samsung 32" вертикальный</t>
        </is>
      </c>
      <c r="N709" s="640" t="n"/>
      <c r="O709" s="640">
        <f>IF(AND(N709=1,L709=1),K709,"")</f>
        <v/>
      </c>
      <c r="P709" s="642" t="inlineStr">
        <is>
          <t>Волжский,  им. Пушкина 51</t>
        </is>
      </c>
      <c r="Q709" s="640" t="inlineStr">
        <is>
          <t>48.786951</t>
        </is>
      </c>
      <c r="R709" s="422" t="inlineStr">
        <is>
          <t>44.7943443</t>
        </is>
      </c>
      <c r="S709" s="436" t="n"/>
      <c r="T709" s="436" t="n"/>
      <c r="U709" s="436" t="n"/>
      <c r="V709" s="438">
        <f>IF(AND(N709=1,U709=1),C709,"")</f>
        <v/>
      </c>
      <c r="W709" s="387" t="n"/>
      <c r="X709" s="1" t="n"/>
      <c r="Y709" s="1" t="n"/>
    </row>
    <row r="710" hidden="1" ht="16.05" customFormat="1" customHeight="1" s="126">
      <c r="A710" s="125" t="n">
        <v>956</v>
      </c>
      <c r="B710" s="125" t="n"/>
      <c r="C710" s="130" t="inlineStr">
        <is>
          <t>Волгоград</t>
        </is>
      </c>
      <c r="D710" s="130" t="inlineStr">
        <is>
          <t>Волжский</t>
        </is>
      </c>
      <c r="E710" s="130" t="n"/>
      <c r="F710" s="130" t="inlineStr">
        <is>
          <t>АЗС</t>
        </is>
      </c>
      <c r="G710" s="130" t="inlineStr">
        <is>
          <t>Лукойл</t>
        </is>
      </c>
      <c r="H710" s="131" t="inlineStr">
        <is>
          <t>АЗС-15</t>
        </is>
      </c>
      <c r="I710" s="637" t="n">
        <v>34440</v>
      </c>
      <c r="J710" s="637" t="inlineStr">
        <is>
          <t>VGG_LUK_34440</t>
        </is>
      </c>
      <c r="K710" s="640" t="n">
        <v>1</v>
      </c>
      <c r="L710" s="640" t="n">
        <v>0</v>
      </c>
      <c r="M710" s="640" t="inlineStr">
        <is>
          <t>Samsung 32" вертикальный</t>
        </is>
      </c>
      <c r="N710" s="640" t="n"/>
      <c r="O710" s="640">
        <f>IF(AND(N710=1,L710=1),K710,"")</f>
        <v/>
      </c>
      <c r="P710" s="642" t="inlineStr">
        <is>
          <t>Волжский,  им. Горького 1Б</t>
        </is>
      </c>
      <c r="Q710" s="640" t="n">
        <v>48.8135801</v>
      </c>
      <c r="R710" s="422" t="n">
        <v>44.7341871</v>
      </c>
      <c r="S710" s="436" t="n"/>
      <c r="T710" s="436" t="n"/>
      <c r="U710" s="436" t="n"/>
      <c r="V710" s="438">
        <f>IF(AND(N710=1,U710=1),C710,"")</f>
        <v/>
      </c>
      <c r="W710" s="387" t="n"/>
      <c r="X710" s="1" t="n"/>
      <c r="Y710" s="1" t="n"/>
    </row>
    <row r="711" hidden="1" ht="16.05" customFormat="1" customHeight="1" s="126">
      <c r="A711" s="125" t="n">
        <v>957</v>
      </c>
      <c r="B711" s="125" t="n"/>
      <c r="C711" s="130" t="inlineStr">
        <is>
          <t>Волгоград</t>
        </is>
      </c>
      <c r="D711" s="130" t="inlineStr">
        <is>
          <t>Волгоград</t>
        </is>
      </c>
      <c r="E711" s="130" t="n"/>
      <c r="F711" s="130" t="inlineStr">
        <is>
          <t>АЗС</t>
        </is>
      </c>
      <c r="G711" s="130" t="inlineStr">
        <is>
          <t>Лукойл</t>
        </is>
      </c>
      <c r="H711" s="131" t="inlineStr">
        <is>
          <t>АЗС-134</t>
        </is>
      </c>
      <c r="I711" s="637" t="n">
        <v>34435</v>
      </c>
      <c r="J711" s="637" t="inlineStr">
        <is>
          <t>VGG_LUK_34435</t>
        </is>
      </c>
      <c r="K711" s="640" t="n">
        <v>1</v>
      </c>
      <c r="L711" s="640" t="n">
        <v>0</v>
      </c>
      <c r="M711" s="640" t="inlineStr">
        <is>
          <t>Samsung 32" вертикальный</t>
        </is>
      </c>
      <c r="N711" s="640" t="n"/>
      <c r="O711" s="640">
        <f>IF(AND(N711=1,L711=1),K711,"")</f>
        <v/>
      </c>
      <c r="P711" s="642" t="inlineStr">
        <is>
          <t>Волгоград, Историческая 177А</t>
        </is>
      </c>
      <c r="Q711" s="640" t="inlineStr">
        <is>
          <t>48.7574177</t>
        </is>
      </c>
      <c r="R711" s="422" t="inlineStr">
        <is>
          <t>44.4795522</t>
        </is>
      </c>
      <c r="S711" s="436" t="n"/>
      <c r="T711" s="436" t="n"/>
      <c r="U711" s="436" t="n"/>
      <c r="V711" s="438">
        <f>IF(AND(N711=1,U711=1),C711,"")</f>
        <v/>
      </c>
      <c r="W711" s="387" t="n"/>
      <c r="X711" s="1" t="n"/>
      <c r="Y711" s="1" t="n"/>
    </row>
    <row r="712" hidden="1" ht="16.05" customFormat="1" customHeight="1" s="126">
      <c r="A712" s="125" t="n">
        <v>958</v>
      </c>
      <c r="B712" s="125" t="n"/>
      <c r="C712" s="130" t="inlineStr">
        <is>
          <t>Волгоград</t>
        </is>
      </c>
      <c r="D712" s="130" t="inlineStr">
        <is>
          <t>Волгоград</t>
        </is>
      </c>
      <c r="E712" s="130" t="n"/>
      <c r="F712" s="130" t="inlineStr">
        <is>
          <t>АЗС</t>
        </is>
      </c>
      <c r="G712" s="130" t="inlineStr">
        <is>
          <t>Лукойл</t>
        </is>
      </c>
      <c r="H712" s="131" t="inlineStr">
        <is>
          <t>АЗС-107</t>
        </is>
      </c>
      <c r="I712" s="637" t="n">
        <v>34408</v>
      </c>
      <c r="J712" s="637" t="inlineStr">
        <is>
          <t>VGG_LUK_34408</t>
        </is>
      </c>
      <c r="K712" s="640" t="n">
        <v>1</v>
      </c>
      <c r="L712" s="640" t="n">
        <v>0</v>
      </c>
      <c r="M712" s="640" t="inlineStr">
        <is>
          <t>Samsung 32" вертикальный</t>
        </is>
      </c>
      <c r="N712" s="640" t="n"/>
      <c r="O712" s="640">
        <f>IF(AND(N712=1,L712=1),K712,"")</f>
        <v/>
      </c>
      <c r="P712" s="642" t="inlineStr">
        <is>
          <t>Волгоград,  Марш.Рокоссовского 1Г</t>
        </is>
      </c>
      <c r="Q712" s="640" t="inlineStr">
        <is>
          <t>48.7101852</t>
        </is>
      </c>
      <c r="R712" s="422" t="inlineStr">
        <is>
          <t>44.4924188</t>
        </is>
      </c>
      <c r="S712" s="436" t="n"/>
      <c r="T712" s="436" t="n"/>
      <c r="U712" s="436" t="n"/>
      <c r="V712" s="438">
        <f>IF(AND(N712=1,U712=1),C712,"")</f>
        <v/>
      </c>
      <c r="W712" s="387" t="n"/>
      <c r="X712" s="1" t="n"/>
      <c r="Y712" s="1" t="n"/>
    </row>
    <row r="713" hidden="1" ht="16.05" customFormat="1" customHeight="1" s="126">
      <c r="A713" s="125" t="n">
        <v>960</v>
      </c>
      <c r="B713" s="125" t="n"/>
      <c r="C713" s="130" t="inlineStr">
        <is>
          <t>Волгоград</t>
        </is>
      </c>
      <c r="D713" s="130" t="inlineStr">
        <is>
          <t>Волгоград</t>
        </is>
      </c>
      <c r="E713" s="130" t="n"/>
      <c r="F713" s="130" t="inlineStr">
        <is>
          <t>АЗС</t>
        </is>
      </c>
      <c r="G713" s="130" t="inlineStr">
        <is>
          <t>Лукойл</t>
        </is>
      </c>
      <c r="H713" s="131" t="inlineStr">
        <is>
          <t>АЗС-95</t>
        </is>
      </c>
      <c r="I713" s="637" t="n">
        <v>34513</v>
      </c>
      <c r="J713" s="637" t="inlineStr">
        <is>
          <t>VGG_LUK_34513</t>
        </is>
      </c>
      <c r="K713" s="640" t="n">
        <v>1</v>
      </c>
      <c r="L713" s="640" t="n">
        <v>0</v>
      </c>
      <c r="M713" s="640" t="inlineStr">
        <is>
          <t>Samsung 32" вертикальный</t>
        </is>
      </c>
      <c r="N713" s="640" t="n"/>
      <c r="O713" s="640">
        <f>IF(AND(N713=1,L713=1),K713,"")</f>
        <v/>
      </c>
      <c r="P713" s="642" t="inlineStr">
        <is>
          <t>Волгоград, пр. им. Ленина 116А</t>
        </is>
      </c>
      <c r="Q713" s="640" t="inlineStr">
        <is>
          <t>48.7844203</t>
        </is>
      </c>
      <c r="R713" s="422" t="inlineStr">
        <is>
          <t>44.5878732</t>
        </is>
      </c>
      <c r="S713" s="436" t="n"/>
      <c r="T713" s="436" t="n"/>
      <c r="U713" s="436" t="n"/>
      <c r="V713" s="438">
        <f>IF(AND(N713=1,U713=1),C713,"")</f>
        <v/>
      </c>
      <c r="W713" s="387" t="n"/>
      <c r="X713" s="1" t="n"/>
      <c r="Y713" s="1" t="n"/>
    </row>
    <row r="714" hidden="1" ht="16.05" customFormat="1" customHeight="1" s="126">
      <c r="A714" s="125" t="n">
        <v>962</v>
      </c>
      <c r="B714" s="125" t="n"/>
      <c r="C714" s="130" t="inlineStr">
        <is>
          <t>Волгоград</t>
        </is>
      </c>
      <c r="D714" s="130" t="inlineStr">
        <is>
          <t>Волгоград</t>
        </is>
      </c>
      <c r="E714" s="130" t="n"/>
      <c r="F714" s="130" t="inlineStr">
        <is>
          <t>АЗС</t>
        </is>
      </c>
      <c r="G714" s="130" t="inlineStr">
        <is>
          <t>Лукойл</t>
        </is>
      </c>
      <c r="H714" s="131" t="inlineStr">
        <is>
          <t>АЗС-62</t>
        </is>
      </c>
      <c r="I714" s="637" t="n">
        <v>34484</v>
      </c>
      <c r="J714" s="637" t="inlineStr">
        <is>
          <t>VGG_LUK_34484</t>
        </is>
      </c>
      <c r="K714" s="640" t="n">
        <v>1</v>
      </c>
      <c r="L714" s="640" t="n">
        <v>0</v>
      </c>
      <c r="M714" s="640" t="inlineStr">
        <is>
          <t>Samsung 32" вертикальный</t>
        </is>
      </c>
      <c r="N714" s="640" t="n"/>
      <c r="O714" s="640">
        <f>IF(AND(N714=1,L714=1),K714,"")</f>
        <v/>
      </c>
      <c r="P714" s="642" t="inlineStr">
        <is>
          <t>Волгоград, ш. Авиаторов 18а</t>
        </is>
      </c>
      <c r="Q714" s="640" t="inlineStr">
        <is>
          <t>48.7585175</t>
        </is>
      </c>
      <c r="R714" s="422" t="inlineStr">
        <is>
          <t>44.4420864</t>
        </is>
      </c>
      <c r="S714" s="436" t="n"/>
      <c r="T714" s="436" t="n"/>
      <c r="U714" s="436" t="n"/>
      <c r="V714" s="438">
        <f>IF(AND(N714=1,U714=1),C714,"")</f>
        <v/>
      </c>
      <c r="W714" s="387" t="n"/>
      <c r="X714" s="1" t="n"/>
      <c r="Y714" s="1" t="n"/>
    </row>
    <row r="715" hidden="1" ht="16.05" customFormat="1" customHeight="1" s="126">
      <c r="A715" s="125" t="n">
        <v>963</v>
      </c>
      <c r="B715" s="125" t="n"/>
      <c r="C715" s="130" t="inlineStr">
        <is>
          <t>Волгоград</t>
        </is>
      </c>
      <c r="D715" s="130" t="inlineStr">
        <is>
          <t>Волжский</t>
        </is>
      </c>
      <c r="E715" s="130" t="n"/>
      <c r="F715" s="130" t="inlineStr">
        <is>
          <t>АЗС</t>
        </is>
      </c>
      <c r="G715" s="130" t="inlineStr">
        <is>
          <t>Лукойл</t>
        </is>
      </c>
      <c r="H715" s="131" t="inlineStr">
        <is>
          <t>АЗС-16</t>
        </is>
      </c>
      <c r="I715" s="637" t="n">
        <v>34443</v>
      </c>
      <c r="J715" s="637" t="inlineStr">
        <is>
          <t>VGG_LUK_34443</t>
        </is>
      </c>
      <c r="K715" s="640" t="n">
        <v>1</v>
      </c>
      <c r="L715" s="640" t="n">
        <v>0</v>
      </c>
      <c r="M715" s="640" t="inlineStr">
        <is>
          <t>Samsung 32" вертикальный</t>
        </is>
      </c>
      <c r="N715" s="640" t="n"/>
      <c r="O715" s="640">
        <f>IF(AND(N715=1,L715=1),K715,"")</f>
        <v/>
      </c>
      <c r="P715" s="642" t="inlineStr">
        <is>
          <t>Волжский,  им. Карбышева 47В</t>
        </is>
      </c>
      <c r="Q715" s="640" t="inlineStr">
        <is>
          <t>48.7799489</t>
        </is>
      </c>
      <c r="R715" s="422" t="inlineStr">
        <is>
          <t>44.7687185</t>
        </is>
      </c>
      <c r="S715" s="436" t="n"/>
      <c r="T715" s="436" t="n"/>
      <c r="U715" s="436" t="n"/>
      <c r="V715" s="438">
        <f>IF(AND(N715=1,U715=1),C715,"")</f>
        <v/>
      </c>
      <c r="W715" s="387" t="n"/>
      <c r="X715" s="1" t="n"/>
      <c r="Y715" s="1" t="n"/>
    </row>
    <row r="716" hidden="1" ht="16.05" customFormat="1" customHeight="1" s="126">
      <c r="A716" s="125" t="n">
        <v>964</v>
      </c>
      <c r="B716" s="125" t="n"/>
      <c r="C716" s="130" t="inlineStr">
        <is>
          <t>Волгоград</t>
        </is>
      </c>
      <c r="D716" s="130" t="inlineStr">
        <is>
          <t>Волжский</t>
        </is>
      </c>
      <c r="E716" s="130" t="n"/>
      <c r="F716" s="130" t="n"/>
      <c r="G716" s="130" t="inlineStr">
        <is>
          <t>Лукойл</t>
        </is>
      </c>
      <c r="H716" s="131" t="inlineStr">
        <is>
          <t>АЗС-136</t>
        </is>
      </c>
      <c r="I716" s="637" t="n">
        <v>34437</v>
      </c>
      <c r="J716" s="402" t="inlineStr">
        <is>
          <t>VGG_LUK_34437</t>
        </is>
      </c>
      <c r="K716" s="640" t="n">
        <v>1</v>
      </c>
      <c r="L716" s="640" t="n">
        <v>0</v>
      </c>
      <c r="M716" s="640" t="inlineStr">
        <is>
          <t>Sam 32</t>
        </is>
      </c>
      <c r="N716" s="640" t="n"/>
      <c r="O716" s="640">
        <f>IF(AND(N716=1,L716=1),K716,"")</f>
        <v/>
      </c>
      <c r="P716" s="642" t="inlineStr">
        <is>
          <t>Волжский, Ленина 1б</t>
        </is>
      </c>
      <c r="Q716" s="640" t="n">
        <v>48.8147467</v>
      </c>
      <c r="R716" s="422" t="n">
        <v>44.7271603</v>
      </c>
      <c r="S716" s="436" t="n"/>
      <c r="T716" s="436" t="n"/>
      <c r="U716" s="436" t="n"/>
      <c r="V716" s="438">
        <f>IF(AND(N716=1,U716=1),C716,"")</f>
        <v/>
      </c>
      <c r="W716" s="387" t="n"/>
      <c r="X716" s="1" t="n"/>
      <c r="Y716" s="1" t="n"/>
    </row>
    <row r="717" hidden="1" ht="16.05" customFormat="1" customHeight="1" s="126">
      <c r="A717" s="125" t="n">
        <v>965</v>
      </c>
      <c r="B717" s="125" t="n"/>
      <c r="C717" s="130" t="inlineStr">
        <is>
          <t>Волгоград</t>
        </is>
      </c>
      <c r="D717" s="130" t="inlineStr">
        <is>
          <t>Волгоград</t>
        </is>
      </c>
      <c r="E717" s="130" t="n"/>
      <c r="F717" s="130" t="inlineStr">
        <is>
          <t>АЗС</t>
        </is>
      </c>
      <c r="G717" s="130" t="inlineStr">
        <is>
          <t>Лукойл</t>
        </is>
      </c>
      <c r="H717" s="131" t="inlineStr">
        <is>
          <t>АЗС-99</t>
        </is>
      </c>
      <c r="I717" s="637" t="n">
        <v>34517</v>
      </c>
      <c r="J717" s="637" t="inlineStr">
        <is>
          <t>VGG_LUK_34517</t>
        </is>
      </c>
      <c r="K717" s="640" t="n">
        <v>1</v>
      </c>
      <c r="L717" s="640" t="n">
        <v>0</v>
      </c>
      <c r="M717" s="640" t="inlineStr">
        <is>
          <t>Samsung 32" вертикальный</t>
        </is>
      </c>
      <c r="N717" s="640" t="n"/>
      <c r="O717" s="640">
        <f>IF(AND(N717=1,L717=1),K717,"")</f>
        <v/>
      </c>
      <c r="P717" s="642" t="inlineStr">
        <is>
          <t>Волгоград, Волгоградская 137</t>
        </is>
      </c>
      <c r="Q717" s="640" t="inlineStr">
        <is>
          <t>48.6854819</t>
        </is>
      </c>
      <c r="R717" s="422" t="inlineStr">
        <is>
          <t>44.3130273</t>
        </is>
      </c>
      <c r="S717" s="436" t="n"/>
      <c r="T717" s="436" t="n"/>
      <c r="U717" s="436" t="n"/>
      <c r="V717" s="438">
        <f>IF(AND(N717=1,U717=1),C717,"")</f>
        <v/>
      </c>
      <c r="W717" s="387" t="n"/>
      <c r="X717" s="1" t="n"/>
      <c r="Y717" s="1" t="n"/>
    </row>
    <row r="718" hidden="1" ht="16.05" customFormat="1" customHeight="1" s="126">
      <c r="A718" s="125" t="n">
        <v>966</v>
      </c>
      <c r="B718" s="125" t="n"/>
      <c r="C718" s="130" t="inlineStr">
        <is>
          <t>Волгоград</t>
        </is>
      </c>
      <c r="D718" s="130" t="inlineStr">
        <is>
          <t>Волгоград</t>
        </is>
      </c>
      <c r="E718" s="130" t="n"/>
      <c r="F718" s="130" t="inlineStr">
        <is>
          <t>АЗС</t>
        </is>
      </c>
      <c r="G718" s="130" t="inlineStr">
        <is>
          <t>Лукойл</t>
        </is>
      </c>
      <c r="H718" s="131" t="inlineStr">
        <is>
          <t>МТАЗС-9</t>
        </is>
      </c>
      <c r="I718" s="637" t="n">
        <v>34527</v>
      </c>
      <c r="J718" s="637" t="inlineStr">
        <is>
          <t>VGG_LUK_34527</t>
        </is>
      </c>
      <c r="K718" s="640" t="n">
        <v>1</v>
      </c>
      <c r="L718" s="640" t="n">
        <v>0</v>
      </c>
      <c r="M718" s="640" t="inlineStr">
        <is>
          <t>Samsung 32" вертикальный</t>
        </is>
      </c>
      <c r="N718" s="640" t="n"/>
      <c r="O718" s="640">
        <f>IF(AND(N718=1,L718=1),K718,"")</f>
        <v/>
      </c>
      <c r="P718" s="642" t="inlineStr">
        <is>
          <t>Волгоград,  Хабаровская 2л</t>
        </is>
      </c>
      <c r="Q718" s="640" t="inlineStr">
        <is>
          <t>48.4999272</t>
        </is>
      </c>
      <c r="R718" s="422" t="inlineStr">
        <is>
          <t>44.5512852</t>
        </is>
      </c>
      <c r="S718" s="436" t="n"/>
      <c r="T718" s="436" t="n"/>
      <c r="U718" s="436" t="n"/>
      <c r="V718" s="438">
        <f>IF(AND(N718=1,U718=1),C718,"")</f>
        <v/>
      </c>
      <c r="W718" s="387" t="n"/>
      <c r="X718" s="1" t="n"/>
      <c r="Y718" s="1" t="n"/>
    </row>
    <row r="719" hidden="1" ht="16.05" customFormat="1" customHeight="1" s="126">
      <c r="A719" s="125" t="n">
        <v>967</v>
      </c>
      <c r="B719" s="125" t="n"/>
      <c r="C719" s="130" t="inlineStr">
        <is>
          <t>Волгоград</t>
        </is>
      </c>
      <c r="D719" s="130" t="inlineStr">
        <is>
          <t>Волгоград</t>
        </is>
      </c>
      <c r="E719" s="130" t="n"/>
      <c r="F719" s="130" t="inlineStr">
        <is>
          <t>АЗС</t>
        </is>
      </c>
      <c r="G719" s="130" t="inlineStr">
        <is>
          <t>Лукойл</t>
        </is>
      </c>
      <c r="H719" s="131" t="inlineStr">
        <is>
          <t>МТАЗС-55</t>
        </is>
      </c>
      <c r="I719" s="637" t="n">
        <v>34524</v>
      </c>
      <c r="J719" s="637" t="inlineStr">
        <is>
          <t>VGG_LUK_34524</t>
        </is>
      </c>
      <c r="K719" s="640" t="n">
        <v>1</v>
      </c>
      <c r="L719" s="640" t="n">
        <v>0</v>
      </c>
      <c r="M719" s="640" t="inlineStr">
        <is>
          <t>Samsung 32" вертикальный</t>
        </is>
      </c>
      <c r="N719" s="640" t="n"/>
      <c r="O719" s="640">
        <f>IF(AND(N719=1,L719=1),K719,"")</f>
        <v/>
      </c>
      <c r="P719" s="642" t="inlineStr">
        <is>
          <t>Волгоград,  Шурухина 66</t>
        </is>
      </c>
      <c r="Q719" s="640" t="inlineStr">
        <is>
          <t>48.8270655</t>
        </is>
      </c>
      <c r="R719" s="422" t="inlineStr">
        <is>
          <t>44.602915</t>
        </is>
      </c>
      <c r="S719" s="436" t="n"/>
      <c r="T719" s="436" t="n"/>
      <c r="U719" s="436" t="n"/>
      <c r="V719" s="438">
        <f>IF(AND(N719=1,U719=1),C719,"")</f>
        <v/>
      </c>
      <c r="W719" s="387" t="n"/>
      <c r="X719" s="1" t="n"/>
      <c r="Y719" s="1" t="n"/>
    </row>
    <row r="720" hidden="1" ht="16.05" customFormat="1" customHeight="1" s="126">
      <c r="A720" s="125" t="n">
        <v>968</v>
      </c>
      <c r="B720" s="125" t="n"/>
      <c r="C720" s="130" t="inlineStr">
        <is>
          <t>Волгоград</t>
        </is>
      </c>
      <c r="D720" s="130" t="inlineStr">
        <is>
          <t>Волгоград</t>
        </is>
      </c>
      <c r="E720" s="130" t="n"/>
      <c r="F720" s="130" t="inlineStr">
        <is>
          <t>АЗС</t>
        </is>
      </c>
      <c r="G720" s="130" t="inlineStr">
        <is>
          <t>Лукойл</t>
        </is>
      </c>
      <c r="H720" s="131" t="inlineStr">
        <is>
          <t>АЗС-8</t>
        </is>
      </c>
      <c r="I720" s="637" t="n">
        <v>34498</v>
      </c>
      <c r="J720" s="637" t="inlineStr">
        <is>
          <t>VGG_LUK_34498</t>
        </is>
      </c>
      <c r="K720" s="640" t="n">
        <v>1</v>
      </c>
      <c r="L720" s="640" t="n">
        <v>0</v>
      </c>
      <c r="M720" s="640" t="inlineStr">
        <is>
          <t>Samsung 32" вертикальный</t>
        </is>
      </c>
      <c r="N720" s="640" t="n"/>
      <c r="O720" s="640">
        <f>IF(AND(N720=1,L720=1),K720,"")</f>
        <v/>
      </c>
      <c r="P720" s="642" t="inlineStr">
        <is>
          <t>Волгоград, Автомобилистов 12а</t>
        </is>
      </c>
      <c r="Q720" s="640" t="inlineStr">
        <is>
          <t>48.646711</t>
        </is>
      </c>
      <c r="R720" s="422" t="inlineStr">
        <is>
          <t>44.4349444</t>
        </is>
      </c>
      <c r="S720" s="436" t="n"/>
      <c r="T720" s="436" t="n"/>
      <c r="U720" s="436" t="n"/>
      <c r="V720" s="438">
        <f>IF(AND(N720=1,U720=1),C720,"")</f>
        <v/>
      </c>
      <c r="W720" s="387" t="n"/>
      <c r="X720" s="1" t="n"/>
      <c r="Y720" s="1" t="n"/>
    </row>
    <row r="721" hidden="1" ht="16.05" customFormat="1" customHeight="1" s="126">
      <c r="A721" s="125" t="n">
        <v>969</v>
      </c>
      <c r="B721" s="125" t="n"/>
      <c r="C721" s="130" t="inlineStr">
        <is>
          <t>Волгоград</t>
        </is>
      </c>
      <c r="D721" s="130" t="inlineStr">
        <is>
          <t>Волгоград</t>
        </is>
      </c>
      <c r="E721" s="130" t="n"/>
      <c r="F721" s="130" t="inlineStr">
        <is>
          <t>АЗС</t>
        </is>
      </c>
      <c r="G721" s="130" t="inlineStr">
        <is>
          <t>Лукойл</t>
        </is>
      </c>
      <c r="H721" s="131" t="inlineStr">
        <is>
          <t>АЗС-105</t>
        </is>
      </c>
      <c r="I721" s="637" t="n">
        <v>34406</v>
      </c>
      <c r="J721" s="637" t="inlineStr">
        <is>
          <t>VGG_LUK_34406</t>
        </is>
      </c>
      <c r="K721" s="640" t="n">
        <v>1</v>
      </c>
      <c r="L721" s="640" t="n">
        <v>0</v>
      </c>
      <c r="M721" s="640" t="inlineStr">
        <is>
          <t>Samsung 32" вертикальный</t>
        </is>
      </c>
      <c r="N721" s="640" t="n"/>
      <c r="O721" s="640">
        <f>IF(AND(N721=1,L721=1),K721,"")</f>
        <v/>
      </c>
      <c r="P721" s="642" t="inlineStr">
        <is>
          <t>Волгоград,  им.40 лет ВЛКСМ 94Б</t>
        </is>
      </c>
      <c r="Q721" s="640" t="inlineStr">
        <is>
          <t>48.4891788</t>
        </is>
      </c>
      <c r="R721" s="422" t="inlineStr">
        <is>
          <t>44.6039557</t>
        </is>
      </c>
      <c r="S721" s="436" t="n"/>
      <c r="T721" s="436" t="n"/>
      <c r="U721" s="436" t="n"/>
      <c r="V721" s="438">
        <f>IF(AND(N721=1,U721=1),C721,"")</f>
        <v/>
      </c>
      <c r="W721" s="387" t="n"/>
      <c r="X721" s="1" t="n"/>
      <c r="Y721" s="1" t="n"/>
    </row>
    <row r="722" hidden="1" ht="16.05" customFormat="1" customHeight="1" s="126">
      <c r="A722" s="125" t="n">
        <v>970</v>
      </c>
      <c r="B722" s="125" t="n"/>
      <c r="C722" s="130" t="inlineStr">
        <is>
          <t>Волгоград</t>
        </is>
      </c>
      <c r="D722" s="130" t="inlineStr">
        <is>
          <t>Волгоград</t>
        </is>
      </c>
      <c r="E722" s="130" t="n"/>
      <c r="F722" s="130" t="inlineStr">
        <is>
          <t>АЗС</t>
        </is>
      </c>
      <c r="G722" s="130" t="inlineStr">
        <is>
          <t>Лукойл</t>
        </is>
      </c>
      <c r="H722" s="131" t="inlineStr">
        <is>
          <t>АЗС-121</t>
        </is>
      </c>
      <c r="I722" s="637" t="n">
        <v>34421</v>
      </c>
      <c r="J722" s="637" t="inlineStr">
        <is>
          <t>VGG_LUK_34421</t>
        </is>
      </c>
      <c r="K722" s="640" t="n">
        <v>1</v>
      </c>
      <c r="L722" s="640" t="n">
        <v>0</v>
      </c>
      <c r="M722" s="640" t="inlineStr">
        <is>
          <t>Samsung 32" вертикальный</t>
        </is>
      </c>
      <c r="N722" s="640" t="n"/>
      <c r="O722" s="640">
        <f>IF(AND(N722=1,L722=1),K722,"")</f>
        <v/>
      </c>
      <c r="P722" s="642" t="inlineStr">
        <is>
          <t>Волгоград,  им.Довженко 6</t>
        </is>
      </c>
      <c r="Q722" s="640" t="inlineStr">
        <is>
          <t>48.5062735</t>
        </is>
      </c>
      <c r="R722" s="422" t="inlineStr">
        <is>
          <t>44.5613113</t>
        </is>
      </c>
      <c r="S722" s="436" t="n"/>
      <c r="T722" s="436" t="n"/>
      <c r="U722" s="436" t="n"/>
      <c r="V722" s="438">
        <f>IF(AND(N722=1,U722=1),C722,"")</f>
        <v/>
      </c>
      <c r="W722" s="387" t="n"/>
      <c r="X722" s="1" t="n"/>
      <c r="Y722" s="1" t="n"/>
    </row>
    <row r="723" hidden="1" ht="16.05" customFormat="1" customHeight="1" s="126">
      <c r="A723" s="125" t="n">
        <v>971</v>
      </c>
      <c r="B723" s="125" t="n"/>
      <c r="C723" s="130" t="inlineStr">
        <is>
          <t>Волгоград</t>
        </is>
      </c>
      <c r="D723" s="130" t="inlineStr">
        <is>
          <t>Волгоград</t>
        </is>
      </c>
      <c r="E723" s="130" t="n"/>
      <c r="F723" s="130" t="inlineStr">
        <is>
          <t>АЗС</t>
        </is>
      </c>
      <c r="G723" s="130" t="inlineStr">
        <is>
          <t>Лукойл</t>
        </is>
      </c>
      <c r="H723" s="131" t="inlineStr">
        <is>
          <t>АЗС-10</t>
        </is>
      </c>
      <c r="I723" s="637" t="n">
        <v>34400</v>
      </c>
      <c r="J723" s="637" t="inlineStr">
        <is>
          <t>VGG_LUK_34400</t>
        </is>
      </c>
      <c r="K723" s="640" t="n">
        <v>1</v>
      </c>
      <c r="L723" s="640" t="n">
        <v>0</v>
      </c>
      <c r="M723" s="640" t="inlineStr">
        <is>
          <t>Samsung 32" вертикальный</t>
        </is>
      </c>
      <c r="N723" s="640" t="n"/>
      <c r="O723" s="640">
        <f>IF(AND(N723=1,L723=1),K723,"")</f>
        <v/>
      </c>
      <c r="P723" s="642" t="inlineStr">
        <is>
          <t>Волгоград, п.г.т. Саши Чекалина, 2-я Продольная магистраль 88д</t>
        </is>
      </c>
      <c r="Q723" s="640" t="inlineStr">
        <is>
          <t>48.5595326</t>
        </is>
      </c>
      <c r="R723" s="422" t="inlineStr">
        <is>
          <t>44.4381094</t>
        </is>
      </c>
      <c r="S723" s="436" t="n"/>
      <c r="T723" s="436" t="n"/>
      <c r="U723" s="436" t="n"/>
      <c r="V723" s="438">
        <f>IF(AND(N723=1,U723=1),C723,"")</f>
        <v/>
      </c>
      <c r="W723" s="387" t="n"/>
      <c r="X723" s="1" t="n"/>
      <c r="Y723" s="1" t="n"/>
    </row>
    <row r="724" hidden="1" ht="16.05" customFormat="1" customHeight="1" s="126">
      <c r="A724" s="125" t="n">
        <v>972</v>
      </c>
      <c r="B724" s="125" t="n"/>
      <c r="C724" s="130" t="inlineStr">
        <is>
          <t>Волгоград</t>
        </is>
      </c>
      <c r="D724" s="130" t="inlineStr">
        <is>
          <t>Волгоград</t>
        </is>
      </c>
      <c r="E724" s="130" t="n"/>
      <c r="F724" s="130" t="inlineStr">
        <is>
          <t>АЗС</t>
        </is>
      </c>
      <c r="G724" s="130" t="inlineStr">
        <is>
          <t>Лукойл</t>
        </is>
      </c>
      <c r="H724" s="131" t="inlineStr">
        <is>
          <t>АЗС-115</t>
        </is>
      </c>
      <c r="I724" s="637" t="n">
        <v>34414</v>
      </c>
      <c r="J724" s="637" t="inlineStr">
        <is>
          <t>VGG_LUK_34414</t>
        </is>
      </c>
      <c r="K724" s="640" t="n">
        <v>1</v>
      </c>
      <c r="L724" s="640" t="n">
        <v>0</v>
      </c>
      <c r="M724" s="640" t="inlineStr">
        <is>
          <t>Samsung 32" вертикальный</t>
        </is>
      </c>
      <c r="N724" s="640" t="n"/>
      <c r="O724" s="640">
        <f>IF(AND(N724=1,L724=1),K724,"")</f>
        <v/>
      </c>
      <c r="P724" s="642" t="inlineStr">
        <is>
          <t>Волгоград, б 30 лет Победы 15</t>
        </is>
      </c>
      <c r="Q724" s="640" t="inlineStr">
        <is>
          <t>48.745163</t>
        </is>
      </c>
      <c r="R724" s="422" t="inlineStr">
        <is>
          <t>44.501722</t>
        </is>
      </c>
      <c r="S724" s="436" t="n"/>
      <c r="T724" s="436" t="n"/>
      <c r="U724" s="436" t="n"/>
      <c r="V724" s="438">
        <f>IF(AND(N724=1,U724=1),C724,"")</f>
        <v/>
      </c>
      <c r="W724" s="387" t="n"/>
      <c r="X724" s="1" t="n"/>
      <c r="Y724" s="1" t="n"/>
    </row>
    <row r="725" hidden="1" ht="16.05" customFormat="1" customHeight="1" s="126">
      <c r="A725" s="125" t="n">
        <v>973</v>
      </c>
      <c r="B725" s="125" t="n"/>
      <c r="C725" s="130" t="inlineStr">
        <is>
          <t>Волгоград</t>
        </is>
      </c>
      <c r="D725" s="130" t="inlineStr">
        <is>
          <t>Волгоград</t>
        </is>
      </c>
      <c r="E725" s="130" t="n"/>
      <c r="F725" s="130" t="inlineStr">
        <is>
          <t>АЗС</t>
        </is>
      </c>
      <c r="G725" s="130" t="inlineStr">
        <is>
          <t>Лукойл</t>
        </is>
      </c>
      <c r="H725" s="131" t="inlineStr">
        <is>
          <t>АЗС-132</t>
        </is>
      </c>
      <c r="I725" s="637" t="n">
        <v>34433</v>
      </c>
      <c r="J725" s="637" t="inlineStr">
        <is>
          <t>VGG_LUK_34433</t>
        </is>
      </c>
      <c r="K725" s="640" t="n">
        <v>1</v>
      </c>
      <c r="L725" s="640" t="n">
        <v>0</v>
      </c>
      <c r="M725" s="640" t="inlineStr">
        <is>
          <t>Samsung 32" вертикальный</t>
        </is>
      </c>
      <c r="N725" s="640" t="n"/>
      <c r="O725" s="640">
        <f>IF(AND(N725=1,L725=1),K725,"")</f>
        <v/>
      </c>
      <c r="P725" s="642" t="inlineStr">
        <is>
          <t>Волгоград, пр.им. Маршала Г.К.Жукова 11</t>
        </is>
      </c>
      <c r="Q725" s="640" t="inlineStr">
        <is>
          <t>48.7226491</t>
        </is>
      </c>
      <c r="R725" s="422" t="inlineStr">
        <is>
          <t>44.5021015</t>
        </is>
      </c>
      <c r="S725" s="436" t="n"/>
      <c r="T725" s="436" t="n"/>
      <c r="U725" s="436" t="n"/>
      <c r="V725" s="438">
        <f>IF(AND(N725=1,U725=1),C725,"")</f>
        <v/>
      </c>
      <c r="W725" s="387" t="n"/>
      <c r="X725" s="1" t="n"/>
      <c r="Y725" s="1" t="n"/>
    </row>
    <row r="726" hidden="1" ht="16.05" customFormat="1" customHeight="1" s="126">
      <c r="A726" s="125" t="n">
        <v>975</v>
      </c>
      <c r="B726" s="125" t="n"/>
      <c r="C726" s="130" t="inlineStr">
        <is>
          <t>Волгоград</t>
        </is>
      </c>
      <c r="D726" s="130" t="inlineStr">
        <is>
          <t>Волгоград</t>
        </is>
      </c>
      <c r="E726" s="130" t="n"/>
      <c r="F726" s="130" t="inlineStr">
        <is>
          <t>АЗС</t>
        </is>
      </c>
      <c r="G726" s="130" t="inlineStr">
        <is>
          <t>Лукойл</t>
        </is>
      </c>
      <c r="H726" s="131" t="inlineStr">
        <is>
          <t>АЗС-83</t>
        </is>
      </c>
      <c r="I726" s="637" t="n">
        <v>34501</v>
      </c>
      <c r="J726" s="637" t="inlineStr">
        <is>
          <t>VGG_LUK_34501</t>
        </is>
      </c>
      <c r="K726" s="640" t="n">
        <v>1</v>
      </c>
      <c r="L726" s="640" t="n">
        <v>0</v>
      </c>
      <c r="M726" s="640" t="inlineStr">
        <is>
          <t>Samsung 32" вертикальный</t>
        </is>
      </c>
      <c r="N726" s="640" t="n"/>
      <c r="O726" s="640">
        <f>IF(AND(N726=1,L726=1),K726,"")</f>
        <v/>
      </c>
      <c r="P726" s="642" t="inlineStr">
        <is>
          <t>Волгоград,  Автотранспортная 1</t>
        </is>
      </c>
      <c r="Q726" s="640" t="inlineStr">
        <is>
          <t>48.6870428</t>
        </is>
      </c>
      <c r="R726" s="422" t="inlineStr">
        <is>
          <t>44.4527301</t>
        </is>
      </c>
      <c r="S726" s="436" t="n"/>
      <c r="T726" s="436" t="n"/>
      <c r="U726" s="436" t="n"/>
      <c r="V726" s="438">
        <f>IF(AND(N726=1,U726=1),C726,"")</f>
        <v/>
      </c>
      <c r="W726" s="387" t="n"/>
      <c r="X726" s="1" t="n"/>
      <c r="Y726" s="1" t="n"/>
    </row>
    <row r="727" hidden="1" ht="16.05" customFormat="1" customHeight="1" s="126">
      <c r="A727" s="125" t="n">
        <v>976</v>
      </c>
      <c r="B727" s="125" t="n"/>
      <c r="C727" s="130" t="inlineStr">
        <is>
          <t>Волгоград</t>
        </is>
      </c>
      <c r="D727" s="130" t="inlineStr">
        <is>
          <t>Волгоград</t>
        </is>
      </c>
      <c r="E727" s="130" t="n"/>
      <c r="F727" s="130" t="inlineStr">
        <is>
          <t>АЗС</t>
        </is>
      </c>
      <c r="G727" s="130" t="inlineStr">
        <is>
          <t>Лукойл</t>
        </is>
      </c>
      <c r="H727" s="131" t="inlineStr">
        <is>
          <t>АЗС-85</t>
        </is>
      </c>
      <c r="I727" s="637" t="n">
        <v>34503</v>
      </c>
      <c r="J727" s="637" t="inlineStr">
        <is>
          <t>VGG_LUK_34503</t>
        </is>
      </c>
      <c r="K727" s="640" t="n">
        <v>1</v>
      </c>
      <c r="L727" s="640" t="n">
        <v>0</v>
      </c>
      <c r="M727" s="640" t="inlineStr">
        <is>
          <t>Samsung 32" вертикальный</t>
        </is>
      </c>
      <c r="N727" s="640" t="n"/>
      <c r="O727" s="640">
        <f>IF(AND(N727=1,L727=1),K727,"")</f>
        <v/>
      </c>
      <c r="P727" s="642" t="inlineStr">
        <is>
          <t>Волгоград,  Социалистическая 43</t>
        </is>
      </c>
      <c r="Q727" s="640" t="inlineStr">
        <is>
          <t>48.6943306</t>
        </is>
      </c>
      <c r="R727" s="422" t="inlineStr">
        <is>
          <t>44.4860163</t>
        </is>
      </c>
      <c r="S727" s="436" t="n"/>
      <c r="T727" s="436" t="n"/>
      <c r="U727" s="436" t="n"/>
      <c r="V727" s="438">
        <f>IF(AND(N727=1,U727=1),C727,"")</f>
        <v/>
      </c>
      <c r="W727" s="387" t="n"/>
      <c r="X727" s="1" t="n"/>
      <c r="Y727" s="1" t="n"/>
    </row>
    <row r="728" hidden="1" ht="16.05" customFormat="1" customHeight="1" s="126">
      <c r="A728" s="125" t="n">
        <v>977</v>
      </c>
      <c r="B728" s="125" t="n"/>
      <c r="C728" s="130" t="inlineStr">
        <is>
          <t>Волгоград</t>
        </is>
      </c>
      <c r="D728" s="130" t="inlineStr">
        <is>
          <t>Волгоград</t>
        </is>
      </c>
      <c r="E728" s="130" t="n"/>
      <c r="F728" s="130" t="inlineStr">
        <is>
          <t>АЗС</t>
        </is>
      </c>
      <c r="G728" s="130" t="inlineStr">
        <is>
          <t>Лукойл</t>
        </is>
      </c>
      <c r="H728" s="131" t="inlineStr">
        <is>
          <t>АЗС-89</t>
        </is>
      </c>
      <c r="I728" s="637" t="n">
        <v>34507</v>
      </c>
      <c r="J728" s="637" t="inlineStr">
        <is>
          <t>VGG_LUK_34507</t>
        </is>
      </c>
      <c r="K728" s="640" t="n">
        <v>1</v>
      </c>
      <c r="L728" s="640" t="n">
        <v>0</v>
      </c>
      <c r="M728" s="640" t="inlineStr">
        <is>
          <t>Samsung 32" вертикальный</t>
        </is>
      </c>
      <c r="N728" s="640" t="n"/>
      <c r="O728" s="640">
        <f>IF(AND(N728=1,L728=1),K728,"")</f>
        <v/>
      </c>
      <c r="P728" s="642" t="inlineStr">
        <is>
          <t>Волгоград,  Хорошева 65а</t>
        </is>
      </c>
      <c r="Q728" s="640" t="inlineStr">
        <is>
          <t>48.7362032</t>
        </is>
      </c>
      <c r="R728" s="422" t="inlineStr">
        <is>
          <t>44.4759399</t>
        </is>
      </c>
      <c r="S728" s="436" t="n"/>
      <c r="T728" s="436" t="n"/>
      <c r="U728" s="436" t="n"/>
      <c r="V728" s="438">
        <f>IF(AND(N728=1,U728=1),C728,"")</f>
        <v/>
      </c>
      <c r="W728" s="387" t="n"/>
      <c r="X728" s="1" t="n"/>
      <c r="Y728" s="1" t="n"/>
    </row>
    <row r="729" hidden="1" ht="16.05" customFormat="1" customHeight="1" s="126">
      <c r="A729" s="125" t="n">
        <v>978</v>
      </c>
      <c r="B729" s="125" t="n"/>
      <c r="C729" s="130" t="inlineStr">
        <is>
          <t>Волгоград</t>
        </is>
      </c>
      <c r="D729" s="130" t="inlineStr">
        <is>
          <t>Волгоград</t>
        </is>
      </c>
      <c r="E729" s="130" t="n"/>
      <c r="F729" s="130" t="inlineStr">
        <is>
          <t>АЗС</t>
        </is>
      </c>
      <c r="G729" s="130" t="inlineStr">
        <is>
          <t>Лукойл</t>
        </is>
      </c>
      <c r="H729" s="131" t="inlineStr">
        <is>
          <t>АЗС-129</t>
        </is>
      </c>
      <c r="I729" s="637" t="n">
        <v>34429</v>
      </c>
      <c r="J729" s="637" t="inlineStr">
        <is>
          <t>VGG_LUK_34429</t>
        </is>
      </c>
      <c r="K729" s="640" t="n">
        <v>1</v>
      </c>
      <c r="L729" s="640" t="n">
        <v>0</v>
      </c>
      <c r="M729" s="640" t="inlineStr">
        <is>
          <t>Samsung 32" вертикальный</t>
        </is>
      </c>
      <c r="N729" s="640" t="n"/>
      <c r="O729" s="640">
        <f>IF(AND(N729=1,L729=1),K729,"")</f>
        <v/>
      </c>
      <c r="P729" s="642" t="inlineStr">
        <is>
          <t>Волгоград,  Ангарская 131Б</t>
        </is>
      </c>
      <c r="Q729" s="640" t="inlineStr">
        <is>
          <t>48.7292417</t>
        </is>
      </c>
      <c r="R729" s="422" t="inlineStr">
        <is>
          <t>44.4588912</t>
        </is>
      </c>
      <c r="S729" s="436" t="n"/>
      <c r="T729" s="436" t="n"/>
      <c r="U729" s="436" t="n"/>
      <c r="V729" s="438">
        <f>IF(AND(N729=1,U729=1),C729,"")</f>
        <v/>
      </c>
      <c r="W729" s="387" t="n"/>
      <c r="X729" s="1" t="n"/>
      <c r="Y729" s="1" t="n"/>
    </row>
    <row r="730" hidden="1" ht="16.05" customFormat="1" customHeight="1" s="126">
      <c r="A730" s="125" t="n">
        <v>979</v>
      </c>
      <c r="B730" s="125" t="n"/>
      <c r="C730" s="130" t="inlineStr">
        <is>
          <t>Волгоград</t>
        </is>
      </c>
      <c r="D730" s="130" t="inlineStr">
        <is>
          <t>Волгоград</t>
        </is>
      </c>
      <c r="E730" s="130" t="n"/>
      <c r="F730" s="130" t="inlineStr">
        <is>
          <t>АЗС</t>
        </is>
      </c>
      <c r="G730" s="130" t="inlineStr">
        <is>
          <t>Лукойл</t>
        </is>
      </c>
      <c r="H730" s="131" t="inlineStr">
        <is>
          <t>АЗС-101</t>
        </is>
      </c>
      <c r="I730" s="637" t="n">
        <v>34402</v>
      </c>
      <c r="J730" s="637" t="inlineStr">
        <is>
          <t>VGG_LUK_34402</t>
        </is>
      </c>
      <c r="K730" s="640" t="n">
        <v>1</v>
      </c>
      <c r="L730" s="640" t="n">
        <v>0</v>
      </c>
      <c r="M730" s="640" t="inlineStr">
        <is>
          <t>Samsung 32" вертикальный</t>
        </is>
      </c>
      <c r="N730" s="640" t="n"/>
      <c r="O730" s="640">
        <f>IF(AND(N730=1,L730=1),K730,"")</f>
        <v/>
      </c>
      <c r="P730" s="642" t="inlineStr">
        <is>
          <t>400022 Волгоград ул. Лазоревая 170а</t>
        </is>
      </c>
      <c r="Q730" s="640" t="inlineStr">
        <is>
          <t>48.5252855</t>
        </is>
      </c>
      <c r="R730" s="422" t="inlineStr">
        <is>
          <t>44.4905231</t>
        </is>
      </c>
      <c r="S730" s="436" t="n"/>
      <c r="T730" s="436" t="n"/>
      <c r="U730" s="436" t="n"/>
      <c r="V730" s="438">
        <f>IF(AND(N730=1,U730=1),C730,"")</f>
        <v/>
      </c>
      <c r="W730" s="387" t="n"/>
      <c r="X730" s="1" t="n"/>
      <c r="Y730" s="1" t="n"/>
    </row>
    <row r="731" hidden="1" ht="16.05" customFormat="1" customHeight="1" s="126">
      <c r="A731" s="125" t="n">
        <v>980</v>
      </c>
      <c r="B731" s="125" t="n"/>
      <c r="C731" s="130" t="inlineStr">
        <is>
          <t>Волгоград</t>
        </is>
      </c>
      <c r="D731" s="130" t="inlineStr">
        <is>
          <t>Волгоград</t>
        </is>
      </c>
      <c r="E731" s="130" t="n"/>
      <c r="F731" s="130" t="inlineStr">
        <is>
          <t>АЗС</t>
        </is>
      </c>
      <c r="G731" s="130" t="inlineStr">
        <is>
          <t>Лукойл</t>
        </is>
      </c>
      <c r="H731" s="131" t="inlineStr">
        <is>
          <t>АЗС-7</t>
        </is>
      </c>
      <c r="I731" s="637" t="n">
        <v>34490</v>
      </c>
      <c r="J731" s="637" t="inlineStr">
        <is>
          <t>VGG_LUK_34490</t>
        </is>
      </c>
      <c r="K731" s="640" t="n">
        <v>1</v>
      </c>
      <c r="L731" s="640" t="n">
        <v>0</v>
      </c>
      <c r="M731" s="640" t="inlineStr">
        <is>
          <t>Samsung 32" вертикальный</t>
        </is>
      </c>
      <c r="N731" s="640" t="n"/>
      <c r="O731" s="640">
        <f>IF(AND(N731=1,L731=1),K731,"")</f>
        <v/>
      </c>
      <c r="P731" s="642" t="inlineStr">
        <is>
          <t>Волгоград,  Марш.Рокоссовского 80а</t>
        </is>
      </c>
      <c r="Q731" s="640" t="inlineStr">
        <is>
          <t>48.7339185</t>
        </is>
      </c>
      <c r="R731" s="422" t="inlineStr">
        <is>
          <t>44.5305021</t>
        </is>
      </c>
      <c r="S731" s="436" t="n"/>
      <c r="T731" s="436" t="n"/>
      <c r="U731" s="436" t="n"/>
      <c r="V731" s="438">
        <f>IF(AND(N731=1,U731=1),C731,"")</f>
        <v/>
      </c>
      <c r="W731" s="387" t="n"/>
      <c r="X731" s="1" t="n"/>
      <c r="Y731" s="1" t="n"/>
    </row>
    <row r="732" hidden="1" ht="16.05" customFormat="1" customHeight="1" s="126">
      <c r="A732" s="125" t="n">
        <v>981</v>
      </c>
      <c r="B732" s="125" t="n"/>
      <c r="C732" s="130" t="inlineStr">
        <is>
          <t>Волгоград</t>
        </is>
      </c>
      <c r="D732" s="130" t="inlineStr">
        <is>
          <t>Волжский</t>
        </is>
      </c>
      <c r="E732" s="130" t="n"/>
      <c r="F732" s="130" t="inlineStr">
        <is>
          <t>АЗС</t>
        </is>
      </c>
      <c r="G732" s="130" t="inlineStr">
        <is>
          <t>Лукойл</t>
        </is>
      </c>
      <c r="H732" s="131" t="inlineStr">
        <is>
          <t>АЗС-66</t>
        </is>
      </c>
      <c r="I732" s="637" t="n">
        <v>34487</v>
      </c>
      <c r="J732" s="637" t="inlineStr">
        <is>
          <t>VGG_LUK_34487</t>
        </is>
      </c>
      <c r="K732" s="640" t="n">
        <v>1</v>
      </c>
      <c r="L732" s="640" t="n">
        <v>0</v>
      </c>
      <c r="M732" s="640" t="inlineStr">
        <is>
          <t>Samsung 32" вертикальный</t>
        </is>
      </c>
      <c r="N732" s="640" t="n"/>
      <c r="O732" s="640">
        <f>IF(AND(N732=1,L732=1),K732,"")</f>
        <v/>
      </c>
      <c r="P732" s="642" t="inlineStr">
        <is>
          <t>Волжский, Автодорога 6 33</t>
        </is>
      </c>
      <c r="Q732" s="640" t="inlineStr">
        <is>
          <t>48.8182879</t>
        </is>
      </c>
      <c r="R732" s="422" t="inlineStr">
        <is>
          <t>44.743908</t>
        </is>
      </c>
      <c r="S732" s="436" t="n"/>
      <c r="T732" s="436" t="n"/>
      <c r="U732" s="436" t="n"/>
      <c r="V732" s="438">
        <f>IF(AND(N732=1,U732=1),C732,"")</f>
        <v/>
      </c>
      <c r="W732" s="387" t="n"/>
      <c r="X732" s="1" t="n"/>
      <c r="Y732" s="1" t="n"/>
    </row>
    <row r="733" hidden="1" ht="16.05" customFormat="1" customHeight="1" s="126">
      <c r="A733" s="125" t="n">
        <v>982</v>
      </c>
      <c r="B733" s="125" t="n"/>
      <c r="C733" s="130" t="inlineStr">
        <is>
          <t>Саратов</t>
        </is>
      </c>
      <c r="D733" s="130" t="inlineStr">
        <is>
          <t>Саратов</t>
        </is>
      </c>
      <c r="E733" s="130" t="n"/>
      <c r="F733" s="130" t="inlineStr">
        <is>
          <t>АЗС</t>
        </is>
      </c>
      <c r="G733" s="130" t="inlineStr">
        <is>
          <t>Лукойл</t>
        </is>
      </c>
      <c r="H733" s="131" t="inlineStr">
        <is>
          <t>АЗК-225</t>
        </is>
      </c>
      <c r="I733" s="637" t="n">
        <v>64573</v>
      </c>
      <c r="J733" s="637" t="inlineStr">
        <is>
          <t>SRT_LUK_64573</t>
        </is>
      </c>
      <c r="K733" s="640" t="n">
        <v>1</v>
      </c>
      <c r="L733" s="640" t="n">
        <v>0</v>
      </c>
      <c r="M733" s="640" t="inlineStr">
        <is>
          <t>Samsung 32" вертикальный</t>
        </is>
      </c>
      <c r="N733" s="640" t="n"/>
      <c r="O733" s="640">
        <f>IF(AND(N733=1,L733=1),K733,"")</f>
        <v/>
      </c>
      <c r="P733" s="642" t="inlineStr">
        <is>
          <t>Саратов, проспект 50 лет Октября (район Трофимовского моста)  (Саратов, проспект 50 лет Октября, 19 Г)</t>
        </is>
      </c>
      <c r="Q733" s="640" t="inlineStr">
        <is>
          <t>51.563928</t>
        </is>
      </c>
      <c r="R733" s="422" t="inlineStr">
        <is>
          <t>45.990261</t>
        </is>
      </c>
      <c r="S733" s="436" t="n"/>
      <c r="T733" s="436" t="n"/>
      <c r="U733" s="436" t="n"/>
      <c r="V733" s="438">
        <f>IF(AND(N733=1,U733=1),C733,"")</f>
        <v/>
      </c>
      <c r="W733" s="387" t="n"/>
      <c r="X733" s="1" t="n"/>
      <c r="Y733" s="1" t="n"/>
    </row>
    <row r="734" hidden="1" ht="16.05" customFormat="1" customHeight="1" s="126">
      <c r="A734" s="125" t="n">
        <v>983</v>
      </c>
      <c r="B734" s="125" t="n"/>
      <c r="C734" s="130" t="inlineStr">
        <is>
          <t>Саратов</t>
        </is>
      </c>
      <c r="D734" s="130" t="inlineStr">
        <is>
          <t>Саратов</t>
        </is>
      </c>
      <c r="E734" s="130" t="n"/>
      <c r="F734" s="130" t="inlineStr">
        <is>
          <t>АЗС</t>
        </is>
      </c>
      <c r="G734" s="130" t="inlineStr">
        <is>
          <t>Лукойл</t>
        </is>
      </c>
      <c r="H734" s="131" t="inlineStr">
        <is>
          <t>АЗК-208</t>
        </is>
      </c>
      <c r="I734" s="637" t="n">
        <v>64557</v>
      </c>
      <c r="J734" s="637" t="inlineStr">
        <is>
          <t>SRT_LUK_64557</t>
        </is>
      </c>
      <c r="K734" s="640" t="n">
        <v>1</v>
      </c>
      <c r="L734" s="640" t="n">
        <v>0</v>
      </c>
      <c r="M734" s="640" t="inlineStr">
        <is>
          <t>Samsung 32" вертикальный</t>
        </is>
      </c>
      <c r="N734" s="640" t="n"/>
      <c r="O734" s="640">
        <f>IF(AND(N734=1,L734=1),K734,"")</f>
        <v/>
      </c>
      <c r="P734" s="642" t="inlineStr">
        <is>
          <t>Саратов,  академика Антонова 30</t>
        </is>
      </c>
      <c r="Q734" s="640" t="inlineStr">
        <is>
          <t>51.601398</t>
        </is>
      </c>
      <c r="R734" s="422" t="inlineStr">
        <is>
          <t>46.00559</t>
        </is>
      </c>
      <c r="S734" s="436" t="n"/>
      <c r="T734" s="436" t="n"/>
      <c r="U734" s="436" t="n"/>
      <c r="V734" s="438">
        <f>IF(AND(N734=1,U734=1),C734,"")</f>
        <v/>
      </c>
      <c r="W734" s="387" t="n"/>
      <c r="X734" s="1" t="n"/>
      <c r="Y734" s="1" t="n"/>
    </row>
    <row r="735" hidden="1" ht="16.05" customFormat="1" customHeight="1" s="126">
      <c r="A735" s="125" t="n">
        <v>984</v>
      </c>
      <c r="B735" s="125" t="n"/>
      <c r="C735" s="130" t="inlineStr">
        <is>
          <t>Саратов</t>
        </is>
      </c>
      <c r="D735" s="130" t="inlineStr">
        <is>
          <t>Саратов</t>
        </is>
      </c>
      <c r="E735" s="130" t="n"/>
      <c r="F735" s="130" t="inlineStr">
        <is>
          <t>АЗС</t>
        </is>
      </c>
      <c r="G735" s="130" t="inlineStr">
        <is>
          <t>Лукойл</t>
        </is>
      </c>
      <c r="H735" s="131" t="inlineStr">
        <is>
          <t>АЗК-201</t>
        </is>
      </c>
      <c r="I735" s="637" t="n">
        <v>64550</v>
      </c>
      <c r="J735" s="637" t="inlineStr">
        <is>
          <t>SRT_LUK_64550</t>
        </is>
      </c>
      <c r="K735" s="640" t="n">
        <v>1</v>
      </c>
      <c r="L735" s="640" t="n">
        <v>0</v>
      </c>
      <c r="M735" s="640" t="inlineStr">
        <is>
          <t>Samsung 32" вертикальный</t>
        </is>
      </c>
      <c r="N735" s="640" t="n"/>
      <c r="O735" s="640">
        <f>IF(AND(N735=1,L735=1),K735,"")</f>
        <v/>
      </c>
      <c r="P735" s="642" t="inlineStr">
        <is>
          <t>Саратов, пр. 6 Соколовогорский (Аэропорт),8</t>
        </is>
      </c>
      <c r="Q735" s="640" t="inlineStr">
        <is>
          <t>51.55525</t>
        </is>
      </c>
      <c r="R735" s="422" t="inlineStr">
        <is>
          <t>46.037899</t>
        </is>
      </c>
      <c r="S735" s="436" t="n"/>
      <c r="T735" s="436" t="n"/>
      <c r="U735" s="436" t="n"/>
      <c r="V735" s="438">
        <f>IF(AND(N735=1,U735=1),C735,"")</f>
        <v/>
      </c>
      <c r="W735" s="387" t="n"/>
      <c r="X735" s="1" t="n"/>
      <c r="Y735" s="1" t="n"/>
    </row>
    <row r="736" hidden="1" ht="16.05" customFormat="1" customHeight="1" s="126">
      <c r="A736" s="125" t="n">
        <v>985</v>
      </c>
      <c r="B736" s="125" t="n"/>
      <c r="C736" s="130" t="inlineStr">
        <is>
          <t>Саратов</t>
        </is>
      </c>
      <c r="D736" s="130" t="inlineStr">
        <is>
          <t>Саратов</t>
        </is>
      </c>
      <c r="E736" s="130" t="n"/>
      <c r="F736" s="130" t="inlineStr">
        <is>
          <t>АЗС</t>
        </is>
      </c>
      <c r="G736" s="130" t="inlineStr">
        <is>
          <t>Лукойл</t>
        </is>
      </c>
      <c r="H736" s="131" t="inlineStr">
        <is>
          <t>АЗК-222</t>
        </is>
      </c>
      <c r="I736" s="637" t="n">
        <v>64570</v>
      </c>
      <c r="J736" s="637" t="inlineStr">
        <is>
          <t>SRT_LUK_64570</t>
        </is>
      </c>
      <c r="K736" s="640" t="n">
        <v>1</v>
      </c>
      <c r="L736" s="640" t="n">
        <v>0</v>
      </c>
      <c r="M736" s="640" t="inlineStr">
        <is>
          <t>Samsung 32" вертикальный</t>
        </is>
      </c>
      <c r="N736" s="640" t="n"/>
      <c r="O736" s="640">
        <f>IF(AND(N736=1,L736=1),K736,"")</f>
        <v/>
      </c>
      <c r="P736" s="642" t="inlineStr">
        <is>
          <t>Саратов,  Орджоникидзе 24</t>
        </is>
      </c>
      <c r="Q736" s="640" t="inlineStr">
        <is>
          <t>51.50549</t>
        </is>
      </c>
      <c r="R736" s="422" t="inlineStr">
        <is>
          <t>45.969155</t>
        </is>
      </c>
      <c r="S736" s="436" t="n"/>
      <c r="T736" s="436" t="n"/>
      <c r="U736" s="436" t="n"/>
      <c r="V736" s="438">
        <f>IF(AND(N736=1,U736=1),C736,"")</f>
        <v/>
      </c>
      <c r="W736" s="387" t="n"/>
      <c r="X736" s="1" t="n"/>
      <c r="Y736" s="1" t="n"/>
    </row>
    <row r="737" hidden="1" ht="16.05" customFormat="1" customHeight="1" s="126">
      <c r="A737" s="125" t="n">
        <v>986</v>
      </c>
      <c r="B737" s="125" t="n"/>
      <c r="C737" s="130" t="inlineStr">
        <is>
          <t>Саратов</t>
        </is>
      </c>
      <c r="D737" s="130" t="inlineStr">
        <is>
          <t>Саратов</t>
        </is>
      </c>
      <c r="E737" s="130" t="n"/>
      <c r="F737" s="130" t="inlineStr">
        <is>
          <t>АЗС</t>
        </is>
      </c>
      <c r="G737" s="130" t="inlineStr">
        <is>
          <t>Лукойл</t>
        </is>
      </c>
      <c r="H737" s="131" t="inlineStr">
        <is>
          <t>АЗК-226</t>
        </is>
      </c>
      <c r="I737" s="637" t="n">
        <v>64574</v>
      </c>
      <c r="J737" s="637" t="inlineStr">
        <is>
          <t>SRT_LUK_64574</t>
        </is>
      </c>
      <c r="K737" s="640" t="n">
        <v>1</v>
      </c>
      <c r="L737" s="640" t="n">
        <v>0</v>
      </c>
      <c r="M737" s="640" t="inlineStr">
        <is>
          <t>Samsung 32" вертикальный</t>
        </is>
      </c>
      <c r="N737" s="640" t="n"/>
      <c r="O737" s="640">
        <f>IF(AND(N737=1,L737=1),K737,"")</f>
        <v/>
      </c>
      <c r="P737" s="642" t="inlineStr">
        <is>
          <t>Саратов,  Танкистов (Саратов,  Танкистов, 57 Г)</t>
        </is>
      </c>
      <c r="Q737" s="640" t="inlineStr">
        <is>
          <t>51.557336</t>
        </is>
      </c>
      <c r="R737" s="422" t="inlineStr">
        <is>
          <t>46.018918</t>
        </is>
      </c>
      <c r="S737" s="436" t="n"/>
      <c r="T737" s="436" t="n"/>
      <c r="U737" s="436" t="n"/>
      <c r="V737" s="438">
        <f>IF(AND(N737=1,U737=1),C737,"")</f>
        <v/>
      </c>
      <c r="W737" s="387" t="n"/>
      <c r="X737" s="1" t="n"/>
      <c r="Y737" s="1" t="n"/>
    </row>
    <row r="738" hidden="1" ht="16.05" customFormat="1" customHeight="1" s="126">
      <c r="A738" s="125" t="n">
        <v>987</v>
      </c>
      <c r="B738" s="125" t="n"/>
      <c r="C738" s="130" t="inlineStr">
        <is>
          <t>Саратов</t>
        </is>
      </c>
      <c r="D738" s="130" t="inlineStr">
        <is>
          <t>Саратов</t>
        </is>
      </c>
      <c r="E738" s="130" t="n"/>
      <c r="F738" s="130" t="inlineStr">
        <is>
          <t>АЗС</t>
        </is>
      </c>
      <c r="G738" s="130" t="inlineStr">
        <is>
          <t>Лукойл</t>
        </is>
      </c>
      <c r="H738" s="131" t="inlineStr">
        <is>
          <t>АЗК-205</t>
        </is>
      </c>
      <c r="I738" s="637" t="n">
        <v>64554</v>
      </c>
      <c r="J738" s="637" t="inlineStr">
        <is>
          <t>SRT_LUK_64554</t>
        </is>
      </c>
      <c r="K738" s="640" t="n">
        <v>1</v>
      </c>
      <c r="L738" s="640" t="n">
        <v>0</v>
      </c>
      <c r="M738" s="640" t="inlineStr">
        <is>
          <t>Samsung 32" вертикальный</t>
        </is>
      </c>
      <c r="N738" s="640" t="n"/>
      <c r="O738" s="640">
        <f>IF(AND(N738=1,L738=1),K738,"")</f>
        <v/>
      </c>
      <c r="P738" s="642" t="inlineStr">
        <is>
          <t>Саратов, Московское шоссе 19</t>
        </is>
      </c>
      <c r="Q738" s="640" t="inlineStr">
        <is>
          <t>51.614488</t>
        </is>
      </c>
      <c r="R738" s="422" t="inlineStr">
        <is>
          <t>45.883728</t>
        </is>
      </c>
      <c r="S738" s="436" t="n"/>
      <c r="T738" s="436" t="n"/>
      <c r="U738" s="436" t="n"/>
      <c r="V738" s="438">
        <f>IF(AND(N738=1,U738=1),C738,"")</f>
        <v/>
      </c>
      <c r="W738" s="387" t="n"/>
      <c r="X738" s="1" t="n"/>
      <c r="Y738" s="1" t="n"/>
    </row>
    <row r="739" hidden="1" ht="16.05" customFormat="1" customHeight="1" s="126">
      <c r="A739" s="125" t="n">
        <v>988</v>
      </c>
      <c r="B739" s="125" t="n"/>
      <c r="C739" s="130" t="inlineStr">
        <is>
          <t>Саратов</t>
        </is>
      </c>
      <c r="D739" s="130" t="inlineStr">
        <is>
          <t>Саратов</t>
        </is>
      </c>
      <c r="E739" s="130" t="n"/>
      <c r="F739" s="130" t="inlineStr">
        <is>
          <t>АЗС</t>
        </is>
      </c>
      <c r="G739" s="130" t="inlineStr">
        <is>
          <t>Лукойл</t>
        </is>
      </c>
      <c r="H739" s="131" t="inlineStr">
        <is>
          <t>АЗК-220</t>
        </is>
      </c>
      <c r="I739" s="637" t="n">
        <v>64568</v>
      </c>
      <c r="J739" s="637" t="inlineStr">
        <is>
          <t>SRT_LUK_64568</t>
        </is>
      </c>
      <c r="K739" s="640" t="n">
        <v>1</v>
      </c>
      <c r="L739" s="640" t="n">
        <v>0</v>
      </c>
      <c r="M739" s="640" t="inlineStr">
        <is>
          <t>Samsung 32" вертикальный</t>
        </is>
      </c>
      <c r="N739" s="640" t="n"/>
      <c r="O739" s="640">
        <f>IF(AND(N739=1,L739=1),K739,"")</f>
        <v/>
      </c>
      <c r="P739" s="642" t="inlineStr">
        <is>
          <t>Саратов,  Орджоникидзе 26А</t>
        </is>
      </c>
      <c r="Q739" s="640" t="inlineStr">
        <is>
          <t>51.507458</t>
        </is>
      </c>
      <c r="R739" s="422" t="inlineStr">
        <is>
          <t>45.971858</t>
        </is>
      </c>
      <c r="S739" s="436" t="n"/>
      <c r="T739" s="436" t="n"/>
      <c r="U739" s="436" t="n"/>
      <c r="V739" s="438">
        <f>IF(AND(N739=1,U739=1),C739,"")</f>
        <v/>
      </c>
      <c r="W739" s="387" t="n"/>
      <c r="X739" s="1" t="n"/>
      <c r="Y739" s="1" t="n"/>
    </row>
    <row r="740" hidden="1" ht="16.05" customFormat="1" customHeight="1" s="126">
      <c r="A740" s="125" t="n">
        <v>989</v>
      </c>
      <c r="B740" s="125" t="n"/>
      <c r="C740" s="130" t="inlineStr">
        <is>
          <t>Краснодар</t>
        </is>
      </c>
      <c r="D740" s="130" t="inlineStr">
        <is>
          <t>Краснодар</t>
        </is>
      </c>
      <c r="E740" s="130" t="n"/>
      <c r="F740" s="130" t="inlineStr">
        <is>
          <t>АЗС</t>
        </is>
      </c>
      <c r="G740" s="130" t="inlineStr">
        <is>
          <t>Лукойл</t>
        </is>
      </c>
      <c r="H740" s="131" t="inlineStr">
        <is>
          <t>№17</t>
        </is>
      </c>
      <c r="I740" s="637" t="inlineStr">
        <is>
          <t>23017</t>
        </is>
      </c>
      <c r="J740" s="637" t="inlineStr">
        <is>
          <t>KDR_LUK_23017</t>
        </is>
      </c>
      <c r="K740" s="640" t="n">
        <v>1</v>
      </c>
      <c r="L740" s="640" t="n">
        <v>0</v>
      </c>
      <c r="M740" s="640" t="inlineStr">
        <is>
          <t>Samsung 32" вертикальный</t>
        </is>
      </c>
      <c r="N740" s="640" t="n"/>
      <c r="O740" s="640">
        <f>IF(AND(N740=1,L740=1),K740,"")</f>
        <v/>
      </c>
      <c r="P740" s="642" t="inlineStr">
        <is>
          <t>Краснодар, Ростовское шоссе, д.40</t>
        </is>
      </c>
      <c r="Q740" s="640" t="inlineStr">
        <is>
          <t>45.121465</t>
        </is>
      </c>
      <c r="R740" s="422" t="inlineStr">
        <is>
          <t>39.001994</t>
        </is>
      </c>
      <c r="S740" s="436" t="n"/>
      <c r="T740" s="436" t="n"/>
      <c r="U740" s="436" t="n"/>
      <c r="V740" s="438">
        <f>IF(AND(N740=1,U740=1),C740,"")</f>
        <v/>
      </c>
      <c r="W740" s="387" t="n"/>
      <c r="X740" s="1" t="n"/>
      <c r="Y740" s="1" t="n"/>
    </row>
    <row r="741" hidden="1" ht="16.05" customFormat="1" customHeight="1" s="126">
      <c r="A741" s="125" t="n">
        <v>990</v>
      </c>
      <c r="B741" s="125" t="n"/>
      <c r="C741" s="130" t="inlineStr">
        <is>
          <t>Краснодар</t>
        </is>
      </c>
      <c r="D741" s="130" t="inlineStr">
        <is>
          <t>Краснодар</t>
        </is>
      </c>
      <c r="E741" s="130" t="n"/>
      <c r="F741" s="130" t="inlineStr">
        <is>
          <t>АЗС</t>
        </is>
      </c>
      <c r="G741" s="130" t="inlineStr">
        <is>
          <t>Лукойл</t>
        </is>
      </c>
      <c r="H741" s="131" t="inlineStr">
        <is>
          <t>№57</t>
        </is>
      </c>
      <c r="I741" s="637" t="inlineStr">
        <is>
          <t>23057</t>
        </is>
      </c>
      <c r="J741" s="637" t="inlineStr">
        <is>
          <t>KDR_LUK_23057</t>
        </is>
      </c>
      <c r="K741" s="640" t="n">
        <v>1</v>
      </c>
      <c r="L741" s="640" t="n">
        <v>0</v>
      </c>
      <c r="M741" s="640" t="inlineStr">
        <is>
          <t>Samsung 32" вертикальный</t>
        </is>
      </c>
      <c r="N741" s="640" t="n"/>
      <c r="O741" s="640">
        <f>IF(AND(N741=1,L741=1),K741,"")</f>
        <v/>
      </c>
      <c r="P741" s="642" t="inlineStr">
        <is>
          <t>Краснодар,  Старокубанская, д.131,  Сормовская, 1/7</t>
        </is>
      </c>
      <c r="Q741" s="640" t="inlineStr">
        <is>
          <t>45.022382</t>
        </is>
      </c>
      <c r="R741" s="422" t="inlineStr">
        <is>
          <t>39.049362</t>
        </is>
      </c>
      <c r="S741" s="436" t="n"/>
      <c r="T741" s="436" t="n"/>
      <c r="U741" s="436" t="n"/>
      <c r="V741" s="438">
        <f>IF(AND(N741=1,U741=1),C741,"")</f>
        <v/>
      </c>
      <c r="W741" s="387" t="n"/>
      <c r="X741" s="1" t="n"/>
      <c r="Y741" s="1" t="n"/>
    </row>
    <row r="742" hidden="1" ht="16.05" customFormat="1" customHeight="1" s="126">
      <c r="A742" s="125" t="n">
        <v>991</v>
      </c>
      <c r="B742" s="125" t="n"/>
      <c r="C742" s="130" t="inlineStr">
        <is>
          <t>Краснодар</t>
        </is>
      </c>
      <c r="D742" s="130" t="inlineStr">
        <is>
          <t>Краснодар</t>
        </is>
      </c>
      <c r="E742" s="130" t="n"/>
      <c r="F742" s="130" t="inlineStr">
        <is>
          <t>АЗС</t>
        </is>
      </c>
      <c r="G742" s="130" t="inlineStr">
        <is>
          <t>Лукойл</t>
        </is>
      </c>
      <c r="H742" s="131" t="inlineStr">
        <is>
          <t>№208</t>
        </is>
      </c>
      <c r="I742" s="637" t="inlineStr">
        <is>
          <t>23208</t>
        </is>
      </c>
      <c r="J742" s="637" t="inlineStr">
        <is>
          <t>KDR_LUK_23208</t>
        </is>
      </c>
      <c r="K742" s="640" t="n">
        <v>1</v>
      </c>
      <c r="L742" s="640" t="n">
        <v>0</v>
      </c>
      <c r="M742" s="640" t="inlineStr">
        <is>
          <t>Samsung 32" вертикальный</t>
        </is>
      </c>
      <c r="N742" s="640" t="n"/>
      <c r="O742" s="640">
        <f>IF(AND(N742=1,L742=1),K742,"")</f>
        <v/>
      </c>
      <c r="P742" s="642" t="inlineStr">
        <is>
          <t>Краснодар,  Новороссийская, д. 3</t>
        </is>
      </c>
      <c r="Q742" s="640" t="inlineStr">
        <is>
          <t>45.032458</t>
        </is>
      </c>
      <c r="R742" s="422" t="inlineStr">
        <is>
          <t>39.023866</t>
        </is>
      </c>
      <c r="S742" s="436" t="n"/>
      <c r="T742" s="436" t="n"/>
      <c r="U742" s="436" t="n"/>
      <c r="V742" s="438">
        <f>IF(AND(N742=1,U742=1),C742,"")</f>
        <v/>
      </c>
      <c r="W742" s="387" t="n"/>
      <c r="X742" s="1" t="n"/>
      <c r="Y742" s="1" t="n"/>
    </row>
    <row r="743" hidden="1" ht="16.05" customFormat="1" customHeight="1" s="126">
      <c r="A743" s="125" t="n">
        <v>992</v>
      </c>
      <c r="B743" s="125" t="n"/>
      <c r="C743" s="130" t="inlineStr">
        <is>
          <t>Краснодар</t>
        </is>
      </c>
      <c r="D743" s="130" t="inlineStr">
        <is>
          <t>Краснодар</t>
        </is>
      </c>
      <c r="E743" s="130" t="n"/>
      <c r="F743" s="130" t="inlineStr">
        <is>
          <t>АЗС</t>
        </is>
      </c>
      <c r="G743" s="130" t="inlineStr">
        <is>
          <t>Лукойл</t>
        </is>
      </c>
      <c r="H743" s="131" t="inlineStr">
        <is>
          <t>№216</t>
        </is>
      </c>
      <c r="I743" s="637" t="inlineStr">
        <is>
          <t>23216</t>
        </is>
      </c>
      <c r="J743" s="637" t="inlineStr">
        <is>
          <t>KDR_LUK_23216</t>
        </is>
      </c>
      <c r="K743" s="640" t="n">
        <v>1</v>
      </c>
      <c r="L743" s="640" t="n">
        <v>0</v>
      </c>
      <c r="M743" s="640" t="inlineStr">
        <is>
          <t>Samsung 32" вертикальный</t>
        </is>
      </c>
      <c r="N743" s="640" t="n"/>
      <c r="O743" s="640">
        <f>IF(AND(N743=1,L743=1),K743,"")</f>
        <v/>
      </c>
      <c r="P743" s="642" t="inlineStr">
        <is>
          <t>Краснодар,  Тополинная, д. 50/1</t>
        </is>
      </c>
      <c r="Q743" s="640" t="inlineStr">
        <is>
          <t>45.097968</t>
        </is>
      </c>
      <c r="R743" s="422" t="inlineStr">
        <is>
          <t>38.998233</t>
        </is>
      </c>
      <c r="S743" s="436" t="n"/>
      <c r="T743" s="436" t="n"/>
      <c r="U743" s="436" t="n"/>
      <c r="V743" s="438">
        <f>IF(AND(N743=1,U743=1),C743,"")</f>
        <v/>
      </c>
      <c r="W743" s="387" t="n"/>
      <c r="X743" s="1" t="n"/>
      <c r="Y743" s="1" t="n"/>
    </row>
    <row r="744" hidden="1" ht="16.05" customFormat="1" customHeight="1" s="126">
      <c r="A744" s="125" t="n">
        <v>993</v>
      </c>
      <c r="B744" s="125" t="n"/>
      <c r="C744" s="130" t="inlineStr">
        <is>
          <t>Краснодар</t>
        </is>
      </c>
      <c r="D744" s="130" t="inlineStr">
        <is>
          <t>Краснодар</t>
        </is>
      </c>
      <c r="E744" s="130" t="n"/>
      <c r="F744" s="130" t="inlineStr">
        <is>
          <t>АЗС</t>
        </is>
      </c>
      <c r="G744" s="130" t="inlineStr">
        <is>
          <t>Лукойл</t>
        </is>
      </c>
      <c r="H744" s="131" t="inlineStr">
        <is>
          <t>№10</t>
        </is>
      </c>
      <c r="I744" s="637" t="inlineStr">
        <is>
          <t>23010</t>
        </is>
      </c>
      <c r="J744" s="637" t="inlineStr">
        <is>
          <t>KDR_LUK_23010</t>
        </is>
      </c>
      <c r="K744" s="640" t="n">
        <v>1</v>
      </c>
      <c r="L744" s="640" t="n">
        <v>0</v>
      </c>
      <c r="M744" s="640" t="inlineStr">
        <is>
          <t>Samsung 32" вертикальный</t>
        </is>
      </c>
      <c r="N744" s="640" t="n"/>
      <c r="O744" s="640">
        <f>IF(AND(N744=1,L744=1),K744,"")</f>
        <v/>
      </c>
      <c r="P744" s="642" t="inlineStr">
        <is>
          <t>Краснодар, пер. Мирный, д.1</t>
        </is>
      </c>
      <c r="Q744" s="640" t="inlineStr">
        <is>
          <t>45.057289</t>
        </is>
      </c>
      <c r="R744" s="422" t="inlineStr">
        <is>
          <t>38.892591</t>
        </is>
      </c>
      <c r="S744" s="436" t="n"/>
      <c r="T744" s="436" t="n"/>
      <c r="U744" s="436" t="n"/>
      <c r="V744" s="438">
        <f>IF(AND(N744=1,U744=1),C744,"")</f>
        <v/>
      </c>
      <c r="W744" s="387" t="n"/>
      <c r="X744" s="1" t="n"/>
      <c r="Y744" s="1" t="n"/>
    </row>
    <row r="745" hidden="1" ht="16.05" customFormat="1" customHeight="1" s="126">
      <c r="A745" s="125" t="n">
        <v>994</v>
      </c>
      <c r="B745" s="125" t="n"/>
      <c r="C745" s="130" t="inlineStr">
        <is>
          <t>Краснодар</t>
        </is>
      </c>
      <c r="D745" s="130" t="inlineStr">
        <is>
          <t>Республика Адыгея</t>
        </is>
      </c>
      <c r="E745" s="130" t="n"/>
      <c r="F745" s="130" t="inlineStr">
        <is>
          <t>АЗС</t>
        </is>
      </c>
      <c r="G745" s="130" t="inlineStr">
        <is>
          <t>Лукойл</t>
        </is>
      </c>
      <c r="H745" s="131" t="inlineStr">
        <is>
          <t>№35</t>
        </is>
      </c>
      <c r="I745" s="637" t="inlineStr">
        <is>
          <t>01035</t>
        </is>
      </c>
      <c r="J745" s="637" t="inlineStr">
        <is>
          <t>KDR_LUK_01035</t>
        </is>
      </c>
      <c r="K745" s="640" t="n">
        <v>1</v>
      </c>
      <c r="L745" s="640" t="n">
        <v>0</v>
      </c>
      <c r="M745" s="640" t="inlineStr">
        <is>
          <t>Samsung 32" вертикальный</t>
        </is>
      </c>
      <c r="N745" s="640" t="n"/>
      <c r="O745" s="640">
        <f>IF(AND(N745=1,L745=1),K745,"")</f>
        <v/>
      </c>
      <c r="P745" s="642" t="inlineStr">
        <is>
          <t>Республика Адыгея, Тахтамукайский район, п. Энем, а/д Краснодарайоновороссийск, 26 км</t>
        </is>
      </c>
      <c r="Q745" s="640" t="inlineStr">
        <is>
          <t>44.908707</t>
        </is>
      </c>
      <c r="R745" s="422" t="inlineStr">
        <is>
          <t>38.882335</t>
        </is>
      </c>
      <c r="S745" s="436" t="n"/>
      <c r="T745" s="436" t="n"/>
      <c r="U745" s="436" t="n"/>
      <c r="V745" s="438">
        <f>IF(AND(N745=1,U745=1),C745,"")</f>
        <v/>
      </c>
      <c r="W745" s="387" t="n"/>
      <c r="X745" s="1" t="n"/>
      <c r="Y745" s="1" t="n"/>
    </row>
    <row r="746" hidden="1" ht="16.05" customFormat="1" customHeight="1" s="126">
      <c r="A746" s="125" t="n">
        <v>995</v>
      </c>
      <c r="B746" s="125" t="n"/>
      <c r="C746" s="130" t="inlineStr">
        <is>
          <t>Краснодар</t>
        </is>
      </c>
      <c r="D746" s="130" t="inlineStr">
        <is>
          <t>Краснодар</t>
        </is>
      </c>
      <c r="E746" s="130" t="n"/>
      <c r="F746" s="130" t="inlineStr">
        <is>
          <t>АЗС</t>
        </is>
      </c>
      <c r="G746" s="130" t="inlineStr">
        <is>
          <t>Лукойл</t>
        </is>
      </c>
      <c r="H746" s="131" t="inlineStr">
        <is>
          <t>№38</t>
        </is>
      </c>
      <c r="I746" s="637" t="inlineStr">
        <is>
          <t>23038</t>
        </is>
      </c>
      <c r="J746" s="637" t="inlineStr">
        <is>
          <t>KDR_LUK_23038</t>
        </is>
      </c>
      <c r="K746" s="640" t="n">
        <v>1</v>
      </c>
      <c r="L746" s="640" t="n">
        <v>0</v>
      </c>
      <c r="M746" s="640" t="inlineStr">
        <is>
          <t>Samsung 32" вертикальный</t>
        </is>
      </c>
      <c r="N746" s="640" t="n"/>
      <c r="O746" s="640">
        <f>IF(AND(N746=1,L746=1),K746,"")</f>
        <v/>
      </c>
      <c r="P746" s="642" t="inlineStr">
        <is>
          <t>Краснодар,  Дзержинского, д.94</t>
        </is>
      </c>
      <c r="Q746" s="640" t="inlineStr">
        <is>
          <t>45.095689</t>
        </is>
      </c>
      <c r="R746" s="422" t="inlineStr">
        <is>
          <t>38.979412</t>
        </is>
      </c>
      <c r="S746" s="436" t="n"/>
      <c r="T746" s="436" t="n"/>
      <c r="U746" s="436" t="n"/>
      <c r="V746" s="438">
        <f>IF(AND(N746=1,U746=1),C746,"")</f>
        <v/>
      </c>
      <c r="W746" s="387" t="n"/>
      <c r="X746" s="1" t="n"/>
      <c r="Y746" s="1" t="n"/>
    </row>
    <row r="747" hidden="1" ht="16.05" customFormat="1" customHeight="1" s="126">
      <c r="A747" s="125" t="n">
        <v>996</v>
      </c>
      <c r="B747" s="125" t="n"/>
      <c r="C747" s="130" t="inlineStr">
        <is>
          <t>Краснодар</t>
        </is>
      </c>
      <c r="D747" s="130" t="inlineStr">
        <is>
          <t>Краснодар</t>
        </is>
      </c>
      <c r="E747" s="130" t="n"/>
      <c r="F747" s="130" t="inlineStr">
        <is>
          <t>АЗС</t>
        </is>
      </c>
      <c r="G747" s="130" t="inlineStr">
        <is>
          <t>Лукойл</t>
        </is>
      </c>
      <c r="H747" s="131" t="inlineStr">
        <is>
          <t>№50</t>
        </is>
      </c>
      <c r="I747" s="637" t="inlineStr">
        <is>
          <t>23050</t>
        </is>
      </c>
      <c r="J747" s="402" t="inlineStr">
        <is>
          <t>KDR_LUK_23050</t>
        </is>
      </c>
      <c r="K747" s="640" t="n">
        <v>1</v>
      </c>
      <c r="L747" s="640" t="n">
        <v>0</v>
      </c>
      <c r="M747" s="640" t="inlineStr">
        <is>
          <t>Sam 32</t>
        </is>
      </c>
      <c r="N747" s="640" t="n"/>
      <c r="O747" s="640">
        <f>IF(AND(N747=1,L747=1),K747,"")</f>
        <v/>
      </c>
      <c r="P747" s="642" t="inlineStr">
        <is>
          <t>Краснодар,  Ставропольская, д.2/1</t>
        </is>
      </c>
      <c r="Q747" s="640" t="n">
        <v>45.013353</v>
      </c>
      <c r="R747" s="422" t="n">
        <v>38.981841</v>
      </c>
      <c r="S747" s="436" t="n"/>
      <c r="T747" s="436" t="n"/>
      <c r="U747" s="436" t="n"/>
      <c r="V747" s="438">
        <f>IF(AND(N747=1,U747=1),C747,"")</f>
        <v/>
      </c>
      <c r="W747" s="387" t="n"/>
      <c r="X747" s="1" t="n"/>
      <c r="Y747" s="1" t="n"/>
    </row>
    <row r="748" hidden="1" ht="16.05" customFormat="1" customHeight="1" s="126">
      <c r="A748" s="125" t="n">
        <v>997</v>
      </c>
      <c r="B748" s="125" t="n"/>
      <c r="C748" s="130" t="inlineStr">
        <is>
          <t>Краснодар</t>
        </is>
      </c>
      <c r="D748" s="130" t="inlineStr">
        <is>
          <t>Тахтамукайский район</t>
        </is>
      </c>
      <c r="E748" s="130" t="n"/>
      <c r="F748" s="130" t="inlineStr">
        <is>
          <t>АЗС</t>
        </is>
      </c>
      <c r="G748" s="130" t="inlineStr">
        <is>
          <t>Лукойл</t>
        </is>
      </c>
      <c r="H748" s="131" t="inlineStr">
        <is>
          <t>№155</t>
        </is>
      </c>
      <c r="I748" s="637" t="inlineStr">
        <is>
          <t>01155</t>
        </is>
      </c>
      <c r="J748" s="637" t="inlineStr">
        <is>
          <t>KDR_LUK_01155</t>
        </is>
      </c>
      <c r="K748" s="640" t="n">
        <v>1</v>
      </c>
      <c r="L748" s="640" t="n">
        <v>0</v>
      </c>
      <c r="M748" s="640" t="inlineStr">
        <is>
          <t>Samsung 32" вертикальный</t>
        </is>
      </c>
      <c r="N748" s="640" t="n"/>
      <c r="O748" s="640">
        <f>IF(AND(N748=1,L748=1),K748,"")</f>
        <v/>
      </c>
      <c r="P748" s="642" t="inlineStr">
        <is>
          <t>Тахтамукайский район, аул Новая Адыгея, Тургеневское шоссе, д.32</t>
        </is>
      </c>
      <c r="Q748" s="640" t="inlineStr">
        <is>
          <t>45.007656</t>
        </is>
      </c>
      <c r="R748" s="422" t="inlineStr">
        <is>
          <t>38.931808</t>
        </is>
      </c>
      <c r="S748" s="436" t="n"/>
      <c r="T748" s="436" t="n"/>
      <c r="U748" s="436" t="n"/>
      <c r="V748" s="438">
        <f>IF(AND(N748=1,U748=1),C748,"")</f>
        <v/>
      </c>
      <c r="W748" s="387" t="n"/>
      <c r="X748" s="1" t="n"/>
      <c r="Y748" s="1" t="n"/>
    </row>
    <row r="749" hidden="1" ht="16.05" customFormat="1" customHeight="1" s="126">
      <c r="A749" s="125" t="n">
        <v>998</v>
      </c>
      <c r="B749" s="125" t="n"/>
      <c r="C749" s="130" t="inlineStr">
        <is>
          <t>Краснодар</t>
        </is>
      </c>
      <c r="D749" s="130" t="inlineStr">
        <is>
          <t>Республика Адыгея</t>
        </is>
      </c>
      <c r="E749" s="130" t="n"/>
      <c r="F749" s="130" t="inlineStr">
        <is>
          <t>АЗС</t>
        </is>
      </c>
      <c r="G749" s="130" t="inlineStr">
        <is>
          <t>Лукойл</t>
        </is>
      </c>
      <c r="H749" s="131" t="inlineStr">
        <is>
          <t>№266</t>
        </is>
      </c>
      <c r="I749" s="637" t="inlineStr">
        <is>
          <t>01266</t>
        </is>
      </c>
      <c r="J749" s="637" t="inlineStr">
        <is>
          <t>KDR_LUK_01266</t>
        </is>
      </c>
      <c r="K749" s="640" t="n">
        <v>1</v>
      </c>
      <c r="L749" s="640" t="n">
        <v>0</v>
      </c>
      <c r="M749" s="640" t="inlineStr">
        <is>
          <t>Samsung 32" вертикальный</t>
        </is>
      </c>
      <c r="N749" s="640" t="n"/>
      <c r="O749" s="640">
        <f>IF(AND(N749=1,L749=1),K749,"")</f>
        <v/>
      </c>
      <c r="P749" s="642" t="inlineStr">
        <is>
          <t>Республика Адыгея, Тахтамукайский район, а. Новая Адыгея,  Тургеневское шоссе, д. 1/з</t>
        </is>
      </c>
      <c r="Q749" s="640" t="inlineStr">
        <is>
          <t>45.027106</t>
        </is>
      </c>
      <c r="R749" s="422" t="inlineStr">
        <is>
          <t>38.94514</t>
        </is>
      </c>
      <c r="S749" s="436" t="n"/>
      <c r="T749" s="436" t="n"/>
      <c r="U749" s="436" t="n"/>
      <c r="V749" s="438">
        <f>IF(AND(N749=1,U749=1),C749,"")</f>
        <v/>
      </c>
      <c r="W749" s="387" t="n"/>
      <c r="X749" s="1" t="n"/>
      <c r="Y749" s="1" t="n"/>
    </row>
    <row r="750" hidden="1" ht="16.05" customFormat="1" customHeight="1" s="126">
      <c r="A750" s="125" t="n">
        <v>999</v>
      </c>
      <c r="B750" s="125" t="n"/>
      <c r="C750" s="130" t="inlineStr">
        <is>
          <t>Краснодар</t>
        </is>
      </c>
      <c r="D750" s="130" t="inlineStr">
        <is>
          <t>Краснодар</t>
        </is>
      </c>
      <c r="E750" s="130" t="n"/>
      <c r="F750" s="130" t="inlineStr">
        <is>
          <t>АЗС</t>
        </is>
      </c>
      <c r="G750" s="130" t="inlineStr">
        <is>
          <t>Лукойл</t>
        </is>
      </c>
      <c r="H750" s="131" t="inlineStr">
        <is>
          <t>№18</t>
        </is>
      </c>
      <c r="I750" s="637" t="inlineStr">
        <is>
          <t>23018</t>
        </is>
      </c>
      <c r="J750" s="637" t="inlineStr">
        <is>
          <t>KDR_LUK_23018</t>
        </is>
      </c>
      <c r="K750" s="640" t="n">
        <v>1</v>
      </c>
      <c r="L750" s="640" t="n">
        <v>0</v>
      </c>
      <c r="M750" s="640" t="inlineStr">
        <is>
          <t>Samsung 32" вертикальный</t>
        </is>
      </c>
      <c r="N750" s="640" t="n"/>
      <c r="O750" s="640">
        <f>IF(AND(N750=1,L750=1),K750,"")</f>
        <v/>
      </c>
      <c r="P750" s="642" t="inlineStr">
        <is>
          <t>Краснодар, Карасунский округ,  им. Фадеева, д.431 (район аэропорта)</t>
        </is>
      </c>
      <c r="Q750" s="640" t="inlineStr">
        <is>
          <t>45.03321</t>
        </is>
      </c>
      <c r="R750" s="422" t="inlineStr">
        <is>
          <t>39.134017</t>
        </is>
      </c>
      <c r="S750" s="436" t="n"/>
      <c r="T750" s="436" t="n"/>
      <c r="U750" s="436" t="n"/>
      <c r="V750" s="438">
        <f>IF(AND(N750=1,U750=1),C750,"")</f>
        <v/>
      </c>
      <c r="W750" s="387" t="n"/>
      <c r="X750" s="1" t="n"/>
      <c r="Y750" s="1" t="n"/>
    </row>
    <row r="751" hidden="1" ht="16.05" customFormat="1" customHeight="1" s="126">
      <c r="A751" s="125" t="n">
        <v>1000</v>
      </c>
      <c r="B751" s="125" t="n"/>
      <c r="C751" s="130" t="inlineStr">
        <is>
          <t>Краснодар</t>
        </is>
      </c>
      <c r="D751" s="130" t="inlineStr">
        <is>
          <t>Краснодар</t>
        </is>
      </c>
      <c r="E751" s="130" t="n"/>
      <c r="F751" s="130" t="inlineStr">
        <is>
          <t>АЗС</t>
        </is>
      </c>
      <c r="G751" s="130" t="inlineStr">
        <is>
          <t>Лукойл</t>
        </is>
      </c>
      <c r="H751" s="131" t="inlineStr">
        <is>
          <t>№39</t>
        </is>
      </c>
      <c r="I751" s="637" t="inlineStr">
        <is>
          <t>23039</t>
        </is>
      </c>
      <c r="J751" s="637" t="inlineStr">
        <is>
          <t>KDR_LUK_23039</t>
        </is>
      </c>
      <c r="K751" s="640" t="n">
        <v>1</v>
      </c>
      <c r="L751" s="640" t="n">
        <v>0</v>
      </c>
      <c r="M751" s="640" t="inlineStr">
        <is>
          <t>Samsung 32" вертикальный</t>
        </is>
      </c>
      <c r="N751" s="640" t="n"/>
      <c r="O751" s="640">
        <f>IF(AND(N751=1,L751=1),K751,"")</f>
        <v/>
      </c>
      <c r="P751" s="642" t="inlineStr">
        <is>
          <t>Краснодар, км а/д Темрюк-Краснодар-Кропоткин 158, район почтового отделения № 27</t>
        </is>
      </c>
      <c r="Q751" s="640" t="inlineStr">
        <is>
          <t>45.009124</t>
        </is>
      </c>
      <c r="R751" s="422" t="inlineStr">
        <is>
          <t>39.121689</t>
        </is>
      </c>
      <c r="S751" s="436" t="n"/>
      <c r="T751" s="436" t="n"/>
      <c r="U751" s="436" t="n"/>
      <c r="V751" s="438">
        <f>IF(AND(N751=1,U751=1),C751,"")</f>
        <v/>
      </c>
      <c r="W751" s="387" t="n"/>
      <c r="X751" s="1" t="n"/>
      <c r="Y751" s="1" t="n"/>
    </row>
    <row r="752" hidden="1" ht="16.05" customFormat="1" customHeight="1" s="126">
      <c r="A752" s="125" t="n">
        <v>1001</v>
      </c>
      <c r="B752" s="125" t="n"/>
      <c r="C752" s="130" t="inlineStr">
        <is>
          <t>Краснодар</t>
        </is>
      </c>
      <c r="D752" s="130" t="inlineStr">
        <is>
          <t>Краснодар</t>
        </is>
      </c>
      <c r="E752" s="130" t="n"/>
      <c r="F752" s="130" t="inlineStr">
        <is>
          <t>АЗС</t>
        </is>
      </c>
      <c r="G752" s="130" t="inlineStr">
        <is>
          <t>Лукойл</t>
        </is>
      </c>
      <c r="H752" s="131" t="inlineStr">
        <is>
          <t>№223</t>
        </is>
      </c>
      <c r="I752" s="637" t="inlineStr">
        <is>
          <t>23223</t>
        </is>
      </c>
      <c r="J752" s="637" t="inlineStr">
        <is>
          <t>KDR_LUK_23223</t>
        </is>
      </c>
      <c r="K752" s="640" t="n">
        <v>1</v>
      </c>
      <c r="L752" s="640" t="n">
        <v>0</v>
      </c>
      <c r="M752" s="640" t="inlineStr">
        <is>
          <t>Samsung 32" вертикальный</t>
        </is>
      </c>
      <c r="N752" s="640" t="n"/>
      <c r="O752" s="640">
        <f>IF(AND(N752=1,L752=1),K752,"")</f>
        <v/>
      </c>
      <c r="P752" s="642" t="inlineStr">
        <is>
          <t>Краснодар, Карасунский внутригородской округ, вдоль а/д "Темрюк-Краснодар-Кропоткин", 159 км</t>
        </is>
      </c>
      <c r="Q752" s="640" t="inlineStr">
        <is>
          <t>45.009584</t>
        </is>
      </c>
      <c r="R752" s="422" t="inlineStr">
        <is>
          <t>39.127983</t>
        </is>
      </c>
      <c r="S752" s="436" t="n"/>
      <c r="T752" s="436" t="n"/>
      <c r="U752" s="436" t="n"/>
      <c r="V752" s="438">
        <f>IF(AND(N752=1,U752=1),C752,"")</f>
        <v/>
      </c>
      <c r="W752" s="387" t="n"/>
      <c r="X752" s="1" t="n"/>
      <c r="Y752" s="1" t="n"/>
    </row>
    <row r="753" hidden="1" ht="16.05" customFormat="1" customHeight="1" s="126">
      <c r="A753" s="125" t="n">
        <v>1002</v>
      </c>
      <c r="B753" s="125" t="n"/>
      <c r="C753" s="130" t="inlineStr">
        <is>
          <t>Краснодар</t>
        </is>
      </c>
      <c r="D753" s="130" t="inlineStr">
        <is>
          <t>Республика Адыгея</t>
        </is>
      </c>
      <c r="E753" s="130" t="n"/>
      <c r="F753" s="130" t="inlineStr">
        <is>
          <t>АЗС</t>
        </is>
      </c>
      <c r="G753" s="130" t="inlineStr">
        <is>
          <t>Лукойл</t>
        </is>
      </c>
      <c r="H753" s="131" t="inlineStr">
        <is>
          <t>№263</t>
        </is>
      </c>
      <c r="I753" s="637" t="inlineStr">
        <is>
          <t>01263</t>
        </is>
      </c>
      <c r="J753" s="637" t="inlineStr">
        <is>
          <t>KDR_LUK_01263</t>
        </is>
      </c>
      <c r="K753" s="640" t="n">
        <v>1</v>
      </c>
      <c r="L753" s="640" t="n">
        <v>0</v>
      </c>
      <c r="M753" s="640" t="inlineStr">
        <is>
          <t>Samsung 32" вертикальный</t>
        </is>
      </c>
      <c r="N753" s="640" t="n"/>
      <c r="O753" s="640">
        <f>IF(AND(N753=1,L753=1),K753,"")</f>
        <v/>
      </c>
      <c r="P753" s="642" t="inlineStr">
        <is>
          <t>Республика Адыгея, Тахтамукайский район, А-146, 24 км.</t>
        </is>
      </c>
      <c r="Q753" s="640" t="inlineStr">
        <is>
          <t>44.948156</t>
        </is>
      </c>
      <c r="R753" s="422" t="inlineStr">
        <is>
          <t>39.0314</t>
        </is>
      </c>
      <c r="S753" s="436" t="n"/>
      <c r="T753" s="436" t="n"/>
      <c r="U753" s="436" t="n"/>
      <c r="V753" s="438">
        <f>IF(AND(N753=1,U753=1),C753,"")</f>
        <v/>
      </c>
      <c r="W753" s="387" t="n"/>
      <c r="X753" s="1" t="n"/>
      <c r="Y753" s="1" t="n"/>
    </row>
    <row r="754" hidden="1" ht="16.05" customFormat="1" customHeight="1" s="126">
      <c r="A754" s="125" t="n">
        <v>1003</v>
      </c>
      <c r="B754" s="125" t="n"/>
      <c r="C754" s="130" t="inlineStr">
        <is>
          <t>Краснодар</t>
        </is>
      </c>
      <c r="D754" s="130" t="inlineStr">
        <is>
          <t>Горячий ключ</t>
        </is>
      </c>
      <c r="E754" s="130" t="n"/>
      <c r="F754" s="130" t="inlineStr">
        <is>
          <t>АЗС</t>
        </is>
      </c>
      <c r="G754" s="130" t="inlineStr">
        <is>
          <t>Лукойл</t>
        </is>
      </c>
      <c r="H754" s="131" t="inlineStr">
        <is>
          <t>№44</t>
        </is>
      </c>
      <c r="I754" s="637" t="inlineStr">
        <is>
          <t>23044</t>
        </is>
      </c>
      <c r="J754" s="637" t="inlineStr">
        <is>
          <t>KDR_LUK_23044</t>
        </is>
      </c>
      <c r="K754" s="640" t="n">
        <v>1</v>
      </c>
      <c r="L754" s="640" t="n">
        <v>0</v>
      </c>
      <c r="M754" s="640" t="inlineStr">
        <is>
          <t>Samsung 32" вертикальный</t>
        </is>
      </c>
      <c r="N754" s="640" t="n"/>
      <c r="O754" s="640">
        <f>IF(AND(N754=1,L754=1),K754,"")</f>
        <v/>
      </c>
      <c r="P754" s="642" t="inlineStr">
        <is>
          <t>Горячий ключ, ФАД "Дон" км 1 362+772м-км 1 413+974 м</t>
        </is>
      </c>
      <c r="Q754" s="640" t="inlineStr">
        <is>
          <t>44.651387</t>
        </is>
      </c>
      <c r="R754" s="422" t="inlineStr">
        <is>
          <t>39.152947</t>
        </is>
      </c>
      <c r="S754" s="436" t="n"/>
      <c r="T754" s="436" t="n"/>
      <c r="U754" s="436" t="n"/>
      <c r="V754" s="438">
        <f>IF(AND(N754=1,U754=1),C754,"")</f>
        <v/>
      </c>
      <c r="W754" s="387" t="n"/>
      <c r="X754" s="1" t="n"/>
      <c r="Y754" s="1" t="n"/>
    </row>
    <row r="755" hidden="1" ht="16.05" customFormat="1" customHeight="1" s="126">
      <c r="A755" s="125" t="n">
        <v>1004</v>
      </c>
      <c r="B755" s="125" t="n"/>
      <c r="C755" s="130" t="inlineStr">
        <is>
          <t>Краснодар</t>
        </is>
      </c>
      <c r="D755" s="130" t="inlineStr">
        <is>
          <t>Горячий ключ</t>
        </is>
      </c>
      <c r="E755" s="130" t="n"/>
      <c r="F755" s="130" t="inlineStr">
        <is>
          <t>АЗС</t>
        </is>
      </c>
      <c r="G755" s="130" t="inlineStr">
        <is>
          <t>Лукойл</t>
        </is>
      </c>
      <c r="H755" s="131" t="inlineStr">
        <is>
          <t>№45</t>
        </is>
      </c>
      <c r="I755" s="637" t="inlineStr">
        <is>
          <t>23045</t>
        </is>
      </c>
      <c r="J755" s="637" t="inlineStr">
        <is>
          <t>KDR_LUK_23045</t>
        </is>
      </c>
      <c r="K755" s="640" t="n">
        <v>1</v>
      </c>
      <c r="L755" s="640" t="n">
        <v>0</v>
      </c>
      <c r="M755" s="640" t="inlineStr">
        <is>
          <t>Samsung 32" вертикальный</t>
        </is>
      </c>
      <c r="N755" s="640" t="n"/>
      <c r="O755" s="640">
        <f>IF(AND(N755=1,L755=1),K755,"")</f>
        <v/>
      </c>
      <c r="P755" s="642" t="inlineStr">
        <is>
          <t>Горячий ключ, 64 км + 400 м а/д "Краснодар-Джубга", справа</t>
        </is>
      </c>
      <c r="Q755" s="640" t="inlineStr">
        <is>
          <t>44.651391</t>
        </is>
      </c>
      <c r="R755" s="422" t="inlineStr">
        <is>
          <t>39.150729</t>
        </is>
      </c>
      <c r="S755" s="436" t="n"/>
      <c r="T755" s="436" t="n"/>
      <c r="U755" s="436" t="n"/>
      <c r="V755" s="438">
        <f>IF(AND(N755=1,U755=1),C755,"")</f>
        <v/>
      </c>
      <c r="W755" s="387" t="n"/>
      <c r="X755" s="1" t="n"/>
      <c r="Y755" s="1" t="n"/>
    </row>
    <row r="756" hidden="1" ht="16.05" customFormat="1" customHeight="1" s="126">
      <c r="A756" s="125" t="n">
        <v>1005</v>
      </c>
      <c r="B756" s="125" t="n"/>
      <c r="C756" s="130" t="inlineStr">
        <is>
          <t>Краснодар</t>
        </is>
      </c>
      <c r="D756" s="130" t="inlineStr">
        <is>
          <t>Сочи</t>
        </is>
      </c>
      <c r="E756" s="130" t="n"/>
      <c r="F756" s="130" t="inlineStr">
        <is>
          <t>АЗС</t>
        </is>
      </c>
      <c r="G756" s="130" t="inlineStr">
        <is>
          <t>Лукойл</t>
        </is>
      </c>
      <c r="H756" s="131" t="inlineStr">
        <is>
          <t>№37</t>
        </is>
      </c>
      <c r="I756" s="637" t="inlineStr">
        <is>
          <t>23037</t>
        </is>
      </c>
      <c r="J756" s="637" t="inlineStr">
        <is>
          <t>KDR_LUK_23037</t>
        </is>
      </c>
      <c r="K756" s="640" t="n">
        <v>1</v>
      </c>
      <c r="L756" s="640" t="n">
        <v>0</v>
      </c>
      <c r="M756" s="640" t="inlineStr">
        <is>
          <t>Samsung 32" вертикальный</t>
        </is>
      </c>
      <c r="N756" s="640" t="n"/>
      <c r="O756" s="640">
        <f>IF(AND(N756=1,L756=1),K756,"")</f>
        <v/>
      </c>
      <c r="P756" s="642" t="inlineStr">
        <is>
          <t>Сочи, п. Дагомыс, Батумское шоссе, д.34</t>
        </is>
      </c>
      <c r="Q756" s="640" t="inlineStr">
        <is>
          <t>43.661625</t>
        </is>
      </c>
      <c r="R756" s="422" t="inlineStr">
        <is>
          <t>39.672916</t>
        </is>
      </c>
      <c r="S756" s="436" t="n"/>
      <c r="T756" s="436" t="n"/>
      <c r="U756" s="436" t="n"/>
      <c r="V756" s="438">
        <f>IF(AND(N756=1,U756=1),C756,"")</f>
        <v/>
      </c>
      <c r="W756" s="387" t="n"/>
      <c r="X756" s="1" t="n"/>
      <c r="Y756" s="1" t="n"/>
    </row>
    <row r="757" hidden="1" ht="16.05" customFormat="1" customHeight="1" s="126">
      <c r="A757" s="125" t="n">
        <v>1006</v>
      </c>
      <c r="B757" s="125" t="n"/>
      <c r="C757" s="130" t="inlineStr">
        <is>
          <t>Краснодар</t>
        </is>
      </c>
      <c r="D757" s="130" t="inlineStr">
        <is>
          <t>Сочи</t>
        </is>
      </c>
      <c r="E757" s="130" t="n"/>
      <c r="F757" s="130" t="inlineStr">
        <is>
          <t>АЗС</t>
        </is>
      </c>
      <c r="G757" s="130" t="inlineStr">
        <is>
          <t>Лукойл</t>
        </is>
      </c>
      <c r="H757" s="131" t="inlineStr">
        <is>
          <t>№121</t>
        </is>
      </c>
      <c r="I757" s="637" t="inlineStr">
        <is>
          <t>23121</t>
        </is>
      </c>
      <c r="J757" s="637" t="inlineStr">
        <is>
          <t>KDR_LUK_23121</t>
        </is>
      </c>
      <c r="K757" s="640" t="n">
        <v>1</v>
      </c>
      <c r="L757" s="640" t="n">
        <v>0</v>
      </c>
      <c r="M757" s="640" t="inlineStr">
        <is>
          <t>Samsung 32" вертикальный</t>
        </is>
      </c>
      <c r="N757" s="640" t="n"/>
      <c r="O757" s="640">
        <f>IF(AND(N757=1,L757=1),K757,"")</f>
        <v/>
      </c>
      <c r="P757" s="642" t="inlineStr">
        <is>
          <t>Сочи, Центральный район,  Пластунская, д.68</t>
        </is>
      </c>
      <c r="Q757" s="640" t="inlineStr">
        <is>
          <t>43.607024</t>
        </is>
      </c>
      <c r="R757" s="422" t="inlineStr">
        <is>
          <t>39.736838</t>
        </is>
      </c>
      <c r="S757" s="436" t="n"/>
      <c r="T757" s="436" t="n"/>
      <c r="U757" s="436" t="n"/>
      <c r="V757" s="438">
        <f>IF(AND(N757=1,U757=1),C757,"")</f>
        <v/>
      </c>
      <c r="W757" s="387" t="n"/>
      <c r="X757" s="1" t="n"/>
      <c r="Y757" s="1" t="n"/>
    </row>
    <row r="758" hidden="1" ht="16.05" customFormat="1" customHeight="1" s="126">
      <c r="A758" s="125" t="n">
        <v>1007</v>
      </c>
      <c r="B758" s="125" t="n"/>
      <c r="C758" s="130" t="inlineStr">
        <is>
          <t>Краснодар</t>
        </is>
      </c>
      <c r="D758" s="130" t="inlineStr">
        <is>
          <t>Сочи</t>
        </is>
      </c>
      <c r="E758" s="130" t="n"/>
      <c r="F758" s="130" t="inlineStr">
        <is>
          <t>АЗС</t>
        </is>
      </c>
      <c r="G758" s="130" t="inlineStr">
        <is>
          <t>Лукойл</t>
        </is>
      </c>
      <c r="H758" s="131" t="inlineStr">
        <is>
          <t>№171</t>
        </is>
      </c>
      <c r="I758" s="637" t="inlineStr">
        <is>
          <t>23171</t>
        </is>
      </c>
      <c r="J758" s="637" t="inlineStr">
        <is>
          <t>KDR_LUK_23171</t>
        </is>
      </c>
      <c r="K758" s="640" t="n">
        <v>1</v>
      </c>
      <c r="L758" s="640" t="n">
        <v>0</v>
      </c>
      <c r="M758" s="640" t="inlineStr">
        <is>
          <t>Samsung 32" вертикальный</t>
        </is>
      </c>
      <c r="N758" s="640" t="n"/>
      <c r="O758" s="640">
        <f>IF(AND(N758=1,L758=1),K758,"")</f>
        <v/>
      </c>
      <c r="P758" s="642" t="inlineStr">
        <is>
          <t>Сочи,  Виноградная, д. 105 А</t>
        </is>
      </c>
      <c r="Q758" s="640" t="inlineStr">
        <is>
          <t>43.633807</t>
        </is>
      </c>
      <c r="R758" s="422" t="inlineStr">
        <is>
          <t>39.705948</t>
        </is>
      </c>
      <c r="S758" s="436" t="n"/>
      <c r="T758" s="436" t="n"/>
      <c r="U758" s="436" t="n"/>
      <c r="V758" s="438">
        <f>IF(AND(N758=1,U758=1),C758,"")</f>
        <v/>
      </c>
      <c r="W758" s="387" t="n"/>
      <c r="X758" s="1" t="n"/>
      <c r="Y758" s="1" t="n"/>
    </row>
    <row r="759" hidden="1" ht="16.05" customFormat="1" customHeight="1" s="126">
      <c r="A759" s="125" t="n">
        <v>1008</v>
      </c>
      <c r="B759" s="125" t="n"/>
      <c r="C759" s="130" t="inlineStr">
        <is>
          <t>Краснодар</t>
        </is>
      </c>
      <c r="D759" s="130" t="inlineStr">
        <is>
          <t>Сочи</t>
        </is>
      </c>
      <c r="E759" s="130" t="n"/>
      <c r="F759" s="130" t="inlineStr">
        <is>
          <t>АЗС</t>
        </is>
      </c>
      <c r="G759" s="130" t="inlineStr">
        <is>
          <t>Лукойл</t>
        </is>
      </c>
      <c r="H759" s="131" t="inlineStr">
        <is>
          <t>№59</t>
        </is>
      </c>
      <c r="I759" s="637" t="inlineStr">
        <is>
          <t>23059</t>
        </is>
      </c>
      <c r="J759" s="637" t="inlineStr">
        <is>
          <t>KDR_LUK_23059</t>
        </is>
      </c>
      <c r="K759" s="640" t="n">
        <v>1</v>
      </c>
      <c r="L759" s="640" t="n">
        <v>0</v>
      </c>
      <c r="M759" s="640" t="inlineStr">
        <is>
          <t>Samsung 32" вертикальный</t>
        </is>
      </c>
      <c r="N759" s="640" t="n"/>
      <c r="O759" s="640">
        <f>IF(AND(N759=1,L759=1),K759,"")</f>
        <v/>
      </c>
      <c r="P759" s="642" t="inlineStr">
        <is>
          <t>Сочи, Адлерский район,  Старонасыпная, д. 34/12</t>
        </is>
      </c>
      <c r="Q759" s="640" t="inlineStr">
        <is>
          <t>43.428071</t>
        </is>
      </c>
      <c r="R759" s="422" t="inlineStr">
        <is>
          <t>39.929985</t>
        </is>
      </c>
      <c r="S759" s="436" t="n"/>
      <c r="T759" s="436" t="n"/>
      <c r="U759" s="436" t="n"/>
      <c r="V759" s="438">
        <f>IF(AND(N759=1,U759=1),C759,"")</f>
        <v/>
      </c>
      <c r="W759" s="387" t="n"/>
      <c r="X759" s="1" t="n"/>
      <c r="Y759" s="1" t="n"/>
    </row>
    <row r="760" hidden="1" ht="16.05" customFormat="1" customHeight="1" s="126">
      <c r="A760" s="125" t="n">
        <v>1009</v>
      </c>
      <c r="B760" s="125" t="n"/>
      <c r="C760" s="130" t="inlineStr">
        <is>
          <t>Краснодар</t>
        </is>
      </c>
      <c r="D760" s="130" t="inlineStr">
        <is>
          <t>Сочи</t>
        </is>
      </c>
      <c r="E760" s="130" t="n"/>
      <c r="F760" s="130" t="inlineStr">
        <is>
          <t>АЗС</t>
        </is>
      </c>
      <c r="G760" s="130" t="inlineStr">
        <is>
          <t>Лукойл</t>
        </is>
      </c>
      <c r="H760" s="131" t="inlineStr">
        <is>
          <t>№156</t>
        </is>
      </c>
      <c r="I760" s="637" t="inlineStr">
        <is>
          <t>23156</t>
        </is>
      </c>
      <c r="J760" s="637" t="inlineStr">
        <is>
          <t>KDR_LUK_23156</t>
        </is>
      </c>
      <c r="K760" s="640" t="n">
        <v>1</v>
      </c>
      <c r="L760" s="640" t="n">
        <v>0</v>
      </c>
      <c r="M760" s="640" t="inlineStr">
        <is>
          <t>Samsung 32" вертикальный</t>
        </is>
      </c>
      <c r="N760" s="640" t="n"/>
      <c r="O760" s="640">
        <f>IF(AND(N760=1,L760=1),K760,"")</f>
        <v/>
      </c>
      <c r="P760" s="642" t="inlineStr">
        <is>
          <t>Сочи,  Урожайная, д. 4</t>
        </is>
      </c>
      <c r="Q760" s="640" t="inlineStr">
        <is>
          <t>43.408287</t>
        </is>
      </c>
      <c r="R760" s="422" t="inlineStr">
        <is>
          <t>39.985605</t>
        </is>
      </c>
      <c r="S760" s="436" t="n"/>
      <c r="T760" s="436" t="n"/>
      <c r="U760" s="436" t="n"/>
      <c r="V760" s="438">
        <f>IF(AND(N760=1,U760=1),C760,"")</f>
        <v/>
      </c>
      <c r="W760" s="387" t="n"/>
      <c r="X760" s="1" t="n"/>
      <c r="Y760" s="1" t="n"/>
    </row>
    <row r="761" hidden="1" ht="16.05" customFormat="1" customHeight="1" s="126">
      <c r="A761" s="125" t="n">
        <v>1010</v>
      </c>
      <c r="B761" s="125" t="n"/>
      <c r="C761" s="130" t="inlineStr">
        <is>
          <t>Краснодар</t>
        </is>
      </c>
      <c r="D761" s="130" t="inlineStr">
        <is>
          <t>Сочи</t>
        </is>
      </c>
      <c r="E761" s="130" t="n"/>
      <c r="F761" s="130" t="inlineStr">
        <is>
          <t>АЗС</t>
        </is>
      </c>
      <c r="G761" s="130" t="inlineStr">
        <is>
          <t>Лукойл</t>
        </is>
      </c>
      <c r="H761" s="131" t="inlineStr">
        <is>
          <t>№169</t>
        </is>
      </c>
      <c r="I761" s="637" t="inlineStr">
        <is>
          <t>23169</t>
        </is>
      </c>
      <c r="J761" s="637" t="inlineStr">
        <is>
          <t>KDR_LUK_23169</t>
        </is>
      </c>
      <c r="K761" s="640" t="n">
        <v>1</v>
      </c>
      <c r="L761" s="640" t="n">
        <v>0</v>
      </c>
      <c r="M761" s="640" t="inlineStr">
        <is>
          <t>Samsung 32" вертикальный</t>
        </is>
      </c>
      <c r="N761" s="640" t="n"/>
      <c r="O761" s="640">
        <f>IF(AND(N761=1,L761=1),K761,"")</f>
        <v/>
      </c>
      <c r="P761" s="642" t="inlineStr">
        <is>
          <t>Сочи, пгт. Красная Поляна,  Защитников Кавказа (улица Защитников Кавказа, 1А)</t>
        </is>
      </c>
      <c r="Q761" s="640" t="inlineStr">
        <is>
          <t>43.67034</t>
        </is>
      </c>
      <c r="R761" s="422" t="inlineStr">
        <is>
          <t>40.188911</t>
        </is>
      </c>
      <c r="S761" s="436" t="n"/>
      <c r="T761" s="436" t="n"/>
      <c r="U761" s="436" t="n"/>
      <c r="V761" s="438">
        <f>IF(AND(N761=1,U761=1),C761,"")</f>
        <v/>
      </c>
      <c r="W761" s="387" t="n"/>
      <c r="X761" s="1" t="n"/>
      <c r="Y761" s="1" t="n"/>
    </row>
    <row r="762" hidden="1" ht="16.05" customFormat="1" customHeight="1" s="126">
      <c r="A762" s="125" t="n">
        <v>1011</v>
      </c>
      <c r="B762" s="125" t="n"/>
      <c r="C762" s="130" t="inlineStr">
        <is>
          <t>Краснодар</t>
        </is>
      </c>
      <c r="D762" s="130" t="inlineStr">
        <is>
          <t>Сочи</t>
        </is>
      </c>
      <c r="E762" s="130" t="n"/>
      <c r="F762" s="130" t="inlineStr">
        <is>
          <t>АЗС</t>
        </is>
      </c>
      <c r="G762" s="130" t="inlineStr">
        <is>
          <t>Лукойл</t>
        </is>
      </c>
      <c r="H762" s="131" t="inlineStr">
        <is>
          <t>№170</t>
        </is>
      </c>
      <c r="I762" s="637" t="inlineStr">
        <is>
          <t>23170</t>
        </is>
      </c>
      <c r="J762" s="637" t="inlineStr">
        <is>
          <t>KDR_LUK_23170</t>
        </is>
      </c>
      <c r="K762" s="640" t="n">
        <v>1</v>
      </c>
      <c r="L762" s="640" t="n">
        <v>0</v>
      </c>
      <c r="M762" s="640" t="inlineStr">
        <is>
          <t>Samsung 32" вертикальный</t>
        </is>
      </c>
      <c r="N762" s="640" t="n"/>
      <c r="O762" s="640">
        <f>IF(AND(N762=1,L762=1),K762,"")</f>
        <v/>
      </c>
      <c r="P762" s="642" t="inlineStr">
        <is>
          <t>Сочи,  Ленина, д. 276</t>
        </is>
      </c>
      <c r="Q762" s="640" t="inlineStr">
        <is>
          <t>43.457157</t>
        </is>
      </c>
      <c r="R762" s="422" t="inlineStr">
        <is>
          <t>39.904513</t>
        </is>
      </c>
      <c r="S762" s="436" t="n"/>
      <c r="T762" s="436" t="n"/>
      <c r="U762" s="436" t="n"/>
      <c r="V762" s="438">
        <f>IF(AND(N762=1,U762=1),C762,"")</f>
        <v/>
      </c>
      <c r="W762" s="387" t="n"/>
      <c r="X762" s="1" t="n"/>
      <c r="Y762" s="1" t="n"/>
    </row>
    <row r="763" hidden="1" ht="16.05" customFormat="1" customHeight="1" s="126">
      <c r="A763" s="125" t="n">
        <v>1012</v>
      </c>
      <c r="B763" s="125" t="n"/>
      <c r="C763" s="130" t="inlineStr">
        <is>
          <t>Краснодар</t>
        </is>
      </c>
      <c r="D763" s="130" t="inlineStr">
        <is>
          <t>Новороссийск</t>
        </is>
      </c>
      <c r="E763" s="130" t="n"/>
      <c r="F763" s="130" t="inlineStr">
        <is>
          <t>АЗС</t>
        </is>
      </c>
      <c r="G763" s="130" t="inlineStr">
        <is>
          <t>Роснефть</t>
        </is>
      </c>
      <c r="H763" s="131" t="n">
        <v>59</v>
      </c>
      <c r="I763" s="637" t="inlineStr">
        <is>
          <t>RN_59</t>
        </is>
      </c>
      <c r="J763" s="637" t="inlineStr">
        <is>
          <t>KDR_RN_0059</t>
        </is>
      </c>
      <c r="K763" s="640" t="n">
        <v>1</v>
      </c>
      <c r="L763" s="640" t="n">
        <v>1</v>
      </c>
      <c r="M763" s="623" t="inlineStr">
        <is>
          <t>Samsung 32" вертикальный</t>
        </is>
      </c>
      <c r="N763" s="640" t="n"/>
      <c r="O763" s="640">
        <f>IF(AND(N763=1,L763=1),K763,"")</f>
        <v/>
      </c>
      <c r="P763" s="642" t="inlineStr">
        <is>
          <t>Новороссийск, п. Цемдолина,  Ленина (улица Ленина, 7А)</t>
        </is>
      </c>
      <c r="Q763" s="640" t="inlineStr">
        <is>
          <t>44.766752</t>
        </is>
      </c>
      <c r="R763" s="494" t="inlineStr">
        <is>
          <t>37.711767</t>
        </is>
      </c>
      <c r="S763" s="436" t="n"/>
      <c r="T763" s="436" t="n"/>
      <c r="U763" s="436" t="n"/>
      <c r="V763" s="438">
        <f>IF(AND(N763=1,U763=1),C763,"")</f>
        <v/>
      </c>
      <c r="W763" s="387" t="n"/>
      <c r="X763" s="387" t="n"/>
      <c r="Y763" s="387" t="n"/>
    </row>
    <row r="764" hidden="1" ht="16.05" customFormat="1" customHeight="1" s="126">
      <c r="A764" s="125" t="n">
        <v>1013</v>
      </c>
      <c r="B764" s="125" t="n"/>
      <c r="C764" s="130" t="inlineStr">
        <is>
          <t>Краснодар</t>
        </is>
      </c>
      <c r="D764" s="130" t="inlineStr">
        <is>
          <t>Новороссийск</t>
        </is>
      </c>
      <c r="E764" s="130" t="n"/>
      <c r="F764" s="130" t="inlineStr">
        <is>
          <t>АЗС</t>
        </is>
      </c>
      <c r="G764" s="130" t="inlineStr">
        <is>
          <t>Роснефть</t>
        </is>
      </c>
      <c r="H764" s="131" t="n">
        <v>60</v>
      </c>
      <c r="I764" s="637" t="inlineStr">
        <is>
          <t>RN_60</t>
        </is>
      </c>
      <c r="J764" s="637" t="inlineStr">
        <is>
          <t>KDR_RN_0060</t>
        </is>
      </c>
      <c r="K764" s="640" t="n">
        <v>1</v>
      </c>
      <c r="L764" s="640" t="n">
        <v>1</v>
      </c>
      <c r="M764" s="623" t="inlineStr">
        <is>
          <t>Samsung 32" вертикальный</t>
        </is>
      </c>
      <c r="N764" s="640" t="n"/>
      <c r="O764" s="640">
        <f>IF(AND(N764=1,L764=1),K764,"")</f>
        <v/>
      </c>
      <c r="P764" s="642" t="inlineStr">
        <is>
          <t>Новороссийск, Центральный округ, Мысхакское шоссе (Мысхакское шоссе, 53Б)</t>
        </is>
      </c>
      <c r="Q764" s="640" t="inlineStr">
        <is>
          <t>44.695534</t>
        </is>
      </c>
      <c r="R764" s="494" t="inlineStr">
        <is>
          <t>37.762179</t>
        </is>
      </c>
      <c r="S764" s="436" t="n"/>
      <c r="T764" s="436" t="n"/>
      <c r="U764" s="436" t="n"/>
      <c r="V764" s="438">
        <f>IF(AND(N764=1,U764=1),C764,"")</f>
        <v/>
      </c>
      <c r="W764" s="387" t="n"/>
      <c r="X764" s="387" t="n"/>
      <c r="Y764" s="387" t="n"/>
    </row>
    <row r="765" hidden="1" ht="16.05" customFormat="1" customHeight="1" s="126">
      <c r="A765" s="125" t="n">
        <v>1014</v>
      </c>
      <c r="B765" s="125" t="n"/>
      <c r="C765" s="130" t="inlineStr">
        <is>
          <t>Краснодар</t>
        </is>
      </c>
      <c r="D765" s="130" t="inlineStr">
        <is>
          <t>Новороссийск</t>
        </is>
      </c>
      <c r="E765" s="130" t="n"/>
      <c r="F765" s="130" t="inlineStr">
        <is>
          <t>АЗС</t>
        </is>
      </c>
      <c r="G765" s="130" t="inlineStr">
        <is>
          <t>Роснефть</t>
        </is>
      </c>
      <c r="H765" s="131" t="n">
        <v>21</v>
      </c>
      <c r="I765" s="637" t="inlineStr">
        <is>
          <t>RN_21</t>
        </is>
      </c>
      <c r="J765" s="637" t="inlineStr">
        <is>
          <t>KDR_RN_0021</t>
        </is>
      </c>
      <c r="K765" s="640" t="n">
        <v>1</v>
      </c>
      <c r="L765" s="640" t="n">
        <v>1</v>
      </c>
      <c r="M765" s="623" t="inlineStr">
        <is>
          <t>Samsung 32" вертикальный</t>
        </is>
      </c>
      <c r="N765" s="640" t="n"/>
      <c r="O765" s="640">
        <f>IF(AND(N765=1,L765=1),K765,"")</f>
        <v/>
      </c>
      <c r="P765" s="642" t="inlineStr">
        <is>
          <t>Новороссийск, район первой ж/д петли</t>
        </is>
      </c>
      <c r="Q765" s="640" t="inlineStr">
        <is>
          <t>44.762792</t>
        </is>
      </c>
      <c r="R765" s="494" t="inlineStr">
        <is>
          <t>37.73732</t>
        </is>
      </c>
      <c r="S765" s="436" t="n"/>
      <c r="T765" s="436" t="n"/>
      <c r="U765" s="436" t="n"/>
      <c r="V765" s="438">
        <f>IF(AND(N765=1,U765=1),C765,"")</f>
        <v/>
      </c>
      <c r="W765" s="387" t="n"/>
      <c r="X765" s="387" t="n"/>
      <c r="Y765" s="387" t="n"/>
    </row>
    <row r="766" hidden="1" ht="16.05" customFormat="1" customHeight="1" s="126">
      <c r="A766" s="125" t="n">
        <v>1015</v>
      </c>
      <c r="B766" s="125" t="n"/>
      <c r="C766" s="130" t="inlineStr">
        <is>
          <t>Краснодар</t>
        </is>
      </c>
      <c r="D766" s="130" t="inlineStr">
        <is>
          <t>Краснодар</t>
        </is>
      </c>
      <c r="E766" s="130" t="n"/>
      <c r="F766" s="130" t="inlineStr">
        <is>
          <t>АЗС</t>
        </is>
      </c>
      <c r="G766" s="130" t="inlineStr">
        <is>
          <t>Роснефть</t>
        </is>
      </c>
      <c r="H766" s="131" t="n">
        <v>19</v>
      </c>
      <c r="I766" s="637" t="inlineStr">
        <is>
          <t>RN_19</t>
        </is>
      </c>
      <c r="J766" s="637" t="inlineStr">
        <is>
          <t>KDR_RN_0019</t>
        </is>
      </c>
      <c r="K766" s="640" t="n">
        <v>1</v>
      </c>
      <c r="L766" s="640" t="n">
        <v>1</v>
      </c>
      <c r="M766" s="623" t="inlineStr">
        <is>
          <t>Samsung 32" вертикальный</t>
        </is>
      </c>
      <c r="N766" s="640" t="n"/>
      <c r="O766" s="640">
        <f>IF(AND(N766=1,L766=1),K766,"")</f>
        <v/>
      </c>
      <c r="P766" s="642" t="inlineStr">
        <is>
          <t>Краснодар,  Селезнева, 197/5</t>
        </is>
      </c>
      <c r="Q766" s="640" t="inlineStr">
        <is>
          <t>45.016621</t>
        </is>
      </c>
      <c r="R766" s="494" t="inlineStr">
        <is>
          <t>39.054348</t>
        </is>
      </c>
      <c r="S766" s="436" t="n"/>
      <c r="T766" s="436" t="n"/>
      <c r="U766" s="436" t="n"/>
      <c r="V766" s="438">
        <f>IF(AND(N766=1,U766=1),C766,"")</f>
        <v/>
      </c>
      <c r="W766" s="387" t="n"/>
      <c r="X766" s="387" t="n"/>
      <c r="Y766" s="387" t="n"/>
    </row>
    <row r="767" hidden="1" ht="16.05" customFormat="1" customHeight="1" s="126">
      <c r="A767" s="125" t="n">
        <v>1016</v>
      </c>
      <c r="B767" s="125" t="n"/>
      <c r="C767" s="130" t="inlineStr">
        <is>
          <t>Краснодар</t>
        </is>
      </c>
      <c r="D767" s="130" t="inlineStr">
        <is>
          <t>Краснодар</t>
        </is>
      </c>
      <c r="E767" s="130" t="n"/>
      <c r="F767" s="130" t="inlineStr">
        <is>
          <t>АЗС</t>
        </is>
      </c>
      <c r="G767" s="130" t="inlineStr">
        <is>
          <t>Роснефть</t>
        </is>
      </c>
      <c r="H767" s="131" t="n">
        <v>20</v>
      </c>
      <c r="I767" s="637" t="inlineStr">
        <is>
          <t>RN_20</t>
        </is>
      </c>
      <c r="J767" s="637" t="inlineStr">
        <is>
          <t>KDR_RN_0020</t>
        </is>
      </c>
      <c r="K767" s="640" t="n">
        <v>1</v>
      </c>
      <c r="L767" s="640" t="n">
        <v>1</v>
      </c>
      <c r="M767" s="623" t="inlineStr">
        <is>
          <t>Samsung 32" вертикальный</t>
        </is>
      </c>
      <c r="N767" s="640" t="n"/>
      <c r="O767" s="640">
        <f>IF(AND(N767=1,L767=1),K767,"")</f>
        <v/>
      </c>
      <c r="P767" s="642" t="inlineStr">
        <is>
          <t>Краснодар,  Бородинская, 160</t>
        </is>
      </c>
      <c r="Q767" s="640" t="inlineStr">
        <is>
          <t>45.006514</t>
        </is>
      </c>
      <c r="R767" s="494" t="inlineStr">
        <is>
          <t>39.103633</t>
        </is>
      </c>
      <c r="S767" s="436" t="n"/>
      <c r="T767" s="436" t="n"/>
      <c r="U767" s="436" t="n"/>
      <c r="V767" s="438">
        <f>IF(AND(N767=1,U767=1),C767,"")</f>
        <v/>
      </c>
      <c r="W767" s="387" t="n"/>
      <c r="X767" s="387" t="n"/>
      <c r="Y767" s="387" t="n"/>
    </row>
    <row r="768" hidden="1" ht="16.05" customFormat="1" customHeight="1" s="126">
      <c r="A768" s="125" t="n">
        <v>1017</v>
      </c>
      <c r="B768" s="125" t="n"/>
      <c r="C768" s="130" t="inlineStr">
        <is>
          <t>Краснодар</t>
        </is>
      </c>
      <c r="D768" s="130" t="inlineStr">
        <is>
          <t>Краснодар</t>
        </is>
      </c>
      <c r="E768" s="130" t="n"/>
      <c r="F768" s="130" t="inlineStr">
        <is>
          <t>АЗС</t>
        </is>
      </c>
      <c r="G768" s="130" t="inlineStr">
        <is>
          <t>Роснефть</t>
        </is>
      </c>
      <c r="H768" s="131" t="n">
        <v>22</v>
      </c>
      <c r="I768" s="637" t="inlineStr">
        <is>
          <t>RN_22</t>
        </is>
      </c>
      <c r="J768" s="637" t="inlineStr">
        <is>
          <t>KDR_RN_0022</t>
        </is>
      </c>
      <c r="K768" s="640" t="n">
        <v>1</v>
      </c>
      <c r="L768" s="640" t="n">
        <v>1</v>
      </c>
      <c r="M768" s="623" t="inlineStr">
        <is>
          <t>Samsung 32" вертикальный</t>
        </is>
      </c>
      <c r="N768" s="640" t="n"/>
      <c r="O768" s="640">
        <f>IF(AND(N768=1,L768=1),K768,"")</f>
        <v/>
      </c>
      <c r="P768" s="642" t="inlineStr">
        <is>
          <t>Краснодар,  Ростовское шоссе, 25</t>
        </is>
      </c>
      <c r="Q768" s="640" t="inlineStr">
        <is>
          <t>45.120827</t>
        </is>
      </c>
      <c r="R768" s="494" t="inlineStr">
        <is>
          <t>38.998887</t>
        </is>
      </c>
      <c r="S768" s="436" t="n"/>
      <c r="T768" s="436" t="n"/>
      <c r="U768" s="436" t="n"/>
      <c r="V768" s="438">
        <f>IF(AND(N768=1,U768=1),C768,"")</f>
        <v/>
      </c>
      <c r="W768" s="387" t="n"/>
      <c r="X768" s="387" t="n"/>
      <c r="Y768" s="387" t="n"/>
    </row>
    <row r="769" hidden="1" ht="16.05" customFormat="1" customHeight="1" s="126">
      <c r="A769" s="125" t="n">
        <v>1019</v>
      </c>
      <c r="B769" s="125" t="n"/>
      <c r="C769" s="130" t="inlineStr">
        <is>
          <t>Краснодар</t>
        </is>
      </c>
      <c r="D769" s="130" t="inlineStr">
        <is>
          <t>Краснодар</t>
        </is>
      </c>
      <c r="E769" s="130" t="n"/>
      <c r="F769" s="130" t="inlineStr">
        <is>
          <t>АЗС</t>
        </is>
      </c>
      <c r="G769" s="130" t="inlineStr">
        <is>
          <t>Роснефть</t>
        </is>
      </c>
      <c r="H769" s="131" t="n">
        <v>79</v>
      </c>
      <c r="I769" s="637" t="inlineStr">
        <is>
          <t>RN_79</t>
        </is>
      </c>
      <c r="J769" s="637" t="inlineStr">
        <is>
          <t>KDR_RN_0079</t>
        </is>
      </c>
      <c r="K769" s="640" t="n">
        <v>1</v>
      </c>
      <c r="L769" s="640" t="n">
        <v>1</v>
      </c>
      <c r="M769" s="623" t="inlineStr">
        <is>
          <t>Samsung 32" вертикальный</t>
        </is>
      </c>
      <c r="N769" s="640" t="n"/>
      <c r="O769" s="640">
        <f>IF(AND(N769=1,L769=1),K769,"")</f>
        <v/>
      </c>
      <c r="P769" s="642" t="inlineStr">
        <is>
          <t>Краснодар,  Дзержинского, 197</t>
        </is>
      </c>
      <c r="Q769" s="640" t="inlineStr">
        <is>
          <t>45.09568</t>
        </is>
      </c>
      <c r="R769" s="494" t="inlineStr">
        <is>
          <t>38.977864</t>
        </is>
      </c>
      <c r="S769" s="436" t="n"/>
      <c r="T769" s="436" t="n"/>
      <c r="U769" s="436" t="n"/>
      <c r="V769" s="438">
        <f>IF(AND(N769=1,U769=1),C769,"")</f>
        <v/>
      </c>
      <c r="W769" s="387" t="n"/>
      <c r="X769" s="1" t="n"/>
      <c r="Y769" s="1" t="n"/>
    </row>
    <row r="770" hidden="1" ht="16.05" customFormat="1" customHeight="1" s="126">
      <c r="A770" s="125" t="n">
        <v>1020</v>
      </c>
      <c r="B770" s="125" t="n"/>
      <c r="C770" s="130" t="inlineStr">
        <is>
          <t>Краснодар</t>
        </is>
      </c>
      <c r="D770" s="130" t="inlineStr">
        <is>
          <t>Краснодар</t>
        </is>
      </c>
      <c r="E770" s="130" t="n"/>
      <c r="F770" s="130" t="inlineStr">
        <is>
          <t>АЗС</t>
        </is>
      </c>
      <c r="G770" s="130" t="inlineStr">
        <is>
          <t>Роснефть</t>
        </is>
      </c>
      <c r="H770" s="131" t="n">
        <v>94</v>
      </c>
      <c r="I770" s="637" t="inlineStr">
        <is>
          <t>RN_94</t>
        </is>
      </c>
      <c r="J770" s="637" t="inlineStr">
        <is>
          <t>KDR_RN_0094</t>
        </is>
      </c>
      <c r="K770" s="640" t="n">
        <v>1</v>
      </c>
      <c r="L770" s="640" t="n">
        <v>1</v>
      </c>
      <c r="M770" s="623" t="inlineStr">
        <is>
          <t>Samsung 32" вертикальный</t>
        </is>
      </c>
      <c r="N770" s="640" t="n"/>
      <c r="O770" s="640">
        <f>IF(AND(N770=1,L770=1),K770,"")</f>
        <v/>
      </c>
      <c r="P770" s="642" t="inlineStr">
        <is>
          <t>Краснодар, им.Фадеева, трасса Ростов-Джубга,1338км (справа)</t>
        </is>
      </c>
      <c r="Q770" s="640" t="inlineStr">
        <is>
          <t>45.029363</t>
        </is>
      </c>
      <c r="R770" s="422" t="inlineStr">
        <is>
          <t>39.129505</t>
        </is>
      </c>
      <c r="S770" s="436" t="n"/>
      <c r="T770" s="436" t="n"/>
      <c r="U770" s="436" t="n"/>
      <c r="V770" s="438">
        <f>IF(AND(N770=1,U770=1),C770,"")</f>
        <v/>
      </c>
      <c r="W770" s="387" t="n"/>
      <c r="X770" s="387" t="n"/>
      <c r="Y770" s="387" t="n"/>
    </row>
    <row r="771" hidden="1" ht="16.05" customFormat="1" customHeight="1" s="126">
      <c r="A771" s="125" t="n">
        <v>1021</v>
      </c>
      <c r="B771" s="125" t="n"/>
      <c r="C771" s="130" t="inlineStr">
        <is>
          <t>Краснодар</t>
        </is>
      </c>
      <c r="D771" s="130" t="inlineStr">
        <is>
          <t>Краснодар</t>
        </is>
      </c>
      <c r="E771" s="130" t="n"/>
      <c r="F771" s="130" t="inlineStr">
        <is>
          <t>АЗС</t>
        </is>
      </c>
      <c r="G771" s="130" t="inlineStr">
        <is>
          <t>Роснефть</t>
        </is>
      </c>
      <c r="H771" s="131" t="n">
        <v>95</v>
      </c>
      <c r="I771" s="637" t="inlineStr">
        <is>
          <t>RN_95</t>
        </is>
      </c>
      <c r="J771" s="637" t="inlineStr">
        <is>
          <t>KDR_RN_0095</t>
        </is>
      </c>
      <c r="K771" s="640" t="n">
        <v>1</v>
      </c>
      <c r="L771" s="640" t="n">
        <v>1</v>
      </c>
      <c r="M771" s="623" t="inlineStr">
        <is>
          <t>Samsung 32" вертикальный</t>
        </is>
      </c>
      <c r="N771" s="640" t="n"/>
      <c r="O771" s="640">
        <f>IF(AND(N771=1,L771=1),K771,"")</f>
        <v/>
      </c>
      <c r="P771" s="642" t="inlineStr">
        <is>
          <t>Краснодар, им.Фадеева, трасса Ростов-Джубга,1338км (слева)</t>
        </is>
      </c>
      <c r="Q771" s="640" t="inlineStr">
        <is>
          <t>45.030632</t>
        </is>
      </c>
      <c r="R771" s="494" t="inlineStr">
        <is>
          <t>39.130573</t>
        </is>
      </c>
      <c r="S771" s="436" t="n"/>
      <c r="T771" s="436" t="n"/>
      <c r="U771" s="436" t="n"/>
      <c r="V771" s="438">
        <f>IF(AND(N771=1,U771=1),C771,"")</f>
        <v/>
      </c>
      <c r="W771" s="387" t="n"/>
      <c r="X771" s="387" t="n"/>
      <c r="Y771" s="387" t="n"/>
    </row>
    <row r="772" hidden="1" ht="16.05" customFormat="1" customHeight="1" s="126">
      <c r="A772" s="125" t="n">
        <v>1022</v>
      </c>
      <c r="B772" s="125" t="n"/>
      <c r="C772" s="130" t="inlineStr">
        <is>
          <t>Краснодар</t>
        </is>
      </c>
      <c r="D772" s="130" t="inlineStr">
        <is>
          <t>Краснодар</t>
        </is>
      </c>
      <c r="E772" s="130" t="n"/>
      <c r="F772" s="130" t="inlineStr">
        <is>
          <t>АЗС</t>
        </is>
      </c>
      <c r="G772" s="130" t="inlineStr">
        <is>
          <t>Роснефть</t>
        </is>
      </c>
      <c r="H772" s="131" t="n">
        <v>118</v>
      </c>
      <c r="I772" s="637" t="inlineStr">
        <is>
          <t>RN_118</t>
        </is>
      </c>
      <c r="J772" s="637" t="inlineStr">
        <is>
          <t>KDR_RN_0118</t>
        </is>
      </c>
      <c r="K772" s="640" t="n">
        <v>1</v>
      </c>
      <c r="L772" s="640" t="n">
        <v>1</v>
      </c>
      <c r="M772" s="623" t="inlineStr">
        <is>
          <t>Samsung 32" вертикальный</t>
        </is>
      </c>
      <c r="N772" s="640" t="n"/>
      <c r="O772" s="640">
        <f>IF(AND(N772=1,L772=1),K772,"")</f>
        <v/>
      </c>
      <c r="P772" s="642" t="inlineStr">
        <is>
          <t>Краснодар,  Дежнева, 40</t>
        </is>
      </c>
      <c r="Q772" s="640" t="inlineStr">
        <is>
          <t>45.033223</t>
        </is>
      </c>
      <c r="R772" s="494" t="inlineStr">
        <is>
          <t>39.076205</t>
        </is>
      </c>
      <c r="S772" s="436" t="n"/>
      <c r="T772" s="436" t="n"/>
      <c r="U772" s="436" t="n"/>
      <c r="V772" s="438">
        <f>IF(AND(N772=1,U772=1),C772,"")</f>
        <v/>
      </c>
      <c r="W772" s="387" t="n"/>
      <c r="X772" s="387" t="n"/>
      <c r="Y772" s="387" t="n"/>
    </row>
    <row r="773" hidden="1" ht="16.05" customFormat="1" customHeight="1" s="126">
      <c r="A773" s="125" t="n">
        <v>1018</v>
      </c>
      <c r="B773" s="125" t="n"/>
      <c r="C773" s="130" t="inlineStr">
        <is>
          <t>Краснодар</t>
        </is>
      </c>
      <c r="D773" s="130" t="inlineStr">
        <is>
          <t>Краснодар</t>
        </is>
      </c>
      <c r="E773" s="130" t="n"/>
      <c r="F773" s="130" t="inlineStr">
        <is>
          <t>АЗС</t>
        </is>
      </c>
      <c r="G773" s="130" t="inlineStr">
        <is>
          <t>Роснефть</t>
        </is>
      </c>
      <c r="H773" s="131" t="n">
        <v>44</v>
      </c>
      <c r="I773" s="637" t="inlineStr">
        <is>
          <t>RN_44</t>
        </is>
      </c>
      <c r="J773" s="402" t="inlineStr">
        <is>
          <t>KDR_RN_0044</t>
        </is>
      </c>
      <c r="K773" s="640" t="n">
        <v>1</v>
      </c>
      <c r="L773" s="640" t="n">
        <v>0</v>
      </c>
      <c r="M773" s="640" t="inlineStr">
        <is>
          <t>Sam 32</t>
        </is>
      </c>
      <c r="N773" s="640" t="n"/>
      <c r="O773" s="640">
        <f>IF(AND(N773=1,L773=1),K773,"")</f>
        <v/>
      </c>
      <c r="P773" s="642" t="inlineStr">
        <is>
          <t>Краснодар,  Вишняковой, 146</t>
        </is>
      </c>
      <c r="Q773" s="640" t="n">
        <v>45.023217</v>
      </c>
      <c r="R773" s="422" t="n">
        <v>38.996928</v>
      </c>
      <c r="S773" s="436" t="n"/>
      <c r="T773" s="436" t="n"/>
      <c r="U773" s="436" t="n"/>
      <c r="V773" s="438">
        <f>IF(AND(N773=1,U773=1),C773,"")</f>
        <v/>
      </c>
      <c r="W773" s="387" t="n"/>
      <c r="X773" s="387" t="n"/>
      <c r="Y773" s="387" t="n"/>
    </row>
    <row r="774" hidden="1" ht="16.05" customFormat="1" customHeight="1" s="126">
      <c r="A774" s="125" t="n">
        <v>1024</v>
      </c>
      <c r="B774" s="125" t="n"/>
      <c r="C774" s="130" t="inlineStr">
        <is>
          <t>Краснодар</t>
        </is>
      </c>
      <c r="D774" s="130" t="inlineStr">
        <is>
          <t>Горячий Ключ</t>
        </is>
      </c>
      <c r="E774" s="130" t="n"/>
      <c r="F774" s="130" t="inlineStr">
        <is>
          <t>АЗС</t>
        </is>
      </c>
      <c r="G774" s="130" t="inlineStr">
        <is>
          <t>Роснефть</t>
        </is>
      </c>
      <c r="H774" s="131" t="n">
        <v>126</v>
      </c>
      <c r="I774" s="637" t="inlineStr">
        <is>
          <t>RN_126</t>
        </is>
      </c>
      <c r="J774" s="637" t="inlineStr">
        <is>
          <t>KDR_RN_0126</t>
        </is>
      </c>
      <c r="K774" s="640" t="n">
        <v>1</v>
      </c>
      <c r="L774" s="640" t="n">
        <v>1</v>
      </c>
      <c r="M774" s="623" t="inlineStr">
        <is>
          <t>Samsung 32" вертикальный</t>
        </is>
      </c>
      <c r="N774" s="640" t="n"/>
      <c r="O774" s="640">
        <f>IF(AND(N774=1,L774=1),K774,"")</f>
        <v/>
      </c>
      <c r="P774" s="642" t="inlineStr">
        <is>
          <t>Горячий Ключ,  Ярославского/ Хадыженская (Хадыженская улица, 50)</t>
        </is>
      </c>
      <c r="Q774" s="640" t="inlineStr">
        <is>
          <t>44.649455</t>
        </is>
      </c>
      <c r="R774" s="494" t="inlineStr">
        <is>
          <t>39.1709</t>
        </is>
      </c>
      <c r="S774" s="436" t="n"/>
      <c r="T774" s="436" t="n"/>
      <c r="U774" s="436" t="n"/>
      <c r="V774" s="438">
        <f>IF(AND(N774=1,U774=1),C774,"")</f>
        <v/>
      </c>
      <c r="W774" s="387" t="n"/>
      <c r="X774" s="387" t="n"/>
      <c r="Y774" s="387" t="n"/>
    </row>
    <row r="775" hidden="1" ht="16.05" customFormat="1" customHeight="1" s="126">
      <c r="A775" s="125" t="n">
        <v>1025</v>
      </c>
      <c r="B775" s="125" t="n"/>
      <c r="C775" s="130" t="inlineStr">
        <is>
          <t>Краснодар</t>
        </is>
      </c>
      <c r="D775" s="130" t="inlineStr">
        <is>
          <t>Краснодар</t>
        </is>
      </c>
      <c r="E775" s="130" t="n"/>
      <c r="F775" s="130" t="inlineStr">
        <is>
          <t>АЗС</t>
        </is>
      </c>
      <c r="G775" s="130" t="inlineStr">
        <is>
          <t>Роснефть</t>
        </is>
      </c>
      <c r="H775" s="131" t="n">
        <v>127</v>
      </c>
      <c r="I775" s="637" t="inlineStr">
        <is>
          <t>RN_127</t>
        </is>
      </c>
      <c r="J775" s="637" t="inlineStr">
        <is>
          <t>KDR_RN_0127</t>
        </is>
      </c>
      <c r="K775" s="640" t="n">
        <v>1</v>
      </c>
      <c r="L775" s="640" t="n">
        <v>1</v>
      </c>
      <c r="M775" s="623" t="inlineStr">
        <is>
          <t>Samsung 32" вертикальный</t>
        </is>
      </c>
      <c r="N775" s="640" t="n"/>
      <c r="O775" s="640">
        <f>IF(AND(N775=1,L775=1),K775,"")</f>
        <v/>
      </c>
      <c r="P775" s="642" t="inlineStr">
        <is>
          <t>Краснодар, Кубанская Набережная, 47/1</t>
        </is>
      </c>
      <c r="Q775" s="640" t="inlineStr">
        <is>
          <t>45.037179</t>
        </is>
      </c>
      <c r="R775" s="494" t="inlineStr">
        <is>
          <t>38.955321</t>
        </is>
      </c>
      <c r="S775" s="436" t="n"/>
      <c r="T775" s="436" t="n"/>
      <c r="U775" s="436" t="n"/>
      <c r="V775" s="438">
        <f>IF(AND(N775=1,U775=1),C775,"")</f>
        <v/>
      </c>
      <c r="W775" s="387" t="n"/>
      <c r="X775" s="387" t="n"/>
      <c r="Y775" s="387" t="n"/>
    </row>
    <row r="776" hidden="1" ht="16.05" customFormat="1" customHeight="1" s="126">
      <c r="A776" s="125" t="n">
        <v>1026</v>
      </c>
      <c r="B776" s="125" t="n"/>
      <c r="C776" s="130" t="inlineStr">
        <is>
          <t>Краснодар</t>
        </is>
      </c>
      <c r="D776" s="130" t="inlineStr">
        <is>
          <t>Краснодар</t>
        </is>
      </c>
      <c r="E776" s="130" t="n"/>
      <c r="F776" s="130" t="inlineStr">
        <is>
          <t>АЗС</t>
        </is>
      </c>
      <c r="G776" s="130" t="inlineStr">
        <is>
          <t>Роснефть</t>
        </is>
      </c>
      <c r="H776" s="131" t="n">
        <v>137</v>
      </c>
      <c r="I776" s="637" t="inlineStr">
        <is>
          <t>RN_137</t>
        </is>
      </c>
      <c r="J776" s="637" t="inlineStr">
        <is>
          <t>KDR_RN_0137</t>
        </is>
      </c>
      <c r="K776" s="640" t="n">
        <v>1</v>
      </c>
      <c r="L776" s="640" t="n">
        <v>1</v>
      </c>
      <c r="M776" s="623" t="inlineStr">
        <is>
          <t>Samsung 32" вертикальный</t>
        </is>
      </c>
      <c r="N776" s="640" t="n"/>
      <c r="O776" s="640">
        <f>IF(AND(N776=1,L776=1),K776,"")</f>
        <v/>
      </c>
      <c r="P776" s="642" t="inlineStr">
        <is>
          <t>Краснодар, а/д Темрюк-Краснодар-Кропоткин, 145км +815 (слева)</t>
        </is>
      </c>
      <c r="Q776" s="640" t="inlineStr">
        <is>
          <t>45.052616</t>
        </is>
      </c>
      <c r="R776" s="494" t="inlineStr">
        <is>
          <t>38.839319</t>
        </is>
      </c>
      <c r="S776" s="436" t="n"/>
      <c r="T776" s="436" t="n"/>
      <c r="U776" s="436" t="n"/>
      <c r="V776" s="438">
        <f>IF(AND(N776=1,U776=1),C776,"")</f>
        <v/>
      </c>
      <c r="W776" s="387" t="n"/>
      <c r="X776" s="387" t="n"/>
      <c r="Y776" s="387" t="n"/>
    </row>
    <row r="777" hidden="1" ht="16.05" customFormat="1" customHeight="1" s="126">
      <c r="A777" s="125" t="n">
        <v>1027</v>
      </c>
      <c r="B777" s="125" t="n"/>
      <c r="C777" s="130" t="inlineStr">
        <is>
          <t>Краснодар</t>
        </is>
      </c>
      <c r="D777" s="130" t="inlineStr">
        <is>
          <t>Северский район</t>
        </is>
      </c>
      <c r="E777" s="130" t="n"/>
      <c r="F777" s="130" t="inlineStr">
        <is>
          <t>АЗС</t>
        </is>
      </c>
      <c r="G777" s="130" t="inlineStr">
        <is>
          <t>Роснефть</t>
        </is>
      </c>
      <c r="H777" s="131" t="n">
        <v>187</v>
      </c>
      <c r="I777" s="637" t="inlineStr">
        <is>
          <t>RN_187</t>
        </is>
      </c>
      <c r="J777" s="637" t="inlineStr">
        <is>
          <t>KDR_RN_0187</t>
        </is>
      </c>
      <c r="K777" s="640" t="n">
        <v>1</v>
      </c>
      <c r="L777" s="640" t="n">
        <v>1</v>
      </c>
      <c r="M777" s="623" t="inlineStr">
        <is>
          <t>Samsung 32" вертикальный</t>
        </is>
      </c>
      <c r="N777" s="640" t="n"/>
      <c r="O777" s="640">
        <f>IF(AND(N777=1,L777=1),K777,"")</f>
        <v/>
      </c>
      <c r="P777" s="642" t="inlineStr">
        <is>
          <t>Краснодарский край, Северский район, п. Афипский,ФАД Краснодар - Новороссийск, А146, 2 км (справа)</t>
        </is>
      </c>
      <c r="Q777" s="640" t="inlineStr">
        <is>
          <t>44.892999</t>
        </is>
      </c>
      <c r="R777" s="494" t="inlineStr">
        <is>
          <t>38.858023</t>
        </is>
      </c>
      <c r="S777" s="436" t="n"/>
      <c r="T777" s="436" t="n"/>
      <c r="U777" s="436" t="n"/>
      <c r="V777" s="438">
        <f>IF(AND(N777=1,U777=1),C777,"")</f>
        <v/>
      </c>
      <c r="W777" s="387" t="n"/>
      <c r="X777" s="387" t="n"/>
      <c r="Y777" s="387" t="n"/>
    </row>
    <row r="778" hidden="1" ht="16.05" customFormat="1" customHeight="1" s="126">
      <c r="A778" s="125" t="n">
        <v>1028</v>
      </c>
      <c r="B778" s="125" t="n"/>
      <c r="C778" s="130" t="inlineStr">
        <is>
          <t>Краснодар</t>
        </is>
      </c>
      <c r="D778" s="130" t="inlineStr">
        <is>
          <t>Краснодар</t>
        </is>
      </c>
      <c r="E778" s="130" t="n"/>
      <c r="F778" s="130" t="inlineStr">
        <is>
          <t>АЗС</t>
        </is>
      </c>
      <c r="G778" s="130" t="inlineStr">
        <is>
          <t>Роснефть</t>
        </is>
      </c>
      <c r="H778" s="131" t="n">
        <v>232</v>
      </c>
      <c r="I778" s="637" t="inlineStr">
        <is>
          <t>RN_232</t>
        </is>
      </c>
      <c r="J778" s="637" t="inlineStr">
        <is>
          <t>KDR_RN_0232</t>
        </is>
      </c>
      <c r="K778" s="640" t="n">
        <v>1</v>
      </c>
      <c r="L778" s="640" t="n">
        <v>1</v>
      </c>
      <c r="M778" s="623" t="inlineStr">
        <is>
          <t>Samsung 32" вертикальный</t>
        </is>
      </c>
      <c r="N778" s="640" t="n"/>
      <c r="O778" s="640">
        <f>IF(AND(N778=1,L778=1),K778,"")</f>
        <v/>
      </c>
      <c r="P778" s="642" t="inlineStr">
        <is>
          <t>Краснодар,  Ростовское шоссе, 17км</t>
        </is>
      </c>
      <c r="Q778" s="640" t="inlineStr">
        <is>
          <t>45.178084</t>
        </is>
      </c>
      <c r="R778" s="494" t="inlineStr">
        <is>
          <t>39.105803</t>
        </is>
      </c>
      <c r="S778" s="436" t="n"/>
      <c r="T778" s="436" t="n"/>
      <c r="U778" s="436" t="n"/>
      <c r="V778" s="438">
        <f>IF(AND(N778=1,U778=1),C778,"")</f>
        <v/>
      </c>
      <c r="W778" s="387" t="n"/>
      <c r="X778" s="387" t="n"/>
      <c r="Y778" s="387" t="n"/>
    </row>
    <row r="779" hidden="1" ht="16.05" customFormat="1" customHeight="1" s="126">
      <c r="A779" s="125" t="n">
        <v>1029</v>
      </c>
      <c r="B779" s="125" t="n"/>
      <c r="C779" s="130" t="inlineStr">
        <is>
          <t>Краснодар</t>
        </is>
      </c>
      <c r="D779" s="130" t="inlineStr">
        <is>
          <t>Краснодар</t>
        </is>
      </c>
      <c r="E779" s="130" t="n"/>
      <c r="F779" s="130" t="inlineStr">
        <is>
          <t>АЗС</t>
        </is>
      </c>
      <c r="G779" s="130" t="inlineStr">
        <is>
          <t>Роснефть</t>
        </is>
      </c>
      <c r="H779" s="131" t="n">
        <v>233</v>
      </c>
      <c r="I779" s="637" t="inlineStr">
        <is>
          <t>RN_233</t>
        </is>
      </c>
      <c r="J779" s="637" t="inlineStr">
        <is>
          <t>KDR_RN_0233</t>
        </is>
      </c>
      <c r="K779" s="640" t="n">
        <v>2</v>
      </c>
      <c r="L779" s="640" t="n">
        <v>1</v>
      </c>
      <c r="M779" s="623" t="inlineStr">
        <is>
          <t>Samsung 32" вертикальный</t>
        </is>
      </c>
      <c r="N779" s="640" t="n"/>
      <c r="O779" s="640">
        <f>IF(AND(N779=1,L779=1),K779,"")</f>
        <v/>
      </c>
      <c r="P779" s="642" t="inlineStr">
        <is>
          <t>Краснодар,  Ростовское шоссе, 26</t>
        </is>
      </c>
      <c r="Q779" s="640" t="n">
        <v>45.091731</v>
      </c>
      <c r="R779" s="494" t="n">
        <v>38.992309</v>
      </c>
      <c r="S779" s="436" t="n"/>
      <c r="T779" s="436" t="n"/>
      <c r="U779" s="436" t="n"/>
      <c r="V779" s="438">
        <f>IF(AND(N779=1,U779=1),C779,"")</f>
        <v/>
      </c>
      <c r="W779" s="387" t="n"/>
      <c r="X779" s="387" t="n"/>
      <c r="Y779" s="387" t="n"/>
    </row>
    <row r="780" hidden="1" ht="16.05" customFormat="1" customHeight="1" s="126">
      <c r="A780" s="125" t="n">
        <v>1030</v>
      </c>
      <c r="B780" s="125" t="n"/>
      <c r="C780" s="130" t="inlineStr">
        <is>
          <t>Краснодар</t>
        </is>
      </c>
      <c r="D780" s="130" t="inlineStr">
        <is>
          <t>Краснодар</t>
        </is>
      </c>
      <c r="E780" s="130" t="n"/>
      <c r="F780" s="130" t="inlineStr">
        <is>
          <t>АЗС</t>
        </is>
      </c>
      <c r="G780" s="130" t="inlineStr">
        <is>
          <t>Роснефть</t>
        </is>
      </c>
      <c r="H780" s="131" t="inlineStr">
        <is>
          <t>101/1</t>
        </is>
      </c>
      <c r="I780" s="637" t="inlineStr">
        <is>
          <t>RN_101/1</t>
        </is>
      </c>
      <c r="J780" s="637" t="inlineStr">
        <is>
          <t>KDR_RN_0101_1</t>
        </is>
      </c>
      <c r="K780" s="640" t="n">
        <v>1</v>
      </c>
      <c r="L780" s="640" t="n">
        <v>1</v>
      </c>
      <c r="M780" s="623" t="inlineStr">
        <is>
          <t>Samsung 32" вертикальный</t>
        </is>
      </c>
      <c r="N780" s="640" t="n"/>
      <c r="O780" s="640">
        <f>IF(AND(N780=1,L780=1),K780,"")</f>
        <v/>
      </c>
      <c r="P780" s="642" t="inlineStr">
        <is>
          <t>Краснодар, Прикубанский округ,  Дзержинского, 237</t>
        </is>
      </c>
      <c r="Q780" s="640" t="inlineStr">
        <is>
          <t>45.119274</t>
        </is>
      </c>
      <c r="R780" s="494" t="inlineStr">
        <is>
          <t>38.985087</t>
        </is>
      </c>
      <c r="S780" s="436" t="n"/>
      <c r="T780" s="436" t="n"/>
      <c r="U780" s="436" t="n"/>
      <c r="V780" s="438">
        <f>IF(AND(N780=1,U780=1),C780,"")</f>
        <v/>
      </c>
      <c r="W780" s="387" t="n"/>
      <c r="X780" s="387" t="n"/>
      <c r="Y780" s="1" t="n"/>
    </row>
    <row r="781" hidden="1" ht="16.05" customFormat="1" customHeight="1" s="126">
      <c r="A781" s="125" t="n">
        <v>1031</v>
      </c>
      <c r="B781" s="125" t="n"/>
      <c r="C781" s="130" t="inlineStr">
        <is>
          <t>Краснодар</t>
        </is>
      </c>
      <c r="D781" s="130" t="inlineStr">
        <is>
          <t>Краснодар</t>
        </is>
      </c>
      <c r="E781" s="130" t="n"/>
      <c r="F781" s="130" t="inlineStr">
        <is>
          <t>АЗС</t>
        </is>
      </c>
      <c r="G781" s="130" t="inlineStr">
        <is>
          <t>Роснефть</t>
        </is>
      </c>
      <c r="H781" s="131" t="inlineStr">
        <is>
          <t>102/1</t>
        </is>
      </c>
      <c r="I781" s="637" t="inlineStr">
        <is>
          <t>RN_102/1</t>
        </is>
      </c>
      <c r="J781" s="637" t="inlineStr">
        <is>
          <t>KDR_RN_0102_1</t>
        </is>
      </c>
      <c r="K781" s="640" t="n">
        <v>1</v>
      </c>
      <c r="L781" s="640" t="n">
        <v>1</v>
      </c>
      <c r="M781" s="623" t="inlineStr">
        <is>
          <t>Samsung 32" вертикальный</t>
        </is>
      </c>
      <c r="N781" s="640" t="n"/>
      <c r="O781" s="640">
        <f>IF(AND(N781=1,L781=1),K781,"")</f>
        <v/>
      </c>
      <c r="P781" s="642" t="inlineStr">
        <is>
          <t>Краснодар,Прикубанский округ,Дзержинского,108</t>
        </is>
      </c>
      <c r="Q781" s="640" t="inlineStr">
        <is>
          <t>45.116676</t>
        </is>
      </c>
      <c r="R781" s="494" t="inlineStr">
        <is>
          <t>38.986015</t>
        </is>
      </c>
      <c r="S781" s="436" t="n"/>
      <c r="T781" s="436" t="n"/>
      <c r="U781" s="436" t="n"/>
      <c r="V781" s="438">
        <f>IF(AND(N781=1,U781=1),C781,"")</f>
        <v/>
      </c>
      <c r="W781" s="387" t="n"/>
      <c r="X781" s="387" t="n"/>
      <c r="Y781" s="387" t="n"/>
    </row>
    <row r="782" hidden="1" ht="16.05" customFormat="1" customHeight="1" s="126">
      <c r="A782" s="125" t="n">
        <v>1034</v>
      </c>
      <c r="B782" s="125" t="n"/>
      <c r="C782" s="130" t="inlineStr">
        <is>
          <t>Краснодар</t>
        </is>
      </c>
      <c r="D782" s="130" t="inlineStr">
        <is>
          <t>Сочи</t>
        </is>
      </c>
      <c r="E782" s="130" t="n"/>
      <c r="F782" s="130" t="inlineStr">
        <is>
          <t>АЗС</t>
        </is>
      </c>
      <c r="G782" s="130" t="inlineStr">
        <is>
          <t>Роснефть</t>
        </is>
      </c>
      <c r="H782" s="131" t="n">
        <v>51</v>
      </c>
      <c r="I782" s="637" t="inlineStr">
        <is>
          <t>RN_51</t>
        </is>
      </c>
      <c r="J782" s="637" t="inlineStr">
        <is>
          <t>KDR_RN_0051</t>
        </is>
      </c>
      <c r="K782" s="640" t="n">
        <v>1</v>
      </c>
      <c r="L782" s="640" t="n">
        <v>1</v>
      </c>
      <c r="M782" s="623" t="inlineStr">
        <is>
          <t>Samsung 32" вертикальный</t>
        </is>
      </c>
      <c r="N782" s="640" t="n"/>
      <c r="O782" s="640">
        <f>IF(AND(N782=1,L782=1),K782,"")</f>
        <v/>
      </c>
      <c r="P782" s="642" t="inlineStr">
        <is>
          <t>Сочи, Адлерский район,   Ленина, 286 д, а/д "Джубга-Сочи", км 199+500 (слева)</t>
        </is>
      </c>
      <c r="Q782" s="640" t="inlineStr">
        <is>
          <t>43.474866</t>
        </is>
      </c>
      <c r="R782" s="494" t="inlineStr">
        <is>
          <t>39.89852</t>
        </is>
      </c>
      <c r="S782" s="436" t="n"/>
      <c r="T782" s="436" t="n"/>
      <c r="U782" s="436" t="n"/>
      <c r="V782" s="438">
        <f>IF(AND(N782=1,U782=1),C782,"")</f>
        <v/>
      </c>
      <c r="W782" s="387" t="n"/>
      <c r="X782" s="387" t="n"/>
      <c r="Y782" s="387" t="n"/>
    </row>
    <row r="783" hidden="1" ht="16.05" customFormat="1" customHeight="1" s="126">
      <c r="A783" s="125" t="n">
        <v>1035</v>
      </c>
      <c r="B783" s="125" t="n"/>
      <c r="C783" s="130" t="inlineStr">
        <is>
          <t>Краснодар</t>
        </is>
      </c>
      <c r="D783" s="130" t="inlineStr">
        <is>
          <t>Сочи</t>
        </is>
      </c>
      <c r="E783" s="130" t="n"/>
      <c r="F783" s="130" t="inlineStr">
        <is>
          <t>АЗС</t>
        </is>
      </c>
      <c r="G783" s="130" t="inlineStr">
        <is>
          <t>Роснефть</t>
        </is>
      </c>
      <c r="H783" s="131" t="n">
        <v>108</v>
      </c>
      <c r="I783" s="637" t="inlineStr">
        <is>
          <t>RN_108</t>
        </is>
      </c>
      <c r="J783" s="637" t="inlineStr">
        <is>
          <t>KDR_RN_0108</t>
        </is>
      </c>
      <c r="K783" s="640" t="n">
        <v>1</v>
      </c>
      <c r="L783" s="640" t="n">
        <v>1</v>
      </c>
      <c r="M783" s="623" t="inlineStr">
        <is>
          <t>Samsung 32" вертикальный</t>
        </is>
      </c>
      <c r="N783" s="640" t="n"/>
      <c r="O783" s="640">
        <f>IF(AND(N783=1,L783=1),K783,"")</f>
        <v/>
      </c>
      <c r="P783" s="642" t="inlineStr">
        <is>
          <t xml:space="preserve">Сочи, п.Нижняя хобза,  Магнитогорская, 4 д </t>
        </is>
      </c>
      <c r="Q783" s="640" t="inlineStr">
        <is>
          <t>43.717661</t>
        </is>
      </c>
      <c r="R783" s="494" t="inlineStr">
        <is>
          <t>39.575232</t>
        </is>
      </c>
      <c r="S783" s="436" t="n"/>
      <c r="T783" s="436" t="n"/>
      <c r="U783" s="436" t="n"/>
      <c r="V783" s="438">
        <f>IF(AND(N783=1,U783=1),C783,"")</f>
        <v/>
      </c>
      <c r="W783" s="387" t="n"/>
      <c r="X783" s="387" t="n"/>
      <c r="Y783" s="387" t="n"/>
    </row>
    <row r="784" hidden="1" ht="16.05" customFormat="1" customHeight="1" s="126">
      <c r="A784" s="125" t="n">
        <v>1036</v>
      </c>
      <c r="B784" s="125" t="n"/>
      <c r="C784" s="130" t="inlineStr">
        <is>
          <t>Краснодар</t>
        </is>
      </c>
      <c r="D784" s="130" t="inlineStr">
        <is>
          <t>Сочи</t>
        </is>
      </c>
      <c r="E784" s="130" t="n"/>
      <c r="F784" s="130" t="inlineStr">
        <is>
          <t>АЗС</t>
        </is>
      </c>
      <c r="G784" s="130" t="inlineStr">
        <is>
          <t>Роснефть</t>
        </is>
      </c>
      <c r="H784" s="131" t="n">
        <v>141</v>
      </c>
      <c r="I784" s="637" t="inlineStr">
        <is>
          <t>RN_141</t>
        </is>
      </c>
      <c r="J784" s="637" t="inlineStr">
        <is>
          <t>KDR_RN_0141</t>
        </is>
      </c>
      <c r="K784" s="640" t="n">
        <v>1</v>
      </c>
      <c r="L784" s="640" t="n">
        <v>1</v>
      </c>
      <c r="M784" s="623" t="inlineStr">
        <is>
          <t>Samsung 32" вертикальный</t>
        </is>
      </c>
      <c r="N784" s="640" t="n"/>
      <c r="O784" s="640">
        <f>IF(AND(N784=1,L784=1),K784,"")</f>
        <v/>
      </c>
      <c r="P784" s="642" t="inlineStr">
        <is>
          <t>Сочи,  Авиационная, 17/6</t>
        </is>
      </c>
      <c r="Q784" s="640" t="inlineStr">
        <is>
          <t>43.435133</t>
        </is>
      </c>
      <c r="R784" s="494" t="inlineStr">
        <is>
          <t>39.938687</t>
        </is>
      </c>
      <c r="S784" s="436" t="n"/>
      <c r="T784" s="436" t="n"/>
      <c r="U784" s="436" t="n"/>
      <c r="V784" s="438">
        <f>IF(AND(N784=1,U784=1),C784,"")</f>
        <v/>
      </c>
      <c r="W784" s="387" t="n"/>
      <c r="X784" s="387" t="n"/>
      <c r="Y784" s="387" t="n"/>
    </row>
    <row r="785" hidden="1" ht="16.05" customFormat="1" customHeight="1" s="126">
      <c r="A785" s="125" t="n">
        <v>1037</v>
      </c>
      <c r="B785" s="125" t="n"/>
      <c r="C785" s="130" t="inlineStr">
        <is>
          <t>Краснодар</t>
        </is>
      </c>
      <c r="D785" s="130" t="inlineStr">
        <is>
          <t>Сочи</t>
        </is>
      </c>
      <c r="E785" s="130" t="n"/>
      <c r="F785" s="130" t="inlineStr">
        <is>
          <t>АЗС</t>
        </is>
      </c>
      <c r="G785" s="130" t="inlineStr">
        <is>
          <t>Роснефть</t>
        </is>
      </c>
      <c r="H785" s="131" t="n">
        <v>143</v>
      </c>
      <c r="I785" s="637" t="inlineStr">
        <is>
          <t>RN_143</t>
        </is>
      </c>
      <c r="J785" s="637" t="inlineStr">
        <is>
          <t>KDR_RN_0143</t>
        </is>
      </c>
      <c r="K785" s="640" t="n">
        <v>1</v>
      </c>
      <c r="L785" s="640" t="n">
        <v>1</v>
      </c>
      <c r="M785" s="623" t="inlineStr">
        <is>
          <t>Samsung 32" вертикальный</t>
        </is>
      </c>
      <c r="N785" s="640" t="n"/>
      <c r="O785" s="640">
        <f>IF(AND(N785=1,L785=1),K785,"")</f>
        <v/>
      </c>
      <c r="P785" s="642" t="inlineStr">
        <is>
          <t>Сочи, Хостинский район, мыс Видный, Новороссийское шоссе, №1а</t>
        </is>
      </c>
      <c r="Q785" s="640" t="inlineStr">
        <is>
          <t>43.517573</t>
        </is>
      </c>
      <c r="R785" s="494" t="inlineStr">
        <is>
          <t>39.855189</t>
        </is>
      </c>
      <c r="S785" s="436" t="n"/>
      <c r="T785" s="436" t="n"/>
      <c r="U785" s="436" t="n"/>
      <c r="V785" s="438">
        <f>IF(AND(N785=1,U785=1),C785,"")</f>
        <v/>
      </c>
      <c r="W785" s="387" t="n"/>
      <c r="X785" s="387" t="n"/>
      <c r="Y785" s="387" t="n"/>
    </row>
    <row r="786" hidden="1" ht="16.05" customFormat="1" customHeight="1" s="126">
      <c r="A786" s="125" t="n">
        <v>1038</v>
      </c>
      <c r="B786" s="125" t="n"/>
      <c r="C786" s="130" t="inlineStr">
        <is>
          <t>Краснодар</t>
        </is>
      </c>
      <c r="D786" s="130" t="inlineStr">
        <is>
          <t>Сочи</t>
        </is>
      </c>
      <c r="E786" s="130" t="n"/>
      <c r="F786" s="130" t="inlineStr">
        <is>
          <t>АЗС</t>
        </is>
      </c>
      <c r="G786" s="130" t="inlineStr">
        <is>
          <t>Роснефть</t>
        </is>
      </c>
      <c r="H786" s="131" t="n">
        <v>269</v>
      </c>
      <c r="I786" s="637" t="inlineStr">
        <is>
          <t>RN_269</t>
        </is>
      </c>
      <c r="J786" s="637" t="inlineStr">
        <is>
          <t>KDR_RN_0269</t>
        </is>
      </c>
      <c r="K786" s="640" t="n">
        <v>1</v>
      </c>
      <c r="L786" s="640" t="n">
        <v>1</v>
      </c>
      <c r="M786" s="623" t="inlineStr">
        <is>
          <t>Samsung 32" вертикальный</t>
        </is>
      </c>
      <c r="N786" s="640" t="n"/>
      <c r="O786" s="640">
        <f>IF(AND(N786=1,L786=1),K786,"")</f>
        <v/>
      </c>
      <c r="P786" s="642" t="inlineStr">
        <is>
          <t>Сочи, Адлерский район, пгт.Красная Поляна, Защитников Кавказа (улица Защитников Кавказа, 80А)</t>
        </is>
      </c>
      <c r="Q786" s="640" t="inlineStr">
        <is>
          <t>43.682782</t>
        </is>
      </c>
      <c r="R786" s="494" t="inlineStr">
        <is>
          <t>40.22078</t>
        </is>
      </c>
      <c r="S786" s="436" t="n"/>
      <c r="T786" s="436" t="n"/>
      <c r="U786" s="436" t="n"/>
      <c r="V786" s="438">
        <f>IF(AND(N786=1,U786=1),C786,"")</f>
        <v/>
      </c>
      <c r="W786" s="387" t="n"/>
      <c r="X786" s="387" t="n"/>
      <c r="Y786" s="387" t="n"/>
    </row>
    <row r="787" hidden="1" ht="16.05" customFormat="1" customHeight="1" s="126">
      <c r="A787" s="125" t="n">
        <v>1039</v>
      </c>
      <c r="B787" s="125" t="n"/>
      <c r="C787" s="130" t="inlineStr">
        <is>
          <t>Краснодар</t>
        </is>
      </c>
      <c r="D787" s="130" t="inlineStr">
        <is>
          <t>Сочи</t>
        </is>
      </c>
      <c r="E787" s="130" t="n"/>
      <c r="F787" s="130" t="inlineStr">
        <is>
          <t>АЗС</t>
        </is>
      </c>
      <c r="G787" s="130" t="inlineStr">
        <is>
          <t>Роснефть</t>
        </is>
      </c>
      <c r="H787" s="131" t="n">
        <v>262</v>
      </c>
      <c r="I787" s="637" t="inlineStr">
        <is>
          <t>RN_262</t>
        </is>
      </c>
      <c r="J787" s="637" t="inlineStr">
        <is>
          <t>KDR_RN_0262</t>
        </is>
      </c>
      <c r="K787" s="640" t="n">
        <v>1</v>
      </c>
      <c r="L787" s="640" t="n">
        <v>1</v>
      </c>
      <c r="M787" s="623" t="inlineStr">
        <is>
          <t>Samsung 32" вертикальный</t>
        </is>
      </c>
      <c r="N787" s="640" t="n"/>
      <c r="O787" s="640">
        <f>IF(AND(N787=1,L787=1),K787,"")</f>
        <v/>
      </c>
      <c r="P787" s="642" t="inlineStr">
        <is>
          <t>Сочи,  Виноградная, 272</t>
        </is>
      </c>
      <c r="Q787" s="640" t="inlineStr">
        <is>
          <t>43.639844</t>
        </is>
      </c>
      <c r="R787" s="494" t="inlineStr">
        <is>
          <t>39.698684</t>
        </is>
      </c>
      <c r="S787" s="436" t="n"/>
      <c r="T787" s="436" t="n"/>
      <c r="U787" s="436" t="n"/>
      <c r="V787" s="438">
        <f>IF(AND(N787=1,U787=1),C787,"")</f>
        <v/>
      </c>
      <c r="W787" s="387" t="n"/>
      <c r="X787" s="387" t="n"/>
      <c r="Y787" s="387" t="n"/>
    </row>
    <row r="788" hidden="1" ht="16.05" customFormat="1" customHeight="1" s="126">
      <c r="A788" s="125" t="n">
        <v>1040</v>
      </c>
      <c r="B788" s="125" t="n"/>
      <c r="C788" s="130" t="inlineStr">
        <is>
          <t>Краснодар</t>
        </is>
      </c>
      <c r="D788" s="130" t="inlineStr">
        <is>
          <t>Сочи</t>
        </is>
      </c>
      <c r="E788" s="130" t="n"/>
      <c r="F788" s="130" t="inlineStr">
        <is>
          <t>АЗС</t>
        </is>
      </c>
      <c r="G788" s="130" t="inlineStr">
        <is>
          <t>Роснефть</t>
        </is>
      </c>
      <c r="H788" s="131" t="n">
        <v>149</v>
      </c>
      <c r="I788" s="637" t="inlineStr">
        <is>
          <t>RN_149</t>
        </is>
      </c>
      <c r="J788" s="637" t="inlineStr">
        <is>
          <t>KDR_RN_0149</t>
        </is>
      </c>
      <c r="K788" s="640" t="n">
        <v>2</v>
      </c>
      <c r="L788" s="640" t="n">
        <v>1</v>
      </c>
      <c r="M788" s="623" t="inlineStr">
        <is>
          <t>Samsung 32" вертикальный</t>
        </is>
      </c>
      <c r="N788" s="640" t="n"/>
      <c r="O788" s="640">
        <f>IF(AND(N788=1,L788=1),K788,"")</f>
        <v/>
      </c>
      <c r="P788" s="642" t="inlineStr">
        <is>
          <t>Сочи, Адлерский район, на въезде в аэропорт по  Мира (ул. Мира, 121/1)</t>
        </is>
      </c>
      <c r="Q788" s="640" t="inlineStr">
        <is>
          <t>43.444463</t>
        </is>
      </c>
      <c r="R788" s="494" t="inlineStr">
        <is>
          <t>39.926582</t>
        </is>
      </c>
      <c r="S788" s="436" t="n"/>
      <c r="T788" s="436" t="n"/>
      <c r="U788" s="436" t="n"/>
      <c r="V788" s="438">
        <f>IF(AND(N788=1,U788=1),C788,"")</f>
        <v/>
      </c>
      <c r="W788" s="387" t="n"/>
      <c r="X788" s="387" t="n"/>
      <c r="Y788" s="387" t="n"/>
    </row>
    <row r="789" hidden="1" ht="16.05" customFormat="1" customHeight="1" s="126">
      <c r="A789" s="125" t="n">
        <v>1041</v>
      </c>
      <c r="B789" s="125" t="n"/>
      <c r="C789" s="130" t="inlineStr">
        <is>
          <t>Краснодар</t>
        </is>
      </c>
      <c r="D789" s="130" t="inlineStr">
        <is>
          <t>Сочи</t>
        </is>
      </c>
      <c r="E789" s="130" t="n"/>
      <c r="F789" s="130" t="inlineStr">
        <is>
          <t>АЗС</t>
        </is>
      </c>
      <c r="G789" s="130" t="inlineStr">
        <is>
          <t>Роснефть</t>
        </is>
      </c>
      <c r="H789" s="131" t="n">
        <v>152</v>
      </c>
      <c r="I789" s="637" t="inlineStr">
        <is>
          <t>RN_152</t>
        </is>
      </c>
      <c r="J789" s="637" t="inlineStr">
        <is>
          <t>KDR_RN_0152</t>
        </is>
      </c>
      <c r="K789" s="640" t="n">
        <v>1</v>
      </c>
      <c r="L789" s="640" t="n">
        <v>1</v>
      </c>
      <c r="M789" s="623" t="inlineStr">
        <is>
          <t>Samsung 32" вертикальный</t>
        </is>
      </c>
      <c r="N789" s="640" t="n"/>
      <c r="O789" s="640">
        <f>IF(AND(N789=1,L789=1),K789,"")</f>
        <v/>
      </c>
      <c r="P789" s="642" t="inlineStr">
        <is>
          <t>Сочи, Центральный район,  Пластунская, д. 157/5</t>
        </is>
      </c>
      <c r="Q789" s="640" t="inlineStr">
        <is>
          <t>43.624066</t>
        </is>
      </c>
      <c r="R789" s="494" t="inlineStr">
        <is>
          <t>39.745232</t>
        </is>
      </c>
      <c r="S789" s="436" t="n"/>
      <c r="T789" s="436" t="n"/>
      <c r="U789" s="436" t="n"/>
      <c r="V789" s="438">
        <f>IF(AND(N789=1,U789=1),C789,"")</f>
        <v/>
      </c>
      <c r="W789" s="387" t="n"/>
      <c r="X789" s="387" t="n"/>
      <c r="Y789" s="387" t="n"/>
    </row>
    <row r="790" hidden="1" ht="16.05" customFormat="1" customHeight="1" s="126">
      <c r="A790" s="125" t="n">
        <v>1042</v>
      </c>
      <c r="B790" s="125" t="n"/>
      <c r="C790" s="130" t="inlineStr">
        <is>
          <t>Краснодар</t>
        </is>
      </c>
      <c r="D790" s="130" t="inlineStr">
        <is>
          <t>Сочи</t>
        </is>
      </c>
      <c r="E790" s="130" t="n"/>
      <c r="F790" s="130" t="inlineStr">
        <is>
          <t>АЗС</t>
        </is>
      </c>
      <c r="G790" s="130" t="inlineStr">
        <is>
          <t>Роснефть</t>
        </is>
      </c>
      <c r="H790" s="131" t="n">
        <v>151</v>
      </c>
      <c r="I790" s="637" t="inlineStr">
        <is>
          <t>RN_151</t>
        </is>
      </c>
      <c r="J790" s="637" t="inlineStr">
        <is>
          <t>KDR_RN_0151</t>
        </is>
      </c>
      <c r="K790" s="640" t="n">
        <v>2</v>
      </c>
      <c r="L790" s="640" t="n">
        <v>1</v>
      </c>
      <c r="M790" s="623" t="inlineStr">
        <is>
          <t>Samsung 32" вертикальный</t>
        </is>
      </c>
      <c r="N790" s="640" t="n"/>
      <c r="O790" s="640">
        <f>IF(AND(N790=1,L790=1),K790,"")</f>
        <v/>
      </c>
      <c r="P790" s="642" t="inlineStr">
        <is>
          <t>Сочи, Адлерский район,  Перспективная, д. 15</t>
        </is>
      </c>
      <c r="Q790" s="640" t="inlineStr">
        <is>
          <t>43.417</t>
        </is>
      </c>
      <c r="R790" s="494" t="inlineStr">
        <is>
          <t>39.939654</t>
        </is>
      </c>
      <c r="S790" s="436" t="n"/>
      <c r="T790" s="436" t="n"/>
      <c r="U790" s="436" t="n"/>
      <c r="V790" s="438">
        <f>IF(AND(N790=1,U790=1),C790,"")</f>
        <v/>
      </c>
      <c r="W790" s="387" t="n"/>
      <c r="X790" s="387" t="n"/>
      <c r="Y790" s="387" t="n"/>
    </row>
    <row r="791" hidden="1" ht="16.05" customFormat="1" customHeight="1" s="126">
      <c r="A791" s="125" t="n">
        <v>1043</v>
      </c>
      <c r="B791" s="125" t="n"/>
      <c r="C791" s="130" t="inlineStr">
        <is>
          <t>Краснодар</t>
        </is>
      </c>
      <c r="D791" s="130" t="inlineStr">
        <is>
          <t>Сочи</t>
        </is>
      </c>
      <c r="E791" s="130" t="n"/>
      <c r="F791" s="130" t="inlineStr">
        <is>
          <t>АЗС</t>
        </is>
      </c>
      <c r="G791" s="130" t="inlineStr">
        <is>
          <t>Роснефть</t>
        </is>
      </c>
      <c r="H791" s="131" t="n">
        <v>153</v>
      </c>
      <c r="I791" s="637" t="inlineStr">
        <is>
          <t>RN_153</t>
        </is>
      </c>
      <c r="J791" s="637" t="inlineStr">
        <is>
          <t>KDR_RN_0153</t>
        </is>
      </c>
      <c r="K791" s="640" t="n">
        <v>2</v>
      </c>
      <c r="L791" s="640" t="n">
        <v>1</v>
      </c>
      <c r="M791" s="623" t="inlineStr">
        <is>
          <t>Samsung 32" вертикальный</t>
        </is>
      </c>
      <c r="N791" s="640" t="n"/>
      <c r="O791" s="640">
        <f>IF(AND(N791=1,L791=1),K791,"")</f>
        <v/>
      </c>
      <c r="P791" s="642" t="inlineStr">
        <is>
          <t>Сочи, Адлерский район, просп. Олимпийский, д. 53</t>
        </is>
      </c>
      <c r="Q791" s="640" t="inlineStr">
        <is>
          <t>43.396609</t>
        </is>
      </c>
      <c r="R791" s="422" t="inlineStr">
        <is>
          <t>39.988407</t>
        </is>
      </c>
      <c r="S791" s="436" t="n"/>
      <c r="T791" s="436" t="n"/>
      <c r="U791" s="436" t="n"/>
      <c r="V791" s="438">
        <f>IF(AND(N791=1,U791=1),C791,"")</f>
        <v/>
      </c>
      <c r="W791" s="387" t="n"/>
      <c r="X791" s="387" t="n"/>
      <c r="Y791" s="387" t="n"/>
    </row>
    <row r="792" hidden="1" ht="16.05" customFormat="1" customHeight="1" s="126">
      <c r="A792" s="125" t="n">
        <v>1044</v>
      </c>
      <c r="B792" s="125" t="n"/>
      <c r="C792" s="130" t="inlineStr">
        <is>
          <t>Краснодар</t>
        </is>
      </c>
      <c r="D792" s="130" t="inlineStr">
        <is>
          <t>Сочи</t>
        </is>
      </c>
      <c r="E792" s="130" t="n"/>
      <c r="F792" s="130" t="inlineStr">
        <is>
          <t>АЗС</t>
        </is>
      </c>
      <c r="G792" s="130" t="inlineStr">
        <is>
          <t>Роснефть</t>
        </is>
      </c>
      <c r="H792" s="131" t="n">
        <v>154</v>
      </c>
      <c r="I792" s="637" t="inlineStr">
        <is>
          <t>RN_154</t>
        </is>
      </c>
      <c r="J792" s="637" t="inlineStr">
        <is>
          <t>KDR_RN_0154</t>
        </is>
      </c>
      <c r="K792" s="640" t="n">
        <v>1</v>
      </c>
      <c r="L792" s="640" t="n">
        <v>1</v>
      </c>
      <c r="M792" s="623" t="inlineStr">
        <is>
          <t>Samsung 32" вертикальный</t>
        </is>
      </c>
      <c r="N792" s="640" t="n"/>
      <c r="O792" s="640">
        <f>IF(AND(N792=1,L792=1),K792,"")</f>
        <v/>
      </c>
      <c r="P792" s="642" t="inlineStr">
        <is>
          <t>Сочи, Хостинский район,  Транспортная, д. 90</t>
        </is>
      </c>
      <c r="Q792" s="640" t="inlineStr">
        <is>
          <t>43.577666</t>
        </is>
      </c>
      <c r="R792" s="494" t="inlineStr">
        <is>
          <t>39.762869</t>
        </is>
      </c>
      <c r="S792" s="436" t="n"/>
      <c r="T792" s="436" t="n"/>
      <c r="U792" s="436" t="n"/>
      <c r="V792" s="438">
        <f>IF(AND(N792=1,U792=1),C792,"")</f>
        <v/>
      </c>
      <c r="W792" s="387" t="n"/>
      <c r="X792" s="387" t="n"/>
      <c r="Y792" s="387" t="n"/>
    </row>
    <row r="793" hidden="1" ht="16.05" customFormat="1" customHeight="1" s="126">
      <c r="A793" s="125" t="n">
        <v>1046</v>
      </c>
      <c r="B793" s="125" t="n"/>
      <c r="C793" s="130" t="inlineStr">
        <is>
          <t>Краснодар</t>
        </is>
      </c>
      <c r="D793" s="130" t="inlineStr">
        <is>
          <t>Сочи</t>
        </is>
      </c>
      <c r="E793" s="130" t="n"/>
      <c r="F793" s="130" t="inlineStr">
        <is>
          <t>АЗС</t>
        </is>
      </c>
      <c r="G793" s="130" t="inlineStr">
        <is>
          <t>Роснефть</t>
        </is>
      </c>
      <c r="H793" s="131" t="n">
        <v>62</v>
      </c>
      <c r="I793" s="637" t="inlineStr">
        <is>
          <t>RN_62</t>
        </is>
      </c>
      <c r="J793" s="637" t="inlineStr">
        <is>
          <t>KDR_RN_0062</t>
        </is>
      </c>
      <c r="K793" s="640" t="n">
        <v>1</v>
      </c>
      <c r="L793" s="640" t="n">
        <v>1</v>
      </c>
      <c r="M793" s="623" t="inlineStr">
        <is>
          <t>Samsung 32" вертикальный</t>
        </is>
      </c>
      <c r="N793" s="640" t="n"/>
      <c r="O793" s="640">
        <f>IF(AND(N793=1,L793=1),K793,"")</f>
        <v/>
      </c>
      <c r="P793" s="642" t="inlineStr">
        <is>
          <t>Сочи, п. Лазаревское,  Победы, 2 Б</t>
        </is>
      </c>
      <c r="Q793" s="640" t="inlineStr">
        <is>
          <t>43.905362</t>
        </is>
      </c>
      <c r="R793" s="494" t="inlineStr">
        <is>
          <t>39.338135</t>
        </is>
      </c>
      <c r="S793" s="436" t="n"/>
      <c r="T793" s="436" t="n"/>
      <c r="U793" s="436" t="n"/>
      <c r="V793" s="438">
        <f>IF(AND(N793=1,U793=1),C793,"")</f>
        <v/>
      </c>
      <c r="W793" s="387" t="n"/>
      <c r="X793" s="387" t="n"/>
      <c r="Y793" s="387" t="n"/>
    </row>
    <row r="794" hidden="1" ht="16.05" customFormat="1" customHeight="1" s="126">
      <c r="A794" s="125" t="n">
        <v>1047</v>
      </c>
      <c r="B794" s="125" t="n"/>
      <c r="C794" s="130" t="inlineStr">
        <is>
          <t>Краснодар</t>
        </is>
      </c>
      <c r="D794" s="130" t="inlineStr">
        <is>
          <t>Туапсе</t>
        </is>
      </c>
      <c r="E794" s="130" t="n"/>
      <c r="F794" s="130" t="inlineStr">
        <is>
          <t>АЗС</t>
        </is>
      </c>
      <c r="G794" s="130" t="inlineStr">
        <is>
          <t>Роснефть</t>
        </is>
      </c>
      <c r="H794" s="131" t="n">
        <v>60</v>
      </c>
      <c r="I794" s="637" t="inlineStr">
        <is>
          <t>RN_60</t>
        </is>
      </c>
      <c r="J794" s="637" t="inlineStr">
        <is>
          <t>KDR_RN_0060_t</t>
        </is>
      </c>
      <c r="K794" s="640" t="n">
        <v>1</v>
      </c>
      <c r="L794" s="640" t="n">
        <v>1</v>
      </c>
      <c r="M794" s="623" t="inlineStr">
        <is>
          <t>Samsung 32" вертикальный</t>
        </is>
      </c>
      <c r="N794" s="640" t="n"/>
      <c r="O794" s="640">
        <f>IF(AND(N794=1,L794=1),K794,"")</f>
        <v/>
      </c>
      <c r="P794" s="642" t="inlineStr">
        <is>
          <t>Туапсе, Сочинское шоссе, 176</t>
        </is>
      </c>
      <c r="Q794" s="640" t="inlineStr">
        <is>
          <t>44.0931052</t>
        </is>
      </c>
      <c r="R794" s="494" t="inlineStr">
        <is>
          <t>39.1166454</t>
        </is>
      </c>
      <c r="S794" s="436" t="n"/>
      <c r="T794" s="436" t="n"/>
      <c r="U794" s="438" t="n"/>
      <c r="V794" s="438">
        <f>IF(AND(N794=1,U794=1),C794,"")</f>
        <v/>
      </c>
      <c r="W794" s="387" t="n"/>
      <c r="X794" s="387" t="n"/>
      <c r="Y794" s="387" t="n"/>
    </row>
    <row r="795" hidden="1" ht="16.05" customFormat="1" customHeight="1" s="126">
      <c r="A795" s="125" t="n">
        <v>1032</v>
      </c>
      <c r="B795" s="125" t="n"/>
      <c r="C795" s="130" t="inlineStr">
        <is>
          <t>Краснодар</t>
        </is>
      </c>
      <c r="D795" s="130" t="inlineStr">
        <is>
          <t>Краснодар</t>
        </is>
      </c>
      <c r="E795" s="130" t="n"/>
      <c r="F795" s="130" t="inlineStr">
        <is>
          <t>АЗС</t>
        </is>
      </c>
      <c r="G795" s="130" t="inlineStr">
        <is>
          <t>Роснефть</t>
        </is>
      </c>
      <c r="H795" s="131" t="inlineStr">
        <is>
          <t>116/1</t>
        </is>
      </c>
      <c r="I795" s="637" t="inlineStr">
        <is>
          <t>RN_116/1</t>
        </is>
      </c>
      <c r="J795" s="637" t="inlineStr">
        <is>
          <t>KDR_RN_0116_1</t>
        </is>
      </c>
      <c r="K795" s="640" t="n">
        <v>2</v>
      </c>
      <c r="L795" s="640" t="n">
        <v>1</v>
      </c>
      <c r="M795" s="640" t="inlineStr">
        <is>
          <t>Samsung 32" вертикальный</t>
        </is>
      </c>
      <c r="N795" s="640" t="n"/>
      <c r="O795" s="640">
        <f>IF(AND(N795=1,L795=1),K795,"")</f>
        <v/>
      </c>
      <c r="P795" s="642" t="inlineStr">
        <is>
          <t>Краснодар, пг. Краснодар №27 (Краснодар, Краснодар-Кропоткин трасса 1 км 1/2)</t>
        </is>
      </c>
      <c r="Q795" s="640" t="n">
        <v>45.01212</v>
      </c>
      <c r="R795" s="422" t="n">
        <v>39.1359</v>
      </c>
      <c r="S795" s="436" t="n"/>
      <c r="T795" s="436" t="n"/>
      <c r="U795" s="438" t="n"/>
      <c r="V795" s="438">
        <f>IF(AND(N795=1,U795=1),C795,"")</f>
        <v/>
      </c>
      <c r="W795" s="387" t="n"/>
      <c r="X795" s="387" t="n"/>
      <c r="Y795" s="387" t="n"/>
    </row>
    <row r="796" hidden="1" ht="16.05" customFormat="1" customHeight="1" s="126">
      <c r="A796" s="125" t="n">
        <v>1048</v>
      </c>
      <c r="B796" s="125" t="n"/>
      <c r="C796" s="130" t="inlineStr">
        <is>
          <t>Краснодар</t>
        </is>
      </c>
      <c r="D796" s="130" t="inlineStr">
        <is>
          <t>Туапсе</t>
        </is>
      </c>
      <c r="E796" s="130" t="n"/>
      <c r="F796" s="130" t="inlineStr">
        <is>
          <t>АЗС</t>
        </is>
      </c>
      <c r="G796" s="130" t="inlineStr">
        <is>
          <t>Роснефть</t>
        </is>
      </c>
      <c r="H796" s="131" t="n">
        <v>147</v>
      </c>
      <c r="I796" s="637" t="inlineStr">
        <is>
          <t>RN_147</t>
        </is>
      </c>
      <c r="J796" s="637" t="inlineStr">
        <is>
          <t>KDR_RN_0147</t>
        </is>
      </c>
      <c r="K796" s="640" t="n">
        <v>1</v>
      </c>
      <c r="L796" s="640" t="n">
        <v>1</v>
      </c>
      <c r="M796" s="623" t="inlineStr">
        <is>
          <t>Samsung 32" вертикальный</t>
        </is>
      </c>
      <c r="N796" s="640" t="n"/>
      <c r="O796" s="640">
        <f>IF(AND(N796=1,L796=1),K796,"")</f>
        <v/>
      </c>
      <c r="P796" s="642" t="inlineStr">
        <is>
          <t>Туапсе, Говорова (улица Говорова, 1А)</t>
        </is>
      </c>
      <c r="Q796" s="640" t="inlineStr">
        <is>
          <t>44.092632</t>
        </is>
      </c>
      <c r="R796" s="494" t="inlineStr">
        <is>
          <t>39.116209</t>
        </is>
      </c>
      <c r="S796" s="436" t="n"/>
      <c r="T796" s="436" t="n"/>
      <c r="U796" s="436" t="n"/>
      <c r="V796" s="438">
        <f>IF(AND(N796=1,U796=1),C796,"")</f>
        <v/>
      </c>
      <c r="W796" s="387" t="n"/>
      <c r="X796" s="387" t="n"/>
      <c r="Y796" s="387" t="n"/>
    </row>
    <row r="797" hidden="1" ht="16.05" customFormat="1" customHeight="1" s="126">
      <c r="A797" s="125" t="n">
        <v>1049</v>
      </c>
      <c r="B797" s="125" t="n"/>
      <c r="C797" s="130" t="inlineStr">
        <is>
          <t>Краснодар</t>
        </is>
      </c>
      <c r="D797" s="130" t="inlineStr">
        <is>
          <t>Туапсинский район</t>
        </is>
      </c>
      <c r="E797" s="130" t="n"/>
      <c r="F797" s="130" t="inlineStr">
        <is>
          <t>АЗС</t>
        </is>
      </c>
      <c r="G797" s="130" t="inlineStr">
        <is>
          <t>Роснефть</t>
        </is>
      </c>
      <c r="H797" s="131" t="n">
        <v>114</v>
      </c>
      <c r="I797" s="637" t="inlineStr">
        <is>
          <t>RN_114</t>
        </is>
      </c>
      <c r="J797" s="637" t="inlineStr">
        <is>
          <t>KDR_RN_0114_t</t>
        </is>
      </c>
      <c r="K797" s="640" t="n">
        <v>1</v>
      </c>
      <c r="L797" s="640" t="n">
        <v>1</v>
      </c>
      <c r="M797" s="623" t="inlineStr">
        <is>
          <t>Samsung 32" вертикальный</t>
        </is>
      </c>
      <c r="N797" s="640" t="n"/>
      <c r="O797" s="640">
        <f>IF(AND(N797=1,L797=1),K797,"")</f>
        <v/>
      </c>
      <c r="P797" s="642" t="inlineStr">
        <is>
          <t>Туапсинский район  п.Агой, а/д М-27 "Джубга-Сочи" 51 км+400 м</t>
        </is>
      </c>
      <c r="Q797" s="640" t="inlineStr">
        <is>
          <t>44.141863</t>
        </is>
      </c>
      <c r="R797" s="494" t="inlineStr">
        <is>
          <t>39.048122</t>
        </is>
      </c>
      <c r="S797" s="436" t="n"/>
      <c r="T797" s="436" t="n"/>
      <c r="U797" s="436" t="n"/>
      <c r="V797" s="438">
        <f>IF(AND(N797=1,U797=1),C797,"")</f>
        <v/>
      </c>
      <c r="W797" s="387" t="n"/>
      <c r="X797" s="387" t="n"/>
      <c r="Y797" s="387" t="n"/>
    </row>
    <row r="798" hidden="1" ht="16.05" customFormat="1" customHeight="1" s="126">
      <c r="A798" s="125" t="n">
        <v>1023</v>
      </c>
      <c r="B798" s="125" t="n"/>
      <c r="C798" s="130" t="inlineStr">
        <is>
          <t>Краснодар</t>
        </is>
      </c>
      <c r="D798" s="130" t="inlineStr">
        <is>
          <t>Краснодар</t>
        </is>
      </c>
      <c r="E798" s="130" t="n"/>
      <c r="F798" s="130" t="inlineStr">
        <is>
          <t>АЗС</t>
        </is>
      </c>
      <c r="G798" s="130" t="inlineStr">
        <is>
          <t>Роснефть</t>
        </is>
      </c>
      <c r="H798" s="131" t="n">
        <v>119</v>
      </c>
      <c r="I798" s="637" t="inlineStr">
        <is>
          <t>RN_119</t>
        </is>
      </c>
      <c r="J798" s="637" t="inlineStr">
        <is>
          <t>KDR_RN_0119</t>
        </is>
      </c>
      <c r="K798" s="640" t="n">
        <v>2</v>
      </c>
      <c r="L798" s="640" t="n">
        <v>1</v>
      </c>
      <c r="M798" s="640" t="inlineStr">
        <is>
          <t>Samsung 32" вертикальный</t>
        </is>
      </c>
      <c r="N798" s="640" t="n"/>
      <c r="O798" s="640">
        <f>IF(AND(N798=1,L798=1),K798,"")</f>
        <v/>
      </c>
      <c r="P798" s="642" t="inlineStr">
        <is>
          <t>Краснодар,  Московская, 89</t>
        </is>
      </c>
      <c r="Q798" s="640" t="inlineStr">
        <is>
          <t>45.079269</t>
        </is>
      </c>
      <c r="R798" s="422" t="inlineStr">
        <is>
          <t>39.000722</t>
        </is>
      </c>
      <c r="S798" s="436" t="n"/>
      <c r="T798" s="436" t="n"/>
      <c r="U798" s="436" t="n"/>
      <c r="V798" s="438">
        <f>IF(AND(N798=1,U798=1),C798,"")</f>
        <v/>
      </c>
      <c r="W798" s="387" t="n"/>
      <c r="X798" s="387" t="n"/>
      <c r="Y798" s="387" t="n"/>
    </row>
    <row r="799" hidden="1" ht="16.05" customFormat="1" customHeight="1" s="126">
      <c r="A799" s="125" t="n">
        <v>1050</v>
      </c>
      <c r="B799" s="125" t="n"/>
      <c r="C799" s="130" t="inlineStr">
        <is>
          <t>Краснодар</t>
        </is>
      </c>
      <c r="D799" s="130" t="inlineStr">
        <is>
          <t>Туапсинский район</t>
        </is>
      </c>
      <c r="E799" s="130" t="n"/>
      <c r="F799" s="130" t="inlineStr">
        <is>
          <t>АЗС</t>
        </is>
      </c>
      <c r="G799" s="130" t="inlineStr">
        <is>
          <t>Роснефть</t>
        </is>
      </c>
      <c r="H799" s="131" t="n">
        <v>9</v>
      </c>
      <c r="I799" s="637" t="inlineStr">
        <is>
          <t>RN_9</t>
        </is>
      </c>
      <c r="J799" s="637" t="inlineStr">
        <is>
          <t>KDR_RN_0009_t</t>
        </is>
      </c>
      <c r="K799" s="640" t="n">
        <v>1</v>
      </c>
      <c r="L799" s="640" t="n">
        <v>1</v>
      </c>
      <c r="M799" s="623" t="inlineStr">
        <is>
          <t>Samsung 32" вертикальный</t>
        </is>
      </c>
      <c r="N799" s="640" t="n"/>
      <c r="O799" s="640">
        <f>IF(AND(N799=1,L799=1),K799,"")</f>
        <v/>
      </c>
      <c r="P799" s="642" t="inlineStr">
        <is>
          <t xml:space="preserve">Туапсинский район, а/д "Туапсе-Майокоп" 21 км </t>
        </is>
      </c>
      <c r="Q799" s="640" t="inlineStr">
        <is>
          <t>44.19199</t>
        </is>
      </c>
      <c r="R799" s="494" t="inlineStr">
        <is>
          <t>39.242106</t>
        </is>
      </c>
      <c r="S799" s="436" t="n"/>
      <c r="T799" s="436" t="n"/>
      <c r="U799" s="436" t="n"/>
      <c r="V799" s="438">
        <f>IF(AND(N799=1,U799=1),C799,"")</f>
        <v/>
      </c>
      <c r="W799" s="387" t="n"/>
      <c r="X799" s="387" t="n"/>
      <c r="Y799" s="387" t="n"/>
    </row>
    <row r="800" hidden="1" ht="16.05" customFormat="1" customHeight="1" s="126">
      <c r="A800" s="125" t="n">
        <v>1051</v>
      </c>
      <c r="B800" s="125" t="n"/>
      <c r="C800" s="130" t="inlineStr">
        <is>
          <t>Краснодар</t>
        </is>
      </c>
      <c r="D800" s="130" t="inlineStr">
        <is>
          <t>Туапсе</t>
        </is>
      </c>
      <c r="E800" s="130" t="n"/>
      <c r="F800" s="130" t="inlineStr">
        <is>
          <t>АЗС</t>
        </is>
      </c>
      <c r="G800" s="130" t="inlineStr">
        <is>
          <t>Роснефть</t>
        </is>
      </c>
      <c r="H800" s="131" t="n">
        <v>59</v>
      </c>
      <c r="I800" s="637" t="inlineStr">
        <is>
          <t>RN_59_T</t>
        </is>
      </c>
      <c r="J800" s="637" t="inlineStr">
        <is>
          <t>KDR_RN_0059_t</t>
        </is>
      </c>
      <c r="K800" s="640" t="n">
        <v>1</v>
      </c>
      <c r="L800" s="640" t="n">
        <v>1</v>
      </c>
      <c r="M800" s="623" t="inlineStr">
        <is>
          <t>Samsung 32" вертикальный</t>
        </is>
      </c>
      <c r="N800" s="640" t="n"/>
      <c r="O800" s="640">
        <f>IF(AND(N800=1,L800=1),K800,"")</f>
        <v/>
      </c>
      <c r="P800" s="642" t="inlineStr">
        <is>
          <t xml:space="preserve">Туапсе, Бондаренко, 14 </t>
        </is>
      </c>
      <c r="Q800" s="640" t="n">
        <v>44.114183</v>
      </c>
      <c r="R800" s="494" t="n">
        <v>39.065391</v>
      </c>
      <c r="S800" s="436" t="n"/>
      <c r="T800" s="436" t="n"/>
      <c r="U800" s="436" t="n"/>
      <c r="V800" s="438">
        <f>IF(AND(N800=1,U800=1),C800,"")</f>
        <v/>
      </c>
      <c r="W800" s="387" t="n"/>
      <c r="X800" s="387" t="n"/>
      <c r="Y800" s="387" t="n"/>
    </row>
    <row r="801" hidden="1" ht="16.05" customFormat="1" customHeight="1" s="126">
      <c r="A801" s="125" t="n">
        <v>1052</v>
      </c>
      <c r="B801" s="125" t="n"/>
      <c r="C801" s="130" t="inlineStr">
        <is>
          <t>Краснодар</t>
        </is>
      </c>
      <c r="D801" s="130" t="inlineStr">
        <is>
          <t>Геленджик</t>
        </is>
      </c>
      <c r="E801" s="130" t="n"/>
      <c r="F801" s="130" t="inlineStr">
        <is>
          <t>АЗС</t>
        </is>
      </c>
      <c r="G801" s="130" t="inlineStr">
        <is>
          <t>Роснефть</t>
        </is>
      </c>
      <c r="H801" s="131" t="n">
        <v>61</v>
      </c>
      <c r="I801" s="637" t="inlineStr">
        <is>
          <t>RN_61</t>
        </is>
      </c>
      <c r="J801" s="637" t="inlineStr">
        <is>
          <t>KDR_RN_0061</t>
        </is>
      </c>
      <c r="K801" s="640" t="n">
        <v>1</v>
      </c>
      <c r="L801" s="640" t="n">
        <v>1</v>
      </c>
      <c r="M801" s="623" t="inlineStr">
        <is>
          <t>Samsung 32" вертикальный</t>
        </is>
      </c>
      <c r="N801" s="640" t="n"/>
      <c r="O801" s="640">
        <f>IF(AND(N801=1,L801=1),K801,"")</f>
        <v/>
      </c>
      <c r="P801" s="642" t="inlineStr">
        <is>
          <t>Геленджик,  Туристическая, 2</t>
        </is>
      </c>
      <c r="Q801" s="640" t="inlineStr">
        <is>
          <t>44.591093</t>
        </is>
      </c>
      <c r="R801" s="494" t="inlineStr">
        <is>
          <t>38.049428</t>
        </is>
      </c>
      <c r="S801" s="436" t="n"/>
      <c r="T801" s="436" t="n"/>
      <c r="U801" s="436" t="n"/>
      <c r="V801" s="438">
        <f>IF(AND(N801=1,U801=1),C801,"")</f>
        <v/>
      </c>
      <c r="W801" s="387" t="n"/>
      <c r="X801" s="387" t="n"/>
      <c r="Y801" s="387" t="n"/>
    </row>
    <row r="802" hidden="1" ht="16.05" customFormat="1" customHeight="1" s="126">
      <c r="A802" s="125" t="n">
        <v>1054</v>
      </c>
      <c r="B802" s="125" t="n"/>
      <c r="C802" s="130" t="inlineStr">
        <is>
          <t>Самара</t>
        </is>
      </c>
      <c r="D802" s="130" t="inlineStr">
        <is>
          <t>Самара</t>
        </is>
      </c>
      <c r="E802" s="130" t="n"/>
      <c r="F802" s="130" t="inlineStr">
        <is>
          <t>АЗС</t>
        </is>
      </c>
      <c r="G802" s="130" t="inlineStr">
        <is>
          <t>Роснефть</t>
        </is>
      </c>
      <c r="H802" s="131" t="inlineStr">
        <is>
          <t>АЗК № 5</t>
        </is>
      </c>
      <c r="I802" s="637" t="inlineStr">
        <is>
          <t>RN_5</t>
        </is>
      </c>
      <c r="J802" s="637" t="inlineStr">
        <is>
          <t>SMR_RN_0005</t>
        </is>
      </c>
      <c r="K802" s="640" t="n">
        <v>1</v>
      </c>
      <c r="L802" s="640" t="n">
        <v>1</v>
      </c>
      <c r="M802" s="623" t="inlineStr">
        <is>
          <t>Samsung 32" вертикальный</t>
        </is>
      </c>
      <c r="N802" s="640" t="n"/>
      <c r="O802" s="640">
        <f>IF(AND(N802=1,L802=1),K802,"")</f>
        <v/>
      </c>
      <c r="P802" s="642" t="inlineStr">
        <is>
          <t>Самара, Ленинский район, Буянова, д.14 б</t>
        </is>
      </c>
      <c r="Q802" s="640" t="inlineStr">
        <is>
          <t>53.190369</t>
        </is>
      </c>
      <c r="R802" s="494" t="inlineStr">
        <is>
          <t>50.115392</t>
        </is>
      </c>
      <c r="S802" s="436" t="n"/>
      <c r="T802" s="436" t="n"/>
      <c r="U802" s="436" t="n"/>
      <c r="V802" s="438">
        <f>IF(AND(N802=1,U802=1),C802,"")</f>
        <v/>
      </c>
      <c r="W802" s="387" t="n"/>
      <c r="X802" s="387" t="n"/>
      <c r="Y802" s="387" t="n"/>
    </row>
    <row r="803" hidden="1" ht="16.05" customFormat="1" customHeight="1" s="126">
      <c r="A803" s="125" t="n">
        <v>1055</v>
      </c>
      <c r="B803" s="125" t="n"/>
      <c r="C803" s="130" t="inlineStr">
        <is>
          <t>Самара</t>
        </is>
      </c>
      <c r="D803" s="130" t="inlineStr">
        <is>
          <t>Новокуйбышевск</t>
        </is>
      </c>
      <c r="E803" s="130" t="n"/>
      <c r="F803" s="130" t="inlineStr">
        <is>
          <t>АЗС</t>
        </is>
      </c>
      <c r="G803" s="130" t="inlineStr">
        <is>
          <t>Роснефть</t>
        </is>
      </c>
      <c r="H803" s="131" t="inlineStr">
        <is>
          <t>АЗК № 6</t>
        </is>
      </c>
      <c r="I803" s="637" t="inlineStr">
        <is>
          <t>RN_6</t>
        </is>
      </c>
      <c r="J803" s="637" t="inlineStr">
        <is>
          <t>SMR_RN_0006</t>
        </is>
      </c>
      <c r="K803" s="640" t="n">
        <v>1</v>
      </c>
      <c r="L803" s="640" t="n">
        <v>1</v>
      </c>
      <c r="M803" s="623" t="inlineStr">
        <is>
          <t>Samsung 32" вертикальный</t>
        </is>
      </c>
      <c r="N803" s="640" t="n"/>
      <c r="O803" s="640">
        <f>IF(AND(N803=1,L803=1),K803,"")</f>
        <v/>
      </c>
      <c r="P803" s="642" t="inlineStr">
        <is>
          <t>Новокуйбышевск, Гагарина, д.2</t>
        </is>
      </c>
      <c r="Q803" s="640" t="inlineStr">
        <is>
          <t>53.090131</t>
        </is>
      </c>
      <c r="R803" s="494" t="inlineStr">
        <is>
          <t>49.94286</t>
        </is>
      </c>
      <c r="S803" s="436" t="n"/>
      <c r="T803" s="436" t="n"/>
      <c r="U803" s="436" t="n"/>
      <c r="V803" s="438">
        <f>IF(AND(N803=1,U803=1),C803,"")</f>
        <v/>
      </c>
      <c r="W803" s="387" t="n"/>
      <c r="X803" s="387" t="n"/>
      <c r="Y803" s="387" t="n"/>
    </row>
    <row r="804" hidden="1" ht="16.05" customFormat="1" customHeight="1" s="126">
      <c r="A804" s="125" t="n">
        <v>1056</v>
      </c>
      <c r="B804" s="125" t="n"/>
      <c r="C804" s="130" t="inlineStr">
        <is>
          <t>Самара</t>
        </is>
      </c>
      <c r="D804" s="130" t="inlineStr">
        <is>
          <t>Самара</t>
        </is>
      </c>
      <c r="E804" s="130" t="n"/>
      <c r="F804" s="130" t="inlineStr">
        <is>
          <t>АЗС</t>
        </is>
      </c>
      <c r="G804" s="130" t="inlineStr">
        <is>
          <t>Роснефть</t>
        </is>
      </c>
      <c r="H804" s="131" t="inlineStr">
        <is>
          <t>АЗК № 7</t>
        </is>
      </c>
      <c r="I804" s="637" t="inlineStr">
        <is>
          <t>RN_7</t>
        </is>
      </c>
      <c r="J804" s="637" t="inlineStr">
        <is>
          <t>SMR_RN_0007</t>
        </is>
      </c>
      <c r="K804" s="640" t="n">
        <v>1</v>
      </c>
      <c r="L804" s="640" t="n">
        <v>0</v>
      </c>
      <c r="M804" s="623" t="inlineStr">
        <is>
          <t>Samsung 32" вертикальный</t>
        </is>
      </c>
      <c r="N804" s="640" t="n"/>
      <c r="O804" s="640">
        <f>IF(AND(N804=1,L804=1),K804,"")</f>
        <v/>
      </c>
      <c r="P804" s="642" t="inlineStr">
        <is>
          <t>Самара, Советский район, Гагарина, д.177</t>
        </is>
      </c>
      <c r="Q804" s="640" t="inlineStr">
        <is>
          <t>53.202536</t>
        </is>
      </c>
      <c r="R804" s="422" t="inlineStr">
        <is>
          <t>50.238246</t>
        </is>
      </c>
      <c r="S804" s="436" t="n"/>
      <c r="T804" s="436" t="n"/>
      <c r="U804" s="436" t="n"/>
      <c r="V804" s="438">
        <f>IF(AND(N804=1,U804=1),C804,"")</f>
        <v/>
      </c>
      <c r="W804" s="387" t="n"/>
      <c r="X804" s="387" t="n"/>
      <c r="Y804" s="387" t="n"/>
    </row>
    <row r="805" hidden="1" ht="16.05" customFormat="1" customHeight="1" s="126">
      <c r="A805" s="125" t="n">
        <v>1053</v>
      </c>
      <c r="B805" s="125" t="n"/>
      <c r="C805" s="130" t="inlineStr">
        <is>
          <t>Самара</t>
        </is>
      </c>
      <c r="D805" s="130" t="inlineStr">
        <is>
          <t>Самара</t>
        </is>
      </c>
      <c r="E805" s="130" t="n"/>
      <c r="F805" s="130" t="inlineStr">
        <is>
          <t>АЗС</t>
        </is>
      </c>
      <c r="G805" s="130" t="inlineStr">
        <is>
          <t>Роснефть</t>
        </is>
      </c>
      <c r="H805" s="131" t="inlineStr">
        <is>
          <t>АГЗС № 1</t>
        </is>
      </c>
      <c r="I805" s="637" t="inlineStr">
        <is>
          <t>RN_1</t>
        </is>
      </c>
      <c r="J805" s="637" t="inlineStr">
        <is>
          <t>SMR_RN_0001</t>
        </is>
      </c>
      <c r="K805" s="640" t="n">
        <v>2</v>
      </c>
      <c r="L805" s="640" t="n">
        <v>1</v>
      </c>
      <c r="M805" s="623" t="inlineStr">
        <is>
          <t>Samsung 32" вертикальный</t>
        </is>
      </c>
      <c r="N805" s="640" t="n"/>
      <c r="O805" s="640">
        <f>IF(AND(N805=1,L805=1),K805,"")</f>
        <v/>
      </c>
      <c r="P805" s="642" t="inlineStr">
        <is>
          <t>Самара  Промышленности, 118А</t>
        </is>
      </c>
      <c r="Q805" s="640" t="inlineStr">
        <is>
          <t>53.180456</t>
        </is>
      </c>
      <c r="R805" s="494" t="inlineStr">
        <is>
          <t>50.193767</t>
        </is>
      </c>
      <c r="S805" s="436" t="n"/>
      <c r="T805" s="436" t="n"/>
      <c r="U805" s="436" t="n"/>
      <c r="V805" s="438">
        <f>IF(AND(N805=1,U805=1),C805,"")</f>
        <v/>
      </c>
      <c r="W805" s="387" t="n"/>
      <c r="X805" s="387" t="n"/>
      <c r="Y805" s="387" t="n"/>
    </row>
    <row r="806" hidden="1" ht="16.05" customFormat="1" customHeight="1" s="126">
      <c r="A806" s="125" t="n">
        <v>1058</v>
      </c>
      <c r="B806" s="125" t="n"/>
      <c r="C806" s="130" t="inlineStr">
        <is>
          <t>Самара</t>
        </is>
      </c>
      <c r="D806" s="130" t="inlineStr">
        <is>
          <t>Самара</t>
        </is>
      </c>
      <c r="E806" s="130" t="n"/>
      <c r="F806" s="130" t="inlineStr">
        <is>
          <t>АЗС</t>
        </is>
      </c>
      <c r="G806" s="130" t="inlineStr">
        <is>
          <t>Роснефть</t>
        </is>
      </c>
      <c r="H806" s="131" t="inlineStr">
        <is>
          <t>АЗК № 29</t>
        </is>
      </c>
      <c r="I806" s="637" t="inlineStr">
        <is>
          <t>RN_29</t>
        </is>
      </c>
      <c r="J806" s="637" t="inlineStr">
        <is>
          <t>SMR_RN_0029</t>
        </is>
      </c>
      <c r="K806" s="640" t="n">
        <v>2</v>
      </c>
      <c r="L806" s="640" t="n">
        <v>1</v>
      </c>
      <c r="M806" s="623" t="inlineStr">
        <is>
          <t>Samsung 32" вертикальный</t>
        </is>
      </c>
      <c r="N806" s="640" t="n"/>
      <c r="O806" s="640">
        <f>IF(AND(N806=1,L806=1),K806,"")</f>
        <v/>
      </c>
      <c r="P806" s="642" t="inlineStr">
        <is>
          <t>Самара, Октябрьский район, Московское шоссе, д.35 а</t>
        </is>
      </c>
      <c r="Q806" s="640" t="inlineStr">
        <is>
          <t>53.213781</t>
        </is>
      </c>
      <c r="R806" s="494" t="inlineStr">
        <is>
          <t>50.183383</t>
        </is>
      </c>
      <c r="S806" s="436" t="n"/>
      <c r="T806" s="436" t="n"/>
      <c r="U806" s="325" t="n"/>
      <c r="V806" s="438">
        <f>IF(AND(N806=1,U806=1),C806,"")</f>
        <v/>
      </c>
      <c r="W806" s="387" t="n"/>
      <c r="X806" s="387" t="n"/>
      <c r="Y806" s="387" t="n"/>
    </row>
    <row r="807" hidden="1" ht="16.05" customFormat="1" customHeight="1" s="126">
      <c r="A807" s="125" t="n">
        <v>1060</v>
      </c>
      <c r="B807" s="125" t="n"/>
      <c r="C807" s="130" t="inlineStr">
        <is>
          <t>Самара</t>
        </is>
      </c>
      <c r="D807" s="130" t="inlineStr">
        <is>
          <t>Новокуйбышевск</t>
        </is>
      </c>
      <c r="E807" s="130" t="n"/>
      <c r="F807" s="130" t="inlineStr">
        <is>
          <t>АЗС</t>
        </is>
      </c>
      <c r="G807" s="130" t="inlineStr">
        <is>
          <t>Роснефть</t>
        </is>
      </c>
      <c r="H807" s="131" t="inlineStr">
        <is>
          <t>АЗК № 79</t>
        </is>
      </c>
      <c r="I807" s="637" t="inlineStr">
        <is>
          <t>RN_79</t>
        </is>
      </c>
      <c r="J807" s="637" t="inlineStr">
        <is>
          <t>SMR_RN_0079</t>
        </is>
      </c>
      <c r="K807" s="640" t="n">
        <v>1</v>
      </c>
      <c r="L807" s="640" t="n">
        <v>1</v>
      </c>
      <c r="M807" s="623" t="inlineStr">
        <is>
          <t>Samsung 32" вертикальный</t>
        </is>
      </c>
      <c r="N807" s="640" t="n"/>
      <c r="O807" s="640">
        <f>IF(AND(N807=1,L807=1),K807,"")</f>
        <v/>
      </c>
      <c r="P807" s="642" t="inlineStr">
        <is>
          <t>Новокуйбышевск, в районе административного корпуса ОАО "НК НПЗ" (улица Осипенко, 10)</t>
        </is>
      </c>
      <c r="Q807" s="640" t="inlineStr">
        <is>
          <t>53.108397</t>
        </is>
      </c>
      <c r="R807" s="494" t="inlineStr">
        <is>
          <t>49.926981</t>
        </is>
      </c>
      <c r="S807" s="436" t="n"/>
      <c r="T807" s="436" t="n"/>
      <c r="U807" s="438" t="n"/>
      <c r="V807" s="438">
        <f>IF(AND(N807=1,U807=1),C807,"")</f>
        <v/>
      </c>
      <c r="W807" s="387" t="n"/>
      <c r="X807" s="387" t="n"/>
      <c r="Y807" s="387" t="n"/>
    </row>
    <row r="808" hidden="1" ht="16.05" customFormat="1" customHeight="1" s="126">
      <c r="A808" s="125" t="n">
        <v>1064</v>
      </c>
      <c r="B808" s="125" t="n"/>
      <c r="C808" s="130" t="inlineStr">
        <is>
          <t>Самара</t>
        </is>
      </c>
      <c r="D808" s="130" t="inlineStr">
        <is>
          <t>Самара</t>
        </is>
      </c>
      <c r="E808" s="130" t="n"/>
      <c r="F808" s="130" t="inlineStr">
        <is>
          <t>АЗС</t>
        </is>
      </c>
      <c r="G808" s="130" t="inlineStr">
        <is>
          <t>Роснефть</t>
        </is>
      </c>
      <c r="H808" s="131" t="inlineStr">
        <is>
          <t>АЗК № 108</t>
        </is>
      </c>
      <c r="I808" s="637" t="inlineStr">
        <is>
          <t>RN_108</t>
        </is>
      </c>
      <c r="J808" s="637" t="inlineStr">
        <is>
          <t>SMR_RN_0108</t>
        </is>
      </c>
      <c r="K808" s="640" t="n">
        <v>2</v>
      </c>
      <c r="L808" s="640" t="n">
        <v>1</v>
      </c>
      <c r="M808" s="623" t="inlineStr">
        <is>
          <t>Samsung 32" вертикальный</t>
        </is>
      </c>
      <c r="N808" s="640" t="n"/>
      <c r="O808" s="640">
        <f>IF(AND(N808=1,L808=1),K808,"")</f>
        <v/>
      </c>
      <c r="P808" s="642" t="inlineStr">
        <is>
          <t>Самара, Красноглинский район, Жигули, д.62</t>
        </is>
      </c>
      <c r="Q808" s="640" t="inlineStr">
        <is>
          <t>53.38598</t>
        </is>
      </c>
      <c r="R808" s="422" t="inlineStr">
        <is>
          <t>50.163497</t>
        </is>
      </c>
      <c r="S808" s="436" t="n"/>
      <c r="T808" s="436" t="n"/>
      <c r="U808" s="438" t="n"/>
      <c r="V808" s="438">
        <f>IF(AND(N808=1,U808=1),C808,"")</f>
        <v/>
      </c>
      <c r="W808" s="387" t="n"/>
      <c r="X808" s="387" t="n"/>
      <c r="Y808" s="387" t="n"/>
    </row>
    <row r="809" hidden="1" ht="16.05" customFormat="1" customHeight="1" s="126">
      <c r="A809" s="125" t="n">
        <v>1057</v>
      </c>
      <c r="B809" s="125" t="n"/>
      <c r="C809" s="130" t="inlineStr">
        <is>
          <t>Самара</t>
        </is>
      </c>
      <c r="D809" s="130" t="inlineStr">
        <is>
          <t>Самара</t>
        </is>
      </c>
      <c r="E809" s="130" t="n"/>
      <c r="F809" s="130" t="inlineStr">
        <is>
          <t>АЗС</t>
        </is>
      </c>
      <c r="G809" s="130" t="inlineStr">
        <is>
          <t>Роснефть</t>
        </is>
      </c>
      <c r="H809" s="131" t="inlineStr">
        <is>
          <t>АЗК № 28</t>
        </is>
      </c>
      <c r="I809" s="637" t="inlineStr">
        <is>
          <t>RN_28</t>
        </is>
      </c>
      <c r="J809" s="637" t="inlineStr">
        <is>
          <t>SMR_RN_0028</t>
        </is>
      </c>
      <c r="K809" s="640" t="n">
        <v>2</v>
      </c>
      <c r="L809" s="640" t="n">
        <v>1</v>
      </c>
      <c r="M809" s="623" t="inlineStr">
        <is>
          <t>Samsung 32" вертикальный</t>
        </is>
      </c>
      <c r="N809" s="640" t="n"/>
      <c r="O809" s="640">
        <f>IF(AND(N809=1,L809=1),K809,"")</f>
        <v/>
      </c>
      <c r="P809" s="642" t="inlineStr">
        <is>
          <t>Самара, Промышленный район, Заводское шоссе, д.29, строение 4</t>
        </is>
      </c>
      <c r="Q809" s="640" t="inlineStr">
        <is>
          <t>53.202976</t>
        </is>
      </c>
      <c r="R809" s="494" t="inlineStr">
        <is>
          <t>50.267277</t>
        </is>
      </c>
      <c r="S809" s="436" t="n"/>
      <c r="T809" s="436" t="n"/>
      <c r="U809" s="438" t="n"/>
      <c r="V809" s="438">
        <f>IF(AND(N809=1,U809=1),C809,"")</f>
        <v/>
      </c>
      <c r="W809" s="387" t="n"/>
      <c r="X809" s="387" t="n"/>
      <c r="Y809" s="387" t="n"/>
    </row>
    <row r="810" hidden="1" ht="16.05" customFormat="1" customHeight="1" s="126">
      <c r="A810" s="125" t="n">
        <v>1065</v>
      </c>
      <c r="B810" s="125" t="n"/>
      <c r="C810" s="130" t="inlineStr">
        <is>
          <t>Самара</t>
        </is>
      </c>
      <c r="D810" s="130" t="inlineStr">
        <is>
          <t>Самарская область</t>
        </is>
      </c>
      <c r="E810" s="130" t="n"/>
      <c r="F810" s="130" t="inlineStr">
        <is>
          <t>АЗС</t>
        </is>
      </c>
      <c r="G810" s="130" t="inlineStr">
        <is>
          <t>Роснефть</t>
        </is>
      </c>
      <c r="H810" s="131" t="inlineStr">
        <is>
          <t>АЗК № 113</t>
        </is>
      </c>
      <c r="I810" s="637" t="inlineStr">
        <is>
          <t>RN_113</t>
        </is>
      </c>
      <c r="J810" s="637" t="inlineStr">
        <is>
          <t>SMR_RN_0113</t>
        </is>
      </c>
      <c r="K810" s="640" t="n">
        <v>1</v>
      </c>
      <c r="L810" s="640" t="n">
        <v>1</v>
      </c>
      <c r="M810" s="623" t="inlineStr">
        <is>
          <t>Samsung 32" вертикальный</t>
        </is>
      </c>
      <c r="N810" s="640" t="n"/>
      <c r="O810" s="640">
        <f>IF(AND(N810=1,L810=1),K810,"")</f>
        <v/>
      </c>
      <c r="P810" s="642" t="inlineStr">
        <is>
          <t>Самарская область, Ставропольский район, трасса М-5 Москва-Челябинск, 961 км (Сызранская улица, 34А)</t>
        </is>
      </c>
      <c r="Q810" s="640" t="inlineStr">
        <is>
          <t>53.37184</t>
        </is>
      </c>
      <c r="R810" s="494" t="inlineStr">
        <is>
          <t>49.457613</t>
        </is>
      </c>
      <c r="S810" s="436" t="n"/>
      <c r="T810" s="436" t="n"/>
      <c r="U810" s="438" t="n"/>
      <c r="V810" s="438">
        <f>IF(AND(N810=1,U810=1),C810,"")</f>
        <v/>
      </c>
      <c r="W810" s="387" t="n"/>
      <c r="X810" s="387" t="n"/>
      <c r="Y810" s="387" t="n"/>
    </row>
    <row r="811" hidden="1" ht="16.05" customFormat="1" customHeight="1" s="126">
      <c r="A811" s="125" t="n">
        <v>1059</v>
      </c>
      <c r="B811" s="125" t="n"/>
      <c r="C811" s="130" t="inlineStr">
        <is>
          <t>Самара</t>
        </is>
      </c>
      <c r="D811" s="130" t="inlineStr">
        <is>
          <t>Самара</t>
        </is>
      </c>
      <c r="E811" s="130" t="n"/>
      <c r="F811" s="130" t="inlineStr">
        <is>
          <t>АЗС</t>
        </is>
      </c>
      <c r="G811" s="130" t="inlineStr">
        <is>
          <t>Роснефть</t>
        </is>
      </c>
      <c r="H811" s="131" t="inlineStr">
        <is>
          <t>АЗК № 50</t>
        </is>
      </c>
      <c r="I811" s="637" t="inlineStr">
        <is>
          <t>RN_50</t>
        </is>
      </c>
      <c r="J811" s="637" t="inlineStr">
        <is>
          <t>SMR_RN_0050</t>
        </is>
      </c>
      <c r="K811" s="640" t="n">
        <v>2</v>
      </c>
      <c r="L811" s="640" t="n">
        <v>1</v>
      </c>
      <c r="M811" s="623" t="inlineStr">
        <is>
          <t>Samsung 32" вертикальный</t>
        </is>
      </c>
      <c r="N811" s="640" t="n"/>
      <c r="O811" s="640">
        <f>IF(AND(N811=1,L811=1),K811,"")</f>
        <v/>
      </c>
      <c r="P811" s="642" t="inlineStr">
        <is>
          <t>Самара, Кировский район, Зубчаниновское шоссе, д.149</t>
        </is>
      </c>
      <c r="Q811" s="640" t="inlineStr">
        <is>
          <t>53.22893</t>
        </is>
      </c>
      <c r="R811" s="422" t="inlineStr">
        <is>
          <t>50.298576</t>
        </is>
      </c>
      <c r="S811" s="436" t="n"/>
      <c r="T811" s="436" t="n"/>
      <c r="U811" s="438" t="n"/>
      <c r="V811" s="438">
        <f>IF(AND(N811=1,U811=1),C811,"")</f>
        <v/>
      </c>
      <c r="W811" s="387" t="n"/>
      <c r="X811" s="387" t="n"/>
      <c r="Y811" s="387" t="n"/>
    </row>
    <row r="812" hidden="1" ht="16.05" customFormat="1" customHeight="1" s="126">
      <c r="A812" s="125" t="n">
        <v>1067</v>
      </c>
      <c r="B812" s="125" t="n"/>
      <c r="C812" s="130" t="inlineStr">
        <is>
          <t>Самара</t>
        </is>
      </c>
      <c r="D812" s="130" t="inlineStr">
        <is>
          <t>Самара</t>
        </is>
      </c>
      <c r="E812" s="130" t="n"/>
      <c r="F812" s="130" t="inlineStr">
        <is>
          <t>АЗС</t>
        </is>
      </c>
      <c r="G812" s="130" t="inlineStr">
        <is>
          <t>Роснефть</t>
        </is>
      </c>
      <c r="H812" s="131" t="inlineStr">
        <is>
          <t>АЗК № 116</t>
        </is>
      </c>
      <c r="I812" s="637" t="inlineStr">
        <is>
          <t>RN_116</t>
        </is>
      </c>
      <c r="J812" s="637" t="inlineStr">
        <is>
          <t>SMR_RN_0116</t>
        </is>
      </c>
      <c r="K812" s="640" t="n">
        <v>2</v>
      </c>
      <c r="L812" s="640" t="n">
        <v>1</v>
      </c>
      <c r="M812" s="623" t="inlineStr">
        <is>
          <t>Samsung 32" вертикальный</t>
        </is>
      </c>
      <c r="N812" s="640" t="n"/>
      <c r="O812" s="640">
        <f>IF(AND(N812=1,L812=1),K812,"")</f>
        <v/>
      </c>
      <c r="P812" s="642" t="inlineStr">
        <is>
          <t>Самара, Октябрьский район, Московское шоссе, д.24 а</t>
        </is>
      </c>
      <c r="Q812" s="640" t="inlineStr">
        <is>
          <t>53.208258</t>
        </is>
      </c>
      <c r="R812" s="494" t="inlineStr">
        <is>
          <t>50.171412</t>
        </is>
      </c>
      <c r="S812" s="436" t="n"/>
      <c r="T812" s="436" t="n"/>
      <c r="U812" s="438" t="n"/>
      <c r="V812" s="438">
        <f>IF(AND(N812=1,U812=1),C812,"")</f>
        <v/>
      </c>
      <c r="W812" s="387" t="n"/>
      <c r="X812" s="387" t="n"/>
      <c r="Y812" s="387" t="n"/>
    </row>
    <row r="813" hidden="1" ht="16.05" customFormat="1" customHeight="1" s="126">
      <c r="A813" s="125" t="n">
        <v>1061</v>
      </c>
      <c r="B813" s="125" t="n"/>
      <c r="C813" s="130" t="inlineStr">
        <is>
          <t>Самара</t>
        </is>
      </c>
      <c r="D813" s="130" t="inlineStr">
        <is>
          <t>Самара</t>
        </is>
      </c>
      <c r="E813" s="130" t="n"/>
      <c r="F813" s="130" t="inlineStr">
        <is>
          <t>АЗС</t>
        </is>
      </c>
      <c r="G813" s="130" t="inlineStr">
        <is>
          <t>Роснефть</t>
        </is>
      </c>
      <c r="H813" s="131" t="inlineStr">
        <is>
          <t>АЗК № 93</t>
        </is>
      </c>
      <c r="I813" s="637" t="inlineStr">
        <is>
          <t>RN_93</t>
        </is>
      </c>
      <c r="J813" s="637" t="inlineStr">
        <is>
          <t>SMR_RN_0093</t>
        </is>
      </c>
      <c r="K813" s="640" t="n">
        <v>2</v>
      </c>
      <c r="L813" s="640" t="n">
        <v>1</v>
      </c>
      <c r="M813" s="623" t="inlineStr">
        <is>
          <t>Samsung 32" вертикальный</t>
        </is>
      </c>
      <c r="N813" s="640" t="n"/>
      <c r="O813" s="640">
        <f>IF(AND(N813=1,L813=1),K813,"")</f>
        <v/>
      </c>
      <c r="P813" s="642" t="inlineStr">
        <is>
          <t>Самара, Советский район,  Антонова-Овсеенко, д.52</t>
        </is>
      </c>
      <c r="Q813" s="640" t="inlineStr">
        <is>
          <t>53.213215</t>
        </is>
      </c>
      <c r="R813" s="494" t="inlineStr">
        <is>
          <t>50.222462</t>
        </is>
      </c>
      <c r="S813" s="436" t="n"/>
      <c r="T813" s="436" t="n"/>
      <c r="U813" s="438" t="n"/>
      <c r="V813" s="438">
        <f>IF(AND(N813=1,U813=1),C813,"")</f>
        <v/>
      </c>
      <c r="W813" s="387" t="n"/>
      <c r="X813" s="387" t="n"/>
      <c r="Y813" s="387" t="n"/>
    </row>
    <row r="814" hidden="1" ht="16.05" customFormat="1" customHeight="1" s="126">
      <c r="A814" s="125" t="n">
        <v>1062</v>
      </c>
      <c r="B814" s="125" t="n"/>
      <c r="C814" s="130" t="inlineStr">
        <is>
          <t>Самара</t>
        </is>
      </c>
      <c r="D814" s="130" t="inlineStr">
        <is>
          <t>Самара</t>
        </is>
      </c>
      <c r="E814" s="130" t="n"/>
      <c r="F814" s="130" t="inlineStr">
        <is>
          <t>АЗС</t>
        </is>
      </c>
      <c r="G814" s="130" t="inlineStr">
        <is>
          <t>Роснефть</t>
        </is>
      </c>
      <c r="H814" s="131" t="inlineStr">
        <is>
          <t>АЗК № 94</t>
        </is>
      </c>
      <c r="I814" s="637" t="inlineStr">
        <is>
          <t>RN_94</t>
        </is>
      </c>
      <c r="J814" s="637" t="inlineStr">
        <is>
          <t>SMR_RN_0094</t>
        </is>
      </c>
      <c r="K814" s="640" t="n">
        <v>2</v>
      </c>
      <c r="L814" s="640" t="n">
        <v>1</v>
      </c>
      <c r="M814" s="623" t="inlineStr">
        <is>
          <t>Samsung 32" вертикальный</t>
        </is>
      </c>
      <c r="N814" s="640" t="n"/>
      <c r="O814" s="640">
        <f>IF(AND(N814=1,L814=1),K814,"")</f>
        <v/>
      </c>
      <c r="P814" s="642" t="inlineStr">
        <is>
          <t>Самара, Красноглинский район, Красноглинское шоссе, д. 5 а</t>
        </is>
      </c>
      <c r="Q814" s="640" t="inlineStr">
        <is>
          <t>53.353965</t>
        </is>
      </c>
      <c r="R814" s="494" t="inlineStr">
        <is>
          <t>50.210425</t>
        </is>
      </c>
      <c r="S814" s="436" t="n"/>
      <c r="T814" s="436" t="n"/>
      <c r="U814" s="438" t="n"/>
      <c r="V814" s="438">
        <f>IF(AND(N814=1,U814=1),C814,"")</f>
        <v/>
      </c>
      <c r="W814" s="387" t="n"/>
      <c r="X814" s="387" t="n"/>
      <c r="Y814" s="387" t="n"/>
    </row>
    <row r="815" hidden="1" ht="16.05" customFormat="1" customHeight="1" s="126">
      <c r="A815" s="125" t="n">
        <v>1063</v>
      </c>
      <c r="B815" s="125" t="n"/>
      <c r="C815" s="130" t="inlineStr">
        <is>
          <t>Самара</t>
        </is>
      </c>
      <c r="D815" s="130" t="inlineStr">
        <is>
          <t>Самара</t>
        </is>
      </c>
      <c r="E815" s="130" t="n"/>
      <c r="F815" s="130" t="inlineStr">
        <is>
          <t>АЗС</t>
        </is>
      </c>
      <c r="G815" s="130" t="inlineStr">
        <is>
          <t>Роснефть</t>
        </is>
      </c>
      <c r="H815" s="131" t="inlineStr">
        <is>
          <t>АЗК № 107</t>
        </is>
      </c>
      <c r="I815" s="637" t="inlineStr">
        <is>
          <t>RN_107</t>
        </is>
      </c>
      <c r="J815" s="637" t="inlineStr">
        <is>
          <t>SMR_RN_0107</t>
        </is>
      </c>
      <c r="K815" s="640" t="n">
        <v>2</v>
      </c>
      <c r="L815" s="640" t="n">
        <v>1</v>
      </c>
      <c r="M815" s="623" t="inlineStr">
        <is>
          <t>Samsung 32" вертикальный</t>
        </is>
      </c>
      <c r="N815" s="640" t="n"/>
      <c r="O815" s="640">
        <f>IF(AND(N815=1,L815=1),K815,"")</f>
        <v/>
      </c>
      <c r="P815" s="642" t="inlineStr">
        <is>
          <t>Самара, Промышленный район, Московское шоссе, д.232</t>
        </is>
      </c>
      <c r="Q815" s="640" t="inlineStr">
        <is>
          <t>53.241157</t>
        </is>
      </c>
      <c r="R815" s="494" t="inlineStr">
        <is>
          <t>50.206146</t>
        </is>
      </c>
      <c r="S815" s="436" t="n"/>
      <c r="T815" s="436" t="n"/>
      <c r="U815" s="438" t="n"/>
      <c r="V815" s="438">
        <f>IF(AND(N815=1,U815=1),C815,"")</f>
        <v/>
      </c>
      <c r="W815" s="387" t="n"/>
      <c r="X815" s="387" t="n"/>
      <c r="Y815" s="387" t="n"/>
    </row>
    <row r="816" hidden="1" ht="16.05" customFormat="1" customHeight="1" s="126">
      <c r="A816" s="125" t="n">
        <v>1068</v>
      </c>
      <c r="B816" s="125" t="n"/>
      <c r="C816" s="130" t="inlineStr">
        <is>
          <t>Самара</t>
        </is>
      </c>
      <c r="D816" s="130" t="inlineStr">
        <is>
          <t>Самара</t>
        </is>
      </c>
      <c r="E816" s="130" t="n"/>
      <c r="F816" s="130" t="inlineStr">
        <is>
          <t>АЗС</t>
        </is>
      </c>
      <c r="G816" s="130" t="inlineStr">
        <is>
          <t>Роснефть</t>
        </is>
      </c>
      <c r="H816" s="131" t="inlineStr">
        <is>
          <t>АЗК № 124</t>
        </is>
      </c>
      <c r="I816" s="637" t="inlineStr">
        <is>
          <t>RN_124</t>
        </is>
      </c>
      <c r="J816" s="637" t="inlineStr">
        <is>
          <t>SMR_RN_0124</t>
        </is>
      </c>
      <c r="K816" s="640" t="n">
        <v>2</v>
      </c>
      <c r="L816" s="640" t="n">
        <v>1</v>
      </c>
      <c r="M816" s="623" t="inlineStr">
        <is>
          <t>Samsung 32" вертикальный</t>
        </is>
      </c>
      <c r="N816" s="640" t="n"/>
      <c r="O816" s="640">
        <f>IF(AND(N816=1,L816=1),K816,"")</f>
        <v/>
      </c>
      <c r="P816" s="642" t="inlineStr">
        <is>
          <t>Самара, Куйбышевский район, Южное шоссе, д.8</t>
        </is>
      </c>
      <c r="Q816" s="640" t="inlineStr">
        <is>
          <t>53.142264</t>
        </is>
      </c>
      <c r="R816" s="494" t="inlineStr">
        <is>
          <t>50.180991</t>
        </is>
      </c>
      <c r="S816" s="436" t="n"/>
      <c r="T816" s="436" t="n"/>
      <c r="U816" s="438" t="n"/>
      <c r="V816" s="438">
        <f>IF(AND(N816=1,U816=1),C816,"")</f>
        <v/>
      </c>
      <c r="W816" s="387" t="n"/>
      <c r="X816" s="387" t="n"/>
      <c r="Y816" s="387" t="n"/>
    </row>
    <row r="817" hidden="1" ht="16.05" customFormat="1" customHeight="1" s="126">
      <c r="A817" s="125" t="n">
        <v>1069</v>
      </c>
      <c r="B817" s="125" t="n"/>
      <c r="C817" s="130" t="inlineStr">
        <is>
          <t>Самара</t>
        </is>
      </c>
      <c r="D817" s="130" t="inlineStr">
        <is>
          <t>Тольятти</t>
        </is>
      </c>
      <c r="E817" s="130" t="n"/>
      <c r="F817" s="130" t="inlineStr">
        <is>
          <t>АЗС</t>
        </is>
      </c>
      <c r="G817" s="130" t="inlineStr">
        <is>
          <t>Роснефть</t>
        </is>
      </c>
      <c r="H817" s="131" t="inlineStr">
        <is>
          <t>АЗК № 4</t>
        </is>
      </c>
      <c r="I817" s="637" t="inlineStr">
        <is>
          <t>RN_4</t>
        </is>
      </c>
      <c r="J817" s="637" t="inlineStr">
        <is>
          <t>SMR_RN_0004</t>
        </is>
      </c>
      <c r="K817" s="640" t="n">
        <v>1</v>
      </c>
      <c r="L817" s="640" t="n">
        <v>1</v>
      </c>
      <c r="M817" s="623" t="inlineStr">
        <is>
          <t>Samsung 32" вертикальный</t>
        </is>
      </c>
      <c r="N817" s="640" t="n"/>
      <c r="O817" s="640">
        <f>IF(AND(N817=1,L817=1),K817,"")</f>
        <v/>
      </c>
      <c r="P817" s="642" t="inlineStr">
        <is>
          <t>Тольятти, Центральный район, по Обводному шоссе, в районе тольяттинской таможни (Обводное шоссе, 19)</t>
        </is>
      </c>
      <c r="Q817" s="640" t="inlineStr">
        <is>
          <t>53.557902</t>
        </is>
      </c>
      <c r="R817" s="494" t="inlineStr">
        <is>
          <t>49.355189</t>
        </is>
      </c>
      <c r="S817" s="436" t="n"/>
      <c r="T817" s="436" t="n"/>
      <c r="U817" s="438" t="n"/>
      <c r="V817" s="438">
        <f>IF(AND(N817=1,U817=1),C817,"")</f>
        <v/>
      </c>
      <c r="W817" s="387" t="n"/>
      <c r="X817" s="387" t="n"/>
      <c r="Y817" s="387" t="n"/>
    </row>
    <row r="818" hidden="1" ht="16.05" customFormat="1" customHeight="1" s="126">
      <c r="A818" s="125" t="n">
        <v>1066</v>
      </c>
      <c r="B818" s="125" t="n"/>
      <c r="C818" s="130" t="inlineStr">
        <is>
          <t>Самара</t>
        </is>
      </c>
      <c r="D818" s="130" t="inlineStr">
        <is>
          <t>Самара</t>
        </is>
      </c>
      <c r="E818" s="130" t="n"/>
      <c r="F818" s="130" t="inlineStr">
        <is>
          <t>АЗС</t>
        </is>
      </c>
      <c r="G818" s="130" t="inlineStr">
        <is>
          <t>Роснефть</t>
        </is>
      </c>
      <c r="H818" s="131" t="inlineStr">
        <is>
          <t>АЗК № 115</t>
        </is>
      </c>
      <c r="I818" s="637" t="inlineStr">
        <is>
          <t>RN_115</t>
        </is>
      </c>
      <c r="J818" s="637" t="inlineStr">
        <is>
          <t>SMR_RN_0115</t>
        </is>
      </c>
      <c r="K818" s="640" t="n">
        <v>2</v>
      </c>
      <c r="L818" s="640" t="n">
        <v>1</v>
      </c>
      <c r="M818" s="623" t="inlineStr">
        <is>
          <t>Samsung 32" вертикальный</t>
        </is>
      </c>
      <c r="N818" s="640" t="n"/>
      <c r="O818" s="640">
        <f>IF(AND(N818=1,L818=1),K818,"")</f>
        <v/>
      </c>
      <c r="P818" s="642" t="inlineStr">
        <is>
          <t>Самара, Красноглинский район, Московское шоссе, д. 28</t>
        </is>
      </c>
      <c r="Q818" s="640" t="n">
        <v>53.208244</v>
      </c>
      <c r="R818" s="494" t="n">
        <v>50.171378</v>
      </c>
      <c r="S818" s="436" t="n"/>
      <c r="T818" s="436" t="n"/>
      <c r="U818" s="438" t="n"/>
      <c r="V818" s="438">
        <f>IF(AND(N818=1,U818=1),C818,"")</f>
        <v/>
      </c>
      <c r="W818" s="387" t="n"/>
      <c r="X818" s="387" t="n"/>
      <c r="Y818" s="387" t="n"/>
    </row>
    <row r="819" hidden="1" ht="16.05" customFormat="1" customHeight="1" s="126">
      <c r="A819" s="125" t="n">
        <v>1070</v>
      </c>
      <c r="B819" s="125" t="n"/>
      <c r="C819" s="130" t="inlineStr">
        <is>
          <t>Самара</t>
        </is>
      </c>
      <c r="D819" s="130" t="inlineStr">
        <is>
          <t>Тольятти</t>
        </is>
      </c>
      <c r="E819" s="130" t="n"/>
      <c r="F819" s="130" t="inlineStr">
        <is>
          <t>АЗС</t>
        </is>
      </c>
      <c r="G819" s="130" t="inlineStr">
        <is>
          <t>Роснефть</t>
        </is>
      </c>
      <c r="H819" s="131" t="inlineStr">
        <is>
          <t>АЗК № 49</t>
        </is>
      </c>
      <c r="I819" s="637" t="inlineStr">
        <is>
          <t>RN_49</t>
        </is>
      </c>
      <c r="J819" s="637" t="inlineStr">
        <is>
          <t>SMR_RN_0049</t>
        </is>
      </c>
      <c r="K819" s="640" t="n">
        <v>2</v>
      </c>
      <c r="L819" s="640" t="n">
        <v>1</v>
      </c>
      <c r="M819" s="623" t="inlineStr">
        <is>
          <t>Samsung 32" вертикальный</t>
        </is>
      </c>
      <c r="N819" s="640" t="n"/>
      <c r="O819" s="640">
        <f>IF(AND(N819=1,L819=1),K819,"")</f>
        <v/>
      </c>
      <c r="P819" s="642" t="inlineStr">
        <is>
          <t>Тольятти, Центральный район, Автозаводское шоссе, д.14</t>
        </is>
      </c>
      <c r="Q819" s="640" t="inlineStr">
        <is>
          <t>53.537709</t>
        </is>
      </c>
      <c r="R819" s="494" t="inlineStr">
        <is>
          <t>49.392287</t>
        </is>
      </c>
      <c r="S819" s="436" t="n"/>
      <c r="T819" s="436" t="n"/>
      <c r="U819" s="438" t="n"/>
      <c r="V819" s="438">
        <f>IF(AND(N819=1,U819=1),C819,"")</f>
        <v/>
      </c>
      <c r="W819" s="387" t="n"/>
      <c r="X819" s="387" t="n"/>
      <c r="Y819" s="387" t="n"/>
    </row>
    <row r="820" hidden="1" ht="16.05" customFormat="1" customHeight="1" s="126">
      <c r="A820" s="125" t="n">
        <v>1072</v>
      </c>
      <c r="B820" s="125" t="n"/>
      <c r="C820" s="130" t="inlineStr">
        <is>
          <t>Самара</t>
        </is>
      </c>
      <c r="D820" s="130" t="inlineStr">
        <is>
          <t>Тольятти</t>
        </is>
      </c>
      <c r="E820" s="130" t="n"/>
      <c r="F820" s="130" t="inlineStr">
        <is>
          <t>АЗС</t>
        </is>
      </c>
      <c r="G820" s="130" t="inlineStr">
        <is>
          <t>Роснефть</t>
        </is>
      </c>
      <c r="H820" s="131" t="inlineStr">
        <is>
          <t>АЗК № 57</t>
        </is>
      </c>
      <c r="I820" s="637" t="inlineStr">
        <is>
          <t>RN_57</t>
        </is>
      </c>
      <c r="J820" s="637" t="inlineStr">
        <is>
          <t>SMR_RN_0057</t>
        </is>
      </c>
      <c r="K820" s="640" t="n">
        <v>1</v>
      </c>
      <c r="L820" s="640" t="n">
        <v>1</v>
      </c>
      <c r="M820" s="623" t="inlineStr">
        <is>
          <t>Samsung 32" вертикальный</t>
        </is>
      </c>
      <c r="N820" s="640" t="n"/>
      <c r="O820" s="640">
        <f>IF(AND(N820=1,L820=1),K820,"")</f>
        <v/>
      </c>
      <c r="P820" s="642" t="inlineStr">
        <is>
          <t>Тольятти, Автозаводской район,  Борковская, д.37</t>
        </is>
      </c>
      <c r="Q820" s="640" t="inlineStr">
        <is>
          <t>53.561684</t>
        </is>
      </c>
      <c r="R820" s="494" t="inlineStr">
        <is>
          <t>49.290847</t>
        </is>
      </c>
      <c r="S820" s="436" t="n"/>
      <c r="T820" s="436" t="n"/>
      <c r="U820" s="438" t="n"/>
      <c r="V820" s="438">
        <f>IF(AND(N820=1,U820=1),C820,"")</f>
        <v/>
      </c>
      <c r="W820" s="387" t="n"/>
      <c r="X820" s="387" t="n"/>
      <c r="Y820" s="387" t="n"/>
    </row>
    <row r="821" hidden="1" ht="16.05" customFormat="1" customHeight="1" s="126">
      <c r="A821" s="125" t="n">
        <v>1073</v>
      </c>
      <c r="B821" s="125" t="n"/>
      <c r="C821" s="130" t="inlineStr">
        <is>
          <t>Самара</t>
        </is>
      </c>
      <c r="D821" s="130" t="inlineStr">
        <is>
          <t>Тольятти</t>
        </is>
      </c>
      <c r="E821" s="130" t="n"/>
      <c r="F821" s="130" t="inlineStr">
        <is>
          <t>АЗС</t>
        </is>
      </c>
      <c r="G821" s="130" t="inlineStr">
        <is>
          <t>Роснефть</t>
        </is>
      </c>
      <c r="H821" s="131" t="inlineStr">
        <is>
          <t>АЗК № 61</t>
        </is>
      </c>
      <c r="I821" s="637" t="inlineStr">
        <is>
          <t>RN_61</t>
        </is>
      </c>
      <c r="J821" s="637" t="inlineStr">
        <is>
          <t>SMR_RN_0061</t>
        </is>
      </c>
      <c r="K821" s="640" t="n">
        <v>1</v>
      </c>
      <c r="L821" s="640" t="n">
        <v>1</v>
      </c>
      <c r="M821" s="623" t="inlineStr">
        <is>
          <t>Samsung 32" вертикальный</t>
        </is>
      </c>
      <c r="N821" s="640" t="n"/>
      <c r="O821" s="640">
        <f>IF(AND(N821=1,L821=1),K821,"")</f>
        <v/>
      </c>
      <c r="P821" s="642" t="inlineStr">
        <is>
          <t>Тольятти, Комсомольский район,  Матросова, д.57</t>
        </is>
      </c>
      <c r="Q821" s="640" t="inlineStr">
        <is>
          <t>53.497382</t>
        </is>
      </c>
      <c r="R821" s="494" t="inlineStr">
        <is>
          <t>49.471985</t>
        </is>
      </c>
      <c r="S821" s="436" t="n"/>
      <c r="T821" s="436" t="n"/>
      <c r="U821" s="438" t="n"/>
      <c r="V821" s="438">
        <f>IF(AND(N821=1,U821=1),C821,"")</f>
        <v/>
      </c>
      <c r="W821" s="387" t="n"/>
      <c r="X821" s="387" t="n"/>
      <c r="Y821" s="387" t="n"/>
    </row>
    <row r="822" hidden="1" ht="16.05" customFormat="1" customHeight="1" s="126">
      <c r="A822" s="125" t="n">
        <v>1074</v>
      </c>
      <c r="B822" s="125" t="n"/>
      <c r="C822" s="130" t="inlineStr">
        <is>
          <t>Самара</t>
        </is>
      </c>
      <c r="D822" s="130" t="inlineStr">
        <is>
          <t>Тольятти</t>
        </is>
      </c>
      <c r="E822" s="130" t="n"/>
      <c r="F822" s="130" t="inlineStr">
        <is>
          <t>АЗС</t>
        </is>
      </c>
      <c r="G822" s="130" t="inlineStr">
        <is>
          <t>Роснефть</t>
        </is>
      </c>
      <c r="H822" s="131" t="inlineStr">
        <is>
          <t>АЗК № 74</t>
        </is>
      </c>
      <c r="I822" s="637" t="inlineStr">
        <is>
          <t>RN_74</t>
        </is>
      </c>
      <c r="J822" s="637" t="inlineStr">
        <is>
          <t>SMR_RN_0074</t>
        </is>
      </c>
      <c r="K822" s="640" t="n">
        <v>2</v>
      </c>
      <c r="L822" s="640" t="n">
        <v>1</v>
      </c>
      <c r="M822" s="623" t="inlineStr">
        <is>
          <t>Samsung 32" вертикальный</t>
        </is>
      </c>
      <c r="N822" s="640" t="n"/>
      <c r="O822" s="640">
        <f>IF(AND(N822=1,L822=1),K822,"")</f>
        <v/>
      </c>
      <c r="P822" s="642" t="inlineStr">
        <is>
          <t xml:space="preserve">Тольятти, Центральный район, Новозаводская, д.1 </t>
        </is>
      </c>
      <c r="Q822" s="640" t="inlineStr">
        <is>
          <t>53.571081</t>
        </is>
      </c>
      <c r="R822" s="422" t="inlineStr">
        <is>
          <t>49.459104</t>
        </is>
      </c>
      <c r="S822" s="436" t="n"/>
      <c r="T822" s="436" t="n"/>
      <c r="U822" s="438" t="n"/>
      <c r="V822" s="438">
        <f>IF(AND(N822=1,U822=1),C822,"")</f>
        <v/>
      </c>
      <c r="W822" s="387" t="n"/>
      <c r="X822" s="387" t="n"/>
      <c r="Y822" s="387" t="n"/>
    </row>
    <row r="823" hidden="1" ht="16.05" customFormat="1" customHeight="1" s="126">
      <c r="A823" s="125" t="n">
        <v>1071</v>
      </c>
      <c r="B823" s="125" t="n"/>
      <c r="C823" s="130" t="inlineStr">
        <is>
          <t>Самара</t>
        </is>
      </c>
      <c r="D823" s="130" t="inlineStr">
        <is>
          <t>Тольятти</t>
        </is>
      </c>
      <c r="E823" s="130" t="n"/>
      <c r="F823" s="130" t="inlineStr">
        <is>
          <t>АЗС</t>
        </is>
      </c>
      <c r="G823" s="130" t="inlineStr">
        <is>
          <t>Роснефть</t>
        </is>
      </c>
      <c r="H823" s="131" t="inlineStr">
        <is>
          <t>АЗК № 56</t>
        </is>
      </c>
      <c r="I823" s="637" t="inlineStr">
        <is>
          <t>RN_56</t>
        </is>
      </c>
      <c r="J823" s="637" t="inlineStr">
        <is>
          <t>SMR_RN_0056</t>
        </is>
      </c>
      <c r="K823" s="640" t="n">
        <v>2</v>
      </c>
      <c r="L823" s="640" t="n">
        <v>1</v>
      </c>
      <c r="M823" s="623" t="inlineStr">
        <is>
          <t>Samsung 32" вертикальный</t>
        </is>
      </c>
      <c r="N823" s="640" t="n"/>
      <c r="O823" s="640">
        <f>IF(AND(N823=1,L823=1),K823,"")</f>
        <v/>
      </c>
      <c r="P823" s="642" t="inlineStr">
        <is>
          <t>Тольятти, Автозаводской район, Транспортная, д.20 в</t>
        </is>
      </c>
      <c r="Q823" s="640" t="inlineStr">
        <is>
          <t>53.556034</t>
        </is>
      </c>
      <c r="R823" s="422" t="inlineStr">
        <is>
          <t>49.310361</t>
        </is>
      </c>
      <c r="S823" s="436" t="n"/>
      <c r="T823" s="436" t="n"/>
      <c r="U823" s="438" t="n"/>
      <c r="V823" s="438">
        <f>IF(AND(N823=1,U823=1),C823,"")</f>
        <v/>
      </c>
      <c r="W823" s="387" t="n"/>
      <c r="X823" s="387" t="n"/>
      <c r="Y823" s="387" t="n"/>
    </row>
    <row r="824" hidden="1" ht="16.05" customFormat="1" customHeight="1" s="126">
      <c r="A824" s="125" t="n">
        <v>1185</v>
      </c>
      <c r="B824" s="125" t="n"/>
      <c r="C824" s="130" t="inlineStr">
        <is>
          <t>Москва</t>
        </is>
      </c>
      <c r="D824" s="130" t="inlineStr">
        <is>
          <t>Москва</t>
        </is>
      </c>
      <c r="E824" s="130" t="inlineStr">
        <is>
          <t>А130</t>
        </is>
      </c>
      <c r="F824" s="130" t="inlineStr">
        <is>
          <t>АЗС</t>
        </is>
      </c>
      <c r="G824" s="130" t="inlineStr">
        <is>
          <t>Роснефть</t>
        </is>
      </c>
      <c r="H824" s="131" t="inlineStr">
        <is>
          <t>MR112</t>
        </is>
      </c>
      <c r="I824" s="637" t="inlineStr">
        <is>
          <t>RN_112</t>
        </is>
      </c>
      <c r="J824" s="637" t="inlineStr">
        <is>
          <t>MSK_RN_0112</t>
        </is>
      </c>
      <c r="K824" s="640" t="n">
        <v>1</v>
      </c>
      <c r="L824" s="640" t="n">
        <v>1</v>
      </c>
      <c r="M824" s="623" t="inlineStr">
        <is>
          <t>Samsung 32" вертикальный</t>
        </is>
      </c>
      <c r="N824" s="640" t="n"/>
      <c r="O824" s="640">
        <f>IF(AND(N824=1,L824=1),K824,"")</f>
        <v/>
      </c>
      <c r="P824" s="642" t="inlineStr">
        <is>
          <t>Москва, Подольский район, Краснопахорское с/п, вблизи п. Красная Пахра</t>
        </is>
      </c>
      <c r="Q824" s="640" t="inlineStr">
        <is>
          <t>55.423651</t>
        </is>
      </c>
      <c r="R824" s="494" t="inlineStr">
        <is>
          <t>37.267546</t>
        </is>
      </c>
      <c r="S824" s="436" t="n"/>
      <c r="T824" s="436" t="n"/>
      <c r="U824" s="438" t="n"/>
      <c r="V824" s="438">
        <f>IF(AND(N824=1,U824=1),C824,"")</f>
        <v/>
      </c>
      <c r="W824" s="387" t="n"/>
      <c r="X824" s="387" t="n"/>
      <c r="Y824" s="387" t="n"/>
    </row>
    <row r="825" hidden="1" ht="16.05" customFormat="1" customHeight="1" s="126">
      <c r="A825" s="125" t="n">
        <v>1200</v>
      </c>
      <c r="B825" s="125" t="n"/>
      <c r="C825" s="130" t="inlineStr">
        <is>
          <t>Москва</t>
        </is>
      </c>
      <c r="D825" s="130" t="inlineStr">
        <is>
          <t>Московская область</t>
        </is>
      </c>
      <c r="E825" s="130" t="inlineStr">
        <is>
          <t>М10</t>
        </is>
      </c>
      <c r="F825" s="130" t="inlineStr">
        <is>
          <t>АЗС</t>
        </is>
      </c>
      <c r="G825" s="130" t="inlineStr">
        <is>
          <t>Роснефть</t>
        </is>
      </c>
      <c r="H825" s="131" t="inlineStr">
        <is>
          <t>MR084</t>
        </is>
      </c>
      <c r="I825" s="637" t="inlineStr">
        <is>
          <t>RN_084</t>
        </is>
      </c>
      <c r="J825" s="637" t="inlineStr">
        <is>
          <t>MSK_RN_0084</t>
        </is>
      </c>
      <c r="K825" s="640" t="n">
        <v>1</v>
      </c>
      <c r="L825" s="640" t="n">
        <v>1</v>
      </c>
      <c r="M825" s="623" t="inlineStr">
        <is>
          <t>Samsung 32" вертикальный</t>
        </is>
      </c>
      <c r="N825" s="640" t="n"/>
      <c r="O825" s="640">
        <f>IF(AND(N825=1,L825=1),K825,"")</f>
        <v/>
      </c>
      <c r="P825" s="642" t="inlineStr">
        <is>
          <t>Московская область, г. Клин, 88 км а/д "Москва-Санкт-Петербург"</t>
        </is>
      </c>
      <c r="Q825" s="640" t="inlineStr">
        <is>
          <t>56.338475</t>
        </is>
      </c>
      <c r="R825" s="494" t="inlineStr">
        <is>
          <t>36.717958</t>
        </is>
      </c>
      <c r="S825" s="436" t="n"/>
      <c r="T825" s="436" t="n"/>
      <c r="U825" s="438" t="n"/>
      <c r="V825" s="438">
        <f>IF(AND(N825=1,U825=1),C825,"")</f>
        <v/>
      </c>
      <c r="W825" s="387" t="n"/>
      <c r="X825" s="387" t="n"/>
      <c r="Y825" s="387" t="n"/>
    </row>
    <row r="826" hidden="1" ht="16.05" customFormat="1" customHeight="1" s="126">
      <c r="A826" s="125" t="n">
        <v>1120</v>
      </c>
      <c r="B826" s="125" t="inlineStr">
        <is>
          <t>WF</t>
        </is>
      </c>
      <c r="C826" s="130" t="inlineStr">
        <is>
          <t>Смоленск</t>
        </is>
      </c>
      <c r="D826" s="130" t="inlineStr">
        <is>
          <t>Смоленск</t>
        </is>
      </c>
      <c r="E826" s="130" t="n"/>
      <c r="F826" s="130" t="inlineStr">
        <is>
          <t>АЗС</t>
        </is>
      </c>
      <c r="G826" s="130" t="inlineStr">
        <is>
          <t>Лукойл</t>
        </is>
      </c>
      <c r="H826" s="131" t="inlineStr">
        <is>
          <t>LUK_101</t>
        </is>
      </c>
      <c r="I826" s="637" t="n">
        <v>67101</v>
      </c>
      <c r="J826" s="402" t="inlineStr">
        <is>
          <t>SMO_LUK_0101</t>
        </is>
      </c>
      <c r="K826" s="640" t="n">
        <v>1</v>
      </c>
      <c r="L826" s="640" t="n">
        <v>0</v>
      </c>
      <c r="M826" s="640" t="inlineStr">
        <is>
          <t>1 октября</t>
        </is>
      </c>
      <c r="N826" s="640" t="n"/>
      <c r="O826" s="640">
        <f>IF(AND(N826=1,L826=1),K826,"")</f>
        <v/>
      </c>
      <c r="P826" s="642" t="inlineStr">
        <is>
          <t>Смоленская область, г. Смоленск, ул. Шевченко, дом 79-а</t>
        </is>
      </c>
      <c r="Q826" s="640" t="n">
        <v>54.78106</v>
      </c>
      <c r="R826" s="422" t="n">
        <v>32.08397</v>
      </c>
      <c r="S826" s="436" t="n"/>
      <c r="T826" s="436" t="n"/>
      <c r="U826" s="438" t="n"/>
      <c r="V826" s="438">
        <f>IF(AND(N826=1,U826=1),C826,"")</f>
        <v/>
      </c>
      <c r="W826" s="387" t="n"/>
      <c r="X826" s="1" t="n"/>
      <c r="Y826" s="1" t="n"/>
    </row>
    <row r="827" hidden="1" ht="16.05" customHeight="1">
      <c r="A827" s="13" t="n">
        <v>1121</v>
      </c>
      <c r="B827" s="13">
        <f>IF(OR(M827="Sam 32",M827="Sam 40"),"s",IF(M827="AMS","a","v"))</f>
        <v/>
      </c>
      <c r="C827" s="130" t="inlineStr">
        <is>
          <t>Смоленск</t>
        </is>
      </c>
      <c r="D827" s="130" t="inlineStr">
        <is>
          <t>Смоленская область</t>
        </is>
      </c>
      <c r="E827" s="130" t="n"/>
      <c r="F827" s="130" t="n"/>
      <c r="G827" s="130" t="inlineStr">
        <is>
          <t>Лукойл</t>
        </is>
      </c>
      <c r="H827" s="131" t="inlineStr">
        <is>
          <t>LUK_106</t>
        </is>
      </c>
      <c r="I827" s="637" t="inlineStr">
        <is>
          <t>LUK_106</t>
        </is>
      </c>
      <c r="J827" s="402" t="inlineStr">
        <is>
          <t>SMO_LUK_0106</t>
        </is>
      </c>
      <c r="K827" s="640" t="n">
        <v>1</v>
      </c>
      <c r="L827" s="640" t="n">
        <v>0</v>
      </c>
      <c r="M827" s="640" t="inlineStr">
        <is>
          <t>Sam 32</t>
        </is>
      </c>
      <c r="N827" s="640" t="n"/>
      <c r="O827" s="640">
        <f>IF(AND(N827=1,L827=1),K827,"")</f>
        <v/>
      </c>
      <c r="P827" s="642" t="inlineStr">
        <is>
          <t>Смоленская область, Вяземский район, Новосельское сельское поселение, д. Бородино</t>
        </is>
      </c>
      <c r="Q827" s="640" t="n"/>
      <c r="R827" s="422" t="n"/>
      <c r="S827" s="436" t="n"/>
      <c r="T827" s="436" t="n"/>
      <c r="U827" s="438" t="n"/>
      <c r="V827" s="438">
        <f>IF(AND(N827=1,U827=1),C827,"")</f>
        <v/>
      </c>
      <c r="X827" s="1" t="n"/>
      <c r="Y827" s="1" t="n"/>
      <c r="Z827" s="1" t="n"/>
    </row>
    <row r="828" hidden="1" ht="16.05" customFormat="1" customHeight="1" s="126">
      <c r="A828" s="125" t="n">
        <v>1124</v>
      </c>
      <c r="B828" s="125" t="inlineStr">
        <is>
          <t>WF</t>
        </is>
      </c>
      <c r="C828" s="130" t="inlineStr">
        <is>
          <t>Смоленск</t>
        </is>
      </c>
      <c r="D828" s="130" t="inlineStr">
        <is>
          <t>Смоленск</t>
        </is>
      </c>
      <c r="E828" s="130" t="n"/>
      <c r="F828" s="130" t="inlineStr">
        <is>
          <t>АЗС</t>
        </is>
      </c>
      <c r="G828" s="130" t="inlineStr">
        <is>
          <t>Лукойл</t>
        </is>
      </c>
      <c r="H828" s="131" t="inlineStr">
        <is>
          <t>LUK_144</t>
        </is>
      </c>
      <c r="I828" s="637" t="n">
        <v>67144</v>
      </c>
      <c r="J828" s="402" t="inlineStr">
        <is>
          <t>SMO_LUK_0144</t>
        </is>
      </c>
      <c r="K828" s="640" t="n">
        <v>1</v>
      </c>
      <c r="L828" s="640" t="n">
        <v>0</v>
      </c>
      <c r="M828" s="640" t="inlineStr">
        <is>
          <t>1 октября</t>
        </is>
      </c>
      <c r="N828" s="640" t="n"/>
      <c r="O828" s="640">
        <f>IF(AND(N828=1,L828=1),K828,"")</f>
        <v/>
      </c>
      <c r="P828" s="642" t="inlineStr">
        <is>
          <t>Смоленская область, г. Смоленск, шоссе Краснинское, д. 35-б, строение 1</t>
        </is>
      </c>
      <c r="Q828" s="640" t="n">
        <v>54.770235</v>
      </c>
      <c r="R828" s="422" t="n">
        <v>31.986606</v>
      </c>
      <c r="S828" s="436" t="n"/>
      <c r="T828" s="436" t="n"/>
      <c r="U828" s="438" t="n"/>
      <c r="V828" s="438">
        <f>IF(AND(N828=1,U828=1),C828,"")</f>
        <v/>
      </c>
      <c r="W828" s="387" t="n"/>
      <c r="X828" s="1" t="n"/>
      <c r="Y828" s="1" t="n"/>
    </row>
    <row r="829" hidden="1" ht="16.05" customFormat="1" customHeight="1" s="126">
      <c r="A829" s="125" t="n">
        <v>1141</v>
      </c>
      <c r="B829" s="125" t="n"/>
      <c r="C829" s="130" t="inlineStr">
        <is>
          <t>Тверь</t>
        </is>
      </c>
      <c r="D829" s="130" t="inlineStr">
        <is>
          <t>Тверь</t>
        </is>
      </c>
      <c r="E829" s="130" t="n"/>
      <c r="F829" s="130" t="inlineStr">
        <is>
          <t>АЗС</t>
        </is>
      </c>
      <c r="G829" s="130" t="inlineStr">
        <is>
          <t>Лукойл</t>
        </is>
      </c>
      <c r="H829" s="131" t="inlineStr">
        <is>
          <t>LUK_414</t>
        </is>
      </c>
      <c r="I829" s="637" t="n">
        <v>69414</v>
      </c>
      <c r="J829" s="402" t="inlineStr">
        <is>
          <t>TVE_LUK_0414</t>
        </is>
      </c>
      <c r="K829" s="640" t="n">
        <v>1</v>
      </c>
      <c r="L829" s="640" t="n">
        <v>0</v>
      </c>
      <c r="M829" s="640" t="inlineStr">
        <is>
          <t>Sam 32</t>
        </is>
      </c>
      <c r="N829" s="640" t="n"/>
      <c r="O829" s="640">
        <f>IF(AND(N829=1,L829=1),K829,"")</f>
        <v/>
      </c>
      <c r="P829" s="642" t="inlineStr">
        <is>
          <t>Россия, Тверская область, г. Тверь, ул. Вагжанова, д. 11</t>
        </is>
      </c>
      <c r="Q829" s="640" t="n">
        <v>56.85178</v>
      </c>
      <c r="R829" s="422" t="n">
        <v>35.93656</v>
      </c>
      <c r="S829" s="436" t="n"/>
      <c r="T829" s="436" t="n"/>
      <c r="U829" s="436" t="n"/>
      <c r="V829" s="438">
        <f>IF(AND(N829=1,U829=1),C829,"")</f>
        <v/>
      </c>
      <c r="W829" s="387" t="n"/>
      <c r="X829" s="1" t="n"/>
      <c r="Y829" s="1" t="n"/>
    </row>
    <row r="830" hidden="1" ht="16.05" customHeight="1">
      <c r="A830" s="13" t="n">
        <v>1166</v>
      </c>
      <c r="B830" s="13">
        <f>IF(OR(M830="Sam 32",M830="Sam 40"),"s",IF(M830="AMS","a","v"))</f>
        <v/>
      </c>
      <c r="C830" s="130" t="inlineStr">
        <is>
          <t>Тверь</t>
        </is>
      </c>
      <c r="D830" s="130" t="inlineStr">
        <is>
          <t>Тверь</t>
        </is>
      </c>
      <c r="E830" s="130" t="n"/>
      <c r="F830" s="130" t="n"/>
      <c r="G830" s="130" t="inlineStr">
        <is>
          <t>Лукойл</t>
        </is>
      </c>
      <c r="H830" s="131" t="inlineStr">
        <is>
          <t>LUK_469</t>
        </is>
      </c>
      <c r="I830" s="637" t="inlineStr">
        <is>
          <t>LUK_469</t>
        </is>
      </c>
      <c r="J830" s="402" t="n"/>
      <c r="K830" s="640" t="n">
        <v>0</v>
      </c>
      <c r="L830" s="640" t="n">
        <v>0</v>
      </c>
      <c r="M830" s="640" t="inlineStr">
        <is>
          <t>AMS</t>
        </is>
      </c>
      <c r="N830" s="640" t="n"/>
      <c r="O830" s="640">
        <f>IF(AND(N830=1,L830=1),K830,"")</f>
        <v/>
      </c>
      <c r="P830" s="642" t="inlineStr">
        <is>
          <t>Тверская область, Ржевский район, сельское поселение "Есинка", 223 км а/дороги "Балтия" в районе д. Захарово</t>
        </is>
      </c>
      <c r="Q830" s="640" t="n"/>
      <c r="R830" s="422" t="n"/>
      <c r="S830" s="436" t="n"/>
      <c r="T830" s="436" t="n"/>
      <c r="U830" s="436" t="n"/>
      <c r="V830" s="438">
        <f>IF(AND(N830=1,U830=1),C830,"")</f>
        <v/>
      </c>
      <c r="X830" s="1" t="n"/>
      <c r="Y830" s="1" t="n"/>
      <c r="Z830" s="1" t="n"/>
    </row>
    <row r="831" hidden="1" ht="16.05" customFormat="1" customHeight="1" s="126">
      <c r="A831" s="125" t="n">
        <v>1168</v>
      </c>
      <c r="B831" s="125" t="inlineStr">
        <is>
          <t>WF</t>
        </is>
      </c>
      <c r="C831" s="130" t="inlineStr">
        <is>
          <t>Москва</t>
        </is>
      </c>
      <c r="D831" s="130" t="inlineStr">
        <is>
          <t>Московская область</t>
        </is>
      </c>
      <c r="E831" s="130" t="inlineStr">
        <is>
          <t>М10</t>
        </is>
      </c>
      <c r="F831" s="130" t="inlineStr">
        <is>
          <t>АЗС</t>
        </is>
      </c>
      <c r="G831" s="130" t="inlineStr">
        <is>
          <t>Лукойл</t>
        </is>
      </c>
      <c r="H831" s="131" t="inlineStr">
        <is>
          <t>LUK_476</t>
        </is>
      </c>
      <c r="I831" s="637" t="n">
        <v>50476</v>
      </c>
      <c r="J831" s="402" t="inlineStr">
        <is>
          <t>MSK_LUK_0476</t>
        </is>
      </c>
      <c r="K831" s="640" t="n">
        <v>2</v>
      </c>
      <c r="L831" s="640" t="n">
        <v>0</v>
      </c>
      <c r="M831" s="640" t="inlineStr">
        <is>
          <t>1 октября</t>
        </is>
      </c>
      <c r="N831" s="640" t="n"/>
      <c r="O831" s="640">
        <f>IF(AND(N831=1,L831=1),K831,"")</f>
        <v/>
      </c>
      <c r="P831" s="642" t="inlineStr">
        <is>
          <t>Московская область, г. Химки, квартал Клязьма, шоссе Международное  вл. 18</t>
        </is>
      </c>
      <c r="Q831" s="640" t="n">
        <v>55.96937</v>
      </c>
      <c r="R831" s="422" t="n">
        <v>37.44349</v>
      </c>
      <c r="S831" s="438" t="n"/>
      <c r="T831" s="436" t="n"/>
      <c r="U831" s="436" t="n"/>
      <c r="V831" s="438">
        <f>IF(AND(N831=1,U831=1),C831,"")</f>
        <v/>
      </c>
      <c r="W831" s="387" t="n"/>
      <c r="X831" s="1" t="n"/>
      <c r="Y831" s="1" t="n"/>
    </row>
    <row r="832" hidden="1" ht="16.05" customFormat="1" customHeight="1" s="126">
      <c r="A832" s="125" t="n">
        <v>1208</v>
      </c>
      <c r="B832" s="125" t="n"/>
      <c r="C832" s="130" t="inlineStr">
        <is>
          <t>Москва</t>
        </is>
      </c>
      <c r="D832" s="130" t="inlineStr">
        <is>
          <t>Москва</t>
        </is>
      </c>
      <c r="E832" s="130" t="inlineStr">
        <is>
          <t>М3</t>
        </is>
      </c>
      <c r="F832" s="130" t="inlineStr">
        <is>
          <t>АЗС</t>
        </is>
      </c>
      <c r="G832" s="130" t="inlineStr">
        <is>
          <t>Роснефть</t>
        </is>
      </c>
      <c r="H832" s="131" t="inlineStr">
        <is>
          <t>MN011</t>
        </is>
      </c>
      <c r="I832" s="637" t="inlineStr">
        <is>
          <t>Картмазово-1</t>
        </is>
      </c>
      <c r="J832" s="637" t="inlineStr">
        <is>
          <t>MSK_TNK_Kartmazovo-1</t>
        </is>
      </c>
      <c r="K832" s="640" t="n">
        <v>1</v>
      </c>
      <c r="L832" s="640" t="n">
        <v>1</v>
      </c>
      <c r="M832" s="623" t="inlineStr">
        <is>
          <t>Samsung 32" вертикальный</t>
        </is>
      </c>
      <c r="N832" s="640" t="n"/>
      <c r="O832" s="640">
        <f>IF(AND(N832=1,L832=1),K832,"")</f>
        <v/>
      </c>
      <c r="P832" s="642" t="inlineStr">
        <is>
          <t>Московская область, Ленинский район, дер.Картмазово, 23-ий км Киевского шоссе, а/д "Украина"(слева)</t>
        </is>
      </c>
      <c r="Q832" s="640" t="inlineStr">
        <is>
          <t>55.618099</t>
        </is>
      </c>
      <c r="R832" s="494" t="inlineStr">
        <is>
          <t>37.391576</t>
        </is>
      </c>
      <c r="S832" s="436" t="n"/>
      <c r="T832" s="436" t="n"/>
      <c r="U832" s="436" t="n"/>
      <c r="V832" s="438">
        <f>IF(AND(N832=1,U832=1),C832,"")</f>
        <v/>
      </c>
      <c r="W832" s="387" t="n"/>
      <c r="X832" s="387" t="n"/>
      <c r="Y832" s="387" t="n"/>
    </row>
    <row r="833" hidden="1" ht="16.05" customFormat="1" customHeight="1" s="126">
      <c r="A833" s="125" t="n">
        <v>1209</v>
      </c>
      <c r="B833" s="125" t="n"/>
      <c r="C833" s="130" t="inlineStr">
        <is>
          <t>Москва</t>
        </is>
      </c>
      <c r="D833" s="130" t="inlineStr">
        <is>
          <t>Москва</t>
        </is>
      </c>
      <c r="E833" s="130" t="inlineStr">
        <is>
          <t>М3</t>
        </is>
      </c>
      <c r="F833" s="130" t="inlineStr">
        <is>
          <t>АЗС</t>
        </is>
      </c>
      <c r="G833" s="130" t="inlineStr">
        <is>
          <t>Роснефть</t>
        </is>
      </c>
      <c r="H833" s="131" t="inlineStr">
        <is>
          <t>MN013</t>
        </is>
      </c>
      <c r="I833" s="637" t="inlineStr">
        <is>
          <t>Картмазово-2</t>
        </is>
      </c>
      <c r="J833" s="637" t="inlineStr">
        <is>
          <t>MSK_TNK_Kartmazovo-2</t>
        </is>
      </c>
      <c r="K833" s="640" t="n">
        <v>1</v>
      </c>
      <c r="L833" s="640" t="n">
        <v>1</v>
      </c>
      <c r="M833" s="623" t="inlineStr">
        <is>
          <t>Samsung 32" вертикальный</t>
        </is>
      </c>
      <c r="N833" s="640" t="n"/>
      <c r="O833" s="640">
        <f>IF(AND(N833=1,L833=1),K833,"")</f>
        <v/>
      </c>
      <c r="P833" s="642" t="inlineStr">
        <is>
          <t>Московская область, Ленинский район, 23-ий км Киевского шоссе, а/д "Украина"(справа)</t>
        </is>
      </c>
      <c r="Q833" s="640" t="inlineStr">
        <is>
          <t>55.618876</t>
        </is>
      </c>
      <c r="R833" s="494" t="inlineStr">
        <is>
          <t>37.389731</t>
        </is>
      </c>
      <c r="S833" s="436" t="n"/>
      <c r="T833" s="436" t="n"/>
      <c r="U833" s="436" t="n"/>
      <c r="V833" s="438">
        <f>IF(AND(N833=1,U833=1),C833,"")</f>
        <v/>
      </c>
      <c r="W833" s="387" t="n"/>
      <c r="X833" s="387" t="n"/>
      <c r="Y833" s="387" t="n"/>
    </row>
    <row r="834" hidden="1" ht="16.05" customFormat="1" customHeight="1" s="126">
      <c r="A834" s="125" t="n">
        <v>1210</v>
      </c>
      <c r="B834" s="125" t="n"/>
      <c r="C834" s="130" t="inlineStr">
        <is>
          <t>Волгоград</t>
        </is>
      </c>
      <c r="D834" s="130" t="inlineStr">
        <is>
          <t>Волгоград</t>
        </is>
      </c>
      <c r="E834" s="130" t="n"/>
      <c r="F834" s="130" t="inlineStr">
        <is>
          <t>АЗС</t>
        </is>
      </c>
      <c r="G834" s="130" t="inlineStr">
        <is>
          <t>Роснефть</t>
        </is>
      </c>
      <c r="H834" s="131" t="inlineStr">
        <is>
          <t>АЗК 1</t>
        </is>
      </c>
      <c r="I834" s="637" t="inlineStr">
        <is>
          <t>RN_1</t>
        </is>
      </c>
      <c r="J834" s="637" t="inlineStr">
        <is>
          <t>VGG_RN_0001</t>
        </is>
      </c>
      <c r="K834" s="640" t="n">
        <v>1</v>
      </c>
      <c r="L834" s="640" t="n">
        <v>1</v>
      </c>
      <c r="M834" s="623" t="inlineStr">
        <is>
          <t>Samsung 32" вертикальный</t>
        </is>
      </c>
      <c r="N834" s="640" t="n"/>
      <c r="O834" s="640">
        <f>IF(AND(N834=1,L834=1),K834,"")</f>
        <v/>
      </c>
      <c r="P834" s="642" t="inlineStr">
        <is>
          <t>Волгоград, Дзержинский район,  Маршала Рокоссовского,175 (Мамаев Курган, поворот на Больничный  комплекс)</t>
        </is>
      </c>
      <c r="Q834" s="640" t="inlineStr">
        <is>
          <t>48.748102</t>
        </is>
      </c>
      <c r="R834" s="494" t="inlineStr">
        <is>
          <t>44.525736</t>
        </is>
      </c>
      <c r="S834" s="436" t="n"/>
      <c r="T834" s="436" t="n"/>
      <c r="U834" s="436" t="n"/>
      <c r="V834" s="438">
        <f>IF(AND(N834=1,U834=1),C834,"")</f>
        <v/>
      </c>
      <c r="W834" s="387" t="n"/>
      <c r="X834" s="387" t="n"/>
      <c r="Y834" s="387" t="n"/>
    </row>
    <row r="835" hidden="1" ht="16.05" customFormat="1" customHeight="1" s="126">
      <c r="A835" s="125" t="n">
        <v>1211</v>
      </c>
      <c r="B835" s="125" t="n"/>
      <c r="C835" s="130" t="inlineStr">
        <is>
          <t>Волгоград</t>
        </is>
      </c>
      <c r="D835" s="130" t="inlineStr">
        <is>
          <t>Волгоградская область</t>
        </is>
      </c>
      <c r="E835" s="130" t="n"/>
      <c r="F835" s="130" t="inlineStr">
        <is>
          <t>АЗС</t>
        </is>
      </c>
      <c r="G835" s="130" t="inlineStr">
        <is>
          <t>Роснефть</t>
        </is>
      </c>
      <c r="H835" s="131" t="inlineStr">
        <is>
          <t>АЗК 2</t>
        </is>
      </c>
      <c r="I835" s="637" t="inlineStr">
        <is>
          <t>RN_2</t>
        </is>
      </c>
      <c r="J835" s="637" t="inlineStr">
        <is>
          <t>VGG_RN_0002</t>
        </is>
      </c>
      <c r="K835" s="640" t="n">
        <v>1</v>
      </c>
      <c r="L835" s="640" t="n">
        <v>1</v>
      </c>
      <c r="M835" s="623" t="inlineStr">
        <is>
          <t>Samsung 32" вертикальный</t>
        </is>
      </c>
      <c r="N835" s="640" t="n"/>
      <c r="O835" s="640">
        <f>IF(AND(N835=1,L835=1),K835,"")</f>
        <v/>
      </c>
      <c r="P835" s="642" t="inlineStr">
        <is>
          <t>Волгоградская область, Городищенский район, 947+13 км трассы Москва-Волгоград (М6) (справа из Москвы)</t>
        </is>
      </c>
      <c r="Q835" s="640" t="inlineStr">
        <is>
          <t>48.858227</t>
        </is>
      </c>
      <c r="R835" s="494" t="inlineStr">
        <is>
          <t>44.344764</t>
        </is>
      </c>
      <c r="S835" s="436" t="n"/>
      <c r="T835" s="436" t="n"/>
      <c r="U835" s="436" t="n"/>
      <c r="V835" s="438">
        <f>IF(AND(N835=1,U835=1),C835,"")</f>
        <v/>
      </c>
      <c r="W835" s="387" t="n"/>
      <c r="X835" s="387" t="n"/>
      <c r="Y835" s="387" t="n"/>
    </row>
    <row r="836" hidden="1" ht="16.05" customFormat="1" customHeight="1" s="126">
      <c r="A836" s="125" t="n">
        <v>1212</v>
      </c>
      <c r="B836" s="125" t="n"/>
      <c r="C836" s="130" t="inlineStr">
        <is>
          <t>Волгоград</t>
        </is>
      </c>
      <c r="D836" s="130" t="inlineStr">
        <is>
          <t>Волгоград</t>
        </is>
      </c>
      <c r="E836" s="130" t="n"/>
      <c r="F836" s="130" t="inlineStr">
        <is>
          <t>АЗС</t>
        </is>
      </c>
      <c r="G836" s="130" t="inlineStr">
        <is>
          <t>Роснефть</t>
        </is>
      </c>
      <c r="H836" s="131" t="inlineStr">
        <is>
          <t>АЗК 3</t>
        </is>
      </c>
      <c r="I836" s="637" t="inlineStr">
        <is>
          <t>RN_3</t>
        </is>
      </c>
      <c r="J836" s="637" t="inlineStr">
        <is>
          <t>VGG_RN_0003</t>
        </is>
      </c>
      <c r="K836" s="640" t="n">
        <v>1</v>
      </c>
      <c r="L836" s="640" t="n">
        <v>1</v>
      </c>
      <c r="M836" s="623" t="inlineStr">
        <is>
          <t>Samsung 32" вертикальный</t>
        </is>
      </c>
      <c r="N836" s="640" t="n"/>
      <c r="O836" s="640">
        <f>IF(AND(N836=1,L836=1),K836,"")</f>
        <v/>
      </c>
      <c r="P836" s="642" t="inlineStr">
        <is>
          <t>Волгоград, Дзержинский район, проспект Маршала Жукова,24 (район «Белого Аиста»)</t>
        </is>
      </c>
      <c r="Q836" s="640" t="inlineStr">
        <is>
          <t>48.72362</t>
        </is>
      </c>
      <c r="R836" s="494" t="inlineStr">
        <is>
          <t>44.502925</t>
        </is>
      </c>
      <c r="S836" s="436" t="n"/>
      <c r="T836" s="436" t="n"/>
      <c r="U836" s="436" t="n"/>
      <c r="V836" s="438">
        <f>IF(AND(N836=1,U836=1),C836,"")</f>
        <v/>
      </c>
      <c r="W836" s="387" t="n"/>
      <c r="X836" s="387" t="n"/>
      <c r="Y836" s="387" t="n"/>
    </row>
    <row r="837" hidden="1" ht="16.05" customFormat="1" customHeight="1" s="126">
      <c r="A837" s="125" t="n">
        <v>1213</v>
      </c>
      <c r="B837" s="125" t="n"/>
      <c r="C837" s="130" t="inlineStr">
        <is>
          <t>Волгоград</t>
        </is>
      </c>
      <c r="D837" s="130" t="inlineStr">
        <is>
          <t>Волгоград</t>
        </is>
      </c>
      <c r="E837" s="130" t="n"/>
      <c r="F837" s="130" t="inlineStr">
        <is>
          <t>АЗС</t>
        </is>
      </c>
      <c r="G837" s="130" t="inlineStr">
        <is>
          <t>Роснефть</t>
        </is>
      </c>
      <c r="H837" s="131" t="inlineStr">
        <is>
          <t>АЗК 4</t>
        </is>
      </c>
      <c r="I837" s="637" t="inlineStr">
        <is>
          <t>RN_4</t>
        </is>
      </c>
      <c r="J837" s="637" t="inlineStr">
        <is>
          <t>VGG_RN_0004</t>
        </is>
      </c>
      <c r="K837" s="640" t="n">
        <v>1</v>
      </c>
      <c r="L837" s="640" t="n">
        <v>1</v>
      </c>
      <c r="M837" s="623" t="inlineStr">
        <is>
          <t>Samsung 32" вертикальный</t>
        </is>
      </c>
      <c r="N837" s="640" t="n"/>
      <c r="O837" s="640">
        <f>IF(AND(N837=1,L837=1),K837,"")</f>
        <v/>
      </c>
      <c r="P837" s="642" t="inlineStr">
        <is>
          <t>Волгоград, Тракторозаводской район,  Латошинская,44 (санаторий «Латошинка»,на Саратов) (справа из Волгограда)</t>
        </is>
      </c>
      <c r="Q837" s="640" t="inlineStr">
        <is>
          <t>48.858825</t>
        </is>
      </c>
      <c r="R837" s="494" t="inlineStr">
        <is>
          <t>44.650031</t>
        </is>
      </c>
      <c r="S837" s="436" t="n"/>
      <c r="T837" s="436" t="n"/>
      <c r="U837" s="436" t="n"/>
      <c r="V837" s="438">
        <f>IF(AND(N837=1,U837=1),C837,"")</f>
        <v/>
      </c>
      <c r="W837" s="387" t="n"/>
      <c r="X837" s="387" t="n"/>
      <c r="Y837" s="387" t="n"/>
    </row>
    <row r="838" hidden="1" ht="16.05" customFormat="1" customHeight="1" s="126">
      <c r="A838" s="125" t="n">
        <v>1214</v>
      </c>
      <c r="B838" s="125" t="n"/>
      <c r="C838" s="130" t="inlineStr">
        <is>
          <t>Волгоград</t>
        </is>
      </c>
      <c r="D838" s="130" t="inlineStr">
        <is>
          <t>Волгоград</t>
        </is>
      </c>
      <c r="E838" s="130" t="n"/>
      <c r="F838" s="130" t="inlineStr">
        <is>
          <t>АЗС</t>
        </is>
      </c>
      <c r="G838" s="130" t="inlineStr">
        <is>
          <t>Роснефть</t>
        </is>
      </c>
      <c r="H838" s="131" t="inlineStr">
        <is>
          <t>АЗК 5</t>
        </is>
      </c>
      <c r="I838" s="637" t="inlineStr">
        <is>
          <t>RN_5</t>
        </is>
      </c>
      <c r="J838" s="637" t="inlineStr">
        <is>
          <t>VGG_RN_0005</t>
        </is>
      </c>
      <c r="K838" s="640" t="n">
        <v>1</v>
      </c>
      <c r="L838" s="640" t="n">
        <v>1</v>
      </c>
      <c r="M838" s="623" t="inlineStr">
        <is>
          <t>Samsung 32" вертикальный</t>
        </is>
      </c>
      <c r="N838" s="640" t="n"/>
      <c r="O838" s="640">
        <f>IF(AND(N838=1,L838=1),K838,"")</f>
        <v/>
      </c>
      <c r="P838" s="642" t="inlineStr">
        <is>
          <t>Волгоград, Тракторозаводской район, проспект Ленина,173 А (перес. с  Тарифная)</t>
        </is>
      </c>
      <c r="Q838" s="640" t="inlineStr">
        <is>
          <t>48.786598</t>
        </is>
      </c>
      <c r="R838" s="494" t="inlineStr">
        <is>
          <t>44.589373</t>
        </is>
      </c>
      <c r="S838" s="436" t="n"/>
      <c r="T838" s="436" t="n"/>
      <c r="U838" s="436" t="n"/>
      <c r="V838" s="438">
        <f>IF(AND(N838=1,U838=1),C838,"")</f>
        <v/>
      </c>
      <c r="W838" s="387" t="n"/>
      <c r="X838" s="387" t="n"/>
      <c r="Y838" s="387" t="n"/>
    </row>
    <row r="839" hidden="1" ht="16.05" customFormat="1" customHeight="1" s="126">
      <c r="A839" s="125" t="n">
        <v>1215</v>
      </c>
      <c r="B839" s="125" t="n"/>
      <c r="C839" s="130" t="inlineStr">
        <is>
          <t>Волгоград</t>
        </is>
      </c>
      <c r="D839" s="130" t="inlineStr">
        <is>
          <t>Волгоград</t>
        </is>
      </c>
      <c r="E839" s="130" t="n"/>
      <c r="F839" s="130" t="inlineStr">
        <is>
          <t>АЗС</t>
        </is>
      </c>
      <c r="G839" s="130" t="inlineStr">
        <is>
          <t>Роснефть</t>
        </is>
      </c>
      <c r="H839" s="131" t="inlineStr">
        <is>
          <t>АЗК 6</t>
        </is>
      </c>
      <c r="I839" s="637" t="inlineStr">
        <is>
          <t>RN_6</t>
        </is>
      </c>
      <c r="J839" s="637" t="inlineStr">
        <is>
          <t>VGG_RN_0006</t>
        </is>
      </c>
      <c r="K839" s="640" t="n">
        <v>1</v>
      </c>
      <c r="L839" s="640" t="n">
        <v>1</v>
      </c>
      <c r="M839" s="623" t="inlineStr">
        <is>
          <t>Samsung 32" вертикальный</t>
        </is>
      </c>
      <c r="N839" s="640" t="n"/>
      <c r="O839" s="640">
        <f>IF(AND(N839=1,L839=1),K839,"")</f>
        <v/>
      </c>
      <c r="P839" s="642" t="inlineStr">
        <is>
          <t>Волгоград, Красноармейский район,  Фадеева, 9А (поворот на Элисту) (слева от Москвы)</t>
        </is>
      </c>
      <c r="Q839" s="640" t="inlineStr">
        <is>
          <t>48.513735</t>
        </is>
      </c>
      <c r="R839" s="494" t="inlineStr">
        <is>
          <t>44.557909</t>
        </is>
      </c>
      <c r="S839" s="436" t="n"/>
      <c r="T839" s="436" t="n"/>
      <c r="U839" s="436" t="n"/>
      <c r="V839" s="438">
        <f>IF(AND(N839=1,U839=1),C839,"")</f>
        <v/>
      </c>
      <c r="W839" s="387" t="n"/>
      <c r="X839" s="387" t="n"/>
      <c r="Y839" s="387" t="n"/>
    </row>
    <row r="840" hidden="1" ht="16.05" customFormat="1" customHeight="1" s="126">
      <c r="A840" s="125" t="n">
        <v>1216</v>
      </c>
      <c r="B840" s="125" t="n"/>
      <c r="C840" s="130" t="inlineStr">
        <is>
          <t>Волгоград</t>
        </is>
      </c>
      <c r="D840" s="130" t="inlineStr">
        <is>
          <t>Волгоград</t>
        </is>
      </c>
      <c r="E840" s="130" t="n"/>
      <c r="F840" s="130" t="inlineStr">
        <is>
          <t>АЗС</t>
        </is>
      </c>
      <c r="G840" s="130" t="inlineStr">
        <is>
          <t>Роснефть</t>
        </is>
      </c>
      <c r="H840" s="131" t="inlineStr">
        <is>
          <t>АЗК 7</t>
        </is>
      </c>
      <c r="I840" s="637" t="inlineStr">
        <is>
          <t>RN_7</t>
        </is>
      </c>
      <c r="J840" s="637" t="inlineStr">
        <is>
          <t>VGG_RN_0007</t>
        </is>
      </c>
      <c r="K840" s="640" t="n">
        <v>1</v>
      </c>
      <c r="L840" s="640" t="n">
        <v>1</v>
      </c>
      <c r="M840" s="623" t="inlineStr">
        <is>
          <t>Samsung 32" вертикальный</t>
        </is>
      </c>
      <c r="N840" s="640" t="n"/>
      <c r="O840" s="640">
        <f>IF(AND(N840=1,L840=1),K840,"")</f>
        <v/>
      </c>
      <c r="P840" s="642" t="inlineStr">
        <is>
          <t>Волгоград, Кировский район,  Лазоревая,291 (2-я Продольная -М6,район Вторчермета)</t>
        </is>
      </c>
      <c r="Q840" s="640" t="inlineStr">
        <is>
          <t>48.537331</t>
        </is>
      </c>
      <c r="R840" s="494" t="inlineStr">
        <is>
          <t>44.463622</t>
        </is>
      </c>
      <c r="S840" s="436" t="n"/>
      <c r="T840" s="436" t="n"/>
      <c r="U840" s="436" t="n"/>
      <c r="V840" s="438">
        <f>IF(AND(N840=1,U840=1),C840,"")</f>
        <v/>
      </c>
      <c r="W840" s="387" t="n"/>
      <c r="X840" s="387" t="n"/>
      <c r="Y840" s="387" t="n"/>
    </row>
    <row r="841" hidden="1" ht="16.05" customFormat="1" customHeight="1" s="126">
      <c r="A841" s="125" t="n">
        <v>1217</v>
      </c>
      <c r="B841" s="125" t="n"/>
      <c r="C841" s="130" t="inlineStr">
        <is>
          <t>Волгоград</t>
        </is>
      </c>
      <c r="D841" s="130" t="inlineStr">
        <is>
          <t>Волгоград</t>
        </is>
      </c>
      <c r="E841" s="130" t="n"/>
      <c r="F841" s="130" t="inlineStr">
        <is>
          <t>АЗС</t>
        </is>
      </c>
      <c r="G841" s="130" t="inlineStr">
        <is>
          <t>Роснефть</t>
        </is>
      </c>
      <c r="H841" s="131" t="inlineStr">
        <is>
          <t>АЗК 8</t>
        </is>
      </c>
      <c r="I841" s="637" t="inlineStr">
        <is>
          <t>RN_8</t>
        </is>
      </c>
      <c r="J841" s="637" t="inlineStr">
        <is>
          <t>VGG_RN_0008</t>
        </is>
      </c>
      <c r="K841" s="640" t="n">
        <v>1</v>
      </c>
      <c r="L841" s="640" t="n">
        <v>1</v>
      </c>
      <c r="M841" s="623" t="inlineStr">
        <is>
          <t>Samsung 32" вертикальный</t>
        </is>
      </c>
      <c r="N841" s="640" t="n"/>
      <c r="O841" s="640">
        <f>IF(AND(N841=1,L841=1),K841,"")</f>
        <v/>
      </c>
      <c r="P841" s="642" t="inlineStr">
        <is>
          <t>Волгоград,  Красноармейский район,  Кооперативная,27 (автовокзал «Южный»)</t>
        </is>
      </c>
      <c r="Q841" s="640" t="inlineStr">
        <is>
          <t>48.505504</t>
        </is>
      </c>
      <c r="R841" s="494" t="inlineStr">
        <is>
          <t>44.547118</t>
        </is>
      </c>
      <c r="S841" s="436" t="n"/>
      <c r="T841" s="436" t="n"/>
      <c r="U841" s="436" t="n"/>
      <c r="V841" s="438">
        <f>IF(AND(N841=1,U841=1),C841,"")</f>
        <v/>
      </c>
      <c r="W841" s="387" t="n"/>
      <c r="X841" s="387" t="n"/>
      <c r="Y841" s="387" t="n"/>
    </row>
    <row r="842" hidden="1" ht="16.05" customFormat="1" customHeight="1" s="126">
      <c r="A842" s="125" t="n">
        <v>1218</v>
      </c>
      <c r="B842" s="125" t="n"/>
      <c r="C842" s="130" t="inlineStr">
        <is>
          <t>Волгоград</t>
        </is>
      </c>
      <c r="D842" s="130" t="inlineStr">
        <is>
          <t>Волгоград</t>
        </is>
      </c>
      <c r="E842" s="130" t="n"/>
      <c r="F842" s="130" t="inlineStr">
        <is>
          <t>АЗС</t>
        </is>
      </c>
      <c r="G842" s="130" t="inlineStr">
        <is>
          <t>Роснефть</t>
        </is>
      </c>
      <c r="H842" s="131" t="inlineStr">
        <is>
          <t>АЗК 9</t>
        </is>
      </c>
      <c r="I842" s="637" t="inlineStr">
        <is>
          <t>RN_9</t>
        </is>
      </c>
      <c r="J842" s="637" t="inlineStr">
        <is>
          <t>VGG_RN_0009</t>
        </is>
      </c>
      <c r="K842" s="640" t="n">
        <v>1</v>
      </c>
      <c r="L842" s="640" t="n">
        <v>1</v>
      </c>
      <c r="M842" s="623" t="inlineStr">
        <is>
          <t>Samsung 32" вертикальный</t>
        </is>
      </c>
      <c r="N842" s="640" t="n"/>
      <c r="O842" s="640">
        <f>IF(AND(N842=1,L842=1),K842,"")</f>
        <v/>
      </c>
      <c r="P842" s="642" t="inlineStr">
        <is>
          <t>Волгоград, Красноармейский район,  Лазоревая, пересечение  Зеленоградская  (Краснодар, Лазоревая улица, 291)</t>
        </is>
      </c>
      <c r="Q842" s="640" t="inlineStr">
        <is>
          <t>48.537245</t>
        </is>
      </c>
      <c r="R842" s="494" t="inlineStr">
        <is>
          <t>44.463749</t>
        </is>
      </c>
      <c r="S842" s="436" t="n"/>
      <c r="T842" s="436" t="n"/>
      <c r="U842" s="436" t="n"/>
      <c r="V842" s="438">
        <f>IF(AND(N842=1,U842=1),C842,"")</f>
        <v/>
      </c>
      <c r="W842" s="387" t="n"/>
      <c r="X842" s="387" t="n"/>
      <c r="Y842" s="387" t="n"/>
    </row>
    <row r="843" hidden="1" ht="16.05" customFormat="1" customHeight="1" s="126">
      <c r="A843" s="125" t="n">
        <v>1219</v>
      </c>
      <c r="B843" s="125" t="n"/>
      <c r="C843" s="130" t="inlineStr">
        <is>
          <t>Волгоград</t>
        </is>
      </c>
      <c r="D843" s="130" t="inlineStr">
        <is>
          <t>Волгоград</t>
        </is>
      </c>
      <c r="E843" s="130" t="n"/>
      <c r="F843" s="130" t="inlineStr">
        <is>
          <t>АЗС</t>
        </is>
      </c>
      <c r="G843" s="130" t="inlineStr">
        <is>
          <t>Роснефть</t>
        </is>
      </c>
      <c r="H843" s="131" t="inlineStr">
        <is>
          <t>АЗК 10</t>
        </is>
      </c>
      <c r="I843" s="637" t="inlineStr">
        <is>
          <t>RN_10</t>
        </is>
      </c>
      <c r="J843" s="637" t="inlineStr">
        <is>
          <t>VGG_RN_0010</t>
        </is>
      </c>
      <c r="K843" s="640" t="n">
        <v>1</v>
      </c>
      <c r="L843" s="640" t="n">
        <v>1</v>
      </c>
      <c r="M843" s="623" t="inlineStr">
        <is>
          <t>Samsung 32" вертикальный</t>
        </is>
      </c>
      <c r="N843" s="640" t="n"/>
      <c r="O843" s="640">
        <f>IF(AND(N843=1,L843=1),K843,"")</f>
        <v/>
      </c>
      <c r="P843" s="642" t="inlineStr">
        <is>
          <t xml:space="preserve"> Волгоград, Дзержинский район,  Историческая 187г (около ТЦ «Metro»)</t>
        </is>
      </c>
      <c r="Q843" s="640" t="inlineStr">
        <is>
          <t>48.770474</t>
        </is>
      </c>
      <c r="R843" s="494" t="inlineStr">
        <is>
          <t>44.470936</t>
        </is>
      </c>
      <c r="S843" s="436" t="n"/>
      <c r="T843" s="436" t="n"/>
      <c r="U843" s="436" t="n"/>
      <c r="V843" s="438">
        <f>IF(AND(N843=1,U843=1),C843,"")</f>
        <v/>
      </c>
      <c r="W843" s="387" t="n"/>
      <c r="X843" s="387" t="n"/>
      <c r="Y843" s="387" t="n"/>
    </row>
    <row r="844" hidden="1" ht="16.05" customFormat="1" customHeight="1" s="126">
      <c r="A844" s="125" t="n">
        <v>1274</v>
      </c>
      <c r="B844" s="125" t="n"/>
      <c r="C844" s="130" t="inlineStr">
        <is>
          <t>Санкт-Петербург</t>
        </is>
      </c>
      <c r="D844" s="130" t="inlineStr">
        <is>
          <t>Санкт-Петербург</t>
        </is>
      </c>
      <c r="E844" s="130" t="n"/>
      <c r="F844" s="130" t="inlineStr">
        <is>
          <t>АЗС</t>
        </is>
      </c>
      <c r="G844" s="130" t="inlineStr">
        <is>
          <t>АЭРО</t>
        </is>
      </c>
      <c r="H844" s="131" t="inlineStr">
        <is>
          <t>АЗС № 324</t>
        </is>
      </c>
      <c r="I844" s="637" t="inlineStr">
        <is>
          <t>AERO_324</t>
        </is>
      </c>
      <c r="J844" s="637" t="inlineStr">
        <is>
          <t>AERO_324</t>
        </is>
      </c>
      <c r="K844" s="640" t="n">
        <v>1</v>
      </c>
      <c r="L844" s="640" t="n">
        <v>0</v>
      </c>
      <c r="M844" s="623" t="inlineStr">
        <is>
          <t>Samsung 32" вертикальный</t>
        </is>
      </c>
      <c r="N844" s="640" t="n"/>
      <c r="O844" s="640">
        <f>IF(AND(N844=1,L844=1),K844,"")</f>
        <v/>
      </c>
      <c r="P844" s="642" t="inlineStr">
        <is>
          <t>Санкт-Петербург, Наб. р. Пряжки 7а, лит.А</t>
        </is>
      </c>
      <c r="Q844" s="640" t="inlineStr">
        <is>
          <t>59.923405</t>
        </is>
      </c>
      <c r="R844" s="494" t="inlineStr">
        <is>
          <t>30.280527</t>
        </is>
      </c>
      <c r="S844" s="436" t="n"/>
      <c r="T844" s="436" t="n"/>
      <c r="U844" s="436" t="n"/>
      <c r="V844" s="438">
        <f>IF(AND(N844=1,U844=1),C844,"")</f>
        <v/>
      </c>
      <c r="W844" s="387" t="n"/>
      <c r="X844" s="387" t="n"/>
      <c r="Y844" s="387" t="n"/>
    </row>
    <row r="845" hidden="1" ht="16.05" customFormat="1" customHeight="1" s="126">
      <c r="A845" s="125" t="n">
        <v>1301</v>
      </c>
      <c r="B845" s="125" t="n"/>
      <c r="C845" s="130" t="inlineStr">
        <is>
          <t>Тверь</t>
        </is>
      </c>
      <c r="D845" s="130" t="inlineStr">
        <is>
          <t>Тверь</t>
        </is>
      </c>
      <c r="E845" s="130" t="n"/>
      <c r="F845" s="130" t="inlineStr">
        <is>
          <t>АЗС</t>
        </is>
      </c>
      <c r="G845" s="130" t="inlineStr">
        <is>
          <t>Роснефть</t>
        </is>
      </c>
      <c r="H845" s="131" t="n">
        <v>7</v>
      </c>
      <c r="I845" s="637" t="inlineStr">
        <is>
          <t>RN_7</t>
        </is>
      </c>
      <c r="J845" s="637" t="inlineStr">
        <is>
          <t>TVE_RN_0007</t>
        </is>
      </c>
      <c r="K845" s="640" t="n">
        <v>2</v>
      </c>
      <c r="L845" s="640" t="n">
        <v>1</v>
      </c>
      <c r="M845" s="623" t="inlineStr">
        <is>
          <t>Samsung 32" вертикальный</t>
        </is>
      </c>
      <c r="N845" s="640" t="n"/>
      <c r="O845" s="640">
        <f>IF(AND(N845=1,L845=1),K845,"")</f>
        <v/>
      </c>
      <c r="P845" s="642" t="inlineStr">
        <is>
          <t>Тверская область, 141 км а/д Москва-Санкт-Петербург</t>
        </is>
      </c>
      <c r="Q845" s="640" t="inlineStr">
        <is>
          <t>56.732808</t>
        </is>
      </c>
      <c r="R845" s="494" t="inlineStr">
        <is>
          <t>36.270605</t>
        </is>
      </c>
      <c r="S845" s="436" t="n"/>
      <c r="T845" s="436" t="n"/>
      <c r="U845" s="436" t="n"/>
      <c r="V845" s="438">
        <f>IF(AND(N845=1,U845=1),C845,"")</f>
        <v/>
      </c>
      <c r="W845" s="387" t="n"/>
      <c r="X845" s="387" t="n"/>
      <c r="Y845" s="387" t="n"/>
    </row>
    <row r="846" hidden="1" ht="16.05" customFormat="1" customHeight="1" s="126">
      <c r="A846" s="125" t="n">
        <v>1257</v>
      </c>
      <c r="B846" s="125" t="inlineStr">
        <is>
          <t>WF</t>
        </is>
      </c>
      <c r="C846" s="130" t="inlineStr">
        <is>
          <t>Владимир</t>
        </is>
      </c>
      <c r="D846" s="130" t="inlineStr">
        <is>
          <t>Владимир</t>
        </is>
      </c>
      <c r="E846" s="130" t="n"/>
      <c r="F846" s="130" t="inlineStr">
        <is>
          <t>АЗС</t>
        </is>
      </c>
      <c r="G846" s="130" t="inlineStr">
        <is>
          <t>Лукойл</t>
        </is>
      </c>
      <c r="H846" s="131" t="n">
        <v>72</v>
      </c>
      <c r="I846" s="637" t="n">
        <v>33072</v>
      </c>
      <c r="J846" s="402" t="inlineStr">
        <is>
          <t>VLA_LUK_33072</t>
        </is>
      </c>
      <c r="K846" s="640" t="n">
        <v>1</v>
      </c>
      <c r="L846" s="640" t="n">
        <v>0</v>
      </c>
      <c r="M846" s="640" t="inlineStr">
        <is>
          <t>1 октября</t>
        </is>
      </c>
      <c r="N846" s="640" t="n"/>
      <c r="O846" s="640">
        <f>IF(AND(N846=1,L846=1),K846,"")</f>
        <v/>
      </c>
      <c r="P846" s="642" t="inlineStr">
        <is>
          <t xml:space="preserve">Россия, 601446, Владимирская обл., Вязники, 297км +500м ФАДМ7 слева   </t>
        </is>
      </c>
      <c r="Q846" s="640" t="n">
        <v>56.22193</v>
      </c>
      <c r="R846" s="422" t="n">
        <v>42.14575</v>
      </c>
      <c r="S846" s="436" t="n"/>
      <c r="T846" s="436" t="n"/>
      <c r="U846" s="436" t="n"/>
      <c r="V846" s="438">
        <f>IF(AND(N846=1,U846=1),C846,"")</f>
        <v/>
      </c>
      <c r="W846" s="387" t="n"/>
      <c r="X846" s="1" t="n"/>
      <c r="Y846" s="1" t="n"/>
    </row>
    <row r="847" hidden="1" ht="16.05" customFormat="1" customHeight="1" s="126">
      <c r="A847" s="125" t="n">
        <v>1263</v>
      </c>
      <c r="B847" s="125" t="n"/>
      <c r="C847" s="130" t="inlineStr">
        <is>
          <t>Волгоград</t>
        </is>
      </c>
      <c r="D847" s="130" t="inlineStr">
        <is>
          <t>Светлоярский район</t>
        </is>
      </c>
      <c r="E847" s="130" t="n"/>
      <c r="F847" s="130" t="inlineStr">
        <is>
          <t>АЗС</t>
        </is>
      </c>
      <c r="G847" s="130" t="inlineStr">
        <is>
          <t>Лукойл</t>
        </is>
      </c>
      <c r="H847" s="131" t="inlineStr">
        <is>
          <t>АЗС-61</t>
        </is>
      </c>
      <c r="I847" s="637" t="n">
        <v>34483</v>
      </c>
      <c r="J847" s="637" t="inlineStr">
        <is>
          <t>VGG_LUK_34483</t>
        </is>
      </c>
      <c r="K847" s="640" t="n">
        <v>1</v>
      </c>
      <c r="L847" s="640" t="n">
        <v>0</v>
      </c>
      <c r="M847" s="640" t="inlineStr">
        <is>
          <t>Samsung 32" вертикальный</t>
        </is>
      </c>
      <c r="N847" s="640" t="n"/>
      <c r="O847" s="640">
        <f>IF(AND(N847=1,L847=1),K847,"")</f>
        <v/>
      </c>
      <c r="P847" s="642" t="inlineStr">
        <is>
          <t>Светлоярский район, р.п. Светлый Яр, по  Промышленной  1 км от поста ГАИ</t>
        </is>
      </c>
      <c r="Q847" s="640" t="inlineStr">
        <is>
          <t>48.4603227</t>
        </is>
      </c>
      <c r="R847" s="422" t="inlineStr">
        <is>
          <t>44.7783101</t>
        </is>
      </c>
      <c r="S847" s="436" t="n"/>
      <c r="T847" s="436" t="n"/>
      <c r="U847" s="436" t="n"/>
      <c r="V847" s="438">
        <f>IF(AND(N847=1,U847=1),C847,"")</f>
        <v/>
      </c>
      <c r="W847" s="387" t="n"/>
      <c r="X847" s="1" t="n"/>
      <c r="Y847" s="1" t="n"/>
    </row>
    <row r="848" hidden="1" ht="16.05" customFormat="1" customHeight="1" s="126">
      <c r="A848" s="125" t="n">
        <v>1264</v>
      </c>
      <c r="B848" s="125" t="n"/>
      <c r="C848" s="130" t="inlineStr">
        <is>
          <t>Волгоград</t>
        </is>
      </c>
      <c r="D848" s="130" t="inlineStr">
        <is>
          <t>Волгоград</t>
        </is>
      </c>
      <c r="E848" s="130" t="n"/>
      <c r="F848" s="130" t="inlineStr">
        <is>
          <t>АЗС</t>
        </is>
      </c>
      <c r="G848" s="130" t="inlineStr">
        <is>
          <t>Лукойл</t>
        </is>
      </c>
      <c r="H848" s="131" t="inlineStr">
        <is>
          <t>АЗС-96</t>
        </is>
      </c>
      <c r="I848" s="637" t="n">
        <v>34514</v>
      </c>
      <c r="J848" s="637" t="inlineStr">
        <is>
          <t>VGG_LUK_34514</t>
        </is>
      </c>
      <c r="K848" s="640" t="n">
        <v>1</v>
      </c>
      <c r="L848" s="640" t="n">
        <v>0</v>
      </c>
      <c r="M848" s="640" t="inlineStr">
        <is>
          <t>Samsung 32" вертикальный</t>
        </is>
      </c>
      <c r="N848" s="640" t="n"/>
      <c r="O848" s="640">
        <f>IF(AND(N848=1,L848=1),K848,"")</f>
        <v/>
      </c>
      <c r="P848" s="642" t="inlineStr">
        <is>
          <t>Городищенский р-он, пересечение третьей продольной и тр. "Волгоград-Саратов" (Волгоградская область, Городищенский район, поворот на ул Шурухина)</t>
        </is>
      </c>
      <c r="Q848" s="640" t="inlineStr">
        <is>
          <t>48.888817</t>
        </is>
      </c>
      <c r="R848" s="422" t="inlineStr">
        <is>
          <t>44.615992</t>
        </is>
      </c>
      <c r="S848" s="436" t="n"/>
      <c r="T848" s="436" t="n"/>
      <c r="U848" s="436" t="n"/>
      <c r="V848" s="438">
        <f>IF(AND(N848=1,U848=1),C848,"")</f>
        <v/>
      </c>
      <c r="W848" s="387" t="n"/>
      <c r="X848" s="1" t="n"/>
      <c r="Y848" s="1" t="n"/>
    </row>
    <row r="849" hidden="1" ht="16.05" customFormat="1" customHeight="1" s="126">
      <c r="A849" s="125" t="n">
        <v>1265</v>
      </c>
      <c r="B849" s="125" t="n"/>
      <c r="C849" s="130" t="inlineStr">
        <is>
          <t>Волгоград</t>
        </is>
      </c>
      <c r="D849" s="130" t="inlineStr">
        <is>
          <t>Волгоград</t>
        </is>
      </c>
      <c r="E849" s="130" t="n"/>
      <c r="F849" s="130" t="inlineStr">
        <is>
          <t>АЗС</t>
        </is>
      </c>
      <c r="G849" s="130" t="inlineStr">
        <is>
          <t>Лукойл</t>
        </is>
      </c>
      <c r="H849" s="131" t="inlineStr">
        <is>
          <t>АЗС-120</t>
        </is>
      </c>
      <c r="I849" s="637" t="n">
        <v>34420</v>
      </c>
      <c r="J849" s="637" t="inlineStr">
        <is>
          <t>VGG_LUK_34420</t>
        </is>
      </c>
      <c r="K849" s="640" t="n">
        <v>1</v>
      </c>
      <c r="L849" s="640" t="n">
        <v>0</v>
      </c>
      <c r="M849" s="640" t="inlineStr">
        <is>
          <t>Samsung 32" вертикальный</t>
        </is>
      </c>
      <c r="N849" s="640" t="n"/>
      <c r="O849" s="640">
        <f>IF(AND(N849=1,L849=1),K849,"")</f>
        <v/>
      </c>
      <c r="P849" s="642" t="inlineStr">
        <is>
          <t>Волгоград,  Марш.Рокоссовского 129Д</t>
        </is>
      </c>
      <c r="Q849" s="640" t="inlineStr">
        <is>
          <t>48.7308375</t>
        </is>
      </c>
      <c r="R849" s="422" t="inlineStr">
        <is>
          <t>44.5240206</t>
        </is>
      </c>
      <c r="S849" s="436" t="n"/>
      <c r="T849" s="436" t="n"/>
      <c r="U849" s="436" t="n"/>
      <c r="V849" s="438">
        <f>IF(AND(N849=1,U849=1),C849,"")</f>
        <v/>
      </c>
      <c r="W849" s="387" t="n"/>
      <c r="X849" s="1" t="n"/>
      <c r="Y849" s="1" t="n"/>
    </row>
    <row r="850" hidden="1" ht="16.05" customFormat="1" customHeight="1" s="126">
      <c r="A850" s="125" t="n">
        <v>1266</v>
      </c>
      <c r="B850" s="125" t="n"/>
      <c r="C850" s="130" t="inlineStr">
        <is>
          <t>Ростов-на-Дону</t>
        </is>
      </c>
      <c r="D850" s="130" t="inlineStr">
        <is>
          <t>Ростовская область</t>
        </is>
      </c>
      <c r="E850" s="130" t="n"/>
      <c r="F850" s="130" t="inlineStr">
        <is>
          <t>АЗС</t>
        </is>
      </c>
      <c r="G850" s="130" t="inlineStr">
        <is>
          <t>Лукойл</t>
        </is>
      </c>
      <c r="H850" s="131" t="n">
        <v>602</v>
      </c>
      <c r="I850" s="637" t="inlineStr">
        <is>
          <t>61360</t>
        </is>
      </c>
      <c r="J850" s="637" t="inlineStr">
        <is>
          <t>RND_LUK_61360</t>
        </is>
      </c>
      <c r="K850" s="640" t="n">
        <v>1</v>
      </c>
      <c r="L850" s="640" t="n">
        <v>0</v>
      </c>
      <c r="M850" s="640" t="inlineStr">
        <is>
          <t>Samsung 32" вертикальный</t>
        </is>
      </c>
      <c r="N850" s="640" t="n"/>
      <c r="O850" s="640">
        <f>IF(AND(N850=1,L850=1),K850,"")</f>
        <v/>
      </c>
      <c r="P850" s="642" t="inlineStr">
        <is>
          <t>Ростовская область, Аксайский район, автомагистрали М-4 Дон-2, 1074-й км (М-4 Дон, 1075-й километр, 4)</t>
        </is>
      </c>
      <c r="Q850" s="640" t="inlineStr">
        <is>
          <t>47.134067</t>
        </is>
      </c>
      <c r="R850" s="422" t="inlineStr">
        <is>
          <t>39.876694</t>
        </is>
      </c>
      <c r="S850" s="436" t="n"/>
      <c r="T850" s="436" t="n"/>
      <c r="U850" s="436" t="n"/>
      <c r="V850" s="438">
        <f>IF(AND(N850=1,U850=1),C850,"")</f>
        <v/>
      </c>
      <c r="W850" s="387" t="n"/>
      <c r="X850" s="1" t="n"/>
      <c r="Y850" s="1" t="n"/>
    </row>
    <row r="851" hidden="1" ht="16.05" customFormat="1" customHeight="1" s="126">
      <c r="A851" s="125" t="n">
        <v>1267</v>
      </c>
      <c r="B851" s="125" t="n"/>
      <c r="C851" s="130" t="inlineStr">
        <is>
          <t>Ростов-на-Дону</t>
        </is>
      </c>
      <c r="D851" s="130" t="inlineStr">
        <is>
          <t>Ростовская область</t>
        </is>
      </c>
      <c r="E851" s="130" t="n"/>
      <c r="F851" s="130" t="inlineStr">
        <is>
          <t>АЗС</t>
        </is>
      </c>
      <c r="G851" s="130" t="inlineStr">
        <is>
          <t>Лукойл</t>
        </is>
      </c>
      <c r="H851" s="131" t="n">
        <v>617</v>
      </c>
      <c r="I851" s="637" t="inlineStr">
        <is>
          <t>61305</t>
        </is>
      </c>
      <c r="J851" s="637" t="inlineStr">
        <is>
          <t>RND_LUK_61305</t>
        </is>
      </c>
      <c r="K851" s="640" t="n">
        <v>1</v>
      </c>
      <c r="L851" s="640" t="n">
        <v>0</v>
      </c>
      <c r="M851" s="640" t="inlineStr">
        <is>
          <t>Samsung 32" вертикальный</t>
        </is>
      </c>
      <c r="N851" s="640" t="n"/>
      <c r="O851" s="640">
        <f>IF(AND(N851=1,L851=1),K851,"")</f>
        <v/>
      </c>
      <c r="P851" s="642" t="inlineStr">
        <is>
          <t>Ростовская область, автодорога Ростов-на -Дону-Таганрог, 20-й км, +680 м, лево</t>
        </is>
      </c>
      <c r="Q851" s="640" t="inlineStr">
        <is>
          <t>47.282567</t>
        </is>
      </c>
      <c r="R851" s="422" t="inlineStr">
        <is>
          <t>39.425322</t>
        </is>
      </c>
      <c r="S851" s="436" t="n"/>
      <c r="T851" s="436" t="n"/>
      <c r="U851" s="436" t="n"/>
      <c r="V851" s="438">
        <f>IF(AND(N851=1,U851=1),C851,"")</f>
        <v/>
      </c>
      <c r="W851" s="387" t="n"/>
      <c r="X851" s="1" t="n"/>
      <c r="Y851" s="1" t="n"/>
    </row>
    <row r="852" hidden="1" ht="16.05" customFormat="1" customHeight="1" s="126">
      <c r="A852" s="125" t="n">
        <v>1268</v>
      </c>
      <c r="B852" s="125" t="n"/>
      <c r="C852" s="130" t="inlineStr">
        <is>
          <t>Санкт-Петербург</t>
        </is>
      </c>
      <c r="D852" s="130" t="inlineStr">
        <is>
          <t>Санкт-Петербург</t>
        </is>
      </c>
      <c r="E852" s="130" t="n"/>
      <c r="F852" s="130" t="inlineStr">
        <is>
          <t>АЗС</t>
        </is>
      </c>
      <c r="G852" s="130" t="inlineStr">
        <is>
          <t>АЭРО</t>
        </is>
      </c>
      <c r="H852" s="131" t="inlineStr">
        <is>
          <t>АЗС № 408</t>
        </is>
      </c>
      <c r="I852" s="637" t="inlineStr">
        <is>
          <t>AERO_408</t>
        </is>
      </c>
      <c r="J852" s="402" t="inlineStr">
        <is>
          <t>AERO_408</t>
        </is>
      </c>
      <c r="K852" s="640" t="n">
        <v>1</v>
      </c>
      <c r="L852" s="640" t="n">
        <v>0</v>
      </c>
      <c r="M852" s="640" t="inlineStr">
        <is>
          <t>Sam 32</t>
        </is>
      </c>
      <c r="N852" s="640" t="n"/>
      <c r="O852" s="640">
        <f>IF(AND(N852=1,L852=1),K852,"")</f>
        <v/>
      </c>
      <c r="P852" s="642" t="inlineStr">
        <is>
          <t>Санкт-Петербург, Савушкина 110, лит А</t>
        </is>
      </c>
      <c r="Q852" s="640" t="n">
        <v>59.984658</v>
      </c>
      <c r="R852" s="422" t="n">
        <v>30.22874</v>
      </c>
      <c r="S852" s="436" t="n"/>
      <c r="T852" s="436" t="n"/>
      <c r="U852" s="436" t="n"/>
      <c r="V852" s="438">
        <f>IF(AND(N852=1,U852=1),C852,"")</f>
        <v/>
      </c>
      <c r="W852" s="387" t="n"/>
      <c r="X852" s="1" t="n"/>
      <c r="Y852" s="1" t="n"/>
    </row>
    <row r="853" hidden="1" ht="16.05" customFormat="1" customHeight="1" s="126">
      <c r="A853" s="125" t="n">
        <v>1269</v>
      </c>
      <c r="B853" s="125" t="n"/>
      <c r="C853" s="130" t="inlineStr">
        <is>
          <t>Санкт-Петербург</t>
        </is>
      </c>
      <c r="D853" s="130" t="inlineStr">
        <is>
          <t>Санкт-Петербург</t>
        </is>
      </c>
      <c r="E853" s="130" t="n"/>
      <c r="F853" s="130" t="inlineStr">
        <is>
          <t>АЗС</t>
        </is>
      </c>
      <c r="G853" s="130" t="inlineStr">
        <is>
          <t>АЭРО</t>
        </is>
      </c>
      <c r="H853" s="131" t="inlineStr">
        <is>
          <t>АЗС Школьная</t>
        </is>
      </c>
      <c r="I853" s="637" t="inlineStr">
        <is>
          <t>AERO_Школьная</t>
        </is>
      </c>
      <c r="J853" s="402" t="inlineStr">
        <is>
          <t>AERO_Shkolnaya</t>
        </is>
      </c>
      <c r="K853" s="640" t="n">
        <v>1</v>
      </c>
      <c r="L853" s="640" t="n">
        <v>0</v>
      </c>
      <c r="M853" s="640" t="inlineStr">
        <is>
          <t>Sam 32</t>
        </is>
      </c>
      <c r="N853" s="640" t="n"/>
      <c r="O853" s="640">
        <f>IF(AND(N853=1,L853=1),K853,"")</f>
        <v/>
      </c>
      <c r="P853" s="642" t="inlineStr">
        <is>
          <t>Санкт-Петербург, Школьная 100, лит. А</t>
        </is>
      </c>
      <c r="Q853" s="640" t="n">
        <v>59.990768</v>
      </c>
      <c r="R853" s="422" t="n">
        <v>30.221377</v>
      </c>
      <c r="S853" s="436" t="n"/>
      <c r="T853" s="436" t="n"/>
      <c r="U853" s="436" t="n"/>
      <c r="V853" s="438">
        <f>IF(AND(N853=1,U853=1),C853,"")</f>
        <v/>
      </c>
      <c r="W853" s="387" t="n"/>
      <c r="X853" s="1" t="n"/>
      <c r="Y853" s="1" t="n"/>
    </row>
    <row r="854" hidden="1" ht="16.05" customFormat="1" customHeight="1" s="126">
      <c r="A854" s="125" t="n">
        <v>1270</v>
      </c>
      <c r="B854" s="125" t="n"/>
      <c r="C854" s="130" t="inlineStr">
        <is>
          <t>Санкт-Петербург</t>
        </is>
      </c>
      <c r="D854" s="130" t="inlineStr">
        <is>
          <t>Ленинградская область</t>
        </is>
      </c>
      <c r="E854" s="130" t="n"/>
      <c r="F854" s="130" t="inlineStr">
        <is>
          <t>АЗС</t>
        </is>
      </c>
      <c r="G854" s="130" t="inlineStr">
        <is>
          <t>АЭРО</t>
        </is>
      </c>
      <c r="H854" s="131" t="inlineStr">
        <is>
          <t>АЗС Кузьмолово</t>
        </is>
      </c>
      <c r="I854" s="637" t="inlineStr">
        <is>
          <t>AERO_Кузьмолово</t>
        </is>
      </c>
      <c r="J854" s="402" t="inlineStr">
        <is>
          <t>AERO_Kuzmolovo</t>
        </is>
      </c>
      <c r="K854" s="640" t="n">
        <v>1</v>
      </c>
      <c r="L854" s="640" t="n">
        <v>0</v>
      </c>
      <c r="M854" s="640" t="inlineStr">
        <is>
          <t>Sam 32</t>
        </is>
      </c>
      <c r="N854" s="640" t="n"/>
      <c r="O854" s="640">
        <f>IF(AND(N854=1,L854=1),K854,"")</f>
        <v/>
      </c>
      <c r="P854" s="642" t="inlineStr">
        <is>
          <t>Ленинградская область, п. Кузьмоловский Ленинградское ш., 1-А</t>
        </is>
      </c>
      <c r="Q854" s="640" t="n">
        <v>60.10784</v>
      </c>
      <c r="R854" s="422" t="n">
        <v>30.501406</v>
      </c>
      <c r="S854" s="436" t="n"/>
      <c r="T854" s="436" t="n"/>
      <c r="U854" s="436" t="n"/>
      <c r="V854" s="438">
        <f>IF(AND(N854=1,U854=1),C854,"")</f>
        <v/>
      </c>
      <c r="W854" s="387" t="n"/>
      <c r="X854" s="1" t="n"/>
      <c r="Y854" s="1" t="n"/>
    </row>
    <row r="855" hidden="1" ht="16.05" customFormat="1" customHeight="1" s="126">
      <c r="A855" s="125" t="n">
        <v>1271</v>
      </c>
      <c r="B855" s="125" t="n"/>
      <c r="C855" s="130" t="inlineStr">
        <is>
          <t>Санкт-Петербург</t>
        </is>
      </c>
      <c r="D855" s="130" t="inlineStr">
        <is>
          <t>Ленинградская область</t>
        </is>
      </c>
      <c r="E855" s="130" t="n"/>
      <c r="F855" s="130" t="n"/>
      <c r="G855" s="130" t="inlineStr">
        <is>
          <t>Фаэтон</t>
        </is>
      </c>
      <c r="H855" s="131" t="inlineStr">
        <is>
          <t>АЗС Елизаветинка</t>
        </is>
      </c>
      <c r="I855" s="637" t="inlineStr">
        <is>
          <t>FAET_Мурино</t>
        </is>
      </c>
      <c r="J855" s="402" t="inlineStr">
        <is>
          <t>PHAE_Murino</t>
        </is>
      </c>
      <c r="K855" s="640" t="n">
        <v>1</v>
      </c>
      <c r="L855" s="640" t="n">
        <v>0</v>
      </c>
      <c r="M855" s="640" t="inlineStr">
        <is>
          <t>Sam 32</t>
        </is>
      </c>
      <c r="N855" s="640" t="n"/>
      <c r="O855" s="640">
        <f>IF(AND(N855=1,L855=1),K855,"")</f>
        <v/>
      </c>
      <c r="P855" s="642" t="inlineStr">
        <is>
          <t>Ленинградская область, Всеволожский район, поселок Мурино, Заречная улица, 21</t>
        </is>
      </c>
      <c r="Q855" s="640" t="n">
        <v>60.048256</v>
      </c>
      <c r="R855" s="422" t="n">
        <v>30.465231</v>
      </c>
      <c r="S855" s="436" t="n"/>
      <c r="T855" s="436" t="n"/>
      <c r="U855" s="436" t="n"/>
      <c r="V855" s="438">
        <f>IF(AND(N855=1,U855=1),C855,"")</f>
        <v/>
      </c>
      <c r="W855" s="387" t="n"/>
      <c r="X855" s="1" t="n"/>
      <c r="Y855" s="1" t="n"/>
    </row>
    <row r="856" hidden="1" ht="16.05" customFormat="1" customHeight="1" s="126">
      <c r="A856" s="125" t="n">
        <v>1272</v>
      </c>
      <c r="B856" s="125" t="n"/>
      <c r="C856" s="130" t="inlineStr">
        <is>
          <t>Санкт-Петербург</t>
        </is>
      </c>
      <c r="D856" s="130" t="inlineStr">
        <is>
          <t>Санкт-Петербург</t>
        </is>
      </c>
      <c r="E856" s="130" t="n"/>
      <c r="F856" s="130" t="inlineStr">
        <is>
          <t>АЗС</t>
        </is>
      </c>
      <c r="G856" s="130" t="inlineStr">
        <is>
          <t>АЭРО</t>
        </is>
      </c>
      <c r="H856" s="131" t="inlineStr">
        <is>
          <t>АЗС Возрождение</t>
        </is>
      </c>
      <c r="I856" s="637" t="inlineStr">
        <is>
          <t>AERO_Возрождение</t>
        </is>
      </c>
      <c r="J856" s="637" t="inlineStr">
        <is>
          <t>AERO_Vozrozhdenie</t>
        </is>
      </c>
      <c r="K856" s="640" t="n">
        <v>1</v>
      </c>
      <c r="L856" s="640" t="n">
        <v>0</v>
      </c>
      <c r="M856" s="640" t="inlineStr">
        <is>
          <t>Samsung 32" вертикальный</t>
        </is>
      </c>
      <c r="N856" s="640" t="n"/>
      <c r="O856" s="640">
        <f>IF(AND(N856=1,L856=1),K856,"")</f>
        <v/>
      </c>
      <c r="P856" s="642" t="inlineStr">
        <is>
          <t>Санкт-Петербург, Возрождение 36а, Лит. А</t>
        </is>
      </c>
      <c r="Q856" s="640" t="inlineStr">
        <is>
          <t>59.879621</t>
        </is>
      </c>
      <c r="R856" s="422" t="inlineStr">
        <is>
          <t>30.279056</t>
        </is>
      </c>
      <c r="S856" s="436" t="n"/>
      <c r="T856" s="436" t="n"/>
      <c r="U856" s="436" t="n"/>
      <c r="V856" s="438">
        <f>IF(AND(N856=1,U856=1),C856,"")</f>
        <v/>
      </c>
      <c r="W856" s="387" t="n"/>
      <c r="X856" s="387" t="n"/>
      <c r="Y856" s="387" t="n"/>
    </row>
    <row r="857" hidden="1" ht="16.05" customFormat="1" customHeight="1" s="126">
      <c r="A857" s="125" t="n">
        <v>1273</v>
      </c>
      <c r="B857" s="125" t="n"/>
      <c r="C857" s="130" t="inlineStr">
        <is>
          <t>Санкт-Петербург</t>
        </is>
      </c>
      <c r="D857" s="130" t="inlineStr">
        <is>
          <t>Санкт-Петербург</t>
        </is>
      </c>
      <c r="E857" s="130" t="n"/>
      <c r="F857" s="130" t="inlineStr">
        <is>
          <t>АЗС</t>
        </is>
      </c>
      <c r="G857" s="130" t="inlineStr">
        <is>
          <t>АЭРО</t>
        </is>
      </c>
      <c r="H857" s="131" t="inlineStr">
        <is>
          <t>АЗС Лето</t>
        </is>
      </c>
      <c r="I857" s="637" t="inlineStr">
        <is>
          <t>AERO_22</t>
        </is>
      </c>
      <c r="J857" s="402" t="inlineStr">
        <is>
          <t>AERO_022</t>
        </is>
      </c>
      <c r="K857" s="640" t="n">
        <v>1</v>
      </c>
      <c r="L857" s="640" t="n">
        <v>0</v>
      </c>
      <c r="M857" s="640" t="inlineStr">
        <is>
          <t>Sam 32</t>
        </is>
      </c>
      <c r="N857" s="640" t="n"/>
      <c r="O857" s="640">
        <f>IF(AND(N857=1,L857=1),K857,"")</f>
        <v/>
      </c>
      <c r="P857" s="642" t="inlineStr">
        <is>
          <t>Санкт-Петербург, п. Шушары, Пулковское ш., д. 120, корп. 2, лит. А</t>
        </is>
      </c>
      <c r="Q857" s="640" t="n">
        <v>59.749251</v>
      </c>
      <c r="R857" s="422" t="n">
        <v>30.31609</v>
      </c>
      <c r="S857" s="436" t="n"/>
      <c r="T857" s="436" t="n"/>
      <c r="U857" s="436" t="n"/>
      <c r="V857" s="438">
        <f>IF(AND(N857=1,U857=1),C857,"")</f>
        <v/>
      </c>
      <c r="W857" s="387" t="n"/>
      <c r="X857" s="1" t="n"/>
      <c r="Y857" s="1" t="n"/>
    </row>
    <row r="858" hidden="1" ht="16.05" customFormat="1" customHeight="1" s="126">
      <c r="A858" s="125" t="n">
        <v>1303</v>
      </c>
      <c r="B858" s="125" t="n"/>
      <c r="C858" s="130" t="inlineStr">
        <is>
          <t>Тверь</t>
        </is>
      </c>
      <c r="D858" s="130" t="inlineStr">
        <is>
          <t>Тверская область</t>
        </is>
      </c>
      <c r="E858" s="130" t="n"/>
      <c r="F858" s="130" t="inlineStr">
        <is>
          <t>АЗС</t>
        </is>
      </c>
      <c r="G858" s="130" t="inlineStr">
        <is>
          <t>Роснефть</t>
        </is>
      </c>
      <c r="H858" s="131" t="n">
        <v>13</v>
      </c>
      <c r="I858" s="637" t="inlineStr">
        <is>
          <t>RN_13</t>
        </is>
      </c>
      <c r="J858" s="637" t="inlineStr">
        <is>
          <t>TVE_RN_0013</t>
        </is>
      </c>
      <c r="K858" s="640" t="n">
        <v>1</v>
      </c>
      <c r="L858" s="640" t="n">
        <v>1</v>
      </c>
      <c r="M858" s="623" t="inlineStr">
        <is>
          <t>Samsung 32" вертикальный</t>
        </is>
      </c>
      <c r="N858" s="640" t="n"/>
      <c r="O858" s="640">
        <f>IF(AND(N858=1,L858=1),K858,"")</f>
        <v/>
      </c>
      <c r="P858" s="642" t="inlineStr">
        <is>
          <t>Тверская область, 165 км+850 м (право) а/д Москва-Санкт-Петербург</t>
        </is>
      </c>
      <c r="Q858" s="640" t="inlineStr">
        <is>
          <t>56.793737</t>
        </is>
      </c>
      <c r="R858" s="494" t="inlineStr">
        <is>
          <t>35.890345</t>
        </is>
      </c>
      <c r="S858" s="436" t="n"/>
      <c r="T858" s="436" t="n"/>
      <c r="U858" s="436" t="n"/>
      <c r="V858" s="438">
        <f>IF(AND(N858=1,U858=1),C858,"")</f>
        <v/>
      </c>
      <c r="W858" s="387" t="n"/>
      <c r="X858" s="387" t="n"/>
      <c r="Y858" s="387" t="n"/>
    </row>
    <row r="859" hidden="1" ht="16.05" customFormat="1" customHeight="1" s="126">
      <c r="A859" s="125" t="n">
        <v>1275</v>
      </c>
      <c r="B859" s="125" t="n"/>
      <c r="C859" s="130" t="inlineStr">
        <is>
          <t>Санкт-Петербург</t>
        </is>
      </c>
      <c r="D859" s="130" t="inlineStr">
        <is>
          <t>Санкт-Петербург</t>
        </is>
      </c>
      <c r="E859" s="130" t="n"/>
      <c r="F859" s="130" t="inlineStr">
        <is>
          <t>АЗС</t>
        </is>
      </c>
      <c r="G859" s="130" t="inlineStr">
        <is>
          <t>АЭРО</t>
        </is>
      </c>
      <c r="H859" s="131" t="inlineStr">
        <is>
          <t>АЗС № 433</t>
        </is>
      </c>
      <c r="I859" s="637" t="inlineStr">
        <is>
          <t>AERO_433</t>
        </is>
      </c>
      <c r="J859" s="402" t="inlineStr">
        <is>
          <t>AERO_433</t>
        </is>
      </c>
      <c r="K859" s="640" t="n">
        <v>1</v>
      </c>
      <c r="L859" s="640" t="n">
        <v>0</v>
      </c>
      <c r="M859" s="640" t="inlineStr">
        <is>
          <t>Sam 32</t>
        </is>
      </c>
      <c r="N859" s="640" t="n"/>
      <c r="O859" s="640">
        <f>IF(AND(N859=1,L859=1),K859,"")</f>
        <v/>
      </c>
      <c r="P859" s="642" t="inlineStr">
        <is>
          <t>Софийская 85,Лит.А</t>
        </is>
      </c>
      <c r="Q859" s="640" t="n">
        <v>59.845574</v>
      </c>
      <c r="R859" s="422" t="n">
        <v>30.43029</v>
      </c>
      <c r="S859" s="436" t="n"/>
      <c r="T859" s="436" t="n"/>
      <c r="U859" s="436" t="n"/>
      <c r="V859" s="438">
        <f>IF(AND(N859=1,U859=1),C859,"")</f>
        <v/>
      </c>
      <c r="W859" s="387" t="n"/>
      <c r="X859" s="1" t="n"/>
      <c r="Y859" s="1" t="n"/>
    </row>
    <row r="860" hidden="1" ht="16.05" customFormat="1" customHeight="1" s="126">
      <c r="A860" s="125" t="n">
        <v>1277</v>
      </c>
      <c r="B860" s="125" t="n"/>
      <c r="C860" s="130" t="inlineStr">
        <is>
          <t>Санкт-Петербург</t>
        </is>
      </c>
      <c r="D860" s="130" t="inlineStr">
        <is>
          <t>Санкт-Петербург</t>
        </is>
      </c>
      <c r="E860" s="130" t="n"/>
      <c r="F860" s="130" t="inlineStr">
        <is>
          <t>АЗС</t>
        </is>
      </c>
      <c r="G860" s="130" t="inlineStr">
        <is>
          <t>АЭРО</t>
        </is>
      </c>
      <c r="H860" s="131" t="inlineStr">
        <is>
          <t>АЗС № 381</t>
        </is>
      </c>
      <c r="I860" s="637" t="inlineStr">
        <is>
          <t>AERO_381</t>
        </is>
      </c>
      <c r="J860" s="637" t="inlineStr">
        <is>
          <t>AERO_381_навсегда</t>
        </is>
      </c>
      <c r="K860" s="640" t="n">
        <v>1</v>
      </c>
      <c r="L860" s="640" t="n">
        <v>0</v>
      </c>
      <c r="M860" s="640" t="inlineStr">
        <is>
          <t>Samsung 32" вертикальный</t>
        </is>
      </c>
      <c r="N860" s="640" t="n"/>
      <c r="O860" s="640">
        <f>IF(AND(N860=1,L860=1),K860,"")</f>
        <v/>
      </c>
      <c r="P860" s="642" t="inlineStr">
        <is>
          <t>Коломяжский пр.,31, лит.А</t>
        </is>
      </c>
      <c r="Q860" s="640" t="n">
        <v>60.014267</v>
      </c>
      <c r="R860" s="422" t="n">
        <v>30.294913</v>
      </c>
      <c r="S860" s="436" t="n"/>
      <c r="T860" s="436" t="n"/>
      <c r="U860" s="436" t="n"/>
      <c r="V860" s="438">
        <f>IF(AND(N860=1,U860=1),C860,"")</f>
        <v/>
      </c>
      <c r="W860" s="387" t="n"/>
      <c r="X860" s="1" t="n"/>
      <c r="Y860" s="1" t="n"/>
    </row>
    <row r="861" hidden="1" ht="16.05" customHeight="1">
      <c r="A861" s="13" t="n">
        <v>1278</v>
      </c>
      <c r="B861" s="13">
        <f>IF(OR(M861="Sam 32",M861="Sam 40"),"s",IF(M861="AMS","a","v"))</f>
        <v/>
      </c>
      <c r="C861" s="130" t="inlineStr">
        <is>
          <t>СПБ</t>
        </is>
      </c>
      <c r="D861" s="130" t="inlineStr">
        <is>
          <t>СПБ</t>
        </is>
      </c>
      <c r="E861" s="130" t="n"/>
      <c r="F861" s="130" t="n"/>
      <c r="G861" s="130" t="inlineStr">
        <is>
          <t>Фаэтон</t>
        </is>
      </c>
      <c r="H861" s="131" t="inlineStr">
        <is>
          <t>Детскосельский/Ф</t>
        </is>
      </c>
      <c r="I861" s="637" t="inlineStr">
        <is>
          <t>FAET_Детскосельский</t>
        </is>
      </c>
      <c r="J861" s="402" t="n"/>
      <c r="K861" s="640" t="n">
        <v>0</v>
      </c>
      <c r="L861" s="640" t="n">
        <v>0</v>
      </c>
      <c r="M861" s="640" t="inlineStr">
        <is>
          <t>Sam 32</t>
        </is>
      </c>
      <c r="N861" s="640" t="n"/>
      <c r="O861" s="640">
        <f>IF(AND(N861=1,L861=1),K861,"")</f>
        <v/>
      </c>
      <c r="P861" s="642" t="inlineStr">
        <is>
          <t>СПБ, поселок Шушары, Детскосельский, Колпинское шоссе, дом 117, лит. А</t>
        </is>
      </c>
      <c r="Q861" s="640" t="n"/>
      <c r="R861" s="422" t="n"/>
      <c r="S861" s="436" t="n"/>
      <c r="T861" s="436" t="n"/>
      <c r="U861" s="436" t="n"/>
      <c r="V861" s="438">
        <f>IF(AND(N861=1,U861=1),C861,"")</f>
        <v/>
      </c>
      <c r="X861" s="1" t="n"/>
      <c r="Y861" s="1" t="n"/>
      <c r="Z861" s="1" t="n"/>
    </row>
    <row r="862" hidden="1" ht="16.05" customFormat="1" customHeight="1" s="126">
      <c r="A862" s="125" t="n">
        <v>1279</v>
      </c>
      <c r="B862" s="125" t="n"/>
      <c r="C862" s="130" t="inlineStr">
        <is>
          <t>Санкт-Петербург</t>
        </is>
      </c>
      <c r="D862" s="130" t="inlineStr">
        <is>
          <t>Санкт-Петербург</t>
        </is>
      </c>
      <c r="E862" s="130" t="n"/>
      <c r="F862" s="130" t="inlineStr">
        <is>
          <t>АЗС</t>
        </is>
      </c>
      <c r="G862" s="130" t="inlineStr">
        <is>
          <t>Фаэтон</t>
        </is>
      </c>
      <c r="H862" s="131" t="inlineStr">
        <is>
          <t>Волхонка/Ф</t>
        </is>
      </c>
      <c r="I862" s="637" t="inlineStr">
        <is>
          <t>FAET_Волхонка</t>
        </is>
      </c>
      <c r="J862" s="402" t="inlineStr">
        <is>
          <t>PHAE_Volkhonka</t>
        </is>
      </c>
      <c r="K862" s="640" t="n">
        <v>1</v>
      </c>
      <c r="L862" s="640" t="n">
        <v>0</v>
      </c>
      <c r="M862" s="640" t="inlineStr">
        <is>
          <t>Sam 32</t>
        </is>
      </c>
      <c r="N862" s="640" t="n"/>
      <c r="O862" s="640">
        <f>IF(AND(N862=1,L862=1),K862,"")</f>
        <v/>
      </c>
      <c r="P862" s="642" t="inlineStr">
        <is>
          <t>Санкт-Петербург, Волхонское шоссе, дом 115, кор. 5, лит. А</t>
        </is>
      </c>
      <c r="Q862" s="640" t="n">
        <v>59.80617</v>
      </c>
      <c r="R862" s="422" t="n">
        <v>30.138278</v>
      </c>
      <c r="S862" s="436" t="n"/>
      <c r="T862" s="436" t="n"/>
      <c r="U862" s="436" t="n"/>
      <c r="V862" s="438">
        <f>IF(AND(N862=1,U862=1),C862,"")</f>
        <v/>
      </c>
      <c r="W862" s="387" t="n"/>
      <c r="X862" s="1" t="n"/>
      <c r="Y862" s="1" t="n"/>
    </row>
    <row r="863" hidden="1" ht="16.05" customFormat="1" customHeight="1" s="126">
      <c r="A863" s="125" t="n">
        <v>1280</v>
      </c>
      <c r="B863" s="125" t="n"/>
      <c r="C863" s="130" t="inlineStr">
        <is>
          <t>Санкт-Петербург</t>
        </is>
      </c>
      <c r="D863" s="130" t="inlineStr">
        <is>
          <t>Санкт-Петербург</t>
        </is>
      </c>
      <c r="E863" s="130" t="n"/>
      <c r="F863" s="130" t="inlineStr">
        <is>
          <t>АЗС</t>
        </is>
      </c>
      <c r="G863" s="130" t="inlineStr">
        <is>
          <t>Фаэтон</t>
        </is>
      </c>
      <c r="H863" s="131" t="inlineStr">
        <is>
          <t>331/Ф</t>
        </is>
      </c>
      <c r="I863" s="637" t="inlineStr">
        <is>
          <t>FAET_331</t>
        </is>
      </c>
      <c r="J863" s="402" t="inlineStr">
        <is>
          <t>PHAE_331</t>
        </is>
      </c>
      <c r="K863" s="640" t="n">
        <v>1</v>
      </c>
      <c r="L863" s="640" t="n">
        <v>0</v>
      </c>
      <c r="M863" s="640" t="inlineStr">
        <is>
          <t>Sam 32</t>
        </is>
      </c>
      <c r="N863" s="640" t="n"/>
      <c r="O863" s="640">
        <f>IF(AND(N863=1,L863=1),K863,"")</f>
        <v/>
      </c>
      <c r="P863" s="642" t="inlineStr">
        <is>
          <t>Санкт-Петербург, Циолковского, д.18, лит. Я</t>
        </is>
      </c>
      <c r="Q863" s="640" t="n">
        <v>59.909796</v>
      </c>
      <c r="R863" s="422" t="n">
        <v>30.289764</v>
      </c>
      <c r="S863" s="436" t="n"/>
      <c r="T863" s="436" t="n"/>
      <c r="U863" s="436" t="n"/>
      <c r="V863" s="438">
        <f>IF(AND(N863=1,U863=1),C863,"")</f>
        <v/>
      </c>
      <c r="W863" s="387" t="n"/>
      <c r="X863" s="1" t="n"/>
      <c r="Y863" s="1" t="n"/>
    </row>
    <row r="864" hidden="1" ht="16.05" customHeight="1">
      <c r="A864" s="13" t="n">
        <v>1281</v>
      </c>
      <c r="B864" s="13">
        <f>IF(OR(M864="Sam 32",M864="Sam 40"),"s",IF(M864="AMS","a","v"))</f>
        <v/>
      </c>
      <c r="C864" s="130" t="inlineStr">
        <is>
          <t>Санкт-Петербург</t>
        </is>
      </c>
      <c r="D864" s="130" t="inlineStr">
        <is>
          <t>Санкт-Петербург</t>
        </is>
      </c>
      <c r="E864" s="130" t="n"/>
      <c r="F864" s="130" t="n"/>
      <c r="G864" s="130" t="inlineStr">
        <is>
          <t>Фаэтон</t>
        </is>
      </c>
      <c r="H864" s="131" t="inlineStr">
        <is>
          <t>Липовая/Ф</t>
        </is>
      </c>
      <c r="I864" s="637" t="inlineStr">
        <is>
          <t>FAET_Липовая</t>
        </is>
      </c>
      <c r="J864" s="402" t="n"/>
      <c r="K864" s="640" t="n">
        <v>1</v>
      </c>
      <c r="L864" s="640" t="n">
        <v>0</v>
      </c>
      <c r="M864" s="640" t="inlineStr">
        <is>
          <t>Sam 32</t>
        </is>
      </c>
      <c r="N864" s="640" t="n"/>
      <c r="O864" s="640">
        <f>IF(AND(N864=1,L864=1),K864,"")</f>
        <v/>
      </c>
      <c r="P864" s="642" t="inlineStr">
        <is>
          <t>Санкт-Петербург, Липовая аллея, д. 12, лит. А</t>
        </is>
      </c>
      <c r="Q864" s="640" t="n"/>
      <c r="R864" s="422" t="n"/>
      <c r="S864" s="436" t="n"/>
      <c r="T864" s="436" t="n"/>
      <c r="U864" s="436" t="n"/>
      <c r="V864" s="438">
        <f>IF(AND(N864=1,U864=1),C864,"")</f>
        <v/>
      </c>
      <c r="X864" s="1" t="n"/>
      <c r="Y864" s="1" t="n"/>
      <c r="Z864" s="1" t="n"/>
    </row>
    <row r="865" hidden="1" ht="16.05" customFormat="1" customHeight="1" s="126">
      <c r="A865" s="125" t="n">
        <v>1282</v>
      </c>
      <c r="B865" s="125" t="n"/>
      <c r="C865" s="130" t="inlineStr">
        <is>
          <t>Санкт-Петербург</t>
        </is>
      </c>
      <c r="D865" s="130" t="inlineStr">
        <is>
          <t>Ленинградская область</t>
        </is>
      </c>
      <c r="E865" s="130" t="n"/>
      <c r="F865" s="130" t="inlineStr">
        <is>
          <t>АЗС</t>
        </is>
      </c>
      <c r="G865" s="130" t="inlineStr">
        <is>
          <t>Фаэтон</t>
        </is>
      </c>
      <c r="H865" s="131" t="inlineStr">
        <is>
          <t>46/Ф</t>
        </is>
      </c>
      <c r="I865" s="637" t="inlineStr">
        <is>
          <t>FAET_46</t>
        </is>
      </c>
      <c r="J865" s="637" t="inlineStr">
        <is>
          <t>PHAE_46</t>
        </is>
      </c>
      <c r="K865" s="640" t="n">
        <v>1</v>
      </c>
      <c r="L865" s="640" t="n">
        <v>0</v>
      </c>
      <c r="M865" s="640" t="inlineStr">
        <is>
          <t>Samsung 32" вертикальный</t>
        </is>
      </c>
      <c r="N865" s="640" t="n"/>
      <c r="O865" s="640">
        <f>IF(AND(N865=1,L865=1),K865,"")</f>
        <v/>
      </c>
      <c r="P865" s="642" t="inlineStr">
        <is>
          <t>Ленинградская область, Тосненский район, г. Тосно, шоссе Московское, 53 км</t>
        </is>
      </c>
      <c r="Q865" s="640" t="n">
        <v>59.56559</v>
      </c>
      <c r="R865" s="422" t="n">
        <v>30.8333</v>
      </c>
      <c r="S865" s="436" t="n"/>
      <c r="T865" s="436" t="n"/>
      <c r="U865" s="436" t="n"/>
      <c r="V865" s="438">
        <f>IF(AND(N865=1,U865=1),C865,"")</f>
        <v/>
      </c>
      <c r="W865" s="387" t="n"/>
      <c r="X865" s="1" t="n"/>
      <c r="Y865" s="1" t="n"/>
    </row>
    <row r="866" hidden="1" ht="16.05" customFormat="1" customHeight="1" s="126">
      <c r="A866" s="125" t="n">
        <v>1283</v>
      </c>
      <c r="B866" s="125" t="n"/>
      <c r="C866" s="130" t="inlineStr">
        <is>
          <t>Санкт-Петербург</t>
        </is>
      </c>
      <c r="D866" s="130" t="inlineStr">
        <is>
          <t>Санкт-Петербург</t>
        </is>
      </c>
      <c r="E866" s="130" t="n"/>
      <c r="F866" s="130" t="inlineStr">
        <is>
          <t>АЗС</t>
        </is>
      </c>
      <c r="G866" s="130" t="inlineStr">
        <is>
          <t>Фаэтон</t>
        </is>
      </c>
      <c r="H866" s="131" t="inlineStr">
        <is>
          <t>88/Ф</t>
        </is>
      </c>
      <c r="I866" s="637" t="inlineStr">
        <is>
          <t>FAET_88</t>
        </is>
      </c>
      <c r="J866" s="637" t="inlineStr">
        <is>
          <t>PHAE_88</t>
        </is>
      </c>
      <c r="K866" s="640" t="n">
        <v>1</v>
      </c>
      <c r="L866" s="640" t="n">
        <v>0</v>
      </c>
      <c r="M866" s="640" t="inlineStr">
        <is>
          <t>Samsung 32" вертикальный</t>
        </is>
      </c>
      <c r="N866" s="640" t="n"/>
      <c r="O866" s="640">
        <f>IF(AND(N866=1,L866=1),K866,"")</f>
        <v/>
      </c>
      <c r="P866" s="642" t="inlineStr">
        <is>
          <t>Санкт-Петербург, Объездное шоссе, д. 15, лит. А</t>
        </is>
      </c>
      <c r="Q866" s="640" t="n">
        <v>59.954287</v>
      </c>
      <c r="R866" s="422" t="n">
        <v>30.454003</v>
      </c>
      <c r="S866" s="436" t="n"/>
      <c r="T866" s="436" t="n"/>
      <c r="U866" s="436" t="n"/>
      <c r="V866" s="438">
        <f>IF(AND(N866=1,U866=1),C866,"")</f>
        <v/>
      </c>
      <c r="W866" s="387" t="n"/>
      <c r="X866" s="1" t="n"/>
      <c r="Y866" s="1" t="n"/>
    </row>
    <row r="867" hidden="1" ht="16.05" customFormat="1" customHeight="1" s="126">
      <c r="A867" s="125" t="n">
        <v>1284</v>
      </c>
      <c r="B867" s="125" t="n"/>
      <c r="C867" s="130" t="inlineStr">
        <is>
          <t>Санкт-Петербург</t>
        </is>
      </c>
      <c r="D867" s="130" t="inlineStr">
        <is>
          <t>Сосновый Бор</t>
        </is>
      </c>
      <c r="E867" s="130" t="n"/>
      <c r="F867" s="130" t="inlineStr">
        <is>
          <t>АЗС</t>
        </is>
      </c>
      <c r="G867" s="130" t="inlineStr">
        <is>
          <t>Фаэтон</t>
        </is>
      </c>
      <c r="H867" s="131" t="inlineStr">
        <is>
          <t>Сосновый Бор/Ф</t>
        </is>
      </c>
      <c r="I867" s="637" t="inlineStr">
        <is>
          <t>FAET_Сосновый Бор</t>
        </is>
      </c>
      <c r="J867" s="402" t="inlineStr">
        <is>
          <t>PHAE_Sosnoviy_Bor</t>
        </is>
      </c>
      <c r="K867" s="640" t="n">
        <v>1</v>
      </c>
      <c r="L867" s="640" t="n">
        <v>0</v>
      </c>
      <c r="M867" s="640" t="inlineStr">
        <is>
          <t>Sam 32</t>
        </is>
      </c>
      <c r="N867" s="640" t="n"/>
      <c r="O867" s="640">
        <f>IF(AND(N867=1,L867=1),K867,"")</f>
        <v/>
      </c>
      <c r="P867" s="642" t="inlineStr">
        <is>
          <t>Ленинградская область, г. Сосновый Бор, пересечение улицы Ленинградской и дороги на Биостанцию</t>
        </is>
      </c>
      <c r="Q867" s="640" t="n">
        <v>59.902225</v>
      </c>
      <c r="R867" s="422" t="n">
        <v>29.067249</v>
      </c>
      <c r="S867" s="436" t="n"/>
      <c r="T867" s="436" t="n"/>
      <c r="U867" s="436" t="n"/>
      <c r="V867" s="438">
        <f>IF(AND(N867=1,U867=1),C867,"")</f>
        <v/>
      </c>
      <c r="W867" s="387" t="n"/>
      <c r="X867" s="1" t="n"/>
      <c r="Y867" s="1" t="n"/>
    </row>
    <row r="868" hidden="1" ht="16.05" customFormat="1" customHeight="1" s="126">
      <c r="A868" s="125" t="n">
        <v>1285</v>
      </c>
      <c r="B868" s="125" t="n"/>
      <c r="C868" s="130" t="inlineStr">
        <is>
          <t>Санкт-Петербург</t>
        </is>
      </c>
      <c r="D868" s="130" t="inlineStr">
        <is>
          <t>Санкт-Петербург</t>
        </is>
      </c>
      <c r="E868" s="130" t="n"/>
      <c r="F868" s="130" t="n"/>
      <c r="G868" s="130" t="inlineStr">
        <is>
          <t>Фаэтон</t>
        </is>
      </c>
      <c r="H868" s="131" t="inlineStr">
        <is>
          <t>323/Ф</t>
        </is>
      </c>
      <c r="I868" s="637" t="inlineStr">
        <is>
          <t>FAET_323</t>
        </is>
      </c>
      <c r="J868" s="402" t="inlineStr">
        <is>
          <t>PHAE_323 Навсегда</t>
        </is>
      </c>
      <c r="K868" s="640" t="n">
        <v>1</v>
      </c>
      <c r="L868" s="640" t="n">
        <v>0</v>
      </c>
      <c r="M868" s="640" t="inlineStr">
        <is>
          <t>Sam 32</t>
        </is>
      </c>
      <c r="N868" s="640" t="n"/>
      <c r="O868" s="640">
        <f>IF(AND(N868=1,L868=1),K868,"")</f>
        <v/>
      </c>
      <c r="P868" s="642" t="inlineStr">
        <is>
          <t>Санкт-Петербург, Витебский проспект, дом 47б</t>
        </is>
      </c>
      <c r="Q868" s="640" t="n">
        <v>59.852235</v>
      </c>
      <c r="R868" s="422" t="n">
        <v>30.364167</v>
      </c>
      <c r="S868" s="436" t="n"/>
      <c r="T868" s="436" t="n"/>
      <c r="U868" s="436" t="n"/>
      <c r="V868" s="438">
        <f>IF(AND(N868=1,U868=1),C868,"")</f>
        <v/>
      </c>
      <c r="W868" s="387" t="n"/>
      <c r="X868" s="1" t="n"/>
      <c r="Y868" s="1" t="n"/>
    </row>
    <row r="869" hidden="1" ht="16.05" customFormat="1" customHeight="1" s="126">
      <c r="A869" s="125" t="n">
        <v>1286</v>
      </c>
      <c r="B869" s="125">
        <f>IF(OR(M869="Sam 32",M869="Sam 40"),"s",IF(M869="AMS","a","v"))</f>
        <v/>
      </c>
      <c r="C869" s="130" t="inlineStr">
        <is>
          <t>Санкт-Петербург</t>
        </is>
      </c>
      <c r="D869" s="130" t="inlineStr">
        <is>
          <t>Санкт-Петербург</t>
        </is>
      </c>
      <c r="E869" s="130" t="n"/>
      <c r="F869" s="130" t="n"/>
      <c r="G869" s="130" t="inlineStr">
        <is>
          <t>Фаэтон</t>
        </is>
      </c>
      <c r="H869" s="131" t="inlineStr">
        <is>
          <t>332/Ф</t>
        </is>
      </c>
      <c r="I869" s="637" t="inlineStr">
        <is>
          <t>FAET_332</t>
        </is>
      </c>
      <c r="J869" s="402" t="inlineStr">
        <is>
          <t>PHAE_332</t>
        </is>
      </c>
      <c r="K869" s="640" t="n">
        <v>1</v>
      </c>
      <c r="L869" s="640" t="n">
        <v>0</v>
      </c>
      <c r="M869" s="640" t="inlineStr">
        <is>
          <t>Sam 32</t>
        </is>
      </c>
      <c r="N869" s="640" t="n"/>
      <c r="O869" s="640">
        <f>IF(AND(N869=1,L869=1),K869,"")</f>
        <v/>
      </c>
      <c r="P869" s="642" t="inlineStr">
        <is>
          <t>Санкт-Петербург, Дунайский проспект, д. 62, лит. А</t>
        </is>
      </c>
      <c r="Q869" s="640" t="n">
        <v>59.845261</v>
      </c>
      <c r="R869" s="422" t="n">
        <v>30.418134</v>
      </c>
      <c r="S869" s="436" t="n"/>
      <c r="T869" s="436" t="n"/>
      <c r="U869" s="436" t="n"/>
      <c r="V869" s="438">
        <f>IF(AND(N869=1,U869=1),C869,"")</f>
        <v/>
      </c>
      <c r="W869" s="387" t="n"/>
      <c r="X869" s="1" t="n"/>
      <c r="Y869" s="1" t="n"/>
    </row>
    <row r="870" hidden="1" ht="16.05" customFormat="1" customHeight="1" s="126">
      <c r="A870" s="125" t="n">
        <v>1287</v>
      </c>
      <c r="B870" s="125" t="n"/>
      <c r="C870" s="130" t="inlineStr">
        <is>
          <t>Санкт-Петербург</t>
        </is>
      </c>
      <c r="D870" s="130" t="inlineStr">
        <is>
          <t>Санкт-Петербург</t>
        </is>
      </c>
      <c r="E870" s="130" t="n"/>
      <c r="F870" s="130" t="inlineStr">
        <is>
          <t>АЗС</t>
        </is>
      </c>
      <c r="G870" s="130" t="inlineStr">
        <is>
          <t>Фаэтон</t>
        </is>
      </c>
      <c r="H870" s="131" t="n">
        <v>11</v>
      </c>
      <c r="I870" s="637" t="inlineStr">
        <is>
          <t>FAET_11</t>
        </is>
      </c>
      <c r="J870" s="402" t="inlineStr">
        <is>
          <t>PHAE_11</t>
        </is>
      </c>
      <c r="K870" s="640" t="n">
        <v>1</v>
      </c>
      <c r="L870" s="640" t="n">
        <v>0</v>
      </c>
      <c r="M870" s="640" t="inlineStr">
        <is>
          <t>Sam 32</t>
        </is>
      </c>
      <c r="N870" s="640" t="n"/>
      <c r="O870" s="640">
        <f>IF(AND(N870=1,L870=1),K870,"")</f>
        <v/>
      </c>
      <c r="P870" s="642" t="inlineStr">
        <is>
          <t>Санкт-Петербург,  Земледельческая, д. 5а, лит.Б</t>
        </is>
      </c>
      <c r="Q870" s="640" t="n">
        <v>59.989868</v>
      </c>
      <c r="R870" s="422" t="n">
        <v>30.32563</v>
      </c>
      <c r="S870" s="436" t="n"/>
      <c r="T870" s="436" t="n"/>
      <c r="U870" s="436" t="n"/>
      <c r="V870" s="438">
        <f>IF(AND(N870=1,U870=1),C870,"")</f>
        <v/>
      </c>
      <c r="W870" s="387" t="n"/>
      <c r="X870" s="1" t="n"/>
      <c r="Y870" s="1" t="n"/>
    </row>
    <row r="871" hidden="1" ht="16.05" customFormat="1" customHeight="1" s="126">
      <c r="A871" s="125" t="n">
        <v>1288</v>
      </c>
      <c r="B871" s="125" t="n"/>
      <c r="C871" s="130" t="inlineStr">
        <is>
          <t>Санкт-Петербург</t>
        </is>
      </c>
      <c r="D871" s="130" t="inlineStr">
        <is>
          <t>Санкт-Петербург</t>
        </is>
      </c>
      <c r="E871" s="130" t="n"/>
      <c r="F871" s="130" t="inlineStr">
        <is>
          <t>АЗС</t>
        </is>
      </c>
      <c r="G871" s="130" t="inlineStr">
        <is>
          <t>Фаэтон</t>
        </is>
      </c>
      <c r="H871" s="131" t="inlineStr">
        <is>
          <t>Культуры 33/Ф</t>
        </is>
      </c>
      <c r="I871" s="637" t="inlineStr">
        <is>
          <t>FAET_Культуры 33</t>
        </is>
      </c>
      <c r="J871" s="402" t="inlineStr">
        <is>
          <t>PHAE_Kultury_33</t>
        </is>
      </c>
      <c r="K871" s="640" t="n">
        <v>1</v>
      </c>
      <c r="L871" s="640" t="n">
        <v>0</v>
      </c>
      <c r="M871" s="640" t="inlineStr">
        <is>
          <t>Sam 32</t>
        </is>
      </c>
      <c r="N871" s="640" t="n"/>
      <c r="O871" s="640">
        <f>IF(AND(N871=1,L871=1),K871,"")</f>
        <v/>
      </c>
      <c r="P871" s="642" t="inlineStr">
        <is>
          <t>Санкт-Петербург, пр. Культуры, д. 33, лит. А</t>
        </is>
      </c>
      <c r="Q871" s="640" t="n">
        <v>60.051714</v>
      </c>
      <c r="R871" s="422" t="n">
        <v>30.382673</v>
      </c>
      <c r="S871" s="436" t="n"/>
      <c r="T871" s="436" t="n"/>
      <c r="U871" s="436" t="n"/>
      <c r="V871" s="438">
        <f>IF(AND(N871=1,U871=1),C871,"")</f>
        <v/>
      </c>
      <c r="W871" s="387" t="n"/>
      <c r="X871" s="1" t="n"/>
      <c r="Y871" s="1" t="n"/>
    </row>
    <row r="872" hidden="1" ht="16.05" customFormat="1" customHeight="1" s="126">
      <c r="A872" s="125" t="n">
        <v>1289</v>
      </c>
      <c r="B872" s="125" t="n"/>
      <c r="C872" s="130" t="inlineStr">
        <is>
          <t>Санкт-Петербург</t>
        </is>
      </c>
      <c r="D872" s="130" t="inlineStr">
        <is>
          <t>Санкт-Петербург</t>
        </is>
      </c>
      <c r="E872" s="130" t="n"/>
      <c r="F872" s="130" t="inlineStr">
        <is>
          <t>АЗС</t>
        </is>
      </c>
      <c r="G872" s="130" t="inlineStr">
        <is>
          <t>Фаэтон</t>
        </is>
      </c>
      <c r="H872" s="131" t="inlineStr">
        <is>
          <t>354/Ф</t>
        </is>
      </c>
      <c r="I872" s="637" t="inlineStr">
        <is>
          <t>FAET_354</t>
        </is>
      </c>
      <c r="J872" s="402" t="inlineStr">
        <is>
          <t>PHAE_354</t>
        </is>
      </c>
      <c r="K872" s="640" t="n">
        <v>1</v>
      </c>
      <c r="L872" s="640" t="n">
        <v>0</v>
      </c>
      <c r="M872" s="640" t="inlineStr">
        <is>
          <t>Sam 32</t>
        </is>
      </c>
      <c r="N872" s="640" t="n"/>
      <c r="O872" s="640">
        <f>IF(AND(N872=1,L872=1),K872,"")</f>
        <v/>
      </c>
      <c r="P872" s="642" t="inlineStr">
        <is>
          <t>Санкт-Петербург, г. Пушкин, Пулковское шоссе, д. 147, лит. А</t>
        </is>
      </c>
      <c r="Q872" s="640" t="n">
        <v>59.682159</v>
      </c>
      <c r="R872" s="422" t="n">
        <v>30.243543</v>
      </c>
      <c r="S872" s="436" t="n"/>
      <c r="T872" s="436" t="n"/>
      <c r="U872" s="436" t="n"/>
      <c r="V872" s="438">
        <f>IF(AND(N872=1,U872=1),C872,"")</f>
        <v/>
      </c>
      <c r="W872" s="387" t="n"/>
      <c r="X872" s="1" t="n"/>
      <c r="Y872" s="1" t="n"/>
    </row>
    <row r="873" hidden="1" ht="16.05" customFormat="1" customHeight="1" s="126">
      <c r="A873" s="125" t="n">
        <v>1290</v>
      </c>
      <c r="B873" s="125">
        <f>IF(OR(M873="Sam 32",M873="Sam 40"),"s",IF(M873="AMS","a","v"))</f>
        <v/>
      </c>
      <c r="C873" s="130" t="inlineStr">
        <is>
          <t>Санкт-Петербург</t>
        </is>
      </c>
      <c r="D873" s="130" t="inlineStr">
        <is>
          <t>Санкт-Петербург</t>
        </is>
      </c>
      <c r="E873" s="130" t="n"/>
      <c r="F873" s="130" t="n"/>
      <c r="G873" s="130" t="inlineStr">
        <is>
          <t>Фаэтон</t>
        </is>
      </c>
      <c r="H873" s="131" t="inlineStr">
        <is>
          <t>Глиняная/Ф</t>
        </is>
      </c>
      <c r="I873" s="637" t="inlineStr">
        <is>
          <t>FAET_Глиняная</t>
        </is>
      </c>
      <c r="J873" s="402" t="inlineStr">
        <is>
          <t>PHAE_Glinyanaya</t>
        </is>
      </c>
      <c r="K873" s="640" t="n">
        <v>1</v>
      </c>
      <c r="L873" s="640" t="n">
        <v>0</v>
      </c>
      <c r="M873" s="640" t="inlineStr">
        <is>
          <t>Sam 32</t>
        </is>
      </c>
      <c r="N873" s="640" t="n"/>
      <c r="O873" s="640">
        <f>IF(AND(N873=1,L873=1),K873,"")</f>
        <v/>
      </c>
      <c r="P873" s="642" t="inlineStr">
        <is>
          <t>Санкт-Петербург, Глиняная ул, д.23, стр.1, лит.О</t>
        </is>
      </c>
      <c r="Q873" s="640" t="n">
        <v>59.912805</v>
      </c>
      <c r="R873" s="422" t="n">
        <v>30.37558</v>
      </c>
      <c r="S873" s="436" t="n"/>
      <c r="T873" s="436" t="n"/>
      <c r="U873" s="436" t="n"/>
      <c r="V873" s="438">
        <f>IF(AND(N873=1,U873=1),C873,"")</f>
        <v/>
      </c>
      <c r="W873" s="387" t="n"/>
      <c r="X873" s="1" t="n"/>
      <c r="Y873" s="1" t="n"/>
    </row>
    <row r="874" hidden="1" ht="16.05" customFormat="1" customHeight="1" s="126">
      <c r="A874" s="125" t="n">
        <v>1291</v>
      </c>
      <c r="B874" s="125" t="n"/>
      <c r="C874" s="130" t="inlineStr">
        <is>
          <t>Санкт-Петербург</t>
        </is>
      </c>
      <c r="D874" s="130" t="inlineStr">
        <is>
          <t>Санкт-Петербург</t>
        </is>
      </c>
      <c r="E874" s="130" t="n"/>
      <c r="F874" s="130" t="n"/>
      <c r="G874" s="130" t="inlineStr">
        <is>
          <t>Фаэтон</t>
        </is>
      </c>
      <c r="H874" s="131" t="inlineStr">
        <is>
          <t>Культуры 3а/Ф</t>
        </is>
      </c>
      <c r="I874" s="637" t="inlineStr">
        <is>
          <t>FAET_Культуры 3а</t>
        </is>
      </c>
      <c r="J874" s="402" t="inlineStr">
        <is>
          <t>PHAE_Kultury_3a</t>
        </is>
      </c>
      <c r="K874" s="640" t="n">
        <v>1</v>
      </c>
      <c r="L874" s="640" t="n">
        <v>0</v>
      </c>
      <c r="M874" s="640" t="inlineStr">
        <is>
          <t>Sam 32</t>
        </is>
      </c>
      <c r="N874" s="640" t="n"/>
      <c r="O874" s="640">
        <f>IF(AND(N874=1,L874=1),K874,"")</f>
        <v/>
      </c>
      <c r="P874" s="642" t="inlineStr">
        <is>
          <t>Санкт-Петербург, Культуры пр-кт,д,3а, лит А,Б</t>
        </is>
      </c>
      <c r="Q874" s="640" t="n">
        <v>60.035222</v>
      </c>
      <c r="R874" s="422" t="n">
        <v>30.366007</v>
      </c>
      <c r="S874" s="436" t="n"/>
      <c r="T874" s="436" t="n"/>
      <c r="U874" s="436" t="n"/>
      <c r="V874" s="438">
        <f>IF(AND(N874=1,U874=1),C874,"")</f>
        <v/>
      </c>
      <c r="W874" s="387" t="n"/>
      <c r="X874" s="1" t="n"/>
      <c r="Y874" s="1" t="n"/>
    </row>
    <row r="875" hidden="1" ht="16.05" customFormat="1" customHeight="1" s="126">
      <c r="A875" s="125" t="n">
        <v>1292</v>
      </c>
      <c r="B875" s="125" t="n"/>
      <c r="C875" s="130" t="inlineStr">
        <is>
          <t>Санкт-Петербург</t>
        </is>
      </c>
      <c r="D875" s="130" t="inlineStr">
        <is>
          <t>Санкт-Петербург</t>
        </is>
      </c>
      <c r="E875" s="130" t="n"/>
      <c r="F875" s="130" t="n"/>
      <c r="G875" s="130" t="inlineStr">
        <is>
          <t>Фаэтон</t>
        </is>
      </c>
      <c r="H875" s="131" t="inlineStr">
        <is>
          <t>334/Ф</t>
        </is>
      </c>
      <c r="I875" s="637" t="inlineStr">
        <is>
          <t>FAET_334</t>
        </is>
      </c>
      <c r="J875" s="402" t="inlineStr">
        <is>
          <t>PHAE_334</t>
        </is>
      </c>
      <c r="K875" s="640" t="n">
        <v>1</v>
      </c>
      <c r="L875" s="640" t="n">
        <v>0</v>
      </c>
      <c r="M875" s="640" t="inlineStr">
        <is>
          <t>Sam 32</t>
        </is>
      </c>
      <c r="N875" s="640" t="n"/>
      <c r="O875" s="640">
        <f>IF(AND(N875=1,L875=1),K875,"")</f>
        <v/>
      </c>
      <c r="P875" s="642" t="inlineStr">
        <is>
          <t>Санкт-Петербург, дорога на Турухтанные острова, д. 12, лит. К</t>
        </is>
      </c>
      <c r="Q875" s="640" t="n">
        <v>59.868398</v>
      </c>
      <c r="R875" s="422" t="n">
        <v>30.248875</v>
      </c>
      <c r="S875" s="436" t="n"/>
      <c r="T875" s="436" t="n"/>
      <c r="U875" s="436" t="n"/>
      <c r="V875" s="438">
        <f>IF(AND(N875=1,U875=1),C875,"")</f>
        <v/>
      </c>
      <c r="W875" s="387" t="n"/>
      <c r="X875" s="1" t="n"/>
      <c r="Y875" s="1" t="n"/>
    </row>
    <row r="876" hidden="1" ht="16.05" customFormat="1" customHeight="1" s="126">
      <c r="A876" s="125" t="n">
        <v>1293</v>
      </c>
      <c r="B876" s="125" t="n"/>
      <c r="C876" s="130" t="inlineStr">
        <is>
          <t>Санкт-Петербург</t>
        </is>
      </c>
      <c r="D876" s="130" t="inlineStr">
        <is>
          <t>Санкт-Петербург</t>
        </is>
      </c>
      <c r="E876" s="130" t="n"/>
      <c r="F876" s="130" t="inlineStr">
        <is>
          <t>АЗС</t>
        </is>
      </c>
      <c r="G876" s="130" t="inlineStr">
        <is>
          <t>Фаэтон</t>
        </is>
      </c>
      <c r="H876" s="131" t="inlineStr">
        <is>
          <t>Парнас/Ф</t>
        </is>
      </c>
      <c r="I876" s="637" t="inlineStr">
        <is>
          <t>FAET_Парнас</t>
        </is>
      </c>
      <c r="J876" s="402" t="inlineStr">
        <is>
          <t>PHAE_Parnas</t>
        </is>
      </c>
      <c r="K876" s="640" t="n">
        <v>1</v>
      </c>
      <c r="L876" s="640" t="n">
        <v>0</v>
      </c>
      <c r="M876" s="640" t="inlineStr">
        <is>
          <t>Sam 32</t>
        </is>
      </c>
      <c r="N876" s="640" t="n"/>
      <c r="O876" s="640">
        <f>IF(AND(N876=1,L876=1),K876,"")</f>
        <v/>
      </c>
      <c r="P876" s="642" t="inlineStr">
        <is>
          <t>Санкт-Петербург,  Верхняя, д. 10, лит. А</t>
        </is>
      </c>
      <c r="Q876" s="640" t="n">
        <v>60.057823</v>
      </c>
      <c r="R876" s="422" t="n">
        <v>30.364775</v>
      </c>
      <c r="S876" s="436" t="n"/>
      <c r="T876" s="436" t="n"/>
      <c r="U876" s="436" t="n"/>
      <c r="V876" s="438">
        <f>IF(AND(N876=1,U876=1),C876,"")</f>
        <v/>
      </c>
      <c r="W876" s="387" t="n"/>
      <c r="X876" s="1" t="n"/>
      <c r="Y876" s="1" t="n"/>
    </row>
    <row r="877" hidden="1" ht="16.05" customFormat="1" customHeight="1" s="126">
      <c r="A877" s="125" t="n">
        <v>1294</v>
      </c>
      <c r="B877" s="125" t="n"/>
      <c r="C877" s="130" t="inlineStr">
        <is>
          <t>Санкт-Петербург</t>
        </is>
      </c>
      <c r="D877" s="130" t="inlineStr">
        <is>
          <t>Санкт-Петербург</t>
        </is>
      </c>
      <c r="E877" s="130" t="n"/>
      <c r="F877" s="130" t="n"/>
      <c r="G877" s="130" t="inlineStr">
        <is>
          <t>Фаэтон</t>
        </is>
      </c>
      <c r="H877" s="131" t="inlineStr">
        <is>
          <t>25/Ф</t>
        </is>
      </c>
      <c r="I877" s="637" t="inlineStr">
        <is>
          <t>FAET_25</t>
        </is>
      </c>
      <c r="J877" s="402" t="inlineStr">
        <is>
          <t>PHAE_25</t>
        </is>
      </c>
      <c r="K877" s="640" t="n">
        <v>1</v>
      </c>
      <c r="L877" s="640" t="n">
        <v>0</v>
      </c>
      <c r="M877" s="640" t="inlineStr">
        <is>
          <t>Sam 32</t>
        </is>
      </c>
      <c r="N877" s="640" t="n"/>
      <c r="O877" s="640">
        <f>IF(AND(N877=1,L877=1),K877,"")</f>
        <v/>
      </c>
      <c r="P877" s="642" t="inlineStr">
        <is>
          <t>Санкт-Петербург, город Колпино, улица Культуры, д. 19, лит. А</t>
        </is>
      </c>
      <c r="Q877" s="640" t="n">
        <v>59.752482</v>
      </c>
      <c r="R877" s="422" t="n">
        <v>30.608194</v>
      </c>
      <c r="S877" s="436" t="n"/>
      <c r="T877" s="436" t="n"/>
      <c r="U877" s="436" t="n"/>
      <c r="V877" s="438">
        <f>IF(AND(N877=1,U877=1),C877,"")</f>
        <v/>
      </c>
      <c r="W877" s="387" t="n"/>
      <c r="X877" s="1" t="n"/>
      <c r="Y877" s="1" t="n"/>
    </row>
    <row r="878" hidden="1" ht="16.05" customHeight="1">
      <c r="A878" s="13" t="n">
        <v>1295</v>
      </c>
      <c r="B878" s="13" t="n"/>
      <c r="C878" s="130" t="inlineStr">
        <is>
          <t>Санкт-Петербург</t>
        </is>
      </c>
      <c r="D878" s="130" t="inlineStr">
        <is>
          <t>Ленинградская область</t>
        </is>
      </c>
      <c r="E878" s="130" t="n"/>
      <c r="F878" s="130" t="inlineStr">
        <is>
          <t>АЗС</t>
        </is>
      </c>
      <c r="G878" s="130" t="inlineStr">
        <is>
          <t>Фаэтон</t>
        </is>
      </c>
      <c r="H878" s="131" t="inlineStr">
        <is>
          <t>Мурманское ш., 70 км/Ф</t>
        </is>
      </c>
      <c r="I878" s="637" t="inlineStr">
        <is>
          <t>FAET_Мурманское</t>
        </is>
      </c>
      <c r="J878" s="637" t="inlineStr">
        <is>
          <t>PHAE_Murmanskoe</t>
        </is>
      </c>
      <c r="K878" s="640" t="n">
        <v>1</v>
      </c>
      <c r="L878" s="640" t="n">
        <v>0</v>
      </c>
      <c r="M878" s="640" t="inlineStr">
        <is>
          <t>Samsung 32" вертикальный</t>
        </is>
      </c>
      <c r="N878" s="640" t="n"/>
      <c r="O878" s="640">
        <f>IF(AND(N878=1,L878=1),K878,"")</f>
        <v/>
      </c>
      <c r="P878" s="642" t="inlineStr">
        <is>
          <t>Ленинградская область, Кировский район, Путиловская волость, автодорога "Кола" км 70+200</t>
        </is>
      </c>
      <c r="Q878" s="640" t="inlineStr">
        <is>
          <t>59.881962</t>
        </is>
      </c>
      <c r="R878" s="422" t="inlineStr">
        <is>
          <t>31.453709</t>
        </is>
      </c>
      <c r="S878" s="436" t="n"/>
      <c r="T878" s="436" t="n"/>
      <c r="U878" s="436" t="n"/>
      <c r="V878" s="438">
        <f>IF(AND(N878=1,U878=1),C878,"")</f>
        <v/>
      </c>
      <c r="X878" s="1" t="n"/>
      <c r="Y878" s="1" t="n"/>
      <c r="Z878" s="1" t="n"/>
    </row>
    <row r="879" hidden="1" ht="16.05" customFormat="1" customHeight="1" s="126">
      <c r="A879" s="125" t="n">
        <v>1296</v>
      </c>
      <c r="B879" s="125">
        <f>IF(OR(M879="Sam 32",M879="Sam 40"),"s",IF(M879="AMS","a","v"))</f>
        <v/>
      </c>
      <c r="C879" s="130" t="inlineStr">
        <is>
          <t>Санкт-Петербург</t>
        </is>
      </c>
      <c r="D879" s="130" t="inlineStr">
        <is>
          <t>Кировск</t>
        </is>
      </c>
      <c r="E879" s="130" t="n"/>
      <c r="F879" s="130" t="n"/>
      <c r="G879" s="130" t="inlineStr">
        <is>
          <t>Фаэтон</t>
        </is>
      </c>
      <c r="H879" s="131" t="inlineStr">
        <is>
          <t>Кировск/Ф</t>
        </is>
      </c>
      <c r="I879" s="637" t="inlineStr">
        <is>
          <t>FAET_Кировск</t>
        </is>
      </c>
      <c r="J879" s="402" t="inlineStr">
        <is>
          <t>PHAE_Kirovsk</t>
        </is>
      </c>
      <c r="K879" s="640" t="n">
        <v>1</v>
      </c>
      <c r="L879" s="640" t="n">
        <v>0</v>
      </c>
      <c r="M879" s="640" t="inlineStr">
        <is>
          <t>Sam 32</t>
        </is>
      </c>
      <c r="N879" s="640" t="n"/>
      <c r="O879" s="640">
        <f>IF(AND(N879=1,L879=1),K879,"")</f>
        <v/>
      </c>
      <c r="P879" s="642" t="inlineStr">
        <is>
          <t>Ленинградская область, Кировский район, г. Кировск,  Магистральная, д. 46, лит. А, лит. Б</t>
        </is>
      </c>
      <c r="Q879" s="640" t="n">
        <v>59.900795</v>
      </c>
      <c r="R879" s="422" t="n">
        <v>30.997794</v>
      </c>
      <c r="S879" s="436" t="n"/>
      <c r="T879" s="436" t="n"/>
      <c r="U879" s="436" t="n"/>
      <c r="V879" s="438">
        <f>IF(AND(N879=1,U879=1),C879,"")</f>
        <v/>
      </c>
      <c r="W879" s="387" t="n"/>
      <c r="X879" s="1" t="n"/>
      <c r="Y879" s="1" t="n"/>
    </row>
    <row r="880" hidden="1" ht="16.05" customFormat="1" customHeight="1" s="126">
      <c r="A880" s="125" t="n">
        <v>1297</v>
      </c>
      <c r="B880" s="125" t="n"/>
      <c r="C880" s="130" t="inlineStr">
        <is>
          <t>Санкт-Петербург</t>
        </is>
      </c>
      <c r="D880" s="130" t="inlineStr">
        <is>
          <t>Санкт-Петербург</t>
        </is>
      </c>
      <c r="E880" s="130" t="n"/>
      <c r="F880" s="130" t="n"/>
      <c r="G880" s="130" t="inlineStr">
        <is>
          <t>Фаэтон</t>
        </is>
      </c>
      <c r="H880" s="131" t="inlineStr">
        <is>
          <t>Скандинавия/Ф</t>
        </is>
      </c>
      <c r="I880" s="637" t="inlineStr">
        <is>
          <t>FAET_Скандинавия</t>
        </is>
      </c>
      <c r="J880" s="402" t="inlineStr">
        <is>
          <t>PHAE_Skandinaviya</t>
        </is>
      </c>
      <c r="K880" s="640" t="n">
        <v>1</v>
      </c>
      <c r="L880" s="640" t="n">
        <v>0</v>
      </c>
      <c r="M880" s="640" t="inlineStr">
        <is>
          <t>Sam 32</t>
        </is>
      </c>
      <c r="N880" s="640" t="n"/>
      <c r="O880" s="640">
        <f>IF(AND(N880=1,L880=1),K880,"")</f>
        <v/>
      </c>
      <c r="P880" s="642" t="inlineStr">
        <is>
          <t>Ленинградская область, Выборгский район, Цвелодубовская волость, автодорога "Скандинавия", км. 83+500м (слева)</t>
        </is>
      </c>
      <c r="Q880" s="640" t="n">
        <v>60.362538</v>
      </c>
      <c r="R880" s="422" t="n">
        <v>29.506857</v>
      </c>
      <c r="S880" s="436" t="n"/>
      <c r="T880" s="436" t="n"/>
      <c r="U880" s="436" t="n"/>
      <c r="V880" s="438">
        <f>IF(AND(N880=1,U880=1),C880,"")</f>
        <v/>
      </c>
      <c r="W880" s="387" t="n"/>
      <c r="X880" s="1" t="n"/>
      <c r="Y880" s="1" t="n"/>
    </row>
    <row r="881" hidden="1" ht="16.05" customHeight="1">
      <c r="A881" s="13" t="n">
        <v>1298</v>
      </c>
      <c r="B881" s="13">
        <f>IF(OR(M881="Sam 32",M881="Sam 40"),"s",IF(M881="AMS","a","v"))</f>
        <v/>
      </c>
      <c r="C881" s="130" t="inlineStr">
        <is>
          <t>СПБ</t>
        </is>
      </c>
      <c r="D881" s="130" t="inlineStr">
        <is>
          <t>СПБ</t>
        </is>
      </c>
      <c r="E881" s="130" t="n"/>
      <c r="F881" s="130" t="n"/>
      <c r="G881" s="130" t="inlineStr">
        <is>
          <t>Фаэтон</t>
        </is>
      </c>
      <c r="H881" s="131" t="inlineStr">
        <is>
          <t>Октябрьская/Ф</t>
        </is>
      </c>
      <c r="I881" s="637" t="inlineStr">
        <is>
          <t>FAET_Октябрьская</t>
        </is>
      </c>
      <c r="J881" s="402" t="n"/>
      <c r="K881" s="640" t="n">
        <v>1</v>
      </c>
      <c r="L881" s="640" t="n">
        <v>0</v>
      </c>
      <c r="M881" s="640" t="inlineStr">
        <is>
          <t>Sam 32</t>
        </is>
      </c>
      <c r="N881" s="640" t="n"/>
      <c r="O881" s="640">
        <f>IF(AND(N881=1,L881=1),K881,"")</f>
        <v/>
      </c>
      <c r="P881" s="642" t="inlineStr">
        <is>
          <t>СПб, Октябрьская набережная, д. 56, кор.2, лит. А</t>
        </is>
      </c>
      <c r="Q881" s="640" t="n"/>
      <c r="R881" s="422" t="n"/>
      <c r="S881" s="436" t="n"/>
      <c r="T881" s="436" t="n"/>
      <c r="U881" s="436" t="n"/>
      <c r="V881" s="438">
        <f>IF(AND(N881=1,U881=1),C881,"")</f>
        <v/>
      </c>
      <c r="X881" s="1" t="n"/>
      <c r="Y881" s="1" t="n"/>
      <c r="Z881" s="1" t="n"/>
    </row>
    <row r="882" hidden="1" ht="16.05" customFormat="1" customHeight="1" s="126">
      <c r="A882" s="125" t="n">
        <v>1299</v>
      </c>
      <c r="B882" s="125" t="n"/>
      <c r="C882" s="130" t="inlineStr">
        <is>
          <t>Санкт-Петербург</t>
        </is>
      </c>
      <c r="D882" s="130" t="inlineStr">
        <is>
          <t>Санкт-Петербург</t>
        </is>
      </c>
      <c r="E882" s="130" t="n"/>
      <c r="F882" s="130" t="inlineStr">
        <is>
          <t>АЗС</t>
        </is>
      </c>
      <c r="G882" s="130" t="inlineStr">
        <is>
          <t>Фаэтон</t>
        </is>
      </c>
      <c r="H882" s="131" t="inlineStr">
        <is>
          <t>Пискаревский/Ф</t>
        </is>
      </c>
      <c r="I882" s="637" t="inlineStr">
        <is>
          <t>FAET_Пискаревский</t>
        </is>
      </c>
      <c r="J882" s="637" t="inlineStr">
        <is>
          <t>PHAE_Piskarevskiy</t>
        </is>
      </c>
      <c r="K882" s="640" t="n">
        <v>1</v>
      </c>
      <c r="L882" s="640" t="n">
        <v>0</v>
      </c>
      <c r="M882" s="640" t="inlineStr">
        <is>
          <t>Samsung 32" вертикальный</t>
        </is>
      </c>
      <c r="N882" s="640" t="n"/>
      <c r="O882" s="640">
        <f>IF(AND(N882=1,L882=1),K882,"")</f>
        <v/>
      </c>
      <c r="P882" s="642" t="inlineStr">
        <is>
          <t>Санкт-Петербург, Пискаревский пр. д.4, лит.Ц</t>
        </is>
      </c>
      <c r="Q882" s="640" t="inlineStr">
        <is>
          <t>59.960298</t>
        </is>
      </c>
      <c r="R882" s="422" t="inlineStr">
        <is>
          <t>30.406342</t>
        </is>
      </c>
      <c r="S882" s="436" t="n"/>
      <c r="T882" s="436" t="n"/>
      <c r="U882" s="436" t="n"/>
      <c r="V882" s="438">
        <f>IF(AND(N882=1,U882=1),C882,"")</f>
        <v/>
      </c>
      <c r="W882" s="387" t="n"/>
      <c r="X882" s="1" t="n"/>
      <c r="Y882" s="1" t="n"/>
    </row>
    <row r="883" hidden="1" ht="16.05" customFormat="1" customHeight="1" s="126">
      <c r="A883" s="125" t="n">
        <v>1300</v>
      </c>
      <c r="B883" s="125" t="n"/>
      <c r="C883" s="130" t="inlineStr">
        <is>
          <t>Санкт-Петербург</t>
        </is>
      </c>
      <c r="D883" s="130" t="inlineStr">
        <is>
          <t>Ленинградская область</t>
        </is>
      </c>
      <c r="E883" s="130" t="n"/>
      <c r="F883" s="130" t="inlineStr">
        <is>
          <t>АЗС</t>
        </is>
      </c>
      <c r="G883" s="130" t="inlineStr">
        <is>
          <t>Фаэтон</t>
        </is>
      </c>
      <c r="H883" s="131" t="inlineStr">
        <is>
          <t>5/Ф</t>
        </is>
      </c>
      <c r="I883" s="637" t="inlineStr">
        <is>
          <t>FAET_5</t>
        </is>
      </c>
      <c r="J883" s="402" t="inlineStr">
        <is>
          <t>PHAE_5</t>
        </is>
      </c>
      <c r="K883" s="640" t="n">
        <v>1</v>
      </c>
      <c r="L883" s="640" t="n">
        <v>0</v>
      </c>
      <c r="M883" s="640" t="inlineStr">
        <is>
          <t>Sam 32</t>
        </is>
      </c>
      <c r="N883" s="640" t="n"/>
      <c r="O883" s="640">
        <f>IF(AND(N883=1,L883=1),K883,"")</f>
        <v/>
      </c>
      <c r="P883" s="642" t="inlineStr">
        <is>
          <t>Ленинградская область, Гатчинский район, Большеколпанская волость, дер. Большие Колпаны, ш.Киевское, 54 км</t>
        </is>
      </c>
      <c r="Q883" s="640" t="n">
        <v>59.517972</v>
      </c>
      <c r="R883" s="422" t="n">
        <v>30.062223</v>
      </c>
      <c r="S883" s="436" t="n"/>
      <c r="T883" s="436" t="n"/>
      <c r="U883" s="436" t="n"/>
      <c r="V883" s="438">
        <f>IF(AND(N883=1,U883=1),C883,"")</f>
        <v/>
      </c>
      <c r="W883" s="387" t="n"/>
      <c r="X883" s="1" t="n"/>
      <c r="Y883" s="1" t="n"/>
    </row>
    <row r="884" hidden="1" ht="16.05" customFormat="1" customHeight="1" s="126">
      <c r="A884" s="125" t="n">
        <v>1304</v>
      </c>
      <c r="B884" s="125" t="n"/>
      <c r="C884" s="130" t="inlineStr">
        <is>
          <t>Тверь</t>
        </is>
      </c>
      <c r="D884" s="130" t="inlineStr">
        <is>
          <t>Тверь</t>
        </is>
      </c>
      <c r="E884" s="130" t="n"/>
      <c r="F884" s="130" t="inlineStr">
        <is>
          <t>АЗС</t>
        </is>
      </c>
      <c r="G884" s="130" t="inlineStr">
        <is>
          <t>Роснефть</t>
        </is>
      </c>
      <c r="H884" s="131" t="inlineStr">
        <is>
          <t>TN001</t>
        </is>
      </c>
      <c r="I884" s="637" t="inlineStr">
        <is>
          <t>Объездная-2</t>
        </is>
      </c>
      <c r="J884" s="637" t="inlineStr">
        <is>
          <t>TVE_TNK_Obyezdnaya2</t>
        </is>
      </c>
      <c r="K884" s="640" t="n">
        <v>1</v>
      </c>
      <c r="L884" s="640" t="n">
        <v>1</v>
      </c>
      <c r="M884" s="623" t="inlineStr">
        <is>
          <t>Samsung 32" вертикальный</t>
        </is>
      </c>
      <c r="N884" s="640" t="n"/>
      <c r="O884" s="640">
        <f>IF(AND(N884=1,L884=1),K884,"")</f>
        <v/>
      </c>
      <c r="P884" s="642" t="inlineStr">
        <is>
          <t>Тверская область. Калининский район. п. Чуприяновка (М10. 157 км. слева)</t>
        </is>
      </c>
      <c r="Q884" s="640" t="inlineStr">
        <is>
          <t>56.783703</t>
        </is>
      </c>
      <c r="R884" s="494" t="inlineStr">
        <is>
          <t>36.019474</t>
        </is>
      </c>
      <c r="S884" s="436" t="n"/>
      <c r="T884" s="436" t="n"/>
      <c r="U884" s="436" t="n"/>
      <c r="V884" s="438">
        <f>IF(AND(N884=1,U884=1),C884,"")</f>
        <v/>
      </c>
      <c r="W884" s="387" t="n"/>
      <c r="X884" s="387" t="n"/>
      <c r="Y884" s="387" t="n"/>
    </row>
    <row r="885" hidden="1" ht="16.05" customFormat="1" customHeight="1" s="126">
      <c r="A885" s="125" t="n">
        <v>1305</v>
      </c>
      <c r="B885" s="125" t="n"/>
      <c r="C885" s="130" t="inlineStr">
        <is>
          <t>Тверь</t>
        </is>
      </c>
      <c r="D885" s="130" t="inlineStr">
        <is>
          <t>Тверская область</t>
        </is>
      </c>
      <c r="E885" s="130" t="n"/>
      <c r="F885" s="130" t="inlineStr">
        <is>
          <t>АЗС</t>
        </is>
      </c>
      <c r="G885" s="130" t="inlineStr">
        <is>
          <t>Роснефть</t>
        </is>
      </c>
      <c r="H885" s="131" t="inlineStr">
        <is>
          <t>TN002</t>
        </is>
      </c>
      <c r="I885" s="637" t="inlineStr">
        <is>
          <t>Объездная-1</t>
        </is>
      </c>
      <c r="J885" s="637" t="inlineStr">
        <is>
          <t>TVE_TNK_Obyezdnaya1</t>
        </is>
      </c>
      <c r="K885" s="640" t="n">
        <v>1</v>
      </c>
      <c r="L885" s="640" t="n">
        <v>1</v>
      </c>
      <c r="M885" s="623" t="inlineStr">
        <is>
          <t>Samsung 32" вертикальный</t>
        </is>
      </c>
      <c r="N885" s="640" t="n"/>
      <c r="O885" s="640">
        <f>IF(AND(N885=1,L885=1),K885,"")</f>
        <v/>
      </c>
      <c r="P885" s="642" t="inlineStr">
        <is>
          <t>Тверская область. Калининский район. п. Чуприяновка (М10. 158 км. справа)</t>
        </is>
      </c>
      <c r="Q885" s="640" t="inlineStr">
        <is>
          <t>56.782589</t>
        </is>
      </c>
      <c r="R885" s="494" t="inlineStr">
        <is>
          <t>36.028601</t>
        </is>
      </c>
      <c r="S885" s="436" t="n"/>
      <c r="T885" s="436" t="n"/>
      <c r="U885" s="436" t="n"/>
      <c r="V885" s="438">
        <f>IF(AND(N885=1,U885=1),C885,"")</f>
        <v/>
      </c>
      <c r="W885" s="387" t="n"/>
      <c r="X885" s="387" t="n"/>
      <c r="Y885" s="387" t="n"/>
    </row>
    <row r="886" hidden="1" ht="16.05" customFormat="1" customHeight="1" s="126">
      <c r="A886" s="125" t="n">
        <v>1306</v>
      </c>
      <c r="B886" s="125" t="n"/>
      <c r="C886" s="130" t="inlineStr">
        <is>
          <t>Тверь</t>
        </is>
      </c>
      <c r="D886" s="130" t="inlineStr">
        <is>
          <t>Тверская область</t>
        </is>
      </c>
      <c r="E886" s="130" t="n"/>
      <c r="F886" s="130" t="inlineStr">
        <is>
          <t>АЗС</t>
        </is>
      </c>
      <c r="G886" s="130" t="inlineStr">
        <is>
          <t>Роснефть</t>
        </is>
      </c>
      <c r="H886" s="131" t="inlineStr">
        <is>
          <t>TN006</t>
        </is>
      </c>
      <c r="I886" s="637" t="inlineStr">
        <is>
          <t>Кривцово</t>
        </is>
      </c>
      <c r="J886" s="637" t="inlineStr">
        <is>
          <t>TVE_TNK_Krivtsovo</t>
        </is>
      </c>
      <c r="K886" s="640" t="n">
        <v>1</v>
      </c>
      <c r="L886" s="640" t="n">
        <v>1</v>
      </c>
      <c r="M886" s="623" t="inlineStr">
        <is>
          <t>Samsung 32" вертикальный</t>
        </is>
      </c>
      <c r="N886" s="640" t="n"/>
      <c r="O886" s="640">
        <f>IF(AND(N886=1,L886=1),K886,"")</f>
        <v/>
      </c>
      <c r="P886" s="642" t="inlineStr">
        <is>
          <t>Тверская область, Калининский район сельское поселение Никульское д. Кривцово (Тверь-Волоколамск Р-90)  (Тверская обл., Калининский р-н, д. Кривцово, ш. Волоколамское)</t>
        </is>
      </c>
      <c r="Q886" s="640" t="inlineStr">
        <is>
          <t>56.806813</t>
        </is>
      </c>
      <c r="R886" s="494" t="inlineStr">
        <is>
          <t>35.86962</t>
        </is>
      </c>
      <c r="S886" s="436" t="n"/>
      <c r="T886" s="436" t="n"/>
      <c r="U886" s="436" t="n"/>
      <c r="V886" s="438">
        <f>IF(AND(N886=1,U886=1),C886,"")</f>
        <v/>
      </c>
      <c r="W886" s="387" t="n"/>
      <c r="X886" s="387" t="n"/>
      <c r="Y886" s="387" t="n"/>
    </row>
    <row r="887" hidden="1" ht="16.05" customFormat="1" customHeight="1" s="126">
      <c r="A887" s="125" t="n">
        <v>1302</v>
      </c>
      <c r="B887" s="125" t="n"/>
      <c r="C887" s="130" t="inlineStr">
        <is>
          <t>Тверь</t>
        </is>
      </c>
      <c r="D887" s="130" t="inlineStr">
        <is>
          <t>Тверь</t>
        </is>
      </c>
      <c r="E887" s="130" t="n"/>
      <c r="F887" s="130" t="inlineStr">
        <is>
          <t>АЗС</t>
        </is>
      </c>
      <c r="G887" s="130" t="inlineStr">
        <is>
          <t>Роснефть</t>
        </is>
      </c>
      <c r="H887" s="131" t="n">
        <v>6</v>
      </c>
      <c r="I887" s="637" t="inlineStr">
        <is>
          <t>RN_6</t>
        </is>
      </c>
      <c r="J887" s="637" t="inlineStr">
        <is>
          <t>TVE_RN_0006</t>
        </is>
      </c>
      <c r="K887" s="640" t="n">
        <v>1</v>
      </c>
      <c r="L887" s="640" t="n">
        <v>0</v>
      </c>
      <c r="M887" s="640" t="inlineStr">
        <is>
          <t>Samsung 32" вертикальный</t>
        </is>
      </c>
      <c r="N887" s="640" t="n"/>
      <c r="O887" s="640">
        <f>IF(AND(N887=1,L887=1),K887,"")</f>
        <v/>
      </c>
      <c r="P887" s="642" t="inlineStr">
        <is>
          <t>Тверь, Королёва, д.1а</t>
        </is>
      </c>
      <c r="Q887" s="640" t="inlineStr">
        <is>
          <t>56.82956</t>
        </is>
      </c>
      <c r="R887" s="494" t="inlineStr">
        <is>
          <t>35.900968</t>
        </is>
      </c>
      <c r="S887" s="436" t="n"/>
      <c r="T887" s="436" t="n"/>
      <c r="U887" s="436" t="n"/>
      <c r="V887" s="438">
        <f>IF(AND(N887=1,U887=1),C887,"")</f>
        <v/>
      </c>
      <c r="W887" s="387" t="n"/>
      <c r="X887" s="387" t="n"/>
      <c r="Y887" s="387" t="n"/>
    </row>
    <row r="888" hidden="1" ht="16.05" customFormat="1" customHeight="1" s="126">
      <c r="A888" s="125" t="n">
        <v>1307</v>
      </c>
      <c r="B888" s="125" t="n"/>
      <c r="C888" s="130" t="inlineStr">
        <is>
          <t>Тверь</t>
        </is>
      </c>
      <c r="D888" s="130" t="inlineStr">
        <is>
          <t>Тверь</t>
        </is>
      </c>
      <c r="E888" s="130" t="n"/>
      <c r="F888" s="130" t="inlineStr">
        <is>
          <t>АЗС</t>
        </is>
      </c>
      <c r="G888" s="130" t="inlineStr">
        <is>
          <t>Роснефть</t>
        </is>
      </c>
      <c r="H888" s="131" t="inlineStr">
        <is>
          <t>TN025</t>
        </is>
      </c>
      <c r="I888" s="637" t="inlineStr">
        <is>
          <t>Оборонная</t>
        </is>
      </c>
      <c r="J888" s="637" t="inlineStr">
        <is>
          <t>TVE_TNK_Oboronnaya</t>
        </is>
      </c>
      <c r="K888" s="640" t="n">
        <v>1</v>
      </c>
      <c r="L888" s="640" t="n">
        <v>1</v>
      </c>
      <c r="M888" s="623" t="inlineStr">
        <is>
          <t>Samsung 32" вертикальный</t>
        </is>
      </c>
      <c r="N888" s="640" t="n"/>
      <c r="O888" s="640">
        <f>IF(AND(N888=1,L888=1),K888,"")</f>
        <v/>
      </c>
      <c r="P888" s="642" t="inlineStr">
        <is>
          <t>Тверь, Петербургское шоссе (в районе д.126)</t>
        </is>
      </c>
      <c r="Q888" s="640" t="inlineStr">
        <is>
          <t>56.87854</t>
        </is>
      </c>
      <c r="R888" s="494" t="inlineStr">
        <is>
          <t>35.823079</t>
        </is>
      </c>
      <c r="S888" s="436" t="n"/>
      <c r="T888" s="436" t="n"/>
      <c r="U888" s="436" t="n"/>
      <c r="V888" s="438">
        <f>IF(AND(N888=1,U888=1),C888,"")</f>
        <v/>
      </c>
      <c r="W888" s="387" t="n"/>
      <c r="X888" s="387" t="n"/>
      <c r="Y888" s="387" t="n"/>
    </row>
    <row r="889" hidden="1" ht="16.05" customFormat="1" customHeight="1" s="126">
      <c r="A889" s="125" t="n">
        <v>1308</v>
      </c>
      <c r="B889" s="125" t="n"/>
      <c r="C889" s="130" t="inlineStr">
        <is>
          <t>Тверь</t>
        </is>
      </c>
      <c r="D889" s="130" t="inlineStr">
        <is>
          <t>Тверь</t>
        </is>
      </c>
      <c r="E889" s="130" t="n"/>
      <c r="F889" s="130" t="inlineStr">
        <is>
          <t>АЗС</t>
        </is>
      </c>
      <c r="G889" s="130" t="inlineStr">
        <is>
          <t>Роснефть</t>
        </is>
      </c>
      <c r="H889" s="131" t="inlineStr">
        <is>
          <t>TN250</t>
        </is>
      </c>
      <c r="I889" s="637" t="inlineStr">
        <is>
          <t>Чкаловская</t>
        </is>
      </c>
      <c r="J889" s="637" t="inlineStr">
        <is>
          <t>TVE_TNK_Chkalovskaya</t>
        </is>
      </c>
      <c r="K889" s="640" t="n">
        <v>1</v>
      </c>
      <c r="L889" s="640" t="n">
        <v>1</v>
      </c>
      <c r="M889" s="623" t="inlineStr">
        <is>
          <t>Samsung 32" вертикальный</t>
        </is>
      </c>
      <c r="N889" s="640" t="n"/>
      <c r="O889" s="640">
        <f>IF(AND(N889=1,L889=1),K889,"")</f>
        <v/>
      </c>
      <c r="P889" s="642" t="inlineStr">
        <is>
          <t>Тверь, Октябрьский проспект (адрес не по свидетельству)  (Тверь, Октябрьский проспект, 105/2)</t>
        </is>
      </c>
      <c r="Q889" s="640" t="inlineStr">
        <is>
          <t>56.813628</t>
        </is>
      </c>
      <c r="R889" s="494" t="inlineStr">
        <is>
          <t>35.880163</t>
        </is>
      </c>
      <c r="S889" s="436" t="n"/>
      <c r="T889" s="436" t="n"/>
      <c r="U889" s="436" t="n"/>
      <c r="V889" s="438">
        <f>IF(AND(N889=1,U889=1),C889,"")</f>
        <v/>
      </c>
      <c r="W889" s="387" t="n"/>
      <c r="X889" s="387" t="n"/>
      <c r="Y889" s="387" t="n"/>
    </row>
    <row r="890" hidden="1" ht="16.05" customFormat="1" customHeight="1" s="126">
      <c r="A890" s="125" t="n">
        <v>1309</v>
      </c>
      <c r="B890" s="125" t="n"/>
      <c r="C890" s="130" t="inlineStr">
        <is>
          <t>Тверь</t>
        </is>
      </c>
      <c r="D890" s="130" t="inlineStr">
        <is>
          <t>Тверь</t>
        </is>
      </c>
      <c r="E890" s="130" t="n"/>
      <c r="F890" s="130" t="inlineStr">
        <is>
          <t>АЗС</t>
        </is>
      </c>
      <c r="G890" s="130" t="inlineStr">
        <is>
          <t>Роснефть</t>
        </is>
      </c>
      <c r="H890" s="131" t="inlineStr">
        <is>
          <t>TC251</t>
        </is>
      </c>
      <c r="I890" s="637" t="inlineStr">
        <is>
          <t>Гагаринская</t>
        </is>
      </c>
      <c r="J890" s="637" t="inlineStr">
        <is>
          <t>TVE_BP_Gagarinskaya</t>
        </is>
      </c>
      <c r="K890" s="640" t="n">
        <v>2</v>
      </c>
      <c r="L890" s="640" t="n">
        <v>1</v>
      </c>
      <c r="M890" s="623" t="inlineStr">
        <is>
          <t>Samsung 32" вертикальный</t>
        </is>
      </c>
      <c r="N890" s="640" t="n"/>
      <c r="O890" s="640">
        <f>IF(AND(N890=1,L890=1),K890,"")</f>
        <v/>
      </c>
      <c r="P890" s="642" t="inlineStr">
        <is>
          <t>Тверь, Московское ш., д.16</t>
        </is>
      </c>
      <c r="Q890" s="640" t="inlineStr">
        <is>
          <t>56.84472</t>
        </is>
      </c>
      <c r="R890" s="494" t="inlineStr">
        <is>
          <t>35.948253</t>
        </is>
      </c>
      <c r="S890" s="436" t="n"/>
      <c r="T890" s="436" t="n"/>
      <c r="U890" s="436" t="n"/>
      <c r="V890" s="438">
        <f>IF(AND(N890=1,U890=1),C890,"")</f>
        <v/>
      </c>
      <c r="W890" s="387" t="n"/>
      <c r="X890" s="387" t="n"/>
      <c r="Y890" s="387" t="n"/>
    </row>
    <row r="891" hidden="1" ht="16.05" customFormat="1" customHeight="1" s="126">
      <c r="A891" s="125" t="n">
        <v>1310</v>
      </c>
      <c r="B891" s="125" t="n"/>
      <c r="C891" s="130" t="inlineStr">
        <is>
          <t>Тверь</t>
        </is>
      </c>
      <c r="D891" s="130" t="inlineStr">
        <is>
          <t>Тверская область</t>
        </is>
      </c>
      <c r="E891" s="130" t="n"/>
      <c r="F891" s="130" t="inlineStr">
        <is>
          <t>АЗС</t>
        </is>
      </c>
      <c r="G891" s="130" t="inlineStr">
        <is>
          <t>Роснефть</t>
        </is>
      </c>
      <c r="H891" s="131" t="inlineStr">
        <is>
          <t>TC252</t>
        </is>
      </c>
      <c r="I891" s="637" t="inlineStr">
        <is>
          <t>Тверь-2</t>
        </is>
      </c>
      <c r="J891" s="637" t="inlineStr">
        <is>
          <t>TVE_BP_Tver2</t>
        </is>
      </c>
      <c r="K891" s="640" t="n">
        <v>1</v>
      </c>
      <c r="L891" s="640" t="n">
        <v>1</v>
      </c>
      <c r="M891" s="623" t="inlineStr">
        <is>
          <t>Samsung 32" вертикальный</t>
        </is>
      </c>
      <c r="N891" s="640" t="n"/>
      <c r="O891" s="640">
        <f>IF(AND(N891=1,L891=1),K891,"")</f>
        <v/>
      </c>
      <c r="P891" s="642" t="inlineStr">
        <is>
          <t>Тверская область, Калининский район, Никулинское сельское поселение, район д. Кривцово (а/д М10 'Россия' (Москва-Санкт-Петербург), 171 км, справа, вл.1)</t>
        </is>
      </c>
      <c r="Q891" s="640" t="inlineStr">
        <is>
          <t>56.817983</t>
        </is>
      </c>
      <c r="R891" s="494" t="inlineStr">
        <is>
          <t>35.829943</t>
        </is>
      </c>
      <c r="S891" s="436" t="n"/>
      <c r="T891" s="436" t="n"/>
      <c r="U891" s="436" t="n"/>
      <c r="V891" s="438">
        <f>IF(AND(N891=1,U891=1),C891,"")</f>
        <v/>
      </c>
      <c r="W891" s="387" t="n"/>
      <c r="X891" s="387" t="n"/>
      <c r="Y891" s="387" t="n"/>
    </row>
    <row r="892" hidden="1" ht="16.05" customFormat="1" customHeight="1" s="126">
      <c r="A892" s="125" t="n">
        <v>1311</v>
      </c>
      <c r="B892" s="125" t="n"/>
      <c r="C892" s="130" t="inlineStr">
        <is>
          <t>Тверь</t>
        </is>
      </c>
      <c r="D892" s="130" t="inlineStr">
        <is>
          <t>Тверская область</t>
        </is>
      </c>
      <c r="E892" s="130" t="n"/>
      <c r="F892" s="130" t="inlineStr">
        <is>
          <t>АЗС</t>
        </is>
      </c>
      <c r="G892" s="130" t="inlineStr">
        <is>
          <t>Роснефть</t>
        </is>
      </c>
      <c r="H892" s="131" t="inlineStr">
        <is>
          <t>TC253</t>
        </is>
      </c>
      <c r="I892" s="637" t="inlineStr">
        <is>
          <t>Тверь-1</t>
        </is>
      </c>
      <c r="J892" s="637" t="inlineStr">
        <is>
          <t>TVE_BP_Tver1</t>
        </is>
      </c>
      <c r="K892" s="640" t="n">
        <v>1</v>
      </c>
      <c r="L892" s="640" t="n">
        <v>1</v>
      </c>
      <c r="M892" s="623" t="inlineStr">
        <is>
          <t>Samsung 32" вертикальный</t>
        </is>
      </c>
      <c r="N892" s="640" t="n"/>
      <c r="O892" s="640">
        <f>IF(AND(N892=1,L892=1),K892,"")</f>
        <v/>
      </c>
      <c r="P892" s="642" t="inlineStr">
        <is>
          <t>Тверская область, Калининский район, Никулинское сельское поселение, район д. Никулино (а/д М10 'Россия' (Москва-Санкт-Петербург), 171 км, слева, вл.2)</t>
        </is>
      </c>
      <c r="Q892" s="640" t="inlineStr">
        <is>
          <t>56.8162</t>
        </is>
      </c>
      <c r="R892" s="494" t="inlineStr">
        <is>
          <t>35.826947</t>
        </is>
      </c>
      <c r="S892" s="436" t="n"/>
      <c r="T892" s="436" t="n"/>
      <c r="U892" s="436" t="n"/>
      <c r="V892" s="438">
        <f>IF(AND(N892=1,U892=1),C892,"")</f>
        <v/>
      </c>
      <c r="W892" s="387" t="n"/>
      <c r="X892" s="387" t="n"/>
      <c r="Y892" s="387" t="n"/>
    </row>
    <row r="893" hidden="1" ht="16.05" customFormat="1" customHeight="1" s="126">
      <c r="A893" s="125" t="n">
        <v>1312</v>
      </c>
      <c r="B893" s="125" t="inlineStr">
        <is>
          <t>WF</t>
        </is>
      </c>
      <c r="C893" s="130" t="inlineStr">
        <is>
          <t>Москва</t>
        </is>
      </c>
      <c r="D893" s="130" t="inlineStr">
        <is>
          <t>Москва</t>
        </is>
      </c>
      <c r="E893" s="130" t="inlineStr">
        <is>
          <t>ЦАО</t>
        </is>
      </c>
      <c r="F893" s="130" t="inlineStr">
        <is>
          <t>Супермаркет</t>
        </is>
      </c>
      <c r="G893" s="130" t="inlineStr">
        <is>
          <t>Азбука Вкуса</t>
        </is>
      </c>
      <c r="H893" s="131" t="n"/>
      <c r="I893" s="637" t="inlineStr">
        <is>
          <t>88_Daily</t>
        </is>
      </c>
      <c r="J893" s="637" t="inlineStr">
        <is>
          <t>MSK_D_088</t>
        </is>
      </c>
      <c r="K893" s="640" t="n">
        <v>2</v>
      </c>
      <c r="L893" s="640" t="n">
        <v>1</v>
      </c>
      <c r="M893" s="623" t="inlineStr">
        <is>
          <t>Samsung 43" вертикальный</t>
        </is>
      </c>
      <c r="N893" s="640" t="n"/>
      <c r="O893" s="640">
        <f>IF(AND(N893=1,L893=1),K893,"")</f>
        <v/>
      </c>
      <c r="P893" s="642" t="inlineStr">
        <is>
          <t>Москва, Тверская д.5</t>
        </is>
      </c>
      <c r="Q893" s="640" t="inlineStr">
        <is>
          <t>55.7581374</t>
        </is>
      </c>
      <c r="R893" s="494" t="inlineStr">
        <is>
          <t>37.612212</t>
        </is>
      </c>
      <c r="S893" s="528" t="n">
        <v>24</v>
      </c>
      <c r="T893" s="436">
        <f>IF(N893=1,O893*S893,"")</f>
        <v/>
      </c>
      <c r="U893" s="436" t="n"/>
      <c r="V893" s="438">
        <f>IF(AND(N893=1,U893=1),C893,"")</f>
        <v/>
      </c>
      <c r="W893" s="387" t="n"/>
      <c r="X893" s="387" t="n"/>
      <c r="Y893" s="387" t="n"/>
    </row>
    <row r="894" hidden="1" ht="16.05" customFormat="1" customHeight="1" s="126">
      <c r="A894" s="125" t="n">
        <v>1317</v>
      </c>
      <c r="B894" s="125" t="inlineStr">
        <is>
          <t>WF</t>
        </is>
      </c>
      <c r="C894" s="130" t="inlineStr">
        <is>
          <t>Москва</t>
        </is>
      </c>
      <c r="D894" s="130" t="inlineStr">
        <is>
          <t>Москва</t>
        </is>
      </c>
      <c r="E894" s="130" t="inlineStr">
        <is>
          <t>САО</t>
        </is>
      </c>
      <c r="F894" s="130" t="inlineStr">
        <is>
          <t>Супермаркет</t>
        </is>
      </c>
      <c r="G894" s="130" t="inlineStr">
        <is>
          <t>Азбука Вкуса</t>
        </is>
      </c>
      <c r="H894" s="131" t="n"/>
      <c r="I894" s="637" t="inlineStr">
        <is>
          <t>90_Daily</t>
        </is>
      </c>
      <c r="J894" s="637" t="inlineStr">
        <is>
          <t>MSK_D_090</t>
        </is>
      </c>
      <c r="K894" s="640" t="n">
        <v>2</v>
      </c>
      <c r="L894" s="640" t="n">
        <v>1</v>
      </c>
      <c r="M894" s="623" t="inlineStr">
        <is>
          <t>Samsung 43" вертикальный</t>
        </is>
      </c>
      <c r="N894" s="640" t="n"/>
      <c r="O894" s="640">
        <f>IF(AND(N894=1,L894=1),K894,"")</f>
        <v/>
      </c>
      <c r="P894" s="642" t="inlineStr">
        <is>
          <t>Москва, проезд Аэропорта, 8</t>
        </is>
      </c>
      <c r="Q894" s="640" t="inlineStr">
        <is>
          <t>55.7972073</t>
        </is>
      </c>
      <c r="R894" s="494" t="inlineStr">
        <is>
          <t>37.5221246</t>
        </is>
      </c>
      <c r="S894" s="528" t="n">
        <v>24</v>
      </c>
      <c r="T894" s="436">
        <f>IF(N894=1,O894*S894,"")</f>
        <v/>
      </c>
      <c r="U894" s="436" t="n"/>
      <c r="V894" s="438">
        <f>IF(AND(N894=1,U894=1),C894,"")</f>
        <v/>
      </c>
      <c r="W894" s="387" t="n"/>
      <c r="X894" s="387" t="n"/>
      <c r="Y894" s="387" t="n"/>
    </row>
    <row r="895" hidden="1" ht="16.05" customFormat="1" customHeight="1" s="126">
      <c r="A895" s="125" t="n">
        <v>1322</v>
      </c>
      <c r="B895" s="125" t="n"/>
      <c r="C895" s="130" t="inlineStr">
        <is>
          <t>Воронеж</t>
        </is>
      </c>
      <c r="D895" s="130" t="inlineStr">
        <is>
          <t>Воронеж</t>
        </is>
      </c>
      <c r="E895" s="130" t="n"/>
      <c r="F895" s="130" t="inlineStr">
        <is>
          <t>АЗС</t>
        </is>
      </c>
      <c r="G895" s="130" t="inlineStr">
        <is>
          <t>Роснефть</t>
        </is>
      </c>
      <c r="H895" s="131" t="inlineStr">
        <is>
          <t>АЗК 020</t>
        </is>
      </c>
      <c r="I895" s="637" t="inlineStr">
        <is>
          <t>RN_020</t>
        </is>
      </c>
      <c r="J895" s="637" t="inlineStr">
        <is>
          <t>VRN_RN_0020</t>
        </is>
      </c>
      <c r="K895" s="640" t="n">
        <v>1</v>
      </c>
      <c r="L895" s="640" t="n">
        <v>1</v>
      </c>
      <c r="M895" s="623" t="inlineStr">
        <is>
          <t>Samsung 32" вертикальный</t>
        </is>
      </c>
      <c r="N895" s="640" t="n"/>
      <c r="O895" s="640">
        <f>IF(AND(N895=1,L895=1),K895,"")</f>
        <v/>
      </c>
      <c r="P895" s="642" t="inlineStr">
        <is>
          <t>Воронеж, Московский проспект, 4а</t>
        </is>
      </c>
      <c r="Q895" s="640" t="inlineStr">
        <is>
          <t>51.677579</t>
        </is>
      </c>
      <c r="R895" s="494" t="inlineStr">
        <is>
          <t>39.18604</t>
        </is>
      </c>
      <c r="S895" s="436" t="n"/>
      <c r="T895" s="436" t="n"/>
      <c r="U895" s="436" t="n">
        <v>1</v>
      </c>
      <c r="V895" s="438">
        <f>IF(AND(N895=1,U895=1),C895,"")</f>
        <v/>
      </c>
      <c r="W895" s="387" t="n"/>
      <c r="X895" s="387" t="n"/>
      <c r="Y895" s="387" t="n"/>
    </row>
    <row r="896" hidden="1" ht="16.05" customHeight="1">
      <c r="A896" s="13" t="n">
        <v>1315</v>
      </c>
      <c r="B896" s="13">
        <f>IF(OR(M896="Sam 32",M896="Sam 40"),"s",IF(M896="AMS","a","v"))</f>
        <v/>
      </c>
      <c r="C896" s="130" t="inlineStr">
        <is>
          <t>Москва</t>
        </is>
      </c>
      <c r="D896" s="130" t="inlineStr">
        <is>
          <t>Москва</t>
        </is>
      </c>
      <c r="E896" s="130" t="inlineStr">
        <is>
          <t>ЗАО</t>
        </is>
      </c>
      <c r="F896" s="130" t="n"/>
      <c r="G896" s="130" t="inlineStr">
        <is>
          <t>Азбука Вкуса</t>
        </is>
      </c>
      <c r="H896" s="131" t="n"/>
      <c r="I896" s="637" t="inlineStr">
        <is>
          <t>89_Daily</t>
        </is>
      </c>
      <c r="J896" s="402" t="n"/>
      <c r="K896" s="640" t="n">
        <v>2</v>
      </c>
      <c r="L896" s="640" t="n">
        <v>0</v>
      </c>
      <c r="M896" s="640" t="inlineStr">
        <is>
          <t>Sam 40v</t>
        </is>
      </c>
      <c r="N896" s="640" t="n"/>
      <c r="O896" s="640">
        <f>IF(AND(N896=1,L896=1),K896,"")</f>
        <v/>
      </c>
      <c r="P896" s="642" t="inlineStr">
        <is>
          <t>Москва, Мичуринский проспект, 21</t>
        </is>
      </c>
      <c r="Q896" s="640" t="n"/>
      <c r="R896" s="422" t="n"/>
      <c r="S896" s="528" t="n">
        <v>17</v>
      </c>
      <c r="T896" s="436">
        <f>S896*O896</f>
        <v/>
      </c>
      <c r="U896" s="436" t="n">
        <v>1</v>
      </c>
      <c r="V896" s="438">
        <f>IF(AND(N896=1,U896=1),C896,"")</f>
        <v/>
      </c>
      <c r="Z896" s="1" t="n"/>
    </row>
    <row r="897" hidden="1" ht="16.05" customFormat="1" customHeight="1" s="126">
      <c r="A897" s="125" t="n">
        <v>1323</v>
      </c>
      <c r="B897" s="125" t="n"/>
      <c r="C897" s="130" t="inlineStr">
        <is>
          <t>Воронеж</t>
        </is>
      </c>
      <c r="D897" s="130" t="inlineStr">
        <is>
          <t>Воронеж</t>
        </is>
      </c>
      <c r="E897" s="130" t="n"/>
      <c r="F897" s="130" t="inlineStr">
        <is>
          <t>АЗС</t>
        </is>
      </c>
      <c r="G897" s="130" t="inlineStr">
        <is>
          <t>Роснефть</t>
        </is>
      </c>
      <c r="H897" s="131" t="inlineStr">
        <is>
          <t>АЗК 026</t>
        </is>
      </c>
      <c r="I897" s="637" t="inlineStr">
        <is>
          <t>RN_026</t>
        </is>
      </c>
      <c r="J897" s="637" t="inlineStr">
        <is>
          <t>VRN_RN_0026</t>
        </is>
      </c>
      <c r="K897" s="640" t="n">
        <v>1</v>
      </c>
      <c r="L897" s="640" t="n">
        <v>1</v>
      </c>
      <c r="M897" s="623" t="inlineStr">
        <is>
          <t>Samsung 32" вертикальный</t>
        </is>
      </c>
      <c r="N897" s="640" t="n"/>
      <c r="O897" s="640">
        <f>IF(AND(N897=1,L897=1),K897,"")</f>
        <v/>
      </c>
      <c r="P897" s="642" t="inlineStr">
        <is>
          <t>Воронеж Космонавтов, 6 а</t>
        </is>
      </c>
      <c r="Q897" s="640" t="inlineStr">
        <is>
          <t>51.661878</t>
        </is>
      </c>
      <c r="R897" s="494" t="inlineStr">
        <is>
          <t>39.151145</t>
        </is>
      </c>
      <c r="S897" s="436" t="n"/>
      <c r="T897" s="438" t="n"/>
      <c r="U897" s="436" t="n">
        <v>1</v>
      </c>
      <c r="V897" s="438">
        <f>IF(AND(N897=1,U897=1),C897,"")</f>
        <v/>
      </c>
      <c r="W897" s="387" t="n"/>
      <c r="X897" s="387" t="n"/>
      <c r="Y897" s="387" t="n"/>
    </row>
    <row r="898" hidden="1" ht="16.05" customFormat="1" customHeight="1" s="126">
      <c r="A898" s="125" t="n">
        <v>1324</v>
      </c>
      <c r="B898" s="125" t="n"/>
      <c r="C898" s="130" t="inlineStr">
        <is>
          <t>Воронеж</t>
        </is>
      </c>
      <c r="D898" s="130" t="inlineStr">
        <is>
          <t>Воронеж</t>
        </is>
      </c>
      <c r="E898" s="130" t="n"/>
      <c r="F898" s="130" t="inlineStr">
        <is>
          <t>АЗС</t>
        </is>
      </c>
      <c r="G898" s="130" t="inlineStr">
        <is>
          <t>Роснефть</t>
        </is>
      </c>
      <c r="H898" s="131" t="inlineStr">
        <is>
          <t>АЗК 036</t>
        </is>
      </c>
      <c r="I898" s="637" t="inlineStr">
        <is>
          <t>RN_036</t>
        </is>
      </c>
      <c r="J898" s="637" t="inlineStr">
        <is>
          <t>VRN_RN_0036</t>
        </is>
      </c>
      <c r="K898" s="640" t="n">
        <v>1</v>
      </c>
      <c r="L898" s="640" t="n">
        <v>1</v>
      </c>
      <c r="M898" s="623" t="inlineStr">
        <is>
          <t>Samsung 32" вертикальный</t>
        </is>
      </c>
      <c r="N898" s="640" t="n"/>
      <c r="O898" s="640">
        <f>IF(AND(N898=1,L898=1),K898,"")</f>
        <v/>
      </c>
      <c r="P898" s="642" t="inlineStr">
        <is>
          <t>Воронеж, пер. Отличников, 43 а</t>
        </is>
      </c>
      <c r="Q898" s="640" t="inlineStr">
        <is>
          <t>51.636354</t>
        </is>
      </c>
      <c r="R898" s="494" t="inlineStr">
        <is>
          <t>39.26246</t>
        </is>
      </c>
      <c r="S898" s="436" t="n"/>
      <c r="T898" s="438" t="n"/>
      <c r="U898" s="436" t="n"/>
      <c r="V898" s="438">
        <f>IF(AND(N898=1,U898=1),C898,"")</f>
        <v/>
      </c>
      <c r="W898" s="387" t="n"/>
      <c r="X898" s="387" t="n"/>
      <c r="Y898" s="387" t="n"/>
    </row>
    <row r="899" hidden="1" ht="16.05" customFormat="1" customHeight="1" s="126">
      <c r="A899" s="125" t="n">
        <v>1319</v>
      </c>
      <c r="B899" s="125" t="n"/>
      <c r="C899" s="130" t="inlineStr">
        <is>
          <t>Воронеж</t>
        </is>
      </c>
      <c r="D899" s="130" t="inlineStr">
        <is>
          <t>Воронеж</t>
        </is>
      </c>
      <c r="E899" s="130" t="n"/>
      <c r="F899" s="130" t="inlineStr">
        <is>
          <t>АЗС</t>
        </is>
      </c>
      <c r="G899" s="130" t="inlineStr">
        <is>
          <t>Роснефть</t>
        </is>
      </c>
      <c r="H899" s="131" t="inlineStr">
        <is>
          <t>АЗК 001</t>
        </is>
      </c>
      <c r="I899" s="637" t="inlineStr">
        <is>
          <t>RN_001</t>
        </is>
      </c>
      <c r="J899" s="637" t="inlineStr">
        <is>
          <t>VRN_RN_0001</t>
        </is>
      </c>
      <c r="K899" s="640" t="n">
        <v>1</v>
      </c>
      <c r="L899" s="640" t="n">
        <v>1</v>
      </c>
      <c r="M899" s="623" t="inlineStr">
        <is>
          <t>Samsung 32" вертикальный</t>
        </is>
      </c>
      <c r="N899" s="640" t="n"/>
      <c r="O899" s="640">
        <f>IF(AND(N899=1,L899=1),K899,"")</f>
        <v/>
      </c>
      <c r="P899" s="642" t="inlineStr">
        <is>
          <t>Воронеж, Острогожская,144</t>
        </is>
      </c>
      <c r="Q899" s="640" t="inlineStr">
        <is>
          <t>51.619622</t>
        </is>
      </c>
      <c r="R899" s="494" t="inlineStr">
        <is>
          <t>39.175636</t>
        </is>
      </c>
      <c r="S899" s="436" t="n"/>
      <c r="T899" s="436" t="n"/>
      <c r="U899" s="436" t="n"/>
      <c r="V899" s="438">
        <f>IF(AND(N899=1,U899=1),C899,"")</f>
        <v/>
      </c>
      <c r="W899" s="387" t="n"/>
      <c r="X899" s="387" t="n"/>
      <c r="Y899" s="387" t="n"/>
    </row>
    <row r="900" hidden="1" ht="16.05" customFormat="1" customHeight="1" s="126">
      <c r="A900" s="125" t="n">
        <v>1320</v>
      </c>
      <c r="B900" s="125" t="n"/>
      <c r="C900" s="130" t="inlineStr">
        <is>
          <t>Воронеж</t>
        </is>
      </c>
      <c r="D900" s="130" t="inlineStr">
        <is>
          <t>Воронеж</t>
        </is>
      </c>
      <c r="E900" s="130" t="n"/>
      <c r="F900" s="130" t="inlineStr">
        <is>
          <t>АЗС</t>
        </is>
      </c>
      <c r="G900" s="130" t="inlineStr">
        <is>
          <t>Роснефть</t>
        </is>
      </c>
      <c r="H900" s="131" t="inlineStr">
        <is>
          <t>АЗК 002</t>
        </is>
      </c>
      <c r="I900" s="637" t="inlineStr">
        <is>
          <t>RN_002</t>
        </is>
      </c>
      <c r="J900" s="637" t="inlineStr">
        <is>
          <t>VRN_RN_0002</t>
        </is>
      </c>
      <c r="K900" s="640" t="n">
        <v>1</v>
      </c>
      <c r="L900" s="640" t="n">
        <v>0</v>
      </c>
      <c r="M900" s="640" t="inlineStr">
        <is>
          <t>Samsung 32" вертикальный</t>
        </is>
      </c>
      <c r="N900" s="640" t="n"/>
      <c r="O900" s="640">
        <f>IF(AND(N900=1,L900=1),K900,"")</f>
        <v/>
      </c>
      <c r="P900" s="642" t="inlineStr">
        <is>
          <t>Воронеж, Ленинский проспект, 182</t>
        </is>
      </c>
      <c r="Q900" s="640" t="inlineStr">
        <is>
          <t>51.704768</t>
        </is>
      </c>
      <c r="R900" s="494" t="inlineStr">
        <is>
          <t>39.276465</t>
        </is>
      </c>
      <c r="S900" s="436" t="n"/>
      <c r="T900" s="436" t="n"/>
      <c r="U900" s="436" t="n"/>
      <c r="V900" s="438">
        <f>IF(AND(N900=1,U900=1),C900,"")</f>
        <v/>
      </c>
      <c r="W900" s="387" t="n"/>
      <c r="X900" s="387" t="n"/>
      <c r="Y900" s="387" t="n"/>
    </row>
    <row r="901" hidden="1" ht="16.05" customFormat="1" customHeight="1" s="126">
      <c r="A901" s="125" t="n">
        <v>1321</v>
      </c>
      <c r="B901" s="125" t="n"/>
      <c r="C901" s="130" t="inlineStr">
        <is>
          <t>Воронеж</t>
        </is>
      </c>
      <c r="D901" s="130" t="inlineStr">
        <is>
          <t>Воронеж</t>
        </is>
      </c>
      <c r="E901" s="130" t="n"/>
      <c r="F901" s="130" t="inlineStr">
        <is>
          <t>АЗС</t>
        </is>
      </c>
      <c r="G901" s="130" t="inlineStr">
        <is>
          <t>Роснефть</t>
        </is>
      </c>
      <c r="H901" s="131" t="inlineStr">
        <is>
          <t>АЗК 003</t>
        </is>
      </c>
      <c r="I901" s="637" t="inlineStr">
        <is>
          <t>RN_003</t>
        </is>
      </c>
      <c r="J901" s="637" t="inlineStr">
        <is>
          <t>VRN_RN_0003</t>
        </is>
      </c>
      <c r="K901" s="640" t="n">
        <v>1</v>
      </c>
      <c r="L901" s="640" t="n">
        <v>1</v>
      </c>
      <c r="M901" s="623" t="inlineStr">
        <is>
          <t>Samsung 32" вертикальный</t>
        </is>
      </c>
      <c r="N901" s="640" t="n"/>
      <c r="O901" s="640">
        <f>IF(AND(N901=1,L901=1),K901,"")</f>
        <v/>
      </c>
      <c r="P901" s="642" t="inlineStr">
        <is>
          <t>Воронеж  Московский проспект, 84</t>
        </is>
      </c>
      <c r="Q901" s="640" t="inlineStr">
        <is>
          <t>51.70816</t>
        </is>
      </c>
      <c r="R901" s="494" t="inlineStr">
        <is>
          <t>39.181594</t>
        </is>
      </c>
      <c r="S901" s="436" t="n"/>
      <c r="T901" s="436" t="n"/>
      <c r="U901" s="436" t="n"/>
      <c r="V901" s="438">
        <f>IF(AND(N901=1,U901=1),C901,"")</f>
        <v/>
      </c>
      <c r="W901" s="387" t="n"/>
      <c r="X901" s="387" t="n"/>
      <c r="Y901" s="387" t="n"/>
    </row>
    <row r="902" hidden="1" ht="16.05" customFormat="1" customHeight="1" s="126">
      <c r="A902" s="125" t="n">
        <v>1325</v>
      </c>
      <c r="B902" s="125" t="n"/>
      <c r="C902" s="130" t="inlineStr">
        <is>
          <t>Воронеж</t>
        </is>
      </c>
      <c r="D902" s="130" t="inlineStr">
        <is>
          <t>Воронеж</t>
        </is>
      </c>
      <c r="E902" s="130" t="n"/>
      <c r="F902" s="130" t="inlineStr">
        <is>
          <t>АЗС</t>
        </is>
      </c>
      <c r="G902" s="130" t="inlineStr">
        <is>
          <t>Роснефть</t>
        </is>
      </c>
      <c r="H902" s="131" t="inlineStr">
        <is>
          <t>АЗК 037</t>
        </is>
      </c>
      <c r="I902" s="637" t="inlineStr">
        <is>
          <t>RN_037</t>
        </is>
      </c>
      <c r="J902" s="637" t="inlineStr">
        <is>
          <t>VRN_RN_0037</t>
        </is>
      </c>
      <c r="K902" s="640" t="n">
        <v>1</v>
      </c>
      <c r="L902" s="640" t="n">
        <v>1</v>
      </c>
      <c r="M902" s="623" t="inlineStr">
        <is>
          <t>Samsung 32" вертикальный</t>
        </is>
      </c>
      <c r="N902" s="640" t="n"/>
      <c r="O902" s="640">
        <f>IF(AND(N902=1,L902=1),K902,"")</f>
        <v/>
      </c>
      <c r="P902" s="642" t="inlineStr">
        <is>
          <t>Воронеж, проспект Патриотов, 1 а</t>
        </is>
      </c>
      <c r="Q902" s="640" t="inlineStr">
        <is>
          <t>51.644212</t>
        </is>
      </c>
      <c r="R902" s="494" t="inlineStr">
        <is>
          <t>39.144448</t>
        </is>
      </c>
      <c r="S902" s="436" t="n"/>
      <c r="T902" s="325" t="n"/>
      <c r="U902" s="438" t="n"/>
      <c r="V902" s="438">
        <f>IF(AND(N902=1,U902=1),C902,"")</f>
        <v/>
      </c>
      <c r="W902" s="387" t="n"/>
      <c r="X902" s="387" t="n"/>
      <c r="Y902" s="387" t="n"/>
    </row>
    <row r="903" hidden="1" ht="16.05" customFormat="1" customHeight="1" s="126">
      <c r="A903" s="125" t="n">
        <v>1327</v>
      </c>
      <c r="B903" s="125" t="n"/>
      <c r="C903" s="130" t="inlineStr">
        <is>
          <t>Воронеж</t>
        </is>
      </c>
      <c r="D903" s="130" t="inlineStr">
        <is>
          <t>Воронеж</t>
        </is>
      </c>
      <c r="E903" s="130" t="n"/>
      <c r="F903" s="130" t="inlineStr">
        <is>
          <t>АЗС</t>
        </is>
      </c>
      <c r="G903" s="130" t="inlineStr">
        <is>
          <t>Роснефть</t>
        </is>
      </c>
      <c r="H903" s="131" t="inlineStr">
        <is>
          <t>АЗК 052</t>
        </is>
      </c>
      <c r="I903" s="637" t="inlineStr">
        <is>
          <t>RN_052</t>
        </is>
      </c>
      <c r="J903" s="637" t="inlineStr">
        <is>
          <t>VRN_RN_0052</t>
        </is>
      </c>
      <c r="K903" s="640" t="n">
        <v>1</v>
      </c>
      <c r="L903" s="640" t="n">
        <v>1</v>
      </c>
      <c r="M903" s="623" t="inlineStr">
        <is>
          <t>Samsung 32" вертикальный</t>
        </is>
      </c>
      <c r="N903" s="640" t="n"/>
      <c r="O903" s="640">
        <f>IF(AND(N903=1,L903=1),K903,"")</f>
        <v/>
      </c>
      <c r="P903" s="642" t="inlineStr">
        <is>
          <t>Воронеж, 9 Января, 258 а</t>
        </is>
      </c>
      <c r="Q903" s="640" t="inlineStr">
        <is>
          <t>51.680608</t>
        </is>
      </c>
      <c r="R903" s="494" t="inlineStr">
        <is>
          <t>39.130211</t>
        </is>
      </c>
      <c r="S903" s="436" t="n"/>
      <c r="T903" s="436" t="n"/>
      <c r="U903" s="438" t="n"/>
      <c r="V903" s="438">
        <f>IF(AND(N903=1,U903=1),C903,"")</f>
        <v/>
      </c>
      <c r="W903" s="387" t="n"/>
      <c r="X903" s="387" t="n"/>
      <c r="Y903" s="387" t="n"/>
    </row>
    <row r="904" hidden="1" ht="16.05" customFormat="1" customHeight="1" s="126">
      <c r="A904" s="125" t="n">
        <v>1328</v>
      </c>
      <c r="B904" s="125" t="n"/>
      <c r="C904" s="130" t="inlineStr">
        <is>
          <t>Воронеж</t>
        </is>
      </c>
      <c r="D904" s="130" t="inlineStr">
        <is>
          <t>Воронеж</t>
        </is>
      </c>
      <c r="E904" s="130" t="n"/>
      <c r="F904" s="130" t="inlineStr">
        <is>
          <t>АЗС</t>
        </is>
      </c>
      <c r="G904" s="130" t="inlineStr">
        <is>
          <t>Роснефть</t>
        </is>
      </c>
      <c r="H904" s="131" t="inlineStr">
        <is>
          <t>АЗК 054</t>
        </is>
      </c>
      <c r="I904" s="637" t="inlineStr">
        <is>
          <t>RN_054</t>
        </is>
      </c>
      <c r="J904" s="637" t="inlineStr">
        <is>
          <t>VRN_RN_0054</t>
        </is>
      </c>
      <c r="K904" s="640" t="n">
        <v>1</v>
      </c>
      <c r="L904" s="640" t="n">
        <v>1</v>
      </c>
      <c r="M904" s="623" t="inlineStr">
        <is>
          <t>Samsung 32" вертикальный</t>
        </is>
      </c>
      <c r="N904" s="640" t="n"/>
      <c r="O904" s="640">
        <f>IF(AND(N904=1,L904=1),K904,"")</f>
        <v/>
      </c>
      <c r="P904" s="642" t="inlineStr">
        <is>
          <t>Воронеж, Чебышева, 13</t>
        </is>
      </c>
      <c r="Q904" s="640" t="inlineStr">
        <is>
          <t>51.599301</t>
        </is>
      </c>
      <c r="R904" s="494" t="inlineStr">
        <is>
          <t>39.246551</t>
        </is>
      </c>
      <c r="S904" s="436" t="n"/>
      <c r="T904" s="399" t="n"/>
      <c r="U904" s="325" t="n"/>
      <c r="V904" s="438">
        <f>IF(AND(N904=1,U904=1),C904,"")</f>
        <v/>
      </c>
      <c r="W904" s="387" t="n"/>
      <c r="X904" s="387" t="n"/>
      <c r="Y904" s="387" t="n"/>
    </row>
    <row r="905" hidden="1" ht="16.05" customFormat="1" customHeight="1" s="126">
      <c r="A905" s="125" t="n">
        <v>1329</v>
      </c>
      <c r="B905" s="125" t="n"/>
      <c r="C905" s="130" t="inlineStr">
        <is>
          <t>Воронеж</t>
        </is>
      </c>
      <c r="D905" s="130" t="inlineStr">
        <is>
          <t>Воронеж</t>
        </is>
      </c>
      <c r="E905" s="130" t="n"/>
      <c r="F905" s="130" t="inlineStr">
        <is>
          <t>АЗС</t>
        </is>
      </c>
      <c r="G905" s="130" t="inlineStr">
        <is>
          <t>Роснефть</t>
        </is>
      </c>
      <c r="H905" s="131" t="inlineStr">
        <is>
          <t>АЗК 057</t>
        </is>
      </c>
      <c r="I905" s="637" t="inlineStr">
        <is>
          <t>RN_057</t>
        </is>
      </c>
      <c r="J905" s="637" t="inlineStr">
        <is>
          <t>VRN_RN_0057</t>
        </is>
      </c>
      <c r="K905" s="640" t="n">
        <v>1</v>
      </c>
      <c r="L905" s="640" t="n">
        <v>1</v>
      </c>
      <c r="M905" s="623" t="inlineStr">
        <is>
          <t>Samsung 32" вертикальный</t>
        </is>
      </c>
      <c r="N905" s="640" t="n"/>
      <c r="O905" s="640">
        <f>IF(AND(N905=1,L905=1),K905,"")</f>
        <v/>
      </c>
      <c r="P905" s="642" t="inlineStr">
        <is>
          <t>Воронеж, пер. Спокойный, 24 а</t>
        </is>
      </c>
      <c r="Q905" s="640" t="inlineStr">
        <is>
          <t>51.687903</t>
        </is>
      </c>
      <c r="R905" s="494" t="inlineStr">
        <is>
          <t>39.205217</t>
        </is>
      </c>
      <c r="S905" s="436" t="n"/>
      <c r="T905" s="436" t="n"/>
      <c r="U905" s="652" t="n"/>
      <c r="V905" s="438">
        <f>IF(AND(N905=1,U905=1),C905,"")</f>
        <v/>
      </c>
      <c r="W905" s="387" t="n"/>
      <c r="X905" s="387" t="n"/>
      <c r="Y905" s="387" t="n"/>
    </row>
    <row r="906" hidden="1" ht="16.05" customFormat="1" customHeight="1" s="126">
      <c r="A906" s="125" t="n">
        <v>1326</v>
      </c>
      <c r="B906" s="125" t="n"/>
      <c r="C906" s="130" t="inlineStr">
        <is>
          <t>Воронеж</t>
        </is>
      </c>
      <c r="D906" s="130" t="inlineStr">
        <is>
          <t>Воронеж</t>
        </is>
      </c>
      <c r="E906" s="130" t="n"/>
      <c r="F906" s="130" t="inlineStr">
        <is>
          <t>АЗС</t>
        </is>
      </c>
      <c r="G906" s="130" t="inlineStr">
        <is>
          <t>Роснефть</t>
        </is>
      </c>
      <c r="H906" s="131" t="inlineStr">
        <is>
          <t>АЗК 038</t>
        </is>
      </c>
      <c r="I906" s="637" t="inlineStr">
        <is>
          <t>RN_038</t>
        </is>
      </c>
      <c r="J906" s="637" t="inlineStr">
        <is>
          <t>VRN_RN_0038</t>
        </is>
      </c>
      <c r="K906" s="640" t="n">
        <v>1</v>
      </c>
      <c r="L906" s="640" t="n">
        <v>1</v>
      </c>
      <c r="M906" s="623" t="inlineStr">
        <is>
          <t>Samsung 32" вертикальный</t>
        </is>
      </c>
      <c r="N906" s="640" t="n"/>
      <c r="O906" s="640">
        <f>IF(AND(N906=1,L906=1),K906,"")</f>
        <v/>
      </c>
      <c r="P906" s="642" t="inlineStr">
        <is>
          <t>Воронеж,  Димитрова, 163(Трасса)</t>
        </is>
      </c>
      <c r="Q906" s="640" t="inlineStr">
        <is>
          <t>51.647688</t>
        </is>
      </c>
      <c r="R906" s="494" t="inlineStr">
        <is>
          <t>39.307797</t>
        </is>
      </c>
      <c r="S906" s="436" t="n"/>
      <c r="T906" s="399" t="n"/>
      <c r="U906" s="438" t="n"/>
      <c r="V906" s="438">
        <f>IF(AND(N906=1,U906=1),C906,"")</f>
        <v/>
      </c>
      <c r="W906" s="387" t="n"/>
      <c r="X906" s="387" t="n"/>
      <c r="Y906" s="387" t="n"/>
    </row>
    <row r="907" hidden="1" ht="16.05" customFormat="1" customHeight="1" s="126">
      <c r="A907" s="125" t="n">
        <v>1330</v>
      </c>
      <c r="B907" s="125" t="n"/>
      <c r="C907" s="130" t="inlineStr">
        <is>
          <t>Воронеж</t>
        </is>
      </c>
      <c r="D907" s="130" t="inlineStr">
        <is>
          <t>Воронеж</t>
        </is>
      </c>
      <c r="E907" s="130" t="n"/>
      <c r="F907" s="130" t="inlineStr">
        <is>
          <t>АЗС</t>
        </is>
      </c>
      <c r="G907" s="130" t="inlineStr">
        <is>
          <t>Роснефть</t>
        </is>
      </c>
      <c r="H907" s="131" t="inlineStr">
        <is>
          <t>АЗК 063</t>
        </is>
      </c>
      <c r="I907" s="637" t="inlineStr">
        <is>
          <t>RN_063</t>
        </is>
      </c>
      <c r="J907" s="637" t="inlineStr">
        <is>
          <t>VRN_RN_0063</t>
        </is>
      </c>
      <c r="K907" s="640" t="n">
        <v>1</v>
      </c>
      <c r="L907" s="640" t="n">
        <v>1</v>
      </c>
      <c r="M907" s="623" t="inlineStr">
        <is>
          <t>Samsung 32" вертикальный</t>
        </is>
      </c>
      <c r="N907" s="640" t="n"/>
      <c r="O907" s="640">
        <f>IF(AND(N907=1,L907=1),K907,"")</f>
        <v/>
      </c>
      <c r="P907" s="642" t="inlineStr">
        <is>
          <t>Воронеж,  45 Стрелковой дивизии, 238</t>
        </is>
      </c>
      <c r="Q907" s="640" t="inlineStr">
        <is>
          <t>51.693119</t>
        </is>
      </c>
      <c r="R907" s="494" t="inlineStr">
        <is>
          <t>39.129523</t>
        </is>
      </c>
      <c r="S907" s="436" t="n"/>
      <c r="T907" s="399" t="n"/>
      <c r="U907" s="652" t="n"/>
      <c r="V907" s="438">
        <f>IF(AND(N907=1,U907=1),C907,"")</f>
        <v/>
      </c>
      <c r="W907" s="387" t="n"/>
      <c r="X907" s="387" t="n"/>
      <c r="Y907" s="387" t="n"/>
    </row>
    <row r="908" hidden="1" ht="16.05" customFormat="1" customHeight="1" s="126">
      <c r="A908" s="125" t="n">
        <v>1331</v>
      </c>
      <c r="B908" s="125" t="n"/>
      <c r="C908" s="130" t="inlineStr">
        <is>
          <t>Воронеж</t>
        </is>
      </c>
      <c r="D908" s="130" t="inlineStr">
        <is>
          <t>Воронеж</t>
        </is>
      </c>
      <c r="E908" s="130" t="n"/>
      <c r="F908" s="130" t="inlineStr">
        <is>
          <t>АЗС</t>
        </is>
      </c>
      <c r="G908" s="130" t="inlineStr">
        <is>
          <t>Роснефть</t>
        </is>
      </c>
      <c r="H908" s="131" t="inlineStr">
        <is>
          <t>АЗК 066</t>
        </is>
      </c>
      <c r="I908" s="637" t="inlineStr">
        <is>
          <t>RN_066</t>
        </is>
      </c>
      <c r="J908" s="637" t="inlineStr">
        <is>
          <t>VRN_RN_0066</t>
        </is>
      </c>
      <c r="K908" s="640" t="n">
        <v>1</v>
      </c>
      <c r="L908" s="640" t="n">
        <v>0</v>
      </c>
      <c r="M908" s="623" t="inlineStr">
        <is>
          <t>Samsung 32" вертикальный</t>
        </is>
      </c>
      <c r="N908" s="640" t="n"/>
      <c r="O908" s="640">
        <f>IF(AND(N908=1,L908=1),K908,"")</f>
        <v/>
      </c>
      <c r="P908" s="642" t="inlineStr">
        <is>
          <t>Воронеж, проспект Патриотов, 69</t>
        </is>
      </c>
      <c r="Q908" s="640" t="inlineStr">
        <is>
          <t>51.648073</t>
        </is>
      </c>
      <c r="R908" s="494" t="inlineStr">
        <is>
          <t>39.095049</t>
        </is>
      </c>
      <c r="S908" s="436" t="n"/>
      <c r="T908" s="387" t="n"/>
      <c r="U908" s="438" t="n"/>
      <c r="V908" s="438">
        <f>IF(AND(N908=1,U908=1),C908,"")</f>
        <v/>
      </c>
      <c r="W908" s="387" t="n"/>
      <c r="X908" s="387" t="n"/>
      <c r="Y908" s="387" t="n"/>
    </row>
    <row r="909" hidden="1" ht="16.05" customFormat="1" customHeight="1" s="126">
      <c r="A909" s="125" t="n">
        <v>1333</v>
      </c>
      <c r="B909" s="125" t="n"/>
      <c r="C909" s="130" t="inlineStr">
        <is>
          <t>Воронеж</t>
        </is>
      </c>
      <c r="D909" s="130" t="inlineStr">
        <is>
          <t>Воронеж</t>
        </is>
      </c>
      <c r="E909" s="130" t="n"/>
      <c r="F909" s="130" t="inlineStr">
        <is>
          <t>АЗС</t>
        </is>
      </c>
      <c r="G909" s="130" t="inlineStr">
        <is>
          <t>Роснефть</t>
        </is>
      </c>
      <c r="H909" s="131" t="inlineStr">
        <is>
          <t>АЗК 073</t>
        </is>
      </c>
      <c r="I909" s="637" t="inlineStr">
        <is>
          <t>RN_073</t>
        </is>
      </c>
      <c r="J909" s="637" t="inlineStr">
        <is>
          <t>VRN_RN_0073</t>
        </is>
      </c>
      <c r="K909" s="640" t="n">
        <v>1</v>
      </c>
      <c r="L909" s="640" t="n">
        <v>1</v>
      </c>
      <c r="M909" s="623" t="inlineStr">
        <is>
          <t>Samsung 32" вертикальный</t>
        </is>
      </c>
      <c r="N909" s="640" t="n"/>
      <c r="O909" s="640">
        <f>IF(AND(N909=1,L909=1),K909,"")</f>
        <v/>
      </c>
      <c r="P909" s="642" t="inlineStr">
        <is>
          <t>Воронеж, Земячки, 7 а</t>
        </is>
      </c>
      <c r="Q909" s="640" t="inlineStr">
        <is>
          <t>51.703979</t>
        </is>
      </c>
      <c r="R909" s="494" t="inlineStr">
        <is>
          <t>39.289708</t>
        </is>
      </c>
      <c r="S909" s="436" t="n"/>
      <c r="T909" s="387" t="n"/>
      <c r="U909" s="652" t="n"/>
      <c r="V909" s="438">
        <f>IF(AND(N909=1,U909=1),C909,"")</f>
        <v/>
      </c>
      <c r="W909" s="387" t="n"/>
      <c r="X909" s="387" t="n"/>
      <c r="Y909" s="387" t="n"/>
    </row>
    <row r="910" hidden="1" ht="16.05" customFormat="1" customHeight="1" s="126">
      <c r="A910" s="125" t="n">
        <v>1334</v>
      </c>
      <c r="B910" s="125" t="n"/>
      <c r="C910" s="130" t="inlineStr">
        <is>
          <t>Воронеж</t>
        </is>
      </c>
      <c r="D910" s="130" t="inlineStr">
        <is>
          <t>Воронеж</t>
        </is>
      </c>
      <c r="E910" s="130" t="n"/>
      <c r="F910" s="130" t="inlineStr">
        <is>
          <t>АЗС</t>
        </is>
      </c>
      <c r="G910" s="130" t="inlineStr">
        <is>
          <t>Роснефть</t>
        </is>
      </c>
      <c r="H910" s="131" t="inlineStr">
        <is>
          <t>АЗК 165</t>
        </is>
      </c>
      <c r="I910" s="637" t="inlineStr">
        <is>
          <t>RN_165</t>
        </is>
      </c>
      <c r="J910" s="637" t="inlineStr">
        <is>
          <t>VRN_RN_0165</t>
        </is>
      </c>
      <c r="K910" s="640" t="n">
        <v>1</v>
      </c>
      <c r="L910" s="640" t="n">
        <v>1</v>
      </c>
      <c r="M910" s="623" t="inlineStr">
        <is>
          <t>Samsung 32" вертикальный</t>
        </is>
      </c>
      <c r="N910" s="640" t="n"/>
      <c r="O910" s="640">
        <f>IF(AND(N910=1,L910=1),K910,"")</f>
        <v/>
      </c>
      <c r="P910" s="642" t="inlineStr">
        <is>
          <t>Воронеж, Антонова-Овсеенко, 35 а</t>
        </is>
      </c>
      <c r="Q910" s="640" t="inlineStr">
        <is>
          <t>51.717867</t>
        </is>
      </c>
      <c r="R910" s="494" t="inlineStr">
        <is>
          <t>39.149206</t>
        </is>
      </c>
      <c r="S910" s="436" t="n"/>
      <c r="T910" s="387" t="n"/>
      <c r="U910" s="387" t="n"/>
      <c r="V910" s="438">
        <f>IF(AND(N910=1,U910=1),C910,"")</f>
        <v/>
      </c>
      <c r="W910" s="387" t="n"/>
      <c r="X910" s="387" t="n"/>
      <c r="Y910" s="387" t="n"/>
    </row>
    <row r="911" hidden="1" ht="16.05" customFormat="1" customHeight="1" s="126">
      <c r="A911" s="125" t="n">
        <v>1337</v>
      </c>
      <c r="B911" s="125" t="n"/>
      <c r="C911" s="130" t="inlineStr">
        <is>
          <t>Воронеж</t>
        </is>
      </c>
      <c r="D911" s="130" t="inlineStr">
        <is>
          <t>Воронежская область</t>
        </is>
      </c>
      <c r="E911" s="130" t="n"/>
      <c r="F911" s="130" t="inlineStr">
        <is>
          <t>АЗС</t>
        </is>
      </c>
      <c r="G911" s="130" t="inlineStr">
        <is>
          <t>Роснефть</t>
        </is>
      </c>
      <c r="H911" s="131" t="inlineStr">
        <is>
          <t>АЗК 072</t>
        </is>
      </c>
      <c r="I911" s="637" t="inlineStr">
        <is>
          <t>RN_072</t>
        </is>
      </c>
      <c r="J911" s="637" t="inlineStr">
        <is>
          <t>VRN_RN_0072</t>
        </is>
      </c>
      <c r="K911" s="640" t="n">
        <v>1</v>
      </c>
      <c r="L911" s="640" t="n">
        <v>1</v>
      </c>
      <c r="M911" s="623" t="inlineStr">
        <is>
          <t>Samsung 32" вертикальный</t>
        </is>
      </c>
      <c r="N911" s="640" t="n"/>
      <c r="O911" s="640">
        <f>IF(AND(N911=1,L911=1),K911,"")</f>
        <v/>
      </c>
      <c r="P911" s="642" t="inlineStr">
        <is>
          <t>Воронежская область,  Н. Усманский район, с. Н. Усмань,  Ленина, 313</t>
        </is>
      </c>
      <c r="Q911" s="640" t="inlineStr">
        <is>
          <t>51.650157</t>
        </is>
      </c>
      <c r="R911" s="494" t="inlineStr">
        <is>
          <t>39.421585</t>
        </is>
      </c>
      <c r="S911" s="436" t="n"/>
      <c r="T911" s="387" t="n"/>
      <c r="U911" s="387" t="n"/>
      <c r="V911" s="438">
        <f>IF(AND(N911=1,U911=1),C911,"")</f>
        <v/>
      </c>
      <c r="W911" s="387" t="n"/>
      <c r="X911" s="387" t="n"/>
      <c r="Y911" s="387" t="n"/>
    </row>
    <row r="912" hidden="1" ht="16.05" customFormat="1" customHeight="1" s="126">
      <c r="A912" s="125" t="n">
        <v>1332</v>
      </c>
      <c r="B912" s="125" t="n"/>
      <c r="C912" s="130" t="inlineStr">
        <is>
          <t>Воронеж</t>
        </is>
      </c>
      <c r="D912" s="130" t="inlineStr">
        <is>
          <t>Воронеж</t>
        </is>
      </c>
      <c r="E912" s="130" t="n"/>
      <c r="F912" s="130" t="inlineStr">
        <is>
          <t>АЗС</t>
        </is>
      </c>
      <c r="G912" s="130" t="inlineStr">
        <is>
          <t>Роснефть</t>
        </is>
      </c>
      <c r="H912" s="131" t="inlineStr">
        <is>
          <t>АЗК 067</t>
        </is>
      </c>
      <c r="I912" s="637" t="inlineStr">
        <is>
          <t>RN_067</t>
        </is>
      </c>
      <c r="J912" s="637" t="inlineStr">
        <is>
          <t>VRN_RN_0067</t>
        </is>
      </c>
      <c r="K912" s="640" t="n">
        <v>1</v>
      </c>
      <c r="L912" s="640" t="n">
        <v>1</v>
      </c>
      <c r="M912" s="623" t="inlineStr">
        <is>
          <t>Samsung 32" вертикальный</t>
        </is>
      </c>
      <c r="N912" s="640" t="n"/>
      <c r="O912" s="640">
        <f>IF(AND(N912=1,L912=1),K912,"")</f>
        <v/>
      </c>
      <c r="P912" s="642" t="inlineStr">
        <is>
          <t>Воронеж, Московский проспект, 144</t>
        </is>
      </c>
      <c r="Q912" s="640" t="inlineStr">
        <is>
          <t>51.733242</t>
        </is>
      </c>
      <c r="R912" s="494" t="inlineStr">
        <is>
          <t>39.181411</t>
        </is>
      </c>
      <c r="S912" s="436" t="n"/>
      <c r="T912" s="387" t="n"/>
      <c r="U912" s="387" t="n"/>
      <c r="V912" s="438">
        <f>IF(AND(N912=1,U912=1),C912,"")</f>
        <v/>
      </c>
      <c r="W912" s="387" t="n"/>
      <c r="X912" s="387" t="n"/>
      <c r="Y912" s="387" t="n"/>
    </row>
    <row r="913" hidden="1" ht="16.05" customFormat="1" customHeight="1" s="126">
      <c r="A913" s="125" t="n">
        <v>1345</v>
      </c>
      <c r="B913" s="125" t="n"/>
      <c r="C913" s="130" t="inlineStr">
        <is>
          <t>Саратов</t>
        </is>
      </c>
      <c r="D913" s="130" t="inlineStr">
        <is>
          <t>Саратовская область</t>
        </is>
      </c>
      <c r="E913" s="130" t="n"/>
      <c r="F913" s="130" t="inlineStr">
        <is>
          <t>АЗС</t>
        </is>
      </c>
      <c r="G913" s="130" t="inlineStr">
        <is>
          <t>Роснефть</t>
        </is>
      </c>
      <c r="H913" s="131" t="n"/>
      <c r="I913" s="637" t="inlineStr">
        <is>
          <t>TNK_114</t>
        </is>
      </c>
      <c r="J913" s="637" t="inlineStr">
        <is>
          <t>SRT_TNK_0114</t>
        </is>
      </c>
      <c r="K913" s="640" t="n">
        <v>1</v>
      </c>
      <c r="L913" s="640" t="n">
        <v>1</v>
      </c>
      <c r="M913" s="623" t="inlineStr">
        <is>
          <t>Samsung 32" вертикальный</t>
        </is>
      </c>
      <c r="N913" s="640" t="n"/>
      <c r="O913" s="640">
        <f>IF(AND(N913=1,L913=1),K913,"")</f>
        <v/>
      </c>
      <c r="P913" s="642" t="inlineStr">
        <is>
          <t>Саратовская область, район  Саратов-Балашов вдоль автодороги Сызрань-Саратов 2км западнее развилки автодороги Саратов-Балашов  (Саратовский р-н, а/д Р228 (Сызрань-Саратов-Волгоград), 322 км (справа))</t>
        </is>
      </c>
      <c r="Q913" s="640" t="inlineStr">
        <is>
          <t>51.477102</t>
        </is>
      </c>
      <c r="R913" s="494" t="inlineStr">
        <is>
          <t>45.79489</t>
        </is>
      </c>
      <c r="S913" s="436" t="n"/>
      <c r="T913" s="387" t="n"/>
      <c r="U913" s="387" t="n"/>
      <c r="V913" s="438">
        <f>IF(AND(N913=1,U913=1),C913,"")</f>
        <v/>
      </c>
      <c r="W913" s="387" t="n"/>
      <c r="X913" s="387" t="n"/>
      <c r="Y913" s="387" t="n"/>
    </row>
    <row r="914" hidden="1" ht="16.05" customFormat="1" customHeight="1" s="126">
      <c r="A914" s="125" t="n">
        <v>1348</v>
      </c>
      <c r="B914" s="125" t="n"/>
      <c r="C914" s="130" t="inlineStr">
        <is>
          <t>Саратов</t>
        </is>
      </c>
      <c r="D914" s="130" t="inlineStr">
        <is>
          <t>Саратовская область</t>
        </is>
      </c>
      <c r="E914" s="130" t="n"/>
      <c r="F914" s="130" t="inlineStr">
        <is>
          <t>АЗС</t>
        </is>
      </c>
      <c r="G914" s="130" t="inlineStr">
        <is>
          <t>Роснефть</t>
        </is>
      </c>
      <c r="H914" s="131" t="n"/>
      <c r="I914" s="637" t="inlineStr">
        <is>
          <t>TNK_106</t>
        </is>
      </c>
      <c r="J914" s="637" t="inlineStr">
        <is>
          <t>SRT_TNK_0106</t>
        </is>
      </c>
      <c r="K914" s="640" t="n">
        <v>1</v>
      </c>
      <c r="L914" s="640" t="n">
        <v>0</v>
      </c>
      <c r="M914" s="623" t="inlineStr">
        <is>
          <t>Samsung 32" вертикальный</t>
        </is>
      </c>
      <c r="N914" s="640" t="n"/>
      <c r="O914" s="640">
        <f>IF(AND(N914=1,L914=1),K914,"")</f>
        <v/>
      </c>
      <c r="P914" s="642" t="inlineStr">
        <is>
          <t>Саратовская область, Саратовский рaйон, вдоль автодороги в обход г.Саратова, южная окраина пос.Дубки</t>
        </is>
      </c>
      <c r="Q914" s="640" t="inlineStr">
        <is>
          <t>51.6551</t>
        </is>
      </c>
      <c r="R914" s="494" t="inlineStr">
        <is>
          <t>46.0557</t>
        </is>
      </c>
      <c r="S914" s="436" t="n"/>
      <c r="T914" s="387" t="n"/>
      <c r="U914" s="387" t="n"/>
      <c r="V914" s="438">
        <f>IF(AND(N914=1,U914=1),C914,"")</f>
        <v/>
      </c>
      <c r="W914" s="387" t="n"/>
      <c r="X914" s="387" t="n"/>
      <c r="Y914" s="387" t="n"/>
    </row>
    <row r="915" hidden="1" ht="16.05" customFormat="1" customHeight="1" s="126">
      <c r="A915" s="125" t="n">
        <v>1335</v>
      </c>
      <c r="B915" s="125" t="n"/>
      <c r="C915" s="130" t="inlineStr">
        <is>
          <t>Воронеж</t>
        </is>
      </c>
      <c r="D915" s="130" t="inlineStr">
        <is>
          <t>Воронеж</t>
        </is>
      </c>
      <c r="E915" s="130" t="n"/>
      <c r="F915" s="130" t="inlineStr">
        <is>
          <t>АЗС</t>
        </is>
      </c>
      <c r="G915" s="130" t="inlineStr">
        <is>
          <t>Роснефть</t>
        </is>
      </c>
      <c r="H915" s="131" t="inlineStr">
        <is>
          <t>АЗК 181</t>
        </is>
      </c>
      <c r="I915" s="637" t="inlineStr">
        <is>
          <t>RN_181</t>
        </is>
      </c>
      <c r="J915" s="637" t="inlineStr">
        <is>
          <t>VRN_RN_0181</t>
        </is>
      </c>
      <c r="K915" s="640" t="n">
        <v>1</v>
      </c>
      <c r="L915" s="640" t="n">
        <v>0</v>
      </c>
      <c r="M915" s="640" t="inlineStr">
        <is>
          <t>Samsung 32" вертикальный</t>
        </is>
      </c>
      <c r="N915" s="640" t="n"/>
      <c r="O915" s="640">
        <f>IF(AND(N915=1,L915=1),K915,"")</f>
        <v/>
      </c>
      <c r="P915" s="642" t="inlineStr">
        <is>
          <t>Воронеж, (Трасса)  Ильюшина, 3а</t>
        </is>
      </c>
      <c r="Q915" s="640" t="inlineStr">
        <is>
          <t>51.64289</t>
        </is>
      </c>
      <c r="R915" s="494" t="inlineStr">
        <is>
          <t>39.295869</t>
        </is>
      </c>
      <c r="S915" s="436" t="n"/>
      <c r="T915" s="387" t="n"/>
      <c r="U915" s="387" t="n"/>
      <c r="V915" s="438">
        <f>IF(AND(N915=1,U915=1),C915,"")</f>
        <v/>
      </c>
      <c r="W915" s="387" t="n"/>
      <c r="X915" s="387" t="n"/>
      <c r="Y915" s="387" t="n"/>
    </row>
    <row r="916" hidden="1" ht="16.05" customFormat="1" customHeight="1" s="126">
      <c r="A916" s="125" t="n">
        <v>1336</v>
      </c>
      <c r="B916" s="125" t="n"/>
      <c r="C916" s="130" t="inlineStr">
        <is>
          <t>Воронеж</t>
        </is>
      </c>
      <c r="D916" s="130" t="inlineStr">
        <is>
          <t>Воронежская область</t>
        </is>
      </c>
      <c r="E916" s="130" t="n"/>
      <c r="F916" s="130" t="inlineStr">
        <is>
          <t>АЗС</t>
        </is>
      </c>
      <c r="G916" s="130" t="inlineStr">
        <is>
          <t>Роснефть</t>
        </is>
      </c>
      <c r="H916" s="131" t="inlineStr">
        <is>
          <t>АЗК 028</t>
        </is>
      </c>
      <c r="I916" s="637" t="inlineStr">
        <is>
          <t>RN_028</t>
        </is>
      </c>
      <c r="J916" s="637" t="inlineStr">
        <is>
          <t>VRN_RN_0028</t>
        </is>
      </c>
      <c r="K916" s="640" t="n">
        <v>1</v>
      </c>
      <c r="L916" s="640" t="n">
        <v>0</v>
      </c>
      <c r="M916" s="623" t="inlineStr">
        <is>
          <t>Samsung 32" вертикальный</t>
        </is>
      </c>
      <c r="N916" s="640" t="n"/>
      <c r="O916" s="640">
        <f>IF(AND(N916=1,L916=1),K916,"")</f>
        <v/>
      </c>
      <c r="P916" s="642" t="inlineStr">
        <is>
          <t>Воронежская область, Новоусманский район, с. Н. Усмань,  Дорожная, 31</t>
        </is>
      </c>
      <c r="Q916" s="640" t="inlineStr">
        <is>
          <t>51.614361</t>
        </is>
      </c>
      <c r="R916" s="494" t="inlineStr">
        <is>
          <t>39.379889</t>
        </is>
      </c>
      <c r="S916" s="436" t="n"/>
      <c r="T916" s="387" t="n"/>
      <c r="U916" s="387" t="n"/>
      <c r="V916" s="438">
        <f>IF(AND(N916=1,U916=1),C916,"")</f>
        <v/>
      </c>
      <c r="W916" s="387" t="n"/>
      <c r="X916" s="387" t="n"/>
      <c r="Y916" s="387" t="n"/>
    </row>
    <row r="917" hidden="1" ht="16.05" customFormat="1" customHeight="1" s="126">
      <c r="A917" s="125" t="n">
        <v>1338</v>
      </c>
      <c r="B917" s="125" t="inlineStr">
        <is>
          <t>WF</t>
        </is>
      </c>
      <c r="C917" s="130" t="inlineStr">
        <is>
          <t>Владимир</t>
        </is>
      </c>
      <c r="D917" s="130" t="inlineStr">
        <is>
          <t>Владимирская область</t>
        </is>
      </c>
      <c r="E917" s="130" t="n"/>
      <c r="F917" s="130" t="inlineStr">
        <is>
          <t>АЗС</t>
        </is>
      </c>
      <c r="G917" s="130" t="inlineStr">
        <is>
          <t>Лукойл</t>
        </is>
      </c>
      <c r="H917" s="131" t="inlineStr">
        <is>
          <t>VLM_FR001</t>
        </is>
      </c>
      <c r="I917" s="637" t="inlineStr">
        <is>
          <t>VLM_FR001</t>
        </is>
      </c>
      <c r="J917" s="402" t="inlineStr">
        <is>
          <t>VLA_LUK_FR001</t>
        </is>
      </c>
      <c r="K917" s="640" t="n">
        <v>1</v>
      </c>
      <c r="L917" s="640" t="n">
        <v>0</v>
      </c>
      <c r="M917" s="640" t="inlineStr">
        <is>
          <t>1 октября</t>
        </is>
      </c>
      <c r="N917" s="640" t="n"/>
      <c r="O917" s="640">
        <f>IF(AND(N917=1,L917=1),K917,"")</f>
        <v/>
      </c>
      <c r="P917" s="642" t="inlineStr">
        <is>
          <t xml:space="preserve">Владимирская область Вязнековский район д. Макрово д. 8 </t>
        </is>
      </c>
      <c r="Q917" s="640" t="n">
        <v>56.23113</v>
      </c>
      <c r="R917" s="422" t="n">
        <v>41.736783</v>
      </c>
      <c r="S917" s="436" t="n"/>
      <c r="T917" s="387" t="n"/>
      <c r="U917" s="387" t="n"/>
      <c r="V917" s="438">
        <f>IF(AND(N917=1,U917=1),C917,"")</f>
        <v/>
      </c>
      <c r="W917" s="387" t="n"/>
      <c r="X917" s="1" t="n"/>
      <c r="Y917" s="1" t="n"/>
    </row>
    <row r="918" hidden="1" ht="16.05" customFormat="1" customHeight="1" s="126">
      <c r="A918" s="125" t="n">
        <v>1339</v>
      </c>
      <c r="B918" s="125" t="inlineStr">
        <is>
          <t>WF</t>
        </is>
      </c>
      <c r="C918" s="130" t="inlineStr">
        <is>
          <t>Нижний Новгород</t>
        </is>
      </c>
      <c r="D918" s="130" t="inlineStr">
        <is>
          <t>Нижний Новгород</t>
        </is>
      </c>
      <c r="E918" s="130" t="n"/>
      <c r="F918" s="130" t="inlineStr">
        <is>
          <t>АЗС</t>
        </is>
      </c>
      <c r="G918" s="130" t="inlineStr">
        <is>
          <t>Лукойл</t>
        </is>
      </c>
      <c r="H918" s="131" t="inlineStr">
        <is>
          <t>O187</t>
        </is>
      </c>
      <c r="I918" s="637" t="n">
        <v>52187</v>
      </c>
      <c r="J918" s="402" t="inlineStr">
        <is>
          <t>NN_LUK_52187</t>
        </is>
      </c>
      <c r="K918" s="640" t="n">
        <v>1</v>
      </c>
      <c r="L918" s="640" t="n">
        <v>0</v>
      </c>
      <c r="M918" s="640" t="inlineStr">
        <is>
          <t>1 октября</t>
        </is>
      </c>
      <c r="N918" s="640" t="n"/>
      <c r="O918" s="640">
        <f>IF(AND(N918=1,L918=1),K918,"")</f>
        <v/>
      </c>
      <c r="P918" s="642" t="inlineStr">
        <is>
          <t xml:space="preserve">Россия, 603044, Нижегородская обл., г. Нижний Новгород, пр-кт Героев, 72   </t>
        </is>
      </c>
      <c r="Q918" s="640" t="n">
        <v>56.322435</v>
      </c>
      <c r="R918" s="422" t="n">
        <v>43.882937</v>
      </c>
      <c r="S918" s="436" t="n"/>
      <c r="T918" s="387" t="n"/>
      <c r="U918" s="387" t="n"/>
      <c r="V918" s="438">
        <f>IF(AND(N918=1,U918=1),C918,"")</f>
        <v/>
      </c>
      <c r="W918" s="387" t="n"/>
      <c r="X918" s="1" t="n"/>
      <c r="Y918" s="1" t="n"/>
    </row>
    <row r="919" hidden="1" ht="16.05" customFormat="1" customHeight="1" s="126">
      <c r="A919" s="125" t="n">
        <v>1340</v>
      </c>
      <c r="B919" s="125" t="inlineStr">
        <is>
          <t>WF</t>
        </is>
      </c>
      <c r="C919" s="130" t="inlineStr">
        <is>
          <t>Москва</t>
        </is>
      </c>
      <c r="D919" s="130" t="inlineStr">
        <is>
          <t>Московская область</t>
        </is>
      </c>
      <c r="E919" s="130" t="inlineStr">
        <is>
          <t>М10</t>
        </is>
      </c>
      <c r="F919" s="130" t="inlineStr">
        <is>
          <t>АЗС</t>
        </is>
      </c>
      <c r="G919" s="130" t="inlineStr">
        <is>
          <t>Лукойл</t>
        </is>
      </c>
      <c r="H919" s="131" t="inlineStr">
        <is>
          <t>LUK_263</t>
        </is>
      </c>
      <c r="I919" s="637" t="n">
        <v>50263</v>
      </c>
      <c r="J919" s="402" t="inlineStr">
        <is>
          <t>MSK_LUK_0263</t>
        </is>
      </c>
      <c r="K919" s="640" t="n">
        <v>1</v>
      </c>
      <c r="L919" s="640" t="n">
        <v>0</v>
      </c>
      <c r="M919" s="640" t="inlineStr">
        <is>
          <t>1 октября</t>
        </is>
      </c>
      <c r="N919" s="640" t="n"/>
      <c r="O919" s="640">
        <f>IF(AND(N919=1,L919=1),K919,"")</f>
        <v/>
      </c>
      <c r="P919" s="642" t="inlineStr">
        <is>
          <t>Российская Федерация, обл. Московская, р-н Солнечногорский, городское поселение Андреевка, юго-восточная часть кадастрового квартала 50:09:0070511, 20 м. Пятницкое шоссе</t>
        </is>
      </c>
      <c r="Q919" s="640" t="n">
        <v>55.94092</v>
      </c>
      <c r="R919" s="422" t="n">
        <v>37.174698</v>
      </c>
      <c r="S919" s="438" t="n"/>
      <c r="T919" s="387" t="n"/>
      <c r="U919" s="387" t="n"/>
      <c r="V919" s="438">
        <f>IF(AND(N919=1,U919=1),C919,"")</f>
        <v/>
      </c>
      <c r="W919" s="387" t="n"/>
      <c r="X919" s="1" t="n"/>
      <c r="Y919" s="1" t="n"/>
    </row>
    <row r="920" hidden="1" ht="16.05" customFormat="1" customHeight="1" s="126">
      <c r="A920" s="125" t="n">
        <v>1341</v>
      </c>
      <c r="B920" s="125" t="inlineStr">
        <is>
          <t>WF</t>
        </is>
      </c>
      <c r="C920" s="130" t="inlineStr">
        <is>
          <t>Москва</t>
        </is>
      </c>
      <c r="D920" s="130" t="inlineStr">
        <is>
          <t>Москва</t>
        </is>
      </c>
      <c r="E920" s="130" t="inlineStr">
        <is>
          <t>СЗАО</t>
        </is>
      </c>
      <c r="F920" s="130" t="inlineStr">
        <is>
          <t>АЗС</t>
        </is>
      </c>
      <c r="G920" s="130" t="inlineStr">
        <is>
          <t>Лукойл</t>
        </is>
      </c>
      <c r="H920" s="131" t="inlineStr">
        <is>
          <t>LUK_544</t>
        </is>
      </c>
      <c r="I920" s="637" t="n">
        <v>77544</v>
      </c>
      <c r="J920" s="402" t="inlineStr">
        <is>
          <t>MSK_LUK_0544</t>
        </is>
      </c>
      <c r="K920" s="640" t="n">
        <v>1</v>
      </c>
      <c r="L920" s="640" t="n">
        <v>0</v>
      </c>
      <c r="M920" s="640" t="inlineStr">
        <is>
          <t>1 октября</t>
        </is>
      </c>
      <c r="N920" s="640" t="n"/>
      <c r="O920" s="640">
        <f>IF(AND(N920=1,L920=1),K920,"")</f>
        <v/>
      </c>
      <c r="P920" s="642" t="inlineStr">
        <is>
          <t>г. Москва, ул. Зорге, д. 23, соор. 1</t>
        </is>
      </c>
      <c r="Q920" s="640" t="n">
        <v>55.79463</v>
      </c>
      <c r="R920" s="422" t="n">
        <v>37.50417</v>
      </c>
      <c r="S920" s="438" t="n"/>
      <c r="T920" s="387" t="n"/>
      <c r="U920" s="387" t="n"/>
      <c r="V920" s="438">
        <f>IF(AND(N920=1,U920=1),C920,"")</f>
        <v/>
      </c>
      <c r="W920" s="387" t="n"/>
      <c r="X920" s="1" t="n"/>
      <c r="Y920" s="1" t="n"/>
    </row>
    <row r="921" hidden="1" ht="16.05" customFormat="1" customHeight="1" s="126">
      <c r="A921" s="125" t="n">
        <v>1342</v>
      </c>
      <c r="B921" s="125" t="inlineStr">
        <is>
          <t>WF</t>
        </is>
      </c>
      <c r="C921" s="130" t="inlineStr">
        <is>
          <t>Москва</t>
        </is>
      </c>
      <c r="D921" s="130" t="inlineStr">
        <is>
          <t>Балашиха</t>
        </is>
      </c>
      <c r="E921" s="130" t="inlineStr">
        <is>
          <t>М7</t>
        </is>
      </c>
      <c r="F921" s="130" t="inlineStr">
        <is>
          <t>АЗС</t>
        </is>
      </c>
      <c r="G921" s="130" t="inlineStr">
        <is>
          <t>Лукойл</t>
        </is>
      </c>
      <c r="H921" s="131" t="inlineStr">
        <is>
          <t>LUK_245</t>
        </is>
      </c>
      <c r="I921" s="637" t="n">
        <v>50245</v>
      </c>
      <c r="J921" s="402" t="inlineStr">
        <is>
          <t>MSK_LUK_0245</t>
        </is>
      </c>
      <c r="K921" s="640" t="n">
        <v>1</v>
      </c>
      <c r="L921" s="640" t="n">
        <v>0</v>
      </c>
      <c r="M921" s="640" t="inlineStr">
        <is>
          <t>1 октября</t>
        </is>
      </c>
      <c r="N921" s="640" t="n"/>
      <c r="O921" s="640">
        <f>IF(AND(N921=1,L921=1),K921,"")</f>
        <v/>
      </c>
      <c r="P921" s="642" t="inlineStr">
        <is>
          <t>Московская область, г. Балашиха, 22 км "право" а/д Волга, шоссе Энтузиастов</t>
        </is>
      </c>
      <c r="Q921" s="640" t="n">
        <v>55.793545</v>
      </c>
      <c r="R921" s="422" t="n">
        <v>37.923265</v>
      </c>
      <c r="S921" s="438" t="n"/>
      <c r="T921" s="387" t="n"/>
      <c r="U921" s="387" t="n"/>
      <c r="V921" s="438">
        <f>IF(AND(N921=1,U921=1),C921,"")</f>
        <v/>
      </c>
      <c r="W921" s="387" t="n"/>
      <c r="X921" s="1" t="n"/>
      <c r="Y921" s="1" t="n"/>
    </row>
    <row r="922" hidden="1" ht="16.05" customFormat="1" customHeight="1" s="126">
      <c r="A922" s="125" t="n">
        <v>1343</v>
      </c>
      <c r="B922" s="125" t="inlineStr">
        <is>
          <t>WF</t>
        </is>
      </c>
      <c r="C922" s="130" t="inlineStr">
        <is>
          <t>Москва</t>
        </is>
      </c>
      <c r="D922" s="130" t="inlineStr">
        <is>
          <t>Балашиха</t>
        </is>
      </c>
      <c r="E922" s="130" t="inlineStr">
        <is>
          <t>А103</t>
        </is>
      </c>
      <c r="F922" s="130" t="inlineStr">
        <is>
          <t>АЗС</t>
        </is>
      </c>
      <c r="G922" s="130" t="inlineStr">
        <is>
          <t>Лукойл</t>
        </is>
      </c>
      <c r="H922" s="131" t="inlineStr">
        <is>
          <t>LUK_247</t>
        </is>
      </c>
      <c r="I922" s="637" t="n">
        <v>50247</v>
      </c>
      <c r="J922" s="402" t="inlineStr">
        <is>
          <t>MSK_LUK_0247</t>
        </is>
      </c>
      <c r="K922" s="640" t="n">
        <v>1</v>
      </c>
      <c r="L922" s="640" t="n">
        <v>0</v>
      </c>
      <c r="M922" s="640" t="inlineStr">
        <is>
          <t>1 октября</t>
        </is>
      </c>
      <c r="N922" s="640" t="n"/>
      <c r="O922" s="640">
        <f>IF(AND(N922=1,L922=1),K922,"")</f>
        <v/>
      </c>
      <c r="P922" s="642" t="inlineStr">
        <is>
          <t>Московская область, г.о. Балашиха, г. Балашиха Щелковское шоссе 20/21 лево</t>
        </is>
      </c>
      <c r="Q922" s="640" t="n">
        <v>55.829124</v>
      </c>
      <c r="R922" s="422" t="n">
        <v>37.909841</v>
      </c>
      <c r="S922" s="438" t="n"/>
      <c r="T922" s="387" t="n"/>
      <c r="U922" s="387" t="n"/>
      <c r="V922" s="438">
        <f>IF(AND(N922=1,U922=1),C922,"")</f>
        <v/>
      </c>
      <c r="W922" s="387" t="n"/>
      <c r="X922" s="1" t="n"/>
      <c r="Y922" s="1" t="n"/>
    </row>
    <row r="923" hidden="1" ht="16.05" customFormat="1" customHeight="1" s="126">
      <c r="A923" s="125" t="n">
        <v>1344</v>
      </c>
      <c r="B923" s="125" t="inlineStr">
        <is>
          <t>WF</t>
        </is>
      </c>
      <c r="C923" s="130" t="inlineStr">
        <is>
          <t>Москва</t>
        </is>
      </c>
      <c r="D923" s="130" t="inlineStr">
        <is>
          <t>Москва</t>
        </is>
      </c>
      <c r="E923" s="130" t="inlineStr">
        <is>
          <t>ЗАО</t>
        </is>
      </c>
      <c r="F923" s="130" t="inlineStr">
        <is>
          <t>АЗС</t>
        </is>
      </c>
      <c r="G923" s="130" t="inlineStr">
        <is>
          <t>Лукойл</t>
        </is>
      </c>
      <c r="H923" s="131" t="inlineStr">
        <is>
          <t>LUK_581</t>
        </is>
      </c>
      <c r="I923" s="637" t="n">
        <v>77581</v>
      </c>
      <c r="J923" s="402" t="inlineStr">
        <is>
          <t>MSK_LUK_0581</t>
        </is>
      </c>
      <c r="K923" s="640" t="n">
        <v>1</v>
      </c>
      <c r="L923" s="640" t="n">
        <v>0</v>
      </c>
      <c r="M923" s="640" t="inlineStr">
        <is>
          <t>1 октября</t>
        </is>
      </c>
      <c r="N923" s="640" t="n"/>
      <c r="O923" s="640">
        <f>IF(AND(N923=1,L923=1),K923,"")</f>
        <v/>
      </c>
      <c r="P923" s="642" t="inlineStr">
        <is>
          <t>г. Москва, просп. Мичуринский, вл. 30А</t>
        </is>
      </c>
      <c r="Q923" s="640" t="n">
        <v>55.69936</v>
      </c>
      <c r="R923" s="422" t="n">
        <v>37.50005</v>
      </c>
      <c r="S923" s="438" t="n"/>
      <c r="T923" s="387" t="n"/>
      <c r="U923" s="387" t="n"/>
      <c r="V923" s="438">
        <f>IF(AND(N923=1,U923=1),C923,"")</f>
        <v/>
      </c>
      <c r="W923" s="387" t="n"/>
      <c r="X923" s="1" t="n"/>
      <c r="Y923" s="1" t="n"/>
    </row>
    <row r="924" hidden="1" ht="16.05" customFormat="1" customHeight="1" s="126">
      <c r="A924" s="125" t="n">
        <v>1349</v>
      </c>
      <c r="B924" s="125" t="n"/>
      <c r="C924" s="130" t="inlineStr">
        <is>
          <t>Саратов</t>
        </is>
      </c>
      <c r="D924" s="130" t="inlineStr">
        <is>
          <t>Саратовская область</t>
        </is>
      </c>
      <c r="E924" s="130" t="n"/>
      <c r="F924" s="130" t="inlineStr">
        <is>
          <t>АЗС</t>
        </is>
      </c>
      <c r="G924" s="130" t="inlineStr">
        <is>
          <t>Роснефть</t>
        </is>
      </c>
      <c r="H924" s="131" t="n"/>
      <c r="I924" s="637" t="inlineStr">
        <is>
          <t>TNK_96</t>
        </is>
      </c>
      <c r="J924" s="637" t="inlineStr">
        <is>
          <t>SRT_TNK_0096</t>
        </is>
      </c>
      <c r="K924" s="640" t="n">
        <v>1</v>
      </c>
      <c r="L924" s="640" t="n">
        <v>1</v>
      </c>
      <c r="M924" s="623" t="inlineStr">
        <is>
          <t>Samsung 32" вертикальный</t>
        </is>
      </c>
      <c r="N924" s="640" t="n"/>
      <c r="O924" s="640">
        <f>IF(AND(N924=1,L924=1),K924,"")</f>
        <v/>
      </c>
      <c r="P924" s="642" t="inlineStr">
        <is>
          <t>Саратовская область, Энгельсский район, автодорога Энгельс-Маркс, АЗС-96 (Саратовская область, Марксовский район, село Приволжское (слева))</t>
        </is>
      </c>
      <c r="Q924" s="640" t="inlineStr">
        <is>
          <t>51.69481</t>
        </is>
      </c>
      <c r="R924" s="494" t="inlineStr">
        <is>
          <t>46.72211</t>
        </is>
      </c>
      <c r="S924" s="436" t="n"/>
      <c r="T924" s="387" t="n"/>
      <c r="U924" s="387" t="n"/>
      <c r="V924" s="438">
        <f>IF(AND(N924=1,U924=1),C924,"")</f>
        <v/>
      </c>
      <c r="W924" s="387" t="n"/>
      <c r="X924" s="387" t="n"/>
      <c r="Y924" s="387" t="n"/>
    </row>
    <row r="925" hidden="1" ht="16.05" customFormat="1" customHeight="1" s="126">
      <c r="A925" s="125" t="n">
        <v>1346</v>
      </c>
      <c r="B925" s="125" t="n"/>
      <c r="C925" s="130" t="inlineStr">
        <is>
          <t>Саратов</t>
        </is>
      </c>
      <c r="D925" s="130" t="inlineStr">
        <is>
          <t>Саратов</t>
        </is>
      </c>
      <c r="E925" s="130" t="n"/>
      <c r="F925" s="130" t="inlineStr">
        <is>
          <t>АЗС</t>
        </is>
      </c>
      <c r="G925" s="130" t="inlineStr">
        <is>
          <t>ТНК</t>
        </is>
      </c>
      <c r="H925" s="131" t="n"/>
      <c r="I925" s="637" t="inlineStr">
        <is>
          <t>TNK_46</t>
        </is>
      </c>
      <c r="J925" s="402" t="inlineStr">
        <is>
          <t>SRT_TNK_0046</t>
        </is>
      </c>
      <c r="K925" s="640" t="n">
        <v>1</v>
      </c>
      <c r="L925" s="640" t="n">
        <v>0</v>
      </c>
      <c r="M925" s="640" t="inlineStr">
        <is>
          <t>Sam 32</t>
        </is>
      </c>
      <c r="N925" s="640" t="n"/>
      <c r="O925" s="640">
        <f>IF(AND(N925=1,L925=1),K925,"")</f>
        <v/>
      </c>
      <c r="P925" s="642" t="inlineStr">
        <is>
          <t>Саратов,  Буровая</t>
        </is>
      </c>
      <c r="Q925" s="640" t="n">
        <v>51.602036</v>
      </c>
      <c r="R925" s="422" t="n">
        <v>45.903909</v>
      </c>
      <c r="S925" s="436" t="n"/>
      <c r="T925" s="387" t="n"/>
      <c r="U925" s="387" t="n"/>
      <c r="V925" s="438">
        <f>IF(AND(N925=1,U925=1),C925,"")</f>
        <v/>
      </c>
      <c r="W925" s="387" t="n"/>
      <c r="X925" s="1" t="n"/>
      <c r="Y925" s="1" t="n"/>
    </row>
    <row r="926" hidden="1" ht="16.05" customFormat="1" customHeight="1" s="126">
      <c r="A926" s="125" t="n">
        <v>1350</v>
      </c>
      <c r="B926" s="125" t="n"/>
      <c r="C926" s="130" t="inlineStr">
        <is>
          <t>Саратов</t>
        </is>
      </c>
      <c r="D926" s="130" t="inlineStr">
        <is>
          <t>Саратовская область</t>
        </is>
      </c>
      <c r="E926" s="130" t="n"/>
      <c r="F926" s="130" t="inlineStr">
        <is>
          <t>АЗС</t>
        </is>
      </c>
      <c r="G926" s="130" t="inlineStr">
        <is>
          <t>Роснефть</t>
        </is>
      </c>
      <c r="H926" s="131" t="n"/>
      <c r="I926" s="637" t="inlineStr">
        <is>
          <t>TNK_43</t>
        </is>
      </c>
      <c r="J926" s="637" t="inlineStr">
        <is>
          <t>SRT_TNK_0043</t>
        </is>
      </c>
      <c r="K926" s="640" t="n">
        <v>1</v>
      </c>
      <c r="L926" s="640" t="n">
        <v>1</v>
      </c>
      <c r="M926" s="623" t="inlineStr">
        <is>
          <t>Samsung 32" вертикальный</t>
        </is>
      </c>
      <c r="N926" s="640" t="n"/>
      <c r="O926" s="640">
        <f>IF(AND(N926=1,L926=1),K926,"")</f>
        <v/>
      </c>
      <c r="P926" s="642" t="inlineStr">
        <is>
          <t>Саратовская область, Саратовский район, Вольский тракт, АЗС №43 (Саратов, Вольский тракт, 1Д)</t>
        </is>
      </c>
      <c r="Q926" s="640" t="inlineStr">
        <is>
          <t>51.617417</t>
        </is>
      </c>
      <c r="R926" s="494" t="inlineStr">
        <is>
          <t>45.974216</t>
        </is>
      </c>
      <c r="S926" s="436" t="n"/>
      <c r="T926" s="387" t="n"/>
      <c r="U926" s="387" t="n"/>
      <c r="V926" s="438">
        <f>IF(AND(N926=1,U926=1),C926,"")</f>
        <v/>
      </c>
      <c r="W926" s="387" t="n"/>
      <c r="X926" s="387" t="n"/>
      <c r="Y926" s="387" t="n"/>
    </row>
    <row r="927" hidden="1" ht="16.05" customFormat="1" customHeight="1" s="126">
      <c r="A927" s="125" t="n">
        <v>1347</v>
      </c>
      <c r="B927" s="125" t="n"/>
      <c r="C927" s="130" t="inlineStr">
        <is>
          <t>Саратов</t>
        </is>
      </c>
      <c r="D927" s="130" t="inlineStr">
        <is>
          <t>Саратов</t>
        </is>
      </c>
      <c r="E927" s="130" t="n"/>
      <c r="F927" s="130" t="inlineStr">
        <is>
          <t>АЗС</t>
        </is>
      </c>
      <c r="G927" s="130" t="inlineStr">
        <is>
          <t>ТНК</t>
        </is>
      </c>
      <c r="H927" s="131" t="n"/>
      <c r="I927" s="637" t="inlineStr">
        <is>
          <t>TNK_24</t>
        </is>
      </c>
      <c r="J927" s="637" t="inlineStr">
        <is>
          <t>SRT_TNK_0024</t>
        </is>
      </c>
      <c r="K927" s="640" t="n">
        <v>1</v>
      </c>
      <c r="L927" s="640" t="n">
        <v>0</v>
      </c>
      <c r="M927" s="640" t="inlineStr">
        <is>
          <t>Samsung 32" вертикальный</t>
        </is>
      </c>
      <c r="N927" s="640" t="n"/>
      <c r="O927" s="640">
        <f>IF(AND(N927=1,L927=1),K927,"")</f>
        <v/>
      </c>
      <c r="P927" s="642" t="inlineStr">
        <is>
          <t>Саратов, Новосоколовогорский пос., Усть-Курдюмский тракт, 1 микрорайон, б/н в Волжском районе (Саратов, Новосоколовогорский пос, Усть-Курдюмское шоссе, 1А)</t>
        </is>
      </c>
      <c r="Q927" s="640" t="inlineStr">
        <is>
          <t>51.577021</t>
        </is>
      </c>
      <c r="R927" s="422" t="inlineStr">
        <is>
          <t>46.087617</t>
        </is>
      </c>
      <c r="S927" s="436" t="n"/>
      <c r="T927" s="387" t="n"/>
      <c r="U927" s="387" t="n"/>
      <c r="V927" s="438">
        <f>IF(AND(N927=1,U927=1),C927,"")</f>
        <v/>
      </c>
      <c r="W927" s="387" t="n"/>
      <c r="X927" s="387" t="n"/>
      <c r="Y927" s="387" t="n"/>
    </row>
    <row r="928" hidden="1" ht="16.05" customFormat="1" customHeight="1" s="126">
      <c r="A928" s="125" t="n">
        <v>1354</v>
      </c>
      <c r="B928" s="125" t="n"/>
      <c r="C928" s="130" t="inlineStr">
        <is>
          <t>Саратов</t>
        </is>
      </c>
      <c r="D928" s="130" t="inlineStr">
        <is>
          <t>Саратов</t>
        </is>
      </c>
      <c r="E928" s="130" t="n"/>
      <c r="F928" s="130" t="inlineStr">
        <is>
          <t>АЗС</t>
        </is>
      </c>
      <c r="G928" s="130" t="inlineStr">
        <is>
          <t>Роснефть</t>
        </is>
      </c>
      <c r="H928" s="131" t="n"/>
      <c r="I928" s="637" t="inlineStr">
        <is>
          <t>TNK_45</t>
        </is>
      </c>
      <c r="J928" s="637" t="inlineStr">
        <is>
          <t>SRT_TNK_0045</t>
        </is>
      </c>
      <c r="K928" s="640" t="n">
        <v>1</v>
      </c>
      <c r="L928" s="640" t="n">
        <v>1</v>
      </c>
      <c r="M928" s="623" t="inlineStr">
        <is>
          <t>Samsung 32" вертикальный</t>
        </is>
      </c>
      <c r="N928" s="640" t="n"/>
      <c r="O928" s="640">
        <f>IF(AND(N928=1,L928=1),K928,"")</f>
        <v/>
      </c>
      <c r="P928" s="642" t="inlineStr">
        <is>
          <t>Саратов, Ново-Астраханское шоссе, б/н, АЗС №45 (Ново-Астраханское шоссе, 113Г)</t>
        </is>
      </c>
      <c r="Q928" s="640" t="inlineStr">
        <is>
          <t>51.488675</t>
        </is>
      </c>
      <c r="R928" s="494" t="inlineStr">
        <is>
          <t>45.903884</t>
        </is>
      </c>
      <c r="S928" s="436" t="n"/>
      <c r="T928" s="387" t="n"/>
      <c r="U928" s="387" t="n"/>
      <c r="V928" s="438">
        <f>IF(AND(N928=1,U928=1),C928,"")</f>
        <v/>
      </c>
      <c r="W928" s="387" t="n"/>
      <c r="X928" s="387" t="n"/>
      <c r="Y928" s="387" t="n"/>
    </row>
    <row r="929" hidden="1" ht="16.05" customFormat="1" customHeight="1" s="126">
      <c r="A929" s="125" t="n">
        <v>1455</v>
      </c>
      <c r="B929" s="125" t="n"/>
      <c r="C929" s="130" t="inlineStr">
        <is>
          <t>Краснодар</t>
        </is>
      </c>
      <c r="D929" s="130" t="inlineStr">
        <is>
          <t>Адыгейск</t>
        </is>
      </c>
      <c r="E929" s="130" t="n"/>
      <c r="F929" s="130" t="inlineStr">
        <is>
          <t>АЗС</t>
        </is>
      </c>
      <c r="G929" s="130" t="inlineStr">
        <is>
          <t>Роснефть</t>
        </is>
      </c>
      <c r="H929" s="131" t="inlineStr">
        <is>
          <t>RN_104/1</t>
        </is>
      </c>
      <c r="I929" s="637" t="inlineStr">
        <is>
          <t>RN_104/1</t>
        </is>
      </c>
      <c r="J929" s="637" t="inlineStr">
        <is>
          <t>KDR_RN_0104_1</t>
        </is>
      </c>
      <c r="K929" s="640" t="n">
        <v>1</v>
      </c>
      <c r="L929" s="640" t="n">
        <v>1</v>
      </c>
      <c r="M929" s="623" t="inlineStr">
        <is>
          <t>Samsung 32" вертикальный</t>
        </is>
      </c>
      <c r="N929" s="640" t="n"/>
      <c r="O929" s="640">
        <f>IF(AND(N929=1,L929=1),K929,"")</f>
        <v/>
      </c>
      <c r="P929" s="642" t="inlineStr">
        <is>
          <t>Адыгейск, в районе х.Псекупс, 1359км+800м справа по автомагистрали "Дон-4"</t>
        </is>
      </c>
      <c r="Q929" s="640" t="inlineStr">
        <is>
          <t>44.847421</t>
        </is>
      </c>
      <c r="R929" s="422" t="inlineStr">
        <is>
          <t>39.205054</t>
        </is>
      </c>
      <c r="S929" s="436" t="n"/>
      <c r="T929" s="387" t="n"/>
      <c r="U929" s="387" t="n"/>
      <c r="V929" s="438">
        <f>IF(AND(N929=1,U929=1),C929,"")</f>
        <v/>
      </c>
      <c r="W929" s="387" t="n"/>
      <c r="X929" s="387" t="n"/>
      <c r="Y929" s="387" t="n"/>
    </row>
    <row r="930" hidden="1" ht="16.05" customFormat="1" customHeight="1" s="126">
      <c r="A930" s="125" t="n">
        <v>1456</v>
      </c>
      <c r="B930" s="125" t="n"/>
      <c r="C930" s="130" t="inlineStr">
        <is>
          <t>Краснодар</t>
        </is>
      </c>
      <c r="D930" s="130" t="inlineStr">
        <is>
          <t>Адыгейск</t>
        </is>
      </c>
      <c r="E930" s="130" t="n"/>
      <c r="F930" s="130" t="inlineStr">
        <is>
          <t>АЗС</t>
        </is>
      </c>
      <c r="G930" s="130" t="inlineStr">
        <is>
          <t>Роснефть</t>
        </is>
      </c>
      <c r="H930" s="131" t="inlineStr">
        <is>
          <t>RN_110/1</t>
        </is>
      </c>
      <c r="I930" s="637" t="inlineStr">
        <is>
          <t>RN_110/1</t>
        </is>
      </c>
      <c r="J930" s="637" t="inlineStr">
        <is>
          <t>KDR_RN_0110_1</t>
        </is>
      </c>
      <c r="K930" s="640" t="n">
        <v>1</v>
      </c>
      <c r="L930" s="640" t="n">
        <v>1</v>
      </c>
      <c r="M930" s="623" t="inlineStr">
        <is>
          <t>Samsung 32" вертикальный</t>
        </is>
      </c>
      <c r="N930" s="640" t="n"/>
      <c r="O930" s="640">
        <f>IF(AND(N930=1,L930=1),K930,"")</f>
        <v/>
      </c>
      <c r="P930" s="642" t="inlineStr">
        <is>
          <t>Адыгейск, х.Псекупс 1359км+600м слева по автомагистрали "Дон-4"</t>
        </is>
      </c>
      <c r="Q930" s="640" t="inlineStr">
        <is>
          <t>44.848703</t>
        </is>
      </c>
      <c r="R930" s="494" t="inlineStr">
        <is>
          <t>39.205267</t>
        </is>
      </c>
      <c r="S930" s="436" t="n"/>
      <c r="T930" s="387" t="n"/>
      <c r="U930" s="387" t="n"/>
      <c r="V930" s="438">
        <f>IF(AND(N930=1,U930=1),C930,"")</f>
        <v/>
      </c>
      <c r="W930" s="387" t="n"/>
      <c r="X930" s="387" t="n"/>
      <c r="Y930" s="387" t="n"/>
    </row>
    <row r="931" hidden="1" ht="16.05" customFormat="1" customHeight="1" s="126">
      <c r="A931" s="125" t="n">
        <v>1351</v>
      </c>
      <c r="B931" s="125" t="n"/>
      <c r="C931" s="130" t="inlineStr">
        <is>
          <t>Саратов</t>
        </is>
      </c>
      <c r="D931" s="130" t="inlineStr">
        <is>
          <t>Саратов</t>
        </is>
      </c>
      <c r="E931" s="130" t="n"/>
      <c r="F931" s="130" t="inlineStr">
        <is>
          <t>АЗС</t>
        </is>
      </c>
      <c r="G931" s="130" t="inlineStr">
        <is>
          <t>ТНК</t>
        </is>
      </c>
      <c r="H931" s="131" t="n"/>
      <c r="I931" s="637" t="inlineStr">
        <is>
          <t>TNK_38</t>
        </is>
      </c>
      <c r="J931" s="637" t="inlineStr">
        <is>
          <t>SRT_TNK_0038</t>
        </is>
      </c>
      <c r="K931" s="640" t="n">
        <v>1</v>
      </c>
      <c r="L931" s="640" t="n">
        <v>0</v>
      </c>
      <c r="M931" s="640" t="inlineStr">
        <is>
          <t>Samsung 32" вертикальный</t>
        </is>
      </c>
      <c r="N931" s="640" t="n"/>
      <c r="O931" s="640">
        <f>IF(AND(N931=1,L931=1),K931,"")</f>
        <v/>
      </c>
      <c r="P931" s="642" t="inlineStr">
        <is>
          <t>Саратов, Танкистов, б/н, АЗС №38 (Саратов, Танкистов,28 Б)</t>
        </is>
      </c>
      <c r="Q931" s="640" t="inlineStr">
        <is>
          <t>51.55169</t>
        </is>
      </c>
      <c r="R931" s="422" t="inlineStr">
        <is>
          <t>46.019589</t>
        </is>
      </c>
      <c r="S931" s="436" t="n"/>
      <c r="T931" s="387" t="n"/>
      <c r="U931" s="387" t="n"/>
      <c r="V931" s="438">
        <f>IF(AND(N931=1,U931=1),C931,"")</f>
        <v/>
      </c>
      <c r="W931" s="387" t="n"/>
      <c r="X931" s="387" t="n"/>
      <c r="Y931" s="387" t="n"/>
    </row>
    <row r="932" hidden="1" ht="16.05" customFormat="1" customHeight="1" s="126">
      <c r="A932" s="125" t="n">
        <v>1352</v>
      </c>
      <c r="B932" s="125" t="n"/>
      <c r="C932" s="130" t="inlineStr">
        <is>
          <t>Саратов</t>
        </is>
      </c>
      <c r="D932" s="130" t="inlineStr">
        <is>
          <t>Энгельс</t>
        </is>
      </c>
      <c r="E932" s="130" t="n"/>
      <c r="F932" s="130" t="inlineStr">
        <is>
          <t>АЗС</t>
        </is>
      </c>
      <c r="G932" s="130" t="inlineStr">
        <is>
          <t>ТНК</t>
        </is>
      </c>
      <c r="H932" s="131" t="n"/>
      <c r="I932" s="637" t="inlineStr">
        <is>
          <t>TNK_59</t>
        </is>
      </c>
      <c r="J932" s="637" t="inlineStr">
        <is>
          <t>SRT_TNK_0059</t>
        </is>
      </c>
      <c r="K932" s="640" t="n">
        <v>1</v>
      </c>
      <c r="L932" s="640" t="n">
        <v>0</v>
      </c>
      <c r="M932" s="640" t="inlineStr">
        <is>
          <t>Samsung 32" вертикальный</t>
        </is>
      </c>
      <c r="N932" s="640" t="n"/>
      <c r="O932" s="640">
        <f>IF(AND(N932=1,L932=1),K932,"")</f>
        <v/>
      </c>
      <c r="P932" s="642" t="inlineStr">
        <is>
          <t>Энгельс,  Гагарина, д. 3</t>
        </is>
      </c>
      <c r="Q932" s="640" t="inlineStr">
        <is>
          <t>51.398097</t>
        </is>
      </c>
      <c r="R932" s="422" t="inlineStr">
        <is>
          <t>46.036062</t>
        </is>
      </c>
      <c r="S932" s="436" t="n"/>
      <c r="T932" s="387" t="n"/>
      <c r="U932" s="387" t="n"/>
      <c r="V932" s="438">
        <f>IF(AND(N932=1,U932=1),C932,"")</f>
        <v/>
      </c>
      <c r="W932" s="387" t="n"/>
      <c r="X932" s="387" t="n"/>
      <c r="Y932" s="387" t="n"/>
    </row>
    <row r="933" hidden="1" ht="16.05" customFormat="1" customHeight="1" s="126">
      <c r="A933" s="125" t="n">
        <v>1353</v>
      </c>
      <c r="B933" s="125" t="n"/>
      <c r="C933" s="130" t="inlineStr">
        <is>
          <t>Саратов</t>
        </is>
      </c>
      <c r="D933" s="130" t="inlineStr">
        <is>
          <t>Энгельс</t>
        </is>
      </c>
      <c r="E933" s="130" t="n"/>
      <c r="F933" s="130" t="inlineStr">
        <is>
          <t>АЗС</t>
        </is>
      </c>
      <c r="G933" s="130" t="inlineStr">
        <is>
          <t>ТНК</t>
        </is>
      </c>
      <c r="H933" s="131" t="n"/>
      <c r="I933" s="637" t="inlineStr">
        <is>
          <t>TNK_222</t>
        </is>
      </c>
      <c r="J933" s="637" t="inlineStr">
        <is>
          <t>SRT_TNK_0222</t>
        </is>
      </c>
      <c r="K933" s="640" t="n">
        <v>1</v>
      </c>
      <c r="L933" s="640" t="n">
        <v>0</v>
      </c>
      <c r="M933" s="640" t="inlineStr">
        <is>
          <t>Samsung 32" вертикальный</t>
        </is>
      </c>
      <c r="N933" s="640" t="n"/>
      <c r="O933" s="640">
        <f>IF(AND(N933=1,L933=1),K933,"")</f>
        <v/>
      </c>
      <c r="P933" s="642" t="inlineStr">
        <is>
          <t>Энгельс, Степная, д.№173</t>
        </is>
      </c>
      <c r="Q933" s="640" t="inlineStr">
        <is>
          <t>51.485047</t>
        </is>
      </c>
      <c r="R933" s="422" t="inlineStr">
        <is>
          <t>46.125</t>
        </is>
      </c>
      <c r="S933" s="436" t="n"/>
      <c r="T933" s="387" t="n"/>
      <c r="U933" s="387" t="n"/>
      <c r="V933" s="438">
        <f>IF(AND(N933=1,U933=1),C933,"")</f>
        <v/>
      </c>
      <c r="W933" s="387" t="n"/>
      <c r="X933" s="387" t="n"/>
      <c r="Y933" s="387" t="n"/>
    </row>
    <row r="934" hidden="1" ht="16.05" customFormat="1" customHeight="1" s="126">
      <c r="A934" s="125" t="n">
        <v>1355</v>
      </c>
      <c r="B934" s="125" t="n"/>
      <c r="C934" s="130" t="inlineStr">
        <is>
          <t>Саратов</t>
        </is>
      </c>
      <c r="D934" s="130" t="inlineStr">
        <is>
          <t>Саратов</t>
        </is>
      </c>
      <c r="E934" s="130" t="n"/>
      <c r="F934" s="130" t="inlineStr">
        <is>
          <t>АЗС</t>
        </is>
      </c>
      <c r="G934" s="130" t="inlineStr">
        <is>
          <t>ТНК</t>
        </is>
      </c>
      <c r="H934" s="131" t="n"/>
      <c r="I934" s="637" t="inlineStr">
        <is>
          <t>TNK_41</t>
        </is>
      </c>
      <c r="J934" s="637" t="inlineStr">
        <is>
          <t>SRT_TNK_0041</t>
        </is>
      </c>
      <c r="K934" s="640" t="n">
        <v>1</v>
      </c>
      <c r="L934" s="640" t="n">
        <v>0</v>
      </c>
      <c r="M934" s="640" t="inlineStr">
        <is>
          <t>Samsung 32" вертикальный</t>
        </is>
      </c>
      <c r="N934" s="640" t="n"/>
      <c r="O934" s="640">
        <f>IF(AND(N934=1,L934=1),K934,"")</f>
        <v/>
      </c>
      <c r="P934" s="642" t="inlineStr">
        <is>
          <t>Саратов, Ново-Астраханское шоссе, 73Г.</t>
        </is>
      </c>
      <c r="Q934" s="640" t="inlineStr">
        <is>
          <t>51.503566</t>
        </is>
      </c>
      <c r="R934" s="422" t="inlineStr">
        <is>
          <t>45.933864</t>
        </is>
      </c>
      <c r="S934" s="436" t="n"/>
      <c r="T934" s="387" t="n"/>
      <c r="U934" s="387" t="n"/>
      <c r="V934" s="438">
        <f>IF(AND(N934=1,U934=1),C934,"")</f>
        <v/>
      </c>
      <c r="W934" s="387" t="n"/>
      <c r="X934" s="387" t="n"/>
      <c r="Y934" s="387" t="n"/>
    </row>
    <row r="935" hidden="1" ht="16.05" customHeight="1">
      <c r="A935" s="13" t="n">
        <v>1356</v>
      </c>
      <c r="B935" s="13">
        <f>IF(OR(M935="Sam 32",M935="Sam 40"),"s",IF(M935="AMS","a","v"))</f>
        <v/>
      </c>
      <c r="C935" s="130" t="inlineStr">
        <is>
          <t>Санкт-Петербург</t>
        </is>
      </c>
      <c r="D935" s="130" t="inlineStr">
        <is>
          <t>Санкт-Петербург</t>
        </is>
      </c>
      <c r="E935" s="130" t="n"/>
      <c r="F935" s="130" t="n"/>
      <c r="G935" s="130" t="inlineStr">
        <is>
          <t>Лукойл</t>
        </is>
      </c>
      <c r="H935" s="131" t="n"/>
      <c r="I935" s="637" t="inlineStr">
        <is>
          <t>1_Пулковская</t>
        </is>
      </c>
      <c r="J935" s="402" t="n"/>
      <c r="K935" s="640" t="n">
        <v>1</v>
      </c>
      <c r="L935" s="640" t="n">
        <v>0</v>
      </c>
      <c r="M935" s="640" t="inlineStr">
        <is>
          <t>Sam 32</t>
        </is>
      </c>
      <c r="N935" s="640" t="n"/>
      <c r="O935" s="640">
        <f>IF(AND(N935=1,L935=1),K935,"")</f>
        <v/>
      </c>
      <c r="P935" s="642" t="inlineStr">
        <is>
          <t>Санкт-Петербург, Пулковское шоссе, д.42, кор.5, лит.А</t>
        </is>
      </c>
      <c r="Q935" s="640" t="n"/>
      <c r="R935" s="422" t="n"/>
      <c r="S935" s="436" t="n"/>
      <c r="V935" s="438">
        <f>IF(AND(N935=1,U935=1),C935,"")</f>
        <v/>
      </c>
      <c r="X935" s="1" t="n"/>
      <c r="Y935" s="1" t="n"/>
      <c r="Z935" s="1" t="n"/>
    </row>
    <row r="936" hidden="1" ht="16.05" customHeight="1">
      <c r="A936" s="13" t="n">
        <v>1357</v>
      </c>
      <c r="B936" s="13">
        <f>IF(OR(M936="Sam 32",M936="Sam 40"),"s",IF(M936="AMS","a","v"))</f>
        <v/>
      </c>
      <c r="C936" s="130" t="inlineStr">
        <is>
          <t>Санкт-Петербург</t>
        </is>
      </c>
      <c r="D936" s="130" t="inlineStr">
        <is>
          <t>Санкт-Петербург</t>
        </is>
      </c>
      <c r="E936" s="130" t="n"/>
      <c r="F936" s="130" t="n"/>
      <c r="G936" s="130" t="inlineStr">
        <is>
          <t>Лукойл</t>
        </is>
      </c>
      <c r="H936" s="131" t="n"/>
      <c r="I936" s="637" t="inlineStr">
        <is>
          <t>6_Рыбацкое</t>
        </is>
      </c>
      <c r="J936" s="402" t="n"/>
      <c r="K936" s="640" t="n">
        <v>1</v>
      </c>
      <c r="L936" s="640" t="n">
        <v>0</v>
      </c>
      <c r="M936" s="640" t="inlineStr">
        <is>
          <t>Sam 32</t>
        </is>
      </c>
      <c r="N936" s="640" t="n"/>
      <c r="O936" s="640">
        <f>IF(AND(N936=1,L936=1),K936,"")</f>
        <v/>
      </c>
      <c r="P936" s="642" t="inlineStr">
        <is>
          <t>Санкт-Петербург, Усть-Славянка, Советский пр., д.59</t>
        </is>
      </c>
      <c r="Q936" s="640" t="n"/>
      <c r="R936" s="422" t="n"/>
      <c r="S936" s="436" t="n"/>
      <c r="V936" s="438">
        <f>IF(AND(N936=1,U936=1),C936,"")</f>
        <v/>
      </c>
      <c r="X936" s="1" t="n"/>
      <c r="Y936" s="1" t="n"/>
      <c r="Z936" s="1" t="n"/>
    </row>
    <row r="937" hidden="1" ht="16.05" customHeight="1">
      <c r="A937" s="13" t="n">
        <v>1358</v>
      </c>
      <c r="B937" s="13">
        <f>IF(OR(M937="Sam 32",M937="Sam 40"),"s",IF(M937="AMS","a","v"))</f>
        <v/>
      </c>
      <c r="C937" s="130" t="inlineStr">
        <is>
          <t>Санкт-Петербург</t>
        </is>
      </c>
      <c r="D937" s="130" t="inlineStr">
        <is>
          <t>Санкт-Петербург</t>
        </is>
      </c>
      <c r="E937" s="130" t="n"/>
      <c r="F937" s="130" t="n"/>
      <c r="G937" s="130" t="inlineStr">
        <is>
          <t>Лукойл</t>
        </is>
      </c>
      <c r="H937" s="131" t="n"/>
      <c r="I937" s="637" t="inlineStr">
        <is>
          <t>7_Витебская</t>
        </is>
      </c>
      <c r="J937" s="402" t="n"/>
      <c r="K937" s="640" t="n">
        <v>1</v>
      </c>
      <c r="L937" s="640" t="n">
        <v>0</v>
      </c>
      <c r="M937" s="640" t="inlineStr">
        <is>
          <t>Sam 32</t>
        </is>
      </c>
      <c r="N937" s="640" t="n"/>
      <c r="O937" s="640">
        <f>IF(AND(N937=1,L937=1),K937,"")</f>
        <v/>
      </c>
      <c r="P937" s="642" t="inlineStr">
        <is>
          <t>Санкт-Петербург, Витебский пр., д.22</t>
        </is>
      </c>
      <c r="Q937" s="640" t="n"/>
      <c r="R937" s="422" t="n"/>
      <c r="S937" s="436" t="n"/>
      <c r="V937" s="438">
        <f>IF(AND(N937=1,U937=1),C937,"")</f>
        <v/>
      </c>
      <c r="X937" s="1" t="n"/>
      <c r="Y937" s="1" t="n"/>
      <c r="Z937" s="1" t="n"/>
    </row>
    <row r="938" hidden="1" ht="16.05" customHeight="1">
      <c r="A938" s="13" t="n">
        <v>1359</v>
      </c>
      <c r="B938" s="13">
        <f>IF(OR(M938="Sam 32",M938="Sam 40"),"s",IF(M938="AMS","a","v"))</f>
        <v/>
      </c>
      <c r="C938" s="130" t="inlineStr">
        <is>
          <t>Санкт-Петербург</t>
        </is>
      </c>
      <c r="D938" s="130" t="inlineStr">
        <is>
          <t>Санкт-Петербург</t>
        </is>
      </c>
      <c r="E938" s="130" t="n"/>
      <c r="F938" s="130" t="n"/>
      <c r="G938" s="130" t="inlineStr">
        <is>
          <t>Лукойл</t>
        </is>
      </c>
      <c r="H938" s="131" t="n"/>
      <c r="I938" s="637" t="inlineStr">
        <is>
          <t>8_Кушелевка</t>
        </is>
      </c>
      <c r="J938" s="402" t="n"/>
      <c r="K938" s="640" t="n">
        <v>1</v>
      </c>
      <c r="L938" s="640" t="n">
        <v>0</v>
      </c>
      <c r="M938" s="640" t="inlineStr">
        <is>
          <t>Sam 32</t>
        </is>
      </c>
      <c r="N938" s="640" t="n"/>
      <c r="O938" s="640">
        <f>IF(AND(N938=1,L938=1),K938,"")</f>
        <v/>
      </c>
      <c r="P938" s="642" t="inlineStr">
        <is>
          <t>Санкт-Петербург, Кушелевская дорога, д.9</t>
        </is>
      </c>
      <c r="Q938" s="640" t="n"/>
      <c r="R938" s="422" t="n"/>
      <c r="S938" s="436" t="n"/>
      <c r="V938" s="438">
        <f>IF(AND(N938=1,U938=1),C938,"")</f>
        <v/>
      </c>
      <c r="X938" s="1" t="n"/>
      <c r="Y938" s="1" t="n"/>
      <c r="Z938" s="1" t="n"/>
    </row>
    <row r="939" hidden="1" ht="16.05" customHeight="1">
      <c r="A939" s="13" t="n">
        <v>1360</v>
      </c>
      <c r="B939" s="13">
        <f>IF(OR(M939="Sam 32",M939="Sam 40"),"s",IF(M939="AMS","a","v"))</f>
        <v/>
      </c>
      <c r="C939" s="130" t="inlineStr">
        <is>
          <t>Санкт-Петербург</t>
        </is>
      </c>
      <c r="D939" s="130" t="inlineStr">
        <is>
          <t>Санкт-Петербург</t>
        </is>
      </c>
      <c r="E939" s="130" t="n"/>
      <c r="F939" s="130" t="n"/>
      <c r="G939" s="130" t="inlineStr">
        <is>
          <t>Лукойл</t>
        </is>
      </c>
      <c r="H939" s="131" t="n"/>
      <c r="I939" s="637" t="inlineStr">
        <is>
          <t>11_Балканская</t>
        </is>
      </c>
      <c r="J939" s="402" t="n"/>
      <c r="K939" s="640" t="n">
        <v>1</v>
      </c>
      <c r="L939" s="640" t="n">
        <v>0</v>
      </c>
      <c r="M939" s="640" t="inlineStr">
        <is>
          <t>Sam 32</t>
        </is>
      </c>
      <c r="N939" s="640" t="n"/>
      <c r="O939" s="640">
        <f>IF(AND(N939=1,L939=1),K939,"")</f>
        <v/>
      </c>
      <c r="P939" s="642" t="inlineStr">
        <is>
          <t>Санкт-Петербург, Малая Балканская, д.21</t>
        </is>
      </c>
      <c r="Q939" s="640" t="n"/>
      <c r="R939" s="422" t="n"/>
      <c r="S939" s="436" t="n"/>
      <c r="V939" s="438">
        <f>IF(AND(N939=1,U939=1),C939,"")</f>
        <v/>
      </c>
      <c r="X939" s="1" t="n"/>
      <c r="Y939" s="1" t="n"/>
      <c r="Z939" s="1" t="n"/>
    </row>
    <row r="940" hidden="1" ht="16.05" customHeight="1">
      <c r="A940" s="13" t="n">
        <v>1361</v>
      </c>
      <c r="B940" s="13">
        <f>IF(OR(M940="Sam 32",M940="Sam 40"),"s",IF(M940="AMS","a","v"))</f>
        <v/>
      </c>
      <c r="C940" s="130" t="inlineStr">
        <is>
          <t>Санкт-Петербург</t>
        </is>
      </c>
      <c r="D940" s="130" t="inlineStr">
        <is>
          <t>Санкт-Петербург</t>
        </is>
      </c>
      <c r="E940" s="130" t="n"/>
      <c r="F940" s="130" t="n"/>
      <c r="G940" s="130" t="inlineStr">
        <is>
          <t>Лукойл</t>
        </is>
      </c>
      <c r="H940" s="131" t="n"/>
      <c r="I940" s="637" t="inlineStr">
        <is>
          <t>13_Витебская-2 "холодная" (7)</t>
        </is>
      </c>
      <c r="J940" s="402" t="n"/>
      <c r="K940" s="640" t="n">
        <v>1</v>
      </c>
      <c r="L940" s="640" t="n">
        <v>0</v>
      </c>
      <c r="M940" s="640" t="inlineStr">
        <is>
          <t>Sam 32</t>
        </is>
      </c>
      <c r="N940" s="640" t="n"/>
      <c r="O940" s="640">
        <f>IF(AND(N940=1,L940=1),K940,"")</f>
        <v/>
      </c>
      <c r="P940" s="642" t="inlineStr">
        <is>
          <t>Санкт-Петербург, Витебский пр., д.17</t>
        </is>
      </c>
      <c r="Q940" s="640" t="n"/>
      <c r="R940" s="422" t="n"/>
      <c r="S940" s="436" t="n"/>
      <c r="V940" s="438">
        <f>IF(AND(N940=1,U940=1),C940,"")</f>
        <v/>
      </c>
      <c r="X940" s="1" t="n"/>
      <c r="Y940" s="1" t="n"/>
      <c r="Z940" s="1" t="n"/>
    </row>
    <row r="941" hidden="1" ht="16.05" customHeight="1">
      <c r="A941" s="13" t="n">
        <v>1362</v>
      </c>
      <c r="B941" s="13">
        <f>IF(OR(M941="Sam 32",M941="Sam 40"),"s",IF(M941="AMS","a","v"))</f>
        <v/>
      </c>
      <c r="C941" s="130" t="inlineStr">
        <is>
          <t>Санкт-Петербург</t>
        </is>
      </c>
      <c r="D941" s="130" t="inlineStr">
        <is>
          <t>Санкт-Петербург</t>
        </is>
      </c>
      <c r="E941" s="130" t="n"/>
      <c r="F941" s="130" t="n"/>
      <c r="G941" s="130" t="inlineStr">
        <is>
          <t>Лукойл</t>
        </is>
      </c>
      <c r="H941" s="131" t="n"/>
      <c r="I941" s="637" t="inlineStr">
        <is>
          <t>14_Просвещения</t>
        </is>
      </c>
      <c r="J941" s="402" t="n"/>
      <c r="K941" s="640" t="n">
        <v>1</v>
      </c>
      <c r="L941" s="640" t="n">
        <v>0</v>
      </c>
      <c r="M941" s="640" t="inlineStr">
        <is>
          <t>Sam 32</t>
        </is>
      </c>
      <c r="N941" s="640" t="n"/>
      <c r="O941" s="640">
        <f>IF(AND(N941=1,L941=1),K941,"")</f>
        <v/>
      </c>
      <c r="P941" s="642" t="inlineStr">
        <is>
          <t>Санкт-Петербург, пр.Просвещения, д.10</t>
        </is>
      </c>
      <c r="Q941" s="640" t="n"/>
      <c r="R941" s="422" t="n"/>
      <c r="S941" s="436" t="n"/>
      <c r="V941" s="438">
        <f>IF(AND(N941=1,U941=1),C941,"")</f>
        <v/>
      </c>
      <c r="X941" s="1" t="n"/>
      <c r="Y941" s="1" t="n"/>
      <c r="Z941" s="1" t="n"/>
    </row>
    <row r="942" hidden="1" ht="16.05" customHeight="1">
      <c r="A942" s="13" t="n">
        <v>1363</v>
      </c>
      <c r="B942" s="13">
        <f>IF(OR(M942="Sam 32",M942="Sam 40"),"s",IF(M942="AMS","a","v"))</f>
        <v/>
      </c>
      <c r="C942" s="130" t="inlineStr">
        <is>
          <t>Санкт-Петербург</t>
        </is>
      </c>
      <c r="D942" s="130" t="inlineStr">
        <is>
          <t>Санкт-Петербург</t>
        </is>
      </c>
      <c r="E942" s="130" t="n"/>
      <c r="F942" s="130" t="n"/>
      <c r="G942" s="130" t="inlineStr">
        <is>
          <t>Лукойл</t>
        </is>
      </c>
      <c r="H942" s="131" t="n"/>
      <c r="I942" s="637" t="inlineStr">
        <is>
          <t>24_Бухарестская</t>
        </is>
      </c>
      <c r="J942" s="402" t="n"/>
      <c r="K942" s="640" t="n">
        <v>1</v>
      </c>
      <c r="L942" s="640" t="n">
        <v>0</v>
      </c>
      <c r="M942" s="640" t="inlineStr">
        <is>
          <t>Sam 32</t>
        </is>
      </c>
      <c r="N942" s="640" t="n"/>
      <c r="O942" s="640">
        <f>IF(AND(N942=1,L942=1),K942,"")</f>
        <v/>
      </c>
      <c r="P942" s="642" t="inlineStr">
        <is>
          <t>Санкт-Петербург, Салова, д.74, кор.1</t>
        </is>
      </c>
      <c r="Q942" s="640" t="n"/>
      <c r="R942" s="422" t="n"/>
      <c r="S942" s="436" t="n"/>
      <c r="V942" s="438">
        <f>IF(AND(N942=1,U942=1),C942,"")</f>
        <v/>
      </c>
      <c r="X942" s="1" t="n"/>
      <c r="Y942" s="1" t="n"/>
      <c r="Z942" s="1" t="n"/>
    </row>
    <row r="943" hidden="1" ht="16.05" customHeight="1">
      <c r="A943" s="13" t="n">
        <v>1364</v>
      </c>
      <c r="B943" s="13">
        <f>IF(OR(M943="Sam 32",M943="Sam 40"),"s",IF(M943="AMS","a","v"))</f>
        <v/>
      </c>
      <c r="C943" s="130" t="inlineStr">
        <is>
          <t>Санкт-Петербург</t>
        </is>
      </c>
      <c r="D943" s="130" t="inlineStr">
        <is>
          <t>Санкт-Петербург</t>
        </is>
      </c>
      <c r="E943" s="130" t="n"/>
      <c r="F943" s="130" t="n"/>
      <c r="G943" s="130" t="inlineStr">
        <is>
          <t>Лукойл</t>
        </is>
      </c>
      <c r="H943" s="131" t="n"/>
      <c r="I943" s="637" t="inlineStr">
        <is>
          <t>33_Московская</t>
        </is>
      </c>
      <c r="J943" s="402" t="n"/>
      <c r="K943" s="640" t="n">
        <v>1</v>
      </c>
      <c r="L943" s="640" t="n">
        <v>0</v>
      </c>
      <c r="M943" s="640" t="inlineStr">
        <is>
          <t>Sam 32</t>
        </is>
      </c>
      <c r="N943" s="640" t="n"/>
      <c r="O943" s="640">
        <f>IF(AND(N943=1,L943=1),K943,"")</f>
        <v/>
      </c>
      <c r="P943" s="642" t="inlineStr">
        <is>
          <t>Санкт-Петербург, Московское шоссе, д.13, кор.4, лит.А</t>
        </is>
      </c>
      <c r="Q943" s="640" t="n"/>
      <c r="R943" s="422" t="n"/>
      <c r="S943" s="436" t="n"/>
      <c r="V943" s="438">
        <f>IF(AND(N943=1,U943=1),C943,"")</f>
        <v/>
      </c>
      <c r="X943" s="1" t="n"/>
      <c r="Y943" s="1" t="n"/>
      <c r="Z943" s="1" t="n"/>
    </row>
    <row r="944" hidden="1" ht="16.05" customHeight="1">
      <c r="A944" s="13" t="n">
        <v>1365</v>
      </c>
      <c r="B944" s="13">
        <f>IF(OR(M944="Sam 32",M944="Sam 40"),"s",IF(M944="AMS","a","v"))</f>
        <v/>
      </c>
      <c r="C944" s="130" t="inlineStr">
        <is>
          <t>Санкт-Петербург</t>
        </is>
      </c>
      <c r="D944" s="130" t="inlineStr">
        <is>
          <t>Санкт-Петербург</t>
        </is>
      </c>
      <c r="E944" s="130" t="n"/>
      <c r="F944" s="130" t="n"/>
      <c r="G944" s="130" t="inlineStr">
        <is>
          <t>Лукойл</t>
        </is>
      </c>
      <c r="H944" s="131" t="n"/>
      <c r="I944" s="637" t="inlineStr">
        <is>
          <t>38_Суздальская</t>
        </is>
      </c>
      <c r="J944" s="402" t="n"/>
      <c r="K944" s="640" t="n">
        <v>1</v>
      </c>
      <c r="L944" s="640" t="n">
        <v>0</v>
      </c>
      <c r="M944" s="640" t="inlineStr">
        <is>
          <t>Sam 32</t>
        </is>
      </c>
      <c r="N944" s="640" t="n"/>
      <c r="O944" s="640">
        <f>IF(AND(N944=1,L944=1),K944,"")</f>
        <v/>
      </c>
      <c r="P944" s="642" t="inlineStr">
        <is>
          <t>Санкт-Петербург, Суздальский пр., д.49</t>
        </is>
      </c>
      <c r="Q944" s="640" t="n"/>
      <c r="R944" s="422" t="n"/>
      <c r="S944" s="436" t="n"/>
      <c r="V944" s="438">
        <f>IF(AND(N944=1,U944=1),C944,"")</f>
        <v/>
      </c>
      <c r="X944" s="1" t="n"/>
      <c r="Y944" s="1" t="n"/>
      <c r="Z944" s="1" t="n"/>
    </row>
    <row r="945" hidden="1" ht="16.05" customHeight="1">
      <c r="A945" s="13" t="n">
        <v>1366</v>
      </c>
      <c r="B945" s="13">
        <f>IF(OR(M945="Sam 32",M945="Sam 40"),"s",IF(M945="AMS","a","v"))</f>
        <v/>
      </c>
      <c r="C945" s="130" t="inlineStr">
        <is>
          <t>Санкт-Петербург</t>
        </is>
      </c>
      <c r="D945" s="130" t="inlineStr">
        <is>
          <t>Санкт-Петербург</t>
        </is>
      </c>
      <c r="E945" s="130" t="n"/>
      <c r="F945" s="130" t="n"/>
      <c r="G945" s="130" t="inlineStr">
        <is>
          <t>Лукойл</t>
        </is>
      </c>
      <c r="H945" s="131" t="n"/>
      <c r="I945" s="637" t="inlineStr">
        <is>
          <t>39_Ольгино</t>
        </is>
      </c>
      <c r="J945" s="402" t="n"/>
      <c r="K945" s="640" t="n">
        <v>1</v>
      </c>
      <c r="L945" s="640" t="n">
        <v>0</v>
      </c>
      <c r="M945" s="640" t="inlineStr">
        <is>
          <t>Sam 32</t>
        </is>
      </c>
      <c r="N945" s="640" t="n"/>
      <c r="O945" s="640">
        <f>IF(AND(N945=1,L945=1),K945,"")</f>
        <v/>
      </c>
      <c r="P945" s="642" t="inlineStr">
        <is>
          <t>Санкт-Петербург, п.Ольгино, Приморское шоссе, д.45, лит.А</t>
        </is>
      </c>
      <c r="Q945" s="640" t="n"/>
      <c r="R945" s="422" t="n"/>
      <c r="S945" s="436" t="n"/>
      <c r="V945" s="438">
        <f>IF(AND(N945=1,U945=1),C945,"")</f>
        <v/>
      </c>
      <c r="X945" s="1" t="n"/>
      <c r="Y945" s="1" t="n"/>
      <c r="Z945" s="1" t="n"/>
    </row>
    <row r="946" hidden="1" ht="16.05" customHeight="1">
      <c r="A946" s="13" t="n">
        <v>1367</v>
      </c>
      <c r="B946" s="13">
        <f>IF(OR(M946="Sam 32",M946="Sam 40"),"s",IF(M946="AMS","a","v"))</f>
        <v/>
      </c>
      <c r="C946" s="130" t="inlineStr">
        <is>
          <t>Санкт-Петербург</t>
        </is>
      </c>
      <c r="D946" s="130" t="inlineStr">
        <is>
          <t>Санкт-Петербург</t>
        </is>
      </c>
      <c r="E946" s="130" t="n"/>
      <c r="F946" s="130" t="n"/>
      <c r="G946" s="130" t="inlineStr">
        <is>
          <t>Лукойл</t>
        </is>
      </c>
      <c r="H946" s="131" t="n"/>
      <c r="I946" s="637" t="inlineStr">
        <is>
          <t>40_Бухарестская-2</t>
        </is>
      </c>
      <c r="J946" s="402" t="n"/>
      <c r="K946" s="640" t="n">
        <v>1</v>
      </c>
      <c r="L946" s="640" t="n">
        <v>0</v>
      </c>
      <c r="M946" s="640" t="inlineStr">
        <is>
          <t>Sam 32</t>
        </is>
      </c>
      <c r="N946" s="640" t="n"/>
      <c r="O946" s="640">
        <f>IF(AND(N946=1,L946=1),K946,"")</f>
        <v/>
      </c>
      <c r="P946" s="642" t="inlineStr">
        <is>
          <t>Санкт-Петербург, Бухарестская, д.12, лит А</t>
        </is>
      </c>
      <c r="Q946" s="640" t="n"/>
      <c r="R946" s="422" t="n"/>
      <c r="S946" s="436" t="n"/>
      <c r="V946" s="438">
        <f>IF(AND(N946=1,U946=1),C946,"")</f>
        <v/>
      </c>
      <c r="X946" s="1" t="n"/>
      <c r="Y946" s="1" t="n"/>
      <c r="Z946" s="1" t="n"/>
    </row>
    <row r="947" hidden="1" ht="16.05" customHeight="1">
      <c r="A947" s="13" t="n">
        <v>1368</v>
      </c>
      <c r="B947" s="13">
        <f>IF(OR(M947="Sam 32",M947="Sam 40"),"s",IF(M947="AMS","a","v"))</f>
        <v/>
      </c>
      <c r="C947" s="130" t="inlineStr">
        <is>
          <t>Санкт-Петербург</t>
        </is>
      </c>
      <c r="D947" s="130" t="inlineStr">
        <is>
          <t>Санкт-Петербург</t>
        </is>
      </c>
      <c r="E947" s="130" t="n"/>
      <c r="F947" s="130" t="n"/>
      <c r="G947" s="130" t="inlineStr">
        <is>
          <t>Лукойл</t>
        </is>
      </c>
      <c r="H947" s="131" t="n"/>
      <c r="I947" s="637" t="inlineStr">
        <is>
          <t>41_Пискарёвская</t>
        </is>
      </c>
      <c r="J947" s="402" t="n"/>
      <c r="K947" s="640" t="n">
        <v>1</v>
      </c>
      <c r="L947" s="640" t="n">
        <v>0</v>
      </c>
      <c r="M947" s="640" t="inlineStr">
        <is>
          <t>Sam 32</t>
        </is>
      </c>
      <c r="N947" s="640" t="n"/>
      <c r="O947" s="640">
        <f>IF(AND(N947=1,L947=1),K947,"")</f>
        <v/>
      </c>
      <c r="P947" s="642" t="inlineStr">
        <is>
          <t>Санкт-Петербург, Пискарёвский пр., д.30</t>
        </is>
      </c>
      <c r="Q947" s="640" t="n"/>
      <c r="R947" s="422" t="n"/>
      <c r="S947" s="436" t="n"/>
      <c r="V947" s="438">
        <f>IF(AND(N947=1,U947=1),C947,"")</f>
        <v/>
      </c>
      <c r="X947" s="1" t="n"/>
      <c r="Y947" s="1" t="n"/>
      <c r="Z947" s="1" t="n"/>
    </row>
    <row r="948" hidden="1" ht="16.05" customHeight="1">
      <c r="A948" s="13" t="n">
        <v>1369</v>
      </c>
      <c r="B948" s="13">
        <f>IF(OR(M948="Sam 32",M948="Sam 40"),"s",IF(M948="AMS","a","v"))</f>
        <v/>
      </c>
      <c r="C948" s="130" t="inlineStr">
        <is>
          <t>Санкт-Петербург</t>
        </is>
      </c>
      <c r="D948" s="130" t="inlineStr">
        <is>
          <t>Санкт-Петербург</t>
        </is>
      </c>
      <c r="E948" s="130" t="n"/>
      <c r="F948" s="130" t="n"/>
      <c r="G948" s="130" t="inlineStr">
        <is>
          <t>Лукойл</t>
        </is>
      </c>
      <c r="H948" s="131" t="n"/>
      <c r="I948" s="637" t="inlineStr">
        <is>
          <t>42_Дальневосточная</t>
        </is>
      </c>
      <c r="J948" s="402" t="n"/>
      <c r="K948" s="640" t="n">
        <v>1</v>
      </c>
      <c r="L948" s="640" t="n">
        <v>0</v>
      </c>
      <c r="M948" s="640" t="inlineStr">
        <is>
          <t>Sam 32</t>
        </is>
      </c>
      <c r="N948" s="640" t="n"/>
      <c r="O948" s="640">
        <f>IF(AND(N948=1,L948=1),K948,"")</f>
        <v/>
      </c>
      <c r="P948" s="642" t="inlineStr">
        <is>
          <t>Санкт-Петербург, Дальневосточный пр., д.43</t>
        </is>
      </c>
      <c r="Q948" s="640" t="n"/>
      <c r="R948" s="422" t="n"/>
      <c r="S948" s="436" t="n"/>
      <c r="V948" s="438">
        <f>IF(AND(N948=1,U948=1),C948,"")</f>
        <v/>
      </c>
      <c r="X948" s="1" t="n"/>
      <c r="Y948" s="1" t="n"/>
      <c r="Z948" s="1" t="n"/>
    </row>
    <row r="949" hidden="1" ht="16.05" customHeight="1">
      <c r="A949" s="13" t="n">
        <v>1370</v>
      </c>
      <c r="B949" s="13">
        <f>IF(OR(M949="Sam 32",M949="Sam 40"),"s",IF(M949="AMS","a","v"))</f>
        <v/>
      </c>
      <c r="C949" s="130" t="inlineStr">
        <is>
          <t>Санкт-Петербург</t>
        </is>
      </c>
      <c r="D949" s="130" t="inlineStr">
        <is>
          <t>Санкт-Петербург</t>
        </is>
      </c>
      <c r="E949" s="130" t="n"/>
      <c r="F949" s="130" t="n"/>
      <c r="G949" s="130" t="inlineStr">
        <is>
          <t>Лукойл</t>
        </is>
      </c>
      <c r="H949" s="131" t="n"/>
      <c r="I949" s="637" t="inlineStr">
        <is>
          <t>43_Кржижановского</t>
        </is>
      </c>
      <c r="J949" s="402" t="n"/>
      <c r="K949" s="640" t="n">
        <v>1</v>
      </c>
      <c r="L949" s="640" t="n">
        <v>0</v>
      </c>
      <c r="M949" s="640" t="inlineStr">
        <is>
          <t>Sam 32</t>
        </is>
      </c>
      <c r="N949" s="640" t="n"/>
      <c r="O949" s="640">
        <f>IF(AND(N949=1,L949=1),K949,"")</f>
        <v/>
      </c>
      <c r="P949" s="642" t="inlineStr">
        <is>
          <t>Санкт-Петербург, Кржижановского, д.19</t>
        </is>
      </c>
      <c r="Q949" s="640" t="n"/>
      <c r="R949" s="422" t="n"/>
      <c r="S949" s="436" t="n"/>
      <c r="V949" s="438">
        <f>IF(AND(N949=1,U949=1),C949,"")</f>
        <v/>
      </c>
      <c r="X949" s="1" t="n"/>
      <c r="Y949" s="1" t="n"/>
      <c r="Z949" s="1" t="n"/>
    </row>
    <row r="950" hidden="1" ht="16.05" customHeight="1">
      <c r="A950" s="13" t="n">
        <v>1371</v>
      </c>
      <c r="B950" s="13">
        <f>IF(OR(M950="Sam 32",M950="Sam 40"),"s",IF(M950="AMS","a","v"))</f>
        <v/>
      </c>
      <c r="C950" s="130" t="inlineStr">
        <is>
          <t>Санкт-Петербург</t>
        </is>
      </c>
      <c r="D950" s="130" t="inlineStr">
        <is>
          <t>Санкт-Петербург</t>
        </is>
      </c>
      <c r="E950" s="130" t="n"/>
      <c r="F950" s="130" t="n"/>
      <c r="G950" s="130" t="inlineStr">
        <is>
          <t>Лукойл</t>
        </is>
      </c>
      <c r="H950" s="131" t="n"/>
      <c r="I950" s="637" t="inlineStr">
        <is>
          <t>44_Мечникова</t>
        </is>
      </c>
      <c r="J950" s="402" t="n"/>
      <c r="K950" s="640" t="n">
        <v>1</v>
      </c>
      <c r="L950" s="640" t="n">
        <v>0</v>
      </c>
      <c r="M950" s="640" t="inlineStr">
        <is>
          <t>Sam 32</t>
        </is>
      </c>
      <c r="N950" s="640" t="n"/>
      <c r="O950" s="640">
        <f>IF(AND(N950=1,L950=1),K950,"")</f>
        <v/>
      </c>
      <c r="P950" s="642" t="inlineStr">
        <is>
          <t>Санкт-Петербург, Пискарёвский пр., д.43, кор.2</t>
        </is>
      </c>
      <c r="Q950" s="640" t="n"/>
      <c r="R950" s="422" t="n"/>
      <c r="S950" s="436" t="n"/>
      <c r="V950" s="438">
        <f>IF(AND(N950=1,U950=1),C950,"")</f>
        <v/>
      </c>
      <c r="X950" s="1" t="n"/>
      <c r="Y950" s="1" t="n"/>
      <c r="Z950" s="1" t="n"/>
    </row>
    <row r="951" hidden="1" ht="16.05" customHeight="1">
      <c r="A951" s="13" t="n">
        <v>1372</v>
      </c>
      <c r="B951" s="13">
        <f>IF(OR(M951="Sam 32",M951="Sam 40"),"s",IF(M951="AMS","a","v"))</f>
        <v/>
      </c>
      <c r="C951" s="130" t="inlineStr">
        <is>
          <t>Санкт-Петербург</t>
        </is>
      </c>
      <c r="D951" s="130" t="inlineStr">
        <is>
          <t>Санкт-Петербург</t>
        </is>
      </c>
      <c r="E951" s="130" t="n"/>
      <c r="F951" s="130" t="n"/>
      <c r="G951" s="130" t="inlineStr">
        <is>
          <t>Лукойл</t>
        </is>
      </c>
      <c r="H951" s="131" t="n"/>
      <c r="I951" s="637" t="inlineStr">
        <is>
          <t>45_Северная</t>
        </is>
      </c>
      <c r="J951" s="402" t="n"/>
      <c r="K951" s="640" t="n">
        <v>1</v>
      </c>
      <c r="L951" s="640" t="n">
        <v>0</v>
      </c>
      <c r="M951" s="640" t="inlineStr">
        <is>
          <t>Sam 32</t>
        </is>
      </c>
      <c r="N951" s="640" t="n"/>
      <c r="O951" s="640">
        <f>IF(AND(N951=1,L951=1),K951,"")</f>
        <v/>
      </c>
      <c r="P951" s="642" t="inlineStr">
        <is>
          <t>Санкт-Петербург, Северный пр., д.13</t>
        </is>
      </c>
      <c r="Q951" s="640" t="n"/>
      <c r="R951" s="422" t="n"/>
      <c r="S951" s="436" t="n"/>
      <c r="V951" s="438">
        <f>IF(AND(N951=1,U951=1),C951,"")</f>
        <v/>
      </c>
      <c r="X951" s="1" t="n"/>
      <c r="Y951" s="1" t="n"/>
      <c r="Z951" s="1" t="n"/>
    </row>
    <row r="952" hidden="1" ht="16.05" customHeight="1">
      <c r="A952" s="13" t="n">
        <v>1373</v>
      </c>
      <c r="B952" s="13">
        <f>IF(OR(M952="Sam 32",M952="Sam 40"),"s",IF(M952="AMS","a","v"))</f>
        <v/>
      </c>
      <c r="C952" s="130" t="inlineStr">
        <is>
          <t>Санкт-Петербург</t>
        </is>
      </c>
      <c r="D952" s="130" t="inlineStr">
        <is>
          <t>Санкт-Петербург</t>
        </is>
      </c>
      <c r="E952" s="130" t="n"/>
      <c r="F952" s="130" t="n"/>
      <c r="G952" s="130" t="inlineStr">
        <is>
          <t>Лукойл</t>
        </is>
      </c>
      <c r="H952" s="131" t="n"/>
      <c r="I952" s="637" t="inlineStr">
        <is>
          <t>46_Бабушкина</t>
        </is>
      </c>
      <c r="J952" s="402" t="n"/>
      <c r="K952" s="640" t="n">
        <v>1</v>
      </c>
      <c r="L952" s="640" t="n">
        <v>0</v>
      </c>
      <c r="M952" s="640" t="inlineStr">
        <is>
          <t>Sam 32</t>
        </is>
      </c>
      <c r="N952" s="640" t="n"/>
      <c r="O952" s="640">
        <f>IF(AND(N952=1,L952=1),K952,"")</f>
        <v/>
      </c>
      <c r="P952" s="642" t="inlineStr">
        <is>
          <t>Санкт-Петербург, Бабушкина, д.127</t>
        </is>
      </c>
      <c r="Q952" s="640" t="n"/>
      <c r="R952" s="422" t="n"/>
      <c r="S952" s="436" t="n"/>
      <c r="V952" s="438">
        <f>IF(AND(N952=1,U952=1),C952,"")</f>
        <v/>
      </c>
      <c r="X952" s="1" t="n"/>
      <c r="Y952" s="1" t="n"/>
      <c r="Z952" s="1" t="n"/>
    </row>
    <row r="953" hidden="1" ht="16.05" customHeight="1">
      <c r="A953" s="13" t="n">
        <v>1374</v>
      </c>
      <c r="B953" s="13">
        <f>IF(OR(M953="Sam 32",M953="Sam 40"),"s",IF(M953="AMS","a","v"))</f>
        <v/>
      </c>
      <c r="C953" s="130" t="inlineStr">
        <is>
          <t>Санкт-Петербург</t>
        </is>
      </c>
      <c r="D953" s="130" t="inlineStr">
        <is>
          <t>Санкт-Петербург</t>
        </is>
      </c>
      <c r="E953" s="130" t="n"/>
      <c r="F953" s="130" t="n"/>
      <c r="G953" s="130" t="inlineStr">
        <is>
          <t>Лукойл</t>
        </is>
      </c>
      <c r="H953" s="131" t="n"/>
      <c r="I953" s="637" t="inlineStr">
        <is>
          <t>50_Композиторов</t>
        </is>
      </c>
      <c r="J953" s="402" t="n"/>
      <c r="K953" s="640" t="n">
        <v>1</v>
      </c>
      <c r="L953" s="640" t="n">
        <v>0</v>
      </c>
      <c r="M953" s="640" t="inlineStr">
        <is>
          <t>Sam 32</t>
        </is>
      </c>
      <c r="N953" s="640" t="n"/>
      <c r="O953" s="640">
        <f>IF(AND(N953=1,L953=1),K953,"")</f>
        <v/>
      </c>
      <c r="P953" s="642" t="inlineStr">
        <is>
          <t>Санкт-Петербург, Композиторов, д.30</t>
        </is>
      </c>
      <c r="Q953" s="640" t="n"/>
      <c r="R953" s="422" t="n"/>
      <c r="S953" s="436" t="n"/>
      <c r="V953" s="438">
        <f>IF(AND(N953=1,U953=1),C953,"")</f>
        <v/>
      </c>
      <c r="X953" s="1" t="n"/>
      <c r="Y953" s="1" t="n"/>
      <c r="Z953" s="1" t="n"/>
    </row>
    <row r="954" hidden="1" ht="16.05" customHeight="1">
      <c r="A954" s="13" t="n">
        <v>1375</v>
      </c>
      <c r="B954" s="13">
        <f>IF(OR(M954="Sam 32",M954="Sam 40"),"s",IF(M954="AMS","a","v"))</f>
        <v/>
      </c>
      <c r="C954" s="130" t="inlineStr">
        <is>
          <t>Санкт-Петербург</t>
        </is>
      </c>
      <c r="D954" s="130" t="inlineStr">
        <is>
          <t>Санкт-Петербург</t>
        </is>
      </c>
      <c r="E954" s="130" t="n"/>
      <c r="F954" s="130" t="n"/>
      <c r="G954" s="130" t="inlineStr">
        <is>
          <t>Лукойл</t>
        </is>
      </c>
      <c r="H954" s="131" t="n"/>
      <c r="I954" s="637" t="inlineStr">
        <is>
          <t>51_Днепропетровская</t>
        </is>
      </c>
      <c r="J954" s="402" t="n"/>
      <c r="K954" s="640" t="n">
        <v>1</v>
      </c>
      <c r="L954" s="640" t="n">
        <v>0</v>
      </c>
      <c r="M954" s="640" t="inlineStr">
        <is>
          <t>Sam 32</t>
        </is>
      </c>
      <c r="N954" s="640" t="n"/>
      <c r="O954" s="640">
        <f>IF(AND(N954=1,L954=1),K954,"")</f>
        <v/>
      </c>
      <c r="P954" s="642" t="inlineStr">
        <is>
          <t>Санкт-Петербург, наб.Обводного канала, д.34</t>
        </is>
      </c>
      <c r="Q954" s="640" t="n"/>
      <c r="R954" s="422" t="n"/>
      <c r="S954" s="436" t="n"/>
      <c r="V954" s="438">
        <f>IF(AND(N954=1,U954=1),C954,"")</f>
        <v/>
      </c>
      <c r="X954" s="1" t="n"/>
      <c r="Y954" s="1" t="n"/>
      <c r="Z954" s="1" t="n"/>
    </row>
    <row r="955" hidden="1" ht="16.05" customHeight="1">
      <c r="A955" s="13" t="n">
        <v>1376</v>
      </c>
      <c r="B955" s="13">
        <f>IF(OR(M955="Sam 32",M955="Sam 40"),"s",IF(M955="AMS","a","v"))</f>
        <v/>
      </c>
      <c r="C955" s="130" t="inlineStr">
        <is>
          <t>Санкт-Петербург</t>
        </is>
      </c>
      <c r="D955" s="130" t="inlineStr">
        <is>
          <t>Санкт-Петербург</t>
        </is>
      </c>
      <c r="E955" s="130" t="n"/>
      <c r="F955" s="130" t="n"/>
      <c r="G955" s="130" t="inlineStr">
        <is>
          <t>Лукойл</t>
        </is>
      </c>
      <c r="H955" s="131" t="n"/>
      <c r="I955" s="637" t="inlineStr">
        <is>
          <t>52_Кубинская</t>
        </is>
      </c>
      <c r="J955" s="402" t="n"/>
      <c r="K955" s="640" t="n">
        <v>1</v>
      </c>
      <c r="L955" s="640" t="n">
        <v>0</v>
      </c>
      <c r="M955" s="640" t="inlineStr">
        <is>
          <t>Sam 32</t>
        </is>
      </c>
      <c r="N955" s="640" t="n"/>
      <c r="O955" s="640">
        <f>IF(AND(N955=1,L955=1),K955,"")</f>
        <v/>
      </c>
      <c r="P955" s="642" t="inlineStr">
        <is>
          <t>Санкт-Петербург, Кубинская, д.90</t>
        </is>
      </c>
      <c r="Q955" s="640" t="n"/>
      <c r="R955" s="422" t="n"/>
      <c r="S955" s="436" t="n"/>
      <c r="V955" s="438">
        <f>IF(AND(N955=1,U955=1),C955,"")</f>
        <v/>
      </c>
      <c r="X955" s="1" t="n"/>
      <c r="Y955" s="1" t="n"/>
      <c r="Z955" s="1" t="n"/>
    </row>
    <row r="956" hidden="1" ht="16.05" customHeight="1">
      <c r="A956" s="13" t="n">
        <v>1377</v>
      </c>
      <c r="B956" s="13">
        <f>IF(OR(M956="Sam 32",M956="Sam 40"),"s",IF(M956="AMS","a","v"))</f>
        <v/>
      </c>
      <c r="C956" s="130" t="inlineStr">
        <is>
          <t>Санкт-Петербург</t>
        </is>
      </c>
      <c r="D956" s="130" t="inlineStr">
        <is>
          <t>Санкт-Петербург</t>
        </is>
      </c>
      <c r="E956" s="130" t="n"/>
      <c r="F956" s="130" t="n"/>
      <c r="G956" s="130" t="inlineStr">
        <is>
          <t>Лукойл</t>
        </is>
      </c>
      <c r="H956" s="131" t="n"/>
      <c r="I956" s="637" t="inlineStr">
        <is>
          <t>53_Розенштейна</t>
        </is>
      </c>
      <c r="J956" s="402" t="n"/>
      <c r="K956" s="640" t="n">
        <v>1</v>
      </c>
      <c r="L956" s="640" t="n">
        <v>0</v>
      </c>
      <c r="M956" s="640" t="inlineStr">
        <is>
          <t>Sam 32</t>
        </is>
      </c>
      <c r="N956" s="640" t="n"/>
      <c r="O956" s="640">
        <f>IF(AND(N956=1,L956=1),K956,"")</f>
        <v/>
      </c>
      <c r="P956" s="642" t="inlineStr">
        <is>
          <t>Санкт-Петербург, Розенштейна, д.37</t>
        </is>
      </c>
      <c r="Q956" s="640" t="n"/>
      <c r="R956" s="422" t="n"/>
      <c r="S956" s="436" t="n"/>
      <c r="V956" s="438">
        <f>IF(AND(N956=1,U956=1),C956,"")</f>
        <v/>
      </c>
      <c r="X956" s="1" t="n"/>
      <c r="Y956" s="1" t="n"/>
      <c r="Z956" s="1" t="n"/>
    </row>
    <row r="957" hidden="1" ht="16.05" customHeight="1">
      <c r="A957" s="13" t="n">
        <v>1378</v>
      </c>
      <c r="B957" s="13">
        <f>IF(OR(M957="Sam 32",M957="Sam 40"),"s",IF(M957="AMS","a","v"))</f>
        <v/>
      </c>
      <c r="C957" s="130" t="inlineStr">
        <is>
          <t>Санкт-Петербург</t>
        </is>
      </c>
      <c r="D957" s="130" t="inlineStr">
        <is>
          <t>Санкт-Петербург</t>
        </is>
      </c>
      <c r="E957" s="130" t="n"/>
      <c r="F957" s="130" t="n"/>
      <c r="G957" s="130" t="inlineStr">
        <is>
          <t>Лукойл</t>
        </is>
      </c>
      <c r="H957" s="131" t="n"/>
      <c r="I957" s="637" t="inlineStr">
        <is>
          <t>54_Благодатная</t>
        </is>
      </c>
      <c r="J957" s="402" t="n"/>
      <c r="K957" s="640" t="n">
        <v>1</v>
      </c>
      <c r="L957" s="640" t="n">
        <v>0</v>
      </c>
      <c r="M957" s="640" t="inlineStr">
        <is>
          <t>Sam 32</t>
        </is>
      </c>
      <c r="N957" s="640" t="n"/>
      <c r="O957" s="640">
        <f>IF(AND(N957=1,L957=1),K957,"")</f>
        <v/>
      </c>
      <c r="P957" s="642" t="inlineStr">
        <is>
          <t>Санкт-Петербург, Витебский пр., д.10, лит.А</t>
        </is>
      </c>
      <c r="Q957" s="640" t="n"/>
      <c r="R957" s="422" t="n"/>
      <c r="S957" s="436" t="n"/>
      <c r="V957" s="438">
        <f>IF(AND(N957=1,U957=1),C957,"")</f>
        <v/>
      </c>
      <c r="X957" s="1" t="n"/>
      <c r="Y957" s="1" t="n"/>
      <c r="Z957" s="1" t="n"/>
    </row>
    <row r="958" hidden="1" ht="16.05" customHeight="1">
      <c r="A958" s="13" t="n">
        <v>1379</v>
      </c>
      <c r="B958" s="13">
        <f>IF(OR(M958="Sam 32",M958="Sam 40"),"s",IF(M958="AMS","a","v"))</f>
        <v/>
      </c>
      <c r="C958" s="130" t="inlineStr">
        <is>
          <t>Санкт-Петербург</t>
        </is>
      </c>
      <c r="D958" s="130" t="inlineStr">
        <is>
          <t>Санкт-Петербург</t>
        </is>
      </c>
      <c r="E958" s="130" t="n"/>
      <c r="F958" s="130" t="n"/>
      <c r="G958" s="130" t="inlineStr">
        <is>
          <t>Лукойл</t>
        </is>
      </c>
      <c r="H958" s="131" t="n"/>
      <c r="I958" s="637" t="inlineStr">
        <is>
          <t>57_Токсовская</t>
        </is>
      </c>
      <c r="J958" s="402" t="n"/>
      <c r="K958" s="640" t="n">
        <v>1</v>
      </c>
      <c r="L958" s="640" t="n">
        <v>0</v>
      </c>
      <c r="M958" s="640" t="inlineStr">
        <is>
          <t>Sam 32</t>
        </is>
      </c>
      <c r="N958" s="640" t="n"/>
      <c r="O958" s="640">
        <f>IF(AND(N958=1,L958=1),K958,"")</f>
        <v/>
      </c>
      <c r="P958" s="642" t="inlineStr">
        <is>
          <t>Санкт-Петербург, Токсовская, д.2</t>
        </is>
      </c>
      <c r="Q958" s="640" t="n"/>
      <c r="R958" s="422" t="n"/>
      <c r="S958" s="436" t="n"/>
      <c r="V958" s="438">
        <f>IF(AND(N958=1,U958=1),C958,"")</f>
        <v/>
      </c>
      <c r="X958" s="1" t="n"/>
      <c r="Y958" s="1" t="n"/>
      <c r="Z958" s="1" t="n"/>
    </row>
    <row r="959" hidden="1" ht="16.05" customHeight="1">
      <c r="A959" s="13" t="n">
        <v>1380</v>
      </c>
      <c r="B959" s="13">
        <f>IF(OR(M959="Sam 32",M959="Sam 40"),"s",IF(M959="AMS","a","v"))</f>
        <v/>
      </c>
      <c r="C959" s="130" t="inlineStr">
        <is>
          <t>Санкт-Петербург</t>
        </is>
      </c>
      <c r="D959" s="130" t="inlineStr">
        <is>
          <t>Санкт-Петербург</t>
        </is>
      </c>
      <c r="E959" s="130" t="n"/>
      <c r="F959" s="130" t="n"/>
      <c r="G959" s="130" t="inlineStr">
        <is>
          <t>Лукойл</t>
        </is>
      </c>
      <c r="H959" s="131" t="n"/>
      <c r="I959" s="637" t="inlineStr">
        <is>
          <t>59_Ладожская</t>
        </is>
      </c>
      <c r="J959" s="402" t="n"/>
      <c r="K959" s="640" t="n">
        <v>1</v>
      </c>
      <c r="L959" s="640" t="n">
        <v>0</v>
      </c>
      <c r="M959" s="640" t="inlineStr">
        <is>
          <t>Sam 32</t>
        </is>
      </c>
      <c r="N959" s="640" t="n"/>
      <c r="O959" s="640">
        <f>IF(AND(N959=1,L959=1),K959,"")</f>
        <v/>
      </c>
      <c r="P959" s="642" t="inlineStr">
        <is>
          <t>Санкт-Петербург, Заневский пр., д.75</t>
        </is>
      </c>
      <c r="Q959" s="640" t="n"/>
      <c r="R959" s="422" t="n"/>
      <c r="S959" s="436" t="n"/>
      <c r="V959" s="438">
        <f>IF(AND(N959=1,U959=1),C959,"")</f>
        <v/>
      </c>
      <c r="X959" s="1" t="n"/>
      <c r="Y959" s="1" t="n"/>
      <c r="Z959" s="1" t="n"/>
    </row>
    <row r="960" hidden="1" ht="16.05" customHeight="1">
      <c r="A960" s="13" t="n">
        <v>1381</v>
      </c>
      <c r="B960" s="13">
        <f>IF(OR(M960="Sam 32",M960="Sam 40"),"s",IF(M960="AMS","a","v"))</f>
        <v/>
      </c>
      <c r="C960" s="130" t="inlineStr">
        <is>
          <t>Санкт-Петербург</t>
        </is>
      </c>
      <c r="D960" s="130" t="inlineStr">
        <is>
          <t>Санкт-Петербург</t>
        </is>
      </c>
      <c r="E960" s="130" t="n"/>
      <c r="F960" s="130" t="n"/>
      <c r="G960" s="130" t="inlineStr">
        <is>
          <t>Лукойл</t>
        </is>
      </c>
      <c r="H960" s="131" t="n"/>
      <c r="I960" s="637" t="inlineStr">
        <is>
          <t>60_Аэропорт</t>
        </is>
      </c>
      <c r="J960" s="402" t="n"/>
      <c r="K960" s="640" t="n">
        <v>1</v>
      </c>
      <c r="L960" s="640" t="n">
        <v>0</v>
      </c>
      <c r="M960" s="640" t="inlineStr">
        <is>
          <t>Sam 32</t>
        </is>
      </c>
      <c r="N960" s="640" t="n"/>
      <c r="O960" s="640">
        <f>IF(AND(N960=1,L960=1),K960,"")</f>
        <v/>
      </c>
      <c r="P960" s="642" t="inlineStr">
        <is>
          <t>Санкт-Петербург, Пулковское шоссе, д.37, кор.1</t>
        </is>
      </c>
      <c r="Q960" s="640" t="n"/>
      <c r="R960" s="422" t="n"/>
      <c r="S960" s="436" t="n"/>
      <c r="V960" s="438">
        <f>IF(AND(N960=1,U960=1),C960,"")</f>
        <v/>
      </c>
      <c r="X960" s="1" t="n"/>
      <c r="Y960" s="1" t="n"/>
      <c r="Z960" s="1" t="n"/>
    </row>
    <row r="961" hidden="1" ht="16.05" customHeight="1">
      <c r="A961" s="13" t="n">
        <v>1382</v>
      </c>
      <c r="B961" s="13">
        <f>IF(OR(M961="Sam 32",M961="Sam 40"),"s",IF(M961="AMS","a","v"))</f>
        <v/>
      </c>
      <c r="C961" s="130" t="inlineStr">
        <is>
          <t>Санкт-Петербург</t>
        </is>
      </c>
      <c r="D961" s="130" t="inlineStr">
        <is>
          <t>Санкт-Петербург</t>
        </is>
      </c>
      <c r="E961" s="130" t="n"/>
      <c r="F961" s="130" t="n"/>
      <c r="G961" s="130" t="inlineStr">
        <is>
          <t>Лукойл</t>
        </is>
      </c>
      <c r="H961" s="131" t="n"/>
      <c r="I961" s="637" t="inlineStr">
        <is>
          <t>69_Черниговская</t>
        </is>
      </c>
      <c r="J961" s="402" t="n"/>
      <c r="K961" s="640" t="n">
        <v>1</v>
      </c>
      <c r="L961" s="640" t="n">
        <v>0</v>
      </c>
      <c r="M961" s="640" t="inlineStr">
        <is>
          <t>Sam 32</t>
        </is>
      </c>
      <c r="N961" s="640" t="n"/>
      <c r="O961" s="640">
        <f>IF(AND(N961=1,L961=1),K961,"")</f>
        <v/>
      </c>
      <c r="P961" s="642" t="inlineStr">
        <is>
          <t>Санкт-Петербург, Черниговская, д.25, лит.А</t>
        </is>
      </c>
      <c r="Q961" s="640" t="n"/>
      <c r="R961" s="422" t="n"/>
      <c r="S961" s="436" t="n"/>
      <c r="V961" s="438">
        <f>IF(AND(N961=1,U961=1),C961,"")</f>
        <v/>
      </c>
      <c r="X961" s="1" t="n"/>
      <c r="Y961" s="1" t="n"/>
      <c r="Z961" s="1" t="n"/>
    </row>
    <row r="962" hidden="1" ht="16.05" customHeight="1">
      <c r="A962" s="13" t="n">
        <v>1383</v>
      </c>
      <c r="B962" s="13">
        <f>IF(OR(M962="Sam 32",M962="Sam 40"),"s",IF(M962="AMS","a","v"))</f>
        <v/>
      </c>
      <c r="C962" s="130" t="inlineStr">
        <is>
          <t>Санкт-Петербург</t>
        </is>
      </c>
      <c r="D962" s="130" t="inlineStr">
        <is>
          <t>Санкт-Петербург</t>
        </is>
      </c>
      <c r="E962" s="130" t="n"/>
      <c r="F962" s="130" t="n"/>
      <c r="G962" s="130" t="inlineStr">
        <is>
          <t>Лукойл</t>
        </is>
      </c>
      <c r="H962" s="131" t="n"/>
      <c r="I962" s="637" t="inlineStr">
        <is>
          <t>71_Замшина</t>
        </is>
      </c>
      <c r="J962" s="402" t="n"/>
      <c r="K962" s="640" t="n">
        <v>1</v>
      </c>
      <c r="L962" s="640" t="n">
        <v>0</v>
      </c>
      <c r="M962" s="640" t="inlineStr">
        <is>
          <t>Sam 32</t>
        </is>
      </c>
      <c r="N962" s="640" t="n"/>
      <c r="O962" s="640">
        <f>IF(AND(N962=1,L962=1),K962,"")</f>
        <v/>
      </c>
      <c r="P962" s="642" t="inlineStr">
        <is>
          <t>Санкт-Петербург, Замшина, д.2</t>
        </is>
      </c>
      <c r="Q962" s="640" t="n"/>
      <c r="R962" s="422" t="n"/>
      <c r="S962" s="436" t="n"/>
      <c r="V962" s="438">
        <f>IF(AND(N962=1,U962=1),C962,"")</f>
        <v/>
      </c>
      <c r="X962" s="1" t="n"/>
      <c r="Y962" s="1" t="n"/>
      <c r="Z962" s="1" t="n"/>
    </row>
    <row r="963" hidden="1" ht="16.05" customHeight="1">
      <c r="A963" s="13" t="n">
        <v>1384</v>
      </c>
      <c r="B963" s="13">
        <f>IF(OR(M963="Sam 32",M963="Sam 40"),"s",IF(M963="AMS","a","v"))</f>
        <v/>
      </c>
      <c r="C963" s="130" t="inlineStr">
        <is>
          <t>Санкт-Петербург</t>
        </is>
      </c>
      <c r="D963" s="130" t="inlineStr">
        <is>
          <t>Санкт-Петербург</t>
        </is>
      </c>
      <c r="E963" s="130" t="n"/>
      <c r="F963" s="130" t="n"/>
      <c r="G963" s="130" t="inlineStr">
        <is>
          <t>Лукойл</t>
        </is>
      </c>
      <c r="H963" s="131" t="n"/>
      <c r="I963" s="637" t="inlineStr">
        <is>
          <t>73_Уральская</t>
        </is>
      </c>
      <c r="J963" s="402" t="n"/>
      <c r="K963" s="640" t="n">
        <v>1</v>
      </c>
      <c r="L963" s="640" t="n">
        <v>0</v>
      </c>
      <c r="M963" s="640" t="inlineStr">
        <is>
          <t>Sam 32</t>
        </is>
      </c>
      <c r="N963" s="640" t="n"/>
      <c r="O963" s="640">
        <f>IF(AND(N963=1,L963=1),K963,"")</f>
        <v/>
      </c>
      <c r="P963" s="642" t="inlineStr">
        <is>
          <t>Санкт-Петербург, пер.Декабристов, д.9, лит.А</t>
        </is>
      </c>
      <c r="Q963" s="640" t="n"/>
      <c r="R963" s="422" t="n"/>
      <c r="S963" s="436" t="n"/>
      <c r="V963" s="438">
        <f>IF(AND(N963=1,U963=1),C963,"")</f>
        <v/>
      </c>
      <c r="X963" s="1" t="n"/>
      <c r="Y963" s="1" t="n"/>
      <c r="Z963" s="1" t="n"/>
    </row>
    <row r="964" hidden="1" ht="16.05" customHeight="1">
      <c r="A964" s="13" t="n">
        <v>1385</v>
      </c>
      <c r="B964" s="13">
        <f>IF(OR(M964="Sam 32",M964="Sam 40"),"s",IF(M964="AMS","a","v"))</f>
        <v/>
      </c>
      <c r="C964" s="130" t="inlineStr">
        <is>
          <t>Санкт-Петербург</t>
        </is>
      </c>
      <c r="D964" s="130" t="inlineStr">
        <is>
          <t>Санкт-Петербург</t>
        </is>
      </c>
      <c r="E964" s="130" t="n"/>
      <c r="F964" s="130" t="n"/>
      <c r="G964" s="130" t="inlineStr">
        <is>
          <t>Лукойл</t>
        </is>
      </c>
      <c r="H964" s="131" t="n"/>
      <c r="I964" s="637" t="inlineStr">
        <is>
          <t>75_Хрулева</t>
        </is>
      </c>
      <c r="J964" s="402" t="n"/>
      <c r="K964" s="640" t="n">
        <v>1</v>
      </c>
      <c r="L964" s="640" t="n">
        <v>0</v>
      </c>
      <c r="M964" s="640" t="inlineStr">
        <is>
          <t>Sam 32</t>
        </is>
      </c>
      <c r="N964" s="640" t="n"/>
      <c r="O964" s="640">
        <f>IF(AND(N964=1,L964=1),K964,"")</f>
        <v/>
      </c>
      <c r="P964" s="642" t="inlineStr">
        <is>
          <t>Санкт-Петербург, Генерала Хрулева, д.2</t>
        </is>
      </c>
      <c r="Q964" s="640" t="n"/>
      <c r="R964" s="422" t="n"/>
      <c r="S964" s="436" t="n"/>
      <c r="V964" s="438">
        <f>IF(AND(N964=1,U964=1),C964,"")</f>
        <v/>
      </c>
      <c r="X964" s="1" t="n"/>
      <c r="Y964" s="1" t="n"/>
      <c r="Z964" s="1" t="n"/>
    </row>
    <row r="965" hidden="1" ht="16.05" customHeight="1">
      <c r="A965" s="13" t="n">
        <v>1386</v>
      </c>
      <c r="B965" s="13">
        <f>IF(OR(M965="Sam 32",M965="Sam 40"),"s",IF(M965="AMS","a","v"))</f>
        <v/>
      </c>
      <c r="C965" s="130" t="inlineStr">
        <is>
          <t>Санкт-Петербург</t>
        </is>
      </c>
      <c r="D965" s="130" t="inlineStr">
        <is>
          <t>Санкт-Петербург</t>
        </is>
      </c>
      <c r="E965" s="130" t="n"/>
      <c r="F965" s="130" t="n"/>
      <c r="G965" s="130" t="inlineStr">
        <is>
          <t>Лукойл</t>
        </is>
      </c>
      <c r="H965" s="131" t="n"/>
      <c r="I965" s="637" t="inlineStr">
        <is>
          <t>77_Северная-2</t>
        </is>
      </c>
      <c r="J965" s="402" t="n"/>
      <c r="K965" s="640" t="n">
        <v>1</v>
      </c>
      <c r="L965" s="640" t="n">
        <v>0</v>
      </c>
      <c r="M965" s="640" t="inlineStr">
        <is>
          <t>Sam 32</t>
        </is>
      </c>
      <c r="N965" s="640" t="n"/>
      <c r="O965" s="640">
        <f>IF(AND(N965=1,L965=1),K965,"")</f>
        <v/>
      </c>
      <c r="P965" s="642" t="inlineStr">
        <is>
          <t>Санкт-Петербург, Северный пр., д.20, кор.2</t>
        </is>
      </c>
      <c r="Q965" s="640" t="n"/>
      <c r="R965" s="422" t="n"/>
      <c r="S965" s="436" t="n"/>
      <c r="V965" s="438">
        <f>IF(AND(N965=1,U965=1),C965,"")</f>
        <v/>
      </c>
      <c r="X965" s="1" t="n"/>
      <c r="Y965" s="1" t="n"/>
      <c r="Z965" s="1" t="n"/>
    </row>
    <row r="966" hidden="1" ht="16.05" customHeight="1">
      <c r="A966" s="13" t="n">
        <v>1387</v>
      </c>
      <c r="B966" s="13">
        <f>IF(OR(M966="Sam 32",M966="Sam 40"),"s",IF(M966="AMS","a","v"))</f>
        <v/>
      </c>
      <c r="C966" s="130" t="inlineStr">
        <is>
          <t>Санкт-Петербург</t>
        </is>
      </c>
      <c r="D966" s="130" t="inlineStr">
        <is>
          <t>Санкт-Петербург</t>
        </is>
      </c>
      <c r="E966" s="130" t="n"/>
      <c r="F966" s="130" t="n"/>
      <c r="G966" s="130" t="inlineStr">
        <is>
          <t>Лукойл</t>
        </is>
      </c>
      <c r="H966" s="131" t="n"/>
      <c r="I966" s="637" t="inlineStr">
        <is>
          <t>78_Шушары</t>
        </is>
      </c>
      <c r="J966" s="402" t="n"/>
      <c r="K966" s="640" t="n">
        <v>1</v>
      </c>
      <c r="L966" s="640" t="n">
        <v>0</v>
      </c>
      <c r="M966" s="640" t="inlineStr">
        <is>
          <t>Sam 32</t>
        </is>
      </c>
      <c r="N966" s="640" t="n"/>
      <c r="O966" s="640">
        <f>IF(AND(N966=1,L966=1),K966,"")</f>
        <v/>
      </c>
      <c r="P966" s="642" t="inlineStr">
        <is>
          <t>Санкт-Петербург, Московское шоссе, д.9</t>
        </is>
      </c>
      <c r="Q966" s="640" t="n"/>
      <c r="R966" s="422" t="n"/>
      <c r="S966" s="436" t="n"/>
      <c r="V966" s="438">
        <f>IF(AND(N966=1,U966=1),C966,"")</f>
        <v/>
      </c>
      <c r="X966" s="1" t="n"/>
      <c r="Y966" s="1" t="n"/>
      <c r="Z966" s="1" t="n"/>
    </row>
    <row r="967" hidden="1" ht="16.05" customHeight="1">
      <c r="A967" s="13" t="n">
        <v>1388</v>
      </c>
      <c r="B967" s="13">
        <f>IF(OR(M967="Sam 32",M967="Sam 40"),"s",IF(M967="AMS","a","v"))</f>
        <v/>
      </c>
      <c r="C967" s="130" t="inlineStr">
        <is>
          <t>Санкт-Петербург</t>
        </is>
      </c>
      <c r="D967" s="130" t="inlineStr">
        <is>
          <t>Санкт-Петербург</t>
        </is>
      </c>
      <c r="E967" s="130" t="n"/>
      <c r="F967" s="130" t="n"/>
      <c r="G967" s="130" t="inlineStr">
        <is>
          <t>Лукойл</t>
        </is>
      </c>
      <c r="H967" s="131" t="n"/>
      <c r="I967" s="637" t="inlineStr">
        <is>
          <t>79_Ворошилова</t>
        </is>
      </c>
      <c r="J967" s="402" t="n"/>
      <c r="K967" s="640" t="n">
        <v>1</v>
      </c>
      <c r="L967" s="640" t="n">
        <v>0</v>
      </c>
      <c r="M967" s="640" t="inlineStr">
        <is>
          <t>Sam 32</t>
        </is>
      </c>
      <c r="N967" s="640" t="n"/>
      <c r="O967" s="640">
        <f>IF(AND(N967=1,L967=1),K967,"")</f>
        <v/>
      </c>
      <c r="P967" s="642" t="inlineStr">
        <is>
          <t>Санкт-Петербург, Ворошилова, д.10</t>
        </is>
      </c>
      <c r="Q967" s="640" t="n"/>
      <c r="R967" s="422" t="n"/>
      <c r="S967" s="436" t="n"/>
      <c r="V967" s="438">
        <f>IF(AND(N967=1,U967=1),C967,"")</f>
        <v/>
      </c>
      <c r="X967" s="1" t="n"/>
      <c r="Y967" s="1" t="n"/>
      <c r="Z967" s="1" t="n"/>
    </row>
    <row r="968" hidden="1" ht="16.05" customHeight="1">
      <c r="A968" s="13" t="n">
        <v>1389</v>
      </c>
      <c r="B968" s="13">
        <f>IF(OR(M968="Sam 32",M968="Sam 40"),"s",IF(M968="AMS","a","v"))</f>
        <v/>
      </c>
      <c r="C968" s="130" t="inlineStr">
        <is>
          <t>Санкт-Петербург</t>
        </is>
      </c>
      <c r="D968" s="130" t="inlineStr">
        <is>
          <t>Санкт-Петербург</t>
        </is>
      </c>
      <c r="E968" s="130" t="n"/>
      <c r="F968" s="130" t="n"/>
      <c r="G968" s="130" t="inlineStr">
        <is>
          <t>Лукойл</t>
        </is>
      </c>
      <c r="H968" s="131" t="n"/>
      <c r="I968" s="637" t="inlineStr">
        <is>
          <t>80_Крыленко</t>
        </is>
      </c>
      <c r="J968" s="402" t="n"/>
      <c r="K968" s="640" t="n">
        <v>1</v>
      </c>
      <c r="L968" s="640" t="n">
        <v>0</v>
      </c>
      <c r="M968" s="640" t="inlineStr">
        <is>
          <t>Sam 32</t>
        </is>
      </c>
      <c r="N968" s="640" t="n"/>
      <c r="O968" s="640">
        <f>IF(AND(N968=1,L968=1),K968,"")</f>
        <v/>
      </c>
      <c r="P968" s="642" t="inlineStr">
        <is>
          <t>Санкт-Петербург, Дальневосточный пр., д.40</t>
        </is>
      </c>
      <c r="Q968" s="640" t="n"/>
      <c r="R968" s="422" t="n"/>
      <c r="S968" s="436" t="n"/>
      <c r="V968" s="438">
        <f>IF(AND(N968=1,U968=1),C968,"")</f>
        <v/>
      </c>
      <c r="X968" s="1" t="n"/>
      <c r="Y968" s="1" t="n"/>
      <c r="Z968" s="1" t="n"/>
    </row>
    <row r="969" hidden="1" ht="16.05" customHeight="1">
      <c r="A969" s="13" t="n">
        <v>1390</v>
      </c>
      <c r="B969" s="13">
        <f>IF(OR(M969="Sam 32",M969="Sam 40"),"s",IF(M969="AMS","a","v"))</f>
        <v/>
      </c>
      <c r="C969" s="130" t="inlineStr">
        <is>
          <t>Санкт-Петербург</t>
        </is>
      </c>
      <c r="D969" s="130" t="inlineStr">
        <is>
          <t>Санкт-Петербург</t>
        </is>
      </c>
      <c r="E969" s="130" t="n"/>
      <c r="F969" s="130" t="n"/>
      <c r="G969" s="130" t="inlineStr">
        <is>
          <t>Лукойл</t>
        </is>
      </c>
      <c r="H969" s="131" t="n"/>
      <c r="I969" s="637" t="inlineStr">
        <is>
          <t>81_Сосновая поляна</t>
        </is>
      </c>
      <c r="J969" s="402" t="n"/>
      <c r="K969" s="640" t="n">
        <v>1</v>
      </c>
      <c r="L969" s="640" t="n">
        <v>0</v>
      </c>
      <c r="M969" s="640" t="inlineStr">
        <is>
          <t>Sam 32</t>
        </is>
      </c>
      <c r="N969" s="640" t="n"/>
      <c r="O969" s="640">
        <f>IF(AND(N969=1,L969=1),K969,"")</f>
        <v/>
      </c>
      <c r="P969" s="642" t="inlineStr">
        <is>
          <t>Санкт-Петербург, Народного Ополчения пр., д.80</t>
        </is>
      </c>
      <c r="Q969" s="640" t="n"/>
      <c r="R969" s="422" t="n"/>
      <c r="S969" s="436" t="n"/>
      <c r="V969" s="438">
        <f>IF(AND(N969=1,U969=1),C969,"")</f>
        <v/>
      </c>
      <c r="X969" s="1" t="n"/>
      <c r="Y969" s="1" t="n"/>
      <c r="Z969" s="1" t="n"/>
    </row>
    <row r="970" hidden="1" ht="16.05" customHeight="1">
      <c r="A970" s="13" t="n">
        <v>1391</v>
      </c>
      <c r="B970" s="13">
        <f>IF(OR(M970="Sam 32",M970="Sam 40"),"s",IF(M970="AMS","a","v"))</f>
        <v/>
      </c>
      <c r="C970" s="130" t="inlineStr">
        <is>
          <t>Санкт-Петербург</t>
        </is>
      </c>
      <c r="D970" s="130" t="inlineStr">
        <is>
          <t>Санкт-Петербург</t>
        </is>
      </c>
      <c r="E970" s="130" t="n"/>
      <c r="F970" s="130" t="n"/>
      <c r="G970" s="130" t="inlineStr">
        <is>
          <t>Лукойл</t>
        </is>
      </c>
      <c r="H970" s="131" t="n"/>
      <c r="I970" s="637" t="inlineStr">
        <is>
          <t>82_Зеленогорская</t>
        </is>
      </c>
      <c r="J970" s="402" t="n"/>
      <c r="K970" s="640" t="n">
        <v>1</v>
      </c>
      <c r="L970" s="640" t="n">
        <v>0</v>
      </c>
      <c r="M970" s="640" t="inlineStr">
        <is>
          <t>Sam 32</t>
        </is>
      </c>
      <c r="N970" s="640" t="n"/>
      <c r="O970" s="640">
        <f>IF(AND(N970=1,L970=1),K970,"")</f>
        <v/>
      </c>
      <c r="P970" s="642" t="inlineStr">
        <is>
          <t>Санкт-Петербург, г.Зеленогорск, Ленина, д.46</t>
        </is>
      </c>
      <c r="Q970" s="640" t="n"/>
      <c r="R970" s="422" t="n"/>
      <c r="S970" s="436" t="n"/>
      <c r="V970" s="438">
        <f>IF(AND(N970=1,U970=1),C970,"")</f>
        <v/>
      </c>
      <c r="X970" s="1" t="n"/>
      <c r="Y970" s="1" t="n"/>
      <c r="Z970" s="1" t="n"/>
    </row>
    <row r="971" hidden="1" ht="16.05" customHeight="1">
      <c r="A971" s="13" t="n">
        <v>1392</v>
      </c>
      <c r="B971" s="13">
        <f>IF(OR(M971="Sam 32",M971="Sam 40"),"s",IF(M971="AMS","a","v"))</f>
        <v/>
      </c>
      <c r="C971" s="130" t="inlineStr">
        <is>
          <t>Санкт-Петербург</t>
        </is>
      </c>
      <c r="D971" s="130" t="inlineStr">
        <is>
          <t>Сестрорецк</t>
        </is>
      </c>
      <c r="E971" s="130" t="n"/>
      <c r="F971" s="130" t="n"/>
      <c r="G971" s="130" t="inlineStr">
        <is>
          <t>Лукойл</t>
        </is>
      </c>
      <c r="H971" s="131" t="n"/>
      <c r="I971" s="637" t="inlineStr">
        <is>
          <t>83_Приморская</t>
        </is>
      </c>
      <c r="J971" s="402" t="n"/>
      <c r="K971" s="640" t="n">
        <v>1</v>
      </c>
      <c r="L971" s="640" t="n">
        <v>0</v>
      </c>
      <c r="M971" s="640" t="inlineStr">
        <is>
          <t>Sam 32</t>
        </is>
      </c>
      <c r="N971" s="640" t="n"/>
      <c r="O971" s="640">
        <f>IF(AND(N971=1,L971=1),K971,"")</f>
        <v/>
      </c>
      <c r="P971" s="642" t="inlineStr">
        <is>
          <t>Санкт-Петербург, г.Сестрорецк, Приморское шоссе, д.268, лит.А</t>
        </is>
      </c>
      <c r="Q971" s="640" t="n"/>
      <c r="R971" s="422" t="n"/>
      <c r="S971" s="436" t="n"/>
      <c r="V971" s="438">
        <f>IF(AND(N971=1,U971=1),C971,"")</f>
        <v/>
      </c>
      <c r="X971" s="1" t="n"/>
      <c r="Y971" s="1" t="n"/>
      <c r="Z971" s="1" t="n"/>
    </row>
    <row r="972" hidden="1" ht="16.05" customHeight="1">
      <c r="A972" s="13" t="n">
        <v>1393</v>
      </c>
      <c r="B972" s="13">
        <f>IF(OR(M972="Sam 32",M972="Sam 40"),"s",IF(M972="AMS","a","v"))</f>
        <v/>
      </c>
      <c r="C972" s="130" t="inlineStr">
        <is>
          <t>Санкт-Петербург</t>
        </is>
      </c>
      <c r="D972" s="130" t="inlineStr">
        <is>
          <t>Санкт-Петербург</t>
        </is>
      </c>
      <c r="E972" s="130" t="n"/>
      <c r="F972" s="130" t="n"/>
      <c r="G972" s="130" t="inlineStr">
        <is>
          <t>Лукойл</t>
        </is>
      </c>
      <c r="H972" s="131" t="n"/>
      <c r="I972" s="637" t="inlineStr">
        <is>
          <t>84_Стачек</t>
        </is>
      </c>
      <c r="J972" s="402" t="n"/>
      <c r="K972" s="640" t="n">
        <v>1</v>
      </c>
      <c r="L972" s="640" t="n">
        <v>0</v>
      </c>
      <c r="M972" s="640" t="inlineStr">
        <is>
          <t>Sam 32</t>
        </is>
      </c>
      <c r="N972" s="640" t="n"/>
      <c r="O972" s="640">
        <f>IF(AND(N972=1,L972=1),K972,"")</f>
        <v/>
      </c>
      <c r="P972" s="642" t="inlineStr">
        <is>
          <t>Санкт-Петербург, Стачек, д.81</t>
        </is>
      </c>
      <c r="Q972" s="640" t="n"/>
      <c r="R972" s="422" t="n"/>
      <c r="S972" s="436" t="n"/>
      <c r="V972" s="438">
        <f>IF(AND(N972=1,U972=1),C972,"")</f>
        <v/>
      </c>
      <c r="X972" s="1" t="n"/>
      <c r="Y972" s="1" t="n"/>
      <c r="Z972" s="1" t="n"/>
    </row>
    <row r="973" hidden="1" ht="16.05" customHeight="1">
      <c r="A973" s="13" t="n">
        <v>1394</v>
      </c>
      <c r="B973" s="13">
        <f>IF(OR(M973="Sam 32",M973="Sam 40"),"s",IF(M973="AMS","a","v"))</f>
        <v/>
      </c>
      <c r="C973" s="130" t="inlineStr">
        <is>
          <t>Санкт-Петербург</t>
        </is>
      </c>
      <c r="D973" s="130" t="inlineStr">
        <is>
          <t>Санкт-Петербург</t>
        </is>
      </c>
      <c r="E973" s="130" t="n"/>
      <c r="F973" s="130" t="n"/>
      <c r="G973" s="130" t="inlineStr">
        <is>
          <t>Лукойл</t>
        </is>
      </c>
      <c r="H973" s="131" t="n"/>
      <c r="I973" s="637" t="inlineStr">
        <is>
          <t>91_Наставников</t>
        </is>
      </c>
      <c r="J973" s="402" t="n"/>
      <c r="K973" s="640" t="n">
        <v>1</v>
      </c>
      <c r="L973" s="640" t="n">
        <v>0</v>
      </c>
      <c r="M973" s="640" t="inlineStr">
        <is>
          <t>Sam 32</t>
        </is>
      </c>
      <c r="N973" s="640" t="n"/>
      <c r="O973" s="640">
        <f>IF(AND(N973=1,L973=1),K973,"")</f>
        <v/>
      </c>
      <c r="P973" s="642" t="inlineStr">
        <is>
          <t>Санкт-Петербург, пр.Наставников, д.1, лит.А</t>
        </is>
      </c>
      <c r="Q973" s="640" t="n"/>
      <c r="R973" s="422" t="n"/>
      <c r="S973" s="436" t="n"/>
      <c r="V973" s="438">
        <f>IF(AND(N973=1,U973=1),C973,"")</f>
        <v/>
      </c>
      <c r="X973" s="1" t="n"/>
      <c r="Y973" s="1" t="n"/>
      <c r="Z973" s="1" t="n"/>
    </row>
    <row r="974" hidden="1" ht="16.05" customHeight="1">
      <c r="A974" s="13" t="n">
        <v>1395</v>
      </c>
      <c r="B974" s="13">
        <f>IF(OR(M974="Sam 32",M974="Sam 40"),"s",IF(M974="AMS","a","v"))</f>
        <v/>
      </c>
      <c r="C974" s="130" t="inlineStr">
        <is>
          <t>Санкт-Петербург</t>
        </is>
      </c>
      <c r="D974" s="130" t="inlineStr">
        <is>
          <t>Санкт-Петербург</t>
        </is>
      </c>
      <c r="E974" s="130" t="n"/>
      <c r="F974" s="130" t="n"/>
      <c r="G974" s="130" t="inlineStr">
        <is>
          <t>Лукойл</t>
        </is>
      </c>
      <c r="H974" s="131" t="n"/>
      <c r="I974" s="637" t="inlineStr">
        <is>
          <t>92_Херсонская</t>
        </is>
      </c>
      <c r="J974" s="402" t="n"/>
      <c r="K974" s="640" t="n">
        <v>1</v>
      </c>
      <c r="L974" s="640" t="n">
        <v>0</v>
      </c>
      <c r="M974" s="640" t="inlineStr">
        <is>
          <t>Sam 32</t>
        </is>
      </c>
      <c r="N974" s="640" t="n"/>
      <c r="O974" s="640">
        <f>IF(AND(N974=1,L974=1),K974,"")</f>
        <v/>
      </c>
      <c r="P974" s="642" t="inlineStr">
        <is>
          <t>Санкт-Петербург, Херсонский проезд, д.4, лит.А</t>
        </is>
      </c>
      <c r="Q974" s="640" t="n"/>
      <c r="R974" s="422" t="n"/>
      <c r="S974" s="436" t="n"/>
      <c r="V974" s="438">
        <f>IF(AND(N974=1,U974=1),C974,"")</f>
        <v/>
      </c>
      <c r="X974" s="1" t="n"/>
      <c r="Y974" s="1" t="n"/>
      <c r="Z974" s="1" t="n"/>
    </row>
    <row r="975" hidden="1" ht="16.05" customHeight="1">
      <c r="A975" s="13" t="n">
        <v>1396</v>
      </c>
      <c r="B975" s="13">
        <f>IF(OR(M975="Sam 32",M975="Sam 40"),"s",IF(M975="AMS","a","v"))</f>
        <v/>
      </c>
      <c r="C975" s="130" t="inlineStr">
        <is>
          <t>Санкт-Петербург</t>
        </is>
      </c>
      <c r="D975" s="130" t="inlineStr">
        <is>
          <t>Санкт-Петербург</t>
        </is>
      </c>
      <c r="E975" s="130" t="n"/>
      <c r="F975" s="130" t="n"/>
      <c r="G975" s="130" t="inlineStr">
        <is>
          <t>Лукойл</t>
        </is>
      </c>
      <c r="H975" s="131" t="n"/>
      <c r="I975" s="637" t="inlineStr">
        <is>
          <t>93_Индустриальная</t>
        </is>
      </c>
      <c r="J975" s="402" t="n"/>
      <c r="K975" s="640" t="n">
        <v>1</v>
      </c>
      <c r="L975" s="640" t="n">
        <v>0</v>
      </c>
      <c r="M975" s="640" t="inlineStr">
        <is>
          <t>Sam 32</t>
        </is>
      </c>
      <c r="N975" s="640" t="n"/>
      <c r="O975" s="640">
        <f>IF(AND(N975=1,L975=1),K975,"")</f>
        <v/>
      </c>
      <c r="P975" s="642" t="inlineStr">
        <is>
          <t>Санкт-Петербург, Индустриальный пр., д.46, лит.А</t>
        </is>
      </c>
      <c r="Q975" s="640" t="n"/>
      <c r="R975" s="422" t="n"/>
      <c r="S975" s="436" t="n"/>
      <c r="V975" s="438">
        <f>IF(AND(N975=1,U975=1),C975,"")</f>
        <v/>
      </c>
      <c r="X975" s="1" t="n"/>
      <c r="Y975" s="1" t="n"/>
      <c r="Z975" s="1" t="n"/>
    </row>
    <row r="976" hidden="1" ht="16.05" customHeight="1">
      <c r="A976" s="13" t="n">
        <v>1397</v>
      </c>
      <c r="B976" s="13">
        <f>IF(OR(M976="Sam 32",M976="Sam 40"),"s",IF(M976="AMS","a","v"))</f>
        <v/>
      </c>
      <c r="C976" s="130" t="inlineStr">
        <is>
          <t>Санкт-Петербург</t>
        </is>
      </c>
      <c r="D976" s="130" t="inlineStr">
        <is>
          <t>Санкт-Петербург</t>
        </is>
      </c>
      <c r="E976" s="130" t="n"/>
      <c r="F976" s="130" t="n"/>
      <c r="G976" s="130" t="inlineStr">
        <is>
          <t>Лукойл</t>
        </is>
      </c>
      <c r="H976" s="131" t="n"/>
      <c r="I976" s="637" t="inlineStr">
        <is>
          <t>94_Лиговская</t>
        </is>
      </c>
      <c r="J976" s="402" t="n"/>
      <c r="K976" s="640" t="n">
        <v>1</v>
      </c>
      <c r="L976" s="640" t="n">
        <v>0</v>
      </c>
      <c r="M976" s="640" t="inlineStr">
        <is>
          <t>Sam 32</t>
        </is>
      </c>
      <c r="N976" s="640" t="n"/>
      <c r="O976" s="640">
        <f>IF(AND(N976=1,L976=1),K976,"")</f>
        <v/>
      </c>
      <c r="P976" s="642" t="inlineStr">
        <is>
          <t>Санкт-Петербург, Лиговский пр., д.246, лит.Т</t>
        </is>
      </c>
      <c r="Q976" s="640" t="n"/>
      <c r="R976" s="422" t="n"/>
      <c r="S976" s="436" t="n"/>
      <c r="V976" s="438">
        <f>IF(AND(N976=1,U976=1),C976,"")</f>
        <v/>
      </c>
      <c r="X976" s="1" t="n"/>
      <c r="Y976" s="1" t="n"/>
      <c r="Z976" s="1" t="n"/>
    </row>
    <row r="977" hidden="1" ht="16.05" customHeight="1">
      <c r="A977" s="13" t="n">
        <v>1398</v>
      </c>
      <c r="B977" s="13">
        <f>IF(OR(M977="Sam 32",M977="Sam 40"),"s",IF(M977="AMS","a","v"))</f>
        <v/>
      </c>
      <c r="C977" s="130" t="inlineStr">
        <is>
          <t>Санкт-Петербург</t>
        </is>
      </c>
      <c r="D977" s="130" t="inlineStr">
        <is>
          <t>Санкт-Петербург</t>
        </is>
      </c>
      <c r="E977" s="130" t="n"/>
      <c r="F977" s="130" t="n"/>
      <c r="G977" s="130" t="inlineStr">
        <is>
          <t>Лукойл</t>
        </is>
      </c>
      <c r="H977" s="131" t="n"/>
      <c r="I977" s="637" t="inlineStr">
        <is>
          <t>95_Литовская</t>
        </is>
      </c>
      <c r="J977" s="402" t="n"/>
      <c r="K977" s="640" t="n">
        <v>1</v>
      </c>
      <c r="L977" s="640" t="n">
        <v>0</v>
      </c>
      <c r="M977" s="640" t="inlineStr">
        <is>
          <t>Sam 32</t>
        </is>
      </c>
      <c r="N977" s="640" t="n"/>
      <c r="O977" s="640">
        <f>IF(AND(N977=1,L977=1),K977,"")</f>
        <v/>
      </c>
      <c r="P977" s="642" t="inlineStr">
        <is>
          <t>Санкт-Петербург, Литовская, д.5, кор.2, лит.А</t>
        </is>
      </c>
      <c r="Q977" s="640" t="n"/>
      <c r="R977" s="422" t="n"/>
      <c r="S977" s="436" t="n"/>
      <c r="V977" s="438">
        <f>IF(AND(N977=1,U977=1),C977,"")</f>
        <v/>
      </c>
      <c r="X977" s="1" t="n"/>
      <c r="Y977" s="1" t="n"/>
      <c r="Z977" s="1" t="n"/>
    </row>
    <row r="978" hidden="1" ht="16.05" customHeight="1">
      <c r="A978" s="13" t="n">
        <v>1399</v>
      </c>
      <c r="B978" s="13">
        <f>IF(OR(M978="Sam 32",M978="Sam 40"),"s",IF(M978="AMS","a","v"))</f>
        <v/>
      </c>
      <c r="C978" s="130" t="inlineStr">
        <is>
          <t>Санкт-Петербург</t>
        </is>
      </c>
      <c r="D978" s="130" t="inlineStr">
        <is>
          <t>Санкт-Петербург</t>
        </is>
      </c>
      <c r="E978" s="130" t="n"/>
      <c r="F978" s="130" t="n"/>
      <c r="G978" s="130" t="inlineStr">
        <is>
          <t>Лукойл</t>
        </is>
      </c>
      <c r="H978" s="131" t="n"/>
      <c r="I978" s="637" t="inlineStr">
        <is>
          <t>96_Свердловская</t>
        </is>
      </c>
      <c r="J978" s="402" t="n"/>
      <c r="K978" s="640" t="n">
        <v>1</v>
      </c>
      <c r="L978" s="640" t="n">
        <v>0</v>
      </c>
      <c r="M978" s="640" t="inlineStr">
        <is>
          <t>Sam 32</t>
        </is>
      </c>
      <c r="N978" s="640" t="n"/>
      <c r="O978" s="640">
        <f>IF(AND(N978=1,L978=1),K978,"")</f>
        <v/>
      </c>
      <c r="P978" s="642" t="inlineStr">
        <is>
          <t xml:space="preserve">Санкт-Петербург, Свердловская наб., д.58, кор.4, лит.А </t>
        </is>
      </c>
      <c r="Q978" s="640" t="n"/>
      <c r="R978" s="422" t="n"/>
      <c r="S978" s="436" t="n"/>
      <c r="V978" s="438">
        <f>IF(AND(N978=1,U978=1),C978,"")</f>
        <v/>
      </c>
      <c r="X978" s="1" t="n"/>
      <c r="Y978" s="1" t="n"/>
      <c r="Z978" s="1" t="n"/>
    </row>
    <row r="979" hidden="1" ht="16.05" customHeight="1">
      <c r="A979" s="13" t="n">
        <v>1400</v>
      </c>
      <c r="B979" s="13">
        <f>IF(OR(M979="Sam 32",M979="Sam 40"),"s",IF(M979="AMS","a","v"))</f>
        <v/>
      </c>
      <c r="C979" s="130" t="inlineStr">
        <is>
          <t>Санкт-Петербург</t>
        </is>
      </c>
      <c r="D979" s="130" t="inlineStr">
        <is>
          <t>Санкт-Петербург</t>
        </is>
      </c>
      <c r="E979" s="130" t="n"/>
      <c r="F979" s="130" t="n"/>
      <c r="G979" s="130" t="inlineStr">
        <is>
          <t>Лукойл</t>
        </is>
      </c>
      <c r="H979" s="131" t="n"/>
      <c r="I979" s="637" t="inlineStr">
        <is>
          <t>97_Жукова</t>
        </is>
      </c>
      <c r="J979" s="402" t="n"/>
      <c r="K979" s="640" t="n">
        <v>1</v>
      </c>
      <c r="L979" s="640" t="n">
        <v>0</v>
      </c>
      <c r="M979" s="640" t="inlineStr">
        <is>
          <t>Sam 32</t>
        </is>
      </c>
      <c r="N979" s="640" t="n"/>
      <c r="O979" s="640">
        <f>IF(AND(N979=1,L979=1),K979,"")</f>
        <v/>
      </c>
      <c r="P979" s="642" t="inlineStr">
        <is>
          <t>Санкт-Петербург, пр.Маршала Жукова, д.49, лит.А</t>
        </is>
      </c>
      <c r="Q979" s="640" t="n"/>
      <c r="R979" s="422" t="n"/>
      <c r="S979" s="436" t="n"/>
      <c r="V979" s="438">
        <f>IF(AND(N979=1,U979=1),C979,"")</f>
        <v/>
      </c>
      <c r="X979" s="1" t="n"/>
      <c r="Y979" s="1" t="n"/>
      <c r="Z979" s="1" t="n"/>
    </row>
    <row r="980" hidden="1" ht="16.05" customHeight="1">
      <c r="A980" s="13" t="n">
        <v>1401</v>
      </c>
      <c r="B980" s="13">
        <f>IF(OR(M980="Sam 32",M980="Sam 40"),"s",IF(M980="AMS","a","v"))</f>
        <v/>
      </c>
      <c r="C980" s="130" t="inlineStr">
        <is>
          <t>Санкт-Петербург</t>
        </is>
      </c>
      <c r="D980" s="130" t="inlineStr">
        <is>
          <t>Санкт-Петербург</t>
        </is>
      </c>
      <c r="E980" s="130" t="n"/>
      <c r="F980" s="130" t="n"/>
      <c r="G980" s="130" t="inlineStr">
        <is>
          <t>Лукойл</t>
        </is>
      </c>
      <c r="H980" s="131" t="n"/>
      <c r="I980" s="637" t="inlineStr">
        <is>
          <t>98_Кожевенная</t>
        </is>
      </c>
      <c r="J980" s="402" t="n"/>
      <c r="K980" s="640" t="n">
        <v>1</v>
      </c>
      <c r="L980" s="640" t="n">
        <v>0</v>
      </c>
      <c r="M980" s="640" t="inlineStr">
        <is>
          <t>Sam 32</t>
        </is>
      </c>
      <c r="N980" s="640" t="n"/>
      <c r="O980" s="640">
        <f>IF(AND(N980=1,L980=1),K980,"")</f>
        <v/>
      </c>
      <c r="P980" s="642" t="inlineStr">
        <is>
          <t>Санкт-Петербург, Кожевенная линия, д.43, лит.А</t>
        </is>
      </c>
      <c r="Q980" s="640" t="n"/>
      <c r="R980" s="422" t="n"/>
      <c r="S980" s="436" t="n"/>
      <c r="V980" s="438">
        <f>IF(AND(N980=1,U980=1),C980,"")</f>
        <v/>
      </c>
      <c r="X980" s="1" t="n"/>
      <c r="Y980" s="1" t="n"/>
      <c r="Z980" s="1" t="n"/>
    </row>
    <row r="981" hidden="1" ht="16.05" customHeight="1">
      <c r="A981" s="13" t="n">
        <v>1402</v>
      </c>
      <c r="B981" s="13">
        <f>IF(OR(M981="Sam 32",M981="Sam 40"),"s",IF(M981="AMS","a","v"))</f>
        <v/>
      </c>
      <c r="C981" s="130" t="inlineStr">
        <is>
          <t>Санкт-Петербург</t>
        </is>
      </c>
      <c r="D981" s="130" t="inlineStr">
        <is>
          <t>Санкт-Петербург</t>
        </is>
      </c>
      <c r="E981" s="130" t="n"/>
      <c r="F981" s="130" t="n"/>
      <c r="G981" s="130" t="inlineStr">
        <is>
          <t>Лукойл</t>
        </is>
      </c>
      <c r="H981" s="131" t="n"/>
      <c r="I981" s="637" t="inlineStr">
        <is>
          <t>100_Добролюбова</t>
        </is>
      </c>
      <c r="J981" s="402" t="n"/>
      <c r="K981" s="640" t="n">
        <v>1</v>
      </c>
      <c r="L981" s="640" t="n">
        <v>0</v>
      </c>
      <c r="M981" s="640" t="inlineStr">
        <is>
          <t>Sam 32</t>
        </is>
      </c>
      <c r="N981" s="640" t="n"/>
      <c r="O981" s="640">
        <f>IF(AND(N981=1,L981=1),K981,"")</f>
        <v/>
      </c>
      <c r="P981" s="642" t="inlineStr">
        <is>
          <t>Санкт-Петербург, П.С., пр.Добролюбова, д.20, кор.6, лит.А</t>
        </is>
      </c>
      <c r="Q981" s="640" t="n"/>
      <c r="R981" s="422" t="n"/>
      <c r="S981" s="436" t="n"/>
      <c r="V981" s="438">
        <f>IF(AND(N981=1,U981=1),C981,"")</f>
        <v/>
      </c>
      <c r="X981" s="1" t="n"/>
      <c r="Y981" s="1" t="n"/>
      <c r="Z981" s="1" t="n"/>
    </row>
    <row r="982" hidden="1" ht="16.05" customHeight="1">
      <c r="A982" s="13" t="n">
        <v>1403</v>
      </c>
      <c r="B982" s="13">
        <f>IF(OR(M982="Sam 32",M982="Sam 40"),"s",IF(M982="AMS","a","v"))</f>
        <v/>
      </c>
      <c r="C982" s="130" t="inlineStr">
        <is>
          <t>Санкт-Петербург</t>
        </is>
      </c>
      <c r="D982" s="130" t="inlineStr">
        <is>
          <t>Санкт-Петербург</t>
        </is>
      </c>
      <c r="E982" s="130" t="n"/>
      <c r="F982" s="130" t="n"/>
      <c r="G982" s="130" t="inlineStr">
        <is>
          <t>Лукойл</t>
        </is>
      </c>
      <c r="H982" s="131" t="n"/>
      <c r="I982" s="637" t="inlineStr">
        <is>
          <t>113_Южное шоссе</t>
        </is>
      </c>
      <c r="J982" s="402" t="n"/>
      <c r="K982" s="640" t="n">
        <v>1</v>
      </c>
      <c r="L982" s="640" t="n">
        <v>0</v>
      </c>
      <c r="M982" s="640" t="inlineStr">
        <is>
          <t>Sam 32</t>
        </is>
      </c>
      <c r="N982" s="640" t="n"/>
      <c r="O982" s="640">
        <f>IF(AND(N982=1,L982=1),K982,"")</f>
        <v/>
      </c>
      <c r="P982" s="642" t="inlineStr">
        <is>
          <t xml:space="preserve">Санкт-Петербург, Софийская , д.59, кор.1, лит.А </t>
        </is>
      </c>
      <c r="Q982" s="640" t="n"/>
      <c r="R982" s="422" t="n"/>
      <c r="S982" s="436" t="n"/>
      <c r="V982" s="438">
        <f>IF(AND(N982=1,U982=1),C982,"")</f>
        <v/>
      </c>
      <c r="X982" s="1" t="n"/>
      <c r="Y982" s="1" t="n"/>
      <c r="Z982" s="1" t="n"/>
    </row>
    <row r="983" hidden="1" ht="16.05" customHeight="1">
      <c r="A983" s="13" t="n">
        <v>1404</v>
      </c>
      <c r="B983" s="13">
        <f>IF(OR(M983="Sam 32",M983="Sam 40"),"s",IF(M983="AMS","a","v"))</f>
        <v/>
      </c>
      <c r="C983" s="130" t="inlineStr">
        <is>
          <t>Санкт-Петербург</t>
        </is>
      </c>
      <c r="D983" s="130" t="inlineStr">
        <is>
          <t>Санкт-Петербург</t>
        </is>
      </c>
      <c r="E983" s="130" t="n"/>
      <c r="F983" s="130" t="n"/>
      <c r="G983" s="130" t="inlineStr">
        <is>
          <t>Лукойл</t>
        </is>
      </c>
      <c r="H983" s="131" t="n"/>
      <c r="I983" s="637" t="inlineStr">
        <is>
          <t>114_Коммуны</t>
        </is>
      </c>
      <c r="J983" s="402" t="n"/>
      <c r="K983" s="640" t="n">
        <v>1</v>
      </c>
      <c r="L983" s="640" t="n">
        <v>0</v>
      </c>
      <c r="M983" s="640" t="inlineStr">
        <is>
          <t>Sam 32</t>
        </is>
      </c>
      <c r="N983" s="640" t="n"/>
      <c r="O983" s="640">
        <f>IF(AND(N983=1,L983=1),K983,"")</f>
        <v/>
      </c>
      <c r="P983" s="642" t="inlineStr">
        <is>
          <t>Санкт-Петербург, Коммуны, д.76, лит.А</t>
        </is>
      </c>
      <c r="Q983" s="640" t="n"/>
      <c r="R983" s="422" t="n"/>
      <c r="S983" s="436" t="n"/>
      <c r="V983" s="438">
        <f>IF(AND(N983=1,U983=1),C983,"")</f>
        <v/>
      </c>
      <c r="X983" s="1" t="n"/>
      <c r="Y983" s="1" t="n"/>
      <c r="Z983" s="1" t="n"/>
    </row>
    <row r="984" hidden="1" ht="16.05" customHeight="1">
      <c r="A984" s="13" t="n">
        <v>1405</v>
      </c>
      <c r="B984" s="13">
        <f>IF(OR(M984="Sam 32",M984="Sam 40"),"s",IF(M984="AMS","a","v"))</f>
        <v/>
      </c>
      <c r="C984" s="130" t="inlineStr">
        <is>
          <t>Санкт-Петербург</t>
        </is>
      </c>
      <c r="D984" s="130" t="inlineStr">
        <is>
          <t>Санкт-Петербург</t>
        </is>
      </c>
      <c r="E984" s="130" t="n"/>
      <c r="F984" s="130" t="n"/>
      <c r="G984" s="130" t="inlineStr">
        <is>
          <t>Лукойл</t>
        </is>
      </c>
      <c r="H984" s="131" t="n"/>
      <c r="I984" s="637" t="inlineStr">
        <is>
          <t>121_Октябрьская</t>
        </is>
      </c>
      <c r="J984" s="402" t="n"/>
      <c r="K984" s="640" t="n">
        <v>1</v>
      </c>
      <c r="L984" s="640" t="n">
        <v>0</v>
      </c>
      <c r="M984" s="640" t="inlineStr">
        <is>
          <t>Sam 32</t>
        </is>
      </c>
      <c r="N984" s="640" t="n"/>
      <c r="O984" s="640">
        <f>IF(AND(N984=1,L984=1),K984,"")</f>
        <v/>
      </c>
      <c r="P984" s="642" t="inlineStr">
        <is>
          <t>Санкт-Петербург, Октябрьская наб., д.46, кор.2, лит.А</t>
        </is>
      </c>
      <c r="Q984" s="640" t="n"/>
      <c r="R984" s="422" t="n"/>
      <c r="S984" s="436" t="n"/>
      <c r="V984" s="438">
        <f>IF(AND(N984=1,U984=1),C984,"")</f>
        <v/>
      </c>
      <c r="X984" s="1" t="n"/>
      <c r="Y984" s="1" t="n"/>
      <c r="Z984" s="1" t="n"/>
    </row>
    <row r="985" hidden="1" ht="16.05" customHeight="1">
      <c r="A985" s="13" t="n">
        <v>1406</v>
      </c>
      <c r="B985" s="13">
        <f>IF(OR(M985="Sam 32",M985="Sam 40"),"s",IF(M985="AMS","a","v"))</f>
        <v/>
      </c>
      <c r="C985" s="130" t="inlineStr">
        <is>
          <t>Санкт-Петербург</t>
        </is>
      </c>
      <c r="D985" s="130" t="inlineStr">
        <is>
          <t>Санкт-Петербург</t>
        </is>
      </c>
      <c r="E985" s="130" t="n"/>
      <c r="F985" s="130" t="n"/>
      <c r="G985" s="130" t="inlineStr">
        <is>
          <t>Лукойл</t>
        </is>
      </c>
      <c r="H985" s="131" t="n"/>
      <c r="I985" s="637" t="inlineStr">
        <is>
          <t>122_Балканская-2</t>
        </is>
      </c>
      <c r="J985" s="402" t="n"/>
      <c r="K985" s="640" t="n">
        <v>1</v>
      </c>
      <c r="L985" s="640" t="n">
        <v>0</v>
      </c>
      <c r="M985" s="640" t="inlineStr">
        <is>
          <t>Sam 32</t>
        </is>
      </c>
      <c r="N985" s="640" t="n"/>
      <c r="O985" s="640">
        <f>IF(AND(N985=1,L985=1),K985,"")</f>
        <v/>
      </c>
      <c r="P985" s="642" t="inlineStr">
        <is>
          <t>Санкт-Петербург, Малая Балканская, д.55, кор.1, лит.А</t>
        </is>
      </c>
      <c r="Q985" s="640" t="n"/>
      <c r="R985" s="422" t="n"/>
      <c r="S985" s="436" t="n"/>
      <c r="V985" s="438">
        <f>IF(AND(N985=1,U985=1),C985,"")</f>
        <v/>
      </c>
      <c r="X985" s="1" t="n"/>
      <c r="Y985" s="1" t="n"/>
      <c r="Z985" s="1" t="n"/>
    </row>
    <row r="986" hidden="1" ht="16.05" customHeight="1">
      <c r="A986" s="13" t="n">
        <v>1407</v>
      </c>
      <c r="B986" s="13">
        <f>IF(OR(M986="Sam 32",M986="Sam 40"),"s",IF(M986="AMS","a","v"))</f>
        <v/>
      </c>
      <c r="C986" s="130" t="inlineStr">
        <is>
          <t>Санкт-Петербург</t>
        </is>
      </c>
      <c r="D986" s="130" t="inlineStr">
        <is>
          <t>Санкт-Петербург</t>
        </is>
      </c>
      <c r="E986" s="130" t="n"/>
      <c r="F986" s="130" t="n"/>
      <c r="G986" s="130" t="inlineStr">
        <is>
          <t>Лукойл</t>
        </is>
      </c>
      <c r="H986" s="131" t="n"/>
      <c r="I986" s="637" t="inlineStr">
        <is>
          <t>123_Красное Село-1</t>
        </is>
      </c>
      <c r="J986" s="402" t="n"/>
      <c r="K986" s="640" t="n">
        <v>1</v>
      </c>
      <c r="L986" s="640" t="n">
        <v>0</v>
      </c>
      <c r="M986" s="640" t="inlineStr">
        <is>
          <t>Sam 32</t>
        </is>
      </c>
      <c r="N986" s="640" t="n"/>
      <c r="O986" s="640">
        <f>IF(AND(N986=1,L986=1),K986,"")</f>
        <v/>
      </c>
      <c r="P986" s="642" t="inlineStr">
        <is>
          <t>Санкт-Петербург, г.Красное СеЛенинградская область, Кингисеппское шоссе, д.55</t>
        </is>
      </c>
      <c r="Q986" s="640" t="n"/>
      <c r="R986" s="422" t="n"/>
      <c r="S986" s="436" t="n"/>
      <c r="V986" s="438">
        <f>IF(AND(N986=1,U986=1),C986,"")</f>
        <v/>
      </c>
      <c r="X986" s="1" t="n"/>
      <c r="Y986" s="1" t="n"/>
      <c r="Z986" s="1" t="n"/>
    </row>
    <row r="987" hidden="1" ht="16.05" customHeight="1">
      <c r="A987" s="13" t="n">
        <v>1408</v>
      </c>
      <c r="B987" s="13">
        <f>IF(OR(M987="Sam 32",M987="Sam 40"),"s",IF(M987="AMS","a","v"))</f>
        <v/>
      </c>
      <c r="C987" s="130" t="inlineStr">
        <is>
          <t>Санкт-Петербург</t>
        </is>
      </c>
      <c r="D987" s="130" t="inlineStr">
        <is>
          <t>Санкт-Петербург</t>
        </is>
      </c>
      <c r="E987" s="130" t="n"/>
      <c r="F987" s="130" t="n"/>
      <c r="G987" s="130" t="inlineStr">
        <is>
          <t>Лукойл</t>
        </is>
      </c>
      <c r="H987" s="131" t="n"/>
      <c r="I987" s="637" t="inlineStr">
        <is>
          <t>124_Кушелевка-2</t>
        </is>
      </c>
      <c r="J987" s="402" t="n"/>
      <c r="K987" s="640" t="n">
        <v>1</v>
      </c>
      <c r="L987" s="640" t="n">
        <v>0</v>
      </c>
      <c r="M987" s="640" t="inlineStr">
        <is>
          <t>Sam 32</t>
        </is>
      </c>
      <c r="N987" s="640" t="n"/>
      <c r="O987" s="640">
        <f>IF(AND(N987=1,L987=1),K987,"")</f>
        <v/>
      </c>
      <c r="P987" s="642" t="inlineStr">
        <is>
          <t>Санкт-Петербург, Кушелевская дорога, д.18, лит.А</t>
        </is>
      </c>
      <c r="Q987" s="640" t="n"/>
      <c r="R987" s="422" t="n"/>
      <c r="S987" s="436" t="n"/>
      <c r="V987" s="438">
        <f>IF(AND(N987=1,U987=1),C987,"")</f>
        <v/>
      </c>
      <c r="X987" s="1" t="n"/>
      <c r="Y987" s="1" t="n"/>
      <c r="Z987" s="1" t="n"/>
    </row>
    <row r="988" hidden="1" ht="16.05" customHeight="1">
      <c r="A988" s="13" t="n">
        <v>1409</v>
      </c>
      <c r="B988" s="13">
        <f>IF(OR(M988="Sam 32",M988="Sam 40"),"s",IF(M988="AMS","a","v"))</f>
        <v/>
      </c>
      <c r="C988" s="130" t="inlineStr">
        <is>
          <t>Санкт-Петербург</t>
        </is>
      </c>
      <c r="D988" s="130" t="inlineStr">
        <is>
          <t>Санкт-Петербург</t>
        </is>
      </c>
      <c r="E988" s="130" t="n"/>
      <c r="F988" s="130" t="n"/>
      <c r="G988" s="130" t="inlineStr">
        <is>
          <t>Лукойл</t>
        </is>
      </c>
      <c r="H988" s="131" t="n"/>
      <c r="I988" s="637" t="inlineStr">
        <is>
          <t>125_Осиновая роща</t>
        </is>
      </c>
      <c r="J988" s="402" t="n"/>
      <c r="K988" s="640" t="n">
        <v>1</v>
      </c>
      <c r="L988" s="640" t="n">
        <v>0</v>
      </c>
      <c r="M988" s="640" t="inlineStr">
        <is>
          <t>Sam 32</t>
        </is>
      </c>
      <c r="N988" s="640" t="n"/>
      <c r="O988" s="640">
        <f>IF(AND(N988=1,L988=1),K988,"")</f>
        <v/>
      </c>
      <c r="P988" s="642" t="inlineStr">
        <is>
          <t>Санкт-Петербург, п.Парголово, Осиновая роща, Выборгское шоссе, д.416, лит.А</t>
        </is>
      </c>
      <c r="Q988" s="640" t="n"/>
      <c r="R988" s="422" t="n"/>
      <c r="S988" s="436" t="n"/>
      <c r="V988" s="438">
        <f>IF(AND(N988=1,U988=1),C988,"")</f>
        <v/>
      </c>
      <c r="X988" s="1" t="n"/>
      <c r="Y988" s="1" t="n"/>
      <c r="Z988" s="1" t="n"/>
    </row>
    <row r="989" hidden="1" ht="16.05" customHeight="1">
      <c r="A989" s="13" t="n">
        <v>1410</v>
      </c>
      <c r="B989" s="13">
        <f>IF(OR(M989="Sam 32",M989="Sam 40"),"s",IF(M989="AMS","a","v"))</f>
        <v/>
      </c>
      <c r="C989" s="130" t="inlineStr">
        <is>
          <t>Санкт-Петербург</t>
        </is>
      </c>
      <c r="D989" s="130" t="inlineStr">
        <is>
          <t>Санкт-Петербург</t>
        </is>
      </c>
      <c r="E989" s="130" t="n"/>
      <c r="F989" s="130" t="n"/>
      <c r="G989" s="130" t="inlineStr">
        <is>
          <t>Лукойл</t>
        </is>
      </c>
      <c r="H989" s="131" t="n"/>
      <c r="I989" s="637" t="inlineStr">
        <is>
          <t>127_Шуваловская</t>
        </is>
      </c>
      <c r="J989" s="402" t="n"/>
      <c r="K989" s="640" t="n">
        <v>1</v>
      </c>
      <c r="L989" s="640" t="n">
        <v>0</v>
      </c>
      <c r="M989" s="640" t="inlineStr">
        <is>
          <t>Sam 32</t>
        </is>
      </c>
      <c r="N989" s="640" t="n"/>
      <c r="O989" s="640">
        <f>IF(AND(N989=1,L989=1),K989,"")</f>
        <v/>
      </c>
      <c r="P989" s="642" t="inlineStr">
        <is>
          <t>Санкт-Петербург, Комендантский пр., д.43, кор.2, лит.А</t>
        </is>
      </c>
      <c r="Q989" s="640" t="n"/>
      <c r="R989" s="422" t="n"/>
      <c r="S989" s="436" t="n"/>
      <c r="V989" s="438">
        <f>IF(AND(N989=1,U989=1),C989,"")</f>
        <v/>
      </c>
      <c r="X989" s="1" t="n"/>
      <c r="Y989" s="1" t="n"/>
      <c r="Z989" s="1" t="n"/>
    </row>
    <row r="990" hidden="1" ht="16.05" customHeight="1">
      <c r="A990" s="13" t="n">
        <v>1411</v>
      </c>
      <c r="B990" s="13">
        <f>IF(OR(M990="Sam 32",M990="Sam 40"),"s",IF(M990="AMS","a","v"))</f>
        <v/>
      </c>
      <c r="C990" s="130" t="inlineStr">
        <is>
          <t>Санкт-Петербург</t>
        </is>
      </c>
      <c r="D990" s="130" t="inlineStr">
        <is>
          <t>Санкт-Петербург</t>
        </is>
      </c>
      <c r="E990" s="130" t="n"/>
      <c r="F990" s="130" t="n"/>
      <c r="G990" s="130" t="inlineStr">
        <is>
          <t>Лукойл</t>
        </is>
      </c>
      <c r="H990" s="131" t="n"/>
      <c r="I990" s="637" t="inlineStr">
        <is>
          <t>130_Стрельна</t>
        </is>
      </c>
      <c r="J990" s="402" t="n"/>
      <c r="K990" s="640" t="n">
        <v>1</v>
      </c>
      <c r="L990" s="640" t="n">
        <v>0</v>
      </c>
      <c r="M990" s="640" t="inlineStr">
        <is>
          <t>Sam 32</t>
        </is>
      </c>
      <c r="N990" s="640" t="n"/>
      <c r="O990" s="640">
        <f>IF(AND(N990=1,L990=1),K990,"")</f>
        <v/>
      </c>
      <c r="P990" s="642" t="inlineStr">
        <is>
          <t>Санкт-Петербург, п.Стрельна, Волхонское шоссе, д.4, лит.А</t>
        </is>
      </c>
      <c r="Q990" s="640" t="n"/>
      <c r="R990" s="422" t="n"/>
      <c r="S990" s="436" t="n"/>
      <c r="V990" s="438">
        <f>IF(AND(N990=1,U990=1),C990,"")</f>
        <v/>
      </c>
      <c r="X990" s="1" t="n"/>
      <c r="Y990" s="1" t="n"/>
      <c r="Z990" s="1" t="n"/>
    </row>
    <row r="991" hidden="1" ht="16.05" customHeight="1">
      <c r="A991" s="13" t="n">
        <v>1412</v>
      </c>
      <c r="B991" s="13">
        <f>IF(OR(M991="Sam 32",M991="Sam 40"),"s",IF(M991="AMS","a","v"))</f>
        <v/>
      </c>
      <c r="C991" s="130" t="inlineStr">
        <is>
          <t>Санкт-Петербург</t>
        </is>
      </c>
      <c r="D991" s="130" t="inlineStr">
        <is>
          <t>Санкт-Петербург</t>
        </is>
      </c>
      <c r="E991" s="130" t="n"/>
      <c r="F991" s="130" t="n"/>
      <c r="G991" s="130" t="inlineStr">
        <is>
          <t>Лукойл</t>
        </is>
      </c>
      <c r="H991" s="131" t="n"/>
      <c r="I991" s="637" t="inlineStr">
        <is>
          <t>131_Московская Славянка</t>
        </is>
      </c>
      <c r="J991" s="402" t="n"/>
      <c r="K991" s="640" t="n">
        <v>1</v>
      </c>
      <c r="L991" s="640" t="n">
        <v>0</v>
      </c>
      <c r="M991" s="640" t="inlineStr">
        <is>
          <t>Sam 32</t>
        </is>
      </c>
      <c r="N991" s="640" t="n"/>
      <c r="O991" s="640">
        <f>IF(AND(N991=1,L991=1),K991,"")</f>
        <v/>
      </c>
      <c r="P991" s="642" t="inlineStr">
        <is>
          <t>Санкт-Петербург, п.Шушары, Колпинское ш., д.15, кор.2, лит.А</t>
        </is>
      </c>
      <c r="Q991" s="640" t="n"/>
      <c r="R991" s="422" t="n"/>
      <c r="S991" s="436" t="n"/>
      <c r="V991" s="438">
        <f>IF(AND(N991=1,U991=1),C991,"")</f>
        <v/>
      </c>
      <c r="X991" s="1" t="n"/>
      <c r="Y991" s="1" t="n"/>
      <c r="Z991" s="1" t="n"/>
    </row>
    <row r="992" hidden="1" ht="16.05" customHeight="1">
      <c r="A992" s="13" t="n">
        <v>1413</v>
      </c>
      <c r="B992" s="13">
        <f>IF(OR(M992="Sam 32",M992="Sam 40"),"s",IF(M992="AMS","a","v"))</f>
        <v/>
      </c>
      <c r="C992" s="130" t="inlineStr">
        <is>
          <t>Санкт-Петербург</t>
        </is>
      </c>
      <c r="D992" s="130" t="inlineStr">
        <is>
          <t>Санкт-Петербург</t>
        </is>
      </c>
      <c r="E992" s="130" t="n"/>
      <c r="F992" s="130" t="n"/>
      <c r="G992" s="130" t="inlineStr">
        <is>
          <t>Лукойл</t>
        </is>
      </c>
      <c r="H992" s="131" t="n"/>
      <c r="I992" s="637" t="inlineStr">
        <is>
          <t>132_Кронштадт</t>
        </is>
      </c>
      <c r="J992" s="402" t="n"/>
      <c r="K992" s="640" t="n">
        <v>1</v>
      </c>
      <c r="L992" s="640" t="n">
        <v>0</v>
      </c>
      <c r="M992" s="640" t="inlineStr">
        <is>
          <t>Sam 32</t>
        </is>
      </c>
      <c r="N992" s="640" t="n"/>
      <c r="O992" s="640">
        <f>IF(AND(N992=1,L992=1),K992,"")</f>
        <v/>
      </c>
      <c r="P992" s="642" t="inlineStr">
        <is>
          <t>Санкт-Петербург, г.Кронштадт, Гидростроителей, д.3</t>
        </is>
      </c>
      <c r="Q992" s="640" t="n"/>
      <c r="R992" s="422" t="n"/>
      <c r="S992" s="436" t="n"/>
      <c r="V992" s="438">
        <f>IF(AND(N992=1,U992=1),C992,"")</f>
        <v/>
      </c>
      <c r="X992" s="1" t="n"/>
      <c r="Y992" s="1" t="n"/>
      <c r="Z992" s="1" t="n"/>
    </row>
    <row r="993" hidden="1" ht="16.05" customHeight="1">
      <c r="A993" s="13" t="n">
        <v>1414</v>
      </c>
      <c r="B993" s="13">
        <f>IF(OR(M993="Sam 32",M993="Sam 40"),"s",IF(M993="AMS","a","v"))</f>
        <v/>
      </c>
      <c r="C993" s="130" t="inlineStr">
        <is>
          <t>Санкт-Петербург</t>
        </is>
      </c>
      <c r="D993" s="130" t="inlineStr">
        <is>
          <t>Санкт-Петербург</t>
        </is>
      </c>
      <c r="E993" s="130" t="n"/>
      <c r="F993" s="130" t="n"/>
      <c r="G993" s="130" t="inlineStr">
        <is>
          <t>Лукойл</t>
        </is>
      </c>
      <c r="H993" s="131" t="n"/>
      <c r="I993" s="637" t="inlineStr">
        <is>
          <t>133_Красное Село-2</t>
        </is>
      </c>
      <c r="J993" s="402" t="n"/>
      <c r="K993" s="640" t="n">
        <v>1</v>
      </c>
      <c r="L993" s="640" t="n">
        <v>0</v>
      </c>
      <c r="M993" s="640" t="inlineStr">
        <is>
          <t>Sam 32</t>
        </is>
      </c>
      <c r="N993" s="640" t="n"/>
      <c r="O993" s="640">
        <f>IF(AND(N993=1,L993=1),K993,"")</f>
        <v/>
      </c>
      <c r="P993" s="642" t="inlineStr">
        <is>
          <t>Санкт-Петербург, г.Красное СеЛенинградская область, Кингисеппское шоссе, д.24</t>
        </is>
      </c>
      <c r="Q993" s="640" t="n"/>
      <c r="R993" s="422" t="n"/>
      <c r="S993" s="436" t="n"/>
      <c r="V993" s="438">
        <f>IF(AND(N993=1,U993=1),C993,"")</f>
        <v/>
      </c>
      <c r="X993" s="1" t="n"/>
      <c r="Y993" s="1" t="n"/>
      <c r="Z993" s="1" t="n"/>
    </row>
    <row r="994" hidden="1" ht="16.05" customHeight="1">
      <c r="A994" s="13" t="n">
        <v>1415</v>
      </c>
      <c r="B994" s="13">
        <f>IF(OR(M994="Sam 32",M994="Sam 40"),"s",IF(M994="AMS","a","v"))</f>
        <v/>
      </c>
      <c r="C994" s="130" t="inlineStr">
        <is>
          <t>Санкт-Петербург</t>
        </is>
      </c>
      <c r="D994" s="130" t="inlineStr">
        <is>
          <t>Санкт-Петербург</t>
        </is>
      </c>
      <c r="E994" s="130" t="n"/>
      <c r="F994" s="130" t="n"/>
      <c r="G994" s="130" t="inlineStr">
        <is>
          <t>Лукойл</t>
        </is>
      </c>
      <c r="H994" s="131" t="n"/>
      <c r="I994" s="637" t="inlineStr">
        <is>
          <t>135_Седова</t>
        </is>
      </c>
      <c r="J994" s="402" t="n"/>
      <c r="K994" s="640" t="n">
        <v>1</v>
      </c>
      <c r="L994" s="640" t="n">
        <v>0</v>
      </c>
      <c r="M994" s="640" t="inlineStr">
        <is>
          <t>Sam 32</t>
        </is>
      </c>
      <c r="N994" s="640" t="n"/>
      <c r="O994" s="640">
        <f>IF(AND(N994=1,L994=1),K994,"")</f>
        <v/>
      </c>
      <c r="P994" s="642" t="inlineStr">
        <is>
          <t>Санкт-Петербург, Седова, д.12, кор.2, лит.А</t>
        </is>
      </c>
      <c r="Q994" s="640" t="n"/>
      <c r="R994" s="422" t="n"/>
      <c r="S994" s="436" t="n"/>
      <c r="V994" s="438">
        <f>IF(AND(N994=1,U994=1),C994,"")</f>
        <v/>
      </c>
      <c r="X994" s="1" t="n"/>
      <c r="Y994" s="1" t="n"/>
      <c r="Z994" s="1" t="n"/>
    </row>
    <row r="995" hidden="1" ht="16.05" customHeight="1">
      <c r="A995" s="13" t="n">
        <v>1416</v>
      </c>
      <c r="B995" s="13">
        <f>IF(OR(M995="Sam 32",M995="Sam 40"),"s",IF(M995="AMS","a","v"))</f>
        <v/>
      </c>
      <c r="C995" s="130" t="inlineStr">
        <is>
          <t>Санкт-Петербург</t>
        </is>
      </c>
      <c r="D995" s="130" t="inlineStr">
        <is>
          <t>Санкт-Петербург</t>
        </is>
      </c>
      <c r="E995" s="130" t="n"/>
      <c r="F995" s="130" t="n"/>
      <c r="G995" s="130" t="inlineStr">
        <is>
          <t>Лукойл</t>
        </is>
      </c>
      <c r="H995" s="131" t="n"/>
      <c r="I995" s="637" t="inlineStr">
        <is>
          <t>137_Колпино</t>
        </is>
      </c>
      <c r="J995" s="402" t="n"/>
      <c r="K995" s="640" t="n">
        <v>1</v>
      </c>
      <c r="L995" s="640" t="n">
        <v>0</v>
      </c>
      <c r="M995" s="640" t="inlineStr">
        <is>
          <t>Sam 32</t>
        </is>
      </c>
      <c r="N995" s="640" t="n"/>
      <c r="O995" s="640">
        <f>IF(AND(N995=1,L995=1),K995,"")</f>
        <v/>
      </c>
      <c r="P995" s="642" t="inlineStr">
        <is>
          <t>Санкт-Петербург, г.Колпино, Загородная, д.17, лит.А</t>
        </is>
      </c>
      <c r="Q995" s="640" t="n"/>
      <c r="R995" s="422" t="n"/>
      <c r="S995" s="436" t="n"/>
      <c r="V995" s="438">
        <f>IF(AND(N995=1,U995=1),C995,"")</f>
        <v/>
      </c>
      <c r="X995" s="1" t="n"/>
      <c r="Y995" s="1" t="n"/>
      <c r="Z995" s="1" t="n"/>
    </row>
    <row r="996" hidden="1" ht="16.05" customHeight="1">
      <c r="A996" s="13" t="n">
        <v>1417</v>
      </c>
      <c r="B996" s="13">
        <f>IF(OR(M996="Sam 32",M996="Sam 40"),"s",IF(M996="AMS","a","v"))</f>
        <v/>
      </c>
      <c r="C996" s="130" t="inlineStr">
        <is>
          <t>Санкт-Петербург</t>
        </is>
      </c>
      <c r="D996" s="130" t="inlineStr">
        <is>
          <t>Санкт-Петербург</t>
        </is>
      </c>
      <c r="E996" s="130" t="n"/>
      <c r="F996" s="130" t="n"/>
      <c r="G996" s="130" t="inlineStr">
        <is>
          <t>Лукойл</t>
        </is>
      </c>
      <c r="H996" s="131" t="n"/>
      <c r="I996" s="637" t="inlineStr">
        <is>
          <t>138_Софийская</t>
        </is>
      </c>
      <c r="J996" s="402" t="n"/>
      <c r="K996" s="640" t="n">
        <v>1</v>
      </c>
      <c r="L996" s="640" t="n">
        <v>0</v>
      </c>
      <c r="M996" s="640" t="inlineStr">
        <is>
          <t>Sam 32</t>
        </is>
      </c>
      <c r="N996" s="640" t="n"/>
      <c r="O996" s="640">
        <f>IF(AND(N996=1,L996=1),K996,"")</f>
        <v/>
      </c>
      <c r="P996" s="642" t="inlineStr">
        <is>
          <t>Санкт-Петербург, Софийская, д.1. лит.А</t>
        </is>
      </c>
      <c r="Q996" s="640" t="n"/>
      <c r="R996" s="422" t="n"/>
      <c r="S996" s="436" t="n"/>
      <c r="V996" s="438">
        <f>IF(AND(N996=1,U996=1),C996,"")</f>
        <v/>
      </c>
      <c r="X996" s="1" t="n"/>
      <c r="Y996" s="1" t="n"/>
      <c r="Z996" s="1" t="n"/>
    </row>
    <row r="997" hidden="1" ht="16.05" customHeight="1">
      <c r="A997" s="13" t="n">
        <v>1418</v>
      </c>
      <c r="B997" s="13">
        <f>IF(OR(M997="Sam 32",M997="Sam 40"),"s",IF(M997="AMS","a","v"))</f>
        <v/>
      </c>
      <c r="C997" s="130" t="inlineStr">
        <is>
          <t>Санкт-Петербург</t>
        </is>
      </c>
      <c r="D997" s="130" t="inlineStr">
        <is>
          <t>Санкт-Петербург</t>
        </is>
      </c>
      <c r="E997" s="130" t="n"/>
      <c r="F997" s="130" t="n"/>
      <c r="G997" s="130" t="inlineStr">
        <is>
          <t>Лукойл</t>
        </is>
      </c>
      <c r="H997" s="131" t="n"/>
      <c r="I997" s="637" t="inlineStr">
        <is>
          <t>139_Богатырский проспект</t>
        </is>
      </c>
      <c r="J997" s="402" t="n"/>
      <c r="K997" s="640" t="n">
        <v>1</v>
      </c>
      <c r="L997" s="640" t="n">
        <v>0</v>
      </c>
      <c r="M997" s="640" t="inlineStr">
        <is>
          <t>Sam 32</t>
        </is>
      </c>
      <c r="N997" s="640" t="n"/>
      <c r="O997" s="640">
        <f>IF(AND(N997=1,L997=1),K997,"")</f>
        <v/>
      </c>
      <c r="P997" s="642" t="inlineStr">
        <is>
          <t>Санкт-Петербург, Богатырский пр., д.17, лит.А</t>
        </is>
      </c>
      <c r="Q997" s="640" t="n"/>
      <c r="R997" s="422" t="n"/>
      <c r="S997" s="436" t="n"/>
      <c r="V997" s="438">
        <f>IF(AND(N997=1,U997=1),C997,"")</f>
        <v/>
      </c>
      <c r="X997" s="1" t="n"/>
      <c r="Y997" s="1" t="n"/>
      <c r="Z997" s="1" t="n"/>
    </row>
    <row r="998" hidden="1" ht="16.05" customHeight="1">
      <c r="A998" s="13" t="n">
        <v>1419</v>
      </c>
      <c r="B998" s="13">
        <f>IF(OR(M998="Sam 32",M998="Sam 40"),"s",IF(M998="AMS","a","v"))</f>
        <v/>
      </c>
      <c r="C998" s="130" t="inlineStr">
        <is>
          <t>Санкт-Петербург</t>
        </is>
      </c>
      <c r="D998" s="130" t="inlineStr">
        <is>
          <t>Санкт-Петербург</t>
        </is>
      </c>
      <c r="E998" s="130" t="n"/>
      <c r="F998" s="130" t="n"/>
      <c r="G998" s="130" t="inlineStr">
        <is>
          <t>Лукойл</t>
        </is>
      </c>
      <c r="H998" s="131" t="n"/>
      <c r="I998" s="637" t="inlineStr">
        <is>
          <t>142_Шафировская</t>
        </is>
      </c>
      <c r="J998" s="402" t="n"/>
      <c r="K998" s="640" t="n">
        <v>1</v>
      </c>
      <c r="L998" s="640" t="n">
        <v>0</v>
      </c>
      <c r="M998" s="640" t="inlineStr">
        <is>
          <t>Sam 32</t>
        </is>
      </c>
      <c r="N998" s="640" t="n"/>
      <c r="O998" s="640">
        <f>IF(AND(N998=1,L998=1),K998,"")</f>
        <v/>
      </c>
      <c r="P998" s="642" t="inlineStr">
        <is>
          <t>Санкт-Петербург, Шафировский пр., д.10, кор.4, лит.А</t>
        </is>
      </c>
      <c r="Q998" s="640" t="n"/>
      <c r="R998" s="422" t="n"/>
      <c r="S998" s="436" t="n"/>
      <c r="V998" s="438">
        <f>IF(AND(N998=1,U998=1),C998,"")</f>
        <v/>
      </c>
      <c r="X998" s="1" t="n"/>
      <c r="Y998" s="1" t="n"/>
      <c r="Z998" s="1" t="n"/>
    </row>
    <row r="999" hidden="1" ht="16.05" customHeight="1">
      <c r="A999" s="13" t="n">
        <v>1420</v>
      </c>
      <c r="B999" s="13">
        <f>IF(OR(M999="Sam 32",M999="Sam 40"),"s",IF(M999="AMS","a","v"))</f>
        <v/>
      </c>
      <c r="C999" s="130" t="inlineStr">
        <is>
          <t>Санкт-Петербург</t>
        </is>
      </c>
      <c r="D999" s="130" t="inlineStr">
        <is>
          <t>Санкт-Петербург</t>
        </is>
      </c>
      <c r="E999" s="130" t="n"/>
      <c r="F999" s="130" t="n"/>
      <c r="G999" s="130" t="inlineStr">
        <is>
          <t>Лукойл</t>
        </is>
      </c>
      <c r="H999" s="131" t="n"/>
      <c r="I999" s="637" t="inlineStr">
        <is>
          <t>143_Ломоносов</t>
        </is>
      </c>
      <c r="J999" s="402" t="n"/>
      <c r="K999" s="640" t="n">
        <v>1</v>
      </c>
      <c r="L999" s="640" t="n">
        <v>0</v>
      </c>
      <c r="M999" s="640" t="inlineStr">
        <is>
          <t>Sam 32</t>
        </is>
      </c>
      <c r="N999" s="640" t="n"/>
      <c r="O999" s="640">
        <f>IF(AND(N999=1,L999=1),K999,"")</f>
        <v/>
      </c>
      <c r="P999" s="642" t="inlineStr">
        <is>
          <t>Санкт-Петербург, г.Ломоносов, Краснофлотское шоссе, д.18/20</t>
        </is>
      </c>
      <c r="Q999" s="640" t="n"/>
      <c r="R999" s="422" t="n"/>
      <c r="S999" s="436" t="n"/>
      <c r="V999" s="438">
        <f>IF(AND(N999=1,U999=1),C999,"")</f>
        <v/>
      </c>
      <c r="X999" s="1" t="n"/>
      <c r="Y999" s="1" t="n"/>
      <c r="Z999" s="1" t="n"/>
    </row>
    <row r="1000" hidden="1" ht="16.05" customHeight="1">
      <c r="A1000" s="13" t="n">
        <v>1421</v>
      </c>
      <c r="B1000" s="13">
        <f>IF(OR(M1000="Sam 32",M1000="Sam 40"),"s",IF(M1000="AMS","a","v"))</f>
        <v/>
      </c>
      <c r="C1000" s="130" t="inlineStr">
        <is>
          <t>Санкт-Петербург</t>
        </is>
      </c>
      <c r="D1000" s="130" t="inlineStr">
        <is>
          <t>Санкт-Петербург</t>
        </is>
      </c>
      <c r="E1000" s="130" t="n"/>
      <c r="F1000" s="130" t="n"/>
      <c r="G1000" s="130" t="inlineStr">
        <is>
          <t>Лукойл</t>
        </is>
      </c>
      <c r="H1000" s="131" t="n"/>
      <c r="I1000" s="637" t="inlineStr">
        <is>
          <t>153_Дунайская</t>
        </is>
      </c>
      <c r="J1000" s="402" t="n"/>
      <c r="K1000" s="640" t="n">
        <v>1</v>
      </c>
      <c r="L1000" s="640" t="n">
        <v>0</v>
      </c>
      <c r="M1000" s="640" t="inlineStr">
        <is>
          <t>Sam 32</t>
        </is>
      </c>
      <c r="N1000" s="640" t="n"/>
      <c r="O1000" s="640">
        <f>IF(AND(N1000=1,L1000=1),K1000,"")</f>
        <v/>
      </c>
      <c r="P1000" s="642" t="inlineStr">
        <is>
          <t>Санкт-Петербург, Дунайский пр., д.17, лит.А</t>
        </is>
      </c>
      <c r="Q1000" s="640" t="n"/>
      <c r="R1000" s="422" t="n"/>
      <c r="S1000" s="436" t="n"/>
      <c r="V1000" s="438">
        <f>IF(AND(N1000=1,U1000=1),C1000,"")</f>
        <v/>
      </c>
      <c r="X1000" s="1" t="n"/>
      <c r="Y1000" s="1" t="n"/>
      <c r="Z1000" s="1" t="n"/>
    </row>
    <row r="1001" hidden="1" ht="16.05" customHeight="1">
      <c r="A1001" s="13" t="n">
        <v>1422</v>
      </c>
      <c r="B1001" s="13">
        <f>IF(OR(M1001="Sam 32",M1001="Sam 40"),"s",IF(M1001="AMS","a","v"))</f>
        <v/>
      </c>
      <c r="C1001" s="130" t="inlineStr">
        <is>
          <t>Санкт-Петербург</t>
        </is>
      </c>
      <c r="D1001" s="130" t="inlineStr">
        <is>
          <t>Санкт-Петербург</t>
        </is>
      </c>
      <c r="E1001" s="130" t="n"/>
      <c r="F1001" s="130" t="n"/>
      <c r="G1001" s="130" t="inlineStr">
        <is>
          <t>Лукойл</t>
        </is>
      </c>
      <c r="H1001" s="131" t="n"/>
      <c r="I1001" s="637" t="inlineStr">
        <is>
          <t>154_Железноводская</t>
        </is>
      </c>
      <c r="J1001" s="402" t="n"/>
      <c r="K1001" s="640" t="n">
        <v>1</v>
      </c>
      <c r="L1001" s="640" t="n">
        <v>0</v>
      </c>
      <c r="M1001" s="640" t="inlineStr">
        <is>
          <t>Sam 32</t>
        </is>
      </c>
      <c r="N1001" s="640" t="n"/>
      <c r="O1001" s="640">
        <f>IF(AND(N1001=1,L1001=1),K1001,"")</f>
        <v/>
      </c>
      <c r="P1001" s="642" t="inlineStr">
        <is>
          <t>Санкт-Петербург, Железноводская, д.1, лит.А</t>
        </is>
      </c>
      <c r="Q1001" s="640" t="n"/>
      <c r="R1001" s="422" t="n"/>
      <c r="S1001" s="436" t="n"/>
      <c r="V1001" s="438">
        <f>IF(AND(N1001=1,U1001=1),C1001,"")</f>
        <v/>
      </c>
      <c r="X1001" s="1" t="n"/>
      <c r="Y1001" s="1" t="n"/>
      <c r="Z1001" s="1" t="n"/>
    </row>
    <row r="1002" hidden="1" ht="16.05" customHeight="1">
      <c r="A1002" s="13" t="n">
        <v>1423</v>
      </c>
      <c r="B1002" s="13">
        <f>IF(OR(M1002="Sam 32",M1002="Sam 40"),"s",IF(M1002="AMS","a","v"))</f>
        <v/>
      </c>
      <c r="C1002" s="130" t="inlineStr">
        <is>
          <t>Санкт-Петербург</t>
        </is>
      </c>
      <c r="D1002" s="130" t="inlineStr">
        <is>
          <t>Санкт-Петербург</t>
        </is>
      </c>
      <c r="E1002" s="130" t="n"/>
      <c r="F1002" s="130" t="n"/>
      <c r="G1002" s="130" t="inlineStr">
        <is>
          <t>Лукойл</t>
        </is>
      </c>
      <c r="H1002" s="131" t="n"/>
      <c r="I1002" s="637" t="inlineStr">
        <is>
          <t>155_Лахта</t>
        </is>
      </c>
      <c r="J1002" s="402" t="n"/>
      <c r="K1002" s="640" t="n">
        <v>1</v>
      </c>
      <c r="L1002" s="640" t="n">
        <v>0</v>
      </c>
      <c r="M1002" s="640" t="inlineStr">
        <is>
          <t>Sam 32</t>
        </is>
      </c>
      <c r="N1002" s="640" t="n"/>
      <c r="O1002" s="640">
        <f>IF(AND(N1002=1,L1002=1),K1002,"")</f>
        <v/>
      </c>
      <c r="P1002" s="642" t="inlineStr">
        <is>
          <t>Санкт-Петербург, Лахтинский пр., д.2, кор.2, лит.А</t>
        </is>
      </c>
      <c r="Q1002" s="640" t="n"/>
      <c r="R1002" s="422" t="n"/>
      <c r="S1002" s="436" t="n"/>
      <c r="V1002" s="438">
        <f>IF(AND(N1002=1,U1002=1),C1002,"")</f>
        <v/>
      </c>
      <c r="X1002" s="1" t="n"/>
      <c r="Y1002" s="1" t="n"/>
      <c r="Z1002" s="1" t="n"/>
    </row>
    <row r="1003" hidden="1" ht="16.05" customHeight="1">
      <c r="A1003" s="13" t="n">
        <v>1424</v>
      </c>
      <c r="B1003" s="13">
        <f>IF(OR(M1003="Sam 32",M1003="Sam 40"),"s",IF(M1003="AMS","a","v"))</f>
        <v/>
      </c>
      <c r="C1003" s="130" t="inlineStr">
        <is>
          <t>Санкт-Петербург</t>
        </is>
      </c>
      <c r="D1003" s="130" t="inlineStr">
        <is>
          <t>Сестрорецк</t>
        </is>
      </c>
      <c r="E1003" s="130" t="n"/>
      <c r="F1003" s="130" t="n"/>
      <c r="G1003" s="130" t="inlineStr">
        <is>
          <t>Лукойл</t>
        </is>
      </c>
      <c r="H1003" s="131" t="n"/>
      <c r="I1003" s="637" t="inlineStr">
        <is>
          <t>156_Сестрорецк</t>
        </is>
      </c>
      <c r="J1003" s="402" t="n"/>
      <c r="K1003" s="640" t="n">
        <v>1</v>
      </c>
      <c r="L1003" s="640" t="n">
        <v>0</v>
      </c>
      <c r="M1003" s="640" t="inlineStr">
        <is>
          <t>Sam 32</t>
        </is>
      </c>
      <c r="N1003" s="640" t="n"/>
      <c r="O1003" s="640">
        <f>IF(AND(N1003=1,L1003=1),K1003,"")</f>
        <v/>
      </c>
      <c r="P1003" s="642" t="inlineStr">
        <is>
          <t>Санкт-Петербург, г.Сестрорецк, 39-й км Приморского шоссе, д.1, лит.А</t>
        </is>
      </c>
      <c r="Q1003" s="640" t="n"/>
      <c r="R1003" s="422" t="n"/>
      <c r="S1003" s="436" t="n"/>
      <c r="V1003" s="438">
        <f>IF(AND(N1003=1,U1003=1),C1003,"")</f>
        <v/>
      </c>
      <c r="X1003" s="1" t="n"/>
      <c r="Y1003" s="1" t="n"/>
      <c r="Z1003" s="1" t="n"/>
    </row>
    <row r="1004" hidden="1" ht="16.05" customHeight="1">
      <c r="A1004" s="13" t="n">
        <v>1425</v>
      </c>
      <c r="B1004" s="13">
        <f>IF(OR(M1004="Sam 32",M1004="Sam 40"),"s",IF(M1004="AMS","a","v"))</f>
        <v/>
      </c>
      <c r="C1004" s="130" t="inlineStr">
        <is>
          <t>Санкт-Петербург</t>
        </is>
      </c>
      <c r="D1004" s="130" t="inlineStr">
        <is>
          <t>Санкт-Петербург</t>
        </is>
      </c>
      <c r="E1004" s="130" t="n"/>
      <c r="F1004" s="130" t="n"/>
      <c r="G1004" s="130" t="inlineStr">
        <is>
          <t>Лукойл</t>
        </is>
      </c>
      <c r="H1004" s="131" t="n"/>
      <c r="I1004" s="637" t="inlineStr">
        <is>
          <t>157_пр.Науки</t>
        </is>
      </c>
      <c r="J1004" s="402" t="n"/>
      <c r="K1004" s="640" t="n">
        <v>1</v>
      </c>
      <c r="L1004" s="640" t="n">
        <v>0</v>
      </c>
      <c r="M1004" s="640" t="inlineStr">
        <is>
          <t>Sam 32</t>
        </is>
      </c>
      <c r="N1004" s="640" t="n"/>
      <c r="O1004" s="640">
        <f>IF(AND(N1004=1,L1004=1),K1004,"")</f>
        <v/>
      </c>
      <c r="P1004" s="642" t="inlineStr">
        <is>
          <t>Санкт-Петербург, пр.Науки, д.52, лит.А</t>
        </is>
      </c>
      <c r="Q1004" s="640" t="n"/>
      <c r="R1004" s="422" t="n"/>
      <c r="S1004" s="436" t="n"/>
      <c r="V1004" s="438">
        <f>IF(AND(N1004=1,U1004=1),C1004,"")</f>
        <v/>
      </c>
      <c r="X1004" s="1" t="n"/>
      <c r="Y1004" s="1" t="n"/>
      <c r="Z1004" s="1" t="n"/>
    </row>
    <row r="1005" hidden="1" ht="16.05" customHeight="1">
      <c r="A1005" s="13" t="n">
        <v>1426</v>
      </c>
      <c r="B1005" s="13">
        <f>IF(OR(M1005="Sam 32",M1005="Sam 40"),"s",IF(M1005="AMS","a","v"))</f>
        <v/>
      </c>
      <c r="C1005" s="130" t="inlineStr">
        <is>
          <t>Санкт-Петербург</t>
        </is>
      </c>
      <c r="D1005" s="130" t="inlineStr">
        <is>
          <t>Санкт-Петербург</t>
        </is>
      </c>
      <c r="E1005" s="130" t="n"/>
      <c r="F1005" s="130" t="n"/>
      <c r="G1005" s="130" t="inlineStr">
        <is>
          <t>Лукойл</t>
        </is>
      </c>
      <c r="H1005" s="131" t="n"/>
      <c r="I1005" s="637" t="inlineStr">
        <is>
          <t>159_Орджоникидзе</t>
        </is>
      </c>
      <c r="J1005" s="402" t="n"/>
      <c r="K1005" s="640" t="n">
        <v>1</v>
      </c>
      <c r="L1005" s="640" t="n">
        <v>0</v>
      </c>
      <c r="M1005" s="640" t="inlineStr">
        <is>
          <t>Sam 32</t>
        </is>
      </c>
      <c r="N1005" s="640" t="n"/>
      <c r="O1005" s="640">
        <f>IF(AND(N1005=1,L1005=1),K1005,"")</f>
        <v/>
      </c>
      <c r="P1005" s="642" t="inlineStr">
        <is>
          <t>Санкт-Петербург, Орджоникидзе, д.50, лит.А</t>
        </is>
      </c>
      <c r="Q1005" s="640" t="n"/>
      <c r="R1005" s="422" t="n"/>
      <c r="S1005" s="436" t="n"/>
      <c r="V1005" s="438">
        <f>IF(AND(N1005=1,U1005=1),C1005,"")</f>
        <v/>
      </c>
      <c r="X1005" s="1" t="n"/>
      <c r="Y1005" s="1" t="n"/>
      <c r="Z1005" s="1" t="n"/>
    </row>
    <row r="1006" hidden="1" ht="16.05" customHeight="1">
      <c r="A1006" s="13" t="n">
        <v>1427</v>
      </c>
      <c r="B1006" s="13">
        <f>IF(OR(M1006="Sam 32",M1006="Sam 40"),"s",IF(M1006="AMS","a","v"))</f>
        <v/>
      </c>
      <c r="C1006" s="130" t="inlineStr">
        <is>
          <t>Санкт-Петербург</t>
        </is>
      </c>
      <c r="D1006" s="130" t="inlineStr">
        <is>
          <t>Санкт-Петербург</t>
        </is>
      </c>
      <c r="E1006" s="130" t="n"/>
      <c r="F1006" s="130" t="n"/>
      <c r="G1006" s="130" t="inlineStr">
        <is>
          <t>Лукойл</t>
        </is>
      </c>
      <c r="H1006" s="131" t="n"/>
      <c r="I1006" s="637" t="inlineStr">
        <is>
          <t>160_Новоизмайловская</t>
        </is>
      </c>
      <c r="J1006" s="402" t="n"/>
      <c r="K1006" s="640" t="n">
        <v>1</v>
      </c>
      <c r="L1006" s="640" t="n">
        <v>0</v>
      </c>
      <c r="M1006" s="640" t="inlineStr">
        <is>
          <t>Sam 32</t>
        </is>
      </c>
      <c r="N1006" s="640" t="n"/>
      <c r="O1006" s="640">
        <f>IF(AND(N1006=1,L1006=1),K1006,"")</f>
        <v/>
      </c>
      <c r="P1006" s="642" t="inlineStr">
        <is>
          <t>Санкт-Петербург, Благодатная, д.10, лит.А</t>
        </is>
      </c>
      <c r="Q1006" s="640" t="n"/>
      <c r="R1006" s="422" t="n"/>
      <c r="S1006" s="436" t="n"/>
      <c r="V1006" s="438">
        <f>IF(AND(N1006=1,U1006=1),C1006,"")</f>
        <v/>
      </c>
      <c r="X1006" s="1" t="n"/>
      <c r="Y1006" s="1" t="n"/>
      <c r="Z1006" s="1" t="n"/>
    </row>
    <row r="1007" hidden="1" ht="16.05" customHeight="1">
      <c r="A1007" s="13" t="n">
        <v>1428</v>
      </c>
      <c r="B1007" s="13">
        <f>IF(OR(M1007="Sam 32",M1007="Sam 40"),"s",IF(M1007="AMS","a","v"))</f>
        <v/>
      </c>
      <c r="C1007" s="130" t="inlineStr">
        <is>
          <t>Санкт-Петербург</t>
        </is>
      </c>
      <c r="D1007" s="130" t="inlineStr">
        <is>
          <t>Санкт-Петербург</t>
        </is>
      </c>
      <c r="E1007" s="130" t="n"/>
      <c r="F1007" s="130" t="n"/>
      <c r="G1007" s="130" t="inlineStr">
        <is>
          <t>Лукойл</t>
        </is>
      </c>
      <c r="H1007" s="131" t="n"/>
      <c r="I1007" s="637" t="inlineStr">
        <is>
          <t>161_Косыгина (на внешнем управлении)</t>
        </is>
      </c>
      <c r="J1007" s="402" t="n"/>
      <c r="K1007" s="640" t="n">
        <v>1</v>
      </c>
      <c r="L1007" s="640" t="n">
        <v>0</v>
      </c>
      <c r="M1007" s="640" t="inlineStr">
        <is>
          <t>Sam 32</t>
        </is>
      </c>
      <c r="N1007" s="640" t="n"/>
      <c r="O1007" s="640">
        <f>IF(AND(N1007=1,L1007=1),K1007,"")</f>
        <v/>
      </c>
      <c r="P1007" s="642" t="inlineStr">
        <is>
          <t>Санкт-Петербург, пр.Косыгина, д.2, лит.А</t>
        </is>
      </c>
      <c r="Q1007" s="640" t="n"/>
      <c r="R1007" s="422" t="n"/>
      <c r="S1007" s="436" t="n"/>
      <c r="V1007" s="438">
        <f>IF(AND(N1007=1,U1007=1),C1007,"")</f>
        <v/>
      </c>
      <c r="X1007" s="1" t="n"/>
      <c r="Y1007" s="1" t="n"/>
      <c r="Z1007" s="1" t="n"/>
    </row>
    <row r="1008" hidden="1" ht="16.05" customHeight="1">
      <c r="A1008" s="13" t="n">
        <v>1429</v>
      </c>
      <c r="B1008" s="13">
        <f>IF(OR(M1008="Sam 32",M1008="Sam 40"),"s",IF(M1008="AMS","a","v"))</f>
        <v/>
      </c>
      <c r="C1008" s="130" t="inlineStr">
        <is>
          <t>Санкт-Петербург</t>
        </is>
      </c>
      <c r="D1008" s="130" t="inlineStr">
        <is>
          <t>Санкт-Петербург</t>
        </is>
      </c>
      <c r="E1008" s="130" t="n"/>
      <c r="F1008" s="130" t="n"/>
      <c r="G1008" s="130" t="inlineStr">
        <is>
          <t>Лукойл</t>
        </is>
      </c>
      <c r="H1008" s="131" t="n"/>
      <c r="I1008" s="637" t="inlineStr">
        <is>
          <t>163_Петродворец-1</t>
        </is>
      </c>
      <c r="J1008" s="402" t="n"/>
      <c r="K1008" s="640" t="n">
        <v>1</v>
      </c>
      <c r="L1008" s="640" t="n">
        <v>0</v>
      </c>
      <c r="M1008" s="640" t="inlineStr">
        <is>
          <t>Sam 32</t>
        </is>
      </c>
      <c r="N1008" s="640" t="n"/>
      <c r="O1008" s="640">
        <f>IF(AND(N1008=1,L1008=1),K1008,"")</f>
        <v/>
      </c>
      <c r="P1008" s="642" t="inlineStr">
        <is>
          <t>Санкт-Петербург, г.Петродворец, Первого Мая, д.2, лит.А</t>
        </is>
      </c>
      <c r="Q1008" s="640" t="n"/>
      <c r="R1008" s="422" t="n"/>
      <c r="S1008" s="436" t="n"/>
      <c r="V1008" s="438">
        <f>IF(AND(N1008=1,U1008=1),C1008,"")</f>
        <v/>
      </c>
      <c r="X1008" s="1" t="n"/>
      <c r="Y1008" s="1" t="n"/>
      <c r="Z1008" s="1" t="n"/>
    </row>
    <row r="1009" hidden="1" ht="16.05" customHeight="1">
      <c r="A1009" s="13" t="n">
        <v>1430</v>
      </c>
      <c r="B1009" s="13">
        <f>IF(OR(M1009="Sam 32",M1009="Sam 40"),"s",IF(M1009="AMS","a","v"))</f>
        <v/>
      </c>
      <c r="C1009" s="130" t="inlineStr">
        <is>
          <t>Санкт-Петербург</t>
        </is>
      </c>
      <c r="D1009" s="130" t="inlineStr">
        <is>
          <t>Санкт-Петербург</t>
        </is>
      </c>
      <c r="E1009" s="130" t="n"/>
      <c r="F1009" s="130" t="n"/>
      <c r="G1009" s="130" t="inlineStr">
        <is>
          <t>Лукойл</t>
        </is>
      </c>
      <c r="H1009" s="131" t="n"/>
      <c r="I1009" s="637" t="inlineStr">
        <is>
          <t>164_Анисимовская</t>
        </is>
      </c>
      <c r="J1009" s="402" t="n"/>
      <c r="K1009" s="640" t="n">
        <v>1</v>
      </c>
      <c r="L1009" s="640" t="n">
        <v>0</v>
      </c>
      <c r="M1009" s="640" t="inlineStr">
        <is>
          <t>Sam 32</t>
        </is>
      </c>
      <c r="N1009" s="640" t="n"/>
      <c r="O1009" s="640">
        <f>IF(AND(N1009=1,L1009=1),K1009,"")</f>
        <v/>
      </c>
      <c r="P1009" s="642" t="inlineStr">
        <is>
          <t>Санкт-Петербург, Уманский пер., д.84</t>
        </is>
      </c>
      <c r="Q1009" s="640" t="n"/>
      <c r="R1009" s="422" t="n"/>
      <c r="S1009" s="436" t="n"/>
      <c r="V1009" s="438">
        <f>IF(AND(N1009=1,U1009=1),C1009,"")</f>
        <v/>
      </c>
      <c r="X1009" s="1" t="n"/>
      <c r="Y1009" s="1" t="n"/>
      <c r="Z1009" s="1" t="n"/>
    </row>
    <row r="1010" hidden="1" ht="16.05" customHeight="1">
      <c r="A1010" s="13" t="n">
        <v>1431</v>
      </c>
      <c r="B1010" s="13">
        <f>IF(OR(M1010="Sam 32",M1010="Sam 40"),"s",IF(M1010="AMS","a","v"))</f>
        <v/>
      </c>
      <c r="C1010" s="130" t="inlineStr">
        <is>
          <t>Санкт-Петербург</t>
        </is>
      </c>
      <c r="D1010" s="130" t="inlineStr">
        <is>
          <t>Санкт-Петербург</t>
        </is>
      </c>
      <c r="E1010" s="130" t="n"/>
      <c r="F1010" s="130" t="n"/>
      <c r="G1010" s="130" t="inlineStr">
        <is>
          <t>Лукойл</t>
        </is>
      </c>
      <c r="H1010" s="131" t="n"/>
      <c r="I1010" s="637" t="inlineStr">
        <is>
          <t>165_Сампсониевская</t>
        </is>
      </c>
      <c r="J1010" s="402" t="n"/>
      <c r="K1010" s="640" t="n">
        <v>1</v>
      </c>
      <c r="L1010" s="640" t="n">
        <v>0</v>
      </c>
      <c r="M1010" s="640" t="inlineStr">
        <is>
          <t>Sam 32</t>
        </is>
      </c>
      <c r="N1010" s="640" t="n"/>
      <c r="O1010" s="640">
        <f>IF(AND(N1010=1,L1010=1),K1010,"")</f>
        <v/>
      </c>
      <c r="P1010" s="642" t="inlineStr">
        <is>
          <t>Санкт-Петербург, Большой Сампсониевский пр., д.89, лит.А</t>
        </is>
      </c>
      <c r="Q1010" s="640" t="n"/>
      <c r="R1010" s="422" t="n"/>
      <c r="S1010" s="436" t="n"/>
      <c r="V1010" s="438">
        <f>IF(AND(N1010=1,U1010=1),C1010,"")</f>
        <v/>
      </c>
      <c r="X1010" s="1" t="n"/>
      <c r="Y1010" s="1" t="n"/>
      <c r="Z1010" s="1" t="n"/>
    </row>
    <row r="1011" hidden="1" ht="16.05" customHeight="1">
      <c r="A1011" s="13" t="n">
        <v>1432</v>
      </c>
      <c r="B1011" s="13">
        <f>IF(OR(M1011="Sam 32",M1011="Sam 40"),"s",IF(M1011="AMS","a","v"))</f>
        <v/>
      </c>
      <c r="C1011" s="130" t="inlineStr">
        <is>
          <t>Санкт-Петербург</t>
        </is>
      </c>
      <c r="D1011" s="130" t="inlineStr">
        <is>
          <t>Санкт-Петербург</t>
        </is>
      </c>
      <c r="E1011" s="130" t="n"/>
      <c r="F1011" s="130" t="n"/>
      <c r="G1011" s="130" t="inlineStr">
        <is>
          <t>Лукойл</t>
        </is>
      </c>
      <c r="H1011" s="131" t="n"/>
      <c r="I1011" s="637" t="inlineStr">
        <is>
          <t>166_Караваевская</t>
        </is>
      </c>
      <c r="J1011" s="402" t="n"/>
      <c r="K1011" s="640" t="n">
        <v>1</v>
      </c>
      <c r="L1011" s="640" t="n">
        <v>0</v>
      </c>
      <c r="M1011" s="640" t="inlineStr">
        <is>
          <t>Sam 32</t>
        </is>
      </c>
      <c r="N1011" s="640" t="n"/>
      <c r="O1011" s="640">
        <f>IF(AND(N1011=1,L1011=1),K1011,"")</f>
        <v/>
      </c>
      <c r="P1011" s="642" t="inlineStr">
        <is>
          <t>Санкт-Петербург, Караваевская, д.3, кор.2</t>
        </is>
      </c>
      <c r="Q1011" s="640" t="n"/>
      <c r="R1011" s="422" t="n"/>
      <c r="S1011" s="436" t="n"/>
      <c r="V1011" s="438">
        <f>IF(AND(N1011=1,U1011=1),C1011,"")</f>
        <v/>
      </c>
      <c r="X1011" s="1" t="n"/>
      <c r="Y1011" s="1" t="n"/>
      <c r="Z1011" s="1" t="n"/>
    </row>
    <row r="1012" hidden="1" ht="16.05" customHeight="1">
      <c r="A1012" s="13" t="n">
        <v>1433</v>
      </c>
      <c r="B1012" s="13">
        <f>IF(OR(M1012="Sam 32",M1012="Sam 40"),"s",IF(M1012="AMS","a","v"))</f>
        <v/>
      </c>
      <c r="C1012" s="130" t="inlineStr">
        <is>
          <t>Санкт-Петербург</t>
        </is>
      </c>
      <c r="D1012" s="130" t="inlineStr">
        <is>
          <t>Санкт-Петербург</t>
        </is>
      </c>
      <c r="E1012" s="130" t="n"/>
      <c r="F1012" s="130" t="n"/>
      <c r="G1012" s="130" t="inlineStr">
        <is>
          <t>Лукойл</t>
        </is>
      </c>
      <c r="H1012" s="131" t="n"/>
      <c r="I1012" s="637" t="inlineStr">
        <is>
          <t>167_Шоссе Революции</t>
        </is>
      </c>
      <c r="J1012" s="402" t="n"/>
      <c r="K1012" s="640" t="n">
        <v>1</v>
      </c>
      <c r="L1012" s="640" t="n">
        <v>0</v>
      </c>
      <c r="M1012" s="640" t="inlineStr">
        <is>
          <t>Sam 32</t>
        </is>
      </c>
      <c r="N1012" s="640" t="n"/>
      <c r="O1012" s="640">
        <f>IF(AND(N1012=1,L1012=1),K1012,"")</f>
        <v/>
      </c>
      <c r="P1012" s="642" t="inlineStr">
        <is>
          <t>Санкт-Петербург, Шоссе Революции, д.70</t>
        </is>
      </c>
      <c r="Q1012" s="640" t="n"/>
      <c r="R1012" s="422" t="n"/>
      <c r="S1012" s="436" t="n"/>
      <c r="V1012" s="438">
        <f>IF(AND(N1012=1,U1012=1),C1012,"")</f>
        <v/>
      </c>
      <c r="X1012" s="1" t="n"/>
      <c r="Y1012" s="1" t="n"/>
      <c r="Z1012" s="1" t="n"/>
    </row>
    <row r="1013" hidden="1" ht="16.05" customHeight="1">
      <c r="A1013" s="13" t="n">
        <v>1434</v>
      </c>
      <c r="B1013" s="13">
        <f>IF(OR(M1013="Sam 32",M1013="Sam 40"),"s",IF(M1013="AMS","a","v"))</f>
        <v/>
      </c>
      <c r="C1013" s="130" t="inlineStr">
        <is>
          <t>Санкт-Петербург</t>
        </is>
      </c>
      <c r="D1013" s="130" t="inlineStr">
        <is>
          <t>Санкт-Петербург</t>
        </is>
      </c>
      <c r="E1013" s="130" t="n"/>
      <c r="F1013" s="130" t="n"/>
      <c r="G1013" s="130" t="inlineStr">
        <is>
          <t>Лукойл</t>
        </is>
      </c>
      <c r="H1013" s="131" t="n"/>
      <c r="I1013" s="637" t="inlineStr">
        <is>
          <t>168_Волго-Донская</t>
        </is>
      </c>
      <c r="J1013" s="402" t="n"/>
      <c r="K1013" s="640" t="n">
        <v>1</v>
      </c>
      <c r="L1013" s="640" t="n">
        <v>0</v>
      </c>
      <c r="M1013" s="640" t="inlineStr">
        <is>
          <t>Sam 32</t>
        </is>
      </c>
      <c r="N1013" s="640" t="n"/>
      <c r="O1013" s="640">
        <f>IF(AND(N1013=1,L1013=1),K1013,"")</f>
        <v/>
      </c>
      <c r="P1013" s="642" t="inlineStr">
        <is>
          <t>Санкт-Петербург, Пискаревский пр., д.46, кор.1, лит.А</t>
        </is>
      </c>
      <c r="Q1013" s="640" t="n"/>
      <c r="R1013" s="422" t="n"/>
      <c r="S1013" s="436" t="n"/>
      <c r="V1013" s="438">
        <f>IF(AND(N1013=1,U1013=1),C1013,"")</f>
        <v/>
      </c>
      <c r="X1013" s="1" t="n"/>
      <c r="Y1013" s="1" t="n"/>
      <c r="Z1013" s="1" t="n"/>
    </row>
    <row r="1014" hidden="1" ht="16.05" customHeight="1">
      <c r="A1014" s="13" t="n">
        <v>1435</v>
      </c>
      <c r="B1014" s="13">
        <f>IF(OR(M1014="Sam 32",M1014="Sam 40"),"s",IF(M1014="AMS","a","v"))</f>
        <v/>
      </c>
      <c r="C1014" s="130" t="inlineStr">
        <is>
          <t>Санкт-Петербург</t>
        </is>
      </c>
      <c r="D1014" s="130" t="inlineStr">
        <is>
          <t>Санкт-Петербург</t>
        </is>
      </c>
      <c r="E1014" s="130" t="n"/>
      <c r="F1014" s="130" t="n"/>
      <c r="G1014" s="130" t="inlineStr">
        <is>
          <t>Лукойл</t>
        </is>
      </c>
      <c r="H1014" s="131" t="n"/>
      <c r="I1014" s="637" t="inlineStr">
        <is>
          <t>170_Московская-2</t>
        </is>
      </c>
      <c r="J1014" s="402" t="n"/>
      <c r="K1014" s="640" t="n">
        <v>1</v>
      </c>
      <c r="L1014" s="640" t="n">
        <v>0</v>
      </c>
      <c r="M1014" s="640" t="inlineStr">
        <is>
          <t>Sam 32</t>
        </is>
      </c>
      <c r="N1014" s="640" t="n"/>
      <c r="O1014" s="640">
        <f>IF(AND(N1014=1,L1014=1),K1014,"")</f>
        <v/>
      </c>
      <c r="P1014" s="642" t="inlineStr">
        <is>
          <t>Санкт-Петербург, Московское ш., д.37, лит.А</t>
        </is>
      </c>
      <c r="Q1014" s="640" t="n"/>
      <c r="R1014" s="422" t="n"/>
      <c r="S1014" s="436" t="n"/>
      <c r="V1014" s="438">
        <f>IF(AND(N1014=1,U1014=1),C1014,"")</f>
        <v/>
      </c>
      <c r="X1014" s="1" t="n"/>
      <c r="Y1014" s="1" t="n"/>
      <c r="Z1014" s="1" t="n"/>
    </row>
    <row r="1015" hidden="1" ht="16.05" customHeight="1">
      <c r="A1015" s="13" t="n">
        <v>1436</v>
      </c>
      <c r="B1015" s="13">
        <f>IF(OR(M1015="Sam 32",M1015="Sam 40"),"s",IF(M1015="AMS","a","v"))</f>
        <v/>
      </c>
      <c r="C1015" s="130" t="inlineStr">
        <is>
          <t>Санкт-Петербург</t>
        </is>
      </c>
      <c r="D1015" s="130" t="inlineStr">
        <is>
          <t>Санкт-Петербург</t>
        </is>
      </c>
      <c r="E1015" s="130" t="n"/>
      <c r="F1015" s="130" t="n"/>
      <c r="G1015" s="130" t="inlineStr">
        <is>
          <t>Лукойл</t>
        </is>
      </c>
      <c r="H1015" s="131" t="n"/>
      <c r="I1015" s="637" t="inlineStr">
        <is>
          <t>171_Энгельса</t>
        </is>
      </c>
      <c r="J1015" s="402" t="n"/>
      <c r="K1015" s="640" t="n">
        <v>1</v>
      </c>
      <c r="L1015" s="640" t="n">
        <v>0</v>
      </c>
      <c r="M1015" s="640" t="inlineStr">
        <is>
          <t>Sam 32</t>
        </is>
      </c>
      <c r="N1015" s="640" t="n"/>
      <c r="O1015" s="640">
        <f>IF(AND(N1015=1,L1015=1),K1015,"")</f>
        <v/>
      </c>
      <c r="P1015" s="642" t="inlineStr">
        <is>
          <t>Санкт-Петербург, пр.Энгельса, д.164</t>
        </is>
      </c>
      <c r="Q1015" s="640" t="n"/>
      <c r="R1015" s="422" t="n"/>
      <c r="S1015" s="436" t="n"/>
      <c r="V1015" s="438">
        <f>IF(AND(N1015=1,U1015=1),C1015,"")</f>
        <v/>
      </c>
      <c r="X1015" s="1" t="n"/>
      <c r="Y1015" s="1" t="n"/>
      <c r="Z1015" s="1" t="n"/>
    </row>
    <row r="1016" hidden="1" ht="16.05" customHeight="1">
      <c r="A1016" s="13" t="n">
        <v>1437</v>
      </c>
      <c r="B1016" s="13">
        <f>IF(OR(M1016="Sam 32",M1016="Sam 40"),"s",IF(M1016="AMS","a","v"))</f>
        <v/>
      </c>
      <c r="C1016" s="130" t="inlineStr">
        <is>
          <t>Санкт-Петербург</t>
        </is>
      </c>
      <c r="D1016" s="130" t="inlineStr">
        <is>
          <t>Санкт-Петербург</t>
        </is>
      </c>
      <c r="E1016" s="130" t="n"/>
      <c r="F1016" s="130" t="n"/>
      <c r="G1016" s="130" t="inlineStr">
        <is>
          <t>Лукойл</t>
        </is>
      </c>
      <c r="H1016" s="131" t="n"/>
      <c r="I1016" s="637" t="inlineStr">
        <is>
          <t>173_Жукова-2</t>
        </is>
      </c>
      <c r="J1016" s="402" t="n"/>
      <c r="K1016" s="640" t="n">
        <v>1</v>
      </c>
      <c r="L1016" s="640" t="n">
        <v>0</v>
      </c>
      <c r="M1016" s="640" t="inlineStr">
        <is>
          <t>Sam 32</t>
        </is>
      </c>
      <c r="N1016" s="640" t="n"/>
      <c r="O1016" s="640">
        <f>IF(AND(N1016=1,L1016=1),K1016,"")</f>
        <v/>
      </c>
      <c r="P1016" s="642" t="inlineStr">
        <is>
          <t>Санкт-Петербург, пр.Маршала Жукова, д.46, лит.А</t>
        </is>
      </c>
      <c r="Q1016" s="640" t="n"/>
      <c r="R1016" s="422" t="n"/>
      <c r="S1016" s="436" t="n"/>
      <c r="V1016" s="438">
        <f>IF(AND(N1016=1,U1016=1),C1016,"")</f>
        <v/>
      </c>
      <c r="X1016" s="1" t="n"/>
      <c r="Y1016" s="1" t="n"/>
      <c r="Z1016" s="1" t="n"/>
    </row>
    <row r="1017" hidden="1" ht="16.05" customHeight="1">
      <c r="A1017" s="13" t="n">
        <v>1438</v>
      </c>
      <c r="B1017" s="13">
        <f>IF(OR(M1017="Sam 32",M1017="Sam 40"),"s",IF(M1017="AMS","a","v"))</f>
        <v/>
      </c>
      <c r="C1017" s="130" t="inlineStr">
        <is>
          <t>Санкт-Петербург</t>
        </is>
      </c>
      <c r="D1017" s="130" t="inlineStr">
        <is>
          <t>Санкт-Петербург</t>
        </is>
      </c>
      <c r="E1017" s="130" t="n"/>
      <c r="F1017" s="130" t="n"/>
      <c r="G1017" s="130" t="inlineStr">
        <is>
          <t>Лукойл</t>
        </is>
      </c>
      <c r="H1017" s="131" t="n"/>
      <c r="I1017" s="637" t="inlineStr">
        <is>
          <t>174_Заводская</t>
        </is>
      </c>
      <c r="J1017" s="402" t="n"/>
      <c r="K1017" s="640" t="n">
        <v>1</v>
      </c>
      <c r="L1017" s="640" t="n">
        <v>0</v>
      </c>
      <c r="M1017" s="640" t="inlineStr">
        <is>
          <t>Sam 32</t>
        </is>
      </c>
      <c r="N1017" s="640" t="n"/>
      <c r="O1017" s="640">
        <f>IF(AND(N1017=1,L1017=1),K1017,"")</f>
        <v/>
      </c>
      <c r="P1017" s="642" t="inlineStr">
        <is>
          <t>Санкт-Петербург, г.Колпино, Заводской пр., д.3</t>
        </is>
      </c>
      <c r="Q1017" s="640" t="n"/>
      <c r="R1017" s="422" t="n"/>
      <c r="S1017" s="436" t="n"/>
      <c r="V1017" s="438">
        <f>IF(AND(N1017=1,U1017=1),C1017,"")</f>
        <v/>
      </c>
      <c r="X1017" s="1" t="n"/>
      <c r="Y1017" s="1" t="n"/>
      <c r="Z1017" s="1" t="n"/>
    </row>
    <row r="1018" hidden="1" ht="16.05" customHeight="1">
      <c r="A1018" s="13" t="n">
        <v>1439</v>
      </c>
      <c r="B1018" s="13">
        <f>IF(OR(M1018="Sam 32",M1018="Sam 40"),"s",IF(M1018="AMS","a","v"))</f>
        <v/>
      </c>
      <c r="C1018" s="130" t="inlineStr">
        <is>
          <t>Санкт-Петербург</t>
        </is>
      </c>
      <c r="D1018" s="130" t="inlineStr">
        <is>
          <t>Санкт-Петербург</t>
        </is>
      </c>
      <c r="E1018" s="130" t="n"/>
      <c r="F1018" s="130" t="n"/>
      <c r="G1018" s="130" t="inlineStr">
        <is>
          <t>Лукойл</t>
        </is>
      </c>
      <c r="H1018" s="131" t="n"/>
      <c r="I1018" s="637" t="inlineStr">
        <is>
          <t>175_Колпино-2</t>
        </is>
      </c>
      <c r="J1018" s="402" t="n"/>
      <c r="K1018" s="640" t="n">
        <v>1</v>
      </c>
      <c r="L1018" s="640" t="n">
        <v>0</v>
      </c>
      <c r="M1018" s="640" t="inlineStr">
        <is>
          <t>Sam 32</t>
        </is>
      </c>
      <c r="N1018" s="640" t="n"/>
      <c r="O1018" s="640">
        <f>IF(AND(N1018=1,L1018=1),K1018,"")</f>
        <v/>
      </c>
      <c r="P1018" s="642" t="inlineStr">
        <is>
          <t>Санкт-Петербург, п.Понтонный, Лагерное ш., д.2, кор.4, лит.А</t>
        </is>
      </c>
      <c r="Q1018" s="640" t="n"/>
      <c r="R1018" s="422" t="n"/>
      <c r="S1018" s="436" t="n"/>
      <c r="V1018" s="438">
        <f>IF(AND(N1018=1,U1018=1),C1018,"")</f>
        <v/>
      </c>
      <c r="X1018" s="1" t="n"/>
      <c r="Y1018" s="1" t="n"/>
      <c r="Z1018" s="1" t="n"/>
    </row>
    <row r="1019" hidden="1" ht="16.05" customHeight="1">
      <c r="A1019" s="13" t="n">
        <v>1440</v>
      </c>
      <c r="B1019" s="13">
        <f>IF(OR(M1019="Sam 32",M1019="Sam 40"),"s",IF(M1019="AMS","a","v"))</f>
        <v/>
      </c>
      <c r="C1019" s="130" t="inlineStr">
        <is>
          <t>Санкт-Петербург</t>
        </is>
      </c>
      <c r="D1019" s="130" t="inlineStr">
        <is>
          <t>Санкт-Петербург</t>
        </is>
      </c>
      <c r="E1019" s="130" t="n"/>
      <c r="F1019" s="130" t="n"/>
      <c r="G1019" s="130" t="inlineStr">
        <is>
          <t>Лукойл</t>
        </is>
      </c>
      <c r="H1019" s="131" t="n"/>
      <c r="I1019" s="637" t="inlineStr">
        <is>
          <t>176_Руставели</t>
        </is>
      </c>
      <c r="J1019" s="402" t="n"/>
      <c r="K1019" s="640" t="n">
        <v>1</v>
      </c>
      <c r="L1019" s="640" t="n">
        <v>0</v>
      </c>
      <c r="M1019" s="640" t="inlineStr">
        <is>
          <t>Sam 32</t>
        </is>
      </c>
      <c r="N1019" s="640" t="n"/>
      <c r="O1019" s="640">
        <f>IF(AND(N1019=1,L1019=1),K1019,"")</f>
        <v/>
      </c>
      <c r="P1019" s="642" t="inlineStr">
        <is>
          <t>Санкт-Петербург, Руставели, д.81</t>
        </is>
      </c>
      <c r="Q1019" s="640" t="n"/>
      <c r="R1019" s="422" t="n"/>
      <c r="S1019" s="436" t="n"/>
      <c r="V1019" s="438">
        <f>IF(AND(N1019=1,U1019=1),C1019,"")</f>
        <v/>
      </c>
      <c r="X1019" s="1" t="n"/>
      <c r="Y1019" s="1" t="n"/>
      <c r="Z1019" s="1" t="n"/>
    </row>
    <row r="1020" hidden="1" ht="16.05" customHeight="1">
      <c r="A1020" s="13" t="n">
        <v>1441</v>
      </c>
      <c r="B1020" s="13">
        <f>IF(OR(M1020="Sam 32",M1020="Sam 40"),"s",IF(M1020="AMS","a","v"))</f>
        <v/>
      </c>
      <c r="C1020" s="130" t="inlineStr">
        <is>
          <t>Санкт-Петербург</t>
        </is>
      </c>
      <c r="D1020" s="130" t="inlineStr">
        <is>
          <t>Санкт-Петербург</t>
        </is>
      </c>
      <c r="E1020" s="130" t="n"/>
      <c r="F1020" s="130" t="n"/>
      <c r="G1020" s="130" t="inlineStr">
        <is>
          <t>Лукойл</t>
        </is>
      </c>
      <c r="H1020" s="131" t="n"/>
      <c r="I1020" s="637" t="inlineStr">
        <is>
          <t>177_Бестужевская</t>
        </is>
      </c>
      <c r="J1020" s="402" t="n"/>
      <c r="K1020" s="640" t="n">
        <v>1</v>
      </c>
      <c r="L1020" s="640" t="n">
        <v>0</v>
      </c>
      <c r="M1020" s="640" t="inlineStr">
        <is>
          <t>Sam 32</t>
        </is>
      </c>
      <c r="N1020" s="640" t="n"/>
      <c r="O1020" s="640">
        <f>IF(AND(N1020=1,L1020=1),K1020,"")</f>
        <v/>
      </c>
      <c r="P1020" s="642" t="inlineStr">
        <is>
          <t>Санкт-Петербург, Бестужевская, д.52, кор.2, лит.А</t>
        </is>
      </c>
      <c r="Q1020" s="640" t="n"/>
      <c r="R1020" s="422" t="n"/>
      <c r="S1020" s="436" t="n"/>
      <c r="V1020" s="438">
        <f>IF(AND(N1020=1,U1020=1),C1020,"")</f>
        <v/>
      </c>
      <c r="X1020" s="1" t="n"/>
      <c r="Y1020" s="1" t="n"/>
      <c r="Z1020" s="1" t="n"/>
    </row>
    <row r="1021" hidden="1" ht="16.05" customHeight="1">
      <c r="A1021" s="13" t="n">
        <v>1442</v>
      </c>
      <c r="B1021" s="13">
        <f>IF(OR(M1021="Sam 32",M1021="Sam 40"),"s",IF(M1021="AMS","a","v"))</f>
        <v/>
      </c>
      <c r="C1021" s="130" t="inlineStr">
        <is>
          <t>Санкт-Петербург</t>
        </is>
      </c>
      <c r="D1021" s="130" t="inlineStr">
        <is>
          <t>Санкт-Петербург</t>
        </is>
      </c>
      <c r="E1021" s="130" t="n"/>
      <c r="F1021" s="130" t="n"/>
      <c r="G1021" s="130" t="inlineStr">
        <is>
          <t>Лукойл</t>
        </is>
      </c>
      <c r="H1021" s="131" t="n"/>
      <c r="I1021" s="637" t="inlineStr">
        <is>
          <t>178_Шотландская</t>
        </is>
      </c>
      <c r="J1021" s="402" t="n"/>
      <c r="K1021" s="640" t="n">
        <v>1</v>
      </c>
      <c r="L1021" s="640" t="n">
        <v>0</v>
      </c>
      <c r="M1021" s="640" t="inlineStr">
        <is>
          <t>Sam 32</t>
        </is>
      </c>
      <c r="N1021" s="640" t="n"/>
      <c r="O1021" s="640">
        <f>IF(AND(N1021=1,L1021=1),K1021,"")</f>
        <v/>
      </c>
      <c r="P1021" s="642" t="inlineStr">
        <is>
          <t>Санкт-Петербург, Шотландская, д.14, лит.А</t>
        </is>
      </c>
      <c r="Q1021" s="640" t="n"/>
      <c r="R1021" s="422" t="n"/>
      <c r="S1021" s="436" t="n"/>
      <c r="V1021" s="438">
        <f>IF(AND(N1021=1,U1021=1),C1021,"")</f>
        <v/>
      </c>
      <c r="X1021" s="1" t="n"/>
      <c r="Y1021" s="1" t="n"/>
      <c r="Z1021" s="1" t="n"/>
    </row>
    <row r="1022" hidden="1" ht="16.05" customHeight="1">
      <c r="A1022" s="13" t="n">
        <v>1443</v>
      </c>
      <c r="B1022" s="13">
        <f>IF(OR(M1022="Sam 32",M1022="Sam 40"),"s",IF(M1022="AMS","a","v"))</f>
        <v/>
      </c>
      <c r="C1022" s="130" t="inlineStr">
        <is>
          <t>Санкт-Петербург</t>
        </is>
      </c>
      <c r="D1022" s="130" t="inlineStr">
        <is>
          <t>Санкт-Петербург</t>
        </is>
      </c>
      <c r="E1022" s="130" t="n"/>
      <c r="F1022" s="130" t="n"/>
      <c r="G1022" s="130" t="inlineStr">
        <is>
          <t>Лукойл</t>
        </is>
      </c>
      <c r="H1022" s="131" t="n"/>
      <c r="I1022" s="637" t="inlineStr">
        <is>
          <t>180_Пушкин</t>
        </is>
      </c>
      <c r="J1022" s="402" t="n"/>
      <c r="K1022" s="640" t="n">
        <v>1</v>
      </c>
      <c r="L1022" s="640" t="n">
        <v>0</v>
      </c>
      <c r="M1022" s="640" t="inlineStr">
        <is>
          <t>Sam 32</t>
        </is>
      </c>
      <c r="N1022" s="640" t="n"/>
      <c r="O1022" s="640">
        <f>IF(AND(N1022=1,L1022=1),K1022,"")</f>
        <v/>
      </c>
      <c r="P1022" s="642" t="inlineStr">
        <is>
          <t>Санкт-Петербург, г.Пушкин, Гусарская, д.10, лит.А</t>
        </is>
      </c>
      <c r="Q1022" s="640" t="n"/>
      <c r="R1022" s="422" t="n"/>
      <c r="S1022" s="436" t="n"/>
      <c r="V1022" s="438">
        <f>IF(AND(N1022=1,U1022=1),C1022,"")</f>
        <v/>
      </c>
      <c r="X1022" s="1" t="n"/>
      <c r="Y1022" s="1" t="n"/>
      <c r="Z1022" s="1" t="n"/>
    </row>
    <row r="1023" hidden="1" ht="16.05" customHeight="1">
      <c r="A1023" s="13" t="n">
        <v>1444</v>
      </c>
      <c r="B1023" s="13">
        <f>IF(OR(M1023="Sam 32",M1023="Sam 40"),"s",IF(M1023="AMS","a","v"))</f>
        <v/>
      </c>
      <c r="C1023" s="130" t="inlineStr">
        <is>
          <t>Санкт-Петербург</t>
        </is>
      </c>
      <c r="D1023" s="130" t="inlineStr">
        <is>
          <t>Санкт-Петербург</t>
        </is>
      </c>
      <c r="E1023" s="130" t="n"/>
      <c r="F1023" s="130" t="n"/>
      <c r="G1023" s="130" t="inlineStr">
        <is>
          <t>Лукойл</t>
        </is>
      </c>
      <c r="H1023" s="131" t="n"/>
      <c r="I1023" s="637" t="inlineStr">
        <is>
          <t>181_Ломоносов-2</t>
        </is>
      </c>
      <c r="J1023" s="402" t="n"/>
      <c r="K1023" s="640" t="n">
        <v>1</v>
      </c>
      <c r="L1023" s="640" t="n">
        <v>0</v>
      </c>
      <c r="M1023" s="640" t="inlineStr">
        <is>
          <t>Sam 32</t>
        </is>
      </c>
      <c r="N1023" s="640" t="n"/>
      <c r="O1023" s="640">
        <f>IF(AND(N1023=1,L1023=1),K1023,"")</f>
        <v/>
      </c>
      <c r="P1023" s="642" t="inlineStr">
        <is>
          <t>Санкт-Петербург, г.Ломоносов, Александровская, д.50, кор.2</t>
        </is>
      </c>
      <c r="Q1023" s="640" t="n"/>
      <c r="R1023" s="422" t="n"/>
      <c r="S1023" s="436" t="n"/>
      <c r="V1023" s="438">
        <f>IF(AND(N1023=1,U1023=1),C1023,"")</f>
        <v/>
      </c>
      <c r="X1023" s="1" t="n"/>
      <c r="Y1023" s="1" t="n"/>
      <c r="Z1023" s="1" t="n"/>
    </row>
    <row r="1024" hidden="1" ht="16.05" customHeight="1">
      <c r="A1024" s="13" t="n">
        <v>1445</v>
      </c>
      <c r="B1024" s="13">
        <f>IF(OR(M1024="Sam 32",M1024="Sam 40"),"s",IF(M1024="AMS","a","v"))</f>
        <v/>
      </c>
      <c r="C1024" s="130" t="inlineStr">
        <is>
          <t>Санкт-Петербург</t>
        </is>
      </c>
      <c r="D1024" s="130" t="inlineStr">
        <is>
          <t>Санкт-Петербург</t>
        </is>
      </c>
      <c r="E1024" s="130" t="n"/>
      <c r="F1024" s="130" t="n"/>
      <c r="G1024" s="130" t="inlineStr">
        <is>
          <t>Лукойл</t>
        </is>
      </c>
      <c r="H1024" s="131" t="n"/>
      <c r="I1024" s="637" t="inlineStr">
        <is>
          <t>183_Школьная</t>
        </is>
      </c>
      <c r="J1024" s="402" t="n"/>
      <c r="K1024" s="640" t="n">
        <v>1</v>
      </c>
      <c r="L1024" s="640" t="n">
        <v>0</v>
      </c>
      <c r="M1024" s="640" t="inlineStr">
        <is>
          <t>Sam 32</t>
        </is>
      </c>
      <c r="N1024" s="640" t="n"/>
      <c r="O1024" s="640">
        <f>IF(AND(N1024=1,L1024=1),K1024,"")</f>
        <v/>
      </c>
      <c r="P1024" s="642" t="inlineStr">
        <is>
          <t>Санкт-Петербург, Школьная улица, д.91, лит.А</t>
        </is>
      </c>
      <c r="Q1024" s="640" t="n"/>
      <c r="R1024" s="422" t="n"/>
      <c r="S1024" s="436" t="n"/>
      <c r="V1024" s="438">
        <f>IF(AND(N1024=1,U1024=1),C1024,"")</f>
        <v/>
      </c>
      <c r="X1024" s="1" t="n"/>
      <c r="Y1024" s="1" t="n"/>
      <c r="Z1024" s="1" t="n"/>
    </row>
    <row r="1025" hidden="1" ht="16.05" customHeight="1">
      <c r="A1025" s="13" t="n">
        <v>1446</v>
      </c>
      <c r="B1025" s="13">
        <f>IF(OR(M1025="Sam 32",M1025="Sam 40"),"s",IF(M1025="AMS","a","v"))</f>
        <v/>
      </c>
      <c r="C1025" s="130" t="inlineStr">
        <is>
          <t>Санкт-Петербург</t>
        </is>
      </c>
      <c r="D1025" s="130" t="inlineStr">
        <is>
          <t>Санкт-Петербург</t>
        </is>
      </c>
      <c r="E1025" s="130" t="n"/>
      <c r="F1025" s="130" t="n"/>
      <c r="G1025" s="130" t="inlineStr">
        <is>
          <t>Лукойл</t>
        </is>
      </c>
      <c r="H1025" s="131" t="n"/>
      <c r="I1025" s="637" t="inlineStr">
        <is>
          <t>184_Зотовская</t>
        </is>
      </c>
      <c r="J1025" s="402" t="n"/>
      <c r="K1025" s="640" t="n">
        <v>1</v>
      </c>
      <c r="L1025" s="640" t="n">
        <v>0</v>
      </c>
      <c r="M1025" s="640" t="inlineStr">
        <is>
          <t>Sam 32</t>
        </is>
      </c>
      <c r="N1025" s="640" t="n"/>
      <c r="O1025" s="640">
        <f>IF(AND(N1025=1,L1025=1),K1025,"")</f>
        <v/>
      </c>
      <c r="P1025" s="642" t="inlineStr">
        <is>
          <t>Санкт-Петербург, Шафировский пр., д.21</t>
        </is>
      </c>
      <c r="Q1025" s="640" t="n"/>
      <c r="R1025" s="422" t="n"/>
      <c r="S1025" s="436" t="n"/>
      <c r="V1025" s="438">
        <f>IF(AND(N1025=1,U1025=1),C1025,"")</f>
        <v/>
      </c>
      <c r="X1025" s="1" t="n"/>
      <c r="Y1025" s="1" t="n"/>
      <c r="Z1025" s="1" t="n"/>
    </row>
    <row r="1026" hidden="1" ht="16.05" customHeight="1">
      <c r="A1026" s="13" t="n">
        <v>1447</v>
      </c>
      <c r="B1026" s="13">
        <f>IF(OR(M1026="Sam 32",M1026="Sam 40"),"s",IF(M1026="AMS","a","v"))</f>
        <v/>
      </c>
      <c r="C1026" s="130" t="inlineStr">
        <is>
          <t>Санкт-Петербург</t>
        </is>
      </c>
      <c r="D1026" s="130" t="inlineStr">
        <is>
          <t>Санкт-Петербург</t>
        </is>
      </c>
      <c r="E1026" s="130" t="n"/>
      <c r="F1026" s="130" t="n"/>
      <c r="G1026" s="130" t="inlineStr">
        <is>
          <t>Лукойл</t>
        </is>
      </c>
      <c r="H1026" s="131" t="n"/>
      <c r="I1026" s="637" t="inlineStr">
        <is>
          <t>185_Магнитогорская</t>
        </is>
      </c>
      <c r="J1026" s="402" t="n"/>
      <c r="K1026" s="640" t="n">
        <v>1</v>
      </c>
      <c r="L1026" s="640" t="n">
        <v>0</v>
      </c>
      <c r="M1026" s="640" t="inlineStr">
        <is>
          <t>Sam 32</t>
        </is>
      </c>
      <c r="N1026" s="640" t="n"/>
      <c r="O1026" s="640">
        <f>IF(AND(N1026=1,L1026=1),K1026,"")</f>
        <v/>
      </c>
      <c r="P1026" s="642" t="inlineStr">
        <is>
          <t>Санкт-Петербург, Магнитогорская , д.34, лит.А</t>
        </is>
      </c>
      <c r="Q1026" s="640" t="n"/>
      <c r="R1026" s="422" t="n"/>
      <c r="S1026" s="436" t="n"/>
      <c r="V1026" s="438">
        <f>IF(AND(N1026=1,U1026=1),C1026,"")</f>
        <v/>
      </c>
      <c r="X1026" s="1" t="n"/>
      <c r="Y1026" s="1" t="n"/>
      <c r="Z1026" s="1" t="n"/>
    </row>
    <row r="1027" hidden="1" ht="16.05" customHeight="1">
      <c r="A1027" s="13" t="n">
        <v>1448</v>
      </c>
      <c r="B1027" s="13">
        <f>IF(OR(M1027="Sam 32",M1027="Sam 40"),"s",IF(M1027="AMS","a","v"))</f>
        <v/>
      </c>
      <c r="C1027" s="130" t="inlineStr">
        <is>
          <t>Санкт-Петербург</t>
        </is>
      </c>
      <c r="D1027" s="130" t="inlineStr">
        <is>
          <t>Санкт-Петербург</t>
        </is>
      </c>
      <c r="E1027" s="130" t="n"/>
      <c r="F1027" s="130" t="n"/>
      <c r="G1027" s="130" t="inlineStr">
        <is>
          <t>Лукойл</t>
        </is>
      </c>
      <c r="H1027" s="131" t="n"/>
      <c r="I1027" s="637" t="inlineStr">
        <is>
          <t>186_пр.Культуры</t>
        </is>
      </c>
      <c r="J1027" s="402" t="n"/>
      <c r="K1027" s="640" t="n">
        <v>1</v>
      </c>
      <c r="L1027" s="640" t="n">
        <v>0</v>
      </c>
      <c r="M1027" s="640" t="inlineStr">
        <is>
          <t>Sam 32</t>
        </is>
      </c>
      <c r="N1027" s="640" t="n"/>
      <c r="O1027" s="640">
        <f>IF(AND(N1027=1,L1027=1),K1027,"")</f>
        <v/>
      </c>
      <c r="P1027" s="642" t="inlineStr">
        <is>
          <t>Санкт-Петербург, пр.Культуры, д.49, лит.А</t>
        </is>
      </c>
      <c r="Q1027" s="640" t="n"/>
      <c r="R1027" s="422" t="n"/>
      <c r="S1027" s="436" t="n"/>
      <c r="V1027" s="438">
        <f>IF(AND(N1027=1,U1027=1),C1027,"")</f>
        <v/>
      </c>
      <c r="X1027" s="1" t="n"/>
      <c r="Y1027" s="1" t="n"/>
      <c r="Z1027" s="1" t="n"/>
    </row>
    <row r="1028" hidden="1" ht="16.05" customHeight="1">
      <c r="A1028" s="13" t="n">
        <v>1449</v>
      </c>
      <c r="B1028" s="13">
        <f>IF(OR(M1028="Sam 32",M1028="Sam 40"),"s",IF(M1028="AMS","a","v"))</f>
        <v/>
      </c>
      <c r="C1028" s="130" t="inlineStr">
        <is>
          <t>Санкт-Петербург</t>
        </is>
      </c>
      <c r="D1028" s="130" t="inlineStr">
        <is>
          <t>Санкт-Петербург</t>
        </is>
      </c>
      <c r="E1028" s="130" t="n"/>
      <c r="F1028" s="130" t="n"/>
      <c r="G1028" s="130" t="inlineStr">
        <is>
          <t>Лукойл</t>
        </is>
      </c>
      <c r="H1028" s="131" t="n"/>
      <c r="I1028" s="637" t="inlineStr">
        <is>
          <t>187_Полюстровская</t>
        </is>
      </c>
      <c r="J1028" s="402" t="n"/>
      <c r="K1028" s="640" t="n">
        <v>1</v>
      </c>
      <c r="L1028" s="640" t="n">
        <v>0</v>
      </c>
      <c r="M1028" s="640" t="inlineStr">
        <is>
          <t>Sam 32</t>
        </is>
      </c>
      <c r="N1028" s="640" t="n"/>
      <c r="O1028" s="640">
        <f>IF(AND(N1028=1,L1028=1),K1028,"")</f>
        <v/>
      </c>
      <c r="P1028" s="642" t="inlineStr">
        <is>
          <t>Санкт-Петербург, Полюстровский пр., д.93</t>
        </is>
      </c>
      <c r="Q1028" s="640" t="n"/>
      <c r="R1028" s="422" t="n"/>
      <c r="S1028" s="436" t="n"/>
      <c r="V1028" s="438">
        <f>IF(AND(N1028=1,U1028=1),C1028,"")</f>
        <v/>
      </c>
      <c r="X1028" s="1" t="n"/>
      <c r="Y1028" s="1" t="n"/>
      <c r="Z1028" s="1" t="n"/>
    </row>
    <row r="1029" hidden="1" ht="16.05" customHeight="1">
      <c r="A1029" s="13" t="n">
        <v>1450</v>
      </c>
      <c r="B1029" s="13">
        <f>IF(OR(M1029="Sam 32",M1029="Sam 40"),"s",IF(M1029="AMS","a","v"))</f>
        <v/>
      </c>
      <c r="C1029" s="130" t="inlineStr">
        <is>
          <t>Санкт-Петербург</t>
        </is>
      </c>
      <c r="D1029" s="130" t="inlineStr">
        <is>
          <t>Санкт-Петербург</t>
        </is>
      </c>
      <c r="E1029" s="130" t="n"/>
      <c r="F1029" s="130" t="n"/>
      <c r="G1029" s="130" t="inlineStr">
        <is>
          <t>Лукойл</t>
        </is>
      </c>
      <c r="H1029" s="131" t="n"/>
      <c r="I1029" s="637" t="inlineStr">
        <is>
          <t>188_Металлострой (на внешнем управлении)</t>
        </is>
      </c>
      <c r="J1029" s="402" t="n"/>
      <c r="K1029" s="640" t="n">
        <v>1</v>
      </c>
      <c r="L1029" s="640" t="n">
        <v>0</v>
      </c>
      <c r="M1029" s="640" t="inlineStr">
        <is>
          <t>Sam 32</t>
        </is>
      </c>
      <c r="N1029" s="640" t="n"/>
      <c r="O1029" s="640">
        <f>IF(AND(N1029=1,L1029=1),K1029,"")</f>
        <v/>
      </c>
      <c r="P1029" s="642" t="inlineStr">
        <is>
          <t>Санкт-Петербург, п.Металлострой, Дорога на Металлострой, д.4, кор.6, лит.А</t>
        </is>
      </c>
      <c r="Q1029" s="640" t="n"/>
      <c r="R1029" s="422" t="n"/>
      <c r="S1029" s="436" t="n"/>
      <c r="V1029" s="438">
        <f>IF(AND(N1029=1,U1029=1),C1029,"")</f>
        <v/>
      </c>
      <c r="X1029" s="1" t="n"/>
      <c r="Y1029" s="1" t="n"/>
      <c r="Z1029" s="1" t="n"/>
    </row>
    <row r="1030" hidden="1" ht="16.05" customHeight="1">
      <c r="A1030" s="13" t="n">
        <v>1451</v>
      </c>
      <c r="B1030" s="13">
        <f>IF(OR(M1030="Sam 32",M1030="Sam 40"),"s",IF(M1030="AMS","a","v"))</f>
        <v/>
      </c>
      <c r="C1030" s="130" t="inlineStr">
        <is>
          <t>Санкт-Петербург</t>
        </is>
      </c>
      <c r="D1030" s="130" t="inlineStr">
        <is>
          <t>Санкт-Петербург</t>
        </is>
      </c>
      <c r="E1030" s="130" t="n"/>
      <c r="F1030" s="130" t="n"/>
      <c r="G1030" s="130" t="inlineStr">
        <is>
          <t>Лукойл</t>
        </is>
      </c>
      <c r="H1030" s="131" t="n"/>
      <c r="I1030" s="637" t="inlineStr">
        <is>
          <t>189_Сабировская</t>
        </is>
      </c>
      <c r="J1030" s="402" t="n"/>
      <c r="K1030" s="640" t="n">
        <v>1</v>
      </c>
      <c r="L1030" s="640" t="n">
        <v>0</v>
      </c>
      <c r="M1030" s="640" t="inlineStr">
        <is>
          <t>Sam 32</t>
        </is>
      </c>
      <c r="N1030" s="640" t="n"/>
      <c r="O1030" s="640">
        <f>IF(AND(N1030=1,L1030=1),K1030,"")</f>
        <v/>
      </c>
      <c r="P1030" s="642" t="inlineStr">
        <is>
          <t>Санкт-Петербург, Полевая Сабировская, д.48, кор.2, лит.А</t>
        </is>
      </c>
      <c r="Q1030" s="640" t="n"/>
      <c r="R1030" s="422" t="n"/>
      <c r="S1030" s="436" t="n"/>
      <c r="V1030" s="438">
        <f>IF(AND(N1030=1,U1030=1),C1030,"")</f>
        <v/>
      </c>
      <c r="X1030" s="1" t="n"/>
      <c r="Y1030" s="1" t="n"/>
      <c r="Z1030" s="1" t="n"/>
    </row>
    <row r="1031" hidden="1" ht="16.05" customHeight="1">
      <c r="A1031" s="13" t="n">
        <v>1452</v>
      </c>
      <c r="B1031" s="13">
        <f>IF(OR(M1031="Sam 32",M1031="Sam 40"),"s",IF(M1031="AMS","a","v"))</f>
        <v/>
      </c>
      <c r="C1031" s="130" t="inlineStr">
        <is>
          <t>Санкт-Петербург</t>
        </is>
      </c>
      <c r="D1031" s="130" t="inlineStr">
        <is>
          <t>Санкт-Петербург</t>
        </is>
      </c>
      <c r="E1031" s="130" t="n"/>
      <c r="F1031" s="130" t="n"/>
      <c r="G1031" s="130" t="inlineStr">
        <is>
          <t>Лукойл</t>
        </is>
      </c>
      <c r="H1031" s="131" t="n"/>
      <c r="I1031" s="637" t="inlineStr">
        <is>
          <t>190_Петродворец-2</t>
        </is>
      </c>
      <c r="J1031" s="402" t="n"/>
      <c r="K1031" s="640" t="n">
        <v>1</v>
      </c>
      <c r="L1031" s="640" t="n">
        <v>0</v>
      </c>
      <c r="M1031" s="640" t="inlineStr">
        <is>
          <t>Sam 32</t>
        </is>
      </c>
      <c r="N1031" s="640" t="n"/>
      <c r="O1031" s="640">
        <f>IF(AND(N1031=1,L1031=1),K1031,"")</f>
        <v/>
      </c>
      <c r="P1031" s="642" t="inlineStr">
        <is>
          <t>Санкт-Петербург, г.Петродворец, Демьяна Бедного, д.29</t>
        </is>
      </c>
      <c r="Q1031" s="640" t="n"/>
      <c r="R1031" s="422" t="n"/>
      <c r="S1031" s="436" t="n"/>
      <c r="V1031" s="438">
        <f>IF(AND(N1031=1,U1031=1),C1031,"")</f>
        <v/>
      </c>
      <c r="X1031" s="1" t="n"/>
      <c r="Y1031" s="1" t="n"/>
      <c r="Z1031" s="1" t="n"/>
    </row>
    <row r="1032" hidden="1" ht="16.05" customFormat="1" customHeight="1" s="126">
      <c r="A1032" s="125" t="n">
        <v>1453</v>
      </c>
      <c r="B1032" s="125" t="n"/>
      <c r="C1032" s="130" t="inlineStr">
        <is>
          <t>Краснодар</t>
        </is>
      </c>
      <c r="D1032" s="130" t="inlineStr">
        <is>
          <t>Краснодар</t>
        </is>
      </c>
      <c r="E1032" s="130" t="n"/>
      <c r="F1032" s="130" t="inlineStr">
        <is>
          <t>АЗС</t>
        </is>
      </c>
      <c r="G1032" s="130" t="inlineStr">
        <is>
          <t>Лукойл</t>
        </is>
      </c>
      <c r="H1032" s="131" t="inlineStr">
        <is>
          <t>LUK_277</t>
        </is>
      </c>
      <c r="I1032" s="637" t="inlineStr">
        <is>
          <t>23277</t>
        </is>
      </c>
      <c r="J1032" s="637" t="inlineStr">
        <is>
          <t>KDR_LUK_23277</t>
        </is>
      </c>
      <c r="K1032" s="640" t="n">
        <v>1</v>
      </c>
      <c r="L1032" s="640" t="n">
        <v>0</v>
      </c>
      <c r="M1032" s="640" t="inlineStr">
        <is>
          <t>Samsung 32" вертикальный</t>
        </is>
      </c>
      <c r="N1032" s="640" t="n"/>
      <c r="O1032" s="640">
        <f>IF(AND(N1032=1,L1032=1),K1032,"")</f>
        <v/>
      </c>
      <c r="P1032" s="642" t="inlineStr">
        <is>
          <t>Краснодар, Карасунский внутригородской округ,  Уральская, 131/1</t>
        </is>
      </c>
      <c r="Q1032" s="640" t="inlineStr">
        <is>
          <t>45.042181</t>
        </is>
      </c>
      <c r="R1032" s="422" t="inlineStr">
        <is>
          <t>39.102942</t>
        </is>
      </c>
      <c r="S1032" s="436" t="n"/>
      <c r="T1032" s="387" t="n"/>
      <c r="U1032" s="387" t="n"/>
      <c r="V1032" s="438">
        <f>IF(AND(N1032=1,U1032=1),C1032,"")</f>
        <v/>
      </c>
      <c r="W1032" s="387" t="n"/>
      <c r="X1032" s="1" t="n"/>
      <c r="Y1032" s="1" t="n"/>
    </row>
    <row r="1033" hidden="1" ht="16.05" customHeight="1">
      <c r="A1033" s="13" t="n">
        <v>1454</v>
      </c>
      <c r="B1033" s="10" t="n"/>
      <c r="C1033" s="130" t="inlineStr">
        <is>
          <t>Краснодар</t>
        </is>
      </c>
      <c r="D1033" s="130" t="inlineStr">
        <is>
          <t>Сочи</t>
        </is>
      </c>
      <c r="E1033" s="130" t="n"/>
      <c r="F1033" s="130" t="n"/>
      <c r="G1033" s="130" t="inlineStr">
        <is>
          <t>Лукойл</t>
        </is>
      </c>
      <c r="H1033" s="131" t="inlineStr">
        <is>
          <t>LUK_282</t>
        </is>
      </c>
      <c r="I1033" s="637" t="inlineStr">
        <is>
          <t>LUK_282</t>
        </is>
      </c>
      <c r="J1033" s="402" t="inlineStr">
        <is>
          <t>SCH_LUK_0282</t>
        </is>
      </c>
      <c r="K1033" s="640" t="n">
        <v>1</v>
      </c>
      <c r="L1033" s="640" t="n">
        <v>0</v>
      </c>
      <c r="M1033" s="640" t="inlineStr">
        <is>
          <t>Sam 32</t>
        </is>
      </c>
      <c r="N1033" s="640" t="n"/>
      <c r="O1033" s="640">
        <f>IF(AND(N1033=1,L1033=1),K1033,"")</f>
        <v/>
      </c>
      <c r="P1033" s="642" t="inlineStr">
        <is>
          <t>Краснодарский край, р-н Туапсинский, с/п Шепсинское</t>
        </is>
      </c>
      <c r="Q1033" s="640" t="n"/>
      <c r="R1033" s="422" t="n"/>
      <c r="S1033" s="436" t="n"/>
      <c r="V1033" s="438">
        <f>IF(AND(N1033=1,U1033=1),C1033,"")</f>
        <v/>
      </c>
      <c r="X1033" s="1" t="n"/>
      <c r="Y1033" s="1" t="n"/>
      <c r="Z1033" s="1" t="n"/>
    </row>
    <row r="1034" hidden="1" ht="16.05" customFormat="1" customHeight="1" s="126">
      <c r="A1034" s="125" t="n">
        <v>1457</v>
      </c>
      <c r="B1034" s="125" t="n"/>
      <c r="C1034" s="130" t="inlineStr">
        <is>
          <t>Москва</t>
        </is>
      </c>
      <c r="D1034" s="130" t="inlineStr">
        <is>
          <t>Московская область</t>
        </is>
      </c>
      <c r="E1034" s="130" t="inlineStr">
        <is>
          <t>М4</t>
        </is>
      </c>
      <c r="F1034" s="130" t="inlineStr">
        <is>
          <t>АЗС</t>
        </is>
      </c>
      <c r="G1034" s="130" t="inlineStr">
        <is>
          <t>Роснефть</t>
        </is>
      </c>
      <c r="H1034" s="131" t="inlineStr">
        <is>
          <t>Аксиньино</t>
        </is>
      </c>
      <c r="I1034" s="637" t="inlineStr">
        <is>
          <t>Аксиньино</t>
        </is>
      </c>
      <c r="J1034" s="637" t="inlineStr">
        <is>
          <t>MSK_TNK_Aksinino</t>
        </is>
      </c>
      <c r="K1034" s="640" t="n">
        <v>1</v>
      </c>
      <c r="L1034" s="640" t="n">
        <v>1</v>
      </c>
      <c r="M1034" s="623" t="inlineStr">
        <is>
          <t>Samsung 32" вертикальный</t>
        </is>
      </c>
      <c r="N1034" s="640" t="n"/>
      <c r="O1034" s="640">
        <f>IF(AND(N1034=1,L1034=1),K1034,"")</f>
        <v/>
      </c>
      <c r="P1034" s="642" t="inlineStr">
        <is>
          <t>Московская область, Ступинский район, МБК 20км, д. Аксиньино</t>
        </is>
      </c>
      <c r="Q1034" s="640" t="inlineStr">
        <is>
          <t>55.143788</t>
        </is>
      </c>
      <c r="R1034" s="494" t="inlineStr">
        <is>
          <t>38.287233</t>
        </is>
      </c>
      <c r="S1034" s="436" t="n"/>
      <c r="T1034" s="387" t="n"/>
      <c r="U1034" s="387" t="n"/>
      <c r="V1034" s="438">
        <f>IF(AND(N1034=1,U1034=1),C1034,"")</f>
        <v/>
      </c>
      <c r="W1034" s="387" t="n"/>
      <c r="X1034" s="387" t="n"/>
      <c r="Y1034" s="387" t="n"/>
    </row>
    <row r="1035" ht="16.05" customFormat="1" customHeight="1" s="126">
      <c r="A1035" s="125" t="n">
        <v>1466</v>
      </c>
      <c r="B1035" s="125" t="inlineStr">
        <is>
          <t>WF</t>
        </is>
      </c>
      <c r="C1035" s="130" t="inlineStr">
        <is>
          <t>Москва</t>
        </is>
      </c>
      <c r="D1035" s="130" t="inlineStr">
        <is>
          <t>Москва</t>
        </is>
      </c>
      <c r="E1035" s="130" t="inlineStr">
        <is>
          <t>ЦАО</t>
        </is>
      </c>
      <c r="F1035" s="130" t="inlineStr">
        <is>
          <t>Супермаркет</t>
        </is>
      </c>
      <c r="G1035" s="130" t="inlineStr">
        <is>
          <t>Азбука Вкуса</t>
        </is>
      </c>
      <c r="H1035" s="131" t="n"/>
      <c r="I1035" s="637" t="inlineStr">
        <is>
          <t>91_Daily</t>
        </is>
      </c>
      <c r="J1035" s="637" t="inlineStr">
        <is>
          <t>MSK_D_091</t>
        </is>
      </c>
      <c r="K1035" s="640" t="n">
        <v>2</v>
      </c>
      <c r="L1035" s="640" t="n">
        <v>1</v>
      </c>
      <c r="M1035" s="623" t="inlineStr">
        <is>
          <t>Samsung 43" вертикальный</t>
        </is>
      </c>
      <c r="N1035" s="640" t="n">
        <v>1</v>
      </c>
      <c r="O1035" s="640">
        <f>IF(AND(N1035=1,L1035=1),K1035,"")</f>
        <v/>
      </c>
      <c r="P1035" s="642" t="inlineStr">
        <is>
          <t>Москва, 2-я Фрунзенская , д. 10</t>
        </is>
      </c>
      <c r="Q1035" s="640" t="inlineStr">
        <is>
          <t>55.7237265</t>
        </is>
      </c>
      <c r="R1035" s="494" t="inlineStr">
        <is>
          <t>37.5822155</t>
        </is>
      </c>
      <c r="S1035" s="528" t="n">
        <v>24</v>
      </c>
      <c r="T1035" s="436">
        <f>IF(N1035=1,O1035*S1035,"")</f>
        <v/>
      </c>
      <c r="U1035" s="387" t="n"/>
      <c r="V1035" s="438">
        <f>IF(AND(N1035=1,U1035=1),C1035,"")</f>
        <v/>
      </c>
      <c r="W1035" s="387" t="n"/>
      <c r="X1035" s="387" t="n"/>
      <c r="Y1035" s="387" t="n"/>
    </row>
    <row r="1036" hidden="1" ht="16.05" customFormat="1" customHeight="1" s="126">
      <c r="A1036" s="125" t="n">
        <v>1468</v>
      </c>
      <c r="B1036" s="125" t="inlineStr">
        <is>
          <t>WF</t>
        </is>
      </c>
      <c r="C1036" s="130" t="inlineStr">
        <is>
          <t>Москва</t>
        </is>
      </c>
      <c r="D1036" s="130" t="inlineStr">
        <is>
          <t>Москва</t>
        </is>
      </c>
      <c r="E1036" s="130" t="inlineStr">
        <is>
          <t>СВАО</t>
        </is>
      </c>
      <c r="F1036" s="130" t="inlineStr">
        <is>
          <t>Супермаркет</t>
        </is>
      </c>
      <c r="G1036" s="130" t="inlineStr">
        <is>
          <t>Азбука Вкуса</t>
        </is>
      </c>
      <c r="H1036" s="131" t="n"/>
      <c r="I1036" s="637" t="inlineStr">
        <is>
          <t>92_Daily</t>
        </is>
      </c>
      <c r="J1036" s="637" t="inlineStr">
        <is>
          <t>MSK_D_092</t>
        </is>
      </c>
      <c r="K1036" s="640" t="n">
        <v>2</v>
      </c>
      <c r="L1036" s="640" t="n">
        <v>1</v>
      </c>
      <c r="M1036" s="623" t="inlineStr">
        <is>
          <t>Samsung 43" вертикальный</t>
        </is>
      </c>
      <c r="N1036" s="640" t="n"/>
      <c r="O1036" s="640">
        <f>IF(AND(N1036=1,L1036=1),K1036,"")</f>
        <v/>
      </c>
      <c r="P1036" s="642" t="inlineStr">
        <is>
          <t>Москва, Проспект Мира, д. 112</t>
        </is>
      </c>
      <c r="Q1036" s="640" t="inlineStr">
        <is>
          <t>55.8067049</t>
        </is>
      </c>
      <c r="R1036" s="494" t="inlineStr">
        <is>
          <t>37.6375026</t>
        </is>
      </c>
      <c r="S1036" s="528" t="n">
        <v>24</v>
      </c>
      <c r="T1036" s="436">
        <f>IF(N1036=1,O1036*S1036,"")</f>
        <v/>
      </c>
      <c r="U1036" s="387" t="n"/>
      <c r="V1036" s="438">
        <f>IF(AND(N1036=1,U1036=1),C1036,"")</f>
        <v/>
      </c>
      <c r="W1036" s="387" t="n"/>
      <c r="X1036" s="387" t="n"/>
      <c r="Y1036" s="387" t="n"/>
    </row>
    <row r="1037" hidden="1" ht="16.05" customHeight="1">
      <c r="A1037" s="13" t="n">
        <v>1458</v>
      </c>
      <c r="B1037" s="10" t="n"/>
      <c r="C1037" s="130" t="inlineStr">
        <is>
          <t>СПБ</t>
        </is>
      </c>
      <c r="D1037" s="130" t="inlineStr">
        <is>
          <t>СПБ</t>
        </is>
      </c>
      <c r="E1037" s="130" t="n"/>
      <c r="F1037" s="130" t="n"/>
      <c r="G1037" s="130" t="inlineStr">
        <is>
          <t>ПТК</t>
        </is>
      </c>
      <c r="H1037" s="131" t="inlineStr">
        <is>
          <t>SPB_PTK_M1</t>
        </is>
      </c>
      <c r="I1037" s="637" t="inlineStr">
        <is>
          <t>SPB_PTK_M1</t>
        </is>
      </c>
      <c r="J1037" s="402" t="n"/>
      <c r="K1037" s="640" t="n">
        <v>5</v>
      </c>
      <c r="L1037" s="640" t="n">
        <v>0</v>
      </c>
      <c r="M1037" s="640" t="inlineStr">
        <is>
          <t>Sam 40</t>
        </is>
      </c>
      <c r="N1037" s="640" t="n"/>
      <c r="O1037" s="640">
        <f>IF(AND(N1037=1,L1037=1),K1037,"")</f>
        <v/>
      </c>
      <c r="P1037" s="642" t="n"/>
      <c r="Q1037" s="640" t="n"/>
      <c r="R1037" s="422" t="n"/>
      <c r="S1037" s="436" t="n"/>
      <c r="V1037" s="438">
        <f>IF(AND(N1037=1,U1037=1),C1037,"")</f>
        <v/>
      </c>
      <c r="X1037" s="1" t="n"/>
      <c r="Y1037" s="1" t="n"/>
      <c r="Z1037" s="1" t="n"/>
    </row>
    <row r="1038" hidden="1" ht="16.05" customHeight="1">
      <c r="A1038" s="13" t="n">
        <v>1463</v>
      </c>
      <c r="B1038" s="10" t="n"/>
      <c r="C1038" s="130" t="inlineStr">
        <is>
          <t>СПБ</t>
        </is>
      </c>
      <c r="D1038" s="130" t="inlineStr">
        <is>
          <t>СПБ</t>
        </is>
      </c>
      <c r="E1038" s="130" t="n"/>
      <c r="F1038" s="130" t="n"/>
      <c r="G1038" s="130" t="inlineStr">
        <is>
          <t>ПТК</t>
        </is>
      </c>
      <c r="H1038" s="131" t="inlineStr">
        <is>
          <t>SPB_PTK</t>
        </is>
      </c>
      <c r="I1038" s="637" t="inlineStr">
        <is>
          <t>SPB_PTK</t>
        </is>
      </c>
      <c r="J1038" s="402" t="n"/>
      <c r="K1038" s="640" t="n">
        <v>1</v>
      </c>
      <c r="L1038" s="640" t="n">
        <v>0</v>
      </c>
      <c r="M1038" s="640" t="inlineStr">
        <is>
          <t>Sam 32</t>
        </is>
      </c>
      <c r="N1038" s="640" t="n"/>
      <c r="O1038" s="640">
        <f>IF(AND(N1038=1,L1038=1),K1038,"")</f>
        <v/>
      </c>
      <c r="P1038" s="642" t="n"/>
      <c r="Q1038" s="640" t="n"/>
      <c r="R1038" s="422" t="n"/>
      <c r="S1038" s="436" t="n"/>
      <c r="V1038" s="438">
        <f>IF(AND(N1038=1,U1038=1),C1038,"")</f>
        <v/>
      </c>
      <c r="X1038" s="1" t="n"/>
      <c r="Y1038" s="1" t="n"/>
      <c r="Z1038" s="1" t="n"/>
    </row>
    <row r="1039" hidden="1" ht="16.05" customFormat="1" customHeight="1" s="126">
      <c r="A1039" s="125" t="n">
        <v>1464</v>
      </c>
      <c r="B1039" s="125" t="inlineStr">
        <is>
          <t>WF</t>
        </is>
      </c>
      <c r="C1039" s="130" t="inlineStr">
        <is>
          <t>Нижний Новгород</t>
        </is>
      </c>
      <c r="D1039" s="130" t="inlineStr">
        <is>
          <t>Нижний Новгород</t>
        </is>
      </c>
      <c r="E1039" s="130" t="n"/>
      <c r="F1039" s="130" t="inlineStr">
        <is>
          <t>АЗС</t>
        </is>
      </c>
      <c r="G1039" s="130" t="inlineStr">
        <is>
          <t>Лукойл</t>
        </is>
      </c>
      <c r="H1039" s="131" t="n">
        <v>12</v>
      </c>
      <c r="I1039" s="637" t="n">
        <v>52012</v>
      </c>
      <c r="J1039" s="402" t="inlineStr">
        <is>
          <t>NN_LUK_52012</t>
        </is>
      </c>
      <c r="K1039" s="640" t="n">
        <v>1</v>
      </c>
      <c r="L1039" s="640" t="n">
        <v>0</v>
      </c>
      <c r="M1039" s="640" t="inlineStr">
        <is>
          <t>1 октября</t>
        </is>
      </c>
      <c r="N1039" s="640" t="n"/>
      <c r="O1039" s="640">
        <f>IF(AND(N1039=1,L1039=1),K1039,"")</f>
        <v/>
      </c>
      <c r="P1039" s="642" t="inlineStr">
        <is>
          <t xml:space="preserve">Россия, 603108, Нижегородская обл., г. Нижний Новгород, ул.Кузбасская, 1 а   </t>
        </is>
      </c>
      <c r="Q1039" s="640" t="n">
        <v>56.3068425</v>
      </c>
      <c r="R1039" s="422" t="n">
        <v>43.8727802</v>
      </c>
      <c r="S1039" s="436" t="n"/>
      <c r="T1039" s="387" t="n"/>
      <c r="U1039" s="387" t="n"/>
      <c r="V1039" s="438">
        <f>IF(AND(N1039=1,U1039=1),C1039,"")</f>
        <v/>
      </c>
      <c r="W1039" s="387" t="n"/>
      <c r="X1039" s="1" t="n"/>
      <c r="Y1039" s="1" t="n"/>
    </row>
    <row r="1040" hidden="1" ht="16.05" customHeight="1">
      <c r="A1040" s="13" t="n">
        <v>1465</v>
      </c>
      <c r="B1040" s="10" t="n"/>
      <c r="C1040" s="130" t="inlineStr">
        <is>
          <t>Ростов-на-Дону</t>
        </is>
      </c>
      <c r="D1040" s="130" t="inlineStr">
        <is>
          <t>Ростов-на-Дону</t>
        </is>
      </c>
      <c r="E1040" s="130" t="n"/>
      <c r="F1040" s="130" t="n"/>
      <c r="G1040" s="130" t="inlineStr">
        <is>
          <t>Роснефть</t>
        </is>
      </c>
      <c r="H1040" s="131" t="inlineStr">
        <is>
          <t>RND_0108</t>
        </is>
      </c>
      <c r="I1040" s="637" t="inlineStr">
        <is>
          <t>RND_0108</t>
        </is>
      </c>
      <c r="J1040" s="402" t="inlineStr">
        <is>
          <t>RST_RN_0108</t>
        </is>
      </c>
      <c r="K1040" s="640" t="n">
        <v>1</v>
      </c>
      <c r="L1040" s="640" t="n">
        <v>0</v>
      </c>
      <c r="M1040" s="640" t="inlineStr">
        <is>
          <t>Sam 32</t>
        </is>
      </c>
      <c r="N1040" s="640" t="n"/>
      <c r="O1040" s="640">
        <f>IF(AND(N1040=1,L1040=1),K1040,"")</f>
        <v/>
      </c>
      <c r="P1040" s="642" t="n"/>
      <c r="Q1040" s="640" t="n"/>
      <c r="R1040" s="422" t="n"/>
      <c r="S1040" s="436" t="n"/>
      <c r="V1040" s="438">
        <f>IF(AND(N1040=1,U1040=1),C1040,"")</f>
        <v/>
      </c>
      <c r="X1040" s="1" t="n"/>
      <c r="Y1040" s="1" t="n"/>
      <c r="Z1040" s="1" t="n"/>
    </row>
    <row r="1041" hidden="1" ht="16.05" customFormat="1" customHeight="1" s="126">
      <c r="A1041" s="125" t="n">
        <v>1483</v>
      </c>
      <c r="B1041" s="125" t="n"/>
      <c r="C1041" s="130" t="inlineStr">
        <is>
          <t>Ростов-на-Дону</t>
        </is>
      </c>
      <c r="D1041" s="130" t="inlineStr">
        <is>
          <t>Ростовская область</t>
        </is>
      </c>
      <c r="E1041" s="130" t="n"/>
      <c r="F1041" s="130" t="inlineStr">
        <is>
          <t>АЗС</t>
        </is>
      </c>
      <c r="G1041" s="130" t="inlineStr">
        <is>
          <t>Роснефть</t>
        </is>
      </c>
      <c r="H1041" s="131" t="n">
        <v>3</v>
      </c>
      <c r="I1041" s="637" t="n">
        <v>3</v>
      </c>
      <c r="J1041" s="637" t="inlineStr">
        <is>
          <t>RND_RN_0003</t>
        </is>
      </c>
      <c r="K1041" s="640" t="n">
        <v>1</v>
      </c>
      <c r="L1041" s="640" t="n">
        <v>1</v>
      </c>
      <c r="M1041" s="623" t="inlineStr">
        <is>
          <t>Samsung 32" вертикальный</t>
        </is>
      </c>
      <c r="N1041" s="640" t="n"/>
      <c r="O1041" s="640">
        <f>IF(AND(N1041=1,L1041=1),K1041,"")</f>
        <v/>
      </c>
      <c r="P1041" s="642" t="inlineStr">
        <is>
          <t>Ростовская область, Мясниковский район,9 км автодороги Ростов-на-Дону-Таганрог (А-280, 9-й километр)</t>
        </is>
      </c>
      <c r="Q1041" s="640" t="inlineStr">
        <is>
          <t>47.26542</t>
        </is>
      </c>
      <c r="R1041" s="494" t="inlineStr">
        <is>
          <t>39.580595</t>
        </is>
      </c>
      <c r="S1041" s="436" t="n"/>
      <c r="T1041" s="387" t="n"/>
      <c r="U1041" s="436" t="n">
        <v>1</v>
      </c>
      <c r="V1041" s="438">
        <f>IF(AND(N1041=1,U1041=1),C1041,"")</f>
        <v/>
      </c>
      <c r="W1041" s="387" t="n"/>
      <c r="X1041" s="387" t="n"/>
      <c r="Y1041" s="387" t="n"/>
    </row>
    <row r="1042" hidden="1" ht="16.05" customFormat="1" customHeight="1" s="126">
      <c r="A1042" s="125" t="n">
        <v>1484</v>
      </c>
      <c r="B1042" s="125" t="n"/>
      <c r="C1042" s="130" t="inlineStr">
        <is>
          <t>Ростов-на-Дону</t>
        </is>
      </c>
      <c r="D1042" s="130" t="inlineStr">
        <is>
          <t>Ростов-на-Дону</t>
        </is>
      </c>
      <c r="E1042" s="130" t="n"/>
      <c r="F1042" s="130" t="inlineStr">
        <is>
          <t>АЗС</t>
        </is>
      </c>
      <c r="G1042" s="130" t="inlineStr">
        <is>
          <t>Роснефть</t>
        </is>
      </c>
      <c r="H1042" s="131" t="n">
        <v>27</v>
      </c>
      <c r="I1042" s="637" t="n">
        <v>27</v>
      </c>
      <c r="J1042" s="637" t="inlineStr">
        <is>
          <t>RND_RN_0027</t>
        </is>
      </c>
      <c r="K1042" s="640" t="n">
        <v>1</v>
      </c>
      <c r="L1042" s="640" t="n">
        <v>1</v>
      </c>
      <c r="M1042" s="623" t="inlineStr">
        <is>
          <t>Samsung 32" вертикальный</t>
        </is>
      </c>
      <c r="N1042" s="640" t="n"/>
      <c r="O1042" s="640">
        <f>IF(AND(N1042=1,L1042=1),K1042,"")</f>
        <v/>
      </c>
      <c r="P1042" s="642" t="inlineStr">
        <is>
          <t>Ростов-на-Дону, Первомайский район,  Вятская,116</t>
        </is>
      </c>
      <c r="Q1042" s="640" t="inlineStr">
        <is>
          <t>47.279855</t>
        </is>
      </c>
      <c r="R1042" s="494" t="inlineStr">
        <is>
          <t>39.767762</t>
        </is>
      </c>
      <c r="S1042" s="436" t="n"/>
      <c r="T1042" s="387" t="n"/>
      <c r="U1042" s="436" t="n">
        <v>1</v>
      </c>
      <c r="V1042" s="438">
        <f>IF(AND(N1042=1,U1042=1),C1042,"")</f>
        <v/>
      </c>
      <c r="W1042" s="387" t="n"/>
      <c r="X1042" s="387" t="n"/>
      <c r="Y1042" s="387" t="n"/>
    </row>
    <row r="1043" hidden="1" ht="16.05" customHeight="1">
      <c r="A1043" s="13" t="n">
        <v>1470</v>
      </c>
      <c r="B1043" s="10" t="n"/>
      <c r="C1043" s="130" t="inlineStr">
        <is>
          <t>Ростов-на-Дону</t>
        </is>
      </c>
      <c r="D1043" s="130" t="inlineStr">
        <is>
          <t>Ростов-на-Дону</t>
        </is>
      </c>
      <c r="E1043" s="130" t="n"/>
      <c r="F1043" s="130" t="n"/>
      <c r="G1043" s="130" t="inlineStr">
        <is>
          <t>ТНК</t>
        </is>
      </c>
      <c r="H1043" s="131" t="inlineStr">
        <is>
          <t>RND_0027</t>
        </is>
      </c>
      <c r="I1043" s="637" t="inlineStr">
        <is>
          <t>RND_0027</t>
        </is>
      </c>
      <c r="J1043" s="402" t="inlineStr">
        <is>
          <t>RND_TNK_0027</t>
        </is>
      </c>
      <c r="K1043" s="640" t="n">
        <v>1</v>
      </c>
      <c r="L1043" s="640" t="n">
        <v>0</v>
      </c>
      <c r="M1043" s="640" t="inlineStr">
        <is>
          <t>Sam 32</t>
        </is>
      </c>
      <c r="N1043" s="640" t="n"/>
      <c r="O1043" s="640">
        <f>IF(AND(N1043=1,L1043=1),K1043,"")</f>
        <v/>
      </c>
      <c r="P1043" s="642" t="n"/>
      <c r="Q1043" s="640" t="n"/>
      <c r="R1043" s="422" t="n"/>
      <c r="S1043" s="436" t="n"/>
      <c r="V1043" s="438">
        <f>IF(AND(N1043=1,U1043=1),C1043,"")</f>
        <v/>
      </c>
      <c r="X1043" s="1" t="n"/>
      <c r="Y1043" s="1" t="n"/>
      <c r="Z1043" s="1" t="n"/>
    </row>
    <row r="1044" hidden="1" ht="16.05" customHeight="1">
      <c r="A1044" s="13" t="n">
        <v>1471</v>
      </c>
      <c r="B1044" s="10" t="n"/>
      <c r="C1044" s="130" t="inlineStr">
        <is>
          <t>СПБ</t>
        </is>
      </c>
      <c r="D1044" s="130" t="inlineStr">
        <is>
          <t>СПБ</t>
        </is>
      </c>
      <c r="E1044" s="130" t="n"/>
      <c r="F1044" s="130" t="n"/>
      <c r="G1044" s="130" t="inlineStr">
        <is>
          <t>Лукойл</t>
        </is>
      </c>
      <c r="H1044" s="131" t="inlineStr">
        <is>
          <t>SPB_0000</t>
        </is>
      </c>
      <c r="I1044" s="637" t="inlineStr">
        <is>
          <t>SPB_0000</t>
        </is>
      </c>
      <c r="J1044" s="402" t="n"/>
      <c r="K1044" s="640" t="n">
        <v>1</v>
      </c>
      <c r="L1044" s="640" t="n">
        <v>0</v>
      </c>
      <c r="M1044" s="640" t="inlineStr">
        <is>
          <t>Sam 32</t>
        </is>
      </c>
      <c r="N1044" s="640" t="n"/>
      <c r="O1044" s="640">
        <f>IF(AND(N1044=1,L1044=1),K1044,"")</f>
        <v/>
      </c>
      <c r="P1044" s="642" t="n"/>
      <c r="Q1044" s="640" t="n"/>
      <c r="R1044" s="422" t="n"/>
      <c r="S1044" s="436" t="n"/>
      <c r="V1044" s="438">
        <f>IF(AND(N1044=1,U1044=1),C1044,"")</f>
        <v/>
      </c>
      <c r="X1044" s="1" t="n"/>
      <c r="Y1044" s="1" t="n"/>
      <c r="Z1044" s="1" t="n"/>
    </row>
    <row r="1045" hidden="1" ht="16.05" customFormat="1" customHeight="1" s="126">
      <c r="A1045" s="125" t="n">
        <v>1472</v>
      </c>
      <c r="B1045" s="125" t="n"/>
      <c r="C1045" s="130" t="inlineStr">
        <is>
          <t>Пенза</t>
        </is>
      </c>
      <c r="D1045" s="130" t="inlineStr">
        <is>
          <t>Пенза</t>
        </is>
      </c>
      <c r="E1045" s="130" t="n"/>
      <c r="F1045" s="130" t="inlineStr">
        <is>
          <t>АЗС</t>
        </is>
      </c>
      <c r="G1045" s="130" t="inlineStr">
        <is>
          <t>Лукойл</t>
        </is>
      </c>
      <c r="H1045" s="131" t="inlineStr">
        <is>
          <t>АЗК-251</t>
        </is>
      </c>
      <c r="I1045" s="637" t="n">
        <v>58600</v>
      </c>
      <c r="J1045" s="637" t="inlineStr">
        <is>
          <t>PNZ_LUK_58600</t>
        </is>
      </c>
      <c r="K1045" s="640" t="n">
        <v>1</v>
      </c>
      <c r="L1045" s="640" t="n">
        <v>0</v>
      </c>
      <c r="M1045" s="640" t="inlineStr">
        <is>
          <t>Samsung 32" вертикальный</t>
        </is>
      </c>
      <c r="N1045" s="640" t="n"/>
      <c r="O1045" s="640">
        <f>IF(AND(N1045=1,L1045=1),K1045,"")</f>
        <v/>
      </c>
      <c r="P1045" s="642" t="inlineStr">
        <is>
          <t>Пенза, пр-т Строителей, 148А</t>
        </is>
      </c>
      <c r="Q1045" s="640" t="inlineStr">
        <is>
          <t>53.220808</t>
        </is>
      </c>
      <c r="R1045" s="422" t="inlineStr">
        <is>
          <t>44.891027</t>
        </is>
      </c>
      <c r="S1045" s="436" t="n"/>
      <c r="T1045" s="387" t="n"/>
      <c r="U1045" s="387" t="n"/>
      <c r="V1045" s="438">
        <f>IF(AND(N1045=1,U1045=1),C1045,"")</f>
        <v/>
      </c>
      <c r="W1045" s="387" t="n"/>
      <c r="X1045" s="1" t="n"/>
      <c r="Y1045" s="1" t="n"/>
    </row>
    <row r="1046" hidden="1" ht="16.05" customFormat="1" customHeight="1" s="126">
      <c r="A1046" s="125" t="n">
        <v>1473</v>
      </c>
      <c r="B1046" s="125" t="n"/>
      <c r="C1046" s="130" t="inlineStr">
        <is>
          <t>Пенза</t>
        </is>
      </c>
      <c r="D1046" s="130" t="inlineStr">
        <is>
          <t>Пенза</t>
        </is>
      </c>
      <c r="E1046" s="130" t="n"/>
      <c r="F1046" s="130" t="inlineStr">
        <is>
          <t>АЗС</t>
        </is>
      </c>
      <c r="G1046" s="130" t="inlineStr">
        <is>
          <t>Лукойл</t>
        </is>
      </c>
      <c r="H1046" s="131" t="inlineStr">
        <is>
          <t>АЗК-252</t>
        </is>
      </c>
      <c r="I1046" s="637" t="n">
        <v>58601</v>
      </c>
      <c r="J1046" s="637" t="inlineStr">
        <is>
          <t>PNZ_LUK_58601</t>
        </is>
      </c>
      <c r="K1046" s="640" t="n">
        <v>1</v>
      </c>
      <c r="L1046" s="640" t="n">
        <v>0</v>
      </c>
      <c r="M1046" s="640" t="inlineStr">
        <is>
          <t>Samsung 32" вертикальный</t>
        </is>
      </c>
      <c r="N1046" s="640" t="n"/>
      <c r="O1046" s="640">
        <f>IF(AND(N1046=1,L1046=1),K1046,"")</f>
        <v/>
      </c>
      <c r="P1046" s="642" t="inlineStr">
        <is>
          <t>Пенза, 625-й км а/д "Москва-Челябинск"</t>
        </is>
      </c>
      <c r="Q1046" s="640" t="inlineStr">
        <is>
          <t>53.2336551</t>
        </is>
      </c>
      <c r="R1046" s="422" t="inlineStr">
        <is>
          <t>44.8892891</t>
        </is>
      </c>
      <c r="S1046" s="436" t="n"/>
      <c r="T1046" s="387" t="n"/>
      <c r="U1046" s="387" t="n"/>
      <c r="V1046" s="438">
        <f>IF(AND(N1046=1,U1046=1),C1046,"")</f>
        <v/>
      </c>
      <c r="W1046" s="387" t="n"/>
      <c r="X1046" s="1" t="n"/>
      <c r="Y1046" s="1" t="n"/>
    </row>
    <row r="1047" hidden="1" ht="16.05" customFormat="1" customHeight="1" s="126">
      <c r="A1047" s="125" t="n">
        <v>1474</v>
      </c>
      <c r="B1047" s="125" t="n"/>
      <c r="C1047" s="130" t="inlineStr">
        <is>
          <t>Пенза</t>
        </is>
      </c>
      <c r="D1047" s="130" t="inlineStr">
        <is>
          <t>Пенза</t>
        </is>
      </c>
      <c r="E1047" s="130" t="n"/>
      <c r="F1047" s="130" t="inlineStr">
        <is>
          <t>АЗС</t>
        </is>
      </c>
      <c r="G1047" s="130" t="inlineStr">
        <is>
          <t>Лукойл</t>
        </is>
      </c>
      <c r="H1047" s="131" t="inlineStr">
        <is>
          <t>АЗК-253</t>
        </is>
      </c>
      <c r="I1047" s="637" t="n">
        <v>58602</v>
      </c>
      <c r="J1047" s="637" t="inlineStr">
        <is>
          <t>PNZ_LUK_58602</t>
        </is>
      </c>
      <c r="K1047" s="640" t="n">
        <v>1</v>
      </c>
      <c r="L1047" s="640" t="n">
        <v>0</v>
      </c>
      <c r="M1047" s="640" t="inlineStr">
        <is>
          <t>Samsung 32" вертикальный</t>
        </is>
      </c>
      <c r="N1047" s="640" t="n"/>
      <c r="O1047" s="640">
        <f>IF(AND(N1047=1,L1047=1),K1047,"")</f>
        <v/>
      </c>
      <c r="P1047" s="642" t="inlineStr">
        <is>
          <t>Пенза,  Калинина, 150А</t>
        </is>
      </c>
      <c r="Q1047" s="640" t="inlineStr">
        <is>
          <t>53.1605559</t>
        </is>
      </c>
      <c r="R1047" s="422" t="inlineStr">
        <is>
          <t>44.9978978</t>
        </is>
      </c>
      <c r="S1047" s="436" t="n"/>
      <c r="T1047" s="387" t="n"/>
      <c r="U1047" s="387" t="n"/>
      <c r="V1047" s="438">
        <f>IF(AND(N1047=1,U1047=1),C1047,"")</f>
        <v/>
      </c>
      <c r="W1047" s="387" t="n"/>
      <c r="X1047" s="1" t="n"/>
      <c r="Y1047" s="1" t="n"/>
    </row>
    <row r="1048" hidden="1" ht="16.05" customFormat="1" customHeight="1" s="126">
      <c r="A1048" s="125" t="n">
        <v>1475</v>
      </c>
      <c r="B1048" s="125" t="n"/>
      <c r="C1048" s="130" t="inlineStr">
        <is>
          <t>Пенза</t>
        </is>
      </c>
      <c r="D1048" s="130" t="inlineStr">
        <is>
          <t>Пензенская область</t>
        </is>
      </c>
      <c r="E1048" s="130" t="n"/>
      <c r="F1048" s="130" t="inlineStr">
        <is>
          <t>АЗС</t>
        </is>
      </c>
      <c r="G1048" s="130" t="inlineStr">
        <is>
          <t>Лукойл</t>
        </is>
      </c>
      <c r="H1048" s="131" t="inlineStr">
        <is>
          <t>АЗК-254</t>
        </is>
      </c>
      <c r="I1048" s="637" t="n">
        <v>58603</v>
      </c>
      <c r="J1048" s="637" t="inlineStr">
        <is>
          <t>PNZ_LUK_58603</t>
        </is>
      </c>
      <c r="K1048" s="640" t="n">
        <v>1</v>
      </c>
      <c r="L1048" s="640" t="n">
        <v>0</v>
      </c>
      <c r="M1048" s="640" t="inlineStr">
        <is>
          <t>Samsung 32" вертикальный</t>
        </is>
      </c>
      <c r="N1048" s="640" t="n"/>
      <c r="O1048" s="640">
        <f>IF(AND(N1048=1,L1048=1),K1048,"")</f>
        <v/>
      </c>
      <c r="P1048" s="642" t="inlineStr">
        <is>
          <t>Пензенская область, Бессоновский район , с.Чемодановка,  Фабричная, 1А</t>
        </is>
      </c>
      <c r="Q1048" s="640" t="inlineStr">
        <is>
          <t>53.2201159</t>
        </is>
      </c>
      <c r="R1048" s="422" t="inlineStr">
        <is>
          <t>45.256269</t>
        </is>
      </c>
      <c r="S1048" s="436" t="n"/>
      <c r="T1048" s="387" t="n"/>
      <c r="U1048" s="387" t="n"/>
      <c r="V1048" s="438">
        <f>IF(AND(N1048=1,U1048=1),C1048,"")</f>
        <v/>
      </c>
      <c r="W1048" s="387" t="n"/>
      <c r="X1048" s="1" t="n"/>
      <c r="Y1048" s="1" t="n"/>
    </row>
    <row r="1049" hidden="1" ht="16.05" customFormat="1" customHeight="1" s="126">
      <c r="A1049" s="125" t="n">
        <v>1476</v>
      </c>
      <c r="B1049" s="125" t="n"/>
      <c r="C1049" s="130" t="inlineStr">
        <is>
          <t>Пенза</t>
        </is>
      </c>
      <c r="D1049" s="130" t="inlineStr">
        <is>
          <t>Пенза</t>
        </is>
      </c>
      <c r="E1049" s="130" t="n"/>
      <c r="F1049" s="130" t="inlineStr">
        <is>
          <t>АЗС</t>
        </is>
      </c>
      <c r="G1049" s="130" t="inlineStr">
        <is>
          <t>Лукойл</t>
        </is>
      </c>
      <c r="H1049" s="131" t="inlineStr">
        <is>
          <t>АЗК-258</t>
        </is>
      </c>
      <c r="I1049" s="637" t="n">
        <v>58607</v>
      </c>
      <c r="J1049" s="637" t="inlineStr">
        <is>
          <t>PNZ_LUK_58607</t>
        </is>
      </c>
      <c r="K1049" s="640" t="n">
        <v>1</v>
      </c>
      <c r="L1049" s="640" t="n">
        <v>0</v>
      </c>
      <c r="M1049" s="640" t="inlineStr">
        <is>
          <t>Samsung 32" вертикальный</t>
        </is>
      </c>
      <c r="N1049" s="640" t="n"/>
      <c r="O1049" s="640">
        <f>IF(AND(N1049=1,L1049=1),K1049,"")</f>
        <v/>
      </c>
      <c r="P1049" s="642" t="inlineStr">
        <is>
          <t>Пенза,  Ворошилова, 2Б</t>
        </is>
      </c>
      <c r="Q1049" s="640" t="inlineStr">
        <is>
          <t>53.2029255</t>
        </is>
      </c>
      <c r="R1049" s="422" t="inlineStr">
        <is>
          <t>44.9988306</t>
        </is>
      </c>
      <c r="S1049" s="436" t="n"/>
      <c r="T1049" s="387" t="n"/>
      <c r="U1049" s="387" t="n"/>
      <c r="V1049" s="438">
        <f>IF(AND(N1049=1,U1049=1),C1049,"")</f>
        <v/>
      </c>
      <c r="W1049" s="387" t="n"/>
      <c r="X1049" s="1" t="n"/>
      <c r="Y1049" s="1" t="n"/>
    </row>
    <row r="1050" hidden="1" ht="16.05" customFormat="1" customHeight="1" s="126">
      <c r="A1050" s="125" t="n">
        <v>1477</v>
      </c>
      <c r="B1050" s="125" t="n"/>
      <c r="C1050" s="130" t="inlineStr">
        <is>
          <t>Пенза</t>
        </is>
      </c>
      <c r="D1050" s="130" t="inlineStr">
        <is>
          <t>Пенза</t>
        </is>
      </c>
      <c r="E1050" s="130" t="n"/>
      <c r="F1050" s="130" t="inlineStr">
        <is>
          <t>АЗС</t>
        </is>
      </c>
      <c r="G1050" s="130" t="inlineStr">
        <is>
          <t>Лукойл</t>
        </is>
      </c>
      <c r="H1050" s="131" t="inlineStr">
        <is>
          <t>АЗК-262</t>
        </is>
      </c>
      <c r="I1050" s="637" t="n">
        <v>58611</v>
      </c>
      <c r="J1050" s="637" t="inlineStr">
        <is>
          <t>PNZ_LUK_58611</t>
        </is>
      </c>
      <c r="K1050" s="640" t="n">
        <v>1</v>
      </c>
      <c r="L1050" s="640" t="n">
        <v>0</v>
      </c>
      <c r="M1050" s="640" t="inlineStr">
        <is>
          <t>Samsung 32" вертикальный</t>
        </is>
      </c>
      <c r="N1050" s="640" t="n"/>
      <c r="O1050" s="640">
        <f>IF(AND(N1050=1,L1050=1),K1050,"")</f>
        <v/>
      </c>
      <c r="P1050" s="642" t="inlineStr">
        <is>
          <t>Пенза,  Аустрина, 133Б</t>
        </is>
      </c>
      <c r="Q1050" s="640" t="inlineStr">
        <is>
          <t>53.2413124</t>
        </is>
      </c>
      <c r="R1050" s="422" t="inlineStr">
        <is>
          <t>45.0146931</t>
        </is>
      </c>
      <c r="S1050" s="436" t="n"/>
      <c r="T1050" s="387" t="n"/>
      <c r="U1050" s="387" t="n"/>
      <c r="V1050" s="438">
        <f>IF(AND(N1050=1,U1050=1),C1050,"")</f>
        <v/>
      </c>
      <c r="W1050" s="387" t="n"/>
      <c r="X1050" s="1" t="n"/>
      <c r="Y1050" s="1" t="n"/>
    </row>
    <row r="1051" hidden="1" ht="16.05" customFormat="1" customHeight="1" s="126">
      <c r="A1051" s="125" t="n">
        <v>1478</v>
      </c>
      <c r="B1051" s="125" t="n"/>
      <c r="C1051" s="130" t="inlineStr">
        <is>
          <t>Пенза</t>
        </is>
      </c>
      <c r="D1051" s="130" t="inlineStr">
        <is>
          <t>Пенза</t>
        </is>
      </c>
      <c r="E1051" s="130" t="n"/>
      <c r="F1051" s="130" t="inlineStr">
        <is>
          <t>АЗС</t>
        </is>
      </c>
      <c r="G1051" s="130" t="inlineStr">
        <is>
          <t>Лукойл</t>
        </is>
      </c>
      <c r="H1051" s="131" t="inlineStr">
        <is>
          <t>АЗК-264</t>
        </is>
      </c>
      <c r="I1051" s="637" t="n">
        <v>58613</v>
      </c>
      <c r="J1051" s="637" t="inlineStr">
        <is>
          <t>PNZ_LUK_58613</t>
        </is>
      </c>
      <c r="K1051" s="640" t="n">
        <v>1</v>
      </c>
      <c r="L1051" s="640" t="n">
        <v>0</v>
      </c>
      <c r="M1051" s="640" t="inlineStr">
        <is>
          <t>Samsung 32" вертикальный</t>
        </is>
      </c>
      <c r="N1051" s="640" t="n"/>
      <c r="O1051" s="640">
        <f>IF(AND(N1051=1,L1051=1),K1051,"")</f>
        <v/>
      </c>
      <c r="P1051" s="642" t="inlineStr">
        <is>
          <t>Пенза, пр-т Строителей, 11Д</t>
        </is>
      </c>
      <c r="Q1051" s="640" t="inlineStr">
        <is>
          <t>53.2214456</t>
        </is>
      </c>
      <c r="R1051" s="422" t="inlineStr">
        <is>
          <t>44.9333256</t>
        </is>
      </c>
      <c r="S1051" s="436" t="n"/>
      <c r="T1051" s="387" t="n"/>
      <c r="U1051" s="387" t="n"/>
      <c r="V1051" s="438">
        <f>IF(AND(N1051=1,U1051=1),C1051,"")</f>
        <v/>
      </c>
      <c r="W1051" s="387" t="n"/>
      <c r="X1051" s="1" t="n"/>
      <c r="Y1051" s="1" t="n"/>
    </row>
    <row r="1052" hidden="1" ht="16.05" customFormat="1" customHeight="1" s="126">
      <c r="A1052" s="125" t="n">
        <v>1479</v>
      </c>
      <c r="B1052" s="125" t="n"/>
      <c r="C1052" s="130" t="inlineStr">
        <is>
          <t>Пенза</t>
        </is>
      </c>
      <c r="D1052" s="130" t="inlineStr">
        <is>
          <t>Пенза</t>
        </is>
      </c>
      <c r="E1052" s="130" t="n"/>
      <c r="F1052" s="130" t="inlineStr">
        <is>
          <t>АЗС</t>
        </is>
      </c>
      <c r="G1052" s="130" t="inlineStr">
        <is>
          <t>Лукойл</t>
        </is>
      </c>
      <c r="H1052" s="131" t="inlineStr">
        <is>
          <t>АЗК-265</t>
        </is>
      </c>
      <c r="I1052" s="637" t="n">
        <v>58614</v>
      </c>
      <c r="J1052" s="637" t="inlineStr">
        <is>
          <t>PNZ_LUK_58614</t>
        </is>
      </c>
      <c r="K1052" s="640" t="n">
        <v>1</v>
      </c>
      <c r="L1052" s="640" t="n">
        <v>0</v>
      </c>
      <c r="M1052" s="640" t="inlineStr">
        <is>
          <t>Samsung 32" вертикальный</t>
        </is>
      </c>
      <c r="N1052" s="640" t="n"/>
      <c r="O1052" s="640">
        <f>IF(AND(N1052=1,L1052=1),K1052,"")</f>
        <v/>
      </c>
      <c r="P1052" s="642" t="inlineStr">
        <is>
          <t>Пенза,  Измайлова, 58</t>
        </is>
      </c>
      <c r="Q1052" s="640" t="inlineStr">
        <is>
          <t>53.183198</t>
        </is>
      </c>
      <c r="R1052" s="422" t="inlineStr">
        <is>
          <t>45.0534041</t>
        </is>
      </c>
      <c r="S1052" s="436" t="n"/>
      <c r="T1052" s="387" t="n"/>
      <c r="U1052" s="387" t="n"/>
      <c r="V1052" s="438">
        <f>IF(AND(N1052=1,U1052=1),C1052,"")</f>
        <v/>
      </c>
      <c r="W1052" s="387" t="n"/>
      <c r="X1052" s="1" t="n"/>
      <c r="Y1052" s="1" t="n"/>
    </row>
    <row r="1053" hidden="1" ht="16.05" customFormat="1" customHeight="1" s="126">
      <c r="A1053" s="125" t="n">
        <v>1480</v>
      </c>
      <c r="B1053" s="125" t="n"/>
      <c r="C1053" s="130" t="inlineStr">
        <is>
          <t>Пенза</t>
        </is>
      </c>
      <c r="D1053" s="130" t="inlineStr">
        <is>
          <t>Пенза</t>
        </is>
      </c>
      <c r="E1053" s="130" t="n"/>
      <c r="F1053" s="130" t="inlineStr">
        <is>
          <t>АЗС</t>
        </is>
      </c>
      <c r="G1053" s="130" t="inlineStr">
        <is>
          <t>Лукойл</t>
        </is>
      </c>
      <c r="H1053" s="131" t="inlineStr">
        <is>
          <t>АЗК-268</t>
        </is>
      </c>
      <c r="I1053" s="637" t="n">
        <v>58617</v>
      </c>
      <c r="J1053" s="637" t="inlineStr">
        <is>
          <t>PNZ_LUK_58617</t>
        </is>
      </c>
      <c r="K1053" s="640" t="n">
        <v>1</v>
      </c>
      <c r="L1053" s="640" t="n">
        <v>0</v>
      </c>
      <c r="M1053" s="640" t="inlineStr">
        <is>
          <t>Samsung 32" вертикальный</t>
        </is>
      </c>
      <c r="N1053" s="640" t="n"/>
      <c r="O1053" s="640">
        <f>IF(AND(N1053=1,L1053=1),K1053,"")</f>
        <v/>
      </c>
      <c r="P1053" s="642" t="inlineStr">
        <is>
          <t>Пенза,  Экспериментальная, 7</t>
        </is>
      </c>
      <c r="Q1053" s="640" t="inlineStr">
        <is>
          <t>53.1321641</t>
        </is>
      </c>
      <c r="R1053" s="422" t="inlineStr">
        <is>
          <t>45.0213262</t>
        </is>
      </c>
      <c r="S1053" s="436" t="n"/>
      <c r="T1053" s="387" t="n"/>
      <c r="U1053" s="387" t="n"/>
      <c r="V1053" s="438">
        <f>IF(AND(N1053=1,U1053=1),C1053,"")</f>
        <v/>
      </c>
      <c r="W1053" s="387" t="n"/>
      <c r="X1053" s="1" t="n"/>
      <c r="Y1053" s="1" t="n"/>
    </row>
    <row r="1054" hidden="1" ht="16.05" customFormat="1" customHeight="1" s="126">
      <c r="A1054" s="125" t="n">
        <v>1481</v>
      </c>
      <c r="B1054" s="125" t="n"/>
      <c r="C1054" s="130" t="inlineStr">
        <is>
          <t>Пенза</t>
        </is>
      </c>
      <c r="D1054" s="130" t="inlineStr">
        <is>
          <t>Пенза</t>
        </is>
      </c>
      <c r="E1054" s="130" t="n"/>
      <c r="F1054" s="130" t="inlineStr">
        <is>
          <t>АЗС</t>
        </is>
      </c>
      <c r="G1054" s="130" t="inlineStr">
        <is>
          <t>Лукойл</t>
        </is>
      </c>
      <c r="H1054" s="131" t="inlineStr">
        <is>
          <t>АЗК-273</t>
        </is>
      </c>
      <c r="I1054" s="637" t="n">
        <v>58622</v>
      </c>
      <c r="J1054" s="637" t="inlineStr">
        <is>
          <t>PNZ_LUK_58622</t>
        </is>
      </c>
      <c r="K1054" s="640" t="n">
        <v>1</v>
      </c>
      <c r="L1054" s="640" t="n">
        <v>0</v>
      </c>
      <c r="M1054" s="640" t="inlineStr">
        <is>
          <t>Samsung 32" вертикальный</t>
        </is>
      </c>
      <c r="N1054" s="640" t="n"/>
      <c r="O1054" s="640">
        <f>IF(AND(N1054=1,L1054=1),K1054,"")</f>
        <v/>
      </c>
      <c r="P1054" s="642" t="inlineStr">
        <is>
          <t>Пенза, Первомайский район, Бийская, 1П</t>
        </is>
      </c>
      <c r="Q1054" s="640" t="inlineStr">
        <is>
          <t>53.1392924</t>
        </is>
      </c>
      <c r="R1054" s="422" t="inlineStr">
        <is>
          <t>44.9687469</t>
        </is>
      </c>
      <c r="S1054" s="436" t="n"/>
      <c r="T1054" s="387" t="n"/>
      <c r="U1054" s="387" t="n"/>
      <c r="V1054" s="438">
        <f>IF(AND(N1054=1,U1054=1),C1054,"")</f>
        <v/>
      </c>
      <c r="W1054" s="387" t="n"/>
      <c r="X1054" s="1" t="n"/>
      <c r="Y1054" s="1" t="n"/>
    </row>
    <row r="1055" hidden="1" ht="16.05" customFormat="1" customHeight="1" s="126">
      <c r="A1055" s="125" t="n">
        <v>1482</v>
      </c>
      <c r="B1055" s="125" t="n"/>
      <c r="C1055" s="130" t="inlineStr">
        <is>
          <t>Пенза</t>
        </is>
      </c>
      <c r="D1055" s="130" t="inlineStr">
        <is>
          <t>Пензенская область</t>
        </is>
      </c>
      <c r="E1055" s="130" t="n"/>
      <c r="F1055" s="130" t="inlineStr">
        <is>
          <t>АЗС</t>
        </is>
      </c>
      <c r="G1055" s="130" t="inlineStr">
        <is>
          <t>Лукойл</t>
        </is>
      </c>
      <c r="H1055" s="131" t="inlineStr">
        <is>
          <t>АЗК-274</t>
        </is>
      </c>
      <c r="I1055" s="637" t="n">
        <v>58623</v>
      </c>
      <c r="J1055" s="637" t="inlineStr">
        <is>
          <t>PNZ_LUK_58623</t>
        </is>
      </c>
      <c r="K1055" s="640" t="n">
        <v>1</v>
      </c>
      <c r="L1055" s="640" t="n">
        <v>0</v>
      </c>
      <c r="M1055" s="640" t="inlineStr">
        <is>
          <t>Samsung 32" вертикальный</t>
        </is>
      </c>
      <c r="N1055" s="640" t="n"/>
      <c r="O1055" s="640">
        <f>IF(AND(N1055=1,L1055=1),K1055,"")</f>
        <v/>
      </c>
      <c r="P1055" s="642" t="inlineStr">
        <is>
          <t>Пензенская область, Бессоновский район, с. Трофимовка,  Центральная, 10</t>
        </is>
      </c>
      <c r="Q1055" s="640" t="inlineStr">
        <is>
          <t>53.232298</t>
        </is>
      </c>
      <c r="R1055" s="422" t="inlineStr">
        <is>
          <t>45.380319</t>
        </is>
      </c>
      <c r="S1055" s="436" t="n"/>
      <c r="T1055" s="387" t="n"/>
      <c r="U1055" s="387" t="n"/>
      <c r="V1055" s="438">
        <f>IF(AND(N1055=1,U1055=1),C1055,"")</f>
        <v/>
      </c>
      <c r="W1055" s="387" t="n"/>
      <c r="X1055" s="1" t="n"/>
      <c r="Y1055" s="1" t="n"/>
    </row>
    <row r="1056" hidden="1" ht="16.05" customFormat="1" customHeight="1" s="126">
      <c r="A1056" s="125" t="n">
        <v>1485</v>
      </c>
      <c r="B1056" s="125" t="n"/>
      <c r="C1056" s="130" t="inlineStr">
        <is>
          <t>Ростов-на-Дону</t>
        </is>
      </c>
      <c r="D1056" s="130" t="inlineStr">
        <is>
          <t>Ростов-на-Дону</t>
        </is>
      </c>
      <c r="E1056" s="130" t="n"/>
      <c r="F1056" s="130" t="inlineStr">
        <is>
          <t>АЗС</t>
        </is>
      </c>
      <c r="G1056" s="130" t="inlineStr">
        <is>
          <t>Роснефть</t>
        </is>
      </c>
      <c r="H1056" s="131" t="n">
        <v>31</v>
      </c>
      <c r="I1056" s="637" t="n">
        <v>31</v>
      </c>
      <c r="J1056" s="637" t="inlineStr">
        <is>
          <t>RND_RN_0031</t>
        </is>
      </c>
      <c r="K1056" s="640" t="n">
        <v>1</v>
      </c>
      <c r="L1056" s="640" t="n">
        <v>1</v>
      </c>
      <c r="M1056" s="623" t="inlineStr">
        <is>
          <t>Samsung 32" вертикальный</t>
        </is>
      </c>
      <c r="N1056" s="640" t="n"/>
      <c r="O1056" s="640">
        <f>IF(AND(N1056=1,L1056=1),K1056,"")</f>
        <v/>
      </c>
      <c r="P1056" s="642" t="inlineStr">
        <is>
          <t>Ростов-на-Дону, Советский район,  Малиновского,7 а</t>
        </is>
      </c>
      <c r="Q1056" s="640" t="inlineStr">
        <is>
          <t>47.204848</t>
        </is>
      </c>
      <c r="R1056" s="494" t="inlineStr">
        <is>
          <t>39.612371</t>
        </is>
      </c>
      <c r="S1056" s="436" t="n"/>
      <c r="T1056" s="387" t="n"/>
      <c r="U1056" s="387" t="n"/>
      <c r="V1056" s="438">
        <f>IF(AND(N1056=1,U1056=1),C1056,"")</f>
        <v/>
      </c>
      <c r="W1056" s="387" t="n"/>
      <c r="X1056" s="387" t="n"/>
      <c r="Y1056" s="387" t="n"/>
    </row>
    <row r="1057" hidden="1" ht="16.05" customFormat="1" customHeight="1" s="126">
      <c r="A1057" s="125" t="n">
        <v>1486</v>
      </c>
      <c r="B1057" s="125" t="n"/>
      <c r="C1057" s="130" t="inlineStr">
        <is>
          <t>Ростов-на-Дону</t>
        </is>
      </c>
      <c r="D1057" s="130" t="inlineStr">
        <is>
          <t>Батайск</t>
        </is>
      </c>
      <c r="E1057" s="130" t="n"/>
      <c r="F1057" s="130" t="inlineStr">
        <is>
          <t>АЗС</t>
        </is>
      </c>
      <c r="G1057" s="130" t="inlineStr">
        <is>
          <t>Роснефть</t>
        </is>
      </c>
      <c r="H1057" s="131" t="n">
        <v>84</v>
      </c>
      <c r="I1057" s="637" t="n">
        <v>84</v>
      </c>
      <c r="J1057" s="637" t="inlineStr">
        <is>
          <t>RND_RN_0084</t>
        </is>
      </c>
      <c r="K1057" s="640" t="n">
        <v>1</v>
      </c>
      <c r="L1057" s="640" t="n">
        <v>1</v>
      </c>
      <c r="M1057" s="623" t="inlineStr">
        <is>
          <t>Samsung 32" вертикальный</t>
        </is>
      </c>
      <c r="N1057" s="640" t="n"/>
      <c r="O1057" s="640">
        <f>IF(AND(N1057=1,L1057=1),K1057,"")</f>
        <v/>
      </c>
      <c r="P1057" s="642" t="inlineStr">
        <is>
          <t>Ростовская область, г. Батайск, Сальское шоссе,1 30 км от ростова на трассе</t>
        </is>
      </c>
      <c r="Q1057" s="640" t="inlineStr">
        <is>
          <t>47.0909805297852</t>
        </is>
      </c>
      <c r="R1057" s="494" t="inlineStr">
        <is>
          <t>39.7648468017578</t>
        </is>
      </c>
      <c r="S1057" s="436" t="n"/>
      <c r="T1057" s="387" t="n"/>
      <c r="U1057" s="387" t="n"/>
      <c r="V1057" s="438">
        <f>IF(AND(N1057=1,U1057=1),C1057,"")</f>
        <v/>
      </c>
      <c r="W1057" s="387" t="n"/>
      <c r="X1057" s="387" t="n"/>
      <c r="Y1057" s="387" t="n"/>
    </row>
    <row r="1058" hidden="1" ht="16.05" customFormat="1" customHeight="1" s="126">
      <c r="A1058" s="125" t="n">
        <v>1487</v>
      </c>
      <c r="B1058" s="125" t="n"/>
      <c r="C1058" s="130" t="inlineStr">
        <is>
          <t>Ростов-на-Дону</t>
        </is>
      </c>
      <c r="D1058" s="130" t="inlineStr">
        <is>
          <t>Ростов-на-Дону</t>
        </is>
      </c>
      <c r="E1058" s="130" t="n"/>
      <c r="F1058" s="130" t="inlineStr">
        <is>
          <t>АЗС</t>
        </is>
      </c>
      <c r="G1058" s="130" t="inlineStr">
        <is>
          <t>Роснефть</t>
        </is>
      </c>
      <c r="H1058" s="131" t="n">
        <v>105</v>
      </c>
      <c r="I1058" s="637" t="n">
        <v>105</v>
      </c>
      <c r="J1058" s="637" t="inlineStr">
        <is>
          <t>RND_RN_0105</t>
        </is>
      </c>
      <c r="K1058" s="640" t="n">
        <v>1</v>
      </c>
      <c r="L1058" s="640" t="n">
        <v>0</v>
      </c>
      <c r="M1058" s="623" t="inlineStr">
        <is>
          <t>Samsung 32" вертикальный</t>
        </is>
      </c>
      <c r="N1058" s="640" t="n"/>
      <c r="O1058" s="640">
        <f>IF(AND(N1058=1,L1058=1),K1058,"")</f>
        <v/>
      </c>
      <c r="P1058" s="642" t="inlineStr">
        <is>
          <t>Ростов-на-Дону, Ейская, , 11 а</t>
        </is>
      </c>
      <c r="Q1058" s="640" t="inlineStr">
        <is>
          <t>47.246823</t>
        </is>
      </c>
      <c r="R1058" s="494" t="inlineStr">
        <is>
          <t>39.649004</t>
        </is>
      </c>
      <c r="S1058" s="436" t="n"/>
      <c r="T1058" s="387" t="n"/>
      <c r="U1058" s="387" t="n"/>
      <c r="V1058" s="438">
        <f>IF(AND(N1058=1,U1058=1),C1058,"")</f>
        <v/>
      </c>
      <c r="W1058" s="387" t="n"/>
      <c r="X1058" s="387" t="n"/>
      <c r="Y1058" s="387" t="n"/>
    </row>
    <row r="1059" hidden="1" ht="16.05" customFormat="1" customHeight="1" s="126">
      <c r="A1059" s="125" t="n">
        <v>1489</v>
      </c>
      <c r="B1059" s="125" t="n"/>
      <c r="C1059" s="130" t="inlineStr">
        <is>
          <t>Ростов-на-Дону</t>
        </is>
      </c>
      <c r="D1059" s="130" t="inlineStr">
        <is>
          <t>Аксай</t>
        </is>
      </c>
      <c r="E1059" s="130" t="n"/>
      <c r="F1059" s="130" t="inlineStr">
        <is>
          <t>АЗС</t>
        </is>
      </c>
      <c r="G1059" s="130" t="inlineStr">
        <is>
          <t>Роснефть</t>
        </is>
      </c>
      <c r="H1059" s="131" t="n">
        <v>108</v>
      </c>
      <c r="I1059" s="637" t="n">
        <v>108</v>
      </c>
      <c r="J1059" s="637" t="inlineStr">
        <is>
          <t>RND_RN_0108</t>
        </is>
      </c>
      <c r="K1059" s="640" t="n">
        <v>1</v>
      </c>
      <c r="L1059" s="640" t="n">
        <v>1</v>
      </c>
      <c r="M1059" s="623" t="inlineStr">
        <is>
          <t>Samsung 32" вертикальный</t>
        </is>
      </c>
      <c r="N1059" s="640" t="n"/>
      <c r="O1059" s="640">
        <f>IF(AND(N1059=1,L1059=1),K1059,"")</f>
        <v/>
      </c>
      <c r="P1059" s="642" t="inlineStr">
        <is>
          <t>Ростовская область, Аксайский район, г. Аксай, пр. Аксайский, дом № 4-в</t>
        </is>
      </c>
      <c r="Q1059" s="640" t="inlineStr">
        <is>
          <t>47.271677</t>
        </is>
      </c>
      <c r="R1059" s="494" t="inlineStr">
        <is>
          <t>39.82581</t>
        </is>
      </c>
      <c r="S1059" s="436" t="n"/>
      <c r="T1059" s="387" t="n"/>
      <c r="U1059" s="387" t="n"/>
      <c r="V1059" s="438">
        <f>IF(AND(N1059=1,U1059=1),C1059,"")</f>
        <v/>
      </c>
      <c r="W1059" s="387" t="n"/>
      <c r="X1059" s="387" t="n"/>
      <c r="Y1059" s="387" t="n"/>
    </row>
    <row r="1060" hidden="1" ht="16.05" customFormat="1" customHeight="1" s="126">
      <c r="A1060" s="125" t="n">
        <v>1490</v>
      </c>
      <c r="B1060" s="125" t="n"/>
      <c r="C1060" s="130" t="inlineStr">
        <is>
          <t>Ростов-на-Дону</t>
        </is>
      </c>
      <c r="D1060" s="130" t="inlineStr">
        <is>
          <t>Батайск</t>
        </is>
      </c>
      <c r="E1060" s="130" t="n"/>
      <c r="F1060" s="130" t="inlineStr">
        <is>
          <t>АЗС</t>
        </is>
      </c>
      <c r="G1060" s="130" t="inlineStr">
        <is>
          <t>Роснефть</t>
        </is>
      </c>
      <c r="H1060" s="131" t="n">
        <v>109</v>
      </c>
      <c r="I1060" s="637" t="n">
        <v>109</v>
      </c>
      <c r="J1060" s="637" t="inlineStr">
        <is>
          <t>RND_RN_0109</t>
        </is>
      </c>
      <c r="K1060" s="640" t="n">
        <v>1</v>
      </c>
      <c r="L1060" s="640" t="n">
        <v>1</v>
      </c>
      <c r="M1060" s="623" t="inlineStr">
        <is>
          <t>Samsung 32" вертикальный</t>
        </is>
      </c>
      <c r="N1060" s="640" t="n"/>
      <c r="O1060" s="640">
        <f>IF(AND(N1060=1,L1060=1),K1060,"")</f>
        <v/>
      </c>
      <c r="P1060" s="642" t="inlineStr">
        <is>
          <t>Ростовская область, Батайск, Огородная, 70</t>
        </is>
      </c>
      <c r="Q1060" s="640" t="inlineStr">
        <is>
          <t>47.154339</t>
        </is>
      </c>
      <c r="R1060" s="422" t="inlineStr">
        <is>
          <t>39.736858</t>
        </is>
      </c>
      <c r="S1060" s="436" t="n"/>
      <c r="T1060" s="387" t="n"/>
      <c r="U1060" s="387" t="n"/>
      <c r="V1060" s="438">
        <f>IF(AND(N1060=1,U1060=1),C1060,"")</f>
        <v/>
      </c>
      <c r="W1060" s="387" t="n"/>
      <c r="X1060" s="387" t="n"/>
      <c r="Y1060" s="387" t="n"/>
    </row>
    <row r="1061" hidden="1" ht="16.05" customFormat="1" customHeight="1" s="126">
      <c r="A1061" s="125" t="n">
        <v>1491</v>
      </c>
      <c r="B1061" s="125" t="n"/>
      <c r="C1061" s="130" t="inlineStr">
        <is>
          <t>Ростов-на-Дону</t>
        </is>
      </c>
      <c r="D1061" s="130" t="inlineStr">
        <is>
          <t>Ростов-на-Дону</t>
        </is>
      </c>
      <c r="E1061" s="130" t="n"/>
      <c r="F1061" s="130" t="inlineStr">
        <is>
          <t>АЗС</t>
        </is>
      </c>
      <c r="G1061" s="130" t="inlineStr">
        <is>
          <t>Роснефть</t>
        </is>
      </c>
      <c r="H1061" s="131" t="n">
        <v>112</v>
      </c>
      <c r="I1061" s="637" t="n">
        <v>112</v>
      </c>
      <c r="J1061" s="637" t="inlineStr">
        <is>
          <t>RND_RN_0112</t>
        </is>
      </c>
      <c r="K1061" s="640" t="n">
        <v>1</v>
      </c>
      <c r="L1061" s="640" t="n">
        <v>1</v>
      </c>
      <c r="M1061" s="623" t="inlineStr">
        <is>
          <t>Samsung 32" вертикальный</t>
        </is>
      </c>
      <c r="N1061" s="640" t="n"/>
      <c r="O1061" s="640">
        <f>IF(AND(N1061=1,L1061=1),K1061,"")</f>
        <v/>
      </c>
      <c r="P1061" s="642" t="inlineStr">
        <is>
          <t>Ростов-на-Дону, Зорге, 19/162</t>
        </is>
      </c>
      <c r="Q1061" s="640" t="inlineStr">
        <is>
          <t>47.222353</t>
        </is>
      </c>
      <c r="R1061" s="422" t="inlineStr">
        <is>
          <t>39.630296</t>
        </is>
      </c>
      <c r="S1061" s="436" t="n"/>
      <c r="T1061" s="387" t="n"/>
      <c r="U1061" s="387" t="n"/>
      <c r="V1061" s="438">
        <f>IF(AND(N1061=1,U1061=1),C1061,"")</f>
        <v/>
      </c>
      <c r="W1061" s="387" t="n"/>
      <c r="X1061" s="387" t="n"/>
      <c r="Y1061" s="387" t="n"/>
    </row>
    <row r="1062" hidden="1" ht="16.05" customFormat="1" customHeight="1" s="126">
      <c r="A1062" s="125" t="n">
        <v>1488</v>
      </c>
      <c r="B1062" s="125" t="n"/>
      <c r="C1062" s="130" t="inlineStr">
        <is>
          <t>Ростов-на-Дону</t>
        </is>
      </c>
      <c r="D1062" s="130" t="inlineStr">
        <is>
          <t>Аксай</t>
        </is>
      </c>
      <c r="E1062" s="130" t="n"/>
      <c r="F1062" s="130" t="inlineStr">
        <is>
          <t>АЗС</t>
        </is>
      </c>
      <c r="G1062" s="130" t="inlineStr">
        <is>
          <t>Роснефть</t>
        </is>
      </c>
      <c r="H1062" s="131" t="n">
        <v>107</v>
      </c>
      <c r="I1062" s="637" t="n">
        <v>107</v>
      </c>
      <c r="J1062" s="637" t="inlineStr">
        <is>
          <t>RND_RN_0107</t>
        </is>
      </c>
      <c r="K1062" s="640" t="n">
        <v>1</v>
      </c>
      <c r="L1062" s="640" t="n">
        <v>1</v>
      </c>
      <c r="M1062" s="623" t="inlineStr">
        <is>
          <t>Samsung 32" вертикальный</t>
        </is>
      </c>
      <c r="N1062" s="640" t="n"/>
      <c r="O1062" s="640">
        <f>IF(AND(N1062=1,L1062=1),K1062,"")</f>
        <v/>
      </c>
      <c r="P1062" s="642" t="inlineStr">
        <is>
          <t>Ростовская область, Аксайский район, г. Аксай,  Западная, 62-б</t>
        </is>
      </c>
      <c r="Q1062" s="640" t="inlineStr">
        <is>
          <t>47.283845</t>
        </is>
      </c>
      <c r="R1062" s="422" t="inlineStr">
        <is>
          <t>39.849715</t>
        </is>
      </c>
      <c r="S1062" s="436" t="n"/>
      <c r="T1062" s="387" t="n"/>
      <c r="U1062" s="387" t="n"/>
      <c r="V1062" s="438">
        <f>IF(AND(N1062=1,U1062=1),C1062,"")</f>
        <v/>
      </c>
      <c r="W1062" s="387" t="n"/>
      <c r="X1062" s="387" t="n"/>
      <c r="Y1062" s="387" t="n"/>
    </row>
    <row r="1063" hidden="1" ht="16.05" customFormat="1" customHeight="1" s="126">
      <c r="A1063" s="125" t="n">
        <v>1493</v>
      </c>
      <c r="B1063" s="125" t="n"/>
      <c r="C1063" s="130" t="inlineStr">
        <is>
          <t>Ростов-на-Дону</t>
        </is>
      </c>
      <c r="D1063" s="130" t="inlineStr">
        <is>
          <t>Ростов-на-Дону</t>
        </is>
      </c>
      <c r="E1063" s="130" t="n"/>
      <c r="F1063" s="130" t="inlineStr">
        <is>
          <t>АЗС</t>
        </is>
      </c>
      <c r="G1063" s="130" t="inlineStr">
        <is>
          <t>Роснефть</t>
        </is>
      </c>
      <c r="H1063" s="131" t="n">
        <v>114</v>
      </c>
      <c r="I1063" s="637" t="n">
        <v>114</v>
      </c>
      <c r="J1063" s="637" t="inlineStr">
        <is>
          <t>RND_RN_0114</t>
        </is>
      </c>
      <c r="K1063" s="640" t="n">
        <v>1</v>
      </c>
      <c r="L1063" s="640" t="n">
        <v>1</v>
      </c>
      <c r="M1063" s="623" t="inlineStr">
        <is>
          <t>Samsung 32" вертикальный</t>
        </is>
      </c>
      <c r="N1063" s="640" t="n"/>
      <c r="O1063" s="640">
        <f>IF(AND(N1063=1,L1063=1),K1063,"")</f>
        <v/>
      </c>
      <c r="P1063" s="642" t="inlineStr">
        <is>
          <t>Ростов-на-Дону, Вагулевского, , 9 а</t>
        </is>
      </c>
      <c r="Q1063" s="640" t="inlineStr">
        <is>
          <t>47.214071</t>
        </is>
      </c>
      <c r="R1063" s="494" t="inlineStr">
        <is>
          <t>39.693521</t>
        </is>
      </c>
      <c r="S1063" s="436" t="n"/>
      <c r="T1063" s="387" t="n"/>
      <c r="U1063" s="387" t="n"/>
      <c r="V1063" s="438">
        <f>IF(AND(N1063=1,U1063=1),C1063,"")</f>
        <v/>
      </c>
      <c r="W1063" s="387" t="n"/>
      <c r="X1063" s="387" t="n"/>
      <c r="Y1063" s="387" t="n"/>
    </row>
    <row r="1064" hidden="1" ht="16.05" customFormat="1" customHeight="1" s="126">
      <c r="A1064" s="125" t="n">
        <v>1494</v>
      </c>
      <c r="B1064" s="125" t="n"/>
      <c r="C1064" s="130" t="inlineStr">
        <is>
          <t>Ростов-на-Дону</t>
        </is>
      </c>
      <c r="D1064" s="130" t="inlineStr">
        <is>
          <t>Ростов-на-Дону</t>
        </is>
      </c>
      <c r="E1064" s="130" t="n"/>
      <c r="F1064" s="130" t="inlineStr">
        <is>
          <t>АЗС</t>
        </is>
      </c>
      <c r="G1064" s="130" t="inlineStr">
        <is>
          <t>Роснефть</t>
        </is>
      </c>
      <c r="H1064" s="131" t="n">
        <v>115</v>
      </c>
      <c r="I1064" s="637" t="n">
        <v>115</v>
      </c>
      <c r="J1064" s="637" t="inlineStr">
        <is>
          <t>RND_RN_0115</t>
        </is>
      </c>
      <c r="K1064" s="640" t="n">
        <v>1</v>
      </c>
      <c r="L1064" s="640" t="n">
        <v>1</v>
      </c>
      <c r="M1064" s="623" t="inlineStr">
        <is>
          <t>Samsung 32" вертикальный</t>
        </is>
      </c>
      <c r="N1064" s="640" t="n"/>
      <c r="O1064" s="640">
        <f>IF(AND(N1064=1,L1064=1),K1064,"")</f>
        <v/>
      </c>
      <c r="P1064" s="642" t="inlineStr">
        <is>
          <t>Ростов-на-Дону, Привокзальная, пл., 3</t>
        </is>
      </c>
      <c r="Q1064" s="640" t="inlineStr">
        <is>
          <t>47.218645</t>
        </is>
      </c>
      <c r="R1064" s="494" t="inlineStr">
        <is>
          <t>39.694092</t>
        </is>
      </c>
      <c r="S1064" s="436" t="n"/>
      <c r="T1064" s="387" t="n"/>
      <c r="U1064" s="387" t="n"/>
      <c r="V1064" s="438">
        <f>IF(AND(N1064=1,U1064=1),C1064,"")</f>
        <v/>
      </c>
      <c r="W1064" s="387" t="n"/>
      <c r="X1064" s="387" t="n"/>
      <c r="Y1064" s="387" t="n"/>
    </row>
    <row r="1065" hidden="1" ht="16.05" customFormat="1" customHeight="1" s="126">
      <c r="A1065" s="125" t="n">
        <v>1492</v>
      </c>
      <c r="B1065" s="125" t="n"/>
      <c r="C1065" s="130" t="inlineStr">
        <is>
          <t>Ростов-на-Дону</t>
        </is>
      </c>
      <c r="D1065" s="130" t="inlineStr">
        <is>
          <t>Ростов-на-Дону</t>
        </is>
      </c>
      <c r="E1065" s="130" t="n"/>
      <c r="F1065" s="130" t="inlineStr">
        <is>
          <t>АЗС</t>
        </is>
      </c>
      <c r="G1065" s="130" t="inlineStr">
        <is>
          <t>Роснефть</t>
        </is>
      </c>
      <c r="H1065" s="131" t="n">
        <v>113</v>
      </c>
      <c r="I1065" s="637" t="n">
        <v>113</v>
      </c>
      <c r="J1065" s="637" t="inlineStr">
        <is>
          <t>RND_RN_0113</t>
        </is>
      </c>
      <c r="K1065" s="640" t="n">
        <v>1</v>
      </c>
      <c r="L1065" s="640" t="n">
        <v>0</v>
      </c>
      <c r="M1065" s="640" t="inlineStr">
        <is>
          <t>Samsung 32" вертикальный</t>
        </is>
      </c>
      <c r="N1065" s="640" t="n"/>
      <c r="O1065" s="640">
        <f>IF(AND(N1065=1,L1065=1),K1065,"")</f>
        <v/>
      </c>
      <c r="P1065" s="642" t="inlineStr">
        <is>
          <t>Ростов-на-Дону, Виражный, пер., 21/1</t>
        </is>
      </c>
      <c r="Q1065" s="640" t="inlineStr">
        <is>
          <t>47.212883</t>
        </is>
      </c>
      <c r="R1065" s="422" t="inlineStr">
        <is>
          <t>39.694539</t>
        </is>
      </c>
      <c r="S1065" s="436" t="n"/>
      <c r="T1065" s="387" t="n"/>
      <c r="U1065" s="387" t="n"/>
      <c r="V1065" s="438">
        <f>IF(AND(N1065=1,U1065=1),C1065,"")</f>
        <v/>
      </c>
      <c r="W1065" s="387" t="n"/>
      <c r="X1065" s="387" t="n"/>
      <c r="Y1065" s="387" t="n"/>
    </row>
    <row r="1066" hidden="1" ht="16.05" customFormat="1" customHeight="1" s="126">
      <c r="A1066" s="125" t="n">
        <v>1495</v>
      </c>
      <c r="B1066" s="125" t="n"/>
      <c r="C1066" s="130" t="inlineStr">
        <is>
          <t>Ростов-на-Дону</t>
        </is>
      </c>
      <c r="D1066" s="130" t="inlineStr">
        <is>
          <t>Ростов-на-Дону</t>
        </is>
      </c>
      <c r="E1066" s="130" t="n"/>
      <c r="F1066" s="130" t="inlineStr">
        <is>
          <t>АЗС</t>
        </is>
      </c>
      <c r="G1066" s="130" t="inlineStr">
        <is>
          <t>Роснефть</t>
        </is>
      </c>
      <c r="H1066" s="131" t="n">
        <v>116</v>
      </c>
      <c r="I1066" s="637" t="n">
        <v>116</v>
      </c>
      <c r="J1066" s="637" t="inlineStr">
        <is>
          <t>RND_RN_0116</t>
        </is>
      </c>
      <c r="K1066" s="640" t="n">
        <v>1</v>
      </c>
      <c r="L1066" s="640" t="n">
        <v>0</v>
      </c>
      <c r="M1066" s="623" t="inlineStr">
        <is>
          <t>Samsung 32" вертикальный</t>
        </is>
      </c>
      <c r="N1066" s="640" t="n"/>
      <c r="O1066" s="640">
        <f>IF(AND(N1066=1,L1066=1),K1066,"")</f>
        <v/>
      </c>
      <c r="P1066" s="642" t="inlineStr">
        <is>
          <t>Ростов-на-Дону, Лесопарковая, , 14</t>
        </is>
      </c>
      <c r="Q1066" s="640" t="inlineStr">
        <is>
          <t>47.227984</t>
        </is>
      </c>
      <c r="R1066" s="422" t="inlineStr">
        <is>
          <t>39.658864</t>
        </is>
      </c>
      <c r="S1066" s="436" t="n"/>
      <c r="T1066" s="387" t="n"/>
      <c r="U1066" s="387" t="n"/>
      <c r="V1066" s="438">
        <f>IF(AND(N1066=1,U1066=1),C1066,"")</f>
        <v/>
      </c>
      <c r="W1066" s="387" t="n"/>
      <c r="X1066" s="387" t="n"/>
      <c r="Y1066" s="387" t="n"/>
    </row>
    <row r="1067" hidden="1" ht="16.05" customFormat="1" customHeight="1" s="126">
      <c r="A1067" s="125" t="n">
        <v>1501</v>
      </c>
      <c r="B1067" s="125" t="n"/>
      <c r="C1067" s="130" t="inlineStr">
        <is>
          <t>Ростов-на-Дону</t>
        </is>
      </c>
      <c r="D1067" s="130" t="inlineStr">
        <is>
          <t>Ростов-на-Дону</t>
        </is>
      </c>
      <c r="E1067" s="130" t="n"/>
      <c r="F1067" s="130" t="inlineStr">
        <is>
          <t>АЗС</t>
        </is>
      </c>
      <c r="G1067" s="130" t="inlineStr">
        <is>
          <t>Роснефть</t>
        </is>
      </c>
      <c r="H1067" s="131" t="n">
        <v>127</v>
      </c>
      <c r="I1067" s="637" t="n">
        <v>127</v>
      </c>
      <c r="J1067" s="637" t="inlineStr">
        <is>
          <t>RND_RN_0127</t>
        </is>
      </c>
      <c r="K1067" s="640" t="n">
        <v>1</v>
      </c>
      <c r="L1067" s="640" t="n">
        <v>1</v>
      </c>
      <c r="M1067" s="623" t="inlineStr">
        <is>
          <t>Samsung 32" вертикальный</t>
        </is>
      </c>
      <c r="N1067" s="640" t="n"/>
      <c r="O1067" s="640">
        <f>IF(AND(N1067=1,L1067=1),K1067,"")</f>
        <v/>
      </c>
      <c r="P1067" s="642" t="inlineStr">
        <is>
          <t>Ростов-на-Дону, Вавилова, , 68/3</t>
        </is>
      </c>
      <c r="Q1067" s="640" t="inlineStr">
        <is>
          <t>47.279204</t>
        </is>
      </c>
      <c r="R1067" s="494" t="inlineStr">
        <is>
          <t>39.684842</t>
        </is>
      </c>
      <c r="S1067" s="436" t="n"/>
      <c r="T1067" s="387" t="n"/>
      <c r="U1067" s="387" t="n"/>
      <c r="V1067" s="438">
        <f>IF(AND(N1067=1,U1067=1),C1067,"")</f>
        <v/>
      </c>
      <c r="W1067" s="387" t="n"/>
      <c r="X1067" s="387" t="n"/>
      <c r="Y1067" s="387" t="n"/>
    </row>
    <row r="1068" hidden="1" ht="16.05" customFormat="1" customHeight="1" s="126">
      <c r="A1068" s="125" t="n">
        <v>1502</v>
      </c>
      <c r="B1068" s="125" t="n"/>
      <c r="C1068" s="130" t="inlineStr">
        <is>
          <t>Ростов-на-Дону</t>
        </is>
      </c>
      <c r="D1068" s="130" t="inlineStr">
        <is>
          <t>Ростов-на-Дону</t>
        </is>
      </c>
      <c r="E1068" s="130" t="n"/>
      <c r="F1068" s="130" t="inlineStr">
        <is>
          <t>АЗС</t>
        </is>
      </c>
      <c r="G1068" s="130" t="inlineStr">
        <is>
          <t>Роснефть</t>
        </is>
      </c>
      <c r="H1068" s="131" t="n">
        <v>128</v>
      </c>
      <c r="I1068" s="637" t="n">
        <v>128</v>
      </c>
      <c r="J1068" s="637" t="inlineStr">
        <is>
          <t>RND_RN_0128</t>
        </is>
      </c>
      <c r="K1068" s="640" t="n">
        <v>1</v>
      </c>
      <c r="L1068" s="640" t="n">
        <v>0</v>
      </c>
      <c r="M1068" s="623" t="inlineStr">
        <is>
          <t>Samsung 32" вертикальный</t>
        </is>
      </c>
      <c r="N1068" s="640" t="n"/>
      <c r="O1068" s="640">
        <f>IF(AND(N1068=1,L1068=1),K1068,"")</f>
        <v/>
      </c>
      <c r="P1068" s="642" t="inlineStr">
        <is>
          <t>Ростов-на-Дону, Королева пр-т, 1б</t>
        </is>
      </c>
      <c r="Q1068" s="640" t="inlineStr">
        <is>
          <t>47.283862</t>
        </is>
      </c>
      <c r="R1068" s="422" t="inlineStr">
        <is>
          <t>39.692078</t>
        </is>
      </c>
      <c r="S1068" s="436" t="n"/>
      <c r="T1068" s="387" t="n"/>
      <c r="U1068" s="387" t="n"/>
      <c r="V1068" s="438">
        <f>IF(AND(N1068=1,U1068=1),C1068,"")</f>
        <v/>
      </c>
      <c r="W1068" s="387" t="n"/>
      <c r="X1068" s="387" t="n"/>
      <c r="Y1068" s="387" t="n"/>
    </row>
    <row r="1069" hidden="1" ht="16.05" customFormat="1" customHeight="1" s="126">
      <c r="A1069" s="125" t="n">
        <v>1503</v>
      </c>
      <c r="B1069" s="125" t="n"/>
      <c r="C1069" s="130" t="inlineStr">
        <is>
          <t>Ростов-на-Дону</t>
        </is>
      </c>
      <c r="D1069" s="130" t="inlineStr">
        <is>
          <t>Ростов-на-Дону</t>
        </is>
      </c>
      <c r="E1069" s="130" t="n"/>
      <c r="F1069" s="130" t="inlineStr">
        <is>
          <t>АЗС</t>
        </is>
      </c>
      <c r="G1069" s="130" t="inlineStr">
        <is>
          <t>Роснефть</t>
        </is>
      </c>
      <c r="H1069" s="131" t="n">
        <v>129</v>
      </c>
      <c r="I1069" s="637" t="n">
        <v>129</v>
      </c>
      <c r="J1069" s="637" t="inlineStr">
        <is>
          <t>RND_RN_0129</t>
        </is>
      </c>
      <c r="K1069" s="640" t="n">
        <v>1</v>
      </c>
      <c r="L1069" s="640" t="n">
        <v>1</v>
      </c>
      <c r="M1069" s="623" t="inlineStr">
        <is>
          <t>Samsung 32" вертикальный</t>
        </is>
      </c>
      <c r="N1069" s="640" t="n"/>
      <c r="O1069" s="640">
        <f>IF(AND(N1069=1,L1069=1),K1069,"")</f>
        <v/>
      </c>
      <c r="P1069" s="642" t="inlineStr">
        <is>
          <t>Ростов-на-Дону, Орбитальная , 11</t>
        </is>
      </c>
      <c r="Q1069" s="640" t="inlineStr">
        <is>
          <t>47.302274</t>
        </is>
      </c>
      <c r="R1069" s="494" t="inlineStr">
        <is>
          <t>39.721818</t>
        </is>
      </c>
      <c r="S1069" s="436" t="n"/>
      <c r="T1069" s="387" t="n"/>
      <c r="U1069" s="387" t="n"/>
      <c r="V1069" s="438">
        <f>IF(AND(N1069=1,U1069=1),C1069,"")</f>
        <v/>
      </c>
      <c r="W1069" s="387" t="n"/>
      <c r="X1069" s="387" t="n"/>
      <c r="Y1069" s="387" t="n"/>
    </row>
    <row r="1070" hidden="1" ht="16.05" customFormat="1" customHeight="1" s="126">
      <c r="A1070" s="125" t="n">
        <v>1497</v>
      </c>
      <c r="B1070" s="125" t="n"/>
      <c r="C1070" s="130" t="inlineStr">
        <is>
          <t>Ростов-на-Дону</t>
        </is>
      </c>
      <c r="D1070" s="130" t="inlineStr">
        <is>
          <t>Ростов-на-Дону</t>
        </is>
      </c>
      <c r="E1070" s="130" t="n"/>
      <c r="F1070" s="130" t="inlineStr">
        <is>
          <t>АЗС</t>
        </is>
      </c>
      <c r="G1070" s="130" t="inlineStr">
        <is>
          <t>Роснефть</t>
        </is>
      </c>
      <c r="H1070" s="131" t="n">
        <v>119</v>
      </c>
      <c r="I1070" s="637" t="n">
        <v>119</v>
      </c>
      <c r="J1070" s="402" t="inlineStr">
        <is>
          <t>RND_RN_0119</t>
        </is>
      </c>
      <c r="K1070" s="640" t="n">
        <v>1</v>
      </c>
      <c r="L1070" s="640" t="n">
        <v>0</v>
      </c>
      <c r="M1070" s="640" t="inlineStr">
        <is>
          <t>Samsung 32" вертикальный</t>
        </is>
      </c>
      <c r="N1070" s="640" t="n"/>
      <c r="O1070" s="640">
        <f>IF(AND(N1070=1,L1070=1),K1070,"")</f>
        <v/>
      </c>
      <c r="P1070" s="642" t="inlineStr">
        <is>
          <t>Ростов-на-Дону, Малиновского, , 152</t>
        </is>
      </c>
      <c r="Q1070" s="640" t="n">
        <v>47.249961</v>
      </c>
      <c r="R1070" s="422" t="n">
        <v>39.614625</v>
      </c>
      <c r="S1070" s="436" t="n"/>
      <c r="T1070" s="387" t="n"/>
      <c r="U1070" s="387" t="n"/>
      <c r="V1070" s="438">
        <f>IF(AND(N1070=1,U1070=1),C1070,"")</f>
        <v/>
      </c>
      <c r="W1070" s="387" t="n"/>
      <c r="X1070" s="1" t="n"/>
      <c r="Y1070" s="1" t="n"/>
    </row>
    <row r="1071" hidden="1" ht="16.05" customFormat="1" customHeight="1" s="126">
      <c r="A1071" s="125" t="n">
        <v>1498</v>
      </c>
      <c r="B1071" s="125" t="n"/>
      <c r="C1071" s="130" t="inlineStr">
        <is>
          <t>Ростов-на-Дону</t>
        </is>
      </c>
      <c r="D1071" s="130" t="inlineStr">
        <is>
          <t>Ростов-на-Дону</t>
        </is>
      </c>
      <c r="E1071" s="130" t="n"/>
      <c r="F1071" s="130" t="inlineStr">
        <is>
          <t>АЗС</t>
        </is>
      </c>
      <c r="G1071" s="130" t="inlineStr">
        <is>
          <t>Роснефть</t>
        </is>
      </c>
      <c r="H1071" s="131" t="n">
        <v>120</v>
      </c>
      <c r="I1071" s="637" t="n">
        <v>120</v>
      </c>
      <c r="J1071" s="637" t="inlineStr">
        <is>
          <t>RND_RN_0120</t>
        </is>
      </c>
      <c r="K1071" s="640" t="n">
        <v>1</v>
      </c>
      <c r="L1071" s="640" t="n">
        <v>0</v>
      </c>
      <c r="M1071" s="640" t="inlineStr">
        <is>
          <t>Samsung 32" вертикальный</t>
        </is>
      </c>
      <c r="N1071" s="640" t="n"/>
      <c r="O1071" s="640">
        <f>IF(AND(N1071=1,L1071=1),K1071,"")</f>
        <v/>
      </c>
      <c r="P1071" s="642" t="inlineStr">
        <is>
          <t>Ростов-на-Дону, Малиновского, , 32</t>
        </is>
      </c>
      <c r="Q1071" s="640" t="inlineStr">
        <is>
          <t>47.211461</t>
        </is>
      </c>
      <c r="R1071" s="422" t="inlineStr">
        <is>
          <t>39.614005</t>
        </is>
      </c>
      <c r="S1071" s="436" t="n"/>
      <c r="T1071" s="387" t="n"/>
      <c r="U1071" s="387" t="n"/>
      <c r="V1071" s="438">
        <f>IF(AND(N1071=1,U1071=1),C1071,"")</f>
        <v/>
      </c>
      <c r="W1071" s="387" t="n"/>
      <c r="X1071" s="387" t="n"/>
      <c r="Y1071" s="387" t="n"/>
    </row>
    <row r="1072" hidden="1" ht="16.05" customFormat="1" customHeight="1" s="126">
      <c r="A1072" s="125" t="n">
        <v>1496</v>
      </c>
      <c r="B1072" s="125" t="n"/>
      <c r="C1072" s="130" t="inlineStr">
        <is>
          <t>Ростов-на-Дону</t>
        </is>
      </c>
      <c r="D1072" s="130" t="inlineStr">
        <is>
          <t>Ростов-на-Дону</t>
        </is>
      </c>
      <c r="E1072" s="130" t="n"/>
      <c r="F1072" s="130" t="inlineStr">
        <is>
          <t>АЗС</t>
        </is>
      </c>
      <c r="G1072" s="130" t="inlineStr">
        <is>
          <t>Роснефть</t>
        </is>
      </c>
      <c r="H1072" s="131" t="n">
        <v>118</v>
      </c>
      <c r="I1072" s="637" t="n">
        <v>118</v>
      </c>
      <c r="J1072" s="637" t="inlineStr">
        <is>
          <t>RND_RN_0118</t>
        </is>
      </c>
      <c r="K1072" s="640" t="n">
        <v>1</v>
      </c>
      <c r="L1072" s="640" t="n">
        <v>0</v>
      </c>
      <c r="M1072" s="640" t="inlineStr">
        <is>
          <t>Samsung 32" вертикальный</t>
        </is>
      </c>
      <c r="N1072" s="640" t="n"/>
      <c r="O1072" s="640">
        <f>IF(AND(N1072=1,L1072=1),K1072,"")</f>
        <v/>
      </c>
      <c r="P1072" s="642" t="inlineStr">
        <is>
          <t>Ростов-на-Дону, Фурмановского, , 152</t>
        </is>
      </c>
      <c r="Q1072" s="640" t="inlineStr">
        <is>
          <t>47.274207</t>
        </is>
      </c>
      <c r="R1072" s="422" t="inlineStr">
        <is>
          <t>39.733917</t>
        </is>
      </c>
      <c r="S1072" s="436" t="n"/>
      <c r="T1072" s="387" t="n"/>
      <c r="U1072" s="387" t="n"/>
      <c r="V1072" s="438">
        <f>IF(AND(N1072=1,U1072=1),C1072,"")</f>
        <v/>
      </c>
      <c r="W1072" s="387" t="n"/>
      <c r="X1072" s="387" t="n"/>
      <c r="Y1072" s="387" t="n"/>
    </row>
    <row r="1073" hidden="1" ht="16.05" customFormat="1" customHeight="1" s="126">
      <c r="A1073" s="125" t="n">
        <v>1500</v>
      </c>
      <c r="B1073" s="125" t="n"/>
      <c r="C1073" s="130" t="inlineStr">
        <is>
          <t>Ростов-на-Дону</t>
        </is>
      </c>
      <c r="D1073" s="130" t="inlineStr">
        <is>
          <t>Ростов-на-Дону</t>
        </is>
      </c>
      <c r="E1073" s="130" t="n"/>
      <c r="F1073" s="130" t="inlineStr">
        <is>
          <t>АЗС</t>
        </is>
      </c>
      <c r="G1073" s="130" t="inlineStr">
        <is>
          <t>Роснефть</t>
        </is>
      </c>
      <c r="H1073" s="131" t="n">
        <v>123</v>
      </c>
      <c r="I1073" s="637" t="n">
        <v>123</v>
      </c>
      <c r="J1073" s="637" t="inlineStr">
        <is>
          <t>RND_RN_0123</t>
        </is>
      </c>
      <c r="K1073" s="640" t="n">
        <v>1</v>
      </c>
      <c r="L1073" s="640" t="n">
        <v>0</v>
      </c>
      <c r="M1073" s="640" t="inlineStr">
        <is>
          <t>Samsung 32" вертикальный</t>
        </is>
      </c>
      <c r="N1073" s="640" t="n"/>
      <c r="O1073" s="640">
        <f>IF(AND(N1073=1,L1073=1),K1073,"")</f>
        <v/>
      </c>
      <c r="P1073" s="642" t="inlineStr">
        <is>
          <t>Ростов-на-Дону, Шолохова, пр., 191 б</t>
        </is>
      </c>
      <c r="Q1073" s="640" t="inlineStr">
        <is>
          <t>47.258271</t>
        </is>
      </c>
      <c r="R1073" s="422" t="inlineStr">
        <is>
          <t>39.802446</t>
        </is>
      </c>
      <c r="S1073" s="436" t="n"/>
      <c r="T1073" s="387" t="n"/>
      <c r="U1073" s="387" t="n"/>
      <c r="V1073" s="438">
        <f>IF(AND(N1073=1,U1073=1),C1073,"")</f>
        <v/>
      </c>
      <c r="W1073" s="387" t="n"/>
      <c r="X1073" s="387" t="n"/>
      <c r="Y1073" s="387" t="n"/>
    </row>
    <row r="1074" hidden="1" ht="16.05" customFormat="1" customHeight="1" s="126">
      <c r="A1074" s="125" t="n">
        <v>1499</v>
      </c>
      <c r="B1074" s="125" t="n"/>
      <c r="C1074" s="130" t="inlineStr">
        <is>
          <t>Ростов-на-Дону</t>
        </is>
      </c>
      <c r="D1074" s="130" t="inlineStr">
        <is>
          <t>Ростов-на-Дону</t>
        </is>
      </c>
      <c r="E1074" s="130" t="n"/>
      <c r="F1074" s="130" t="inlineStr">
        <is>
          <t>АЗС</t>
        </is>
      </c>
      <c r="G1074" s="130" t="inlineStr">
        <is>
          <t>Роснефть</t>
        </is>
      </c>
      <c r="H1074" s="131" t="n">
        <v>121</v>
      </c>
      <c r="I1074" s="637" t="n">
        <v>121</v>
      </c>
      <c r="J1074" s="637" t="inlineStr">
        <is>
          <t>RND_RN_0121</t>
        </is>
      </c>
      <c r="K1074" s="640" t="n">
        <v>1</v>
      </c>
      <c r="L1074" s="640" t="n">
        <v>0</v>
      </c>
      <c r="M1074" s="640" t="inlineStr">
        <is>
          <t>Samsung 32" вертикальный</t>
        </is>
      </c>
      <c r="N1074" s="640" t="n"/>
      <c r="O1074" s="640">
        <f>IF(AND(N1074=1,L1074=1),K1074,"")</f>
        <v/>
      </c>
      <c r="P1074" s="642" t="inlineStr">
        <is>
          <t>Ростов-на-Дону, Вятская, , 120</t>
        </is>
      </c>
      <c r="Q1074" s="640" t="inlineStr">
        <is>
          <t>47.278227</t>
        </is>
      </c>
      <c r="R1074" s="422" t="inlineStr">
        <is>
          <t>39.775191</t>
        </is>
      </c>
      <c r="S1074" s="436" t="n"/>
      <c r="T1074" s="387" t="n"/>
      <c r="U1074" s="387" t="n"/>
      <c r="V1074" s="438">
        <f>IF(AND(N1074=1,U1074=1),C1074,"")</f>
        <v/>
      </c>
      <c r="W1074" s="387" t="n"/>
      <c r="X1074" s="387" t="n"/>
      <c r="Y1074" s="387" t="n"/>
    </row>
    <row r="1075" hidden="1" ht="16.05" customFormat="1" customHeight="1" s="126">
      <c r="A1075" s="125" t="n">
        <v>1504</v>
      </c>
      <c r="B1075" s="125" t="inlineStr">
        <is>
          <t>WF</t>
        </is>
      </c>
      <c r="C1075" s="130" t="inlineStr">
        <is>
          <t>Москва</t>
        </is>
      </c>
      <c r="D1075" s="130" t="inlineStr">
        <is>
          <t>Москва</t>
        </is>
      </c>
      <c r="E1075" s="130" t="inlineStr">
        <is>
          <t>ЦАО</t>
        </is>
      </c>
      <c r="F1075" s="130" t="inlineStr">
        <is>
          <t>Супермаркет</t>
        </is>
      </c>
      <c r="G1075" s="130" t="inlineStr">
        <is>
          <t>Азбука Вкуса</t>
        </is>
      </c>
      <c r="H1075" s="131" t="n">
        <v>93</v>
      </c>
      <c r="I1075" s="637" t="inlineStr">
        <is>
          <t>93_Daily</t>
        </is>
      </c>
      <c r="J1075" s="637" t="inlineStr">
        <is>
          <t>MSK_D_093</t>
        </is>
      </c>
      <c r="K1075" s="640" t="n">
        <v>2</v>
      </c>
      <c r="L1075" s="640" t="n">
        <v>1</v>
      </c>
      <c r="M1075" s="623" t="inlineStr">
        <is>
          <t>Samsung 43" вертикальный</t>
        </is>
      </c>
      <c r="N1075" s="640" t="n"/>
      <c r="O1075" s="640">
        <f>IF(AND(N1075=1,L1075=1),K1075,"")</f>
        <v/>
      </c>
      <c r="P1075" s="642" t="inlineStr">
        <is>
          <t>Москва,  Плющиха, д. 44/3</t>
        </is>
      </c>
      <c r="Q1075" s="640" t="inlineStr">
        <is>
          <t>55.7396991</t>
        </is>
      </c>
      <c r="R1075" s="494" t="inlineStr">
        <is>
          <t>37.5752699</t>
        </is>
      </c>
      <c r="S1075" s="528" t="n">
        <v>24</v>
      </c>
      <c r="T1075" s="436">
        <f>IF(N1075=1,O1075*S1075,"")</f>
        <v/>
      </c>
      <c r="U1075" s="387" t="n"/>
      <c r="V1075" s="438">
        <f>IF(AND(N1075=1,U1075=1),C1075,"")</f>
        <v/>
      </c>
      <c r="W1075" s="387" t="n"/>
      <c r="X1075" s="387" t="n"/>
      <c r="Y1075" s="387" t="n"/>
    </row>
    <row r="1076" hidden="1" ht="16.05" customFormat="1" customHeight="1" s="126">
      <c r="A1076" s="125" t="n">
        <v>1506</v>
      </c>
      <c r="B1076" s="125" t="inlineStr">
        <is>
          <t>WF</t>
        </is>
      </c>
      <c r="C1076" s="130" t="inlineStr">
        <is>
          <t>Москва</t>
        </is>
      </c>
      <c r="D1076" s="130" t="inlineStr">
        <is>
          <t>Москва</t>
        </is>
      </c>
      <c r="E1076" s="130" t="inlineStr">
        <is>
          <t>САО</t>
        </is>
      </c>
      <c r="F1076" s="130" t="inlineStr">
        <is>
          <t>Супермаркет</t>
        </is>
      </c>
      <c r="G1076" s="130" t="inlineStr">
        <is>
          <t>Азбука Вкуса</t>
        </is>
      </c>
      <c r="H1076" s="131" t="n">
        <v>94</v>
      </c>
      <c r="I1076" s="637" t="inlineStr">
        <is>
          <t>94_Daily</t>
        </is>
      </c>
      <c r="J1076" s="637" t="inlineStr">
        <is>
          <t>MSK_D_094</t>
        </is>
      </c>
      <c r="K1076" s="640" t="n">
        <v>2</v>
      </c>
      <c r="L1076" s="640" t="n">
        <v>1</v>
      </c>
      <c r="M1076" s="623" t="inlineStr">
        <is>
          <t>Samsung 43" вертикальный</t>
        </is>
      </c>
      <c r="N1076" s="640" t="n"/>
      <c r="O1076" s="640">
        <f>IF(AND(N1076=1,L1076=1),K1076,"")</f>
        <v/>
      </c>
      <c r="P1076" s="642" t="inlineStr">
        <is>
          <t>Москва, Ленинградский пр-т 69с1</t>
        </is>
      </c>
      <c r="Q1076" s="640" t="inlineStr">
        <is>
          <t>55.8029212</t>
        </is>
      </c>
      <c r="R1076" s="494" t="inlineStr">
        <is>
          <t>37.5177714</t>
        </is>
      </c>
      <c r="S1076" s="528" t="n">
        <v>24</v>
      </c>
      <c r="T1076" s="436">
        <f>IF(N1076=1,O1076*S1076,"")</f>
        <v/>
      </c>
      <c r="U1076" s="387" t="n"/>
      <c r="V1076" s="438">
        <f>IF(AND(N1076=1,U1076=1),C1076,"")</f>
        <v/>
      </c>
      <c r="W1076" s="387" t="n"/>
      <c r="X1076" s="387" t="n"/>
      <c r="Y1076" s="387" t="n"/>
    </row>
    <row r="1077" hidden="1" ht="16.05" customFormat="1" customHeight="1" s="126">
      <c r="A1077" s="125" t="n">
        <v>1508</v>
      </c>
      <c r="B1077" s="125" t="inlineStr">
        <is>
          <t>WF</t>
        </is>
      </c>
      <c r="C1077" s="130" t="inlineStr">
        <is>
          <t>Москва</t>
        </is>
      </c>
      <c r="D1077" s="130" t="inlineStr">
        <is>
          <t>Москва</t>
        </is>
      </c>
      <c r="E1077" s="130" t="inlineStr">
        <is>
          <t>ЗАО</t>
        </is>
      </c>
      <c r="F1077" s="130" t="inlineStr">
        <is>
          <t>Супермаркет</t>
        </is>
      </c>
      <c r="G1077" s="130" t="inlineStr">
        <is>
          <t>Азбука Вкуса</t>
        </is>
      </c>
      <c r="H1077" s="131" t="n">
        <v>95</v>
      </c>
      <c r="I1077" s="637" t="inlineStr">
        <is>
          <t>95_Daily</t>
        </is>
      </c>
      <c r="J1077" s="637" t="inlineStr">
        <is>
          <t>MSK_D_095</t>
        </is>
      </c>
      <c r="K1077" s="640" t="n">
        <v>2</v>
      </c>
      <c r="L1077" s="640" t="n">
        <v>1</v>
      </c>
      <c r="M1077" s="623" t="inlineStr">
        <is>
          <t>Samsung 43" вертикальный</t>
        </is>
      </c>
      <c r="N1077" s="640" t="n"/>
      <c r="O1077" s="640">
        <f>IF(AND(N1077=1,L1077=1),K1077,"")</f>
        <v/>
      </c>
      <c r="P1077" s="642" t="inlineStr">
        <is>
          <t>Москва, Кутузовский пр-т, 36А</t>
        </is>
      </c>
      <c r="Q1077" s="640" t="inlineStr">
        <is>
          <t>55.738845</t>
        </is>
      </c>
      <c r="R1077" s="494" t="inlineStr">
        <is>
          <t>37.52602</t>
        </is>
      </c>
      <c r="S1077" s="528" t="n">
        <v>24</v>
      </c>
      <c r="T1077" s="436">
        <f>IF(N1077=1,O1077*S1077,"")</f>
        <v/>
      </c>
      <c r="U1077" s="436" t="n">
        <v>1</v>
      </c>
      <c r="V1077" s="438">
        <f>IF(AND(N1077=1,U1077=1),C1077,"")</f>
        <v/>
      </c>
      <c r="W1077" s="387" t="n"/>
      <c r="X1077" s="387" t="n"/>
      <c r="Y1077" s="387" t="n"/>
    </row>
    <row r="1078" hidden="1" ht="16.05" customFormat="1" customHeight="1" s="126">
      <c r="A1078" s="125" t="n">
        <v>1524</v>
      </c>
      <c r="B1078" s="125" t="n"/>
      <c r="C1078" s="130" t="inlineStr">
        <is>
          <t>Липецк</t>
        </is>
      </c>
      <c r="D1078" s="130" t="inlineStr">
        <is>
          <t>Липецк</t>
        </is>
      </c>
      <c r="E1078" s="130" t="n"/>
      <c r="F1078" s="130" t="inlineStr">
        <is>
          <t>АЗС</t>
        </is>
      </c>
      <c r="G1078" s="130" t="inlineStr">
        <is>
          <t>Роснефть</t>
        </is>
      </c>
      <c r="H1078" s="131" t="inlineStr">
        <is>
          <t>АЗК №1</t>
        </is>
      </c>
      <c r="I1078" s="637" t="inlineStr">
        <is>
          <t>RN_1</t>
        </is>
      </c>
      <c r="J1078" s="637" t="inlineStr">
        <is>
          <t>LIP_RN_0001</t>
        </is>
      </c>
      <c r="K1078" s="640" t="n">
        <v>1</v>
      </c>
      <c r="L1078" s="640" t="n">
        <v>1</v>
      </c>
      <c r="M1078" s="623" t="inlineStr">
        <is>
          <t>Samsung 32" вертикальный</t>
        </is>
      </c>
      <c r="N1078" s="640" t="n"/>
      <c r="O1078" s="640">
        <f>IF(AND(N1078=1,L1078=1),K1078,"")</f>
        <v/>
      </c>
      <c r="P1078" s="642" t="inlineStr">
        <is>
          <t xml:space="preserve">Липецк Гагарина владение 102 </t>
        </is>
      </c>
      <c r="Q1078" s="640" t="inlineStr">
        <is>
          <t>52.621971</t>
        </is>
      </c>
      <c r="R1078" s="494" t="inlineStr">
        <is>
          <t>39.575764</t>
        </is>
      </c>
      <c r="S1078" s="436" t="n"/>
      <c r="T1078" s="387" t="n"/>
      <c r="U1078" s="436" t="n">
        <v>1</v>
      </c>
      <c r="V1078" s="438">
        <f>IF(AND(N1078=1,U1078=1),C1078,"")</f>
        <v/>
      </c>
      <c r="W1078" s="387" t="n"/>
      <c r="X1078" s="387" t="n"/>
      <c r="Y1078" s="387" t="n"/>
    </row>
    <row r="1079" hidden="1" ht="16.05" customFormat="1" customHeight="1" s="126">
      <c r="A1079" s="125" t="n">
        <v>1525</v>
      </c>
      <c r="B1079" s="125" t="n"/>
      <c r="C1079" s="130" t="inlineStr">
        <is>
          <t>Липецк</t>
        </is>
      </c>
      <c r="D1079" s="130" t="inlineStr">
        <is>
          <t>Липецк</t>
        </is>
      </c>
      <c r="E1079" s="130" t="n"/>
      <c r="F1079" s="130" t="inlineStr">
        <is>
          <t>АЗС</t>
        </is>
      </c>
      <c r="G1079" s="130" t="inlineStr">
        <is>
          <t>Роснефть</t>
        </is>
      </c>
      <c r="H1079" s="131" t="inlineStr">
        <is>
          <t>АЗК №3</t>
        </is>
      </c>
      <c r="I1079" s="637" t="inlineStr">
        <is>
          <t>RN_3</t>
        </is>
      </c>
      <c r="J1079" s="637" t="inlineStr">
        <is>
          <t>LIP_RN_0003</t>
        </is>
      </c>
      <c r="K1079" s="640" t="n">
        <v>2</v>
      </c>
      <c r="L1079" s="640" t="n">
        <v>1</v>
      </c>
      <c r="M1079" s="623" t="inlineStr">
        <is>
          <t>Samsung 32" вертикальный</t>
        </is>
      </c>
      <c r="N1079" s="640" t="n"/>
      <c r="O1079" s="640">
        <f>IF(AND(N1079=1,L1079=1),K1079,"")</f>
        <v/>
      </c>
      <c r="P1079" s="642" t="inlineStr">
        <is>
          <t xml:space="preserve">Липецк Воронежское шоссе  владение 2 </t>
        </is>
      </c>
      <c r="Q1079" s="640" t="inlineStr">
        <is>
          <t>52.569826</t>
        </is>
      </c>
      <c r="R1079" s="494" t="inlineStr">
        <is>
          <t>39.512108</t>
        </is>
      </c>
      <c r="S1079" s="436" t="n"/>
      <c r="T1079" s="387" t="n"/>
      <c r="U1079" s="436" t="n">
        <v>1</v>
      </c>
      <c r="V1079" s="438">
        <f>IF(AND(N1079=1,U1079=1),C1079,"")</f>
        <v/>
      </c>
      <c r="W1079" s="387" t="n"/>
      <c r="X1079" s="387" t="n"/>
      <c r="Y1079" s="387" t="n"/>
    </row>
    <row r="1080" hidden="1" ht="16.05" customFormat="1" customHeight="1" s="126">
      <c r="A1080" s="125" t="n">
        <v>1510</v>
      </c>
      <c r="B1080" s="125" t="inlineStr">
        <is>
          <t>WF</t>
        </is>
      </c>
      <c r="C1080" s="130" t="inlineStr">
        <is>
          <t>Нижний Новгород</t>
        </is>
      </c>
      <c r="D1080" s="130" t="inlineStr">
        <is>
          <t>Нижний Новгород</t>
        </is>
      </c>
      <c r="E1080" s="130" t="n"/>
      <c r="F1080" s="130" t="inlineStr">
        <is>
          <t>АЗС</t>
        </is>
      </c>
      <c r="G1080" s="130" t="inlineStr">
        <is>
          <t>Лукойл</t>
        </is>
      </c>
      <c r="H1080" s="131" t="inlineStr">
        <is>
          <t>_0189</t>
        </is>
      </c>
      <c r="I1080" s="637" t="n">
        <v>52189</v>
      </c>
      <c r="J1080" s="402" t="inlineStr">
        <is>
          <t>NN_LUK_52189</t>
        </is>
      </c>
      <c r="K1080" s="640" t="n">
        <v>2</v>
      </c>
      <c r="L1080" s="640" t="n">
        <v>0</v>
      </c>
      <c r="M1080" s="640" t="inlineStr">
        <is>
          <t>1 октября</t>
        </is>
      </c>
      <c r="N1080" s="640" t="n"/>
      <c r="O1080" s="640">
        <f>IF(AND(N1080=1,L1080=1),K1080,"")</f>
        <v/>
      </c>
      <c r="P1080" s="642" t="inlineStr">
        <is>
          <t xml:space="preserve">Россия, 603105, Нижегородская обл., г. Нижний Новгород, ул.Ванеева, 110 В   </t>
        </is>
      </c>
      <c r="Q1080" s="640" t="n">
        <v>56.2881524</v>
      </c>
      <c r="R1080" s="422" t="n">
        <v>44.0370923</v>
      </c>
      <c r="S1080" s="436" t="n"/>
      <c r="T1080" s="387" t="n"/>
      <c r="U1080" s="387" t="n"/>
      <c r="V1080" s="438">
        <f>IF(AND(N1080=1,U1080=1),C1080,"")</f>
        <v/>
      </c>
      <c r="W1080" s="387" t="n"/>
      <c r="X1080" s="1" t="n"/>
      <c r="Y1080" s="1" t="n"/>
    </row>
    <row r="1081" hidden="1" ht="16.05" customFormat="1" customHeight="1" s="126">
      <c r="A1081" s="125" t="n">
        <v>1511</v>
      </c>
      <c r="B1081" s="125" t="inlineStr">
        <is>
          <t>WF</t>
        </is>
      </c>
      <c r="C1081" s="130" t="inlineStr">
        <is>
          <t>Нижний Новгород</t>
        </is>
      </c>
      <c r="D1081" s="130" t="inlineStr">
        <is>
          <t>Нижний Новгород</t>
        </is>
      </c>
      <c r="E1081" s="130" t="n"/>
      <c r="F1081" s="130" t="inlineStr">
        <is>
          <t>АЗС</t>
        </is>
      </c>
      <c r="G1081" s="130" t="inlineStr">
        <is>
          <t>Лукойл</t>
        </is>
      </c>
      <c r="H1081" s="131" t="inlineStr">
        <is>
          <t>_033</t>
        </is>
      </c>
      <c r="I1081" s="637" t="n">
        <v>52033</v>
      </c>
      <c r="J1081" s="402" t="inlineStr">
        <is>
          <t>NN_LUK_52033</t>
        </is>
      </c>
      <c r="K1081" s="640" t="n">
        <v>1</v>
      </c>
      <c r="L1081" s="640" t="n">
        <v>0</v>
      </c>
      <c r="M1081" s="640" t="inlineStr">
        <is>
          <t>1 октября</t>
        </is>
      </c>
      <c r="N1081" s="640" t="n"/>
      <c r="O1081" s="640">
        <f>IF(AND(N1081=1,L1081=1),K1081,"")</f>
        <v/>
      </c>
      <c r="P1081" s="642" t="inlineStr">
        <is>
          <t xml:space="preserve">Россия, 603074, Нижегородская обл., г. Нижний Новгород, ул.Куйбышева, 65   </t>
        </is>
      </c>
      <c r="Q1081" s="640" t="n">
        <v>56.33439</v>
      </c>
      <c r="R1081" s="422" t="n">
        <v>43.9182</v>
      </c>
      <c r="S1081" s="436" t="n"/>
      <c r="T1081" s="387" t="n"/>
      <c r="U1081" s="387" t="n"/>
      <c r="V1081" s="438">
        <f>IF(AND(N1081=1,U1081=1),C1081,"")</f>
        <v/>
      </c>
      <c r="W1081" s="387" t="n"/>
      <c r="X1081" s="1" t="n"/>
      <c r="Y1081" s="1" t="n"/>
    </row>
    <row r="1082" hidden="1" ht="16.05" customFormat="1" customHeight="1" s="126">
      <c r="A1082" s="125" t="n">
        <v>1512</v>
      </c>
      <c r="B1082" s="125" t="n"/>
      <c r="C1082" s="130" t="inlineStr">
        <is>
          <t>Астрахань</t>
        </is>
      </c>
      <c r="D1082" s="130" t="inlineStr">
        <is>
          <t>Астрахань</t>
        </is>
      </c>
      <c r="E1082" s="130" t="n"/>
      <c r="F1082" s="130" t="inlineStr">
        <is>
          <t>АЗС</t>
        </is>
      </c>
      <c r="G1082" s="130" t="inlineStr">
        <is>
          <t>Лукойл</t>
        </is>
      </c>
      <c r="H1082" s="131" t="inlineStr">
        <is>
          <t>АЗС-300</t>
        </is>
      </c>
      <c r="I1082" s="637" t="inlineStr">
        <is>
          <t>30650 (300)</t>
        </is>
      </c>
      <c r="J1082" s="637" t="inlineStr">
        <is>
          <t>AST_LUK_30650</t>
        </is>
      </c>
      <c r="K1082" s="640" t="n">
        <v>1</v>
      </c>
      <c r="L1082" s="640" t="n">
        <v>0</v>
      </c>
      <c r="M1082" s="640" t="inlineStr">
        <is>
          <t>Samsung 32" вертикальный</t>
        </is>
      </c>
      <c r="N1082" s="640" t="n"/>
      <c r="O1082" s="640">
        <f>IF(AND(N1082=1,L1082=1),K1082,"")</f>
        <v/>
      </c>
      <c r="P1082" s="642" t="inlineStr">
        <is>
          <t>Астрахань, Ленинский район, на заболдинском участке общегородской транзитной магистрали Астрахань–Волгоград (3-й проезд Нефтяников, 9Б)</t>
        </is>
      </c>
      <c r="Q1082" s="640" t="inlineStr">
        <is>
          <t>46.412757</t>
        </is>
      </c>
      <c r="R1082" s="422" t="inlineStr">
        <is>
          <t>48.0669665</t>
        </is>
      </c>
      <c r="S1082" s="436" t="n"/>
      <c r="T1082" s="387" t="n"/>
      <c r="U1082" s="387" t="n"/>
      <c r="V1082" s="438">
        <f>IF(AND(N1082=1,U1082=1),C1082,"")</f>
        <v/>
      </c>
      <c r="W1082" s="387" t="n"/>
      <c r="X1082" s="1" t="n"/>
      <c r="Y1082" s="1" t="n"/>
    </row>
    <row r="1083" hidden="1" ht="16.05" customHeight="1">
      <c r="A1083" s="13" t="n">
        <v>1513</v>
      </c>
      <c r="B1083" s="13">
        <f>IF(OR(M1083="Sam 32",M1083="Sam 40"),"s",IF(M1083="AMS","a","v"))</f>
        <v/>
      </c>
      <c r="C1083" s="130" t="inlineStr">
        <is>
          <t>Астрахань</t>
        </is>
      </c>
      <c r="D1083" s="130" t="inlineStr">
        <is>
          <t>Астрахань</t>
        </is>
      </c>
      <c r="E1083" s="130" t="n"/>
      <c r="F1083" s="130" t="n"/>
      <c r="G1083" s="130" t="inlineStr">
        <is>
          <t>Лукойл</t>
        </is>
      </c>
      <c r="H1083" s="131" t="inlineStr">
        <is>
          <t>АЗС-301</t>
        </is>
      </c>
      <c r="I1083" s="637" t="inlineStr">
        <is>
          <t>LUK_301</t>
        </is>
      </c>
      <c r="J1083" s="402" t="inlineStr">
        <is>
          <t>AST_LUK_0301</t>
        </is>
      </c>
      <c r="K1083" s="640" t="n">
        <v>1</v>
      </c>
      <c r="L1083" s="640" t="n">
        <v>0</v>
      </c>
      <c r="M1083" s="640" t="inlineStr">
        <is>
          <t>Sam 32</t>
        </is>
      </c>
      <c r="N1083" s="640" t="n"/>
      <c r="O1083" s="640">
        <f>IF(AND(N1083=1,L1083=1),K1083,"")</f>
        <v/>
      </c>
      <c r="P1083" s="642" t="inlineStr">
        <is>
          <t>Астрахань, ул. Ереванская, 2</t>
        </is>
      </c>
      <c r="Q1083" s="640" t="n"/>
      <c r="R1083" s="422" t="n"/>
      <c r="S1083" s="436" t="n"/>
      <c r="V1083" s="438">
        <f>IF(AND(N1083=1,U1083=1),C1083,"")</f>
        <v/>
      </c>
      <c r="X1083" s="1" t="n"/>
      <c r="Y1083" s="1" t="n"/>
      <c r="Z1083" s="1" t="n"/>
    </row>
    <row r="1084" hidden="1" ht="16.05" customFormat="1" customHeight="1" s="126">
      <c r="A1084" s="125" t="n">
        <v>1514</v>
      </c>
      <c r="B1084" s="125" t="n"/>
      <c r="C1084" s="130" t="inlineStr">
        <is>
          <t>Астрахань</t>
        </is>
      </c>
      <c r="D1084" s="130" t="inlineStr">
        <is>
          <t>Астрахань</t>
        </is>
      </c>
      <c r="E1084" s="130" t="n"/>
      <c r="F1084" s="130" t="inlineStr">
        <is>
          <t>АЗС</t>
        </is>
      </c>
      <c r="G1084" s="130" t="inlineStr">
        <is>
          <t>Лукойл</t>
        </is>
      </c>
      <c r="H1084" s="131" t="inlineStr">
        <is>
          <t>АЗС-302</t>
        </is>
      </c>
      <c r="I1084" s="637" t="inlineStr">
        <is>
          <t>30652 (302)</t>
        </is>
      </c>
      <c r="J1084" s="637" t="inlineStr">
        <is>
          <t>AST_LUK_30652</t>
        </is>
      </c>
      <c r="K1084" s="640" t="n">
        <v>1</v>
      </c>
      <c r="L1084" s="640" t="n">
        <v>0</v>
      </c>
      <c r="M1084" s="640" t="inlineStr">
        <is>
          <t>Samsung 32" вертикальный</t>
        </is>
      </c>
      <c r="N1084" s="640" t="n"/>
      <c r="O1084" s="640">
        <f>IF(AND(N1084=1,L1084=1),K1084,"")</f>
        <v/>
      </c>
      <c r="P1084" s="642" t="inlineStr">
        <is>
          <t>Астрахань, ул. Джона Рида (ул. Джона Рида д. 22)</t>
        </is>
      </c>
      <c r="Q1084" s="640" t="inlineStr">
        <is>
          <t>46.335323</t>
        </is>
      </c>
      <c r="R1084" s="422" t="inlineStr">
        <is>
          <t>48.057469</t>
        </is>
      </c>
      <c r="S1084" s="436" t="n"/>
      <c r="T1084" s="387" t="n"/>
      <c r="U1084" s="387" t="n"/>
      <c r="V1084" s="438">
        <f>IF(AND(N1084=1,U1084=1),C1084,"")</f>
        <v/>
      </c>
      <c r="W1084" s="387" t="n"/>
      <c r="X1084" s="1" t="n"/>
      <c r="Y1084" s="1" t="n"/>
    </row>
    <row r="1085" hidden="1" ht="16.05" customFormat="1" customHeight="1" s="126">
      <c r="A1085" s="125" t="n">
        <v>1515</v>
      </c>
      <c r="B1085" s="125" t="n"/>
      <c r="C1085" s="130" t="inlineStr">
        <is>
          <t>Астрахань</t>
        </is>
      </c>
      <c r="D1085" s="130" t="inlineStr">
        <is>
          <t>Астрахань</t>
        </is>
      </c>
      <c r="E1085" s="130" t="n"/>
      <c r="F1085" s="130" t="inlineStr">
        <is>
          <t>АЗС</t>
        </is>
      </c>
      <c r="G1085" s="130" t="inlineStr">
        <is>
          <t>Лукойл</t>
        </is>
      </c>
      <c r="H1085" s="131" t="inlineStr">
        <is>
          <t>АЗС-303</t>
        </is>
      </c>
      <c r="I1085" s="637" t="inlineStr">
        <is>
          <t>30653(303)</t>
        </is>
      </c>
      <c r="J1085" s="637" t="inlineStr">
        <is>
          <t>AST_LUK_30653</t>
        </is>
      </c>
      <c r="K1085" s="640" t="n">
        <v>1</v>
      </c>
      <c r="L1085" s="640" t="n">
        <v>0</v>
      </c>
      <c r="M1085" s="640" t="inlineStr">
        <is>
          <t>Samsung 32" вертикальный</t>
        </is>
      </c>
      <c r="N1085" s="640" t="n"/>
      <c r="O1085" s="640">
        <f>IF(AND(N1085=1,L1085=1),K1085,"")</f>
        <v/>
      </c>
      <c r="P1085" s="642" t="inlineStr">
        <is>
          <t>Астрахань, ул. Магистральная,д.13</t>
        </is>
      </c>
      <c r="Q1085" s="640" t="inlineStr">
        <is>
          <t>46.418752</t>
        </is>
      </c>
      <c r="R1085" s="422" t="inlineStr">
        <is>
          <t>47.9752082</t>
        </is>
      </c>
      <c r="S1085" s="436" t="n"/>
      <c r="T1085" s="387" t="n"/>
      <c r="U1085" s="387" t="n"/>
      <c r="V1085" s="438">
        <f>IF(AND(N1085=1,U1085=1),C1085,"")</f>
        <v/>
      </c>
      <c r="W1085" s="387" t="n"/>
      <c r="X1085" s="1" t="n"/>
      <c r="Y1085" s="1" t="n"/>
    </row>
    <row r="1086" hidden="1" ht="16.05" customFormat="1" customHeight="1" s="126">
      <c r="A1086" s="125" t="n">
        <v>1516</v>
      </c>
      <c r="B1086" s="125" t="n"/>
      <c r="C1086" s="130" t="inlineStr">
        <is>
          <t>Астрахань</t>
        </is>
      </c>
      <c r="D1086" s="130" t="inlineStr">
        <is>
          <t>Астрахань</t>
        </is>
      </c>
      <c r="E1086" s="130" t="n"/>
      <c r="F1086" s="130" t="inlineStr">
        <is>
          <t>АЗС</t>
        </is>
      </c>
      <c r="G1086" s="130" t="inlineStr">
        <is>
          <t>Лукойл</t>
        </is>
      </c>
      <c r="H1086" s="131" t="inlineStr">
        <is>
          <t>АЗС-306</t>
        </is>
      </c>
      <c r="I1086" s="637" t="inlineStr">
        <is>
          <t>30656 (306)</t>
        </is>
      </c>
      <c r="J1086" s="637" t="inlineStr">
        <is>
          <t>AST_LUK_30656</t>
        </is>
      </c>
      <c r="K1086" s="640" t="n">
        <v>1</v>
      </c>
      <c r="L1086" s="640" t="n">
        <v>0</v>
      </c>
      <c r="M1086" s="640" t="inlineStr">
        <is>
          <t>Samsung 32" вертикальный</t>
        </is>
      </c>
      <c r="N1086" s="640" t="n"/>
      <c r="O1086" s="640">
        <f>IF(AND(N1086=1,L1086=1),K1086,"")</f>
        <v/>
      </c>
      <c r="P1086" s="642" t="inlineStr">
        <is>
          <t>Астрахань, ул.  Адм.Нахимова, д.269г</t>
        </is>
      </c>
      <c r="Q1086" s="640" t="inlineStr">
        <is>
          <t>46.2765364</t>
        </is>
      </c>
      <c r="R1086" s="422" t="inlineStr">
        <is>
          <t>47.9700154</t>
        </is>
      </c>
      <c r="S1086" s="436" t="n"/>
      <c r="T1086" s="387" t="n"/>
      <c r="U1086" s="387" t="n"/>
      <c r="V1086" s="438">
        <f>IF(AND(N1086=1,U1086=1),C1086,"")</f>
        <v/>
      </c>
      <c r="W1086" s="387" t="n"/>
      <c r="X1086" s="1" t="n"/>
      <c r="Y1086" s="1" t="n"/>
    </row>
    <row r="1087" hidden="1" ht="16.05" customFormat="1" customHeight="1" s="126">
      <c r="A1087" s="125" t="n">
        <v>1517</v>
      </c>
      <c r="B1087" s="125" t="n"/>
      <c r="C1087" s="130" t="inlineStr">
        <is>
          <t>Астрахань</t>
        </is>
      </c>
      <c r="D1087" s="130" t="inlineStr">
        <is>
          <t>Астрахань</t>
        </is>
      </c>
      <c r="E1087" s="130" t="n"/>
      <c r="F1087" s="130" t="inlineStr">
        <is>
          <t>АЗС</t>
        </is>
      </c>
      <c r="G1087" s="130" t="inlineStr">
        <is>
          <t>Лукойл</t>
        </is>
      </c>
      <c r="H1087" s="131" t="inlineStr">
        <is>
          <t>АЗС-310</t>
        </is>
      </c>
      <c r="I1087" s="637" t="inlineStr">
        <is>
          <t>30660 (310)</t>
        </is>
      </c>
      <c r="J1087" s="637" t="inlineStr">
        <is>
          <t>AST_LUK_30660</t>
        </is>
      </c>
      <c r="K1087" s="640" t="n">
        <v>1</v>
      </c>
      <c r="L1087" s="640" t="n">
        <v>0</v>
      </c>
      <c r="M1087" s="640" t="inlineStr">
        <is>
          <t>Samsung 32" вертикальный</t>
        </is>
      </c>
      <c r="N1087" s="640" t="n"/>
      <c r="O1087" s="640">
        <f>IF(AND(N1087=1,L1087=1),K1087,"")</f>
        <v/>
      </c>
      <c r="P1087" s="642" t="inlineStr">
        <is>
          <t>Астрахань, ул. Рождественского,д.2</t>
        </is>
      </c>
      <c r="Q1087" s="640" t="inlineStr">
        <is>
          <t>46.318642</t>
        </is>
      </c>
      <c r="R1087" s="422" t="inlineStr">
        <is>
          <t>48.039566</t>
        </is>
      </c>
      <c r="S1087" s="436" t="n"/>
      <c r="T1087" s="387" t="n"/>
      <c r="U1087" s="387" t="n"/>
      <c r="V1087" s="438">
        <f>IF(AND(N1087=1,U1087=1),C1087,"")</f>
        <v/>
      </c>
      <c r="W1087" s="387" t="n"/>
      <c r="X1087" s="1" t="n"/>
      <c r="Y1087" s="1" t="n"/>
    </row>
    <row r="1088" hidden="1" ht="16.05" customFormat="1" customHeight="1" s="126">
      <c r="A1088" s="125" t="n">
        <v>1518</v>
      </c>
      <c r="B1088" s="125" t="n"/>
      <c r="C1088" s="130" t="inlineStr">
        <is>
          <t>Астрахань</t>
        </is>
      </c>
      <c r="D1088" s="130" t="inlineStr">
        <is>
          <t>Астрахань</t>
        </is>
      </c>
      <c r="E1088" s="130" t="n"/>
      <c r="F1088" s="130" t="inlineStr">
        <is>
          <t>АЗС</t>
        </is>
      </c>
      <c r="G1088" s="130" t="inlineStr">
        <is>
          <t>Лукойл</t>
        </is>
      </c>
      <c r="H1088" s="131" t="inlineStr">
        <is>
          <t>АЗС-311</t>
        </is>
      </c>
      <c r="I1088" s="637" t="inlineStr">
        <is>
          <t>30661 (311)</t>
        </is>
      </c>
      <c r="J1088" s="637" t="inlineStr">
        <is>
          <t>AST_LUK_30661</t>
        </is>
      </c>
      <c r="K1088" s="640" t="n">
        <v>1</v>
      </c>
      <c r="L1088" s="640" t="n">
        <v>0</v>
      </c>
      <c r="M1088" s="640" t="inlineStr">
        <is>
          <t>Samsung 32" вертикальный</t>
        </is>
      </c>
      <c r="N1088" s="640" t="n"/>
      <c r="O1088" s="640">
        <f>IF(AND(N1088=1,L1088=1),K1088,"")</f>
        <v/>
      </c>
      <c r="P1088" s="642" t="inlineStr">
        <is>
          <t>Астрахань, ул. Дзержинского,д.167а</t>
        </is>
      </c>
      <c r="Q1088" s="640" t="inlineStr">
        <is>
          <t>46.341121</t>
        </is>
      </c>
      <c r="R1088" s="422" t="inlineStr">
        <is>
          <t>47.9877019</t>
        </is>
      </c>
      <c r="S1088" s="436" t="n"/>
      <c r="T1088" s="387" t="n"/>
      <c r="U1088" s="387" t="n"/>
      <c r="V1088" s="438">
        <f>IF(AND(N1088=1,U1088=1),C1088,"")</f>
        <v/>
      </c>
      <c r="W1088" s="387" t="n"/>
      <c r="X1088" s="1" t="n"/>
      <c r="Y1088" s="1" t="n"/>
    </row>
    <row r="1089" hidden="1" ht="16.05" customFormat="1" customHeight="1" s="126">
      <c r="A1089" s="125" t="n">
        <v>1519</v>
      </c>
      <c r="B1089" s="125" t="n"/>
      <c r="C1089" s="130" t="inlineStr">
        <is>
          <t>Астрахань</t>
        </is>
      </c>
      <c r="D1089" s="130" t="inlineStr">
        <is>
          <t>Астрахань</t>
        </is>
      </c>
      <c r="E1089" s="130" t="n"/>
      <c r="F1089" s="130" t="inlineStr">
        <is>
          <t>АЗС</t>
        </is>
      </c>
      <c r="G1089" s="130" t="inlineStr">
        <is>
          <t>Лукойл</t>
        </is>
      </c>
      <c r="H1089" s="131" t="inlineStr">
        <is>
          <t>АЗС-312</t>
        </is>
      </c>
      <c r="I1089" s="637" t="inlineStr">
        <is>
          <t>30662 (312)</t>
        </is>
      </c>
      <c r="J1089" s="637" t="inlineStr">
        <is>
          <t>AST_LUK_30662</t>
        </is>
      </c>
      <c r="K1089" s="640" t="n">
        <v>1</v>
      </c>
      <c r="L1089" s="640" t="n">
        <v>0</v>
      </c>
      <c r="M1089" s="640" t="inlineStr">
        <is>
          <t>Samsung 32" вертикальный</t>
        </is>
      </c>
      <c r="N1089" s="640" t="n"/>
      <c r="O1089" s="640">
        <f>IF(AND(N1089=1,L1089=1),K1089,"")</f>
        <v/>
      </c>
      <c r="P1089" s="642" t="inlineStr">
        <is>
          <t>Астрахань, ул. 5-я Керченская, д.18</t>
        </is>
      </c>
      <c r="Q1089" s="640" t="inlineStr">
        <is>
          <t>46.3454283</t>
        </is>
      </c>
      <c r="R1089" s="422" t="inlineStr">
        <is>
          <t>47.9724368</t>
        </is>
      </c>
      <c r="S1089" s="436" t="n"/>
      <c r="T1089" s="387" t="n"/>
      <c r="U1089" s="387" t="n"/>
      <c r="V1089" s="438">
        <f>IF(AND(N1089=1,U1089=1),C1089,"")</f>
        <v/>
      </c>
      <c r="W1089" s="387" t="n"/>
      <c r="X1089" s="1" t="n"/>
      <c r="Y1089" s="1" t="n"/>
    </row>
    <row r="1090" hidden="1" ht="16.05" customFormat="1" customHeight="1" s="126">
      <c r="A1090" s="125" t="n">
        <v>1520</v>
      </c>
      <c r="B1090" s="125" t="n"/>
      <c r="C1090" s="130" t="inlineStr">
        <is>
          <t>Астрахань</t>
        </is>
      </c>
      <c r="D1090" s="130" t="inlineStr">
        <is>
          <t>Астрахань</t>
        </is>
      </c>
      <c r="E1090" s="130" t="n"/>
      <c r="F1090" s="130" t="inlineStr">
        <is>
          <t>АЗС</t>
        </is>
      </c>
      <c r="G1090" s="130" t="inlineStr">
        <is>
          <t>Лукойл</t>
        </is>
      </c>
      <c r="H1090" s="131" t="inlineStr">
        <is>
          <t>АЗС-313</t>
        </is>
      </c>
      <c r="I1090" s="637" t="inlineStr">
        <is>
          <t>30663 (313)</t>
        </is>
      </c>
      <c r="J1090" s="637" t="inlineStr">
        <is>
          <t>AST_LUK_30663</t>
        </is>
      </c>
      <c r="K1090" s="640" t="n">
        <v>1</v>
      </c>
      <c r="L1090" s="640" t="n">
        <v>0</v>
      </c>
      <c r="M1090" s="640" t="inlineStr">
        <is>
          <t>Samsung 32" вертикальный</t>
        </is>
      </c>
      <c r="N1090" s="640" t="n"/>
      <c r="O1090" s="640">
        <f>IF(AND(N1090=1,L1090=1),K1090,"")</f>
        <v/>
      </c>
      <c r="P1090" s="642" t="inlineStr">
        <is>
          <t>Астрахань, ул. Чкалова, д.141</t>
        </is>
      </c>
      <c r="Q1090" s="640" t="inlineStr">
        <is>
          <t>46.3058829</t>
        </is>
      </c>
      <c r="R1090" s="422" t="inlineStr">
        <is>
          <t>47.9532838</t>
        </is>
      </c>
      <c r="S1090" s="436" t="n"/>
      <c r="T1090" s="387" t="n"/>
      <c r="U1090" s="387" t="n"/>
      <c r="V1090" s="438">
        <f>IF(AND(N1090=1,U1090=1),C1090,"")</f>
        <v/>
      </c>
      <c r="W1090" s="387" t="n"/>
      <c r="X1090" s="1" t="n"/>
      <c r="Y1090" s="1" t="n"/>
    </row>
    <row r="1091" hidden="1" ht="16.05" customFormat="1" customHeight="1" s="126">
      <c r="A1091" s="125" t="n">
        <v>1521</v>
      </c>
      <c r="B1091" s="125" t="n"/>
      <c r="C1091" s="130" t="inlineStr">
        <is>
          <t>Астрахань</t>
        </is>
      </c>
      <c r="D1091" s="130" t="inlineStr">
        <is>
          <t>Астрахань</t>
        </is>
      </c>
      <c r="E1091" s="130" t="n"/>
      <c r="F1091" s="130" t="inlineStr">
        <is>
          <t>АЗС</t>
        </is>
      </c>
      <c r="G1091" s="130" t="inlineStr">
        <is>
          <t>Лукойл</t>
        </is>
      </c>
      <c r="H1091" s="131" t="inlineStr">
        <is>
          <t>АЗС-319</t>
        </is>
      </c>
      <c r="I1091" s="637" t="inlineStr">
        <is>
          <t>30669 (319)</t>
        </is>
      </c>
      <c r="J1091" s="637" t="inlineStr">
        <is>
          <t>AST_LUK_30669</t>
        </is>
      </c>
      <c r="K1091" s="640" t="n">
        <v>1</v>
      </c>
      <c r="L1091" s="640" t="n">
        <v>0</v>
      </c>
      <c r="M1091" s="640" t="inlineStr">
        <is>
          <t>Samsung 32" вертикальный</t>
        </is>
      </c>
      <c r="N1091" s="640" t="n"/>
      <c r="O1091" s="640">
        <f>IF(AND(N1091=1,L1091=1),K1091,"")</f>
        <v/>
      </c>
      <c r="P1091" s="642" t="inlineStr">
        <is>
          <t>Астрахань, ул. Аэропортовское шоссе, д.5</t>
        </is>
      </c>
      <c r="Q1091" s="640" t="inlineStr">
        <is>
          <t>46.2935116</t>
        </is>
      </c>
      <c r="R1091" s="422" t="inlineStr">
        <is>
          <t>47.9991817</t>
        </is>
      </c>
      <c r="S1091" s="436" t="n"/>
      <c r="T1091" s="387" t="n"/>
      <c r="U1091" s="387" t="n"/>
      <c r="V1091" s="438">
        <f>IF(AND(N1091=1,U1091=1),C1091,"")</f>
        <v/>
      </c>
      <c r="W1091" s="387" t="n"/>
      <c r="X1091" s="1" t="n"/>
      <c r="Y1091" s="1" t="n"/>
    </row>
    <row r="1092" hidden="1" ht="16.05" customFormat="1" customHeight="1" s="126">
      <c r="A1092" s="125" t="n">
        <v>1522</v>
      </c>
      <c r="B1092" s="125" t="n"/>
      <c r="C1092" s="130" t="inlineStr">
        <is>
          <t>Астрахань</t>
        </is>
      </c>
      <c r="D1092" s="130" t="inlineStr">
        <is>
          <t>Астрахань</t>
        </is>
      </c>
      <c r="E1092" s="130" t="n"/>
      <c r="F1092" s="130" t="inlineStr">
        <is>
          <t>АЗС</t>
        </is>
      </c>
      <c r="G1092" s="130" t="inlineStr">
        <is>
          <t>Лукойл</t>
        </is>
      </c>
      <c r="H1092" s="131" t="inlineStr">
        <is>
          <t>АЗС-322</t>
        </is>
      </c>
      <c r="I1092" s="637" t="inlineStr">
        <is>
          <t>30672 (322)</t>
        </is>
      </c>
      <c r="J1092" s="637" t="inlineStr">
        <is>
          <t>AST_LUK_30672</t>
        </is>
      </c>
      <c r="K1092" s="640" t="n">
        <v>1</v>
      </c>
      <c r="L1092" s="640" t="n">
        <v>0</v>
      </c>
      <c r="M1092" s="640" t="inlineStr">
        <is>
          <t>Samsung 32" вертикальный</t>
        </is>
      </c>
      <c r="N1092" s="640" t="n"/>
      <c r="O1092" s="640">
        <f>IF(AND(N1092=1,L1092=1),K1092,"")</f>
        <v/>
      </c>
      <c r="P1092" s="642" t="inlineStr">
        <is>
          <t>Астрахань, ул. Анри Барбюса,д.27в</t>
        </is>
      </c>
      <c r="Q1092" s="640" t="inlineStr">
        <is>
          <t>46.3615266</t>
        </is>
      </c>
      <c r="R1092" s="422" t="inlineStr">
        <is>
          <t>48.0557629</t>
        </is>
      </c>
      <c r="S1092" s="436" t="n"/>
      <c r="T1092" s="387" t="n"/>
      <c r="U1092" s="387" t="n"/>
      <c r="V1092" s="438">
        <f>IF(AND(N1092=1,U1092=1),C1092,"")</f>
        <v/>
      </c>
      <c r="W1092" s="387" t="n"/>
      <c r="X1092" s="1" t="n"/>
      <c r="Y1092" s="1" t="n"/>
    </row>
    <row r="1093" hidden="1" ht="16.05" customFormat="1" customHeight="1" s="126">
      <c r="A1093" s="125" t="n">
        <v>1523</v>
      </c>
      <c r="B1093" s="125" t="n"/>
      <c r="C1093" s="130" t="inlineStr">
        <is>
          <t>Астрахань</t>
        </is>
      </c>
      <c r="D1093" s="130" t="inlineStr">
        <is>
          <t>Астрахань</t>
        </is>
      </c>
      <c r="E1093" s="130" t="n"/>
      <c r="F1093" s="130" t="n"/>
      <c r="G1093" s="130" t="inlineStr">
        <is>
          <t>Лукойл</t>
        </is>
      </c>
      <c r="H1093" s="131" t="inlineStr">
        <is>
          <t>АЗС-324</t>
        </is>
      </c>
      <c r="I1093" s="637" t="inlineStr">
        <is>
          <t>30674 (324)</t>
        </is>
      </c>
      <c r="J1093" s="402" t="inlineStr">
        <is>
          <t>AST_LUK_30674</t>
        </is>
      </c>
      <c r="K1093" s="640" t="n">
        <v>1</v>
      </c>
      <c r="L1093" s="640" t="n">
        <v>0</v>
      </c>
      <c r="M1093" s="640" t="inlineStr">
        <is>
          <t>Sam 32</t>
        </is>
      </c>
      <c r="N1093" s="640" t="n"/>
      <c r="O1093" s="640">
        <f>IF(AND(N1093=1,L1093=1),K1093,"")</f>
        <v/>
      </c>
      <c r="P1093" s="642" t="inlineStr">
        <is>
          <t>Астрахань, ул. Н Островского, д.135</t>
        </is>
      </c>
      <c r="Q1093" s="640" t="n">
        <v>46.3379026</v>
      </c>
      <c r="R1093" s="422" t="n">
        <v>48.0636781</v>
      </c>
      <c r="S1093" s="436" t="n"/>
      <c r="T1093" s="387" t="n"/>
      <c r="U1093" s="387" t="n"/>
      <c r="V1093" s="438">
        <f>IF(AND(N1093=1,U1093=1),C1093,"")</f>
        <v/>
      </c>
      <c r="W1093" s="387" t="n"/>
      <c r="X1093" s="1" t="n"/>
      <c r="Y1093" s="1" t="n"/>
    </row>
    <row r="1094" hidden="1" ht="16.05" customFormat="1" customHeight="1" s="126">
      <c r="A1094" s="125" t="n">
        <v>1526</v>
      </c>
      <c r="B1094" s="125" t="n"/>
      <c r="C1094" s="130" t="inlineStr">
        <is>
          <t>Липецк</t>
        </is>
      </c>
      <c r="D1094" s="130" t="inlineStr">
        <is>
          <t>Липецк</t>
        </is>
      </c>
      <c r="E1094" s="130" t="n"/>
      <c r="F1094" s="130" t="inlineStr">
        <is>
          <t>АЗС</t>
        </is>
      </c>
      <c r="G1094" s="130" t="inlineStr">
        <is>
          <t>Роснефть</t>
        </is>
      </c>
      <c r="H1094" s="131" t="inlineStr">
        <is>
          <t>АЗК №9</t>
        </is>
      </c>
      <c r="I1094" s="637" t="inlineStr">
        <is>
          <t>RN_9</t>
        </is>
      </c>
      <c r="J1094" s="637" t="inlineStr">
        <is>
          <t>LIP_RN_0009</t>
        </is>
      </c>
      <c r="K1094" s="640" t="n">
        <v>1</v>
      </c>
      <c r="L1094" s="640" t="n">
        <v>1</v>
      </c>
      <c r="M1094" s="623" t="inlineStr">
        <is>
          <t>Samsung 32" вертикальный</t>
        </is>
      </c>
      <c r="N1094" s="640" t="n"/>
      <c r="O1094" s="640">
        <f>IF(AND(N1094=1,L1094=1),K1094,"")</f>
        <v/>
      </c>
      <c r="P1094" s="642" t="inlineStr">
        <is>
          <t>Липецк З.Космодемьянской (улица Зои Космодемьянской, 259)</t>
        </is>
      </c>
      <c r="Q1094" s="640" t="inlineStr">
        <is>
          <t>52.575342</t>
        </is>
      </c>
      <c r="R1094" s="494" t="inlineStr">
        <is>
          <t>39.666378</t>
        </is>
      </c>
      <c r="S1094" s="436" t="n"/>
      <c r="T1094" s="387" t="n"/>
      <c r="U1094" s="387" t="n"/>
      <c r="V1094" s="438">
        <f>IF(AND(N1094=1,U1094=1),C1094,"")</f>
        <v/>
      </c>
      <c r="W1094" s="387" t="n"/>
      <c r="X1094" s="387" t="n"/>
      <c r="Y1094" s="387" t="n"/>
    </row>
    <row r="1095" hidden="1" ht="16.05" customFormat="1" customHeight="1" s="126">
      <c r="A1095" s="125" t="n">
        <v>1527</v>
      </c>
      <c r="B1095" s="125" t="n"/>
      <c r="C1095" s="130" t="inlineStr">
        <is>
          <t>Липецк</t>
        </is>
      </c>
      <c r="D1095" s="130" t="inlineStr">
        <is>
          <t>Грязи</t>
        </is>
      </c>
      <c r="E1095" s="130" t="n"/>
      <c r="F1095" s="130" t="inlineStr">
        <is>
          <t>АЗС</t>
        </is>
      </c>
      <c r="G1095" s="130" t="inlineStr">
        <is>
          <t>Роснефть</t>
        </is>
      </c>
      <c r="H1095" s="131" t="inlineStr">
        <is>
          <t>АЗК №11</t>
        </is>
      </c>
      <c r="I1095" s="637" t="inlineStr">
        <is>
          <t>RN_11</t>
        </is>
      </c>
      <c r="J1095" s="637" t="inlineStr">
        <is>
          <t>LIP_RN_0011</t>
        </is>
      </c>
      <c r="K1095" s="640" t="n">
        <v>1</v>
      </c>
      <c r="L1095" s="640" t="n">
        <v>1</v>
      </c>
      <c r="M1095" s="623" t="inlineStr">
        <is>
          <t>Samsung 32" вертикальный</t>
        </is>
      </c>
      <c r="N1095" s="640" t="n"/>
      <c r="O1095" s="640">
        <f>IF(AND(N1095=1,L1095=1),K1095,"")</f>
        <v/>
      </c>
      <c r="P1095" s="642" t="inlineStr">
        <is>
          <t>Липецкая область г.Грязи  Вторая Чапаева</t>
        </is>
      </c>
      <c r="Q1095" s="640" t="inlineStr">
        <is>
          <t>52.496031</t>
        </is>
      </c>
      <c r="R1095" s="422" t="inlineStr">
        <is>
          <t>39.920483</t>
        </is>
      </c>
      <c r="S1095" s="436" t="n"/>
      <c r="T1095" s="387" t="n"/>
      <c r="U1095" s="387" t="n"/>
      <c r="V1095" s="438">
        <f>IF(AND(N1095=1,U1095=1),C1095,"")</f>
        <v/>
      </c>
      <c r="W1095" s="387" t="n"/>
      <c r="X1095" s="387" t="n"/>
      <c r="Y1095" s="387" t="n"/>
    </row>
    <row r="1096" hidden="1" ht="16.05" customFormat="1" customHeight="1" s="126">
      <c r="A1096" s="125" t="n">
        <v>1528</v>
      </c>
      <c r="B1096" s="125" t="n"/>
      <c r="C1096" s="130" t="inlineStr">
        <is>
          <t>Липецк</t>
        </is>
      </c>
      <c r="D1096" s="130" t="inlineStr">
        <is>
          <t>Липецк</t>
        </is>
      </c>
      <c r="E1096" s="130" t="n"/>
      <c r="F1096" s="130" t="inlineStr">
        <is>
          <t>АЗС</t>
        </is>
      </c>
      <c r="G1096" s="130" t="inlineStr">
        <is>
          <t>Роснефть</t>
        </is>
      </c>
      <c r="H1096" s="131" t="inlineStr">
        <is>
          <t>АЗК №14</t>
        </is>
      </c>
      <c r="I1096" s="637" t="inlineStr">
        <is>
          <t>RN_14</t>
        </is>
      </c>
      <c r="J1096" s="637" t="inlineStr">
        <is>
          <t>LIP_RN_0014</t>
        </is>
      </c>
      <c r="K1096" s="640" t="n">
        <v>1</v>
      </c>
      <c r="L1096" s="640" t="n">
        <v>1</v>
      </c>
      <c r="M1096" s="623" t="inlineStr">
        <is>
          <t>Samsung 32" вертикальный</t>
        </is>
      </c>
      <c r="N1096" s="640" t="n"/>
      <c r="O1096" s="640">
        <f>IF(AND(N1096=1,L1096=1),K1096,"")</f>
        <v/>
      </c>
      <c r="P1096" s="642" t="inlineStr">
        <is>
          <t>Липецк  Лебедянское шоссе (Трубный пр., 11)</t>
        </is>
      </c>
      <c r="Q1096" s="640" t="inlineStr">
        <is>
          <t>52.628866</t>
        </is>
      </c>
      <c r="R1096" s="494" t="inlineStr">
        <is>
          <t>39.535805</t>
        </is>
      </c>
      <c r="S1096" s="436" t="n"/>
      <c r="T1096" s="387" t="n"/>
      <c r="U1096" s="387" t="n"/>
      <c r="V1096" s="438">
        <f>IF(AND(N1096=1,U1096=1),C1096,"")</f>
        <v/>
      </c>
      <c r="W1096" s="387" t="n"/>
      <c r="X1096" s="387" t="n"/>
      <c r="Y1096" s="387" t="n"/>
    </row>
    <row r="1097" hidden="1" ht="16.05" customFormat="1" customHeight="1" s="126">
      <c r="A1097" s="125" t="n">
        <v>1529</v>
      </c>
      <c r="B1097" s="125" t="n"/>
      <c r="C1097" s="130" t="inlineStr">
        <is>
          <t>Липецк</t>
        </is>
      </c>
      <c r="D1097" s="130" t="inlineStr">
        <is>
          <t>Липецк</t>
        </is>
      </c>
      <c r="E1097" s="130" t="n"/>
      <c r="F1097" s="130" t="inlineStr">
        <is>
          <t>АЗС</t>
        </is>
      </c>
      <c r="G1097" s="130" t="inlineStr">
        <is>
          <t>Роснефть</t>
        </is>
      </c>
      <c r="H1097" s="131" t="inlineStr">
        <is>
          <t>АЗК №22</t>
        </is>
      </c>
      <c r="I1097" s="637" t="inlineStr">
        <is>
          <t>RN_22</t>
        </is>
      </c>
      <c r="J1097" s="637" t="inlineStr">
        <is>
          <t>LIP_RN_0022</t>
        </is>
      </c>
      <c r="K1097" s="640" t="n">
        <v>2</v>
      </c>
      <c r="L1097" s="640" t="n">
        <v>1</v>
      </c>
      <c r="M1097" s="623" t="inlineStr">
        <is>
          <t>Samsung 32" вертикальный</t>
        </is>
      </c>
      <c r="N1097" s="640" t="n"/>
      <c r="O1097" s="640">
        <f>IF(AND(N1097=1,L1097=1),K1097,"")</f>
        <v/>
      </c>
      <c r="P1097" s="642" t="inlineStr">
        <is>
          <t>Липецк  ул Московская (Московская улица, 79с1)</t>
        </is>
      </c>
      <c r="Q1097" s="640" t="inlineStr">
        <is>
          <t>52.606904</t>
        </is>
      </c>
      <c r="R1097" s="494" t="inlineStr">
        <is>
          <t>39.526218</t>
        </is>
      </c>
      <c r="S1097" s="436" t="n"/>
      <c r="T1097" s="387" t="n"/>
      <c r="U1097" s="387" t="n"/>
      <c r="V1097" s="438">
        <f>IF(AND(N1097=1,U1097=1),C1097,"")</f>
        <v/>
      </c>
      <c r="W1097" s="387" t="n"/>
      <c r="X1097" s="387" t="n"/>
      <c r="Y1097" s="387" t="n"/>
    </row>
    <row r="1098" hidden="1" ht="16.05" customFormat="1" customHeight="1" s="126">
      <c r="A1098" s="125" t="n">
        <v>1530</v>
      </c>
      <c r="B1098" s="125" t="n"/>
      <c r="C1098" s="130" t="inlineStr">
        <is>
          <t>Липецк</t>
        </is>
      </c>
      <c r="D1098" s="130" t="inlineStr">
        <is>
          <t>Липецк</t>
        </is>
      </c>
      <c r="E1098" s="130" t="n"/>
      <c r="F1098" s="130" t="inlineStr">
        <is>
          <t>АЗС</t>
        </is>
      </c>
      <c r="G1098" s="130" t="inlineStr">
        <is>
          <t>Роснефть</t>
        </is>
      </c>
      <c r="H1098" s="131" t="inlineStr">
        <is>
          <t>АЗК №28</t>
        </is>
      </c>
      <c r="I1098" s="637" t="inlineStr">
        <is>
          <t>RN_28</t>
        </is>
      </c>
      <c r="J1098" s="637" t="inlineStr">
        <is>
          <t>LIP_RN_0028</t>
        </is>
      </c>
      <c r="K1098" s="640" t="n">
        <v>1</v>
      </c>
      <c r="L1098" s="640" t="n">
        <v>1</v>
      </c>
      <c r="M1098" s="623" t="inlineStr">
        <is>
          <t>Samsung 32" вертикальный</t>
        </is>
      </c>
      <c r="N1098" s="640" t="n"/>
      <c r="O1098" s="640">
        <f>IF(AND(N1098=1,L1098=1),K1098,"")</f>
        <v/>
      </c>
      <c r="P1098" s="642" t="inlineStr">
        <is>
          <t>Липецк   Баумана (улица Баумана, 285к1)</t>
        </is>
      </c>
      <c r="Q1098" s="640" t="inlineStr">
        <is>
          <t>52.655499</t>
        </is>
      </c>
      <c r="R1098" s="422" t="inlineStr">
        <is>
          <t>39.694408</t>
        </is>
      </c>
      <c r="S1098" s="436" t="n"/>
      <c r="T1098" s="387" t="n"/>
      <c r="U1098" s="387" t="n"/>
      <c r="V1098" s="438">
        <f>IF(AND(N1098=1,U1098=1),C1098,"")</f>
        <v/>
      </c>
      <c r="W1098" s="387" t="n"/>
      <c r="X1098" s="387" t="n"/>
      <c r="Y1098" s="387" t="n"/>
    </row>
    <row r="1099" hidden="1" ht="16.05" customFormat="1" customHeight="1" s="126">
      <c r="A1099" s="125" t="n">
        <v>1531</v>
      </c>
      <c r="B1099" s="125" t="n"/>
      <c r="C1099" s="130" t="inlineStr">
        <is>
          <t>Липецк</t>
        </is>
      </c>
      <c r="D1099" s="130" t="inlineStr">
        <is>
          <t>Липецк</t>
        </is>
      </c>
      <c r="E1099" s="130" t="n"/>
      <c r="F1099" s="130" t="inlineStr">
        <is>
          <t>АЗС</t>
        </is>
      </c>
      <c r="G1099" s="130" t="inlineStr">
        <is>
          <t>Роснефть</t>
        </is>
      </c>
      <c r="H1099" s="131" t="inlineStr">
        <is>
          <t>АЗК №42</t>
        </is>
      </c>
      <c r="I1099" s="637" t="inlineStr">
        <is>
          <t>RN_42</t>
        </is>
      </c>
      <c r="J1099" s="637" t="inlineStr">
        <is>
          <t>LIP_RN_0042</t>
        </is>
      </c>
      <c r="K1099" s="640" t="n">
        <v>1</v>
      </c>
      <c r="L1099" s="640" t="n">
        <v>1</v>
      </c>
      <c r="M1099" s="623" t="inlineStr">
        <is>
          <t>Samsung 32" вертикальный</t>
        </is>
      </c>
      <c r="N1099" s="640" t="n"/>
      <c r="O1099" s="640">
        <f>IF(AND(N1099=1,L1099=1),K1099,"")</f>
        <v/>
      </c>
      <c r="P1099" s="642" t="inlineStr">
        <is>
          <t>Липецк   Гагарина (улица Гагарина, 112)</t>
        </is>
      </c>
      <c r="Q1099" s="640" t="inlineStr">
        <is>
          <t>52.622708</t>
        </is>
      </c>
      <c r="R1099" s="494" t="inlineStr">
        <is>
          <t>39.556802</t>
        </is>
      </c>
      <c r="S1099" s="436" t="n"/>
      <c r="T1099" s="387" t="n"/>
      <c r="U1099" s="387" t="n"/>
      <c r="V1099" s="438">
        <f>IF(AND(N1099=1,U1099=1),C1099,"")</f>
        <v/>
      </c>
      <c r="W1099" s="387" t="n"/>
      <c r="X1099" s="387" t="n"/>
      <c r="Y1099" s="387" t="n"/>
    </row>
    <row r="1100" hidden="1" ht="16.05" customFormat="1" customHeight="1" s="126">
      <c r="A1100" s="125" t="n">
        <v>1532</v>
      </c>
      <c r="B1100" s="125" t="n"/>
      <c r="C1100" s="130" t="inlineStr">
        <is>
          <t>Липецк</t>
        </is>
      </c>
      <c r="D1100" s="130" t="inlineStr">
        <is>
          <t>Липецк</t>
        </is>
      </c>
      <c r="E1100" s="130" t="n"/>
      <c r="F1100" s="130" t="inlineStr">
        <is>
          <t>АЗС</t>
        </is>
      </c>
      <c r="G1100" s="130" t="inlineStr">
        <is>
          <t>Роснефть</t>
        </is>
      </c>
      <c r="H1100" s="131" t="inlineStr">
        <is>
          <t>АЗК №54</t>
        </is>
      </c>
      <c r="I1100" s="637" t="inlineStr">
        <is>
          <t>RN_54</t>
        </is>
      </c>
      <c r="J1100" s="637" t="inlineStr">
        <is>
          <t>LIP_RN_0054</t>
        </is>
      </c>
      <c r="K1100" s="640" t="n">
        <v>1</v>
      </c>
      <c r="L1100" s="640" t="n">
        <v>1</v>
      </c>
      <c r="M1100" s="623" t="inlineStr">
        <is>
          <t>Samsung 32" вертикальный</t>
        </is>
      </c>
      <c r="N1100" s="640" t="n"/>
      <c r="O1100" s="640">
        <f>IF(AND(N1100=1,L1100=1),K1100,"")</f>
        <v/>
      </c>
      <c r="P1100" s="642" t="inlineStr">
        <is>
          <t xml:space="preserve">Липецк  район Цемзавода </t>
        </is>
      </c>
      <c r="Q1100" s="640" t="inlineStr">
        <is>
          <t>52.660324</t>
        </is>
      </c>
      <c r="R1100" s="494" t="inlineStr">
        <is>
          <t>39.634672</t>
        </is>
      </c>
      <c r="S1100" s="436" t="n"/>
      <c r="T1100" s="387" t="n"/>
      <c r="U1100" s="387" t="n"/>
      <c r="V1100" s="438">
        <f>IF(AND(N1100=1,U1100=1),C1100,"")</f>
        <v/>
      </c>
      <c r="W1100" s="387" t="n"/>
      <c r="X1100" s="387" t="n"/>
      <c r="Y1100" s="387" t="n"/>
    </row>
    <row r="1101" hidden="1" ht="16.05" customFormat="1" customHeight="1" s="126">
      <c r="A1101" s="125" t="n">
        <v>1533</v>
      </c>
      <c r="B1101" s="125" t="n"/>
      <c r="C1101" s="130" t="inlineStr">
        <is>
          <t>Липецк</t>
        </is>
      </c>
      <c r="D1101" s="130" t="inlineStr">
        <is>
          <t>Липецк</t>
        </is>
      </c>
      <c r="E1101" s="130" t="n"/>
      <c r="F1101" s="130" t="inlineStr">
        <is>
          <t>АЗС</t>
        </is>
      </c>
      <c r="G1101" s="130" t="inlineStr">
        <is>
          <t>Роснефть</t>
        </is>
      </c>
      <c r="H1101" s="131" t="inlineStr">
        <is>
          <t>АЗК №60</t>
        </is>
      </c>
      <c r="I1101" s="637" t="inlineStr">
        <is>
          <t>RN_60</t>
        </is>
      </c>
      <c r="J1101" s="637" t="inlineStr">
        <is>
          <t>LIP_RN_0060</t>
        </is>
      </c>
      <c r="K1101" s="640" t="n">
        <v>1</v>
      </c>
      <c r="L1101" s="640" t="n">
        <v>1</v>
      </c>
      <c r="M1101" s="623" t="inlineStr">
        <is>
          <t>Samsung 32" вертикальный</t>
        </is>
      </c>
      <c r="N1101" s="640" t="n"/>
      <c r="O1101" s="640">
        <f>IF(AND(N1101=1,L1101=1),K1101,"")</f>
        <v/>
      </c>
      <c r="P1101" s="642" t="inlineStr">
        <is>
          <t>Липецк, 2-ая Индустриальная (2-я Индустриальная улица, 19)</t>
        </is>
      </c>
      <c r="Q1101" s="640" t="inlineStr">
        <is>
          <t>52.585786</t>
        </is>
      </c>
      <c r="R1101" s="422" t="inlineStr">
        <is>
          <t>39.555633</t>
        </is>
      </c>
      <c r="S1101" s="436" t="n"/>
      <c r="T1101" s="387" t="n"/>
      <c r="U1101" s="387" t="n"/>
      <c r="V1101" s="438">
        <f>IF(AND(N1101=1,U1101=1),C1101,"")</f>
        <v/>
      </c>
      <c r="W1101" s="387" t="n"/>
      <c r="X1101" s="387" t="n"/>
      <c r="Y1101" s="387" t="n"/>
    </row>
    <row r="1102" hidden="1" ht="16.05" customFormat="1" customHeight="1" s="126">
      <c r="A1102" s="125" t="n">
        <v>1534</v>
      </c>
      <c r="B1102" s="125" t="n"/>
      <c r="C1102" s="130" t="inlineStr">
        <is>
          <t>Липецк</t>
        </is>
      </c>
      <c r="D1102" s="130" t="inlineStr">
        <is>
          <t>Грязи</t>
        </is>
      </c>
      <c r="E1102" s="130" t="n"/>
      <c r="F1102" s="130" t="inlineStr">
        <is>
          <t>АЗС</t>
        </is>
      </c>
      <c r="G1102" s="130" t="inlineStr">
        <is>
          <t>Роснефть</t>
        </is>
      </c>
      <c r="H1102" s="131" t="inlineStr">
        <is>
          <t>АЗК №61</t>
        </is>
      </c>
      <c r="I1102" s="637" t="inlineStr">
        <is>
          <t>RN_61</t>
        </is>
      </c>
      <c r="J1102" s="637" t="inlineStr">
        <is>
          <t>LIP_RN_0061</t>
        </is>
      </c>
      <c r="K1102" s="640" t="n">
        <v>1</v>
      </c>
      <c r="L1102" s="640" t="n">
        <v>1</v>
      </c>
      <c r="M1102" s="623" t="inlineStr">
        <is>
          <t>Samsung 32" вертикальный</t>
        </is>
      </c>
      <c r="N1102" s="640" t="n"/>
      <c r="O1102" s="640">
        <f>IF(AND(N1102=1,L1102=1),K1102,"")</f>
        <v/>
      </c>
      <c r="P1102" s="642" t="inlineStr">
        <is>
          <t>Липецкая область, Грязинский район., г.Грязи, Набережная</t>
        </is>
      </c>
      <c r="Q1102" s="640" t="inlineStr">
        <is>
          <t>52.499244</t>
        </is>
      </c>
      <c r="R1102" s="494" t="inlineStr">
        <is>
          <t>39.955862</t>
        </is>
      </c>
      <c r="S1102" s="436" t="n"/>
      <c r="T1102" s="387" t="n"/>
      <c r="U1102" s="387" t="n"/>
      <c r="V1102" s="438">
        <f>IF(AND(N1102=1,U1102=1),C1102,"")</f>
        <v/>
      </c>
      <c r="W1102" s="387" t="n"/>
      <c r="X1102" s="387" t="n"/>
      <c r="Y1102" s="387" t="n"/>
    </row>
    <row r="1103" hidden="1" ht="16.05" customFormat="1" customHeight="1" s="126">
      <c r="A1103" s="125" t="n">
        <v>1535</v>
      </c>
      <c r="B1103" s="125" t="n"/>
      <c r="C1103" s="130" t="inlineStr">
        <is>
          <t>Липецк</t>
        </is>
      </c>
      <c r="D1103" s="130" t="inlineStr">
        <is>
          <t>Липецк</t>
        </is>
      </c>
      <c r="E1103" s="130" t="n"/>
      <c r="F1103" s="130" t="inlineStr">
        <is>
          <t>АЗС</t>
        </is>
      </c>
      <c r="G1103" s="130" t="inlineStr">
        <is>
          <t>Роснефть</t>
        </is>
      </c>
      <c r="H1103" s="131" t="inlineStr">
        <is>
          <t>АЗК №92</t>
        </is>
      </c>
      <c r="I1103" s="637" t="inlineStr">
        <is>
          <t>RN_92</t>
        </is>
      </c>
      <c r="J1103" s="637" t="inlineStr">
        <is>
          <t>LIP_RN_0092</t>
        </is>
      </c>
      <c r="K1103" s="640" t="n">
        <v>1</v>
      </c>
      <c r="L1103" s="640" t="n">
        <v>1</v>
      </c>
      <c r="M1103" s="623" t="inlineStr">
        <is>
          <t>Samsung 32" вертикальный</t>
        </is>
      </c>
      <c r="N1103" s="640" t="n"/>
      <c r="O1103" s="640">
        <f>IF(AND(N1103=1,L1103=1),K1103,"")</f>
        <v/>
      </c>
      <c r="P1103" s="642" t="inlineStr">
        <is>
          <t>Липецк, с.Косыревка (Новая улица, 1К1)</t>
        </is>
      </c>
      <c r="Q1103" s="640" t="n">
        <v>52.600963</v>
      </c>
      <c r="R1103" s="422" t="n">
        <v>39.413378</v>
      </c>
      <c r="S1103" s="436" t="n"/>
      <c r="T1103" s="387" t="n"/>
      <c r="U1103" s="387" t="n"/>
      <c r="V1103" s="438">
        <f>IF(AND(N1103=1,U1103=1),C1103,"")</f>
        <v/>
      </c>
      <c r="W1103" s="387" t="n"/>
      <c r="X1103" s="387" t="n"/>
      <c r="Y1103" s="387" t="n"/>
    </row>
    <row r="1104" hidden="1" ht="16.05" customFormat="1" customHeight="1" s="126">
      <c r="A1104" s="125" t="n">
        <v>1536</v>
      </c>
      <c r="B1104" s="125" t="n"/>
      <c r="C1104" s="130" t="inlineStr">
        <is>
          <t>Липецк</t>
        </is>
      </c>
      <c r="D1104" s="130" t="inlineStr">
        <is>
          <t>Грязи</t>
        </is>
      </c>
      <c r="E1104" s="130" t="n"/>
      <c r="F1104" s="130" t="inlineStr">
        <is>
          <t>АЗС</t>
        </is>
      </c>
      <c r="G1104" s="130" t="inlineStr">
        <is>
          <t>Роснефть</t>
        </is>
      </c>
      <c r="H1104" s="131" t="inlineStr">
        <is>
          <t>АЗК №113</t>
        </is>
      </c>
      <c r="I1104" s="637" t="inlineStr">
        <is>
          <t>RN_113</t>
        </is>
      </c>
      <c r="J1104" s="637" t="inlineStr">
        <is>
          <t>LIP_RN_0113</t>
        </is>
      </c>
      <c r="K1104" s="640" t="n">
        <v>1</v>
      </c>
      <c r="L1104" s="640" t="n">
        <v>1</v>
      </c>
      <c r="M1104" s="623" t="inlineStr">
        <is>
          <t>Samsung 32" вертикальный</t>
        </is>
      </c>
      <c r="N1104" s="640" t="n"/>
      <c r="O1104" s="640">
        <f>IF(AND(N1104=1,L1104=1),K1104,"")</f>
        <v/>
      </c>
      <c r="P1104" s="642" t="inlineStr">
        <is>
          <t xml:space="preserve">Липецкая область г.Грязи Советская </t>
        </is>
      </c>
      <c r="Q1104" s="640" t="inlineStr">
        <is>
          <t>52.490388</t>
        </is>
      </c>
      <c r="R1104" s="494" t="inlineStr">
        <is>
          <t>39.972896</t>
        </is>
      </c>
      <c r="S1104" s="436" t="n"/>
      <c r="T1104" s="387" t="n"/>
      <c r="U1104" s="387" t="n"/>
      <c r="V1104" s="438">
        <f>IF(AND(N1104=1,U1104=1),C1104,"")</f>
        <v/>
      </c>
      <c r="W1104" s="387" t="n"/>
      <c r="X1104" s="387" t="n"/>
      <c r="Y1104" s="387" t="n"/>
    </row>
    <row r="1105" hidden="1" ht="16.05" customFormat="1" customHeight="1" s="126">
      <c r="A1105" s="125" t="n">
        <v>1538</v>
      </c>
      <c r="B1105" s="125" t="n"/>
      <c r="C1105" s="130" t="inlineStr">
        <is>
          <t>Ульяновск</t>
        </is>
      </c>
      <c r="D1105" s="130" t="inlineStr">
        <is>
          <t>Ульяновск</t>
        </is>
      </c>
      <c r="E1105" s="130" t="n"/>
      <c r="F1105" s="130" t="inlineStr">
        <is>
          <t>АЗС</t>
        </is>
      </c>
      <c r="G1105" s="130" t="inlineStr">
        <is>
          <t>Роснефть</t>
        </is>
      </c>
      <c r="H1105" s="131" t="n"/>
      <c r="I1105" s="637" t="inlineStr">
        <is>
          <t>RN_2</t>
        </is>
      </c>
      <c r="J1105" s="637" t="inlineStr">
        <is>
          <t>ULN_RN_0002</t>
        </is>
      </c>
      <c r="K1105" s="640" t="n">
        <v>1</v>
      </c>
      <c r="L1105" s="640" t="n">
        <v>1</v>
      </c>
      <c r="M1105" s="623" t="inlineStr">
        <is>
          <t>Samsung 32" вертикальный</t>
        </is>
      </c>
      <c r="N1105" s="640" t="n"/>
      <c r="O1105" s="640">
        <f>IF(AND(N1105=1,L1105=1),K1105,"")</f>
        <v/>
      </c>
      <c r="P1105" s="642" t="inlineStr">
        <is>
          <t>Ульяновск,  Промышленная, 50</t>
        </is>
      </c>
      <c r="Q1105" s="640" t="inlineStr">
        <is>
          <t>54.284111</t>
        </is>
      </c>
      <c r="R1105" s="494" t="inlineStr">
        <is>
          <t>48.302921</t>
        </is>
      </c>
      <c r="S1105" s="436" t="n"/>
      <c r="T1105" s="387" t="n"/>
      <c r="U1105" s="387" t="n"/>
      <c r="V1105" s="438">
        <f>IF(AND(N1105=1,U1105=1),C1105,"")</f>
        <v/>
      </c>
      <c r="W1105" s="387" t="n"/>
      <c r="X1105" s="1" t="n"/>
      <c r="Y1105" s="1" t="n"/>
    </row>
    <row r="1106" hidden="1" ht="16.05" customFormat="1" customHeight="1" s="126">
      <c r="A1106" s="125" t="n">
        <v>1539</v>
      </c>
      <c r="B1106" s="125" t="n"/>
      <c r="C1106" s="130" t="inlineStr">
        <is>
          <t>Ульяновск</t>
        </is>
      </c>
      <c r="D1106" s="130" t="inlineStr">
        <is>
          <t>Ульяновск</t>
        </is>
      </c>
      <c r="E1106" s="130" t="n"/>
      <c r="F1106" s="130" t="inlineStr">
        <is>
          <t>АЗС</t>
        </is>
      </c>
      <c r="G1106" s="130" t="inlineStr">
        <is>
          <t>Роснефть</t>
        </is>
      </c>
      <c r="H1106" s="131" t="n"/>
      <c r="I1106" s="637" t="inlineStr">
        <is>
          <t>RN_3</t>
        </is>
      </c>
      <c r="J1106" s="637" t="inlineStr">
        <is>
          <t>ULN_RN_0003</t>
        </is>
      </c>
      <c r="K1106" s="640" t="n">
        <v>1</v>
      </c>
      <c r="L1106" s="640" t="n">
        <v>0</v>
      </c>
      <c r="M1106" s="623" t="inlineStr">
        <is>
          <t>Samsung 32" вертикальный</t>
        </is>
      </c>
      <c r="N1106" s="640" t="n"/>
      <c r="O1106" s="640">
        <f>IF(AND(N1106=1,L1106=1),K1106,"")</f>
        <v/>
      </c>
      <c r="P1106" s="642" t="inlineStr">
        <is>
          <t>Ульяновск,  Азовская, 78</t>
        </is>
      </c>
      <c r="Q1106" s="640" t="inlineStr">
        <is>
          <t>54.322816</t>
        </is>
      </c>
      <c r="R1106" s="494" t="inlineStr">
        <is>
          <t>48.34837</t>
        </is>
      </c>
      <c r="S1106" s="436" t="n"/>
      <c r="T1106" s="387" t="n"/>
      <c r="U1106" s="387" t="n"/>
      <c r="V1106" s="438">
        <f>IF(AND(N1106=1,U1106=1),C1106,"")</f>
        <v/>
      </c>
      <c r="W1106" s="387" t="n"/>
      <c r="X1106" s="387" t="n"/>
      <c r="Y1106" s="387" t="n"/>
    </row>
    <row r="1107" hidden="1" ht="16.05" customFormat="1" customHeight="1" s="126">
      <c r="A1107" s="125" t="n">
        <v>1540</v>
      </c>
      <c r="B1107" s="125" t="n"/>
      <c r="C1107" s="130" t="inlineStr">
        <is>
          <t>Ульяновск</t>
        </is>
      </c>
      <c r="D1107" s="130" t="inlineStr">
        <is>
          <t>Ульяновск</t>
        </is>
      </c>
      <c r="E1107" s="130" t="n"/>
      <c r="F1107" s="130" t="inlineStr">
        <is>
          <t>АЗС</t>
        </is>
      </c>
      <c r="G1107" s="130" t="inlineStr">
        <is>
          <t>Роснефть</t>
        </is>
      </c>
      <c r="H1107" s="131" t="n"/>
      <c r="I1107" s="637" t="inlineStr">
        <is>
          <t xml:space="preserve">RN_4 </t>
        </is>
      </c>
      <c r="J1107" s="637" t="inlineStr">
        <is>
          <t>ULN_RN_0004</t>
        </is>
      </c>
      <c r="K1107" s="640" t="n">
        <v>1</v>
      </c>
      <c r="L1107" s="640" t="n">
        <v>1</v>
      </c>
      <c r="M1107" s="623" t="inlineStr">
        <is>
          <t>Samsung 32" вертикальный</t>
        </is>
      </c>
      <c r="N1107" s="640" t="n"/>
      <c r="O1107" s="640">
        <f>IF(AND(N1107=1,L1107=1),K1107,"")</f>
        <v/>
      </c>
      <c r="P1107" s="642" t="inlineStr">
        <is>
          <t>Ульяновск, село Б. Ключ (ул. Ленина, 1А)</t>
        </is>
      </c>
      <c r="Q1107" s="640" t="inlineStr">
        <is>
          <t>54.213662</t>
        </is>
      </c>
      <c r="R1107" s="494" t="inlineStr">
        <is>
          <t>48.296596</t>
        </is>
      </c>
      <c r="S1107" s="436" t="n"/>
      <c r="T1107" s="387" t="n"/>
      <c r="U1107" s="387" t="n"/>
      <c r="V1107" s="438">
        <f>IF(AND(N1107=1,U1107=1),C1107,"")</f>
        <v/>
      </c>
      <c r="W1107" s="387" t="n"/>
      <c r="X1107" s="387" t="n"/>
      <c r="Y1107" s="387" t="n"/>
    </row>
    <row r="1108" hidden="1" ht="16.05" customFormat="1" customHeight="1" s="126">
      <c r="A1108" s="125" t="n">
        <v>1537</v>
      </c>
      <c r="B1108" s="125" t="n"/>
      <c r="C1108" s="130" t="inlineStr">
        <is>
          <t>Ульяновск</t>
        </is>
      </c>
      <c r="D1108" s="130" t="inlineStr">
        <is>
          <t>Новоульяновск</t>
        </is>
      </c>
      <c r="E1108" s="130" t="n"/>
      <c r="F1108" s="130" t="inlineStr">
        <is>
          <t>АЗС</t>
        </is>
      </c>
      <c r="G1108" s="130" t="inlineStr">
        <is>
          <t>Роснефть</t>
        </is>
      </c>
      <c r="H1108" s="131" t="n"/>
      <c r="I1108" s="637" t="inlineStr">
        <is>
          <t>RN_1</t>
        </is>
      </c>
      <c r="J1108" s="637" t="inlineStr">
        <is>
          <t>ULN_RN_0001</t>
        </is>
      </c>
      <c r="K1108" s="640" t="n">
        <v>1</v>
      </c>
      <c r="L1108" s="640" t="n">
        <v>1</v>
      </c>
      <c r="M1108" s="623" t="inlineStr">
        <is>
          <t>Samsung 32" вертикальный</t>
        </is>
      </c>
      <c r="N1108" s="640" t="n"/>
      <c r="O1108" s="640">
        <f>IF(AND(N1108=1,L1108=1),K1108,"")</f>
        <v/>
      </c>
      <c r="P1108" s="642" t="inlineStr">
        <is>
          <t>Ульяновская область, г. Новоульяновск (Промышленный проезд, 1Б)</t>
        </is>
      </c>
      <c r="Q1108" s="640" t="inlineStr">
        <is>
          <t>54.156995</t>
        </is>
      </c>
      <c r="R1108" s="422" t="inlineStr">
        <is>
          <t>48.368892</t>
        </is>
      </c>
      <c r="S1108" s="436" t="n"/>
      <c r="T1108" s="387" t="n"/>
      <c r="U1108" s="387" t="n"/>
      <c r="V1108" s="438">
        <f>IF(AND(N1108=1,U1108=1),C1108,"")</f>
        <v/>
      </c>
      <c r="W1108" s="387" t="n"/>
      <c r="X1108" s="387" t="n"/>
      <c r="Y1108" s="387" t="n"/>
    </row>
    <row r="1109" hidden="1" ht="16.05" customFormat="1" customHeight="1" s="126">
      <c r="A1109" s="125" t="n">
        <v>1541</v>
      </c>
      <c r="B1109" s="125" t="n"/>
      <c r="C1109" s="130" t="inlineStr">
        <is>
          <t>Ульяновск</t>
        </is>
      </c>
      <c r="D1109" s="130" t="inlineStr">
        <is>
          <t>Ульяновск</t>
        </is>
      </c>
      <c r="E1109" s="130" t="n"/>
      <c r="F1109" s="130" t="inlineStr">
        <is>
          <t>АЗС</t>
        </is>
      </c>
      <c r="G1109" s="130" t="inlineStr">
        <is>
          <t>Роснефть</t>
        </is>
      </c>
      <c r="H1109" s="131" t="n"/>
      <c r="I1109" s="637" t="inlineStr">
        <is>
          <t>RN_7</t>
        </is>
      </c>
      <c r="J1109" s="637" t="inlineStr">
        <is>
          <t>ULN_RN_0007</t>
        </is>
      </c>
      <c r="K1109" s="640" t="n">
        <v>1</v>
      </c>
      <c r="L1109" s="640" t="n">
        <v>1</v>
      </c>
      <c r="M1109" s="623" t="inlineStr">
        <is>
          <t>Samsung 32" вертикальный</t>
        </is>
      </c>
      <c r="N1109" s="640" t="n"/>
      <c r="O1109" s="640">
        <f>IF(AND(N1109=1,L1109=1),K1109,"")</f>
        <v/>
      </c>
      <c r="P1109" s="642" t="inlineStr">
        <is>
          <t xml:space="preserve">Ульяновск, Димитровградское Шоссе, 10 </t>
        </is>
      </c>
      <c r="Q1109" s="640" t="inlineStr">
        <is>
          <t>54.321579</t>
        </is>
      </c>
      <c r="R1109" s="494" t="inlineStr">
        <is>
          <t>48.482499</t>
        </is>
      </c>
      <c r="S1109" s="436" t="n"/>
      <c r="T1109" s="387" t="n"/>
      <c r="U1109" s="387" t="n"/>
      <c r="V1109" s="387" t="n"/>
      <c r="W1109" s="387" t="n"/>
      <c r="X1109" s="387" t="n"/>
      <c r="Y1109" s="387" t="n"/>
    </row>
    <row r="1110" hidden="1" ht="16.05" customFormat="1" customHeight="1" s="126">
      <c r="A1110" s="125" t="n">
        <v>1542</v>
      </c>
      <c r="B1110" s="125" t="n"/>
      <c r="C1110" s="130" t="inlineStr">
        <is>
          <t>Ульяновск</t>
        </is>
      </c>
      <c r="D1110" s="130" t="inlineStr">
        <is>
          <t>Ульяновск</t>
        </is>
      </c>
      <c r="E1110" s="130" t="n"/>
      <c r="F1110" s="130" t="inlineStr">
        <is>
          <t>АЗС</t>
        </is>
      </c>
      <c r="G1110" s="130" t="inlineStr">
        <is>
          <t>Роснефть</t>
        </is>
      </c>
      <c r="H1110" s="131" t="n"/>
      <c r="I1110" s="637" t="inlineStr">
        <is>
          <t>RN_15</t>
        </is>
      </c>
      <c r="J1110" s="637" t="inlineStr">
        <is>
          <t>ULN_RN_0015</t>
        </is>
      </c>
      <c r="K1110" s="640" t="n">
        <v>2</v>
      </c>
      <c r="L1110" s="640" t="n">
        <v>1</v>
      </c>
      <c r="M1110" s="623" t="inlineStr">
        <is>
          <t>Samsung 32" вертикальный</t>
        </is>
      </c>
      <c r="N1110" s="640" t="n"/>
      <c r="O1110" s="640">
        <f>IF(AND(N1110=1,L1110=1),K1110,"")</f>
        <v/>
      </c>
      <c r="P1110" s="642" t="inlineStr">
        <is>
          <t>Ульяновск, Димитровградское Шоссе, 24</t>
        </is>
      </c>
      <c r="Q1110" s="640" t="inlineStr">
        <is>
          <t>54.337518</t>
        </is>
      </c>
      <c r="R1110" s="422" t="inlineStr">
        <is>
          <t>48.552337</t>
        </is>
      </c>
      <c r="S1110" s="436" t="n"/>
      <c r="T1110" s="387" t="n"/>
      <c r="U1110" s="387" t="n"/>
      <c r="V1110" s="387" t="n"/>
      <c r="W1110" s="387" t="n"/>
      <c r="X1110" s="387" t="n"/>
      <c r="Y1110" s="387" t="n"/>
    </row>
    <row r="1111" hidden="1" ht="16.05" customFormat="1" customHeight="1" s="126">
      <c r="A1111" s="125" t="n">
        <v>1543</v>
      </c>
      <c r="B1111" s="125" t="n"/>
      <c r="C1111" s="130" t="inlineStr">
        <is>
          <t>Ульяновск</t>
        </is>
      </c>
      <c r="D1111" s="130" t="inlineStr">
        <is>
          <t>Ульяновск</t>
        </is>
      </c>
      <c r="E1111" s="130" t="n"/>
      <c r="F1111" s="130" t="inlineStr">
        <is>
          <t>АЗС</t>
        </is>
      </c>
      <c r="G1111" s="130" t="inlineStr">
        <is>
          <t>Роснефть</t>
        </is>
      </c>
      <c r="H1111" s="131" t="n"/>
      <c r="I1111" s="637" t="inlineStr">
        <is>
          <t>RN_17</t>
        </is>
      </c>
      <c r="J1111" s="637" t="inlineStr">
        <is>
          <t>ULN_RN_0017</t>
        </is>
      </c>
      <c r="K1111" s="640" t="n">
        <v>2</v>
      </c>
      <c r="L1111" s="640" t="n">
        <v>1</v>
      </c>
      <c r="M1111" s="623" t="inlineStr">
        <is>
          <t>Samsung 32" вертикальный</t>
        </is>
      </c>
      <c r="N1111" s="640" t="n"/>
      <c r="O1111" s="640">
        <f>IF(AND(N1111=1,L1111=1),K1111,"")</f>
        <v/>
      </c>
      <c r="P1111" s="642" t="inlineStr">
        <is>
          <t>Ульяновск, Московское Шоссе, 16а</t>
        </is>
      </c>
      <c r="Q1111" s="640" t="inlineStr">
        <is>
          <t>54.294402</t>
        </is>
      </c>
      <c r="R1111" s="422" t="inlineStr">
        <is>
          <t>48.271552</t>
        </is>
      </c>
      <c r="S1111" s="436" t="n"/>
      <c r="T1111" s="387" t="n"/>
      <c r="U1111" s="387" t="n"/>
      <c r="V1111" s="387" t="n"/>
      <c r="W1111" s="387" t="n"/>
      <c r="X1111" s="387" t="n"/>
      <c r="Y1111" s="387" t="n"/>
    </row>
    <row r="1112" hidden="1" ht="16.05" customFormat="1" customHeight="1" s="126">
      <c r="A1112" s="125" t="n">
        <v>1545</v>
      </c>
      <c r="B1112" s="125" t="n"/>
      <c r="C1112" s="130" t="inlineStr">
        <is>
          <t>Ульяновск</t>
        </is>
      </c>
      <c r="D1112" s="130" t="inlineStr">
        <is>
          <t>Ульяновск</t>
        </is>
      </c>
      <c r="E1112" s="130" t="n"/>
      <c r="F1112" s="130" t="inlineStr">
        <is>
          <t>АЗС</t>
        </is>
      </c>
      <c r="G1112" s="130" t="inlineStr">
        <is>
          <t>Роснефть</t>
        </is>
      </c>
      <c r="H1112" s="131" t="n"/>
      <c r="I1112" s="637" t="inlineStr">
        <is>
          <t>RN_46</t>
        </is>
      </c>
      <c r="J1112" s="637" t="inlineStr">
        <is>
          <t>ULN_RN_0046</t>
        </is>
      </c>
      <c r="K1112" s="640" t="n">
        <v>1</v>
      </c>
      <c r="L1112" s="640" t="n">
        <v>1</v>
      </c>
      <c r="M1112" s="623" t="inlineStr">
        <is>
          <t>Samsung 32" вертикальный</t>
        </is>
      </c>
      <c r="N1112" s="640" t="n"/>
      <c r="O1112" s="640">
        <f>IF(AND(N1112=1,L1112=1),K1112,"")</f>
        <v/>
      </c>
      <c r="P1112" s="642" t="inlineStr">
        <is>
          <t>Ульяновск, село Лаишевка</t>
        </is>
      </c>
      <c r="Q1112" s="640" t="inlineStr">
        <is>
          <t>54.373883</t>
        </is>
      </c>
      <c r="R1112" s="494" t="inlineStr">
        <is>
          <t>48.309649</t>
        </is>
      </c>
      <c r="S1112" s="436" t="n"/>
      <c r="T1112" s="387" t="n"/>
      <c r="U1112" s="387" t="n"/>
      <c r="V1112" s="387" t="n"/>
      <c r="W1112" s="387" t="n"/>
      <c r="X1112" s="387" t="n"/>
      <c r="Y1112" s="387" t="n"/>
    </row>
    <row r="1113" hidden="1" ht="16.05" customFormat="1" customHeight="1" s="126">
      <c r="A1113" s="125" t="n">
        <v>1546</v>
      </c>
      <c r="B1113" s="125" t="n"/>
      <c r="C1113" s="130" t="inlineStr">
        <is>
          <t>Ульяновск</t>
        </is>
      </c>
      <c r="D1113" s="130" t="inlineStr">
        <is>
          <t>Ульяновск</t>
        </is>
      </c>
      <c r="E1113" s="130" t="n"/>
      <c r="F1113" s="130" t="inlineStr">
        <is>
          <t>АЗС</t>
        </is>
      </c>
      <c r="G1113" s="130" t="inlineStr">
        <is>
          <t>Роснефть</t>
        </is>
      </c>
      <c r="H1113" s="131" t="n"/>
      <c r="I1113" s="637" t="inlineStr">
        <is>
          <t>RN_72</t>
        </is>
      </c>
      <c r="J1113" s="637" t="inlineStr">
        <is>
          <t>ULN_RN_0072</t>
        </is>
      </c>
      <c r="K1113" s="640" t="n">
        <v>1</v>
      </c>
      <c r="L1113" s="640" t="n">
        <v>1</v>
      </c>
      <c r="M1113" s="623" t="inlineStr">
        <is>
          <t>Samsung 32" вертикальный</t>
        </is>
      </c>
      <c r="N1113" s="640" t="n"/>
      <c r="O1113" s="640">
        <f>IF(AND(N1113=1,L1113=1),K1113,"")</f>
        <v/>
      </c>
      <c r="P1113" s="642" t="inlineStr">
        <is>
          <t>Ульяновск, Локомотивная, 19</t>
        </is>
      </c>
      <c r="Q1113" s="640" t="inlineStr">
        <is>
          <t>54.278843</t>
        </is>
      </c>
      <c r="R1113" s="494" t="inlineStr">
        <is>
          <t>48.343942</t>
        </is>
      </c>
      <c r="S1113" s="436" t="n"/>
      <c r="T1113" s="387" t="n"/>
      <c r="U1113" s="387" t="n"/>
      <c r="V1113" s="387" t="n"/>
      <c r="W1113" s="387" t="n"/>
      <c r="X1113" s="387" t="n"/>
      <c r="Y1113" s="387" t="n"/>
    </row>
    <row r="1114" hidden="1" ht="16.05" customFormat="1" customHeight="1" s="126">
      <c r="A1114" s="125" t="n">
        <v>1552</v>
      </c>
      <c r="B1114" s="125" t="inlineStr">
        <is>
          <t>WF</t>
        </is>
      </c>
      <c r="C1114" s="130" t="inlineStr">
        <is>
          <t>Москва</t>
        </is>
      </c>
      <c r="D1114" s="130" t="inlineStr">
        <is>
          <t>Москва</t>
        </is>
      </c>
      <c r="E1114" s="130" t="inlineStr">
        <is>
          <t>ЮЗАО</t>
        </is>
      </c>
      <c r="F1114" s="130" t="inlineStr">
        <is>
          <t>Супермаркет</t>
        </is>
      </c>
      <c r="G1114" s="130" t="inlineStr">
        <is>
          <t>Азбука Вкуса</t>
        </is>
      </c>
      <c r="H1114" s="131" t="n">
        <v>96</v>
      </c>
      <c r="I1114" s="637" t="inlineStr">
        <is>
          <t>96_Daily</t>
        </is>
      </c>
      <c r="J1114" s="637" t="inlineStr">
        <is>
          <t>MSK_D_096</t>
        </is>
      </c>
      <c r="K1114" s="640" t="n">
        <v>2</v>
      </c>
      <c r="L1114" s="640" t="n">
        <v>1</v>
      </c>
      <c r="M1114" s="623" t="inlineStr">
        <is>
          <t>Samsung 43" вертикальный</t>
        </is>
      </c>
      <c r="N1114" s="640" t="n"/>
      <c r="O1114" s="640">
        <f>IF(AND(N1114=1,L1114=1),K1114,"")</f>
        <v/>
      </c>
      <c r="P1114" s="642" t="inlineStr">
        <is>
          <t>Москва, Новочеремушкинская, д. 60к2</t>
        </is>
      </c>
      <c r="Q1114" s="640" t="inlineStr">
        <is>
          <t>55.6668875</t>
        </is>
      </c>
      <c r="R1114" s="494" t="inlineStr">
        <is>
          <t>37.5584149</t>
        </is>
      </c>
      <c r="S1114" s="528" t="n">
        <v>17</v>
      </c>
      <c r="T1114" s="436">
        <f>IF(N1114=1,O1114*S1114,"")</f>
        <v/>
      </c>
      <c r="U1114" s="387" t="n"/>
      <c r="V1114" s="387" t="n"/>
      <c r="W1114" s="387" t="n"/>
      <c r="X1114" s="387" t="n"/>
      <c r="Y1114" s="387" t="n"/>
    </row>
    <row r="1115" hidden="1" ht="16.05" customFormat="1" customHeight="1" s="126">
      <c r="A1115" s="125" t="n">
        <v>1544</v>
      </c>
      <c r="B1115" s="125" t="n"/>
      <c r="C1115" s="130" t="inlineStr">
        <is>
          <t>Ульяновск</t>
        </is>
      </c>
      <c r="D1115" s="130" t="inlineStr">
        <is>
          <t>Ульяновск</t>
        </is>
      </c>
      <c r="E1115" s="130" t="n"/>
      <c r="F1115" s="130" t="inlineStr">
        <is>
          <t>АЗС</t>
        </is>
      </c>
      <c r="G1115" s="130" t="inlineStr">
        <is>
          <t>Роснефть</t>
        </is>
      </c>
      <c r="H1115" s="131" t="n"/>
      <c r="I1115" s="637" t="inlineStr">
        <is>
          <t>RN_42</t>
        </is>
      </c>
      <c r="J1115" s="637" t="inlineStr">
        <is>
          <t>ULN_RN_0042</t>
        </is>
      </c>
      <c r="K1115" s="640" t="n">
        <v>1</v>
      </c>
      <c r="L1115" s="640" t="n">
        <v>1</v>
      </c>
      <c r="M1115" s="623" t="inlineStr">
        <is>
          <t>Samsung 32" вертикальный</t>
        </is>
      </c>
      <c r="N1115" s="640" t="n"/>
      <c r="O1115" s="640">
        <f>IF(AND(N1115=1,L1115=1),K1115,"")</f>
        <v/>
      </c>
      <c r="P1115" s="642" t="inlineStr">
        <is>
          <t>Ульяновск,  Автомобилистов, 4</t>
        </is>
      </c>
      <c r="Q1115" s="640" t="inlineStr">
        <is>
          <t>54.251263</t>
        </is>
      </c>
      <c r="R1115" s="422" t="inlineStr">
        <is>
          <t>48.31923</t>
        </is>
      </c>
      <c r="S1115" s="436" t="n"/>
      <c r="T1115" s="387" t="n"/>
      <c r="U1115" s="387" t="n"/>
      <c r="V1115" s="387" t="n"/>
      <c r="W1115" s="387" t="n"/>
      <c r="X1115" s="387" t="n"/>
      <c r="Y1115" s="387" t="n"/>
    </row>
    <row r="1116" hidden="1" ht="16.05" customFormat="1" customHeight="1" s="126">
      <c r="A1116" s="125" t="n">
        <v>1554</v>
      </c>
      <c r="B1116" s="125" t="inlineStr">
        <is>
          <t>WF</t>
        </is>
      </c>
      <c r="C1116" s="130" t="inlineStr">
        <is>
          <t>Москва</t>
        </is>
      </c>
      <c r="D1116" s="130" t="inlineStr">
        <is>
          <t>Москва</t>
        </is>
      </c>
      <c r="E1116" s="130" t="inlineStr">
        <is>
          <t>ЦАО</t>
        </is>
      </c>
      <c r="F1116" s="130" t="inlineStr">
        <is>
          <t>Супермаркет</t>
        </is>
      </c>
      <c r="G1116" s="130" t="inlineStr">
        <is>
          <t>Азбука Вкуса</t>
        </is>
      </c>
      <c r="H1116" s="131" t="n">
        <v>97</v>
      </c>
      <c r="I1116" s="637" t="inlineStr">
        <is>
          <t>97_Daily</t>
        </is>
      </c>
      <c r="J1116" s="637" t="inlineStr">
        <is>
          <t>MSK_D_097</t>
        </is>
      </c>
      <c r="K1116" s="640" t="n">
        <v>2</v>
      </c>
      <c r="L1116" s="640" t="n">
        <v>1</v>
      </c>
      <c r="M1116" s="623" t="inlineStr">
        <is>
          <t>Samsung 43" вертикальный</t>
        </is>
      </c>
      <c r="N1116" s="640" t="n"/>
      <c r="O1116" s="640">
        <f>IF(AND(N1116=1,L1116=1),K1116,"")</f>
        <v/>
      </c>
      <c r="P1116" s="642" t="inlineStr">
        <is>
          <t>Москва, Тверская, д. 27</t>
        </is>
      </c>
      <c r="Q1116" s="640" t="inlineStr">
        <is>
          <t>55.7688169</t>
        </is>
      </c>
      <c r="R1116" s="494" t="inlineStr">
        <is>
          <t>37.5973472</t>
        </is>
      </c>
      <c r="S1116" s="528" t="n">
        <v>24</v>
      </c>
      <c r="T1116" s="436">
        <f>IF(N1116=1,O1116*S1116,"")</f>
        <v/>
      </c>
      <c r="U1116" s="387" t="n"/>
      <c r="V1116" s="387" t="n"/>
      <c r="W1116" s="387" t="n"/>
      <c r="X1116" s="387" t="n"/>
      <c r="Y1116" s="387" t="n"/>
    </row>
    <row r="1117" hidden="1" ht="16.05" customFormat="1" customHeight="1" s="126">
      <c r="A1117" s="125" t="n">
        <v>1547</v>
      </c>
      <c r="B1117" s="125" t="inlineStr">
        <is>
          <t>WF</t>
        </is>
      </c>
      <c r="C1117" s="130" t="inlineStr">
        <is>
          <t>Москва</t>
        </is>
      </c>
      <c r="D1117" s="130" t="inlineStr">
        <is>
          <t>Москва</t>
        </is>
      </c>
      <c r="E1117" s="130" t="inlineStr">
        <is>
          <t>ЗАО</t>
        </is>
      </c>
      <c r="F1117" s="130" t="inlineStr">
        <is>
          <t>АЗС</t>
        </is>
      </c>
      <c r="G1117" s="130" t="inlineStr">
        <is>
          <t>Лукойл</t>
        </is>
      </c>
      <c r="H1117" s="131" t="inlineStr">
        <is>
          <t>LUK_501</t>
        </is>
      </c>
      <c r="I1117" s="637" t="n">
        <v>77501</v>
      </c>
      <c r="J1117" s="402" t="inlineStr">
        <is>
          <t>MSK_LUK_0501</t>
        </is>
      </c>
      <c r="K1117" s="640" t="n">
        <v>2</v>
      </c>
      <c r="L1117" s="640" t="n">
        <v>0</v>
      </c>
      <c r="M1117" s="640" t="inlineStr">
        <is>
          <t>1 октября</t>
        </is>
      </c>
      <c r="N1117" s="640" t="n"/>
      <c r="O1117" s="640">
        <f>IF(AND(N1117=1,L1117=1),K1117,"")</f>
        <v/>
      </c>
      <c r="P1117" s="642" t="inlineStr">
        <is>
          <t>г. Москва, МКАД, 51-52 км, вл. 12</t>
        </is>
      </c>
      <c r="Q1117" s="640" t="n">
        <v>55.695556</v>
      </c>
      <c r="R1117" s="422" t="n">
        <v>37.408909</v>
      </c>
      <c r="S1117" s="438" t="n"/>
      <c r="T1117" s="387" t="n"/>
      <c r="U1117" s="387" t="n"/>
      <c r="V1117" s="387" t="n"/>
      <c r="W1117" s="387" t="n"/>
      <c r="X1117" s="1" t="n"/>
      <c r="Y1117" s="1" t="n"/>
    </row>
    <row r="1118" hidden="1" ht="16.05" customFormat="1" customHeight="1" s="126">
      <c r="A1118" s="125" t="n">
        <v>1558</v>
      </c>
      <c r="B1118" s="125" t="n"/>
      <c r="C1118" s="130" t="inlineStr">
        <is>
          <t>Санкт-Петербург</t>
        </is>
      </c>
      <c r="D1118" s="130" t="inlineStr">
        <is>
          <t>Санкт-Петербург</t>
        </is>
      </c>
      <c r="E1118" s="130" t="n"/>
      <c r="F1118" s="130" t="inlineStr">
        <is>
          <t>АЗС</t>
        </is>
      </c>
      <c r="G1118" s="130" t="inlineStr">
        <is>
          <t>Роснефть</t>
        </is>
      </c>
      <c r="H1118" s="131" t="n">
        <v>369</v>
      </c>
      <c r="I1118" s="637" t="inlineStr">
        <is>
          <t>369 Народного Ополчения</t>
        </is>
      </c>
      <c r="J1118" s="637" t="inlineStr">
        <is>
          <t>SPB_RN_P_369</t>
        </is>
      </c>
      <c r="K1118" s="640" t="n">
        <v>2</v>
      </c>
      <c r="L1118" s="640" t="n">
        <v>1</v>
      </c>
      <c r="M1118" s="623" t="inlineStr">
        <is>
          <t>Samsung 32" вертикальный</t>
        </is>
      </c>
      <c r="N1118" s="640" t="n"/>
      <c r="O1118" s="640">
        <f>IF(AND(N1118=1,L1118=1),K1118,"")</f>
        <v/>
      </c>
      <c r="P1118" s="642" t="inlineStr">
        <is>
          <t>Санкт-Петербург, пр. Народного Ополчения, 16, лит. "А"</t>
        </is>
      </c>
      <c r="Q1118" s="640" t="n">
        <v>59.847844</v>
      </c>
      <c r="R1118" s="494" t="n">
        <v>30.281899</v>
      </c>
      <c r="S1118" s="436" t="n"/>
      <c r="T1118" s="387" t="n"/>
      <c r="U1118" s="436" t="n">
        <v>1</v>
      </c>
      <c r="V1118" s="438">
        <f>IF(AND(N1118=1,U1118=1),C1118,"")</f>
        <v/>
      </c>
      <c r="W1118" s="387" t="n"/>
      <c r="X1118" s="387" t="n"/>
      <c r="Y1118" s="387" t="n"/>
    </row>
    <row r="1119" hidden="1" ht="16.05" customFormat="1" customHeight="1" s="126">
      <c r="A1119" s="125" t="n">
        <v>1560</v>
      </c>
      <c r="B1119" s="125" t="n"/>
      <c r="C1119" s="130" t="inlineStr">
        <is>
          <t>Санкт-Петербург</t>
        </is>
      </c>
      <c r="D1119" s="130" t="inlineStr">
        <is>
          <t>Ленинградская область</t>
        </is>
      </c>
      <c r="E1119" s="130" t="n"/>
      <c r="F1119" s="130" t="inlineStr">
        <is>
          <t>АЗС</t>
        </is>
      </c>
      <c r="G1119" s="130" t="inlineStr">
        <is>
          <t>Роснефть</t>
        </is>
      </c>
      <c r="H1119" s="131" t="n">
        <v>371</v>
      </c>
      <c r="I1119" s="637" t="inlineStr">
        <is>
          <t>371 Морозова</t>
        </is>
      </c>
      <c r="J1119" s="637" t="inlineStr">
        <is>
          <t>SPB_RN_P_371</t>
        </is>
      </c>
      <c r="K1119" s="640" t="n">
        <v>1</v>
      </c>
      <c r="L1119" s="640" t="n">
        <v>1</v>
      </c>
      <c r="M1119" s="623" t="inlineStr">
        <is>
          <t>Samsung 32" вертикальный</t>
        </is>
      </c>
      <c r="N1119" s="640" t="n"/>
      <c r="O1119" s="640">
        <f>IF(AND(N1119=1,L1119=1),K1119,"")</f>
        <v/>
      </c>
      <c r="P1119" s="642" t="inlineStr">
        <is>
          <t>Ленинградская область, пос. им. Морозова,  Рабочего батальона</t>
        </is>
      </c>
      <c r="Q1119" s="640" t="inlineStr">
        <is>
          <t>59.973115</t>
        </is>
      </c>
      <c r="R1119" s="494" t="inlineStr">
        <is>
          <t>31.01647</t>
        </is>
      </c>
      <c r="S1119" s="436" t="n"/>
      <c r="T1119" s="387" t="n"/>
      <c r="U1119" s="436" t="n">
        <v>1</v>
      </c>
      <c r="V1119" s="438">
        <f>IF(AND(N1119=1,U1119=1),C1119,"")</f>
        <v/>
      </c>
      <c r="W1119" s="387" t="n"/>
      <c r="X1119" s="387" t="n"/>
      <c r="Y1119" s="387" t="n"/>
    </row>
    <row r="1120" hidden="1" ht="16.05" customFormat="1" customHeight="1" s="126">
      <c r="A1120" s="125" t="n">
        <v>1561</v>
      </c>
      <c r="B1120" s="125" t="n"/>
      <c r="C1120" s="130" t="inlineStr">
        <is>
          <t>Санкт-Петербург</t>
        </is>
      </c>
      <c r="D1120" s="130" t="inlineStr">
        <is>
          <t>Ленинградская область</t>
        </is>
      </c>
      <c r="E1120" s="130" t="n"/>
      <c r="F1120" s="130" t="inlineStr">
        <is>
          <t>АЗС</t>
        </is>
      </c>
      <c r="G1120" s="130" t="inlineStr">
        <is>
          <t>Роснефть</t>
        </is>
      </c>
      <c r="H1120" s="131" t="n">
        <v>377</v>
      </c>
      <c r="I1120" s="637" t="inlineStr">
        <is>
          <t>377 Репино</t>
        </is>
      </c>
      <c r="J1120" s="637" t="inlineStr">
        <is>
          <t>SPB_RN_P_377</t>
        </is>
      </c>
      <c r="K1120" s="640" t="n">
        <v>1</v>
      </c>
      <c r="L1120" s="640" t="n">
        <v>1</v>
      </c>
      <c r="M1120" s="623" t="inlineStr">
        <is>
          <t>Samsung 32" вертикальный</t>
        </is>
      </c>
      <c r="N1120" s="640" t="n"/>
      <c r="O1120" s="640">
        <f>IF(AND(N1120=1,L1120=1),K1120,"")</f>
        <v/>
      </c>
      <c r="P1120" s="642" t="inlineStr">
        <is>
          <t>Ленинградская область, пос. Репино, Зеленогорское ш., 6-й км</t>
        </is>
      </c>
      <c r="Q1120" s="640" t="inlineStr">
        <is>
          <t>60.16568</t>
        </is>
      </c>
      <c r="R1120" s="494" t="inlineStr">
        <is>
          <t>29.900375</t>
        </is>
      </c>
      <c r="S1120" s="436" t="n"/>
      <c r="T1120" s="387" t="n"/>
      <c r="U1120" s="387" t="n"/>
      <c r="V1120" s="438">
        <f>IF(AND(N1120=1,U1120=1),C1120,"")</f>
        <v/>
      </c>
      <c r="W1120" s="387" t="n"/>
      <c r="X1120" s="387" t="n"/>
      <c r="Y1120" s="387" t="n"/>
    </row>
    <row r="1121" hidden="1" ht="16.05" customFormat="1" customHeight="1" s="126">
      <c r="A1121" s="125" t="n">
        <v>1557</v>
      </c>
      <c r="B1121" s="125" t="n"/>
      <c r="C1121" s="130" t="inlineStr">
        <is>
          <t>Санкт-Петербург</t>
        </is>
      </c>
      <c r="D1121" s="130" t="inlineStr">
        <is>
          <t>Санкт-Петербург</t>
        </is>
      </c>
      <c r="E1121" s="130" t="n"/>
      <c r="F1121" s="130" t="inlineStr">
        <is>
          <t>АЗС</t>
        </is>
      </c>
      <c r="G1121" s="130" t="inlineStr">
        <is>
          <t>ПТК</t>
        </is>
      </c>
      <c r="H1121" s="131" t="n">
        <v>68</v>
      </c>
      <c r="I1121" s="637" t="inlineStr">
        <is>
          <t>ПТК_068</t>
        </is>
      </c>
      <c r="J1121" s="637" t="inlineStr">
        <is>
          <t>PTK_0068</t>
        </is>
      </c>
      <c r="K1121" s="640" t="n">
        <v>1</v>
      </c>
      <c r="L1121" s="640" t="n">
        <v>0</v>
      </c>
      <c r="M1121" s="640" t="inlineStr">
        <is>
          <t>Samsung 32" вертикальный</t>
        </is>
      </c>
      <c r="N1121" s="640" t="n"/>
      <c r="O1121" s="640">
        <f>IF(AND(N1121=1,L1121=1),K1121,"")</f>
        <v/>
      </c>
      <c r="P1121" s="642" t="inlineStr">
        <is>
          <t>Санкт-Петербург,  Книпович, 11, лит. "А"</t>
        </is>
      </c>
      <c r="Q1121" s="640" t="inlineStr">
        <is>
          <t>59.90761</t>
        </is>
      </c>
      <c r="R1121" s="422" t="inlineStr">
        <is>
          <t>30.39393</t>
        </is>
      </c>
      <c r="S1121" s="436" t="n"/>
      <c r="T1121" s="387" t="n"/>
      <c r="U1121" s="387" t="n"/>
      <c r="V1121" s="438">
        <f>IF(AND(N1121=1,U1121=1),C1121,"")</f>
        <v/>
      </c>
      <c r="W1121" s="387" t="n"/>
      <c r="X1121" s="387" t="n"/>
      <c r="Y1121" s="387" t="n"/>
    </row>
    <row r="1122" hidden="1" ht="16.05" customFormat="1" customHeight="1" s="126">
      <c r="A1122" s="125" t="n">
        <v>1556</v>
      </c>
      <c r="B1122" s="125" t="n"/>
      <c r="C1122" s="130" t="inlineStr">
        <is>
          <t>Санкт-Петербург</t>
        </is>
      </c>
      <c r="D1122" s="130" t="inlineStr">
        <is>
          <t>Санкт-Петербург</t>
        </is>
      </c>
      <c r="E1122" s="130" t="n"/>
      <c r="F1122" s="130" t="inlineStr">
        <is>
          <t>АЗС</t>
        </is>
      </c>
      <c r="G1122" s="130" t="inlineStr">
        <is>
          <t>Роснефть</t>
        </is>
      </c>
      <c r="H1122" s="131" t="n">
        <v>312</v>
      </c>
      <c r="I1122" s="637" t="inlineStr">
        <is>
          <t>312 Днепропетровская</t>
        </is>
      </c>
      <c r="J1122" s="637" t="inlineStr">
        <is>
          <t>SPB_RN_P_312</t>
        </is>
      </c>
      <c r="K1122" s="640" t="n">
        <v>1</v>
      </c>
      <c r="L1122" s="640" t="n">
        <v>0</v>
      </c>
      <c r="M1122" s="640" t="inlineStr">
        <is>
          <t>Samsung 32" вертикальный</t>
        </is>
      </c>
      <c r="N1122" s="640" t="n"/>
      <c r="O1122" s="640">
        <f>IF(AND(N1122=1,L1122=1),K1122,"")</f>
        <v/>
      </c>
      <c r="P1122" s="642" t="inlineStr">
        <is>
          <t>Санкт-Петербург,  Днепропетровская, 20, лит. "А"</t>
        </is>
      </c>
      <c r="Q1122" s="640" t="inlineStr">
        <is>
          <t>59.907455</t>
        </is>
      </c>
      <c r="R1122" s="494" t="inlineStr">
        <is>
          <t>30.356075</t>
        </is>
      </c>
      <c r="S1122" s="436" t="n"/>
      <c r="T1122" s="387" t="n"/>
      <c r="U1122" s="387" t="n"/>
      <c r="V1122" s="438">
        <f>IF(AND(N1122=1,U1122=1),C1122,"")</f>
        <v/>
      </c>
      <c r="W1122" s="387" t="n"/>
      <c r="X1122" s="387" t="n"/>
      <c r="Y1122" s="1" t="n"/>
    </row>
    <row r="1123" hidden="1" ht="16.05" customFormat="1" customHeight="1" s="126">
      <c r="A1123" s="125" t="n">
        <v>1559</v>
      </c>
      <c r="B1123" s="125" t="n"/>
      <c r="C1123" s="130" t="inlineStr">
        <is>
          <t>Санкт-Петербург</t>
        </is>
      </c>
      <c r="D1123" s="130" t="inlineStr">
        <is>
          <t>Пушкин</t>
        </is>
      </c>
      <c r="E1123" s="130" t="n"/>
      <c r="F1123" s="130" t="n"/>
      <c r="G1123" s="130" t="inlineStr">
        <is>
          <t>ПТК</t>
        </is>
      </c>
      <c r="H1123" s="131" t="n">
        <v>70</v>
      </c>
      <c r="I1123" s="637" t="inlineStr">
        <is>
          <t>ПТК_070</t>
        </is>
      </c>
      <c r="J1123" s="637" t="inlineStr">
        <is>
          <t>PTK_0070</t>
        </is>
      </c>
      <c r="K1123" s="640" t="n">
        <v>1</v>
      </c>
      <c r="L1123" s="640" t="n">
        <v>0</v>
      </c>
      <c r="M1123" s="640" t="inlineStr">
        <is>
          <t>Sam 32</t>
        </is>
      </c>
      <c r="N1123" s="640" t="n"/>
      <c r="O1123" s="640">
        <f>IF(AND(N1123=1,L1123=1),K1123,"")</f>
        <v/>
      </c>
      <c r="P1123" s="642" t="inlineStr">
        <is>
          <t>Ленинградская область, г. Пушкин, С-Петербургское ш., 31, лит. "А"</t>
        </is>
      </c>
      <c r="Q1123" s="640" t="n">
        <v>59.743655</v>
      </c>
      <c r="R1123" s="422" t="n">
        <v>30.395063</v>
      </c>
      <c r="S1123" s="436" t="n"/>
      <c r="T1123" s="387" t="n"/>
      <c r="U1123" s="387" t="n"/>
      <c r="V1123" s="438">
        <f>IF(AND(N1123=1,U1123=1),C1123,"")</f>
        <v/>
      </c>
      <c r="W1123" s="387" t="n"/>
      <c r="X1123" s="1" t="n"/>
      <c r="Y1123" s="1" t="n"/>
    </row>
    <row r="1124" hidden="1" ht="16.05" customFormat="1" customHeight="1" s="126">
      <c r="A1124" s="125" t="n">
        <v>1568</v>
      </c>
      <c r="B1124" s="125" t="n"/>
      <c r="C1124" s="130" t="inlineStr">
        <is>
          <t>Санкт-Петербург</t>
        </is>
      </c>
      <c r="D1124" s="130" t="inlineStr">
        <is>
          <t>Санкт-Петербург</t>
        </is>
      </c>
      <c r="E1124" s="130" t="n"/>
      <c r="F1124" s="130" t="inlineStr">
        <is>
          <t>АЗС</t>
        </is>
      </c>
      <c r="G1124" s="130" t="inlineStr">
        <is>
          <t>Роснефть</t>
        </is>
      </c>
      <c r="H1124" s="131" t="n">
        <v>400</v>
      </c>
      <c r="I1124" s="637" t="inlineStr">
        <is>
          <t>400 Красносельское шоссе</t>
        </is>
      </c>
      <c r="J1124" s="637" t="inlineStr">
        <is>
          <t>SPB_RN_P_400</t>
        </is>
      </c>
      <c r="K1124" s="640" t="n">
        <v>2</v>
      </c>
      <c r="L1124" s="640" t="n">
        <v>1</v>
      </c>
      <c r="M1124" s="623" t="inlineStr">
        <is>
          <t>Samsung 32" вертикальный</t>
        </is>
      </c>
      <c r="N1124" s="640" t="n"/>
      <c r="O1124" s="640">
        <f>IF(AND(N1124=1,L1124=1),K1124,"")</f>
        <v/>
      </c>
      <c r="P1124" s="642" t="inlineStr">
        <is>
          <t>Санкт-Петербург, Красносельское ш., 1, лит. "А", корп. 2 (из Санкт-Петербург в Красное Село)</t>
        </is>
      </c>
      <c r="Q1124" s="640" t="n">
        <v>59.768356</v>
      </c>
      <c r="R1124" s="494" t="n">
        <v>30.11782</v>
      </c>
      <c r="S1124" s="436" t="n"/>
      <c r="T1124" s="387" t="n"/>
      <c r="U1124" s="387" t="n"/>
      <c r="V1124" s="438">
        <f>IF(AND(N1124=1,U1124=1),C1124,"")</f>
        <v/>
      </c>
      <c r="W1124" s="387" t="n"/>
      <c r="X1124" s="387" t="n"/>
      <c r="Y1124" s="387" t="n"/>
    </row>
    <row r="1125" hidden="1" ht="16.05" customFormat="1" customHeight="1" s="126">
      <c r="A1125" s="125" t="n">
        <v>1570</v>
      </c>
      <c r="B1125" s="125" t="n"/>
      <c r="C1125" s="130" t="inlineStr">
        <is>
          <t>Санкт-Петербург</t>
        </is>
      </c>
      <c r="D1125" s="130" t="inlineStr">
        <is>
          <t>Санкт-Петербург</t>
        </is>
      </c>
      <c r="E1125" s="130" t="n"/>
      <c r="F1125" s="130" t="inlineStr">
        <is>
          <t>АЗС</t>
        </is>
      </c>
      <c r="G1125" s="130" t="inlineStr">
        <is>
          <t>Роснефть</t>
        </is>
      </c>
      <c r="H1125" s="131" t="n">
        <v>404</v>
      </c>
      <c r="I1125" s="637" t="inlineStr">
        <is>
          <t>404 Левашовский</t>
        </is>
      </c>
      <c r="J1125" s="637" t="inlineStr">
        <is>
          <t>SPB_RN_P_404</t>
        </is>
      </c>
      <c r="K1125" s="640" t="n">
        <v>1</v>
      </c>
      <c r="L1125" s="640" t="n">
        <v>1</v>
      </c>
      <c r="M1125" s="623" t="inlineStr">
        <is>
          <t>Samsung 32" вертикальный</t>
        </is>
      </c>
      <c r="N1125" s="640" t="n"/>
      <c r="O1125" s="640">
        <f>IF(AND(N1125=1,L1125=1),K1125,"")</f>
        <v/>
      </c>
      <c r="P1125" s="642" t="inlineStr">
        <is>
          <t>Санкт-Петербург, Левашовский пр., 19, лит. "А"</t>
        </is>
      </c>
      <c r="Q1125" s="640" t="inlineStr">
        <is>
          <t>59.966993</t>
        </is>
      </c>
      <c r="R1125" s="494" t="inlineStr">
        <is>
          <t>30.283881</t>
        </is>
      </c>
      <c r="S1125" s="436" t="n"/>
      <c r="T1125" s="387" t="n"/>
      <c r="U1125" s="387" t="n"/>
      <c r="V1125" s="438">
        <f>IF(AND(N1125=1,U1125=1),C1125,"")</f>
        <v/>
      </c>
      <c r="W1125" s="387" t="n"/>
      <c r="X1125" s="387" t="n"/>
      <c r="Y1125" s="387" t="n"/>
    </row>
    <row r="1126" hidden="1" ht="16.05" customFormat="1" customHeight="1" s="126">
      <c r="A1126" s="125" t="n">
        <v>1562</v>
      </c>
      <c r="B1126" s="125" t="n"/>
      <c r="C1126" s="130" t="inlineStr">
        <is>
          <t>Санкт-Петербург</t>
        </is>
      </c>
      <c r="D1126" s="130" t="inlineStr">
        <is>
          <t>Санкт-Петербург</t>
        </is>
      </c>
      <c r="E1126" s="130" t="n"/>
      <c r="F1126" s="130" t="n"/>
      <c r="G1126" s="130" t="inlineStr">
        <is>
          <t>ПТК</t>
        </is>
      </c>
      <c r="H1126" s="131" t="n">
        <v>82</v>
      </c>
      <c r="I1126" s="637" t="inlineStr">
        <is>
          <t>ПТК_082</t>
        </is>
      </c>
      <c r="J1126" s="637" t="inlineStr">
        <is>
          <t>PTK_0082</t>
        </is>
      </c>
      <c r="K1126" s="640" t="n">
        <v>1</v>
      </c>
      <c r="L1126" s="640" t="n">
        <v>0</v>
      </c>
      <c r="M1126" s="640" t="inlineStr">
        <is>
          <t>Sam 32</t>
        </is>
      </c>
      <c r="N1126" s="640" t="n"/>
      <c r="O1126" s="640">
        <f>IF(AND(N1126=1,L1126=1),K1126,"")</f>
        <v/>
      </c>
      <c r="P1126" s="642" t="inlineStr">
        <is>
          <t>Санкт-Петербург, Октябрьская наб., 112, корп. 4, лит. "А"</t>
        </is>
      </c>
      <c r="Q1126" s="640" t="n">
        <v>59.864688</v>
      </c>
      <c r="R1126" s="422" t="n">
        <v>30.492057</v>
      </c>
      <c r="S1126" s="436" t="n"/>
      <c r="T1126" s="387" t="n"/>
      <c r="U1126" s="387" t="n"/>
      <c r="V1126" s="438">
        <f>IF(AND(N1126=1,U1126=1),C1126,"")</f>
        <v/>
      </c>
      <c r="W1126" s="387" t="n"/>
      <c r="X1126" s="1" t="n"/>
      <c r="Y1126" s="1" t="n"/>
    </row>
    <row r="1127" hidden="1" ht="16.05" customFormat="1" customHeight="1" s="126">
      <c r="A1127" s="125" t="n">
        <v>1563</v>
      </c>
      <c r="B1127" s="125" t="n"/>
      <c r="C1127" s="130" t="inlineStr">
        <is>
          <t>Санкт-Петербург</t>
        </is>
      </c>
      <c r="D1127" s="130" t="inlineStr">
        <is>
          <t>Санкт-Петербург</t>
        </is>
      </c>
      <c r="E1127" s="130" t="n"/>
      <c r="F1127" s="130" t="n"/>
      <c r="G1127" s="130" t="inlineStr">
        <is>
          <t>ПТК</t>
        </is>
      </c>
      <c r="H1127" s="131" t="n">
        <v>84</v>
      </c>
      <c r="I1127" s="637" t="inlineStr">
        <is>
          <t>ПТК_084</t>
        </is>
      </c>
      <c r="J1127" s="637" t="inlineStr">
        <is>
          <t>PTK_0084</t>
        </is>
      </c>
      <c r="K1127" s="640" t="n">
        <v>1</v>
      </c>
      <c r="L1127" s="640" t="n">
        <v>0</v>
      </c>
      <c r="M1127" s="640" t="inlineStr">
        <is>
          <t>Sam 32</t>
        </is>
      </c>
      <c r="N1127" s="640" t="n"/>
      <c r="O1127" s="640">
        <f>IF(AND(N1127=1,L1127=1),K1127,"")</f>
        <v/>
      </c>
      <c r="P1127" s="642" t="inlineStr">
        <is>
          <t>Санкт-Петербург,  Руставели, 25, лит. "А"</t>
        </is>
      </c>
      <c r="Q1127" s="640" t="n">
        <v>60.005558</v>
      </c>
      <c r="R1127" s="422" t="n">
        <v>30.436665</v>
      </c>
      <c r="S1127" s="436" t="n"/>
      <c r="T1127" s="387" t="n"/>
      <c r="U1127" s="387" t="n"/>
      <c r="V1127" s="438">
        <f>IF(AND(N1127=1,U1127=1),C1127,"")</f>
        <v/>
      </c>
      <c r="W1127" s="387" t="n"/>
      <c r="X1127" s="1" t="n"/>
      <c r="Y1127" s="1" t="n"/>
    </row>
    <row r="1128" hidden="1" ht="16.05" customFormat="1" customHeight="1" s="126">
      <c r="A1128" s="125" t="n">
        <v>1572</v>
      </c>
      <c r="B1128" s="125" t="n"/>
      <c r="C1128" s="130" t="inlineStr">
        <is>
          <t>Санкт-Петербург</t>
        </is>
      </c>
      <c r="D1128" s="130" t="inlineStr">
        <is>
          <t>Санкт-Петербург</t>
        </is>
      </c>
      <c r="E1128" s="130" t="n"/>
      <c r="F1128" s="130" t="inlineStr">
        <is>
          <t>АЗС</t>
        </is>
      </c>
      <c r="G1128" s="130" t="inlineStr">
        <is>
          <t>Роснефть</t>
        </is>
      </c>
      <c r="H1128" s="131" t="n">
        <v>408</v>
      </c>
      <c r="I1128" s="637" t="inlineStr">
        <is>
          <t>408 Генерала Хрулева</t>
        </is>
      </c>
      <c r="J1128" s="637" t="inlineStr">
        <is>
          <t>SPB_RN_P_408</t>
        </is>
      </c>
      <c r="K1128" s="640" t="n">
        <v>1</v>
      </c>
      <c r="L1128" s="640" t="n">
        <v>1</v>
      </c>
      <c r="M1128" s="623" t="inlineStr">
        <is>
          <t>Samsung 32" вертикальный</t>
        </is>
      </c>
      <c r="N1128" s="640" t="n"/>
      <c r="O1128" s="640">
        <f>IF(AND(N1128=1,L1128=1),K1128,"")</f>
        <v/>
      </c>
      <c r="P1128" s="642" t="inlineStr">
        <is>
          <t>Санкт-Петербург,  Генерала Хрулева, 14, лит. "А"</t>
        </is>
      </c>
      <c r="Q1128" s="640" t="inlineStr">
        <is>
          <t>59.994142</t>
        </is>
      </c>
      <c r="R1128" s="494" t="inlineStr">
        <is>
          <t>30.283144</t>
        </is>
      </c>
      <c r="S1128" s="436" t="n"/>
      <c r="T1128" s="387" t="n"/>
      <c r="U1128" s="387" t="n"/>
      <c r="V1128" s="438">
        <f>IF(AND(N1128=1,U1128=1),C1128,"")</f>
        <v/>
      </c>
      <c r="W1128" s="387" t="n"/>
      <c r="X1128" s="387" t="n"/>
      <c r="Y1128" s="387" t="n"/>
    </row>
    <row r="1129" hidden="1" ht="16.05" customFormat="1" customHeight="1" s="126">
      <c r="A1129" s="125" t="n">
        <v>1565</v>
      </c>
      <c r="B1129" s="125" t="n"/>
      <c r="C1129" s="130" t="inlineStr">
        <is>
          <t>Санкт-Петербург</t>
        </is>
      </c>
      <c r="D1129" s="130" t="inlineStr">
        <is>
          <t>Санкт-Петербург</t>
        </is>
      </c>
      <c r="E1129" s="130" t="n"/>
      <c r="F1129" s="130" t="n"/>
      <c r="G1129" s="130" t="inlineStr">
        <is>
          <t>ПТК</t>
        </is>
      </c>
      <c r="H1129" s="131" t="n">
        <v>87</v>
      </c>
      <c r="I1129" s="637" t="inlineStr">
        <is>
          <t>ПТК_087</t>
        </is>
      </c>
      <c r="J1129" s="637" t="inlineStr">
        <is>
          <t>PTK_0087</t>
        </is>
      </c>
      <c r="K1129" s="640" t="n">
        <v>1</v>
      </c>
      <c r="L1129" s="640" t="n">
        <v>0</v>
      </c>
      <c r="M1129" s="640" t="inlineStr">
        <is>
          <t>Sam 32</t>
        </is>
      </c>
      <c r="N1129" s="640" t="n"/>
      <c r="O1129" s="640">
        <f>IF(AND(N1129=1,L1129=1),K1129,"")</f>
        <v/>
      </c>
      <c r="P1129" s="642" t="inlineStr">
        <is>
          <t>Санкт-Петербург, пр. Юрия Гагарина, 32, лит. "В"</t>
        </is>
      </c>
      <c r="Q1129" s="640" t="n">
        <v>59.851624</v>
      </c>
      <c r="R1129" s="422" t="n">
        <v>30.339369</v>
      </c>
      <c r="S1129" s="436" t="n"/>
      <c r="T1129" s="387" t="n"/>
      <c r="U1129" s="387" t="n"/>
      <c r="V1129" s="438">
        <f>IF(AND(N1129=1,U1129=1),C1129,"")</f>
        <v/>
      </c>
      <c r="W1129" s="387" t="n"/>
      <c r="X1129" s="1" t="n"/>
      <c r="Y1129" s="1" t="n"/>
    </row>
    <row r="1130" hidden="1" ht="16.05" customFormat="1" customHeight="1" s="126">
      <c r="A1130" s="125" t="n">
        <v>1564</v>
      </c>
      <c r="B1130" s="125" t="n"/>
      <c r="C1130" s="130" t="inlineStr">
        <is>
          <t>Санкт-Петербург</t>
        </is>
      </c>
      <c r="D1130" s="130" t="inlineStr">
        <is>
          <t>Санкт-Петербург</t>
        </is>
      </c>
      <c r="E1130" s="130" t="n"/>
      <c r="F1130" s="130" t="inlineStr">
        <is>
          <t>АЗС</t>
        </is>
      </c>
      <c r="G1130" s="130" t="inlineStr">
        <is>
          <t>ПТК</t>
        </is>
      </c>
      <c r="H1130" s="131" t="n">
        <v>385</v>
      </c>
      <c r="I1130" s="637" t="inlineStr">
        <is>
          <t>385 Московское шоссе-1</t>
        </is>
      </c>
      <c r="J1130" s="637" t="inlineStr">
        <is>
          <t>PTK_0085</t>
        </is>
      </c>
      <c r="K1130" s="640" t="n">
        <v>1</v>
      </c>
      <c r="L1130" s="640" t="n">
        <v>0</v>
      </c>
      <c r="M1130" s="640" t="inlineStr">
        <is>
          <t>Samsung 32" вертикальный</t>
        </is>
      </c>
      <c r="N1130" s="640" t="n"/>
      <c r="O1130" s="640">
        <f>IF(AND(N1130=1,L1130=1),K1130,"")</f>
        <v/>
      </c>
      <c r="P1130" s="642" t="inlineStr">
        <is>
          <t>Санкт-Петербург, Московское ш., 35, лит. "А"</t>
        </is>
      </c>
      <c r="Q1130" s="640" t="inlineStr">
        <is>
          <t>59.817993</t>
        </is>
      </c>
      <c r="R1130" s="422" t="inlineStr">
        <is>
          <t>30.366055</t>
        </is>
      </c>
      <c r="S1130" s="436" t="n"/>
      <c r="T1130" s="387" t="n"/>
      <c r="U1130" s="387" t="n"/>
      <c r="V1130" s="438">
        <f>IF(AND(N1130=1,U1130=1),C1130,"")</f>
        <v/>
      </c>
      <c r="W1130" s="387" t="n"/>
      <c r="X1130" s="387" t="n"/>
      <c r="Y1130" s="387" t="n"/>
    </row>
    <row r="1131" hidden="1" ht="16.05" customFormat="1" customHeight="1" s="126">
      <c r="A1131" s="125" t="n">
        <v>1567</v>
      </c>
      <c r="B1131" s="125" t="n"/>
      <c r="C1131" s="130" t="inlineStr">
        <is>
          <t>Санкт-Петербург</t>
        </is>
      </c>
      <c r="D1131" s="130" t="inlineStr">
        <is>
          <t>Санкт-Петербург</t>
        </is>
      </c>
      <c r="E1131" s="130" t="n"/>
      <c r="F1131" s="130" t="n"/>
      <c r="G1131" s="130" t="inlineStr">
        <is>
          <t>ПТК</t>
        </is>
      </c>
      <c r="H1131" s="131" t="n">
        <v>92</v>
      </c>
      <c r="I1131" s="637" t="inlineStr">
        <is>
          <t>ПТК_092</t>
        </is>
      </c>
      <c r="J1131" s="637" t="inlineStr">
        <is>
          <t>PTK_0092</t>
        </is>
      </c>
      <c r="K1131" s="640" t="n">
        <v>1</v>
      </c>
      <c r="L1131" s="640" t="n">
        <v>0</v>
      </c>
      <c r="M1131" s="640" t="inlineStr">
        <is>
          <t>Sam 32</t>
        </is>
      </c>
      <c r="N1131" s="640" t="n"/>
      <c r="O1131" s="640">
        <f>IF(AND(N1131=1,L1131=1),K1131,"")</f>
        <v/>
      </c>
      <c r="P1131" s="642" t="inlineStr">
        <is>
          <t>Санкт-Петербург, Пулковское ш., 27, лит. "А"</t>
        </is>
      </c>
      <c r="Q1131" s="640" t="n">
        <v>59.815137</v>
      </c>
      <c r="R1131" s="422" t="n">
        <v>30.321637</v>
      </c>
      <c r="S1131" s="436" t="n"/>
      <c r="T1131" s="387" t="n"/>
      <c r="U1131" s="387" t="n"/>
      <c r="V1131" s="438">
        <f>IF(AND(N1131=1,U1131=1),C1131,"")</f>
        <v/>
      </c>
      <c r="W1131" s="387" t="n"/>
      <c r="X1131" s="1" t="n"/>
      <c r="Y1131" s="1" t="n"/>
    </row>
    <row r="1132" hidden="1" ht="16.05" customFormat="1" customHeight="1" s="126">
      <c r="A1132" s="125" t="n">
        <v>1566</v>
      </c>
      <c r="B1132" s="125" t="n"/>
      <c r="C1132" s="130" t="inlineStr">
        <is>
          <t>Санкт-Петербург</t>
        </is>
      </c>
      <c r="D1132" s="130" t="inlineStr">
        <is>
          <t>Санкт-Петербург</t>
        </is>
      </c>
      <c r="E1132" s="130" t="n"/>
      <c r="F1132" s="130" t="inlineStr">
        <is>
          <t>АЗС</t>
        </is>
      </c>
      <c r="G1132" s="130" t="inlineStr">
        <is>
          <t>Роснефть</t>
        </is>
      </c>
      <c r="H1132" s="131" t="n">
        <v>390</v>
      </c>
      <c r="I1132" s="637" t="inlineStr">
        <is>
          <t>390 Автобусная</t>
        </is>
      </c>
      <c r="J1132" s="637" t="inlineStr">
        <is>
          <t>SPB_RN_P_390</t>
        </is>
      </c>
      <c r="K1132" s="640" t="n">
        <v>1</v>
      </c>
      <c r="L1132" s="640" t="n">
        <v>0</v>
      </c>
      <c r="M1132" s="640" t="inlineStr">
        <is>
          <t>Samsung 32" вертикальный</t>
        </is>
      </c>
      <c r="N1132" s="640" t="n"/>
      <c r="O1132" s="640">
        <f>IF(AND(N1132=1,L1132=1),K1132,"")</f>
        <v/>
      </c>
      <c r="P1132" s="642" t="inlineStr">
        <is>
          <t>Санкт-Петербург,  Автобусная, 12, лит. "А"</t>
        </is>
      </c>
      <c r="Q1132" s="640" t="inlineStr">
        <is>
          <t>60.028988</t>
        </is>
      </c>
      <c r="R1132" s="494" t="inlineStr">
        <is>
          <t>30.259503</t>
        </is>
      </c>
      <c r="S1132" s="436" t="n"/>
      <c r="T1132" s="387" t="n"/>
      <c r="U1132" s="387" t="n"/>
      <c r="V1132" s="438">
        <f>IF(AND(N1132=1,U1132=1),C1132,"")</f>
        <v/>
      </c>
      <c r="W1132" s="387" t="n"/>
      <c r="X1132" s="387" t="n"/>
      <c r="Y1132" s="1" t="n"/>
    </row>
    <row r="1133" hidden="1" ht="16.05" customFormat="1" customHeight="1" s="126">
      <c r="A1133" s="125" t="n">
        <v>1569</v>
      </c>
      <c r="B1133" s="125" t="n"/>
      <c r="C1133" s="130" t="inlineStr">
        <is>
          <t>Санкт-Петербург</t>
        </is>
      </c>
      <c r="D1133" s="130" t="inlineStr">
        <is>
          <t>Санкт-Петербург</t>
        </is>
      </c>
      <c r="E1133" s="130" t="n"/>
      <c r="F1133" s="130" t="n"/>
      <c r="G1133" s="130" t="inlineStr">
        <is>
          <t>ПТК</t>
        </is>
      </c>
      <c r="H1133" s="131" t="n">
        <v>102</v>
      </c>
      <c r="I1133" s="637" t="inlineStr">
        <is>
          <t>ПТК_102</t>
        </is>
      </c>
      <c r="J1133" s="637" t="inlineStr">
        <is>
          <t>PTK_0102</t>
        </is>
      </c>
      <c r="K1133" s="640" t="n">
        <v>1</v>
      </c>
      <c r="L1133" s="640" t="n">
        <v>0</v>
      </c>
      <c r="M1133" s="640" t="inlineStr">
        <is>
          <t>Sam 32</t>
        </is>
      </c>
      <c r="N1133" s="640" t="n"/>
      <c r="O1133" s="640">
        <f>IF(AND(N1133=1,L1133=1),K1133,"")</f>
        <v/>
      </c>
      <c r="P1133" s="642" t="inlineStr">
        <is>
          <t>Санкт-Петербург, Придорожная аллея, 24, лит. "А"</t>
        </is>
      </c>
      <c r="Q1133" s="640" t="n">
        <v>60.053758</v>
      </c>
      <c r="R1133" s="422" t="n">
        <v>30.371119</v>
      </c>
      <c r="S1133" s="436" t="n"/>
      <c r="T1133" s="387" t="n"/>
      <c r="U1133" s="387" t="n"/>
      <c r="V1133" s="438">
        <f>IF(AND(N1133=1,U1133=1),C1133,"")</f>
        <v/>
      </c>
      <c r="W1133" s="387" t="n"/>
      <c r="X1133" s="1" t="n"/>
      <c r="Y1133" s="1" t="n"/>
    </row>
    <row r="1134" hidden="1" ht="16.05" customFormat="1" customHeight="1" s="126">
      <c r="A1134" s="125" t="n">
        <v>1573</v>
      </c>
      <c r="B1134" s="125" t="n"/>
      <c r="C1134" s="130" t="inlineStr">
        <is>
          <t>Санкт-Петербург</t>
        </is>
      </c>
      <c r="D1134" s="130" t="inlineStr">
        <is>
          <t>Санкт-Петербург</t>
        </is>
      </c>
      <c r="E1134" s="130" t="n"/>
      <c r="F1134" s="130" t="inlineStr">
        <is>
          <t>АЗС</t>
        </is>
      </c>
      <c r="G1134" s="130" t="inlineStr">
        <is>
          <t>Роснефть</t>
        </is>
      </c>
      <c r="H1134" s="131" t="n">
        <v>418</v>
      </c>
      <c r="I1134" s="637" t="inlineStr">
        <is>
          <t>418 Маршала Жукова</t>
        </is>
      </c>
      <c r="J1134" s="637" t="inlineStr">
        <is>
          <t>SPB_RN_P_418</t>
        </is>
      </c>
      <c r="K1134" s="640" t="n">
        <v>1</v>
      </c>
      <c r="L1134" s="640" t="n">
        <v>1</v>
      </c>
      <c r="M1134" s="623" t="inlineStr">
        <is>
          <t>Samsung 32" вертикальный</t>
        </is>
      </c>
      <c r="N1134" s="640" t="n"/>
      <c r="O1134" s="640">
        <f>IF(AND(N1134=1,L1134=1),K1134,"")</f>
        <v/>
      </c>
      <c r="P1134" s="642" t="inlineStr">
        <is>
          <t>Санкт-Петербург, пр. Маршала Жукова, 10, лит. "А"</t>
        </is>
      </c>
      <c r="Q1134" s="640" t="inlineStr">
        <is>
          <t>59.865946</t>
        </is>
      </c>
      <c r="R1134" s="494" t="inlineStr">
        <is>
          <t>30.244334</t>
        </is>
      </c>
      <c r="S1134" s="436" t="n"/>
      <c r="T1134" s="387" t="n"/>
      <c r="U1134" s="387" t="n"/>
      <c r="V1134" s="438">
        <f>IF(AND(N1134=1,U1134=1),C1134,"")</f>
        <v/>
      </c>
      <c r="W1134" s="387" t="n"/>
      <c r="X1134" s="387" t="n"/>
      <c r="Y1134" s="387" t="n"/>
    </row>
    <row r="1135" hidden="1" ht="16.05" customFormat="1" customHeight="1" s="126">
      <c r="A1135" s="125" t="n">
        <v>1574</v>
      </c>
      <c r="B1135" s="125" t="n"/>
      <c r="C1135" s="130" t="inlineStr">
        <is>
          <t>Санкт-Петербург</t>
        </is>
      </c>
      <c r="D1135" s="130" t="inlineStr">
        <is>
          <t>Ленинградская область</t>
        </is>
      </c>
      <c r="E1135" s="130" t="n"/>
      <c r="F1135" s="130" t="inlineStr">
        <is>
          <t>АЗС</t>
        </is>
      </c>
      <c r="G1135" s="130" t="inlineStr">
        <is>
          <t>Роснефть</t>
        </is>
      </c>
      <c r="H1135" s="131" t="n">
        <v>421</v>
      </c>
      <c r="I1135" s="637" t="inlineStr">
        <is>
          <t>421 Дорога Жизни-1</t>
        </is>
      </c>
      <c r="J1135" s="637" t="inlineStr">
        <is>
          <t>SPB_RN_P_421</t>
        </is>
      </c>
      <c r="K1135" s="640" t="n">
        <v>1</v>
      </c>
      <c r="L1135" s="640" t="n">
        <v>1</v>
      </c>
      <c r="M1135" s="623" t="inlineStr">
        <is>
          <t>Samsung 32" вертикальный</t>
        </is>
      </c>
      <c r="N1135" s="640" t="n"/>
      <c r="O1135" s="640">
        <f>IF(AND(N1135=1,L1135=1),K1135,"")</f>
        <v/>
      </c>
      <c r="P1135" s="642" t="inlineStr">
        <is>
          <t>Ленинградская область, г. Всеволожск,"Дорога Жизни", 5-й км</t>
        </is>
      </c>
      <c r="Q1135" s="640" t="inlineStr">
        <is>
          <t>60.009958</t>
        </is>
      </c>
      <c r="R1135" s="494" t="inlineStr">
        <is>
          <t>30.575318</t>
        </is>
      </c>
      <c r="S1135" s="436" t="n"/>
      <c r="T1135" s="387" t="n"/>
      <c r="U1135" s="387" t="n"/>
      <c r="V1135" s="438">
        <f>IF(AND(N1135=1,U1135=1),C1135,"")</f>
        <v/>
      </c>
      <c r="W1135" s="387" t="n"/>
      <c r="X1135" s="387" t="n"/>
      <c r="Y1135" s="387" t="n"/>
    </row>
    <row r="1136" hidden="1" ht="16.05" customFormat="1" customHeight="1" s="126">
      <c r="A1136" s="125" t="n">
        <v>1571</v>
      </c>
      <c r="B1136" s="125" t="n"/>
      <c r="C1136" s="130" t="inlineStr">
        <is>
          <t>Санкт-Петербург</t>
        </is>
      </c>
      <c r="D1136" s="130" t="inlineStr">
        <is>
          <t>Ленинградская область</t>
        </is>
      </c>
      <c r="E1136" s="130" t="n"/>
      <c r="F1136" s="130" t="inlineStr">
        <is>
          <t>АЗС</t>
        </is>
      </c>
      <c r="G1136" s="130" t="inlineStr">
        <is>
          <t>ПТК</t>
        </is>
      </c>
      <c r="H1136" s="131" t="n">
        <v>406</v>
      </c>
      <c r="I1136" s="637" t="inlineStr">
        <is>
          <t>406 Сестрорецк</t>
        </is>
      </c>
      <c r="J1136" s="637" t="inlineStr">
        <is>
          <t>PTK_0106</t>
        </is>
      </c>
      <c r="K1136" s="640" t="n">
        <v>1</v>
      </c>
      <c r="L1136" s="640" t="n">
        <v>0</v>
      </c>
      <c r="M1136" s="640" t="inlineStr">
        <is>
          <t>Samsung 32" вертикальный</t>
        </is>
      </c>
      <c r="N1136" s="640" t="n"/>
      <c r="O1136" s="640">
        <f>IF(AND(N1136=1,L1136=1),K1136,"")</f>
        <v/>
      </c>
      <c r="P1136" s="642" t="inlineStr">
        <is>
          <t>Ленинградская область, г. Сестрорецк, Приморское ш. 262 Лит 2</t>
        </is>
      </c>
      <c r="Q1136" s="640" t="inlineStr">
        <is>
          <t>60.080372</t>
        </is>
      </c>
      <c r="R1136" s="422" t="inlineStr">
        <is>
          <t>29.959216</t>
        </is>
      </c>
      <c r="S1136" s="436" t="n"/>
      <c r="T1136" s="387" t="n"/>
      <c r="U1136" s="387" t="n"/>
      <c r="V1136" s="438">
        <f>IF(AND(N1136=1,U1136=1),C1136,"")</f>
        <v/>
      </c>
      <c r="W1136" s="387" t="n"/>
      <c r="X1136" s="387" t="n"/>
      <c r="Y1136" s="387" t="n"/>
    </row>
    <row r="1137" hidden="1" ht="16.05" customFormat="1" customHeight="1" s="126">
      <c r="A1137" s="125" t="n">
        <v>1576</v>
      </c>
      <c r="B1137" s="125" t="n"/>
      <c r="C1137" s="130" t="inlineStr">
        <is>
          <t>Санкт-Петербург</t>
        </is>
      </c>
      <c r="D1137" s="130" t="inlineStr">
        <is>
          <t>Санкт-Петербург</t>
        </is>
      </c>
      <c r="E1137" s="130" t="n"/>
      <c r="F1137" s="130" t="inlineStr">
        <is>
          <t>АЗС</t>
        </is>
      </c>
      <c r="G1137" s="130" t="inlineStr">
        <is>
          <t>Роснефть</t>
        </is>
      </c>
      <c r="H1137" s="131" t="n">
        <v>425</v>
      </c>
      <c r="I1137" s="637" t="inlineStr">
        <is>
          <t>425 Зольная-2</t>
        </is>
      </c>
      <c r="J1137" s="637" t="inlineStr">
        <is>
          <t>SPB_RN_P_425</t>
        </is>
      </c>
      <c r="K1137" s="640" t="n">
        <v>1</v>
      </c>
      <c r="L1137" s="640" t="n">
        <v>1</v>
      </c>
      <c r="M1137" s="623" t="inlineStr">
        <is>
          <t>Samsung 32" вертикальный</t>
        </is>
      </c>
      <c r="N1137" s="640" t="n"/>
      <c r="O1137" s="640">
        <f>IF(AND(N1137=1,L1137=1),K1137,"")</f>
        <v/>
      </c>
      <c r="P1137" s="642" t="inlineStr">
        <is>
          <t>Санкт-Петербург, Дальневосточный пр., 1 а, лит. "А"</t>
        </is>
      </c>
      <c r="Q1137" s="640" t="inlineStr">
        <is>
          <t>59.918097</t>
        </is>
      </c>
      <c r="R1137" s="494" t="inlineStr">
        <is>
          <t>30.422102</t>
        </is>
      </c>
      <c r="S1137" s="436" t="n"/>
      <c r="T1137" s="387" t="n"/>
      <c r="U1137" s="387" t="n"/>
      <c r="V1137" s="438">
        <f>IF(AND(N1137=1,U1137=1),C1137,"")</f>
        <v/>
      </c>
      <c r="W1137" s="387" t="n"/>
      <c r="X1137" s="387" t="n"/>
      <c r="Y1137" s="387" t="n"/>
    </row>
    <row r="1138" hidden="1" ht="16.05" customFormat="1" customHeight="1" s="126">
      <c r="A1138" s="125" t="n">
        <v>1578</v>
      </c>
      <c r="B1138" s="125" t="n"/>
      <c r="C1138" s="130" t="inlineStr">
        <is>
          <t>Санкт-Петербург</t>
        </is>
      </c>
      <c r="D1138" s="130" t="inlineStr">
        <is>
          <t>Ленинградская область</t>
        </is>
      </c>
      <c r="E1138" s="130" t="n"/>
      <c r="F1138" s="130" t="inlineStr">
        <is>
          <t>АЗС</t>
        </is>
      </c>
      <c r="G1138" s="130" t="inlineStr">
        <is>
          <t>Роснефть</t>
        </is>
      </c>
      <c r="H1138" s="131" t="n">
        <v>452</v>
      </c>
      <c r="I1138" s="637" t="inlineStr">
        <is>
          <t>452 Гатчина</t>
        </is>
      </c>
      <c r="J1138" s="637" t="inlineStr">
        <is>
          <t>SPB_RN_P_452</t>
        </is>
      </c>
      <c r="K1138" s="640" t="n">
        <v>1</v>
      </c>
      <c r="L1138" s="640" t="n">
        <v>0</v>
      </c>
      <c r="M1138" s="623" t="inlineStr">
        <is>
          <t>Samsung 32" вертикальный</t>
        </is>
      </c>
      <c r="N1138" s="640" t="n"/>
      <c r="O1138" s="640">
        <f>IF(AND(N1138=1,L1138=1),K1138,"")</f>
        <v/>
      </c>
      <c r="P1138" s="642" t="inlineStr">
        <is>
          <t>Ленинградская область, г. Гатчина, Красносельское ш., 1</t>
        </is>
      </c>
      <c r="Q1138" s="640" t="inlineStr">
        <is>
          <t>59.58111</t>
        </is>
      </c>
      <c r="R1138" s="494" t="inlineStr">
        <is>
          <t>30.1381</t>
        </is>
      </c>
      <c r="S1138" s="436" t="n"/>
      <c r="T1138" s="387" t="n"/>
      <c r="U1138" s="387" t="n"/>
      <c r="V1138" s="438">
        <f>IF(AND(N1138=1,U1138=1),C1138,"")</f>
        <v/>
      </c>
      <c r="W1138" s="387" t="n"/>
      <c r="X1138" s="387" t="n"/>
      <c r="Y1138" s="387" t="n"/>
    </row>
    <row r="1139" hidden="1" ht="16.05" customFormat="1" customHeight="1" s="126">
      <c r="A1139" s="125" t="n">
        <v>1575</v>
      </c>
      <c r="B1139" s="125" t="n"/>
      <c r="C1139" s="130" t="inlineStr">
        <is>
          <t>Санкт-Петербург</t>
        </is>
      </c>
      <c r="D1139" s="130" t="inlineStr">
        <is>
          <t>Ленинградская область</t>
        </is>
      </c>
      <c r="E1139" s="130" t="n"/>
      <c r="F1139" s="130" t="n"/>
      <c r="G1139" s="130" t="inlineStr">
        <is>
          <t>ПТК</t>
        </is>
      </c>
      <c r="H1139" s="131" t="n">
        <v>124</v>
      </c>
      <c r="I1139" s="637" t="inlineStr">
        <is>
          <t>ПТК_124</t>
        </is>
      </c>
      <c r="J1139" s="637" t="inlineStr">
        <is>
          <t>PTK_0124</t>
        </is>
      </c>
      <c r="K1139" s="640" t="n">
        <v>1</v>
      </c>
      <c r="L1139" s="640" t="n">
        <v>0</v>
      </c>
      <c r="M1139" s="640" t="inlineStr">
        <is>
          <t>Sam 32</t>
        </is>
      </c>
      <c r="N1139" s="640" t="n"/>
      <c r="O1139" s="640">
        <f>IF(AND(N1139=1,L1139=1),K1139,"")</f>
        <v/>
      </c>
      <c r="P1139" s="642" t="inlineStr">
        <is>
          <t>Ленинградская область, пос. Бугры,  Шоссейная, 56</t>
        </is>
      </c>
      <c r="Q1139" s="640" t="n">
        <v>60.080621</v>
      </c>
      <c r="R1139" s="422" t="n">
        <v>30.395043</v>
      </c>
      <c r="S1139" s="436" t="n"/>
      <c r="T1139" s="387" t="n"/>
      <c r="U1139" s="387" t="n"/>
      <c r="V1139" s="438">
        <f>IF(AND(N1139=1,U1139=1),C1139,"")</f>
        <v/>
      </c>
      <c r="W1139" s="387" t="n"/>
      <c r="X1139" s="1" t="n"/>
      <c r="Y1139" s="1" t="n"/>
    </row>
    <row r="1140" hidden="1" ht="16.05" customFormat="1" customHeight="1" s="126">
      <c r="A1140" s="125" t="n">
        <v>1583</v>
      </c>
      <c r="B1140" s="125" t="n"/>
      <c r="C1140" s="130" t="inlineStr">
        <is>
          <t>Карелия</t>
        </is>
      </c>
      <c r="D1140" s="130" t="inlineStr">
        <is>
          <t>Петрозаводск</t>
        </is>
      </c>
      <c r="E1140" s="130" t="n"/>
      <c r="F1140" s="130" t="inlineStr">
        <is>
          <t>АЗС</t>
        </is>
      </c>
      <c r="G1140" s="130" t="inlineStr">
        <is>
          <t>Роснефть</t>
        </is>
      </c>
      <c r="H1140" s="131" t="n">
        <v>1</v>
      </c>
      <c r="I1140" s="637" t="inlineStr">
        <is>
          <t>TNK_1</t>
        </is>
      </c>
      <c r="J1140" s="637" t="inlineStr">
        <is>
          <t>PTZ_TNK_001</t>
        </is>
      </c>
      <c r="K1140" s="640" t="n">
        <v>1</v>
      </c>
      <c r="L1140" s="640" t="n">
        <v>1</v>
      </c>
      <c r="M1140" s="623" t="inlineStr">
        <is>
          <t>Samsung 32" вертикальный</t>
        </is>
      </c>
      <c r="N1140" s="640" t="n"/>
      <c r="O1140" s="640">
        <f>IF(AND(N1140=1,L1140=1),K1140,"")</f>
        <v/>
      </c>
      <c r="P1140" s="642" t="inlineStr">
        <is>
          <t>Петрозаводск, Лесной пр. (Петрозаводск, Лесной пр.38)</t>
        </is>
      </c>
      <c r="Q1140" s="640" t="inlineStr">
        <is>
          <t>61.770652</t>
        </is>
      </c>
      <c r="R1140" s="494" t="inlineStr">
        <is>
          <t>34.31874</t>
        </is>
      </c>
      <c r="S1140" s="436" t="n"/>
      <c r="T1140" s="387" t="n"/>
      <c r="U1140" s="387" t="n"/>
      <c r="V1140" s="438">
        <f>IF(AND(N1140=1,U1140=1),C1140,"")</f>
        <v/>
      </c>
      <c r="W1140" s="387" t="n"/>
      <c r="X1140" s="387" t="n"/>
      <c r="Y1140" s="387" t="n"/>
    </row>
    <row r="1141" hidden="1" ht="16.05" customFormat="1" customHeight="1" s="126">
      <c r="A1141" s="125" t="n">
        <v>1577</v>
      </c>
      <c r="B1141" s="125" t="n"/>
      <c r="C1141" s="130" t="inlineStr">
        <is>
          <t>Санкт-Петербург</t>
        </is>
      </c>
      <c r="D1141" s="130" t="inlineStr">
        <is>
          <t>Всеволожск</t>
        </is>
      </c>
      <c r="E1141" s="130" t="n"/>
      <c r="F1141" s="130" t="n"/>
      <c r="G1141" s="130" t="inlineStr">
        <is>
          <t>ПТК</t>
        </is>
      </c>
      <c r="H1141" s="131" t="n">
        <v>151</v>
      </c>
      <c r="I1141" s="637" t="inlineStr">
        <is>
          <t>ПТК_151</t>
        </is>
      </c>
      <c r="J1141" s="637" t="inlineStr">
        <is>
          <t>PTK_0151</t>
        </is>
      </c>
      <c r="K1141" s="640" t="n">
        <v>1</v>
      </c>
      <c r="L1141" s="640" t="n">
        <v>0</v>
      </c>
      <c r="M1141" s="640" t="inlineStr">
        <is>
          <t>Sam 32</t>
        </is>
      </c>
      <c r="N1141" s="640" t="n"/>
      <c r="O1141" s="640">
        <f>IF(AND(N1141=1,L1141=1),K1141,"")</f>
        <v/>
      </c>
      <c r="P1141" s="642" t="inlineStr">
        <is>
          <t>Ленинградская область, г. Всеволожск,"Дороги Жизни", 8-й км</t>
        </is>
      </c>
      <c r="Q1141" s="640" t="n">
        <v>60.026159</v>
      </c>
      <c r="R1141" s="422" t="n">
        <v>30.615815</v>
      </c>
      <c r="S1141" s="436" t="n"/>
      <c r="T1141" s="387" t="n"/>
      <c r="U1141" s="387" t="n"/>
      <c r="V1141" s="438">
        <f>IF(AND(N1141=1,U1141=1),C1141,"")</f>
        <v/>
      </c>
      <c r="W1141" s="387" t="n"/>
      <c r="X1141" s="1" t="n"/>
      <c r="Y1141" s="1" t="n"/>
    </row>
    <row r="1142" hidden="1" ht="16.05" customFormat="1" customHeight="1" s="126">
      <c r="A1142" s="125" t="n">
        <v>1584</v>
      </c>
      <c r="B1142" s="125" t="n"/>
      <c r="C1142" s="130" t="inlineStr">
        <is>
          <t>Карелия</t>
        </is>
      </c>
      <c r="D1142" s="130" t="inlineStr">
        <is>
          <t>Петрозаводск</t>
        </is>
      </c>
      <c r="E1142" s="130" t="n"/>
      <c r="F1142" s="130" t="inlineStr">
        <is>
          <t>АЗС</t>
        </is>
      </c>
      <c r="G1142" s="130" t="inlineStr">
        <is>
          <t>Роснефть</t>
        </is>
      </c>
      <c r="H1142" s="131" t="n">
        <v>21</v>
      </c>
      <c r="I1142" s="637" t="inlineStr">
        <is>
          <t>TNK_21</t>
        </is>
      </c>
      <c r="J1142" s="637" t="inlineStr">
        <is>
          <t>PTZ_TNK_021</t>
        </is>
      </c>
      <c r="K1142" s="640" t="n">
        <v>1</v>
      </c>
      <c r="L1142" s="640" t="n">
        <v>1</v>
      </c>
      <c r="M1142" s="623" t="inlineStr">
        <is>
          <t>Samsung 32" вертикальный</t>
        </is>
      </c>
      <c r="N1142" s="640" t="n"/>
      <c r="O1142" s="640">
        <f>IF(AND(N1142=1,L1142=1),K1142,"")</f>
        <v/>
      </c>
      <c r="P1142" s="642" t="inlineStr">
        <is>
          <t>Петрозаводск,  Ломоносова (Петрозаводск,  Ломоносова, 1)</t>
        </is>
      </c>
      <c r="Q1142" s="640" t="inlineStr">
        <is>
          <t>61.768032</t>
        </is>
      </c>
      <c r="R1142" s="494" t="inlineStr">
        <is>
          <t>34.390518</t>
        </is>
      </c>
      <c r="S1142" s="436" t="n"/>
      <c r="T1142" s="387" t="n"/>
      <c r="U1142" s="387" t="n"/>
      <c r="V1142" s="438">
        <f>IF(AND(N1142=1,U1142=1),C1142,"")</f>
        <v/>
      </c>
      <c r="W1142" s="387" t="n"/>
      <c r="X1142" s="387" t="n"/>
      <c r="Y1142" s="387" t="n"/>
    </row>
    <row r="1143" hidden="1" ht="16.05" customFormat="1" customHeight="1" s="126">
      <c r="A1143" s="125" t="n">
        <v>1579</v>
      </c>
      <c r="B1143" s="125" t="n"/>
      <c r="C1143" s="130" t="inlineStr">
        <is>
          <t>Санкт-Петербург</t>
        </is>
      </c>
      <c r="D1143" s="130" t="inlineStr">
        <is>
          <t>Ленинградская область</t>
        </is>
      </c>
      <c r="E1143" s="130" t="n"/>
      <c r="F1143" s="130" t="n"/>
      <c r="G1143" s="130" t="inlineStr">
        <is>
          <t>ПТК</t>
        </is>
      </c>
      <c r="H1143" s="131" t="n">
        <v>154</v>
      </c>
      <c r="I1143" s="637" t="inlineStr">
        <is>
          <t>ПТК_154</t>
        </is>
      </c>
      <c r="J1143" s="637" t="inlineStr">
        <is>
          <t>PTK_0154</t>
        </is>
      </c>
      <c r="K1143" s="640" t="n">
        <v>1</v>
      </c>
      <c r="L1143" s="640" t="n">
        <v>0</v>
      </c>
      <c r="M1143" s="640" t="inlineStr">
        <is>
          <t>Sam 32</t>
        </is>
      </c>
      <c r="N1143" s="640" t="n"/>
      <c r="O1143" s="640">
        <f>IF(AND(N1143=1,L1143=1),K1143,"")</f>
        <v/>
      </c>
      <c r="P1143" s="642" t="inlineStr">
        <is>
          <t>Ленинградская область, Мурманское ш., 17-й км (справа по ходу движения из Мурманска в Санкт-Петербург)</t>
        </is>
      </c>
      <c r="Q1143" s="640" t="n">
        <v>59.889236</v>
      </c>
      <c r="R1143" s="422" t="n">
        <v>30.588927</v>
      </c>
      <c r="S1143" s="436" t="n"/>
      <c r="T1143" s="387" t="n"/>
      <c r="U1143" s="387" t="n"/>
      <c r="V1143" s="438">
        <f>IF(AND(N1143=1,U1143=1),C1143,"")</f>
        <v/>
      </c>
      <c r="W1143" s="387" t="n"/>
      <c r="X1143" s="1" t="n"/>
      <c r="Y1143" s="1" t="n"/>
    </row>
    <row r="1144" hidden="1" ht="16.05" customFormat="1" customHeight="1" s="126">
      <c r="A1144" s="125" t="n">
        <v>1580</v>
      </c>
      <c r="B1144" s="125" t="n"/>
      <c r="C1144" s="130" t="inlineStr">
        <is>
          <t>Санкт-Петербург</t>
        </is>
      </c>
      <c r="D1144" s="130" t="inlineStr">
        <is>
          <t>Ленинградская область</t>
        </is>
      </c>
      <c r="E1144" s="130" t="n"/>
      <c r="F1144" s="130" t="n"/>
      <c r="G1144" s="130" t="inlineStr">
        <is>
          <t>ПТК</t>
        </is>
      </c>
      <c r="H1144" s="131" t="n">
        <v>155</v>
      </c>
      <c r="I1144" s="637" t="inlineStr">
        <is>
          <t>ПТК_155</t>
        </is>
      </c>
      <c r="J1144" s="637" t="inlineStr">
        <is>
          <t>PTK_0155</t>
        </is>
      </c>
      <c r="K1144" s="640" t="n">
        <v>1</v>
      </c>
      <c r="L1144" s="640" t="n">
        <v>0</v>
      </c>
      <c r="M1144" s="640" t="inlineStr">
        <is>
          <t>Sam 32</t>
        </is>
      </c>
      <c r="N1144" s="640" t="n"/>
      <c r="O1144" s="640">
        <f>IF(AND(N1144=1,L1144=1),K1144,"")</f>
        <v/>
      </c>
      <c r="P1144" s="642" t="inlineStr">
        <is>
          <t>Ленинградская область, Мурманское ш., 17-й км (справа по ходу движения из Санкт-Петербурга в Мурманск)</t>
        </is>
      </c>
      <c r="Q1144" s="640" t="n">
        <v>59.888032</v>
      </c>
      <c r="R1144" s="422" t="n">
        <v>30.587757</v>
      </c>
      <c r="S1144" s="436" t="n"/>
      <c r="T1144" s="387" t="n"/>
      <c r="U1144" s="387" t="n"/>
      <c r="V1144" s="438">
        <f>IF(AND(N1144=1,U1144=1),C1144,"")</f>
        <v/>
      </c>
      <c r="W1144" s="387" t="n"/>
      <c r="X1144" s="1" t="n"/>
      <c r="Y1144" s="1" t="n"/>
    </row>
    <row r="1145" hidden="1" ht="16.05" customFormat="1" customHeight="1" s="126">
      <c r="A1145" s="125" t="n">
        <v>1581</v>
      </c>
      <c r="B1145" s="125" t="n"/>
      <c r="C1145" s="130" t="inlineStr">
        <is>
          <t>Санкт-Петербург</t>
        </is>
      </c>
      <c r="D1145" s="130" t="inlineStr">
        <is>
          <t>Санкт-Петербург</t>
        </is>
      </c>
      <c r="E1145" s="130" t="n"/>
      <c r="F1145" s="130" t="n"/>
      <c r="G1145" s="130" t="inlineStr">
        <is>
          <t>ПТК</t>
        </is>
      </c>
      <c r="H1145" s="131" t="n">
        <v>168</v>
      </c>
      <c r="I1145" s="637" t="inlineStr">
        <is>
          <t>ПТК_168</t>
        </is>
      </c>
      <c r="J1145" s="637" t="inlineStr">
        <is>
          <t>PTK_0168</t>
        </is>
      </c>
      <c r="K1145" s="640" t="n">
        <v>1</v>
      </c>
      <c r="L1145" s="640" t="n">
        <v>0</v>
      </c>
      <c r="M1145" s="640" t="inlineStr">
        <is>
          <t>Sam 32</t>
        </is>
      </c>
      <c r="N1145" s="640" t="n"/>
      <c r="O1145" s="640">
        <f>IF(AND(N1145=1,L1145=1),K1145,"")</f>
        <v/>
      </c>
      <c r="P1145" s="642" t="inlineStr">
        <is>
          <t>Санкт-Петербург, Аптекарская набержная, 16, лит. "А"</t>
        </is>
      </c>
      <c r="Q1145" s="640" t="n">
        <v>59.977467</v>
      </c>
      <c r="R1145" s="422" t="n">
        <v>30.320832</v>
      </c>
      <c r="S1145" s="436" t="n"/>
      <c r="T1145" s="387" t="n"/>
      <c r="U1145" s="387" t="n"/>
      <c r="V1145" s="438">
        <f>IF(AND(N1145=1,U1145=1),C1145,"")</f>
        <v/>
      </c>
      <c r="W1145" s="387" t="n"/>
      <c r="X1145" s="1" t="n"/>
      <c r="Y1145" s="1" t="n"/>
    </row>
    <row r="1146" hidden="1" ht="16.05" customFormat="1" customHeight="1" s="126">
      <c r="A1146" s="125" t="n">
        <v>1585</v>
      </c>
      <c r="B1146" s="125" t="n"/>
      <c r="C1146" s="130" t="inlineStr">
        <is>
          <t>Карелия</t>
        </is>
      </c>
      <c r="D1146" s="130" t="inlineStr">
        <is>
          <t>Петрозаводск</t>
        </is>
      </c>
      <c r="E1146" s="130" t="n"/>
      <c r="F1146" s="130" t="inlineStr">
        <is>
          <t>АЗС</t>
        </is>
      </c>
      <c r="G1146" s="130" t="inlineStr">
        <is>
          <t>Роснефть</t>
        </is>
      </c>
      <c r="H1146" s="131" t="n">
        <v>26</v>
      </c>
      <c r="I1146" s="637" t="inlineStr">
        <is>
          <t>TNK_26</t>
        </is>
      </c>
      <c r="J1146" s="637" t="inlineStr">
        <is>
          <t>PTZ_TNK_026</t>
        </is>
      </c>
      <c r="K1146" s="640" t="n">
        <v>1</v>
      </c>
      <c r="L1146" s="640" t="n">
        <v>1</v>
      </c>
      <c r="M1146" s="623" t="inlineStr">
        <is>
          <t>Samsung 32" вертикальный</t>
        </is>
      </c>
      <c r="N1146" s="640" t="n"/>
      <c r="O1146" s="640">
        <f>IF(AND(N1146=1,L1146=1),K1146,"")</f>
        <v/>
      </c>
      <c r="P1146" s="642" t="inlineStr">
        <is>
          <t>Петрозаводск, Лососинское ш. (Петрозаводск, Лососинское ш., 12А)</t>
        </is>
      </c>
      <c r="Q1146" s="640" t="inlineStr">
        <is>
          <t>61.771107</t>
        </is>
      </c>
      <c r="R1146" s="494" t="inlineStr">
        <is>
          <t>34.331667</t>
        </is>
      </c>
      <c r="S1146" s="436" t="n"/>
      <c r="T1146" s="387" t="n"/>
      <c r="U1146" s="387" t="n"/>
      <c r="V1146" s="438">
        <f>IF(AND(N1146=1,U1146=1),C1146,"")</f>
        <v/>
      </c>
      <c r="W1146" s="387" t="n"/>
      <c r="X1146" s="387" t="n"/>
      <c r="Y1146" s="387" t="n"/>
    </row>
    <row r="1147" hidden="1" ht="16.05" customFormat="1" customHeight="1" s="126">
      <c r="A1147" s="125" t="n">
        <v>1582</v>
      </c>
      <c r="B1147" s="125" t="n"/>
      <c r="C1147" s="130" t="inlineStr">
        <is>
          <t>Санкт-Петербург</t>
        </is>
      </c>
      <c r="D1147" s="130" t="inlineStr">
        <is>
          <t>Санкт-Петербург</t>
        </is>
      </c>
      <c r="E1147" s="130" t="n"/>
      <c r="F1147" s="130" t="inlineStr">
        <is>
          <t>АЗС</t>
        </is>
      </c>
      <c r="G1147" s="130" t="inlineStr">
        <is>
          <t>ПТК</t>
        </is>
      </c>
      <c r="H1147" s="131" t="n">
        <v>475</v>
      </c>
      <c r="I1147" s="637" t="inlineStr">
        <is>
          <t>475 Парнас</t>
        </is>
      </c>
      <c r="J1147" s="637" t="inlineStr">
        <is>
          <t>PTK_0175</t>
        </is>
      </c>
      <c r="K1147" s="640" t="n">
        <v>1</v>
      </c>
      <c r="L1147" s="640" t="n">
        <v>0</v>
      </c>
      <c r="M1147" s="640" t="inlineStr">
        <is>
          <t>Samsung 32" вертикальный</t>
        </is>
      </c>
      <c r="N1147" s="640" t="n"/>
      <c r="O1147" s="640">
        <f>IF(AND(N1147=1,L1147=1),K1147,"")</f>
        <v/>
      </c>
      <c r="P1147" s="642" t="inlineStr">
        <is>
          <t>Санкт-Петербург, промзона Парнас, 5-й верхний пер, 3, лит. "А"</t>
        </is>
      </c>
      <c r="Q1147" s="640" t="inlineStr">
        <is>
          <t>60.06999</t>
        </is>
      </c>
      <c r="R1147" s="422" t="inlineStr">
        <is>
          <t>30.373423</t>
        </is>
      </c>
      <c r="S1147" s="436" t="n"/>
      <c r="T1147" s="387" t="n"/>
      <c r="U1147" s="387" t="n"/>
      <c r="V1147" s="438">
        <f>IF(AND(N1147=1,U1147=1),C1147,"")</f>
        <v/>
      </c>
      <c r="W1147" s="387" t="n"/>
      <c r="X1147" s="387" t="n"/>
      <c r="Y1147" s="387" t="n"/>
    </row>
    <row r="1148" hidden="1" ht="16.05" customFormat="1" customHeight="1" s="126">
      <c r="A1148" s="125" t="n">
        <v>1586</v>
      </c>
      <c r="B1148" s="125" t="n"/>
      <c r="C1148" s="130" t="inlineStr">
        <is>
          <t>Карелия</t>
        </is>
      </c>
      <c r="D1148" s="130" t="inlineStr">
        <is>
          <t>Петрозаводск</t>
        </is>
      </c>
      <c r="E1148" s="130" t="n"/>
      <c r="F1148" s="130" t="inlineStr">
        <is>
          <t>АЗС</t>
        </is>
      </c>
      <c r="G1148" s="130" t="inlineStr">
        <is>
          <t>Роснефть</t>
        </is>
      </c>
      <c r="H1148" s="131" t="n">
        <v>27</v>
      </c>
      <c r="I1148" s="637" t="inlineStr">
        <is>
          <t>TNK_27</t>
        </is>
      </c>
      <c r="J1148" s="637" t="inlineStr">
        <is>
          <t>PTZ_TNK_027</t>
        </is>
      </c>
      <c r="K1148" s="640" t="n">
        <v>1</v>
      </c>
      <c r="L1148" s="640" t="n">
        <v>1</v>
      </c>
      <c r="M1148" s="623" t="inlineStr">
        <is>
          <t>Samsung 32" вертикальный</t>
        </is>
      </c>
      <c r="N1148" s="640" t="n"/>
      <c r="O1148" s="640">
        <f>IF(AND(N1148=1,L1148=1),K1148,"")</f>
        <v/>
      </c>
      <c r="P1148" s="642" t="inlineStr">
        <is>
          <t>Петрозаводск, .Лесной пр.в районе примыкания к  Муезерской  (Петрозаводск, .Лесной пр. 57)</t>
        </is>
      </c>
      <c r="Q1148" s="640" t="inlineStr">
        <is>
          <t>61.792341</t>
        </is>
      </c>
      <c r="R1148" s="494" t="inlineStr">
        <is>
          <t>34.298823</t>
        </is>
      </c>
      <c r="S1148" s="436" t="n"/>
      <c r="T1148" s="387" t="n"/>
      <c r="U1148" s="387" t="n"/>
      <c r="V1148" s="438">
        <f>IF(AND(N1148=1,U1148=1),C1148,"")</f>
        <v/>
      </c>
      <c r="W1148" s="387" t="n"/>
      <c r="X1148" s="387" t="n"/>
      <c r="Y1148" s="387" t="n"/>
    </row>
    <row r="1149" hidden="1" ht="16.05" customFormat="1" customHeight="1" s="126">
      <c r="A1149" s="125" t="n">
        <v>1587</v>
      </c>
      <c r="B1149" s="125" t="inlineStr">
        <is>
          <t>WF</t>
        </is>
      </c>
      <c r="C1149" s="130" t="inlineStr">
        <is>
          <t>Москва</t>
        </is>
      </c>
      <c r="D1149" s="130" t="inlineStr">
        <is>
          <t>Москва</t>
        </is>
      </c>
      <c r="E1149" s="130" t="inlineStr">
        <is>
          <t>ЦАО</t>
        </is>
      </c>
      <c r="F1149" s="130" t="inlineStr">
        <is>
          <t>Супермаркет</t>
        </is>
      </c>
      <c r="G1149" s="130" t="inlineStr">
        <is>
          <t>Азбука Вкуса</t>
        </is>
      </c>
      <c r="H1149" s="131" t="n">
        <v>98</v>
      </c>
      <c r="I1149" s="637" t="inlineStr">
        <is>
          <t>98_Daily</t>
        </is>
      </c>
      <c r="J1149" s="637" t="inlineStr">
        <is>
          <t>MSK_D_098</t>
        </is>
      </c>
      <c r="K1149" s="640" t="n">
        <v>2</v>
      </c>
      <c r="L1149" s="640" t="n">
        <v>1</v>
      </c>
      <c r="M1149" s="623" t="inlineStr">
        <is>
          <t>Samsung 40" вертикальный</t>
        </is>
      </c>
      <c r="N1149" s="640" t="n"/>
      <c r="O1149" s="640">
        <f>IF(AND(N1149=1,L1149=1),K1149,"")</f>
        <v/>
      </c>
      <c r="P1149" s="642" t="inlineStr">
        <is>
          <t>Москва, Минская, д. 14к.1</t>
        </is>
      </c>
      <c r="Q1149" s="640" t="inlineStr">
        <is>
          <t>55.738014</t>
        </is>
      </c>
      <c r="R1149" s="494" t="inlineStr">
        <is>
          <t>37.48555</t>
        </is>
      </c>
      <c r="S1149" s="528" t="n">
        <v>24</v>
      </c>
      <c r="T1149" s="436">
        <f>IF(N1149=1,O1149*S1149,"")</f>
        <v/>
      </c>
      <c r="U1149" s="387" t="n"/>
      <c r="V1149" s="438">
        <f>IF(AND(N1149=1,U1149=1),C1149,"")</f>
        <v/>
      </c>
      <c r="W1149" s="387" t="n"/>
      <c r="X1149" s="387" t="n"/>
      <c r="Y1149" s="387" t="n"/>
    </row>
    <row r="1150" hidden="1" ht="16.05" customFormat="1" customHeight="1" s="126">
      <c r="A1150" s="125" t="n">
        <v>1591</v>
      </c>
      <c r="B1150" s="125" t="inlineStr">
        <is>
          <t>WF</t>
        </is>
      </c>
      <c r="C1150" s="130" t="inlineStr">
        <is>
          <t>Москва</t>
        </is>
      </c>
      <c r="D1150" s="130" t="inlineStr">
        <is>
          <t>Москва</t>
        </is>
      </c>
      <c r="E1150" s="130" t="n"/>
      <c r="F1150" s="130" t="inlineStr">
        <is>
          <t>Супермаркет</t>
        </is>
      </c>
      <c r="G1150" s="130" t="inlineStr">
        <is>
          <t>Азбука Вкуса</t>
        </is>
      </c>
      <c r="H1150" s="131" t="n">
        <v>100</v>
      </c>
      <c r="I1150" s="637" t="n">
        <v>100</v>
      </c>
      <c r="J1150" s="637" t="inlineStr">
        <is>
          <t>MSK_A_100</t>
        </is>
      </c>
      <c r="K1150" s="640" t="n">
        <v>2</v>
      </c>
      <c r="L1150" s="640" t="n">
        <v>1</v>
      </c>
      <c r="M1150" s="623" t="inlineStr">
        <is>
          <t>Samsung 40" вертикальный</t>
        </is>
      </c>
      <c r="N1150" s="640" t="n"/>
      <c r="O1150" s="640">
        <f>IF(AND(N1150=1,L1150=1),K1150,"")</f>
        <v/>
      </c>
      <c r="P1150" s="642" t="inlineStr">
        <is>
          <t>Москва, Марксистская, д. 38 ТЦ КРИСТАЛЛ</t>
        </is>
      </c>
      <c r="Q1150" s="640" t="inlineStr">
        <is>
          <t>55.7338401</t>
        </is>
      </c>
      <c r="R1150" s="494" t="inlineStr">
        <is>
          <t>37.6671946</t>
        </is>
      </c>
      <c r="S1150" s="528" t="n">
        <v>24</v>
      </c>
      <c r="T1150" s="436">
        <f>IF(N1150=1,O1150*S1150,"")</f>
        <v/>
      </c>
      <c r="U1150" s="387" t="n"/>
      <c r="V1150" s="438">
        <f>IF(AND(N1150=1,U1150=1),C1150,"")</f>
        <v/>
      </c>
      <c r="W1150" s="387" t="n"/>
      <c r="X1150" s="387" t="n"/>
      <c r="Y1150" s="387" t="n"/>
    </row>
    <row r="1151" hidden="1" ht="16.05" customFormat="1" customHeight="1" s="126">
      <c r="A1151" s="125" t="n">
        <v>1593</v>
      </c>
      <c r="B1151" s="125" t="inlineStr">
        <is>
          <t>WF</t>
        </is>
      </c>
      <c r="C1151" s="130" t="inlineStr">
        <is>
          <t>Москва</t>
        </is>
      </c>
      <c r="D1151" s="130" t="inlineStr">
        <is>
          <t>Москва</t>
        </is>
      </c>
      <c r="E1151" s="130" t="inlineStr">
        <is>
          <t>М9</t>
        </is>
      </c>
      <c r="F1151" s="130" t="inlineStr">
        <is>
          <t>Супермаркет</t>
        </is>
      </c>
      <c r="G1151" s="130" t="inlineStr">
        <is>
          <t>Азбука Вкуса</t>
        </is>
      </c>
      <c r="H1151" s="131" t="n">
        <v>101</v>
      </c>
      <c r="I1151" s="637" t="n">
        <v>101</v>
      </c>
      <c r="J1151" s="637" t="inlineStr">
        <is>
          <t>MSK_A_101</t>
        </is>
      </c>
      <c r="K1151" s="640" t="n">
        <v>2</v>
      </c>
      <c r="L1151" s="640" t="n">
        <v>1</v>
      </c>
      <c r="M1151" s="623" t="inlineStr">
        <is>
          <t>Samsung 40" вертикальный</t>
        </is>
      </c>
      <c r="N1151" s="640" t="n"/>
      <c r="O1151" s="640">
        <f>IF(AND(N1151=1,L1151=1),K1151,"")</f>
        <v/>
      </c>
      <c r="P1151" s="642" t="inlineStr">
        <is>
          <t>Московская область, Павло-Слободское сельское поселение, деревня Борзые, Невская улица, 704 , ТЦ Княжий двор</t>
        </is>
      </c>
      <c r="Q1151" s="640" t="inlineStr">
        <is>
          <t>55.8122305</t>
        </is>
      </c>
      <c r="R1151" s="494" t="inlineStr">
        <is>
          <t>37.0420468</t>
        </is>
      </c>
      <c r="S1151" s="528" t="n">
        <v>24</v>
      </c>
      <c r="T1151" s="436">
        <f>IF(N1151=1,O1151*S1151,"")</f>
        <v/>
      </c>
      <c r="U1151" s="436" t="n">
        <v>1</v>
      </c>
      <c r="V1151" s="438">
        <f>IF(AND(N1151=1,U1151=1),C1151,"")</f>
        <v/>
      </c>
      <c r="W1151" s="387" t="n"/>
      <c r="X1151" s="387" t="n"/>
      <c r="Y1151" s="387" t="n"/>
    </row>
    <row r="1152" hidden="1" ht="16.05" customFormat="1" customHeight="1" s="126">
      <c r="A1152" s="125" t="n">
        <v>1589</v>
      </c>
      <c r="B1152" s="125" t="inlineStr">
        <is>
          <t>WF</t>
        </is>
      </c>
      <c r="C1152" s="130" t="inlineStr">
        <is>
          <t>Москва</t>
        </is>
      </c>
      <c r="D1152" s="130" t="inlineStr">
        <is>
          <t>Москва</t>
        </is>
      </c>
      <c r="E1152" s="130" t="inlineStr">
        <is>
          <t>ЦАО</t>
        </is>
      </c>
      <c r="F1152" s="130" t="inlineStr">
        <is>
          <t>Супермаркет</t>
        </is>
      </c>
      <c r="G1152" s="130" t="inlineStr">
        <is>
          <t>Азбука Вкуса</t>
        </is>
      </c>
      <c r="H1152" s="131" t="n">
        <v>99</v>
      </c>
      <c r="I1152" s="637" t="inlineStr">
        <is>
          <t>99_Daily</t>
        </is>
      </c>
      <c r="J1152" s="637" t="inlineStr">
        <is>
          <t>MSK_D_099</t>
        </is>
      </c>
      <c r="K1152" s="640" t="n">
        <v>2</v>
      </c>
      <c r="L1152" s="640" t="n">
        <v>0</v>
      </c>
      <c r="M1152" s="640" t="inlineStr">
        <is>
          <t>DM40E</t>
        </is>
      </c>
      <c r="N1152" s="640" t="n"/>
      <c r="O1152" s="640">
        <f>IF(AND(N1152=1,L1152=1),K1152,"")</f>
        <v/>
      </c>
      <c r="P1152" s="642" t="inlineStr">
        <is>
          <t>Москва, 1-я Тверская-Ямская, д. 21</t>
        </is>
      </c>
      <c r="Q1152" s="640" t="n">
        <v>55.7747386</v>
      </c>
      <c r="R1152" s="422" t="n">
        <v>37.5874686</v>
      </c>
      <c r="S1152" s="528" t="n">
        <v>24</v>
      </c>
      <c r="T1152" s="436">
        <f>IF(N1152=1,O1152*S1152,"")</f>
        <v/>
      </c>
      <c r="U1152" s="436" t="n">
        <v>1</v>
      </c>
      <c r="V1152" s="438">
        <f>IF(AND(N1152=1,U1152=1),C1152,"")</f>
        <v/>
      </c>
      <c r="W1152" s="387" t="n"/>
      <c r="X1152" s="387" t="n"/>
      <c r="Y1152" s="387" t="n"/>
    </row>
    <row r="1153" hidden="1" ht="16.05" customFormat="1" customHeight="1" s="126">
      <c r="A1153" s="125" t="n">
        <v>1597</v>
      </c>
      <c r="B1153" s="125" t="n"/>
      <c r="C1153" s="130" t="inlineStr">
        <is>
          <t>Орел</t>
        </is>
      </c>
      <c r="D1153" s="130" t="inlineStr">
        <is>
          <t>Орел</t>
        </is>
      </c>
      <c r="E1153" s="130" t="n"/>
      <c r="F1153" s="130" t="inlineStr">
        <is>
          <t>АЗС</t>
        </is>
      </c>
      <c r="G1153" s="130" t="inlineStr">
        <is>
          <t>Роснефть</t>
        </is>
      </c>
      <c r="H1153" s="131" t="n">
        <v>1</v>
      </c>
      <c r="I1153" s="637" t="inlineStr">
        <is>
          <t>RN_1</t>
        </is>
      </c>
      <c r="J1153" s="637" t="inlineStr">
        <is>
          <t>ORL_RN_0001</t>
        </is>
      </c>
      <c r="K1153" s="640" t="n">
        <v>1</v>
      </c>
      <c r="L1153" s="640" t="n">
        <v>1</v>
      </c>
      <c r="M1153" s="623" t="inlineStr">
        <is>
          <t>Samsung 32" вертикальный</t>
        </is>
      </c>
      <c r="N1153" s="640" t="n"/>
      <c r="O1153" s="640">
        <f>IF(AND(N1153=1,L1153=1),K1153,"")</f>
        <v/>
      </c>
      <c r="P1153" s="642" t="inlineStr">
        <is>
          <t>Орел, Карачевское шоссе, д. 75а</t>
        </is>
      </c>
      <c r="Q1153" s="640" t="inlineStr">
        <is>
          <t>52.946312</t>
        </is>
      </c>
      <c r="R1153" s="494" t="inlineStr">
        <is>
          <t>36.031995</t>
        </is>
      </c>
      <c r="S1153" s="436" t="n"/>
      <c r="T1153" s="436" t="n"/>
      <c r="U1153" s="436" t="n">
        <v>1</v>
      </c>
      <c r="V1153" s="438">
        <f>IF(AND(N1153=1,U1153=1),C1153,"")</f>
        <v/>
      </c>
      <c r="W1153" s="387" t="n"/>
      <c r="X1153" s="387" t="n"/>
      <c r="Y1153" s="387" t="n"/>
    </row>
    <row r="1154" hidden="1" ht="16.05" customFormat="1" customHeight="1" s="126">
      <c r="A1154" s="125" t="n">
        <v>1598</v>
      </c>
      <c r="B1154" s="125" t="n"/>
      <c r="C1154" s="130" t="inlineStr">
        <is>
          <t>Орел</t>
        </is>
      </c>
      <c r="D1154" s="130" t="inlineStr">
        <is>
          <t>Орел</t>
        </is>
      </c>
      <c r="E1154" s="130" t="n"/>
      <c r="F1154" s="130" t="inlineStr">
        <is>
          <t>АЗС</t>
        </is>
      </c>
      <c r="G1154" s="130" t="inlineStr">
        <is>
          <t>Роснефть</t>
        </is>
      </c>
      <c r="H1154" s="131" t="n">
        <v>2</v>
      </c>
      <c r="I1154" s="637" t="inlineStr">
        <is>
          <t>RN_2</t>
        </is>
      </c>
      <c r="J1154" s="637" t="inlineStr">
        <is>
          <t>ORL_RN_0002</t>
        </is>
      </c>
      <c r="K1154" s="640" t="n">
        <v>1</v>
      </c>
      <c r="L1154" s="640" t="n">
        <v>1</v>
      </c>
      <c r="M1154" s="623" t="inlineStr">
        <is>
          <t>Samsung 32" вертикальный</t>
        </is>
      </c>
      <c r="N1154" s="640" t="n"/>
      <c r="O1154" s="640">
        <f>IF(AND(N1154=1,L1154=1),K1154,"")</f>
        <v/>
      </c>
      <c r="P1154" s="642" t="inlineStr">
        <is>
          <t>Орел, Кромское шоссе, д. 25а</t>
        </is>
      </c>
      <c r="Q1154" s="640" t="inlineStr">
        <is>
          <t>52.917307</t>
        </is>
      </c>
      <c r="R1154" s="494" t="inlineStr">
        <is>
          <t>36.007701</t>
        </is>
      </c>
      <c r="S1154" s="436" t="n"/>
      <c r="T1154" s="436" t="n"/>
      <c r="U1154" s="436" t="n">
        <v>1</v>
      </c>
      <c r="V1154" s="438">
        <f>IF(AND(N1154=1,U1154=1),C1154,"")</f>
        <v/>
      </c>
      <c r="W1154" s="387" t="n"/>
      <c r="X1154" s="387" t="n"/>
      <c r="Y1154" s="387" t="n"/>
    </row>
    <row r="1155" hidden="1" ht="16.05" customFormat="1" customHeight="1" s="126">
      <c r="A1155" s="125" t="n">
        <v>1595</v>
      </c>
      <c r="B1155" s="125" t="inlineStr">
        <is>
          <t>WF</t>
        </is>
      </c>
      <c r="C1155" s="130" t="inlineStr">
        <is>
          <t>Москва</t>
        </is>
      </c>
      <c r="D1155" s="130" t="inlineStr">
        <is>
          <t>Московская область</t>
        </is>
      </c>
      <c r="E1155" s="130" t="inlineStr">
        <is>
          <t>М2</t>
        </is>
      </c>
      <c r="F1155" s="130" t="inlineStr">
        <is>
          <t>АЗС</t>
        </is>
      </c>
      <c r="G1155" s="130" t="inlineStr">
        <is>
          <t>Лукойл</t>
        </is>
      </c>
      <c r="H1155" s="131" t="n"/>
      <c r="I1155" s="637" t="n">
        <v>50262</v>
      </c>
      <c r="J1155" s="637" t="inlineStr">
        <is>
          <t>MSK_LUK_0262</t>
        </is>
      </c>
      <c r="K1155" s="640" t="n">
        <v>1</v>
      </c>
      <c r="L1155" s="640" t="n">
        <v>0</v>
      </c>
      <c r="M1155" s="640" t="inlineStr">
        <is>
          <t>1 октября</t>
        </is>
      </c>
      <c r="N1155" s="640" t="n"/>
      <c r="O1155" s="640">
        <f>IF(AND(N1155=1,L1155=1),K1155,"")</f>
        <v/>
      </c>
      <c r="P1155" s="642" t="inlineStr">
        <is>
          <t>Российская Федерация, Московская область, Городской округ Подольск, деревня Бережки, 64б</t>
        </is>
      </c>
      <c r="Q1155" s="640" t="n">
        <v>55.384958</v>
      </c>
      <c r="R1155" s="422" t="n">
        <v>37.604208</v>
      </c>
      <c r="S1155" s="438" t="n"/>
      <c r="T1155" s="436" t="n"/>
      <c r="U1155" s="436" t="n"/>
      <c r="V1155" s="438">
        <f>IF(AND(N1155=1,U1155=1),C1155,"")</f>
        <v/>
      </c>
      <c r="W1155" s="387" t="n"/>
      <c r="X1155" s="1" t="n"/>
      <c r="Y1155" s="1" t="n"/>
    </row>
    <row r="1156" hidden="1" ht="16.05" customFormat="1" customHeight="1" s="126">
      <c r="A1156" s="125" t="n">
        <v>1596</v>
      </c>
      <c r="B1156" s="125" t="n"/>
      <c r="C1156" s="130" t="inlineStr">
        <is>
          <t>Санкт-Петербург</t>
        </is>
      </c>
      <c r="D1156" s="130" t="inlineStr">
        <is>
          <t>Санкт-Петербург</t>
        </is>
      </c>
      <c r="E1156" s="130" t="n"/>
      <c r="F1156" s="130" t="n"/>
      <c r="G1156" s="130" t="inlineStr">
        <is>
          <t>Фаэтон</t>
        </is>
      </c>
      <c r="H1156" s="131" t="n"/>
      <c r="I1156" s="637" t="inlineStr">
        <is>
          <t>FAET_Стрельна</t>
        </is>
      </c>
      <c r="J1156" s="637" t="inlineStr">
        <is>
          <t>PHAE_Strelna</t>
        </is>
      </c>
      <c r="K1156" s="640" t="n">
        <v>1</v>
      </c>
      <c r="L1156" s="640" t="n">
        <v>0</v>
      </c>
      <c r="M1156" s="640" t="inlineStr">
        <is>
          <t>Sam 32</t>
        </is>
      </c>
      <c r="N1156" s="640" t="n"/>
      <c r="O1156" s="640">
        <f>IF(AND(N1156=1,L1156=1),K1156,"")</f>
        <v/>
      </c>
      <c r="P1156" s="642" t="inlineStr">
        <is>
          <t>Санкт-Петербург, п. Стрельна, ул. Фронтовая, д. 8 б, лит. А</t>
        </is>
      </c>
      <c r="Q1156" s="640" t="n">
        <v>59.847395</v>
      </c>
      <c r="R1156" s="422" t="n">
        <v>30.035219</v>
      </c>
      <c r="S1156" s="436" t="n"/>
      <c r="T1156" s="436" t="n"/>
      <c r="U1156" s="436" t="n"/>
      <c r="V1156" s="438">
        <f>IF(AND(N1156=1,U1156=1),C1156,"")</f>
        <v/>
      </c>
      <c r="W1156" s="387" t="n"/>
      <c r="X1156" s="1" t="n"/>
      <c r="Y1156" s="1" t="n"/>
    </row>
    <row r="1157" hidden="1" ht="16.05" customFormat="1" customHeight="1" s="126">
      <c r="A1157" s="125" t="n">
        <v>1599</v>
      </c>
      <c r="B1157" s="125" t="n"/>
      <c r="C1157" s="130" t="inlineStr">
        <is>
          <t>Орел</t>
        </is>
      </c>
      <c r="D1157" s="130" t="inlineStr">
        <is>
          <t>Орел</t>
        </is>
      </c>
      <c r="E1157" s="130" t="n"/>
      <c r="F1157" s="130" t="inlineStr">
        <is>
          <t>АЗС</t>
        </is>
      </c>
      <c r="G1157" s="130" t="inlineStr">
        <is>
          <t>Роснефть</t>
        </is>
      </c>
      <c r="H1157" s="131" t="n">
        <v>3</v>
      </c>
      <c r="I1157" s="637" t="inlineStr">
        <is>
          <t>RN_3</t>
        </is>
      </c>
      <c r="J1157" s="637" t="inlineStr">
        <is>
          <t>ORL_RN_0003</t>
        </is>
      </c>
      <c r="K1157" s="640" t="n">
        <v>1</v>
      </c>
      <c r="L1157" s="640" t="n">
        <v>1</v>
      </c>
      <c r="M1157" s="623" t="inlineStr">
        <is>
          <t>Samsung 32" вертикальный</t>
        </is>
      </c>
      <c r="N1157" s="640" t="n"/>
      <c r="O1157" s="640">
        <f>IF(AND(N1157=1,L1157=1),K1157,"")</f>
        <v/>
      </c>
      <c r="P1157" s="642" t="inlineStr">
        <is>
          <t>Орел, Московское шоссе, д. 173а</t>
        </is>
      </c>
      <c r="Q1157" s="640" t="inlineStr">
        <is>
          <t>53.014364</t>
        </is>
      </c>
      <c r="R1157" s="494" t="inlineStr">
        <is>
          <t>36.158215</t>
        </is>
      </c>
      <c r="S1157" s="436" t="n"/>
      <c r="T1157" s="436" t="n"/>
      <c r="U1157" s="436" t="n"/>
      <c r="V1157" s="438">
        <f>IF(AND(N1157=1,U1157=1),C1157,"")</f>
        <v/>
      </c>
      <c r="W1157" s="387" t="n"/>
      <c r="X1157" s="387" t="n"/>
      <c r="Y1157" s="387" t="n"/>
    </row>
    <row r="1158" hidden="1" ht="16.05" customFormat="1" customHeight="1" s="126">
      <c r="A1158" s="125" t="n">
        <v>1600</v>
      </c>
      <c r="B1158" s="125" t="n"/>
      <c r="C1158" s="130" t="inlineStr">
        <is>
          <t>Орел</t>
        </is>
      </c>
      <c r="D1158" s="130" t="inlineStr">
        <is>
          <t>Орел</t>
        </is>
      </c>
      <c r="E1158" s="130" t="n"/>
      <c r="F1158" s="130" t="inlineStr">
        <is>
          <t>АЗС</t>
        </is>
      </c>
      <c r="G1158" s="130" t="inlineStr">
        <is>
          <t>Роснефть</t>
        </is>
      </c>
      <c r="H1158" s="131" t="n">
        <v>4</v>
      </c>
      <c r="I1158" s="637" t="inlineStr">
        <is>
          <t>RN_4</t>
        </is>
      </c>
      <c r="J1158" s="637" t="inlineStr">
        <is>
          <t>ORL_RN_0004</t>
        </is>
      </c>
      <c r="K1158" s="640" t="n">
        <v>1</v>
      </c>
      <c r="L1158" s="640" t="n">
        <v>1</v>
      </c>
      <c r="M1158" s="623" t="inlineStr">
        <is>
          <t>Samsung 32" вертикальный</t>
        </is>
      </c>
      <c r="N1158" s="640" t="n"/>
      <c r="O1158" s="640">
        <f>IF(AND(N1158=1,L1158=1),K1158,"")</f>
        <v/>
      </c>
      <c r="P1158" s="642" t="inlineStr">
        <is>
          <t xml:space="preserve">Орел, ул. Ливенская, д.39 </t>
        </is>
      </c>
      <c r="Q1158" s="640" t="inlineStr">
        <is>
          <t>52.949376</t>
        </is>
      </c>
      <c r="R1158" s="494" t="inlineStr">
        <is>
          <t>36.114992</t>
        </is>
      </c>
      <c r="S1158" s="436" t="n"/>
      <c r="T1158" s="436" t="n"/>
      <c r="U1158" s="436" t="n"/>
      <c r="V1158" s="438">
        <f>IF(AND(N1158=1,U1158=1),C1158,"")</f>
        <v/>
      </c>
      <c r="W1158" s="387" t="n"/>
      <c r="X1158" s="387" t="n"/>
      <c r="Y1158" s="387" t="n"/>
    </row>
    <row r="1159" hidden="1" ht="16.05" customFormat="1" customHeight="1" s="126">
      <c r="A1159" s="125" t="n">
        <v>1601</v>
      </c>
      <c r="B1159" s="125" t="n"/>
      <c r="C1159" s="130" t="inlineStr">
        <is>
          <t>Орел</t>
        </is>
      </c>
      <c r="D1159" s="130" t="inlineStr">
        <is>
          <t>Орловская область</t>
        </is>
      </c>
      <c r="E1159" s="130" t="n"/>
      <c r="F1159" s="130" t="inlineStr">
        <is>
          <t>АЗС</t>
        </is>
      </c>
      <c r="G1159" s="130" t="inlineStr">
        <is>
          <t>Роснефть</t>
        </is>
      </c>
      <c r="H1159" s="131" t="n">
        <v>6</v>
      </c>
      <c r="I1159" s="637" t="inlineStr">
        <is>
          <t>RN_6</t>
        </is>
      </c>
      <c r="J1159" s="637" t="inlineStr">
        <is>
          <t>ORL_RN_0006</t>
        </is>
      </c>
      <c r="K1159" s="640" t="n">
        <v>1</v>
      </c>
      <c r="L1159" s="640" t="n">
        <v>1</v>
      </c>
      <c r="M1159" s="623" t="inlineStr">
        <is>
          <t>Samsung 32" вертикальный</t>
        </is>
      </c>
      <c r="N1159" s="640" t="n"/>
      <c r="O1159" s="640">
        <f>IF(AND(N1159=1,L1159=1),K1159,"")</f>
        <v/>
      </c>
      <c r="P1159" s="642" t="inlineStr">
        <is>
          <t>Орловская область, Орловский район, с/п Неполодское, с. Плещеево, ул. Центральная, д.1а</t>
        </is>
      </c>
      <c r="Q1159" s="640" t="inlineStr">
        <is>
          <t>53.021967</t>
        </is>
      </c>
      <c r="R1159" s="494" t="inlineStr">
        <is>
          <t>36.0691</t>
        </is>
      </c>
      <c r="S1159" s="436" t="n"/>
      <c r="T1159" s="436" t="n"/>
      <c r="U1159" s="436" t="n"/>
      <c r="V1159" s="438">
        <f>IF(AND(N1159=1,U1159=1),C1159,"")</f>
        <v/>
      </c>
      <c r="W1159" s="387" t="n"/>
      <c r="X1159" s="387" t="n"/>
      <c r="Y1159" s="387" t="n"/>
    </row>
    <row r="1160" hidden="1" ht="16.05" customFormat="1" customHeight="1" s="126">
      <c r="A1160" s="125" t="n">
        <v>1602</v>
      </c>
      <c r="B1160" s="125" t="n"/>
      <c r="C1160" s="130" t="inlineStr">
        <is>
          <t>Орел</t>
        </is>
      </c>
      <c r="D1160" s="130" t="inlineStr">
        <is>
          <t>Орел</t>
        </is>
      </c>
      <c r="E1160" s="130" t="n"/>
      <c r="F1160" s="130" t="inlineStr">
        <is>
          <t>АЗС</t>
        </is>
      </c>
      <c r="G1160" s="130" t="inlineStr">
        <is>
          <t>Роснефть</t>
        </is>
      </c>
      <c r="H1160" s="131" t="n">
        <v>7</v>
      </c>
      <c r="I1160" s="637" t="inlineStr">
        <is>
          <t>RN_7</t>
        </is>
      </c>
      <c r="J1160" s="637" t="inlineStr">
        <is>
          <t>ORL_RN_0007</t>
        </is>
      </c>
      <c r="K1160" s="640" t="n">
        <v>1</v>
      </c>
      <c r="L1160" s="640" t="n">
        <v>1</v>
      </c>
      <c r="M1160" s="623" t="inlineStr">
        <is>
          <t>Samsung 32" вертикальный</t>
        </is>
      </c>
      <c r="N1160" s="640" t="n"/>
      <c r="O1160" s="640">
        <f>IF(AND(N1160=1,L1160=1),K1160,"")</f>
        <v/>
      </c>
      <c r="P1160" s="642" t="inlineStr">
        <is>
          <t>Орел, Карачевское шоссе (дальняя) (Орел, Карачевское шоссе, 75А)</t>
        </is>
      </c>
      <c r="Q1160" s="640" t="inlineStr">
        <is>
          <t>52.948005</t>
        </is>
      </c>
      <c r="R1160" s="494" t="inlineStr">
        <is>
          <t>36.010231</t>
        </is>
      </c>
      <c r="S1160" s="436" t="n"/>
      <c r="T1160" s="436" t="n"/>
      <c r="U1160" s="436" t="n"/>
      <c r="V1160" s="438">
        <f>IF(AND(N1160=1,U1160=1),C1160,"")</f>
        <v/>
      </c>
      <c r="W1160" s="387" t="n"/>
      <c r="X1160" s="387" t="n"/>
      <c r="Y1160" s="387" t="n"/>
    </row>
    <row r="1161" hidden="1" ht="16.05" customFormat="1" customHeight="1" s="126">
      <c r="A1161" s="125" t="n">
        <v>1603</v>
      </c>
      <c r="B1161" s="125" t="n"/>
      <c r="C1161" s="130" t="inlineStr">
        <is>
          <t>Орел</t>
        </is>
      </c>
      <c r="D1161" s="130" t="inlineStr">
        <is>
          <t>Орел</t>
        </is>
      </c>
      <c r="E1161" s="130" t="n"/>
      <c r="F1161" s="130" t="inlineStr">
        <is>
          <t>АЗС</t>
        </is>
      </c>
      <c r="G1161" s="130" t="inlineStr">
        <is>
          <t>Роснефть</t>
        </is>
      </c>
      <c r="H1161" s="131" t="n">
        <v>35</v>
      </c>
      <c r="I1161" s="637" t="inlineStr">
        <is>
          <t>RN_35</t>
        </is>
      </c>
      <c r="J1161" s="637" t="inlineStr">
        <is>
          <t>ORL_RN_0035</t>
        </is>
      </c>
      <c r="K1161" s="640" t="n">
        <v>1</v>
      </c>
      <c r="L1161" s="640" t="n">
        <v>1</v>
      </c>
      <c r="M1161" s="623" t="inlineStr">
        <is>
          <t>Samsung 32" вертикальный</t>
        </is>
      </c>
      <c r="N1161" s="640" t="n"/>
      <c r="O1161" s="640">
        <f>IF(AND(N1161=1,L1161=1),K1161,"")</f>
        <v/>
      </c>
      <c r="P1161" s="642" t="inlineStr">
        <is>
          <t>Орел, ул. Полесская, д.36</t>
        </is>
      </c>
      <c r="Q1161" s="640" t="inlineStr">
        <is>
          <t>52.980025</t>
        </is>
      </c>
      <c r="R1161" s="494" t="inlineStr">
        <is>
          <t>36.041211</t>
        </is>
      </c>
      <c r="S1161" s="436" t="n"/>
      <c r="T1161" s="436" t="n"/>
      <c r="U1161" s="436" t="n"/>
      <c r="V1161" s="438">
        <f>IF(AND(N1161=1,U1161=1),C1161,"")</f>
        <v/>
      </c>
      <c r="W1161" s="387" t="n"/>
      <c r="X1161" s="387" t="n"/>
      <c r="Y1161" s="387" t="n"/>
    </row>
    <row r="1162" hidden="1" ht="16.05" customFormat="1" customHeight="1" s="126">
      <c r="A1162" s="125" t="n">
        <v>1604</v>
      </c>
      <c r="B1162" s="125" t="n"/>
      <c r="C1162" s="130" t="inlineStr">
        <is>
          <t>Орел</t>
        </is>
      </c>
      <c r="D1162" s="130" t="inlineStr">
        <is>
          <t>Орел</t>
        </is>
      </c>
      <c r="E1162" s="130" t="n"/>
      <c r="F1162" s="130" t="inlineStr">
        <is>
          <t>АЗС</t>
        </is>
      </c>
      <c r="G1162" s="130" t="inlineStr">
        <is>
          <t>Роснефть</t>
        </is>
      </c>
      <c r="H1162" s="131" t="n">
        <v>53</v>
      </c>
      <c r="I1162" s="637" t="inlineStr">
        <is>
          <t>RN_53</t>
        </is>
      </c>
      <c r="J1162" s="637" t="inlineStr">
        <is>
          <t>ORL_RN_0053</t>
        </is>
      </c>
      <c r="K1162" s="640" t="n">
        <v>1</v>
      </c>
      <c r="L1162" s="640" t="n">
        <v>1</v>
      </c>
      <c r="M1162" s="623" t="inlineStr">
        <is>
          <t>Samsung 32" вертикальный</t>
        </is>
      </c>
      <c r="N1162" s="640" t="n"/>
      <c r="O1162" s="640">
        <f>IF(AND(N1162=1,L1162=1),K1162,"")</f>
        <v/>
      </c>
      <c r="P1162" s="642" t="inlineStr">
        <is>
          <t xml:space="preserve">Орел, Московское шоссе, д. 124 </t>
        </is>
      </c>
      <c r="Q1162" s="640" t="inlineStr">
        <is>
          <t>53.001016</t>
        </is>
      </c>
      <c r="R1162" s="494" t="inlineStr">
        <is>
          <t>36.139881</t>
        </is>
      </c>
      <c r="S1162" s="436" t="n"/>
      <c r="T1162" s="436" t="n"/>
      <c r="U1162" s="436" t="n"/>
      <c r="V1162" s="438">
        <f>IF(AND(N1162=1,U1162=1),C1162,"")</f>
        <v/>
      </c>
      <c r="W1162" s="387" t="n"/>
      <c r="X1162" s="387" t="n"/>
      <c r="Y1162" s="387" t="n"/>
    </row>
    <row r="1163" hidden="1" ht="16.05" customFormat="1" customHeight="1" s="126">
      <c r="A1163" s="125" t="n">
        <v>1605</v>
      </c>
      <c r="B1163" s="125" t="n"/>
      <c r="C1163" s="130" t="inlineStr">
        <is>
          <t>Орел</t>
        </is>
      </c>
      <c r="D1163" s="130" t="inlineStr">
        <is>
          <t>Орел</t>
        </is>
      </c>
      <c r="E1163" s="130" t="n"/>
      <c r="F1163" s="130" t="inlineStr">
        <is>
          <t>АЗС</t>
        </is>
      </c>
      <c r="G1163" s="130" t="inlineStr">
        <is>
          <t>Роснефть</t>
        </is>
      </c>
      <c r="H1163" s="131" t="n">
        <v>66</v>
      </c>
      <c r="I1163" s="637" t="inlineStr">
        <is>
          <t>RN_66</t>
        </is>
      </c>
      <c r="J1163" s="637" t="inlineStr">
        <is>
          <t>ORL_RN_0066</t>
        </is>
      </c>
      <c r="K1163" s="640" t="n">
        <v>1</v>
      </c>
      <c r="L1163" s="640" t="n">
        <v>1</v>
      </c>
      <c r="M1163" s="623" t="inlineStr">
        <is>
          <t>Samsung 32" вертикальный</t>
        </is>
      </c>
      <c r="N1163" s="640" t="n"/>
      <c r="O1163" s="640">
        <f>IF(AND(N1163=1,L1163=1),K1163,"")</f>
        <v/>
      </c>
      <c r="P1163" s="642" t="inlineStr">
        <is>
          <t>Орел, ул. Городская, д.84б</t>
        </is>
      </c>
      <c r="Q1163" s="640" t="inlineStr">
        <is>
          <t>52.941647</t>
        </is>
      </c>
      <c r="R1163" s="494" t="inlineStr">
        <is>
          <t>36.070182</t>
        </is>
      </c>
      <c r="S1163" s="436" t="n"/>
      <c r="T1163" s="436" t="n"/>
      <c r="U1163" s="436" t="n"/>
      <c r="V1163" s="438">
        <f>IF(AND(N1163=1,U1163=1),C1163,"")</f>
        <v/>
      </c>
      <c r="W1163" s="387" t="n"/>
      <c r="X1163" s="387" t="n"/>
      <c r="Y1163" s="387" t="n"/>
    </row>
    <row r="1164" hidden="1" ht="16.05" customFormat="1" customHeight="1" s="126">
      <c r="A1164" s="125" t="n">
        <v>1606</v>
      </c>
      <c r="B1164" s="125" t="n"/>
      <c r="C1164" s="130" t="inlineStr">
        <is>
          <t>Орел</t>
        </is>
      </c>
      <c r="D1164" s="130" t="inlineStr">
        <is>
          <t>Орел</t>
        </is>
      </c>
      <c r="E1164" s="130" t="n"/>
      <c r="F1164" s="130" t="inlineStr">
        <is>
          <t>АЗС</t>
        </is>
      </c>
      <c r="G1164" s="130" t="inlineStr">
        <is>
          <t>Роснефть</t>
        </is>
      </c>
      <c r="H1164" s="131" t="n">
        <v>74</v>
      </c>
      <c r="I1164" s="637" t="inlineStr">
        <is>
          <t>RN_74</t>
        </is>
      </c>
      <c r="J1164" s="637" t="inlineStr">
        <is>
          <t>ORL_RN_0074</t>
        </is>
      </c>
      <c r="K1164" s="640" t="n">
        <v>1</v>
      </c>
      <c r="L1164" s="640" t="n">
        <v>1</v>
      </c>
      <c r="M1164" s="623" t="inlineStr">
        <is>
          <t>Samsung 32" вертикальный</t>
        </is>
      </c>
      <c r="N1164" s="640" t="n"/>
      <c r="O1164" s="640">
        <f>IF(AND(N1164=1,L1164=1),K1164,"")</f>
        <v/>
      </c>
      <c r="P1164" s="642" t="inlineStr">
        <is>
          <t>Орел, ул. Михалицина (район Мясокомбината)  (Орел, улица Михалицына, 74)</t>
        </is>
      </c>
      <c r="Q1164" s="640" t="inlineStr">
        <is>
          <t>53.000423</t>
        </is>
      </c>
      <c r="R1164" s="494" t="inlineStr">
        <is>
          <t>36.105304</t>
        </is>
      </c>
      <c r="S1164" s="436" t="n"/>
      <c r="T1164" s="436" t="n"/>
      <c r="U1164" s="436" t="n"/>
      <c r="V1164" s="438">
        <f>IF(AND(N1164=1,U1164=1),C1164,"")</f>
        <v/>
      </c>
      <c r="W1164" s="387" t="n"/>
      <c r="X1164" s="387" t="n"/>
      <c r="Y1164" s="387" t="n"/>
    </row>
    <row r="1165" hidden="1" ht="16.05" customFormat="1" customHeight="1" s="126">
      <c r="A1165" s="125" t="n">
        <v>1607</v>
      </c>
      <c r="B1165" s="125" t="n"/>
      <c r="C1165" s="130" t="inlineStr">
        <is>
          <t>Орел</t>
        </is>
      </c>
      <c r="D1165" s="130" t="inlineStr">
        <is>
          <t>Орел</t>
        </is>
      </c>
      <c r="E1165" s="130" t="n"/>
      <c r="F1165" s="130" t="inlineStr">
        <is>
          <t>АЗС</t>
        </is>
      </c>
      <c r="G1165" s="130" t="inlineStr">
        <is>
          <t>Роснефть</t>
        </is>
      </c>
      <c r="H1165" s="131" t="n">
        <v>202</v>
      </c>
      <c r="I1165" s="637" t="inlineStr">
        <is>
          <t>TNK_202</t>
        </is>
      </c>
      <c r="J1165" s="637" t="inlineStr">
        <is>
          <t>ORL_TNK_0202</t>
        </is>
      </c>
      <c r="K1165" s="640" t="n">
        <v>1</v>
      </c>
      <c r="L1165" s="640" t="n">
        <v>1</v>
      </c>
      <c r="M1165" s="623" t="inlineStr">
        <is>
          <t>Samsung 32" вертикальный</t>
        </is>
      </c>
      <c r="N1165" s="640" t="n"/>
      <c r="O1165" s="640">
        <f>IF(AND(N1165=1,L1165=1),K1165,"")</f>
        <v/>
      </c>
      <c r="P1165" s="642" t="inlineStr">
        <is>
          <t>Орел, ул. Автогрейдерная, д. 1а, лит.А</t>
        </is>
      </c>
      <c r="Q1165" s="640" t="inlineStr">
        <is>
          <t>52.924301</t>
        </is>
      </c>
      <c r="R1165" s="494" t="inlineStr">
        <is>
          <t>36.022475</t>
        </is>
      </c>
      <c r="S1165" s="436" t="n"/>
      <c r="T1165" s="436" t="n"/>
      <c r="U1165" s="436" t="n"/>
      <c r="V1165" s="438">
        <f>IF(AND(N1165=1,U1165=1),C1165,"")</f>
        <v/>
      </c>
      <c r="W1165" s="387" t="n"/>
      <c r="X1165" s="387" t="n"/>
      <c r="Y1165" s="387" t="n"/>
    </row>
    <row r="1166" hidden="1" ht="16.05" customFormat="1" customHeight="1" s="126">
      <c r="A1166" s="125" t="n">
        <v>1608</v>
      </c>
      <c r="B1166" s="125" t="n"/>
      <c r="C1166" s="130" t="inlineStr">
        <is>
          <t>Орел</t>
        </is>
      </c>
      <c r="D1166" s="130" t="inlineStr">
        <is>
          <t>Орел</t>
        </is>
      </c>
      <c r="E1166" s="130" t="n"/>
      <c r="F1166" s="130" t="inlineStr">
        <is>
          <t>АЗС</t>
        </is>
      </c>
      <c r="G1166" s="130" t="inlineStr">
        <is>
          <t>Роснефть</t>
        </is>
      </c>
      <c r="H1166" s="131" t="n">
        <v>203</v>
      </c>
      <c r="I1166" s="637" t="inlineStr">
        <is>
          <t>TNK_203</t>
        </is>
      </c>
      <c r="J1166" s="637" t="inlineStr">
        <is>
          <t>ORL_TNK_0203</t>
        </is>
      </c>
      <c r="K1166" s="640" t="n">
        <v>1</v>
      </c>
      <c r="L1166" s="640" t="n">
        <v>1</v>
      </c>
      <c r="M1166" s="623" t="inlineStr">
        <is>
          <t>Samsung 32" вертикальный</t>
        </is>
      </c>
      <c r="N1166" s="640" t="n"/>
      <c r="O1166" s="640">
        <f>IF(AND(N1166=1,L1166=1),K1166,"")</f>
        <v/>
      </c>
      <c r="P1166" s="642" t="inlineStr">
        <is>
          <t>Орел, ул. Авиационная, 5б</t>
        </is>
      </c>
      <c r="Q1166" s="640" t="inlineStr">
        <is>
          <t>52.937927</t>
        </is>
      </c>
      <c r="R1166" s="494" t="inlineStr">
        <is>
          <t>36.033278</t>
        </is>
      </c>
      <c r="S1166" s="436" t="n"/>
      <c r="T1166" s="436" t="n"/>
      <c r="U1166" s="436" t="n"/>
      <c r="V1166" s="438">
        <f>IF(AND(N1166=1,U1166=1),C1166,"")</f>
        <v/>
      </c>
      <c r="W1166" s="387" t="n"/>
      <c r="X1166" s="387" t="n"/>
      <c r="Y1166" s="387" t="n"/>
    </row>
    <row r="1167" hidden="1" ht="16.05" customFormat="1" customHeight="1" s="126">
      <c r="A1167" s="125" t="n">
        <v>1609</v>
      </c>
      <c r="B1167" s="125" t="n"/>
      <c r="C1167" s="130" t="inlineStr">
        <is>
          <t>Орел</t>
        </is>
      </c>
      <c r="D1167" s="130" t="inlineStr">
        <is>
          <t>Орел</t>
        </is>
      </c>
      <c r="E1167" s="130" t="n"/>
      <c r="F1167" s="130" t="inlineStr">
        <is>
          <t>АЗС</t>
        </is>
      </c>
      <c r="G1167" s="130" t="inlineStr">
        <is>
          <t>Роснефть</t>
        </is>
      </c>
      <c r="H1167" s="131" t="n">
        <v>204</v>
      </c>
      <c r="I1167" s="637" t="inlineStr">
        <is>
          <t>TNK_204</t>
        </is>
      </c>
      <c r="J1167" s="637" t="inlineStr">
        <is>
          <t>ORL_TNK_0204</t>
        </is>
      </c>
      <c r="K1167" s="640" t="n">
        <v>1</v>
      </c>
      <c r="L1167" s="640" t="n">
        <v>1</v>
      </c>
      <c r="M1167" s="623" t="inlineStr">
        <is>
          <t>Samsung 32" вертикальный</t>
        </is>
      </c>
      <c r="N1167" s="640" t="n"/>
      <c r="O1167" s="640">
        <f>IF(AND(N1167=1,L1167=1),K1167,"")</f>
        <v/>
      </c>
      <c r="P1167" s="642" t="inlineStr">
        <is>
          <t>Орел, ул. Лескова, д.17б</t>
        </is>
      </c>
      <c r="Q1167" s="640" t="inlineStr">
        <is>
          <t>52.980766</t>
        </is>
      </c>
      <c r="R1167" s="494" t="inlineStr">
        <is>
          <t>36.057702</t>
        </is>
      </c>
      <c r="S1167" s="436" t="n"/>
      <c r="T1167" s="436" t="n"/>
      <c r="U1167" s="436" t="n"/>
      <c r="V1167" s="438">
        <f>IF(AND(N1167=1,U1167=1),C1167,"")</f>
        <v/>
      </c>
      <c r="W1167" s="387" t="n"/>
      <c r="X1167" s="387" t="n"/>
      <c r="Y1167" s="387" t="n"/>
    </row>
    <row r="1168" hidden="1" ht="16.05" customFormat="1" customHeight="1" s="126">
      <c r="A1168" s="125" t="n">
        <v>1610</v>
      </c>
      <c r="B1168" s="125" t="n"/>
      <c r="C1168" s="130" t="inlineStr">
        <is>
          <t>Орел</t>
        </is>
      </c>
      <c r="D1168" s="130" t="inlineStr">
        <is>
          <t>Орел</t>
        </is>
      </c>
      <c r="E1168" s="130" t="n"/>
      <c r="F1168" s="130" t="inlineStr">
        <is>
          <t>АЗС</t>
        </is>
      </c>
      <c r="G1168" s="130" t="inlineStr">
        <is>
          <t>Роснефть</t>
        </is>
      </c>
      <c r="H1168" s="131" t="n">
        <v>207</v>
      </c>
      <c r="I1168" s="637" t="inlineStr">
        <is>
          <t>TNK_207</t>
        </is>
      </c>
      <c r="J1168" s="637" t="inlineStr">
        <is>
          <t>ORL_TNK_0207</t>
        </is>
      </c>
      <c r="K1168" s="640" t="n">
        <v>1</v>
      </c>
      <c r="L1168" s="640" t="n">
        <v>1</v>
      </c>
      <c r="M1168" s="623" t="inlineStr">
        <is>
          <t>Samsung 32" вертикальный</t>
        </is>
      </c>
      <c r="N1168" s="640" t="n"/>
      <c r="O1168" s="640">
        <f>IF(AND(N1168=1,L1168=1),K1168,"")</f>
        <v/>
      </c>
      <c r="P1168" s="642" t="inlineStr">
        <is>
          <t>Орел, ул. Ливенская, АЗС (Орел, ул. Ливенская, 7)</t>
        </is>
      </c>
      <c r="Q1168" s="640" t="inlineStr">
        <is>
          <t>52.957305</t>
        </is>
      </c>
      <c r="R1168" s="494" t="inlineStr">
        <is>
          <t>36.100924</t>
        </is>
      </c>
      <c r="S1168" s="436" t="n"/>
      <c r="T1168" s="436" t="n"/>
      <c r="U1168" s="436" t="n"/>
      <c r="V1168" s="438">
        <f>IF(AND(N1168=1,U1168=1),C1168,"")</f>
        <v/>
      </c>
      <c r="W1168" s="387" t="n"/>
      <c r="X1168" s="387" t="n"/>
      <c r="Y1168" s="387" t="n"/>
    </row>
    <row r="1169" hidden="1" ht="16.05" customFormat="1" customHeight="1" s="126">
      <c r="A1169" s="125" t="n">
        <v>1678</v>
      </c>
      <c r="B1169" s="125" t="n"/>
      <c r="C1169" s="130" t="inlineStr">
        <is>
          <t>Брянск</t>
        </is>
      </c>
      <c r="D1169" s="130" t="inlineStr">
        <is>
          <t>Брянск</t>
        </is>
      </c>
      <c r="E1169" s="130" t="n"/>
      <c r="F1169" s="130" t="inlineStr">
        <is>
          <t>АЗС</t>
        </is>
      </c>
      <c r="G1169" s="130" t="inlineStr">
        <is>
          <t>Роснефть</t>
        </is>
      </c>
      <c r="H1169" s="131" t="n">
        <v>1</v>
      </c>
      <c r="I1169" s="637" t="inlineStr">
        <is>
          <t>RN_1</t>
        </is>
      </c>
      <c r="J1169" s="637" t="inlineStr">
        <is>
          <t>BRN_RN_0001</t>
        </is>
      </c>
      <c r="K1169" s="640" t="n">
        <v>1</v>
      </c>
      <c r="L1169" s="640" t="n">
        <v>1</v>
      </c>
      <c r="M1169" s="623" t="inlineStr">
        <is>
          <t>Samsung 32" вертикальный</t>
        </is>
      </c>
      <c r="N1169" s="640" t="n"/>
      <c r="O1169" s="640">
        <f>IF(AND(N1169=1,L1169=1),K1169,"")</f>
        <v/>
      </c>
      <c r="P1169" s="642" t="inlineStr">
        <is>
          <t>Брянск ул,Объездная,8</t>
        </is>
      </c>
      <c r="Q1169" s="640" t="inlineStr">
        <is>
          <t>53.277096</t>
        </is>
      </c>
      <c r="R1169" s="494" t="inlineStr">
        <is>
          <t>34.313416</t>
        </is>
      </c>
      <c r="S1169" s="436" t="n"/>
      <c r="T1169" s="436" t="n"/>
      <c r="U1169" s="436" t="n"/>
      <c r="V1169" s="438">
        <f>IF(AND(N1169=1,U1169=1),C1169,"")</f>
        <v/>
      </c>
      <c r="W1169" s="387" t="n"/>
      <c r="X1169" s="387" t="n"/>
      <c r="Y1169" s="387" t="n"/>
    </row>
    <row r="1170" hidden="1" ht="16.05" customFormat="1" customHeight="1" s="126">
      <c r="A1170" s="125" t="n">
        <v>1679</v>
      </c>
      <c r="B1170" s="125" t="n"/>
      <c r="C1170" s="130" t="inlineStr">
        <is>
          <t>Брянск</t>
        </is>
      </c>
      <c r="D1170" s="130" t="inlineStr">
        <is>
          <t>Брянск</t>
        </is>
      </c>
      <c r="E1170" s="130" t="n"/>
      <c r="F1170" s="130" t="inlineStr">
        <is>
          <t>АЗС</t>
        </is>
      </c>
      <c r="G1170" s="130" t="inlineStr">
        <is>
          <t>Роснефть</t>
        </is>
      </c>
      <c r="H1170" s="131" t="n">
        <v>3</v>
      </c>
      <c r="I1170" s="637" t="inlineStr">
        <is>
          <t>RN_3</t>
        </is>
      </c>
      <c r="J1170" s="637" t="inlineStr">
        <is>
          <t>BRN_RN_0003</t>
        </is>
      </c>
      <c r="K1170" s="640" t="n">
        <v>1</v>
      </c>
      <c r="L1170" s="640" t="n">
        <v>1</v>
      </c>
      <c r="M1170" s="623" t="inlineStr">
        <is>
          <t>Samsung 32" вертикальный</t>
        </is>
      </c>
      <c r="N1170" s="640" t="n"/>
      <c r="O1170" s="640">
        <f>IF(AND(N1170=1,L1170=1),K1170,"")</f>
        <v/>
      </c>
      <c r="P1170" s="642" t="inlineStr">
        <is>
          <t xml:space="preserve">Брянск, 365 км а\д  "Москва- Киев" </t>
        </is>
      </c>
      <c r="Q1170" s="640" t="inlineStr">
        <is>
          <t>53.194452</t>
        </is>
      </c>
      <c r="R1170" s="422" t="inlineStr">
        <is>
          <t>34.605941</t>
        </is>
      </c>
      <c r="S1170" s="436" t="n"/>
      <c r="T1170" s="436" t="n"/>
      <c r="U1170" s="436" t="n"/>
      <c r="V1170" s="438">
        <f>IF(AND(N1170=1,U1170=1),C1170,"")</f>
        <v/>
      </c>
      <c r="W1170" s="387" t="n"/>
      <c r="X1170" s="387" t="n"/>
      <c r="Y1170" s="387" t="n"/>
    </row>
    <row r="1171" hidden="1" ht="16.05" customHeight="1">
      <c r="A1171" s="791" t="n">
        <v>1611</v>
      </c>
      <c r="B1171" s="13">
        <f>IF(OR(M1171="Sam 32",M1171="Sam 40"),"s",IF(M1171="AMS","a","v"))</f>
        <v/>
      </c>
      <c r="C1171" s="130" t="inlineStr">
        <is>
          <t>Москва</t>
        </is>
      </c>
      <c r="D1171" s="130" t="inlineStr">
        <is>
          <t>Москва</t>
        </is>
      </c>
      <c r="E1171" s="130" t="inlineStr">
        <is>
          <t>ЦАО</t>
        </is>
      </c>
      <c r="F1171" s="130" t="n"/>
      <c r="G1171" s="130" t="inlineStr">
        <is>
          <t>WorldClass</t>
        </is>
      </c>
      <c r="H1171" s="131" t="inlineStr">
        <is>
          <t>LUXURY</t>
        </is>
      </c>
      <c r="I1171" s="637" t="inlineStr">
        <is>
          <t>Романов (LUXURY)</t>
        </is>
      </c>
      <c r="J1171" s="637" t="n"/>
      <c r="K1171" s="640" t="n">
        <v>1</v>
      </c>
      <c r="L1171" s="640" t="n">
        <v>0</v>
      </c>
      <c r="M1171" s="640" t="inlineStr">
        <is>
          <t>Sam 40</t>
        </is>
      </c>
      <c r="N1171" s="640" t="n"/>
      <c r="O1171" s="640">
        <f>IF(AND(N1171=1,L1171=1),K1171,"")</f>
        <v/>
      </c>
      <c r="P1171" s="642" t="inlineStr">
        <is>
          <t>Москва, Романов пер., д. 4, стр. 2 (зона ресепшен)</t>
        </is>
      </c>
      <c r="Q1171" s="640" t="n"/>
      <c r="R1171" s="422" t="n"/>
      <c r="S1171" s="436" t="n"/>
      <c r="T1171" s="436" t="n"/>
      <c r="U1171" s="436" t="n"/>
      <c r="V1171" s="438" t="n"/>
      <c r="X1171" s="1" t="n"/>
      <c r="Y1171" s="1" t="n"/>
      <c r="Z1171" s="1" t="n"/>
    </row>
    <row r="1172" hidden="1" ht="16.05" customHeight="1">
      <c r="A1172" s="791" t="n">
        <v>1612</v>
      </c>
      <c r="B1172" s="13">
        <f>IF(OR(M1172="Sam 32",M1172="Sam 40"),"s",IF(M1172="AMS","a","v"))</f>
        <v/>
      </c>
      <c r="C1172" s="130" t="inlineStr">
        <is>
          <t>Москва</t>
        </is>
      </c>
      <c r="D1172" s="130" t="inlineStr">
        <is>
          <t>Москва</t>
        </is>
      </c>
      <c r="E1172" s="130" t="inlineStr">
        <is>
          <t>ЦАО</t>
        </is>
      </c>
      <c r="F1172" s="130" t="n"/>
      <c r="G1172" s="130" t="inlineStr">
        <is>
          <t>WorldClass</t>
        </is>
      </c>
      <c r="H1172" s="131" t="inlineStr">
        <is>
          <t>LUXURY</t>
        </is>
      </c>
      <c r="I1172" s="637" t="inlineStr">
        <is>
          <t>Романов (LUXURY)</t>
        </is>
      </c>
      <c r="J1172" s="637" t="n"/>
      <c r="K1172" s="640" t="n">
        <v>1</v>
      </c>
      <c r="L1172" s="640" t="n">
        <v>0</v>
      </c>
      <c r="M1172" s="640" t="inlineStr">
        <is>
          <t>Sam 40</t>
        </is>
      </c>
      <c r="N1172" s="640" t="n"/>
      <c r="O1172" s="640">
        <f>IF(AND(N1172=1,L1172=1),K1172,"")</f>
        <v/>
      </c>
      <c r="P1172" s="642" t="inlineStr">
        <is>
          <t>Москва, Романов пер., д. 4, стр. 2 (зона отдыха и кафе)</t>
        </is>
      </c>
      <c r="Q1172" s="640" t="n"/>
      <c r="R1172" s="422" t="n"/>
      <c r="S1172" s="436" t="n"/>
      <c r="T1172" s="436" t="n"/>
      <c r="U1172" s="436" t="n"/>
      <c r="V1172" s="438" t="n"/>
      <c r="X1172" s="1" t="n"/>
      <c r="Y1172" s="1" t="n"/>
      <c r="Z1172" s="1" t="n"/>
    </row>
    <row r="1173" hidden="1" ht="16.05" customHeight="1">
      <c r="A1173" s="791" t="n">
        <v>1613</v>
      </c>
      <c r="B1173" s="13">
        <f>IF(OR(M1173="Sam 32",M1173="Sam 40"),"s",IF(M1173="AMS","a","v"))</f>
        <v/>
      </c>
      <c r="C1173" s="130" t="inlineStr">
        <is>
          <t>Москва</t>
        </is>
      </c>
      <c r="D1173" s="130" t="inlineStr">
        <is>
          <t>Москва</t>
        </is>
      </c>
      <c r="E1173" s="130" t="inlineStr">
        <is>
          <t>ЦАО</t>
        </is>
      </c>
      <c r="F1173" s="130" t="n"/>
      <c r="G1173" s="130" t="inlineStr">
        <is>
          <t>WorldClass</t>
        </is>
      </c>
      <c r="H1173" s="131" t="inlineStr">
        <is>
          <t>LUXURY</t>
        </is>
      </c>
      <c r="I1173" s="637" t="inlineStr">
        <is>
          <t>Романов (LUXURY)</t>
        </is>
      </c>
      <c r="J1173" s="637" t="n"/>
      <c r="K1173" s="640" t="n">
        <v>1</v>
      </c>
      <c r="L1173" s="640" t="n">
        <v>0</v>
      </c>
      <c r="M1173" s="640" t="inlineStr">
        <is>
          <t>Sam 40</t>
        </is>
      </c>
      <c r="N1173" s="640" t="n"/>
      <c r="O1173" s="640">
        <f>IF(AND(N1173=1,L1173=1),K1173,"")</f>
        <v/>
      </c>
      <c r="P1173" s="642" t="inlineStr">
        <is>
          <t>Москва, Романов пер., д. 4, стр. 2 (проход к раздевалкам, вело-студии, салону красоты)</t>
        </is>
      </c>
      <c r="Q1173" s="640" t="n"/>
      <c r="R1173" s="422" t="n"/>
      <c r="S1173" s="436" t="n"/>
      <c r="T1173" s="436" t="n"/>
      <c r="U1173" s="436" t="n"/>
      <c r="V1173" s="438" t="n"/>
      <c r="X1173" s="1" t="n"/>
      <c r="Y1173" s="1" t="n"/>
      <c r="Z1173" s="1" t="n"/>
    </row>
    <row r="1174" hidden="1" ht="16.05" customHeight="1">
      <c r="A1174" s="791" t="n">
        <v>1614</v>
      </c>
      <c r="B1174" s="13">
        <f>IF(OR(M1174="Sam 32",M1174="Sam 40"),"s",IF(M1174="AMS","a","v"))</f>
        <v/>
      </c>
      <c r="C1174" s="130" t="inlineStr">
        <is>
          <t>Москва</t>
        </is>
      </c>
      <c r="D1174" s="130" t="inlineStr">
        <is>
          <t>Москва</t>
        </is>
      </c>
      <c r="E1174" s="130" t="inlineStr">
        <is>
          <t>ЮЗАО</t>
        </is>
      </c>
      <c r="F1174" s="130" t="n"/>
      <c r="G1174" s="130" t="inlineStr">
        <is>
          <t>WorldClass</t>
        </is>
      </c>
      <c r="H1174" s="131" t="inlineStr">
        <is>
          <t>PREMIUM</t>
        </is>
      </c>
      <c r="I1174" s="637" t="inlineStr">
        <is>
          <t>Lady's (PREMIUM женский клуб)</t>
        </is>
      </c>
      <c r="J1174" s="637" t="n"/>
      <c r="K1174" s="640" t="n">
        <v>1</v>
      </c>
      <c r="L1174" s="640" t="n">
        <v>0</v>
      </c>
      <c r="M1174" s="640" t="inlineStr">
        <is>
          <t>Sam 40</t>
        </is>
      </c>
      <c r="N1174" s="640" t="n"/>
      <c r="O1174" s="640">
        <f>IF(AND(N1174=1,L1174=1),K1174,"")</f>
        <v/>
      </c>
      <c r="P1174" s="642" t="inlineStr">
        <is>
          <t>Москва, Профсоюзная ул., д. 31, стр. 5 (зона ресепшен)</t>
        </is>
      </c>
      <c r="Q1174" s="640" t="n"/>
      <c r="R1174" s="422" t="n"/>
      <c r="S1174" s="436" t="n"/>
      <c r="T1174" s="436" t="n"/>
      <c r="U1174" s="436" t="n"/>
      <c r="V1174" s="438" t="n"/>
      <c r="X1174" s="1" t="n"/>
      <c r="Y1174" s="1" t="n"/>
      <c r="Z1174" s="1" t="n"/>
    </row>
    <row r="1175" hidden="1" ht="16.05" customHeight="1">
      <c r="A1175" s="791" t="n">
        <v>1615</v>
      </c>
      <c r="B1175" s="13">
        <f>IF(OR(M1175="Sam 32",M1175="Sam 40"),"s",IF(M1175="AMS","a","v"))</f>
        <v/>
      </c>
      <c r="C1175" s="130" t="inlineStr">
        <is>
          <t>Москва</t>
        </is>
      </c>
      <c r="D1175" s="130" t="inlineStr">
        <is>
          <t>Москва</t>
        </is>
      </c>
      <c r="E1175" s="130" t="inlineStr">
        <is>
          <t>ЮЗАО</t>
        </is>
      </c>
      <c r="F1175" s="130" t="n"/>
      <c r="G1175" s="130" t="inlineStr">
        <is>
          <t>WorldClass</t>
        </is>
      </c>
      <c r="H1175" s="131" t="inlineStr">
        <is>
          <t>PREMIUM</t>
        </is>
      </c>
      <c r="I1175" s="637" t="inlineStr">
        <is>
          <t>Lady's (PREMIUM женский клуб)</t>
        </is>
      </c>
      <c r="J1175" s="637" t="n"/>
      <c r="K1175" s="640" t="n">
        <v>1</v>
      </c>
      <c r="L1175" s="640" t="n">
        <v>0</v>
      </c>
      <c r="M1175" s="640" t="inlineStr">
        <is>
          <t>Sam 40</t>
        </is>
      </c>
      <c r="N1175" s="640" t="n"/>
      <c r="O1175" s="640">
        <f>IF(AND(N1175=1,L1175=1),K1175,"")</f>
        <v/>
      </c>
      <c r="P1175" s="642" t="inlineStr">
        <is>
          <t>Москва, Профсоюзная ул., д. 31, стр. 5 (рядом с отделом продаж, проход к залу групповых программ, SPA-салону)</t>
        </is>
      </c>
      <c r="Q1175" s="640" t="n"/>
      <c r="R1175" s="422" t="n"/>
      <c r="S1175" s="436" t="n"/>
      <c r="T1175" s="436" t="n"/>
      <c r="U1175" s="436" t="n"/>
      <c r="V1175" s="438" t="n"/>
      <c r="X1175" s="1" t="n"/>
      <c r="Y1175" s="1" t="n"/>
      <c r="Z1175" s="1" t="n"/>
    </row>
    <row r="1176" hidden="1" ht="16.05" customHeight="1">
      <c r="A1176" s="791" t="n">
        <v>1616</v>
      </c>
      <c r="B1176" s="13">
        <f>IF(OR(M1176="Sam 32",M1176="Sam 40"),"s",IF(M1176="AMS","a","v"))</f>
        <v/>
      </c>
      <c r="C1176" s="130" t="inlineStr">
        <is>
          <t>Москва</t>
        </is>
      </c>
      <c r="D1176" s="130" t="inlineStr">
        <is>
          <t>Москва</t>
        </is>
      </c>
      <c r="E1176" s="130" t="inlineStr">
        <is>
          <t>СВАО</t>
        </is>
      </c>
      <c r="F1176" s="130" t="n"/>
      <c r="G1176" s="130" t="inlineStr">
        <is>
          <t>WorldClass</t>
        </is>
      </c>
      <c r="H1176" s="131" t="inlineStr">
        <is>
          <t>PREMIUM</t>
        </is>
      </c>
      <c r="I1176" s="637" t="inlineStr">
        <is>
          <t>Власова (PREMIUM)</t>
        </is>
      </c>
      <c r="J1176" s="637" t="n"/>
      <c r="K1176" s="640" t="n">
        <v>1</v>
      </c>
      <c r="L1176" s="640" t="n">
        <v>0</v>
      </c>
      <c r="M1176" s="640" t="inlineStr">
        <is>
          <t>Sam 40</t>
        </is>
      </c>
      <c r="N1176" s="640" t="n"/>
      <c r="O1176" s="640">
        <f>IF(AND(N1176=1,L1176=1),K1176,"")</f>
        <v/>
      </c>
      <c r="P1176" s="642" t="inlineStr">
        <is>
          <t>Москва, Архитектора Власова ул., д. 22 (входная зона, рядом с кафе)</t>
        </is>
      </c>
      <c r="Q1176" s="640" t="n"/>
      <c r="R1176" s="422" t="n"/>
      <c r="S1176" s="436" t="n"/>
      <c r="T1176" s="436" t="n"/>
      <c r="U1176" s="436" t="n"/>
      <c r="V1176" s="438" t="n"/>
      <c r="X1176" s="1" t="n"/>
      <c r="Y1176" s="1" t="n"/>
      <c r="Z1176" s="1" t="n"/>
    </row>
    <row r="1177" hidden="1" ht="16.05" customHeight="1">
      <c r="A1177" s="791" t="n">
        <v>1617</v>
      </c>
      <c r="B1177" s="13">
        <f>IF(OR(M1177="Sam 32",M1177="Sam 40"),"s",IF(M1177="AMS","a","v"))</f>
        <v/>
      </c>
      <c r="C1177" s="130" t="inlineStr">
        <is>
          <t>Москва</t>
        </is>
      </c>
      <c r="D1177" s="130" t="inlineStr">
        <is>
          <t>Москва</t>
        </is>
      </c>
      <c r="E1177" s="130" t="inlineStr">
        <is>
          <t>ЦАО</t>
        </is>
      </c>
      <c r="F1177" s="130" t="n"/>
      <c r="G1177" s="130" t="inlineStr">
        <is>
          <t>WorldClass</t>
        </is>
      </c>
      <c r="H1177" s="131" t="inlineStr">
        <is>
          <t>LUX</t>
        </is>
      </c>
      <c r="I1177" s="637" t="inlineStr">
        <is>
          <t>Город Столиц (LUX)</t>
        </is>
      </c>
      <c r="J1177" s="637" t="n"/>
      <c r="K1177" s="640" t="n">
        <v>1</v>
      </c>
      <c r="L1177" s="640" t="n">
        <v>0</v>
      </c>
      <c r="M1177" s="640" t="inlineStr">
        <is>
          <t>Sam 40</t>
        </is>
      </c>
      <c r="N1177" s="640" t="n"/>
      <c r="O1177" s="640">
        <f>IF(AND(N1177=1,L1177=1),K1177,"")</f>
        <v/>
      </c>
      <c r="P1177" s="642" t="inlineStr">
        <is>
          <t>Москва, Пресненская наб., д. 8, стр. 1 (зона ресепшен и кафе)</t>
        </is>
      </c>
      <c r="Q1177" s="640" t="n"/>
      <c r="R1177" s="422" t="n"/>
      <c r="S1177" s="436" t="n"/>
      <c r="T1177" s="436" t="n"/>
      <c r="U1177" s="436" t="n"/>
      <c r="V1177" s="438" t="n"/>
      <c r="X1177" s="1" t="n"/>
      <c r="Y1177" s="1" t="n"/>
      <c r="Z1177" s="1" t="n"/>
    </row>
    <row r="1178" hidden="1" ht="16.05" customHeight="1">
      <c r="A1178" s="791" t="n">
        <v>1618</v>
      </c>
      <c r="B1178" s="13">
        <f>IF(OR(M1178="Sam 32",M1178="Sam 40"),"s",IF(M1178="AMS","a","v"))</f>
        <v/>
      </c>
      <c r="C1178" s="130" t="inlineStr">
        <is>
          <t>Москва</t>
        </is>
      </c>
      <c r="D1178" s="130" t="inlineStr">
        <is>
          <t>Москва</t>
        </is>
      </c>
      <c r="E1178" s="130" t="inlineStr">
        <is>
          <t>ЦАО</t>
        </is>
      </c>
      <c r="F1178" s="130" t="n"/>
      <c r="G1178" s="130" t="inlineStr">
        <is>
          <t>WorldClass</t>
        </is>
      </c>
      <c r="H1178" s="131" t="inlineStr">
        <is>
          <t>LUX</t>
        </is>
      </c>
      <c r="I1178" s="637" t="inlineStr">
        <is>
          <t>Город Столиц (LUX)</t>
        </is>
      </c>
      <c r="J1178" s="637" t="n"/>
      <c r="K1178" s="640" t="n">
        <v>1</v>
      </c>
      <c r="L1178" s="640" t="n">
        <v>0</v>
      </c>
      <c r="M1178" s="640" t="inlineStr">
        <is>
          <t>Sam 40</t>
        </is>
      </c>
      <c r="N1178" s="640" t="n"/>
      <c r="O1178" s="640">
        <f>IF(AND(N1178=1,L1178=1),K1178,"")</f>
        <v/>
      </c>
      <c r="P1178" s="642" t="inlineStr">
        <is>
          <t>Москва, Пресненская наб., д. 8, стр. 1 (коридор, проход к раздевалкам, бассейну)</t>
        </is>
      </c>
      <c r="Q1178" s="640" t="n"/>
      <c r="R1178" s="422" t="n"/>
      <c r="S1178" s="436" t="n"/>
      <c r="T1178" s="436" t="n"/>
      <c r="U1178" s="436" t="n"/>
      <c r="V1178" s="438" t="n"/>
      <c r="X1178" s="1" t="n"/>
      <c r="Y1178" s="1" t="n"/>
      <c r="Z1178" s="1" t="n"/>
    </row>
    <row r="1179" hidden="1" ht="16.05" customHeight="1">
      <c r="A1179" s="791" t="n">
        <v>1619</v>
      </c>
      <c r="B1179" s="13">
        <f>IF(OR(M1179="Sam 32",M1179="Sam 40"),"s",IF(M1179="AMS","a","v"))</f>
        <v/>
      </c>
      <c r="C1179" s="130" t="inlineStr">
        <is>
          <t>Москва</t>
        </is>
      </c>
      <c r="D1179" s="130" t="inlineStr">
        <is>
          <t>Москва</t>
        </is>
      </c>
      <c r="E1179" s="130" t="inlineStr">
        <is>
          <t>ЦАО</t>
        </is>
      </c>
      <c r="F1179" s="130" t="n"/>
      <c r="G1179" s="130" t="inlineStr">
        <is>
          <t>WorldClass</t>
        </is>
      </c>
      <c r="H1179" s="131" t="inlineStr">
        <is>
          <t>LUX</t>
        </is>
      </c>
      <c r="I1179" s="637" t="inlineStr">
        <is>
          <t>Житная (LUX)</t>
        </is>
      </c>
      <c r="J1179" s="637" t="n"/>
      <c r="K1179" s="640" t="n">
        <v>1</v>
      </c>
      <c r="L1179" s="640" t="n">
        <v>0</v>
      </c>
      <c r="M1179" s="640" t="inlineStr">
        <is>
          <t>Sam 40</t>
        </is>
      </c>
      <c r="N1179" s="640" t="n"/>
      <c r="O1179" s="640">
        <f>IF(AND(N1179=1,L1179=1),K1179,"")</f>
        <v/>
      </c>
      <c r="P1179" s="642" t="inlineStr">
        <is>
          <t>Москва, Житная ул., д. 14, стр. 2 (рядом с отделом продаж, напротив ресепшн)</t>
        </is>
      </c>
      <c r="Q1179" s="640" t="n"/>
      <c r="R1179" s="422" t="n"/>
      <c r="S1179" s="436" t="n"/>
      <c r="T1179" s="436" t="n"/>
      <c r="U1179" s="436" t="n"/>
      <c r="V1179" s="438" t="n"/>
      <c r="X1179" s="1" t="n"/>
      <c r="Y1179" s="1" t="n"/>
      <c r="Z1179" s="1" t="n"/>
    </row>
    <row r="1180" hidden="1" ht="16.05" customHeight="1">
      <c r="A1180" s="791" t="n">
        <v>1620</v>
      </c>
      <c r="B1180" s="13">
        <f>IF(OR(M1180="Sam 32",M1180="Sam 40"),"s",IF(M1180="AMS","a","v"))</f>
        <v/>
      </c>
      <c r="C1180" s="130" t="inlineStr">
        <is>
          <t>Москва</t>
        </is>
      </c>
      <c r="D1180" s="130" t="inlineStr">
        <is>
          <t>Москва</t>
        </is>
      </c>
      <c r="E1180" s="130" t="inlineStr">
        <is>
          <t>ЦАО</t>
        </is>
      </c>
      <c r="F1180" s="130" t="n"/>
      <c r="G1180" s="130" t="inlineStr">
        <is>
          <t>WorldClass</t>
        </is>
      </c>
      <c r="H1180" s="131" t="inlineStr">
        <is>
          <t>LUX</t>
        </is>
      </c>
      <c r="I1180" s="637" t="inlineStr">
        <is>
          <t>Житная (LUX)</t>
        </is>
      </c>
      <c r="J1180" s="637" t="n"/>
      <c r="K1180" s="640" t="n">
        <v>1</v>
      </c>
      <c r="L1180" s="640" t="n">
        <v>0</v>
      </c>
      <c r="M1180" s="640" t="inlineStr">
        <is>
          <t>Sam 40</t>
        </is>
      </c>
      <c r="N1180" s="640" t="n"/>
      <c r="O1180" s="640">
        <f>IF(AND(N1180=1,L1180=1),K1180,"")</f>
        <v/>
      </c>
      <c r="P1180" s="642" t="inlineStr">
        <is>
          <t>Москва, Житная ул., д. 14, стр. 2 (зона отдыха на 2-м этаже, проход к бассейну)</t>
        </is>
      </c>
      <c r="Q1180" s="640" t="n"/>
      <c r="R1180" s="422" t="n"/>
      <c r="S1180" s="436" t="n"/>
      <c r="T1180" s="436" t="n"/>
      <c r="U1180" s="436" t="n"/>
      <c r="V1180" s="438" t="n"/>
      <c r="X1180" s="1" t="n"/>
      <c r="Y1180" s="1" t="n"/>
      <c r="Z1180" s="1" t="n"/>
    </row>
    <row r="1181" hidden="1" ht="16.05" customHeight="1">
      <c r="A1181" s="791" t="n">
        <v>1621</v>
      </c>
      <c r="B1181" s="13">
        <f>IF(OR(M1181="Sam 32",M1181="Sam 40"),"s",IF(M1181="AMS","a","v"))</f>
        <v/>
      </c>
      <c r="C1181" s="130" t="inlineStr">
        <is>
          <t>Москва</t>
        </is>
      </c>
      <c r="D1181" s="130" t="inlineStr">
        <is>
          <t>Москва</t>
        </is>
      </c>
      <c r="E1181" s="130" t="inlineStr">
        <is>
          <t>ЦАО</t>
        </is>
      </c>
      <c r="F1181" s="130" t="n"/>
      <c r="G1181" s="130" t="inlineStr">
        <is>
          <t>WorldClass</t>
        </is>
      </c>
      <c r="H1181" s="131" t="inlineStr">
        <is>
          <t>LUX</t>
        </is>
      </c>
      <c r="I1181" s="637" t="inlineStr">
        <is>
          <t>Земляной вал (LUX)</t>
        </is>
      </c>
      <c r="J1181" s="637" t="n"/>
      <c r="K1181" s="640" t="n">
        <v>1</v>
      </c>
      <c r="L1181" s="640" t="n">
        <v>0</v>
      </c>
      <c r="M1181" s="640" t="inlineStr">
        <is>
          <t>Sam 40</t>
        </is>
      </c>
      <c r="N1181" s="640" t="n"/>
      <c r="O1181" s="640">
        <f>IF(AND(N1181=1,L1181=1),K1181,"")</f>
        <v/>
      </c>
      <c r="P1181" s="642" t="inlineStr">
        <is>
          <t>Москва, Земляной Вал ул., д. 9 (зона ресепшен)</t>
        </is>
      </c>
      <c r="Q1181" s="640" t="n"/>
      <c r="R1181" s="422" t="n"/>
      <c r="S1181" s="436" t="n"/>
      <c r="T1181" s="436" t="n"/>
      <c r="U1181" s="436" t="n"/>
      <c r="V1181" s="438" t="n"/>
      <c r="X1181" s="1" t="n"/>
      <c r="Y1181" s="1" t="n"/>
      <c r="Z1181" s="1" t="n"/>
    </row>
    <row r="1182" hidden="1" ht="16.05" customHeight="1">
      <c r="A1182" s="791" t="n">
        <v>1622</v>
      </c>
      <c r="B1182" s="13">
        <f>IF(OR(M1182="Sam 32",M1182="Sam 40"),"s",IF(M1182="AMS","a","v"))</f>
        <v/>
      </c>
      <c r="C1182" s="130" t="inlineStr">
        <is>
          <t>Москва</t>
        </is>
      </c>
      <c r="D1182" s="130" t="inlineStr">
        <is>
          <t>Москва</t>
        </is>
      </c>
      <c r="E1182" s="130" t="inlineStr">
        <is>
          <t>ЦАО</t>
        </is>
      </c>
      <c r="F1182" s="130" t="n"/>
      <c r="G1182" s="130" t="inlineStr">
        <is>
          <t>WorldClass</t>
        </is>
      </c>
      <c r="H1182" s="131" t="inlineStr">
        <is>
          <t>LUX</t>
        </is>
      </c>
      <c r="I1182" s="637" t="inlineStr">
        <is>
          <t>Земляной вал (LUX)</t>
        </is>
      </c>
      <c r="J1182" s="637" t="n"/>
      <c r="K1182" s="640" t="n">
        <v>1</v>
      </c>
      <c r="L1182" s="640" t="n">
        <v>0</v>
      </c>
      <c r="M1182" s="640" t="inlineStr">
        <is>
          <t>Sam 40</t>
        </is>
      </c>
      <c r="N1182" s="640" t="n"/>
      <c r="O1182" s="640">
        <f>IF(AND(N1182=1,L1182=1),K1182,"")</f>
        <v/>
      </c>
      <c r="P1182" s="642" t="inlineStr">
        <is>
          <t>Москва, Земляной Вал ул., д. 9 (тренажерный зал)</t>
        </is>
      </c>
      <c r="Q1182" s="640" t="n"/>
      <c r="R1182" s="422" t="n"/>
      <c r="S1182" s="436" t="n"/>
      <c r="T1182" s="436" t="n"/>
      <c r="U1182" s="436" t="n"/>
      <c r="V1182" s="438" t="n"/>
      <c r="X1182" s="1" t="n"/>
      <c r="Y1182" s="1" t="n"/>
      <c r="Z1182" s="1" t="n"/>
    </row>
    <row r="1183" hidden="1" ht="16.05" customHeight="1">
      <c r="A1183" s="791" t="n">
        <v>1623</v>
      </c>
      <c r="B1183" s="13">
        <f>IF(OR(M1183="Sam 32",M1183="Sam 40"),"s",IF(M1183="AMS","a","v"))</f>
        <v/>
      </c>
      <c r="C1183" s="130" t="inlineStr">
        <is>
          <t>Москва</t>
        </is>
      </c>
      <c r="D1183" s="130" t="inlineStr">
        <is>
          <t>Москва</t>
        </is>
      </c>
      <c r="E1183" s="130" t="inlineStr">
        <is>
          <t>ЗАО</t>
        </is>
      </c>
      <c r="F1183" s="130" t="n"/>
      <c r="G1183" s="130" t="inlineStr">
        <is>
          <t>WorldClass</t>
        </is>
      </c>
      <c r="H1183" s="131" t="inlineStr">
        <is>
          <t>PREMIUM</t>
        </is>
      </c>
      <c r="I1183" s="637" t="inlineStr">
        <is>
          <t>Капитолий (PREMIUM)</t>
        </is>
      </c>
      <c r="J1183" s="637" t="n"/>
      <c r="K1183" s="640" t="n">
        <v>1</v>
      </c>
      <c r="L1183" s="640" t="n">
        <v>0</v>
      </c>
      <c r="M1183" s="640" t="inlineStr">
        <is>
          <t>Sam 40</t>
        </is>
      </c>
      <c r="N1183" s="640" t="n"/>
      <c r="O1183" s="640">
        <f>IF(AND(N1183=1,L1183=1),K1183,"")</f>
        <v/>
      </c>
      <c r="P1183" s="642" t="inlineStr">
        <is>
          <t>Москва, Вернадского пр-т, д. 6 (зона ресепшен)</t>
        </is>
      </c>
      <c r="Q1183" s="640" t="n"/>
      <c r="R1183" s="422" t="n"/>
      <c r="S1183" s="436" t="n"/>
      <c r="T1183" s="436" t="n"/>
      <c r="U1183" s="436" t="n"/>
      <c r="V1183" s="438" t="n"/>
      <c r="X1183" s="1" t="n"/>
      <c r="Y1183" s="1" t="n"/>
      <c r="Z1183" s="1" t="n"/>
    </row>
    <row r="1184" hidden="1" ht="16.05" customHeight="1">
      <c r="A1184" s="791" t="n">
        <v>1624</v>
      </c>
      <c r="B1184" s="13">
        <f>IF(OR(M1184="Sam 32",M1184="Sam 40"),"s",IF(M1184="AMS","a","v"))</f>
        <v/>
      </c>
      <c r="C1184" s="130" t="inlineStr">
        <is>
          <t>Москва</t>
        </is>
      </c>
      <c r="D1184" s="130" t="inlineStr">
        <is>
          <t>Москва</t>
        </is>
      </c>
      <c r="E1184" s="130" t="inlineStr">
        <is>
          <t>ЗАО</t>
        </is>
      </c>
      <c r="F1184" s="130" t="n"/>
      <c r="G1184" s="130" t="inlineStr">
        <is>
          <t>WorldClass</t>
        </is>
      </c>
      <c r="H1184" s="131" t="inlineStr">
        <is>
          <t>PREMIUM</t>
        </is>
      </c>
      <c r="I1184" s="637" t="inlineStr">
        <is>
          <t>Капитолий (PREMIUM)</t>
        </is>
      </c>
      <c r="J1184" s="637" t="n"/>
      <c r="K1184" s="640" t="n">
        <v>1</v>
      </c>
      <c r="L1184" s="640" t="n">
        <v>0</v>
      </c>
      <c r="M1184" s="640" t="inlineStr">
        <is>
          <t>Sam 40</t>
        </is>
      </c>
      <c r="N1184" s="640" t="n"/>
      <c r="O1184" s="640">
        <f>IF(AND(N1184=1,L1184=1),K1184,"")</f>
        <v/>
      </c>
      <c r="P1184" s="642" t="inlineStr">
        <is>
          <t>Москва, Вернадского пр-т, д. 6 (тренажерный зал)</t>
        </is>
      </c>
      <c r="Q1184" s="640" t="n"/>
      <c r="R1184" s="422" t="n"/>
      <c r="S1184" s="436" t="n"/>
      <c r="T1184" s="436" t="n"/>
      <c r="U1184" s="436" t="n"/>
      <c r="V1184" s="438" t="n"/>
      <c r="X1184" s="1" t="n"/>
      <c r="Y1184" s="1" t="n"/>
      <c r="Z1184" s="1" t="n"/>
    </row>
    <row r="1185" hidden="1" ht="16.05" customHeight="1">
      <c r="A1185" s="791" t="n">
        <v>1625</v>
      </c>
      <c r="B1185" s="13">
        <f>IF(OR(M1185="Sam 32",M1185="Sam 40"),"s",IF(M1185="AMS","a","v"))</f>
        <v/>
      </c>
      <c r="C1185" s="130" t="inlineStr">
        <is>
          <t>Москва</t>
        </is>
      </c>
      <c r="D1185" s="130" t="inlineStr">
        <is>
          <t>Москва</t>
        </is>
      </c>
      <c r="E1185" s="130" t="inlineStr">
        <is>
          <t>ЗАО</t>
        </is>
      </c>
      <c r="F1185" s="130" t="n"/>
      <c r="G1185" s="130" t="inlineStr">
        <is>
          <t>WorldClass</t>
        </is>
      </c>
      <c r="H1185" s="131" t="inlineStr">
        <is>
          <t>LUX</t>
        </is>
      </c>
      <c r="I1185" s="637" t="inlineStr">
        <is>
          <t>Кунцево (LUX)</t>
        </is>
      </c>
      <c r="J1185" s="637" t="n"/>
      <c r="K1185" s="640" t="n">
        <v>1</v>
      </c>
      <c r="L1185" s="640" t="n">
        <v>0</v>
      </c>
      <c r="M1185" s="640" t="inlineStr">
        <is>
          <t>Sam 40</t>
        </is>
      </c>
      <c r="N1185" s="640" t="n"/>
      <c r="O1185" s="640">
        <f>IF(AND(N1185=1,L1185=1),K1185,"")</f>
        <v/>
      </c>
      <c r="P1185" s="642" t="inlineStr">
        <is>
          <t>Москва, Ивана Франко ул., д. 16 (зона ресепшен)</t>
        </is>
      </c>
      <c r="Q1185" s="640" t="n"/>
      <c r="R1185" s="422" t="n"/>
      <c r="S1185" s="436" t="n"/>
      <c r="T1185" s="436" t="n"/>
      <c r="U1185" s="436" t="n"/>
      <c r="V1185" s="438" t="n"/>
      <c r="X1185" s="1" t="n"/>
      <c r="Y1185" s="1" t="n"/>
      <c r="Z1185" s="1" t="n"/>
    </row>
    <row r="1186" hidden="1" ht="16.05" customHeight="1">
      <c r="A1186" s="791" t="n">
        <v>1626</v>
      </c>
      <c r="B1186" s="13">
        <f>IF(OR(M1186="Sam 32",M1186="Sam 40"),"s",IF(M1186="AMS","a","v"))</f>
        <v/>
      </c>
      <c r="C1186" s="130" t="inlineStr">
        <is>
          <t>Москва</t>
        </is>
      </c>
      <c r="D1186" s="130" t="inlineStr">
        <is>
          <t>Москва</t>
        </is>
      </c>
      <c r="E1186" s="130" t="inlineStr">
        <is>
          <t>ЗАО</t>
        </is>
      </c>
      <c r="F1186" s="130" t="n"/>
      <c r="G1186" s="130" t="inlineStr">
        <is>
          <t>WorldClass</t>
        </is>
      </c>
      <c r="H1186" s="131" t="inlineStr">
        <is>
          <t>LUX</t>
        </is>
      </c>
      <c r="I1186" s="637" t="inlineStr">
        <is>
          <t>Кунцево (LUX)</t>
        </is>
      </c>
      <c r="J1186" s="637" t="n"/>
      <c r="K1186" s="640" t="n">
        <v>1</v>
      </c>
      <c r="L1186" s="640" t="n">
        <v>0</v>
      </c>
      <c r="M1186" s="640" t="inlineStr">
        <is>
          <t>Sam 40</t>
        </is>
      </c>
      <c r="N1186" s="640" t="n"/>
      <c r="O1186" s="640">
        <f>IF(AND(N1186=1,L1186=1),K1186,"")</f>
        <v/>
      </c>
      <c r="P1186" s="642" t="inlineStr">
        <is>
          <t>Москва, Ивана Франко ул., д. 16 (женская раздевалка)</t>
        </is>
      </c>
      <c r="Q1186" s="640" t="n"/>
      <c r="R1186" s="422" t="n"/>
      <c r="S1186" s="436" t="n"/>
      <c r="T1186" s="436" t="n"/>
      <c r="U1186" s="436" t="n"/>
      <c r="V1186" s="438" t="n"/>
      <c r="X1186" s="1" t="n"/>
      <c r="Y1186" s="1" t="n"/>
      <c r="Z1186" s="1" t="n"/>
    </row>
    <row r="1187" hidden="1" ht="16.05" customHeight="1">
      <c r="A1187" s="791" t="n">
        <v>1627</v>
      </c>
      <c r="B1187" s="13">
        <f>IF(OR(M1187="Sam 32",M1187="Sam 40"),"s",IF(M1187="AMS","a","v"))</f>
        <v/>
      </c>
      <c r="C1187" s="130" t="inlineStr">
        <is>
          <t>Москва</t>
        </is>
      </c>
      <c r="D1187" s="130" t="inlineStr">
        <is>
          <t>Москва</t>
        </is>
      </c>
      <c r="E1187" s="130" t="inlineStr">
        <is>
          <t>ЗАО</t>
        </is>
      </c>
      <c r="F1187" s="130" t="n"/>
      <c r="G1187" s="130" t="inlineStr">
        <is>
          <t>WorldClass</t>
        </is>
      </c>
      <c r="H1187" s="131" t="inlineStr">
        <is>
          <t>LUX</t>
        </is>
      </c>
      <c r="I1187" s="637" t="inlineStr">
        <is>
          <t>Кунцево (LUX)</t>
        </is>
      </c>
      <c r="J1187" s="637" t="n"/>
      <c r="K1187" s="640" t="n">
        <v>1</v>
      </c>
      <c r="L1187" s="640" t="n">
        <v>0</v>
      </c>
      <c r="M1187" s="640" t="inlineStr">
        <is>
          <t>Sam 40</t>
        </is>
      </c>
      <c r="N1187" s="640" t="n"/>
      <c r="O1187" s="640">
        <f>IF(AND(N1187=1,L1187=1),K1187,"")</f>
        <v/>
      </c>
      <c r="P1187" s="642" t="inlineStr">
        <is>
          <t>Москва, Ивана Франко ул., д. 16 (мужская раздевалка)</t>
        </is>
      </c>
      <c r="Q1187" s="640" t="n"/>
      <c r="R1187" s="422" t="n"/>
      <c r="S1187" s="436" t="n"/>
      <c r="T1187" s="436" t="n"/>
      <c r="U1187" s="436" t="n"/>
      <c r="V1187" s="438" t="n"/>
      <c r="X1187" s="1" t="n"/>
      <c r="Y1187" s="1" t="n"/>
      <c r="Z1187" s="1" t="n"/>
    </row>
    <row r="1188" hidden="1" ht="16.05" customHeight="1">
      <c r="A1188" s="791" t="n">
        <v>1628</v>
      </c>
      <c r="B1188" s="13">
        <f>IF(OR(M1188="Sam 32",M1188="Sam 40"),"s",IF(M1188="AMS","a","v"))</f>
        <v/>
      </c>
      <c r="C1188" s="130" t="inlineStr">
        <is>
          <t>Москва</t>
        </is>
      </c>
      <c r="D1188" s="130" t="inlineStr">
        <is>
          <t>Москва</t>
        </is>
      </c>
      <c r="E1188" s="130" t="inlineStr">
        <is>
          <t>ЮЗАО</t>
        </is>
      </c>
      <c r="F1188" s="130" t="n"/>
      <c r="G1188" s="130" t="inlineStr">
        <is>
          <t>WorldClass</t>
        </is>
      </c>
      <c r="H1188" s="131" t="inlineStr">
        <is>
          <t>PREMIUM</t>
        </is>
      </c>
      <c r="I1188" s="637" t="inlineStr">
        <is>
          <t>Наметкина (PREMIUM)</t>
        </is>
      </c>
      <c r="J1188" s="637" t="n"/>
      <c r="K1188" s="640" t="n">
        <v>1</v>
      </c>
      <c r="L1188" s="640" t="n">
        <v>0</v>
      </c>
      <c r="M1188" s="640" t="inlineStr">
        <is>
          <t>Sam 40</t>
        </is>
      </c>
      <c r="N1188" s="640" t="n"/>
      <c r="O1188" s="640">
        <f>IF(AND(N1188=1,L1188=1),K1188,"")</f>
        <v/>
      </c>
      <c r="P1188" s="642" t="inlineStr">
        <is>
          <t>Москва, Намёткина ул., д. 6, стр. 1 (зона ресепшен)</t>
        </is>
      </c>
      <c r="Q1188" s="640" t="n"/>
      <c r="R1188" s="422" t="n"/>
      <c r="S1188" s="436" t="n"/>
      <c r="T1188" s="436" t="n"/>
      <c r="U1188" s="436" t="n"/>
      <c r="V1188" s="438" t="n"/>
      <c r="X1188" s="1" t="n"/>
      <c r="Y1188" s="1" t="n"/>
      <c r="Z1188" s="1" t="n"/>
    </row>
    <row r="1189" hidden="1" ht="16.05" customHeight="1">
      <c r="A1189" s="791" t="n">
        <v>1629</v>
      </c>
      <c r="B1189" s="13">
        <f>IF(OR(M1189="Sam 32",M1189="Sam 40"),"s",IF(M1189="AMS","a","v"))</f>
        <v/>
      </c>
      <c r="C1189" s="130" t="inlineStr">
        <is>
          <t>Москва</t>
        </is>
      </c>
      <c r="D1189" s="130" t="inlineStr">
        <is>
          <t>Москва</t>
        </is>
      </c>
      <c r="E1189" s="130" t="inlineStr">
        <is>
          <t>ЮЗАО</t>
        </is>
      </c>
      <c r="F1189" s="130" t="n"/>
      <c r="G1189" s="130" t="inlineStr">
        <is>
          <t>WorldClass</t>
        </is>
      </c>
      <c r="H1189" s="131" t="inlineStr">
        <is>
          <t>PREMIUM</t>
        </is>
      </c>
      <c r="I1189" s="637" t="inlineStr">
        <is>
          <t>Наметкина (PREMIUM)</t>
        </is>
      </c>
      <c r="J1189" s="637" t="n"/>
      <c r="K1189" s="640" t="n">
        <v>1</v>
      </c>
      <c r="L1189" s="640" t="n">
        <v>0</v>
      </c>
      <c r="M1189" s="640" t="inlineStr">
        <is>
          <t>Sam 40</t>
        </is>
      </c>
      <c r="N1189" s="640" t="n"/>
      <c r="O1189" s="640">
        <f>IF(AND(N1189=1,L1189=1),K1189,"")</f>
        <v/>
      </c>
      <c r="P1189" s="642" t="inlineStr">
        <is>
          <t>Москва, Намёткина ул., д. 6, стр. 1 (проход в тренажерный зал, рядом с кулером)</t>
        </is>
      </c>
      <c r="Q1189" s="640" t="n"/>
      <c r="R1189" s="422" t="n"/>
      <c r="S1189" s="436" t="n"/>
      <c r="T1189" s="436" t="n"/>
      <c r="U1189" s="436" t="n"/>
      <c r="V1189" s="438" t="n"/>
      <c r="X1189" s="1" t="n"/>
      <c r="Y1189" s="1" t="n"/>
      <c r="Z1189" s="1" t="n"/>
    </row>
    <row r="1190" hidden="1" ht="16.05" customHeight="1">
      <c r="A1190" s="791" t="n">
        <v>1630</v>
      </c>
      <c r="B1190" s="13">
        <f>IF(OR(M1190="Sam 32",M1190="Sam 40"),"s",IF(M1190="AMS","a","v"))</f>
        <v/>
      </c>
      <c r="C1190" s="130" t="inlineStr">
        <is>
          <t>Москва</t>
        </is>
      </c>
      <c r="D1190" s="130" t="inlineStr">
        <is>
          <t>Москва</t>
        </is>
      </c>
      <c r="E1190" s="130" t="inlineStr">
        <is>
          <t>САО</t>
        </is>
      </c>
      <c r="F1190" s="130" t="n"/>
      <c r="G1190" s="130" t="inlineStr">
        <is>
          <t>WorldClass</t>
        </is>
      </c>
      <c r="H1190" s="131" t="inlineStr">
        <is>
          <t>PREMIUM</t>
        </is>
      </c>
      <c r="I1190" s="637" t="inlineStr">
        <is>
          <t>Метрополис (PREMIUM)</t>
        </is>
      </c>
      <c r="J1190" s="637" t="n"/>
      <c r="K1190" s="640" t="n">
        <v>1</v>
      </c>
      <c r="L1190" s="640" t="n">
        <v>0</v>
      </c>
      <c r="M1190" s="640" t="inlineStr">
        <is>
          <t>Sam 40</t>
        </is>
      </c>
      <c r="N1190" s="640" t="n"/>
      <c r="O1190" s="640">
        <f>IF(AND(N1190=1,L1190=1),K1190,"")</f>
        <v/>
      </c>
      <c r="P1190" s="642" t="inlineStr">
        <is>
          <t>Москва, Ленинградское шоссе, д. 16А, стр. 8 (проход к раздевалкам, тренажерным залом, зона турникетов)</t>
        </is>
      </c>
      <c r="Q1190" s="640" t="n"/>
      <c r="R1190" s="422" t="n"/>
      <c r="S1190" s="436" t="n"/>
      <c r="T1190" s="436" t="n"/>
      <c r="U1190" s="436" t="n"/>
      <c r="V1190" s="438" t="n"/>
      <c r="X1190" s="1" t="n"/>
      <c r="Y1190" s="1" t="n"/>
      <c r="Z1190" s="1" t="n"/>
    </row>
    <row r="1191" hidden="1" ht="16.05" customHeight="1">
      <c r="A1191" s="791" t="n">
        <v>1631</v>
      </c>
      <c r="B1191" s="13">
        <f>IF(OR(M1191="Sam 32",M1191="Sam 40"),"s",IF(M1191="AMS","a","v"))</f>
        <v/>
      </c>
      <c r="C1191" s="130" t="inlineStr">
        <is>
          <t>Москва</t>
        </is>
      </c>
      <c r="D1191" s="130" t="inlineStr">
        <is>
          <t>Москва</t>
        </is>
      </c>
      <c r="E1191" s="130" t="inlineStr">
        <is>
          <t>САО</t>
        </is>
      </c>
      <c r="F1191" s="130" t="n"/>
      <c r="G1191" s="130" t="inlineStr">
        <is>
          <t>WorldClass</t>
        </is>
      </c>
      <c r="H1191" s="131" t="inlineStr">
        <is>
          <t>PREMIUM</t>
        </is>
      </c>
      <c r="I1191" s="637" t="inlineStr">
        <is>
          <t>Метрополис (PREMIUM)</t>
        </is>
      </c>
      <c r="J1191" s="637" t="n"/>
      <c r="K1191" s="640" t="n">
        <v>1</v>
      </c>
      <c r="L1191" s="640" t="n">
        <v>0</v>
      </c>
      <c r="M1191" s="640" t="inlineStr">
        <is>
          <t>Sam 40</t>
        </is>
      </c>
      <c r="N1191" s="640" t="n"/>
      <c r="O1191" s="640">
        <f>IF(AND(N1191=1,L1191=1),K1191,"")</f>
        <v/>
      </c>
      <c r="P1191" s="642" t="inlineStr">
        <is>
          <t>Москва, Ленинградское шоссе, д. 16А, стр. 8 (зона отдыха напротив ресепшен)</t>
        </is>
      </c>
      <c r="Q1191" s="640" t="n"/>
      <c r="R1191" s="422" t="n"/>
      <c r="S1191" s="436" t="n"/>
      <c r="T1191" s="436" t="n"/>
      <c r="U1191" s="436" t="n"/>
      <c r="V1191" s="438" t="n"/>
      <c r="X1191" s="1" t="n"/>
      <c r="Y1191" s="1" t="n"/>
      <c r="Z1191" s="1" t="n"/>
    </row>
    <row r="1192" hidden="1" ht="16.05" customHeight="1">
      <c r="A1192" s="791" t="n">
        <v>1632</v>
      </c>
      <c r="B1192" s="13">
        <f>IF(OR(M1192="Sam 32",M1192="Sam 40"),"s",IF(M1192="AMS","a","v"))</f>
        <v/>
      </c>
      <c r="C1192" s="130" t="inlineStr">
        <is>
          <t>Москва</t>
        </is>
      </c>
      <c r="D1192" s="130" t="inlineStr">
        <is>
          <t>Москва</t>
        </is>
      </c>
      <c r="E1192" s="130" t="inlineStr">
        <is>
          <t>ЦАО</t>
        </is>
      </c>
      <c r="F1192" s="130" t="n"/>
      <c r="G1192" s="130" t="inlineStr">
        <is>
          <t>WorldClass</t>
        </is>
      </c>
      <c r="H1192" s="131" t="inlineStr">
        <is>
          <t>LUX</t>
        </is>
      </c>
      <c r="I1192" s="637" t="inlineStr">
        <is>
          <t>Олимпийский (LUX)</t>
        </is>
      </c>
      <c r="J1192" s="637" t="n"/>
      <c r="K1192" s="640" t="n">
        <v>1</v>
      </c>
      <c r="L1192" s="640" t="n">
        <v>0</v>
      </c>
      <c r="M1192" s="640" t="inlineStr">
        <is>
          <t>Sam 40</t>
        </is>
      </c>
      <c r="N1192" s="640" t="n"/>
      <c r="O1192" s="640">
        <f>IF(AND(N1192=1,L1192=1),K1192,"")</f>
        <v/>
      </c>
      <c r="P1192" s="642" t="inlineStr">
        <is>
          <t>Москва, Олимпийский пр-т, д. 16, корп. 2 (рядом с кассой и ресепшеном)</t>
        </is>
      </c>
      <c r="Q1192" s="640" t="n"/>
      <c r="R1192" s="422" t="n"/>
      <c r="S1192" s="436" t="n"/>
      <c r="T1192" s="436" t="n"/>
      <c r="U1192" s="436" t="n"/>
      <c r="V1192" s="438" t="n"/>
      <c r="X1192" s="1" t="n"/>
      <c r="Y1192" s="1" t="n"/>
      <c r="Z1192" s="1" t="n"/>
    </row>
    <row r="1193" hidden="1" ht="16.05" customHeight="1">
      <c r="A1193" s="791" t="n">
        <v>1633</v>
      </c>
      <c r="B1193" s="13">
        <f>IF(OR(M1193="Sam 32",M1193="Sam 40"),"s",IF(M1193="AMS","a","v"))</f>
        <v/>
      </c>
      <c r="C1193" s="130" t="inlineStr">
        <is>
          <t>Москва</t>
        </is>
      </c>
      <c r="D1193" s="130" t="inlineStr">
        <is>
          <t>Москва</t>
        </is>
      </c>
      <c r="E1193" s="130" t="inlineStr">
        <is>
          <t>ЦАО</t>
        </is>
      </c>
      <c r="F1193" s="130" t="n"/>
      <c r="G1193" s="130" t="inlineStr">
        <is>
          <t>WorldClass</t>
        </is>
      </c>
      <c r="H1193" s="131" t="inlineStr">
        <is>
          <t>LUX</t>
        </is>
      </c>
      <c r="I1193" s="637" t="inlineStr">
        <is>
          <t>Олимпийский (LUX)</t>
        </is>
      </c>
      <c r="J1193" s="637" t="n"/>
      <c r="K1193" s="640" t="n">
        <v>1</v>
      </c>
      <c r="L1193" s="640" t="n">
        <v>0</v>
      </c>
      <c r="M1193" s="640" t="inlineStr">
        <is>
          <t>Sam 40</t>
        </is>
      </c>
      <c r="N1193" s="640" t="n"/>
      <c r="O1193" s="640">
        <f>IF(AND(N1193=1,L1193=1),K1193,"")</f>
        <v/>
      </c>
      <c r="P1193" s="642" t="inlineStr">
        <is>
          <t>Москва, Олимпийский пр-т, д. 16, корп. 2 (Т-образный коридор, ведущий к женской раздевалке, тренаж. залу, детскому клубу)</t>
        </is>
      </c>
      <c r="Q1193" s="640" t="n"/>
      <c r="R1193" s="422" t="n"/>
      <c r="S1193" s="436" t="n"/>
      <c r="T1193" s="436" t="n"/>
      <c r="U1193" s="436" t="n"/>
      <c r="V1193" s="438" t="n"/>
      <c r="X1193" s="1" t="n"/>
      <c r="Y1193" s="1" t="n"/>
      <c r="Z1193" s="1" t="n"/>
    </row>
    <row r="1194" hidden="1" ht="16.05" customHeight="1">
      <c r="A1194" s="791" t="n">
        <v>1634</v>
      </c>
      <c r="B1194" s="13">
        <f>IF(OR(M1194="Sam 32",M1194="Sam 40"),"s",IF(M1194="AMS","a","v"))</f>
        <v/>
      </c>
      <c r="C1194" s="130" t="inlineStr">
        <is>
          <t>Москва</t>
        </is>
      </c>
      <c r="D1194" s="130" t="inlineStr">
        <is>
          <t>Москва</t>
        </is>
      </c>
      <c r="E1194" s="130" t="inlineStr">
        <is>
          <t>ЦАО</t>
        </is>
      </c>
      <c r="F1194" s="130" t="n"/>
      <c r="G1194" s="130" t="inlineStr">
        <is>
          <t>WorldClass</t>
        </is>
      </c>
      <c r="H1194" s="131" t="inlineStr">
        <is>
          <t>PREMIUM</t>
        </is>
      </c>
      <c r="I1194" s="637" t="inlineStr">
        <is>
          <t>Оружейный (PREMIUM)</t>
        </is>
      </c>
      <c r="J1194" s="637" t="n"/>
      <c r="K1194" s="640" t="n">
        <v>1</v>
      </c>
      <c r="L1194" s="640" t="n">
        <v>0</v>
      </c>
      <c r="M1194" s="640" t="inlineStr">
        <is>
          <t>Sam 40</t>
        </is>
      </c>
      <c r="N1194" s="640" t="n"/>
      <c r="O1194" s="640">
        <f>IF(AND(N1194=1,L1194=1),K1194,"")</f>
        <v/>
      </c>
      <c r="P1194" s="642" t="inlineStr">
        <is>
          <t>Москва, Оружейный пер., д. 41 (слева от ресепшен, проход к раздевалкам)</t>
        </is>
      </c>
      <c r="Q1194" s="640" t="n"/>
      <c r="R1194" s="422" t="n"/>
      <c r="S1194" s="436" t="n"/>
      <c r="T1194" s="436" t="n"/>
      <c r="U1194" s="436" t="n"/>
      <c r="V1194" s="438" t="n"/>
      <c r="X1194" s="1" t="n"/>
      <c r="Y1194" s="1" t="n"/>
      <c r="Z1194" s="1" t="n"/>
    </row>
    <row r="1195" hidden="1" ht="16.05" customHeight="1">
      <c r="A1195" s="791" t="n">
        <v>1635</v>
      </c>
      <c r="B1195" s="13">
        <f>IF(OR(M1195="Sam 32",M1195="Sam 40"),"s",IF(M1195="AMS","a","v"))</f>
        <v/>
      </c>
      <c r="C1195" s="130" t="inlineStr">
        <is>
          <t>Москва</t>
        </is>
      </c>
      <c r="D1195" s="130" t="inlineStr">
        <is>
          <t>Москва</t>
        </is>
      </c>
      <c r="E1195" s="130" t="inlineStr">
        <is>
          <t>ЦАО</t>
        </is>
      </c>
      <c r="F1195" s="130" t="n"/>
      <c r="G1195" s="130" t="inlineStr">
        <is>
          <t>WorldClass</t>
        </is>
      </c>
      <c r="H1195" s="131" t="inlineStr">
        <is>
          <t>PREMIUM</t>
        </is>
      </c>
      <c r="I1195" s="637" t="inlineStr">
        <is>
          <t>Оружейный (PREMIUM)</t>
        </is>
      </c>
      <c r="J1195" s="637" t="n"/>
      <c r="K1195" s="640" t="n">
        <v>1</v>
      </c>
      <c r="L1195" s="640" t="n">
        <v>0</v>
      </c>
      <c r="M1195" s="640" t="inlineStr">
        <is>
          <t>Sam 40</t>
        </is>
      </c>
      <c r="N1195" s="640" t="n"/>
      <c r="O1195" s="640">
        <f>IF(AND(N1195=1,L1195=1),K1195,"")</f>
        <v/>
      </c>
      <c r="P1195" s="642" t="inlineStr">
        <is>
          <t>Москва, Оружейный пер., д. 41 (тренажерный зал)</t>
        </is>
      </c>
      <c r="Q1195" s="640" t="n"/>
      <c r="R1195" s="422" t="n"/>
      <c r="S1195" s="436" t="n"/>
      <c r="T1195" s="436" t="n"/>
      <c r="U1195" s="436" t="n"/>
      <c r="V1195" s="438" t="n"/>
      <c r="X1195" s="1" t="n"/>
      <c r="Y1195" s="1" t="n"/>
      <c r="Z1195" s="1" t="n"/>
    </row>
    <row r="1196" hidden="1" ht="16.05" customHeight="1">
      <c r="A1196" s="791" t="n">
        <v>1636</v>
      </c>
      <c r="B1196" s="13">
        <f>IF(OR(M1196="Sam 32",M1196="Sam 40"),"s",IF(M1196="AMS","a","v"))</f>
        <v/>
      </c>
      <c r="C1196" s="130" t="inlineStr">
        <is>
          <t>Москва</t>
        </is>
      </c>
      <c r="D1196" s="130" t="inlineStr">
        <is>
          <t>Москва</t>
        </is>
      </c>
      <c r="E1196" s="130" t="inlineStr">
        <is>
          <t>М9</t>
        </is>
      </c>
      <c r="F1196" s="130" t="n"/>
      <c r="G1196" s="130" t="inlineStr">
        <is>
          <t>WorldClass</t>
        </is>
      </c>
      <c r="H1196" s="131" t="inlineStr">
        <is>
          <t>LUX</t>
        </is>
      </c>
      <c r="I1196" s="637" t="inlineStr">
        <is>
          <t>Павлово (LUX)</t>
        </is>
      </c>
      <c r="J1196" s="637" t="n"/>
      <c r="K1196" s="640" t="n">
        <v>1</v>
      </c>
      <c r="L1196" s="640" t="n">
        <v>0</v>
      </c>
      <c r="M1196" s="640" t="inlineStr">
        <is>
          <t>Sam 40</t>
        </is>
      </c>
      <c r="N1196" s="640" t="n"/>
      <c r="O1196" s="640">
        <f>IF(AND(N1196=1,L1196=1),K1196,"")</f>
        <v/>
      </c>
      <c r="P1196" s="642" t="inlineStr">
        <is>
          <t>Московская область, Истринский район, сельское поселение Павло-Слободское, деревня Новинки, д. 115, стр. 9 (зона ресепшн)</t>
        </is>
      </c>
      <c r="Q1196" s="640" t="n"/>
      <c r="R1196" s="422" t="n"/>
      <c r="S1196" s="436" t="n"/>
      <c r="T1196" s="436" t="n"/>
      <c r="U1196" s="436" t="n"/>
      <c r="V1196" s="438" t="n"/>
      <c r="X1196" s="1" t="n"/>
      <c r="Y1196" s="1" t="n"/>
      <c r="Z1196" s="1" t="n"/>
    </row>
    <row r="1197" hidden="1" ht="16.05" customHeight="1">
      <c r="A1197" s="791" t="n">
        <v>1637</v>
      </c>
      <c r="B1197" s="13">
        <f>IF(OR(M1197="Sam 32",M1197="Sam 40"),"s",IF(M1197="AMS","a","v"))</f>
        <v/>
      </c>
      <c r="C1197" s="130" t="inlineStr">
        <is>
          <t>Москва</t>
        </is>
      </c>
      <c r="D1197" s="130" t="inlineStr">
        <is>
          <t>Москва</t>
        </is>
      </c>
      <c r="E1197" s="130" t="inlineStr">
        <is>
          <t>М9</t>
        </is>
      </c>
      <c r="F1197" s="130" t="n"/>
      <c r="G1197" s="130" t="inlineStr">
        <is>
          <t>WorldClass</t>
        </is>
      </c>
      <c r="H1197" s="131" t="inlineStr">
        <is>
          <t>LUX</t>
        </is>
      </c>
      <c r="I1197" s="637" t="inlineStr">
        <is>
          <t>Павлово (LUX)</t>
        </is>
      </c>
      <c r="J1197" s="637" t="n"/>
      <c r="K1197" s="640" t="n">
        <v>1</v>
      </c>
      <c r="L1197" s="640" t="n">
        <v>0</v>
      </c>
      <c r="M1197" s="640" t="inlineStr">
        <is>
          <t>Sam 40</t>
        </is>
      </c>
      <c r="N1197" s="640" t="n"/>
      <c r="O1197" s="640">
        <f>IF(AND(N1197=1,L1197=1),K1197,"")</f>
        <v/>
      </c>
      <c r="P1197" s="642" t="inlineStr">
        <is>
          <t>Московская область, Истринский район, сельское поселение Павло-Слободское, деревня Новинки, д. 115, стр. 9 (зона отдыха рядом с тренажерным залом)</t>
        </is>
      </c>
      <c r="Q1197" s="640" t="n"/>
      <c r="R1197" s="422" t="n"/>
      <c r="S1197" s="436" t="n"/>
      <c r="T1197" s="436" t="n"/>
      <c r="U1197" s="436" t="n"/>
      <c r="V1197" s="438" t="n"/>
      <c r="X1197" s="1" t="n"/>
      <c r="Y1197" s="1" t="n"/>
      <c r="Z1197" s="1" t="n"/>
    </row>
    <row r="1198" hidden="1" ht="16.05" customHeight="1">
      <c r="A1198" s="791" t="n">
        <v>1638</v>
      </c>
      <c r="B1198" s="13">
        <f>IF(OR(M1198="Sam 32",M1198="Sam 40"),"s",IF(M1198="AMS","a","v"))</f>
        <v/>
      </c>
      <c r="C1198" s="130" t="inlineStr">
        <is>
          <t>Москва</t>
        </is>
      </c>
      <c r="D1198" s="130" t="inlineStr">
        <is>
          <t>Москва</t>
        </is>
      </c>
      <c r="E1198" s="130" t="inlineStr">
        <is>
          <t>ЦАО</t>
        </is>
      </c>
      <c r="F1198" s="130" t="n"/>
      <c r="G1198" s="130" t="inlineStr">
        <is>
          <t>WorldClass</t>
        </is>
      </c>
      <c r="H1198" s="131" t="inlineStr">
        <is>
          <t>LUX</t>
        </is>
      </c>
      <c r="I1198" s="637" t="inlineStr">
        <is>
          <t>Пресня (LUX)</t>
        </is>
      </c>
      <c r="J1198" s="637" t="n"/>
      <c r="K1198" s="640" t="n">
        <v>1</v>
      </c>
      <c r="L1198" s="640" t="n">
        <v>0</v>
      </c>
      <c r="M1198" s="640" t="inlineStr">
        <is>
          <t>Sam 40</t>
        </is>
      </c>
      <c r="N1198" s="640" t="n"/>
      <c r="O1198" s="640">
        <f>IF(AND(N1198=1,L1198=1),K1198,"")</f>
        <v/>
      </c>
      <c r="P1198" s="642" t="inlineStr">
        <is>
          <t>Москва, Климашкина ул., д. 17, стр. 2 (зона ресепшн)</t>
        </is>
      </c>
      <c r="Q1198" s="640" t="n"/>
      <c r="R1198" s="422" t="n"/>
      <c r="S1198" s="436" t="n"/>
      <c r="T1198" s="436" t="n"/>
      <c r="U1198" s="436" t="n"/>
      <c r="V1198" s="438" t="n"/>
      <c r="X1198" s="1" t="n"/>
      <c r="Y1198" s="1" t="n"/>
      <c r="Z1198" s="1" t="n"/>
    </row>
    <row r="1199" hidden="1" ht="16.05" customHeight="1">
      <c r="A1199" s="791" t="n">
        <v>1639</v>
      </c>
      <c r="B1199" s="13">
        <f>IF(OR(M1199="Sam 32",M1199="Sam 40"),"s",IF(M1199="AMS","a","v"))</f>
        <v/>
      </c>
      <c r="C1199" s="130" t="inlineStr">
        <is>
          <t>Москва</t>
        </is>
      </c>
      <c r="D1199" s="130" t="inlineStr">
        <is>
          <t>Москва</t>
        </is>
      </c>
      <c r="E1199" s="130" t="inlineStr">
        <is>
          <t>ЦАО</t>
        </is>
      </c>
      <c r="F1199" s="130" t="n"/>
      <c r="G1199" s="130" t="inlineStr">
        <is>
          <t>WorldClass</t>
        </is>
      </c>
      <c r="H1199" s="131" t="inlineStr">
        <is>
          <t>LUX</t>
        </is>
      </c>
      <c r="I1199" s="637" t="inlineStr">
        <is>
          <t>Пресня (LUX)</t>
        </is>
      </c>
      <c r="J1199" s="637" t="n"/>
      <c r="K1199" s="640" t="n">
        <v>1</v>
      </c>
      <c r="L1199" s="640" t="n">
        <v>0</v>
      </c>
      <c r="M1199" s="640" t="inlineStr">
        <is>
          <t>Sam 40</t>
        </is>
      </c>
      <c r="N1199" s="640" t="n"/>
      <c r="O1199" s="640">
        <f>IF(AND(N1199=1,L1199=1),K1199,"")</f>
        <v/>
      </c>
      <c r="P1199" s="642" t="inlineStr">
        <is>
          <t>Москва, Климашкина ул., д. 17, стр. 2 (мужская раздевалка)</t>
        </is>
      </c>
      <c r="Q1199" s="640" t="n"/>
      <c r="R1199" s="422" t="n"/>
      <c r="S1199" s="436" t="n"/>
      <c r="T1199" s="436" t="n"/>
      <c r="U1199" s="436" t="n"/>
      <c r="V1199" s="438" t="n"/>
      <c r="X1199" s="1" t="n"/>
      <c r="Y1199" s="1" t="n"/>
      <c r="Z1199" s="1" t="n"/>
    </row>
    <row r="1200" hidden="1" ht="16.05" customHeight="1">
      <c r="A1200" s="791" t="n">
        <v>1640</v>
      </c>
      <c r="B1200" s="13">
        <f>IF(OR(M1200="Sam 32",M1200="Sam 40"),"s",IF(M1200="AMS","a","v"))</f>
        <v/>
      </c>
      <c r="C1200" s="130" t="inlineStr">
        <is>
          <t>Москва</t>
        </is>
      </c>
      <c r="D1200" s="130" t="inlineStr">
        <is>
          <t>Москва</t>
        </is>
      </c>
      <c r="E1200" s="130" t="inlineStr">
        <is>
          <t>ЦАО</t>
        </is>
      </c>
      <c r="F1200" s="130" t="n"/>
      <c r="G1200" s="130" t="inlineStr">
        <is>
          <t>WorldClass</t>
        </is>
      </c>
      <c r="H1200" s="131" t="inlineStr">
        <is>
          <t>LUX</t>
        </is>
      </c>
      <c r="I1200" s="637" t="inlineStr">
        <is>
          <t>Пресня (LUX)</t>
        </is>
      </c>
      <c r="J1200" s="637" t="n"/>
      <c r="K1200" s="640" t="n">
        <v>1</v>
      </c>
      <c r="L1200" s="640" t="n">
        <v>0</v>
      </c>
      <c r="M1200" s="640" t="inlineStr">
        <is>
          <t>Sam 40</t>
        </is>
      </c>
      <c r="N1200" s="640" t="n"/>
      <c r="O1200" s="640">
        <f>IF(AND(N1200=1,L1200=1),K1200,"")</f>
        <v/>
      </c>
      <c r="P1200" s="642" t="inlineStr">
        <is>
          <t>Москва, Климашкина ул., д. 17, стр. 2 (женская раздевалка)</t>
        </is>
      </c>
      <c r="Q1200" s="640" t="n"/>
      <c r="R1200" s="422" t="n"/>
      <c r="S1200" s="436" t="n"/>
      <c r="T1200" s="436" t="n"/>
      <c r="U1200" s="436" t="n"/>
      <c r="V1200" s="438" t="n"/>
      <c r="X1200" s="1" t="n"/>
      <c r="Y1200" s="1" t="n"/>
      <c r="Z1200" s="1" t="n"/>
    </row>
    <row r="1201" hidden="1" ht="16.05" customHeight="1">
      <c r="A1201" s="791" t="n">
        <v>1641</v>
      </c>
      <c r="B1201" s="13">
        <f>IF(OR(M1201="Sam 32",M1201="Sam 40"),"s",IF(M1201="AMS","a","v"))</f>
        <v/>
      </c>
      <c r="C1201" s="130" t="inlineStr">
        <is>
          <t>Москва</t>
        </is>
      </c>
      <c r="D1201" s="130" t="inlineStr">
        <is>
          <t>Москва</t>
        </is>
      </c>
      <c r="E1201" s="130" t="inlineStr">
        <is>
          <t>ЦАО</t>
        </is>
      </c>
      <c r="F1201" s="130" t="n"/>
      <c r="G1201" s="130" t="inlineStr">
        <is>
          <t>WorldClass</t>
        </is>
      </c>
      <c r="H1201" s="131" t="inlineStr">
        <is>
          <t>PREMIUM</t>
        </is>
      </c>
      <c r="I1201" s="637" t="inlineStr">
        <is>
          <t>Северная башня (PREMIUM)</t>
        </is>
      </c>
      <c r="J1201" s="637" t="n"/>
      <c r="K1201" s="640" t="n">
        <v>1</v>
      </c>
      <c r="L1201" s="640" t="n">
        <v>0</v>
      </c>
      <c r="M1201" s="640" t="inlineStr">
        <is>
          <t>Sam 40</t>
        </is>
      </c>
      <c r="N1201" s="640" t="n"/>
      <c r="O1201" s="640">
        <f>IF(AND(N1201=1,L1201=1),K1201,"")</f>
        <v/>
      </c>
      <c r="P1201" s="642" t="inlineStr">
        <is>
          <t>Москва, Тестовcкая ул., д. 10 (зона ресепшн)</t>
        </is>
      </c>
      <c r="Q1201" s="640" t="n"/>
      <c r="R1201" s="422" t="n"/>
      <c r="S1201" s="436" t="n"/>
      <c r="T1201" s="436" t="n"/>
      <c r="U1201" s="436" t="n"/>
      <c r="V1201" s="438" t="n"/>
      <c r="X1201" s="1" t="n"/>
      <c r="Y1201" s="1" t="n"/>
      <c r="Z1201" s="1" t="n"/>
    </row>
    <row r="1202" hidden="1" ht="16.05" customHeight="1">
      <c r="A1202" s="791" t="n">
        <v>1642</v>
      </c>
      <c r="B1202" s="13">
        <f>IF(OR(M1202="Sam 32",M1202="Sam 40"),"s",IF(M1202="AMS","a","v"))</f>
        <v/>
      </c>
      <c r="C1202" s="130" t="inlineStr">
        <is>
          <t>Москва</t>
        </is>
      </c>
      <c r="D1202" s="130" t="inlineStr">
        <is>
          <t>Москва</t>
        </is>
      </c>
      <c r="E1202" s="130" t="inlineStr">
        <is>
          <t>ЦАО</t>
        </is>
      </c>
      <c r="F1202" s="130" t="n"/>
      <c r="G1202" s="130" t="inlineStr">
        <is>
          <t>WorldClass</t>
        </is>
      </c>
      <c r="H1202" s="131" t="inlineStr">
        <is>
          <t>PREMIUM</t>
        </is>
      </c>
      <c r="I1202" s="637" t="inlineStr">
        <is>
          <t>Смоленский пассаж (PREMIUM)</t>
        </is>
      </c>
      <c r="J1202" s="637" t="n"/>
      <c r="K1202" s="640" t="n">
        <v>1</v>
      </c>
      <c r="L1202" s="640" t="n">
        <v>0</v>
      </c>
      <c r="M1202" s="640" t="inlineStr">
        <is>
          <t>Sam 40</t>
        </is>
      </c>
      <c r="N1202" s="640" t="n"/>
      <c r="O1202" s="640">
        <f>IF(AND(N1202=1,L1202=1),K1202,"")</f>
        <v/>
      </c>
      <c r="P1202" s="642" t="inlineStr">
        <is>
          <t>Москва, Смоленская пл., д. 3 (входная зона, рядом с ресепшен)</t>
        </is>
      </c>
      <c r="Q1202" s="640" t="n"/>
      <c r="R1202" s="422" t="n"/>
      <c r="S1202" s="436" t="n"/>
      <c r="T1202" s="436" t="n"/>
      <c r="U1202" s="436" t="n"/>
      <c r="V1202" s="438" t="n"/>
      <c r="X1202" s="1" t="n"/>
      <c r="Y1202" s="1" t="n"/>
      <c r="Z1202" s="1" t="n"/>
    </row>
    <row r="1203" hidden="1" ht="16.05" customHeight="1">
      <c r="A1203" s="791" t="n">
        <v>1643</v>
      </c>
      <c r="B1203" s="13">
        <f>IF(OR(M1203="Sam 32",M1203="Sam 40"),"s",IF(M1203="AMS","a","v"))</f>
        <v/>
      </c>
      <c r="C1203" s="130" t="inlineStr">
        <is>
          <t>Москва</t>
        </is>
      </c>
      <c r="D1203" s="130" t="inlineStr">
        <is>
          <t>Москва</t>
        </is>
      </c>
      <c r="E1203" s="130" t="inlineStr">
        <is>
          <t>ЦАО</t>
        </is>
      </c>
      <c r="F1203" s="130" t="n"/>
      <c r="G1203" s="130" t="inlineStr">
        <is>
          <t>WorldClass</t>
        </is>
      </c>
      <c r="H1203" s="131" t="inlineStr">
        <is>
          <t>PREMIUM</t>
        </is>
      </c>
      <c r="I1203" s="637" t="inlineStr">
        <is>
          <t>Смоленский пассаж (PREMIUM)</t>
        </is>
      </c>
      <c r="J1203" s="637" t="n"/>
      <c r="K1203" s="640" t="n">
        <v>1</v>
      </c>
      <c r="L1203" s="640" t="n">
        <v>0</v>
      </c>
      <c r="M1203" s="640" t="inlineStr">
        <is>
          <t>Sam 40</t>
        </is>
      </c>
      <c r="N1203" s="640" t="n"/>
      <c r="O1203" s="640">
        <f>IF(AND(N1203=1,L1203=1),K1203,"")</f>
        <v/>
      </c>
      <c r="P1203" s="642" t="inlineStr">
        <is>
          <t>Москва, Смоленская пл., д. 3 (главный коридор, проход к гардеробу, в кафе, раздевалкам, тренажерному залу)</t>
        </is>
      </c>
      <c r="Q1203" s="640" t="n"/>
      <c r="R1203" s="422" t="n"/>
      <c r="S1203" s="436" t="n"/>
      <c r="T1203" s="436" t="n"/>
      <c r="U1203" s="436" t="n"/>
      <c r="V1203" s="438" t="n"/>
      <c r="X1203" s="1" t="n"/>
      <c r="Y1203" s="1" t="n"/>
      <c r="Z1203" s="1" t="n"/>
    </row>
    <row r="1204" hidden="1" ht="16.05" customHeight="1">
      <c r="A1204" s="791" t="n">
        <v>1644</v>
      </c>
      <c r="B1204" s="13">
        <f>IF(OR(M1204="Sam 32",M1204="Sam 40"),"s",IF(M1204="AMS","a","v"))</f>
        <v/>
      </c>
      <c r="C1204" s="130" t="inlineStr">
        <is>
          <t>Москва</t>
        </is>
      </c>
      <c r="D1204" s="130" t="inlineStr">
        <is>
          <t>Москва</t>
        </is>
      </c>
      <c r="E1204" s="130" t="inlineStr">
        <is>
          <t>СЗАО</t>
        </is>
      </c>
      <c r="F1204" s="130" t="n"/>
      <c r="G1204" s="130" t="inlineStr">
        <is>
          <t>WorldClass</t>
        </is>
      </c>
      <c r="H1204" s="131" t="inlineStr">
        <is>
          <t>PREMIUM</t>
        </is>
      </c>
      <c r="I1204" s="637" t="inlineStr">
        <is>
          <t>Строгино (PREMIUM)</t>
        </is>
      </c>
      <c r="J1204" s="637" t="n"/>
      <c r="K1204" s="640" t="n">
        <v>1</v>
      </c>
      <c r="L1204" s="640" t="n">
        <v>0</v>
      </c>
      <c r="M1204" s="640" t="inlineStr">
        <is>
          <t>Sam 40</t>
        </is>
      </c>
      <c r="N1204" s="640" t="n"/>
      <c r="O1204" s="640">
        <f>IF(AND(N1204=1,L1204=1),K1204,"")</f>
        <v/>
      </c>
      <c r="P1204" s="642" t="inlineStr">
        <is>
          <t>Москва, Кулакова ул., д. 20  (входная зона, холл рядом с эскалаторами)</t>
        </is>
      </c>
      <c r="Q1204" s="640" t="n"/>
      <c r="R1204" s="422" t="n"/>
      <c r="S1204" s="436" t="n"/>
      <c r="T1204" s="436" t="n"/>
      <c r="U1204" s="436" t="n"/>
      <c r="V1204" s="438" t="n"/>
      <c r="X1204" s="1" t="n"/>
      <c r="Y1204" s="1" t="n"/>
      <c r="Z1204" s="1" t="n"/>
    </row>
    <row r="1205" hidden="1" ht="16.05" customHeight="1">
      <c r="A1205" s="791" t="n">
        <v>1645</v>
      </c>
      <c r="B1205" s="13">
        <f>IF(OR(M1205="Sam 32",M1205="Sam 40"),"s",IF(M1205="AMS","a","v"))</f>
        <v/>
      </c>
      <c r="C1205" s="130" t="inlineStr">
        <is>
          <t>Москва</t>
        </is>
      </c>
      <c r="D1205" s="130" t="inlineStr">
        <is>
          <t>Москва</t>
        </is>
      </c>
      <c r="E1205" s="130" t="inlineStr">
        <is>
          <t>СЗАО</t>
        </is>
      </c>
      <c r="F1205" s="130" t="n"/>
      <c r="G1205" s="130" t="inlineStr">
        <is>
          <t>WorldClass</t>
        </is>
      </c>
      <c r="H1205" s="131" t="inlineStr">
        <is>
          <t>PREMIUM</t>
        </is>
      </c>
      <c r="I1205" s="637" t="inlineStr">
        <is>
          <t>Строгино (PREMIUM)</t>
        </is>
      </c>
      <c r="J1205" s="637" t="n"/>
      <c r="K1205" s="640" t="n">
        <v>1</v>
      </c>
      <c r="L1205" s="640" t="n">
        <v>0</v>
      </c>
      <c r="M1205" s="640" t="inlineStr">
        <is>
          <t>Sam 40</t>
        </is>
      </c>
      <c r="N1205" s="640" t="n"/>
      <c r="O1205" s="640">
        <f>IF(AND(N1205=1,L1205=1),K1205,"")</f>
        <v/>
      </c>
      <c r="P1205" s="642" t="inlineStr">
        <is>
          <t>Москва, Кулакова ул., д. 20  (центральный холл рядом с ресепшен)</t>
        </is>
      </c>
      <c r="Q1205" s="640" t="n"/>
      <c r="R1205" s="422" t="n"/>
      <c r="S1205" s="436" t="n"/>
      <c r="T1205" s="436" t="n"/>
      <c r="U1205" s="436" t="n"/>
      <c r="V1205" s="438" t="n"/>
      <c r="X1205" s="1" t="n"/>
      <c r="Y1205" s="1" t="n"/>
      <c r="Z1205" s="1" t="n"/>
    </row>
    <row r="1206" hidden="1" ht="16.05" customHeight="1">
      <c r="A1206" s="791" t="n">
        <v>1646</v>
      </c>
      <c r="B1206" s="13">
        <f>IF(OR(M1206="Sam 32",M1206="Sam 40"),"s",IF(M1206="AMS","a","v"))</f>
        <v/>
      </c>
      <c r="C1206" s="130" t="inlineStr">
        <is>
          <t>Москва</t>
        </is>
      </c>
      <c r="D1206" s="130" t="inlineStr">
        <is>
          <t>Москва</t>
        </is>
      </c>
      <c r="E1206" s="130" t="inlineStr">
        <is>
          <t>ЦАО</t>
        </is>
      </c>
      <c r="F1206" s="130" t="n"/>
      <c r="G1206" s="130" t="inlineStr">
        <is>
          <t>WorldClass</t>
        </is>
      </c>
      <c r="H1206" s="131" t="inlineStr">
        <is>
          <t>LUX</t>
        </is>
      </c>
      <c r="I1206" s="637" t="inlineStr">
        <is>
          <t>Тверская (LUX)</t>
        </is>
      </c>
      <c r="J1206" s="637" t="n"/>
      <c r="K1206" s="640" t="n">
        <v>1</v>
      </c>
      <c r="L1206" s="640" t="n">
        <v>0</v>
      </c>
      <c r="M1206" s="640" t="inlineStr">
        <is>
          <t>Sam 40</t>
        </is>
      </c>
      <c r="N1206" s="640" t="n"/>
      <c r="O1206" s="640">
        <f>IF(AND(N1206=1,L1206=1),K1206,"")</f>
        <v/>
      </c>
      <c r="P1206" s="642" t="inlineStr">
        <is>
          <t>Москва, Большая Грузинская ул., д. 69 (рядом с кассой)</t>
        </is>
      </c>
      <c r="Q1206" s="640" t="n"/>
      <c r="R1206" s="422" t="n"/>
      <c r="S1206" s="436" t="n"/>
      <c r="T1206" s="436" t="n"/>
      <c r="U1206" s="436" t="n"/>
      <c r="V1206" s="438" t="n"/>
      <c r="X1206" s="1" t="n"/>
      <c r="Y1206" s="1" t="n"/>
      <c r="Z1206" s="1" t="n"/>
    </row>
    <row r="1207" hidden="1" ht="16.05" customHeight="1">
      <c r="A1207" s="791" t="n">
        <v>1647</v>
      </c>
      <c r="B1207" s="13">
        <f>IF(OR(M1207="Sam 32",M1207="Sam 40"),"s",IF(M1207="AMS","a","v"))</f>
        <v/>
      </c>
      <c r="C1207" s="130" t="inlineStr">
        <is>
          <t>Москва</t>
        </is>
      </c>
      <c r="D1207" s="130" t="inlineStr">
        <is>
          <t>Москва</t>
        </is>
      </c>
      <c r="E1207" s="130" t="inlineStr">
        <is>
          <t>ЦАО</t>
        </is>
      </c>
      <c r="F1207" s="130" t="n"/>
      <c r="G1207" s="130" t="inlineStr">
        <is>
          <t>WorldClass</t>
        </is>
      </c>
      <c r="H1207" s="131" t="inlineStr">
        <is>
          <t>LUX</t>
        </is>
      </c>
      <c r="I1207" s="637" t="inlineStr">
        <is>
          <t>Тверская (LUX)</t>
        </is>
      </c>
      <c r="J1207" s="637" t="n"/>
      <c r="K1207" s="640" t="n">
        <v>1</v>
      </c>
      <c r="L1207" s="640" t="n">
        <v>0</v>
      </c>
      <c r="M1207" s="640" t="inlineStr">
        <is>
          <t>Sam 40</t>
        </is>
      </c>
      <c r="N1207" s="640" t="n"/>
      <c r="O1207" s="640">
        <f>IF(AND(N1207=1,L1207=1),K1207,"")</f>
        <v/>
      </c>
      <c r="P1207" s="642" t="inlineStr">
        <is>
          <t>Москва, Большая Грузинская ул., д. 69 (женская раздевалка)</t>
        </is>
      </c>
      <c r="Q1207" s="640" t="n"/>
      <c r="R1207" s="422" t="n"/>
      <c r="S1207" s="436" t="n"/>
      <c r="T1207" s="436" t="n"/>
      <c r="U1207" s="436" t="n"/>
      <c r="V1207" s="438" t="n"/>
      <c r="X1207" s="1" t="n"/>
      <c r="Y1207" s="1" t="n"/>
      <c r="Z1207" s="1" t="n"/>
    </row>
    <row r="1208" hidden="1" ht="16.05" customHeight="1">
      <c r="A1208" s="791" t="n">
        <v>1648</v>
      </c>
      <c r="B1208" s="13">
        <f>IF(OR(M1208="Sam 32",M1208="Sam 40"),"s",IF(M1208="AMS","a","v"))</f>
        <v/>
      </c>
      <c r="C1208" s="130" t="inlineStr">
        <is>
          <t>Москва</t>
        </is>
      </c>
      <c r="D1208" s="130" t="inlineStr">
        <is>
          <t>Москва</t>
        </is>
      </c>
      <c r="E1208" s="130" t="inlineStr">
        <is>
          <t>ЦАО</t>
        </is>
      </c>
      <c r="F1208" s="130" t="n"/>
      <c r="G1208" s="130" t="inlineStr">
        <is>
          <t>WorldClass</t>
        </is>
      </c>
      <c r="H1208" s="131" t="inlineStr">
        <is>
          <t>LUX</t>
        </is>
      </c>
      <c r="I1208" s="637" t="inlineStr">
        <is>
          <t>Тверская (LUX)</t>
        </is>
      </c>
      <c r="J1208" s="637" t="n"/>
      <c r="K1208" s="640" t="n">
        <v>1</v>
      </c>
      <c r="L1208" s="640" t="n">
        <v>0</v>
      </c>
      <c r="M1208" s="640" t="inlineStr">
        <is>
          <t>Sam 40</t>
        </is>
      </c>
      <c r="N1208" s="640" t="n"/>
      <c r="O1208" s="640">
        <f>IF(AND(N1208=1,L1208=1),K1208,"")</f>
        <v/>
      </c>
      <c r="P1208" s="642" t="inlineStr">
        <is>
          <t>Москва, Большая Грузинская ул., д. 69 (мужская раздевалка)</t>
        </is>
      </c>
      <c r="Q1208" s="640" t="n"/>
      <c r="R1208" s="422" t="n"/>
      <c r="S1208" s="436" t="n"/>
      <c r="T1208" s="436" t="n"/>
      <c r="U1208" s="436" t="n"/>
      <c r="V1208" s="438" t="n"/>
      <c r="X1208" s="1" t="n"/>
      <c r="Y1208" s="1" t="n"/>
      <c r="Z1208" s="1" t="n"/>
    </row>
    <row r="1209" hidden="1" ht="16.05" customHeight="1">
      <c r="A1209" s="791" t="n">
        <v>1649</v>
      </c>
      <c r="B1209" s="13">
        <f>IF(OR(M1209="Sam 32",M1209="Sam 40"),"s",IF(M1209="AMS","a","v"))</f>
        <v/>
      </c>
      <c r="C1209" s="130" t="inlineStr">
        <is>
          <t>Москва</t>
        </is>
      </c>
      <c r="D1209" s="130" t="inlineStr">
        <is>
          <t>Москва</t>
        </is>
      </c>
      <c r="E1209" s="130" t="inlineStr">
        <is>
          <t>САО</t>
        </is>
      </c>
      <c r="F1209" s="130" t="n"/>
      <c r="G1209" s="130" t="inlineStr">
        <is>
          <t>WorldClass</t>
        </is>
      </c>
      <c r="H1209" s="131" t="inlineStr">
        <is>
          <t>LUX</t>
        </is>
      </c>
      <c r="I1209" s="637" t="inlineStr">
        <is>
          <t>Триумф палас (LUX)</t>
        </is>
      </c>
      <c r="J1209" s="637" t="n"/>
      <c r="K1209" s="640" t="n">
        <v>1</v>
      </c>
      <c r="L1209" s="640" t="n">
        <v>0</v>
      </c>
      <c r="M1209" s="640" t="inlineStr">
        <is>
          <t>Sam 40</t>
        </is>
      </c>
      <c r="N1209" s="640" t="n"/>
      <c r="O1209" s="640">
        <f>IF(AND(N1209=1,L1209=1),K1209,"")</f>
        <v/>
      </c>
      <c r="P1209" s="642" t="inlineStr">
        <is>
          <t>Москва, Чапаевский пер., вл. 3 (рядом с магазином Reebok, проход к раздевалкам, бассейну)</t>
        </is>
      </c>
      <c r="Q1209" s="640" t="n"/>
      <c r="R1209" s="422" t="n"/>
      <c r="S1209" s="436" t="n"/>
      <c r="T1209" s="436" t="n"/>
      <c r="U1209" s="436" t="n"/>
      <c r="V1209" s="438" t="n"/>
      <c r="X1209" s="1" t="n"/>
      <c r="Y1209" s="1" t="n"/>
      <c r="Z1209" s="1" t="n"/>
    </row>
    <row r="1210" hidden="1" ht="16.05" customHeight="1">
      <c r="A1210" s="791" t="n">
        <v>1650</v>
      </c>
      <c r="B1210" s="13">
        <f>IF(OR(M1210="Sam 32",M1210="Sam 40"),"s",IF(M1210="AMS","a","v"))</f>
        <v/>
      </c>
      <c r="C1210" s="130" t="inlineStr">
        <is>
          <t>Москва</t>
        </is>
      </c>
      <c r="D1210" s="130" t="inlineStr">
        <is>
          <t>Москва</t>
        </is>
      </c>
      <c r="E1210" s="130" t="inlineStr">
        <is>
          <t>САО</t>
        </is>
      </c>
      <c r="F1210" s="130" t="n"/>
      <c r="G1210" s="130" t="inlineStr">
        <is>
          <t>WorldClass</t>
        </is>
      </c>
      <c r="H1210" s="131" t="inlineStr">
        <is>
          <t>LUX</t>
        </is>
      </c>
      <c r="I1210" s="637" t="inlineStr">
        <is>
          <t>Триумф палас (LUX)</t>
        </is>
      </c>
      <c r="J1210" s="637" t="n"/>
      <c r="K1210" s="640" t="n">
        <v>1</v>
      </c>
      <c r="L1210" s="640" t="n">
        <v>0</v>
      </c>
      <c r="M1210" s="640" t="inlineStr">
        <is>
          <t>Sam 40</t>
        </is>
      </c>
      <c r="N1210" s="640" t="n"/>
      <c r="O1210" s="640">
        <f>IF(AND(N1210=1,L1210=1),K1210,"")</f>
        <v/>
      </c>
      <c r="P1210" s="642" t="inlineStr">
        <is>
          <t>Москва, Чапаевский пер., вл. 3 (входная зона)</t>
        </is>
      </c>
      <c r="Q1210" s="640" t="n"/>
      <c r="R1210" s="422" t="n"/>
      <c r="S1210" s="436" t="n"/>
      <c r="T1210" s="436" t="n"/>
      <c r="U1210" s="436" t="n"/>
      <c r="V1210" s="438" t="n"/>
      <c r="X1210" s="1" t="n"/>
      <c r="Y1210" s="1" t="n"/>
      <c r="Z1210" s="1" t="n"/>
    </row>
    <row r="1211" hidden="1" ht="16.05" customHeight="1">
      <c r="A1211" s="791" t="n">
        <v>1651</v>
      </c>
      <c r="B1211" s="13">
        <f>IF(OR(M1211="Sam 32",M1211="Sam 40"),"s",IF(M1211="AMS","a","v"))</f>
        <v/>
      </c>
      <c r="C1211" s="130" t="inlineStr">
        <is>
          <t>Москва</t>
        </is>
      </c>
      <c r="D1211" s="130" t="inlineStr">
        <is>
          <t>Москва</t>
        </is>
      </c>
      <c r="E1211" s="130" t="inlineStr">
        <is>
          <t>ЮАО</t>
        </is>
      </c>
      <c r="F1211" s="130" t="n"/>
      <c r="G1211" s="130" t="inlineStr">
        <is>
          <t>WorldClass</t>
        </is>
      </c>
      <c r="H1211" s="131" t="inlineStr">
        <is>
          <t>PREMIUM</t>
        </is>
      </c>
      <c r="I1211" s="637" t="inlineStr">
        <is>
          <t>Тульская (PREMIUM)</t>
        </is>
      </c>
      <c r="J1211" s="637" t="n"/>
      <c r="K1211" s="640" t="n">
        <v>1</v>
      </c>
      <c r="L1211" s="640" t="n">
        <v>0</v>
      </c>
      <c r="M1211" s="640" t="inlineStr">
        <is>
          <t>Sam 40</t>
        </is>
      </c>
      <c r="N1211" s="640" t="n"/>
      <c r="O1211" s="640">
        <f>IF(AND(N1211=1,L1211=1),K1211,"")</f>
        <v/>
      </c>
      <c r="P1211" s="642" t="inlineStr">
        <is>
          <t>Москва, Варшавское ш., д. 12а (напротив ресепшн)</t>
        </is>
      </c>
      <c r="Q1211" s="640" t="n"/>
      <c r="R1211" s="422" t="n"/>
      <c r="S1211" s="436" t="n"/>
      <c r="T1211" s="436" t="n"/>
      <c r="U1211" s="436" t="n"/>
      <c r="V1211" s="438" t="n"/>
      <c r="X1211" s="1" t="n"/>
      <c r="Y1211" s="1" t="n"/>
      <c r="Z1211" s="1" t="n"/>
    </row>
    <row r="1212" hidden="1" ht="16.05" customHeight="1">
      <c r="A1212" s="791" t="n">
        <v>1652</v>
      </c>
      <c r="B1212" s="13">
        <f>IF(OR(M1212="Sam 32",M1212="Sam 40"),"s",IF(M1212="AMS","a","v"))</f>
        <v/>
      </c>
      <c r="C1212" s="130" t="inlineStr">
        <is>
          <t>Москва</t>
        </is>
      </c>
      <c r="D1212" s="130" t="inlineStr">
        <is>
          <t>Москва</t>
        </is>
      </c>
      <c r="E1212" s="130" t="inlineStr">
        <is>
          <t>ЮАО</t>
        </is>
      </c>
      <c r="F1212" s="130" t="n"/>
      <c r="G1212" s="130" t="inlineStr">
        <is>
          <t>WorldClass</t>
        </is>
      </c>
      <c r="H1212" s="131" t="inlineStr">
        <is>
          <t>PREMIUM</t>
        </is>
      </c>
      <c r="I1212" s="637" t="inlineStr">
        <is>
          <t>Тульская (PREMIUM)</t>
        </is>
      </c>
      <c r="J1212" s="637" t="n"/>
      <c r="K1212" s="640" t="n">
        <v>1</v>
      </c>
      <c r="L1212" s="640" t="n">
        <v>0</v>
      </c>
      <c r="M1212" s="640" t="inlineStr">
        <is>
          <t>Sam 40</t>
        </is>
      </c>
      <c r="N1212" s="640" t="n"/>
      <c r="O1212" s="640">
        <f>IF(AND(N1212=1,L1212=1),K1212,"")</f>
        <v/>
      </c>
      <c r="P1212" s="642" t="inlineStr">
        <is>
          <t>Москва, Варшавское ш., д. 12а (женская раздевалка)</t>
        </is>
      </c>
      <c r="Q1212" s="640" t="n"/>
      <c r="R1212" s="422" t="n"/>
      <c r="S1212" s="436" t="n"/>
      <c r="T1212" s="436" t="n"/>
      <c r="U1212" s="436" t="n"/>
      <c r="V1212" s="438" t="n"/>
      <c r="X1212" s="1" t="n"/>
      <c r="Y1212" s="1" t="n"/>
      <c r="Z1212" s="1" t="n"/>
    </row>
    <row r="1213" hidden="1" ht="16.05" customHeight="1">
      <c r="A1213" s="791" t="n">
        <v>1653</v>
      </c>
      <c r="B1213" s="13">
        <f>IF(OR(M1213="Sam 32",M1213="Sam 40"),"s",IF(M1213="AMS","a","v"))</f>
        <v/>
      </c>
      <c r="C1213" s="130" t="inlineStr">
        <is>
          <t>Москва</t>
        </is>
      </c>
      <c r="D1213" s="130" t="inlineStr">
        <is>
          <t>Москва</t>
        </is>
      </c>
      <c r="E1213" s="130" t="inlineStr">
        <is>
          <t>ЮАО</t>
        </is>
      </c>
      <c r="F1213" s="130" t="n"/>
      <c r="G1213" s="130" t="inlineStr">
        <is>
          <t>WorldClass</t>
        </is>
      </c>
      <c r="H1213" s="131" t="inlineStr">
        <is>
          <t>PREMIUM</t>
        </is>
      </c>
      <c r="I1213" s="637" t="inlineStr">
        <is>
          <t>Тульская (PREMIUM)</t>
        </is>
      </c>
      <c r="J1213" s="637" t="n"/>
      <c r="K1213" s="640" t="n">
        <v>1</v>
      </c>
      <c r="L1213" s="640" t="n">
        <v>0</v>
      </c>
      <c r="M1213" s="640" t="inlineStr">
        <is>
          <t>Sam 40</t>
        </is>
      </c>
      <c r="N1213" s="640" t="n"/>
      <c r="O1213" s="640">
        <f>IF(AND(N1213=1,L1213=1),K1213,"")</f>
        <v/>
      </c>
      <c r="P1213" s="642" t="inlineStr">
        <is>
          <t>Москва, Варшавское ш., д. 12а (мужская раздевалка)</t>
        </is>
      </c>
      <c r="Q1213" s="640" t="n"/>
      <c r="R1213" s="422" t="n"/>
      <c r="S1213" s="436" t="n"/>
      <c r="T1213" s="436" t="n"/>
      <c r="U1213" s="436" t="n"/>
      <c r="V1213" s="438" t="n"/>
      <c r="X1213" s="1" t="n"/>
      <c r="Y1213" s="1" t="n"/>
      <c r="Z1213" s="1" t="n"/>
    </row>
    <row r="1214" hidden="1" ht="16.05" customHeight="1">
      <c r="A1214" s="791" t="n">
        <v>1654</v>
      </c>
      <c r="B1214" s="13">
        <f>IF(OR(M1214="Sam 32",M1214="Sam 40"),"s",IF(M1214="AMS","a","v"))</f>
        <v/>
      </c>
      <c r="C1214" s="130" t="inlineStr">
        <is>
          <t>Москва</t>
        </is>
      </c>
      <c r="D1214" s="130" t="inlineStr">
        <is>
          <t>Москва</t>
        </is>
      </c>
      <c r="E1214" s="130" t="inlineStr">
        <is>
          <t>СВАО</t>
        </is>
      </c>
      <c r="F1214" s="130" t="n"/>
      <c r="G1214" s="130" t="inlineStr">
        <is>
          <t>WorldClass</t>
        </is>
      </c>
      <c r="H1214" s="131" t="inlineStr">
        <is>
          <t>PREMIUM</t>
        </is>
      </c>
      <c r="I1214" s="637" t="inlineStr">
        <is>
          <t>Шереметьевская (PREMIUM)</t>
        </is>
      </c>
      <c r="J1214" s="637" t="n"/>
      <c r="K1214" s="640" t="n">
        <v>1</v>
      </c>
      <c r="L1214" s="640" t="n">
        <v>0</v>
      </c>
      <c r="M1214" s="640" t="inlineStr">
        <is>
          <t>Sam 40</t>
        </is>
      </c>
      <c r="N1214" s="640" t="n"/>
      <c r="O1214" s="640">
        <f>IF(AND(N1214=1,L1214=1),K1214,"")</f>
        <v/>
      </c>
      <c r="P1214" s="642" t="inlineStr">
        <is>
          <t>Москва, 12-й проезд Марьиной Рощи, вл. 9, стр. 2 (зона ресепшн)</t>
        </is>
      </c>
      <c r="Q1214" s="640" t="n"/>
      <c r="R1214" s="422" t="n"/>
      <c r="S1214" s="436" t="n"/>
      <c r="T1214" s="436" t="n"/>
      <c r="U1214" s="436" t="n"/>
      <c r="V1214" s="438" t="n"/>
      <c r="X1214" s="1" t="n"/>
      <c r="Y1214" s="1" t="n"/>
      <c r="Z1214" s="1" t="n"/>
    </row>
    <row r="1215" hidden="1" ht="16.05" customHeight="1">
      <c r="A1215" s="791" t="n">
        <v>1655</v>
      </c>
      <c r="B1215" s="13">
        <f>IF(OR(M1215="Sam 32",M1215="Sam 40"),"s",IF(M1215="AMS","a","v"))</f>
        <v/>
      </c>
      <c r="C1215" s="130" t="inlineStr">
        <is>
          <t>Москва</t>
        </is>
      </c>
      <c r="D1215" s="130" t="inlineStr">
        <is>
          <t>Москва</t>
        </is>
      </c>
      <c r="E1215" s="130" t="inlineStr">
        <is>
          <t>ЮАО</t>
        </is>
      </c>
      <c r="F1215" s="130" t="n"/>
      <c r="G1215" s="130" t="inlineStr">
        <is>
          <t>WorldClass</t>
        </is>
      </c>
      <c r="H1215" s="131" t="inlineStr">
        <is>
          <t>PREMIUM</t>
        </is>
      </c>
      <c r="I1215" s="637" t="inlineStr">
        <is>
          <t>Юго-Западная (PREMIUM Нефтяной дом)</t>
        </is>
      </c>
      <c r="J1215" s="637" t="n"/>
      <c r="K1215" s="640" t="n">
        <v>1</v>
      </c>
      <c r="L1215" s="640" t="n">
        <v>0</v>
      </c>
      <c r="M1215" s="640" t="inlineStr">
        <is>
          <t>Sam 40</t>
        </is>
      </c>
      <c r="N1215" s="640" t="n"/>
      <c r="O1215" s="640">
        <f>IF(AND(N1215=1,L1215=1),K1215,"")</f>
        <v/>
      </c>
      <c r="P1215" s="642" t="inlineStr">
        <is>
          <t>Москва, Вернадского пр-т, д. 101, стр. 3 (лестничный пролет между 1-м и 2-м этажами)</t>
        </is>
      </c>
      <c r="Q1215" s="640" t="n"/>
      <c r="R1215" s="422" t="n"/>
      <c r="S1215" s="436" t="n"/>
      <c r="T1215" s="436" t="n"/>
      <c r="U1215" s="436" t="n"/>
      <c r="V1215" s="438" t="n"/>
      <c r="X1215" s="1" t="n"/>
      <c r="Y1215" s="1" t="n"/>
      <c r="Z1215" s="1" t="n"/>
    </row>
    <row r="1216" hidden="1" ht="16.05" customHeight="1">
      <c r="A1216" s="791" t="n">
        <v>1656</v>
      </c>
      <c r="B1216" s="13">
        <f>IF(OR(M1216="Sam 32",M1216="Sam 40"),"s",IF(M1216="AMS","a","v"))</f>
        <v/>
      </c>
      <c r="C1216" s="130" t="inlineStr">
        <is>
          <t>Москва</t>
        </is>
      </c>
      <c r="D1216" s="130" t="inlineStr">
        <is>
          <t>Москва</t>
        </is>
      </c>
      <c r="E1216" s="130" t="inlineStr">
        <is>
          <t>ЮАО</t>
        </is>
      </c>
      <c r="F1216" s="130" t="n"/>
      <c r="G1216" s="130" t="inlineStr">
        <is>
          <t>WorldClass</t>
        </is>
      </c>
      <c r="H1216" s="131" t="inlineStr">
        <is>
          <t>PREMIUM</t>
        </is>
      </c>
      <c r="I1216" s="637" t="inlineStr">
        <is>
          <t>Юго-Западная (PREMIUM Нефтяной дом)</t>
        </is>
      </c>
      <c r="J1216" s="637" t="n"/>
      <c r="K1216" s="640" t="n">
        <v>1</v>
      </c>
      <c r="L1216" s="640" t="n">
        <v>0</v>
      </c>
      <c r="M1216" s="640" t="inlineStr">
        <is>
          <t>Sam 40</t>
        </is>
      </c>
      <c r="N1216" s="640" t="n"/>
      <c r="O1216" s="640">
        <f>IF(AND(N1216=1,L1216=1),K1216,"")</f>
        <v/>
      </c>
      <c r="P1216" s="642" t="inlineStr">
        <is>
          <t>Москва, Вернадского пр-т, д. 101, стр. 3 (лестничный пролет между 2-м и 3-м этажами)</t>
        </is>
      </c>
      <c r="Q1216" s="640" t="n"/>
      <c r="R1216" s="422" t="n"/>
      <c r="S1216" s="436" t="n"/>
      <c r="T1216" s="436" t="n"/>
      <c r="U1216" s="436" t="n"/>
      <c r="V1216" s="438" t="n"/>
      <c r="X1216" s="1" t="n"/>
      <c r="Y1216" s="1" t="n"/>
      <c r="Z1216" s="1" t="n"/>
    </row>
    <row r="1217" hidden="1" ht="16.05" customHeight="1">
      <c r="A1217" s="791" t="n">
        <v>1657</v>
      </c>
      <c r="B1217" s="13">
        <f>IF(OR(M1217="Sam 32",M1217="Sam 40"),"s",IF(M1217="AMS","a","v"))</f>
        <v/>
      </c>
      <c r="C1217" s="130" t="inlineStr">
        <is>
          <t>Москва</t>
        </is>
      </c>
      <c r="D1217" s="130" t="inlineStr">
        <is>
          <t>Москва</t>
        </is>
      </c>
      <c r="E1217" s="130" t="inlineStr">
        <is>
          <t>ЗАО</t>
        </is>
      </c>
      <c r="F1217" s="130" t="n"/>
      <c r="G1217" s="130" t="inlineStr">
        <is>
          <t>WorldClass</t>
        </is>
      </c>
      <c r="H1217" s="131" t="inlineStr">
        <is>
          <t>PREMIUM</t>
        </is>
      </c>
      <c r="I1217" s="637" t="inlineStr">
        <is>
          <t>Ярцевская (PREMIUM)</t>
        </is>
      </c>
      <c r="J1217" s="637" t="n"/>
      <c r="K1217" s="640" t="n">
        <v>1</v>
      </c>
      <c r="L1217" s="640" t="n">
        <v>0</v>
      </c>
      <c r="M1217" s="640" t="inlineStr">
        <is>
          <t>Sam 40</t>
        </is>
      </c>
      <c r="N1217" s="640" t="n"/>
      <c r="O1217" s="640">
        <f>IF(AND(N1217=1,L1217=1),K1217,"")</f>
        <v/>
      </c>
      <c r="P1217" s="642" t="inlineStr">
        <is>
          <t>Москва, Ярцевская ул., вл. 19  (напротив ресепшен)</t>
        </is>
      </c>
      <c r="Q1217" s="640" t="n"/>
      <c r="R1217" s="422" t="n"/>
      <c r="S1217" s="436" t="n"/>
      <c r="T1217" s="436" t="n"/>
      <c r="U1217" s="436" t="n"/>
      <c r="V1217" s="438" t="n"/>
      <c r="X1217" s="1" t="n"/>
      <c r="Y1217" s="1" t="n"/>
      <c r="Z1217" s="1" t="n"/>
    </row>
    <row r="1218" hidden="1" ht="16.05" customHeight="1">
      <c r="A1218" s="791" t="n">
        <v>1658</v>
      </c>
      <c r="B1218" s="13">
        <f>IF(OR(M1218="Sam 32",M1218="Sam 40"),"s",IF(M1218="AMS","a","v"))</f>
        <v/>
      </c>
      <c r="C1218" s="130" t="inlineStr">
        <is>
          <t>Москва</t>
        </is>
      </c>
      <c r="D1218" s="130" t="inlineStr">
        <is>
          <t>Москва</t>
        </is>
      </c>
      <c r="E1218" s="130" t="inlineStr">
        <is>
          <t>ЗАО</t>
        </is>
      </c>
      <c r="F1218" s="130" t="n"/>
      <c r="G1218" s="130" t="inlineStr">
        <is>
          <t>WorldClass</t>
        </is>
      </c>
      <c r="H1218" s="131" t="inlineStr">
        <is>
          <t>PREMIUM</t>
        </is>
      </c>
      <c r="I1218" s="637" t="inlineStr">
        <is>
          <t>Ярцевская (PREMIUM)</t>
        </is>
      </c>
      <c r="J1218" s="637" t="n"/>
      <c r="K1218" s="640" t="n">
        <v>1</v>
      </c>
      <c r="L1218" s="640" t="n">
        <v>0</v>
      </c>
      <c r="M1218" s="640" t="inlineStr">
        <is>
          <t>Sam 40</t>
        </is>
      </c>
      <c r="N1218" s="640" t="n"/>
      <c r="O1218" s="640">
        <f>IF(AND(N1218=1,L1218=1),K1218,"")</f>
        <v/>
      </c>
      <c r="P1218" s="642" t="inlineStr">
        <is>
          <t>Москва, Ярцевская ул., вл. 19  (рядом с гардеробом)</t>
        </is>
      </c>
      <c r="Q1218" s="640" t="n"/>
      <c r="R1218" s="422" t="n"/>
      <c r="S1218" s="436" t="n"/>
      <c r="T1218" s="436" t="n"/>
      <c r="U1218" s="436" t="n"/>
      <c r="V1218" s="438" t="n"/>
      <c r="X1218" s="1" t="n"/>
      <c r="Y1218" s="1" t="n"/>
      <c r="Z1218" s="1" t="n"/>
    </row>
    <row r="1219" hidden="1" ht="16.05" customHeight="1">
      <c r="A1219" s="791" t="n">
        <v>1659</v>
      </c>
      <c r="B1219" s="13">
        <f>IF(OR(M1219="Sam 32",M1219="Sam 40"),"s",IF(M1219="AMS","a","v"))</f>
        <v/>
      </c>
      <c r="C1219" s="130" t="inlineStr">
        <is>
          <t>Москва</t>
        </is>
      </c>
      <c r="D1219" s="130" t="inlineStr">
        <is>
          <t>Москва</t>
        </is>
      </c>
      <c r="E1219" s="130" t="inlineStr">
        <is>
          <t>САО</t>
        </is>
      </c>
      <c r="F1219" s="130" t="n"/>
      <c r="G1219" s="130" t="inlineStr">
        <is>
          <t>WorldClass</t>
        </is>
      </c>
      <c r="H1219" s="131" t="inlineStr">
        <is>
          <t>LITE</t>
        </is>
      </c>
      <c r="I1219" s="637" t="inlineStr">
        <is>
          <t>Варшавка (LITE)</t>
        </is>
      </c>
      <c r="J1219" s="637" t="n"/>
      <c r="K1219" s="640" t="n">
        <v>1</v>
      </c>
      <c r="L1219" s="640" t="n">
        <v>0</v>
      </c>
      <c r="M1219" s="640" t="inlineStr">
        <is>
          <t>Sam 40</t>
        </is>
      </c>
      <c r="N1219" s="640" t="n"/>
      <c r="O1219" s="640">
        <f>IF(AND(N1219=1,L1219=1),K1219,"")</f>
        <v/>
      </c>
      <c r="P1219" s="642" t="inlineStr">
        <is>
          <t>Москва, Варшавское ш., д. 122А (зона ресепшн)</t>
        </is>
      </c>
      <c r="Q1219" s="640" t="n"/>
      <c r="R1219" s="422" t="n"/>
      <c r="S1219" s="436" t="n"/>
      <c r="T1219" s="436" t="n"/>
      <c r="U1219" s="436" t="n"/>
      <c r="V1219" s="438" t="n"/>
      <c r="X1219" s="1" t="n"/>
      <c r="Y1219" s="1" t="n"/>
      <c r="Z1219" s="1" t="n"/>
    </row>
    <row r="1220" hidden="1" ht="16.05" customHeight="1">
      <c r="A1220" s="791" t="n">
        <v>1660</v>
      </c>
      <c r="B1220" s="13">
        <f>IF(OR(M1220="Sam 32",M1220="Sam 40"),"s",IF(M1220="AMS","a","v"))</f>
        <v/>
      </c>
      <c r="C1220" s="130" t="inlineStr">
        <is>
          <t>Москва</t>
        </is>
      </c>
      <c r="D1220" s="130" t="inlineStr">
        <is>
          <t>Москва</t>
        </is>
      </c>
      <c r="E1220" s="130" t="inlineStr">
        <is>
          <t>САО</t>
        </is>
      </c>
      <c r="F1220" s="130" t="n"/>
      <c r="G1220" s="130" t="inlineStr">
        <is>
          <t>WorldClass</t>
        </is>
      </c>
      <c r="H1220" s="131" t="inlineStr">
        <is>
          <t>LITE</t>
        </is>
      </c>
      <c r="I1220" s="637" t="inlineStr">
        <is>
          <t>Варшавка (LITE)</t>
        </is>
      </c>
      <c r="J1220" s="637" t="n"/>
      <c r="K1220" s="640" t="n">
        <v>1</v>
      </c>
      <c r="L1220" s="640" t="n">
        <v>0</v>
      </c>
      <c r="M1220" s="640" t="inlineStr">
        <is>
          <t>Sam 40</t>
        </is>
      </c>
      <c r="N1220" s="640" t="n"/>
      <c r="O1220" s="640">
        <f>IF(AND(N1220=1,L1220=1),K1220,"")</f>
        <v/>
      </c>
      <c r="P1220" s="642" t="inlineStr">
        <is>
          <t>Москва, Варшавское ш., д. 122А (коридор, проход к раздевалкам, зона отдыха)</t>
        </is>
      </c>
      <c r="Q1220" s="640" t="n"/>
      <c r="R1220" s="422" t="n"/>
      <c r="S1220" s="436" t="n"/>
      <c r="T1220" s="436" t="n"/>
      <c r="U1220" s="436" t="n"/>
      <c r="V1220" s="438" t="n"/>
      <c r="X1220" s="1" t="n"/>
      <c r="Y1220" s="1" t="n"/>
      <c r="Z1220" s="1" t="n"/>
    </row>
    <row r="1221" hidden="1" ht="16.05" customHeight="1">
      <c r="A1221" s="791" t="n">
        <v>1661</v>
      </c>
      <c r="B1221" s="13">
        <f>IF(OR(M1221="Sam 32",M1221="Sam 40"),"s",IF(M1221="AMS","a","v"))</f>
        <v/>
      </c>
      <c r="C1221" s="130" t="inlineStr">
        <is>
          <t>Москва</t>
        </is>
      </c>
      <c r="D1221" s="130" t="inlineStr">
        <is>
          <t>Москва</t>
        </is>
      </c>
      <c r="E1221" s="130" t="inlineStr">
        <is>
          <t>ЗАО</t>
        </is>
      </c>
      <c r="F1221" s="130" t="n"/>
      <c r="G1221" s="130" t="inlineStr">
        <is>
          <t>WorldClass</t>
        </is>
      </c>
      <c r="H1221" s="131" t="inlineStr">
        <is>
          <t>LITE</t>
        </is>
      </c>
      <c r="I1221" s="637" t="inlineStr">
        <is>
          <t>Воробьевы горы (LITE)</t>
        </is>
      </c>
      <c r="J1221" s="637" t="n"/>
      <c r="K1221" s="640" t="n">
        <v>1</v>
      </c>
      <c r="L1221" s="640" t="n">
        <v>0</v>
      </c>
      <c r="M1221" s="640" t="inlineStr">
        <is>
          <t>Sam 40</t>
        </is>
      </c>
      <c r="N1221" s="640" t="n"/>
      <c r="O1221" s="640">
        <f>IF(AND(N1221=1,L1221=1),K1221,"")</f>
        <v/>
      </c>
      <c r="P1221" s="642" t="inlineStr">
        <is>
          <t>Москва, Мосфильмовская ул., д. 70 (зона кафе)</t>
        </is>
      </c>
      <c r="Q1221" s="640" t="n"/>
      <c r="R1221" s="422" t="n"/>
      <c r="S1221" s="436" t="n"/>
      <c r="T1221" s="436" t="n"/>
      <c r="U1221" s="436" t="n"/>
      <c r="V1221" s="438" t="n"/>
      <c r="X1221" s="1" t="n"/>
      <c r="Y1221" s="1" t="n"/>
      <c r="Z1221" s="1" t="n"/>
    </row>
    <row r="1222" hidden="1" ht="16.05" customHeight="1">
      <c r="A1222" s="791" t="n">
        <v>1662</v>
      </c>
      <c r="B1222" s="13">
        <f>IF(OR(M1222="Sam 32",M1222="Sam 40"),"s",IF(M1222="AMS","a","v"))</f>
        <v/>
      </c>
      <c r="C1222" s="130" t="inlineStr">
        <is>
          <t>Москва</t>
        </is>
      </c>
      <c r="D1222" s="130" t="inlineStr">
        <is>
          <t>Москва</t>
        </is>
      </c>
      <c r="E1222" s="130" t="inlineStr">
        <is>
          <t>ЗАО</t>
        </is>
      </c>
      <c r="F1222" s="130" t="n"/>
      <c r="G1222" s="130" t="inlineStr">
        <is>
          <t>WorldClass</t>
        </is>
      </c>
      <c r="H1222" s="131" t="inlineStr">
        <is>
          <t>LITE</t>
        </is>
      </c>
      <c r="I1222" s="637" t="inlineStr">
        <is>
          <t>Воробьевы горы (LITE)</t>
        </is>
      </c>
      <c r="J1222" s="637" t="n"/>
      <c r="K1222" s="640" t="n">
        <v>1</v>
      </c>
      <c r="L1222" s="640" t="n">
        <v>0</v>
      </c>
      <c r="M1222" s="640" t="inlineStr">
        <is>
          <t>Sam 40</t>
        </is>
      </c>
      <c r="N1222" s="640" t="n"/>
      <c r="O1222" s="640">
        <f>IF(AND(N1222=1,L1222=1),K1222,"")</f>
        <v/>
      </c>
      <c r="P1222" s="642" t="inlineStr">
        <is>
          <t>Москва, Мосфильмовская ул., д. 70 (тренажерный зал, под часами)</t>
        </is>
      </c>
      <c r="Q1222" s="640" t="n"/>
      <c r="R1222" s="422" t="n"/>
      <c r="S1222" s="436" t="n"/>
      <c r="T1222" s="436" t="n"/>
      <c r="U1222" s="436" t="n"/>
      <c r="V1222" s="438" t="n"/>
      <c r="X1222" s="1" t="n"/>
      <c r="Y1222" s="1" t="n"/>
      <c r="Z1222" s="1" t="n"/>
    </row>
    <row r="1223" hidden="1" ht="16.05" customHeight="1">
      <c r="A1223" s="791" t="n">
        <v>1663</v>
      </c>
      <c r="B1223" s="13">
        <f>IF(OR(M1223="Sam 32",M1223="Sam 40"),"s",IF(M1223="AMS","a","v"))</f>
        <v/>
      </c>
      <c r="C1223" s="130" t="inlineStr">
        <is>
          <t>Москва</t>
        </is>
      </c>
      <c r="D1223" s="130" t="inlineStr">
        <is>
          <t>Москва</t>
        </is>
      </c>
      <c r="E1223" s="130" t="inlineStr">
        <is>
          <t>СЗАО</t>
        </is>
      </c>
      <c r="F1223" s="130" t="n"/>
      <c r="G1223" s="130" t="inlineStr">
        <is>
          <t>WorldClass</t>
        </is>
      </c>
      <c r="H1223" s="131" t="inlineStr">
        <is>
          <t>LITE</t>
        </is>
      </c>
      <c r="I1223" s="637" t="inlineStr">
        <is>
          <t>Лодочная (LITE)</t>
        </is>
      </c>
      <c r="J1223" s="637" t="n"/>
      <c r="K1223" s="640" t="n">
        <v>1</v>
      </c>
      <c r="L1223" s="640" t="n">
        <v>0</v>
      </c>
      <c r="M1223" s="640" t="inlineStr">
        <is>
          <t>Sam 40</t>
        </is>
      </c>
      <c r="N1223" s="640" t="n"/>
      <c r="O1223" s="640">
        <f>IF(AND(N1223=1,L1223=1),K1223,"")</f>
        <v/>
      </c>
      <c r="P1223" s="642" t="inlineStr">
        <is>
          <t>Москва, Лодочная ул., д. 43 (входная зона, рядом с ресепшн)</t>
        </is>
      </c>
      <c r="Q1223" s="640" t="n"/>
      <c r="R1223" s="422" t="n"/>
      <c r="S1223" s="436" t="n"/>
      <c r="T1223" s="436" t="n"/>
      <c r="U1223" s="436" t="n"/>
      <c r="V1223" s="438" t="n"/>
      <c r="X1223" s="1" t="n"/>
      <c r="Y1223" s="1" t="n"/>
      <c r="Z1223" s="1" t="n"/>
    </row>
    <row r="1224" hidden="1" ht="16.05" customHeight="1">
      <c r="A1224" s="791" t="n">
        <v>1664</v>
      </c>
      <c r="B1224" s="13">
        <f>IF(OR(M1224="Sam 32",M1224="Sam 40"),"s",IF(M1224="AMS","a","v"))</f>
        <v/>
      </c>
      <c r="C1224" s="130" t="inlineStr">
        <is>
          <t>Москва</t>
        </is>
      </c>
      <c r="D1224" s="130" t="inlineStr">
        <is>
          <t>Москва</t>
        </is>
      </c>
      <c r="E1224" s="130" t="inlineStr">
        <is>
          <t>СЗАО</t>
        </is>
      </c>
      <c r="F1224" s="130" t="n"/>
      <c r="G1224" s="130" t="inlineStr">
        <is>
          <t>WorldClass</t>
        </is>
      </c>
      <c r="H1224" s="131" t="inlineStr">
        <is>
          <t>LITE</t>
        </is>
      </c>
      <c r="I1224" s="637" t="inlineStr">
        <is>
          <t>Лодочная (LITE)</t>
        </is>
      </c>
      <c r="J1224" s="637" t="n"/>
      <c r="K1224" s="640" t="n">
        <v>1</v>
      </c>
      <c r="L1224" s="640" t="n">
        <v>0</v>
      </c>
      <c r="M1224" s="640" t="inlineStr">
        <is>
          <t>Sam 40</t>
        </is>
      </c>
      <c r="N1224" s="640" t="n"/>
      <c r="O1224" s="640">
        <f>IF(AND(N1224=1,L1224=1),K1224,"")</f>
        <v/>
      </c>
      <c r="P1224" s="642" t="inlineStr">
        <is>
          <t>Москва, Лодочная ул., д. 43 (зона отдыха, рядом залы групповых программ, детский клуб)</t>
        </is>
      </c>
      <c r="Q1224" s="640" t="n"/>
      <c r="R1224" s="422" t="n"/>
      <c r="S1224" s="436" t="n"/>
      <c r="T1224" s="436" t="n"/>
      <c r="U1224" s="436" t="n"/>
      <c r="V1224" s="438" t="n"/>
      <c r="X1224" s="1" t="n"/>
      <c r="Y1224" s="1" t="n"/>
      <c r="Z1224" s="1" t="n"/>
    </row>
    <row r="1225" hidden="1" ht="16.05" customHeight="1">
      <c r="A1225" s="791" t="n">
        <v>1665</v>
      </c>
      <c r="B1225" s="13">
        <f>IF(OR(M1225="Sam 32",M1225="Sam 40"),"s",IF(M1225="AMS","a","v"))</f>
        <v/>
      </c>
      <c r="C1225" s="130" t="inlineStr">
        <is>
          <t>Москва</t>
        </is>
      </c>
      <c r="D1225" s="130" t="inlineStr">
        <is>
          <t>Москва</t>
        </is>
      </c>
      <c r="E1225" s="130" t="inlineStr">
        <is>
          <t>СЗАО</t>
        </is>
      </c>
      <c r="F1225" s="130" t="n"/>
      <c r="G1225" s="130" t="inlineStr">
        <is>
          <t>WorldClass</t>
        </is>
      </c>
      <c r="H1225" s="131" t="inlineStr">
        <is>
          <t>LITE</t>
        </is>
      </c>
      <c r="I1225" s="637" t="inlineStr">
        <is>
          <t>Митино (LITE)</t>
        </is>
      </c>
      <c r="J1225" s="637" t="n"/>
      <c r="K1225" s="640" t="n">
        <v>1</v>
      </c>
      <c r="L1225" s="640" t="n">
        <v>0</v>
      </c>
      <c r="M1225" s="640" t="inlineStr">
        <is>
          <t>Sam 40</t>
        </is>
      </c>
      <c r="N1225" s="640" t="n"/>
      <c r="O1225" s="640">
        <f>IF(AND(N1225=1,L1225=1),K1225,"")</f>
        <v/>
      </c>
      <c r="P1225" s="642" t="inlineStr">
        <is>
          <t>Москва, Пятницкое ш., д. 29, корп. 5 (зона ресепшен)</t>
        </is>
      </c>
      <c r="Q1225" s="640" t="n"/>
      <c r="R1225" s="422" t="n"/>
      <c r="S1225" s="436" t="n"/>
      <c r="T1225" s="436" t="n"/>
      <c r="U1225" s="436" t="n"/>
      <c r="V1225" s="438" t="n"/>
      <c r="X1225" s="1" t="n"/>
      <c r="Y1225" s="1" t="n"/>
      <c r="Z1225" s="1" t="n"/>
    </row>
    <row r="1226" hidden="1" ht="16.05" customHeight="1">
      <c r="A1226" s="791" t="n">
        <v>1666</v>
      </c>
      <c r="B1226" s="13">
        <f>IF(OR(M1226="Sam 32",M1226="Sam 40"),"s",IF(M1226="AMS","a","v"))</f>
        <v/>
      </c>
      <c r="C1226" s="130" t="inlineStr">
        <is>
          <t>Москва</t>
        </is>
      </c>
      <c r="D1226" s="130" t="inlineStr">
        <is>
          <t>Москва</t>
        </is>
      </c>
      <c r="E1226" s="130" t="inlineStr">
        <is>
          <t>СЗАО</t>
        </is>
      </c>
      <c r="F1226" s="130" t="n"/>
      <c r="G1226" s="130" t="inlineStr">
        <is>
          <t>WorldClass</t>
        </is>
      </c>
      <c r="H1226" s="131" t="inlineStr">
        <is>
          <t>LITE</t>
        </is>
      </c>
      <c r="I1226" s="637" t="inlineStr">
        <is>
          <t>Полежаевская (LITE)</t>
        </is>
      </c>
      <c r="J1226" s="637" t="n"/>
      <c r="K1226" s="640" t="n">
        <v>1</v>
      </c>
      <c r="L1226" s="640" t="n">
        <v>0</v>
      </c>
      <c r="M1226" s="640" t="inlineStr">
        <is>
          <t>Sam 40</t>
        </is>
      </c>
      <c r="N1226" s="640" t="n"/>
      <c r="O1226" s="640">
        <f>IF(AND(N1226=1,L1226=1),K1226,"")</f>
        <v/>
      </c>
      <c r="P1226" s="642" t="inlineStr">
        <is>
          <t>Москва, Д. Бедного ул., д. 4, корп. 2 (зона ресепшн)</t>
        </is>
      </c>
      <c r="Q1226" s="640" t="n"/>
      <c r="R1226" s="422" t="n"/>
      <c r="S1226" s="436" t="n"/>
      <c r="T1226" s="436" t="n"/>
      <c r="U1226" s="436" t="n"/>
      <c r="V1226" s="438" t="n"/>
      <c r="X1226" s="1" t="n"/>
      <c r="Y1226" s="1" t="n"/>
      <c r="Z1226" s="1" t="n"/>
    </row>
    <row r="1227" hidden="1" ht="16.05" customHeight="1">
      <c r="A1227" s="791" t="n">
        <v>1667</v>
      </c>
      <c r="B1227" s="13">
        <f>IF(OR(M1227="Sam 32",M1227="Sam 40"),"s",IF(M1227="AMS","a","v"))</f>
        <v/>
      </c>
      <c r="C1227" s="130" t="inlineStr">
        <is>
          <t>Москва</t>
        </is>
      </c>
      <c r="D1227" s="130" t="inlineStr">
        <is>
          <t>Москва</t>
        </is>
      </c>
      <c r="E1227" s="130" t="inlineStr">
        <is>
          <t>СЗАО</t>
        </is>
      </c>
      <c r="F1227" s="130" t="n"/>
      <c r="G1227" s="130" t="inlineStr">
        <is>
          <t>WorldClass</t>
        </is>
      </c>
      <c r="H1227" s="131" t="inlineStr">
        <is>
          <t>LITE</t>
        </is>
      </c>
      <c r="I1227" s="637" t="inlineStr">
        <is>
          <t>Полежаевская (LITE)</t>
        </is>
      </c>
      <c r="J1227" s="637" t="n"/>
      <c r="K1227" s="640" t="n">
        <v>1</v>
      </c>
      <c r="L1227" s="640" t="n">
        <v>0</v>
      </c>
      <c r="M1227" s="640" t="inlineStr">
        <is>
          <t>Sam 40</t>
        </is>
      </c>
      <c r="N1227" s="640" t="n"/>
      <c r="O1227" s="640">
        <f>IF(AND(N1227=1,L1227=1),K1227,"")</f>
        <v/>
      </c>
      <c r="P1227" s="642" t="inlineStr">
        <is>
          <t>Москва, Д. Бедного ул., д. 4, корп. 2 (тренажерный зал, проход к раздевалкам)</t>
        </is>
      </c>
      <c r="Q1227" s="640" t="n"/>
      <c r="R1227" s="422" t="n"/>
      <c r="S1227" s="436" t="n"/>
      <c r="T1227" s="436" t="n"/>
      <c r="U1227" s="436" t="n"/>
      <c r="V1227" s="438" t="n"/>
      <c r="X1227" s="1" t="n"/>
      <c r="Y1227" s="1" t="n"/>
      <c r="Z1227" s="1" t="n"/>
    </row>
    <row r="1228" hidden="1" ht="16.05" customHeight="1">
      <c r="A1228" s="791" t="n">
        <v>1668</v>
      </c>
      <c r="B1228" s="13">
        <f>IF(OR(M1228="Sam 32",M1228="Sam 40"),"s",IF(M1228="AMS","a","v"))</f>
        <v/>
      </c>
      <c r="C1228" s="130" t="inlineStr">
        <is>
          <t>Москва</t>
        </is>
      </c>
      <c r="D1228" s="130" t="inlineStr">
        <is>
          <t>Москва</t>
        </is>
      </c>
      <c r="E1228" s="130" t="inlineStr">
        <is>
          <t>ЮЗАО</t>
        </is>
      </c>
      <c r="F1228" s="130" t="n"/>
      <c r="G1228" s="130" t="inlineStr">
        <is>
          <t>WorldClass</t>
        </is>
      </c>
      <c r="H1228" s="131" t="inlineStr">
        <is>
          <t>LITE</t>
        </is>
      </c>
      <c r="I1228" s="637" t="inlineStr">
        <is>
          <t>Севастопольский (LITE)</t>
        </is>
      </c>
      <c r="J1228" s="637" t="n"/>
      <c r="K1228" s="640" t="n">
        <v>1</v>
      </c>
      <c r="L1228" s="640" t="n">
        <v>0</v>
      </c>
      <c r="M1228" s="640" t="inlineStr">
        <is>
          <t>Sam 40</t>
        </is>
      </c>
      <c r="N1228" s="640" t="n"/>
      <c r="O1228" s="640">
        <f>IF(AND(N1228=1,L1228=1),K1228,"")</f>
        <v/>
      </c>
      <c r="P1228" s="642" t="inlineStr">
        <is>
          <t>Москва, Севастопольский пр-т, д. 28Г (напротив ресепшн)</t>
        </is>
      </c>
      <c r="Q1228" s="640" t="n"/>
      <c r="R1228" s="422" t="n"/>
      <c r="S1228" s="436" t="n"/>
      <c r="T1228" s="436" t="n"/>
      <c r="U1228" s="436" t="n"/>
      <c r="V1228" s="438" t="n"/>
      <c r="X1228" s="1" t="n"/>
      <c r="Y1228" s="1" t="n"/>
      <c r="Z1228" s="1" t="n"/>
    </row>
    <row r="1229" hidden="1" ht="16.05" customHeight="1">
      <c r="A1229" s="791" t="n">
        <v>1669</v>
      </c>
      <c r="B1229" s="13">
        <f>IF(OR(M1229="Sam 32",M1229="Sam 40"),"s",IF(M1229="AMS","a","v"))</f>
        <v/>
      </c>
      <c r="C1229" s="130" t="inlineStr">
        <is>
          <t>Москва</t>
        </is>
      </c>
      <c r="D1229" s="130" t="inlineStr">
        <is>
          <t>Москва</t>
        </is>
      </c>
      <c r="E1229" s="130" t="inlineStr">
        <is>
          <t>ЮЗАО</t>
        </is>
      </c>
      <c r="F1229" s="130" t="n"/>
      <c r="G1229" s="130" t="inlineStr">
        <is>
          <t>WorldClass</t>
        </is>
      </c>
      <c r="H1229" s="131" t="inlineStr">
        <is>
          <t>LITE</t>
        </is>
      </c>
      <c r="I1229" s="637" t="inlineStr">
        <is>
          <t>Севастопольский (LITE)</t>
        </is>
      </c>
      <c r="J1229" s="637" t="n"/>
      <c r="K1229" s="640" t="n">
        <v>1</v>
      </c>
      <c r="L1229" s="640" t="n">
        <v>0</v>
      </c>
      <c r="M1229" s="640" t="inlineStr">
        <is>
          <t>Sam 40</t>
        </is>
      </c>
      <c r="N1229" s="640" t="n"/>
      <c r="O1229" s="640">
        <f>IF(AND(N1229=1,L1229=1),K1229,"")</f>
        <v/>
      </c>
      <c r="P1229" s="642" t="inlineStr">
        <is>
          <t>Москва, Севастопольский пр-т, д. 28Г (тренажерный зал, над кулерами)</t>
        </is>
      </c>
      <c r="Q1229" s="640" t="n"/>
      <c r="R1229" s="422" t="n"/>
      <c r="S1229" s="436" t="n"/>
      <c r="T1229" s="436" t="n"/>
      <c r="U1229" s="436" t="n"/>
      <c r="V1229" s="438" t="n"/>
      <c r="X1229" s="1" t="n"/>
      <c r="Y1229" s="1" t="n"/>
      <c r="Z1229" s="1" t="n"/>
    </row>
    <row r="1230" hidden="1" ht="16.05" customHeight="1">
      <c r="A1230" s="791" t="n">
        <v>1670</v>
      </c>
      <c r="B1230" s="13">
        <f>IF(OR(M1230="Sam 32",M1230="Sam 40"),"s",IF(M1230="AMS","a","v"))</f>
        <v/>
      </c>
      <c r="C1230" s="130" t="inlineStr">
        <is>
          <t>Санкт-Петербург</t>
        </is>
      </c>
      <c r="D1230" s="130" t="inlineStr">
        <is>
          <t>Санкт-Петербург</t>
        </is>
      </c>
      <c r="E1230" s="130" t="n"/>
      <c r="F1230" s="130" t="n"/>
      <c r="G1230" s="130" t="inlineStr">
        <is>
          <t>WorldClass</t>
        </is>
      </c>
      <c r="H1230" s="131" t="inlineStr">
        <is>
          <t>PREMIUM</t>
        </is>
      </c>
      <c r="I1230" s="637" t="inlineStr">
        <is>
          <t>Атлантик (PREMIUM)</t>
        </is>
      </c>
      <c r="J1230" s="637" t="n"/>
      <c r="K1230" s="640" t="n">
        <v>1</v>
      </c>
      <c r="L1230" s="640" t="n">
        <v>0</v>
      </c>
      <c r="M1230" s="640" t="inlineStr">
        <is>
          <t>Sam 40</t>
        </is>
      </c>
      <c r="N1230" s="640" t="n"/>
      <c r="O1230" s="640">
        <f>IF(AND(N1230=1,L1230=1),K1230,"")</f>
        <v/>
      </c>
      <c r="P1230" s="642" t="inlineStr">
        <is>
          <t>Санкт-Петербург, Савушкина ул., д. 126, лит. А (напротив ресепшн)</t>
        </is>
      </c>
      <c r="Q1230" s="640" t="n"/>
      <c r="R1230" s="422" t="n"/>
      <c r="S1230" s="436" t="n"/>
      <c r="T1230" s="436" t="n"/>
      <c r="U1230" s="436" t="n"/>
      <c r="V1230" s="438" t="n"/>
      <c r="X1230" s="1" t="n"/>
      <c r="Y1230" s="1" t="n"/>
      <c r="Z1230" s="1" t="n"/>
    </row>
    <row r="1231" hidden="1" ht="16.05" customHeight="1">
      <c r="A1231" s="791" t="n">
        <v>1671</v>
      </c>
      <c r="B1231" s="13">
        <f>IF(OR(M1231="Sam 32",M1231="Sam 40"),"s",IF(M1231="AMS","a","v"))</f>
        <v/>
      </c>
      <c r="C1231" s="130" t="inlineStr">
        <is>
          <t>Санкт-Петербург</t>
        </is>
      </c>
      <c r="D1231" s="130" t="inlineStr">
        <is>
          <t>Санкт-Петербург</t>
        </is>
      </c>
      <c r="E1231" s="130" t="n"/>
      <c r="F1231" s="130" t="n"/>
      <c r="G1231" s="130" t="inlineStr">
        <is>
          <t>WorldClass</t>
        </is>
      </c>
      <c r="H1231" s="131" t="inlineStr">
        <is>
          <t>PREMIUM</t>
        </is>
      </c>
      <c r="I1231" s="637" t="inlineStr">
        <is>
          <t>Крестовский (PREMIUM)</t>
        </is>
      </c>
      <c r="J1231" s="637" t="n"/>
      <c r="K1231" s="640" t="n">
        <v>1</v>
      </c>
      <c r="L1231" s="640" t="n">
        <v>0</v>
      </c>
      <c r="M1231" s="640" t="inlineStr">
        <is>
          <t>Sam 40</t>
        </is>
      </c>
      <c r="N1231" s="640" t="n"/>
      <c r="O1231" s="640">
        <f>IF(AND(N1231=1,L1231=1),K1231,"")</f>
        <v/>
      </c>
      <c r="P1231" s="642" t="inlineStr">
        <is>
          <t>Санкт-Петербург, Мартынова наб., д. 38, лит. А  (рядом с ресепшен и гардеробом)</t>
        </is>
      </c>
      <c r="Q1231" s="640" t="n"/>
      <c r="R1231" s="422" t="n"/>
      <c r="S1231" s="436" t="n"/>
      <c r="T1231" s="436" t="n"/>
      <c r="U1231" s="436" t="n"/>
      <c r="V1231" s="438" t="n"/>
      <c r="X1231" s="1" t="n"/>
      <c r="Y1231" s="1" t="n"/>
      <c r="Z1231" s="1" t="n"/>
    </row>
    <row r="1232" hidden="1" ht="16.05" customHeight="1">
      <c r="A1232" s="791" t="n">
        <v>1672</v>
      </c>
      <c r="B1232" s="13">
        <f>IF(OR(M1232="Sam 32",M1232="Sam 40"),"s",IF(M1232="AMS","a","v"))</f>
        <v/>
      </c>
      <c r="C1232" s="130" t="inlineStr">
        <is>
          <t>Санкт-Петербург</t>
        </is>
      </c>
      <c r="D1232" s="130" t="inlineStr">
        <is>
          <t>Санкт-Петербург</t>
        </is>
      </c>
      <c r="E1232" s="130" t="n"/>
      <c r="F1232" s="130" t="n"/>
      <c r="G1232" s="130" t="inlineStr">
        <is>
          <t>WorldClass</t>
        </is>
      </c>
      <c r="H1232" s="131" t="inlineStr">
        <is>
          <t>PREMIUM</t>
        </is>
      </c>
      <c r="I1232" s="637" t="inlineStr">
        <is>
          <t>Крестовский (PREMIUM)</t>
        </is>
      </c>
      <c r="J1232" s="637" t="n"/>
      <c r="K1232" s="640" t="n">
        <v>1</v>
      </c>
      <c r="L1232" s="640" t="n">
        <v>0</v>
      </c>
      <c r="M1232" s="640" t="inlineStr">
        <is>
          <t>Sam 40</t>
        </is>
      </c>
      <c r="N1232" s="640" t="n"/>
      <c r="O1232" s="640">
        <f>IF(AND(N1232=1,L1232=1),K1232,"")</f>
        <v/>
      </c>
      <c r="P1232" s="642" t="inlineStr">
        <is>
          <t>Санкт-Петербург, Мартынова наб., д. 38, лит. А  (2-й этаж, рядом с женской раздевалкой)</t>
        </is>
      </c>
      <c r="Q1232" s="640" t="n"/>
      <c r="R1232" s="422" t="n"/>
      <c r="S1232" s="436" t="n"/>
      <c r="T1232" s="436" t="n"/>
      <c r="U1232" s="436" t="n"/>
      <c r="V1232" s="438" t="n"/>
      <c r="X1232" s="1" t="n"/>
      <c r="Y1232" s="1" t="n"/>
      <c r="Z1232" s="1" t="n"/>
    </row>
    <row r="1233" hidden="1" ht="16.05" customHeight="1">
      <c r="A1233" s="791" t="n">
        <v>1673</v>
      </c>
      <c r="B1233" s="13">
        <f>IF(OR(M1233="Sam 32",M1233="Sam 40"),"s",IF(M1233="AMS","a","v"))</f>
        <v/>
      </c>
      <c r="C1233" s="130" t="inlineStr">
        <is>
          <t>Санкт-Петербург</t>
        </is>
      </c>
      <c r="D1233" s="130" t="inlineStr">
        <is>
          <t>Санкт-Петербург</t>
        </is>
      </c>
      <c r="E1233" s="130" t="n"/>
      <c r="F1233" s="130" t="n"/>
      <c r="G1233" s="130" t="inlineStr">
        <is>
          <t>WorldClass</t>
        </is>
      </c>
      <c r="H1233" s="131" t="inlineStr">
        <is>
          <t>PREMIUM</t>
        </is>
      </c>
      <c r="I1233" s="637" t="inlineStr">
        <is>
          <t>Сенная (PREMIUM)</t>
        </is>
      </c>
      <c r="J1233" s="637" t="n"/>
      <c r="K1233" s="640" t="n">
        <v>1</v>
      </c>
      <c r="L1233" s="640" t="n">
        <v>0</v>
      </c>
      <c r="M1233" s="640" t="inlineStr">
        <is>
          <t>Sam 40</t>
        </is>
      </c>
      <c r="N1233" s="640" t="n"/>
      <c r="O1233" s="640">
        <f>IF(AND(N1233=1,L1233=1),K1233,"")</f>
        <v/>
      </c>
      <c r="P1233" s="642" t="inlineStr">
        <is>
          <t>Санкт-Петербург, Ефимова ул., д. 4А, лит. А  (зона отдыха рядом с ресепшн)</t>
        </is>
      </c>
      <c r="Q1233" s="640" t="n"/>
      <c r="R1233" s="422" t="n"/>
      <c r="S1233" s="436" t="n"/>
      <c r="T1233" s="436" t="n"/>
      <c r="U1233" s="436" t="n"/>
      <c r="V1233" s="438" t="n"/>
      <c r="X1233" s="1" t="n"/>
      <c r="Y1233" s="1" t="n"/>
      <c r="Z1233" s="1" t="n"/>
    </row>
    <row r="1234" hidden="1" ht="16.05" customHeight="1">
      <c r="A1234" s="791" t="n">
        <v>1674</v>
      </c>
      <c r="B1234" s="13">
        <f>IF(OR(M1234="Sam 32",M1234="Sam 40"),"s",IF(M1234="AMS","a","v"))</f>
        <v/>
      </c>
      <c r="C1234" s="130" t="inlineStr">
        <is>
          <t>Санкт-Петербург</t>
        </is>
      </c>
      <c r="D1234" s="130" t="inlineStr">
        <is>
          <t>Санкт-Петербург</t>
        </is>
      </c>
      <c r="E1234" s="130" t="n"/>
      <c r="F1234" s="130" t="n"/>
      <c r="G1234" s="130" t="inlineStr">
        <is>
          <t>WorldClass</t>
        </is>
      </c>
      <c r="H1234" s="131" t="inlineStr">
        <is>
          <t>PREMIUM</t>
        </is>
      </c>
      <c r="I1234" s="637" t="inlineStr">
        <is>
          <t>Сенная (PREMIUM)</t>
        </is>
      </c>
      <c r="J1234" s="637" t="n"/>
      <c r="K1234" s="640" t="n">
        <v>1</v>
      </c>
      <c r="L1234" s="640" t="n">
        <v>0</v>
      </c>
      <c r="M1234" s="640" t="inlineStr">
        <is>
          <t>Sam 40</t>
        </is>
      </c>
      <c r="N1234" s="640" t="n"/>
      <c r="O1234" s="640">
        <f>IF(AND(N1234=1,L1234=1),K1234,"")</f>
        <v/>
      </c>
      <c r="P1234" s="642" t="inlineStr">
        <is>
          <t>Санкт-Петербург, Ефимова ул., д. 4А, лит. А  (холл перед гардеробом)</t>
        </is>
      </c>
      <c r="Q1234" s="640" t="n"/>
      <c r="R1234" s="422" t="n"/>
      <c r="S1234" s="436" t="n"/>
      <c r="T1234" s="436" t="n"/>
      <c r="U1234" s="436" t="n"/>
      <c r="V1234" s="438" t="n"/>
      <c r="X1234" s="1" t="n"/>
      <c r="Y1234" s="1" t="n"/>
      <c r="Z1234" s="1" t="n"/>
    </row>
    <row r="1235" hidden="1" ht="16.05" customHeight="1">
      <c r="A1235" s="791" t="n">
        <v>1675</v>
      </c>
      <c r="B1235" s="13">
        <f>IF(OR(M1235="Sam 32",M1235="Sam 40"),"s",IF(M1235="AMS","a","v"))</f>
        <v/>
      </c>
      <c r="C1235" s="130" t="inlineStr">
        <is>
          <t>Санкт-Петербург</t>
        </is>
      </c>
      <c r="D1235" s="130" t="inlineStr">
        <is>
          <t>Санкт-Петербург</t>
        </is>
      </c>
      <c r="E1235" s="130" t="n"/>
      <c r="F1235" s="130" t="n"/>
      <c r="G1235" s="130" t="inlineStr">
        <is>
          <t>WorldClass</t>
        </is>
      </c>
      <c r="H1235" s="131" t="inlineStr">
        <is>
          <t>LITE</t>
        </is>
      </c>
      <c r="I1235" s="637" t="inlineStr">
        <is>
          <t>Прибалтийская (LITE)</t>
        </is>
      </c>
      <c r="J1235" s="637" t="n"/>
      <c r="K1235" s="640" t="n">
        <v>1</v>
      </c>
      <c r="L1235" s="640" t="n">
        <v>0</v>
      </c>
      <c r="M1235" s="640" t="inlineStr">
        <is>
          <t>Sam 40</t>
        </is>
      </c>
      <c r="N1235" s="640" t="n"/>
      <c r="O1235" s="640">
        <f>IF(AND(N1235=1,L1235=1),K1235,"")</f>
        <v/>
      </c>
      <c r="P1235" s="642" t="inlineStr">
        <is>
          <t>Санкт-Петербург, Кораблестроителей ул., д. 14, лит. Б  (зона ресепшен)</t>
        </is>
      </c>
      <c r="Q1235" s="640" t="n"/>
      <c r="R1235" s="422" t="n"/>
      <c r="S1235" s="436" t="n"/>
      <c r="T1235" s="436" t="n"/>
      <c r="U1235" s="436" t="n"/>
      <c r="V1235" s="438" t="n"/>
      <c r="X1235" s="1" t="n"/>
      <c r="Y1235" s="1" t="n"/>
      <c r="Z1235" s="1" t="n"/>
    </row>
    <row r="1236" hidden="1" ht="16.05" customHeight="1">
      <c r="A1236" s="791" t="n">
        <v>1676</v>
      </c>
      <c r="B1236" s="13">
        <f>IF(OR(M1236="Sam 32",M1236="Sam 40"),"s",IF(M1236="AMS","a","v"))</f>
        <v/>
      </c>
      <c r="C1236" s="130" t="inlineStr">
        <is>
          <t>Санкт-Петербург</t>
        </is>
      </c>
      <c r="D1236" s="130" t="inlineStr">
        <is>
          <t>Санкт-Петербург</t>
        </is>
      </c>
      <c r="E1236" s="130" t="n"/>
      <c r="F1236" s="130" t="n"/>
      <c r="G1236" s="130" t="inlineStr">
        <is>
          <t>WorldClass</t>
        </is>
      </c>
      <c r="H1236" s="131" t="inlineStr">
        <is>
          <t>LITE</t>
        </is>
      </c>
      <c r="I1236" s="637" t="inlineStr">
        <is>
          <t>Стачек (LITE)</t>
        </is>
      </c>
      <c r="J1236" s="637" t="n"/>
      <c r="K1236" s="640" t="n">
        <v>1</v>
      </c>
      <c r="L1236" s="640" t="n">
        <v>0</v>
      </c>
      <c r="M1236" s="640" t="inlineStr">
        <is>
          <t>Sam 40</t>
        </is>
      </c>
      <c r="N1236" s="640" t="n"/>
      <c r="O1236" s="640">
        <f>IF(AND(N1236=1,L1236=1),K1236,"")</f>
        <v/>
      </c>
      <c r="P1236" s="642" t="inlineStr">
        <is>
          <t>Санкт-Петербург, Стачек пр-т, д. 99, лит. А (зона ресепшен)</t>
        </is>
      </c>
      <c r="Q1236" s="640" t="n"/>
      <c r="R1236" s="422" t="n"/>
      <c r="S1236" s="436" t="n"/>
      <c r="T1236" s="436" t="n"/>
      <c r="U1236" s="436" t="n"/>
      <c r="V1236" s="438" t="n"/>
      <c r="X1236" s="1" t="n"/>
      <c r="Y1236" s="1" t="n"/>
      <c r="Z1236" s="1" t="n"/>
    </row>
    <row r="1237" hidden="1" ht="16.05" customHeight="1">
      <c r="A1237" s="791" t="n">
        <v>1677</v>
      </c>
      <c r="B1237" s="13">
        <f>IF(OR(M1237="Sam 32",M1237="Sam 40"),"s",IF(M1237="AMS","a","v"))</f>
        <v/>
      </c>
      <c r="C1237" s="130" t="inlineStr">
        <is>
          <t>Екатеринбург</t>
        </is>
      </c>
      <c r="D1237" s="130" t="inlineStr">
        <is>
          <t>Екатеринбург</t>
        </is>
      </c>
      <c r="E1237" s="130" t="n"/>
      <c r="F1237" s="130" t="n"/>
      <c r="G1237" s="130" t="inlineStr">
        <is>
          <t>WorldClass</t>
        </is>
      </c>
      <c r="H1237" s="131" t="inlineStr">
        <is>
          <t>PREMIUM</t>
        </is>
      </c>
      <c r="I1237" s="637" t="inlineStr">
        <is>
          <t>Центр (PREMIUM)</t>
        </is>
      </c>
      <c r="J1237" s="637" t="n"/>
      <c r="K1237" s="640" t="n">
        <v>1</v>
      </c>
      <c r="L1237" s="640" t="n">
        <v>0</v>
      </c>
      <c r="M1237" s="640" t="inlineStr">
        <is>
          <t>Sam 40</t>
        </is>
      </c>
      <c r="N1237" s="640" t="n"/>
      <c r="O1237" s="640">
        <f>IF(AND(N1237=1,L1237=1),K1237,"")</f>
        <v/>
      </c>
      <c r="P1237" s="642" t="inlineStr">
        <is>
          <t>Екатеринбург, Красноармейская ул., д. 64  (зона ресепшен)</t>
        </is>
      </c>
      <c r="Q1237" s="640" t="n"/>
      <c r="R1237" s="422" t="n"/>
      <c r="S1237" s="436" t="n"/>
      <c r="T1237" s="436" t="n"/>
      <c r="U1237" s="436" t="n"/>
      <c r="V1237" s="438" t="n"/>
      <c r="X1237" s="1" t="n"/>
      <c r="Y1237" s="1" t="n"/>
      <c r="Z1237" s="1" t="n"/>
    </row>
    <row r="1238" hidden="1" ht="16.05" customFormat="1" customHeight="1" s="126">
      <c r="A1238" s="125" t="n">
        <v>1680</v>
      </c>
      <c r="B1238" s="125" t="n"/>
      <c r="C1238" s="130" t="inlineStr">
        <is>
          <t>Брянск</t>
        </is>
      </c>
      <c r="D1238" s="130" t="inlineStr">
        <is>
          <t>Брянск</t>
        </is>
      </c>
      <c r="E1238" s="130" t="n"/>
      <c r="F1238" s="130" t="inlineStr">
        <is>
          <t>АЗС</t>
        </is>
      </c>
      <c r="G1238" s="130" t="inlineStr">
        <is>
          <t>Роснефть</t>
        </is>
      </c>
      <c r="H1238" s="131" t="n">
        <v>5</v>
      </c>
      <c r="I1238" s="637" t="inlineStr">
        <is>
          <t>RN_5</t>
        </is>
      </c>
      <c r="J1238" s="637" t="inlineStr">
        <is>
          <t>BRN_RN_0005</t>
        </is>
      </c>
      <c r="K1238" s="640" t="n">
        <v>1</v>
      </c>
      <c r="L1238" s="640" t="n">
        <v>1</v>
      </c>
      <c r="M1238" s="623" t="inlineStr">
        <is>
          <t>Samsung 32" вертикальный</t>
        </is>
      </c>
      <c r="N1238" s="640" t="n"/>
      <c r="O1238" s="640">
        <f>IF(AND(N1238=1,L1238=1),K1238,"")</f>
        <v/>
      </c>
      <c r="P1238" s="642" t="inlineStr">
        <is>
          <t>Брянская  область Брянский район 4 км. Карачевского шоссе, Карачевское шоссе, д. 5а</t>
        </is>
      </c>
      <c r="Q1238" s="640" t="inlineStr">
        <is>
          <t>53.206518</t>
        </is>
      </c>
      <c r="R1238" s="422" t="inlineStr">
        <is>
          <t>34.47818</t>
        </is>
      </c>
      <c r="S1238" s="436" t="n"/>
      <c r="T1238" s="436" t="n"/>
      <c r="U1238" s="436" t="n"/>
      <c r="V1238" s="438" t="n"/>
      <c r="W1238" s="387" t="n"/>
      <c r="X1238" s="387" t="n"/>
      <c r="Y1238" s="387" t="n"/>
    </row>
    <row r="1239" hidden="1" ht="16.05" customFormat="1" customHeight="1" s="126">
      <c r="A1239" s="125" t="n">
        <v>1681</v>
      </c>
      <c r="B1239" s="125" t="n"/>
      <c r="C1239" s="130" t="inlineStr">
        <is>
          <t>Брянск</t>
        </is>
      </c>
      <c r="D1239" s="130" t="inlineStr">
        <is>
          <t>Брянск</t>
        </is>
      </c>
      <c r="E1239" s="130" t="n"/>
      <c r="F1239" s="130" t="inlineStr">
        <is>
          <t>АЗС</t>
        </is>
      </c>
      <c r="G1239" s="130" t="inlineStr">
        <is>
          <t>Роснефть</t>
        </is>
      </c>
      <c r="H1239" s="131" t="n">
        <v>24</v>
      </c>
      <c r="I1239" s="637" t="inlineStr">
        <is>
          <t>RN_24</t>
        </is>
      </c>
      <c r="J1239" s="637" t="inlineStr">
        <is>
          <t>BRN_RN_0024</t>
        </is>
      </c>
      <c r="K1239" s="640" t="n">
        <v>1</v>
      </c>
      <c r="L1239" s="640" t="n">
        <v>1</v>
      </c>
      <c r="M1239" s="623" t="inlineStr">
        <is>
          <t>Samsung 32" вертикальный</t>
        </is>
      </c>
      <c r="N1239" s="640" t="n"/>
      <c r="O1239" s="640">
        <f>IF(AND(N1239=1,L1239=1),K1239,"")</f>
        <v/>
      </c>
      <c r="P1239" s="642" t="inlineStr">
        <is>
          <t>Брянск ул. Бурова д.2в</t>
        </is>
      </c>
      <c r="Q1239" s="640" t="inlineStr">
        <is>
          <t>53.297049</t>
        </is>
      </c>
      <c r="R1239" s="422" t="inlineStr">
        <is>
          <t>34.317227</t>
        </is>
      </c>
      <c r="S1239" s="436" t="n"/>
      <c r="T1239" s="436" t="n"/>
      <c r="U1239" s="436" t="n"/>
      <c r="V1239" s="438" t="n"/>
      <c r="W1239" s="387" t="n"/>
      <c r="X1239" s="387" t="n"/>
      <c r="Y1239" s="387" t="n"/>
    </row>
    <row r="1240" hidden="1" ht="16.05" customFormat="1" customHeight="1" s="126">
      <c r="A1240" s="125" t="n">
        <v>1682</v>
      </c>
      <c r="B1240" s="125" t="n"/>
      <c r="C1240" s="130" t="inlineStr">
        <is>
          <t>Брянск</t>
        </is>
      </c>
      <c r="D1240" s="130" t="inlineStr">
        <is>
          <t>Брянск</t>
        </is>
      </c>
      <c r="E1240" s="130" t="n"/>
      <c r="F1240" s="130" t="inlineStr">
        <is>
          <t>АЗС</t>
        </is>
      </c>
      <c r="G1240" s="130" t="inlineStr">
        <is>
          <t>Роснефть</t>
        </is>
      </c>
      <c r="H1240" s="131" t="n">
        <v>36</v>
      </c>
      <c r="I1240" s="637" t="inlineStr">
        <is>
          <t>RN_36</t>
        </is>
      </c>
      <c r="J1240" s="637" t="inlineStr">
        <is>
          <t>BRN_RN_0036</t>
        </is>
      </c>
      <c r="K1240" s="640" t="n">
        <v>1</v>
      </c>
      <c r="L1240" s="640" t="n">
        <v>0</v>
      </c>
      <c r="M1240" s="623" t="inlineStr">
        <is>
          <t>Samsung 32" вертикальный</t>
        </is>
      </c>
      <c r="N1240" s="640" t="n"/>
      <c r="O1240" s="640">
        <f>IF(AND(N1240=1,L1240=1),K1240,"")</f>
        <v/>
      </c>
      <c r="P1240" s="642" t="inlineStr">
        <is>
          <t xml:space="preserve">Брянск ул. Литейная 80 а                   </t>
        </is>
      </c>
      <c r="Q1240" s="640" t="inlineStr">
        <is>
          <t>53.342931</t>
        </is>
      </c>
      <c r="R1240" s="494" t="inlineStr">
        <is>
          <t>34.290009</t>
        </is>
      </c>
      <c r="S1240" s="436" t="n"/>
      <c r="T1240" s="436" t="n"/>
      <c r="U1240" s="436" t="n"/>
      <c r="V1240" s="438" t="n"/>
      <c r="W1240" s="387" t="n"/>
      <c r="X1240" s="387" t="n"/>
      <c r="Y1240" s="387" t="n"/>
    </row>
    <row r="1241" hidden="1" ht="16.05" customFormat="1" customHeight="1" s="126">
      <c r="A1241" s="125" t="n">
        <v>1686</v>
      </c>
      <c r="B1241" s="125" t="n"/>
      <c r="C1241" s="130" t="inlineStr">
        <is>
          <t>Санкт-Петербург</t>
        </is>
      </c>
      <c r="D1241" s="130" t="inlineStr">
        <is>
          <t>Ленинградская область</t>
        </is>
      </c>
      <c r="E1241" s="130" t="n"/>
      <c r="F1241" s="130" t="inlineStr">
        <is>
          <t>АЗС</t>
        </is>
      </c>
      <c r="G1241" s="130" t="inlineStr">
        <is>
          <t>Роснефть</t>
        </is>
      </c>
      <c r="H1241" s="131" t="n">
        <v>340</v>
      </c>
      <c r="I1241" s="637" t="inlineStr">
        <is>
          <t>340 Рощино</t>
        </is>
      </c>
      <c r="J1241" s="637" t="inlineStr">
        <is>
          <t>SPB_RN_P_340</t>
        </is>
      </c>
      <c r="K1241" s="640" t="n">
        <v>1</v>
      </c>
      <c r="L1241" s="640" t="n">
        <v>1</v>
      </c>
      <c r="M1241" s="623" t="inlineStr">
        <is>
          <t>Samsung 32" вертикальный</t>
        </is>
      </c>
      <c r="N1241" s="640" t="n"/>
      <c r="O1241" s="640">
        <f>IF(AND(N1241=1,L1241=1),K1241,"")</f>
        <v/>
      </c>
      <c r="P1241" s="642" t="inlineStr">
        <is>
          <t>Ленинградская область, пос. Рощино, Северный пер., 2 а</t>
        </is>
      </c>
      <c r="Q1241" s="640" t="inlineStr">
        <is>
          <t>60.256628</t>
        </is>
      </c>
      <c r="R1241" s="494" t="inlineStr">
        <is>
          <t>29.583254</t>
        </is>
      </c>
      <c r="S1241" s="436" t="n"/>
      <c r="T1241" s="436" t="n"/>
      <c r="U1241" s="436" t="n"/>
      <c r="V1241" s="438" t="n"/>
      <c r="W1241" s="387" t="n"/>
      <c r="X1241" s="1" t="n"/>
      <c r="Y1241" s="1" t="n"/>
    </row>
    <row r="1242" hidden="1" ht="16.05" customFormat="1" customHeight="1" s="126">
      <c r="A1242" s="125" t="n">
        <v>1688</v>
      </c>
      <c r="B1242" s="125" t="n"/>
      <c r="C1242" s="130" t="inlineStr">
        <is>
          <t>Санкт-Петербург</t>
        </is>
      </c>
      <c r="D1242" s="130" t="inlineStr">
        <is>
          <t>Санкт-Петербург</t>
        </is>
      </c>
      <c r="E1242" s="130" t="n"/>
      <c r="F1242" s="130" t="inlineStr">
        <is>
          <t>АЗС</t>
        </is>
      </c>
      <c r="G1242" s="130" t="inlineStr">
        <is>
          <t>Роснефть</t>
        </is>
      </c>
      <c r="H1242" s="131" t="n">
        <v>465</v>
      </c>
      <c r="I1242" s="637" t="inlineStr">
        <is>
          <t>465 Миргородская</t>
        </is>
      </c>
      <c r="J1242" s="637" t="inlineStr">
        <is>
          <t>SPB_RN_P_465</t>
        </is>
      </c>
      <c r="K1242" s="640" t="n">
        <v>1</v>
      </c>
      <c r="L1242" s="640" t="n">
        <v>1</v>
      </c>
      <c r="M1242" s="623" t="inlineStr">
        <is>
          <t>Samsung 32" вертикальный</t>
        </is>
      </c>
      <c r="N1242" s="640" t="n"/>
      <c r="O1242" s="640">
        <f>IF(AND(N1242=1,L1242=1),K1242,"")</f>
        <v/>
      </c>
      <c r="P1242" s="642" t="inlineStr">
        <is>
          <t>Санкт-Петербург, ул. Миргородская, 1, лит. "А"</t>
        </is>
      </c>
      <c r="Q1242" s="640" t="inlineStr">
        <is>
          <t>59.924864</t>
        </is>
      </c>
      <c r="R1242" s="494" t="inlineStr">
        <is>
          <t>30.372019</t>
        </is>
      </c>
      <c r="S1242" s="436" t="n"/>
      <c r="T1242" s="436" t="n"/>
      <c r="U1242" s="436" t="n"/>
      <c r="V1242" s="438" t="n"/>
      <c r="W1242" s="387" t="n"/>
      <c r="X1242" s="387" t="n"/>
      <c r="Y1242" s="387" t="n"/>
    </row>
    <row r="1243" hidden="1" ht="16.05" customFormat="1" customHeight="1" s="126">
      <c r="A1243" s="125" t="n">
        <v>1683</v>
      </c>
      <c r="B1243" s="125" t="n"/>
      <c r="C1243" s="130" t="inlineStr">
        <is>
          <t>Брянск</t>
        </is>
      </c>
      <c r="D1243" s="130" t="inlineStr">
        <is>
          <t>Брянск</t>
        </is>
      </c>
      <c r="E1243" s="130" t="n"/>
      <c r="F1243" s="130" t="inlineStr">
        <is>
          <t>АЗС</t>
        </is>
      </c>
      <c r="G1243" s="130" t="inlineStr">
        <is>
          <t>Роснефть</t>
        </is>
      </c>
      <c r="H1243" s="131" t="n">
        <v>42</v>
      </c>
      <c r="I1243" s="637" t="inlineStr">
        <is>
          <t>RN_42</t>
        </is>
      </c>
      <c r="J1243" s="637" t="inlineStr">
        <is>
          <t>BRN_RN_0042</t>
        </is>
      </c>
      <c r="K1243" s="640" t="n">
        <v>1</v>
      </c>
      <c r="L1243" s="640" t="n">
        <v>0</v>
      </c>
      <c r="M1243" s="640" t="inlineStr">
        <is>
          <t>Sam 32</t>
        </is>
      </c>
      <c r="N1243" s="640" t="n"/>
      <c r="O1243" s="640">
        <f>IF(AND(N1243=1,L1243=1),K1243,"")</f>
        <v/>
      </c>
      <c r="P1243" s="642" t="inlineStr">
        <is>
          <t>Брянская область, Брянский район, с. Супонево, ул. Шоссейная , строение 10</t>
        </is>
      </c>
      <c r="Q1243" s="640" t="n">
        <v>53.216509</v>
      </c>
      <c r="R1243" s="422" t="n">
        <v>34.312449</v>
      </c>
      <c r="S1243" s="436" t="n"/>
      <c r="T1243" s="436" t="n"/>
      <c r="U1243" s="436" t="n"/>
      <c r="V1243" s="438" t="n"/>
      <c r="W1243" s="387" t="n"/>
      <c r="X1243" s="1" t="n"/>
      <c r="Y1243" s="1" t="n"/>
    </row>
    <row r="1244" hidden="1" ht="16.05" customFormat="1" customHeight="1" s="126">
      <c r="A1244" s="125" t="n">
        <v>1684</v>
      </c>
      <c r="B1244" s="125" t="n"/>
      <c r="C1244" s="130" t="inlineStr">
        <is>
          <t>Брянск</t>
        </is>
      </c>
      <c r="D1244" s="130" t="inlineStr">
        <is>
          <t>Брянск</t>
        </is>
      </c>
      <c r="E1244" s="130" t="n"/>
      <c r="F1244" s="130" t="inlineStr">
        <is>
          <t>АЗС</t>
        </is>
      </c>
      <c r="G1244" s="130" t="inlineStr">
        <is>
          <t>Роснефть</t>
        </is>
      </c>
      <c r="H1244" s="131" t="n">
        <v>70</v>
      </c>
      <c r="I1244" s="637" t="inlineStr">
        <is>
          <t>RN_70</t>
        </is>
      </c>
      <c r="J1244" s="637" t="inlineStr">
        <is>
          <t>BRN_RN_0070</t>
        </is>
      </c>
      <c r="K1244" s="640" t="n">
        <v>1</v>
      </c>
      <c r="L1244" s="640" t="n">
        <v>1</v>
      </c>
      <c r="M1244" s="640" t="inlineStr">
        <is>
          <t>Samsung 32" вертикальный</t>
        </is>
      </c>
      <c r="N1244" s="640" t="n"/>
      <c r="O1244" s="640">
        <f>IF(AND(N1244=1,L1244=1),K1244,"")</f>
        <v/>
      </c>
      <c r="P1244" s="642" t="inlineStr">
        <is>
          <t>Брянская область, Брянский  район, с.Супонево, 21 км автодороги "Орел-Витебск"</t>
        </is>
      </c>
      <c r="Q1244" s="640" t="inlineStr">
        <is>
          <t>53.207736</t>
        </is>
      </c>
      <c r="R1244" s="422" t="inlineStr">
        <is>
          <t>34.255614</t>
        </is>
      </c>
      <c r="S1244" s="436" t="n"/>
      <c r="T1244" s="436" t="n"/>
      <c r="U1244" s="436" t="n"/>
      <c r="V1244" s="438" t="n"/>
      <c r="W1244" s="387" t="n"/>
      <c r="X1244" s="387" t="n"/>
      <c r="Y1244" s="387" t="n"/>
    </row>
    <row r="1245" hidden="1" ht="16.05" customFormat="1" customHeight="1" s="126">
      <c r="A1245" s="125" t="n">
        <v>1685</v>
      </c>
      <c r="B1245" s="125" t="n"/>
      <c r="C1245" s="130" t="inlineStr">
        <is>
          <t>Санкт-Петербург</t>
        </is>
      </c>
      <c r="D1245" s="130" t="inlineStr">
        <is>
          <t>Ленинградская область</t>
        </is>
      </c>
      <c r="E1245" s="130" t="n"/>
      <c r="F1245" s="130" t="n"/>
      <c r="G1245" s="130" t="inlineStr">
        <is>
          <t>ПТК</t>
        </is>
      </c>
      <c r="H1245" s="131" t="n">
        <v>147</v>
      </c>
      <c r="I1245" s="637" t="inlineStr">
        <is>
          <t>ПТК_147</t>
        </is>
      </c>
      <c r="J1245" s="637" t="inlineStr">
        <is>
          <t>PTK_0147</t>
        </is>
      </c>
      <c r="K1245" s="640" t="n">
        <v>1</v>
      </c>
      <c r="L1245" s="640" t="n">
        <v>0</v>
      </c>
      <c r="M1245" s="640" t="inlineStr">
        <is>
          <t>Sam 32</t>
        </is>
      </c>
      <c r="N1245" s="640" t="n"/>
      <c r="O1245" s="640">
        <f>IF(AND(N1245=1,L1245=1),K1245,"")</f>
        <v/>
      </c>
      <c r="P1245" s="642" t="inlineStr">
        <is>
          <t>Ленинградская область, пос. Стеклянный, а/д Санкт-Петербург-Сортавала, 37-й км</t>
        </is>
      </c>
      <c r="Q1245" s="640" t="n">
        <v>60.374472</v>
      </c>
      <c r="R1245" s="422" t="n">
        <v>30.276443</v>
      </c>
      <c r="S1245" s="436" t="n"/>
      <c r="T1245" s="436" t="n"/>
      <c r="U1245" s="436" t="n"/>
      <c r="V1245" s="438" t="n"/>
      <c r="W1245" s="387" t="n"/>
      <c r="X1245" s="1" t="n"/>
      <c r="Y1245" s="1" t="n"/>
    </row>
    <row r="1246" hidden="1" ht="16.05" customFormat="1" customHeight="1" s="126">
      <c r="A1246" s="125" t="n">
        <v>1689</v>
      </c>
      <c r="B1246" s="125" t="n"/>
      <c r="C1246" s="130" t="inlineStr">
        <is>
          <t>Санкт-Петербург</t>
        </is>
      </c>
      <c r="D1246" s="130" t="inlineStr">
        <is>
          <t>Любань</t>
        </is>
      </c>
      <c r="E1246" s="130" t="n"/>
      <c r="F1246" s="130" t="inlineStr">
        <is>
          <t>АЗС</t>
        </is>
      </c>
      <c r="G1246" s="130" t="inlineStr">
        <is>
          <t>Роснефть</t>
        </is>
      </c>
      <c r="H1246" s="131" t="n">
        <v>396</v>
      </c>
      <c r="I1246" s="637" t="inlineStr">
        <is>
          <t>396 Любань-2</t>
        </is>
      </c>
      <c r="J1246" s="637" t="inlineStr">
        <is>
          <t>SPB_RN_P_396</t>
        </is>
      </c>
      <c r="K1246" s="640" t="n">
        <v>1</v>
      </c>
      <c r="L1246" s="640" t="n">
        <v>1</v>
      </c>
      <c r="M1246" s="623" t="inlineStr">
        <is>
          <t>Samsung 32" вертикальный</t>
        </is>
      </c>
      <c r="N1246" s="640" t="n"/>
      <c r="O1246" s="640">
        <f>IF(AND(N1246=1,L1246=1),K1246,"")</f>
        <v/>
      </c>
      <c r="P1246" s="642" t="inlineStr">
        <is>
          <t>Ленинградская область, Любань, а/д Москва-Санкт-Петербург, 611-й км (справа по ходу движения из Санкт-Петербург в Москву)</t>
        </is>
      </c>
      <c r="Q1246" s="640" t="inlineStr">
        <is>
          <t>59.319623</t>
        </is>
      </c>
      <c r="R1246" s="494" t="inlineStr">
        <is>
          <t>31.286338</t>
        </is>
      </c>
      <c r="S1246" s="436" t="n"/>
      <c r="T1246" s="436" t="n"/>
      <c r="U1246" s="436" t="n"/>
      <c r="V1246" s="438" t="n"/>
      <c r="W1246" s="387" t="n"/>
      <c r="X1246" s="387" t="n"/>
      <c r="Y1246" s="387" t="n"/>
    </row>
    <row r="1247" hidden="1" ht="16.05" customFormat="1" customHeight="1" s="126">
      <c r="A1247" s="125" t="n">
        <v>1691</v>
      </c>
      <c r="B1247" s="125" t="n"/>
      <c r="C1247" s="130" t="inlineStr">
        <is>
          <t>Санкт-Петербург</t>
        </is>
      </c>
      <c r="D1247" s="130" t="inlineStr">
        <is>
          <t>Ленинградская область</t>
        </is>
      </c>
      <c r="E1247" s="130" t="n"/>
      <c r="F1247" s="130" t="inlineStr">
        <is>
          <t>АЗС</t>
        </is>
      </c>
      <c r="G1247" s="130" t="inlineStr">
        <is>
          <t>Роснефть</t>
        </is>
      </c>
      <c r="H1247" s="131" t="n">
        <v>36</v>
      </c>
      <c r="I1247" s="637" t="inlineStr">
        <is>
          <t>336 Новодеревенская</t>
        </is>
      </c>
      <c r="J1247" s="637" t="inlineStr">
        <is>
          <t>SPB_RN_P_336</t>
        </is>
      </c>
      <c r="K1247" s="640" t="n">
        <v>1</v>
      </c>
      <c r="L1247" s="640" t="n">
        <v>1</v>
      </c>
      <c r="M1247" s="623" t="inlineStr">
        <is>
          <t>Samsung 32" вертикальный</t>
        </is>
      </c>
      <c r="N1247" s="640" t="n"/>
      <c r="O1247" s="640">
        <f>IF(AND(N1247=1,L1247=1),K1247,"")</f>
        <v/>
      </c>
      <c r="P1247" s="642" t="inlineStr">
        <is>
          <t>Ленинградская область, Пушкин, ул. Новодеревенская , 14, лит. "А"</t>
        </is>
      </c>
      <c r="Q1247" s="640" t="n">
        <v>59.724823</v>
      </c>
      <c r="R1247" s="494" t="n">
        <v>30.443808</v>
      </c>
      <c r="S1247" s="436" t="n"/>
      <c r="T1247" s="436" t="n"/>
      <c r="U1247" s="436" t="n"/>
      <c r="V1247" s="438" t="n"/>
      <c r="W1247" s="387" t="n"/>
      <c r="X1247" s="387" t="n"/>
      <c r="Y1247" s="387" t="n"/>
    </row>
    <row r="1248" hidden="1" ht="16.05" customFormat="1" customHeight="1" s="126">
      <c r="A1248" s="125" t="n">
        <v>1692</v>
      </c>
      <c r="B1248" s="125" t="n"/>
      <c r="C1248" s="130" t="inlineStr">
        <is>
          <t>Санкт-Петербург</t>
        </is>
      </c>
      <c r="D1248" s="130" t="inlineStr">
        <is>
          <t>Сосновый Бор</t>
        </is>
      </c>
      <c r="E1248" s="130" t="n"/>
      <c r="F1248" s="130" t="inlineStr">
        <is>
          <t>АЗС</t>
        </is>
      </c>
      <c r="G1248" s="130" t="inlineStr">
        <is>
          <t>Роснефть</t>
        </is>
      </c>
      <c r="H1248" s="131" t="n">
        <v>362</v>
      </c>
      <c r="I1248" s="637" t="inlineStr">
        <is>
          <t>362 Сосновый Бор</t>
        </is>
      </c>
      <c r="J1248" s="637" t="inlineStr">
        <is>
          <t>SPB_RN_P_362</t>
        </is>
      </c>
      <c r="K1248" s="640" t="n">
        <v>2</v>
      </c>
      <c r="L1248" s="640" t="n">
        <v>1</v>
      </c>
      <c r="M1248" s="623" t="inlineStr">
        <is>
          <t>Samsung 32" вертикальный</t>
        </is>
      </c>
      <c r="N1248" s="640" t="n"/>
      <c r="O1248" s="640">
        <f>IF(AND(N1248=1,L1248=1),K1248,"")</f>
        <v/>
      </c>
      <c r="P1248" s="642" t="inlineStr">
        <is>
          <t>Ленинградская область, Сосновый Бор, промзона, Копорское ш., 15</t>
        </is>
      </c>
      <c r="Q1248" s="640" t="n">
        <v>59.877639</v>
      </c>
      <c r="R1248" s="494" t="n">
        <v>29.090447</v>
      </c>
      <c r="S1248" s="436" t="n"/>
      <c r="T1248" s="436" t="n"/>
      <c r="U1248" s="436" t="n"/>
      <c r="V1248" s="438" t="n"/>
      <c r="W1248" s="387" t="n"/>
      <c r="X1248" s="387" t="n"/>
      <c r="Y1248" s="387" t="n"/>
    </row>
    <row r="1249" hidden="1" ht="16.05" customFormat="1" customHeight="1" s="126">
      <c r="A1249" s="125" t="n">
        <v>1693</v>
      </c>
      <c r="B1249" s="125" t="n"/>
      <c r="C1249" s="130" t="inlineStr">
        <is>
          <t>Санкт-Петербург</t>
        </is>
      </c>
      <c r="D1249" s="130" t="inlineStr">
        <is>
          <t>Санкт-Петербург</t>
        </is>
      </c>
      <c r="E1249" s="130" t="n"/>
      <c r="F1249" s="130" t="inlineStr">
        <is>
          <t>АЗС</t>
        </is>
      </c>
      <c r="G1249" s="130" t="inlineStr">
        <is>
          <t>Роснефть</t>
        </is>
      </c>
      <c r="H1249" s="131" t="n">
        <v>335</v>
      </c>
      <c r="I1249" s="637" t="inlineStr">
        <is>
          <t>335 Балканская</t>
        </is>
      </c>
      <c r="J1249" s="637" t="inlineStr">
        <is>
          <t>SPB_RN_P_335</t>
        </is>
      </c>
      <c r="K1249" s="640" t="n">
        <v>1</v>
      </c>
      <c r="L1249" s="640" t="n">
        <v>1</v>
      </c>
      <c r="M1249" s="623" t="inlineStr">
        <is>
          <t>Samsung 32" вертикальный</t>
        </is>
      </c>
      <c r="N1249" s="640" t="n"/>
      <c r="O1249" s="640">
        <f>IF(AND(N1249=1,L1249=1),K1249,"")</f>
        <v/>
      </c>
      <c r="P1249" s="642" t="inlineStr">
        <is>
          <t>Санкт-Петербург, ул. Малая Балканская, 13, лит. "А"</t>
        </is>
      </c>
      <c r="Q1249" s="640" t="inlineStr">
        <is>
          <t>59.838369</t>
        </is>
      </c>
      <c r="R1249" s="494" t="inlineStr">
        <is>
          <t>30.376447</t>
        </is>
      </c>
      <c r="S1249" s="436" t="n"/>
      <c r="T1249" s="436" t="n"/>
      <c r="U1249" s="436" t="n"/>
      <c r="V1249" s="438" t="n"/>
      <c r="W1249" s="387" t="n"/>
      <c r="X1249" s="387" t="n"/>
      <c r="Y1249" s="387" t="n"/>
    </row>
    <row r="1250" hidden="1" ht="16.05" customFormat="1" customHeight="1" s="126">
      <c r="A1250" s="125" t="n">
        <v>1690</v>
      </c>
      <c r="B1250" s="125" t="n"/>
      <c r="C1250" s="130" t="inlineStr">
        <is>
          <t>Санкт-Петербург</t>
        </is>
      </c>
      <c r="D1250" s="130" t="inlineStr">
        <is>
          <t>Ленинградская область</t>
        </is>
      </c>
      <c r="E1250" s="130" t="n"/>
      <c r="F1250" s="130" t="inlineStr">
        <is>
          <t>АЗС</t>
        </is>
      </c>
      <c r="G1250" s="130" t="inlineStr">
        <is>
          <t>ПТК</t>
        </is>
      </c>
      <c r="H1250" s="131" t="n">
        <v>105</v>
      </c>
      <c r="I1250" s="637" t="inlineStr">
        <is>
          <t>ПТК_105</t>
        </is>
      </c>
      <c r="J1250" s="637" t="inlineStr">
        <is>
          <t>PTK_0105</t>
        </is>
      </c>
      <c r="K1250" s="640" t="n">
        <v>1</v>
      </c>
      <c r="L1250" s="640" t="n">
        <v>0</v>
      </c>
      <c r="M1250" s="640" t="inlineStr">
        <is>
          <t>Samsung 32" вертикальный</t>
        </is>
      </c>
      <c r="N1250" s="640" t="n"/>
      <c r="O1250" s="640">
        <f>IF(AND(N1250=1,L1250=1),K1250,"")</f>
        <v/>
      </c>
      <c r="P1250" s="642" t="inlineStr">
        <is>
          <t>Ленинградская область, пос. Вырица, Сиверское ш., 69-й км</t>
        </is>
      </c>
      <c r="Q1250" s="640" t="inlineStr">
        <is>
          <t>59.396782</t>
        </is>
      </c>
      <c r="R1250" s="422" t="inlineStr">
        <is>
          <t>30.267353</t>
        </is>
      </c>
      <c r="S1250" s="436" t="n"/>
      <c r="T1250" s="436" t="n"/>
      <c r="U1250" s="436" t="n"/>
      <c r="V1250" s="438" t="n"/>
      <c r="W1250" s="387" t="n"/>
      <c r="X1250" s="1" t="n"/>
      <c r="Y1250" s="1" t="n"/>
    </row>
    <row r="1251" hidden="1" ht="16.05" customFormat="1" customHeight="1" s="126">
      <c r="A1251" s="125" t="n">
        <v>1694</v>
      </c>
      <c r="B1251" s="125" t="n"/>
      <c r="C1251" s="130" t="inlineStr">
        <is>
          <t>Тверь</t>
        </is>
      </c>
      <c r="D1251" s="130" t="inlineStr">
        <is>
          <t>Тверь</t>
        </is>
      </c>
      <c r="E1251" s="130" t="n"/>
      <c r="F1251" s="130" t="inlineStr">
        <is>
          <t>АЗС</t>
        </is>
      </c>
      <c r="G1251" s="130" t="inlineStr">
        <is>
          <t>Роснефть</t>
        </is>
      </c>
      <c r="H1251" s="131" t="n">
        <v>177</v>
      </c>
      <c r="I1251" s="637" t="inlineStr">
        <is>
          <t>ПТК_177</t>
        </is>
      </c>
      <c r="J1251" s="637" t="inlineStr">
        <is>
          <t>TVE_RN_0477</t>
        </is>
      </c>
      <c r="K1251" s="640" t="n">
        <v>1</v>
      </c>
      <c r="L1251" s="640" t="n">
        <v>1</v>
      </c>
      <c r="M1251" s="623" t="inlineStr">
        <is>
          <t>Samsung 32" вертикальный</t>
        </is>
      </c>
      <c r="N1251" s="640" t="n"/>
      <c r="O1251" s="640">
        <f>IF(AND(N1251=1,L1251=1),K1251,"")</f>
        <v/>
      </c>
      <c r="P1251" s="642" t="inlineStr">
        <is>
          <t>Тверь, ул. Оснабрюкская, 31</t>
        </is>
      </c>
      <c r="Q1251" s="640" t="inlineStr">
        <is>
          <t>56.82435</t>
        </is>
      </c>
      <c r="R1251" s="494" t="inlineStr">
        <is>
          <t>35.870931</t>
        </is>
      </c>
      <c r="S1251" s="436" t="n"/>
      <c r="T1251" s="436" t="n"/>
      <c r="U1251" s="436" t="n"/>
      <c r="V1251" s="438" t="n"/>
      <c r="W1251" s="387" t="n"/>
      <c r="X1251" s="387" t="n"/>
      <c r="Y1251" s="1" t="n"/>
    </row>
    <row r="1252" hidden="1" ht="16.05" customFormat="1" customHeight="1" s="126">
      <c r="A1252" s="125" t="n">
        <v>1695</v>
      </c>
      <c r="B1252" s="125" t="n"/>
      <c r="C1252" s="130" t="inlineStr">
        <is>
          <t>Санкт-Петербург</t>
        </is>
      </c>
      <c r="D1252" s="130" t="inlineStr">
        <is>
          <t>Зеленогорск</t>
        </is>
      </c>
      <c r="E1252" s="130" t="n"/>
      <c r="F1252" s="130" t="inlineStr">
        <is>
          <t>АЗС</t>
        </is>
      </c>
      <c r="G1252" s="130" t="inlineStr">
        <is>
          <t>Роснефть</t>
        </is>
      </c>
      <c r="H1252" s="131" t="n">
        <v>76</v>
      </c>
      <c r="I1252" s="637" t="inlineStr">
        <is>
          <t>376 Торфяная</t>
        </is>
      </c>
      <c r="J1252" s="637" t="inlineStr">
        <is>
          <t>SPB_RN_P_376</t>
        </is>
      </c>
      <c r="K1252" s="640" t="n">
        <v>1</v>
      </c>
      <c r="L1252" s="640" t="n">
        <v>1</v>
      </c>
      <c r="M1252" s="623" t="inlineStr">
        <is>
          <t>Samsung 32" вертикальный</t>
        </is>
      </c>
      <c r="N1252" s="640" t="n"/>
      <c r="O1252" s="640">
        <f>IF(AND(N1252=1,L1252=1),K1252,"")</f>
        <v/>
      </c>
      <c r="P1252" s="642" t="inlineStr">
        <is>
          <t>Ленинградская область, Зеленогорск, ул. Торфяная, 27 б, лит. "А"</t>
        </is>
      </c>
      <c r="Q1252" s="640" t="n">
        <v>60.203435</v>
      </c>
      <c r="R1252" s="494" t="n">
        <v>29.690363</v>
      </c>
      <c r="S1252" s="436" t="n"/>
      <c r="T1252" s="436" t="n"/>
      <c r="U1252" s="436" t="n"/>
      <c r="V1252" s="438" t="n"/>
      <c r="W1252" s="387" t="n"/>
      <c r="X1252" s="387" t="n"/>
      <c r="Y1252" s="1" t="n"/>
    </row>
    <row r="1253" hidden="1" ht="16.05" customFormat="1" customHeight="1" s="126">
      <c r="A1253" s="125" t="n">
        <v>1696</v>
      </c>
      <c r="B1253" s="125" t="n"/>
      <c r="C1253" s="130" t="inlineStr">
        <is>
          <t>Санкт-Петербург</t>
        </is>
      </c>
      <c r="D1253" s="130" t="inlineStr">
        <is>
          <t>Санкт-Петербург</t>
        </is>
      </c>
      <c r="E1253" s="130" t="n"/>
      <c r="F1253" s="130" t="inlineStr">
        <is>
          <t>АЗС</t>
        </is>
      </c>
      <c r="G1253" s="130" t="inlineStr">
        <is>
          <t>Роснефть</t>
        </is>
      </c>
      <c r="H1253" s="131" t="n">
        <v>470</v>
      </c>
      <c r="I1253" s="637" t="inlineStr">
        <is>
          <t>470 Обуховской обороны</t>
        </is>
      </c>
      <c r="J1253" s="637" t="inlineStr">
        <is>
          <t>SPB_RN_P_470</t>
        </is>
      </c>
      <c r="K1253" s="640" t="n">
        <v>1</v>
      </c>
      <c r="L1253" s="640" t="n">
        <v>1</v>
      </c>
      <c r="M1253" s="623" t="inlineStr">
        <is>
          <t>Samsung 32" вертикальный</t>
        </is>
      </c>
      <c r="N1253" s="640" t="n"/>
      <c r="O1253" s="640">
        <f>IF(AND(N1253=1,L1253=1),K1253,"")</f>
        <v/>
      </c>
      <c r="P1253" s="642" t="inlineStr">
        <is>
          <t>Санкт-Петербург, пр. Обуховской обороны, 3, лит. "А" (угол Обуховской обороны и Обводного канала)</t>
        </is>
      </c>
      <c r="Q1253" s="640" t="inlineStr">
        <is>
          <t>59.920224</t>
        </is>
      </c>
      <c r="R1253" s="494" t="inlineStr">
        <is>
          <t>30.394697</t>
        </is>
      </c>
      <c r="S1253" s="436" t="n"/>
      <c r="T1253" s="436" t="n"/>
      <c r="U1253" s="436" t="n"/>
      <c r="V1253" s="438" t="n"/>
      <c r="W1253" s="387" t="n"/>
      <c r="X1253" s="387" t="n"/>
      <c r="Y1253" s="387" t="n"/>
    </row>
    <row r="1254" hidden="1" ht="16.05" customFormat="1" customHeight="1" s="126">
      <c r="A1254" s="125" t="n">
        <v>1697</v>
      </c>
      <c r="B1254" s="125" t="n"/>
      <c r="C1254" s="130" t="inlineStr">
        <is>
          <t>Санкт-Петербург</t>
        </is>
      </c>
      <c r="D1254" s="130" t="inlineStr">
        <is>
          <t>Ленинградская область</t>
        </is>
      </c>
      <c r="E1254" s="130" t="n"/>
      <c r="F1254" s="130" t="inlineStr">
        <is>
          <t>АЗС</t>
        </is>
      </c>
      <c r="G1254" s="130" t="inlineStr">
        <is>
          <t>Роснефть</t>
        </is>
      </c>
      <c r="H1254" s="131" t="n">
        <v>379</v>
      </c>
      <c r="I1254" s="637" t="inlineStr">
        <is>
          <t>379 Всеволожск</t>
        </is>
      </c>
      <c r="J1254" s="637" t="inlineStr">
        <is>
          <t>SPB_RN_P_379</t>
        </is>
      </c>
      <c r="K1254" s="640" t="n">
        <v>1</v>
      </c>
      <c r="L1254" s="640" t="n">
        <v>1</v>
      </c>
      <c r="M1254" s="623" t="inlineStr">
        <is>
          <t>Samsung 32" вертикальный</t>
        </is>
      </c>
      <c r="N1254" s="640" t="n"/>
      <c r="O1254" s="640">
        <f>IF(AND(N1254=1,L1254=1),K1254,"")</f>
        <v/>
      </c>
      <c r="P1254" s="642" t="inlineStr">
        <is>
          <t>Ленинградская область, Всеволожск, Колтушское ш., 302</t>
        </is>
      </c>
      <c r="Q1254" s="640" t="inlineStr">
        <is>
          <t>59.993329</t>
        </is>
      </c>
      <c r="R1254" s="494" t="inlineStr">
        <is>
          <t>30.657211</t>
        </is>
      </c>
      <c r="S1254" s="436" t="n"/>
      <c r="T1254" s="436" t="n"/>
      <c r="U1254" s="436" t="n"/>
      <c r="V1254" s="438" t="n"/>
      <c r="W1254" s="387" t="n"/>
      <c r="X1254" s="387" t="n"/>
      <c r="Y1254" s="387" t="n"/>
    </row>
    <row r="1255" hidden="1" ht="16.05" customFormat="1" customHeight="1" s="126">
      <c r="A1255" s="125" t="n">
        <v>1698</v>
      </c>
      <c r="B1255" s="125" t="n"/>
      <c r="C1255" s="130" t="inlineStr">
        <is>
          <t>Санкт-Петербург</t>
        </is>
      </c>
      <c r="D1255" s="130" t="inlineStr">
        <is>
          <t>Ленинградская область</t>
        </is>
      </c>
      <c r="E1255" s="130" t="n"/>
      <c r="F1255" s="130" t="inlineStr">
        <is>
          <t>АЗС</t>
        </is>
      </c>
      <c r="G1255" s="130" t="inlineStr">
        <is>
          <t>Роснефть</t>
        </is>
      </c>
      <c r="H1255" s="131" t="n">
        <v>359</v>
      </c>
      <c r="I1255" s="637" t="inlineStr">
        <is>
          <t>359 Стрельна-2</t>
        </is>
      </c>
      <c r="J1255" s="637" t="inlineStr">
        <is>
          <t>SPB_RN_P_359</t>
        </is>
      </c>
      <c r="K1255" s="640" t="n">
        <v>1</v>
      </c>
      <c r="L1255" s="640" t="n">
        <v>0</v>
      </c>
      <c r="M1255" s="623" t="inlineStr">
        <is>
          <t>Samsung 32" вертикальный</t>
        </is>
      </c>
      <c r="N1255" s="640" t="n"/>
      <c r="O1255" s="640">
        <f>IF(AND(N1255=1,L1255=1),K1255,"")</f>
        <v/>
      </c>
      <c r="P1255" s="642" t="inlineStr">
        <is>
          <t>Ленинградская область, пос. Стрельна, С-Петербургское ш., 2, лит. "А"</t>
        </is>
      </c>
      <c r="Q1255" s="640" t="inlineStr">
        <is>
          <t>59.851757</t>
        </is>
      </c>
      <c r="R1255" s="494" t="inlineStr">
        <is>
          <t>30.089712</t>
        </is>
      </c>
      <c r="S1255" s="436" t="n"/>
      <c r="T1255" s="436" t="n"/>
      <c r="U1255" s="436" t="n"/>
      <c r="V1255" s="438" t="n"/>
      <c r="W1255" s="387" t="n"/>
      <c r="X1255" s="387" t="n"/>
      <c r="Y1255" s="1" t="n"/>
    </row>
    <row r="1256" hidden="1" ht="16.05" customFormat="1" customHeight="1" s="126">
      <c r="A1256" s="125" t="n">
        <v>1699</v>
      </c>
      <c r="B1256" s="125" t="n"/>
      <c r="C1256" s="130" t="inlineStr">
        <is>
          <t>Санкт-Петербург</t>
        </is>
      </c>
      <c r="D1256" s="130" t="inlineStr">
        <is>
          <t>Санкт-Петербург</t>
        </is>
      </c>
      <c r="E1256" s="130" t="n"/>
      <c r="F1256" s="130" t="inlineStr">
        <is>
          <t>АЗС</t>
        </is>
      </c>
      <c r="G1256" s="130" t="inlineStr">
        <is>
          <t>Роснефть</t>
        </is>
      </c>
      <c r="H1256" s="131" t="n">
        <v>306</v>
      </c>
      <c r="I1256" s="637" t="inlineStr">
        <is>
          <t>306 Александровский парк</t>
        </is>
      </c>
      <c r="J1256" s="637" t="inlineStr">
        <is>
          <t>SPB_RN_P_306</t>
        </is>
      </c>
      <c r="K1256" s="640" t="n">
        <v>1</v>
      </c>
      <c r="L1256" s="640" t="n">
        <v>1</v>
      </c>
      <c r="M1256" s="623" t="inlineStr">
        <is>
          <t>Samsung 32" вертикальный</t>
        </is>
      </c>
      <c r="N1256" s="640" t="n"/>
      <c r="O1256" s="640">
        <f>IF(AND(N1256=1,L1256=1),K1256,"")</f>
        <v/>
      </c>
      <c r="P1256" s="642" t="inlineStr">
        <is>
          <t>Санкт-Петербург, Александровский парк, 8, лит. "А"</t>
        </is>
      </c>
      <c r="Q1256" s="640" t="inlineStr">
        <is>
          <t>59.953289</t>
        </is>
      </c>
      <c r="R1256" s="494" t="inlineStr">
        <is>
          <t>30.322077</t>
        </is>
      </c>
      <c r="S1256" s="436" t="n"/>
      <c r="T1256" s="436" t="n"/>
      <c r="U1256" s="436" t="n"/>
      <c r="V1256" s="438" t="n"/>
      <c r="W1256" s="387" t="n"/>
      <c r="X1256" s="387" t="n"/>
      <c r="Y1256" s="387" t="n"/>
    </row>
    <row r="1257" hidden="1" ht="16.05" customFormat="1" customHeight="1" s="126">
      <c r="A1257" s="125" t="n">
        <v>1701</v>
      </c>
      <c r="B1257" s="125" t="n"/>
      <c r="C1257" s="130" t="inlineStr">
        <is>
          <t>Санкт-Петербург</t>
        </is>
      </c>
      <c r="D1257" s="130" t="inlineStr">
        <is>
          <t>Санкт-Петербург</t>
        </is>
      </c>
      <c r="E1257" s="130" t="n"/>
      <c r="F1257" s="130" t="inlineStr">
        <is>
          <t>АЗС</t>
        </is>
      </c>
      <c r="G1257" s="130" t="inlineStr">
        <is>
          <t>Роснефть</t>
        </is>
      </c>
      <c r="H1257" s="131" t="n">
        <v>52</v>
      </c>
      <c r="I1257" s="637" t="inlineStr">
        <is>
          <t>352 Полюстровский</t>
        </is>
      </c>
      <c r="J1257" s="637" t="inlineStr">
        <is>
          <t>SPB_RN_P_352</t>
        </is>
      </c>
      <c r="K1257" s="640" t="n">
        <v>1</v>
      </c>
      <c r="L1257" s="640" t="n">
        <v>1</v>
      </c>
      <c r="M1257" s="623" t="inlineStr">
        <is>
          <t>Samsung 32" вертикальный</t>
        </is>
      </c>
      <c r="N1257" s="640" t="n"/>
      <c r="O1257" s="640">
        <f>IF(AND(N1257=1,L1257=1),K1257,"")</f>
        <v/>
      </c>
      <c r="P1257" s="642" t="inlineStr">
        <is>
          <t>Санкт-Петербург, Полюстровский пр., 73, лит. "А"</t>
        </is>
      </c>
      <c r="Q1257" s="640" t="n">
        <v>59.979883</v>
      </c>
      <c r="R1257" s="494" t="n">
        <v>30.367509</v>
      </c>
      <c r="S1257" s="436" t="n"/>
      <c r="T1257" s="436" t="n"/>
      <c r="U1257" s="436" t="n"/>
      <c r="V1257" s="438" t="n"/>
      <c r="W1257" s="387" t="n"/>
      <c r="X1257" s="387" t="n"/>
      <c r="Y1257" s="387" t="n"/>
    </row>
    <row r="1258" hidden="1" ht="16.05" customFormat="1" customHeight="1" s="126">
      <c r="A1258" s="125" t="n">
        <v>1703</v>
      </c>
      <c r="B1258" s="125" t="n"/>
      <c r="C1258" s="130" t="inlineStr">
        <is>
          <t>Санкт-Петербург</t>
        </is>
      </c>
      <c r="D1258" s="130" t="inlineStr">
        <is>
          <t>Санкт-Петербург</t>
        </is>
      </c>
      <c r="E1258" s="130" t="n"/>
      <c r="F1258" s="130" t="inlineStr">
        <is>
          <t>АЗС</t>
        </is>
      </c>
      <c r="G1258" s="130" t="inlineStr">
        <is>
          <t>Роснефть</t>
        </is>
      </c>
      <c r="H1258" s="131" t="n">
        <v>428</v>
      </c>
      <c r="I1258" s="637" t="inlineStr">
        <is>
          <t>428 Трефолева</t>
        </is>
      </c>
      <c r="J1258" s="637" t="inlineStr">
        <is>
          <t>SPB_RN_P_428</t>
        </is>
      </c>
      <c r="K1258" s="640" t="n">
        <v>1</v>
      </c>
      <c r="L1258" s="640" t="n">
        <v>1</v>
      </c>
      <c r="M1258" s="623" t="inlineStr">
        <is>
          <t>Samsung 32" вертикальный</t>
        </is>
      </c>
      <c r="N1258" s="640" t="n"/>
      <c r="O1258" s="640">
        <f>IF(AND(N1258=1,L1258=1),K1258,"")</f>
        <v/>
      </c>
      <c r="P1258" s="642" t="inlineStr">
        <is>
          <t>Санкт-Петербург, ул. Трефолева, 42, кор. 3, лит. "А"</t>
        </is>
      </c>
      <c r="Q1258" s="640" t="inlineStr">
        <is>
          <t>59.891569</t>
        </is>
      </c>
      <c r="R1258" s="494" t="inlineStr">
        <is>
          <t>30.258916</t>
        </is>
      </c>
      <c r="S1258" s="436" t="n"/>
      <c r="T1258" s="436" t="n"/>
      <c r="U1258" s="436" t="n"/>
      <c r="V1258" s="438" t="n"/>
      <c r="W1258" s="387" t="n"/>
      <c r="X1258" s="387" t="n"/>
      <c r="Y1258" s="387" t="n"/>
    </row>
    <row r="1259" hidden="1" ht="16.05" customFormat="1" customHeight="1" s="126">
      <c r="A1259" s="125" t="n">
        <v>1704</v>
      </c>
      <c r="B1259" s="125" t="n"/>
      <c r="C1259" s="130" t="inlineStr">
        <is>
          <t>Тверь</t>
        </is>
      </c>
      <c r="D1259" s="130" t="inlineStr">
        <is>
          <t>Тверская область</t>
        </is>
      </c>
      <c r="E1259" s="130" t="n"/>
      <c r="F1259" s="130" t="inlineStr">
        <is>
          <t>АЗС</t>
        </is>
      </c>
      <c r="G1259" s="130" t="inlineStr">
        <is>
          <t>Роснефть</t>
        </is>
      </c>
      <c r="H1259" s="131" t="n">
        <v>158</v>
      </c>
      <c r="I1259" s="637" t="inlineStr">
        <is>
          <t>ПТК_158</t>
        </is>
      </c>
      <c r="J1259" s="637" t="inlineStr">
        <is>
          <t>TVE_RN_0458</t>
        </is>
      </c>
      <c r="K1259" s="640" t="n">
        <v>1</v>
      </c>
      <c r="L1259" s="640" t="n">
        <v>1</v>
      </c>
      <c r="M1259" s="623" t="inlineStr">
        <is>
          <t>Samsung 32" вертикальный</t>
        </is>
      </c>
      <c r="N1259" s="640" t="n"/>
      <c r="O1259" s="640">
        <f>IF(AND(N1259=1,L1259=1),K1259,"")</f>
        <v/>
      </c>
      <c r="P1259" s="642" t="inlineStr">
        <is>
          <t>210-й км а/д Москва-Санкт-Петербург (слева по ходу движения из Москвы в Санкт-Петербург)</t>
        </is>
      </c>
      <c r="Q1259" s="640" t="inlineStr">
        <is>
          <t>56.973022</t>
        </is>
      </c>
      <c r="R1259" s="494" t="inlineStr">
        <is>
          <t>35.287745</t>
        </is>
      </c>
      <c r="S1259" s="436" t="n"/>
      <c r="T1259" s="436" t="n"/>
      <c r="U1259" s="436" t="n"/>
      <c r="V1259" s="438" t="n"/>
      <c r="W1259" s="387" t="n"/>
      <c r="X1259" s="387" t="n"/>
      <c r="Y1259" s="387" t="n"/>
    </row>
    <row r="1260" hidden="1" ht="16.05" customFormat="1" customHeight="1" s="126">
      <c r="A1260" s="125" t="n">
        <v>1700</v>
      </c>
      <c r="B1260" s="125" t="n"/>
      <c r="C1260" s="130" t="inlineStr">
        <is>
          <t>Санкт-Петербург</t>
        </is>
      </c>
      <c r="D1260" s="130" t="inlineStr">
        <is>
          <t>Любань</t>
        </is>
      </c>
      <c r="E1260" s="130" t="n"/>
      <c r="F1260" s="130" t="inlineStr">
        <is>
          <t>АЗС</t>
        </is>
      </c>
      <c r="G1260" s="130" t="inlineStr">
        <is>
          <t>ПТК</t>
        </is>
      </c>
      <c r="H1260" s="131" t="n">
        <v>95</v>
      </c>
      <c r="I1260" s="637" t="inlineStr">
        <is>
          <t>ПТК_095</t>
        </is>
      </c>
      <c r="J1260" s="637" t="inlineStr">
        <is>
          <t>PTK_0095</t>
        </is>
      </c>
      <c r="K1260" s="640" t="n">
        <v>1</v>
      </c>
      <c r="L1260" s="640" t="n">
        <v>0</v>
      </c>
      <c r="M1260" s="640" t="inlineStr">
        <is>
          <t>Samsung 32" вертикальный</t>
        </is>
      </c>
      <c r="N1260" s="640" t="n"/>
      <c r="O1260" s="640">
        <f>IF(AND(N1260=1,L1260=1),K1260,"")</f>
        <v/>
      </c>
      <c r="P1260" s="642" t="inlineStr">
        <is>
          <t>Ленинградская область, Любань, а/д Москва-Санкт-Петербург., 611-й км (справа по ходу движения из Москвы в Санкт-Петербург)</t>
        </is>
      </c>
      <c r="Q1260" s="640" t="n">
        <v>59.320603</v>
      </c>
      <c r="R1260" s="422" t="n">
        <v>31.289511</v>
      </c>
      <c r="S1260" s="436" t="n"/>
      <c r="T1260" s="436" t="n"/>
      <c r="U1260" s="436" t="n"/>
      <c r="V1260" s="438" t="n"/>
      <c r="W1260" s="387" t="n"/>
      <c r="X1260" s="1" t="n"/>
      <c r="Y1260" s="1" t="n"/>
    </row>
    <row r="1261" hidden="1" ht="16.05" customFormat="1" customHeight="1" s="126">
      <c r="A1261" s="125" t="n">
        <v>1707</v>
      </c>
      <c r="B1261" s="125" t="n"/>
      <c r="C1261" s="130" t="inlineStr">
        <is>
          <t>Санкт-Петербург</t>
        </is>
      </c>
      <c r="D1261" s="130" t="inlineStr">
        <is>
          <t>Санкт-Петербург</t>
        </is>
      </c>
      <c r="E1261" s="130" t="n"/>
      <c r="F1261" s="130" t="inlineStr">
        <is>
          <t>АЗС</t>
        </is>
      </c>
      <c r="G1261" s="130" t="inlineStr">
        <is>
          <t>Роснефть</t>
        </is>
      </c>
      <c r="H1261" s="131" t="n">
        <v>339</v>
      </c>
      <c r="I1261" s="637" t="inlineStr">
        <is>
          <t>339 Рощинская</t>
        </is>
      </c>
      <c r="J1261" s="637" t="inlineStr">
        <is>
          <t>SPB_RN_P_339</t>
        </is>
      </c>
      <c r="K1261" s="640" t="n">
        <v>1</v>
      </c>
      <c r="L1261" s="640" t="n">
        <v>1</v>
      </c>
      <c r="M1261" s="623" t="inlineStr">
        <is>
          <t>Samsung 32" вертикальный</t>
        </is>
      </c>
      <c r="N1261" s="640" t="n"/>
      <c r="O1261" s="640">
        <f>IF(AND(N1261=1,L1261=1),K1261,"")</f>
        <v/>
      </c>
      <c r="P1261" s="642" t="inlineStr">
        <is>
          <t>Санкт-Петербург, ул. Рощинская, 46 а, лит. "А"</t>
        </is>
      </c>
      <c r="Q1261" s="640" t="inlineStr">
        <is>
          <t>59.88105</t>
        </is>
      </c>
      <c r="R1261" s="494" t="inlineStr">
        <is>
          <t>30.343546</t>
        </is>
      </c>
      <c r="S1261" s="436" t="n"/>
      <c r="T1261" s="436" t="n"/>
      <c r="U1261" s="436" t="n"/>
      <c r="V1261" s="438" t="n"/>
      <c r="W1261" s="387" t="n"/>
      <c r="X1261" s="387" t="n"/>
      <c r="Y1261" s="1" t="n"/>
    </row>
    <row r="1262" hidden="1" ht="16.05" customFormat="1" customHeight="1" s="126">
      <c r="A1262" s="125" t="n">
        <v>1702</v>
      </c>
      <c r="B1262" s="125" t="n"/>
      <c r="C1262" s="130" t="inlineStr">
        <is>
          <t>Санкт-Петербург</t>
        </is>
      </c>
      <c r="D1262" s="130" t="inlineStr">
        <is>
          <t>Санкт-Петербург</t>
        </is>
      </c>
      <c r="E1262" s="130" t="n"/>
      <c r="F1262" s="130" t="n"/>
      <c r="G1262" s="130" t="inlineStr">
        <is>
          <t>ПТК</t>
        </is>
      </c>
      <c r="H1262" s="131" t="n">
        <v>80</v>
      </c>
      <c r="I1262" s="637" t="inlineStr">
        <is>
          <t>ПТК_080</t>
        </is>
      </c>
      <c r="J1262" s="637" t="inlineStr">
        <is>
          <t>PTK_0080</t>
        </is>
      </c>
      <c r="K1262" s="640" t="n">
        <v>1</v>
      </c>
      <c r="L1262" s="640" t="n">
        <v>0</v>
      </c>
      <c r="M1262" s="640" t="inlineStr">
        <is>
          <t>Sam 32</t>
        </is>
      </c>
      <c r="N1262" s="640" t="n"/>
      <c r="O1262" s="640">
        <f>IF(AND(N1262=1,L1262=1),K1262,"")</f>
        <v/>
      </c>
      <c r="P1262" s="642" t="inlineStr">
        <is>
          <t>Санкт-Петербург, пр. КИМа, 32, лит. "А"</t>
        </is>
      </c>
      <c r="Q1262" s="640" t="n">
        <v>59.955664</v>
      </c>
      <c r="R1262" s="422" t="n">
        <v>30.241536</v>
      </c>
      <c r="S1262" s="436" t="n"/>
      <c r="T1262" s="436" t="n"/>
      <c r="U1262" s="436" t="n"/>
      <c r="V1262" s="438" t="n"/>
      <c r="W1262" s="387" t="n"/>
      <c r="X1262" s="1" t="n"/>
      <c r="Y1262" s="1" t="n"/>
    </row>
    <row r="1263" hidden="1" ht="16.05" customFormat="1" customHeight="1" s="126">
      <c r="A1263" s="125" t="n">
        <v>1708</v>
      </c>
      <c r="B1263" s="125" t="n"/>
      <c r="C1263" s="130" t="inlineStr">
        <is>
          <t>Санкт-Петербург</t>
        </is>
      </c>
      <c r="D1263" s="130" t="inlineStr">
        <is>
          <t>Санкт-Петербург</t>
        </is>
      </c>
      <c r="E1263" s="130" t="n"/>
      <c r="F1263" s="130" t="inlineStr">
        <is>
          <t>АЗС</t>
        </is>
      </c>
      <c r="G1263" s="130" t="inlineStr">
        <is>
          <t>Роснефть</t>
        </is>
      </c>
      <c r="H1263" s="131" t="n">
        <v>305</v>
      </c>
      <c r="I1263" s="637" t="inlineStr">
        <is>
          <t>305 Смоленка</t>
        </is>
      </c>
      <c r="J1263" s="637" t="inlineStr">
        <is>
          <t>SPB_RN_P_305</t>
        </is>
      </c>
      <c r="K1263" s="640" t="n">
        <v>1</v>
      </c>
      <c r="L1263" s="640" t="n">
        <v>1</v>
      </c>
      <c r="M1263" s="623" t="inlineStr">
        <is>
          <t>Samsung 32" вертикальный</t>
        </is>
      </c>
      <c r="N1263" s="640" t="n"/>
      <c r="O1263" s="640">
        <f>IF(AND(N1263=1,L1263=1),K1263,"")</f>
        <v/>
      </c>
      <c r="P1263" s="642" t="inlineStr">
        <is>
          <t>Санкт-Петербург, наб. реки Смоленки, 27, лит. "А"</t>
        </is>
      </c>
      <c r="Q1263" s="640" t="inlineStr">
        <is>
          <t xml:space="preserve">59.947975
</t>
        </is>
      </c>
      <c r="R1263" s="494" t="inlineStr">
        <is>
          <t>30.256591</t>
        </is>
      </c>
      <c r="S1263" s="436" t="n"/>
      <c r="T1263" s="436" t="n"/>
      <c r="U1263" s="436" t="n"/>
      <c r="V1263" s="438" t="n"/>
      <c r="W1263" s="387" t="n"/>
      <c r="X1263" s="387" t="n"/>
      <c r="Y1263" s="387" t="n"/>
    </row>
    <row r="1264" hidden="1" ht="16.05" customFormat="1" customHeight="1" s="126">
      <c r="A1264" s="125" t="n">
        <v>1710</v>
      </c>
      <c r="B1264" s="125" t="n"/>
      <c r="C1264" s="130" t="inlineStr">
        <is>
          <t>Санкт-Петербург</t>
        </is>
      </c>
      <c r="D1264" s="130" t="inlineStr">
        <is>
          <t>Ленинградская область</t>
        </is>
      </c>
      <c r="E1264" s="130" t="n"/>
      <c r="F1264" s="130" t="inlineStr">
        <is>
          <t>АЗС</t>
        </is>
      </c>
      <c r="G1264" s="130" t="inlineStr">
        <is>
          <t>Роснефть</t>
        </is>
      </c>
      <c r="H1264" s="131" t="n">
        <v>360</v>
      </c>
      <c r="I1264" s="637" t="inlineStr">
        <is>
          <t>360 Кронштадт-2</t>
        </is>
      </c>
      <c r="J1264" s="637" t="inlineStr">
        <is>
          <t>SPB_RN_P_360</t>
        </is>
      </c>
      <c r="K1264" s="640" t="n">
        <v>1</v>
      </c>
      <c r="L1264" s="640" t="n">
        <v>1</v>
      </c>
      <c r="M1264" s="623" t="inlineStr">
        <is>
          <t>Samsung 32" вертикальный</t>
        </is>
      </c>
      <c r="N1264" s="640" t="n"/>
      <c r="O1264" s="640">
        <f>IF(AND(N1264=1,L1264=1),K1264,"")</f>
        <v/>
      </c>
      <c r="P1264" s="642" t="inlineStr">
        <is>
          <t>Ленинградская область, Кронштадт, Кронштадтское ш., 5, лит. "В"</t>
        </is>
      </c>
      <c r="Q1264" s="640" t="inlineStr">
        <is>
          <t>60.003571</t>
        </is>
      </c>
      <c r="R1264" s="494" t="inlineStr">
        <is>
          <t>29.759634</t>
        </is>
      </c>
      <c r="S1264" s="436" t="n"/>
      <c r="T1264" s="436" t="n"/>
      <c r="U1264" s="436" t="n"/>
      <c r="V1264" s="438" t="n"/>
      <c r="W1264" s="387" t="n"/>
      <c r="X1264" s="387" t="n"/>
      <c r="Y1264" s="387" t="n"/>
    </row>
    <row r="1265" hidden="1" ht="16.05" customHeight="1">
      <c r="A1265" s="791" t="n">
        <v>1705</v>
      </c>
      <c r="B1265" s="13">
        <f>IF(OR(M1265="Sam 32",M1265="Sam 40"),"s",IF(M1265="AMS","a","v"))</f>
        <v/>
      </c>
      <c r="C1265" s="130" t="inlineStr">
        <is>
          <t>Санкт-Петербург</t>
        </is>
      </c>
      <c r="D1265" s="130" t="inlineStr">
        <is>
          <t>Всеволожск</t>
        </is>
      </c>
      <c r="E1265" s="130" t="n"/>
      <c r="F1265" s="130" t="n"/>
      <c r="G1265" s="130" t="inlineStr">
        <is>
          <t>ПТК</t>
        </is>
      </c>
      <c r="H1265" s="131" t="n">
        <v>159</v>
      </c>
      <c r="I1265" s="637" t="inlineStr">
        <is>
          <t>ПТК_159</t>
        </is>
      </c>
      <c r="J1265" s="637" t="inlineStr">
        <is>
          <t>PTK_0159</t>
        </is>
      </c>
      <c r="K1265" s="640" t="n">
        <v>1</v>
      </c>
      <c r="L1265" s="640" t="n">
        <v>0</v>
      </c>
      <c r="M1265" s="640" t="inlineStr">
        <is>
          <t>Sam 32</t>
        </is>
      </c>
      <c r="N1265" s="640" t="n"/>
      <c r="O1265" s="640">
        <f>IF(AND(N1265=1,L1265=1),K1265,"")</f>
        <v/>
      </c>
      <c r="P1265" s="642" t="inlineStr">
        <is>
          <t>Ленинградская область, Всеволожск, Колтушское ш., 183</t>
        </is>
      </c>
      <c r="Q1265" s="640" t="n"/>
      <c r="R1265" s="422" t="n"/>
      <c r="S1265" s="436" t="n"/>
      <c r="T1265" s="436" t="n"/>
      <c r="U1265" s="436" t="n"/>
      <c r="V1265" s="438" t="n"/>
      <c r="X1265" s="1" t="n"/>
      <c r="Y1265" s="1" t="n"/>
      <c r="Z1265" s="1" t="n"/>
    </row>
    <row r="1266" hidden="1" ht="16.05" customFormat="1" customHeight="1" s="126">
      <c r="A1266" s="125" t="n">
        <v>1706</v>
      </c>
      <c r="B1266" s="125" t="n"/>
      <c r="C1266" s="130" t="inlineStr">
        <is>
          <t>Санкт-Петербург</t>
        </is>
      </c>
      <c r="D1266" s="130" t="inlineStr">
        <is>
          <t>Санкт-Петербург</t>
        </is>
      </c>
      <c r="E1266" s="130" t="n"/>
      <c r="F1266" s="130" t="n"/>
      <c r="G1266" s="130" t="inlineStr">
        <is>
          <t>ПТК</t>
        </is>
      </c>
      <c r="H1266" s="131" t="n">
        <v>89</v>
      </c>
      <c r="I1266" s="637" t="inlineStr">
        <is>
          <t>ПТК_089</t>
        </is>
      </c>
      <c r="J1266" s="637" t="inlineStr">
        <is>
          <t>PTK_0089</t>
        </is>
      </c>
      <c r="K1266" s="640" t="n">
        <v>1</v>
      </c>
      <c r="L1266" s="640" t="n">
        <v>0</v>
      </c>
      <c r="M1266" s="640" t="inlineStr">
        <is>
          <t>Sam 32</t>
        </is>
      </c>
      <c r="N1266" s="640" t="n"/>
      <c r="O1266" s="640">
        <f>IF(AND(N1266=1,L1266=1),K1266,"")</f>
        <v/>
      </c>
      <c r="P1266" s="642" t="inlineStr">
        <is>
          <t>Санкт-Петербург, ул. Запорожская, 33, лит. "А"</t>
        </is>
      </c>
      <c r="Q1266" s="640" t="n">
        <v>59.849522</v>
      </c>
      <c r="R1266" s="422" t="n">
        <v>30.463006</v>
      </c>
      <c r="S1266" s="436" t="n"/>
      <c r="T1266" s="436" t="n"/>
      <c r="U1266" s="436" t="n"/>
      <c r="V1266" s="438" t="n"/>
      <c r="W1266" s="387" t="n"/>
      <c r="X1266" s="1" t="n"/>
      <c r="Y1266" s="1" t="n"/>
    </row>
    <row r="1267" hidden="1" ht="16.05" customFormat="1" customHeight="1" s="126">
      <c r="A1267" s="125" t="n">
        <v>1713</v>
      </c>
      <c r="B1267" s="125" t="n"/>
      <c r="C1267" s="130" t="inlineStr">
        <is>
          <t>Санкт-Петербург</t>
        </is>
      </c>
      <c r="D1267" s="130" t="inlineStr">
        <is>
          <t>Санкт-Петербург</t>
        </is>
      </c>
      <c r="E1267" s="130" t="n"/>
      <c r="F1267" s="130" t="inlineStr">
        <is>
          <t>АЗС</t>
        </is>
      </c>
      <c r="G1267" s="130" t="inlineStr">
        <is>
          <t>Роснефть</t>
        </is>
      </c>
      <c r="H1267" s="131" t="n">
        <v>72</v>
      </c>
      <c r="I1267" s="637" t="inlineStr">
        <is>
          <t>372 Морская</t>
        </is>
      </c>
      <c r="J1267" s="637" t="inlineStr">
        <is>
          <t>SPB_RN_P_372</t>
        </is>
      </c>
      <c r="K1267" s="640" t="n">
        <v>2</v>
      </c>
      <c r="L1267" s="640" t="n">
        <v>1</v>
      </c>
      <c r="M1267" s="623" t="inlineStr">
        <is>
          <t>Samsung 32" вертикальный</t>
        </is>
      </c>
      <c r="N1267" s="640" t="n"/>
      <c r="O1267" s="640">
        <f>IF(AND(N1267=1,L1267=1),K1267,"")</f>
        <v/>
      </c>
      <c r="P1267" s="642" t="inlineStr">
        <is>
          <t>Ленинградская область, Ломоносов, ул. Морская, 94, лит. "А"</t>
        </is>
      </c>
      <c r="Q1267" s="640" t="n">
        <v>59.902281</v>
      </c>
      <c r="R1267" s="494" t="n">
        <v>29.818746</v>
      </c>
      <c r="S1267" s="436" t="n"/>
      <c r="T1267" s="436" t="n"/>
      <c r="U1267" s="436" t="n"/>
      <c r="V1267" s="438" t="n"/>
      <c r="W1267" s="387" t="n"/>
      <c r="X1267" s="387" t="n"/>
      <c r="Y1267" s="387" t="n"/>
    </row>
    <row r="1268" hidden="1" ht="16.05" customFormat="1" customHeight="1" s="126">
      <c r="A1268" s="125" t="n">
        <v>1715</v>
      </c>
      <c r="B1268" s="125" t="n"/>
      <c r="C1268" s="130" t="inlineStr">
        <is>
          <t>Санкт-Петербург</t>
        </is>
      </c>
      <c r="D1268" s="130" t="inlineStr">
        <is>
          <t>Санкт-Петербург</t>
        </is>
      </c>
      <c r="E1268" s="130" t="n"/>
      <c r="F1268" s="130" t="inlineStr">
        <is>
          <t>АЗС</t>
        </is>
      </c>
      <c r="G1268" s="130" t="inlineStr">
        <is>
          <t>Роснефть</t>
        </is>
      </c>
      <c r="H1268" s="131" t="n">
        <v>54</v>
      </c>
      <c r="I1268" s="637" t="inlineStr">
        <is>
          <t>354 Зольная-1</t>
        </is>
      </c>
      <c r="J1268" s="637" t="inlineStr">
        <is>
          <t>SPB_RN_P_354</t>
        </is>
      </c>
      <c r="K1268" s="640" t="n">
        <v>1</v>
      </c>
      <c r="L1268" s="640" t="n">
        <v>1</v>
      </c>
      <c r="M1268" s="623" t="inlineStr">
        <is>
          <t>Samsung 32" вертикальный</t>
        </is>
      </c>
      <c r="N1268" s="640" t="n"/>
      <c r="O1268" s="640">
        <f>IF(AND(N1268=1,L1268=1),K1268,"")</f>
        <v/>
      </c>
      <c r="P1268" s="642" t="inlineStr">
        <is>
          <t>Санкт-Петербург, ул. Зольная, д. 1, лит. А</t>
        </is>
      </c>
      <c r="Q1268" s="640" t="inlineStr">
        <is>
          <t>59.916524</t>
        </is>
      </c>
      <c r="R1268" s="494" t="inlineStr">
        <is>
          <t>30.41716</t>
        </is>
      </c>
      <c r="S1268" s="436" t="n"/>
      <c r="T1268" s="436" t="n"/>
      <c r="U1268" s="436" t="n"/>
      <c r="V1268" s="438" t="n"/>
      <c r="W1268" s="387" t="n"/>
      <c r="X1268" s="387" t="n"/>
      <c r="Y1268" s="387" t="n"/>
    </row>
    <row r="1269" hidden="1" ht="16.05" customFormat="1" customHeight="1" s="126">
      <c r="A1269" s="125" t="n">
        <v>1709</v>
      </c>
      <c r="B1269" s="125" t="n"/>
      <c r="C1269" s="130" t="inlineStr">
        <is>
          <t>Санкт-Петербург</t>
        </is>
      </c>
      <c r="D1269" s="130" t="inlineStr">
        <is>
          <t>Колпино</t>
        </is>
      </c>
      <c r="E1269" s="130" t="n"/>
      <c r="F1269" s="130" t="n"/>
      <c r="G1269" s="130" t="inlineStr">
        <is>
          <t>ПТК</t>
        </is>
      </c>
      <c r="H1269" s="131" t="n">
        <v>111</v>
      </c>
      <c r="I1269" s="637" t="inlineStr">
        <is>
          <t>ПТК_111</t>
        </is>
      </c>
      <c r="J1269" s="637" t="inlineStr">
        <is>
          <t>PTK_0111</t>
        </is>
      </c>
      <c r="K1269" s="640" t="n">
        <v>1</v>
      </c>
      <c r="L1269" s="640" t="n">
        <v>0</v>
      </c>
      <c r="M1269" s="640" t="inlineStr">
        <is>
          <t>Sam 32</t>
        </is>
      </c>
      <c r="N1269" s="640" t="n"/>
      <c r="O1269" s="640">
        <f>IF(AND(N1269=1,L1269=1),K1269,"")</f>
        <v/>
      </c>
      <c r="P1269" s="642" t="inlineStr">
        <is>
          <t>Ленинградская область, Колпино, Заводской пр., 19, лит. "А"</t>
        </is>
      </c>
      <c r="Q1269" s="640" t="n">
        <v>59.72969</v>
      </c>
      <c r="R1269" s="422" t="n">
        <v>30.583336</v>
      </c>
      <c r="S1269" s="436" t="n"/>
      <c r="T1269" s="436" t="n"/>
      <c r="U1269" s="436" t="n"/>
      <c r="V1269" s="438" t="n"/>
      <c r="W1269" s="387" t="n"/>
      <c r="X1269" s="1" t="n"/>
      <c r="Y1269" s="1" t="n"/>
    </row>
    <row r="1270" hidden="1" ht="16.05" customFormat="1" customHeight="1" s="126">
      <c r="A1270" s="125" t="n">
        <v>1711</v>
      </c>
      <c r="B1270" s="125" t="n"/>
      <c r="C1270" s="130" t="inlineStr">
        <is>
          <t>Санкт-Петербург</t>
        </is>
      </c>
      <c r="D1270" s="130" t="inlineStr">
        <is>
          <t>Санкт-Петербург</t>
        </is>
      </c>
      <c r="E1270" s="130" t="n"/>
      <c r="F1270" s="130" t="inlineStr">
        <is>
          <t>АЗС</t>
        </is>
      </c>
      <c r="G1270" s="130" t="inlineStr">
        <is>
          <t>Роснефть</t>
        </is>
      </c>
      <c r="H1270" s="131" t="n">
        <v>342</v>
      </c>
      <c r="I1270" s="637" t="inlineStr">
        <is>
          <t>342 Пискаревский-2</t>
        </is>
      </c>
      <c r="J1270" s="637" t="inlineStr">
        <is>
          <t>SPB_RN_P_342</t>
        </is>
      </c>
      <c r="K1270" s="640" t="n">
        <v>1</v>
      </c>
      <c r="L1270" s="640" t="n">
        <v>0</v>
      </c>
      <c r="M1270" s="640" t="inlineStr">
        <is>
          <t>Samsung 32" вертикальный</t>
        </is>
      </c>
      <c r="N1270" s="640" t="n"/>
      <c r="O1270" s="640">
        <f>IF(AND(N1270=1,L1270=1),K1270,"")</f>
        <v/>
      </c>
      <c r="P1270" s="642" t="inlineStr">
        <is>
          <t>Санкт-Петербург, Пискаревский пр., 42, лит. "А"</t>
        </is>
      </c>
      <c r="Q1270" s="640" t="inlineStr">
        <is>
          <t>59.986716</t>
        </is>
      </c>
      <c r="R1270" s="422" t="inlineStr">
        <is>
          <t>30.426352</t>
        </is>
      </c>
      <c r="S1270" s="436" t="n"/>
      <c r="T1270" s="436" t="n"/>
      <c r="U1270" s="436" t="n"/>
      <c r="V1270" s="438" t="n"/>
      <c r="W1270" s="387" t="n"/>
      <c r="X1270" s="387" t="n"/>
      <c r="Y1270" s="387" t="n"/>
    </row>
    <row r="1271" hidden="1" ht="16.05" customFormat="1" customHeight="1" s="126">
      <c r="A1271" s="125" t="n">
        <v>1721</v>
      </c>
      <c r="B1271" s="125" t="n"/>
      <c r="C1271" s="130" t="inlineStr">
        <is>
          <t>Санкт-Петербург</t>
        </is>
      </c>
      <c r="D1271" s="130" t="inlineStr">
        <is>
          <t>Санкт-Петербург</t>
        </is>
      </c>
      <c r="E1271" s="130" t="n"/>
      <c r="F1271" s="130" t="inlineStr">
        <is>
          <t>АЗС</t>
        </is>
      </c>
      <c r="G1271" s="130" t="inlineStr">
        <is>
          <t>Роснефть</t>
        </is>
      </c>
      <c r="H1271" s="131" t="n">
        <v>422</v>
      </c>
      <c r="I1271" s="637" t="inlineStr">
        <is>
          <t>422 Уманский</t>
        </is>
      </c>
      <c r="J1271" s="637" t="inlineStr">
        <is>
          <t>SPB_RN_P_422</t>
        </is>
      </c>
      <c r="K1271" s="640" t="n">
        <v>1</v>
      </c>
      <c r="L1271" s="640" t="n">
        <v>1</v>
      </c>
      <c r="M1271" s="623" t="inlineStr">
        <is>
          <t>Samsung 32" вертикальный</t>
        </is>
      </c>
      <c r="N1271" s="640" t="n"/>
      <c r="O1271" s="640">
        <f>IF(AND(N1271=1,L1271=1),K1271,"")</f>
        <v/>
      </c>
      <c r="P1271" s="642" t="inlineStr">
        <is>
          <t>Санкт-Петербург, Уманский пер., 70, кор. 2, лит. "А"</t>
        </is>
      </c>
      <c r="Q1271" s="640" t="inlineStr">
        <is>
          <t>59.966203</t>
        </is>
      </c>
      <c r="R1271" s="494" t="inlineStr">
        <is>
          <t>30.448751</t>
        </is>
      </c>
      <c r="S1271" s="436" t="n"/>
      <c r="T1271" s="436" t="n"/>
      <c r="U1271" s="436" t="n"/>
      <c r="V1271" s="438" t="n"/>
      <c r="W1271" s="387" t="n"/>
      <c r="X1271" s="387" t="n"/>
      <c r="Y1271" s="387" t="n"/>
    </row>
    <row r="1272" hidden="1" ht="16.05" customFormat="1" customHeight="1" s="126">
      <c r="A1272" s="125" t="n">
        <v>1712</v>
      </c>
      <c r="B1272" s="125" t="n"/>
      <c r="C1272" s="130" t="inlineStr">
        <is>
          <t>Санкт-Петербург</t>
        </is>
      </c>
      <c r="D1272" s="130" t="inlineStr">
        <is>
          <t>Санкт-Петербург</t>
        </is>
      </c>
      <c r="E1272" s="130" t="n"/>
      <c r="F1272" s="130" t="n"/>
      <c r="G1272" s="130" t="inlineStr">
        <is>
          <t>ПТК</t>
        </is>
      </c>
      <c r="H1272" s="131" t="n">
        <v>23</v>
      </c>
      <c r="I1272" s="637" t="inlineStr">
        <is>
          <t>ПТК_023</t>
        </is>
      </c>
      <c r="J1272" s="637" t="inlineStr">
        <is>
          <t>PTK_0023</t>
        </is>
      </c>
      <c r="K1272" s="640" t="n">
        <v>1</v>
      </c>
      <c r="L1272" s="640" t="n">
        <v>0</v>
      </c>
      <c r="M1272" s="640" t="inlineStr">
        <is>
          <t>Sam 32</t>
        </is>
      </c>
      <c r="N1272" s="640" t="n"/>
      <c r="O1272" s="640">
        <f>IF(AND(N1272=1,L1272=1),K1272,"")</f>
        <v/>
      </c>
      <c r="P1272" s="642" t="inlineStr">
        <is>
          <t>Санкт-Петербург, ул. Благодатная, 48, лит. "А"</t>
        </is>
      </c>
      <c r="Q1272" s="640" t="n">
        <v>59.876694</v>
      </c>
      <c r="R1272" s="422" t="n">
        <v>30.337028</v>
      </c>
      <c r="S1272" s="436" t="n"/>
      <c r="T1272" s="436" t="n"/>
      <c r="U1272" s="436" t="n"/>
      <c r="V1272" s="438" t="n"/>
      <c r="W1272" s="387" t="n"/>
      <c r="X1272" s="1" t="n"/>
      <c r="Y1272" s="1" t="n"/>
    </row>
    <row r="1273" hidden="1" ht="16.05" customFormat="1" customHeight="1" s="126">
      <c r="A1273" s="125" t="n">
        <v>1717</v>
      </c>
      <c r="B1273" s="125" t="n"/>
      <c r="C1273" s="130" t="inlineStr">
        <is>
          <t>Санкт-Петербург</t>
        </is>
      </c>
      <c r="D1273" s="130" t="inlineStr">
        <is>
          <t>Санкт-Петербург</t>
        </is>
      </c>
      <c r="E1273" s="130" t="n"/>
      <c r="F1273" s="130" t="inlineStr">
        <is>
          <t>АЗС</t>
        </is>
      </c>
      <c r="G1273" s="130" t="inlineStr">
        <is>
          <t>Роснефть</t>
        </is>
      </c>
      <c r="H1273" s="131" t="n">
        <v>394</v>
      </c>
      <c r="I1273" s="637" t="inlineStr">
        <is>
          <t>394 Руставели-2</t>
        </is>
      </c>
      <c r="J1273" s="637" t="inlineStr">
        <is>
          <t>SPB_RN_P_394</t>
        </is>
      </c>
      <c r="K1273" s="640" t="n">
        <v>1</v>
      </c>
      <c r="L1273" s="640" t="n">
        <v>0</v>
      </c>
      <c r="M1273" s="640" t="inlineStr">
        <is>
          <t>Samsung 32" вертикальный</t>
        </is>
      </c>
      <c r="N1273" s="640" t="n"/>
      <c r="O1273" s="640">
        <f>IF(AND(N1273=1,L1273=1),K1273,"")</f>
        <v/>
      </c>
      <c r="P1273" s="642" t="inlineStr">
        <is>
          <t>Санкт-Петербург, ул. Руставели, 40, лит. "А"</t>
        </is>
      </c>
      <c r="Q1273" s="640" t="inlineStr">
        <is>
          <t>60.018708</t>
        </is>
      </c>
      <c r="R1273" s="422" t="inlineStr">
        <is>
          <t>30.430054</t>
        </is>
      </c>
      <c r="S1273" s="436" t="n"/>
      <c r="T1273" s="436" t="n"/>
      <c r="U1273" s="436" t="n"/>
      <c r="V1273" s="438" t="n"/>
      <c r="W1273" s="387" t="n"/>
      <c r="X1273" s="1" t="n"/>
      <c r="Y1273" s="1" t="n"/>
    </row>
    <row r="1274" hidden="1" ht="16.05" customFormat="1" customHeight="1" s="126">
      <c r="A1274" s="125" t="n">
        <v>1714</v>
      </c>
      <c r="B1274" s="125" t="n"/>
      <c r="C1274" s="130" t="inlineStr">
        <is>
          <t>Санкт-Петербург</t>
        </is>
      </c>
      <c r="D1274" s="130" t="inlineStr">
        <is>
          <t>Санкт-Петербург</t>
        </is>
      </c>
      <c r="E1274" s="130" t="n"/>
      <c r="F1274" s="130" t="n"/>
      <c r="G1274" s="130" t="inlineStr">
        <is>
          <t>ПТК</t>
        </is>
      </c>
      <c r="H1274" s="131" t="n">
        <v>173</v>
      </c>
      <c r="I1274" s="637" t="inlineStr">
        <is>
          <t>ПТК_173</t>
        </is>
      </c>
      <c r="J1274" s="637" t="inlineStr">
        <is>
          <t>PTK_0173</t>
        </is>
      </c>
      <c r="K1274" s="640" t="n">
        <v>1</v>
      </c>
      <c r="L1274" s="640" t="n">
        <v>0</v>
      </c>
      <c r="M1274" s="640" t="inlineStr">
        <is>
          <t>Sam 32</t>
        </is>
      </c>
      <c r="N1274" s="640" t="n"/>
      <c r="O1274" s="640">
        <f>IF(AND(N1274=1,L1274=1),K1274,"")</f>
        <v/>
      </c>
      <c r="P1274" s="642" t="inlineStr">
        <is>
          <t>Санкт-Петербург, ул. Маршала Говорова, 35, кор. 3, лит. "А"</t>
        </is>
      </c>
      <c r="Q1274" s="640" t="n">
        <v>59.890709</v>
      </c>
      <c r="R1274" s="422" t="n">
        <v>30.280042</v>
      </c>
      <c r="S1274" s="436" t="n"/>
      <c r="T1274" s="436" t="n"/>
      <c r="U1274" s="436" t="n"/>
      <c r="V1274" s="438" t="n"/>
      <c r="W1274" s="387" t="n"/>
      <c r="X1274" s="1" t="n"/>
      <c r="Y1274" s="1" t="n"/>
    </row>
    <row r="1275" hidden="1" ht="16.05" customFormat="1" customHeight="1" s="126">
      <c r="A1275" s="125" t="n">
        <v>1724</v>
      </c>
      <c r="B1275" s="125" t="n"/>
      <c r="C1275" s="130" t="inlineStr">
        <is>
          <t>Санкт-Петербург</t>
        </is>
      </c>
      <c r="D1275" s="130" t="inlineStr">
        <is>
          <t>Ленинградская область</t>
        </is>
      </c>
      <c r="E1275" s="130" t="n"/>
      <c r="F1275" s="130" t="inlineStr">
        <is>
          <t>АЗС</t>
        </is>
      </c>
      <c r="G1275" s="130" t="inlineStr">
        <is>
          <t>Роснефть</t>
        </is>
      </c>
      <c r="H1275" s="131" t="n">
        <v>399</v>
      </c>
      <c r="I1275" s="637" t="inlineStr">
        <is>
          <t>399 Фрунзе-2</t>
        </is>
      </c>
      <c r="J1275" s="637" t="inlineStr">
        <is>
          <t>SPB_RN_P_399</t>
        </is>
      </c>
      <c r="K1275" s="640" t="n">
        <v>1</v>
      </c>
      <c r="L1275" s="640" t="n">
        <v>1</v>
      </c>
      <c r="M1275" s="623" t="inlineStr">
        <is>
          <t>Samsung 32" вертикальный</t>
        </is>
      </c>
      <c r="N1275" s="640" t="n"/>
      <c r="O1275" s="640">
        <f>IF(AND(N1275=1,L1275=1),K1275,"")</f>
        <v/>
      </c>
      <c r="P1275" s="642" t="inlineStr">
        <is>
          <t>Ленинградская область, г. Петродворец, ул. Фрунзе, 2 А (слева)</t>
        </is>
      </c>
      <c r="Q1275" s="640" t="inlineStr">
        <is>
          <t>59.869304</t>
        </is>
      </c>
      <c r="R1275" s="494" t="inlineStr">
        <is>
          <t>29.971506</t>
        </is>
      </c>
      <c r="S1275" s="436" t="n"/>
      <c r="T1275" s="436" t="n"/>
      <c r="U1275" s="436" t="n"/>
      <c r="V1275" s="438" t="n"/>
      <c r="W1275" s="387" t="n"/>
      <c r="X1275" s="387" t="n"/>
      <c r="Y1275" s="387" t="n"/>
    </row>
    <row r="1276" hidden="1" ht="16.05" customFormat="1" customHeight="1" s="126">
      <c r="A1276" s="125" t="n">
        <v>1716</v>
      </c>
      <c r="B1276" s="125" t="n"/>
      <c r="C1276" s="130" t="inlineStr">
        <is>
          <t>Санкт-Петербург</t>
        </is>
      </c>
      <c r="D1276" s="130" t="inlineStr">
        <is>
          <t>Санкт-Петербург</t>
        </is>
      </c>
      <c r="E1276" s="130" t="n"/>
      <c r="F1276" s="130" t="n"/>
      <c r="G1276" s="130" t="inlineStr">
        <is>
          <t>ПТК</t>
        </is>
      </c>
      <c r="H1276" s="131" t="n">
        <v>171</v>
      </c>
      <c r="I1276" s="637" t="inlineStr">
        <is>
          <t>ПТК_171</t>
        </is>
      </c>
      <c r="J1276" s="637" t="inlineStr">
        <is>
          <t>PTK_0171</t>
        </is>
      </c>
      <c r="K1276" s="640" t="n">
        <v>1</v>
      </c>
      <c r="L1276" s="640" t="n">
        <v>0</v>
      </c>
      <c r="M1276" s="640" t="inlineStr">
        <is>
          <t>Sam 32</t>
        </is>
      </c>
      <c r="N1276" s="640" t="n"/>
      <c r="O1276" s="640">
        <f>IF(AND(N1276=1,L1276=1),K1276,"")</f>
        <v/>
      </c>
      <c r="P1276" s="642" t="inlineStr">
        <is>
          <t>Санкт-Петербург, Пулковское ш., 55, лит. "А"</t>
        </is>
      </c>
      <c r="Q1276" s="640" t="n">
        <v>59.777786</v>
      </c>
      <c r="R1276" s="422" t="n">
        <v>30.323774</v>
      </c>
      <c r="S1276" s="436" t="n"/>
      <c r="T1276" s="436" t="n"/>
      <c r="U1276" s="436" t="n"/>
      <c r="V1276" s="438" t="n"/>
      <c r="W1276" s="387" t="n"/>
      <c r="X1276" s="1" t="n"/>
      <c r="Y1276" s="1" t="n"/>
    </row>
    <row r="1277" hidden="1" ht="16.05" customFormat="1" customHeight="1" s="126">
      <c r="A1277" s="125" t="n">
        <v>1718</v>
      </c>
      <c r="B1277" s="125" t="n"/>
      <c r="C1277" s="130" t="inlineStr">
        <is>
          <t>Санкт-Петербург</t>
        </is>
      </c>
      <c r="D1277" s="130" t="inlineStr">
        <is>
          <t>Санкт-Петербург</t>
        </is>
      </c>
      <c r="E1277" s="130" t="n"/>
      <c r="F1277" s="130" t="inlineStr">
        <is>
          <t>АЗС</t>
        </is>
      </c>
      <c r="G1277" s="130" t="inlineStr">
        <is>
          <t>Роснефть</t>
        </is>
      </c>
      <c r="H1277" s="131" t="n">
        <v>301</v>
      </c>
      <c r="I1277" s="637" t="inlineStr">
        <is>
          <t>301 Волковский</t>
        </is>
      </c>
      <c r="J1277" s="637" t="inlineStr">
        <is>
          <t>SPB_RN_P_301</t>
        </is>
      </c>
      <c r="K1277" s="640" t="n">
        <v>1</v>
      </c>
      <c r="L1277" s="640" t="n">
        <v>0</v>
      </c>
      <c r="M1277" s="640" t="inlineStr">
        <is>
          <t>Samsung 32" вертикальный</t>
        </is>
      </c>
      <c r="N1277" s="640" t="n"/>
      <c r="O1277" s="640">
        <f>IF(AND(N1277=1,L1277=1),K1277,"")</f>
        <v/>
      </c>
      <c r="P1277" s="642" t="inlineStr">
        <is>
          <t>Санкт-Петербург, Волковский пр., 61, лит. "А"</t>
        </is>
      </c>
      <c r="Q1277" s="640" t="inlineStr">
        <is>
          <t>59.890689</t>
        </is>
      </c>
      <c r="R1277" s="422" t="inlineStr">
        <is>
          <t>30.354468</t>
        </is>
      </c>
      <c r="S1277" s="436" t="n"/>
      <c r="T1277" s="436" t="n"/>
      <c r="U1277" s="436" t="n"/>
      <c r="V1277" s="438" t="n"/>
      <c r="W1277" s="387" t="n"/>
      <c r="X1277" s="387" t="n"/>
      <c r="Y1277" s="387" t="n"/>
    </row>
    <row r="1278" hidden="1" ht="16.05" customFormat="1" customHeight="1" s="126">
      <c r="A1278" s="125" t="n">
        <v>1727</v>
      </c>
      <c r="B1278" s="125" t="inlineStr">
        <is>
          <t>WF</t>
        </is>
      </c>
      <c r="C1278" s="130" t="inlineStr">
        <is>
          <t>Москва</t>
        </is>
      </c>
      <c r="D1278" s="130" t="inlineStr">
        <is>
          <t>Москва</t>
        </is>
      </c>
      <c r="E1278" s="130" t="inlineStr">
        <is>
          <t>ЗАО</t>
        </is>
      </c>
      <c r="F1278" s="130" t="inlineStr">
        <is>
          <t>Супермаркет</t>
        </is>
      </c>
      <c r="G1278" s="130" t="inlineStr">
        <is>
          <t>Азбука Вкуса</t>
        </is>
      </c>
      <c r="H1278" s="131" t="n">
        <v>102</v>
      </c>
      <c r="I1278" s="637" t="n">
        <v>102</v>
      </c>
      <c r="J1278" s="637" t="inlineStr">
        <is>
          <t>MSK_A_102</t>
        </is>
      </c>
      <c r="K1278" s="640" t="n">
        <v>2</v>
      </c>
      <c r="L1278" s="640" t="n">
        <v>1</v>
      </c>
      <c r="M1278" s="623" t="inlineStr">
        <is>
          <t>Samsung 40" вертикальный</t>
        </is>
      </c>
      <c r="N1278" s="640" t="n"/>
      <c r="O1278" s="640">
        <f>IF(AND(N1278=1,L1278=1),K1278,"")</f>
        <v/>
      </c>
      <c r="P1278" s="642" t="inlineStr">
        <is>
          <t>Москва, Генерала Глаголева, 14</t>
        </is>
      </c>
      <c r="Q1278" s="640" t="inlineStr">
        <is>
          <t>55.7822658</t>
        </is>
      </c>
      <c r="R1278" s="494" t="inlineStr">
        <is>
          <t>37.4626333</t>
        </is>
      </c>
      <c r="S1278" s="528" t="n">
        <v>24</v>
      </c>
      <c r="T1278" s="436">
        <f>IF(N1278=1,O1278*S1278,"")</f>
        <v/>
      </c>
      <c r="U1278" s="436" t="n"/>
      <c r="V1278" s="438" t="n"/>
      <c r="W1278" s="387" t="n"/>
      <c r="X1278" s="387" t="n"/>
      <c r="Y1278" s="387" t="n"/>
    </row>
    <row r="1279" hidden="1" ht="16.05" customFormat="1" customHeight="1" s="126">
      <c r="A1279" s="125" t="n">
        <v>1719</v>
      </c>
      <c r="B1279" s="125" t="n"/>
      <c r="C1279" s="130" t="inlineStr">
        <is>
          <t>Санкт-Петербург</t>
        </is>
      </c>
      <c r="D1279" s="130" t="inlineStr">
        <is>
          <t>Ленинградская область</t>
        </is>
      </c>
      <c r="E1279" s="130" t="n"/>
      <c r="F1279" s="130" t="n"/>
      <c r="G1279" s="130" t="inlineStr">
        <is>
          <t>ПТК</t>
        </is>
      </c>
      <c r="H1279" s="131" t="n">
        <v>31</v>
      </c>
      <c r="I1279" s="637" t="inlineStr">
        <is>
          <t>ПТК_031</t>
        </is>
      </c>
      <c r="J1279" s="637" t="inlineStr">
        <is>
          <t>PTK_0031</t>
        </is>
      </c>
      <c r="K1279" s="640" t="n">
        <v>1</v>
      </c>
      <c r="L1279" s="640" t="n">
        <v>0</v>
      </c>
      <c r="M1279" s="640" t="inlineStr">
        <is>
          <t>Sam 32</t>
        </is>
      </c>
      <c r="N1279" s="640" t="n"/>
      <c r="O1279" s="640">
        <f>IF(AND(N1279=1,L1279=1),K1279,"")</f>
        <v/>
      </c>
      <c r="P1279" s="642" t="inlineStr">
        <is>
          <t>Ленинградская область, Выборгское ш., пос. Парголово (слева от Санкт-Петербург)</t>
        </is>
      </c>
      <c r="Q1279" s="640" t="n">
        <v>60.094682</v>
      </c>
      <c r="R1279" s="422" t="n">
        <v>30.254606</v>
      </c>
      <c r="S1279" s="436" t="n"/>
      <c r="T1279" s="436" t="n"/>
      <c r="U1279" s="436" t="n"/>
      <c r="V1279" s="438" t="n"/>
      <c r="W1279" s="387" t="n"/>
      <c r="X1279" s="1" t="n"/>
      <c r="Y1279" s="1" t="n"/>
    </row>
    <row r="1280" hidden="1" ht="16.05" customFormat="1" customHeight="1" s="126">
      <c r="A1280" s="125" t="n">
        <v>1720</v>
      </c>
      <c r="B1280" s="125" t="n"/>
      <c r="C1280" s="130" t="inlineStr">
        <is>
          <t>Санкт-Петербург</t>
        </is>
      </c>
      <c r="D1280" s="130" t="inlineStr">
        <is>
          <t>Санкт-Петербург</t>
        </is>
      </c>
      <c r="E1280" s="130" t="n"/>
      <c r="F1280" s="130" t="n"/>
      <c r="G1280" s="130" t="inlineStr">
        <is>
          <t>ПТК</t>
        </is>
      </c>
      <c r="H1280" s="131" t="n">
        <v>37</v>
      </c>
      <c r="I1280" s="637" t="inlineStr">
        <is>
          <t>ПТК_037</t>
        </is>
      </c>
      <c r="J1280" s="637" t="inlineStr">
        <is>
          <t>PTK_0037</t>
        </is>
      </c>
      <c r="K1280" s="640" t="n">
        <v>1</v>
      </c>
      <c r="L1280" s="640" t="n">
        <v>0</v>
      </c>
      <c r="M1280" s="640" t="inlineStr">
        <is>
          <t>Sam 32</t>
        </is>
      </c>
      <c r="N1280" s="640" t="n"/>
      <c r="O1280" s="640">
        <f>IF(AND(N1280=1,L1280=1),K1280,"")</f>
        <v/>
      </c>
      <c r="P1280" s="642" t="inlineStr">
        <is>
          <t>Санкт-Петербург, ул. Нахимова, 18, лит. "А"</t>
        </is>
      </c>
      <c r="Q1280" s="640" t="n">
        <v>59.940835</v>
      </c>
      <c r="R1280" s="422" t="n">
        <v>30.226603</v>
      </c>
      <c r="S1280" s="436" t="n"/>
      <c r="T1280" s="436" t="n"/>
      <c r="U1280" s="436" t="n"/>
      <c r="V1280" s="438" t="n"/>
      <c r="W1280" s="387" t="n"/>
      <c r="X1280" s="1" t="n"/>
      <c r="Y1280" s="1" t="n"/>
    </row>
    <row r="1281" hidden="1" ht="16.05" customFormat="1" customHeight="1" s="126">
      <c r="A1281" s="125" t="n">
        <v>1722</v>
      </c>
      <c r="B1281" s="125" t="n"/>
      <c r="C1281" s="130" t="inlineStr">
        <is>
          <t>Санкт-Петербург</t>
        </is>
      </c>
      <c r="D1281" s="130" t="inlineStr">
        <is>
          <t>Санкт-Петербург</t>
        </is>
      </c>
      <c r="E1281" s="130" t="n"/>
      <c r="F1281" s="130" t="inlineStr">
        <is>
          <t>АЗС</t>
        </is>
      </c>
      <c r="G1281" s="130" t="inlineStr">
        <is>
          <t>ПТК</t>
        </is>
      </c>
      <c r="H1281" s="131" t="n">
        <v>348</v>
      </c>
      <c r="I1281" s="637" t="inlineStr">
        <is>
          <t>348 Южное-2</t>
        </is>
      </c>
      <c r="J1281" s="637" t="inlineStr">
        <is>
          <t>PTK_0048</t>
        </is>
      </c>
      <c r="K1281" s="640" t="n">
        <v>1</v>
      </c>
      <c r="L1281" s="640" t="n">
        <v>0</v>
      </c>
      <c r="M1281" s="640" t="inlineStr">
        <is>
          <t>Samsung 32" вертикальный</t>
        </is>
      </c>
      <c r="N1281" s="640" t="n"/>
      <c r="O1281" s="640">
        <f>IF(AND(N1281=1,L1281=1),K1281,"")</f>
        <v/>
      </c>
      <c r="P1281" s="642" t="inlineStr">
        <is>
          <t>Санкт-Петербург, Южное ш., 45, лит. "А"</t>
        </is>
      </c>
      <c r="Q1281" s="640" t="inlineStr">
        <is>
          <t>59.862125</t>
        </is>
      </c>
      <c r="R1281" s="422" t="inlineStr">
        <is>
          <t>30.414144</t>
        </is>
      </c>
      <c r="S1281" s="436" t="n"/>
      <c r="T1281" s="436" t="n"/>
      <c r="U1281" s="436" t="n"/>
      <c r="V1281" s="438" t="n"/>
      <c r="W1281" s="387" t="n"/>
      <c r="X1281" s="387" t="n"/>
      <c r="Y1281" s="387" t="n"/>
    </row>
    <row r="1282" hidden="1" ht="16.05" customFormat="1" customHeight="1" s="126">
      <c r="A1282" s="125" t="n">
        <v>1729</v>
      </c>
      <c r="B1282" s="125" t="inlineStr">
        <is>
          <t>WF</t>
        </is>
      </c>
      <c r="C1282" s="130" t="inlineStr">
        <is>
          <t>Москва</t>
        </is>
      </c>
      <c r="D1282" s="130" t="inlineStr">
        <is>
          <t>Москва</t>
        </is>
      </c>
      <c r="E1282" s="130" t="inlineStr">
        <is>
          <t>ЮВАО</t>
        </is>
      </c>
      <c r="F1282" s="130" t="inlineStr">
        <is>
          <t>Супермаркет</t>
        </is>
      </c>
      <c r="G1282" s="130" t="inlineStr">
        <is>
          <t>Азбука Вкуса</t>
        </is>
      </c>
      <c r="H1282" s="131" t="n">
        <v>103</v>
      </c>
      <c r="I1282" s="637" t="n">
        <v>103</v>
      </c>
      <c r="J1282" s="637" t="inlineStr">
        <is>
          <t>MSK_A_103</t>
        </is>
      </c>
      <c r="K1282" s="640" t="n">
        <v>3</v>
      </c>
      <c r="L1282" s="640" t="n">
        <v>1</v>
      </c>
      <c r="M1282" s="623" t="inlineStr">
        <is>
          <t>Samsung 40" вертикальный</t>
        </is>
      </c>
      <c r="N1282" s="640" t="n"/>
      <c r="O1282" s="640">
        <f>IF(AND(N1282=1,L1282=1),K1282,"")</f>
        <v/>
      </c>
      <c r="P1282" s="642" t="inlineStr">
        <is>
          <t>Москва, Люблинская, д. 96</t>
        </is>
      </c>
      <c r="Q1282" s="640" t="inlineStr">
        <is>
          <t>55.6572923</t>
        </is>
      </c>
      <c r="R1282" s="494" t="inlineStr">
        <is>
          <t>37.739633</t>
        </is>
      </c>
      <c r="S1282" s="528" t="n">
        <v>24</v>
      </c>
      <c r="T1282" s="436">
        <f>IF(N1282=1,O1282*S1282,"")</f>
        <v/>
      </c>
      <c r="U1282" s="436" t="n"/>
      <c r="V1282" s="438" t="n"/>
      <c r="W1282" s="387" t="n"/>
      <c r="X1282" s="387" t="n"/>
      <c r="Y1282" s="387" t="n"/>
    </row>
    <row r="1283" hidden="1" ht="16.05" customFormat="1" customHeight="1" s="126">
      <c r="A1283" s="125" t="n">
        <v>1723</v>
      </c>
      <c r="B1283" s="125" t="n"/>
      <c r="C1283" s="130" t="inlineStr">
        <is>
          <t>Санкт-Петербург</t>
        </is>
      </c>
      <c r="D1283" s="130" t="inlineStr">
        <is>
          <t>Петродворец</t>
        </is>
      </c>
      <c r="E1283" s="130" t="n"/>
      <c r="F1283" s="130" t="n"/>
      <c r="G1283" s="130" t="inlineStr">
        <is>
          <t>ПТК</t>
        </is>
      </c>
      <c r="H1283" s="131" t="n">
        <v>98</v>
      </c>
      <c r="I1283" s="637" t="inlineStr">
        <is>
          <t>ПТК_098</t>
        </is>
      </c>
      <c r="J1283" s="637" t="inlineStr">
        <is>
          <t>PTK_0098</t>
        </is>
      </c>
      <c r="K1283" s="640" t="n">
        <v>1</v>
      </c>
      <c r="L1283" s="640" t="n">
        <v>0</v>
      </c>
      <c r="M1283" s="640" t="inlineStr">
        <is>
          <t>Sam 32</t>
        </is>
      </c>
      <c r="N1283" s="640" t="n"/>
      <c r="O1283" s="640">
        <f>IF(AND(N1283=1,L1283=1),K1283,"")</f>
        <v/>
      </c>
      <c r="P1283" s="642" t="inlineStr">
        <is>
          <t>Ленинградская область, г. Петродворец, ул. Фрунзе, 2 А (справа)</t>
        </is>
      </c>
      <c r="Q1283" s="640" t="n">
        <v>59.87052</v>
      </c>
      <c r="R1283" s="422" t="n">
        <v>29.972396</v>
      </c>
      <c r="S1283" s="436" t="n"/>
      <c r="T1283" s="436" t="n"/>
      <c r="U1283" s="436" t="n"/>
      <c r="V1283" s="438" t="n"/>
      <c r="W1283" s="387" t="n"/>
      <c r="X1283" s="1" t="n"/>
      <c r="Y1283" s="1" t="n"/>
    </row>
    <row r="1284" hidden="1" ht="16.05" customFormat="1" customHeight="1" s="126">
      <c r="A1284" s="125" t="n">
        <v>1725</v>
      </c>
      <c r="B1284" s="125" t="n"/>
      <c r="C1284" s="130" t="inlineStr">
        <is>
          <t>Санкт-Петербург</t>
        </is>
      </c>
      <c r="D1284" s="130" t="inlineStr">
        <is>
          <t>Санкт-Петербург</t>
        </is>
      </c>
      <c r="E1284" s="130" t="n"/>
      <c r="F1284" s="130" t="inlineStr">
        <is>
          <t>АЗС</t>
        </is>
      </c>
      <c r="G1284" s="130" t="inlineStr">
        <is>
          <t>Роснефть</t>
        </is>
      </c>
      <c r="H1284" s="131" t="n">
        <v>332</v>
      </c>
      <c r="I1284" s="637" t="inlineStr">
        <is>
          <t>332 Непокоренных-2</t>
        </is>
      </c>
      <c r="J1284" s="637" t="inlineStr">
        <is>
          <t>SPB_RN_P_332</t>
        </is>
      </c>
      <c r="K1284" s="640" t="n">
        <v>1</v>
      </c>
      <c r="L1284" s="640" t="n">
        <v>1</v>
      </c>
      <c r="M1284" s="631" t="inlineStr">
        <is>
          <t>Samsung 32" вертикальный</t>
        </is>
      </c>
      <c r="N1284" s="640" t="n"/>
      <c r="O1284" s="640">
        <f>IF(AND(N1284=1,L1284=1),K1284,"")</f>
        <v/>
      </c>
      <c r="P1284" s="642" t="inlineStr">
        <is>
          <t>Санкт-Петербург, пр. Непокоренных, 15, лит. "А"</t>
        </is>
      </c>
      <c r="Q1284" s="640" t="inlineStr">
        <is>
          <t>59.995325</t>
        </is>
      </c>
      <c r="R1284" s="422" t="inlineStr">
        <is>
          <t>30.380571</t>
        </is>
      </c>
      <c r="S1284" s="436" t="n"/>
      <c r="T1284" s="436" t="n"/>
      <c r="U1284" s="436" t="n"/>
      <c r="V1284" s="438" t="n"/>
      <c r="W1284" s="387" t="n"/>
      <c r="X1284" s="387" t="n"/>
      <c r="Y1284" s="387" t="n"/>
    </row>
    <row r="1285" hidden="1" ht="16.05" customFormat="1" customHeight="1" s="126">
      <c r="A1285" s="125" t="n">
        <v>1746</v>
      </c>
      <c r="B1285" s="125" t="inlineStr">
        <is>
          <t>WF</t>
        </is>
      </c>
      <c r="C1285" s="130" t="inlineStr">
        <is>
          <t>Москва</t>
        </is>
      </c>
      <c r="D1285" s="130" t="inlineStr">
        <is>
          <t>Московская область</t>
        </is>
      </c>
      <c r="E1285" s="130" t="inlineStr">
        <is>
          <t>А130</t>
        </is>
      </c>
      <c r="F1285" s="130" t="inlineStr">
        <is>
          <t>Супермаркет</t>
        </is>
      </c>
      <c r="G1285" s="130" t="inlineStr">
        <is>
          <t>Азбука Вкуса</t>
        </is>
      </c>
      <c r="H1285" s="131" t="n"/>
      <c r="I1285" s="637" t="inlineStr">
        <is>
          <t>104_Daily</t>
        </is>
      </c>
      <c r="J1285" s="637" t="inlineStr">
        <is>
          <t>MSK_D_104</t>
        </is>
      </c>
      <c r="K1285" s="640" t="n">
        <v>2</v>
      </c>
      <c r="L1285" s="640" t="n">
        <v>1</v>
      </c>
      <c r="M1285" s="623" t="inlineStr">
        <is>
          <t>Samsung 40" вертикальный</t>
        </is>
      </c>
      <c r="N1285" s="640" t="n"/>
      <c r="O1285" s="640">
        <f>IF(AND(N1285=1,L1285=1),K1285,"")</f>
        <v/>
      </c>
      <c r="P1285" s="642" t="inlineStr">
        <is>
          <t>Москва, поселение Десеновское ул. Армейская д.1</t>
        </is>
      </c>
      <c r="Q1285" s="640" t="inlineStr">
        <is>
          <t>55.5096617</t>
        </is>
      </c>
      <c r="R1285" s="494" t="inlineStr">
        <is>
          <t>37.3610258</t>
        </is>
      </c>
      <c r="S1285" s="528" t="n">
        <v>24</v>
      </c>
      <c r="T1285" s="436">
        <f>IF(N1285=1,O1285*S1285,"")</f>
        <v/>
      </c>
      <c r="U1285" s="436" t="n"/>
      <c r="V1285" s="438" t="n"/>
      <c r="W1285" s="387" t="n"/>
      <c r="X1285" s="387" t="n"/>
      <c r="Y1285" s="387" t="n"/>
    </row>
    <row r="1286" hidden="1" ht="16.05" customFormat="1" customHeight="1" s="126">
      <c r="A1286" s="125" t="n">
        <v>1726</v>
      </c>
      <c r="B1286" s="125" t="n"/>
      <c r="C1286" s="130" t="inlineStr">
        <is>
          <t>Санкт-Петербург</t>
        </is>
      </c>
      <c r="D1286" s="130" t="inlineStr">
        <is>
          <t>Санкт-Петербург</t>
        </is>
      </c>
      <c r="E1286" s="130" t="n"/>
      <c r="F1286" s="130" t="n"/>
      <c r="G1286" s="130" t="inlineStr">
        <is>
          <t>ПТК</t>
        </is>
      </c>
      <c r="H1286" s="131" t="n">
        <v>172</v>
      </c>
      <c r="I1286" s="637" t="inlineStr">
        <is>
          <t>ПТК_172</t>
        </is>
      </c>
      <c r="J1286" s="637" t="inlineStr">
        <is>
          <t>PTK_0172</t>
        </is>
      </c>
      <c r="K1286" s="640" t="n">
        <v>1</v>
      </c>
      <c r="L1286" s="640" t="n">
        <v>0</v>
      </c>
      <c r="M1286" s="640" t="inlineStr">
        <is>
          <t>Sam 32</t>
        </is>
      </c>
      <c r="N1286" s="640" t="n"/>
      <c r="O1286" s="640">
        <f>IF(AND(N1286=1,L1286=1),K1286,"")</f>
        <v/>
      </c>
      <c r="P1286" s="642" t="inlineStr">
        <is>
          <t>Санкт-Петербург, пр. Большевиков, 44, "А"</t>
        </is>
      </c>
      <c r="Q1286" s="640" t="n">
        <v>59.887842</v>
      </c>
      <c r="R1286" s="422" t="n">
        <v>30.490992</v>
      </c>
      <c r="S1286" s="436" t="n"/>
      <c r="T1286" s="436" t="n"/>
      <c r="U1286" s="436" t="n"/>
      <c r="V1286" s="438" t="n"/>
      <c r="W1286" s="387" t="n"/>
      <c r="X1286" s="1" t="n"/>
      <c r="Y1286" s="1" t="n"/>
    </row>
    <row r="1287" hidden="1" ht="16.05" customFormat="1" customHeight="1" s="126">
      <c r="A1287" s="125" t="n">
        <v>1748</v>
      </c>
      <c r="B1287" s="125" t="inlineStr">
        <is>
          <t>WF</t>
        </is>
      </c>
      <c r="C1287" s="130" t="inlineStr">
        <is>
          <t>Москва</t>
        </is>
      </c>
      <c r="D1287" s="130" t="inlineStr">
        <is>
          <t>Москва</t>
        </is>
      </c>
      <c r="E1287" s="130" t="inlineStr">
        <is>
          <t>ЦАО</t>
        </is>
      </c>
      <c r="F1287" s="130" t="inlineStr">
        <is>
          <t>Супермаркет</t>
        </is>
      </c>
      <c r="G1287" s="130" t="inlineStr">
        <is>
          <t>Азбука Вкуса</t>
        </is>
      </c>
      <c r="H1287" s="131" t="n"/>
      <c r="I1287" s="637" t="inlineStr">
        <is>
          <t>105_Daily</t>
        </is>
      </c>
      <c r="J1287" s="637" t="inlineStr">
        <is>
          <t>MSK_D_105</t>
        </is>
      </c>
      <c r="K1287" s="640" t="n">
        <v>2</v>
      </c>
      <c r="L1287" s="640" t="n">
        <v>1</v>
      </c>
      <c r="M1287" s="623" t="inlineStr">
        <is>
          <t>Samsung 40" вертикальный</t>
        </is>
      </c>
      <c r="N1287" s="640" t="n"/>
      <c r="O1287" s="640">
        <f>IF(AND(N1287=1,L1287=1),K1287,"")</f>
        <v/>
      </c>
      <c r="P1287" s="642" t="inlineStr">
        <is>
          <t>Москва, Новинский бульвар 31</t>
        </is>
      </c>
      <c r="Q1287" s="640" t="inlineStr">
        <is>
          <t>55.7577873</t>
        </is>
      </c>
      <c r="R1287" s="494" t="inlineStr">
        <is>
          <t>37.5832629</t>
        </is>
      </c>
      <c r="S1287" s="528" t="n">
        <v>24</v>
      </c>
      <c r="T1287" s="436">
        <f>IF(N1287=1,O1287*S1287,"")</f>
        <v/>
      </c>
      <c r="U1287" s="436" t="n">
        <v>1</v>
      </c>
      <c r="V1287" s="438">
        <f>IF(AND(N1287=1,U1287=1),C1287,"")</f>
        <v/>
      </c>
      <c r="W1287" s="387" t="n"/>
      <c r="X1287" s="387" t="n"/>
      <c r="Y1287" s="387" t="n"/>
    </row>
    <row r="1288" hidden="1" ht="16.05" customFormat="1" customHeight="1" s="126">
      <c r="A1288" s="125" t="n">
        <v>1734</v>
      </c>
      <c r="B1288" s="125" t="n"/>
      <c r="C1288" s="130" t="inlineStr">
        <is>
          <t>Москва</t>
        </is>
      </c>
      <c r="D1288" s="130" t="inlineStr">
        <is>
          <t>Московская область</t>
        </is>
      </c>
      <c r="E1288" s="130" t="inlineStr">
        <is>
          <t>М1</t>
        </is>
      </c>
      <c r="F1288" s="130" t="inlineStr">
        <is>
          <t>АЗС</t>
        </is>
      </c>
      <c r="G1288" s="130" t="inlineStr">
        <is>
          <t>Лукойл</t>
        </is>
      </c>
      <c r="H1288" s="131" t="n"/>
      <c r="I1288" s="637" t="inlineStr">
        <is>
          <t>Колюбакино</t>
        </is>
      </c>
      <c r="J1288" s="637" t="inlineStr">
        <is>
          <t>MSK_SIB_Kolybyakino</t>
        </is>
      </c>
      <c r="K1288" s="640" t="n">
        <v>1</v>
      </c>
      <c r="L1288" s="640" t="n">
        <v>0</v>
      </c>
      <c r="M1288" s="640" t="inlineStr">
        <is>
          <t>Samsung 32" вертикальный</t>
        </is>
      </c>
      <c r="N1288" s="640" t="n"/>
      <c r="O1288" s="640">
        <f>IF(AND(N1288=1,L1288=1),K1288,"")</f>
        <v/>
      </c>
      <c r="P1288" s="642" t="inlineStr">
        <is>
          <t>Московская область, Рузский р-н, с.п. Колюбакинское, п. Колюбакино, ул. Майора Алексеева, №40</t>
        </is>
      </c>
      <c r="Q1288" s="640" t="inlineStr">
        <is>
          <t>55.6742329</t>
        </is>
      </c>
      <c r="R1288" s="422" t="inlineStr">
        <is>
          <t>36.5402055</t>
        </is>
      </c>
      <c r="S1288" s="438" t="n"/>
      <c r="T1288" s="436" t="n"/>
      <c r="U1288" s="436" t="n">
        <v>1</v>
      </c>
      <c r="V1288" s="438">
        <f>IF(AND(N1288=1,U1288=1),C1288,"")</f>
        <v/>
      </c>
      <c r="W1288" s="387" t="n"/>
      <c r="X1288" s="387" t="n"/>
      <c r="Y1288" s="387" t="n"/>
    </row>
    <row r="1289" hidden="1" ht="16.05" customHeight="1">
      <c r="A1289" s="791" t="n">
        <v>1731</v>
      </c>
      <c r="B1289" s="13">
        <f>IF(OR(M1289="Sam 32",M1289="Sam 40"),"s",IF(M1289="AMS","a","v"))</f>
        <v/>
      </c>
      <c r="C1289" s="130" t="inlineStr">
        <is>
          <t>Москва</t>
        </is>
      </c>
      <c r="D1289" s="130" t="inlineStr">
        <is>
          <t>Московская область</t>
        </is>
      </c>
      <c r="E1289" s="130" t="inlineStr">
        <is>
          <t>M4</t>
        </is>
      </c>
      <c r="F1289" s="130" t="n"/>
      <c r="G1289" s="130" t="inlineStr">
        <is>
          <t>Лукойл</t>
        </is>
      </c>
      <c r="H1289" s="131" t="n"/>
      <c r="I1289" s="637" t="inlineStr">
        <is>
          <t>Кашира (Терново-2)</t>
        </is>
      </c>
      <c r="J1289" s="637" t="n"/>
      <c r="K1289" s="640" t="n">
        <v>0</v>
      </c>
      <c r="L1289" s="640" t="n">
        <v>0</v>
      </c>
      <c r="M1289" s="640" t="inlineStr">
        <is>
          <t>Sam 32</t>
        </is>
      </c>
      <c r="N1289" s="640" t="n"/>
      <c r="O1289" s="640">
        <f>IF(AND(N1289=1,L1289=1),K1289,"")</f>
        <v/>
      </c>
      <c r="P1289" s="642" t="inlineStr">
        <is>
          <t>Московская область, Каширский р-н, г. Кашира, ул. Путейская, д. 22</t>
        </is>
      </c>
      <c r="Q1289" s="640" t="n"/>
      <c r="R1289" s="422" t="n"/>
      <c r="S1289" s="436" t="n"/>
      <c r="T1289" s="436" t="n"/>
      <c r="U1289" s="436" t="n"/>
      <c r="V1289" s="438">
        <f>IF(AND(N1289=1,U1289=1),C1289,"")</f>
        <v/>
      </c>
      <c r="X1289" s="1" t="n"/>
      <c r="Y1289" s="1" t="n"/>
      <c r="Z1289" s="1" t="n"/>
    </row>
    <row r="1290" hidden="1" ht="16.05" customHeight="1">
      <c r="A1290" s="791" t="n">
        <v>1732</v>
      </c>
      <c r="B1290" s="13">
        <f>IF(OR(M1290="Sam 32",M1290="Sam 40"),"s",IF(M1290="AMS","a","v"))</f>
        <v/>
      </c>
      <c r="C1290" s="130" t="inlineStr">
        <is>
          <t>Москва</t>
        </is>
      </c>
      <c r="D1290" s="130" t="inlineStr">
        <is>
          <t>Московская область</t>
        </is>
      </c>
      <c r="E1290" s="130" t="inlineStr">
        <is>
          <t>M4</t>
        </is>
      </c>
      <c r="F1290" s="130" t="n"/>
      <c r="G1290" s="130" t="inlineStr">
        <is>
          <t>Лукойл</t>
        </is>
      </c>
      <c r="H1290" s="131" t="n"/>
      <c r="I1290" s="637" t="inlineStr">
        <is>
          <t>Знаменское</t>
        </is>
      </c>
      <c r="J1290" s="637" t="n"/>
      <c r="K1290" s="640" t="n">
        <v>0</v>
      </c>
      <c r="L1290" s="640" t="n">
        <v>0</v>
      </c>
      <c r="M1290" s="640" t="inlineStr">
        <is>
          <t>Sam 32</t>
        </is>
      </c>
      <c r="N1290" s="640" t="n"/>
      <c r="O1290" s="640">
        <f>IF(AND(N1290=1,L1290=1),K1290,"")</f>
        <v/>
      </c>
      <c r="P1290" s="642" t="inlineStr">
        <is>
          <t xml:space="preserve">Московская область, Каширский р-н, д. Знаменское, ул. Дорожная, стр.1 </t>
        </is>
      </c>
      <c r="Q1290" s="640" t="n"/>
      <c r="R1290" s="422" t="n"/>
      <c r="S1290" s="436" t="n"/>
      <c r="T1290" s="436" t="n"/>
      <c r="U1290" s="436" t="n"/>
      <c r="V1290" s="438">
        <f>IF(AND(N1290=1,U1290=1),C1290,"")</f>
        <v/>
      </c>
      <c r="X1290" s="1" t="n"/>
      <c r="Y1290" s="1" t="n"/>
      <c r="Z1290" s="1" t="n"/>
    </row>
    <row r="1291" hidden="1" ht="16.05" customHeight="1">
      <c r="A1291" s="791" t="n">
        <v>1733</v>
      </c>
      <c r="B1291" s="13">
        <f>IF(OR(M1291="Sam 32",M1291="Sam 40"),"s",IF(M1291="AMS","a","v"))</f>
        <v/>
      </c>
      <c r="C1291" s="130" t="inlineStr">
        <is>
          <t>Москва</t>
        </is>
      </c>
      <c r="D1291" s="130" t="inlineStr">
        <is>
          <t>Московская область</t>
        </is>
      </c>
      <c r="E1291" s="130" t="inlineStr">
        <is>
          <t>М9</t>
        </is>
      </c>
      <c r="F1291" s="130" t="n"/>
      <c r="G1291" s="130" t="inlineStr">
        <is>
          <t>Лукойл</t>
        </is>
      </c>
      <c r="H1291" s="131" t="n"/>
      <c r="I1291" s="637" t="inlineStr">
        <is>
          <t xml:space="preserve">Новолотошино  </t>
        </is>
      </c>
      <c r="J1291" s="637" t="n"/>
      <c r="K1291" s="640" t="n">
        <v>0</v>
      </c>
      <c r="L1291" s="640" t="n">
        <v>0</v>
      </c>
      <c r="M1291" s="640" t="inlineStr">
        <is>
          <t>Sam 32</t>
        </is>
      </c>
      <c r="N1291" s="640" t="n"/>
      <c r="O1291" s="640">
        <f>IF(AND(N1291=1,L1291=1),K1291,"")</f>
        <v/>
      </c>
      <c r="P1291" s="642" t="inlineStr">
        <is>
          <t>Московская область, Лотошинский р-н, п.Новолотошино, ул. Тверское шоссе, д.3</t>
        </is>
      </c>
      <c r="Q1291" s="640" t="n"/>
      <c r="R1291" s="422" t="n"/>
      <c r="S1291" s="436" t="n"/>
      <c r="T1291" s="436" t="n"/>
      <c r="U1291" s="436" t="n"/>
      <c r="V1291" s="438">
        <f>IF(AND(N1291=1,U1291=1),C1291,"")</f>
        <v/>
      </c>
      <c r="X1291" s="1" t="n"/>
      <c r="Y1291" s="1" t="n"/>
      <c r="Z1291" s="1" t="n"/>
    </row>
    <row r="1292" hidden="1" ht="16.05" customFormat="1" customHeight="1" s="126">
      <c r="A1292" s="125" t="n">
        <v>1735</v>
      </c>
      <c r="B1292" s="125" t="n"/>
      <c r="C1292" s="130" t="inlineStr">
        <is>
          <t>Москва</t>
        </is>
      </c>
      <c r="D1292" s="130" t="inlineStr">
        <is>
          <t>Московская область</t>
        </is>
      </c>
      <c r="E1292" s="130" t="inlineStr">
        <is>
          <t>М5</t>
        </is>
      </c>
      <c r="F1292" s="130" t="inlineStr">
        <is>
          <t>АЗС</t>
        </is>
      </c>
      <c r="G1292" s="130" t="inlineStr">
        <is>
          <t>Лукойл</t>
        </is>
      </c>
      <c r="H1292" s="131" t="n"/>
      <c r="I1292" s="637" t="inlineStr">
        <is>
          <t xml:space="preserve">Мещерино </t>
        </is>
      </c>
      <c r="J1292" s="637" t="inlineStr">
        <is>
          <t>MSK_SIB_Mesherino</t>
        </is>
      </c>
      <c r="K1292" s="640" t="n">
        <v>1</v>
      </c>
      <c r="L1292" s="640" t="n">
        <v>0</v>
      </c>
      <c r="M1292" s="640" t="inlineStr">
        <is>
          <t>Samsung 32" вертикальный</t>
        </is>
      </c>
      <c r="N1292" s="640" t="n"/>
      <c r="O1292" s="640">
        <f>IF(AND(N1292=1,L1292=1),K1292,"")</f>
        <v/>
      </c>
      <c r="P1292" s="642" t="inlineStr">
        <is>
          <t>Московская область, Ступинский р-н, с. Мещерино, ул. Придорожная, владение 15</t>
        </is>
      </c>
      <c r="Q1292" s="640" t="inlineStr">
        <is>
          <t>55.200045</t>
        </is>
      </c>
      <c r="R1292" s="422" t="inlineStr">
        <is>
          <t>38.371403</t>
        </is>
      </c>
      <c r="S1292" s="438" t="n"/>
      <c r="T1292" s="436" t="n"/>
      <c r="U1292" s="436" t="n"/>
      <c r="V1292" s="438">
        <f>IF(AND(N1292=1,U1292=1),C1292,"")</f>
        <v/>
      </c>
      <c r="W1292" s="387" t="n"/>
      <c r="X1292" s="387" t="n"/>
      <c r="Y1292" s="387" t="n"/>
    </row>
    <row r="1293" hidden="1" ht="16.05" customFormat="1" customHeight="1" s="126">
      <c r="A1293" s="125" t="n">
        <v>1736</v>
      </c>
      <c r="B1293" s="125" t="n"/>
      <c r="C1293" s="130" t="inlineStr">
        <is>
          <t>Москва</t>
        </is>
      </c>
      <c r="D1293" s="130" t="inlineStr">
        <is>
          <t>Московская область</t>
        </is>
      </c>
      <c r="E1293" s="130" t="inlineStr">
        <is>
          <t>А104</t>
        </is>
      </c>
      <c r="F1293" s="130" t="inlineStr">
        <is>
          <t>АЗС</t>
        </is>
      </c>
      <c r="G1293" s="130" t="inlineStr">
        <is>
          <t>Лукойл</t>
        </is>
      </c>
      <c r="H1293" s="131" t="n"/>
      <c r="I1293" s="637" t="inlineStr">
        <is>
          <t>Новогуслево</t>
        </is>
      </c>
      <c r="J1293" s="637" t="inlineStr">
        <is>
          <t>MSK_SIB_NovoGuslevo</t>
        </is>
      </c>
      <c r="K1293" s="640" t="n">
        <v>1</v>
      </c>
      <c r="L1293" s="640" t="n">
        <v>0</v>
      </c>
      <c r="M1293" s="640" t="inlineStr">
        <is>
          <t>Samsung 32" вертикальный</t>
        </is>
      </c>
      <c r="N1293" s="640" t="n"/>
      <c r="O1293" s="640">
        <f>IF(AND(N1293=1,L1293=1),K1293,"")</f>
        <v/>
      </c>
      <c r="P1293" s="642" t="inlineStr">
        <is>
          <t>Московская область, Талдомский р-н, с. Новогуслево, строение 93</t>
        </is>
      </c>
      <c r="Q1293" s="640" t="inlineStr">
        <is>
          <t>56.554931</t>
        </is>
      </c>
      <c r="R1293" s="422" t="inlineStr">
        <is>
          <t>37.626027</t>
        </is>
      </c>
      <c r="S1293" s="438" t="n"/>
      <c r="T1293" s="436" t="n"/>
      <c r="U1293" s="436" t="n"/>
      <c r="V1293" s="438">
        <f>IF(AND(N1293=1,U1293=1),C1293,"")</f>
        <v/>
      </c>
      <c r="W1293" s="387" t="n"/>
      <c r="X1293" s="387" t="n"/>
      <c r="Y1293" s="387" t="n"/>
    </row>
    <row r="1294" hidden="1" ht="16.05" customFormat="1" customHeight="1" s="126">
      <c r="A1294" s="125" t="n">
        <v>1737</v>
      </c>
      <c r="B1294" s="125" t="n"/>
      <c r="C1294" s="130" t="inlineStr">
        <is>
          <t>Москва</t>
        </is>
      </c>
      <c r="D1294" s="130" t="inlineStr">
        <is>
          <t>Чехов</t>
        </is>
      </c>
      <c r="E1294" s="130" t="inlineStr">
        <is>
          <t>М2</t>
        </is>
      </c>
      <c r="F1294" s="130" t="inlineStr">
        <is>
          <t>АЗС</t>
        </is>
      </c>
      <c r="G1294" s="130" t="inlineStr">
        <is>
          <t>Лукойл</t>
        </is>
      </c>
      <c r="H1294" s="131" t="n"/>
      <c r="I1294" s="637" t="inlineStr">
        <is>
          <t>Чехов</t>
        </is>
      </c>
      <c r="J1294" s="637" t="inlineStr">
        <is>
          <t>MSK_SIB_Chekhov</t>
        </is>
      </c>
      <c r="K1294" s="640" t="n">
        <v>1</v>
      </c>
      <c r="L1294" s="640" t="n">
        <v>0</v>
      </c>
      <c r="M1294" s="640" t="inlineStr">
        <is>
          <t>Samsung 32" вертикальный</t>
        </is>
      </c>
      <c r="N1294" s="640" t="n"/>
      <c r="O1294" s="640">
        <f>IF(AND(N1294=1,L1294=1),K1294,"")</f>
        <v/>
      </c>
      <c r="P1294" s="642" t="inlineStr">
        <is>
          <t>Московская область, г.Чехов, ул. Ольховая, стр. 41</t>
        </is>
      </c>
      <c r="Q1294" s="640" t="inlineStr">
        <is>
          <t>55.156127</t>
        </is>
      </c>
      <c r="R1294" s="422" t="inlineStr">
        <is>
          <t>37.439571</t>
        </is>
      </c>
      <c r="S1294" s="438" t="n"/>
      <c r="T1294" s="436" t="n"/>
      <c r="U1294" s="436" t="n"/>
      <c r="V1294" s="438">
        <f>IF(AND(N1294=1,U1294=1),C1294,"")</f>
        <v/>
      </c>
      <c r="W1294" s="387" t="n"/>
      <c r="X1294" s="387" t="n"/>
      <c r="Y1294" s="387" t="n"/>
    </row>
    <row r="1295" hidden="1" ht="16.05" customFormat="1" customHeight="1" s="126">
      <c r="A1295" s="125" t="n">
        <v>1738</v>
      </c>
      <c r="B1295" s="125" t="n"/>
      <c r="C1295" s="130" t="inlineStr">
        <is>
          <t>Москва</t>
        </is>
      </c>
      <c r="D1295" s="130" t="inlineStr">
        <is>
          <t>Московская область</t>
        </is>
      </c>
      <c r="E1295" s="130" t="inlineStr">
        <is>
          <t>М9</t>
        </is>
      </c>
      <c r="F1295" s="130" t="inlineStr">
        <is>
          <t>АЗС</t>
        </is>
      </c>
      <c r="G1295" s="130" t="inlineStr">
        <is>
          <t>Лукойл</t>
        </is>
      </c>
      <c r="H1295" s="131" t="n"/>
      <c r="I1295" s="637" t="inlineStr">
        <is>
          <t>147 км, (Малое Судислово)</t>
        </is>
      </c>
      <c r="J1295" s="637" t="inlineStr">
        <is>
          <t>MSK_SIB_Novaya_Riga_147</t>
        </is>
      </c>
      <c r="K1295" s="640" t="n">
        <v>1</v>
      </c>
      <c r="L1295" s="640" t="n">
        <v>0</v>
      </c>
      <c r="M1295" s="640" t="inlineStr">
        <is>
          <t>Samsung 32" вертикальный</t>
        </is>
      </c>
      <c r="N1295" s="640" t="n"/>
      <c r="O1295" s="640">
        <f>IF(AND(N1295=1,L1295=1),K1295,"")</f>
        <v/>
      </c>
      <c r="P1295" s="642" t="inlineStr">
        <is>
          <t>Московская область, Шаховской р-н, г/п Шаховская, р.п. Шаховская, Рижское шоссе, д. 23</t>
        </is>
      </c>
      <c r="Q1295" s="640" t="inlineStr">
        <is>
          <t>56.0375514</t>
        </is>
      </c>
      <c r="R1295" s="422" t="inlineStr">
        <is>
          <t>35.4857755</t>
        </is>
      </c>
      <c r="S1295" s="438" t="n"/>
      <c r="T1295" s="436" t="n"/>
      <c r="U1295" s="436" t="n"/>
      <c r="V1295" s="438">
        <f>IF(AND(N1295=1,U1295=1),C1295,"")</f>
        <v/>
      </c>
      <c r="W1295" s="387" t="n"/>
      <c r="X1295" s="387" t="n"/>
      <c r="Y1295" s="387" t="n"/>
    </row>
    <row r="1296" hidden="1" ht="16.05" customFormat="1" customHeight="1" s="126">
      <c r="A1296" s="125" t="n">
        <v>1739</v>
      </c>
      <c r="B1296" s="125" t="n"/>
      <c r="C1296" s="130" t="inlineStr">
        <is>
          <t>Москва</t>
        </is>
      </c>
      <c r="D1296" s="130" t="inlineStr">
        <is>
          <t>Московская область</t>
        </is>
      </c>
      <c r="E1296" s="130" t="inlineStr">
        <is>
          <t>М5</t>
        </is>
      </c>
      <c r="F1296" s="130" t="inlineStr">
        <is>
          <t>АЗС</t>
        </is>
      </c>
      <c r="G1296" s="130" t="inlineStr">
        <is>
          <t>Лукойл</t>
        </is>
      </c>
      <c r="H1296" s="131" t="n"/>
      <c r="I1296" s="637" t="inlineStr">
        <is>
          <t>Барановское</t>
        </is>
      </c>
      <c r="J1296" s="637" t="inlineStr">
        <is>
          <t>MSK_SIB_Baranovskoe</t>
        </is>
      </c>
      <c r="K1296" s="640" t="n">
        <v>1</v>
      </c>
      <c r="L1296" s="640" t="n">
        <v>0</v>
      </c>
      <c r="M1296" s="640" t="inlineStr">
        <is>
          <t>Samsung 32" вертикальный</t>
        </is>
      </c>
      <c r="N1296" s="640" t="n"/>
      <c r="O1296" s="640">
        <f>IF(AND(N1296=1,L1296=1),K1296,"")</f>
        <v/>
      </c>
      <c r="P1296" s="642" t="inlineStr">
        <is>
          <t>Московская область, Воскресенский район, автомагистраль А-108 "МБК",  Егорьевско-Рязанское шоссе, 11,8км, п/о Барановское,  д.1</t>
        </is>
      </c>
      <c r="Q1296" s="640" t="inlineStr">
        <is>
          <t>55.395532</t>
        </is>
      </c>
      <c r="R1296" s="422" t="inlineStr">
        <is>
          <t>38.775512</t>
        </is>
      </c>
      <c r="S1296" s="438" t="n"/>
      <c r="T1296" s="436" t="n"/>
      <c r="U1296" s="436" t="n"/>
      <c r="V1296" s="438">
        <f>IF(AND(N1296=1,U1296=1),C1296,"")</f>
        <v/>
      </c>
      <c r="W1296" s="387" t="n"/>
      <c r="X1296" s="387" t="n"/>
      <c r="Y1296" s="387" t="n"/>
    </row>
    <row r="1297" hidden="1" ht="16.05" customFormat="1" customHeight="1" s="126">
      <c r="A1297" s="125" t="n">
        <v>1740</v>
      </c>
      <c r="B1297" s="125" t="n"/>
      <c r="C1297" s="130" t="inlineStr">
        <is>
          <t>Москва</t>
        </is>
      </c>
      <c r="D1297" s="130" t="inlineStr">
        <is>
          <t>Московская область</t>
        </is>
      </c>
      <c r="E1297" s="130" t="inlineStr">
        <is>
          <t>М4</t>
        </is>
      </c>
      <c r="F1297" s="130" t="inlineStr">
        <is>
          <t>АЗС</t>
        </is>
      </c>
      <c r="G1297" s="130" t="inlineStr">
        <is>
          <t>Лукойл</t>
        </is>
      </c>
      <c r="H1297" s="131" t="n"/>
      <c r="I1297" s="637" t="inlineStr">
        <is>
          <t xml:space="preserve">Малино </t>
        </is>
      </c>
      <c r="J1297" s="637" t="inlineStr">
        <is>
          <t>MSK_SIB_Malino</t>
        </is>
      </c>
      <c r="K1297" s="640" t="n">
        <v>1</v>
      </c>
      <c r="L1297" s="640" t="n">
        <v>0</v>
      </c>
      <c r="M1297" s="640" t="inlineStr">
        <is>
          <t>Samsung 32" вертикальный</t>
        </is>
      </c>
      <c r="N1297" s="640" t="n"/>
      <c r="O1297" s="640">
        <f>IF(AND(N1297=1,L1297=1),K1297,"")</f>
        <v/>
      </c>
      <c r="P1297" s="642" t="inlineStr">
        <is>
          <t>Московская область, Ступинский р-н, п. Малино, ул. Ступинская, владение 3</t>
        </is>
      </c>
      <c r="Q1297" s="640" t="inlineStr">
        <is>
          <t>55.0996613</t>
        </is>
      </c>
      <c r="R1297" s="422" t="inlineStr">
        <is>
          <t>38.1707525</t>
        </is>
      </c>
      <c r="S1297" s="438" t="n"/>
      <c r="T1297" s="436" t="n"/>
      <c r="U1297" s="436" t="n"/>
      <c r="V1297" s="438">
        <f>IF(AND(N1297=1,U1297=1),C1297,"")</f>
        <v/>
      </c>
      <c r="W1297" s="387" t="n"/>
      <c r="X1297" s="387" t="n"/>
      <c r="Y1297" s="387" t="n"/>
    </row>
    <row r="1298" hidden="1" ht="16.05" customFormat="1" customHeight="1" s="126">
      <c r="A1298" s="125" t="n">
        <v>1741</v>
      </c>
      <c r="B1298" s="125" t="n"/>
      <c r="C1298" s="130" t="inlineStr">
        <is>
          <t>Москва</t>
        </is>
      </c>
      <c r="D1298" s="130" t="inlineStr">
        <is>
          <t>Ступино</t>
        </is>
      </c>
      <c r="E1298" s="130" t="inlineStr">
        <is>
          <t>М4</t>
        </is>
      </c>
      <c r="F1298" s="130" t="inlineStr">
        <is>
          <t>АЗС</t>
        </is>
      </c>
      <c r="G1298" s="130" t="inlineStr">
        <is>
          <t>Лукойл</t>
        </is>
      </c>
      <c r="H1298" s="131" t="n"/>
      <c r="I1298" s="637" t="inlineStr">
        <is>
          <t xml:space="preserve">Марс </t>
        </is>
      </c>
      <c r="J1298" s="637" t="inlineStr">
        <is>
          <t>MSK_SIB_Mars</t>
        </is>
      </c>
      <c r="K1298" s="640" t="n">
        <v>1</v>
      </c>
      <c r="L1298" s="640" t="n">
        <v>0</v>
      </c>
      <c r="M1298" s="640" t="inlineStr">
        <is>
          <t>Samsung 32" вертикальный</t>
        </is>
      </c>
      <c r="N1298" s="640" t="n"/>
      <c r="O1298" s="640">
        <f>IF(AND(N1298=1,L1298=1),K1298,"")</f>
        <v/>
      </c>
      <c r="P1298" s="642" t="inlineStr">
        <is>
          <t>Московская область, г. Ступино, ул. Ситенка, владение 14</t>
        </is>
      </c>
      <c r="Q1298" s="640" t="inlineStr">
        <is>
          <t>54.9372019</t>
        </is>
      </c>
      <c r="R1298" s="422" t="inlineStr">
        <is>
          <t>38.0421996</t>
        </is>
      </c>
      <c r="S1298" s="438" t="n"/>
      <c r="T1298" s="436" t="n"/>
      <c r="U1298" s="436" t="n"/>
      <c r="V1298" s="438">
        <f>IF(AND(N1298=1,U1298=1),C1298,"")</f>
        <v/>
      </c>
      <c r="W1298" s="387" t="n"/>
      <c r="X1298" s="387" t="n"/>
      <c r="Y1298" s="387" t="n"/>
    </row>
    <row r="1299" hidden="1" ht="16.05" customFormat="1" customHeight="1" s="126">
      <c r="A1299" s="125" t="n">
        <v>1742</v>
      </c>
      <c r="B1299" s="125" t="n"/>
      <c r="C1299" s="130" t="inlineStr">
        <is>
          <t>Москва</t>
        </is>
      </c>
      <c r="D1299" s="130" t="inlineStr">
        <is>
          <t>Московская область</t>
        </is>
      </c>
      <c r="E1299" s="130" t="inlineStr">
        <is>
          <t>М9</t>
        </is>
      </c>
      <c r="F1299" s="130" t="inlineStr">
        <is>
          <t>АЗС</t>
        </is>
      </c>
      <c r="G1299" s="130" t="inlineStr">
        <is>
          <t>Лукойл</t>
        </is>
      </c>
      <c r="H1299" s="131" t="n"/>
      <c r="I1299" s="637" t="inlineStr">
        <is>
          <t>141 км, (Рождествено)</t>
        </is>
      </c>
      <c r="J1299" s="637" t="inlineStr">
        <is>
          <t>MSK_SIB_Novaya_Riga_141</t>
        </is>
      </c>
      <c r="K1299" s="640" t="n">
        <v>1</v>
      </c>
      <c r="L1299" s="640" t="n">
        <v>0</v>
      </c>
      <c r="M1299" s="640" t="inlineStr">
        <is>
          <t>Samsung 32" вертикальный</t>
        </is>
      </c>
      <c r="N1299" s="640" t="n"/>
      <c r="O1299" s="640">
        <f>IF(AND(N1299=1,L1299=1),K1299,"")</f>
        <v/>
      </c>
      <c r="P1299" s="642" t="inlineStr">
        <is>
          <t>Московская область, Шаховской р-н, с/п Раменское, д. Рождествено, д. 1Б</t>
        </is>
      </c>
      <c r="Q1299" s="640" t="inlineStr">
        <is>
          <t>56.0372667</t>
        </is>
      </c>
      <c r="R1299" s="422" t="inlineStr">
        <is>
          <t>35.58079</t>
        </is>
      </c>
      <c r="S1299" s="438" t="n"/>
      <c r="T1299" s="436" t="n"/>
      <c r="U1299" s="436" t="n"/>
      <c r="V1299" s="438">
        <f>IF(AND(N1299=1,U1299=1),C1299,"")</f>
        <v/>
      </c>
      <c r="W1299" s="387" t="n"/>
      <c r="X1299" s="387" t="n"/>
      <c r="Y1299" s="387" t="n"/>
    </row>
    <row r="1300" hidden="1" ht="16.05" customFormat="1" customHeight="1" s="126">
      <c r="A1300" s="125" t="n">
        <v>1743</v>
      </c>
      <c r="B1300" s="125" t="n"/>
      <c r="C1300" s="130" t="inlineStr">
        <is>
          <t>Москва</t>
        </is>
      </c>
      <c r="D1300" s="130" t="inlineStr">
        <is>
          <t>Московская область</t>
        </is>
      </c>
      <c r="E1300" s="130" t="inlineStr">
        <is>
          <t>М7</t>
        </is>
      </c>
      <c r="F1300" s="130" t="inlineStr">
        <is>
          <t>АЗС</t>
        </is>
      </c>
      <c r="G1300" s="130" t="inlineStr">
        <is>
          <t>Лукойл</t>
        </is>
      </c>
      <c r="H1300" s="131" t="n"/>
      <c r="I1300" s="637" t="inlineStr">
        <is>
          <t>Новосидориха</t>
        </is>
      </c>
      <c r="J1300" s="637" t="inlineStr">
        <is>
          <t>MSK_SIB_NovoSidoriha</t>
        </is>
      </c>
      <c r="K1300" s="640" t="n">
        <v>1</v>
      </c>
      <c r="L1300" s="640" t="n">
        <v>0</v>
      </c>
      <c r="M1300" s="640" t="inlineStr">
        <is>
          <t>Samsung 32" вертикальный</t>
        </is>
      </c>
      <c r="N1300" s="640" t="n"/>
      <c r="O1300" s="640">
        <f>IF(AND(N1300=1,L1300=1),K1300,"")</f>
        <v/>
      </c>
      <c r="P1300" s="642" t="inlineStr">
        <is>
          <t>Московская область, Шатурский р-н, г/п Шатура, д. Новосидориха, номер 87</t>
        </is>
      </c>
      <c r="Q1300" s="640" t="inlineStr">
        <is>
          <t>55.565188</t>
        </is>
      </c>
      <c r="R1300" s="422" t="inlineStr">
        <is>
          <t>39.625768</t>
        </is>
      </c>
      <c r="S1300" s="438" t="n"/>
      <c r="T1300" s="436" t="n"/>
      <c r="U1300" s="436" t="n"/>
      <c r="V1300" s="438">
        <f>IF(AND(N1300=1,U1300=1),C1300,"")</f>
        <v/>
      </c>
      <c r="W1300" s="387" t="n"/>
      <c r="X1300" s="387" t="n"/>
      <c r="Y1300" s="387" t="n"/>
    </row>
    <row r="1301" hidden="1" ht="16.05" customFormat="1" customHeight="1" s="126">
      <c r="A1301" s="125" t="n">
        <v>1744</v>
      </c>
      <c r="B1301" s="125" t="n"/>
      <c r="C1301" s="130" t="inlineStr">
        <is>
          <t>Москва</t>
        </is>
      </c>
      <c r="D1301" s="130" t="inlineStr">
        <is>
          <t>Московская область</t>
        </is>
      </c>
      <c r="E1301" s="130" t="inlineStr">
        <is>
          <t>М5</t>
        </is>
      </c>
      <c r="F1301" s="130" t="inlineStr">
        <is>
          <t>АЗС</t>
        </is>
      </c>
      <c r="G1301" s="130" t="inlineStr">
        <is>
          <t>Лукойл</t>
        </is>
      </c>
      <c r="H1301" s="131" t="n"/>
      <c r="I1301" s="637" t="inlineStr">
        <is>
          <t xml:space="preserve">Первомайский </t>
        </is>
      </c>
      <c r="J1301" s="637" t="inlineStr">
        <is>
          <t>MSK_SIB_Pervomayskiy</t>
        </is>
      </c>
      <c r="K1301" s="640" t="n">
        <v>1</v>
      </c>
      <c r="L1301" s="640" t="n">
        <v>0</v>
      </c>
      <c r="M1301" s="640" t="inlineStr">
        <is>
          <t>Samsung 32" вертикальный</t>
        </is>
      </c>
      <c r="N1301" s="640" t="n"/>
      <c r="O1301" s="640">
        <f>IF(AND(N1301=1,L1301=1),K1301,"")</f>
        <v/>
      </c>
      <c r="P1301" s="642" t="inlineStr">
        <is>
          <t>Московская область, Коломенский р-н, п. Первомайский, ул. Дорожная, д. 22</t>
        </is>
      </c>
      <c r="Q1301" s="640" t="inlineStr">
        <is>
          <t>55.0694975</t>
        </is>
      </c>
      <c r="R1301" s="422" t="inlineStr">
        <is>
          <t>38.6653733</t>
        </is>
      </c>
      <c r="S1301" s="438" t="n"/>
      <c r="T1301" s="436" t="n"/>
      <c r="U1301" s="436" t="n"/>
      <c r="V1301" s="438">
        <f>IF(AND(N1301=1,U1301=1),C1301,"")</f>
        <v/>
      </c>
      <c r="W1301" s="387" t="n"/>
      <c r="X1301" s="387" t="n"/>
      <c r="Y1301" s="387" t="n"/>
    </row>
    <row r="1302" hidden="1" ht="16.05" customFormat="1" customHeight="1" s="126">
      <c r="A1302" s="125" t="n">
        <v>1755</v>
      </c>
      <c r="B1302" s="125" t="inlineStr">
        <is>
          <t>WF</t>
        </is>
      </c>
      <c r="C1302" s="130" t="inlineStr">
        <is>
          <t>Москва</t>
        </is>
      </c>
      <c r="D1302" s="130" t="inlineStr">
        <is>
          <t>Москва</t>
        </is>
      </c>
      <c r="E1302" s="130" t="inlineStr">
        <is>
          <t>ЗАО</t>
        </is>
      </c>
      <c r="F1302" s="130" t="inlineStr">
        <is>
          <t>Супермаркет</t>
        </is>
      </c>
      <c r="G1302" s="130" t="inlineStr">
        <is>
          <t>Азбука Вкуса</t>
        </is>
      </c>
      <c r="H1302" s="131" t="n"/>
      <c r="I1302" s="637" t="inlineStr">
        <is>
          <t>106_Daily</t>
        </is>
      </c>
      <c r="J1302" s="637" t="inlineStr">
        <is>
          <t>MSK_D_106</t>
        </is>
      </c>
      <c r="K1302" s="640" t="n">
        <v>2</v>
      </c>
      <c r="L1302" s="640" t="n">
        <v>1</v>
      </c>
      <c r="M1302" s="623" t="inlineStr">
        <is>
          <t>Samsung 40" вертикальный</t>
        </is>
      </c>
      <c r="N1302" s="640" t="n"/>
      <c r="O1302" s="640">
        <f>IF(AND(N1302=1,L1302=1),K1302,"")</f>
        <v/>
      </c>
      <c r="P1302" s="642" t="inlineStr">
        <is>
          <t>Москва, Народного Ополчения, 46с1</t>
        </is>
      </c>
      <c r="Q1302" s="640" t="inlineStr">
        <is>
          <t>55.7929477</t>
        </is>
      </c>
      <c r="R1302" s="494" t="inlineStr">
        <is>
          <t>37.4934465</t>
        </is>
      </c>
      <c r="S1302" s="387" t="n">
        <v>24</v>
      </c>
      <c r="T1302" s="436">
        <f>IF(N1302=1,O1302*S1302,"")</f>
        <v/>
      </c>
      <c r="U1302" s="436" t="n"/>
      <c r="V1302" s="438">
        <f>IF(AND(N1302=1,U1302=1),C1302,"")</f>
        <v/>
      </c>
      <c r="W1302" s="387" t="n"/>
      <c r="X1302" s="387" t="n"/>
      <c r="Y1302" s="387" t="n"/>
    </row>
    <row r="1303" hidden="1" ht="16.05" customHeight="1">
      <c r="A1303" s="791" t="n">
        <v>1745</v>
      </c>
      <c r="B1303" s="13">
        <f>IF(OR(M1303="Sam 32",M1303="Sam 40"),"s",IF(M1303="AMS","a","v"))</f>
        <v/>
      </c>
      <c r="C1303" s="130" t="inlineStr">
        <is>
          <t>Москва</t>
        </is>
      </c>
      <c r="D1303" s="130" t="inlineStr">
        <is>
          <t>Московская область</t>
        </is>
      </c>
      <c r="E1303" s="130" t="inlineStr">
        <is>
          <t>М10</t>
        </is>
      </c>
      <c r="F1303" s="130" t="n"/>
      <c r="G1303" s="130" t="inlineStr">
        <is>
          <t>Лукойл</t>
        </is>
      </c>
      <c r="H1303" s="131" t="n"/>
      <c r="I1303" s="637" t="inlineStr">
        <is>
          <t xml:space="preserve">Клин (Праслово) </t>
        </is>
      </c>
      <c r="J1303" s="637" t="n"/>
      <c r="K1303" s="640" t="n">
        <v>0</v>
      </c>
      <c r="L1303" s="640" t="n">
        <v>0</v>
      </c>
      <c r="M1303" s="640" t="inlineStr">
        <is>
          <t>Sam 32</t>
        </is>
      </c>
      <c r="N1303" s="640" t="n"/>
      <c r="O1303" s="640">
        <f>IF(AND(N1303=1,L1303=1),K1303,"")</f>
        <v/>
      </c>
      <c r="P1303" s="642" t="inlineStr">
        <is>
          <t>Московская область, г. Клин, 4-й км автодороги Клин-Дмитров.</t>
        </is>
      </c>
      <c r="Q1303" s="640" t="n"/>
      <c r="R1303" s="422" t="n"/>
      <c r="S1303" s="436" t="n"/>
      <c r="T1303" s="436" t="n"/>
      <c r="U1303" s="436" t="n"/>
      <c r="V1303" s="438">
        <f>IF(AND(N1303=1,U1303=1),C1303,"")</f>
        <v/>
      </c>
      <c r="X1303" s="1" t="n"/>
      <c r="Y1303" s="1" t="n"/>
      <c r="Z1303" s="1" t="n"/>
    </row>
    <row r="1304" hidden="1" ht="16.05" customFormat="1" customHeight="1" s="126">
      <c r="A1304" s="125" t="n">
        <v>1757</v>
      </c>
      <c r="B1304" s="125" t="inlineStr">
        <is>
          <t>WF</t>
        </is>
      </c>
      <c r="C1304" s="130" t="inlineStr">
        <is>
          <t>Москва</t>
        </is>
      </c>
      <c r="D1304" s="130" t="inlineStr">
        <is>
          <t>Москва</t>
        </is>
      </c>
      <c r="E1304" s="130" t="inlineStr">
        <is>
          <t>ЗАО</t>
        </is>
      </c>
      <c r="F1304" s="130" t="inlineStr">
        <is>
          <t>Супермаркет</t>
        </is>
      </c>
      <c r="G1304" s="130" t="inlineStr">
        <is>
          <t>Азбука Вкуса</t>
        </is>
      </c>
      <c r="H1304" s="131" t="n"/>
      <c r="I1304" s="637" t="inlineStr">
        <is>
          <t>107_Daily</t>
        </is>
      </c>
      <c r="J1304" s="637" t="inlineStr">
        <is>
          <t>MSK_D_107</t>
        </is>
      </c>
      <c r="K1304" s="640" t="n">
        <v>2</v>
      </c>
      <c r="L1304" s="640" t="n">
        <v>1</v>
      </c>
      <c r="M1304" s="623" t="inlineStr">
        <is>
          <t>Samsung 40" вертикальный</t>
        </is>
      </c>
      <c r="N1304" s="640" t="n"/>
      <c r="O1304" s="640">
        <f>IF(AND(N1304=1,L1304=1),K1304,"")</f>
        <v/>
      </c>
      <c r="P1304" s="642" t="inlineStr">
        <is>
          <t>Москва, Строителей д.17 к.1</t>
        </is>
      </c>
      <c r="Q1304" s="640" t="inlineStr">
        <is>
          <t>55.6882345</t>
        </is>
      </c>
      <c r="R1304" s="494" t="inlineStr">
        <is>
          <t>37.5317618</t>
        </is>
      </c>
      <c r="S1304" s="387" t="n">
        <v>24</v>
      </c>
      <c r="T1304" s="436">
        <f>IF(N1304=1,O1304*S1304,"")</f>
        <v/>
      </c>
      <c r="U1304" s="436" t="n">
        <v>1</v>
      </c>
      <c r="V1304" s="438">
        <f>IF(AND(N1304=1,U1304=1),C1304,"")</f>
        <v/>
      </c>
      <c r="W1304" s="387" t="n"/>
      <c r="X1304" s="387" t="n"/>
      <c r="Y1304" s="387" t="n"/>
    </row>
    <row r="1305" ht="16.05" customFormat="1" customHeight="1" s="126">
      <c r="A1305" s="125" t="n">
        <v>1761</v>
      </c>
      <c r="B1305" s="125" t="inlineStr">
        <is>
          <t>WF</t>
        </is>
      </c>
      <c r="C1305" s="130" t="inlineStr">
        <is>
          <t>Москва</t>
        </is>
      </c>
      <c r="D1305" s="130" t="inlineStr">
        <is>
          <t>Москва</t>
        </is>
      </c>
      <c r="E1305" s="130" t="inlineStr">
        <is>
          <t>ЦАО</t>
        </is>
      </c>
      <c r="F1305" s="130" t="inlineStr">
        <is>
          <t>Супермаркет</t>
        </is>
      </c>
      <c r="G1305" s="130" t="inlineStr">
        <is>
          <t>Азбука Вкуса</t>
        </is>
      </c>
      <c r="H1305" s="131" t="n"/>
      <c r="I1305" s="637" t="inlineStr">
        <is>
          <t>108_Daily</t>
        </is>
      </c>
      <c r="J1305" s="637" t="inlineStr">
        <is>
          <t>MSK_D_108</t>
        </is>
      </c>
      <c r="K1305" s="640" t="n">
        <v>2</v>
      </c>
      <c r="L1305" s="640" t="n">
        <v>1</v>
      </c>
      <c r="M1305" s="623" t="inlineStr">
        <is>
          <t>Samsung 40" вертикальный</t>
        </is>
      </c>
      <c r="N1305" s="640" t="n">
        <v>1</v>
      </c>
      <c r="O1305" s="640">
        <f>IF(AND(N1305=1,L1305=1),K1305,"")</f>
        <v/>
      </c>
      <c r="P1305" s="642" t="inlineStr">
        <is>
          <t>Москва, Малая Пироговская 21</t>
        </is>
      </c>
      <c r="Q1305" s="640" t="inlineStr">
        <is>
          <t>55.7274092</t>
        </is>
      </c>
      <c r="R1305" s="494" t="inlineStr">
        <is>
          <t>37.5667673</t>
        </is>
      </c>
      <c r="S1305" s="387" t="n">
        <v>24</v>
      </c>
      <c r="T1305" s="436">
        <f>IF(N1305=1,O1305*S1305,"")</f>
        <v/>
      </c>
      <c r="U1305" s="436" t="n">
        <v>1</v>
      </c>
      <c r="V1305" s="438">
        <f>IF(AND(N1305=1,U1305=1),C1305,"")</f>
        <v/>
      </c>
      <c r="W1305" s="387" t="n"/>
      <c r="X1305" s="387" t="n"/>
      <c r="Y1305" s="387" t="n"/>
    </row>
    <row r="1306" hidden="1" ht="16.05" customFormat="1" customHeight="1" s="126">
      <c r="A1306" s="125" t="n">
        <v>1750</v>
      </c>
      <c r="B1306" s="125" t="inlineStr">
        <is>
          <t>WF</t>
        </is>
      </c>
      <c r="C1306" s="130" t="inlineStr">
        <is>
          <t>Москва</t>
        </is>
      </c>
      <c r="D1306" s="130" t="inlineStr">
        <is>
          <t>Подольск</t>
        </is>
      </c>
      <c r="E1306" s="130" t="inlineStr">
        <is>
          <t>М2</t>
        </is>
      </c>
      <c r="F1306" s="130" t="inlineStr">
        <is>
          <t>АЗС</t>
        </is>
      </c>
      <c r="G1306" s="130" t="inlineStr">
        <is>
          <t>Лукойл</t>
        </is>
      </c>
      <c r="H1306" s="131" t="n"/>
      <c r="I1306" s="637" t="n">
        <v>50252</v>
      </c>
      <c r="J1306" s="637" t="inlineStr">
        <is>
          <t>MSK_LUK_0252</t>
        </is>
      </c>
      <c r="K1306" s="640" t="n">
        <v>1</v>
      </c>
      <c r="L1306" s="640" t="n">
        <v>0</v>
      </c>
      <c r="M1306" s="640" t="inlineStr">
        <is>
          <t>1 октября</t>
        </is>
      </c>
      <c r="N1306" s="640" t="n"/>
      <c r="O1306" s="640">
        <f>IF(AND(N1306=1,L1306=1),K1306,"")</f>
        <v/>
      </c>
      <c r="P1306" s="642" t="inlineStr">
        <is>
          <t>Российская Федерация, Московская область, Городской округ Подольск, город Подольск, улица Высотная, строение 12</t>
        </is>
      </c>
      <c r="Q1306" s="640" t="n">
        <v>55.412586</v>
      </c>
      <c r="R1306" s="422" t="n">
        <v>37.522195</v>
      </c>
      <c r="S1306" s="438" t="n"/>
      <c r="T1306" s="436">
        <f>S1306*O1306</f>
        <v/>
      </c>
      <c r="U1306" s="387" t="n"/>
      <c r="V1306" s="438">
        <f>IF(AND(N1306=1,U1306=1),C1306,"")</f>
        <v/>
      </c>
      <c r="W1306" s="387" t="n"/>
      <c r="X1306" s="1" t="n"/>
      <c r="Y1306" s="1" t="n"/>
    </row>
    <row r="1307" hidden="1" ht="16.05" customHeight="1">
      <c r="A1307" s="791" t="n">
        <v>1751</v>
      </c>
      <c r="B1307" s="13">
        <f>IF(OR(M1307="Sam 32",M1307="Sam 40"),"s",IF(M1307="AMS","a","v"))</f>
        <v/>
      </c>
      <c r="C1307" s="130" t="inlineStr">
        <is>
          <t>Москва</t>
        </is>
      </c>
      <c r="D1307" s="130" t="inlineStr">
        <is>
          <t>Московская область</t>
        </is>
      </c>
      <c r="E1307" s="130" t="inlineStr">
        <is>
          <t>М3</t>
        </is>
      </c>
      <c r="F1307" s="130" t="n"/>
      <c r="G1307" s="130" t="inlineStr">
        <is>
          <t>Лукойл</t>
        </is>
      </c>
      <c r="H1307" s="131" t="n"/>
      <c r="I1307" s="637" t="inlineStr">
        <is>
          <t>LUK_202</t>
        </is>
      </c>
      <c r="J1307" s="637" t="inlineStr">
        <is>
          <t>MSK_LUK_0202</t>
        </is>
      </c>
      <c r="K1307" s="640" t="n">
        <v>1</v>
      </c>
      <c r="L1307" s="640" t="n">
        <v>0</v>
      </c>
      <c r="M1307" s="640" t="inlineStr">
        <is>
          <t>Sam 32</t>
        </is>
      </c>
      <c r="N1307" s="640" t="n"/>
      <c r="O1307" s="640">
        <f>IF(AND(N1307=1,L1307=1),K1307,"")</f>
        <v/>
      </c>
      <c r="P1307" s="642" t="inlineStr">
        <is>
          <t xml:space="preserve">Московская область, Наро-Фоминский район, 42 км а/д Москва-Киев </t>
        </is>
      </c>
      <c r="Q1307" s="640" t="n"/>
      <c r="R1307" s="422" t="n"/>
      <c r="T1307" s="436">
        <f>S1307*O1307</f>
        <v/>
      </c>
      <c r="V1307" s="438">
        <f>IF(AND(N1307=1,U1307=1),C1307,"")</f>
        <v/>
      </c>
      <c r="X1307" s="1" t="n"/>
      <c r="Y1307" s="1" t="n"/>
      <c r="Z1307" s="1" t="n"/>
    </row>
    <row r="1308" hidden="1" ht="16.05" customFormat="1" customHeight="1" s="126">
      <c r="A1308" s="125" t="n">
        <v>1752</v>
      </c>
      <c r="B1308" s="125" t="inlineStr">
        <is>
          <t>WF</t>
        </is>
      </c>
      <c r="C1308" s="130" t="inlineStr">
        <is>
          <t>Москва</t>
        </is>
      </c>
      <c r="D1308" s="130" t="inlineStr">
        <is>
          <t>Московская область</t>
        </is>
      </c>
      <c r="E1308" s="130" t="inlineStr">
        <is>
          <t>Р22</t>
        </is>
      </c>
      <c r="F1308" s="130" t="inlineStr">
        <is>
          <t>АЗС</t>
        </is>
      </c>
      <c r="G1308" s="130" t="inlineStr">
        <is>
          <t>Лукойл</t>
        </is>
      </c>
      <c r="H1308" s="131" t="n"/>
      <c r="I1308" s="637" t="n">
        <v>50205</v>
      </c>
      <c r="J1308" s="637" t="inlineStr">
        <is>
          <t>MSK_LUK_0205</t>
        </is>
      </c>
      <c r="K1308" s="640" t="n">
        <v>1</v>
      </c>
      <c r="L1308" s="640" t="n">
        <v>0</v>
      </c>
      <c r="M1308" s="640" t="inlineStr">
        <is>
          <t>1 октября</t>
        </is>
      </c>
      <c r="N1308" s="640" t="n"/>
      <c r="O1308" s="640">
        <f>IF(AND(N1308=1,L1308=1),K1308,"")</f>
        <v/>
      </c>
      <c r="P1308" s="642" t="inlineStr">
        <is>
          <t>Московская область, Серебряно-Прудский район, на 173 км а/д "Москва-Каспий" вблизи д. Красное</t>
        </is>
      </c>
      <c r="Q1308" s="640" t="n">
        <v>54.43461</v>
      </c>
      <c r="R1308" s="422" t="n">
        <v>38.6166</v>
      </c>
      <c r="S1308" s="438" t="n"/>
      <c r="T1308" s="436">
        <f>S1308*O1308</f>
        <v/>
      </c>
      <c r="U1308" s="387" t="n"/>
      <c r="V1308" s="438">
        <f>IF(AND(N1308=1,U1308=1),C1308,"")</f>
        <v/>
      </c>
      <c r="W1308" s="387" t="n"/>
      <c r="X1308" s="1" t="n"/>
      <c r="Y1308" s="1" t="n"/>
    </row>
    <row r="1309" hidden="1" ht="16.05" customFormat="1" customHeight="1" s="126">
      <c r="A1309" s="125" t="n">
        <v>1753</v>
      </c>
      <c r="B1309" s="125" t="inlineStr">
        <is>
          <t>WF</t>
        </is>
      </c>
      <c r="C1309" s="130" t="inlineStr">
        <is>
          <t>Москва</t>
        </is>
      </c>
      <c r="D1309" s="130" t="inlineStr">
        <is>
          <t>Московская область</t>
        </is>
      </c>
      <c r="E1309" s="130" t="inlineStr">
        <is>
          <t>М8</t>
        </is>
      </c>
      <c r="F1309" s="130" t="inlineStr">
        <is>
          <t>АЗС</t>
        </is>
      </c>
      <c r="G1309" s="130" t="inlineStr">
        <is>
          <t>Лукойл</t>
        </is>
      </c>
      <c r="H1309" s="131" t="n"/>
      <c r="I1309" s="637" t="n">
        <v>50251</v>
      </c>
      <c r="J1309" s="637" t="inlineStr">
        <is>
          <t>MSK_LUK_0251</t>
        </is>
      </c>
      <c r="K1309" s="640" t="n">
        <v>1</v>
      </c>
      <c r="L1309" s="640" t="n">
        <v>0</v>
      </c>
      <c r="M1309" s="640" t="inlineStr">
        <is>
          <t>1 октября</t>
        </is>
      </c>
      <c r="N1309" s="640" t="n"/>
      <c r="O1309" s="640">
        <f>IF(AND(N1309=1,L1309=1),K1309,"")</f>
        <v/>
      </c>
      <c r="P1309" s="642" t="inlineStr">
        <is>
          <t>Российская Федерация, Московская область, Сергиево-Посадский муниципальный район, городское поселение Сергиев Посад, деревня Наугольное</t>
        </is>
      </c>
      <c r="Q1309" s="640" t="n">
        <v>56.354217</v>
      </c>
      <c r="R1309" s="422" t="n">
        <v>38.180781</v>
      </c>
      <c r="S1309" s="438" t="n"/>
      <c r="T1309" s="436">
        <f>S1309*O1309</f>
        <v/>
      </c>
      <c r="U1309" s="387" t="n"/>
      <c r="V1309" s="438">
        <f>IF(AND(N1309=1,U1309=1),C1309,"")</f>
        <v/>
      </c>
      <c r="W1309" s="387" t="n"/>
      <c r="X1309" s="1" t="n"/>
      <c r="Y1309" s="1" t="n"/>
    </row>
    <row r="1310" hidden="1" ht="16.05" customFormat="1" customHeight="1" s="126">
      <c r="A1310" s="125" t="n">
        <v>1754</v>
      </c>
      <c r="B1310" s="125" t="inlineStr">
        <is>
          <t>WF</t>
        </is>
      </c>
      <c r="C1310" s="130" t="inlineStr">
        <is>
          <t>Москва</t>
        </is>
      </c>
      <c r="D1310" s="130" t="inlineStr">
        <is>
          <t>Московская область</t>
        </is>
      </c>
      <c r="E1310" s="130" t="inlineStr">
        <is>
          <t>МКАД</t>
        </is>
      </c>
      <c r="F1310" s="130" t="inlineStr">
        <is>
          <t>АЗС</t>
        </is>
      </c>
      <c r="G1310" s="130" t="inlineStr">
        <is>
          <t>Лукойл</t>
        </is>
      </c>
      <c r="H1310" s="131" t="n"/>
      <c r="I1310" s="637" t="n">
        <v>50264</v>
      </c>
      <c r="J1310" s="637" t="inlineStr">
        <is>
          <t>MSK_LUK_0264</t>
        </is>
      </c>
      <c r="K1310" s="640" t="n">
        <v>2</v>
      </c>
      <c r="L1310" s="640" t="n">
        <v>0</v>
      </c>
      <c r="M1310" s="640" t="inlineStr">
        <is>
          <t>1 октября</t>
        </is>
      </c>
      <c r="N1310" s="640" t="n"/>
      <c r="O1310" s="640">
        <f>IF(AND(N1310=1,L1310=1),K1310,"")</f>
        <v/>
      </c>
      <c r="P1310" s="642" t="inlineStr">
        <is>
          <t>Московская область, город Реутов, Московская кольцевая автодорога, владение № 5</t>
        </is>
      </c>
      <c r="Q1310" s="640" t="n">
        <v>55.759085</v>
      </c>
      <c r="R1310" s="422" t="n">
        <v>37.84334</v>
      </c>
      <c r="S1310" s="438" t="n"/>
      <c r="T1310" s="436">
        <f>S1310*O1310</f>
        <v/>
      </c>
      <c r="U1310" s="387" t="n"/>
      <c r="V1310" s="438">
        <f>IF(AND(N1310=1,U1310=1),C1310,"")</f>
        <v/>
      </c>
      <c r="W1310" s="387" t="n"/>
      <c r="X1310" s="1" t="n"/>
      <c r="Y1310" s="1" t="n"/>
    </row>
    <row r="1311" hidden="1" ht="16.05" customFormat="1" customHeight="1" s="126">
      <c r="A1311" s="125" t="n">
        <v>1765</v>
      </c>
      <c r="B1311" s="125" t="inlineStr">
        <is>
          <t>WF</t>
        </is>
      </c>
      <c r="C1311" s="130" t="inlineStr">
        <is>
          <t>Москва</t>
        </is>
      </c>
      <c r="D1311" s="130" t="inlineStr">
        <is>
          <t>Москва</t>
        </is>
      </c>
      <c r="E1311" s="130" t="inlineStr">
        <is>
          <t>ЦАО</t>
        </is>
      </c>
      <c r="F1311" s="130" t="inlineStr">
        <is>
          <t>Супермаркет</t>
        </is>
      </c>
      <c r="G1311" s="130" t="inlineStr">
        <is>
          <t>Азбука Вкуса</t>
        </is>
      </c>
      <c r="H1311" s="131" t="n"/>
      <c r="I1311" s="637" t="inlineStr">
        <is>
          <t>109_Daily</t>
        </is>
      </c>
      <c r="J1311" s="637" t="inlineStr">
        <is>
          <t>MSK_D_109</t>
        </is>
      </c>
      <c r="K1311" s="640" t="n">
        <v>2</v>
      </c>
      <c r="L1311" s="640" t="n">
        <v>1</v>
      </c>
      <c r="M1311" s="623" t="inlineStr">
        <is>
          <t>Samsung 40" вертикальный</t>
        </is>
      </c>
      <c r="N1311" s="640" t="n"/>
      <c r="O1311" s="640">
        <f>IF(AND(N1311=1,L1311=1),K1311,"")</f>
        <v/>
      </c>
      <c r="P1311" s="642" t="inlineStr">
        <is>
          <t>Москва, Мытная, 7</t>
        </is>
      </c>
      <c r="Q1311" s="640" t="inlineStr">
        <is>
          <t>55.722142</t>
        </is>
      </c>
      <c r="R1311" s="494" t="inlineStr">
        <is>
          <t>37.618569</t>
        </is>
      </c>
      <c r="S1311" s="387" t="n">
        <v>24</v>
      </c>
      <c r="T1311" s="436">
        <f>IF(N1311=1,O1311*S1311,"")</f>
        <v/>
      </c>
      <c r="U1311" s="436" t="n">
        <v>1</v>
      </c>
      <c r="V1311" s="438">
        <f>IF(AND(N1311=1,U1311=1),C1311,"")</f>
        <v/>
      </c>
      <c r="W1311" s="387" t="n"/>
      <c r="X1311" s="387" t="n"/>
      <c r="Y1311" s="387" t="n"/>
    </row>
    <row r="1312" hidden="1" ht="16.05" customFormat="1" customHeight="1" s="126">
      <c r="A1312" s="125" t="n">
        <v>1759</v>
      </c>
      <c r="B1312" s="125" t="inlineStr">
        <is>
          <t>WF</t>
        </is>
      </c>
      <c r="C1312" s="130" t="inlineStr">
        <is>
          <t>Санкт-Петербург</t>
        </is>
      </c>
      <c r="D1312" s="130" t="inlineStr">
        <is>
          <t>Санкт-Петербург</t>
        </is>
      </c>
      <c r="E1312" s="130" t="n"/>
      <c r="F1312" s="130" t="inlineStr">
        <is>
          <t>Супермаркет</t>
        </is>
      </c>
      <c r="G1312" s="130" t="inlineStr">
        <is>
          <t>Азбука Вкуса</t>
        </is>
      </c>
      <c r="H1312" s="131" t="inlineStr">
        <is>
          <t>Daily</t>
        </is>
      </c>
      <c r="I1312" s="637" t="inlineStr">
        <is>
          <t>SPB_006_Daily</t>
        </is>
      </c>
      <c r="J1312" s="637" t="inlineStr">
        <is>
          <t>SPB_D_006</t>
        </is>
      </c>
      <c r="K1312" s="640" t="n">
        <v>2</v>
      </c>
      <c r="L1312" s="640" t="n">
        <v>0</v>
      </c>
      <c r="M1312" s="640" t="inlineStr">
        <is>
          <t>Samsung 40" вертикальный</t>
        </is>
      </c>
      <c r="N1312" s="640" t="n"/>
      <c r="O1312" s="640">
        <f>IF(AND(N1312=1,L1312=1),K1312,"")</f>
        <v/>
      </c>
      <c r="P1312" s="642" t="inlineStr">
        <is>
          <t>Санкт-Петербург, 7-я Линия Васильевского острова, д. 42</t>
        </is>
      </c>
      <c r="Q1312" s="640" t="inlineStr">
        <is>
          <t>59.941973</t>
        </is>
      </c>
      <c r="R1312" s="422" t="inlineStr">
        <is>
          <t>30.279609</t>
        </is>
      </c>
      <c r="S1312" s="387" t="n">
        <v>17</v>
      </c>
      <c r="T1312" s="436">
        <f>IF(N1312=1,O1312*S1312,"")</f>
        <v/>
      </c>
      <c r="U1312" s="436" t="n">
        <v>1</v>
      </c>
      <c r="V1312" s="438">
        <f>IF(AND(N1312=1,U1312=1),C1312,"")</f>
        <v/>
      </c>
      <c r="W1312" s="387" t="n"/>
      <c r="X1312" s="387" t="n"/>
      <c r="Y1312" s="387" t="n"/>
    </row>
    <row r="1313" hidden="1" ht="16.05" customFormat="1" customHeight="1" s="126">
      <c r="A1313" s="125" t="n">
        <v>1767</v>
      </c>
      <c r="B1313" s="125" t="inlineStr">
        <is>
          <t>WF</t>
        </is>
      </c>
      <c r="C1313" s="130" t="inlineStr">
        <is>
          <t>Москва</t>
        </is>
      </c>
      <c r="D1313" s="130" t="inlineStr">
        <is>
          <t>Москва</t>
        </is>
      </c>
      <c r="E1313" s="130" t="inlineStr">
        <is>
          <t>ЦАО</t>
        </is>
      </c>
      <c r="F1313" s="130" t="inlineStr">
        <is>
          <t>Супермаркет</t>
        </is>
      </c>
      <c r="G1313" s="130" t="inlineStr">
        <is>
          <t>Азбука Вкуса</t>
        </is>
      </c>
      <c r="H1313" s="131" t="n"/>
      <c r="I1313" s="637" t="inlineStr">
        <is>
          <t>110_Daily</t>
        </is>
      </c>
      <c r="J1313" s="637" t="inlineStr">
        <is>
          <t>MSK_D_110</t>
        </is>
      </c>
      <c r="K1313" s="640" t="n">
        <v>2</v>
      </c>
      <c r="L1313" s="640" t="n">
        <v>1</v>
      </c>
      <c r="M1313" s="623" t="inlineStr">
        <is>
          <t>Samsung 40" вертикальный</t>
        </is>
      </c>
      <c r="N1313" s="640" t="n"/>
      <c r="O1313" s="640">
        <f>IF(AND(N1313=1,L1313=1),K1313,"")</f>
        <v/>
      </c>
      <c r="P1313" s="642" t="inlineStr">
        <is>
          <t>Москва, Большая Грузинская, 16</t>
        </is>
      </c>
      <c r="Q1313" s="640" t="inlineStr">
        <is>
          <t>55.7648922</t>
        </is>
      </c>
      <c r="R1313" s="494" t="inlineStr">
        <is>
          <t>37.5788265</t>
        </is>
      </c>
      <c r="S1313" s="387" t="n">
        <v>24</v>
      </c>
      <c r="T1313" s="436">
        <f>IF(N1313=1,O1313*S1313,"")</f>
        <v/>
      </c>
      <c r="U1313" s="436" t="n">
        <v>1</v>
      </c>
      <c r="V1313" s="438">
        <f>IF(AND(N1313=1,U1313=1),C1313,"")</f>
        <v/>
      </c>
      <c r="W1313" s="387" t="n"/>
      <c r="X1313" s="387" t="n"/>
      <c r="Y1313" s="387" t="n"/>
    </row>
    <row r="1314" hidden="1" ht="16.05" customFormat="1" customHeight="1" s="126">
      <c r="A1314" s="125" t="n">
        <v>1763</v>
      </c>
      <c r="B1314" s="125" t="inlineStr">
        <is>
          <t>WF</t>
        </is>
      </c>
      <c r="C1314" s="130" t="inlineStr">
        <is>
          <t>Санкт-Петербург</t>
        </is>
      </c>
      <c r="D1314" s="130" t="inlineStr">
        <is>
          <t>Санкт-Петербург</t>
        </is>
      </c>
      <c r="E1314" s="130" t="n"/>
      <c r="F1314" s="130" t="inlineStr">
        <is>
          <t>Супермаркет</t>
        </is>
      </c>
      <c r="G1314" s="130" t="inlineStr">
        <is>
          <t>Азбука Вкуса</t>
        </is>
      </c>
      <c r="H1314" s="131" t="inlineStr">
        <is>
          <t>Daily</t>
        </is>
      </c>
      <c r="I1314" s="637" t="inlineStr">
        <is>
          <t>SPB_007_Daily</t>
        </is>
      </c>
      <c r="J1314" s="637" t="inlineStr">
        <is>
          <t>SPB_D_007</t>
        </is>
      </c>
      <c r="K1314" s="640" t="n">
        <v>2</v>
      </c>
      <c r="L1314" s="640" t="n">
        <v>0</v>
      </c>
      <c r="M1314" s="640" t="inlineStr">
        <is>
          <t>Samsung 40" вертикальный</t>
        </is>
      </c>
      <c r="N1314" s="640" t="n"/>
      <c r="O1314" s="640">
        <f>IF(AND(N1314=1,L1314=1),K1314,"")</f>
        <v/>
      </c>
      <c r="P1314" s="642" t="inlineStr">
        <is>
          <t>Санкт-Петербург, Загородный проспект, д. 18</t>
        </is>
      </c>
      <c r="Q1314" s="640" t="inlineStr">
        <is>
          <t>59.926155</t>
        </is>
      </c>
      <c r="R1314" s="422" t="inlineStr">
        <is>
          <t>30.342853</t>
        </is>
      </c>
      <c r="S1314" s="387" t="n">
        <v>17</v>
      </c>
      <c r="T1314" s="436">
        <f>IF(N1314=1,O1314*S1314,"")</f>
        <v/>
      </c>
      <c r="U1314" s="436" t="n">
        <v>1</v>
      </c>
      <c r="V1314" s="438">
        <f>IF(AND(N1314=1,U1314=1),C1314,"")</f>
        <v/>
      </c>
      <c r="W1314" s="387" t="n"/>
      <c r="X1314" s="387" t="n"/>
      <c r="Y1314" s="387" t="n"/>
    </row>
    <row r="1315" hidden="1" ht="16.05" customFormat="1" customHeight="1" s="126">
      <c r="A1315" s="125" t="n">
        <v>1769</v>
      </c>
      <c r="B1315" s="125" t="inlineStr">
        <is>
          <t>WF</t>
        </is>
      </c>
      <c r="C1315" s="130" t="inlineStr">
        <is>
          <t>Москва</t>
        </is>
      </c>
      <c r="D1315" s="130" t="inlineStr">
        <is>
          <t>Москва</t>
        </is>
      </c>
      <c r="E1315" s="130" t="inlineStr">
        <is>
          <t>ЦАО</t>
        </is>
      </c>
      <c r="F1315" s="130" t="inlineStr">
        <is>
          <t>Супермаркет</t>
        </is>
      </c>
      <c r="G1315" s="130" t="inlineStr">
        <is>
          <t>Азбука Вкуса</t>
        </is>
      </c>
      <c r="H1315" s="131" t="n"/>
      <c r="I1315" s="637" t="inlineStr">
        <is>
          <t>111_Daily</t>
        </is>
      </c>
      <c r="J1315" s="637" t="inlineStr">
        <is>
          <t>MSK_D_111</t>
        </is>
      </c>
      <c r="K1315" s="640" t="n">
        <v>2</v>
      </c>
      <c r="L1315" s="640" t="n">
        <v>1</v>
      </c>
      <c r="M1315" s="623" t="inlineStr">
        <is>
          <t>Samsung 40" вертикальный</t>
        </is>
      </c>
      <c r="N1315" s="640" t="n"/>
      <c r="O1315" s="640">
        <f>IF(AND(N1315=1,L1315=1),K1315,"")</f>
        <v/>
      </c>
      <c r="P1315" s="642" t="inlineStr">
        <is>
          <t>Москва, Долгоруковская, д. 40</t>
        </is>
      </c>
      <c r="Q1315" s="640" t="inlineStr">
        <is>
          <t>55.7780891</t>
        </is>
      </c>
      <c r="R1315" s="494" t="inlineStr">
        <is>
          <t>37.6023334</t>
        </is>
      </c>
      <c r="S1315" s="387" t="n">
        <v>24</v>
      </c>
      <c r="T1315" s="436">
        <f>IF(N1315=1,O1315*S1315,"")</f>
        <v/>
      </c>
      <c r="U1315" s="436" t="n">
        <v>1</v>
      </c>
      <c r="V1315" s="438">
        <f>IF(AND(N1315=1,U1315=1),C1315,"")</f>
        <v/>
      </c>
      <c r="W1315" s="387" t="n"/>
      <c r="X1315" s="387" t="n"/>
      <c r="Y1315" s="387" t="n"/>
    </row>
    <row r="1316" hidden="1" ht="16.05" customFormat="1" customHeight="1" s="126">
      <c r="A1316" s="125" t="n">
        <v>1771</v>
      </c>
      <c r="B1316" s="125" t="inlineStr">
        <is>
          <t>WF</t>
        </is>
      </c>
      <c r="C1316" s="130" t="inlineStr">
        <is>
          <t>Москва</t>
        </is>
      </c>
      <c r="D1316" s="130" t="inlineStr">
        <is>
          <t>Москва</t>
        </is>
      </c>
      <c r="E1316" s="130" t="inlineStr">
        <is>
          <t>ЗАО</t>
        </is>
      </c>
      <c r="F1316" s="130" t="inlineStr">
        <is>
          <t>Супермаркет</t>
        </is>
      </c>
      <c r="G1316" s="130" t="inlineStr">
        <is>
          <t>Азбука Вкуса</t>
        </is>
      </c>
      <c r="H1316" s="131" t="n"/>
      <c r="I1316" s="637" t="inlineStr">
        <is>
          <t>112_Daily</t>
        </is>
      </c>
      <c r="J1316" s="637" t="inlineStr">
        <is>
          <t>MSK_D_112</t>
        </is>
      </c>
      <c r="K1316" s="640" t="n">
        <v>2</v>
      </c>
      <c r="L1316" s="640" t="n">
        <v>1</v>
      </c>
      <c r="M1316" s="623" t="inlineStr">
        <is>
          <t>Samsung 40" вертикальный</t>
        </is>
      </c>
      <c r="N1316" s="640" t="n"/>
      <c r="O1316" s="640">
        <f>IF(AND(N1316=1,L1316=1),K1316,"")</f>
        <v/>
      </c>
      <c r="P1316" s="642" t="inlineStr">
        <is>
          <t>Москва, Маршила Рыбалко, д. 2</t>
        </is>
      </c>
      <c r="Q1316" s="640" t="inlineStr">
        <is>
          <t>55.7976445</t>
        </is>
      </c>
      <c r="R1316" s="494" t="inlineStr">
        <is>
          <t>37.4965525</t>
        </is>
      </c>
      <c r="S1316" s="387" t="n">
        <v>24</v>
      </c>
      <c r="T1316" s="436">
        <f>IF(N1316=1,O1316*S1316,"")</f>
        <v/>
      </c>
      <c r="U1316" s="436" t="n">
        <v>1</v>
      </c>
      <c r="V1316" s="438">
        <f>IF(AND(N1316=1,U1316=1),C1316,"")</f>
        <v/>
      </c>
      <c r="W1316" s="387" t="n"/>
      <c r="X1316" s="387" t="n"/>
      <c r="Y1316" s="387" t="n"/>
    </row>
    <row r="1317" hidden="1" ht="16.05" customFormat="1" customHeight="1" s="126">
      <c r="A1317" s="125" t="n">
        <v>1773</v>
      </c>
      <c r="B1317" s="125" t="inlineStr">
        <is>
          <t>WF</t>
        </is>
      </c>
      <c r="C1317" s="130" t="inlineStr">
        <is>
          <t>Москва</t>
        </is>
      </c>
      <c r="D1317" s="130" t="inlineStr">
        <is>
          <t>Москва</t>
        </is>
      </c>
      <c r="E1317" s="130" t="inlineStr">
        <is>
          <t>ЗАО</t>
        </is>
      </c>
      <c r="F1317" s="130" t="inlineStr">
        <is>
          <t>Супермаркет</t>
        </is>
      </c>
      <c r="G1317" s="130" t="inlineStr">
        <is>
          <t>Азбука Вкуса</t>
        </is>
      </c>
      <c r="H1317" s="131" t="n"/>
      <c r="I1317" s="637" t="inlineStr">
        <is>
          <t>113_Daily</t>
        </is>
      </c>
      <c r="J1317" s="637" t="inlineStr">
        <is>
          <t>MSK_D_113</t>
        </is>
      </c>
      <c r="K1317" s="640" t="n">
        <v>2</v>
      </c>
      <c r="L1317" s="640" t="n">
        <v>1</v>
      </c>
      <c r="M1317" s="623" t="inlineStr">
        <is>
          <t>Samsung 40" вертикальный</t>
        </is>
      </c>
      <c r="N1317" s="640" t="n"/>
      <c r="O1317" s="640">
        <f>IF(AND(N1317=1,L1317=1),K1317,"")</f>
        <v/>
      </c>
      <c r="P1317" s="642" t="inlineStr">
        <is>
          <t>Москва, Ленинский проспект, д. 77</t>
        </is>
      </c>
      <c r="Q1317" s="640" t="inlineStr">
        <is>
          <t>55.6857564</t>
        </is>
      </c>
      <c r="R1317" s="494" t="inlineStr">
        <is>
          <t>37.5431049</t>
        </is>
      </c>
      <c r="S1317" s="387" t="n">
        <v>17</v>
      </c>
      <c r="T1317" s="436">
        <f>IF(N1317=1,O1317*S1317,"")</f>
        <v/>
      </c>
      <c r="U1317" s="436" t="n">
        <v>1</v>
      </c>
      <c r="V1317" s="438">
        <f>IF(AND(N1317=1,U1317=1),C1317,"")</f>
        <v/>
      </c>
      <c r="W1317" s="387" t="n"/>
      <c r="X1317" s="387" t="n"/>
      <c r="Y1317" s="387" t="n"/>
    </row>
    <row r="1318" hidden="1" ht="16.05" customFormat="1" customHeight="1" s="126">
      <c r="A1318" s="125" t="n">
        <v>1777</v>
      </c>
      <c r="B1318" s="125" t="n"/>
      <c r="C1318" s="130" t="inlineStr">
        <is>
          <t>Тверь</t>
        </is>
      </c>
      <c r="D1318" s="130" t="inlineStr">
        <is>
          <t>Тверь</t>
        </is>
      </c>
      <c r="E1318" s="130" t="n"/>
      <c r="F1318" s="130" t="inlineStr">
        <is>
          <t>АЗС</t>
        </is>
      </c>
      <c r="G1318" s="130" t="inlineStr">
        <is>
          <t>Роснефть</t>
        </is>
      </c>
      <c r="H1318" s="131" t="inlineStr">
        <is>
          <t>TN003</t>
        </is>
      </c>
      <c r="I1318" s="637" t="inlineStr">
        <is>
          <t>Конаково(0003)</t>
        </is>
      </c>
      <c r="J1318" s="637" t="inlineStr">
        <is>
          <t>TVE_RN_0003</t>
        </is>
      </c>
      <c r="K1318" s="640" t="n">
        <v>2</v>
      </c>
      <c r="L1318" s="640" t="n">
        <v>1</v>
      </c>
      <c r="M1318" s="623" t="inlineStr">
        <is>
          <t>Samsung 32" вертикальный</t>
        </is>
      </c>
      <c r="N1318" s="640" t="n"/>
      <c r="O1318" s="640">
        <f>IF(AND(N1318=1,L1318=1),K1318,"")</f>
        <v/>
      </c>
      <c r="P1318" s="642" t="inlineStr">
        <is>
          <t>Тверская область, Конаковский р-н, г.Конаково, ул.Свободы, стр.189</t>
        </is>
      </c>
      <c r="Q1318" s="640" t="inlineStr">
        <is>
          <t>56.678584</t>
        </is>
      </c>
      <c r="R1318" s="494" t="inlineStr">
        <is>
          <t>36.752305</t>
        </is>
      </c>
      <c r="S1318" s="387" t="n"/>
      <c r="T1318" s="387" t="n"/>
      <c r="U1318" s="436" t="n">
        <v>1</v>
      </c>
      <c r="V1318" s="438">
        <f>IF(AND(N1318=1,U1318=1),C1318,"")</f>
        <v/>
      </c>
      <c r="W1318" s="387" t="n"/>
      <c r="X1318" s="387" t="n"/>
      <c r="Y1318" s="387" t="n"/>
    </row>
    <row r="1319" hidden="1" ht="16.05" customFormat="1" customHeight="1" s="126">
      <c r="A1319" s="125" t="n">
        <v>1778</v>
      </c>
      <c r="B1319" s="125" t="n"/>
      <c r="C1319" s="130" t="inlineStr">
        <is>
          <t>Тверь</t>
        </is>
      </c>
      <c r="D1319" s="130" t="inlineStr">
        <is>
          <t>Тверь</t>
        </is>
      </c>
      <c r="E1319" s="130" t="n"/>
      <c r="F1319" s="130" t="inlineStr">
        <is>
          <t>АЗС</t>
        </is>
      </c>
      <c r="G1319" s="130" t="inlineStr">
        <is>
          <t>Роснефть</t>
        </is>
      </c>
      <c r="H1319" s="131" t="inlineStr">
        <is>
          <t>TN005</t>
        </is>
      </c>
      <c r="I1319" s="637" t="inlineStr">
        <is>
          <t>Мокшино(0005)</t>
        </is>
      </c>
      <c r="J1319" s="637" t="inlineStr">
        <is>
          <t>TVE_RN_0005</t>
        </is>
      </c>
      <c r="K1319" s="640" t="n">
        <v>1</v>
      </c>
      <c r="L1319" s="640" t="n">
        <v>1</v>
      </c>
      <c r="M1319" s="623" t="inlineStr">
        <is>
          <t>Samsung 32" вертикальный</t>
        </is>
      </c>
      <c r="N1319" s="640" t="n"/>
      <c r="O1319" s="640">
        <f>IF(AND(N1319=1,L1319=1),K1319,"")</f>
        <v/>
      </c>
      <c r="P1319" s="642" t="inlineStr">
        <is>
          <t>Тверская область, Конаковский р-н, Мокшинское с/п, д.Мокшино, ул.Ленинградская, д.13</t>
        </is>
      </c>
      <c r="Q1319" s="640" t="inlineStr">
        <is>
          <t>56.574999</t>
        </is>
      </c>
      <c r="R1319" s="494" t="inlineStr">
        <is>
          <t>36.499656</t>
        </is>
      </c>
      <c r="S1319" s="387" t="n"/>
      <c r="T1319" s="387" t="n"/>
      <c r="U1319" s="436" t="n">
        <v>1</v>
      </c>
      <c r="V1319" s="438">
        <f>IF(AND(N1319=1,U1319=1),C1319,"")</f>
        <v/>
      </c>
      <c r="W1319" s="387" t="n"/>
      <c r="X1319" s="387" t="n"/>
      <c r="Y1319" s="387" t="n"/>
    </row>
    <row r="1320" hidden="1" ht="16.05" customFormat="1" customHeight="1" s="126">
      <c r="A1320" s="125" t="n">
        <v>1779</v>
      </c>
      <c r="B1320" s="125" t="n"/>
      <c r="C1320" s="130" t="inlineStr">
        <is>
          <t>Смоленск</t>
        </is>
      </c>
      <c r="D1320" s="130" t="inlineStr">
        <is>
          <t>Смоленск</t>
        </is>
      </c>
      <c r="E1320" s="130" t="n"/>
      <c r="F1320" s="130" t="inlineStr">
        <is>
          <t>АЗС</t>
        </is>
      </c>
      <c r="G1320" s="130" t="inlineStr">
        <is>
          <t>Роснефть</t>
        </is>
      </c>
      <c r="H1320" s="131" t="n">
        <v>7</v>
      </c>
      <c r="I1320" s="637" t="n">
        <v>7</v>
      </c>
      <c r="J1320" s="637" t="inlineStr">
        <is>
          <t>SMO_RN_0007</t>
        </is>
      </c>
      <c r="K1320" s="640" t="n">
        <v>2</v>
      </c>
      <c r="L1320" s="640" t="n">
        <v>1</v>
      </c>
      <c r="M1320" s="623" t="inlineStr">
        <is>
          <t>Samsung 32" вертикальный</t>
        </is>
      </c>
      <c r="N1320" s="640" t="n"/>
      <c r="O1320" s="640">
        <f>IF(AND(N1320=1,L1320=1),K1320,"")</f>
        <v/>
      </c>
      <c r="P1320" s="642" t="inlineStr">
        <is>
          <t>Смоленск, П. Тихвинка (Смоленск, улица Посёлок Тихвинка, 12Б)</t>
        </is>
      </c>
      <c r="Q1320" s="640" t="inlineStr">
        <is>
          <t>54.755723</t>
        </is>
      </c>
      <c r="R1320" s="494" t="inlineStr">
        <is>
          <t>32.071656</t>
        </is>
      </c>
      <c r="S1320" s="387" t="n"/>
      <c r="T1320" s="387" t="n"/>
      <c r="U1320" s="436" t="n">
        <v>1</v>
      </c>
      <c r="V1320" s="438">
        <f>IF(AND(N1320=1,U1320=1),C1320,"")</f>
        <v/>
      </c>
      <c r="W1320" s="387" t="n"/>
      <c r="X1320" s="387" t="n"/>
      <c r="Y1320" s="387" t="n"/>
    </row>
    <row r="1321" hidden="1" ht="16.05" customHeight="1">
      <c r="A1321" s="791" t="n">
        <v>1775</v>
      </c>
      <c r="B1321" s="13">
        <f>IF(OR(M1321="Sam 32",M1321="Sam 40"),"s",IF(M1321="AMS","a","v"))</f>
        <v/>
      </c>
      <c r="C1321" s="130" t="inlineStr">
        <is>
          <t>Москва</t>
        </is>
      </c>
      <c r="D1321" s="130" t="inlineStr">
        <is>
          <t>Москва</t>
        </is>
      </c>
      <c r="E1321" s="130" t="inlineStr">
        <is>
          <t>ЦАО</t>
        </is>
      </c>
      <c r="F1321" s="130" t="n"/>
      <c r="G1321" s="130" t="inlineStr">
        <is>
          <t>Азбука Вкуса</t>
        </is>
      </c>
      <c r="H1321" s="131" t="n"/>
      <c r="I1321" s="637" t="inlineStr">
        <is>
          <t>114_Daily</t>
        </is>
      </c>
      <c r="J1321" s="637" t="n"/>
      <c r="K1321" s="640" t="n">
        <v>2</v>
      </c>
      <c r="L1321" s="640" t="n">
        <v>0</v>
      </c>
      <c r="M1321" s="640" t="inlineStr">
        <is>
          <t>DM40E</t>
        </is>
      </c>
      <c r="N1321" s="640" t="n"/>
      <c r="O1321" s="640">
        <f>IF(AND(N1321=1,L1321=1),K1321,"")</f>
        <v/>
      </c>
      <c r="P1321" s="642" t="inlineStr">
        <is>
          <t>Москва, Сущевская, д. 27 стр. 1</t>
        </is>
      </c>
      <c r="Q1321" s="640" t="n"/>
      <c r="R1321" s="422" t="n"/>
      <c r="S1321" s="387" t="n">
        <v>17</v>
      </c>
      <c r="T1321" s="436">
        <f>S1321*O1321</f>
        <v/>
      </c>
      <c r="U1321" s="436" t="n">
        <v>1</v>
      </c>
      <c r="V1321" s="438">
        <f>IF(AND(N1321=1,U1321=1),C1321,"")</f>
        <v/>
      </c>
      <c r="Z1321" s="1" t="n"/>
    </row>
    <row r="1322" hidden="1" ht="16.05" customFormat="1" customHeight="1" s="126">
      <c r="A1322" s="125" t="n">
        <v>1780</v>
      </c>
      <c r="B1322" s="125" t="n"/>
      <c r="C1322" s="130" t="inlineStr">
        <is>
          <t>Смоленск</t>
        </is>
      </c>
      <c r="D1322" s="130" t="inlineStr">
        <is>
          <t>Смоленск</t>
        </is>
      </c>
      <c r="E1322" s="130" t="n"/>
      <c r="F1322" s="130" t="inlineStr">
        <is>
          <t>АЗС</t>
        </is>
      </c>
      <c r="G1322" s="130" t="inlineStr">
        <is>
          <t>Роснефть</t>
        </is>
      </c>
      <c r="H1322" s="131" t="n">
        <v>81</v>
      </c>
      <c r="I1322" s="637" t="n">
        <v>81</v>
      </c>
      <c r="J1322" s="637" t="inlineStr">
        <is>
          <t>SMO_RN_0081</t>
        </is>
      </c>
      <c r="K1322" s="640" t="n">
        <v>1</v>
      </c>
      <c r="L1322" s="640" t="n">
        <v>1</v>
      </c>
      <c r="M1322" s="623" t="inlineStr">
        <is>
          <t>Samsung 32" вертикальный</t>
        </is>
      </c>
      <c r="N1322" s="640" t="n"/>
      <c r="O1322" s="640">
        <f>IF(AND(N1322=1,L1322=1),K1322,"")</f>
        <v/>
      </c>
      <c r="P1322" s="642" t="inlineStr">
        <is>
          <t>Смоленск, пр-т Гагарина  (Смоленск,Киевское шоссе, 1)</t>
        </is>
      </c>
      <c r="Q1322" s="640" t="inlineStr">
        <is>
          <t>54.753148</t>
        </is>
      </c>
      <c r="R1322" s="494" t="inlineStr">
        <is>
          <t>32.045444</t>
        </is>
      </c>
      <c r="S1322" s="387" t="n"/>
      <c r="T1322" s="387" t="n"/>
      <c r="U1322" s="387" t="n"/>
      <c r="V1322" s="387" t="n"/>
      <c r="W1322" s="387" t="n"/>
      <c r="X1322" s="387" t="n"/>
      <c r="Y1322" s="387" t="n"/>
    </row>
    <row r="1323" hidden="1" ht="16.05" customFormat="1" customHeight="1" s="126">
      <c r="A1323" s="125" t="n">
        <v>1781</v>
      </c>
      <c r="B1323" s="125" t="n"/>
      <c r="C1323" s="130" t="inlineStr">
        <is>
          <t>Смоленск</t>
        </is>
      </c>
      <c r="D1323" s="130" t="inlineStr">
        <is>
          <t>Смоленск</t>
        </is>
      </c>
      <c r="E1323" s="130" t="n"/>
      <c r="F1323" s="130" t="inlineStr">
        <is>
          <t>АЗС</t>
        </is>
      </c>
      <c r="G1323" s="130" t="inlineStr">
        <is>
          <t>Роснефть</t>
        </is>
      </c>
      <c r="H1323" s="131" t="n">
        <v>108</v>
      </c>
      <c r="I1323" s="637" t="n">
        <v>108</v>
      </c>
      <c r="J1323" s="637" t="inlineStr">
        <is>
          <t>SMO_RN_0108</t>
        </is>
      </c>
      <c r="K1323" s="640" t="n">
        <v>2</v>
      </c>
      <c r="L1323" s="640" t="n">
        <v>1</v>
      </c>
      <c r="M1323" s="623" t="inlineStr">
        <is>
          <t>Samsung 32" вертикальный</t>
        </is>
      </c>
      <c r="N1323" s="640" t="n"/>
      <c r="O1323" s="640">
        <f>IF(AND(N1323=1,L1323=1),K1323,"")</f>
        <v/>
      </c>
      <c r="P1323" s="642" t="inlineStr">
        <is>
          <t>Смоленск, Ул. Дзержинского (Смоленск, улица Дзержинского, 25А)</t>
        </is>
      </c>
      <c r="Q1323" s="640" t="inlineStr">
        <is>
          <t>54.781584</t>
        </is>
      </c>
      <c r="R1323" s="494" t="inlineStr">
        <is>
          <t>32.034448</t>
        </is>
      </c>
      <c r="S1323" s="387" t="n"/>
      <c r="T1323" s="387" t="n"/>
      <c r="U1323" s="387" t="n"/>
      <c r="V1323" s="387" t="n"/>
      <c r="W1323" s="387" t="n"/>
      <c r="X1323" s="387" t="n"/>
      <c r="Y1323" s="387" t="n"/>
    </row>
    <row r="1324" hidden="1" ht="16.05" customFormat="1" customHeight="1" s="126">
      <c r="A1324" s="125" t="n">
        <v>1782</v>
      </c>
      <c r="B1324" s="125" t="n"/>
      <c r="C1324" s="130" t="inlineStr">
        <is>
          <t>Смоленск</t>
        </is>
      </c>
      <c r="D1324" s="130" t="inlineStr">
        <is>
          <t>Смоленск</t>
        </is>
      </c>
      <c r="E1324" s="130" t="n"/>
      <c r="F1324" s="130" t="inlineStr">
        <is>
          <t>АЗС</t>
        </is>
      </c>
      <c r="G1324" s="130" t="inlineStr">
        <is>
          <t>Роснефть</t>
        </is>
      </c>
      <c r="H1324" s="131" t="n">
        <v>41</v>
      </c>
      <c r="I1324" s="637" t="n">
        <v>41</v>
      </c>
      <c r="J1324" s="637" t="inlineStr">
        <is>
          <t>SMO_RN_0041</t>
        </is>
      </c>
      <c r="K1324" s="640" t="n">
        <v>1</v>
      </c>
      <c r="L1324" s="640" t="n">
        <v>1</v>
      </c>
      <c r="M1324" s="623" t="inlineStr">
        <is>
          <t>Samsung 32" вертикальный</t>
        </is>
      </c>
      <c r="N1324" s="640" t="n"/>
      <c r="O1324" s="640">
        <f>IF(AND(N1324=1,L1324=1),K1324,"")</f>
        <v/>
      </c>
      <c r="P1324" s="642" t="inlineStr">
        <is>
          <t>Смоленск, Ул. Шевченко (Смоленск, улица Шевченко, 89Б)</t>
        </is>
      </c>
      <c r="Q1324" s="640" t="inlineStr">
        <is>
          <t>54.785427</t>
        </is>
      </c>
      <c r="R1324" s="494" t="inlineStr">
        <is>
          <t>32.086916</t>
        </is>
      </c>
      <c r="S1324" s="387" t="n"/>
      <c r="T1324" s="387" t="n"/>
      <c r="U1324" s="387" t="n"/>
      <c r="V1324" s="387" t="n"/>
      <c r="W1324" s="387" t="n"/>
      <c r="X1324" s="387" t="n"/>
      <c r="Y1324" s="387" t="n"/>
    </row>
    <row r="1325" hidden="1" ht="16.05" customFormat="1" customHeight="1" s="126">
      <c r="A1325" s="125" t="n">
        <v>1783</v>
      </c>
      <c r="B1325" s="125" t="n"/>
      <c r="C1325" s="130" t="inlineStr">
        <is>
          <t>Смоленск</t>
        </is>
      </c>
      <c r="D1325" s="130" t="inlineStr">
        <is>
          <t>Смоленск</t>
        </is>
      </c>
      <c r="E1325" s="130" t="n"/>
      <c r="F1325" s="130" t="inlineStr">
        <is>
          <t>АЗС</t>
        </is>
      </c>
      <c r="G1325" s="130" t="inlineStr">
        <is>
          <t>Роснефть</t>
        </is>
      </c>
      <c r="H1325" s="131" t="n">
        <v>136</v>
      </c>
      <c r="I1325" s="637" t="n">
        <v>136</v>
      </c>
      <c r="J1325" s="637" t="inlineStr">
        <is>
          <t>SMO_RN_0136</t>
        </is>
      </c>
      <c r="K1325" s="640" t="n">
        <v>2</v>
      </c>
      <c r="L1325" s="640" t="n">
        <v>1</v>
      </c>
      <c r="M1325" s="623" t="inlineStr">
        <is>
          <t>Samsung 32" вертикальный</t>
        </is>
      </c>
      <c r="N1325" s="640" t="n"/>
      <c r="O1325" s="640">
        <f>IF(AND(N1325=1,L1325=1),K1325,"")</f>
        <v/>
      </c>
      <c r="P1325" s="642" t="inlineStr">
        <is>
          <t>Смоленск, Московское шоссе (Смоленск, Московское шоссе, рядом с д.1)</t>
        </is>
      </c>
      <c r="Q1325" s="640" t="inlineStr">
        <is>
          <t>54.802101</t>
        </is>
      </c>
      <c r="R1325" s="494" t="inlineStr">
        <is>
          <t>32.080113</t>
        </is>
      </c>
      <c r="S1325" s="387" t="n"/>
      <c r="T1325" s="387" t="n"/>
      <c r="U1325" s="387" t="n"/>
      <c r="V1325" s="387" t="n"/>
      <c r="W1325" s="387" t="n"/>
      <c r="X1325" s="387" t="n"/>
      <c r="Y1325" s="387" t="n"/>
    </row>
    <row r="1326" hidden="1" ht="16.05" customFormat="1" customHeight="1" s="126">
      <c r="A1326" s="125" t="n">
        <v>1784</v>
      </c>
      <c r="B1326" s="125" t="n"/>
      <c r="C1326" s="130" t="inlineStr">
        <is>
          <t>Смоленск</t>
        </is>
      </c>
      <c r="D1326" s="130" t="inlineStr">
        <is>
          <t>Смоленск</t>
        </is>
      </c>
      <c r="E1326" s="130" t="n"/>
      <c r="F1326" s="130" t="inlineStr">
        <is>
          <t>АЗС</t>
        </is>
      </c>
      <c r="G1326" s="130" t="inlineStr">
        <is>
          <t>Роснефть</t>
        </is>
      </c>
      <c r="H1326" s="131" t="n">
        <v>38</v>
      </c>
      <c r="I1326" s="637" t="n">
        <v>38</v>
      </c>
      <c r="J1326" s="637" t="inlineStr">
        <is>
          <t>SMO_RN_0038</t>
        </is>
      </c>
      <c r="K1326" s="640" t="n">
        <v>1</v>
      </c>
      <c r="L1326" s="640" t="n">
        <v>1</v>
      </c>
      <c r="M1326" s="623" t="inlineStr">
        <is>
          <t>Samsung 32" вертикальный</t>
        </is>
      </c>
      <c r="N1326" s="640" t="n"/>
      <c r="O1326" s="640">
        <f>IF(AND(N1326=1,L1326=1),K1326,"")</f>
        <v/>
      </c>
      <c r="P1326" s="642" t="inlineStr">
        <is>
          <t>Смоленск, Ул. Лавочкина (Смоленск, Ул. Лавочкина, вблизи д.65 Б)</t>
        </is>
      </c>
      <c r="Q1326" s="640" t="inlineStr">
        <is>
          <t>54.810303</t>
        </is>
      </c>
      <c r="R1326" s="494" t="inlineStr">
        <is>
          <t>31.991738</t>
        </is>
      </c>
      <c r="S1326" s="387" t="n"/>
      <c r="T1326" s="387" t="n"/>
      <c r="U1326" s="387" t="n"/>
      <c r="V1326" s="387" t="n"/>
      <c r="W1326" s="387" t="n"/>
      <c r="X1326" s="387" t="n"/>
      <c r="Y1326" s="387" t="n"/>
    </row>
    <row r="1327" hidden="1" ht="16.05" customFormat="1" customHeight="1" s="126">
      <c r="A1327" s="125" t="n">
        <v>1786</v>
      </c>
      <c r="B1327" s="125" t="n"/>
      <c r="C1327" s="130" t="inlineStr">
        <is>
          <t>Смоленск</t>
        </is>
      </c>
      <c r="D1327" s="130" t="inlineStr">
        <is>
          <t>Смоленск</t>
        </is>
      </c>
      <c r="E1327" s="130" t="n"/>
      <c r="F1327" s="130" t="inlineStr">
        <is>
          <t>АЗС</t>
        </is>
      </c>
      <c r="G1327" s="130" t="inlineStr">
        <is>
          <t>Роснефть</t>
        </is>
      </c>
      <c r="H1327" s="131" t="n">
        <v>1</v>
      </c>
      <c r="I1327" s="637" t="n">
        <v>1</v>
      </c>
      <c r="J1327" s="637" t="inlineStr">
        <is>
          <t>SMO_RN_0001</t>
        </is>
      </c>
      <c r="K1327" s="640" t="n">
        <v>1</v>
      </c>
      <c r="L1327" s="640" t="n">
        <v>1</v>
      </c>
      <c r="M1327" s="623" t="inlineStr">
        <is>
          <t>Samsung 32" вертикальный</t>
        </is>
      </c>
      <c r="N1327" s="640" t="n"/>
      <c r="O1327" s="640">
        <f>IF(AND(N1327=1,L1327=1),K1327,"")</f>
        <v/>
      </c>
      <c r="P1327" s="642" t="inlineStr">
        <is>
          <t>А/д М-1 «Беларусь», 384-й км.</t>
        </is>
      </c>
      <c r="Q1327" s="640" t="inlineStr">
        <is>
          <t>54.869667</t>
        </is>
      </c>
      <c r="R1327" s="494" t="inlineStr">
        <is>
          <t>32.021569</t>
        </is>
      </c>
      <c r="S1327" s="387" t="n"/>
      <c r="T1327" s="387" t="n"/>
      <c r="U1327" s="387" t="n"/>
      <c r="V1327" s="387" t="n"/>
      <c r="W1327" s="387" t="n"/>
      <c r="X1327" s="387" t="n"/>
      <c r="Y1327" s="387" t="n"/>
    </row>
    <row r="1328" hidden="1" ht="16.05" customFormat="1" customHeight="1" s="126">
      <c r="A1328" s="125" t="n">
        <v>1787</v>
      </c>
      <c r="B1328" s="125" t="n"/>
      <c r="C1328" s="130" t="inlineStr">
        <is>
          <t>Смоленск</t>
        </is>
      </c>
      <c r="D1328" s="130" t="inlineStr">
        <is>
          <t>Смоленск</t>
        </is>
      </c>
      <c r="E1328" s="130" t="n"/>
      <c r="F1328" s="130" t="inlineStr">
        <is>
          <t>АЗС</t>
        </is>
      </c>
      <c r="G1328" s="130" t="inlineStr">
        <is>
          <t>Роснефть</t>
        </is>
      </c>
      <c r="H1328" s="131" t="n">
        <v>53</v>
      </c>
      <c r="I1328" s="637" t="n">
        <v>53</v>
      </c>
      <c r="J1328" s="637" t="inlineStr">
        <is>
          <t>SMO_RN_0053</t>
        </is>
      </c>
      <c r="K1328" s="640" t="n">
        <v>1</v>
      </c>
      <c r="L1328" s="640" t="n">
        <v>1</v>
      </c>
      <c r="M1328" s="623" t="inlineStr">
        <is>
          <t>Samsung 32" вертикальный</t>
        </is>
      </c>
      <c r="N1328" s="640" t="n"/>
      <c r="O1328" s="640">
        <f>IF(AND(N1328=1,L1328=1),K1328,"")</f>
        <v/>
      </c>
      <c r="P1328" s="642" t="inlineStr">
        <is>
          <t>А/д М-1 «Беларусь»,384-й км.</t>
        </is>
      </c>
      <c r="Q1328" s="640" t="inlineStr">
        <is>
          <t>54.870489</t>
        </is>
      </c>
      <c r="R1328" s="494" t="inlineStr">
        <is>
          <t>32.020504</t>
        </is>
      </c>
      <c r="S1328" s="387" t="n"/>
      <c r="T1328" s="387" t="n"/>
      <c r="U1328" s="387" t="n"/>
      <c r="V1328" s="387" t="n"/>
      <c r="W1328" s="387" t="n"/>
      <c r="X1328" s="387" t="n"/>
      <c r="Y1328" s="387" t="n"/>
    </row>
    <row r="1329" hidden="1" ht="16.05" customFormat="1" customHeight="1" s="126">
      <c r="A1329" s="125" t="n">
        <v>1788</v>
      </c>
      <c r="B1329" s="125" t="n"/>
      <c r="C1329" s="130" t="inlineStr">
        <is>
          <t>Смоленск</t>
        </is>
      </c>
      <c r="D1329" s="130" t="inlineStr">
        <is>
          <t>Смоленск</t>
        </is>
      </c>
      <c r="E1329" s="130" t="n"/>
      <c r="F1329" s="130" t="inlineStr">
        <is>
          <t>АЗС</t>
        </is>
      </c>
      <c r="G1329" s="130" t="inlineStr">
        <is>
          <t>Роснефть</t>
        </is>
      </c>
      <c r="H1329" s="131" t="n">
        <v>80</v>
      </c>
      <c r="I1329" s="637" t="n">
        <v>80</v>
      </c>
      <c r="J1329" s="637" t="inlineStr">
        <is>
          <t>SMO_RN_0080</t>
        </is>
      </c>
      <c r="K1329" s="640" t="n">
        <v>2</v>
      </c>
      <c r="L1329" s="640" t="n">
        <v>1</v>
      </c>
      <c r="M1329" s="623" t="inlineStr">
        <is>
          <t>Samsung 32" вертикальный</t>
        </is>
      </c>
      <c r="N1329" s="640" t="n"/>
      <c r="O1329" s="640">
        <f>IF(AND(N1329=1,L1329=1),K1329,"")</f>
        <v/>
      </c>
      <c r="P1329" s="642" t="inlineStr">
        <is>
          <t>Смоленск, Краснинское шоссе (Смоленск, Краснинское шоссе, 40Б)</t>
        </is>
      </c>
      <c r="Q1329" s="640" t="inlineStr">
        <is>
          <t>54.770878</t>
        </is>
      </c>
      <c r="R1329" s="494" t="inlineStr">
        <is>
          <t>31.977734</t>
        </is>
      </c>
      <c r="S1329" s="387" t="n"/>
      <c r="T1329" s="387" t="n"/>
      <c r="U1329" s="387" t="n"/>
      <c r="V1329" s="387" t="n"/>
      <c r="W1329" s="387" t="n"/>
      <c r="X1329" s="387" t="n"/>
      <c r="Y1329" s="387" t="n"/>
    </row>
    <row r="1330" hidden="1" ht="16.05" customHeight="1">
      <c r="A1330" s="791" t="n">
        <v>1785</v>
      </c>
      <c r="B1330" s="13">
        <f>IF(OR(M1330="Sam 32",M1330="Sam 40"),"s",IF(M1330="AMS","a","v"))</f>
        <v/>
      </c>
      <c r="C1330" s="130" t="inlineStr">
        <is>
          <t>Смоленск</t>
        </is>
      </c>
      <c r="D1330" s="130" t="inlineStr">
        <is>
          <t>Смоленск</t>
        </is>
      </c>
      <c r="E1330" s="130" t="n"/>
      <c r="F1330" s="130" t="n"/>
      <c r="G1330" s="130" t="inlineStr">
        <is>
          <t>Роснефть</t>
        </is>
      </c>
      <c r="H1330" s="131" t="n">
        <v>135</v>
      </c>
      <c r="I1330" s="637" t="n">
        <v>135</v>
      </c>
      <c r="J1330" s="637" t="n"/>
      <c r="K1330" s="640" t="n">
        <v>1</v>
      </c>
      <c r="L1330" s="640" t="n">
        <v>0</v>
      </c>
      <c r="M1330" s="640" t="inlineStr">
        <is>
          <t>Sam 32</t>
        </is>
      </c>
      <c r="N1330" s="640" t="n"/>
      <c r="O1330" s="640">
        <f>IF(AND(N1330=1,L1330=1),K1330,"")</f>
        <v/>
      </c>
      <c r="P1330" s="642" t="inlineStr">
        <is>
          <t>А/д М-1 «Беларусь», 421 км.</t>
        </is>
      </c>
      <c r="Q1330" s="640" t="n"/>
      <c r="R1330" s="422" t="n"/>
      <c r="X1330" s="1" t="n"/>
      <c r="Y1330" s="1" t="n"/>
      <c r="Z1330" s="1" t="n"/>
    </row>
    <row r="1331" hidden="1" ht="16.05" customFormat="1" customHeight="1" s="126">
      <c r="A1331" s="125" t="n">
        <v>1789</v>
      </c>
      <c r="B1331" s="125" t="n"/>
      <c r="C1331" s="130" t="inlineStr">
        <is>
          <t>Смоленск</t>
        </is>
      </c>
      <c r="D1331" s="130" t="inlineStr">
        <is>
          <t>Смоленск</t>
        </is>
      </c>
      <c r="E1331" s="130" t="n"/>
      <c r="F1331" s="130" t="inlineStr">
        <is>
          <t>АЗС</t>
        </is>
      </c>
      <c r="G1331" s="130" t="inlineStr">
        <is>
          <t>Роснефть</t>
        </is>
      </c>
      <c r="H1331" s="131" t="n">
        <v>25</v>
      </c>
      <c r="I1331" s="637" t="n">
        <v>25</v>
      </c>
      <c r="J1331" s="637" t="inlineStr">
        <is>
          <t>SMO_RN_0025</t>
        </is>
      </c>
      <c r="K1331" s="640" t="n">
        <v>2</v>
      </c>
      <c r="L1331" s="640" t="n">
        <v>1</v>
      </c>
      <c r="M1331" s="623" t="inlineStr">
        <is>
          <t>Samsung 32" вертикальный</t>
        </is>
      </c>
      <c r="N1331" s="640" t="n"/>
      <c r="O1331" s="640">
        <f>IF(AND(N1331=1,L1331=1),K1331,"")</f>
        <v/>
      </c>
      <c r="P1331" s="642" t="inlineStr">
        <is>
          <t>Смоленск, П. Серебрянка (Смоленкск, поселок Серебрянка, вблизи д. 105Б)</t>
        </is>
      </c>
      <c r="Q1331" s="640" t="inlineStr">
        <is>
          <t>54.790162</t>
        </is>
      </c>
      <c r="R1331" s="494" t="inlineStr">
        <is>
          <t>31.96407</t>
        </is>
      </c>
      <c r="S1331" s="387" t="n"/>
      <c r="T1331" s="387" t="n"/>
      <c r="U1331" s="387" t="n"/>
      <c r="V1331" s="387" t="n"/>
      <c r="W1331" s="387" t="n"/>
      <c r="X1331" s="387" t="n"/>
      <c r="Y1331" s="387" t="n"/>
    </row>
    <row r="1332" hidden="1" ht="16.05" customFormat="1" customHeight="1" s="126">
      <c r="A1332" s="125" t="n">
        <v>1790</v>
      </c>
      <c r="B1332" s="125" t="n"/>
      <c r="C1332" s="130" t="inlineStr">
        <is>
          <t>Смоленск</t>
        </is>
      </c>
      <c r="D1332" s="130" t="inlineStr">
        <is>
          <t>Смоленск</t>
        </is>
      </c>
      <c r="E1332" s="130" t="n"/>
      <c r="F1332" s="130" t="inlineStr">
        <is>
          <t>АЗС</t>
        </is>
      </c>
      <c r="G1332" s="130" t="inlineStr">
        <is>
          <t>Роснефть</t>
        </is>
      </c>
      <c r="H1332" s="131" t="n">
        <v>17</v>
      </c>
      <c r="I1332" s="637" t="n">
        <v>17</v>
      </c>
      <c r="J1332" s="637" t="inlineStr">
        <is>
          <t>SMO_RN_0017</t>
        </is>
      </c>
      <c r="K1332" s="640" t="n">
        <v>2</v>
      </c>
      <c r="L1332" s="640" t="n">
        <v>1</v>
      </c>
      <c r="M1332" s="623" t="inlineStr">
        <is>
          <t>Samsung 32" вертикальный</t>
        </is>
      </c>
      <c r="N1332" s="640" t="n"/>
      <c r="O1332" s="640">
        <f>IF(AND(N1332=1,L1332=1),K1332,"")</f>
        <v/>
      </c>
      <c r="P1332" s="642" t="inlineStr">
        <is>
          <t>Смоленск, Ул. Тенишевой, 18</t>
        </is>
      </c>
      <c r="Q1332" s="640" t="inlineStr">
        <is>
          <t>54.772239</t>
        </is>
      </c>
      <c r="R1332" s="494" t="inlineStr">
        <is>
          <t>32.056424</t>
        </is>
      </c>
      <c r="S1332" s="387" t="n"/>
      <c r="T1332" s="387" t="n"/>
      <c r="U1332" s="387" t="n"/>
      <c r="V1332" s="387" t="n"/>
      <c r="W1332" s="387" t="n"/>
      <c r="X1332" s="387" t="n"/>
      <c r="Y1332" s="387" t="n"/>
    </row>
    <row r="1333" hidden="1" ht="16.05" customFormat="1" customHeight="1" s="126">
      <c r="A1333" s="125" t="n">
        <v>1791</v>
      </c>
      <c r="B1333" s="125" t="n"/>
      <c r="C1333" s="130" t="inlineStr">
        <is>
          <t>Смоленск</t>
        </is>
      </c>
      <c r="D1333" s="130" t="inlineStr">
        <is>
          <t>Смоленск</t>
        </is>
      </c>
      <c r="E1333" s="130" t="n"/>
      <c r="F1333" s="130" t="inlineStr">
        <is>
          <t>АЗС</t>
        </is>
      </c>
      <c r="G1333" s="130" t="inlineStr">
        <is>
          <t>Роснефть</t>
        </is>
      </c>
      <c r="H1333" s="131" t="n">
        <v>122</v>
      </c>
      <c r="I1333" s="637" t="n">
        <v>122</v>
      </c>
      <c r="J1333" s="637" t="inlineStr">
        <is>
          <t>SMO_RN_0122</t>
        </is>
      </c>
      <c r="K1333" s="640" t="n">
        <v>2</v>
      </c>
      <c r="L1333" s="640" t="n">
        <v>1</v>
      </c>
      <c r="M1333" s="623" t="inlineStr">
        <is>
          <t>Samsung 32" вертикальный</t>
        </is>
      </c>
      <c r="N1333" s="640" t="n"/>
      <c r="O1333" s="640">
        <f>IF(AND(N1333=1,L1333=1),K1333,"")</f>
        <v/>
      </c>
      <c r="P1333" s="642" t="inlineStr">
        <is>
          <t>Смоленск, Ул. Кутузова (Смоленск, Ул. Кутузова, 16)</t>
        </is>
      </c>
      <c r="Q1333" s="640" t="inlineStr">
        <is>
          <t>54.816628</t>
        </is>
      </c>
      <c r="R1333" s="494" t="inlineStr">
        <is>
          <t>32.04956</t>
        </is>
      </c>
      <c r="S1333" s="387" t="n"/>
      <c r="T1333" s="387" t="n"/>
      <c r="U1333" s="387" t="n"/>
      <c r="V1333" s="387" t="n"/>
      <c r="W1333" s="387" t="n"/>
      <c r="X1333" s="387" t="n"/>
      <c r="Y1333" s="387" t="n"/>
    </row>
    <row r="1334" hidden="1" ht="16.05" customFormat="1" customHeight="1" s="126">
      <c r="A1334" s="125" t="n">
        <v>1792</v>
      </c>
      <c r="B1334" s="125" t="inlineStr">
        <is>
          <t>WF</t>
        </is>
      </c>
      <c r="C1334" s="130" t="inlineStr">
        <is>
          <t>Москва</t>
        </is>
      </c>
      <c r="D1334" s="130" t="inlineStr">
        <is>
          <t>Москва</t>
        </is>
      </c>
      <c r="E1334" s="130" t="inlineStr">
        <is>
          <t>ЦАО</t>
        </is>
      </c>
      <c r="F1334" s="130" t="inlineStr">
        <is>
          <t>Супермаркет</t>
        </is>
      </c>
      <c r="G1334" s="130" t="inlineStr">
        <is>
          <t>Азбука Вкуса</t>
        </is>
      </c>
      <c r="H1334" s="131" t="n"/>
      <c r="I1334" s="637" t="inlineStr">
        <is>
          <t>115_Daily</t>
        </is>
      </c>
      <c r="J1334" s="637" t="inlineStr">
        <is>
          <t>MSK_D_115</t>
        </is>
      </c>
      <c r="K1334" s="640" t="n">
        <v>2</v>
      </c>
      <c r="L1334" s="640" t="n">
        <v>1</v>
      </c>
      <c r="M1334" s="623" t="inlineStr">
        <is>
          <t>Samsung 40" вертикальный</t>
        </is>
      </c>
      <c r="N1334" s="640" t="n"/>
      <c r="O1334" s="640">
        <f>IF(AND(N1334=1,L1334=1),K1334,"")</f>
        <v/>
      </c>
      <c r="P1334" s="642" t="inlineStr">
        <is>
          <t>Москва, Остоженка, д. 10</t>
        </is>
      </c>
      <c r="Q1334" s="640" t="inlineStr">
        <is>
          <t>55.742605</t>
        </is>
      </c>
      <c r="R1334" s="494" t="inlineStr">
        <is>
          <t>37.599902</t>
        </is>
      </c>
      <c r="S1334" s="387" t="n">
        <v>24</v>
      </c>
      <c r="T1334" s="436">
        <f>IF(N1334=1,O1334*S1334,"")</f>
        <v/>
      </c>
      <c r="U1334" s="387" t="n"/>
      <c r="V1334" s="387" t="n"/>
      <c r="W1334" s="387" t="n"/>
      <c r="X1334" s="387" t="n"/>
      <c r="Y1334" s="387" t="n"/>
    </row>
    <row r="1335" hidden="1" ht="16.05" customFormat="1" customHeight="1" s="126">
      <c r="A1335" s="125" t="n">
        <v>1794</v>
      </c>
      <c r="B1335" s="125" t="inlineStr">
        <is>
          <t>WF</t>
        </is>
      </c>
      <c r="C1335" s="130" t="inlineStr">
        <is>
          <t>Москва</t>
        </is>
      </c>
      <c r="D1335" s="130" t="inlineStr">
        <is>
          <t>Москва</t>
        </is>
      </c>
      <c r="E1335" s="130" t="inlineStr">
        <is>
          <t>ЦАО</t>
        </is>
      </c>
      <c r="F1335" s="130" t="inlineStr">
        <is>
          <t>Супермаркет</t>
        </is>
      </c>
      <c r="G1335" s="130" t="inlineStr">
        <is>
          <t>Азбука Вкуса</t>
        </is>
      </c>
      <c r="H1335" s="131" t="n"/>
      <c r="I1335" s="637" t="inlineStr">
        <is>
          <t>116_Daily</t>
        </is>
      </c>
      <c r="J1335" s="637" t="inlineStr">
        <is>
          <t>MSK_D_116</t>
        </is>
      </c>
      <c r="K1335" s="640" t="n">
        <v>2</v>
      </c>
      <c r="L1335" s="640" t="n">
        <v>1</v>
      </c>
      <c r="M1335" s="623" t="inlineStr">
        <is>
          <t>Samsung 40" вертикальный</t>
        </is>
      </c>
      <c r="N1335" s="640" t="n"/>
      <c r="O1335" s="640">
        <f>IF(AND(N1335=1,L1335=1),K1335,"")</f>
        <v/>
      </c>
      <c r="P1335" s="642" t="inlineStr">
        <is>
          <t>Москва, Большая Садовая, д.5 стр. 1</t>
        </is>
      </c>
      <c r="Q1335" s="640" t="inlineStr">
        <is>
          <t>55.769545</t>
        </is>
      </c>
      <c r="R1335" s="494" t="inlineStr">
        <is>
          <t>37.591701</t>
        </is>
      </c>
      <c r="S1335" s="387" t="n">
        <v>24</v>
      </c>
      <c r="T1335" s="436">
        <f>IF(N1335=1,O1335*S1335,"")</f>
        <v/>
      </c>
      <c r="U1335" s="387" t="n"/>
      <c r="V1335" s="387" t="n"/>
      <c r="W1335" s="387" t="n"/>
      <c r="X1335" s="387" t="n"/>
      <c r="Y1335" s="387" t="n"/>
    </row>
    <row r="1336" hidden="1" ht="16.05" customFormat="1" customHeight="1" s="126">
      <c r="A1336" s="125" t="n">
        <v>1796</v>
      </c>
      <c r="B1336" s="125" t="inlineStr">
        <is>
          <t>WF</t>
        </is>
      </c>
      <c r="C1336" s="130" t="inlineStr">
        <is>
          <t>Санкт-Петербург</t>
        </is>
      </c>
      <c r="D1336" s="130" t="inlineStr">
        <is>
          <t>Санкт-Петербург</t>
        </is>
      </c>
      <c r="E1336" s="130" t="n"/>
      <c r="F1336" s="130" t="inlineStr">
        <is>
          <t>Супермаркет</t>
        </is>
      </c>
      <c r="G1336" s="130" t="inlineStr">
        <is>
          <t>Азбука Вкуса</t>
        </is>
      </c>
      <c r="H1336" s="131" t="inlineStr">
        <is>
          <t>Daily</t>
        </is>
      </c>
      <c r="I1336" s="637" t="inlineStr">
        <is>
          <t>SPB_008_Daily</t>
        </is>
      </c>
      <c r="J1336" s="637" t="inlineStr">
        <is>
          <t>SPB_D_008</t>
        </is>
      </c>
      <c r="K1336" s="640" t="n">
        <v>2</v>
      </c>
      <c r="L1336" s="640" t="n">
        <v>1</v>
      </c>
      <c r="M1336" s="623" t="inlineStr">
        <is>
          <t>Samsung 40" вертикальный</t>
        </is>
      </c>
      <c r="N1336" s="640" t="n"/>
      <c r="O1336" s="640">
        <f>IF(AND(N1336=1,L1336=1),K1336,"")</f>
        <v/>
      </c>
      <c r="P1336" s="642" t="inlineStr">
        <is>
          <t>Санкт-Петербург, Парадная, д. 3 кор.2</t>
        </is>
      </c>
      <c r="Q1336" s="640" t="inlineStr">
        <is>
          <t>59.9417071</t>
        </is>
      </c>
      <c r="R1336" s="494" t="inlineStr">
        <is>
          <t>30.3682019</t>
        </is>
      </c>
      <c r="S1336" s="387" t="n">
        <v>17</v>
      </c>
      <c r="T1336" s="436">
        <f>IF(N1336=1,O1336*S1336,"")</f>
        <v/>
      </c>
      <c r="U1336" s="387" t="n"/>
      <c r="V1336" s="387" t="n"/>
      <c r="W1336" s="387" t="n"/>
      <c r="X1336" s="387" t="n"/>
      <c r="Y1336" s="387" t="n"/>
    </row>
    <row r="1337" hidden="1" ht="16.05" customFormat="1" customHeight="1" s="126">
      <c r="A1337" s="125" t="n">
        <v>1798</v>
      </c>
      <c r="B1337" s="125" t="inlineStr">
        <is>
          <t>WF</t>
        </is>
      </c>
      <c r="C1337" s="130" t="inlineStr">
        <is>
          <t>Москва</t>
        </is>
      </c>
      <c r="D1337" s="130" t="inlineStr">
        <is>
          <t>Москва</t>
        </is>
      </c>
      <c r="E1337" s="130" t="inlineStr">
        <is>
          <t>ЦАО</t>
        </is>
      </c>
      <c r="F1337" s="130" t="inlineStr">
        <is>
          <t>Супермаркет</t>
        </is>
      </c>
      <c r="G1337" s="130" t="inlineStr">
        <is>
          <t>Азбука Вкуса</t>
        </is>
      </c>
      <c r="H1337" s="131" t="n"/>
      <c r="I1337" s="637" t="inlineStr">
        <is>
          <t>117_Daily</t>
        </is>
      </c>
      <c r="J1337" s="637" t="inlineStr">
        <is>
          <t>MSK_D_117</t>
        </is>
      </c>
      <c r="K1337" s="640" t="n">
        <v>2</v>
      </c>
      <c r="L1337" s="640" t="n">
        <v>1</v>
      </c>
      <c r="M1337" s="623" t="inlineStr">
        <is>
          <t>Samsung 40" вертикальный</t>
        </is>
      </c>
      <c r="N1337" s="640" t="n"/>
      <c r="O1337" s="640">
        <f>IF(AND(N1337=1,L1337=1),K1337,"")</f>
        <v/>
      </c>
      <c r="P1337" s="642" t="inlineStr">
        <is>
          <t>Москва, Кутузовский проспект, д. 18</t>
        </is>
      </c>
      <c r="Q1337" s="640" t="inlineStr">
        <is>
          <t>55.746785</t>
        </is>
      </c>
      <c r="R1337" s="494" t="inlineStr">
        <is>
          <t>37.552184</t>
        </is>
      </c>
      <c r="S1337" s="387" t="n">
        <v>24</v>
      </c>
      <c r="T1337" s="436">
        <f>IF(N1337=1,O1337*S1337,"")</f>
        <v/>
      </c>
      <c r="U1337" s="436" t="n">
        <v>1</v>
      </c>
      <c r="V1337" s="438">
        <f>IF(AND(N1337=1,U1337=1),C1337,"")</f>
        <v/>
      </c>
      <c r="W1337" s="387" t="n"/>
      <c r="X1337" s="387" t="n"/>
      <c r="Y1337" s="387" t="n"/>
    </row>
    <row r="1338" hidden="1" ht="16.05" customFormat="1" customHeight="1" s="126">
      <c r="A1338" s="125" t="n">
        <v>1800</v>
      </c>
      <c r="B1338" s="125" t="inlineStr">
        <is>
          <t>WF</t>
        </is>
      </c>
      <c r="C1338" s="130" t="inlineStr">
        <is>
          <t>Москва</t>
        </is>
      </c>
      <c r="D1338" s="130" t="inlineStr">
        <is>
          <t>Москва</t>
        </is>
      </c>
      <c r="E1338" s="130" t="inlineStr">
        <is>
          <t>ЮЗАО</t>
        </is>
      </c>
      <c r="F1338" s="130" t="inlineStr">
        <is>
          <t>Супермаркет</t>
        </is>
      </c>
      <c r="G1338" s="130" t="inlineStr">
        <is>
          <t>Азбука Вкуса</t>
        </is>
      </c>
      <c r="H1338" s="131" t="n"/>
      <c r="I1338" s="637" t="inlineStr">
        <is>
          <t>118_Daily</t>
        </is>
      </c>
      <c r="J1338" s="637" t="inlineStr">
        <is>
          <t>MSK_D_118</t>
        </is>
      </c>
      <c r="K1338" s="640" t="n">
        <v>2</v>
      </c>
      <c r="L1338" s="640" t="n">
        <v>1</v>
      </c>
      <c r="M1338" s="623" t="inlineStr">
        <is>
          <t>Samsung 40" вертикальный</t>
        </is>
      </c>
      <c r="N1338" s="640" t="n"/>
      <c r="O1338" s="640">
        <f>IF(AND(N1338=1,L1338=1),K1338,"")</f>
        <v/>
      </c>
      <c r="P1338" s="642" t="inlineStr">
        <is>
          <t>Москва, Профсоюзная д.104</t>
        </is>
      </c>
      <c r="Q1338" s="640" t="inlineStr">
        <is>
          <t>55.64192</t>
        </is>
      </c>
      <c r="R1338" s="494" t="inlineStr">
        <is>
          <t>37.523456</t>
        </is>
      </c>
      <c r="S1338" s="387" t="n">
        <v>24</v>
      </c>
      <c r="T1338" s="436">
        <f>IF(N1338=1,O1338*S1338,"")</f>
        <v/>
      </c>
      <c r="U1338" s="436" t="n">
        <v>1</v>
      </c>
      <c r="V1338" s="438">
        <f>IF(AND(N1338=1,U1338=1),C1338,"")</f>
        <v/>
      </c>
      <c r="W1338" s="387" t="n"/>
      <c r="X1338" s="387" t="n"/>
      <c r="Y1338" s="387" t="n"/>
    </row>
    <row r="1339" hidden="1" ht="16.05" customFormat="1" customHeight="1" s="126">
      <c r="A1339" s="125" t="n">
        <v>1802</v>
      </c>
      <c r="B1339" s="125" t="inlineStr">
        <is>
          <t>WF</t>
        </is>
      </c>
      <c r="C1339" s="130" t="inlineStr">
        <is>
          <t>Москва</t>
        </is>
      </c>
      <c r="D1339" s="130" t="inlineStr">
        <is>
          <t>Москва</t>
        </is>
      </c>
      <c r="E1339" s="130" t="inlineStr">
        <is>
          <t>ЦАО</t>
        </is>
      </c>
      <c r="F1339" s="130" t="inlineStr">
        <is>
          <t>Супермаркет</t>
        </is>
      </c>
      <c r="G1339" s="130" t="inlineStr">
        <is>
          <t>Азбука Вкуса</t>
        </is>
      </c>
      <c r="H1339" s="131" t="n"/>
      <c r="I1339" s="637" t="inlineStr">
        <is>
          <t>119_Daily</t>
        </is>
      </c>
      <c r="J1339" s="637" t="inlineStr">
        <is>
          <t>MSK_D_119</t>
        </is>
      </c>
      <c r="K1339" s="640" t="n">
        <v>2</v>
      </c>
      <c r="L1339" s="640" t="n">
        <v>1</v>
      </c>
      <c r="M1339" s="623" t="inlineStr">
        <is>
          <t>Samsung 40" вертикальный</t>
        </is>
      </c>
      <c r="N1339" s="640" t="n"/>
      <c r="O1339" s="640">
        <f>IF(AND(N1339=1,L1339=1),K1339,"")</f>
        <v/>
      </c>
      <c r="P1339" s="642" t="inlineStr">
        <is>
          <t>Москва, Садовая Триумфальная, д. 18-20</t>
        </is>
      </c>
      <c r="Q1339" s="640" t="inlineStr">
        <is>
          <t>55.771565</t>
        </is>
      </c>
      <c r="R1339" s="494" t="inlineStr">
        <is>
          <t>37.602885</t>
        </is>
      </c>
      <c r="S1339" s="387" t="n">
        <v>17</v>
      </c>
      <c r="T1339" s="436">
        <f>IF(N1339=1,O1339*S1339,"")</f>
        <v/>
      </c>
      <c r="U1339" s="436" t="n">
        <v>1</v>
      </c>
      <c r="V1339" s="438">
        <f>IF(AND(N1339=1,U1339=1),C1339,"")</f>
        <v/>
      </c>
      <c r="W1339" s="387" t="n"/>
      <c r="X1339" s="387" t="n"/>
      <c r="Y1339" s="387" t="n"/>
    </row>
    <row r="1340" hidden="1" ht="16.05" customFormat="1" customHeight="1" s="126">
      <c r="A1340" s="125" t="n">
        <v>1806</v>
      </c>
      <c r="B1340" s="125" t="inlineStr">
        <is>
          <t>WF</t>
        </is>
      </c>
      <c r="C1340" s="130" t="inlineStr">
        <is>
          <t>Москва</t>
        </is>
      </c>
      <c r="D1340" s="130" t="inlineStr">
        <is>
          <t>Москва</t>
        </is>
      </c>
      <c r="E1340" s="130" t="inlineStr">
        <is>
          <t>САО</t>
        </is>
      </c>
      <c r="F1340" s="130" t="inlineStr">
        <is>
          <t>Супермаркет</t>
        </is>
      </c>
      <c r="G1340" s="130" t="inlineStr">
        <is>
          <t>Азбука Вкуса</t>
        </is>
      </c>
      <c r="H1340" s="131" t="n"/>
      <c r="I1340" s="637" t="inlineStr">
        <is>
          <t>121_Daily</t>
        </is>
      </c>
      <c r="J1340" s="637" t="inlineStr">
        <is>
          <t>MSK_D_121</t>
        </is>
      </c>
      <c r="K1340" s="640" t="n">
        <v>2</v>
      </c>
      <c r="L1340" s="640" t="n">
        <v>1</v>
      </c>
      <c r="M1340" s="623" t="inlineStr">
        <is>
          <t>Samsung 40" вертикальный</t>
        </is>
      </c>
      <c r="N1340" s="640" t="n"/>
      <c r="O1340" s="640">
        <f>IF(AND(N1340=1,L1340=1),K1340,"")</f>
        <v/>
      </c>
      <c r="P1340" s="642" t="inlineStr">
        <is>
          <t>Москва, Олимпийский проспект, д.30 стр. 1</t>
        </is>
      </c>
      <c r="Q1340" s="640" t="inlineStr">
        <is>
          <t>55.791486</t>
        </is>
      </c>
      <c r="R1340" s="494" t="inlineStr">
        <is>
          <t>37.62281</t>
        </is>
      </c>
      <c r="S1340" s="387" t="n">
        <v>17</v>
      </c>
      <c r="T1340" s="436">
        <f>IF(N1340=1,O1340*S1340,"")</f>
        <v/>
      </c>
      <c r="U1340" s="436" t="n">
        <v>1</v>
      </c>
      <c r="V1340" s="438">
        <f>IF(AND(N1340=1,U1340=1),C1340,"")</f>
        <v/>
      </c>
      <c r="W1340" s="387" t="n"/>
      <c r="X1340" s="387" t="n"/>
      <c r="Y1340" s="387" t="n"/>
    </row>
    <row r="1341" hidden="1" ht="16.05" customFormat="1" customHeight="1" s="126">
      <c r="A1341" s="125" t="n">
        <v>1811</v>
      </c>
      <c r="B1341" s="125" t="n"/>
      <c r="C1341" s="130" t="inlineStr">
        <is>
          <t>Пенза</t>
        </is>
      </c>
      <c r="D1341" s="130" t="inlineStr">
        <is>
          <t>Пенза</t>
        </is>
      </c>
      <c r="E1341" s="130" t="n"/>
      <c r="F1341" s="130" t="inlineStr">
        <is>
          <t>АЗС</t>
        </is>
      </c>
      <c r="G1341" s="130" t="inlineStr">
        <is>
          <t>Роснефть</t>
        </is>
      </c>
      <c r="H1341" s="131" t="n"/>
      <c r="I1341" s="637" t="inlineStr">
        <is>
          <t>RN_8</t>
        </is>
      </c>
      <c r="J1341" s="637" t="inlineStr">
        <is>
          <t>PNZ_RN_0008</t>
        </is>
      </c>
      <c r="K1341" s="640" t="n">
        <v>1</v>
      </c>
      <c r="L1341" s="640" t="n">
        <v>1</v>
      </c>
      <c r="M1341" s="623" t="inlineStr">
        <is>
          <t>Samsung 32" вертикальный</t>
        </is>
      </c>
      <c r="N1341" s="640" t="n"/>
      <c r="O1341" s="640">
        <f>IF(AND(N1341=1,L1341=1),K1341,"")</f>
        <v/>
      </c>
      <c r="P1341" s="642" t="inlineStr">
        <is>
          <t>г.Пенза, ул. Аустрина,143 Е</t>
        </is>
      </c>
      <c r="Q1341" s="640" t="inlineStr">
        <is>
          <t>53.249662</t>
        </is>
      </c>
      <c r="R1341" s="494" t="inlineStr">
        <is>
          <t>45.016647</t>
        </is>
      </c>
      <c r="S1341" s="387" t="n"/>
      <c r="T1341" s="387" t="n"/>
      <c r="U1341" s="436" t="n">
        <v>1</v>
      </c>
      <c r="V1341" s="438">
        <f>IF(AND(N1341=1,U1341=1),C1341,"")</f>
        <v/>
      </c>
      <c r="W1341" s="387" t="n"/>
      <c r="X1341" s="387" t="n"/>
      <c r="Y1341" s="387" t="n"/>
    </row>
    <row r="1342" hidden="1" ht="16.05" customFormat="1" customHeight="1" s="126">
      <c r="A1342" s="125" t="n">
        <v>1804</v>
      </c>
      <c r="B1342" s="125" t="inlineStr">
        <is>
          <t>WF</t>
        </is>
      </c>
      <c r="C1342" s="130" t="inlineStr">
        <is>
          <t>Москва</t>
        </is>
      </c>
      <c r="D1342" s="130" t="inlineStr">
        <is>
          <t>Москва</t>
        </is>
      </c>
      <c r="E1342" s="130" t="inlineStr">
        <is>
          <t>ЦАО</t>
        </is>
      </c>
      <c r="F1342" s="130" t="inlineStr">
        <is>
          <t>Супермаркет</t>
        </is>
      </c>
      <c r="G1342" s="130" t="inlineStr">
        <is>
          <t>Азбука Вкуса</t>
        </is>
      </c>
      <c r="H1342" s="131" t="n"/>
      <c r="I1342" s="637" t="inlineStr">
        <is>
          <t>120_Daily</t>
        </is>
      </c>
      <c r="J1342" s="637" t="inlineStr">
        <is>
          <t>MSK_D_120</t>
        </is>
      </c>
      <c r="K1342" s="640" t="n">
        <v>2</v>
      </c>
      <c r="L1342" s="640" t="n">
        <v>0</v>
      </c>
      <c r="M1342" s="640" t="inlineStr">
        <is>
          <t>Samsung 40" вертикальный</t>
        </is>
      </c>
      <c r="N1342" s="640" t="n"/>
      <c r="O1342" s="640">
        <f>IF(AND(N1342=1,L1342=1),K1342,"")</f>
        <v/>
      </c>
      <c r="P1342" s="642" t="inlineStr">
        <is>
          <t>Москва, Шмитовский проезд, д.10</t>
        </is>
      </c>
      <c r="Q1342" s="640" t="inlineStr">
        <is>
          <t>55.758716</t>
        </is>
      </c>
      <c r="R1342" s="422" t="inlineStr">
        <is>
          <t>37.552579</t>
        </is>
      </c>
      <c r="S1342" s="387" t="n">
        <v>24</v>
      </c>
      <c r="T1342" s="436">
        <f>IF(N1342=1,O1342*S1342,"")</f>
        <v/>
      </c>
      <c r="U1342" s="436" t="n">
        <v>1</v>
      </c>
      <c r="V1342" s="438">
        <f>IF(AND(N1342=1,U1342=1),C1342,"")</f>
        <v/>
      </c>
      <c r="W1342" s="387" t="n"/>
      <c r="X1342" s="387" t="n"/>
      <c r="Y1342" s="387" t="n"/>
    </row>
    <row r="1343" hidden="1" ht="16.05" customFormat="1" customHeight="1" s="126">
      <c r="A1343" s="125" t="n">
        <v>1812</v>
      </c>
      <c r="B1343" s="125" t="n"/>
      <c r="C1343" s="130" t="inlineStr">
        <is>
          <t>Пенза</t>
        </is>
      </c>
      <c r="D1343" s="130" t="inlineStr">
        <is>
          <t>Пенза</t>
        </is>
      </c>
      <c r="E1343" s="130" t="n"/>
      <c r="F1343" s="130" t="inlineStr">
        <is>
          <t>АЗС</t>
        </is>
      </c>
      <c r="G1343" s="130" t="inlineStr">
        <is>
          <t>Роснефть</t>
        </is>
      </c>
      <c r="H1343" s="131" t="n"/>
      <c r="I1343" s="637" t="inlineStr">
        <is>
          <t>RN_9</t>
        </is>
      </c>
      <c r="J1343" s="637" t="inlineStr">
        <is>
          <t>PNZ_RN_0009</t>
        </is>
      </c>
      <c r="K1343" s="640" t="n">
        <v>1</v>
      </c>
      <c r="L1343" s="640" t="n">
        <v>1</v>
      </c>
      <c r="M1343" s="623" t="inlineStr">
        <is>
          <t>Samsung 32" вертикальный</t>
        </is>
      </c>
      <c r="N1343" s="640" t="n"/>
      <c r="O1343" s="640">
        <f>IF(AND(N1343=1,L1343=1),K1343,"")</f>
        <v/>
      </c>
      <c r="P1343" s="642" t="inlineStr">
        <is>
          <t>г.Пенза, ул.Кривозерье, 67А</t>
        </is>
      </c>
      <c r="Q1343" s="640" t="inlineStr">
        <is>
          <t>53.153496</t>
        </is>
      </c>
      <c r="R1343" s="494" t="inlineStr">
        <is>
          <t>44.976315</t>
        </is>
      </c>
      <c r="S1343" s="387" t="n"/>
      <c r="T1343" s="387" t="n"/>
      <c r="U1343" s="436" t="n">
        <v>1</v>
      </c>
      <c r="V1343" s="438">
        <f>IF(AND(N1343=1,U1343=1),C1343,"")</f>
        <v/>
      </c>
      <c r="W1343" s="387" t="n"/>
      <c r="X1343" s="387" t="n"/>
      <c r="Y1343" s="387" t="n"/>
    </row>
    <row r="1344" hidden="1" ht="16.05" customFormat="1" customHeight="1" s="126">
      <c r="A1344" s="125" t="n">
        <v>1808</v>
      </c>
      <c r="B1344" s="125" t="n"/>
      <c r="C1344" s="130" t="inlineStr">
        <is>
          <t>Пенза</t>
        </is>
      </c>
      <c r="D1344" s="130" t="inlineStr">
        <is>
          <t>Пенза</t>
        </is>
      </c>
      <c r="E1344" s="130" t="n"/>
      <c r="F1344" s="130" t="inlineStr">
        <is>
          <t>АЗС</t>
        </is>
      </c>
      <c r="G1344" s="130" t="inlineStr">
        <is>
          <t>Роснефть</t>
        </is>
      </c>
      <c r="H1344" s="131" t="n"/>
      <c r="I1344" s="637" t="inlineStr">
        <is>
          <t>RN_1</t>
        </is>
      </c>
      <c r="J1344" s="637" t="inlineStr">
        <is>
          <t>PNZ_RN_0001</t>
        </is>
      </c>
      <c r="K1344" s="640" t="n">
        <v>1</v>
      </c>
      <c r="L1344" s="640" t="n">
        <v>0</v>
      </c>
      <c r="M1344" s="640" t="inlineStr">
        <is>
          <t>Samsung 32" вертикальный</t>
        </is>
      </c>
      <c r="N1344" s="640" t="n"/>
      <c r="O1344" s="640">
        <f>IF(AND(N1344=1,L1344=1),K1344,"")</f>
        <v/>
      </c>
      <c r="P1344" s="642" t="inlineStr">
        <is>
          <t>г.Пенза,ул.Измайлова, 20а</t>
        </is>
      </c>
      <c r="Q1344" s="640" t="inlineStr">
        <is>
          <t>53.190950</t>
        </is>
      </c>
      <c r="R1344" s="494" t="inlineStr">
        <is>
          <t>45.037596</t>
        </is>
      </c>
      <c r="S1344" s="387" t="n"/>
      <c r="T1344" s="387" t="n"/>
      <c r="U1344" s="436" t="n">
        <v>1</v>
      </c>
      <c r="V1344" s="438">
        <f>IF(AND(N1344=1,U1344=1),C1344,"")</f>
        <v/>
      </c>
      <c r="W1344" s="387" t="n"/>
      <c r="X1344" s="387" t="n"/>
      <c r="Y1344" s="387" t="n"/>
    </row>
    <row r="1345" hidden="1" ht="16.05" customFormat="1" customHeight="1" s="126">
      <c r="A1345" s="125" t="n">
        <v>1809</v>
      </c>
      <c r="B1345" s="125" t="n"/>
      <c r="C1345" s="130" t="inlineStr">
        <is>
          <t>Пенза</t>
        </is>
      </c>
      <c r="D1345" s="130" t="inlineStr">
        <is>
          <t>Пенза</t>
        </is>
      </c>
      <c r="E1345" s="130" t="n"/>
      <c r="F1345" s="130" t="inlineStr">
        <is>
          <t>АЗС</t>
        </is>
      </c>
      <c r="G1345" s="130" t="inlineStr">
        <is>
          <t>Роснефть</t>
        </is>
      </c>
      <c r="H1345" s="131" t="n"/>
      <c r="I1345" s="637" t="inlineStr">
        <is>
          <t>RN_3</t>
        </is>
      </c>
      <c r="J1345" s="637" t="inlineStr">
        <is>
          <t>PNZ_RN_0003</t>
        </is>
      </c>
      <c r="K1345" s="640" t="n">
        <v>1</v>
      </c>
      <c r="L1345" s="640" t="n">
        <v>0</v>
      </c>
      <c r="M1345" s="640" t="inlineStr">
        <is>
          <t>Samsung 32" вертикальный</t>
        </is>
      </c>
      <c r="N1345" s="640" t="n"/>
      <c r="O1345" s="640">
        <f>IF(AND(N1345=1,L1345=1),K1345,"")</f>
        <v/>
      </c>
      <c r="P1345" s="642" t="inlineStr">
        <is>
          <t>г.Пенза, ул.Революционная,12</t>
        </is>
      </c>
      <c r="Q1345" s="640" t="inlineStr">
        <is>
          <t>53.193017</t>
        </is>
      </c>
      <c r="R1345" s="494" t="inlineStr">
        <is>
          <t>45.00429</t>
        </is>
      </c>
      <c r="S1345" s="387" t="n"/>
      <c r="T1345" s="387" t="n"/>
      <c r="U1345" s="387" t="n"/>
      <c r="V1345" s="387" t="n"/>
      <c r="W1345" s="387" t="n"/>
      <c r="X1345" s="387" t="n"/>
      <c r="Y1345" s="387" t="n"/>
    </row>
    <row r="1346" hidden="1" ht="16.05" customFormat="1" customHeight="1" s="126">
      <c r="A1346" s="125" t="n">
        <v>1810</v>
      </c>
      <c r="B1346" s="125" t="n"/>
      <c r="C1346" s="130" t="inlineStr">
        <is>
          <t>Пенза</t>
        </is>
      </c>
      <c r="D1346" s="130" t="inlineStr">
        <is>
          <t>Пенза</t>
        </is>
      </c>
      <c r="E1346" s="130" t="n"/>
      <c r="F1346" s="130" t="inlineStr">
        <is>
          <t>АЗС</t>
        </is>
      </c>
      <c r="G1346" s="130" t="inlineStr">
        <is>
          <t>Роснефть</t>
        </is>
      </c>
      <c r="H1346" s="131" t="n"/>
      <c r="I1346" s="637" t="inlineStr">
        <is>
          <t>RN_7</t>
        </is>
      </c>
      <c r="J1346" s="637" t="inlineStr">
        <is>
          <t>PNZ_RN_0007</t>
        </is>
      </c>
      <c r="K1346" s="640" t="n">
        <v>1</v>
      </c>
      <c r="L1346" s="640" t="n">
        <v>0</v>
      </c>
      <c r="M1346" s="640" t="inlineStr">
        <is>
          <t>Samsung 32" вертикальный</t>
        </is>
      </c>
      <c r="N1346" s="640" t="n"/>
      <c r="O1346" s="640">
        <f>IF(AND(N1346=1,L1346=1),K1346,"")</f>
        <v/>
      </c>
      <c r="P1346" s="642" t="inlineStr">
        <is>
          <t>г.Пенза, ул.Чаадаева, 58</t>
        </is>
      </c>
      <c r="Q1346" s="640" t="inlineStr">
        <is>
          <t>53.20959</t>
        </is>
      </c>
      <c r="R1346" s="494" t="inlineStr">
        <is>
          <t>45.065607</t>
        </is>
      </c>
      <c r="S1346" s="387" t="n"/>
      <c r="T1346" s="387" t="n"/>
      <c r="U1346" s="387" t="n"/>
      <c r="V1346" s="387" t="n"/>
      <c r="W1346" s="387" t="n"/>
      <c r="X1346" s="387" t="n"/>
      <c r="Y1346" s="387" t="n"/>
    </row>
    <row r="1347" hidden="1" ht="16.05" customFormat="1" customHeight="1" s="126">
      <c r="A1347" s="125" t="n">
        <v>1815</v>
      </c>
      <c r="B1347" s="125" t="n"/>
      <c r="C1347" s="130" t="inlineStr">
        <is>
          <t>Пенза</t>
        </is>
      </c>
      <c r="D1347" s="130" t="inlineStr">
        <is>
          <t>Пенза</t>
        </is>
      </c>
      <c r="E1347" s="130" t="n"/>
      <c r="F1347" s="130" t="inlineStr">
        <is>
          <t>АЗС</t>
        </is>
      </c>
      <c r="G1347" s="130" t="inlineStr">
        <is>
          <t>Роснефть</t>
        </is>
      </c>
      <c r="H1347" s="131" t="n"/>
      <c r="I1347" s="637" t="inlineStr">
        <is>
          <t>RN_20</t>
        </is>
      </c>
      <c r="J1347" s="637" t="inlineStr">
        <is>
          <t>PNZ_RN_0020</t>
        </is>
      </c>
      <c r="K1347" s="640" t="n">
        <v>1</v>
      </c>
      <c r="L1347" s="640" t="n">
        <v>0</v>
      </c>
      <c r="M1347" s="623" t="inlineStr">
        <is>
          <t>Samsung 32" вертикальный</t>
        </is>
      </c>
      <c r="N1347" s="640" t="n"/>
      <c r="O1347" s="640">
        <f>IF(AND(N1347=1,L1347=1),K1347,"")</f>
        <v/>
      </c>
      <c r="P1347" s="642" t="inlineStr">
        <is>
          <t>г.Пенза, ул. Рябова, 1 в  (р-н Терновка)</t>
        </is>
      </c>
      <c r="Q1347" s="640" t="inlineStr">
        <is>
          <t>53.140881</t>
        </is>
      </c>
      <c r="R1347" s="494" t="inlineStr">
        <is>
          <t>45.007683</t>
        </is>
      </c>
      <c r="S1347" s="387" t="n"/>
      <c r="T1347" s="387" t="n"/>
      <c r="U1347" s="387" t="n"/>
      <c r="V1347" s="387" t="n"/>
      <c r="W1347" s="387" t="n"/>
      <c r="X1347" s="387" t="n"/>
      <c r="Y1347" s="387" t="n"/>
    </row>
    <row r="1348" hidden="1" ht="16.05" customFormat="1" customHeight="1" s="126">
      <c r="A1348" s="125" t="n">
        <v>1816</v>
      </c>
      <c r="B1348" s="125" t="n"/>
      <c r="C1348" s="130" t="inlineStr">
        <is>
          <t>Пенза</t>
        </is>
      </c>
      <c r="D1348" s="130" t="inlineStr">
        <is>
          <t>Пенза</t>
        </is>
      </c>
      <c r="E1348" s="130" t="n"/>
      <c r="F1348" s="130" t="inlineStr">
        <is>
          <t>АЗС</t>
        </is>
      </c>
      <c r="G1348" s="130" t="inlineStr">
        <is>
          <t>Роснефть</t>
        </is>
      </c>
      <c r="H1348" s="131" t="n"/>
      <c r="I1348" s="637" t="inlineStr">
        <is>
          <t>RN_21</t>
        </is>
      </c>
      <c r="J1348" s="637" t="inlineStr">
        <is>
          <t>PNZ_RN_0021</t>
        </is>
      </c>
      <c r="K1348" s="640" t="n">
        <v>1</v>
      </c>
      <c r="L1348" s="640" t="n">
        <v>1</v>
      </c>
      <c r="M1348" s="623" t="inlineStr">
        <is>
          <t>Samsung 32" вертикальный</t>
        </is>
      </c>
      <c r="N1348" s="640" t="n"/>
      <c r="O1348" s="640">
        <f>IF(AND(N1348=1,L1348=1),K1348,"")</f>
        <v/>
      </c>
      <c r="P1348" s="642" t="inlineStr">
        <is>
          <t>г.Пенза, мкр-н Арбеково, 625 км Федеральная а/дорога М 5"Урал" (ул. 65-летия Победы, 45)</t>
        </is>
      </c>
      <c r="Q1348" s="640" t="inlineStr">
        <is>
          <t>53.232592</t>
        </is>
      </c>
      <c r="R1348" s="494" t="inlineStr">
        <is>
          <t>44.895116</t>
        </is>
      </c>
      <c r="S1348" s="387" t="n"/>
      <c r="T1348" s="387" t="n"/>
      <c r="U1348" s="387" t="n"/>
      <c r="V1348" s="387" t="n"/>
      <c r="W1348" s="387" t="n"/>
      <c r="X1348" s="387" t="n"/>
      <c r="Y1348" s="387" t="n"/>
    </row>
    <row r="1349" hidden="1" ht="16.05" customFormat="1" customHeight="1" s="126">
      <c r="A1349" s="125" t="n">
        <v>1813</v>
      </c>
      <c r="B1349" s="125" t="n"/>
      <c r="C1349" s="130" t="inlineStr">
        <is>
          <t>Пенза</t>
        </is>
      </c>
      <c r="D1349" s="130" t="inlineStr">
        <is>
          <t>Пенза</t>
        </is>
      </c>
      <c r="E1349" s="130" t="n"/>
      <c r="F1349" s="130" t="inlineStr">
        <is>
          <t>АЗС</t>
        </is>
      </c>
      <c r="G1349" s="130" t="inlineStr">
        <is>
          <t>Роснефть</t>
        </is>
      </c>
      <c r="H1349" s="131" t="n"/>
      <c r="I1349" s="637" t="inlineStr">
        <is>
          <t>RN_13</t>
        </is>
      </c>
      <c r="J1349" s="637" t="inlineStr">
        <is>
          <t>PNZ_RN_0013</t>
        </is>
      </c>
      <c r="K1349" s="640" t="n">
        <v>1</v>
      </c>
      <c r="L1349" s="640" t="n">
        <v>0</v>
      </c>
      <c r="M1349" s="640" t="inlineStr">
        <is>
          <t>Samsung 32" вертикальный</t>
        </is>
      </c>
      <c r="N1349" s="640" t="n"/>
      <c r="O1349" s="640">
        <f>IF(AND(N1349=1,L1349=1),K1349,"")</f>
        <v/>
      </c>
      <c r="P1349" s="642" t="inlineStr">
        <is>
          <t>г.Пенза, пр-т Победы 75Б</t>
        </is>
      </c>
      <c r="Q1349" s="640" t="inlineStr">
        <is>
          <t>53.227364</t>
        </is>
      </c>
      <c r="R1349" s="494" t="inlineStr">
        <is>
          <t>44.945558</t>
        </is>
      </c>
      <c r="S1349" s="387" t="n"/>
      <c r="T1349" s="387" t="n"/>
      <c r="U1349" s="387" t="n"/>
      <c r="V1349" s="387" t="n"/>
      <c r="W1349" s="387" t="n"/>
      <c r="X1349" s="387" t="n"/>
      <c r="Y1349" s="387" t="n"/>
    </row>
    <row r="1350" hidden="1" ht="16.05" customFormat="1" customHeight="1" s="126">
      <c r="A1350" s="125" t="n">
        <v>1814</v>
      </c>
      <c r="B1350" s="125" t="n"/>
      <c r="C1350" s="130" t="inlineStr">
        <is>
          <t>Пенза</t>
        </is>
      </c>
      <c r="D1350" s="130" t="inlineStr">
        <is>
          <t>Пенза</t>
        </is>
      </c>
      <c r="E1350" s="130" t="n"/>
      <c r="F1350" s="130" t="inlineStr">
        <is>
          <t>АЗС</t>
        </is>
      </c>
      <c r="G1350" s="130" t="inlineStr">
        <is>
          <t>Роснефть</t>
        </is>
      </c>
      <c r="H1350" s="131" t="n"/>
      <c r="I1350" s="637" t="inlineStr">
        <is>
          <t>RN_17</t>
        </is>
      </c>
      <c r="J1350" s="637" t="inlineStr">
        <is>
          <t>PNZ_RN_0017</t>
        </is>
      </c>
      <c r="K1350" s="640" t="n">
        <v>1</v>
      </c>
      <c r="L1350" s="640" t="n">
        <v>1</v>
      </c>
      <c r="M1350" s="623" t="inlineStr">
        <is>
          <t>Samsung 32" вертикальный</t>
        </is>
      </c>
      <c r="N1350" s="640" t="n"/>
      <c r="O1350" s="640">
        <f>IF(AND(N1350=1,L1350=1),K1350,"")</f>
        <v/>
      </c>
      <c r="P1350" s="642" t="inlineStr">
        <is>
          <t>г.Пенза, ул.Карпинского,188</t>
        </is>
      </c>
      <c r="Q1350" s="640" t="inlineStr">
        <is>
          <t>53.198951</t>
        </is>
      </c>
      <c r="R1350" s="422" t="inlineStr">
        <is>
          <t>44.958563</t>
        </is>
      </c>
      <c r="S1350" s="387" t="n"/>
      <c r="T1350" s="387" t="n"/>
      <c r="U1350" s="387" t="n"/>
      <c r="V1350" s="387" t="n"/>
      <c r="W1350" s="387" t="n"/>
      <c r="X1350" s="387" t="n"/>
      <c r="Y1350" s="387" t="n"/>
    </row>
    <row r="1351" hidden="1" ht="16.05" customFormat="1" customHeight="1" s="126">
      <c r="A1351" s="125" t="n">
        <v>1818</v>
      </c>
      <c r="B1351" s="125" t="n"/>
      <c r="C1351" s="130" t="inlineStr">
        <is>
          <t>Пенза</t>
        </is>
      </c>
      <c r="D1351" s="130" t="inlineStr">
        <is>
          <t>Пенза</t>
        </is>
      </c>
      <c r="E1351" s="130" t="n"/>
      <c r="F1351" s="130" t="inlineStr">
        <is>
          <t>АЗС</t>
        </is>
      </c>
      <c r="G1351" s="130" t="inlineStr">
        <is>
          <t>Роснефть</t>
        </is>
      </c>
      <c r="H1351" s="131" t="n"/>
      <c r="I1351" s="637" t="inlineStr">
        <is>
          <t>RN_27</t>
        </is>
      </c>
      <c r="J1351" s="637" t="inlineStr">
        <is>
          <t>PNZ_RN_0027</t>
        </is>
      </c>
      <c r="K1351" s="640" t="n">
        <v>1</v>
      </c>
      <c r="L1351" s="640" t="n">
        <v>0</v>
      </c>
      <c r="M1351" s="623" t="inlineStr">
        <is>
          <t>Samsung 32" вертикальный</t>
        </is>
      </c>
      <c r="N1351" s="640" t="n"/>
      <c r="O1351" s="640">
        <f>IF(AND(N1351=1,L1351=1),K1351,"")</f>
        <v/>
      </c>
      <c r="P1351" s="642" t="inlineStr">
        <is>
          <t>г.Пенза, ул.Стрельбищенская, 23</t>
        </is>
      </c>
      <c r="Q1351" s="640" t="inlineStr">
        <is>
          <t>53.187356</t>
        </is>
      </c>
      <c r="R1351" s="494" t="inlineStr">
        <is>
          <t>45.041914</t>
        </is>
      </c>
      <c r="S1351" s="387" t="n"/>
      <c r="T1351" s="387" t="n"/>
      <c r="U1351" s="387" t="n"/>
      <c r="V1351" s="387" t="n"/>
      <c r="W1351" s="387" t="n"/>
      <c r="X1351" s="387" t="n"/>
      <c r="Y1351" s="387" t="n"/>
    </row>
    <row r="1352" hidden="1" ht="16.05" customFormat="1" customHeight="1" s="126">
      <c r="A1352" s="125" t="n">
        <v>1820</v>
      </c>
      <c r="B1352" s="125" t="n"/>
      <c r="C1352" s="130" t="inlineStr">
        <is>
          <t>Пенза</t>
        </is>
      </c>
      <c r="D1352" s="130" t="inlineStr">
        <is>
          <t>Пенза</t>
        </is>
      </c>
      <c r="E1352" s="130" t="n"/>
      <c r="F1352" s="130" t="inlineStr">
        <is>
          <t>АЗС</t>
        </is>
      </c>
      <c r="G1352" s="130" t="inlineStr">
        <is>
          <t>Роснефть</t>
        </is>
      </c>
      <c r="H1352" s="131" t="n"/>
      <c r="I1352" s="637" t="inlineStr">
        <is>
          <t>RN_49</t>
        </is>
      </c>
      <c r="J1352" s="637" t="inlineStr">
        <is>
          <t>PNZ_RN_0049</t>
        </is>
      </c>
      <c r="K1352" s="640" t="n">
        <v>1</v>
      </c>
      <c r="L1352" s="640" t="n">
        <v>1</v>
      </c>
      <c r="M1352" s="623" t="inlineStr">
        <is>
          <t>Samsung 32" вертикальный</t>
        </is>
      </c>
      <c r="N1352" s="640" t="n"/>
      <c r="O1352" s="640">
        <f>IF(AND(N1352=1,L1352=1),K1352,"")</f>
        <v/>
      </c>
      <c r="P1352" s="642" t="inlineStr">
        <is>
          <t>г.Пенза, ул.Беляева,47</t>
        </is>
      </c>
      <c r="Q1352" s="640" t="inlineStr">
        <is>
          <t>53.219966</t>
        </is>
      </c>
      <c r="R1352" s="494" t="inlineStr">
        <is>
          <t>44.975189</t>
        </is>
      </c>
      <c r="S1352" s="387" t="n"/>
      <c r="T1352" s="387" t="n"/>
      <c r="U1352" s="387" t="n"/>
      <c r="V1352" s="387" t="n"/>
      <c r="W1352" s="387" t="n"/>
      <c r="X1352" s="387" t="n"/>
      <c r="Y1352" s="387" t="n"/>
    </row>
    <row r="1353" hidden="1" ht="16.05" customFormat="1" customHeight="1" s="126">
      <c r="A1353" s="125" t="n">
        <v>1817</v>
      </c>
      <c r="B1353" s="125" t="n"/>
      <c r="C1353" s="130" t="inlineStr">
        <is>
          <t>Пенза</t>
        </is>
      </c>
      <c r="D1353" s="130" t="inlineStr">
        <is>
          <t>Пенза</t>
        </is>
      </c>
      <c r="E1353" s="130" t="n"/>
      <c r="F1353" s="130" t="inlineStr">
        <is>
          <t>АЗС</t>
        </is>
      </c>
      <c r="G1353" s="130" t="inlineStr">
        <is>
          <t>Роснефть</t>
        </is>
      </c>
      <c r="H1353" s="131" t="n"/>
      <c r="I1353" s="637" t="inlineStr">
        <is>
          <t>RN_22</t>
        </is>
      </c>
      <c r="J1353" s="637" t="inlineStr">
        <is>
          <t>PNZ_RN_0022</t>
        </is>
      </c>
      <c r="K1353" s="640" t="n">
        <v>1</v>
      </c>
      <c r="L1353" s="640" t="n">
        <v>0</v>
      </c>
      <c r="M1353" s="640" t="inlineStr">
        <is>
          <t>Samsung 32" вертикальный</t>
        </is>
      </c>
      <c r="N1353" s="640" t="n"/>
      <c r="O1353" s="640">
        <f>IF(AND(N1353=1,L1353=1),K1353,"")</f>
        <v/>
      </c>
      <c r="P1353" s="642" t="inlineStr">
        <is>
          <t>г.Пенза, ул.Нейтральная (г.Пенза, ул.Нейтральная, д. 104)</t>
        </is>
      </c>
      <c r="Q1353" s="640" t="inlineStr">
        <is>
          <t>53.205234</t>
        </is>
      </c>
      <c r="R1353" s="494" t="inlineStr">
        <is>
          <t>45.074868</t>
        </is>
      </c>
      <c r="S1353" s="387" t="n"/>
      <c r="T1353" s="387" t="n"/>
      <c r="U1353" s="387" t="n"/>
      <c r="V1353" s="387" t="n"/>
      <c r="W1353" s="387" t="n"/>
      <c r="X1353" s="387" t="n"/>
      <c r="Y1353" s="387" t="n"/>
    </row>
    <row r="1354" hidden="1" ht="16.05" customFormat="1" customHeight="1" s="126">
      <c r="A1354" s="125" t="n">
        <v>1821</v>
      </c>
      <c r="B1354" s="125" t="n"/>
      <c r="C1354" s="130" t="inlineStr">
        <is>
          <t>Пенза</t>
        </is>
      </c>
      <c r="D1354" s="130" t="inlineStr">
        <is>
          <t>Заречный</t>
        </is>
      </c>
      <c r="E1354" s="130" t="n"/>
      <c r="F1354" s="130" t="inlineStr">
        <is>
          <t>АЗС</t>
        </is>
      </c>
      <c r="G1354" s="130" t="inlineStr">
        <is>
          <t>Роснефть</t>
        </is>
      </c>
      <c r="H1354" s="131" t="n"/>
      <c r="I1354" s="637" t="inlineStr">
        <is>
          <t>RN_97</t>
        </is>
      </c>
      <c r="J1354" s="637" t="inlineStr">
        <is>
          <t>PNZ_RN_0097</t>
        </is>
      </c>
      <c r="K1354" s="640" t="n">
        <v>1</v>
      </c>
      <c r="L1354" s="640" t="n">
        <v>1</v>
      </c>
      <c r="M1354" s="623" t="inlineStr">
        <is>
          <t>Samsung 32" вертикальный</t>
        </is>
      </c>
      <c r="N1354" s="640" t="n"/>
      <c r="O1354" s="640">
        <f>IF(AND(N1354=1,L1354=1),K1354,"")</f>
        <v/>
      </c>
      <c r="P1354" s="642" t="inlineStr">
        <is>
          <t>г.Заречный, пр-кт Мира, 77</t>
        </is>
      </c>
      <c r="Q1354" s="640" t="inlineStr">
        <is>
          <t>53.205929</t>
        </is>
      </c>
      <c r="R1354" s="494" t="inlineStr">
        <is>
          <t>45.167726</t>
        </is>
      </c>
      <c r="S1354" s="387" t="n"/>
      <c r="T1354" s="387" t="n"/>
      <c r="U1354" s="387" t="n"/>
      <c r="V1354" s="387" t="n"/>
      <c r="W1354" s="387" t="n"/>
      <c r="X1354" s="387" t="n"/>
      <c r="Y1354" s="387" t="n"/>
    </row>
    <row r="1355" hidden="1" ht="16.05" customFormat="1" customHeight="1" s="126">
      <c r="A1355" s="125" t="n">
        <v>1819</v>
      </c>
      <c r="B1355" s="125" t="n"/>
      <c r="C1355" s="130" t="inlineStr">
        <is>
          <t>Пенза</t>
        </is>
      </c>
      <c r="D1355" s="130" t="inlineStr">
        <is>
          <t>Пенза</t>
        </is>
      </c>
      <c r="E1355" s="130" t="n"/>
      <c r="F1355" s="130" t="inlineStr">
        <is>
          <t>АЗС</t>
        </is>
      </c>
      <c r="G1355" s="130" t="inlineStr">
        <is>
          <t>Роснефть</t>
        </is>
      </c>
      <c r="H1355" s="131" t="n"/>
      <c r="I1355" s="637" t="inlineStr">
        <is>
          <t>RN_39</t>
        </is>
      </c>
      <c r="J1355" s="637" t="inlineStr">
        <is>
          <t>PNZ_RN_0039</t>
        </is>
      </c>
      <c r="K1355" s="640" t="n">
        <v>1</v>
      </c>
      <c r="L1355" s="640" t="n">
        <v>0</v>
      </c>
      <c r="M1355" s="640" t="inlineStr">
        <is>
          <t>Samsung 32" вертикальный</t>
        </is>
      </c>
      <c r="N1355" s="640" t="n"/>
      <c r="O1355" s="640">
        <f>IF(AND(N1355=1,L1355=1),K1355,"")</f>
        <v/>
      </c>
      <c r="P1355" s="642" t="inlineStr">
        <is>
          <t>г.Пенза, пр-т Строителей, 90а</t>
        </is>
      </c>
      <c r="Q1355" s="640" t="inlineStr">
        <is>
          <t>53.221603</t>
        </is>
      </c>
      <c r="R1355" s="494" t="inlineStr">
        <is>
          <t>44.906773</t>
        </is>
      </c>
      <c r="S1355" s="387" t="n"/>
      <c r="T1355" s="387" t="n"/>
      <c r="U1355" s="387" t="n"/>
      <c r="V1355" s="387" t="n"/>
      <c r="W1355" s="387" t="n"/>
      <c r="X1355" s="387" t="n"/>
      <c r="Y1355" s="387" t="n"/>
    </row>
    <row r="1356" hidden="1" ht="16.05" customFormat="1" customHeight="1" s="126">
      <c r="A1356" s="125" t="n">
        <v>1823</v>
      </c>
      <c r="B1356" s="125" t="n"/>
      <c r="C1356" s="130" t="inlineStr">
        <is>
          <t>Пенза</t>
        </is>
      </c>
      <c r="D1356" s="130" t="inlineStr">
        <is>
          <t>Пензенская область</t>
        </is>
      </c>
      <c r="E1356" s="130" t="n"/>
      <c r="F1356" s="130" t="inlineStr">
        <is>
          <t>АЗС</t>
        </is>
      </c>
      <c r="G1356" s="130" t="inlineStr">
        <is>
          <t>Роснефть</t>
        </is>
      </c>
      <c r="H1356" s="131" t="n"/>
      <c r="I1356" s="637" t="inlineStr">
        <is>
          <t>RN_10</t>
        </is>
      </c>
      <c r="J1356" s="637" t="inlineStr">
        <is>
          <t>PNZ_RN_0010</t>
        </is>
      </c>
      <c r="K1356" s="640" t="n">
        <v>1</v>
      </c>
      <c r="L1356" s="640" t="n">
        <v>1</v>
      </c>
      <c r="M1356" s="623" t="inlineStr">
        <is>
          <t>Samsung 32" вертикальный</t>
        </is>
      </c>
      <c r="N1356" s="640" t="n"/>
      <c r="O1356" s="640">
        <f>IF(AND(N1356=1,L1356=1),K1356,"")</f>
        <v/>
      </c>
      <c r="P1356" s="642" t="inlineStr">
        <is>
          <t>р.п.Мокшан, 594 км+600 м  Федеральная а/дорога М 5"Урал"</t>
        </is>
      </c>
      <c r="Q1356" s="640" t="inlineStr">
        <is>
          <t>53.433866</t>
        </is>
      </c>
      <c r="R1356" s="494" t="inlineStr">
        <is>
          <t>44.59487</t>
        </is>
      </c>
      <c r="S1356" s="387" t="n"/>
      <c r="T1356" s="387" t="n"/>
      <c r="U1356" s="387" t="n"/>
      <c r="V1356" s="387" t="n"/>
      <c r="W1356" s="387" t="n"/>
      <c r="X1356" s="387" t="n"/>
      <c r="Y1356" s="387" t="n"/>
    </row>
    <row r="1357" hidden="1" ht="16.05" customFormat="1" customHeight="1" s="126">
      <c r="A1357" s="125" t="n">
        <v>1825</v>
      </c>
      <c r="B1357" s="125" t="n"/>
      <c r="C1357" s="130" t="inlineStr">
        <is>
          <t>Пенза</t>
        </is>
      </c>
      <c r="D1357" s="130" t="inlineStr">
        <is>
          <t>Пензенская область</t>
        </is>
      </c>
      <c r="E1357" s="130" t="n"/>
      <c r="F1357" s="130" t="inlineStr">
        <is>
          <t>АЗС</t>
        </is>
      </c>
      <c r="G1357" s="130" t="inlineStr">
        <is>
          <t>Роснефть</t>
        </is>
      </c>
      <c r="H1357" s="131" t="n"/>
      <c r="I1357" s="637" t="inlineStr">
        <is>
          <t>RN_24</t>
        </is>
      </c>
      <c r="J1357" s="637" t="inlineStr">
        <is>
          <t>PNZ_RN_0024</t>
        </is>
      </c>
      <c r="K1357" s="640" t="n">
        <v>1</v>
      </c>
      <c r="L1357" s="640" t="n">
        <v>0</v>
      </c>
      <c r="M1357" s="623" t="inlineStr">
        <is>
          <t>Samsung 32" вертикальный</t>
        </is>
      </c>
      <c r="N1357" s="640" t="n"/>
      <c r="O1357" s="640">
        <f>IF(AND(N1357=1,L1357=1),K1357,"")</f>
        <v/>
      </c>
      <c r="P1357" s="642" t="inlineStr">
        <is>
          <t>с.Кондоль, 59 км а/д Пенза-Саратов</t>
        </is>
      </c>
      <c r="Q1357" s="640" t="inlineStr">
        <is>
          <t>52.811224</t>
        </is>
      </c>
      <c r="R1357" s="494" t="inlineStr">
        <is>
          <t>45.007327</t>
        </is>
      </c>
      <c r="S1357" s="387" t="n"/>
      <c r="T1357" s="387" t="n"/>
      <c r="U1357" s="387" t="n"/>
      <c r="V1357" s="387" t="n"/>
      <c r="W1357" s="387" t="n"/>
      <c r="X1357" s="387" t="n"/>
      <c r="Y1357" s="387" t="n"/>
    </row>
    <row r="1358" hidden="1" ht="16.05" customFormat="1" customHeight="1" s="126">
      <c r="A1358" s="125" t="n">
        <v>1822</v>
      </c>
      <c r="B1358" s="125" t="n"/>
      <c r="C1358" s="130" t="inlineStr">
        <is>
          <t>Пенза</t>
        </is>
      </c>
      <c r="D1358" s="130" t="inlineStr">
        <is>
          <t>Пензенская область</t>
        </is>
      </c>
      <c r="E1358" s="130" t="n"/>
      <c r="F1358" s="130" t="inlineStr">
        <is>
          <t>АЗС</t>
        </is>
      </c>
      <c r="G1358" s="130" t="inlineStr">
        <is>
          <t>Роснефть</t>
        </is>
      </c>
      <c r="H1358" s="131" t="n"/>
      <c r="I1358" s="637" t="inlineStr">
        <is>
          <t>RN_99</t>
        </is>
      </c>
      <c r="J1358" s="637" t="inlineStr">
        <is>
          <t>PNZ_RN_0099</t>
        </is>
      </c>
      <c r="K1358" s="640" t="n">
        <v>1</v>
      </c>
      <c r="L1358" s="640" t="n">
        <v>0</v>
      </c>
      <c r="M1358" s="623" t="inlineStr">
        <is>
          <t>Samsung 32" вертикальный</t>
        </is>
      </c>
      <c r="N1358" s="640" t="n"/>
      <c r="O1358" s="640">
        <f>IF(AND(N1358=1,L1358=1),K1358,"")</f>
        <v/>
      </c>
      <c r="P1358" s="642" t="inlineStr">
        <is>
          <t>Железнодорожный район ,644 км + 065м  Федеральная а/дорога М 5"Урал"</t>
        </is>
      </c>
      <c r="Q1358" s="640" t="inlineStr">
        <is>
          <t>53.221544</t>
        </is>
      </c>
      <c r="R1358" s="494" t="inlineStr">
        <is>
          <t>45.165313</t>
        </is>
      </c>
      <c r="S1358" s="387" t="n"/>
      <c r="T1358" s="387" t="n"/>
      <c r="U1358" s="387" t="n"/>
      <c r="V1358" s="387" t="n"/>
      <c r="W1358" s="387" t="n"/>
      <c r="X1358" s="387" t="n"/>
      <c r="Y1358" s="387" t="n"/>
    </row>
    <row r="1359" hidden="1" ht="16.05" customFormat="1" customHeight="1" s="126">
      <c r="A1359" s="125" t="n">
        <v>1826</v>
      </c>
      <c r="B1359" s="125" t="n"/>
      <c r="C1359" s="130" t="inlineStr">
        <is>
          <t>Пенза</t>
        </is>
      </c>
      <c r="D1359" s="130" t="inlineStr">
        <is>
          <t>Пензенская область</t>
        </is>
      </c>
      <c r="E1359" s="130" t="n"/>
      <c r="F1359" s="130" t="inlineStr">
        <is>
          <t>АЗС</t>
        </is>
      </c>
      <c r="G1359" s="130" t="inlineStr">
        <is>
          <t>Роснефть</t>
        </is>
      </c>
      <c r="H1359" s="131" t="n"/>
      <c r="I1359" s="637" t="inlineStr">
        <is>
          <t>RN_60</t>
        </is>
      </c>
      <c r="J1359" s="637" t="inlineStr">
        <is>
          <t>PNZ_RN_0060</t>
        </is>
      </c>
      <c r="K1359" s="640" t="n">
        <v>1</v>
      </c>
      <c r="L1359" s="640" t="n">
        <v>0</v>
      </c>
      <c r="M1359" s="623" t="inlineStr">
        <is>
          <t>Samsung 32" вертикальный</t>
        </is>
      </c>
      <c r="N1359" s="640" t="n"/>
      <c r="O1359" s="640">
        <f>IF(AND(N1359=1,L1359=1),K1359,"")</f>
        <v/>
      </c>
      <c r="P1359" s="642" t="inlineStr">
        <is>
          <t>Белинский р-н, с.Крюково, 173 км а/д Пенза-Тамбов, справа</t>
        </is>
      </c>
      <c r="Q1359" s="640" t="inlineStr">
        <is>
          <t>52.970488</t>
        </is>
      </c>
      <c r="R1359" s="494" t="inlineStr">
        <is>
          <t>43.590451</t>
        </is>
      </c>
      <c r="S1359" s="387" t="n"/>
      <c r="T1359" s="387" t="n"/>
      <c r="U1359" s="387" t="n"/>
      <c r="V1359" s="387" t="n"/>
      <c r="W1359" s="387" t="n"/>
      <c r="X1359" s="387" t="n"/>
      <c r="Y1359" s="387" t="n"/>
    </row>
    <row r="1360" hidden="1" ht="16.05" customFormat="1" customHeight="1" s="126">
      <c r="A1360" s="125" t="n">
        <v>1824</v>
      </c>
      <c r="B1360" s="125" t="n"/>
      <c r="C1360" s="130" t="inlineStr">
        <is>
          <t>Пенза</t>
        </is>
      </c>
      <c r="D1360" s="130" t="inlineStr">
        <is>
          <t>Пензенская область</t>
        </is>
      </c>
      <c r="E1360" s="130" t="n"/>
      <c r="F1360" s="130" t="inlineStr">
        <is>
          <t>АЗС</t>
        </is>
      </c>
      <c r="G1360" s="130" t="inlineStr">
        <is>
          <t>Роснефть</t>
        </is>
      </c>
      <c r="H1360" s="131" t="n"/>
      <c r="I1360" s="637" t="inlineStr">
        <is>
          <t>RN_11</t>
        </is>
      </c>
      <c r="J1360" s="637" t="inlineStr">
        <is>
          <t>PNZ_RN_0011</t>
        </is>
      </c>
      <c r="K1360" s="640" t="n">
        <v>1</v>
      </c>
      <c r="L1360" s="640" t="n">
        <v>1</v>
      </c>
      <c r="M1360" s="623" t="inlineStr">
        <is>
          <t>Samsung 32" вертикальный</t>
        </is>
      </c>
      <c r="N1360" s="640" t="n"/>
      <c r="O1360" s="640">
        <f>IF(AND(N1360=1,L1360=1),K1360,"")</f>
        <v/>
      </c>
      <c r="P1360" s="642" t="inlineStr">
        <is>
          <t>г.Н.Ломов, ул.Дорожная, 17 (529 км  Федеральной а/д М 5 "Урал")</t>
        </is>
      </c>
      <c r="Q1360" s="640" t="inlineStr">
        <is>
          <t>53.5434</t>
        </is>
      </c>
      <c r="R1360" s="422" t="inlineStr">
        <is>
          <t>43.691687</t>
        </is>
      </c>
      <c r="S1360" s="387" t="n"/>
      <c r="T1360" s="387" t="n"/>
      <c r="U1360" s="387" t="n"/>
      <c r="V1360" s="387" t="n"/>
      <c r="W1360" s="387" t="n"/>
      <c r="X1360" s="387" t="n"/>
      <c r="Y1360" s="387" t="n"/>
    </row>
    <row r="1361" hidden="1" ht="16.05" customFormat="1" customHeight="1" s="126">
      <c r="A1361" s="125" t="n">
        <v>1827</v>
      </c>
      <c r="B1361" s="125" t="n"/>
      <c r="C1361" s="130" t="inlineStr">
        <is>
          <t>Пенза</t>
        </is>
      </c>
      <c r="D1361" s="130" t="inlineStr">
        <is>
          <t>Пензенская область</t>
        </is>
      </c>
      <c r="E1361" s="130" t="n"/>
      <c r="F1361" s="130" t="inlineStr">
        <is>
          <t>АЗС</t>
        </is>
      </c>
      <c r="G1361" s="130" t="inlineStr">
        <is>
          <t>Роснефть</t>
        </is>
      </c>
      <c r="H1361" s="131" t="n"/>
      <c r="I1361" s="637" t="inlineStr">
        <is>
          <t>RN_87</t>
        </is>
      </c>
      <c r="J1361" s="637" t="inlineStr">
        <is>
          <t>PNZ_RN_0087</t>
        </is>
      </c>
      <c r="K1361" s="640" t="n">
        <v>1</v>
      </c>
      <c r="L1361" s="640" t="n">
        <v>0</v>
      </c>
      <c r="M1361" s="623" t="inlineStr">
        <is>
          <t>Samsung 32" вертикальный</t>
        </is>
      </c>
      <c r="N1361" s="640" t="n"/>
      <c r="O1361" s="640">
        <f>IF(AND(N1361=1,L1361=1),K1361,"")</f>
        <v/>
      </c>
      <c r="P1361" s="642" t="inlineStr">
        <is>
          <t>рп.Мокшан, 594 км+300м Федеральная а/дорога М 5"Урал"</t>
        </is>
      </c>
      <c r="Q1361" s="640" t="inlineStr">
        <is>
          <t>53.43621</t>
        </is>
      </c>
      <c r="R1361" s="494" t="inlineStr">
        <is>
          <t>44.590189</t>
        </is>
      </c>
      <c r="S1361" s="387" t="n"/>
      <c r="T1361" s="387" t="n"/>
      <c r="U1361" s="387" t="n"/>
      <c r="V1361" s="387" t="n"/>
      <c r="W1361" s="387" t="n"/>
      <c r="X1361" s="387" t="n"/>
      <c r="Y1361" s="387" t="n"/>
    </row>
    <row r="1362" hidden="1" ht="16.05" customFormat="1" customHeight="1" s="126">
      <c r="A1362" s="125" t="n">
        <v>1829</v>
      </c>
      <c r="B1362" s="125" t="n"/>
      <c r="C1362" s="130" t="inlineStr">
        <is>
          <t>Пенза</t>
        </is>
      </c>
      <c r="D1362" s="130" t="inlineStr">
        <is>
          <t>Пензенская область</t>
        </is>
      </c>
      <c r="E1362" s="130" t="n"/>
      <c r="F1362" s="130" t="inlineStr">
        <is>
          <t>АЗС</t>
        </is>
      </c>
      <c r="G1362" s="130" t="inlineStr">
        <is>
          <t>Роснефть</t>
        </is>
      </c>
      <c r="H1362" s="131" t="n"/>
      <c r="I1362" s="637" t="inlineStr">
        <is>
          <t>RN_93</t>
        </is>
      </c>
      <c r="J1362" s="637" t="inlineStr">
        <is>
          <t>PNZ_RN_0093</t>
        </is>
      </c>
      <c r="K1362" s="640" t="n">
        <v>1</v>
      </c>
      <c r="L1362" s="640" t="n">
        <v>0</v>
      </c>
      <c r="M1362" s="623" t="inlineStr">
        <is>
          <t>Samsung 32" вертикальный</t>
        </is>
      </c>
      <c r="N1362" s="640" t="n"/>
      <c r="O1362" s="640">
        <f>IF(AND(N1362=1,L1362=1),K1362,"")</f>
        <v/>
      </c>
      <c r="P1362" s="642" t="inlineStr">
        <is>
          <t>Кузнецкий р-н,с. Кряжим, 724  км  а/д Федеральная а/дорога М 5"Урал"</t>
        </is>
      </c>
      <c r="Q1362" s="640" t="inlineStr">
        <is>
          <t>53.072919</t>
        </is>
      </c>
      <c r="R1362" s="494" t="inlineStr">
        <is>
          <t>46.166695</t>
        </is>
      </c>
      <c r="S1362" s="387" t="n"/>
      <c r="T1362" s="387" t="n"/>
      <c r="U1362" s="387" t="n"/>
      <c r="V1362" s="387" t="n"/>
      <c r="W1362" s="387" t="n"/>
      <c r="X1362" s="387" t="n"/>
      <c r="Y1362" s="387" t="n"/>
    </row>
    <row r="1363" hidden="1" ht="16.05" customFormat="1" customHeight="1" s="126">
      <c r="A1363" s="125" t="n">
        <v>1832</v>
      </c>
      <c r="B1363" s="125" t="n"/>
      <c r="C1363" s="130" t="inlineStr">
        <is>
          <t>Пенза</t>
        </is>
      </c>
      <c r="D1363" s="130" t="inlineStr">
        <is>
          <t>Пензенская область</t>
        </is>
      </c>
      <c r="E1363" s="130" t="n"/>
      <c r="F1363" s="130" t="inlineStr">
        <is>
          <t>АЗС</t>
        </is>
      </c>
      <c r="G1363" s="130" t="inlineStr">
        <is>
          <t>Роснефть</t>
        </is>
      </c>
      <c r="H1363" s="131" t="n"/>
      <c r="I1363" s="637" t="inlineStr">
        <is>
          <t>RN_102</t>
        </is>
      </c>
      <c r="J1363" s="637" t="inlineStr">
        <is>
          <t>PNZ_RN_0102</t>
        </is>
      </c>
      <c r="K1363" s="640" t="n">
        <v>1</v>
      </c>
      <c r="L1363" s="640" t="n">
        <v>0</v>
      </c>
      <c r="M1363" s="623" t="inlineStr">
        <is>
          <t>Samsung 32" вертикальный</t>
        </is>
      </c>
      <c r="N1363" s="640" t="n"/>
      <c r="O1363" s="640">
        <f>IF(AND(N1363=1,L1363=1),K1363,"")</f>
        <v/>
      </c>
      <c r="P1363" s="642" t="inlineStr">
        <is>
          <t>Н-Ломовский район,федерал.а/дорога  М 5"Урал  525км+500м(справа)</t>
        </is>
      </c>
      <c r="Q1363" s="640" t="inlineStr">
        <is>
          <t>53.549702</t>
        </is>
      </c>
      <c r="R1363" s="494" t="inlineStr">
        <is>
          <t>43.658001</t>
        </is>
      </c>
      <c r="S1363" s="387" t="n"/>
      <c r="T1363" s="387" t="n"/>
      <c r="U1363" s="387" t="n"/>
      <c r="V1363" s="387" t="n"/>
      <c r="W1363" s="387" t="n"/>
      <c r="X1363" s="387" t="n"/>
      <c r="Y1363" s="387" t="n"/>
    </row>
    <row r="1364" hidden="1" ht="16.05" customFormat="1" customHeight="1" s="126">
      <c r="A1364" s="125" t="n">
        <v>1828</v>
      </c>
      <c r="B1364" s="125" t="n"/>
      <c r="C1364" s="130" t="inlineStr">
        <is>
          <t>Пенза</t>
        </is>
      </c>
      <c r="D1364" s="130" t="inlineStr">
        <is>
          <t>Кузнецк</t>
        </is>
      </c>
      <c r="E1364" s="130" t="n"/>
      <c r="F1364" s="130" t="inlineStr">
        <is>
          <t>АЗС</t>
        </is>
      </c>
      <c r="G1364" s="130" t="inlineStr">
        <is>
          <t>Роснефть</t>
        </is>
      </c>
      <c r="H1364" s="131" t="n"/>
      <c r="I1364" s="637" t="inlineStr">
        <is>
          <t>RN_89</t>
        </is>
      </c>
      <c r="J1364" s="637" t="inlineStr">
        <is>
          <t>PNZ_RN_0089</t>
        </is>
      </c>
      <c r="K1364" s="640" t="n">
        <v>1</v>
      </c>
      <c r="L1364" s="640" t="n">
        <v>0</v>
      </c>
      <c r="M1364" s="640" t="inlineStr">
        <is>
          <t>Samsung 32" вертикальный</t>
        </is>
      </c>
      <c r="N1364" s="640" t="n"/>
      <c r="O1364" s="640">
        <f>IF(AND(N1364=1,L1364=1),K1364,"")</f>
        <v/>
      </c>
      <c r="P1364" s="642" t="inlineStr">
        <is>
          <t>г.Кузнецк, Алексеевское шоссе, 1б (752 км фед.а/д М5 "Урал")</t>
        </is>
      </c>
      <c r="Q1364" s="640" t="inlineStr">
        <is>
          <t>53.089967</t>
        </is>
      </c>
      <c r="R1364" s="494" t="inlineStr">
        <is>
          <t>46.570128</t>
        </is>
      </c>
      <c r="S1364" s="387" t="n"/>
      <c r="T1364" s="387" t="n"/>
      <c r="U1364" s="387" t="n"/>
      <c r="V1364" s="387" t="n"/>
      <c r="W1364" s="387" t="n"/>
      <c r="X1364" s="387" t="n"/>
      <c r="Y1364" s="387" t="n"/>
    </row>
    <row r="1365" hidden="1" ht="16.05" customFormat="1" customHeight="1" s="126">
      <c r="A1365" s="125" t="n">
        <v>1834</v>
      </c>
      <c r="B1365" s="125" t="n"/>
      <c r="C1365" s="130" t="inlineStr">
        <is>
          <t>Пенза</t>
        </is>
      </c>
      <c r="D1365" s="130" t="inlineStr">
        <is>
          <t>Пензенская область</t>
        </is>
      </c>
      <c r="E1365" s="130" t="n"/>
      <c r="F1365" s="130" t="inlineStr">
        <is>
          <t>АЗС</t>
        </is>
      </c>
      <c r="G1365" s="130" t="inlineStr">
        <is>
          <t>Роснефть</t>
        </is>
      </c>
      <c r="H1365" s="131" t="n"/>
      <c r="I1365" s="637" t="inlineStr">
        <is>
          <t>RN_108</t>
        </is>
      </c>
      <c r="J1365" s="637" t="inlineStr">
        <is>
          <t>PNZ_RN_0108</t>
        </is>
      </c>
      <c r="K1365" s="640" t="n">
        <v>2</v>
      </c>
      <c r="L1365" s="640" t="n">
        <v>1</v>
      </c>
      <c r="M1365" s="623" t="inlineStr">
        <is>
          <t>Samsung 32" вертикальный</t>
        </is>
      </c>
      <c r="N1365" s="640" t="n"/>
      <c r="O1365" s="640">
        <f>IF(AND(N1365=1,L1365=1),K1365,"")</f>
        <v/>
      </c>
      <c r="P1365" s="642" t="inlineStr">
        <is>
          <t>Пензенский район, ориентир с. Богословка, примерно 2,6 км на северо-запад от жилого зд. ул.Спортивная,17 (а/д Нижний Новгород-Саратов, 411 км+400 м, слева)</t>
        </is>
      </c>
      <c r="Q1365" s="640" t="inlineStr">
        <is>
          <t>53.228996</t>
        </is>
      </c>
      <c r="R1365" s="422" t="inlineStr">
        <is>
          <t>44.77177</t>
        </is>
      </c>
      <c r="S1365" s="387" t="n"/>
      <c r="T1365" s="387" t="n"/>
      <c r="U1365" s="387" t="n"/>
      <c r="V1365" s="387" t="n"/>
      <c r="W1365" s="387" t="n"/>
      <c r="X1365" s="387" t="n"/>
      <c r="Y1365" s="387" t="n"/>
    </row>
    <row r="1366" hidden="1" ht="16.05" customFormat="1" customHeight="1" s="126">
      <c r="A1366" s="125" t="n">
        <v>1830</v>
      </c>
      <c r="B1366" s="125" t="n"/>
      <c r="C1366" s="130" t="inlineStr">
        <is>
          <t>Пенза</t>
        </is>
      </c>
      <c r="D1366" s="130" t="inlineStr">
        <is>
          <t>Пензенская область</t>
        </is>
      </c>
      <c r="E1366" s="130" t="n"/>
      <c r="F1366" s="130" t="inlineStr">
        <is>
          <t>АЗС</t>
        </is>
      </c>
      <c r="G1366" s="130" t="inlineStr">
        <is>
          <t>Роснефть</t>
        </is>
      </c>
      <c r="H1366" s="131" t="n"/>
      <c r="I1366" s="637" t="inlineStr">
        <is>
          <t>RN_94</t>
        </is>
      </c>
      <c r="J1366" s="637" t="inlineStr">
        <is>
          <t>PNZ_RN_0094</t>
        </is>
      </c>
      <c r="K1366" s="640" t="n">
        <v>1</v>
      </c>
      <c r="L1366" s="640" t="n">
        <v>0</v>
      </c>
      <c r="M1366" s="623" t="inlineStr">
        <is>
          <t>Samsung 32" вертикальный</t>
        </is>
      </c>
      <c r="N1366" s="640" t="n"/>
      <c r="O1366" s="640">
        <f>IF(AND(N1366=1,L1366=1),K1366,"")</f>
        <v/>
      </c>
      <c r="P1366" s="642" t="inlineStr">
        <is>
          <t>Беднодемьяновский р-н,с.Дубровки, 483 км+600м справа  Федеральная а/дорога М 5"Урал"</t>
        </is>
      </c>
      <c r="Q1366" s="640" t="inlineStr">
        <is>
          <t>53.833118</t>
        </is>
      </c>
      <c r="R1366" s="494" t="inlineStr">
        <is>
          <t>43.292494</t>
        </is>
      </c>
      <c r="S1366" s="387" t="n"/>
      <c r="T1366" s="387" t="n"/>
      <c r="U1366" s="387" t="n"/>
      <c r="V1366" s="387" t="n"/>
      <c r="W1366" s="387" t="n"/>
      <c r="X1366" s="387" t="n"/>
      <c r="Y1366" s="387" t="n"/>
    </row>
    <row r="1367" hidden="1" ht="16.05" customFormat="1" customHeight="1" s="126">
      <c r="A1367" s="125" t="n">
        <v>1831</v>
      </c>
      <c r="B1367" s="125" t="n"/>
      <c r="C1367" s="130" t="inlineStr">
        <is>
          <t>Пенза</t>
        </is>
      </c>
      <c r="D1367" s="130" t="inlineStr">
        <is>
          <t>Пензенская область</t>
        </is>
      </c>
      <c r="E1367" s="130" t="n"/>
      <c r="F1367" s="130" t="inlineStr">
        <is>
          <t>АЗС</t>
        </is>
      </c>
      <c r="G1367" s="130" t="inlineStr">
        <is>
          <t>Роснефть</t>
        </is>
      </c>
      <c r="H1367" s="131" t="n"/>
      <c r="I1367" s="637" t="inlineStr">
        <is>
          <t>RN_98</t>
        </is>
      </c>
      <c r="J1367" s="637" t="inlineStr">
        <is>
          <t>PNZ_RN_0098</t>
        </is>
      </c>
      <c r="K1367" s="640" t="n">
        <v>1</v>
      </c>
      <c r="L1367" s="640" t="n">
        <v>0</v>
      </c>
      <c r="M1367" s="623" t="inlineStr">
        <is>
          <t>Samsung 32" вертикальный</t>
        </is>
      </c>
      <c r="N1367" s="640" t="n"/>
      <c r="O1367" s="640">
        <f>IF(AND(N1367=1,L1367=1),K1367,"")</f>
        <v/>
      </c>
      <c r="P1367" s="642" t="inlineStr">
        <is>
          <t>с. Трофимовка, ул. Придорожная, 1 а(647 км Федеральная а/дорога М 5"Урал")</t>
        </is>
      </c>
      <c r="Q1367" s="640" t="inlineStr">
        <is>
          <t>53.236662</t>
        </is>
      </c>
      <c r="R1367" s="494" t="inlineStr">
        <is>
          <t>45.385134</t>
        </is>
      </c>
      <c r="S1367" s="387" t="n"/>
      <c r="T1367" s="387" t="n"/>
      <c r="U1367" s="387" t="n"/>
      <c r="V1367" s="387" t="n"/>
      <c r="W1367" s="387" t="n"/>
      <c r="X1367" s="387" t="n"/>
      <c r="Y1367" s="387" t="n"/>
    </row>
    <row r="1368" hidden="1" ht="16.05" customFormat="1" customHeight="1" s="126">
      <c r="A1368" s="125" t="n">
        <v>1844</v>
      </c>
      <c r="B1368" s="125" t="n"/>
      <c r="C1368" s="130" t="inlineStr">
        <is>
          <t>Тамбов</t>
        </is>
      </c>
      <c r="D1368" s="130" t="inlineStr">
        <is>
          <t>Тамбов</t>
        </is>
      </c>
      <c r="E1368" s="130" t="n"/>
      <c r="F1368" s="130" t="inlineStr">
        <is>
          <t>АЗС</t>
        </is>
      </c>
      <c r="G1368" s="130" t="inlineStr">
        <is>
          <t>Роснефть</t>
        </is>
      </c>
      <c r="H1368" s="131" t="n"/>
      <c r="I1368" s="637" t="inlineStr">
        <is>
          <t>RN_168</t>
        </is>
      </c>
      <c r="J1368" s="637" t="inlineStr">
        <is>
          <t>TMB_RN_0168</t>
        </is>
      </c>
      <c r="K1368" s="640" t="n">
        <v>1</v>
      </c>
      <c r="L1368" s="640" t="n">
        <v>1</v>
      </c>
      <c r="M1368" s="623" t="inlineStr">
        <is>
          <t>Samsung 32" вертикальный</t>
        </is>
      </c>
      <c r="N1368" s="640" t="n"/>
      <c r="O1368" s="640">
        <f>IF(AND(N1368=1,L1368=1),K1368,"")</f>
        <v/>
      </c>
      <c r="P1368" s="642" t="inlineStr">
        <is>
          <t>Тамбовская область, г.Тамбов, улица Студенецкая набережная, д.28</t>
        </is>
      </c>
      <c r="Q1368" s="640" t="inlineStr">
        <is>
          <t>52.727678</t>
        </is>
      </c>
      <c r="R1368" s="422" t="inlineStr">
        <is>
          <t>41.43625</t>
        </is>
      </c>
      <c r="S1368" s="387" t="n"/>
      <c r="T1368" s="387" t="n"/>
      <c r="U1368" s="387" t="n"/>
      <c r="V1368" s="387" t="n"/>
      <c r="W1368" s="387" t="n"/>
      <c r="X1368" s="387" t="n"/>
      <c r="Y1368" s="387" t="n"/>
    </row>
    <row r="1369" hidden="1" ht="16.05" customFormat="1" customHeight="1" s="126">
      <c r="A1369" s="125" t="n">
        <v>1833</v>
      </c>
      <c r="B1369" s="125" t="n"/>
      <c r="C1369" s="130" t="inlineStr">
        <is>
          <t>Пенза</t>
        </is>
      </c>
      <c r="D1369" s="130" t="inlineStr">
        <is>
          <t>Пензенская область</t>
        </is>
      </c>
      <c r="E1369" s="130" t="n"/>
      <c r="F1369" s="130" t="inlineStr">
        <is>
          <t>АЗС</t>
        </is>
      </c>
      <c r="G1369" s="130" t="inlineStr">
        <is>
          <t>Роснефть</t>
        </is>
      </c>
      <c r="H1369" s="131" t="n"/>
      <c r="I1369" s="637" t="inlineStr">
        <is>
          <t>RN_103</t>
        </is>
      </c>
      <c r="J1369" s="637" t="inlineStr">
        <is>
          <t>PNZ_RN_0103</t>
        </is>
      </c>
      <c r="K1369" s="640" t="n">
        <v>2</v>
      </c>
      <c r="L1369" s="640" t="n">
        <v>1</v>
      </c>
      <c r="M1369" s="623" t="inlineStr">
        <is>
          <t>Samsung 32" вертикальный</t>
        </is>
      </c>
      <c r="N1369" s="640" t="n"/>
      <c r="O1369" s="640">
        <f>IF(AND(N1369=1,L1369=1),K1369,"")</f>
        <v/>
      </c>
      <c r="P1369" s="642" t="inlineStr">
        <is>
          <t>Городищенский район, 3300 м на запад от ориентира г.Городище, слева (федерал.а/дорога  М 5"Урал  678 км)</t>
        </is>
      </c>
      <c r="Q1369" s="640" t="inlineStr">
        <is>
          <t>53.277032</t>
        </is>
      </c>
      <c r="R1369" s="422" t="inlineStr">
        <is>
          <t>45.63546</t>
        </is>
      </c>
      <c r="S1369" s="387" t="n"/>
      <c r="T1369" s="387" t="n"/>
      <c r="U1369" s="387" t="n"/>
      <c r="V1369" s="387" t="n"/>
      <c r="W1369" s="387" t="n"/>
      <c r="X1369" s="387" t="n"/>
      <c r="Y1369" s="387" t="n"/>
    </row>
    <row r="1370" hidden="1" ht="16.05" customFormat="1" customHeight="1" s="126">
      <c r="A1370" s="125" t="n">
        <v>1845</v>
      </c>
      <c r="B1370" s="125" t="n"/>
      <c r="C1370" s="130" t="inlineStr">
        <is>
          <t>Тамбов</t>
        </is>
      </c>
      <c r="D1370" s="130" t="inlineStr">
        <is>
          <t>Тамбов</t>
        </is>
      </c>
      <c r="E1370" s="130" t="n"/>
      <c r="F1370" s="130" t="inlineStr">
        <is>
          <t>АЗС</t>
        </is>
      </c>
      <c r="G1370" s="130" t="inlineStr">
        <is>
          <t>Роснефть</t>
        </is>
      </c>
      <c r="H1370" s="131" t="n"/>
      <c r="I1370" s="637" t="inlineStr">
        <is>
          <t>RN_170</t>
        </is>
      </c>
      <c r="J1370" s="637" t="inlineStr">
        <is>
          <t>TMB_RN_0170</t>
        </is>
      </c>
      <c r="K1370" s="640" t="n">
        <v>1</v>
      </c>
      <c r="L1370" s="640" t="n">
        <v>1</v>
      </c>
      <c r="M1370" s="623" t="inlineStr">
        <is>
          <t>Samsung 32" вертикальный</t>
        </is>
      </c>
      <c r="N1370" s="640" t="n"/>
      <c r="O1370" s="640">
        <f>IF(AND(N1370=1,L1370=1),K1370,"")</f>
        <v/>
      </c>
      <c r="P1370" s="642" t="inlineStr">
        <is>
          <t>Тамбовская область, г.Тамбов, улица Астраханская, д.39В</t>
        </is>
      </c>
      <c r="Q1370" s="640" t="inlineStr">
        <is>
          <t>52.700287</t>
        </is>
      </c>
      <c r="R1370" s="422" t="inlineStr">
        <is>
          <t>41.462416</t>
        </is>
      </c>
      <c r="S1370" s="387" t="n"/>
      <c r="T1370" s="387" t="n"/>
      <c r="U1370" s="387" t="n"/>
      <c r="V1370" s="387" t="n"/>
      <c r="W1370" s="387" t="n"/>
      <c r="X1370" s="387" t="n"/>
      <c r="Y1370" s="387" t="n"/>
    </row>
    <row r="1371" hidden="1" ht="16.05" customFormat="1" customHeight="1" s="126">
      <c r="A1371" s="125" t="n">
        <v>1837</v>
      </c>
      <c r="B1371" s="125" t="n"/>
      <c r="C1371" s="130" t="inlineStr">
        <is>
          <t>Тамбов</t>
        </is>
      </c>
      <c r="D1371" s="130" t="inlineStr">
        <is>
          <t>Тамбов</t>
        </is>
      </c>
      <c r="E1371" s="130" t="n"/>
      <c r="F1371" s="130" t="inlineStr">
        <is>
          <t>АЗС</t>
        </is>
      </c>
      <c r="G1371" s="130" t="inlineStr">
        <is>
          <t>Роснефть</t>
        </is>
      </c>
      <c r="H1371" s="131" t="n"/>
      <c r="I1371" s="637" t="inlineStr">
        <is>
          <t>RN_2</t>
        </is>
      </c>
      <c r="J1371" s="637" t="inlineStr">
        <is>
          <t>TMB_RN_0002</t>
        </is>
      </c>
      <c r="K1371" s="640" t="n">
        <v>1</v>
      </c>
      <c r="L1371" s="640" t="n">
        <v>0</v>
      </c>
      <c r="M1371" s="640" t="inlineStr">
        <is>
          <t>Samsung 32" вертикальный</t>
        </is>
      </c>
      <c r="N1371" s="640" t="n"/>
      <c r="O1371" s="640">
        <f>IF(AND(N1371=1,L1371=1),K1371,"")</f>
        <v/>
      </c>
      <c r="P1371" s="642" t="inlineStr">
        <is>
          <t>г. Тамбов, ул. Московская, д. № 10Г</t>
        </is>
      </c>
      <c r="Q1371" s="640" t="inlineStr">
        <is>
          <t>52.734807</t>
        </is>
      </c>
      <c r="R1371" s="422" t="inlineStr">
        <is>
          <t>41.479318</t>
        </is>
      </c>
      <c r="S1371" s="387" t="n"/>
      <c r="T1371" s="387" t="n"/>
      <c r="U1371" s="387" t="n"/>
      <c r="V1371" s="387" t="n"/>
      <c r="W1371" s="387" t="n"/>
      <c r="X1371" s="387" t="n"/>
      <c r="Y1371" s="387" t="n"/>
    </row>
    <row r="1372" hidden="1" ht="16.05" customFormat="1" customHeight="1" s="126">
      <c r="A1372" s="125" t="n">
        <v>1835</v>
      </c>
      <c r="B1372" s="125" t="inlineStr">
        <is>
          <t>WF</t>
        </is>
      </c>
      <c r="C1372" s="130" t="inlineStr">
        <is>
          <t>Нижний Новгород</t>
        </is>
      </c>
      <c r="D1372" s="130" t="inlineStr">
        <is>
          <t>Нижний Новгород</t>
        </is>
      </c>
      <c r="E1372" s="130" t="n"/>
      <c r="F1372" s="130" t="inlineStr">
        <is>
          <t>АЗС</t>
        </is>
      </c>
      <c r="G1372" s="130" t="inlineStr">
        <is>
          <t>Лукойл</t>
        </is>
      </c>
      <c r="H1372" s="131" t="n"/>
      <c r="I1372" s="637" t="n">
        <v>52005</v>
      </c>
      <c r="J1372" s="637" t="inlineStr">
        <is>
          <t>NN_LUK_52005</t>
        </is>
      </c>
      <c r="K1372" s="640" t="n">
        <v>1</v>
      </c>
      <c r="L1372" s="640" t="n">
        <v>0</v>
      </c>
      <c r="M1372" s="640" t="inlineStr">
        <is>
          <t>1 октября</t>
        </is>
      </c>
      <c r="N1372" s="640" t="n"/>
      <c r="O1372" s="640">
        <f>IF(AND(N1372=1,L1372=1),K1372,"")</f>
        <v/>
      </c>
      <c r="P1372" s="642" t="inlineStr">
        <is>
          <t xml:space="preserve">Россия, 603137, Нижегородская обл., г. Нижний Новгород, пр-кт Гагарина, 121 Б   </t>
        </is>
      </c>
      <c r="Q1372" s="640" t="n">
        <v>56.22816</v>
      </c>
      <c r="R1372" s="422" t="n">
        <v>43.94208</v>
      </c>
      <c r="S1372" s="387" t="n"/>
      <c r="T1372" s="387" t="n"/>
      <c r="U1372" s="387" t="n"/>
      <c r="V1372" s="387" t="n"/>
      <c r="W1372" s="387" t="n"/>
      <c r="X1372" s="1" t="n"/>
      <c r="Y1372" s="1" t="n"/>
    </row>
    <row r="1373" hidden="1" ht="16.05" customFormat="1" customHeight="1" s="126">
      <c r="A1373" s="125" t="n">
        <v>1836</v>
      </c>
      <c r="B1373" s="125" t="n"/>
      <c r="C1373" s="130" t="inlineStr">
        <is>
          <t>Тамбов</t>
        </is>
      </c>
      <c r="D1373" s="130" t="inlineStr">
        <is>
          <t>Тамбов</t>
        </is>
      </c>
      <c r="E1373" s="130" t="n"/>
      <c r="F1373" s="130" t="inlineStr">
        <is>
          <t>АЗС</t>
        </is>
      </c>
      <c r="G1373" s="130" t="inlineStr">
        <is>
          <t>Роснефть</t>
        </is>
      </c>
      <c r="H1373" s="131" t="n"/>
      <c r="I1373" s="637" t="inlineStr">
        <is>
          <t>RN_1</t>
        </is>
      </c>
      <c r="J1373" s="637" t="inlineStr">
        <is>
          <t>TMB_RN_0001</t>
        </is>
      </c>
      <c r="K1373" s="640" t="n">
        <v>1</v>
      </c>
      <c r="L1373" s="640" t="n">
        <v>0</v>
      </c>
      <c r="M1373" s="640" t="inlineStr">
        <is>
          <t>Sam 32</t>
        </is>
      </c>
      <c r="N1373" s="640" t="n"/>
      <c r="O1373" s="640">
        <f>IF(AND(N1373=1,L1373=1),K1373,"")</f>
        <v/>
      </c>
      <c r="P1373" s="642" t="inlineStr">
        <is>
          <t>г. Тамбов, ул. Астраханская, д. № 173</t>
        </is>
      </c>
      <c r="Q1373" s="640" t="n">
        <v>52.683504</v>
      </c>
      <c r="R1373" s="422" t="n">
        <v>41.45815</v>
      </c>
      <c r="S1373" s="387" t="n"/>
      <c r="T1373" s="387" t="n"/>
      <c r="U1373" s="387" t="n"/>
      <c r="V1373" s="387" t="n"/>
      <c r="W1373" s="387" t="n"/>
      <c r="X1373" s="1" t="n"/>
      <c r="Y1373" s="1" t="n"/>
    </row>
    <row r="1374" hidden="1" ht="16.05" customFormat="1" customHeight="1" s="126">
      <c r="A1374" s="125" t="n">
        <v>1838</v>
      </c>
      <c r="B1374" s="125" t="n"/>
      <c r="C1374" s="130" t="inlineStr">
        <is>
          <t>Тамбов</t>
        </is>
      </c>
      <c r="D1374" s="130" t="inlineStr">
        <is>
          <t>Тамбов</t>
        </is>
      </c>
      <c r="E1374" s="130" t="n"/>
      <c r="F1374" s="130" t="inlineStr">
        <is>
          <t>АЗС</t>
        </is>
      </c>
      <c r="G1374" s="130" t="inlineStr">
        <is>
          <t>Роснефть</t>
        </is>
      </c>
      <c r="H1374" s="131" t="n"/>
      <c r="I1374" s="637" t="inlineStr">
        <is>
          <t>RN_3</t>
        </is>
      </c>
      <c r="J1374" s="637" t="inlineStr">
        <is>
          <t>TMB_RN_0003</t>
        </is>
      </c>
      <c r="K1374" s="640" t="n">
        <v>1</v>
      </c>
      <c r="L1374" s="640" t="n">
        <v>0</v>
      </c>
      <c r="M1374" s="640" t="inlineStr">
        <is>
          <t>Samsung 32" вертикальный</t>
        </is>
      </c>
      <c r="N1374" s="640" t="n"/>
      <c r="O1374" s="640">
        <f>IF(AND(N1374=1,L1374=1),K1374,"")</f>
        <v/>
      </c>
      <c r="P1374" s="642" t="inlineStr">
        <is>
          <t>г. Тамбов, ул. Лермонтовская, АЗС №3</t>
        </is>
      </c>
      <c r="Q1374" s="640" t="inlineStr">
        <is>
          <t>52.698963</t>
        </is>
      </c>
      <c r="R1374" s="422" t="inlineStr">
        <is>
          <t>41.433989</t>
        </is>
      </c>
      <c r="S1374" s="387" t="n"/>
      <c r="T1374" s="387" t="n"/>
      <c r="U1374" s="387" t="n"/>
      <c r="V1374" s="387" t="n"/>
      <c r="W1374" s="387" t="n"/>
      <c r="X1374" s="387" t="n"/>
      <c r="Y1374" s="387" t="n"/>
    </row>
    <row r="1375" hidden="1" ht="16.05" customFormat="1" customHeight="1" s="126">
      <c r="A1375" s="125" t="n">
        <v>1839</v>
      </c>
      <c r="B1375" s="125" t="n"/>
      <c r="C1375" s="130" t="inlineStr">
        <is>
          <t>Тамбов</t>
        </is>
      </c>
      <c r="D1375" s="130" t="inlineStr">
        <is>
          <t>Тамбов</t>
        </is>
      </c>
      <c r="E1375" s="130" t="n"/>
      <c r="F1375" s="130" t="inlineStr">
        <is>
          <t>АЗС</t>
        </is>
      </c>
      <c r="G1375" s="130" t="inlineStr">
        <is>
          <t>Роснефть</t>
        </is>
      </c>
      <c r="H1375" s="131" t="n"/>
      <c r="I1375" s="637" t="inlineStr">
        <is>
          <t>RN_4</t>
        </is>
      </c>
      <c r="J1375" s="637" t="inlineStr">
        <is>
          <t>TMB_RN_0004</t>
        </is>
      </c>
      <c r="K1375" s="640" t="n">
        <v>1</v>
      </c>
      <c r="L1375" s="640" t="n">
        <v>0</v>
      </c>
      <c r="M1375" s="640" t="inlineStr">
        <is>
          <t>Samsung 32" вертикальный</t>
        </is>
      </c>
      <c r="N1375" s="640" t="n"/>
      <c r="O1375" s="640">
        <f>IF(AND(N1375=1,L1375=1),K1375,"")</f>
        <v/>
      </c>
      <c r="P1375" s="642" t="inlineStr">
        <is>
          <t>г. Тамбов, Моршанское шоссе, автозаправочная станция №4</t>
        </is>
      </c>
      <c r="Q1375" s="640" t="inlineStr">
        <is>
          <t>52.757609</t>
        </is>
      </c>
      <c r="R1375" s="422" t="inlineStr">
        <is>
          <t>41.471256</t>
        </is>
      </c>
      <c r="S1375" s="387" t="n"/>
      <c r="T1375" s="387" t="n"/>
      <c r="U1375" s="387" t="n"/>
      <c r="V1375" s="387" t="n"/>
      <c r="W1375" s="387" t="n"/>
      <c r="X1375" s="387" t="n"/>
      <c r="Y1375" s="387" t="n"/>
    </row>
    <row r="1376" hidden="1" ht="16.05" customFormat="1" customHeight="1" s="126">
      <c r="A1376" s="125" t="n">
        <v>1842</v>
      </c>
      <c r="B1376" s="125" t="n"/>
      <c r="C1376" s="130" t="inlineStr">
        <is>
          <t>Тамбов</t>
        </is>
      </c>
      <c r="D1376" s="130" t="inlineStr">
        <is>
          <t>Тамбов</t>
        </is>
      </c>
      <c r="E1376" s="130" t="n"/>
      <c r="F1376" s="130" t="inlineStr">
        <is>
          <t>АЗС</t>
        </is>
      </c>
      <c r="G1376" s="130" t="inlineStr">
        <is>
          <t>Роснефть</t>
        </is>
      </c>
      <c r="H1376" s="131" t="n"/>
      <c r="I1376" s="637" t="inlineStr">
        <is>
          <t>RN_82</t>
        </is>
      </c>
      <c r="J1376" s="637" t="inlineStr">
        <is>
          <t>TMB_RN_0082</t>
        </is>
      </c>
      <c r="K1376" s="640" t="n">
        <v>1</v>
      </c>
      <c r="L1376" s="640" t="n">
        <v>0</v>
      </c>
      <c r="M1376" s="640" t="inlineStr">
        <is>
          <t>Samsung 32" вертикальный</t>
        </is>
      </c>
      <c r="N1376" s="640" t="n"/>
      <c r="O1376" s="640">
        <f>IF(AND(N1376=1,L1376=1),K1376,"")</f>
        <v/>
      </c>
      <c r="P1376" s="642" t="inlineStr">
        <is>
          <t>г. Тамбов, ул. Рылеева, д.  № 61</t>
        </is>
      </c>
      <c r="Q1376" s="640" t="inlineStr">
        <is>
          <t>52.75884</t>
        </is>
      </c>
      <c r="R1376" s="422" t="inlineStr">
        <is>
          <t>41.427802</t>
        </is>
      </c>
      <c r="S1376" s="387" t="n"/>
      <c r="T1376" s="387" t="n"/>
      <c r="U1376" s="387" t="n"/>
      <c r="V1376" s="387" t="n"/>
      <c r="W1376" s="387" t="n"/>
      <c r="X1376" s="387" t="n"/>
      <c r="Y1376" s="387" t="n"/>
    </row>
    <row r="1377" hidden="1" ht="16.05" customFormat="1" customHeight="1" s="126">
      <c r="A1377" s="125" t="n">
        <v>1840</v>
      </c>
      <c r="B1377" s="125" t="n"/>
      <c r="C1377" s="130" t="inlineStr">
        <is>
          <t>Тамбов</t>
        </is>
      </c>
      <c r="D1377" s="130" t="inlineStr">
        <is>
          <t>Тамбов</t>
        </is>
      </c>
      <c r="E1377" s="130" t="n"/>
      <c r="F1377" s="130" t="inlineStr">
        <is>
          <t>АЗС</t>
        </is>
      </c>
      <c r="G1377" s="130" t="inlineStr">
        <is>
          <t>Роснефть</t>
        </is>
      </c>
      <c r="H1377" s="131" t="n"/>
      <c r="I1377" s="637" t="inlineStr">
        <is>
          <t>RN_48</t>
        </is>
      </c>
      <c r="J1377" s="637" t="inlineStr">
        <is>
          <t>TMB_RN_0048</t>
        </is>
      </c>
      <c r="K1377" s="640" t="n">
        <v>1</v>
      </c>
      <c r="L1377" s="640" t="n">
        <v>0</v>
      </c>
      <c r="M1377" s="640" t="inlineStr">
        <is>
          <t>Samsung 32" вертикальный</t>
        </is>
      </c>
      <c r="N1377" s="640" t="n"/>
      <c r="O1377" s="640">
        <f>IF(AND(N1377=1,L1377=1),K1377,"")</f>
        <v/>
      </c>
      <c r="P1377" s="642" t="inlineStr">
        <is>
          <t>г. Тамбов,  ул.Никифоровская 1</t>
        </is>
      </c>
      <c r="Q1377" s="640" t="inlineStr">
        <is>
          <t>52.743128</t>
        </is>
      </c>
      <c r="R1377" s="422" t="inlineStr">
        <is>
          <t>41.414839</t>
        </is>
      </c>
      <c r="S1377" s="387" t="n"/>
      <c r="T1377" s="387" t="n"/>
      <c r="U1377" s="387" t="n"/>
      <c r="V1377" s="387" t="n"/>
      <c r="W1377" s="387" t="n"/>
      <c r="X1377" s="1" t="n"/>
      <c r="Y1377" s="1" t="n"/>
    </row>
    <row r="1378" hidden="1" ht="16.05" customFormat="1" customHeight="1" s="126">
      <c r="A1378" s="125" t="n">
        <v>1841</v>
      </c>
      <c r="B1378" s="125" t="n"/>
      <c r="C1378" s="130" t="inlineStr">
        <is>
          <t>Тамбов</t>
        </is>
      </c>
      <c r="D1378" s="130" t="inlineStr">
        <is>
          <t>Тамбов</t>
        </is>
      </c>
      <c r="E1378" s="130" t="n"/>
      <c r="F1378" s="130" t="inlineStr">
        <is>
          <t>АЗС</t>
        </is>
      </c>
      <c r="G1378" s="130" t="inlineStr">
        <is>
          <t>Роснефть</t>
        </is>
      </c>
      <c r="H1378" s="131" t="n"/>
      <c r="I1378" s="637" t="inlineStr">
        <is>
          <t>RN_81</t>
        </is>
      </c>
      <c r="J1378" s="637" t="inlineStr">
        <is>
          <t>TMB_RN_0081</t>
        </is>
      </c>
      <c r="K1378" s="640" t="n">
        <v>1</v>
      </c>
      <c r="L1378" s="640" t="n">
        <v>0</v>
      </c>
      <c r="M1378" s="640" t="inlineStr">
        <is>
          <t>Samsung 32" вертикальный</t>
        </is>
      </c>
      <c r="N1378" s="640" t="n"/>
      <c r="O1378" s="640">
        <f>IF(AND(N1378=1,L1378=1),K1378,"")</f>
        <v/>
      </c>
      <c r="P1378" s="642" t="inlineStr">
        <is>
          <t>г. Тамбов, ул. Базарная, д. № 165</t>
        </is>
      </c>
      <c r="Q1378" s="640" t="inlineStr">
        <is>
          <t>52.735717</t>
        </is>
      </c>
      <c r="R1378" s="422" t="inlineStr">
        <is>
          <t>41.441888</t>
        </is>
      </c>
      <c r="S1378" s="387" t="n"/>
      <c r="T1378" s="387" t="n"/>
      <c r="U1378" s="387" t="n"/>
      <c r="V1378" s="387" t="n"/>
      <c r="W1378" s="387" t="n"/>
      <c r="X1378" s="1" t="n"/>
      <c r="Y1378" s="1" t="n"/>
    </row>
    <row r="1379" hidden="1" ht="16.05" customFormat="1" customHeight="1" s="126">
      <c r="A1379" s="125" t="n">
        <v>1843</v>
      </c>
      <c r="B1379" s="125" t="n"/>
      <c r="C1379" s="130" t="inlineStr">
        <is>
          <t>Тамбов</t>
        </is>
      </c>
      <c r="D1379" s="130" t="inlineStr">
        <is>
          <t>Тамбов</t>
        </is>
      </c>
      <c r="E1379" s="130" t="n"/>
      <c r="F1379" s="130" t="inlineStr">
        <is>
          <t>АЗС</t>
        </is>
      </c>
      <c r="G1379" s="130" t="inlineStr">
        <is>
          <t>Роснефть</t>
        </is>
      </c>
      <c r="H1379" s="131" t="n"/>
      <c r="I1379" s="637" t="inlineStr">
        <is>
          <t>RN_83</t>
        </is>
      </c>
      <c r="J1379" s="637" t="inlineStr">
        <is>
          <t>TMB_RN_0083</t>
        </is>
      </c>
      <c r="K1379" s="640" t="n">
        <v>1</v>
      </c>
      <c r="L1379" s="640" t="n">
        <v>0</v>
      </c>
      <c r="M1379" s="640" t="inlineStr">
        <is>
          <t>Samsung 32" вертикальный</t>
        </is>
      </c>
      <c r="N1379" s="640" t="n"/>
      <c r="O1379" s="640">
        <f>IF(AND(N1379=1,L1379=1),K1379,"")</f>
        <v/>
      </c>
      <c r="P1379" s="642" t="inlineStr">
        <is>
          <t>г. Тамбов, ул. Никифоровская / ул. Мичуринская</t>
        </is>
      </c>
      <c r="Q1379" s="640" t="inlineStr">
        <is>
          <t>52.747216</t>
        </is>
      </c>
      <c r="R1379" s="422" t="inlineStr">
        <is>
          <t>41.418937</t>
        </is>
      </c>
      <c r="S1379" s="387" t="n"/>
      <c r="T1379" s="387" t="n"/>
      <c r="U1379" s="387" t="n"/>
      <c r="V1379" s="387" t="n"/>
      <c r="W1379" s="387" t="n"/>
      <c r="X1379" s="387" t="n"/>
      <c r="Y1379" s="387" t="n"/>
    </row>
    <row r="1380" hidden="1" ht="16.05" customFormat="1" customHeight="1" s="126">
      <c r="A1380" s="125" t="n">
        <v>1848</v>
      </c>
      <c r="B1380" s="125" t="inlineStr">
        <is>
          <t>WF</t>
        </is>
      </c>
      <c r="C1380" s="130" t="inlineStr">
        <is>
          <t>Москва</t>
        </is>
      </c>
      <c r="D1380" s="130" t="inlineStr">
        <is>
          <t>Москва</t>
        </is>
      </c>
      <c r="E1380" s="130" t="inlineStr">
        <is>
          <t>ЗАО</t>
        </is>
      </c>
      <c r="F1380" s="130" t="inlineStr">
        <is>
          <t>Супермаркет</t>
        </is>
      </c>
      <c r="G1380" s="130" t="inlineStr">
        <is>
          <t>Азбука Вкуса</t>
        </is>
      </c>
      <c r="H1380" s="131" t="n"/>
      <c r="I1380" s="637" t="inlineStr">
        <is>
          <t>122_Daily</t>
        </is>
      </c>
      <c r="J1380" s="637" t="inlineStr">
        <is>
          <t>MSK_D_122</t>
        </is>
      </c>
      <c r="K1380" s="640" t="n">
        <v>2</v>
      </c>
      <c r="L1380" s="640" t="n">
        <v>1</v>
      </c>
      <c r="M1380" s="623" t="inlineStr">
        <is>
          <t>Samsung 40" вертикальный</t>
        </is>
      </c>
      <c r="N1380" s="640" t="n"/>
      <c r="O1380" s="640">
        <f>IF(AND(N1380=1,L1380=1),K1380,"")</f>
        <v/>
      </c>
      <c r="P1380" s="642" t="inlineStr">
        <is>
          <t>Москва, Поликарпова, д.17/2 (1-ый Хорошевский пр-д.)</t>
        </is>
      </c>
      <c r="Q1380" s="640" t="inlineStr">
        <is>
          <t>55.777707</t>
        </is>
      </c>
      <c r="R1380" s="494" t="inlineStr">
        <is>
          <t>37.549624</t>
        </is>
      </c>
      <c r="S1380" s="387" t="n">
        <v>24</v>
      </c>
      <c r="T1380" s="436">
        <f>IF(N1380=1,O1380*S1380,"")</f>
        <v/>
      </c>
      <c r="U1380" s="387" t="n"/>
      <c r="V1380" s="387" t="n"/>
      <c r="W1380" s="387" t="n"/>
      <c r="X1380" s="387" t="n"/>
      <c r="Y1380" s="387" t="n"/>
    </row>
    <row r="1381" hidden="1" ht="16.05" customFormat="1" customHeight="1" s="126">
      <c r="A1381" s="125" t="n">
        <v>1861</v>
      </c>
      <c r="B1381" s="125" t="n"/>
      <c r="C1381" s="130" t="inlineStr">
        <is>
          <t>Уфа</t>
        </is>
      </c>
      <c r="D1381" s="130" t="inlineStr">
        <is>
          <t>Уфа</t>
        </is>
      </c>
      <c r="E1381" s="130" t="n"/>
      <c r="F1381" s="130" t="inlineStr">
        <is>
          <t>АЗС</t>
        </is>
      </c>
      <c r="G1381" s="130" t="inlineStr">
        <is>
          <t>Башнефть</t>
        </is>
      </c>
      <c r="H1381" s="131" t="n"/>
      <c r="I1381" s="637" t="inlineStr">
        <is>
          <t>№02-1</t>
        </is>
      </c>
      <c r="J1381" s="637" t="inlineStr">
        <is>
          <t>UFA_BASH_02001</t>
        </is>
      </c>
      <c r="K1381" s="640" t="n">
        <v>1</v>
      </c>
      <c r="L1381" s="640" t="n">
        <v>1</v>
      </c>
      <c r="M1381" s="623" t="inlineStr">
        <is>
          <t>Samsung 32" вертикальный</t>
        </is>
      </c>
      <c r="N1381" s="640" t="n"/>
      <c r="O1381" s="640">
        <f>IF(AND(N1381=1,L1381=1),K1381,"")</f>
        <v/>
      </c>
      <c r="P1381" s="642" t="inlineStr">
        <is>
          <t>Уфа, Октябрьский район, на пересечении ул.Комсомольская-Лесотехникума (г. Уфа, Октябрьский район, ул. Комсомольская, д. 150)</t>
        </is>
      </c>
      <c r="Q1381" s="640" t="inlineStr">
        <is>
          <t>54.762336</t>
        </is>
      </c>
      <c r="R1381" s="494" t="inlineStr">
        <is>
          <t>56.023498</t>
        </is>
      </c>
      <c r="S1381" s="387" t="n"/>
      <c r="T1381" s="387" t="n"/>
      <c r="U1381" s="387" t="n"/>
      <c r="V1381" s="387" t="n"/>
      <c r="W1381" s="387" t="n"/>
      <c r="X1381" s="387" t="n"/>
      <c r="Y1381" s="387" t="n"/>
    </row>
    <row r="1382" hidden="1" ht="16.05" customFormat="1" customHeight="1" s="126">
      <c r="A1382" s="125" t="n">
        <v>1862</v>
      </c>
      <c r="B1382" s="125" t="n"/>
      <c r="C1382" s="130" t="inlineStr">
        <is>
          <t>Уфа</t>
        </is>
      </c>
      <c r="D1382" s="130" t="inlineStr">
        <is>
          <t>Уфа</t>
        </is>
      </c>
      <c r="E1382" s="130" t="n"/>
      <c r="F1382" s="130" t="inlineStr">
        <is>
          <t>АЗС</t>
        </is>
      </c>
      <c r="G1382" s="130" t="inlineStr">
        <is>
          <t>Башнефть</t>
        </is>
      </c>
      <c r="H1382" s="131" t="n"/>
      <c r="I1382" s="637" t="inlineStr">
        <is>
          <t>№02-84</t>
        </is>
      </c>
      <c r="J1382" s="637" t="inlineStr">
        <is>
          <t>UFA_BASH_02084</t>
        </is>
      </c>
      <c r="K1382" s="640" t="n">
        <v>1</v>
      </c>
      <c r="L1382" s="640" t="n">
        <v>1</v>
      </c>
      <c r="M1382" s="623" t="inlineStr">
        <is>
          <t>Samsung 32" вертикальный</t>
        </is>
      </c>
      <c r="N1382" s="640" t="n"/>
      <c r="O1382" s="640">
        <f>IF(AND(N1382=1,L1382=1),K1382,"")</f>
        <v/>
      </c>
      <c r="P1382" s="642" t="inlineStr">
        <is>
          <t>Уфа, Октябрьский р-н, ул. Менделеева 217б</t>
        </is>
      </c>
      <c r="Q1382" s="640" t="inlineStr">
        <is>
          <t>54.753667</t>
        </is>
      </c>
      <c r="R1382" s="494" t="inlineStr">
        <is>
          <t>56.033215</t>
        </is>
      </c>
      <c r="S1382" s="387" t="n"/>
      <c r="T1382" s="387" t="n"/>
      <c r="U1382" s="387" t="n"/>
      <c r="V1382" s="387" t="n"/>
      <c r="W1382" s="387" t="n"/>
      <c r="X1382" s="387" t="n"/>
      <c r="Y1382" s="387" t="n"/>
    </row>
    <row r="1383" hidden="1" ht="16.05" customFormat="1" customHeight="1" s="126">
      <c r="A1383" s="125" t="n">
        <v>1846</v>
      </c>
      <c r="B1383" s="160" t="inlineStr">
        <is>
          <t>WF</t>
        </is>
      </c>
      <c r="C1383" s="130" t="inlineStr">
        <is>
          <t>Санкт-Петербург</t>
        </is>
      </c>
      <c r="D1383" s="130" t="inlineStr">
        <is>
          <t>Санкт-Петербург</t>
        </is>
      </c>
      <c r="E1383" s="130" t="n"/>
      <c r="F1383" s="130" t="inlineStr">
        <is>
          <t>Супермаркет</t>
        </is>
      </c>
      <c r="G1383" s="130" t="inlineStr">
        <is>
          <t>Азбука Вкуса</t>
        </is>
      </c>
      <c r="H1383" s="131" t="inlineStr">
        <is>
          <t>Daily</t>
        </is>
      </c>
      <c r="I1383" s="637" t="inlineStr">
        <is>
          <t>SPB_009_Daily</t>
        </is>
      </c>
      <c r="J1383" s="637" t="inlineStr">
        <is>
          <t>SPB_D_009</t>
        </is>
      </c>
      <c r="K1383" s="640" t="n">
        <v>2</v>
      </c>
      <c r="L1383" s="640" t="n">
        <v>0</v>
      </c>
      <c r="M1383" s="640" t="inlineStr">
        <is>
          <t>DM40E</t>
        </is>
      </c>
      <c r="N1383" s="640" t="n"/>
      <c r="O1383" s="640">
        <f>IF(AND(N1383=1,L1383=1),K1383,"")</f>
        <v/>
      </c>
      <c r="P1383" s="642" t="inlineStr">
        <is>
          <t>Санкт-Петербург, Невский, д. 72</t>
        </is>
      </c>
      <c r="Q1383" s="640" t="n">
        <v>59.933147</v>
      </c>
      <c r="R1383" s="422" t="n">
        <v>30.346208</v>
      </c>
      <c r="S1383" s="387" t="n">
        <v>24</v>
      </c>
      <c r="T1383" s="529">
        <f>S1383*O1383</f>
        <v/>
      </c>
      <c r="U1383" s="436" t="n">
        <v>1</v>
      </c>
      <c r="V1383" s="438">
        <f>IF(AND(N1383=1,U1383=1),C1383,"")</f>
        <v/>
      </c>
      <c r="W1383" s="387" t="n"/>
      <c r="X1383" s="387" t="n"/>
      <c r="Y1383" s="387" t="n"/>
    </row>
    <row r="1384" hidden="1" ht="16.05" customFormat="1" customHeight="1" s="126">
      <c r="A1384" s="125" t="n">
        <v>1863</v>
      </c>
      <c r="B1384" s="125" t="n"/>
      <c r="C1384" s="130" t="inlineStr">
        <is>
          <t>Уфа</t>
        </is>
      </c>
      <c r="D1384" s="130" t="inlineStr">
        <is>
          <t>Уфа</t>
        </is>
      </c>
      <c r="E1384" s="130" t="n"/>
      <c r="F1384" s="130" t="inlineStr">
        <is>
          <t>АЗС</t>
        </is>
      </c>
      <c r="G1384" s="130" t="inlineStr">
        <is>
          <t>Башнефть</t>
        </is>
      </c>
      <c r="H1384" s="131" t="n"/>
      <c r="I1384" s="637" t="inlineStr">
        <is>
          <t>№02-101</t>
        </is>
      </c>
      <c r="J1384" s="637" t="inlineStr">
        <is>
          <t>UFA_BASH_02101</t>
        </is>
      </c>
      <c r="K1384" s="640" t="n">
        <v>1</v>
      </c>
      <c r="L1384" s="640" t="n">
        <v>1</v>
      </c>
      <c r="M1384" s="623" t="inlineStr">
        <is>
          <t>Samsung 32" вертикальный</t>
        </is>
      </c>
      <c r="N1384" s="640" t="n"/>
      <c r="O1384" s="640">
        <f>IF(AND(N1384=1,L1384=1),K1384,"")</f>
        <v/>
      </c>
      <c r="P1384" s="642" t="inlineStr">
        <is>
          <t>Уфа, Ленинский район, ул.Пушкина, 35</t>
        </is>
      </c>
      <c r="Q1384" s="640" t="inlineStr">
        <is>
          <t>54.725597</t>
        </is>
      </c>
      <c r="R1384" s="494" t="inlineStr">
        <is>
          <t>55.924278</t>
        </is>
      </c>
      <c r="S1384" s="387" t="n"/>
      <c r="T1384" s="387" t="n"/>
      <c r="U1384" s="436" t="n">
        <v>1</v>
      </c>
      <c r="V1384" s="438">
        <f>IF(AND(N1384=1,U1384=1),C1384,"")</f>
        <v/>
      </c>
      <c r="W1384" s="387" t="n"/>
      <c r="X1384" s="387" t="n"/>
      <c r="Y1384" s="387" t="n"/>
    </row>
    <row r="1385" hidden="1" ht="16.05" customHeight="1">
      <c r="A1385" s="791" t="n">
        <v>1850</v>
      </c>
      <c r="B1385" s="13">
        <f>IF(OR(M1385="Sam 32",M1385="Sam 40"),"s",IF(M1385="AMS","a","v"))</f>
        <v/>
      </c>
      <c r="C1385" s="130" t="inlineStr">
        <is>
          <t>Москва</t>
        </is>
      </c>
      <c r="D1385" s="130" t="inlineStr">
        <is>
          <t>Москва</t>
        </is>
      </c>
      <c r="E1385" s="130" t="inlineStr">
        <is>
          <t>ЗАО</t>
        </is>
      </c>
      <c r="F1385" s="130" t="n"/>
      <c r="G1385" s="130" t="inlineStr">
        <is>
          <t>Азбука Вкуса</t>
        </is>
      </c>
      <c r="H1385" s="131" t="n"/>
      <c r="I1385" s="637" t="inlineStr">
        <is>
          <t>123_Daily</t>
        </is>
      </c>
      <c r="J1385" s="637" t="n"/>
      <c r="K1385" s="640" t="n">
        <v>2</v>
      </c>
      <c r="L1385" s="640" t="n">
        <v>0</v>
      </c>
      <c r="M1385" s="640" t="inlineStr">
        <is>
          <t>DM40E</t>
        </is>
      </c>
      <c r="N1385" s="640" t="n"/>
      <c r="O1385" s="640">
        <f>IF(AND(N1385=1,L1385=1),K1385,"")</f>
        <v/>
      </c>
      <c r="P1385" s="642" t="inlineStr">
        <is>
          <t>Москва, Пятницкое ш. 21</t>
        </is>
      </c>
      <c r="Q1385" s="640" t="n"/>
      <c r="R1385" s="422" t="n"/>
      <c r="S1385" s="387" t="n">
        <v>17</v>
      </c>
      <c r="T1385" s="436">
        <f>S1385*O1385</f>
        <v/>
      </c>
      <c r="U1385" s="436" t="n">
        <v>1</v>
      </c>
      <c r="V1385" s="438">
        <f>IF(AND(N1385=1,U1385=1),C1385,"")</f>
        <v/>
      </c>
      <c r="Z1385" s="1" t="n"/>
    </row>
    <row r="1386" hidden="1" ht="16.05" customFormat="1" customHeight="1" s="126">
      <c r="A1386" s="125" t="n">
        <v>1852</v>
      </c>
      <c r="B1386" s="125" t="n"/>
      <c r="C1386" s="130" t="inlineStr">
        <is>
          <t>Краснодар</t>
        </is>
      </c>
      <c r="D1386" s="130" t="inlineStr">
        <is>
          <t>Краснодар</t>
        </is>
      </c>
      <c r="E1386" s="130" t="n"/>
      <c r="F1386" s="130" t="inlineStr">
        <is>
          <t>АЗС</t>
        </is>
      </c>
      <c r="G1386" s="130" t="inlineStr">
        <is>
          <t>Лукойл</t>
        </is>
      </c>
      <c r="H1386" s="131" t="n">
        <v>40</v>
      </c>
      <c r="I1386" s="637" t="inlineStr">
        <is>
          <t>23040</t>
        </is>
      </c>
      <c r="J1386" s="637" t="inlineStr">
        <is>
          <t>KDR_LUK_23040</t>
        </is>
      </c>
      <c r="K1386" s="640" t="n">
        <v>1</v>
      </c>
      <c r="L1386" s="640" t="n">
        <v>0</v>
      </c>
      <c r="M1386" s="640" t="inlineStr">
        <is>
          <t>Samsung 32" вертикальный</t>
        </is>
      </c>
      <c r="N1386" s="640" t="n"/>
      <c r="O1386" s="640">
        <f>IF(AND(N1386=1,L1386=1),K1386,"")</f>
        <v/>
      </c>
      <c r="P1386" s="642" t="inlineStr">
        <is>
          <t>Краснодарский край, Павловский р-н, Павловская ст-ца, ФАД «Дон» 1199 км</t>
        </is>
      </c>
      <c r="Q1386" s="640" t="n">
        <v>46.110248</v>
      </c>
      <c r="R1386" s="422" t="n">
        <v>39.830209</v>
      </c>
      <c r="S1386" s="387" t="n"/>
      <c r="T1386" s="387" t="n"/>
      <c r="U1386" s="387" t="n"/>
      <c r="V1386" s="387" t="n"/>
      <c r="W1386" s="387" t="n"/>
      <c r="X1386" s="1" t="n"/>
      <c r="Y1386" s="1" t="n"/>
    </row>
    <row r="1387" hidden="1" ht="16.05" customFormat="1" customHeight="1" s="126">
      <c r="A1387" s="125" t="n">
        <v>1853</v>
      </c>
      <c r="B1387" s="125" t="n"/>
      <c r="C1387" s="130" t="inlineStr">
        <is>
          <t>Краснодар</t>
        </is>
      </c>
      <c r="D1387" s="130" t="inlineStr">
        <is>
          <t>Краснодар</t>
        </is>
      </c>
      <c r="E1387" s="130" t="n"/>
      <c r="F1387" s="130" t="inlineStr">
        <is>
          <t>АЗС</t>
        </is>
      </c>
      <c r="G1387" s="130" t="inlineStr">
        <is>
          <t>Лукойл</t>
        </is>
      </c>
      <c r="H1387" s="131" t="n">
        <v>176</v>
      </c>
      <c r="I1387" s="637" t="inlineStr">
        <is>
          <t>23176</t>
        </is>
      </c>
      <c r="J1387" s="637" t="inlineStr">
        <is>
          <t>KDR_LUK_23176</t>
        </is>
      </c>
      <c r="K1387" s="640" t="n">
        <v>1</v>
      </c>
      <c r="L1387" s="640" t="n">
        <v>0</v>
      </c>
      <c r="M1387" s="640" t="inlineStr">
        <is>
          <t>Samsung 32" вертикальный</t>
        </is>
      </c>
      <c r="N1387" s="640" t="n"/>
      <c r="O1387" s="640">
        <f>IF(AND(N1387=1,L1387=1),K1387,"")</f>
        <v/>
      </c>
      <c r="P1387" s="642" t="inlineStr">
        <is>
          <t>Краснодарский край, Крыловской район ст-ца Октябрьская, ФАД «Дон», 1179+300 справа</t>
        </is>
      </c>
      <c r="Q1387" s="640" t="inlineStr">
        <is>
          <t>46.2767922</t>
        </is>
      </c>
      <c r="R1387" s="422" t="inlineStr">
        <is>
          <t>39.8305893</t>
        </is>
      </c>
      <c r="S1387" s="387" t="n"/>
      <c r="T1387" s="387" t="n"/>
      <c r="U1387" s="387" t="n"/>
      <c r="V1387" s="387" t="n"/>
      <c r="W1387" s="387" t="n"/>
      <c r="X1387" s="1" t="n"/>
      <c r="Y1387" s="1" t="n"/>
    </row>
    <row r="1388" hidden="1" ht="16.05" customFormat="1" customHeight="1" s="126">
      <c r="A1388" s="125" t="n">
        <v>1854</v>
      </c>
      <c r="B1388" s="125" t="n"/>
      <c r="C1388" s="130" t="inlineStr">
        <is>
          <t>Краснодар</t>
        </is>
      </c>
      <c r="D1388" s="130" t="inlineStr">
        <is>
          <t>Краснодар</t>
        </is>
      </c>
      <c r="E1388" s="130" t="n"/>
      <c r="F1388" s="130" t="inlineStr">
        <is>
          <t>АЗС</t>
        </is>
      </c>
      <c r="G1388" s="130" t="inlineStr">
        <is>
          <t>Лукойл</t>
        </is>
      </c>
      <c r="H1388" s="131" t="n">
        <v>187</v>
      </c>
      <c r="I1388" s="637" t="inlineStr">
        <is>
          <t>23187</t>
        </is>
      </c>
      <c r="J1388" s="637" t="inlineStr">
        <is>
          <t>KDR_LUK_23187</t>
        </is>
      </c>
      <c r="K1388" s="640" t="n">
        <v>1</v>
      </c>
      <c r="L1388" s="640" t="n">
        <v>0</v>
      </c>
      <c r="M1388" s="640" t="inlineStr">
        <is>
          <t>Samsung 32" вертикальный</t>
        </is>
      </c>
      <c r="N1388" s="640" t="n"/>
      <c r="O1388" s="640">
        <f>IF(AND(N1388=1,L1388=1),K1388,"")</f>
        <v/>
      </c>
      <c r="P1388" s="642" t="inlineStr">
        <is>
          <t>Краснодарский край, Динской р-н, Динская ст., Красная, 119б</t>
        </is>
      </c>
      <c r="Q1388" s="640" t="inlineStr">
        <is>
          <t>45.2299918</t>
        </is>
      </c>
      <c r="R1388" s="422" t="inlineStr">
        <is>
          <t>39.2115784</t>
        </is>
      </c>
      <c r="S1388" s="387" t="n"/>
      <c r="T1388" s="387" t="n"/>
      <c r="U1388" s="387" t="n"/>
      <c r="V1388" s="387" t="n"/>
      <c r="W1388" s="387" t="n"/>
      <c r="X1388" s="1" t="n"/>
      <c r="Y1388" s="1" t="n"/>
    </row>
    <row r="1389" hidden="1" ht="16.05" customFormat="1" customHeight="1" s="126">
      <c r="A1389" s="125" t="n">
        <v>1855</v>
      </c>
      <c r="B1389" s="125" t="n"/>
      <c r="C1389" s="130" t="inlineStr">
        <is>
          <t>Краснодар</t>
        </is>
      </c>
      <c r="D1389" s="130" t="inlineStr">
        <is>
          <t>Краснодар</t>
        </is>
      </c>
      <c r="E1389" s="130" t="n"/>
      <c r="F1389" s="130" t="inlineStr">
        <is>
          <t>АЗС</t>
        </is>
      </c>
      <c r="G1389" s="130" t="inlineStr">
        <is>
          <t>Лукойл</t>
        </is>
      </c>
      <c r="H1389" s="131" t="n">
        <v>189</v>
      </c>
      <c r="I1389" s="637" t="inlineStr">
        <is>
          <t>23189</t>
        </is>
      </c>
      <c r="J1389" s="637" t="inlineStr">
        <is>
          <t>KDR_LUK_23189</t>
        </is>
      </c>
      <c r="K1389" s="640" t="n">
        <v>1</v>
      </c>
      <c r="L1389" s="640" t="n">
        <v>0</v>
      </c>
      <c r="M1389" s="640" t="inlineStr">
        <is>
          <t>Samsung 32" вертикальный</t>
        </is>
      </c>
      <c r="N1389" s="640" t="n"/>
      <c r="O1389" s="640">
        <f>IF(AND(N1389=1,L1389=1),K1389,"")</f>
        <v/>
      </c>
      <c r="P1389" s="642" t="inlineStr">
        <is>
          <t>Краснодарский край, Крыловской район, Крыловская ст-ца, ул. Промышленная, 3</t>
        </is>
      </c>
      <c r="Q1389" s="640" t="inlineStr">
        <is>
          <t>46.309038</t>
        </is>
      </c>
      <c r="R1389" s="422" t="inlineStr">
        <is>
          <t>39.945405</t>
        </is>
      </c>
      <c r="S1389" s="387" t="n"/>
      <c r="T1389" s="387" t="n"/>
      <c r="U1389" s="387" t="n"/>
      <c r="V1389" s="387" t="n"/>
      <c r="W1389" s="387" t="n"/>
      <c r="X1389" s="1" t="n"/>
      <c r="Y1389" s="1" t="n"/>
    </row>
    <row r="1390" hidden="1" ht="16.05" customFormat="1" customHeight="1" s="126">
      <c r="A1390" s="125" t="n">
        <v>1856</v>
      </c>
      <c r="B1390" s="125" t="n"/>
      <c r="C1390" s="130" t="inlineStr">
        <is>
          <t>Краснодар</t>
        </is>
      </c>
      <c r="D1390" s="130" t="inlineStr">
        <is>
          <t>Краснодар</t>
        </is>
      </c>
      <c r="E1390" s="130" t="n"/>
      <c r="F1390" s="130" t="inlineStr">
        <is>
          <t>АЗС</t>
        </is>
      </c>
      <c r="G1390" s="130" t="inlineStr">
        <is>
          <t>Лукойл</t>
        </is>
      </c>
      <c r="H1390" s="131" t="n">
        <v>210</v>
      </c>
      <c r="I1390" s="637" t="inlineStr">
        <is>
          <t>23210</t>
        </is>
      </c>
      <c r="J1390" s="637" t="inlineStr">
        <is>
          <t>KDR_LUK_23210</t>
        </is>
      </c>
      <c r="K1390" s="640" t="n">
        <v>1</v>
      </c>
      <c r="L1390" s="640" t="n">
        <v>0</v>
      </c>
      <c r="M1390" s="640" t="inlineStr">
        <is>
          <t>Samsung 32" вертикальный</t>
        </is>
      </c>
      <c r="N1390" s="640" t="n"/>
      <c r="O1390" s="640">
        <f>IF(AND(N1390=1,L1390=1),K1390,"")</f>
        <v/>
      </c>
      <c r="P1390" s="642" t="inlineStr">
        <is>
          <t>Краснодарский край, Кореновский район, г. Кореновск, ул. а/д Майкоп-Усть-Лаб-Кореновск, 129+550 справа</t>
        </is>
      </c>
      <c r="Q1390" s="640" t="inlineStr">
        <is>
          <t>45.457699</t>
        </is>
      </c>
      <c r="R1390" s="422" t="inlineStr">
        <is>
          <t>39.436451</t>
        </is>
      </c>
      <c r="S1390" s="387" t="n"/>
      <c r="T1390" s="387" t="n"/>
      <c r="U1390" s="387" t="n"/>
      <c r="V1390" s="387" t="n"/>
      <c r="W1390" s="387" t="n"/>
      <c r="X1390" s="1" t="n"/>
      <c r="Y1390" s="1" t="n"/>
    </row>
    <row r="1391" hidden="1" ht="16.05" customFormat="1" customHeight="1" s="126">
      <c r="A1391" s="125" t="n">
        <v>1857</v>
      </c>
      <c r="B1391" s="125" t="n"/>
      <c r="C1391" s="130" t="inlineStr">
        <is>
          <t>Краснодар</t>
        </is>
      </c>
      <c r="D1391" s="130" t="inlineStr">
        <is>
          <t>Краснодар</t>
        </is>
      </c>
      <c r="E1391" s="130" t="n"/>
      <c r="F1391" s="130" t="inlineStr">
        <is>
          <t>АЗС</t>
        </is>
      </c>
      <c r="G1391" s="130" t="inlineStr">
        <is>
          <t>Лукойл</t>
        </is>
      </c>
      <c r="H1391" s="131" t="n">
        <v>220</v>
      </c>
      <c r="I1391" s="637" t="inlineStr">
        <is>
          <t>23220</t>
        </is>
      </c>
      <c r="J1391" s="637" t="inlineStr">
        <is>
          <t>KDR_LUK_23220</t>
        </is>
      </c>
      <c r="K1391" s="640" t="n">
        <v>1</v>
      </c>
      <c r="L1391" s="640" t="n">
        <v>0</v>
      </c>
      <c r="M1391" s="640" t="inlineStr">
        <is>
          <t>Samsung 32" вертикальный</t>
        </is>
      </c>
      <c r="N1391" s="640" t="n"/>
      <c r="O1391" s="640">
        <f>IF(AND(N1391=1,L1391=1),K1391,"")</f>
        <v/>
      </c>
      <c r="P1391" s="642" t="inlineStr">
        <is>
          <t>Краснодарский край ст. Павловская, а/д Староминская-Ленинградская-Павловская, км 77-790 (слева)</t>
        </is>
      </c>
      <c r="Q1391" s="640" t="inlineStr">
        <is>
          <t>46.128516</t>
        </is>
      </c>
      <c r="R1391" s="422" t="inlineStr">
        <is>
          <t>39.767738</t>
        </is>
      </c>
      <c r="S1391" s="387" t="n"/>
      <c r="T1391" s="387" t="n"/>
      <c r="U1391" s="387" t="n"/>
      <c r="V1391" s="387" t="n"/>
      <c r="W1391" s="387" t="n"/>
      <c r="X1391" s="1" t="n"/>
      <c r="Y1391" s="1" t="n"/>
    </row>
    <row r="1392" hidden="1" ht="16.05" customFormat="1" customHeight="1" s="126">
      <c r="A1392" s="125" t="n">
        <v>1858</v>
      </c>
      <c r="B1392" s="125" t="n"/>
      <c r="C1392" s="130" t="inlineStr">
        <is>
          <t>Краснодар</t>
        </is>
      </c>
      <c r="D1392" s="130" t="inlineStr">
        <is>
          <t>Краснодар</t>
        </is>
      </c>
      <c r="E1392" s="130" t="n"/>
      <c r="F1392" s="130" t="inlineStr">
        <is>
          <t>АЗС</t>
        </is>
      </c>
      <c r="G1392" s="130" t="inlineStr">
        <is>
          <t>Лукойл</t>
        </is>
      </c>
      <c r="H1392" s="131" t="n">
        <v>275</v>
      </c>
      <c r="I1392" s="637" t="inlineStr">
        <is>
          <t>23275</t>
        </is>
      </c>
      <c r="J1392" s="637" t="inlineStr">
        <is>
          <t>KDR_LUK_23275</t>
        </is>
      </c>
      <c r="K1392" s="640" t="n">
        <v>1</v>
      </c>
      <c r="L1392" s="640" t="n">
        <v>0</v>
      </c>
      <c r="M1392" s="640" t="inlineStr">
        <is>
          <t>Samsung 32" вертикальный</t>
        </is>
      </c>
      <c r="N1392" s="640" t="n"/>
      <c r="O1392" s="640">
        <f>IF(AND(N1392=1,L1392=1),K1392,"")</f>
        <v/>
      </c>
      <c r="P1392" s="642" t="inlineStr">
        <is>
          <t>Краснодарский край, Кущевский р-н, ст. Кущевская, ул. Транспортная 32</t>
        </is>
      </c>
      <c r="Q1392" s="640" t="inlineStr">
        <is>
          <t>46.558627</t>
        </is>
      </c>
      <c r="R1392" s="422" t="inlineStr">
        <is>
          <t>39.675291</t>
        </is>
      </c>
      <c r="S1392" s="387" t="n"/>
      <c r="T1392" s="387" t="n"/>
      <c r="U1392" s="387" t="n"/>
      <c r="V1392" s="387" t="n"/>
      <c r="W1392" s="387" t="n"/>
      <c r="X1392" s="1" t="n"/>
      <c r="Y1392" s="1" t="n"/>
    </row>
    <row r="1393" hidden="1" ht="16.05" customFormat="1" customHeight="1" s="126">
      <c r="A1393" s="125" t="n">
        <v>1859</v>
      </c>
      <c r="B1393" s="125" t="n"/>
      <c r="C1393" s="130" t="inlineStr">
        <is>
          <t>Ростов-на-Дону</t>
        </is>
      </c>
      <c r="D1393" s="130" t="inlineStr">
        <is>
          <t>Ростовская область</t>
        </is>
      </c>
      <c r="E1393" s="130" t="n"/>
      <c r="F1393" s="130" t="inlineStr">
        <is>
          <t>АЗС</t>
        </is>
      </c>
      <c r="G1393" s="130" t="inlineStr">
        <is>
          <t>Лукойл</t>
        </is>
      </c>
      <c r="H1393" s="131" t="n">
        <v>291</v>
      </c>
      <c r="I1393" s="637" t="n">
        <v>61291</v>
      </c>
      <c r="J1393" s="637" t="inlineStr">
        <is>
          <t>RND_LUK_61291</t>
        </is>
      </c>
      <c r="K1393" s="640" t="n">
        <v>1</v>
      </c>
      <c r="L1393" s="640" t="n">
        <v>0</v>
      </c>
      <c r="M1393" s="640" t="inlineStr">
        <is>
          <t>Samsung 32" вертикальный</t>
        </is>
      </c>
      <c r="N1393" s="640" t="n"/>
      <c r="O1393" s="640">
        <f>IF(AND(N1393=1,L1393=1),K1393,"")</f>
        <v/>
      </c>
      <c r="P1393" s="642" t="inlineStr">
        <is>
          <t>Ростовская область, Аксайский район, 1074 км автомагистрали М-4 справа по ходу километража</t>
        </is>
      </c>
      <c r="Q1393" s="640" t="inlineStr">
        <is>
          <t>46.8737612</t>
        </is>
      </c>
      <c r="R1393" s="422" t="inlineStr">
        <is>
          <t>39.7022295</t>
        </is>
      </c>
      <c r="S1393" s="387" t="n"/>
      <c r="T1393" s="387" t="n"/>
      <c r="U1393" s="387" t="n"/>
      <c r="V1393" s="387" t="n"/>
      <c r="W1393" s="387" t="n"/>
      <c r="X1393" s="1" t="n"/>
      <c r="Y1393" s="1" t="n"/>
    </row>
    <row r="1394" hidden="1" ht="16.05" customFormat="1" customHeight="1" s="126">
      <c r="A1394" s="125" t="n">
        <v>1860</v>
      </c>
      <c r="B1394" s="125" t="n"/>
      <c r="C1394" s="130" t="inlineStr">
        <is>
          <t>Ростов-на-Дону</t>
        </is>
      </c>
      <c r="D1394" s="130" t="inlineStr">
        <is>
          <t>Ростовская область</t>
        </is>
      </c>
      <c r="E1394" s="130" t="n"/>
      <c r="F1394" s="130" t="inlineStr">
        <is>
          <t>АЗС</t>
        </is>
      </c>
      <c r="G1394" s="130" t="inlineStr">
        <is>
          <t>Лукойл</t>
        </is>
      </c>
      <c r="H1394" s="131" t="n">
        <v>297</v>
      </c>
      <c r="I1394" s="637" t="n">
        <v>61297</v>
      </c>
      <c r="J1394" s="637" t="inlineStr">
        <is>
          <t>RND_LUK_61297</t>
        </is>
      </c>
      <c r="K1394" s="640" t="n">
        <v>1</v>
      </c>
      <c r="L1394" s="640" t="n">
        <v>0</v>
      </c>
      <c r="M1394" s="640" t="inlineStr">
        <is>
          <t>Samsung 32" вертикальный</t>
        </is>
      </c>
      <c r="N1394" s="640" t="n"/>
      <c r="O1394" s="640">
        <f>IF(AND(N1394=1,L1394=1),K1394,"")</f>
        <v/>
      </c>
      <c r="P1394" s="642" t="inlineStr">
        <is>
          <t>Ростовская область, Азовский район, 1109 км автомагистрали М-4 «Дон»</t>
        </is>
      </c>
      <c r="Q1394" s="640" t="n">
        <v>47.1338776</v>
      </c>
      <c r="R1394" s="422" t="n">
        <v>39.8754036</v>
      </c>
      <c r="S1394" s="387" t="n"/>
      <c r="T1394" s="387" t="n"/>
      <c r="U1394" s="387" t="n"/>
      <c r="V1394" s="387" t="n"/>
      <c r="W1394" s="387" t="n"/>
      <c r="X1394" s="1" t="n"/>
      <c r="Y1394" s="1" t="n"/>
    </row>
    <row r="1395" hidden="1" ht="16.05" customFormat="1" customHeight="1" s="126">
      <c r="A1395" s="125" t="n">
        <v>1864</v>
      </c>
      <c r="B1395" s="125" t="n"/>
      <c r="C1395" s="130" t="inlineStr">
        <is>
          <t>Уфа</t>
        </is>
      </c>
      <c r="D1395" s="130" t="inlineStr">
        <is>
          <t>Уфа</t>
        </is>
      </c>
      <c r="E1395" s="130" t="n"/>
      <c r="F1395" s="130" t="inlineStr">
        <is>
          <t>АЗС</t>
        </is>
      </c>
      <c r="G1395" s="130" t="inlineStr">
        <is>
          <t>Башнефть</t>
        </is>
      </c>
      <c r="H1395" s="131" t="n"/>
      <c r="I1395" s="637" t="inlineStr">
        <is>
          <t>№02-102</t>
        </is>
      </c>
      <c r="J1395" s="637" t="inlineStr">
        <is>
          <t>UFA_BASH_02102</t>
        </is>
      </c>
      <c r="K1395" s="640" t="n">
        <v>1</v>
      </c>
      <c r="L1395" s="640" t="n">
        <v>1</v>
      </c>
      <c r="M1395" s="623" t="inlineStr">
        <is>
          <t>Samsung 32" вертикальный</t>
        </is>
      </c>
      <c r="N1395" s="640" t="n"/>
      <c r="O1395" s="640">
        <f>IF(AND(N1395=1,L1395=1),K1395,"")</f>
        <v/>
      </c>
      <c r="P1395" s="642" t="inlineStr">
        <is>
          <t>Уфа, Кировский район, ул.Авроры 2а</t>
        </is>
      </c>
      <c r="Q1395" s="640" t="inlineStr">
        <is>
          <t>54.698464</t>
        </is>
      </c>
      <c r="R1395" s="494" t="inlineStr">
        <is>
          <t>56.007238</t>
        </is>
      </c>
      <c r="S1395" s="387" t="n"/>
      <c r="T1395" s="387" t="n"/>
      <c r="U1395" s="387" t="n"/>
      <c r="V1395" s="387" t="n"/>
      <c r="W1395" s="387" t="n"/>
      <c r="X1395" s="387" t="n"/>
      <c r="Y1395" s="387" t="n"/>
    </row>
    <row r="1396" hidden="1" ht="16.05" customFormat="1" customHeight="1" s="126">
      <c r="A1396" s="125" t="n">
        <v>1865</v>
      </c>
      <c r="B1396" s="125" t="n"/>
      <c r="C1396" s="130" t="inlineStr">
        <is>
          <t>Уфа</t>
        </is>
      </c>
      <c r="D1396" s="130" t="inlineStr">
        <is>
          <t>Уфа</t>
        </is>
      </c>
      <c r="E1396" s="130" t="n"/>
      <c r="F1396" s="130" t="inlineStr">
        <is>
          <t>АЗС</t>
        </is>
      </c>
      <c r="G1396" s="130" t="inlineStr">
        <is>
          <t>Башнефть</t>
        </is>
      </c>
      <c r="H1396" s="131" t="n"/>
      <c r="I1396" s="637" t="inlineStr">
        <is>
          <t>№02-103</t>
        </is>
      </c>
      <c r="J1396" s="637" t="inlineStr">
        <is>
          <t>UFA_BASH_02103</t>
        </is>
      </c>
      <c r="K1396" s="640" t="n">
        <v>1</v>
      </c>
      <c r="L1396" s="640" t="n">
        <v>1</v>
      </c>
      <c r="M1396" s="623" t="inlineStr">
        <is>
          <t>Samsung 32" вертикальный</t>
        </is>
      </c>
      <c r="N1396" s="640" t="n"/>
      <c r="O1396" s="640">
        <f>IF(AND(N1396=1,L1396=1),K1396,"")</f>
        <v/>
      </c>
      <c r="P1396" s="642" t="inlineStr">
        <is>
          <t>Уфа, Советский р-н, ул. Бабушкина 1А</t>
        </is>
      </c>
      <c r="Q1396" s="640" t="inlineStr">
        <is>
          <t>54.74478</t>
        </is>
      </c>
      <c r="R1396" s="494" t="inlineStr">
        <is>
          <t>55.976151</t>
        </is>
      </c>
      <c r="S1396" s="387" t="n"/>
      <c r="T1396" s="387" t="n"/>
      <c r="U1396" s="387" t="n"/>
      <c r="V1396" s="387" t="n"/>
      <c r="W1396" s="387" t="n"/>
      <c r="X1396" s="387" t="n"/>
      <c r="Y1396" s="387" t="n"/>
    </row>
    <row r="1397" hidden="1" ht="16.05" customFormat="1" customHeight="1" s="126">
      <c r="A1397" s="125" t="n">
        <v>1866</v>
      </c>
      <c r="B1397" s="125" t="n"/>
      <c r="C1397" s="130" t="inlineStr">
        <is>
          <t>Уфа</t>
        </is>
      </c>
      <c r="D1397" s="130" t="inlineStr">
        <is>
          <t>Уфимский район</t>
        </is>
      </c>
      <c r="E1397" s="130" t="n"/>
      <c r="F1397" s="130" t="inlineStr">
        <is>
          <t>АЗС</t>
        </is>
      </c>
      <c r="G1397" s="130" t="inlineStr">
        <is>
          <t>Башнефть</t>
        </is>
      </c>
      <c r="H1397" s="131" t="n"/>
      <c r="I1397" s="637" t="inlineStr">
        <is>
          <t>№02-104</t>
        </is>
      </c>
      <c r="J1397" s="637" t="inlineStr">
        <is>
          <t>UFA_BASH_02104</t>
        </is>
      </c>
      <c r="K1397" s="640" t="n">
        <v>1</v>
      </c>
      <c r="L1397" s="640" t="n">
        <v>1</v>
      </c>
      <c r="M1397" s="623" t="inlineStr">
        <is>
          <t>Samsung 32" вертикальный</t>
        </is>
      </c>
      <c r="N1397" s="640" t="n"/>
      <c r="O1397" s="640">
        <f>IF(AND(N1397=1,L1397=1),K1397,"")</f>
        <v/>
      </c>
      <c r="P1397" s="642" t="inlineStr">
        <is>
          <t>Уфимский р-н, юго-восточнее с. Зубово, автодорога «Уфа-Аэропорт» (Уфимский район, сельское поселение Зубовский сельсовет, территория АЗС №104, соор. 1)</t>
        </is>
      </c>
      <c r="Q1397" s="640" t="inlineStr">
        <is>
          <t>54.613597</t>
        </is>
      </c>
      <c r="R1397" s="494" t="inlineStr">
        <is>
          <t>55.923945</t>
        </is>
      </c>
      <c r="S1397" s="387" t="n"/>
      <c r="T1397" s="387" t="n"/>
      <c r="U1397" s="387" t="n"/>
      <c r="V1397" s="387" t="n"/>
      <c r="W1397" s="387" t="n"/>
      <c r="X1397" s="387" t="n"/>
      <c r="Y1397" s="387" t="n"/>
    </row>
    <row r="1398" hidden="1" ht="16.05" customFormat="1" customHeight="1" s="126">
      <c r="A1398" s="125" t="n">
        <v>1867</v>
      </c>
      <c r="B1398" s="125" t="n"/>
      <c r="C1398" s="130" t="inlineStr">
        <is>
          <t>Уфа</t>
        </is>
      </c>
      <c r="D1398" s="130" t="inlineStr">
        <is>
          <t>Уфа</t>
        </is>
      </c>
      <c r="E1398" s="130" t="n"/>
      <c r="F1398" s="130" t="inlineStr">
        <is>
          <t>АЗС</t>
        </is>
      </c>
      <c r="G1398" s="130" t="inlineStr">
        <is>
          <t>Башнефть</t>
        </is>
      </c>
      <c r="H1398" s="131" t="n"/>
      <c r="I1398" s="637" t="inlineStr">
        <is>
          <t>№02-105</t>
        </is>
      </c>
      <c r="J1398" s="637" t="inlineStr">
        <is>
          <t>UFA_BASH_02105</t>
        </is>
      </c>
      <c r="K1398" s="640" t="n">
        <v>1</v>
      </c>
      <c r="L1398" s="640" t="n">
        <v>1</v>
      </c>
      <c r="M1398" s="623" t="inlineStr">
        <is>
          <t>Samsung 32" вертикальный</t>
        </is>
      </c>
      <c r="N1398" s="640" t="n"/>
      <c r="O1398" s="640">
        <f>IF(AND(N1398=1,L1398=1),K1398,"")</f>
        <v/>
      </c>
      <c r="P1398" s="642" t="inlineStr">
        <is>
          <t>Уфа, Демский район, ул.Центральная 49/1</t>
        </is>
      </c>
      <c r="Q1398" s="640" t="inlineStr">
        <is>
          <t>54.678781</t>
        </is>
      </c>
      <c r="R1398" s="494" t="inlineStr">
        <is>
          <t>55.805984</t>
        </is>
      </c>
      <c r="S1398" s="387" t="n"/>
      <c r="T1398" s="387" t="n"/>
      <c r="U1398" s="387" t="n"/>
      <c r="V1398" s="387" t="n"/>
      <c r="W1398" s="387" t="n"/>
      <c r="X1398" s="387" t="n"/>
      <c r="Y1398" s="387" t="n"/>
    </row>
    <row r="1399" hidden="1" ht="16.05" customFormat="1" customHeight="1" s="126">
      <c r="A1399" s="125" t="n">
        <v>1868</v>
      </c>
      <c r="B1399" s="125" t="n"/>
      <c r="C1399" s="130" t="inlineStr">
        <is>
          <t>Уфа</t>
        </is>
      </c>
      <c r="D1399" s="130" t="inlineStr">
        <is>
          <t>Уфа</t>
        </is>
      </c>
      <c r="E1399" s="130" t="n"/>
      <c r="F1399" s="130" t="inlineStr">
        <is>
          <t>АЗС</t>
        </is>
      </c>
      <c r="G1399" s="130" t="inlineStr">
        <is>
          <t>Башнефть</t>
        </is>
      </c>
      <c r="H1399" s="131" t="n"/>
      <c r="I1399" s="637" t="inlineStr">
        <is>
          <t>№02-106</t>
        </is>
      </c>
      <c r="J1399" s="637" t="inlineStr">
        <is>
          <t>UFA_BASH_02106</t>
        </is>
      </c>
      <c r="K1399" s="640" t="n">
        <v>1</v>
      </c>
      <c r="L1399" s="640" t="n">
        <v>1</v>
      </c>
      <c r="M1399" s="623" t="inlineStr">
        <is>
          <t>Samsung 32" вертикальный</t>
        </is>
      </c>
      <c r="N1399" s="640" t="n"/>
      <c r="O1399" s="640">
        <f>IF(AND(N1399=1,L1399=1),K1399,"")</f>
        <v/>
      </c>
      <c r="P1399" s="642" t="inlineStr">
        <is>
          <t>Уфа, Ленинский р-н, мкр. Затон, с. Вавилово, ул. Трактовая 1к4, (поворот на южное кладбище)а/д Уфа-Казань-Москва</t>
        </is>
      </c>
      <c r="Q1399" s="640" t="inlineStr">
        <is>
          <t>54.806374</t>
        </is>
      </c>
      <c r="R1399" s="494" t="inlineStr">
        <is>
          <t>55.852484</t>
        </is>
      </c>
      <c r="S1399" s="387" t="n"/>
      <c r="T1399" s="387" t="n"/>
      <c r="U1399" s="387" t="n"/>
      <c r="V1399" s="387" t="n"/>
      <c r="W1399" s="387" t="n"/>
      <c r="X1399" s="387" t="n"/>
      <c r="Y1399" s="387" t="n"/>
    </row>
    <row r="1400" hidden="1" ht="16.05" customFormat="1" customHeight="1" s="126">
      <c r="A1400" s="125" t="n">
        <v>1869</v>
      </c>
      <c r="B1400" s="125" t="n"/>
      <c r="C1400" s="130" t="inlineStr">
        <is>
          <t>Уфа</t>
        </is>
      </c>
      <c r="D1400" s="130" t="inlineStr">
        <is>
          <t>Уфа</t>
        </is>
      </c>
      <c r="E1400" s="130" t="n"/>
      <c r="F1400" s="130" t="inlineStr">
        <is>
          <t>АЗС</t>
        </is>
      </c>
      <c r="G1400" s="130" t="inlineStr">
        <is>
          <t>Башнефть</t>
        </is>
      </c>
      <c r="H1400" s="131" t="n"/>
      <c r="I1400" s="637" t="inlineStr">
        <is>
          <t>№02-107</t>
        </is>
      </c>
      <c r="J1400" s="637" t="inlineStr">
        <is>
          <t>UFA_BASH_02107</t>
        </is>
      </c>
      <c r="K1400" s="640" t="n">
        <v>1</v>
      </c>
      <c r="L1400" s="640" t="n">
        <v>1</v>
      </c>
      <c r="M1400" s="623" t="inlineStr">
        <is>
          <t>Samsung 32" вертикальный</t>
        </is>
      </c>
      <c r="N1400" s="640" t="n"/>
      <c r="O1400" s="640">
        <f>IF(AND(N1400=1,L1400=1),K1400,"")</f>
        <v/>
      </c>
      <c r="P1400" s="642" t="inlineStr">
        <is>
          <t>Уфа, Ленинский район, ул.Большая Шерстомойная (г. Уфа, Ленинский район, ул. Большая Шерстомойная, д. 420</t>
        </is>
      </c>
      <c r="Q1400" s="640" t="inlineStr">
        <is>
          <t>54.742686</t>
        </is>
      </c>
      <c r="R1400" s="494" t="inlineStr">
        <is>
          <t>55.9275</t>
        </is>
      </c>
      <c r="S1400" s="387" t="n"/>
      <c r="T1400" s="387" t="n"/>
      <c r="U1400" s="387" t="n"/>
      <c r="V1400" s="387" t="n"/>
      <c r="W1400" s="387" t="n"/>
      <c r="X1400" s="387" t="n"/>
      <c r="Y1400" s="387" t="n"/>
    </row>
    <row r="1401" hidden="1" ht="16.05" customFormat="1" customHeight="1" s="126">
      <c r="A1401" s="125" t="n">
        <v>1870</v>
      </c>
      <c r="B1401" s="125" t="n"/>
      <c r="C1401" s="130" t="inlineStr">
        <is>
          <t>Уфа</t>
        </is>
      </c>
      <c r="D1401" s="130" t="inlineStr">
        <is>
          <t>Уфа</t>
        </is>
      </c>
      <c r="E1401" s="130" t="n"/>
      <c r="F1401" s="130" t="inlineStr">
        <is>
          <t>АЗС</t>
        </is>
      </c>
      <c r="G1401" s="130" t="inlineStr">
        <is>
          <t>Башнефть</t>
        </is>
      </c>
      <c r="H1401" s="131" t="n"/>
      <c r="I1401" s="637" t="inlineStr">
        <is>
          <t>№02-111</t>
        </is>
      </c>
      <c r="J1401" s="637" t="inlineStr">
        <is>
          <t>UFA_BASH_02111</t>
        </is>
      </c>
      <c r="K1401" s="640" t="n">
        <v>1</v>
      </c>
      <c r="L1401" s="640" t="n">
        <v>1</v>
      </c>
      <c r="M1401" s="623" t="inlineStr">
        <is>
          <t>Samsung 32" вертикальный</t>
        </is>
      </c>
      <c r="N1401" s="640" t="n"/>
      <c r="O1401" s="640">
        <f>IF(AND(N1401=1,L1401=1),K1401,"")</f>
        <v/>
      </c>
      <c r="P1401" s="642" t="inlineStr">
        <is>
          <t>Уфа, Октябрьский район, ул. Луганская, 34б</t>
        </is>
      </c>
      <c r="Q1401" s="640" t="inlineStr">
        <is>
          <t>54.753971</t>
        </is>
      </c>
      <c r="R1401" s="494" t="inlineStr">
        <is>
          <t>56.024206</t>
        </is>
      </c>
      <c r="S1401" s="387" t="n"/>
      <c r="T1401" s="387" t="n"/>
      <c r="U1401" s="387" t="n"/>
      <c r="V1401" s="387" t="n"/>
      <c r="W1401" s="387" t="n"/>
      <c r="X1401" s="387" t="n"/>
      <c r="Y1401" s="387" t="n"/>
    </row>
    <row r="1402" hidden="1" ht="16.05" customFormat="1" customHeight="1" s="126">
      <c r="A1402" s="125" t="n">
        <v>1871</v>
      </c>
      <c r="B1402" s="125" t="n"/>
      <c r="C1402" s="130" t="inlineStr">
        <is>
          <t>Уфа</t>
        </is>
      </c>
      <c r="D1402" s="130" t="inlineStr">
        <is>
          <t>Уфа</t>
        </is>
      </c>
      <c r="E1402" s="130" t="n"/>
      <c r="F1402" s="130" t="inlineStr">
        <is>
          <t>АЗС</t>
        </is>
      </c>
      <c r="G1402" s="130" t="inlineStr">
        <is>
          <t>Башнефть</t>
        </is>
      </c>
      <c r="H1402" s="131" t="n"/>
      <c r="I1402" s="637" t="inlineStr">
        <is>
          <t>№02-114</t>
        </is>
      </c>
      <c r="J1402" s="637" t="inlineStr">
        <is>
          <t>UFA_BASH_02114</t>
        </is>
      </c>
      <c r="K1402" s="640" t="n">
        <v>1</v>
      </c>
      <c r="L1402" s="640" t="n">
        <v>1</v>
      </c>
      <c r="M1402" s="623" t="inlineStr">
        <is>
          <t>Samsung 32" вертикальный</t>
        </is>
      </c>
      <c r="N1402" s="640" t="n"/>
      <c r="O1402" s="640">
        <f>IF(AND(N1402=1,L1402=1),K1402,"")</f>
        <v/>
      </c>
      <c r="P1402" s="642" t="inlineStr">
        <is>
          <t>Уфа, Калининский р-н, ул.Тухвата Янаби (г. Уфа, Калининский район, б-р Тухвата Янаби, д. 32/2)</t>
        </is>
      </c>
      <c r="Q1402" s="640" t="inlineStr">
        <is>
          <t>54.784507</t>
        </is>
      </c>
      <c r="R1402" s="494" t="inlineStr">
        <is>
          <t>56.123778</t>
        </is>
      </c>
      <c r="S1402" s="387" t="n"/>
      <c r="T1402" s="387" t="n"/>
      <c r="U1402" s="387" t="n"/>
      <c r="V1402" s="387" t="n"/>
      <c r="W1402" s="387" t="n"/>
      <c r="X1402" s="387" t="n"/>
      <c r="Y1402" s="387" t="n"/>
    </row>
    <row r="1403" hidden="1" ht="16.05" customFormat="1" customHeight="1" s="126">
      <c r="A1403" s="125" t="n">
        <v>1872</v>
      </c>
      <c r="B1403" s="125" t="n"/>
      <c r="C1403" s="130" t="inlineStr">
        <is>
          <t>Уфа</t>
        </is>
      </c>
      <c r="D1403" s="130" t="inlineStr">
        <is>
          <t>Уфа</t>
        </is>
      </c>
      <c r="E1403" s="130" t="n"/>
      <c r="F1403" s="130" t="inlineStr">
        <is>
          <t>АЗС</t>
        </is>
      </c>
      <c r="G1403" s="130" t="inlineStr">
        <is>
          <t>Башнефть</t>
        </is>
      </c>
      <c r="H1403" s="131" t="n"/>
      <c r="I1403" s="637" t="inlineStr">
        <is>
          <t>№02-120</t>
        </is>
      </c>
      <c r="J1403" s="637" t="inlineStr">
        <is>
          <t>UFA_BASH_02120</t>
        </is>
      </c>
      <c r="K1403" s="640" t="n">
        <v>1</v>
      </c>
      <c r="L1403" s="640" t="n">
        <v>1</v>
      </c>
      <c r="M1403" s="623" t="inlineStr">
        <is>
          <t>Samsung 32" вертикальный</t>
        </is>
      </c>
      <c r="N1403" s="640" t="n"/>
      <c r="O1403" s="640">
        <f>IF(AND(N1403=1,L1403=1),K1403,"")</f>
        <v/>
      </c>
      <c r="P1403" s="642" t="inlineStr">
        <is>
          <t>Уфа, ул.Правды  (г. Уфа, Демский район, ул. Рашита Нигмати, д. 2)</t>
        </is>
      </c>
      <c r="Q1403" s="640" t="inlineStr">
        <is>
          <t>54.705923</t>
        </is>
      </c>
      <c r="R1403" s="494" t="inlineStr">
        <is>
          <t>55.849488</t>
        </is>
      </c>
      <c r="S1403" s="387" t="n"/>
      <c r="T1403" s="387" t="n"/>
      <c r="U1403" s="387" t="n"/>
      <c r="V1403" s="387" t="n"/>
      <c r="W1403" s="387" t="n"/>
      <c r="X1403" s="387" t="n"/>
      <c r="Y1403" s="387" t="n"/>
    </row>
    <row r="1404" hidden="1" ht="16.05" customFormat="1" customHeight="1" s="126">
      <c r="A1404" s="125" t="n">
        <v>1873</v>
      </c>
      <c r="B1404" s="125" t="n"/>
      <c r="C1404" s="130" t="inlineStr">
        <is>
          <t>Уфа</t>
        </is>
      </c>
      <c r="D1404" s="130" t="inlineStr">
        <is>
          <t>Уфа</t>
        </is>
      </c>
      <c r="E1404" s="130" t="n"/>
      <c r="F1404" s="130" t="inlineStr">
        <is>
          <t>АЗС</t>
        </is>
      </c>
      <c r="G1404" s="130" t="inlineStr">
        <is>
          <t>Башнефть</t>
        </is>
      </c>
      <c r="H1404" s="131" t="n"/>
      <c r="I1404" s="637" t="inlineStr">
        <is>
          <t>№02-121</t>
        </is>
      </c>
      <c r="J1404" s="637" t="inlineStr">
        <is>
          <t>UFA_BASH_02121</t>
        </is>
      </c>
      <c r="K1404" s="640" t="n">
        <v>1</v>
      </c>
      <c r="L1404" s="640" t="n">
        <v>1</v>
      </c>
      <c r="M1404" s="623" t="inlineStr">
        <is>
          <t>Samsung 32" вертикальный</t>
        </is>
      </c>
      <c r="N1404" s="640" t="n"/>
      <c r="O1404" s="640">
        <f>IF(AND(N1404=1,L1404=1),K1404,"")</f>
        <v/>
      </c>
      <c r="P1404" s="642" t="inlineStr">
        <is>
          <t>Уфа, Калининский район, ул.Интернациональная (г. Уфа, Калининский район, ул. Интернациональная, д. 4)</t>
        </is>
      </c>
      <c r="Q1404" s="640" t="inlineStr">
        <is>
          <t>54.810315</t>
        </is>
      </c>
      <c r="R1404" s="494" t="inlineStr">
        <is>
          <t>56.057761</t>
        </is>
      </c>
      <c r="S1404" s="387" t="n"/>
      <c r="T1404" s="387" t="n"/>
      <c r="U1404" s="387" t="n"/>
      <c r="V1404" s="387" t="n"/>
      <c r="W1404" s="387" t="n"/>
      <c r="X1404" s="387" t="n"/>
      <c r="Y1404" s="387" t="n"/>
    </row>
    <row r="1405" hidden="1" ht="16.05" customFormat="1" customHeight="1" s="126">
      <c r="A1405" s="125" t="n">
        <v>1874</v>
      </c>
      <c r="B1405" s="125" t="n"/>
      <c r="C1405" s="130" t="inlineStr">
        <is>
          <t>Уфа</t>
        </is>
      </c>
      <c r="D1405" s="130" t="inlineStr">
        <is>
          <t>Уфа</t>
        </is>
      </c>
      <c r="E1405" s="130" t="n"/>
      <c r="F1405" s="130" t="inlineStr">
        <is>
          <t>АЗС</t>
        </is>
      </c>
      <c r="G1405" s="130" t="inlineStr">
        <is>
          <t>Башнефть</t>
        </is>
      </c>
      <c r="H1405" s="131" t="n"/>
      <c r="I1405" s="637" t="inlineStr">
        <is>
          <t>№02-134</t>
        </is>
      </c>
      <c r="J1405" s="637" t="inlineStr">
        <is>
          <t>UFA_BASH_02134</t>
        </is>
      </c>
      <c r="K1405" s="640" t="n">
        <v>1</v>
      </c>
      <c r="L1405" s="640" t="n">
        <v>1</v>
      </c>
      <c r="M1405" s="623" t="inlineStr">
        <is>
          <t>Samsung 32" вертикальный</t>
        </is>
      </c>
      <c r="N1405" s="640" t="n"/>
      <c r="O1405" s="640">
        <f>IF(AND(N1405=1,L1405=1),K1405,"")</f>
        <v/>
      </c>
      <c r="P1405" s="642" t="inlineStr">
        <is>
          <t>Уфа, Октябрьский район, ул.Жукова 39 а</t>
        </is>
      </c>
      <c r="Q1405" s="640" t="inlineStr">
        <is>
          <t>54.779775</t>
        </is>
      </c>
      <c r="R1405" s="494" t="inlineStr">
        <is>
          <t>56.069049</t>
        </is>
      </c>
      <c r="S1405" s="387" t="n"/>
      <c r="T1405" s="387" t="n"/>
      <c r="U1405" s="387" t="n"/>
      <c r="V1405" s="387" t="n"/>
      <c r="W1405" s="387" t="n"/>
      <c r="X1405" s="387" t="n"/>
      <c r="Y1405" s="387" t="n"/>
    </row>
    <row r="1406" hidden="1" ht="16.05" customFormat="1" customHeight="1" s="126">
      <c r="A1406" s="125" t="n">
        <v>1875</v>
      </c>
      <c r="B1406" s="125" t="n"/>
      <c r="C1406" s="130" t="inlineStr">
        <is>
          <t>Уфа</t>
        </is>
      </c>
      <c r="D1406" s="130" t="inlineStr">
        <is>
          <t>Уфа</t>
        </is>
      </c>
      <c r="E1406" s="130" t="n"/>
      <c r="F1406" s="130" t="inlineStr">
        <is>
          <t>АЗС</t>
        </is>
      </c>
      <c r="G1406" s="130" t="inlineStr">
        <is>
          <t>Башнефть</t>
        </is>
      </c>
      <c r="H1406" s="131" t="n"/>
      <c r="I1406" s="637" t="inlineStr">
        <is>
          <t>№02-145</t>
        </is>
      </c>
      <c r="J1406" s="637" t="inlineStr">
        <is>
          <t>UFA_BASH_02145</t>
        </is>
      </c>
      <c r="K1406" s="640" t="n">
        <v>1</v>
      </c>
      <c r="L1406" s="640" t="n">
        <v>1</v>
      </c>
      <c r="M1406" s="623" t="inlineStr">
        <is>
          <t>Samsung 32" вертикальный</t>
        </is>
      </c>
      <c r="N1406" s="640" t="n"/>
      <c r="O1406" s="640">
        <f>IF(AND(N1406=1,L1406=1),K1406,"")</f>
        <v/>
      </c>
      <c r="P1406" s="642" t="inlineStr">
        <is>
          <t>Уфа, Советский район, ул.Оренбургская, 2</t>
        </is>
      </c>
      <c r="Q1406" s="640" t="inlineStr">
        <is>
          <t>54.740462</t>
        </is>
      </c>
      <c r="R1406" s="494" t="inlineStr">
        <is>
          <t>55.977094</t>
        </is>
      </c>
      <c r="S1406" s="387" t="n"/>
      <c r="T1406" s="387" t="n"/>
      <c r="U1406" s="387" t="n"/>
      <c r="V1406" s="387" t="n"/>
      <c r="W1406" s="387" t="n"/>
      <c r="X1406" s="387" t="n"/>
      <c r="Y1406" s="387" t="n"/>
    </row>
    <row r="1407" hidden="1" ht="16.05" customFormat="1" customHeight="1" s="126">
      <c r="A1407" s="125" t="n">
        <v>1876</v>
      </c>
      <c r="B1407" s="125" t="n"/>
      <c r="C1407" s="130" t="inlineStr">
        <is>
          <t>Уфа</t>
        </is>
      </c>
      <c r="D1407" s="130" t="inlineStr">
        <is>
          <t>Уфа</t>
        </is>
      </c>
      <c r="E1407" s="130" t="n"/>
      <c r="F1407" s="130" t="inlineStr">
        <is>
          <t>АЗС</t>
        </is>
      </c>
      <c r="G1407" s="130" t="inlineStr">
        <is>
          <t>Башнефть</t>
        </is>
      </c>
      <c r="H1407" s="131" t="n"/>
      <c r="I1407" s="637" t="inlineStr">
        <is>
          <t>№02-192</t>
        </is>
      </c>
      <c r="J1407" s="637" t="inlineStr">
        <is>
          <t>UFA_BASH_02192</t>
        </is>
      </c>
      <c r="K1407" s="640" t="n">
        <v>1</v>
      </c>
      <c r="L1407" s="640" t="n">
        <v>1</v>
      </c>
      <c r="M1407" s="623" t="inlineStr">
        <is>
          <t>Samsung 32" вертикальный</t>
        </is>
      </c>
      <c r="N1407" s="640" t="n"/>
      <c r="O1407" s="640">
        <f>IF(AND(N1407=1,L1407=1),K1407,"")</f>
        <v/>
      </c>
      <c r="P1407" s="642" t="inlineStr">
        <is>
          <t>Уфа, Октябрьский район, ул.Сипайловская (г. Уфа, Октябрьский район, ул. Сипайловская,11 А)</t>
        </is>
      </c>
      <c r="Q1407" s="640" t="inlineStr">
        <is>
          <t>54.778295</t>
        </is>
      </c>
      <c r="R1407" s="494" t="inlineStr">
        <is>
          <t>56.050583</t>
        </is>
      </c>
      <c r="S1407" s="387" t="n"/>
      <c r="T1407" s="387" t="n"/>
      <c r="U1407" s="387" t="n"/>
      <c r="V1407" s="387" t="n"/>
      <c r="W1407" s="387" t="n"/>
      <c r="X1407" s="387" t="n"/>
      <c r="Y1407" s="387" t="n"/>
    </row>
    <row r="1408" hidden="1" ht="16.05" customFormat="1" customHeight="1" s="126">
      <c r="A1408" s="125" t="n">
        <v>1877</v>
      </c>
      <c r="B1408" s="125" t="n"/>
      <c r="C1408" s="130" t="inlineStr">
        <is>
          <t>Уфа</t>
        </is>
      </c>
      <c r="D1408" s="130" t="inlineStr">
        <is>
          <t>Уфа</t>
        </is>
      </c>
      <c r="E1408" s="130" t="n"/>
      <c r="F1408" s="130" t="inlineStr">
        <is>
          <t>АЗС</t>
        </is>
      </c>
      <c r="G1408" s="130" t="inlineStr">
        <is>
          <t>Башнефть</t>
        </is>
      </c>
      <c r="H1408" s="131" t="n"/>
      <c r="I1408" s="637" t="inlineStr">
        <is>
          <t>№02-203</t>
        </is>
      </c>
      <c r="J1408" s="637" t="inlineStr">
        <is>
          <t>UFA_BASH_02203</t>
        </is>
      </c>
      <c r="K1408" s="640" t="n">
        <v>1</v>
      </c>
      <c r="L1408" s="640" t="n">
        <v>1</v>
      </c>
      <c r="M1408" s="623" t="inlineStr">
        <is>
          <t>Samsung 32" вертикальный</t>
        </is>
      </c>
      <c r="N1408" s="640" t="n"/>
      <c r="O1408" s="640">
        <f>IF(AND(N1408=1,L1408=1),K1408,"")</f>
        <v/>
      </c>
      <c r="P1408" s="642" t="inlineStr">
        <is>
          <t>Уфа, Калининский район, ул. Сельская Богородская (г.Уфа, Сельская Богородская ул., 33А)</t>
        </is>
      </c>
      <c r="Q1408" s="640" t="inlineStr">
        <is>
          <t>54.787456</t>
        </is>
      </c>
      <c r="R1408" s="494" t="inlineStr">
        <is>
          <t>56.140339</t>
        </is>
      </c>
      <c r="S1408" s="387" t="n"/>
      <c r="T1408" s="387" t="n"/>
      <c r="U1408" s="387" t="n"/>
      <c r="V1408" s="387" t="n"/>
      <c r="W1408" s="387" t="n"/>
      <c r="X1408" s="387" t="n"/>
      <c r="Y1408" s="387" t="n"/>
    </row>
    <row r="1409" hidden="1" ht="16.05" customFormat="1" customHeight="1" s="126">
      <c r="A1409" s="125" t="n">
        <v>1878</v>
      </c>
      <c r="B1409" s="125" t="n"/>
      <c r="C1409" s="130" t="inlineStr">
        <is>
          <t>Уфа</t>
        </is>
      </c>
      <c r="D1409" s="130" t="inlineStr">
        <is>
          <t>Уфа</t>
        </is>
      </c>
      <c r="E1409" s="130" t="n"/>
      <c r="F1409" s="130" t="inlineStr">
        <is>
          <t>АЗС</t>
        </is>
      </c>
      <c r="G1409" s="130" t="inlineStr">
        <is>
          <t>Башнефть</t>
        </is>
      </c>
      <c r="H1409" s="131" t="n"/>
      <c r="I1409" s="637" t="inlineStr">
        <is>
          <t>№02-222</t>
        </is>
      </c>
      <c r="J1409" s="637" t="inlineStr">
        <is>
          <t>UFA_BASH_02222</t>
        </is>
      </c>
      <c r="K1409" s="640" t="n">
        <v>1</v>
      </c>
      <c r="L1409" s="640" t="n">
        <v>1</v>
      </c>
      <c r="M1409" s="623" t="inlineStr">
        <is>
          <t>Samsung 32" вертикальный</t>
        </is>
      </c>
      <c r="N1409" s="640" t="n"/>
      <c r="O1409" s="640">
        <f>IF(AND(N1409=1,L1409=1),K1409,"")</f>
        <v/>
      </c>
      <c r="P1409" s="642" t="inlineStr">
        <is>
          <t>Уфа, Октябрьский район, пересечение ул.Российская-Уфимское шоссе (г. Уфа, Октябрьский район, ул. Российская, д. 35)</t>
        </is>
      </c>
      <c r="Q1409" s="640" t="inlineStr">
        <is>
          <t>54.784485</t>
        </is>
      </c>
      <c r="R1409" s="494" t="inlineStr">
        <is>
          <t>56.038378</t>
        </is>
      </c>
      <c r="S1409" s="387" t="n"/>
      <c r="T1409" s="387" t="n"/>
      <c r="U1409" s="387" t="n"/>
      <c r="V1409" s="387" t="n"/>
      <c r="W1409" s="387" t="n"/>
      <c r="X1409" s="387" t="n"/>
      <c r="Y1409" s="387" t="n"/>
    </row>
    <row r="1410" hidden="1" ht="16.05" customFormat="1" customHeight="1" s="126">
      <c r="A1410" s="125" t="n">
        <v>1879</v>
      </c>
      <c r="B1410" s="125" t="n"/>
      <c r="C1410" s="130" t="inlineStr">
        <is>
          <t>Уфа</t>
        </is>
      </c>
      <c r="D1410" s="130" t="inlineStr">
        <is>
          <t>Уфа</t>
        </is>
      </c>
      <c r="E1410" s="130" t="n"/>
      <c r="F1410" s="130" t="inlineStr">
        <is>
          <t>АЗС</t>
        </is>
      </c>
      <c r="G1410" s="130" t="inlineStr">
        <is>
          <t>Башнефть</t>
        </is>
      </c>
      <c r="H1410" s="131" t="n"/>
      <c r="I1410" s="637" t="inlineStr">
        <is>
          <t>№02-225</t>
        </is>
      </c>
      <c r="J1410" s="637" t="inlineStr">
        <is>
          <t>UFA_BASH_02225</t>
        </is>
      </c>
      <c r="K1410" s="640" t="n">
        <v>1</v>
      </c>
      <c r="L1410" s="640" t="n">
        <v>1</v>
      </c>
      <c r="M1410" s="623" t="inlineStr">
        <is>
          <t>Samsung 32" вертикальный</t>
        </is>
      </c>
      <c r="N1410" s="640" t="n"/>
      <c r="O1410" s="640">
        <f>IF(AND(N1410=1,L1410=1),K1410,"")</f>
        <v/>
      </c>
      <c r="P1410" s="642" t="inlineStr">
        <is>
          <t>Уфа, д. Жилино, автодорога «Южный подъезд к г. Уфе с мостовым переходом через р. Уфа в районе «Каменной переправы» о Октябрьском районе городского округа г. Уфа РБ (левая сторона)  (г. Уфа, Октябрьский район, д. Жилино, Нагаевское шоссе, д. 44)</t>
        </is>
      </c>
      <c r="Q1410" s="640" t="inlineStr">
        <is>
          <t>54.659294</t>
        </is>
      </c>
      <c r="R1410" s="494" t="inlineStr">
        <is>
          <t>56.078747</t>
        </is>
      </c>
      <c r="S1410" s="387" t="n"/>
      <c r="T1410" s="387" t="n"/>
      <c r="U1410" s="387" t="n"/>
      <c r="V1410" s="387" t="n"/>
      <c r="W1410" s="387" t="n"/>
      <c r="X1410" s="387" t="n"/>
      <c r="Y1410" s="387" t="n"/>
    </row>
    <row r="1411" hidden="1" ht="16.05" customFormat="1" customHeight="1" s="126">
      <c r="A1411" s="125" t="n">
        <v>1880</v>
      </c>
      <c r="B1411" s="125" t="n"/>
      <c r="C1411" s="130" t="inlineStr">
        <is>
          <t>Уфа</t>
        </is>
      </c>
      <c r="D1411" s="130" t="inlineStr">
        <is>
          <t>Уфа</t>
        </is>
      </c>
      <c r="E1411" s="130" t="n"/>
      <c r="F1411" s="130" t="inlineStr">
        <is>
          <t>АЗС</t>
        </is>
      </c>
      <c r="G1411" s="130" t="inlineStr">
        <is>
          <t>Башнефть</t>
        </is>
      </c>
      <c r="H1411" s="131" t="n"/>
      <c r="I1411" s="637" t="inlineStr">
        <is>
          <t>№02-237</t>
        </is>
      </c>
      <c r="J1411" s="637" t="inlineStr">
        <is>
          <t>UFA_BASH_02237</t>
        </is>
      </c>
      <c r="K1411" s="640" t="n">
        <v>1</v>
      </c>
      <c r="L1411" s="640" t="n">
        <v>1</v>
      </c>
      <c r="M1411" s="623" t="inlineStr">
        <is>
          <t>Samsung 32" вертикальный</t>
        </is>
      </c>
      <c r="N1411" s="640" t="n"/>
      <c r="O1411" s="640">
        <f>IF(AND(N1411=1,L1411=1),K1411,"")</f>
        <v/>
      </c>
      <c r="P1411" s="642" t="inlineStr">
        <is>
          <t>Уфа, Калининский район, автодорога Уфа-Шакша</t>
        </is>
      </c>
      <c r="Q1411" s="640" t="inlineStr">
        <is>
          <t>54.805374</t>
        </is>
      </c>
      <c r="R1411" s="494" t="inlineStr">
        <is>
          <t>56.177695</t>
        </is>
      </c>
      <c r="S1411" s="387" t="n"/>
      <c r="T1411" s="387" t="n"/>
      <c r="U1411" s="387" t="n"/>
      <c r="V1411" s="387" t="n"/>
      <c r="W1411" s="387" t="n"/>
      <c r="X1411" s="387" t="n"/>
      <c r="Y1411" s="387" t="n"/>
    </row>
    <row r="1412" hidden="1" ht="16.05" customFormat="1" customHeight="1" s="126">
      <c r="A1412" s="125" t="n">
        <v>1881</v>
      </c>
      <c r="B1412" s="125" t="n"/>
      <c r="C1412" s="130" t="inlineStr">
        <is>
          <t>Уфа</t>
        </is>
      </c>
      <c r="D1412" s="130" t="inlineStr">
        <is>
          <t>Уфа</t>
        </is>
      </c>
      <c r="E1412" s="130" t="n"/>
      <c r="F1412" s="130" t="inlineStr">
        <is>
          <t>АЗС</t>
        </is>
      </c>
      <c r="G1412" s="130" t="inlineStr">
        <is>
          <t>Башнефть</t>
        </is>
      </c>
      <c r="H1412" s="131" t="n"/>
      <c r="I1412" s="637" t="inlineStr">
        <is>
          <t>№02-238</t>
        </is>
      </c>
      <c r="J1412" s="637" t="inlineStr">
        <is>
          <t>UFA_BASH_02238</t>
        </is>
      </c>
      <c r="K1412" s="640" t="n">
        <v>1</v>
      </c>
      <c r="L1412" s="640" t="n">
        <v>1</v>
      </c>
      <c r="M1412" s="623" t="inlineStr">
        <is>
          <t>Samsung 32" вертикальный</t>
        </is>
      </c>
      <c r="N1412" s="640" t="n"/>
      <c r="O1412" s="640">
        <f>IF(AND(N1412=1,L1412=1),K1412,"")</f>
        <v/>
      </c>
      <c r="P1412" s="642" t="inlineStr">
        <is>
          <t>Уфа, Советский р-н, ул. Менделеева (г. Уфа, Советский район, ул. Менделеева, д. 157)</t>
        </is>
      </c>
      <c r="Q1412" s="640" t="inlineStr">
        <is>
          <t>54.718347</t>
        </is>
      </c>
      <c r="R1412" s="494" t="inlineStr">
        <is>
          <t>56.005438</t>
        </is>
      </c>
      <c r="S1412" s="387" t="n"/>
      <c r="T1412" s="387" t="n"/>
      <c r="U1412" s="387" t="n"/>
      <c r="V1412" s="387" t="n"/>
      <c r="W1412" s="387" t="n"/>
      <c r="X1412" s="387" t="n"/>
      <c r="Y1412" s="387" t="n"/>
    </row>
    <row r="1413" hidden="1" ht="16.05" customFormat="1" customHeight="1" s="126">
      <c r="A1413" s="125" t="n">
        <v>1882</v>
      </c>
      <c r="B1413" s="125" t="n"/>
      <c r="C1413" s="130" t="inlineStr">
        <is>
          <t>Уфа</t>
        </is>
      </c>
      <c r="D1413" s="130" t="inlineStr">
        <is>
          <t>Уфа</t>
        </is>
      </c>
      <c r="E1413" s="130" t="n"/>
      <c r="F1413" s="130" t="inlineStr">
        <is>
          <t>АЗС</t>
        </is>
      </c>
      <c r="G1413" s="130" t="inlineStr">
        <is>
          <t>Башнефть</t>
        </is>
      </c>
      <c r="H1413" s="131" t="n"/>
      <c r="I1413" s="637" t="inlineStr">
        <is>
          <t>№02-251</t>
        </is>
      </c>
      <c r="J1413" s="637" t="inlineStr">
        <is>
          <t>UFA_BASH_02251</t>
        </is>
      </c>
      <c r="K1413" s="640" t="n">
        <v>1</v>
      </c>
      <c r="L1413" s="640" t="n">
        <v>1</v>
      </c>
      <c r="M1413" s="623" t="inlineStr">
        <is>
          <t>Samsung 32" вертикальный</t>
        </is>
      </c>
      <c r="N1413" s="640" t="n"/>
      <c r="O1413" s="640">
        <f>IF(AND(N1413=1,L1413=1),K1413,"")</f>
        <v/>
      </c>
      <c r="P1413" s="642" t="inlineStr">
        <is>
          <t>Уфа, Орджоникидзевский р-н, ул. Комарова (г. Уфа, Орджоникидзевский район, ул. Комарова, д. 1/1)</t>
        </is>
      </c>
      <c r="Q1413" s="640" t="inlineStr">
        <is>
          <t>54.815059</t>
        </is>
      </c>
      <c r="R1413" s="494" t="inlineStr">
        <is>
          <t>56.04428</t>
        </is>
      </c>
      <c r="S1413" s="387" t="n"/>
      <c r="T1413" s="387" t="n"/>
      <c r="U1413" s="387" t="n"/>
      <c r="V1413" s="387" t="n"/>
      <c r="W1413" s="387" t="n"/>
      <c r="X1413" s="387" t="n"/>
      <c r="Y1413" s="387" t="n"/>
    </row>
    <row r="1414" hidden="1" ht="16.05" customFormat="1" customHeight="1" s="126">
      <c r="A1414" s="125" t="n">
        <v>1883</v>
      </c>
      <c r="B1414" s="125" t="n"/>
      <c r="C1414" s="130" t="inlineStr">
        <is>
          <t>Уфа</t>
        </is>
      </c>
      <c r="D1414" s="130" t="inlineStr">
        <is>
          <t>Уфа</t>
        </is>
      </c>
      <c r="E1414" s="130" t="n"/>
      <c r="F1414" s="130" t="inlineStr">
        <is>
          <t>АЗС</t>
        </is>
      </c>
      <c r="G1414" s="130" t="inlineStr">
        <is>
          <t>Башнефть</t>
        </is>
      </c>
      <c r="H1414" s="131" t="n"/>
      <c r="I1414" s="637" t="inlineStr">
        <is>
          <t>№02-255</t>
        </is>
      </c>
      <c r="J1414" s="637" t="inlineStr">
        <is>
          <t>UFA_BASH_02255</t>
        </is>
      </c>
      <c r="K1414" s="640" t="n">
        <v>1</v>
      </c>
      <c r="L1414" s="640" t="n">
        <v>1</v>
      </c>
      <c r="M1414" s="623" t="inlineStr">
        <is>
          <t>Samsung 32" вертикальный</t>
        </is>
      </c>
      <c r="N1414" s="640" t="n"/>
      <c r="O1414" s="640">
        <f>IF(AND(N1414=1,L1414=1),K1414,"")</f>
        <v/>
      </c>
      <c r="P1414" s="642" t="inlineStr">
        <is>
          <t>Уфа, Кировский р-н, ул. Менделеева (г. Уфа, Кировский район, ул. Менделеева, д. 56/1)</t>
        </is>
      </c>
      <c r="Q1414" s="640" t="inlineStr">
        <is>
          <t>54.710106</t>
        </is>
      </c>
      <c r="R1414" s="494" t="inlineStr">
        <is>
          <t>55.97714</t>
        </is>
      </c>
      <c r="S1414" s="387" t="n"/>
      <c r="T1414" s="387" t="n"/>
      <c r="U1414" s="387" t="n"/>
      <c r="V1414" s="387" t="n"/>
      <c r="W1414" s="387" t="n"/>
      <c r="X1414" s="387" t="n"/>
      <c r="Y1414" s="387" t="n"/>
    </row>
    <row r="1415" hidden="1" ht="16.05" customFormat="1" customHeight="1" s="126">
      <c r="A1415" s="125" t="n">
        <v>1885</v>
      </c>
      <c r="B1415" s="125" t="n"/>
      <c r="C1415" s="130" t="inlineStr">
        <is>
          <t>Оренбург</t>
        </is>
      </c>
      <c r="D1415" s="130" t="inlineStr">
        <is>
          <t>Оренбург</t>
        </is>
      </c>
      <c r="E1415" s="130" t="n"/>
      <c r="F1415" s="130" t="inlineStr">
        <is>
          <t>АЗС</t>
        </is>
      </c>
      <c r="G1415" s="130" t="inlineStr">
        <is>
          <t>Башнефть</t>
        </is>
      </c>
      <c r="H1415" s="131" t="n"/>
      <c r="I1415" s="637" t="inlineStr">
        <is>
          <t>№56-026</t>
        </is>
      </c>
      <c r="J1415" s="637" t="inlineStr">
        <is>
          <t>ORE_BASH_56026</t>
        </is>
      </c>
      <c r="K1415" s="640" t="n">
        <v>1</v>
      </c>
      <c r="L1415" s="640" t="n">
        <v>1</v>
      </c>
      <c r="M1415" s="623" t="inlineStr">
        <is>
          <t>Samsung 32" вертикальный</t>
        </is>
      </c>
      <c r="N1415" s="640" t="n"/>
      <c r="O1415" s="640">
        <f>IF(AND(N1415=1,L1415=1),K1415,"")</f>
        <v/>
      </c>
      <c r="P1415" s="642" t="inlineStr">
        <is>
          <t>Оренбург, пр. Победы, д. 162/1</t>
        </is>
      </c>
      <c r="Q1415" s="640" t="inlineStr">
        <is>
          <t>51.812842</t>
        </is>
      </c>
      <c r="R1415" s="494" t="inlineStr">
        <is>
          <t>55.145314</t>
        </is>
      </c>
      <c r="S1415" s="387" t="n"/>
      <c r="T1415" s="387" t="n"/>
      <c r="U1415" s="387" t="n"/>
      <c r="V1415" s="387" t="n"/>
      <c r="W1415" s="387" t="n"/>
      <c r="X1415" s="387" t="n"/>
      <c r="Y1415" s="387" t="n"/>
    </row>
    <row r="1416" hidden="1" ht="16.05" customFormat="1" customHeight="1" s="126">
      <c r="A1416" s="125" t="n">
        <v>1887</v>
      </c>
      <c r="B1416" s="125" t="n"/>
      <c r="C1416" s="130" t="inlineStr">
        <is>
          <t>Оренбург</t>
        </is>
      </c>
      <c r="D1416" s="130" t="inlineStr">
        <is>
          <t>Оренбург</t>
        </is>
      </c>
      <c r="E1416" s="130" t="n"/>
      <c r="F1416" s="130" t="inlineStr">
        <is>
          <t>АЗС</t>
        </is>
      </c>
      <c r="G1416" s="130" t="inlineStr">
        <is>
          <t>Башнефть</t>
        </is>
      </c>
      <c r="H1416" s="131" t="n"/>
      <c r="I1416" s="637" t="inlineStr">
        <is>
          <t>№56-035</t>
        </is>
      </c>
      <c r="J1416" s="637" t="inlineStr">
        <is>
          <t>ORE_BASH_56035</t>
        </is>
      </c>
      <c r="K1416" s="640" t="n">
        <v>1</v>
      </c>
      <c r="L1416" s="640" t="n">
        <v>1</v>
      </c>
      <c r="M1416" s="623" t="inlineStr">
        <is>
          <t>Samsung 32" вертикальный</t>
        </is>
      </c>
      <c r="N1416" s="640" t="n"/>
      <c r="O1416" s="640">
        <f>IF(AND(N1416=1,L1416=1),K1416,"")</f>
        <v/>
      </c>
      <c r="P1416" s="642" t="inlineStr">
        <is>
          <t>Оренбург, пр. Победы, д. 77</t>
        </is>
      </c>
      <c r="Q1416" s="640" t="inlineStr">
        <is>
          <t>51.788075</t>
        </is>
      </c>
      <c r="R1416" s="494" t="inlineStr">
        <is>
          <t>55.120583</t>
        </is>
      </c>
      <c r="S1416" s="387" t="n"/>
      <c r="T1416" s="387" t="n"/>
      <c r="U1416" s="387" t="n"/>
      <c r="V1416" s="387" t="n"/>
      <c r="W1416" s="387" t="n"/>
      <c r="X1416" s="387" t="n"/>
      <c r="Y1416" s="387" t="n"/>
    </row>
    <row r="1417" hidden="1" ht="16.05" customFormat="1" customHeight="1" s="126">
      <c r="A1417" s="125" t="n">
        <v>1884</v>
      </c>
      <c r="B1417" s="125" t="n"/>
      <c r="C1417" s="130" t="inlineStr">
        <is>
          <t>Уфа</t>
        </is>
      </c>
      <c r="D1417" s="130" t="inlineStr">
        <is>
          <t>Уфа</t>
        </is>
      </c>
      <c r="E1417" s="130" t="n"/>
      <c r="F1417" s="130" t="inlineStr">
        <is>
          <t>АЗС</t>
        </is>
      </c>
      <c r="G1417" s="130" t="inlineStr">
        <is>
          <t>Башнефть</t>
        </is>
      </c>
      <c r="H1417" s="131" t="n"/>
      <c r="I1417" s="637" t="inlineStr">
        <is>
          <t>№02-270</t>
        </is>
      </c>
      <c r="J1417" s="637" t="inlineStr">
        <is>
          <t>UFA_BASH_02270</t>
        </is>
      </c>
      <c r="K1417" s="640" t="n">
        <v>1</v>
      </c>
      <c r="L1417" s="640" t="n">
        <v>1</v>
      </c>
      <c r="M1417" s="623" t="inlineStr">
        <is>
          <t>Samsung 32" вертикальный</t>
        </is>
      </c>
      <c r="N1417" s="640" t="n"/>
      <c r="O1417" s="640">
        <f>IF(AND(N1417=1,L1417=1),K1417,"")</f>
        <v/>
      </c>
      <c r="P1417" s="642" t="inlineStr">
        <is>
          <t>Уфа, Демский р-он, ул. Центральная (г. Уфа, Демский район, ул. Центральная, д. 46)</t>
        </is>
      </c>
      <c r="Q1417" s="640" t="inlineStr">
        <is>
          <t>54.695518</t>
        </is>
      </c>
      <c r="R1417" s="422" t="inlineStr">
        <is>
          <t>55.826411</t>
        </is>
      </c>
      <c r="S1417" s="387" t="n"/>
      <c r="T1417" s="387" t="n"/>
      <c r="U1417" s="387" t="n"/>
      <c r="V1417" s="387" t="n"/>
      <c r="W1417" s="387" t="n"/>
      <c r="X1417" s="387" t="n"/>
      <c r="Y1417" s="387" t="n"/>
    </row>
    <row r="1418" hidden="1" ht="16.05" customFormat="1" customHeight="1" s="126">
      <c r="A1418" s="125" t="n">
        <v>1888</v>
      </c>
      <c r="B1418" s="125" t="n"/>
      <c r="C1418" s="130" t="inlineStr">
        <is>
          <t>Оренбург</t>
        </is>
      </c>
      <c r="D1418" s="130" t="inlineStr">
        <is>
          <t>Оренбург</t>
        </is>
      </c>
      <c r="E1418" s="130" t="n"/>
      <c r="F1418" s="130" t="inlineStr">
        <is>
          <t>АЗС</t>
        </is>
      </c>
      <c r="G1418" s="130" t="inlineStr">
        <is>
          <t>Башнефть</t>
        </is>
      </c>
      <c r="H1418" s="131" t="n"/>
      <c r="I1418" s="637" t="inlineStr">
        <is>
          <t>№56-036</t>
        </is>
      </c>
      <c r="J1418" s="637" t="inlineStr">
        <is>
          <t>ORE_BASH_56036</t>
        </is>
      </c>
      <c r="K1418" s="640" t="n">
        <v>1</v>
      </c>
      <c r="L1418" s="640" t="n">
        <v>1</v>
      </c>
      <c r="M1418" s="623" t="inlineStr">
        <is>
          <t>Samsung 32" вертикальный</t>
        </is>
      </c>
      <c r="N1418" s="640" t="n"/>
      <c r="O1418" s="640">
        <f>IF(AND(N1418=1,L1418=1),K1418,"")</f>
        <v/>
      </c>
      <c r="P1418" s="642" t="inlineStr">
        <is>
          <t>Оренбург, ул. Монтажников, д. 27</t>
        </is>
      </c>
      <c r="Q1418" s="640" t="inlineStr">
        <is>
          <t>51.800695</t>
        </is>
      </c>
      <c r="R1418" s="494" t="inlineStr">
        <is>
          <t>55.152062</t>
        </is>
      </c>
      <c r="S1418" s="387" t="n"/>
      <c r="T1418" s="387" t="n"/>
      <c r="U1418" s="387" t="n"/>
      <c r="V1418" s="387" t="n"/>
      <c r="W1418" s="387" t="n"/>
      <c r="X1418" s="387" t="n"/>
      <c r="Y1418" s="387" t="n"/>
    </row>
    <row r="1419" hidden="1" ht="16.05" customFormat="1" customHeight="1" s="126">
      <c r="A1419" s="125" t="n">
        <v>1886</v>
      </c>
      <c r="B1419" s="125" t="n"/>
      <c r="C1419" s="130" t="inlineStr">
        <is>
          <t>Оренбург</t>
        </is>
      </c>
      <c r="D1419" s="130" t="inlineStr">
        <is>
          <t>Оренбург</t>
        </is>
      </c>
      <c r="E1419" s="130" t="n"/>
      <c r="F1419" s="130" t="inlineStr">
        <is>
          <t>АЗС</t>
        </is>
      </c>
      <c r="G1419" s="130" t="inlineStr">
        <is>
          <t>Башнефть</t>
        </is>
      </c>
      <c r="H1419" s="131" t="n"/>
      <c r="I1419" s="637" t="inlineStr">
        <is>
          <t>№56-034</t>
        </is>
      </c>
      <c r="J1419" s="637" t="inlineStr">
        <is>
          <t>ORE_BASH_56034</t>
        </is>
      </c>
      <c r="K1419" s="640" t="n">
        <v>1</v>
      </c>
      <c r="L1419" s="640" t="n">
        <v>0</v>
      </c>
      <c r="M1419" s="640" t="inlineStr">
        <is>
          <t>Samsung 32" вертикальный</t>
        </is>
      </c>
      <c r="N1419" s="640" t="n"/>
      <c r="O1419" s="640">
        <f>IF(AND(N1419=1,L1419=1),K1419,"")</f>
        <v/>
      </c>
      <c r="P1419" s="642" t="inlineStr">
        <is>
          <t>Оренбург, пер. Промысловый, д. 11</t>
        </is>
      </c>
      <c r="Q1419" s="640" t="inlineStr">
        <is>
          <t>51.783117</t>
        </is>
      </c>
      <c r="R1419" s="422" t="inlineStr">
        <is>
          <t>55.185042</t>
        </is>
      </c>
      <c r="S1419" s="387" t="n"/>
      <c r="T1419" s="387" t="n"/>
      <c r="U1419" s="387" t="n"/>
      <c r="V1419" s="387" t="n"/>
      <c r="W1419" s="387" t="n"/>
      <c r="X1419" s="387" t="n"/>
      <c r="Y1419" s="387" t="n"/>
    </row>
    <row r="1420" hidden="1" ht="16.05" customFormat="1" customHeight="1" s="126">
      <c r="A1420" s="125" t="n">
        <v>1890</v>
      </c>
      <c r="B1420" s="125" t="n"/>
      <c r="C1420" s="130" t="inlineStr">
        <is>
          <t>Оренбург</t>
        </is>
      </c>
      <c r="D1420" s="130" t="inlineStr">
        <is>
          <t>Оренбург</t>
        </is>
      </c>
      <c r="E1420" s="130" t="n"/>
      <c r="F1420" s="130" t="inlineStr">
        <is>
          <t>АЗС</t>
        </is>
      </c>
      <c r="G1420" s="130" t="inlineStr">
        <is>
          <t>Башнефть</t>
        </is>
      </c>
      <c r="H1420" s="131" t="n"/>
      <c r="I1420" s="637" t="inlineStr">
        <is>
          <t>№56-038</t>
        </is>
      </c>
      <c r="J1420" s="637" t="inlineStr">
        <is>
          <t>ORE_BASH_56038</t>
        </is>
      </c>
      <c r="K1420" s="640" t="n">
        <v>1</v>
      </c>
      <c r="L1420" s="640" t="n">
        <v>1</v>
      </c>
      <c r="M1420" s="623" t="inlineStr">
        <is>
          <t>Samsung 32" вертикальный</t>
        </is>
      </c>
      <c r="N1420" s="640" t="n"/>
      <c r="O1420" s="640">
        <f>IF(AND(N1420=1,L1420=1),K1420,"")</f>
        <v/>
      </c>
      <c r="P1420" s="642" t="inlineStr">
        <is>
          <t>Оренбург, ул. Терешковой, д. 136А</t>
        </is>
      </c>
      <c r="Q1420" s="640" t="inlineStr">
        <is>
          <t>51.819174</t>
        </is>
      </c>
      <c r="R1420" s="494" t="inlineStr">
        <is>
          <t>55.108882</t>
        </is>
      </c>
      <c r="S1420" s="387" t="n"/>
      <c r="T1420" s="387" t="n"/>
      <c r="U1420" s="387" t="n"/>
      <c r="V1420" s="387" t="n"/>
      <c r="W1420" s="387" t="n"/>
      <c r="X1420" s="387" t="n"/>
      <c r="Y1420" s="387" t="n"/>
    </row>
    <row r="1421" hidden="1" ht="16.05" customFormat="1" customHeight="1" s="126">
      <c r="A1421" s="125" t="n">
        <v>1891</v>
      </c>
      <c r="B1421" s="125" t="n"/>
      <c r="C1421" s="130" t="inlineStr">
        <is>
          <t>Оренбург</t>
        </is>
      </c>
      <c r="D1421" s="130" t="inlineStr">
        <is>
          <t>Оренбург</t>
        </is>
      </c>
      <c r="E1421" s="130" t="n"/>
      <c r="F1421" s="130" t="inlineStr">
        <is>
          <t>АЗС</t>
        </is>
      </c>
      <c r="G1421" s="130" t="inlineStr">
        <is>
          <t>Башнефть</t>
        </is>
      </c>
      <c r="H1421" s="131" t="n"/>
      <c r="I1421" s="637" t="inlineStr">
        <is>
          <t>№56-039</t>
        </is>
      </c>
      <c r="J1421" s="637" t="inlineStr">
        <is>
          <t>ORE_BASH_56039</t>
        </is>
      </c>
      <c r="K1421" s="640" t="n">
        <v>1</v>
      </c>
      <c r="L1421" s="640" t="n">
        <v>1</v>
      </c>
      <c r="M1421" s="623" t="inlineStr">
        <is>
          <t>Samsung 32" вертикальный</t>
        </is>
      </c>
      <c r="N1421" s="640" t="n"/>
      <c r="O1421" s="640">
        <f>IF(AND(N1421=1,L1421=1),K1421,"")</f>
        <v/>
      </c>
      <c r="P1421" s="642" t="inlineStr">
        <is>
          <t>Оренбург, ул. Беляевская, д. 131</t>
        </is>
      </c>
      <c r="Q1421" s="640" t="inlineStr">
        <is>
          <t>51.720691</t>
        </is>
      </c>
      <c r="R1421" s="494" t="inlineStr">
        <is>
          <t>55.118079</t>
        </is>
      </c>
      <c r="S1421" s="387" t="n"/>
      <c r="T1421" s="387" t="n"/>
      <c r="U1421" s="387" t="n"/>
      <c r="V1421" s="387" t="n"/>
      <c r="W1421" s="387" t="n"/>
      <c r="X1421" s="387" t="n"/>
      <c r="Y1421" s="387" t="n"/>
    </row>
    <row r="1422" hidden="1" ht="16.05" customFormat="1" customHeight="1" s="126">
      <c r="A1422" s="125" t="n">
        <v>1892</v>
      </c>
      <c r="B1422" s="125" t="n"/>
      <c r="C1422" s="130" t="inlineStr">
        <is>
          <t>Оренбург</t>
        </is>
      </c>
      <c r="D1422" s="130" t="inlineStr">
        <is>
          <t>Оренбург</t>
        </is>
      </c>
      <c r="E1422" s="130" t="n"/>
      <c r="F1422" s="130" t="inlineStr">
        <is>
          <t>АЗС</t>
        </is>
      </c>
      <c r="G1422" s="130" t="inlineStr">
        <is>
          <t>Башнефть</t>
        </is>
      </c>
      <c r="H1422" s="131" t="n"/>
      <c r="I1422" s="637" t="inlineStr">
        <is>
          <t>№56-062</t>
        </is>
      </c>
      <c r="J1422" s="637" t="inlineStr">
        <is>
          <t>ORE_BASH_56062</t>
        </is>
      </c>
      <c r="K1422" s="640" t="n">
        <v>1</v>
      </c>
      <c r="L1422" s="640" t="n">
        <v>1</v>
      </c>
      <c r="M1422" s="623" t="inlineStr">
        <is>
          <t>Samsung 32" вертикальный</t>
        </is>
      </c>
      <c r="N1422" s="640" t="n"/>
      <c r="O1422" s="640">
        <f>IF(AND(N1422=1,L1422=1),K1422,"")</f>
        <v/>
      </c>
      <c r="P1422" s="642" t="inlineStr">
        <is>
          <t>Оренбург пр.Знаменских 2 а</t>
        </is>
      </c>
      <c r="Q1422" s="640" t="inlineStr">
        <is>
          <t>51.780783</t>
        </is>
      </c>
      <c r="R1422" s="494" t="inlineStr">
        <is>
          <t>55.145329</t>
        </is>
      </c>
      <c r="S1422" s="387" t="n"/>
      <c r="T1422" s="387" t="n"/>
      <c r="U1422" s="387" t="n"/>
      <c r="V1422" s="387" t="n"/>
      <c r="W1422" s="387" t="n"/>
      <c r="X1422" s="387" t="n"/>
      <c r="Y1422" s="387" t="n"/>
    </row>
    <row r="1423" hidden="1" ht="16.05" customHeight="1">
      <c r="A1423" s="791" t="n">
        <v>1889</v>
      </c>
      <c r="B1423" s="13">
        <f>IF(OR(M1423="Sam 32",M1423="Sam 40"),"s",IF(M1423="AMS","a","v"))</f>
        <v/>
      </c>
      <c r="C1423" s="130" t="inlineStr">
        <is>
          <t>Оренбург</t>
        </is>
      </c>
      <c r="D1423" s="130" t="inlineStr">
        <is>
          <t>Оренбург</t>
        </is>
      </c>
      <c r="E1423" s="130" t="n"/>
      <c r="F1423" s="130" t="n"/>
      <c r="G1423" s="130" t="inlineStr">
        <is>
          <t>Башнефть</t>
        </is>
      </c>
      <c r="H1423" s="131" t="n"/>
      <c r="I1423" s="637" t="inlineStr">
        <is>
          <t>№56-037</t>
        </is>
      </c>
      <c r="J1423" s="637" t="n"/>
      <c r="K1423" s="640" t="n">
        <v>0</v>
      </c>
      <c r="L1423" s="640" t="n">
        <v>0</v>
      </c>
      <c r="M1423" s="640" t="inlineStr">
        <is>
          <t>Sam 32</t>
        </is>
      </c>
      <c r="N1423" s="640" t="n"/>
      <c r="O1423" s="640">
        <f>IF(AND(N1423=1,L1423=1),K1423,"")</f>
        <v/>
      </c>
      <c r="P1423" s="642" t="inlineStr">
        <is>
          <t>Оренбург, ул. Донгузская, д. 11</t>
        </is>
      </c>
      <c r="Q1423" s="640" t="n"/>
      <c r="R1423" s="422" t="n"/>
      <c r="X1423" s="1" t="n"/>
      <c r="Y1423" s="1" t="n"/>
      <c r="Z1423" s="1" t="n"/>
    </row>
    <row r="1424" hidden="1" ht="16.05" customFormat="1" customHeight="1" s="126">
      <c r="A1424" s="125" t="n">
        <v>1893</v>
      </c>
      <c r="B1424" s="125" t="n"/>
      <c r="C1424" s="130" t="inlineStr">
        <is>
          <t>Оренбург</t>
        </is>
      </c>
      <c r="D1424" s="130" t="inlineStr">
        <is>
          <t>Оренбург</t>
        </is>
      </c>
      <c r="E1424" s="130" t="n"/>
      <c r="F1424" s="130" t="inlineStr">
        <is>
          <t>АЗС</t>
        </is>
      </c>
      <c r="G1424" s="130" t="inlineStr">
        <is>
          <t>Башнефть</t>
        </is>
      </c>
      <c r="H1424" s="131" t="n"/>
      <c r="I1424" s="637" t="inlineStr">
        <is>
          <t>№56-072</t>
        </is>
      </c>
      <c r="J1424" s="637" t="inlineStr">
        <is>
          <t>ORE_BASH_56072</t>
        </is>
      </c>
      <c r="K1424" s="640" t="n">
        <v>1</v>
      </c>
      <c r="L1424" s="640" t="n">
        <v>1</v>
      </c>
      <c r="M1424" s="623" t="inlineStr">
        <is>
          <t>Samsung 32" вертикальный</t>
        </is>
      </c>
      <c r="N1424" s="640" t="n"/>
      <c r="O1424" s="640">
        <f>IF(AND(N1424=1,L1424=1),K1424,"")</f>
        <v/>
      </c>
      <c r="P1424" s="642" t="inlineStr">
        <is>
          <t>Оренбург ул.Шоссейная 36</t>
        </is>
      </c>
      <c r="Q1424" s="640" t="inlineStr">
        <is>
          <t>51.83228</t>
        </is>
      </c>
      <c r="R1424" s="494" t="inlineStr">
        <is>
          <t>55.112007</t>
        </is>
      </c>
      <c r="S1424" s="387" t="n"/>
      <c r="T1424" s="387" t="n"/>
      <c r="U1424" s="387" t="n"/>
      <c r="V1424" s="387" t="n"/>
      <c r="W1424" s="387" t="n"/>
      <c r="X1424" s="387" t="n"/>
      <c r="Y1424" s="387" t="n"/>
    </row>
    <row r="1425" hidden="1" ht="16.05" customFormat="1" customHeight="1" s="126">
      <c r="A1425" s="125" t="n">
        <v>1894</v>
      </c>
      <c r="B1425" s="125" t="n"/>
      <c r="C1425" s="130" t="inlineStr">
        <is>
          <t>Татарстан</t>
        </is>
      </c>
      <c r="D1425" s="130" t="inlineStr">
        <is>
          <t>Зеленодольск</t>
        </is>
      </c>
      <c r="E1425" s="130" t="n"/>
      <c r="F1425" s="130" t="inlineStr">
        <is>
          <t>АЗС</t>
        </is>
      </c>
      <c r="G1425" s="130" t="inlineStr">
        <is>
          <t>Башнефть</t>
        </is>
      </c>
      <c r="H1425" s="131" t="n"/>
      <c r="I1425" s="637" t="inlineStr">
        <is>
          <t>№16-001</t>
        </is>
      </c>
      <c r="J1425" s="637" t="inlineStr">
        <is>
          <t>KAZ_BASH_16001</t>
        </is>
      </c>
      <c r="K1425" s="640" t="n">
        <v>1</v>
      </c>
      <c r="L1425" s="640" t="n">
        <v>1</v>
      </c>
      <c r="M1425" s="623" t="inlineStr">
        <is>
          <t>Samsung 32" вертикальный</t>
        </is>
      </c>
      <c r="N1425" s="640" t="n"/>
      <c r="O1425" s="640">
        <f>IF(AND(N1425=1,L1425=1),K1425,"")</f>
        <v/>
      </c>
      <c r="P1425" s="642" t="inlineStr">
        <is>
          <t>Зеленодольск, ул. Молодежная, 38</t>
        </is>
      </c>
      <c r="Q1425" s="640" t="inlineStr">
        <is>
          <t>55.846199</t>
        </is>
      </c>
      <c r="R1425" s="494" t="inlineStr">
        <is>
          <t>48.54931</t>
        </is>
      </c>
      <c r="S1425" s="387" t="n"/>
      <c r="T1425" s="387" t="n"/>
      <c r="U1425" s="387" t="n"/>
      <c r="V1425" s="387" t="n"/>
      <c r="W1425" s="387" t="n"/>
      <c r="X1425" s="387" t="n"/>
      <c r="Y1425" s="387" t="n"/>
    </row>
    <row r="1426" hidden="1" ht="16.05" customFormat="1" customHeight="1" s="126">
      <c r="A1426" s="125" t="n">
        <v>1895</v>
      </c>
      <c r="B1426" s="125" t="n"/>
      <c r="C1426" s="130" t="inlineStr">
        <is>
          <t>Татарстан</t>
        </is>
      </c>
      <c r="D1426" s="130" t="inlineStr">
        <is>
          <t>Казань</t>
        </is>
      </c>
      <c r="E1426" s="130" t="n"/>
      <c r="F1426" s="130" t="inlineStr">
        <is>
          <t>АЗС</t>
        </is>
      </c>
      <c r="G1426" s="130" t="inlineStr">
        <is>
          <t>Башнефть</t>
        </is>
      </c>
      <c r="H1426" s="131" t="n"/>
      <c r="I1426" s="637" t="inlineStr">
        <is>
          <t>№16-004</t>
        </is>
      </c>
      <c r="J1426" s="637" t="inlineStr">
        <is>
          <t>KAZ_BASH_16004</t>
        </is>
      </c>
      <c r="K1426" s="640" t="n">
        <v>1</v>
      </c>
      <c r="L1426" s="640" t="n">
        <v>1</v>
      </c>
      <c r="M1426" s="623" t="inlineStr">
        <is>
          <t>Samsung 32" вертикальный</t>
        </is>
      </c>
      <c r="N1426" s="640" t="n"/>
      <c r="O1426" s="640">
        <f>IF(AND(N1426=1,L1426=1),K1426,"")</f>
        <v/>
      </c>
      <c r="P1426" s="642" t="inlineStr">
        <is>
          <t>Казань, поселок Кадышево (Придорожная улица, 1А)</t>
        </is>
      </c>
      <c r="Q1426" s="640" t="inlineStr">
        <is>
          <t>55.883143</t>
        </is>
      </c>
      <c r="R1426" s="494" t="inlineStr">
        <is>
          <t>49.107304</t>
        </is>
      </c>
      <c r="S1426" s="387" t="n"/>
      <c r="T1426" s="387" t="n"/>
      <c r="U1426" s="387" t="n"/>
      <c r="V1426" s="387" t="n"/>
      <c r="W1426" s="387" t="n"/>
      <c r="X1426" s="387" t="n"/>
      <c r="Y1426" s="387" t="n"/>
    </row>
    <row r="1427" hidden="1" ht="16.05" customFormat="1" customHeight="1" s="126">
      <c r="A1427" s="125" t="n">
        <v>1896</v>
      </c>
      <c r="B1427" s="125" t="n"/>
      <c r="C1427" s="130" t="inlineStr">
        <is>
          <t>Самара</t>
        </is>
      </c>
      <c r="D1427" s="130" t="inlineStr">
        <is>
          <t>Самара</t>
        </is>
      </c>
      <c r="E1427" s="130" t="n"/>
      <c r="F1427" s="130" t="inlineStr">
        <is>
          <t>АЗС</t>
        </is>
      </c>
      <c r="G1427" s="130" t="inlineStr">
        <is>
          <t>Башнефть</t>
        </is>
      </c>
      <c r="H1427" s="131" t="n"/>
      <c r="I1427" s="637" t="inlineStr">
        <is>
          <t>№63-007</t>
        </is>
      </c>
      <c r="J1427" s="637" t="inlineStr">
        <is>
          <t>SMR_BASH_63007</t>
        </is>
      </c>
      <c r="K1427" s="640" t="n">
        <v>1</v>
      </c>
      <c r="L1427" s="640" t="n">
        <v>1</v>
      </c>
      <c r="M1427" s="623" t="inlineStr">
        <is>
          <t>Samsung 32" вертикальный</t>
        </is>
      </c>
      <c r="N1427" s="640" t="n"/>
      <c r="O1427" s="640">
        <f>IF(AND(N1427=1,L1427=1),K1427,"")</f>
        <v/>
      </c>
      <c r="P1427" s="642" t="inlineStr">
        <is>
          <t>Самара ул. Партизанская, 9</t>
        </is>
      </c>
      <c r="Q1427" s="640" t="inlineStr">
        <is>
          <t>53.193443</t>
        </is>
      </c>
      <c r="R1427" s="494" t="inlineStr">
        <is>
          <t>50.16432</t>
        </is>
      </c>
      <c r="S1427" s="387" t="n"/>
      <c r="T1427" s="387" t="n"/>
      <c r="U1427" s="387" t="n"/>
      <c r="V1427" s="387" t="n"/>
      <c r="W1427" s="387" t="n"/>
      <c r="X1427" s="387" t="n"/>
      <c r="Y1427" s="387" t="n"/>
    </row>
    <row r="1428" hidden="1" ht="16.05" customFormat="1" customHeight="1" s="126">
      <c r="A1428" s="125" t="n">
        <v>1897</v>
      </c>
      <c r="B1428" s="125" t="n"/>
      <c r="C1428" s="130" t="inlineStr">
        <is>
          <t>Самара</t>
        </is>
      </c>
      <c r="D1428" s="130" t="inlineStr">
        <is>
          <t>Самара</t>
        </is>
      </c>
      <c r="E1428" s="130" t="n"/>
      <c r="F1428" s="130" t="inlineStr">
        <is>
          <t>АЗС</t>
        </is>
      </c>
      <c r="G1428" s="130" t="inlineStr">
        <is>
          <t>Башнефть</t>
        </is>
      </c>
      <c r="H1428" s="131" t="n"/>
      <c r="I1428" s="637" t="inlineStr">
        <is>
          <t>№63-010</t>
        </is>
      </c>
      <c r="J1428" s="637" t="inlineStr">
        <is>
          <t>SMR_BASH_63010</t>
        </is>
      </c>
      <c r="K1428" s="640" t="n">
        <v>1</v>
      </c>
      <c r="L1428" s="640" t="n">
        <v>1</v>
      </c>
      <c r="M1428" s="623" t="inlineStr">
        <is>
          <t>Samsung 32" вертикальный</t>
        </is>
      </c>
      <c r="N1428" s="640" t="n"/>
      <c r="O1428" s="640">
        <f>IF(AND(N1428=1,L1428=1),K1428,"")</f>
        <v/>
      </c>
      <c r="P1428" s="642" t="inlineStr">
        <is>
          <t>Самара, Октябрьский р-он, ул. Авроры/ ул. Дыбенко (улица Дыбенко, 21А)</t>
        </is>
      </c>
      <c r="Q1428" s="640" t="inlineStr">
        <is>
          <t>53.20524</t>
        </is>
      </c>
      <c r="R1428" s="494" t="inlineStr">
        <is>
          <t>50.189135</t>
        </is>
      </c>
      <c r="S1428" s="387" t="n"/>
      <c r="T1428" s="387" t="n"/>
      <c r="U1428" s="387" t="n"/>
      <c r="V1428" s="387" t="n"/>
      <c r="W1428" s="387" t="n"/>
      <c r="X1428" s="387" t="n"/>
      <c r="Y1428" s="387" t="n"/>
    </row>
    <row r="1429" hidden="1" ht="16.05" customFormat="1" customHeight="1" s="126">
      <c r="A1429" s="125" t="n">
        <v>1898</v>
      </c>
      <c r="B1429" s="125" t="n"/>
      <c r="C1429" s="130" t="inlineStr">
        <is>
          <t>Самара</t>
        </is>
      </c>
      <c r="D1429" s="130" t="inlineStr">
        <is>
          <t>Самара</t>
        </is>
      </c>
      <c r="E1429" s="130" t="n"/>
      <c r="F1429" s="130" t="inlineStr">
        <is>
          <t>АЗС</t>
        </is>
      </c>
      <c r="G1429" s="130" t="inlineStr">
        <is>
          <t>Башнефть</t>
        </is>
      </c>
      <c r="H1429" s="131" t="n"/>
      <c r="I1429" s="637" t="inlineStr">
        <is>
          <t>№63-011</t>
        </is>
      </c>
      <c r="J1429" s="637" t="inlineStr">
        <is>
          <t>SMR_BASH_63011</t>
        </is>
      </c>
      <c r="K1429" s="640" t="n">
        <v>1</v>
      </c>
      <c r="L1429" s="640" t="n">
        <v>1</v>
      </c>
      <c r="M1429" s="623" t="inlineStr">
        <is>
          <t>Samsung 32" вертикальный</t>
        </is>
      </c>
      <c r="N1429" s="640" t="n"/>
      <c r="O1429" s="640">
        <f>IF(AND(N1429=1,L1429=1),K1429,"")</f>
        <v/>
      </c>
      <c r="P1429" s="642" t="inlineStr">
        <is>
          <t>Самарская область, Красноярский р-н, транспортная развязка «Уфа-Тольятти-Самара» (М-5, подъезд к Самаре, 1-й километр)</t>
        </is>
      </c>
      <c r="Q1429" s="640" t="inlineStr">
        <is>
          <t>53.407519</t>
        </is>
      </c>
      <c r="R1429" s="494" t="inlineStr">
        <is>
          <t>50.336349</t>
        </is>
      </c>
      <c r="S1429" s="387" t="n"/>
      <c r="T1429" s="387" t="n"/>
      <c r="U1429" s="387" t="n"/>
      <c r="V1429" s="387" t="n"/>
      <c r="W1429" s="387" t="n"/>
      <c r="X1429" s="387" t="n"/>
      <c r="Y1429" s="387" t="n"/>
    </row>
    <row r="1430" hidden="1" ht="16.05" customFormat="1" customHeight="1" s="126">
      <c r="A1430" s="125" t="n">
        <v>1899</v>
      </c>
      <c r="B1430" s="125" t="n"/>
      <c r="C1430" s="130" t="inlineStr">
        <is>
          <t>Самара</t>
        </is>
      </c>
      <c r="D1430" s="130" t="inlineStr">
        <is>
          <t>Самара</t>
        </is>
      </c>
      <c r="E1430" s="130" t="n"/>
      <c r="F1430" s="130" t="inlineStr">
        <is>
          <t>АЗС</t>
        </is>
      </c>
      <c r="G1430" s="130" t="inlineStr">
        <is>
          <t>Башнефть</t>
        </is>
      </c>
      <c r="H1430" s="131" t="n"/>
      <c r="I1430" s="637" t="inlineStr">
        <is>
          <t>№63-018</t>
        </is>
      </c>
      <c r="J1430" s="637" t="inlineStr">
        <is>
          <t>SMR_BASH_63018</t>
        </is>
      </c>
      <c r="K1430" s="640" t="n">
        <v>1</v>
      </c>
      <c r="L1430" s="640" t="n">
        <v>1</v>
      </c>
      <c r="M1430" s="623" t="inlineStr">
        <is>
          <t>Samsung 32" вертикальный</t>
        </is>
      </c>
      <c r="N1430" s="640" t="n"/>
      <c r="O1430" s="640">
        <f>IF(AND(N1430=1,L1430=1),K1430,"")</f>
        <v/>
      </c>
      <c r="P1430" s="642" t="inlineStr">
        <is>
          <t>Самара, Куйбышевский р-н, ул. Народная (Народная улица, 9А)</t>
        </is>
      </c>
      <c r="Q1430" s="640" t="inlineStr">
        <is>
          <t>53.16245</t>
        </is>
      </c>
      <c r="R1430" s="494" t="inlineStr">
        <is>
          <t>50.075473</t>
        </is>
      </c>
      <c r="S1430" s="387" t="n"/>
      <c r="T1430" s="387" t="n"/>
      <c r="U1430" s="387" t="n"/>
      <c r="V1430" s="387" t="n"/>
      <c r="W1430" s="387" t="n"/>
      <c r="X1430" s="387" t="n"/>
      <c r="Y1430" s="387" t="n"/>
    </row>
    <row r="1431" hidden="1" ht="16.05" customFormat="1" customHeight="1" s="126">
      <c r="A1431" s="125" t="n">
        <v>1900</v>
      </c>
      <c r="B1431" s="125" t="n"/>
      <c r="C1431" s="130" t="inlineStr">
        <is>
          <t>Самара</t>
        </is>
      </c>
      <c r="D1431" s="130" t="inlineStr">
        <is>
          <t>Самара</t>
        </is>
      </c>
      <c r="E1431" s="130" t="n"/>
      <c r="F1431" s="130" t="inlineStr">
        <is>
          <t>АЗС</t>
        </is>
      </c>
      <c r="G1431" s="130" t="inlineStr">
        <is>
          <t>Башнефть</t>
        </is>
      </c>
      <c r="H1431" s="131" t="n"/>
      <c r="I1431" s="637" t="inlineStr">
        <is>
          <t>№63-019</t>
        </is>
      </c>
      <c r="J1431" s="637" t="inlineStr">
        <is>
          <t>SMR_BASH_63019</t>
        </is>
      </c>
      <c r="K1431" s="640" t="n">
        <v>1</v>
      </c>
      <c r="L1431" s="640" t="n">
        <v>1</v>
      </c>
      <c r="M1431" s="623" t="inlineStr">
        <is>
          <t>Samsung 32" вертикальный</t>
        </is>
      </c>
      <c r="N1431" s="640" t="n"/>
      <c r="O1431" s="640">
        <f>IF(AND(N1431=1,L1431=1),K1431,"")</f>
        <v/>
      </c>
      <c r="P1431" s="642" t="inlineStr">
        <is>
          <t>Самара, Промышленный р-н, Заводское шоссе, д. 8, строение 1</t>
        </is>
      </c>
      <c r="Q1431" s="640" t="inlineStr">
        <is>
          <t>53.197459</t>
        </is>
      </c>
      <c r="R1431" s="494" t="inlineStr">
        <is>
          <t>50.246924</t>
        </is>
      </c>
      <c r="S1431" s="387" t="n"/>
      <c r="T1431" s="387" t="n"/>
      <c r="U1431" s="387" t="n"/>
      <c r="V1431" s="387" t="n"/>
      <c r="W1431" s="387" t="n"/>
      <c r="X1431" s="387" t="n"/>
      <c r="Y1431" s="387" t="n"/>
    </row>
    <row r="1432" hidden="1" ht="16.05" customFormat="1" customHeight="1" s="126">
      <c r="A1432" s="125" t="n">
        <v>1901</v>
      </c>
      <c r="B1432" s="125" t="n"/>
      <c r="C1432" s="130" t="inlineStr">
        <is>
          <t>Екатеринбург</t>
        </is>
      </c>
      <c r="D1432" s="130" t="inlineStr">
        <is>
          <t>Екатеринбург</t>
        </is>
      </c>
      <c r="E1432" s="130" t="n"/>
      <c r="F1432" s="130" t="inlineStr">
        <is>
          <t>АЗС</t>
        </is>
      </c>
      <c r="G1432" s="130" t="inlineStr">
        <is>
          <t>Башнефть</t>
        </is>
      </c>
      <c r="H1432" s="131" t="n"/>
      <c r="I1432" s="637" t="inlineStr">
        <is>
          <t>№66-001</t>
        </is>
      </c>
      <c r="J1432" s="637" t="inlineStr">
        <is>
          <t>EKT_BASH_66001</t>
        </is>
      </c>
      <c r="K1432" s="640" t="n">
        <v>1</v>
      </c>
      <c r="L1432" s="640" t="n">
        <v>0</v>
      </c>
      <c r="M1432" s="623" t="inlineStr">
        <is>
          <t>Samsung 32" вертикальный</t>
        </is>
      </c>
      <c r="N1432" s="640" t="n"/>
      <c r="O1432" s="640">
        <f>IF(AND(N1432=1,L1432=1),K1432,"")</f>
        <v/>
      </c>
      <c r="P1432" s="642" t="inlineStr">
        <is>
          <t>Екатеринбург, ул. Малышева, 124</t>
        </is>
      </c>
      <c r="Q1432" s="640" t="inlineStr">
        <is>
          <t>56.83828</t>
        </is>
      </c>
      <c r="R1432" s="494" t="inlineStr">
        <is>
          <t>60.639257</t>
        </is>
      </c>
      <c r="S1432" s="387" t="n"/>
      <c r="T1432" s="387" t="n"/>
      <c r="U1432" s="387" t="n"/>
      <c r="V1432" s="387" t="n"/>
      <c r="W1432" s="387" t="n"/>
      <c r="X1432" s="387" t="n"/>
      <c r="Y1432" s="387" t="n"/>
    </row>
    <row r="1433" hidden="1" ht="16.05" customFormat="1" customHeight="1" s="126">
      <c r="A1433" s="125" t="n">
        <v>1902</v>
      </c>
      <c r="B1433" s="125" t="n"/>
      <c r="C1433" s="130" t="inlineStr">
        <is>
          <t>Екатеринбург</t>
        </is>
      </c>
      <c r="D1433" s="130" t="inlineStr">
        <is>
          <t>Екатеринбург</t>
        </is>
      </c>
      <c r="E1433" s="130" t="n"/>
      <c r="F1433" s="130" t="inlineStr">
        <is>
          <t>АЗС</t>
        </is>
      </c>
      <c r="G1433" s="130" t="inlineStr">
        <is>
          <t>Башнефть</t>
        </is>
      </c>
      <c r="H1433" s="131" t="n"/>
      <c r="I1433" s="637" t="inlineStr">
        <is>
          <t>№66-002</t>
        </is>
      </c>
      <c r="J1433" s="637" t="inlineStr">
        <is>
          <t>EKT_BASH_66002</t>
        </is>
      </c>
      <c r="K1433" s="640" t="n">
        <v>1</v>
      </c>
      <c r="L1433" s="640" t="n">
        <v>0</v>
      </c>
      <c r="M1433" s="623" t="inlineStr">
        <is>
          <t>Samsung 32" вертикальный</t>
        </is>
      </c>
      <c r="N1433" s="640" t="n"/>
      <c r="O1433" s="640">
        <f>IF(AND(N1433=1,L1433=1),K1433,"")</f>
        <v/>
      </c>
      <c r="P1433" s="642" t="inlineStr">
        <is>
          <t>Екатеринбург, ул.Блюхера, 88а</t>
        </is>
      </c>
      <c r="Q1433" s="640" t="inlineStr">
        <is>
          <t>56.860949</t>
        </is>
      </c>
      <c r="R1433" s="494" t="inlineStr">
        <is>
          <t>60.674579</t>
        </is>
      </c>
      <c r="S1433" s="387" t="n"/>
      <c r="T1433" s="387" t="n"/>
      <c r="U1433" s="387" t="n"/>
      <c r="V1433" s="387" t="n"/>
      <c r="W1433" s="387" t="n"/>
      <c r="X1433" s="387" t="n"/>
      <c r="Y1433" s="387" t="n"/>
    </row>
    <row r="1434" hidden="1" ht="16.05" customFormat="1" customHeight="1" s="126">
      <c r="A1434" s="125" t="n">
        <v>1903</v>
      </c>
      <c r="B1434" s="125" t="n"/>
      <c r="C1434" s="130" t="inlineStr">
        <is>
          <t>Ульяновск</t>
        </is>
      </c>
      <c r="D1434" s="130" t="inlineStr">
        <is>
          <t>Ульяновск</t>
        </is>
      </c>
      <c r="E1434" s="130" t="n"/>
      <c r="F1434" s="130" t="inlineStr">
        <is>
          <t>АЗС</t>
        </is>
      </c>
      <c r="G1434" s="130" t="inlineStr">
        <is>
          <t>Башнефть</t>
        </is>
      </c>
      <c r="H1434" s="131" t="n"/>
      <c r="I1434" s="637" t="inlineStr">
        <is>
          <t>№73-001</t>
        </is>
      </c>
      <c r="J1434" s="637" t="inlineStr">
        <is>
          <t>ULN_BASH_73001</t>
        </is>
      </c>
      <c r="K1434" s="640" t="n">
        <v>1</v>
      </c>
      <c r="L1434" s="640" t="n">
        <v>1</v>
      </c>
      <c r="M1434" s="623" t="inlineStr">
        <is>
          <t>Samsung 32" вертикальный</t>
        </is>
      </c>
      <c r="N1434" s="640" t="n"/>
      <c r="O1434" s="640">
        <f>IF(AND(N1434=1,L1434=1),K1434,"")</f>
        <v/>
      </c>
      <c r="P1434" s="642" t="inlineStr">
        <is>
          <t>Ульяновск, Московское шоссе 4А</t>
        </is>
      </c>
      <c r="Q1434" s="640" t="inlineStr">
        <is>
          <t>54.294494</t>
        </is>
      </c>
      <c r="R1434" s="494" t="inlineStr">
        <is>
          <t>48.252323</t>
        </is>
      </c>
      <c r="S1434" s="387" t="n"/>
      <c r="T1434" s="387" t="n"/>
      <c r="U1434" s="387" t="n"/>
      <c r="V1434" s="387" t="n"/>
      <c r="W1434" s="387" t="n"/>
      <c r="X1434" s="387" t="n"/>
      <c r="Y1434" s="387" t="n"/>
    </row>
    <row r="1435" hidden="1" ht="16.05" customFormat="1" customHeight="1" s="126">
      <c r="A1435" s="125" t="n">
        <v>1904</v>
      </c>
      <c r="B1435" s="125" t="n"/>
      <c r="C1435" s="130" t="inlineStr">
        <is>
          <t>Ульяновск</t>
        </is>
      </c>
      <c r="D1435" s="130" t="inlineStr">
        <is>
          <t>Ульяновск</t>
        </is>
      </c>
      <c r="E1435" s="130" t="n"/>
      <c r="F1435" s="130" t="inlineStr">
        <is>
          <t>АЗС</t>
        </is>
      </c>
      <c r="G1435" s="130" t="inlineStr">
        <is>
          <t>Башнефть</t>
        </is>
      </c>
      <c r="H1435" s="131" t="n"/>
      <c r="I1435" s="637" t="inlineStr">
        <is>
          <t>№73-003</t>
        </is>
      </c>
      <c r="J1435" s="637" t="inlineStr">
        <is>
          <t>ULN_BASH_73003</t>
        </is>
      </c>
      <c r="K1435" s="640" t="n">
        <v>1</v>
      </c>
      <c r="L1435" s="640" t="n">
        <v>1</v>
      </c>
      <c r="M1435" s="623" t="inlineStr">
        <is>
          <t>Samsung 32" вертикальный</t>
        </is>
      </c>
      <c r="N1435" s="640" t="n"/>
      <c r="O1435" s="640">
        <f>IF(AND(N1435=1,L1435=1),K1435,"")</f>
        <v/>
      </c>
      <c r="P1435" s="642" t="inlineStr">
        <is>
          <t>Ульяновск, ул. Карла Маркса 123</t>
        </is>
      </c>
      <c r="Q1435" s="640" t="inlineStr">
        <is>
          <t>54.326375</t>
        </is>
      </c>
      <c r="R1435" s="494" t="inlineStr">
        <is>
          <t>48.363165</t>
        </is>
      </c>
      <c r="S1435" s="387" t="n"/>
      <c r="T1435" s="387" t="n"/>
      <c r="U1435" s="387" t="n"/>
      <c r="V1435" s="387" t="n"/>
      <c r="W1435" s="387" t="n"/>
      <c r="X1435" s="387" t="n"/>
      <c r="Y1435" s="387" t="n"/>
    </row>
    <row r="1436" hidden="1" ht="16.05" customFormat="1" customHeight="1" s="126">
      <c r="A1436" s="125" t="n">
        <v>1905</v>
      </c>
      <c r="B1436" s="125" t="n"/>
      <c r="C1436" s="130" t="inlineStr">
        <is>
          <t>Ульяновск</t>
        </is>
      </c>
      <c r="D1436" s="130" t="inlineStr">
        <is>
          <t>Ульяновск</t>
        </is>
      </c>
      <c r="E1436" s="130" t="n"/>
      <c r="F1436" s="130" t="inlineStr">
        <is>
          <t>АЗС</t>
        </is>
      </c>
      <c r="G1436" s="130" t="inlineStr">
        <is>
          <t>Башнефть</t>
        </is>
      </c>
      <c r="H1436" s="131" t="n"/>
      <c r="I1436" s="637" t="inlineStr">
        <is>
          <t>№73-004</t>
        </is>
      </c>
      <c r="J1436" s="637" t="inlineStr">
        <is>
          <t>ULN_BASH_73004</t>
        </is>
      </c>
      <c r="K1436" s="640" t="n">
        <v>1</v>
      </c>
      <c r="L1436" s="640" t="n">
        <v>1</v>
      </c>
      <c r="M1436" s="623" t="inlineStr">
        <is>
          <t>Samsung 32" вертикальный</t>
        </is>
      </c>
      <c r="N1436" s="640" t="n"/>
      <c r="O1436" s="640">
        <f>IF(AND(N1436=1,L1436=1),K1436,"")</f>
        <v/>
      </c>
      <c r="P1436" s="642" t="inlineStr">
        <is>
          <t>Ульяновск, Кирова, 103</t>
        </is>
      </c>
      <c r="Q1436" s="640" t="inlineStr">
        <is>
          <t>54.293528</t>
        </is>
      </c>
      <c r="R1436" s="494" t="inlineStr">
        <is>
          <t>48.374217</t>
        </is>
      </c>
      <c r="S1436" s="387" t="n"/>
      <c r="T1436" s="387" t="n"/>
      <c r="U1436" s="387" t="n"/>
      <c r="V1436" s="387" t="n"/>
      <c r="W1436" s="387" t="n"/>
      <c r="X1436" s="387" t="n"/>
      <c r="Y1436" s="387" t="n"/>
    </row>
    <row r="1437" hidden="1" ht="16.05" customFormat="1" customHeight="1" s="126">
      <c r="A1437" s="125" t="n">
        <v>1906</v>
      </c>
      <c r="B1437" s="125" t="n"/>
      <c r="C1437" s="130" t="inlineStr">
        <is>
          <t>Ульяновск</t>
        </is>
      </c>
      <c r="D1437" s="130" t="inlineStr">
        <is>
          <t>Ульяновск</t>
        </is>
      </c>
      <c r="E1437" s="130" t="n"/>
      <c r="F1437" s="130" t="inlineStr">
        <is>
          <t>АЗС</t>
        </is>
      </c>
      <c r="G1437" s="130" t="inlineStr">
        <is>
          <t>Башнефть</t>
        </is>
      </c>
      <c r="H1437" s="131" t="n"/>
      <c r="I1437" s="637" t="inlineStr">
        <is>
          <t>№73-009</t>
        </is>
      </c>
      <c r="J1437" s="637" t="inlineStr">
        <is>
          <t>ULN_BASH_73009</t>
        </is>
      </c>
      <c r="K1437" s="640" t="n">
        <v>1</v>
      </c>
      <c r="L1437" s="640" t="n">
        <v>1</v>
      </c>
      <c r="M1437" s="623" t="inlineStr">
        <is>
          <t>Samsung 32" вертикальный</t>
        </is>
      </c>
      <c r="N1437" s="640" t="n"/>
      <c r="O1437" s="640">
        <f>IF(AND(N1437=1,L1437=1),K1437,"")</f>
        <v/>
      </c>
      <c r="P1437" s="642" t="inlineStr">
        <is>
          <t>Ульяновск, пр-т Созидателей, 104</t>
        </is>
      </c>
      <c r="Q1437" s="640" t="inlineStr">
        <is>
          <t>54.363591</t>
        </is>
      </c>
      <c r="R1437" s="494" t="inlineStr">
        <is>
          <t>48.57711</t>
        </is>
      </c>
      <c r="S1437" s="387" t="n"/>
      <c r="T1437" s="387" t="n"/>
      <c r="U1437" s="387" t="n"/>
      <c r="V1437" s="387" t="n"/>
      <c r="W1437" s="387" t="n"/>
      <c r="X1437" s="387" t="n"/>
      <c r="Y1437" s="387" t="n"/>
    </row>
    <row r="1438" hidden="1" ht="16.05" customFormat="1" customHeight="1" s="126">
      <c r="A1438" s="125" t="n">
        <v>1907</v>
      </c>
      <c r="B1438" s="125" t="n"/>
      <c r="C1438" s="130" t="inlineStr">
        <is>
          <t>Челябинск</t>
        </is>
      </c>
      <c r="D1438" s="130" t="inlineStr">
        <is>
          <t>Челябинск</t>
        </is>
      </c>
      <c r="E1438" s="130" t="n"/>
      <c r="F1438" s="130" t="inlineStr">
        <is>
          <t>АЗС</t>
        </is>
      </c>
      <c r="G1438" s="130" t="inlineStr">
        <is>
          <t>Башнефть</t>
        </is>
      </c>
      <c r="H1438" s="131" t="n"/>
      <c r="I1438" s="637" t="inlineStr">
        <is>
          <t>№74-020</t>
        </is>
      </c>
      <c r="J1438" s="637" t="inlineStr">
        <is>
          <t>CHL_BASH_74020</t>
        </is>
      </c>
      <c r="K1438" s="640" t="n">
        <v>1</v>
      </c>
      <c r="L1438" s="640" t="n">
        <v>1</v>
      </c>
      <c r="M1438" s="623" t="inlineStr">
        <is>
          <t>Samsung 32" вертикальный</t>
        </is>
      </c>
      <c r="N1438" s="640" t="n"/>
      <c r="O1438" s="640">
        <f>IF(AND(N1438=1,L1438=1),K1438,"")</f>
        <v/>
      </c>
      <c r="P1438" s="642" t="inlineStr">
        <is>
          <t>Челябинск, пересечение ул. Блюхера – ул. Гоголя 47/1</t>
        </is>
      </c>
      <c r="Q1438" s="640" t="inlineStr">
        <is>
          <t>55.134476</t>
        </is>
      </c>
      <c r="R1438" s="494" t="inlineStr">
        <is>
          <t>61.373927</t>
        </is>
      </c>
      <c r="S1438" s="387" t="n"/>
      <c r="T1438" s="387" t="n"/>
      <c r="U1438" s="387" t="n"/>
      <c r="V1438" s="387" t="n"/>
      <c r="W1438" s="387" t="n"/>
      <c r="X1438" s="387" t="n"/>
      <c r="Y1438" s="387" t="n"/>
    </row>
    <row r="1439" hidden="1" ht="16.05" customFormat="1" customHeight="1" s="126">
      <c r="A1439" s="125" t="n">
        <v>1908</v>
      </c>
      <c r="B1439" s="125" t="n"/>
      <c r="C1439" s="130" t="inlineStr">
        <is>
          <t>Челябинск</t>
        </is>
      </c>
      <c r="D1439" s="130" t="inlineStr">
        <is>
          <t>Челябинск</t>
        </is>
      </c>
      <c r="E1439" s="130" t="n"/>
      <c r="F1439" s="130" t="inlineStr">
        <is>
          <t>АЗС</t>
        </is>
      </c>
      <c r="G1439" s="130" t="inlineStr">
        <is>
          <t>Башнефть</t>
        </is>
      </c>
      <c r="H1439" s="131" t="n"/>
      <c r="I1439" s="637" t="inlineStr">
        <is>
          <t>№74-021</t>
        </is>
      </c>
      <c r="J1439" s="637" t="inlineStr">
        <is>
          <t>CHL_BASH_74021</t>
        </is>
      </c>
      <c r="K1439" s="640" t="n">
        <v>1</v>
      </c>
      <c r="L1439" s="640" t="n">
        <v>1</v>
      </c>
      <c r="M1439" s="623" t="inlineStr">
        <is>
          <t>Samsung 32" вертикальный</t>
        </is>
      </c>
      <c r="N1439" s="640" t="n"/>
      <c r="O1439" s="640">
        <f>IF(AND(N1439=1,L1439=1),K1439,"")</f>
        <v/>
      </c>
      <c r="P1439" s="642" t="inlineStr">
        <is>
          <t>Челябинск, пересечение пр. Победы – ул.Чайковского (г. Челябинск, проспект Победы, 282-б)</t>
        </is>
      </c>
      <c r="Q1439" s="640" t="inlineStr">
        <is>
          <t>55.189148</t>
        </is>
      </c>
      <c r="R1439" s="494" t="inlineStr">
        <is>
          <t>61.359021</t>
        </is>
      </c>
      <c r="S1439" s="387" t="n"/>
      <c r="T1439" s="387" t="n"/>
      <c r="U1439" s="387" t="n"/>
      <c r="V1439" s="387" t="n"/>
      <c r="W1439" s="387" t="n"/>
      <c r="X1439" s="387" t="n"/>
      <c r="Y1439" s="387" t="n"/>
    </row>
    <row r="1440" hidden="1" ht="16.05" customFormat="1" customHeight="1" s="126">
      <c r="A1440" s="125" t="n">
        <v>1909</v>
      </c>
      <c r="B1440" s="125" t="n"/>
      <c r="C1440" s="130" t="inlineStr">
        <is>
          <t>Челябинск</t>
        </is>
      </c>
      <c r="D1440" s="130" t="inlineStr">
        <is>
          <t>Челябинск</t>
        </is>
      </c>
      <c r="E1440" s="130" t="n"/>
      <c r="F1440" s="130" t="inlineStr">
        <is>
          <t>АЗС</t>
        </is>
      </c>
      <c r="G1440" s="130" t="inlineStr">
        <is>
          <t>Башнефть</t>
        </is>
      </c>
      <c r="H1440" s="131" t="n"/>
      <c r="I1440" s="637" t="inlineStr">
        <is>
          <t>№74-022</t>
        </is>
      </c>
      <c r="J1440" s="637" t="inlineStr">
        <is>
          <t>CHL_BASH_74022</t>
        </is>
      </c>
      <c r="K1440" s="640" t="n">
        <v>1</v>
      </c>
      <c r="L1440" s="640" t="n">
        <v>1</v>
      </c>
      <c r="M1440" s="623" t="inlineStr">
        <is>
          <t>Samsung 32" вертикальный</t>
        </is>
      </c>
      <c r="N1440" s="640" t="n"/>
      <c r="O1440" s="640">
        <f>IF(AND(N1440=1,L1440=1),K1440,"")</f>
        <v/>
      </c>
      <c r="P1440" s="642" t="inlineStr">
        <is>
          <t>Челябинск, Новороссийская 122</t>
        </is>
      </c>
      <c r="Q1440" s="640" t="inlineStr">
        <is>
          <t>55.116947</t>
        </is>
      </c>
      <c r="R1440" s="494" t="inlineStr">
        <is>
          <t>61.441134</t>
        </is>
      </c>
      <c r="S1440" s="387" t="n"/>
      <c r="T1440" s="387" t="n"/>
      <c r="U1440" s="387" t="n"/>
      <c r="V1440" s="387" t="n"/>
      <c r="W1440" s="387" t="n"/>
      <c r="X1440" s="387" t="n"/>
      <c r="Y1440" s="387" t="n"/>
    </row>
    <row r="1441" hidden="1" ht="16.05" customFormat="1" customHeight="1" s="126">
      <c r="A1441" s="125" t="n">
        <v>1910</v>
      </c>
      <c r="B1441" s="125" t="n"/>
      <c r="C1441" s="130" t="inlineStr">
        <is>
          <t>Челябинск</t>
        </is>
      </c>
      <c r="D1441" s="130" t="inlineStr">
        <is>
          <t>Челябинск</t>
        </is>
      </c>
      <c r="E1441" s="130" t="n"/>
      <c r="F1441" s="130" t="inlineStr">
        <is>
          <t>АЗС</t>
        </is>
      </c>
      <c r="G1441" s="130" t="inlineStr">
        <is>
          <t>Башнефть</t>
        </is>
      </c>
      <c r="H1441" s="131" t="n"/>
      <c r="I1441" s="637" t="inlineStr">
        <is>
          <t>№74-025</t>
        </is>
      </c>
      <c r="J1441" s="637" t="inlineStr">
        <is>
          <t>CHL_BASH_74025</t>
        </is>
      </c>
      <c r="K1441" s="640" t="n">
        <v>1</v>
      </c>
      <c r="L1441" s="640" t="n">
        <v>1</v>
      </c>
      <c r="M1441" s="623" t="inlineStr">
        <is>
          <t>Samsung 32" вертикальный</t>
        </is>
      </c>
      <c r="N1441" s="640" t="n"/>
      <c r="O1441" s="640">
        <f>IF(AND(N1441=1,L1441=1),K1441,"")</f>
        <v/>
      </c>
      <c r="P1441" s="642" t="inlineStr">
        <is>
          <t>Челябинск, пр-т Победы 120/1</t>
        </is>
      </c>
      <c r="Q1441" s="640" t="inlineStr">
        <is>
          <t>55.186802</t>
        </is>
      </c>
      <c r="R1441" s="494" t="inlineStr">
        <is>
          <t>61.432215</t>
        </is>
      </c>
      <c r="S1441" s="387" t="n"/>
      <c r="T1441" s="387" t="n"/>
      <c r="U1441" s="387" t="n"/>
      <c r="V1441" s="387" t="n"/>
      <c r="W1441" s="387" t="n"/>
      <c r="X1441" s="387" t="n"/>
      <c r="Y1441" s="387" t="n"/>
    </row>
    <row r="1442" hidden="1" ht="16.05" customFormat="1" customHeight="1" s="126">
      <c r="A1442" s="125" t="n">
        <v>1914</v>
      </c>
      <c r="B1442" s="125" t="inlineStr">
        <is>
          <t>WF</t>
        </is>
      </c>
      <c r="C1442" s="130" t="inlineStr">
        <is>
          <t>Москва</t>
        </is>
      </c>
      <c r="D1442" s="130" t="inlineStr">
        <is>
          <t>Москва</t>
        </is>
      </c>
      <c r="E1442" s="130" t="inlineStr">
        <is>
          <t>ЗАО</t>
        </is>
      </c>
      <c r="F1442" s="130" t="inlineStr">
        <is>
          <t>Супермаркет</t>
        </is>
      </c>
      <c r="G1442" s="130" t="inlineStr">
        <is>
          <t>Азбука Вкуса</t>
        </is>
      </c>
      <c r="H1442" s="131" t="n"/>
      <c r="I1442" s="637" t="n">
        <v>124</v>
      </c>
      <c r="J1442" s="637" t="inlineStr">
        <is>
          <t>MSK_A_124</t>
        </is>
      </c>
      <c r="K1442" s="640" t="n">
        <v>2</v>
      </c>
      <c r="L1442" s="640" t="n">
        <v>1</v>
      </c>
      <c r="M1442" s="623" t="inlineStr">
        <is>
          <t>Samsung 43" вертикальный</t>
        </is>
      </c>
      <c r="N1442" s="640" t="n"/>
      <c r="O1442" s="640">
        <f>IF(AND(N1442=1,L1442=1),K1442,"")</f>
        <v/>
      </c>
      <c r="P1442" s="642" t="inlineStr">
        <is>
          <t>Москва, Осенний бульвар, д.8, корп.1</t>
        </is>
      </c>
      <c r="Q1442" s="640" t="inlineStr">
        <is>
          <t>55.755642</t>
        </is>
      </c>
      <c r="R1442" s="494" t="inlineStr">
        <is>
          <t>37.40946</t>
        </is>
      </c>
      <c r="S1442" s="387" t="n">
        <v>24</v>
      </c>
      <c r="T1442" s="436">
        <f>IF(N1442=1,O1442*S1442,"")</f>
        <v/>
      </c>
      <c r="U1442" s="387" t="n"/>
      <c r="V1442" s="387" t="n"/>
      <c r="W1442" s="387" t="n"/>
      <c r="X1442" s="387" t="n"/>
      <c r="Y1442" s="387" t="n"/>
    </row>
    <row r="1443" hidden="1" ht="16.05" customFormat="1" customHeight="1" s="126">
      <c r="A1443" s="125" t="n">
        <v>1917</v>
      </c>
      <c r="B1443" s="125" t="inlineStr">
        <is>
          <t>WF</t>
        </is>
      </c>
      <c r="C1443" s="130" t="inlineStr">
        <is>
          <t>Москва</t>
        </is>
      </c>
      <c r="D1443" s="130" t="inlineStr">
        <is>
          <t>Москва</t>
        </is>
      </c>
      <c r="E1443" s="130" t="inlineStr">
        <is>
          <t>ЦАО</t>
        </is>
      </c>
      <c r="F1443" s="130" t="inlineStr">
        <is>
          <t>Супермаркет</t>
        </is>
      </c>
      <c r="G1443" s="130" t="inlineStr">
        <is>
          <t>Азбука Вкуса</t>
        </is>
      </c>
      <c r="H1443" s="131" t="n"/>
      <c r="I1443" s="637" t="n">
        <v>125</v>
      </c>
      <c r="J1443" s="637" t="inlineStr">
        <is>
          <t>MSK_A_125</t>
        </is>
      </c>
      <c r="K1443" s="640" t="n">
        <v>3</v>
      </c>
      <c r="L1443" s="640" t="n">
        <v>1</v>
      </c>
      <c r="M1443" s="623" t="inlineStr">
        <is>
          <t>Samsung 43" вертикальный</t>
        </is>
      </c>
      <c r="N1443" s="640" t="n"/>
      <c r="O1443" s="640">
        <f>IF(AND(N1443=1,L1443=1),K1443,"")</f>
        <v/>
      </c>
      <c r="P1443" s="642" t="inlineStr">
        <is>
          <t>Москва, ул.Делегатская, д.9, cтр.1</t>
        </is>
      </c>
      <c r="Q1443" s="640" t="inlineStr">
        <is>
          <t>55.775889</t>
        </is>
      </c>
      <c r="R1443" s="494" t="inlineStr">
        <is>
          <t>37.613629</t>
        </is>
      </c>
      <c r="S1443" s="387" t="n">
        <v>15</v>
      </c>
      <c r="T1443" s="436">
        <f>IF(N1443=1,O1443*S1443,"")</f>
        <v/>
      </c>
      <c r="U1443" s="387" t="n"/>
      <c r="V1443" s="387" t="n"/>
      <c r="W1443" s="387" t="n"/>
      <c r="X1443" s="387" t="n"/>
      <c r="Y1443" s="387" t="n"/>
    </row>
    <row r="1444" hidden="1" ht="16.05" customFormat="1" customHeight="1" s="126">
      <c r="A1444" s="125" t="n">
        <v>1912</v>
      </c>
      <c r="B1444" s="125" t="inlineStr">
        <is>
          <t>WF</t>
        </is>
      </c>
      <c r="C1444" s="130" t="inlineStr">
        <is>
          <t>Санкт-Петербург</t>
        </is>
      </c>
      <c r="D1444" s="130" t="inlineStr">
        <is>
          <t>Санкт-Петербург</t>
        </is>
      </c>
      <c r="E1444" s="130" t="n"/>
      <c r="F1444" s="130" t="inlineStr">
        <is>
          <t>Супермаркет</t>
        </is>
      </c>
      <c r="G1444" s="130" t="inlineStr">
        <is>
          <t>Азбука Вкуса</t>
        </is>
      </c>
      <c r="H1444" s="131" t="inlineStr">
        <is>
          <t>Daily</t>
        </is>
      </c>
      <c r="I1444" s="637" t="inlineStr">
        <is>
          <t>SPB_010_Daily</t>
        </is>
      </c>
      <c r="J1444" s="637" t="inlineStr">
        <is>
          <t>SPB_D_010</t>
        </is>
      </c>
      <c r="K1444" s="640" t="n">
        <v>2</v>
      </c>
      <c r="L1444" s="640" t="n">
        <v>0</v>
      </c>
      <c r="M1444" s="640" t="inlineStr">
        <is>
          <t>Samsung 40" вертикальный</t>
        </is>
      </c>
      <c r="N1444" s="640" t="n"/>
      <c r="O1444" s="640">
        <f>IF(AND(N1444=1,L1444=1),K1444,"")</f>
        <v/>
      </c>
      <c r="P1444" s="642" t="inlineStr">
        <is>
          <t>Санкт-Петербург, Невский, д. 142(Советская,27)</t>
        </is>
      </c>
      <c r="Q1444" s="640" t="inlineStr">
        <is>
          <t>59.929566</t>
        </is>
      </c>
      <c r="R1444" s="494" t="inlineStr">
        <is>
          <t>30.369483</t>
        </is>
      </c>
      <c r="S1444" s="387" t="n">
        <v>24</v>
      </c>
      <c r="T1444" s="436">
        <f>IF(N1444=1,O1444*S1444,"")</f>
        <v/>
      </c>
      <c r="U1444" s="387" t="n"/>
      <c r="V1444" s="387" t="n"/>
      <c r="W1444" s="387" t="n"/>
      <c r="X1444" s="387" t="n"/>
      <c r="Y1444" s="387" t="n"/>
    </row>
    <row r="1445" hidden="1" ht="16.05" customFormat="1" customHeight="1" s="126">
      <c r="A1445" s="125" t="n">
        <v>1911</v>
      </c>
      <c r="B1445" s="125" t="inlineStr">
        <is>
          <t>WF</t>
        </is>
      </c>
      <c r="C1445" s="130" t="inlineStr">
        <is>
          <t>Москва</t>
        </is>
      </c>
      <c r="D1445" s="130" t="inlineStr">
        <is>
          <t>Москва</t>
        </is>
      </c>
      <c r="E1445" s="130" t="inlineStr">
        <is>
          <t>ВАО</t>
        </is>
      </c>
      <c r="F1445" s="130" t="inlineStr">
        <is>
          <t>АЗС</t>
        </is>
      </c>
      <c r="G1445" s="130" t="inlineStr">
        <is>
          <t>Лукойл</t>
        </is>
      </c>
      <c r="H1445" s="131" t="n"/>
      <c r="I1445" s="637" t="n">
        <v>77563</v>
      </c>
      <c r="J1445" s="637" t="inlineStr">
        <is>
          <t>MSK_LUK_0563</t>
        </is>
      </c>
      <c r="K1445" s="640" t="n">
        <v>1</v>
      </c>
      <c r="L1445" s="640" t="n">
        <v>0</v>
      </c>
      <c r="M1445" s="640" t="inlineStr">
        <is>
          <t>1 октября</t>
        </is>
      </c>
      <c r="N1445" s="640" t="n"/>
      <c r="O1445" s="640">
        <f>IF(AND(N1445=1,L1445=1),K1445,"")</f>
        <v/>
      </c>
      <c r="P1445" s="642" t="inlineStr">
        <is>
          <t>г. Москва, Измайловское ш., вл. 75</t>
        </is>
      </c>
      <c r="Q1445" s="640" t="n">
        <v>55.78988</v>
      </c>
      <c r="R1445" s="422" t="n">
        <v>37.76549</v>
      </c>
      <c r="S1445" s="438" t="n"/>
      <c r="T1445" s="387" t="n"/>
      <c r="U1445" s="387" t="n"/>
      <c r="V1445" s="387" t="n"/>
      <c r="W1445" s="387" t="n"/>
      <c r="X1445" s="1" t="n"/>
      <c r="Y1445" s="1" t="n"/>
    </row>
    <row r="1446" hidden="1" ht="16.05" customFormat="1" customHeight="1" s="126">
      <c r="A1446" s="125" t="n">
        <v>1920</v>
      </c>
      <c r="B1446" s="125" t="inlineStr">
        <is>
          <t>WF</t>
        </is>
      </c>
      <c r="C1446" s="130" t="inlineStr">
        <is>
          <t>Москва</t>
        </is>
      </c>
      <c r="D1446" s="130" t="inlineStr">
        <is>
          <t>Москва</t>
        </is>
      </c>
      <c r="E1446" s="130" t="inlineStr">
        <is>
          <t>ЦАО</t>
        </is>
      </c>
      <c r="F1446" s="130" t="inlineStr">
        <is>
          <t>Супермаркет</t>
        </is>
      </c>
      <c r="G1446" s="130" t="inlineStr">
        <is>
          <t>Азбука Вкуса</t>
        </is>
      </c>
      <c r="H1446" s="131" t="n"/>
      <c r="I1446" s="637" t="n">
        <v>126</v>
      </c>
      <c r="J1446" s="637" t="inlineStr">
        <is>
          <t>MSK_A_126</t>
        </is>
      </c>
      <c r="K1446" s="640" t="n">
        <v>2</v>
      </c>
      <c r="L1446" s="640" t="n">
        <v>1</v>
      </c>
      <c r="M1446" s="623" t="inlineStr">
        <is>
          <t>Samsung 43" вертикальный</t>
        </is>
      </c>
      <c r="N1446" s="640" t="n"/>
      <c r="O1446" s="640">
        <f>IF(AND(N1446=1,L1446=1),K1446,"")</f>
        <v/>
      </c>
      <c r="P1446" s="642" t="inlineStr">
        <is>
          <t>Москва, ул.Серафимовича, д.2</t>
        </is>
      </c>
      <c r="Q1446" s="640" t="inlineStr">
        <is>
          <t>55.74446</t>
        </is>
      </c>
      <c r="R1446" s="494" t="inlineStr">
        <is>
          <t xml:space="preserve"> 37.613018</t>
        </is>
      </c>
      <c r="S1446" s="387" t="n">
        <v>24</v>
      </c>
      <c r="T1446" s="436">
        <f>IF(N1446=1,O1446*S1446,"")</f>
        <v/>
      </c>
      <c r="U1446" s="436" t="n">
        <v>1</v>
      </c>
      <c r="V1446" s="438">
        <f>IF(AND(N1446=1,U1446=1),C1446,"")</f>
        <v/>
      </c>
      <c r="W1446" s="387" t="n"/>
      <c r="X1446" s="387" t="n"/>
      <c r="Y1446" s="387" t="n"/>
    </row>
    <row r="1447" hidden="1" ht="16.05" customFormat="1" customHeight="1" s="126">
      <c r="A1447" s="125" t="n">
        <v>1923</v>
      </c>
      <c r="B1447" s="125" t="inlineStr">
        <is>
          <t>WF</t>
        </is>
      </c>
      <c r="C1447" s="130" t="inlineStr">
        <is>
          <t>Москва</t>
        </is>
      </c>
      <c r="D1447" s="130" t="inlineStr">
        <is>
          <t>Москва</t>
        </is>
      </c>
      <c r="E1447" s="130" t="inlineStr">
        <is>
          <t>ЦАО</t>
        </is>
      </c>
      <c r="F1447" s="130" t="inlineStr">
        <is>
          <t>Супермаркет</t>
        </is>
      </c>
      <c r="G1447" s="130" t="inlineStr">
        <is>
          <t>Азбука Вкуса</t>
        </is>
      </c>
      <c r="H1447" s="131" t="n"/>
      <c r="I1447" s="637" t="n">
        <v>127</v>
      </c>
      <c r="J1447" s="637" t="inlineStr">
        <is>
          <t>MSK_A_127</t>
        </is>
      </c>
      <c r="K1447" s="640" t="n">
        <v>3</v>
      </c>
      <c r="L1447" s="640" t="n">
        <v>1</v>
      </c>
      <c r="M1447" s="623" t="inlineStr">
        <is>
          <t>Samsung 43" вертикальный</t>
        </is>
      </c>
      <c r="N1447" s="640" t="n"/>
      <c r="O1447" s="640">
        <f>IF(AND(N1447=1,L1447=1),K1447,"")</f>
        <v/>
      </c>
      <c r="P1447" s="642" t="inlineStr">
        <is>
          <t>Москва, ул.Симоновский вал, д.12, корп.2</t>
        </is>
      </c>
      <c r="Q1447" s="640" t="inlineStr">
        <is>
          <t>55.724743</t>
        </is>
      </c>
      <c r="R1447" s="494" t="inlineStr">
        <is>
          <t>37.662874</t>
        </is>
      </c>
      <c r="S1447" s="387" t="n">
        <v>24</v>
      </c>
      <c r="T1447" s="436">
        <f>IF(N1447=1,O1447*S1447,"")</f>
        <v/>
      </c>
      <c r="U1447" s="436" t="n">
        <v>1</v>
      </c>
      <c r="V1447" s="438">
        <f>IF(AND(N1447=1,U1447=1),C1447,"")</f>
        <v/>
      </c>
      <c r="W1447" s="387" t="n"/>
      <c r="X1447" s="387" t="n"/>
      <c r="Y1447" s="387" t="n"/>
    </row>
    <row r="1448" hidden="1" ht="16.05" customFormat="1" customHeight="1" s="126">
      <c r="A1448" s="125" t="n">
        <v>1926</v>
      </c>
      <c r="B1448" s="125" t="inlineStr">
        <is>
          <t>WF</t>
        </is>
      </c>
      <c r="C1448" s="130" t="inlineStr">
        <is>
          <t>Москва</t>
        </is>
      </c>
      <c r="D1448" s="130" t="inlineStr">
        <is>
          <t>Москва</t>
        </is>
      </c>
      <c r="E1448" s="130" t="inlineStr">
        <is>
          <t>САО</t>
        </is>
      </c>
      <c r="F1448" s="130" t="inlineStr">
        <is>
          <t>Супермаркет</t>
        </is>
      </c>
      <c r="G1448" s="130" t="inlineStr">
        <is>
          <t>Азбука Вкуса</t>
        </is>
      </c>
      <c r="H1448" s="131" t="n"/>
      <c r="I1448" s="637" t="n">
        <v>128</v>
      </c>
      <c r="J1448" s="637" t="inlineStr">
        <is>
          <t>MSK_A_128</t>
        </is>
      </c>
      <c r="K1448" s="640" t="n">
        <v>3</v>
      </c>
      <c r="L1448" s="640" t="n">
        <v>1</v>
      </c>
      <c r="M1448" s="623" t="inlineStr">
        <is>
          <t>Samsung 43" вертикальный</t>
        </is>
      </c>
      <c r="N1448" s="640" t="n"/>
      <c r="O1448" s="640">
        <f>IF(AND(N1448=1,L1448=1),K1448,"")</f>
        <v/>
      </c>
      <c r="P1448" s="642" t="inlineStr">
        <is>
          <t>Москва, Ленинградское шоссе., д.112/1 (корп.1,2)</t>
        </is>
      </c>
      <c r="Q1448" s="640" t="inlineStr">
        <is>
          <t>55.863762</t>
        </is>
      </c>
      <c r="R1448" s="494" t="inlineStr">
        <is>
          <t>37.46555</t>
        </is>
      </c>
      <c r="S1448" s="387" t="n">
        <v>24</v>
      </c>
      <c r="T1448" s="436">
        <f>IF(N1448=1,O1448*S1448,"")</f>
        <v/>
      </c>
      <c r="U1448" s="436" t="n">
        <v>1</v>
      </c>
      <c r="V1448" s="438">
        <f>IF(AND(N1448=1,U1448=1),C1448,"")</f>
        <v/>
      </c>
      <c r="W1448" s="387" t="n"/>
      <c r="X1448" s="387" t="n"/>
      <c r="Y1448" s="387" t="n"/>
    </row>
    <row r="1449" hidden="1" ht="16.05" customFormat="1" customHeight="1" s="126">
      <c r="A1449" s="125" t="n">
        <v>1932</v>
      </c>
      <c r="B1449" s="125" t="inlineStr">
        <is>
          <t>WF</t>
        </is>
      </c>
      <c r="C1449" s="130" t="inlineStr">
        <is>
          <t>Москва</t>
        </is>
      </c>
      <c r="D1449" s="130" t="inlineStr">
        <is>
          <t>Москва</t>
        </is>
      </c>
      <c r="E1449" s="130" t="inlineStr">
        <is>
          <t>ЗАО</t>
        </is>
      </c>
      <c r="F1449" s="130" t="inlineStr">
        <is>
          <t>Супермаркет</t>
        </is>
      </c>
      <c r="G1449" s="130" t="inlineStr">
        <is>
          <t>Азбука Вкуса</t>
        </is>
      </c>
      <c r="H1449" s="131" t="n"/>
      <c r="I1449" s="637" t="n">
        <v>130</v>
      </c>
      <c r="J1449" s="637" t="inlineStr">
        <is>
          <t>MSK_A_130</t>
        </is>
      </c>
      <c r="K1449" s="640" t="n">
        <v>3</v>
      </c>
      <c r="L1449" s="640" t="n">
        <v>1</v>
      </c>
      <c r="M1449" s="623" t="inlineStr">
        <is>
          <t>Samsung 43" вертикальный</t>
        </is>
      </c>
      <c r="N1449" s="640" t="n"/>
      <c r="O1449" s="640">
        <f>IF(AND(N1449=1,L1449=1),K1449,"")</f>
        <v/>
      </c>
      <c r="P1449" s="642" t="inlineStr">
        <is>
          <t>Москва, ул.Удальцова, д.32, стр.2</t>
        </is>
      </c>
      <c r="Q1449" s="640" t="inlineStr">
        <is>
          <t>55.681854</t>
        </is>
      </c>
      <c r="R1449" s="494" t="inlineStr">
        <is>
          <t>37.493228</t>
        </is>
      </c>
      <c r="S1449" s="387" t="n">
        <v>24</v>
      </c>
      <c r="T1449" s="436">
        <f>IF(N1449=1,O1449*S1449,"")</f>
        <v/>
      </c>
      <c r="U1449" s="436" t="n">
        <v>1</v>
      </c>
      <c r="V1449" s="438">
        <f>IF(AND(N1449=1,U1449=1),C1449,"")</f>
        <v/>
      </c>
      <c r="W1449" s="387" t="n"/>
      <c r="X1449" s="387" t="n"/>
      <c r="Y1449" s="387" t="n"/>
    </row>
    <row r="1450" hidden="1" ht="16.05" customFormat="1" customHeight="1" s="126">
      <c r="A1450" s="125" t="n">
        <v>1935</v>
      </c>
      <c r="B1450" s="125" t="inlineStr">
        <is>
          <t>WF</t>
        </is>
      </c>
      <c r="C1450" s="130" t="inlineStr">
        <is>
          <t>Москва</t>
        </is>
      </c>
      <c r="D1450" s="130" t="inlineStr">
        <is>
          <t>Москва</t>
        </is>
      </c>
      <c r="E1450" s="130" t="inlineStr">
        <is>
          <t>ЗАО</t>
        </is>
      </c>
      <c r="F1450" s="130" t="inlineStr">
        <is>
          <t>Супермаркет</t>
        </is>
      </c>
      <c r="G1450" s="130" t="inlineStr">
        <is>
          <t>Азбука Вкуса</t>
        </is>
      </c>
      <c r="H1450" s="131" t="n"/>
      <c r="I1450" s="637" t="n">
        <v>131</v>
      </c>
      <c r="J1450" s="637" t="inlineStr">
        <is>
          <t>MSK_A_131</t>
        </is>
      </c>
      <c r="K1450" s="640" t="n">
        <v>2</v>
      </c>
      <c r="L1450" s="640" t="n">
        <v>1</v>
      </c>
      <c r="M1450" s="623" t="inlineStr">
        <is>
          <t>Samsung 43" вертикальный</t>
        </is>
      </c>
      <c r="N1450" s="640" t="n"/>
      <c r="O1450" s="640">
        <f>IF(AND(N1450=1,L1450=1),K1450,"")</f>
        <v/>
      </c>
      <c r="P1450" s="642" t="inlineStr">
        <is>
          <t>Москва, Хорошевское шоссе., д.52, корп.1</t>
        </is>
      </c>
      <c r="Q1450" s="640" t="inlineStr">
        <is>
          <t>55.776836</t>
        </is>
      </c>
      <c r="R1450" s="494" t="inlineStr">
        <is>
          <t>37.532807</t>
        </is>
      </c>
      <c r="S1450" s="387" t="n">
        <v>24</v>
      </c>
      <c r="T1450" s="436">
        <f>IF(N1450=1,O1450*S1450,"")</f>
        <v/>
      </c>
      <c r="U1450" s="436" t="n">
        <v>1</v>
      </c>
      <c r="V1450" s="438">
        <f>IF(AND(N1450=1,U1450=1),C1450,"")</f>
        <v/>
      </c>
      <c r="W1450" s="387" t="n"/>
      <c r="X1450" s="387" t="n"/>
      <c r="Y1450" s="387" t="n"/>
    </row>
    <row r="1451" hidden="1" ht="16.05" customFormat="1" customHeight="1" s="126">
      <c r="A1451" s="125" t="n">
        <v>1938</v>
      </c>
      <c r="B1451" s="125" t="inlineStr">
        <is>
          <t>WF</t>
        </is>
      </c>
      <c r="C1451" s="130" t="inlineStr">
        <is>
          <t>Москва</t>
        </is>
      </c>
      <c r="D1451" s="130" t="inlineStr">
        <is>
          <t>Москва</t>
        </is>
      </c>
      <c r="E1451" s="130" t="inlineStr">
        <is>
          <t>ЗАО</t>
        </is>
      </c>
      <c r="F1451" s="130" t="inlineStr">
        <is>
          <t>Супермаркет</t>
        </is>
      </c>
      <c r="G1451" s="130" t="inlineStr">
        <is>
          <t>Азбука Вкуса</t>
        </is>
      </c>
      <c r="H1451" s="131" t="n"/>
      <c r="I1451" s="637" t="n">
        <v>132</v>
      </c>
      <c r="J1451" s="637" t="inlineStr">
        <is>
          <t>MSK_A_132</t>
        </is>
      </c>
      <c r="K1451" s="640" t="n">
        <v>2</v>
      </c>
      <c r="L1451" s="640" t="n">
        <v>1</v>
      </c>
      <c r="M1451" s="623" t="inlineStr">
        <is>
          <t>Samsung 43" вертикальный</t>
        </is>
      </c>
      <c r="N1451" s="640" t="n"/>
      <c r="O1451" s="640">
        <f>IF(AND(N1451=1,L1451=1),K1451,"")</f>
        <v/>
      </c>
      <c r="P1451" s="642" t="inlineStr">
        <is>
          <t>Москва, Чапаевский переулок, д.18/1</t>
        </is>
      </c>
      <c r="Q1451" s="640" t="inlineStr">
        <is>
          <t>55.796334</t>
        </is>
      </c>
      <c r="R1451" s="494" t="inlineStr">
        <is>
          <t>37.518048</t>
        </is>
      </c>
      <c r="S1451" s="387" t="n">
        <v>24</v>
      </c>
      <c r="T1451" s="436">
        <f>IF(N1451=1,O1451*S1451,"")</f>
        <v/>
      </c>
      <c r="U1451" s="436" t="n">
        <v>1</v>
      </c>
      <c r="V1451" s="438">
        <f>IF(AND(N1451=1,U1451=1),C1451,"")</f>
        <v/>
      </c>
      <c r="W1451" s="387" t="n"/>
      <c r="X1451" s="387" t="n"/>
      <c r="Y1451" s="387" t="n"/>
    </row>
    <row r="1452" hidden="1" ht="16.05" customHeight="1">
      <c r="A1452" s="791" t="n">
        <v>1929</v>
      </c>
      <c r="B1452" s="13">
        <f>IF(OR(M1452="Sam 32",M1452="Sam 40"),"s",IF(M1452="AMS","a","v"))</f>
        <v/>
      </c>
      <c r="C1452" s="130" t="inlineStr">
        <is>
          <t>Москва</t>
        </is>
      </c>
      <c r="D1452" s="130" t="inlineStr">
        <is>
          <t>Москва</t>
        </is>
      </c>
      <c r="E1452" s="130" t="inlineStr">
        <is>
          <t>ЦАО</t>
        </is>
      </c>
      <c r="F1452" s="130" t="n"/>
      <c r="G1452" s="130" t="inlineStr">
        <is>
          <t>Азбука Вкуса</t>
        </is>
      </c>
      <c r="H1452" s="131" t="n"/>
      <c r="I1452" s="637" t="n">
        <v>129</v>
      </c>
      <c r="J1452" s="637" t="n"/>
      <c r="K1452" s="640" t="n">
        <v>3</v>
      </c>
      <c r="L1452" s="640" t="n">
        <v>0</v>
      </c>
      <c r="M1452" s="640" t="inlineStr">
        <is>
          <t>PM43F</t>
        </is>
      </c>
      <c r="N1452" s="640" t="n"/>
      <c r="O1452" s="640">
        <f>IF(AND(N1452=1,L1452=1),K1452,"")</f>
        <v/>
      </c>
      <c r="P1452" s="642" t="inlineStr">
        <is>
          <t>Москва, ул.Грузинская Большая, д.63, стр.1</t>
        </is>
      </c>
      <c r="Q1452" s="640" t="n"/>
      <c r="R1452" s="422" t="n"/>
      <c r="S1452" s="387" t="n">
        <v>24</v>
      </c>
      <c r="T1452" s="436">
        <f>S1452*O1452</f>
        <v/>
      </c>
      <c r="U1452" s="436" t="n">
        <v>1</v>
      </c>
      <c r="V1452" s="438">
        <f>IF(AND(N1452=1,U1452=1),C1452,"")</f>
        <v/>
      </c>
      <c r="Z1452" s="1" t="n"/>
    </row>
    <row r="1453" hidden="1" ht="16.05" customFormat="1" customHeight="1" s="126">
      <c r="A1453" s="125" t="n">
        <v>1941</v>
      </c>
      <c r="B1453" s="125" t="inlineStr">
        <is>
          <t>WF</t>
        </is>
      </c>
      <c r="C1453" s="130" t="inlineStr">
        <is>
          <t>Москва</t>
        </is>
      </c>
      <c r="D1453" s="130" t="inlineStr">
        <is>
          <t>Москва</t>
        </is>
      </c>
      <c r="E1453" s="130" t="inlineStr">
        <is>
          <t>ЗАО</t>
        </is>
      </c>
      <c r="F1453" s="130" t="inlineStr">
        <is>
          <t>Супермаркет</t>
        </is>
      </c>
      <c r="G1453" s="130" t="inlineStr">
        <is>
          <t>Азбука Вкуса</t>
        </is>
      </c>
      <c r="H1453" s="131" t="n"/>
      <c r="I1453" s="637" t="n">
        <v>133</v>
      </c>
      <c r="J1453" s="637" t="inlineStr">
        <is>
          <t>MSK_A_133</t>
        </is>
      </c>
      <c r="K1453" s="640" t="n">
        <v>3</v>
      </c>
      <c r="L1453" s="640" t="n">
        <v>1</v>
      </c>
      <c r="M1453" s="623" t="inlineStr">
        <is>
          <t>Samsung 43" вертикальный</t>
        </is>
      </c>
      <c r="N1453" s="640" t="n"/>
      <c r="O1453" s="640">
        <f>IF(AND(N1453=1,L1453=1),K1453,"")</f>
        <v/>
      </c>
      <c r="P1453" s="642" t="inlineStr">
        <is>
          <t>Москва, Боровское шоссе, д.56</t>
        </is>
      </c>
      <c r="Q1453" s="640" t="inlineStr">
        <is>
          <t>55.634934</t>
        </is>
      </c>
      <c r="R1453" s="494" t="inlineStr">
        <is>
          <t>37.34576</t>
        </is>
      </c>
      <c r="S1453" s="387" t="n">
        <v>24</v>
      </c>
      <c r="T1453" s="436">
        <f>IF(N1453=1,O1453*S1453,"")</f>
        <v/>
      </c>
      <c r="U1453" s="436" t="n">
        <v>1</v>
      </c>
      <c r="V1453" s="438">
        <f>IF(AND(N1453=1,U1453=1),C1453,"")</f>
        <v/>
      </c>
      <c r="W1453" s="387" t="n"/>
      <c r="X1453" s="387" t="n"/>
      <c r="Y1453" s="387" t="n"/>
    </row>
    <row r="1454" hidden="1" ht="16.05" customFormat="1" customHeight="1" s="126">
      <c r="A1454" s="125" t="n">
        <v>1946</v>
      </c>
      <c r="B1454" s="125" t="inlineStr">
        <is>
          <t>WF</t>
        </is>
      </c>
      <c r="C1454" s="130" t="inlineStr">
        <is>
          <t>Москва</t>
        </is>
      </c>
      <c r="D1454" s="130" t="inlineStr">
        <is>
          <t>Москва</t>
        </is>
      </c>
      <c r="E1454" s="130" t="inlineStr">
        <is>
          <t>ЦАО</t>
        </is>
      </c>
      <c r="F1454" s="130" t="inlineStr">
        <is>
          <t>Супермаркет</t>
        </is>
      </c>
      <c r="G1454" s="130" t="inlineStr">
        <is>
          <t>Азбука Вкуса</t>
        </is>
      </c>
      <c r="H1454" s="131" t="n"/>
      <c r="I1454" s="637" t="inlineStr">
        <is>
          <t>135_Daily</t>
        </is>
      </c>
      <c r="J1454" s="637" t="inlineStr">
        <is>
          <t>MSK_D_135</t>
        </is>
      </c>
      <c r="K1454" s="640" t="n">
        <v>2</v>
      </c>
      <c r="L1454" s="640" t="n">
        <v>1</v>
      </c>
      <c r="M1454" s="623" t="inlineStr">
        <is>
          <t>Samsung 43" вертикальный</t>
        </is>
      </c>
      <c r="N1454" s="640" t="n"/>
      <c r="O1454" s="640">
        <f>IF(AND(N1454=1,L1454=1),K1454,"")</f>
        <v/>
      </c>
      <c r="P1454" s="642" t="inlineStr">
        <is>
          <t>Москва, ул.Татарская Большая, д.30</t>
        </is>
      </c>
      <c r="Q1454" s="640" t="inlineStr">
        <is>
          <t>55.738824</t>
        </is>
      </c>
      <c r="R1454" s="494" t="inlineStr">
        <is>
          <t>37.633266</t>
        </is>
      </c>
      <c r="S1454" s="387" t="n">
        <v>24</v>
      </c>
      <c r="T1454" s="436">
        <f>IF(N1454=1,O1454*S1454,"")</f>
        <v/>
      </c>
      <c r="U1454" s="436" t="n">
        <v>1</v>
      </c>
      <c r="V1454" s="438">
        <f>IF(AND(N1454=1,U1454=1),C1454,"")</f>
        <v/>
      </c>
      <c r="W1454" s="387" t="n"/>
      <c r="X1454" s="387" t="n"/>
      <c r="Y1454" s="387" t="n"/>
    </row>
    <row r="1455" hidden="1" ht="16.05" customFormat="1" customHeight="1" s="126">
      <c r="A1455" s="125" t="n">
        <v>1948</v>
      </c>
      <c r="B1455" s="125" t="inlineStr">
        <is>
          <t>WF</t>
        </is>
      </c>
      <c r="C1455" s="130" t="inlineStr">
        <is>
          <t>Москва</t>
        </is>
      </c>
      <c r="D1455" s="130" t="inlineStr">
        <is>
          <t>Москва</t>
        </is>
      </c>
      <c r="E1455" s="130" t="inlineStr">
        <is>
          <t>САО</t>
        </is>
      </c>
      <c r="F1455" s="130" t="inlineStr">
        <is>
          <t>Супермаркет</t>
        </is>
      </c>
      <c r="G1455" s="130" t="inlineStr">
        <is>
          <t>Азбука Вкуса</t>
        </is>
      </c>
      <c r="H1455" s="131" t="n"/>
      <c r="I1455" s="637" t="n">
        <v>136</v>
      </c>
      <c r="J1455" s="637" t="inlineStr">
        <is>
          <t>MSK_A_136</t>
        </is>
      </c>
      <c r="K1455" s="640" t="n">
        <v>2</v>
      </c>
      <c r="L1455" s="640" t="n">
        <v>1</v>
      </c>
      <c r="M1455" s="623" t="inlineStr">
        <is>
          <t>Samsung 43" вертикальный</t>
        </is>
      </c>
      <c r="N1455" s="640" t="n"/>
      <c r="O1455" s="640">
        <f>IF(AND(N1455=1,L1455=1),K1455,"")</f>
        <v/>
      </c>
      <c r="P1455" s="642" t="inlineStr">
        <is>
          <t>Москва, ул.Космонавтов, д.4</t>
        </is>
      </c>
      <c r="Q1455" s="640" t="inlineStr">
        <is>
          <t>55.820809</t>
        </is>
      </c>
      <c r="R1455" s="494" t="inlineStr">
        <is>
          <t>37.646193</t>
        </is>
      </c>
      <c r="S1455" s="387" t="n">
        <v>24</v>
      </c>
      <c r="T1455" s="436">
        <f>IF(N1455=1,O1455*S1455,"")</f>
        <v/>
      </c>
      <c r="U1455" s="436" t="n">
        <v>1</v>
      </c>
      <c r="V1455" s="438">
        <f>IF(AND(N1455=1,U1455=1),C1455,"")</f>
        <v/>
      </c>
      <c r="W1455" s="387" t="n"/>
      <c r="X1455" s="387" t="n"/>
      <c r="Y1455" s="387" t="n"/>
    </row>
    <row r="1456" hidden="1" ht="16.05" customFormat="1" customHeight="1" s="126">
      <c r="A1456" s="125" t="n">
        <v>1957</v>
      </c>
      <c r="B1456" s="125" t="inlineStr">
        <is>
          <t>WF</t>
        </is>
      </c>
      <c r="C1456" s="130" t="inlineStr">
        <is>
          <t>Москва</t>
        </is>
      </c>
      <c r="D1456" s="130" t="inlineStr">
        <is>
          <t>Москва</t>
        </is>
      </c>
      <c r="E1456" s="130" t="inlineStr">
        <is>
          <t>САО</t>
        </is>
      </c>
      <c r="F1456" s="130" t="inlineStr">
        <is>
          <t>Супермаркет</t>
        </is>
      </c>
      <c r="G1456" s="130" t="inlineStr">
        <is>
          <t>Азбука Вкуса</t>
        </is>
      </c>
      <c r="H1456" s="131" t="n"/>
      <c r="I1456" s="637" t="n">
        <v>139</v>
      </c>
      <c r="J1456" s="637" t="inlineStr">
        <is>
          <t>MSK_A_139</t>
        </is>
      </c>
      <c r="K1456" s="640" t="n">
        <v>2</v>
      </c>
      <c r="L1456" s="640" t="n">
        <v>1</v>
      </c>
      <c r="M1456" s="623" t="inlineStr">
        <is>
          <t>Samsung 43" вертикальный</t>
        </is>
      </c>
      <c r="N1456" s="640" t="n"/>
      <c r="O1456" s="640">
        <f>IF(AND(N1456=1,L1456=1),K1456,"")</f>
        <v/>
      </c>
      <c r="P1456" s="642" t="inlineStr">
        <is>
          <t>Москва, Ленинградское шоссе, д.68</t>
        </is>
      </c>
      <c r="Q1456" s="640" t="inlineStr">
        <is>
          <t>55.845784</t>
        </is>
      </c>
      <c r="R1456" s="494" t="inlineStr">
        <is>
          <t>37.477633</t>
        </is>
      </c>
      <c r="S1456" s="387" t="n">
        <v>24</v>
      </c>
      <c r="T1456" s="436">
        <f>IF(N1456=1,O1456*S1456,"")</f>
        <v/>
      </c>
      <c r="U1456" s="436" t="n">
        <v>1</v>
      </c>
      <c r="V1456" s="438">
        <f>IF(AND(N1456=1,U1456=1),C1456,"")</f>
        <v/>
      </c>
      <c r="W1456" s="387" t="n"/>
      <c r="X1456" s="387" t="n"/>
      <c r="Y1456" s="387" t="n"/>
    </row>
    <row r="1457" hidden="1" ht="16.05" customFormat="1" customHeight="1" s="126">
      <c r="A1457" s="125" t="n">
        <v>1944</v>
      </c>
      <c r="B1457" s="125" t="inlineStr">
        <is>
          <t>WF</t>
        </is>
      </c>
      <c r="C1457" s="130" t="inlineStr">
        <is>
          <t>Москва</t>
        </is>
      </c>
      <c r="D1457" s="130" t="inlineStr">
        <is>
          <t>Москва</t>
        </is>
      </c>
      <c r="E1457" s="130" t="inlineStr">
        <is>
          <t>ЦАО</t>
        </is>
      </c>
      <c r="F1457" s="130" t="inlineStr">
        <is>
          <t>Супермаркет</t>
        </is>
      </c>
      <c r="G1457" s="130" t="inlineStr">
        <is>
          <t>Азбука Вкуса</t>
        </is>
      </c>
      <c r="H1457" s="131" t="n"/>
      <c r="I1457" s="637" t="inlineStr">
        <is>
          <t>134_Daily</t>
        </is>
      </c>
      <c r="J1457" s="637" t="inlineStr">
        <is>
          <t>MSK_D_134</t>
        </is>
      </c>
      <c r="K1457" s="640" t="n">
        <v>2</v>
      </c>
      <c r="L1457" s="640" t="n">
        <v>0</v>
      </c>
      <c r="M1457" s="640" t="inlineStr">
        <is>
          <t>PM43F</t>
        </is>
      </c>
      <c r="N1457" s="640" t="n"/>
      <c r="O1457" s="640">
        <f>IF(AND(N1457=1,L1457=1),K1457,"")</f>
        <v/>
      </c>
      <c r="P1457" s="642" t="inlineStr">
        <is>
          <t>Москва, Манежная площадь, д.1, стр.2</t>
        </is>
      </c>
      <c r="Q1457" s="640" t="n">
        <v>55.755773</v>
      </c>
      <c r="R1457" s="422" t="n">
        <v>37.614608</v>
      </c>
      <c r="S1457" s="387" t="n">
        <v>24</v>
      </c>
      <c r="T1457" s="529">
        <f>S1457*O1457</f>
        <v/>
      </c>
      <c r="U1457" s="436" t="n">
        <v>1</v>
      </c>
      <c r="V1457" s="438">
        <f>IF(AND(N1457=1,U1457=1),C1457,"")</f>
        <v/>
      </c>
      <c r="W1457" s="387" t="n"/>
      <c r="X1457" s="387" t="n"/>
      <c r="Y1457" s="387" t="n"/>
    </row>
    <row r="1458" hidden="1" ht="16.05" customFormat="1" customHeight="1" s="126">
      <c r="A1458" s="125" t="n">
        <v>1963</v>
      </c>
      <c r="B1458" s="125" t="inlineStr">
        <is>
          <t>WF</t>
        </is>
      </c>
      <c r="C1458" s="130" t="inlineStr">
        <is>
          <t>Москва</t>
        </is>
      </c>
      <c r="D1458" s="130" t="inlineStr">
        <is>
          <t>Москва</t>
        </is>
      </c>
      <c r="E1458" s="130" t="inlineStr">
        <is>
          <t>ВАО</t>
        </is>
      </c>
      <c r="F1458" s="130" t="inlineStr">
        <is>
          <t>Супермаркет</t>
        </is>
      </c>
      <c r="G1458" s="130" t="inlineStr">
        <is>
          <t>Азбука Вкуса</t>
        </is>
      </c>
      <c r="H1458" s="131" t="n"/>
      <c r="I1458" s="637" t="n">
        <v>141</v>
      </c>
      <c r="J1458" s="637" t="inlineStr">
        <is>
          <t>MSK_A_141</t>
        </is>
      </c>
      <c r="K1458" s="640" t="n">
        <v>1</v>
      </c>
      <c r="L1458" s="640" t="n">
        <v>1</v>
      </c>
      <c r="M1458" s="623" t="inlineStr">
        <is>
          <t>Samsung 43" вертикальный</t>
        </is>
      </c>
      <c r="N1458" s="640" t="n"/>
      <c r="O1458" s="640">
        <f>IF(AND(N1458=1,L1458=1),K1458,"")</f>
        <v/>
      </c>
      <c r="P1458" s="642" t="inlineStr">
        <is>
          <t>Москва, Щелковское шоссе 8</t>
        </is>
      </c>
      <c r="Q1458" s="640" t="inlineStr">
        <is>
          <t>55.804137</t>
        </is>
      </c>
      <c r="R1458" s="494" t="inlineStr">
        <is>
          <t>37.761321</t>
        </is>
      </c>
      <c r="S1458" s="387" t="n">
        <v>24</v>
      </c>
      <c r="T1458" s="436">
        <f>IF(N1458=1,O1458*S1458,"")</f>
        <v/>
      </c>
      <c r="U1458" s="436" t="n">
        <v>1</v>
      </c>
      <c r="V1458" s="438">
        <f>IF(AND(N1458=1,U1458=1),C1458,"")</f>
        <v/>
      </c>
      <c r="W1458" s="387" t="n"/>
      <c r="X1458" s="387" t="n"/>
      <c r="Y1458" s="387" t="n"/>
    </row>
    <row r="1459" hidden="1" ht="16.05" customFormat="1" customHeight="1" s="126">
      <c r="A1459" s="125" t="n">
        <v>2052</v>
      </c>
      <c r="B1459" s="125" t="inlineStr">
        <is>
          <t>WF</t>
        </is>
      </c>
      <c r="C1459" s="130" t="inlineStr">
        <is>
          <t>Москва</t>
        </is>
      </c>
      <c r="D1459" s="130" t="inlineStr">
        <is>
          <t>Москва</t>
        </is>
      </c>
      <c r="E1459" s="130" t="inlineStr">
        <is>
          <t>ЗАО</t>
        </is>
      </c>
      <c r="F1459" s="130" t="inlineStr">
        <is>
          <t>Супермаркет</t>
        </is>
      </c>
      <c r="G1459" s="130" t="inlineStr">
        <is>
          <t>Азбука Вкуса</t>
        </is>
      </c>
      <c r="H1459" s="131" t="n"/>
      <c r="I1459" s="637" t="inlineStr">
        <is>
          <t>142_Daily</t>
        </is>
      </c>
      <c r="J1459" s="637" t="inlineStr">
        <is>
          <t>MSK_D_142</t>
        </is>
      </c>
      <c r="K1459" s="640" t="n">
        <v>2</v>
      </c>
      <c r="L1459" s="640" t="n">
        <v>1</v>
      </c>
      <c r="M1459" s="623" t="inlineStr">
        <is>
          <t>Samsung 40" вертикальный</t>
        </is>
      </c>
      <c r="N1459" s="640" t="n"/>
      <c r="O1459" s="640">
        <f>IF(AND(N1459=1,L1459=1),K1459,"")</f>
        <v/>
      </c>
      <c r="P1459" s="642" t="inlineStr">
        <is>
          <t>Москва, ул. Ярцевская д.24</t>
        </is>
      </c>
      <c r="Q1459" s="640" t="inlineStr">
        <is>
          <t>55.7391129</t>
        </is>
      </c>
      <c r="R1459" s="494" t="inlineStr">
        <is>
          <t>37.4142566</t>
        </is>
      </c>
      <c r="S1459" s="387" t="n">
        <v>24</v>
      </c>
      <c r="T1459" s="436">
        <f>IF(N1459=1,O1459*S1459,"")</f>
        <v/>
      </c>
      <c r="U1459" s="436" t="n">
        <v>1</v>
      </c>
      <c r="V1459" s="438">
        <f>IF(AND(N1459=1,U1459=1),C1459,"")</f>
        <v/>
      </c>
      <c r="W1459" s="387" t="n"/>
      <c r="X1459" s="387" t="n"/>
      <c r="Y1459" s="387" t="n"/>
    </row>
    <row r="1460" hidden="1" ht="16.05" customHeight="1">
      <c r="A1460" s="791" t="n">
        <v>1951</v>
      </c>
      <c r="B1460" s="13">
        <f>IF(OR(M1460="Sam 32",M1460="Sam 40"),"s",IF(M1460="AMS","a","v"))</f>
        <v/>
      </c>
      <c r="C1460" s="130" t="inlineStr">
        <is>
          <t>Москва</t>
        </is>
      </c>
      <c r="D1460" s="130" t="inlineStr">
        <is>
          <t>Москва</t>
        </is>
      </c>
      <c r="E1460" s="130" t="inlineStr">
        <is>
          <t>ЦАО</t>
        </is>
      </c>
      <c r="F1460" s="130" t="n"/>
      <c r="G1460" s="130" t="inlineStr">
        <is>
          <t>Азбука Вкуса</t>
        </is>
      </c>
      <c r="H1460" s="131" t="n"/>
      <c r="I1460" s="637" t="n">
        <v>137</v>
      </c>
      <c r="J1460" s="637" t="n"/>
      <c r="K1460" s="640" t="n">
        <v>3</v>
      </c>
      <c r="L1460" s="640" t="n">
        <v>0</v>
      </c>
      <c r="M1460" s="640" t="inlineStr">
        <is>
          <t>PM43F</t>
        </is>
      </c>
      <c r="N1460" s="640" t="n"/>
      <c r="O1460" s="640">
        <f>IF(AND(N1460=1,L1460=1),K1460,"")</f>
        <v/>
      </c>
      <c r="P1460" s="642" t="inlineStr">
        <is>
          <t>Москва, ул.Лубянка Большая, д.12/1</t>
        </is>
      </c>
      <c r="Q1460" s="640" t="n"/>
      <c r="R1460" s="422" t="n"/>
      <c r="S1460" s="387" t="n">
        <v>24</v>
      </c>
      <c r="T1460" s="436">
        <f>S1460*O1460</f>
        <v/>
      </c>
      <c r="U1460" s="436" t="n">
        <v>1</v>
      </c>
      <c r="V1460" s="438">
        <f>IF(AND(N1460=1,U1460=1),C1460,"")</f>
        <v/>
      </c>
      <c r="Z1460" s="1" t="n"/>
    </row>
    <row r="1461" hidden="1" ht="16.05" customHeight="1">
      <c r="A1461" s="791" t="n">
        <v>1954</v>
      </c>
      <c r="B1461" s="13">
        <f>IF(OR(M1461="Sam 32",M1461="Sam 40"),"s",IF(M1461="AMS","a","v"))</f>
        <v/>
      </c>
      <c r="C1461" s="130" t="inlineStr">
        <is>
          <t>Москва</t>
        </is>
      </c>
      <c r="D1461" s="130" t="inlineStr">
        <is>
          <t>Москва</t>
        </is>
      </c>
      <c r="E1461" s="130" t="inlineStr">
        <is>
          <t>ЗАО</t>
        </is>
      </c>
      <c r="F1461" s="130" t="n"/>
      <c r="G1461" s="130" t="inlineStr">
        <is>
          <t>Азбука Вкуса</t>
        </is>
      </c>
      <c r="H1461" s="131" t="n"/>
      <c r="I1461" s="637" t="n">
        <v>138</v>
      </c>
      <c r="J1461" s="637" t="n"/>
      <c r="K1461" s="640" t="n">
        <v>3</v>
      </c>
      <c r="L1461" s="640" t="n">
        <v>0</v>
      </c>
      <c r="M1461" s="640" t="inlineStr">
        <is>
          <t>PM43F</t>
        </is>
      </c>
      <c r="N1461" s="640" t="n"/>
      <c r="O1461" s="640">
        <f>IF(AND(N1461=1,L1461=1),K1461,"")</f>
        <v/>
      </c>
      <c r="P1461" s="642" t="inlineStr">
        <is>
          <t>Москва, ул.Новопеределкинская, д.16, корп.1</t>
        </is>
      </c>
      <c r="Q1461" s="640" t="n"/>
      <c r="R1461" s="422" t="n"/>
      <c r="S1461" s="387" t="n">
        <v>24</v>
      </c>
      <c r="T1461" s="436">
        <f>S1461*O1461</f>
        <v/>
      </c>
      <c r="U1461" s="436" t="n">
        <v>1</v>
      </c>
      <c r="V1461" s="438">
        <f>IF(AND(N1461=1,U1461=1),C1461,"")</f>
        <v/>
      </c>
      <c r="Z1461" s="1" t="n"/>
    </row>
    <row r="1462" hidden="1" ht="16.05" customFormat="1" customHeight="1" s="126">
      <c r="A1462" s="125" t="n">
        <v>2054</v>
      </c>
      <c r="B1462" s="125" t="inlineStr">
        <is>
          <t>WF</t>
        </is>
      </c>
      <c r="C1462" s="130" t="inlineStr">
        <is>
          <t>Москва</t>
        </is>
      </c>
      <c r="D1462" s="130" t="inlineStr">
        <is>
          <t>Москва</t>
        </is>
      </c>
      <c r="E1462" s="130" t="inlineStr">
        <is>
          <t>ЗАО</t>
        </is>
      </c>
      <c r="F1462" s="130" t="inlineStr">
        <is>
          <t>Супермаркет</t>
        </is>
      </c>
      <c r="G1462" s="130" t="inlineStr">
        <is>
          <t>Азбука Вкуса</t>
        </is>
      </c>
      <c r="H1462" s="131" t="n"/>
      <c r="I1462" s="637" t="inlineStr">
        <is>
          <t>143_Daily</t>
        </is>
      </c>
      <c r="J1462" s="637" t="inlineStr">
        <is>
          <t>MSK_D_143</t>
        </is>
      </c>
      <c r="K1462" s="640" t="n">
        <v>2</v>
      </c>
      <c r="L1462" s="640" t="n">
        <v>1</v>
      </c>
      <c r="M1462" s="623" t="inlineStr">
        <is>
          <t>Samsung 40" вертикальный</t>
        </is>
      </c>
      <c r="N1462" s="640" t="n"/>
      <c r="O1462" s="640">
        <f>IF(AND(N1462=1,L1462=1),K1462,"")</f>
        <v/>
      </c>
      <c r="P1462" s="642" t="inlineStr">
        <is>
          <t>Москва, ул. Авиационная д 77 к2</t>
        </is>
      </c>
      <c r="Q1462" s="640" t="inlineStr">
        <is>
          <t>55.8095067</t>
        </is>
      </c>
      <c r="R1462" s="494" t="inlineStr">
        <is>
          <t>37.4504658</t>
        </is>
      </c>
      <c r="S1462" s="387" t="n">
        <v>24</v>
      </c>
      <c r="T1462" s="436">
        <f>IF(N1462=1,O1462*S1462,"")</f>
        <v/>
      </c>
      <c r="U1462" s="436" t="n">
        <v>1</v>
      </c>
      <c r="V1462" s="438">
        <f>IF(AND(N1462=1,U1462=1),C1462,"")</f>
        <v/>
      </c>
      <c r="W1462" s="387" t="n"/>
      <c r="X1462" s="387" t="n"/>
      <c r="Y1462" s="387" t="n"/>
    </row>
    <row r="1463" hidden="1" ht="16.05" customHeight="1">
      <c r="A1463" s="87" t="n">
        <v>1960</v>
      </c>
      <c r="B1463" s="87">
        <f>IF(OR(M1463="Sam 32",M1463="Sam 40"),"s",IF(M1463="AMS","a","v"))</f>
        <v/>
      </c>
      <c r="C1463" s="130" t="inlineStr">
        <is>
          <t>Москва</t>
        </is>
      </c>
      <c r="D1463" s="130" t="inlineStr">
        <is>
          <t>Москва</t>
        </is>
      </c>
      <c r="E1463" s="130" t="inlineStr">
        <is>
          <t>ЦАО</t>
        </is>
      </c>
      <c r="F1463" s="130" t="n"/>
      <c r="G1463" s="130" t="inlineStr">
        <is>
          <t>Азбука Вкуса</t>
        </is>
      </c>
      <c r="H1463" s="131" t="n"/>
      <c r="I1463" s="637" t="n">
        <v>140</v>
      </c>
      <c r="J1463" s="637" t="inlineStr">
        <is>
          <t>MSK_A_140</t>
        </is>
      </c>
      <c r="K1463" s="640" t="n">
        <v>2</v>
      </c>
      <c r="L1463" s="640" t="n">
        <v>0</v>
      </c>
      <c r="M1463" s="640" t="inlineStr">
        <is>
          <t>PM43F</t>
        </is>
      </c>
      <c r="N1463" s="640" t="n"/>
      <c r="O1463" s="640">
        <f>IF(AND(N1463=1,L1463=1),K1463,"")</f>
        <v/>
      </c>
      <c r="P1463" s="642" t="inlineStr">
        <is>
          <t>Москва, Комсомольский пр. 11</t>
        </is>
      </c>
      <c r="Q1463" s="640" t="n"/>
      <c r="R1463" s="422" t="n"/>
      <c r="S1463" s="387" t="n">
        <v>15</v>
      </c>
      <c r="T1463" s="436">
        <f>S1463*O1463</f>
        <v/>
      </c>
      <c r="U1463" s="436" t="n">
        <v>1</v>
      </c>
      <c r="V1463" s="438">
        <f>IF(AND(N1463=1,U1463=1),C1463,"")</f>
        <v/>
      </c>
      <c r="Z1463" s="1" t="n"/>
    </row>
    <row r="1464" hidden="1" ht="16.05" customFormat="1" customHeight="1" s="126">
      <c r="A1464" s="125" t="n">
        <v>2056</v>
      </c>
      <c r="B1464" s="125" t="inlineStr">
        <is>
          <t>WF</t>
        </is>
      </c>
      <c r="C1464" s="130" t="inlineStr">
        <is>
          <t>Москва</t>
        </is>
      </c>
      <c r="D1464" s="130" t="inlineStr">
        <is>
          <t>Москва</t>
        </is>
      </c>
      <c r="E1464" s="130" t="inlineStr">
        <is>
          <t>ЮЗАО</t>
        </is>
      </c>
      <c r="F1464" s="130" t="inlineStr">
        <is>
          <t>Супермаркет</t>
        </is>
      </c>
      <c r="G1464" s="130" t="inlineStr">
        <is>
          <t>Азбука Вкуса</t>
        </is>
      </c>
      <c r="H1464" s="131" t="n"/>
      <c r="I1464" s="637" t="inlineStr">
        <is>
          <t>144_Daily</t>
        </is>
      </c>
      <c r="J1464" s="637" t="inlineStr">
        <is>
          <t>MSK_D_144</t>
        </is>
      </c>
      <c r="K1464" s="640" t="n">
        <v>2</v>
      </c>
      <c r="L1464" s="640" t="n">
        <v>1</v>
      </c>
      <c r="M1464" s="623" t="inlineStr">
        <is>
          <t>Samsung 40" вертикальный</t>
        </is>
      </c>
      <c r="N1464" s="640" t="n"/>
      <c r="O1464" s="640">
        <f>IF(AND(N1464=1,L1464=1),K1464,"")</f>
        <v/>
      </c>
      <c r="P1464" s="642" t="inlineStr">
        <is>
          <t>Москва, ул. Профсоюзная д. 126 к.2</t>
        </is>
      </c>
      <c r="Q1464" s="640" t="inlineStr">
        <is>
          <t>55.6311748</t>
        </is>
      </c>
      <c r="R1464" s="494" t="inlineStr">
        <is>
          <t>37.5175967</t>
        </is>
      </c>
      <c r="S1464" s="387" t="n">
        <v>17</v>
      </c>
      <c r="T1464" s="436">
        <f>IF(N1464=1,O1464*S1464,"")</f>
        <v/>
      </c>
      <c r="U1464" s="436" t="n">
        <v>1</v>
      </c>
      <c r="V1464" s="438">
        <f>IF(AND(N1464=1,U1464=1),C1464,"")</f>
        <v/>
      </c>
      <c r="W1464" s="387" t="n"/>
      <c r="X1464" s="387" t="n"/>
      <c r="Y1464" s="387" t="n"/>
    </row>
    <row r="1465" hidden="1" ht="16.05" customHeight="1">
      <c r="A1465" s="791" t="n">
        <v>1966</v>
      </c>
      <c r="B1465" s="13">
        <f>IF(OR(M1465="Sam 32",M1465="Sam 40"),"s",IF(M1465="AMS","a","v"))</f>
        <v/>
      </c>
      <c r="C1465" s="130" t="inlineStr">
        <is>
          <t>Санкт-Петербург</t>
        </is>
      </c>
      <c r="D1465" s="130" t="inlineStr">
        <is>
          <t>Ленинградская область</t>
        </is>
      </c>
      <c r="E1465" s="130" t="n"/>
      <c r="F1465" s="130" t="n"/>
      <c r="G1465" s="130" t="inlineStr">
        <is>
          <t>Лукойл</t>
        </is>
      </c>
      <c r="H1465" s="131" t="n"/>
      <c r="I1465" s="637" t="inlineStr">
        <is>
          <t>147_Скандинавия-1</t>
        </is>
      </c>
      <c r="J1465" s="637" t="n"/>
      <c r="K1465" s="640" t="n">
        <v>1</v>
      </c>
      <c r="L1465" s="640" t="n">
        <v>0</v>
      </c>
      <c r="M1465" s="640" t="inlineStr">
        <is>
          <t>Sam 32</t>
        </is>
      </c>
      <c r="N1465" s="640" t="n"/>
      <c r="O1465" s="640">
        <f>IF(AND(N1465=1,L1465=1),K1465,"")</f>
        <v/>
      </c>
      <c r="P1465" s="642" t="inlineStr">
        <is>
          <t>Ленинградская область, Выборгский р-н, а/д Скандинавия, 144 км, справа</t>
        </is>
      </c>
      <c r="Q1465" s="640" t="n"/>
      <c r="R1465" s="422" t="n"/>
      <c r="X1465" s="1" t="n"/>
      <c r="Y1465" s="1" t="n"/>
      <c r="Z1465" s="1" t="n"/>
    </row>
    <row r="1466" hidden="1" ht="16.05" customHeight="1">
      <c r="A1466" s="791" t="n">
        <v>1967</v>
      </c>
      <c r="B1466" s="13">
        <f>IF(OR(M1466="Sam 32",M1466="Sam 40"),"s",IF(M1466="AMS","a","v"))</f>
        <v/>
      </c>
      <c r="C1466" s="130" t="inlineStr">
        <is>
          <t>Санкт-Петербург</t>
        </is>
      </c>
      <c r="D1466" s="130" t="inlineStr">
        <is>
          <t>Ленинградская область</t>
        </is>
      </c>
      <c r="E1466" s="130" t="n"/>
      <c r="F1466" s="130" t="n"/>
      <c r="G1466" s="130" t="inlineStr">
        <is>
          <t>Лукойл</t>
        </is>
      </c>
      <c r="H1466" s="131" t="n"/>
      <c r="I1466" s="637" t="inlineStr">
        <is>
          <t>148_Скандинавия-2</t>
        </is>
      </c>
      <c r="J1466" s="637" t="n"/>
      <c r="K1466" s="640" t="n">
        <v>1</v>
      </c>
      <c r="L1466" s="640" t="n">
        <v>0</v>
      </c>
      <c r="M1466" s="640" t="inlineStr">
        <is>
          <t>Sam 32</t>
        </is>
      </c>
      <c r="N1466" s="640" t="n"/>
      <c r="O1466" s="640">
        <f>IF(AND(N1466=1,L1466=1),K1466,"")</f>
        <v/>
      </c>
      <c r="P1466" s="642" t="inlineStr">
        <is>
          <t xml:space="preserve">Ленинградская область, Выборгский р-н, 144,6 км автодороги Е-18 "Скандинавия" (слева) </t>
        </is>
      </c>
      <c r="Q1466" s="640" t="n"/>
      <c r="R1466" s="422" t="n"/>
      <c r="X1466" s="1" t="n"/>
      <c r="Y1466" s="1" t="n"/>
      <c r="Z1466" s="1" t="n"/>
    </row>
    <row r="1467" hidden="1" ht="16.05" customHeight="1">
      <c r="A1467" s="791" t="n">
        <v>1968</v>
      </c>
      <c r="B1467" s="13">
        <f>IF(OR(M1467="Sam 32",M1467="Sam 40"),"s",IF(M1467="AMS","a","v"))</f>
        <v/>
      </c>
      <c r="C1467" s="130" t="inlineStr">
        <is>
          <t>Санкт-Петербург</t>
        </is>
      </c>
      <c r="D1467" s="130" t="inlineStr">
        <is>
          <t>Ленинградская область</t>
        </is>
      </c>
      <c r="E1467" s="130" t="n"/>
      <c r="F1467" s="130" t="n"/>
      <c r="G1467" s="130" t="inlineStr">
        <is>
          <t>Лукойл</t>
        </is>
      </c>
      <c r="H1467" s="131" t="n"/>
      <c r="I1467" s="637" t="inlineStr">
        <is>
          <t>102_Торфяновка</t>
        </is>
      </c>
      <c r="J1467" s="637" t="n"/>
      <c r="K1467" s="640" t="n">
        <v>1</v>
      </c>
      <c r="L1467" s="640" t="n">
        <v>0</v>
      </c>
      <c r="M1467" s="640" t="inlineStr">
        <is>
          <t>Sam 32</t>
        </is>
      </c>
      <c r="N1467" s="640" t="n"/>
      <c r="O1467" s="640">
        <f>IF(AND(N1467=1,L1467=1),K1467,"")</f>
        <v/>
      </c>
      <c r="P1467" s="642" t="inlineStr">
        <is>
          <t>Ленинградская область, Выборгский район, п. Торфяновка, А181 (М10), 192-й км, слева</t>
        </is>
      </c>
      <c r="Q1467" s="640" t="n"/>
      <c r="R1467" s="422" t="n"/>
      <c r="X1467" s="1" t="n"/>
      <c r="Y1467" s="1" t="n"/>
      <c r="Z1467" s="1" t="n"/>
    </row>
    <row r="1468" hidden="1" ht="16.05" customFormat="1" customHeight="1" s="126">
      <c r="A1468" s="125" t="n">
        <v>1969</v>
      </c>
      <c r="B1468" s="125" t="n"/>
      <c r="C1468" s="130" t="inlineStr">
        <is>
          <t>Уфа</t>
        </is>
      </c>
      <c r="D1468" s="130" t="inlineStr">
        <is>
          <t>Уфа</t>
        </is>
      </c>
      <c r="E1468" s="130" t="n"/>
      <c r="F1468" s="130" t="inlineStr">
        <is>
          <t>АЗС</t>
        </is>
      </c>
      <c r="G1468" s="130" t="inlineStr">
        <is>
          <t>Лукойл</t>
        </is>
      </c>
      <c r="H1468" s="131" t="n"/>
      <c r="I1468" s="637" t="n">
        <v>2012</v>
      </c>
      <c r="J1468" s="637" t="inlineStr">
        <is>
          <t>UFA_LUK_02012</t>
        </is>
      </c>
      <c r="K1468" s="640" t="n">
        <v>1</v>
      </c>
      <c r="L1468" s="640" t="n">
        <v>0</v>
      </c>
      <c r="M1468" s="640" t="inlineStr">
        <is>
          <t>Samsung 32" вертикальный</t>
        </is>
      </c>
      <c r="N1468" s="640" t="n"/>
      <c r="O1468" s="640">
        <f>IF(AND(N1468=1,L1468=1),K1468,"")</f>
        <v/>
      </c>
      <c r="P1468" s="642" t="inlineStr">
        <is>
          <t xml:space="preserve">Уфа, ул.Володарского, 1 </t>
        </is>
      </c>
      <c r="Q1468" s="640" t="n">
        <v>54.73995</v>
      </c>
      <c r="R1468" s="422" t="n">
        <v>55.98379</v>
      </c>
      <c r="S1468" s="387" t="n"/>
      <c r="T1468" s="387" t="n"/>
      <c r="U1468" s="387" t="n"/>
      <c r="V1468" s="387" t="n"/>
      <c r="W1468" s="387" t="n"/>
      <c r="X1468" s="1" t="n"/>
      <c r="Y1468" s="1" t="n"/>
    </row>
    <row r="1469" hidden="1" ht="16.05" customFormat="1" customHeight="1" s="126">
      <c r="A1469" s="125" t="n">
        <v>1970</v>
      </c>
      <c r="B1469" s="125" t="n"/>
      <c r="C1469" s="130" t="inlineStr">
        <is>
          <t>Уфа</t>
        </is>
      </c>
      <c r="D1469" s="130" t="inlineStr">
        <is>
          <t>Уфа</t>
        </is>
      </c>
      <c r="E1469" s="130" t="n"/>
      <c r="F1469" s="130" t="inlineStr">
        <is>
          <t>АЗС</t>
        </is>
      </c>
      <c r="G1469" s="130" t="inlineStr">
        <is>
          <t>Лукойл</t>
        </is>
      </c>
      <c r="H1469" s="131" t="n"/>
      <c r="I1469" s="637" t="n">
        <v>2005</v>
      </c>
      <c r="J1469" s="637" t="inlineStr">
        <is>
          <t>UFA_LUK_02005</t>
        </is>
      </c>
      <c r="K1469" s="640" t="n">
        <v>1</v>
      </c>
      <c r="L1469" s="640" t="n">
        <v>0</v>
      </c>
      <c r="M1469" s="640" t="inlineStr">
        <is>
          <t>Samsung 32" вертикальный</t>
        </is>
      </c>
      <c r="N1469" s="640" t="n"/>
      <c r="O1469" s="640">
        <f>IF(AND(N1469=1,L1469=1),K1469,"")</f>
        <v/>
      </c>
      <c r="P1469" s="642" t="inlineStr">
        <is>
          <t>Уфа, ул. Софьи Перовской, 30</t>
        </is>
      </c>
      <c r="Q1469" s="640" t="n">
        <v>54.698801</v>
      </c>
      <c r="R1469" s="422" t="n">
        <v>55.984338</v>
      </c>
      <c r="S1469" s="387" t="n"/>
      <c r="T1469" s="387" t="n"/>
      <c r="U1469" s="387" t="n"/>
      <c r="V1469" s="387" t="n"/>
      <c r="W1469" s="387" t="n"/>
      <c r="X1469" s="1" t="n"/>
      <c r="Y1469" s="1" t="n"/>
    </row>
    <row r="1470" hidden="1" ht="16.05" customFormat="1" customHeight="1" s="126">
      <c r="A1470" s="125" t="n">
        <v>1971</v>
      </c>
      <c r="B1470" s="125" t="n"/>
      <c r="C1470" s="130" t="inlineStr">
        <is>
          <t>Уфа</t>
        </is>
      </c>
      <c r="D1470" s="130" t="inlineStr">
        <is>
          <t>Уфа</t>
        </is>
      </c>
      <c r="E1470" s="130" t="n"/>
      <c r="F1470" s="130" t="inlineStr">
        <is>
          <t>АЗС</t>
        </is>
      </c>
      <c r="G1470" s="130" t="inlineStr">
        <is>
          <t>Лукойл</t>
        </is>
      </c>
      <c r="H1470" s="131" t="n"/>
      <c r="I1470" s="637" t="n">
        <v>2033</v>
      </c>
      <c r="J1470" s="637" t="inlineStr">
        <is>
          <t>UFA_LUK_02033</t>
        </is>
      </c>
      <c r="K1470" s="640" t="n">
        <v>1</v>
      </c>
      <c r="L1470" s="640" t="n">
        <v>0</v>
      </c>
      <c r="M1470" s="640" t="inlineStr">
        <is>
          <t>Samsung 32" вертикальный</t>
        </is>
      </c>
      <c r="N1470" s="640" t="n"/>
      <c r="O1470" s="640">
        <f>IF(AND(N1470=1,L1470=1),K1470,"")</f>
        <v/>
      </c>
      <c r="P1470" s="642" t="inlineStr">
        <is>
          <t>Уфа, пересечение ул. Центральная-ул.Правды (Уфа, пересечение ул. Центральная, 1к.1)</t>
        </is>
      </c>
      <c r="Q1470" s="640" t="n">
        <v>54.703947</v>
      </c>
      <c r="R1470" s="422" t="n">
        <v>55.847384</v>
      </c>
      <c r="S1470" s="387" t="n"/>
      <c r="T1470" s="387" t="n"/>
      <c r="U1470" s="387" t="n"/>
      <c r="V1470" s="387" t="n"/>
      <c r="W1470" s="387" t="n"/>
      <c r="X1470" s="1" t="n"/>
      <c r="Y1470" s="1" t="n"/>
    </row>
    <row r="1471" hidden="1" ht="16.05" customFormat="1" customHeight="1" s="126">
      <c r="A1471" s="125" t="n">
        <v>1972</v>
      </c>
      <c r="B1471" s="125" t="n"/>
      <c r="C1471" s="130" t="inlineStr">
        <is>
          <t>Уфа</t>
        </is>
      </c>
      <c r="D1471" s="130" t="inlineStr">
        <is>
          <t>Уфа</t>
        </is>
      </c>
      <c r="E1471" s="130" t="n"/>
      <c r="F1471" s="130" t="inlineStr">
        <is>
          <t>АЗС</t>
        </is>
      </c>
      <c r="G1471" s="130" t="inlineStr">
        <is>
          <t>Лукойл</t>
        </is>
      </c>
      <c r="H1471" s="131" t="n"/>
      <c r="I1471" s="637" t="n">
        <v>2097</v>
      </c>
      <c r="J1471" s="637" t="inlineStr">
        <is>
          <t>UFA_LUK_02097</t>
        </is>
      </c>
      <c r="K1471" s="640" t="n">
        <v>1</v>
      </c>
      <c r="L1471" s="640" t="n">
        <v>0</v>
      </c>
      <c r="M1471" s="640" t="inlineStr">
        <is>
          <t>Samsung 32" вертикальный</t>
        </is>
      </c>
      <c r="N1471" s="640" t="n"/>
      <c r="O1471" s="640">
        <f>IF(AND(N1471=1,L1471=1),K1471,"")</f>
        <v/>
      </c>
      <c r="P1471" s="642" t="inlineStr">
        <is>
          <t>Уфимский р-н, "Каменная переправа" (деревня Жилино, Семейная улица, 1к2)</t>
        </is>
      </c>
      <c r="Q1471" s="640" t="n">
        <v>54.660053</v>
      </c>
      <c r="R1471" s="422" t="n">
        <v>56.082847</v>
      </c>
      <c r="S1471" s="387" t="n"/>
      <c r="T1471" s="387" t="n"/>
      <c r="U1471" s="387" t="n"/>
      <c r="V1471" s="387" t="n"/>
      <c r="W1471" s="387" t="n"/>
      <c r="X1471" s="1" t="n"/>
      <c r="Y1471" s="1" t="n"/>
    </row>
    <row r="1472" hidden="1" ht="16.05" customFormat="1" customHeight="1" s="126">
      <c r="A1472" s="125" t="n">
        <v>1973</v>
      </c>
      <c r="B1472" s="125" t="n"/>
      <c r="C1472" s="130" t="inlineStr">
        <is>
          <t>Уфа</t>
        </is>
      </c>
      <c r="D1472" s="130" t="inlineStr">
        <is>
          <t>Уфа</t>
        </is>
      </c>
      <c r="E1472" s="130" t="n"/>
      <c r="F1472" s="130" t="inlineStr">
        <is>
          <t>АЗС</t>
        </is>
      </c>
      <c r="G1472" s="130" t="inlineStr">
        <is>
          <t>Лукойл</t>
        </is>
      </c>
      <c r="H1472" s="131" t="n"/>
      <c r="I1472" s="637" t="n">
        <v>2134</v>
      </c>
      <c r="J1472" s="637" t="inlineStr">
        <is>
          <t>UFA_LUK_02134</t>
        </is>
      </c>
      <c r="K1472" s="640" t="n">
        <v>1</v>
      </c>
      <c r="L1472" s="640" t="n">
        <v>0</v>
      </c>
      <c r="M1472" s="640" t="inlineStr">
        <is>
          <t>Samsung 32" вертикальный</t>
        </is>
      </c>
      <c r="N1472" s="640" t="n"/>
      <c r="O1472" s="640">
        <f>IF(AND(N1472=1,L1472=1),K1472,"")</f>
        <v/>
      </c>
      <c r="P1472" s="642" t="inlineStr">
        <is>
          <t>Уфимский р-н, пос. «Цветы Башкирии» (Уфимский р-н, Столбовая ул., 1, корп. 1, Уфа)</t>
        </is>
      </c>
      <c r="Q1472" s="640" t="n">
        <v>54.647241</v>
      </c>
      <c r="R1472" s="422" t="n">
        <v>55.919864</v>
      </c>
      <c r="S1472" s="387" t="n"/>
      <c r="T1472" s="387" t="n"/>
      <c r="U1472" s="387" t="n"/>
      <c r="V1472" s="387" t="n"/>
      <c r="W1472" s="387" t="n"/>
      <c r="X1472" s="1" t="n"/>
      <c r="Y1472" s="1" t="n"/>
    </row>
    <row r="1473" hidden="1" ht="16.05" customFormat="1" customHeight="1" s="126">
      <c r="A1473" s="125" t="n">
        <v>1974</v>
      </c>
      <c r="B1473" s="125" t="n"/>
      <c r="C1473" s="130" t="inlineStr">
        <is>
          <t>Уфа</t>
        </is>
      </c>
      <c r="D1473" s="130" t="inlineStr">
        <is>
          <t>Уфа</t>
        </is>
      </c>
      <c r="E1473" s="130" t="n"/>
      <c r="F1473" s="130" t="inlineStr">
        <is>
          <t>АЗС</t>
        </is>
      </c>
      <c r="G1473" s="130" t="inlineStr">
        <is>
          <t>Лукойл</t>
        </is>
      </c>
      <c r="H1473" s="131" t="n"/>
      <c r="I1473" s="637" t="n">
        <v>2136</v>
      </c>
      <c r="J1473" s="637" t="inlineStr">
        <is>
          <t>UFA_LUK_02136</t>
        </is>
      </c>
      <c r="K1473" s="640" t="n">
        <v>1</v>
      </c>
      <c r="L1473" s="640" t="n">
        <v>0</v>
      </c>
      <c r="M1473" s="640" t="inlineStr">
        <is>
          <t>Samsung 32" вертикальный</t>
        </is>
      </c>
      <c r="N1473" s="640" t="n"/>
      <c r="O1473" s="640">
        <f>IF(AND(N1473=1,L1473=1),K1473,"")</f>
        <v/>
      </c>
      <c r="P1473" s="642" t="inlineStr">
        <is>
          <t>Уфимский р-н, с. Чесноковка (Уфимский р-н,  село Чесноковка, Школьная ул., 1А)</t>
        </is>
      </c>
      <c r="Q1473" s="640" t="n">
        <v>54.622567</v>
      </c>
      <c r="R1473" s="422" t="n">
        <v>55.927945</v>
      </c>
      <c r="S1473" s="387" t="n"/>
      <c r="T1473" s="387" t="n"/>
      <c r="U1473" s="387" t="n"/>
      <c r="V1473" s="387" t="n"/>
      <c r="W1473" s="387" t="n"/>
      <c r="X1473" s="1" t="n"/>
      <c r="Y1473" s="1" t="n"/>
    </row>
    <row r="1474" hidden="1" ht="16.05" customFormat="1" customHeight="1" s="126">
      <c r="A1474" s="125" t="n">
        <v>1975</v>
      </c>
      <c r="B1474" s="125" t="n"/>
      <c r="C1474" s="130" t="inlineStr">
        <is>
          <t>Уфа</t>
        </is>
      </c>
      <c r="D1474" s="130" t="inlineStr">
        <is>
          <t>Уфа</t>
        </is>
      </c>
      <c r="E1474" s="130" t="n"/>
      <c r="F1474" s="130" t="inlineStr">
        <is>
          <t>АЗС</t>
        </is>
      </c>
      <c r="G1474" s="130" t="inlineStr">
        <is>
          <t>Лукойл</t>
        </is>
      </c>
      <c r="H1474" s="131" t="n"/>
      <c r="I1474" s="637" t="n">
        <v>2129</v>
      </c>
      <c r="J1474" s="637" t="inlineStr">
        <is>
          <t>UFA_LUK_02129</t>
        </is>
      </c>
      <c r="K1474" s="640" t="n">
        <v>1</v>
      </c>
      <c r="L1474" s="640" t="n">
        <v>0</v>
      </c>
      <c r="M1474" s="640" t="inlineStr">
        <is>
          <t>Samsung 32" вертикальный</t>
        </is>
      </c>
      <c r="N1474" s="640" t="n"/>
      <c r="O1474" s="640">
        <f>IF(AND(N1474=1,L1474=1),K1474,"")</f>
        <v/>
      </c>
      <c r="P1474" s="642" t="inlineStr">
        <is>
          <t>Уфа, ул. Шафиева, 11а</t>
        </is>
      </c>
      <c r="Q1474" s="640" t="n">
        <v>54.761249</v>
      </c>
      <c r="R1474" s="422" t="n">
        <v>56.01047</v>
      </c>
      <c r="S1474" s="387" t="n"/>
      <c r="T1474" s="387" t="n"/>
      <c r="U1474" s="387" t="n"/>
      <c r="V1474" s="387" t="n"/>
      <c r="W1474" s="387" t="n"/>
      <c r="X1474" s="1" t="n"/>
      <c r="Y1474" s="1" t="n"/>
    </row>
    <row r="1475" hidden="1" ht="16.05" customFormat="1" customHeight="1" s="126">
      <c r="A1475" s="125" t="n">
        <v>1976</v>
      </c>
      <c r="B1475" s="125" t="n"/>
      <c r="C1475" s="130" t="inlineStr">
        <is>
          <t>Уфа</t>
        </is>
      </c>
      <c r="D1475" s="130" t="inlineStr">
        <is>
          <t>Уфа</t>
        </is>
      </c>
      <c r="E1475" s="130" t="n"/>
      <c r="F1475" s="130" t="inlineStr">
        <is>
          <t>АЗС</t>
        </is>
      </c>
      <c r="G1475" s="130" t="inlineStr">
        <is>
          <t>Лукойл</t>
        </is>
      </c>
      <c r="H1475" s="131" t="n"/>
      <c r="I1475" s="637" t="n">
        <v>2130</v>
      </c>
      <c r="J1475" s="637" t="inlineStr">
        <is>
          <t>UFA_LUK_02130</t>
        </is>
      </c>
      <c r="K1475" s="640" t="n">
        <v>1</v>
      </c>
      <c r="L1475" s="640" t="n">
        <v>0</v>
      </c>
      <c r="M1475" s="640" t="inlineStr">
        <is>
          <t>Samsung 32" вертикальный</t>
        </is>
      </c>
      <c r="N1475" s="640" t="n"/>
      <c r="O1475" s="640">
        <f>IF(AND(N1475=1,L1475=1),K1475,"")</f>
        <v/>
      </c>
      <c r="P1475" s="642" t="inlineStr">
        <is>
          <t>Уфа, ул. Маршала Жукова, 27</t>
        </is>
      </c>
      <c r="Q1475" s="640" t="n">
        <v>54.770676</v>
      </c>
      <c r="R1475" s="422" t="n">
        <v>56.056625</v>
      </c>
      <c r="S1475" s="387" t="n"/>
      <c r="T1475" s="387" t="n"/>
      <c r="U1475" s="387" t="n"/>
      <c r="V1475" s="387" t="n"/>
      <c r="W1475" s="387" t="n"/>
      <c r="X1475" s="1" t="n"/>
      <c r="Y1475" s="1" t="n"/>
    </row>
    <row r="1476" hidden="1" ht="16.05" customFormat="1" customHeight="1" s="126">
      <c r="A1476" s="125" t="n">
        <v>1977</v>
      </c>
      <c r="B1476" s="125" t="n"/>
      <c r="C1476" s="130" t="inlineStr">
        <is>
          <t>Уфа</t>
        </is>
      </c>
      <c r="D1476" s="130" t="inlineStr">
        <is>
          <t>Уфа</t>
        </is>
      </c>
      <c r="E1476" s="130" t="n"/>
      <c r="F1476" s="130" t="inlineStr">
        <is>
          <t>АЗС</t>
        </is>
      </c>
      <c r="G1476" s="130" t="inlineStr">
        <is>
          <t>Лукойл</t>
        </is>
      </c>
      <c r="H1476" s="131" t="n"/>
      <c r="I1476" s="637" t="n">
        <v>2098</v>
      </c>
      <c r="J1476" s="637" t="inlineStr">
        <is>
          <t>UFA_LUK_02098</t>
        </is>
      </c>
      <c r="K1476" s="640" t="n">
        <v>1</v>
      </c>
      <c r="L1476" s="640" t="n">
        <v>0</v>
      </c>
      <c r="M1476" s="640" t="inlineStr">
        <is>
          <t>Samsung 32" вертикальный</t>
        </is>
      </c>
      <c r="N1476" s="640" t="n"/>
      <c r="O1476" s="640">
        <f>IF(AND(N1476=1,L1476=1),K1476,"")</f>
        <v/>
      </c>
      <c r="P1476" s="642" t="inlineStr">
        <is>
          <t>Уфа, пр.Салавата Юлаева (Уфа, просп. Салавата Юлаева, 32, корп. 1)</t>
        </is>
      </c>
      <c r="Q1476" s="640" t="n">
        <v>54.726213</v>
      </c>
      <c r="R1476" s="422" t="n">
        <v>55.991993</v>
      </c>
      <c r="S1476" s="387" t="n"/>
      <c r="T1476" s="387" t="n"/>
      <c r="U1476" s="387" t="n"/>
      <c r="V1476" s="387" t="n"/>
      <c r="W1476" s="387" t="n"/>
      <c r="X1476" s="1" t="n"/>
      <c r="Y1476" s="1" t="n"/>
    </row>
    <row r="1477" hidden="1" ht="16.05" customFormat="1" customHeight="1" s="126">
      <c r="A1477" s="125" t="n">
        <v>1978</v>
      </c>
      <c r="B1477" s="125" t="n"/>
      <c r="C1477" s="130" t="inlineStr">
        <is>
          <t>Уфа</t>
        </is>
      </c>
      <c r="D1477" s="130" t="inlineStr">
        <is>
          <t>Уфа</t>
        </is>
      </c>
      <c r="E1477" s="130" t="n"/>
      <c r="F1477" s="130" t="inlineStr">
        <is>
          <t>АЗС</t>
        </is>
      </c>
      <c r="G1477" s="130" t="inlineStr">
        <is>
          <t>Лукойл</t>
        </is>
      </c>
      <c r="H1477" s="131" t="n"/>
      <c r="I1477" s="637" t="n">
        <v>2013</v>
      </c>
      <c r="J1477" s="637" t="inlineStr">
        <is>
          <t>UFA_LUK_02013</t>
        </is>
      </c>
      <c r="K1477" s="640" t="n">
        <v>1</v>
      </c>
      <c r="L1477" s="640" t="n">
        <v>0</v>
      </c>
      <c r="M1477" s="640" t="inlineStr">
        <is>
          <t>Samsung 32" вертикальный</t>
        </is>
      </c>
      <c r="N1477" s="640" t="n"/>
      <c r="O1477" s="640">
        <f>IF(AND(N1477=1,L1477=1),K1477,"")</f>
        <v/>
      </c>
      <c r="P1477" s="642" t="inlineStr">
        <is>
          <t>Уфа, Дм.Донского, 13</t>
        </is>
      </c>
      <c r="Q1477" s="640" t="n">
        <v>54.825115</v>
      </c>
      <c r="R1477" s="422" t="n">
        <v>56.096538</v>
      </c>
      <c r="S1477" s="387" t="n"/>
      <c r="T1477" s="387" t="n"/>
      <c r="U1477" s="387" t="n"/>
      <c r="V1477" s="387" t="n"/>
      <c r="W1477" s="387" t="n"/>
      <c r="X1477" s="1" t="n"/>
      <c r="Y1477" s="1" t="n"/>
    </row>
    <row r="1478" hidden="1" ht="16.05" customFormat="1" customHeight="1" s="126">
      <c r="A1478" s="125" t="n">
        <v>1979</v>
      </c>
      <c r="B1478" s="125" t="n"/>
      <c r="C1478" s="130" t="inlineStr">
        <is>
          <t>Уфа</t>
        </is>
      </c>
      <c r="D1478" s="130" t="inlineStr">
        <is>
          <t>Уфа</t>
        </is>
      </c>
      <c r="E1478" s="130" t="n"/>
      <c r="F1478" s="130" t="inlineStr">
        <is>
          <t>АЗС</t>
        </is>
      </c>
      <c r="G1478" s="130" t="inlineStr">
        <is>
          <t>Лукойл</t>
        </is>
      </c>
      <c r="H1478" s="131" t="n"/>
      <c r="I1478" s="637" t="n">
        <v>2132</v>
      </c>
      <c r="J1478" s="637" t="inlineStr">
        <is>
          <t>UFA_LUK_02132</t>
        </is>
      </c>
      <c r="K1478" s="640" t="n">
        <v>1</v>
      </c>
      <c r="L1478" s="640" t="n">
        <v>0</v>
      </c>
      <c r="M1478" s="640" t="inlineStr">
        <is>
          <t>Samsung 32" вертикальный</t>
        </is>
      </c>
      <c r="N1478" s="640" t="n"/>
      <c r="O1478" s="640">
        <f>IF(AND(N1478=1,L1478=1),K1478,"")</f>
        <v/>
      </c>
      <c r="P1478" s="642" t="inlineStr">
        <is>
          <t>Уфа, ул. Комсомольская - Тихорецкая (Уфа, ул. Комсомольская, 108 А)</t>
        </is>
      </c>
      <c r="Q1478" s="640" t="n">
        <v>54.751838</v>
      </c>
      <c r="R1478" s="422" t="n">
        <v>56.007003</v>
      </c>
      <c r="S1478" s="387" t="n"/>
      <c r="T1478" s="387" t="n"/>
      <c r="U1478" s="387" t="n"/>
      <c r="V1478" s="387" t="n"/>
      <c r="W1478" s="387" t="n"/>
      <c r="X1478" s="1" t="n"/>
      <c r="Y1478" s="1" t="n"/>
    </row>
    <row r="1479" hidden="1" ht="16.05" customFormat="1" customHeight="1" s="126">
      <c r="A1479" s="125" t="n">
        <v>1980</v>
      </c>
      <c r="B1479" s="125" t="n"/>
      <c r="C1479" s="130" t="inlineStr">
        <is>
          <t>Уфа</t>
        </is>
      </c>
      <c r="D1479" s="130" t="inlineStr">
        <is>
          <t>Уфа</t>
        </is>
      </c>
      <c r="E1479" s="130" t="n"/>
      <c r="F1479" s="130" t="inlineStr">
        <is>
          <t>АЗС</t>
        </is>
      </c>
      <c r="G1479" s="130" t="inlineStr">
        <is>
          <t>Лукойл</t>
        </is>
      </c>
      <c r="H1479" s="131" t="n"/>
      <c r="I1479" s="637" t="n">
        <v>2127</v>
      </c>
      <c r="J1479" s="637" t="inlineStr">
        <is>
          <t>UFA_LUK_02127</t>
        </is>
      </c>
      <c r="K1479" s="640" t="n">
        <v>1</v>
      </c>
      <c r="L1479" s="640" t="n">
        <v>0</v>
      </c>
      <c r="M1479" s="640" t="inlineStr">
        <is>
          <t>Samsung 32" вертикальный</t>
        </is>
      </c>
      <c r="N1479" s="640" t="n"/>
      <c r="O1479" s="640">
        <f>IF(AND(N1479=1,L1479=1),K1479,"")</f>
        <v/>
      </c>
      <c r="P1479" s="642" t="inlineStr">
        <is>
          <t>Уфа, Индустриальное ш., рядом 118</t>
        </is>
      </c>
      <c r="Q1479" s="640" t="n">
        <v>54.79678</v>
      </c>
      <c r="R1479" s="422" t="n">
        <v>56.130773</v>
      </c>
      <c r="S1479" s="387" t="n"/>
      <c r="T1479" s="387" t="n"/>
      <c r="U1479" s="387" t="n"/>
      <c r="V1479" s="387" t="n"/>
      <c r="W1479" s="387" t="n"/>
      <c r="X1479" s="1" t="n"/>
      <c r="Y1479" s="1" t="n"/>
    </row>
    <row r="1480" hidden="1" ht="16.05" customFormat="1" customHeight="1" s="126">
      <c r="A1480" s="125" t="n">
        <v>1981</v>
      </c>
      <c r="B1480" s="125" t="n"/>
      <c r="C1480" s="130" t="inlineStr">
        <is>
          <t>Уфа</t>
        </is>
      </c>
      <c r="D1480" s="130" t="inlineStr">
        <is>
          <t>Уфа</t>
        </is>
      </c>
      <c r="E1480" s="130" t="n"/>
      <c r="F1480" s="130" t="inlineStr">
        <is>
          <t>АЗС</t>
        </is>
      </c>
      <c r="G1480" s="130" t="inlineStr">
        <is>
          <t>Лукойл</t>
        </is>
      </c>
      <c r="H1480" s="131" t="n"/>
      <c r="I1480" s="637" t="n">
        <v>2131</v>
      </c>
      <c r="J1480" s="637" t="inlineStr">
        <is>
          <t>UFA_LUK_02131</t>
        </is>
      </c>
      <c r="K1480" s="640" t="n">
        <v>1</v>
      </c>
      <c r="L1480" s="640" t="n">
        <v>0</v>
      </c>
      <c r="M1480" s="640" t="inlineStr">
        <is>
          <t>Samsung 32" вертикальный</t>
        </is>
      </c>
      <c r="N1480" s="640" t="n"/>
      <c r="O1480" s="640">
        <f>IF(AND(N1480=1,L1480=1),K1480,"")</f>
        <v/>
      </c>
      <c r="P1480" s="642" t="inlineStr">
        <is>
          <t>Уфа, ул. Кувыкина, 43</t>
        </is>
      </c>
      <c r="Q1480" s="640" t="n">
        <v>54.712264</v>
      </c>
      <c r="R1480" s="422" t="n">
        <v>56.000023</v>
      </c>
      <c r="S1480" s="387" t="n"/>
      <c r="T1480" s="387" t="n"/>
      <c r="U1480" s="387" t="n"/>
      <c r="V1480" s="387" t="n"/>
      <c r="W1480" s="387" t="n"/>
      <c r="X1480" s="1" t="n"/>
      <c r="Y1480" s="1" t="n"/>
    </row>
    <row r="1481" hidden="1" ht="16.05" customFormat="1" customHeight="1" s="126">
      <c r="A1481" s="125" t="n">
        <v>1982</v>
      </c>
      <c r="B1481" s="125" t="n"/>
      <c r="C1481" s="130" t="inlineStr">
        <is>
          <t>Уфа</t>
        </is>
      </c>
      <c r="D1481" s="130" t="inlineStr">
        <is>
          <t>Уфа</t>
        </is>
      </c>
      <c r="E1481" s="130" t="n"/>
      <c r="F1481" s="130" t="inlineStr">
        <is>
          <t>АЗС</t>
        </is>
      </c>
      <c r="G1481" s="130" t="inlineStr">
        <is>
          <t>Лукойл</t>
        </is>
      </c>
      <c r="H1481" s="131" t="n"/>
      <c r="I1481" s="637" t="n">
        <v>2096</v>
      </c>
      <c r="J1481" s="637" t="inlineStr">
        <is>
          <t>UFA_LUK_02096</t>
        </is>
      </c>
      <c r="K1481" s="640" t="n">
        <v>1</v>
      </c>
      <c r="L1481" s="640" t="n">
        <v>0</v>
      </c>
      <c r="M1481" s="640" t="inlineStr">
        <is>
          <t>Samsung 32" вертикальный</t>
        </is>
      </c>
      <c r="N1481" s="640" t="n"/>
      <c r="O1481" s="640">
        <f>IF(AND(N1481=1,L1481=1),K1481,"")</f>
        <v/>
      </c>
      <c r="P1481" s="642" t="inlineStr">
        <is>
          <t>Уфа, микрорайон Шакша, ул. Гвардейская (Уфа, Гвардейская ул., 47А, Калининский район, микрорайон Шакша)</t>
        </is>
      </c>
      <c r="Q1481" s="640" t="n">
        <v>54.769666</v>
      </c>
      <c r="R1481" s="422" t="n">
        <v>56.23279</v>
      </c>
      <c r="S1481" s="387" t="n"/>
      <c r="T1481" s="387" t="n"/>
      <c r="U1481" s="387" t="n"/>
      <c r="V1481" s="387" t="n"/>
      <c r="W1481" s="387" t="n"/>
      <c r="X1481" s="1" t="n"/>
      <c r="Y1481" s="1" t="n"/>
    </row>
    <row r="1482" hidden="1" ht="16.05" customFormat="1" customHeight="1" s="126">
      <c r="A1482" s="125" t="n">
        <v>1983</v>
      </c>
      <c r="B1482" s="125" t="n"/>
      <c r="C1482" s="130" t="inlineStr">
        <is>
          <t>Уфа</t>
        </is>
      </c>
      <c r="D1482" s="130" t="inlineStr">
        <is>
          <t>Уфа</t>
        </is>
      </c>
      <c r="E1482" s="130" t="n"/>
      <c r="F1482" s="130" t="inlineStr">
        <is>
          <t>АЗС</t>
        </is>
      </c>
      <c r="G1482" s="130" t="inlineStr">
        <is>
          <t>Лукойл</t>
        </is>
      </c>
      <c r="H1482" s="131" t="n"/>
      <c r="I1482" s="637" t="n">
        <v>2003</v>
      </c>
      <c r="J1482" s="637" t="inlineStr">
        <is>
          <t>UFA_LUK_02003</t>
        </is>
      </c>
      <c r="K1482" s="640" t="n">
        <v>1</v>
      </c>
      <c r="L1482" s="640" t="n">
        <v>0</v>
      </c>
      <c r="M1482" s="640" t="inlineStr">
        <is>
          <t>Samsung 32" вертикальный</t>
        </is>
      </c>
      <c r="N1482" s="640" t="n"/>
      <c r="O1482" s="640">
        <f>IF(AND(N1482=1,L1482=1),K1482,"")</f>
        <v/>
      </c>
      <c r="P1482" s="642" t="inlineStr">
        <is>
          <t>Уфимский район, с. Уптино, 1448 км а/д М-5</t>
        </is>
      </c>
      <c r="Q1482" s="640" t="n">
        <v>54.656845</v>
      </c>
      <c r="R1482" s="422" t="n">
        <v>55.697575</v>
      </c>
      <c r="S1482" s="387" t="n"/>
      <c r="T1482" s="387" t="n"/>
      <c r="U1482" s="387" t="n"/>
      <c r="V1482" s="387" t="n"/>
      <c r="W1482" s="387" t="n"/>
      <c r="X1482" s="1" t="n"/>
      <c r="Y1482" s="1" t="n"/>
    </row>
    <row r="1483" hidden="1" ht="16.05" customFormat="1" customHeight="1" s="126">
      <c r="A1483" s="125" t="n">
        <v>1984</v>
      </c>
      <c r="B1483" s="125" t="n"/>
      <c r="C1483" s="130" t="inlineStr">
        <is>
          <t>Уфа</t>
        </is>
      </c>
      <c r="D1483" s="130" t="inlineStr">
        <is>
          <t>Уфа</t>
        </is>
      </c>
      <c r="E1483" s="130" t="n"/>
      <c r="F1483" s="130" t="inlineStr">
        <is>
          <t>АЗС</t>
        </is>
      </c>
      <c r="G1483" s="130" t="inlineStr">
        <is>
          <t>Лукойл</t>
        </is>
      </c>
      <c r="H1483" s="131" t="n"/>
      <c r="I1483" s="637" t="n">
        <v>2137</v>
      </c>
      <c r="J1483" s="637" t="inlineStr">
        <is>
          <t>UFA_LUK_02137</t>
        </is>
      </c>
      <c r="K1483" s="640" t="n">
        <v>1</v>
      </c>
      <c r="L1483" s="640" t="n">
        <v>0</v>
      </c>
      <c r="M1483" s="640" t="inlineStr">
        <is>
          <t>Samsung 32" вертикальный</t>
        </is>
      </c>
      <c r="N1483" s="640" t="n"/>
      <c r="O1483" s="640">
        <f>IF(AND(N1483=1,L1483=1),K1483,"")</f>
        <v/>
      </c>
      <c r="P1483" s="642" t="inlineStr">
        <is>
          <t>Уфа, автодорога в микрорайон Затон (Уфа, улица Софьи Перовской, 30)</t>
        </is>
      </c>
      <c r="Q1483" s="640" t="n">
        <v>54.698803</v>
      </c>
      <c r="R1483" s="422" t="n">
        <v>55.984231</v>
      </c>
      <c r="S1483" s="387" t="n"/>
      <c r="T1483" s="387" t="n"/>
      <c r="U1483" s="387" t="n"/>
      <c r="V1483" s="387" t="n"/>
      <c r="W1483" s="387" t="n"/>
      <c r="X1483" s="1" t="n"/>
      <c r="Y1483" s="1" t="n"/>
    </row>
    <row r="1484" hidden="1" ht="16.05" customHeight="1">
      <c r="A1484" s="791" t="n">
        <v>1985</v>
      </c>
      <c r="B1484" s="13">
        <f>IF(OR(M1484="Sam 32",M1484="Sam 40"),"s",IF(M1484="AMS","a","v"))</f>
        <v/>
      </c>
      <c r="C1484" s="130" t="inlineStr">
        <is>
          <t>Уфа</t>
        </is>
      </c>
      <c r="D1484" s="130" t="inlineStr">
        <is>
          <t>Уфа</t>
        </is>
      </c>
      <c r="E1484" s="130" t="n"/>
      <c r="F1484" s="130" t="n"/>
      <c r="G1484" s="130" t="inlineStr">
        <is>
          <t>Лукойл</t>
        </is>
      </c>
      <c r="H1484" s="131" t="n"/>
      <c r="I1484" s="637" t="inlineStr">
        <is>
          <t>№ 02004</t>
        </is>
      </c>
      <c r="J1484" s="637" t="inlineStr">
        <is>
          <t>UFA_LUK_02004</t>
        </is>
      </c>
      <c r="K1484" s="640" t="n">
        <v>1</v>
      </c>
      <c r="L1484" s="640" t="n">
        <v>0</v>
      </c>
      <c r="M1484" s="640" t="inlineStr">
        <is>
          <t>Sam 32</t>
        </is>
      </c>
      <c r="N1484" s="640" t="n"/>
      <c r="O1484" s="640">
        <f>IF(AND(N1484=1,L1484=1),K1484,"")</f>
        <v/>
      </c>
      <c r="P1484" s="642" t="inlineStr">
        <is>
          <t>Уфа, Березовка, 53, район аэропорта "Уфа"</t>
        </is>
      </c>
      <c r="Q1484" s="640" t="n"/>
      <c r="R1484" s="422" t="n"/>
      <c r="X1484" s="1" t="n"/>
      <c r="Y1484" s="1" t="n"/>
      <c r="Z1484" s="1" t="n"/>
    </row>
    <row r="1485" hidden="1" ht="16.05" customFormat="1" customHeight="1" s="126">
      <c r="A1485" s="125" t="n">
        <v>1986</v>
      </c>
      <c r="B1485" s="125" t="n"/>
      <c r="C1485" s="130" t="inlineStr">
        <is>
          <t>Татарстан</t>
        </is>
      </c>
      <c r="D1485" s="130" t="inlineStr">
        <is>
          <t>Казань</t>
        </is>
      </c>
      <c r="E1485" s="130" t="n"/>
      <c r="F1485" s="130" t="inlineStr">
        <is>
          <t>АЗС</t>
        </is>
      </c>
      <c r="G1485" s="130" t="inlineStr">
        <is>
          <t>Лукойл</t>
        </is>
      </c>
      <c r="H1485" s="131" t="n"/>
      <c r="I1485" s="637" t="n">
        <v>16001</v>
      </c>
      <c r="J1485" s="637" t="inlineStr">
        <is>
          <t>KAZ_LUK_16001</t>
        </is>
      </c>
      <c r="K1485" s="640" t="n">
        <v>1</v>
      </c>
      <c r="L1485" s="640" t="n">
        <v>0</v>
      </c>
      <c r="M1485" s="640" t="inlineStr">
        <is>
          <t>Samsung 32" вертикальный</t>
        </is>
      </c>
      <c r="N1485" s="640" t="n"/>
      <c r="O1485" s="640">
        <f>IF(AND(N1485=1,L1485=1),K1485,"")</f>
        <v/>
      </c>
      <c r="P1485" s="642" t="inlineStr">
        <is>
          <t>Казань, ул. Космонавтов 46А</t>
        </is>
      </c>
      <c r="Q1485" s="640" t="n">
        <v>55.794057</v>
      </c>
      <c r="R1485" s="422" t="n">
        <v>49.199327</v>
      </c>
      <c r="S1485" s="387" t="n"/>
      <c r="T1485" s="387" t="n"/>
      <c r="U1485" s="387" t="n"/>
      <c r="V1485" s="387" t="n"/>
      <c r="W1485" s="387" t="n"/>
      <c r="X1485" s="1" t="n"/>
      <c r="Y1485" s="1" t="n"/>
    </row>
    <row r="1486" hidden="1" ht="16.05" customFormat="1" customHeight="1" s="126">
      <c r="A1486" s="125" t="n">
        <v>1987</v>
      </c>
      <c r="B1486" s="125" t="n"/>
      <c r="C1486" s="130" t="inlineStr">
        <is>
          <t>Татарстан</t>
        </is>
      </c>
      <c r="D1486" s="130" t="inlineStr">
        <is>
          <t>Казань</t>
        </is>
      </c>
      <c r="E1486" s="130" t="n"/>
      <c r="F1486" s="130" t="inlineStr">
        <is>
          <t>АЗС</t>
        </is>
      </c>
      <c r="G1486" s="130" t="inlineStr">
        <is>
          <t>Лукойл</t>
        </is>
      </c>
      <c r="H1486" s="131" t="n"/>
      <c r="I1486" s="637" t="n">
        <v>16088</v>
      </c>
      <c r="J1486" s="637" t="inlineStr">
        <is>
          <t>KAZ_LUK_16088</t>
        </is>
      </c>
      <c r="K1486" s="640" t="n">
        <v>1</v>
      </c>
      <c r="L1486" s="640" t="n">
        <v>0</v>
      </c>
      <c r="M1486" s="640" t="inlineStr">
        <is>
          <t>Samsung 32" вертикальный</t>
        </is>
      </c>
      <c r="N1486" s="640" t="n"/>
      <c r="O1486" s="640">
        <f>IF(AND(N1486=1,L1486=1),K1486,"")</f>
        <v/>
      </c>
      <c r="P1486" s="642" t="inlineStr">
        <is>
          <t>Казань, ул. Родина 7А</t>
        </is>
      </c>
      <c r="Q1486" s="640" t="n">
        <v>55.7730628</v>
      </c>
      <c r="R1486" s="422" t="n">
        <v>49.1974058</v>
      </c>
      <c r="S1486" s="387" t="n"/>
      <c r="T1486" s="387" t="n"/>
      <c r="U1486" s="387" t="n"/>
      <c r="V1486" s="387" t="n"/>
      <c r="W1486" s="387" t="n"/>
      <c r="X1486" s="1" t="n"/>
      <c r="Y1486" s="1" t="n"/>
    </row>
    <row r="1487" hidden="1" ht="16.05" customFormat="1" customHeight="1" s="126">
      <c r="A1487" s="125" t="n">
        <v>1988</v>
      </c>
      <c r="B1487" s="125" t="n"/>
      <c r="C1487" s="130" t="inlineStr">
        <is>
          <t>Татарстан</t>
        </is>
      </c>
      <c r="D1487" s="130" t="inlineStr">
        <is>
          <t>Казань</t>
        </is>
      </c>
      <c r="E1487" s="130" t="n"/>
      <c r="F1487" s="130" t="inlineStr">
        <is>
          <t>АЗС</t>
        </is>
      </c>
      <c r="G1487" s="130" t="inlineStr">
        <is>
          <t>Лукойл</t>
        </is>
      </c>
      <c r="H1487" s="131" t="n"/>
      <c r="I1487" s="637" t="n">
        <v>16093</v>
      </c>
      <c r="J1487" s="637" t="inlineStr">
        <is>
          <t>KAZ_LUK_16093</t>
        </is>
      </c>
      <c r="K1487" s="640" t="n">
        <v>1</v>
      </c>
      <c r="L1487" s="640" t="n">
        <v>0</v>
      </c>
      <c r="M1487" s="640" t="inlineStr">
        <is>
          <t>Samsung 32" вертикальный</t>
        </is>
      </c>
      <c r="N1487" s="640" t="n"/>
      <c r="O1487" s="640">
        <f>IF(AND(N1487=1,L1487=1),K1487,"")</f>
        <v/>
      </c>
      <c r="P1487" s="642" t="inlineStr">
        <is>
          <t>Казань, ул. Тэцевская ,11А</t>
        </is>
      </c>
      <c r="Q1487" s="640" t="n">
        <v>55.849191</v>
      </c>
      <c r="R1487" s="422" t="n">
        <v>49.062684</v>
      </c>
      <c r="S1487" s="387" t="n"/>
      <c r="T1487" s="387" t="n"/>
      <c r="U1487" s="387" t="n"/>
      <c r="V1487" s="387" t="n"/>
      <c r="W1487" s="387" t="n"/>
      <c r="X1487" s="1" t="n"/>
      <c r="Y1487" s="1" t="n"/>
    </row>
    <row r="1488" hidden="1" ht="16.05" customFormat="1" customHeight="1" s="126">
      <c r="A1488" s="125" t="n">
        <v>1989</v>
      </c>
      <c r="B1488" s="125" t="n"/>
      <c r="C1488" s="130" t="inlineStr">
        <is>
          <t>Татарстан</t>
        </is>
      </c>
      <c r="D1488" s="130" t="inlineStr">
        <is>
          <t>Казань</t>
        </is>
      </c>
      <c r="E1488" s="130" t="n"/>
      <c r="F1488" s="130" t="inlineStr">
        <is>
          <t>АЗС</t>
        </is>
      </c>
      <c r="G1488" s="130" t="inlineStr">
        <is>
          <t>Лукойл</t>
        </is>
      </c>
      <c r="H1488" s="131" t="n"/>
      <c r="I1488" s="637" t="n">
        <v>16095</v>
      </c>
      <c r="J1488" s="637" t="inlineStr">
        <is>
          <t>KAZ_LUK_16095</t>
        </is>
      </c>
      <c r="K1488" s="640" t="n">
        <v>1</v>
      </c>
      <c r="L1488" s="640" t="n">
        <v>0</v>
      </c>
      <c r="M1488" s="640" t="inlineStr">
        <is>
          <t>Samsung 32" вертикальный</t>
        </is>
      </c>
      <c r="N1488" s="640" t="n"/>
      <c r="O1488" s="640">
        <f>IF(AND(N1488=1,L1488=1),K1488,"")</f>
        <v/>
      </c>
      <c r="P1488" s="642" t="inlineStr">
        <is>
          <t>Казань, ул Миля1/10</t>
        </is>
      </c>
      <c r="Q1488" s="640" t="n">
        <v>55.849206</v>
      </c>
      <c r="R1488" s="422" t="n">
        <v>49.129725</v>
      </c>
      <c r="S1488" s="387" t="n"/>
      <c r="T1488" s="387" t="n"/>
      <c r="U1488" s="387" t="n"/>
      <c r="V1488" s="387" t="n"/>
      <c r="W1488" s="387" t="n"/>
      <c r="X1488" s="1" t="n"/>
      <c r="Y1488" s="1" t="n"/>
    </row>
    <row r="1489" hidden="1" ht="16.05" customFormat="1" customHeight="1" s="126">
      <c r="A1489" s="125" t="n">
        <v>1990</v>
      </c>
      <c r="B1489" s="125" t="n"/>
      <c r="C1489" s="130" t="inlineStr">
        <is>
          <t>Татарстан</t>
        </is>
      </c>
      <c r="D1489" s="130" t="inlineStr">
        <is>
          <t>Казань</t>
        </is>
      </c>
      <c r="E1489" s="130" t="n"/>
      <c r="F1489" s="130" t="inlineStr">
        <is>
          <t>АЗС</t>
        </is>
      </c>
      <c r="G1489" s="130" t="inlineStr">
        <is>
          <t>Лукойл</t>
        </is>
      </c>
      <c r="H1489" s="131" t="n"/>
      <c r="I1489" s="637" t="n">
        <v>16109</v>
      </c>
      <c r="J1489" s="637" t="inlineStr">
        <is>
          <t>KAZ_LUK_16109</t>
        </is>
      </c>
      <c r="K1489" s="640" t="n">
        <v>1</v>
      </c>
      <c r="L1489" s="640" t="n">
        <v>0</v>
      </c>
      <c r="M1489" s="640" t="inlineStr">
        <is>
          <t>Samsung 32" вертикальный</t>
        </is>
      </c>
      <c r="N1489" s="640" t="n"/>
      <c r="O1489" s="640">
        <f>IF(AND(N1489=1,L1489=1),K1489,"")</f>
        <v/>
      </c>
      <c r="P1489" s="642" t="inlineStr">
        <is>
          <t>Казань, пр.Победы,200а</t>
        </is>
      </c>
      <c r="Q1489" s="640" t="n">
        <v>55.801991</v>
      </c>
      <c r="R1489" s="422" t="n">
        <v>49.211352</v>
      </c>
      <c r="S1489" s="387" t="n"/>
      <c r="T1489" s="387" t="n"/>
      <c r="U1489" s="387" t="n"/>
      <c r="V1489" s="387" t="n"/>
      <c r="W1489" s="387" t="n"/>
      <c r="X1489" s="1" t="n"/>
      <c r="Y1489" s="1" t="n"/>
    </row>
    <row r="1490" hidden="1" ht="16.05" customFormat="1" customHeight="1" s="126">
      <c r="A1490" s="125" t="n">
        <v>1991</v>
      </c>
      <c r="B1490" s="125" t="n"/>
      <c r="C1490" s="130" t="inlineStr">
        <is>
          <t>Татарстан</t>
        </is>
      </c>
      <c r="D1490" s="130" t="inlineStr">
        <is>
          <t>Казань</t>
        </is>
      </c>
      <c r="E1490" s="130" t="n"/>
      <c r="F1490" s="130" t="inlineStr">
        <is>
          <t>АЗС</t>
        </is>
      </c>
      <c r="G1490" s="130" t="inlineStr">
        <is>
          <t>Лукойл</t>
        </is>
      </c>
      <c r="H1490" s="131" t="n"/>
      <c r="I1490" s="637" t="n">
        <v>16112</v>
      </c>
      <c r="J1490" s="637" t="inlineStr">
        <is>
          <t>KAZ_LUK_16112</t>
        </is>
      </c>
      <c r="K1490" s="640" t="n">
        <v>1</v>
      </c>
      <c r="L1490" s="640" t="n">
        <v>0</v>
      </c>
      <c r="M1490" s="640" t="inlineStr">
        <is>
          <t>Samsung 32" вертикальный</t>
        </is>
      </c>
      <c r="N1490" s="640" t="n"/>
      <c r="O1490" s="640">
        <f>IF(AND(N1490=1,L1490=1),K1490,"")</f>
        <v/>
      </c>
      <c r="P1490" s="642" t="inlineStr">
        <is>
          <t>Казань, ул. Аделя Кутуя ,98</t>
        </is>
      </c>
      <c r="Q1490" s="640" t="n">
        <v>55.782071</v>
      </c>
      <c r="R1490" s="422" t="n">
        <v>49.187586</v>
      </c>
      <c r="S1490" s="387" t="n"/>
      <c r="T1490" s="387" t="n"/>
      <c r="U1490" s="387" t="n"/>
      <c r="V1490" s="387" t="n"/>
      <c r="W1490" s="387" t="n"/>
      <c r="X1490" s="1" t="n"/>
      <c r="Y1490" s="1" t="n"/>
    </row>
    <row r="1491" hidden="1" ht="16.05" customFormat="1" customHeight="1" s="126">
      <c r="A1491" s="125" t="n">
        <v>1992</v>
      </c>
      <c r="B1491" s="125" t="n"/>
      <c r="C1491" s="130" t="inlineStr">
        <is>
          <t>Татарстан</t>
        </is>
      </c>
      <c r="D1491" s="130" t="inlineStr">
        <is>
          <t>Казань</t>
        </is>
      </c>
      <c r="E1491" s="130" t="n"/>
      <c r="F1491" s="130" t="inlineStr">
        <is>
          <t>АЗС</t>
        </is>
      </c>
      <c r="G1491" s="130" t="inlineStr">
        <is>
          <t>Лукойл</t>
        </is>
      </c>
      <c r="H1491" s="131" t="n"/>
      <c r="I1491" s="637" t="n">
        <v>16113</v>
      </c>
      <c r="J1491" s="637" t="inlineStr">
        <is>
          <t>KAZ_LUK_16113</t>
        </is>
      </c>
      <c r="K1491" s="640" t="n">
        <v>1</v>
      </c>
      <c r="L1491" s="640" t="n">
        <v>0</v>
      </c>
      <c r="M1491" s="640" t="inlineStr">
        <is>
          <t>Samsung 32" вертикальный</t>
        </is>
      </c>
      <c r="N1491" s="640" t="n"/>
      <c r="O1491" s="640">
        <f>IF(AND(N1491=1,L1491=1),K1491,"")</f>
        <v/>
      </c>
      <c r="P1491" s="642" t="inlineStr">
        <is>
          <t>Казань, ул. Тульская (Тульская улица, 56к3)</t>
        </is>
      </c>
      <c r="Q1491" s="640" t="n">
        <v>55.733834</v>
      </c>
      <c r="R1491" s="422" t="n">
        <v>49.142178</v>
      </c>
      <c r="S1491" s="387" t="n"/>
      <c r="T1491" s="387" t="n"/>
      <c r="U1491" s="387" t="n"/>
      <c r="V1491" s="387" t="n"/>
      <c r="W1491" s="387" t="n"/>
      <c r="X1491" s="1" t="n"/>
      <c r="Y1491" s="1" t="n"/>
    </row>
    <row r="1492" hidden="1" ht="16.05" customFormat="1" customHeight="1" s="126">
      <c r="A1492" s="125" t="n">
        <v>1993</v>
      </c>
      <c r="B1492" s="125" t="n"/>
      <c r="C1492" s="130" t="inlineStr">
        <is>
          <t>Татарстан</t>
        </is>
      </c>
      <c r="D1492" s="130" t="inlineStr">
        <is>
          <t>Казань</t>
        </is>
      </c>
      <c r="E1492" s="130" t="n"/>
      <c r="F1492" s="130" t="inlineStr">
        <is>
          <t>АЗС</t>
        </is>
      </c>
      <c r="G1492" s="130" t="inlineStr">
        <is>
          <t>Лукойл</t>
        </is>
      </c>
      <c r="H1492" s="131" t="n"/>
      <c r="I1492" s="637" t="n">
        <v>16020</v>
      </c>
      <c r="J1492" s="637" t="inlineStr">
        <is>
          <t>KAZ_LUK_16020</t>
        </is>
      </c>
      <c r="K1492" s="640" t="n">
        <v>1</v>
      </c>
      <c r="L1492" s="640" t="n">
        <v>0</v>
      </c>
      <c r="M1492" s="640" t="inlineStr">
        <is>
          <t>Samsung 32" вертикальный</t>
        </is>
      </c>
      <c r="N1492" s="640" t="n"/>
      <c r="O1492" s="640">
        <f>IF(AND(N1492=1,L1492=1),K1492,"")</f>
        <v/>
      </c>
      <c r="P1492" s="642" t="inlineStr">
        <is>
          <t>Казань, ул. Техническая 23</t>
        </is>
      </c>
      <c r="Q1492" s="640" t="n">
        <v>55.747163</v>
      </c>
      <c r="R1492" s="422" t="n">
        <v>49.130842</v>
      </c>
      <c r="S1492" s="387" t="n"/>
      <c r="T1492" s="387" t="n"/>
      <c r="U1492" s="387" t="n"/>
      <c r="V1492" s="387" t="n"/>
      <c r="W1492" s="387" t="n"/>
      <c r="X1492" s="1" t="n"/>
      <c r="Y1492" s="1" t="n"/>
    </row>
    <row r="1493" hidden="1" ht="16.05" customFormat="1" customHeight="1" s="126">
      <c r="A1493" s="125" t="n">
        <v>1994</v>
      </c>
      <c r="B1493" s="125" t="n"/>
      <c r="C1493" s="130" t="inlineStr">
        <is>
          <t>Татарстан</t>
        </is>
      </c>
      <c r="D1493" s="130" t="inlineStr">
        <is>
          <t>Казань</t>
        </is>
      </c>
      <c r="E1493" s="130" t="n"/>
      <c r="F1493" s="130" t="inlineStr">
        <is>
          <t>АЗС</t>
        </is>
      </c>
      <c r="G1493" s="130" t="inlineStr">
        <is>
          <t>Лукойл</t>
        </is>
      </c>
      <c r="H1493" s="131" t="n"/>
      <c r="I1493" s="637" t="n">
        <v>16116</v>
      </c>
      <c r="J1493" s="637" t="inlineStr">
        <is>
          <t>KAZ_LUK_16116</t>
        </is>
      </c>
      <c r="K1493" s="640" t="n">
        <v>1</v>
      </c>
      <c r="L1493" s="640" t="n">
        <v>0</v>
      </c>
      <c r="M1493" s="640" t="inlineStr">
        <is>
          <t>Samsung 32" вертикальный</t>
        </is>
      </c>
      <c r="N1493" s="640" t="n"/>
      <c r="O1493" s="640">
        <f>IF(AND(N1493=1,L1493=1),K1493,"")</f>
        <v/>
      </c>
      <c r="P1493" s="642" t="inlineStr">
        <is>
          <t>Казань, ул Гаврилова (улица Гаврилова, 19)</t>
        </is>
      </c>
      <c r="Q1493" s="640" t="n">
        <v>55.83484</v>
      </c>
      <c r="R1493" s="422" t="n">
        <v>49.160013</v>
      </c>
      <c r="S1493" s="387" t="n"/>
      <c r="T1493" s="387" t="n"/>
      <c r="U1493" s="387" t="n"/>
      <c r="V1493" s="387" t="n"/>
      <c r="W1493" s="387" t="n"/>
      <c r="X1493" s="1" t="n"/>
      <c r="Y1493" s="1" t="n"/>
    </row>
    <row r="1494" hidden="1" ht="16.05" customFormat="1" customHeight="1" s="126">
      <c r="A1494" s="125" t="n">
        <v>1995</v>
      </c>
      <c r="B1494" s="125" t="n"/>
      <c r="C1494" s="130" t="inlineStr">
        <is>
          <t>Самара</t>
        </is>
      </c>
      <c r="D1494" s="130" t="inlineStr">
        <is>
          <t>Самара</t>
        </is>
      </c>
      <c r="E1494" s="130" t="n"/>
      <c r="F1494" s="130" t="inlineStr">
        <is>
          <t>АЗС</t>
        </is>
      </c>
      <c r="G1494" s="130" t="inlineStr">
        <is>
          <t>Лукойл</t>
        </is>
      </c>
      <c r="H1494" s="131" t="n"/>
      <c r="I1494" s="637" t="n">
        <v>63022</v>
      </c>
      <c r="J1494" s="637" t="inlineStr">
        <is>
          <t>SMR_LUK_63022</t>
        </is>
      </c>
      <c r="K1494" s="640" t="n">
        <v>1</v>
      </c>
      <c r="L1494" s="640" t="n">
        <v>0</v>
      </c>
      <c r="M1494" s="640" t="inlineStr">
        <is>
          <t>Sam 32</t>
        </is>
      </c>
      <c r="N1494" s="640" t="n"/>
      <c r="O1494" s="640">
        <f>IF(AND(N1494=1,L1494=1),K1494,"")</f>
        <v/>
      </c>
      <c r="P1494" s="642" t="inlineStr">
        <is>
          <t xml:space="preserve">Самара, ул. Ново-садовая, 301а </t>
        </is>
      </c>
      <c r="Q1494" s="640" t="n">
        <v>53.235742</v>
      </c>
      <c r="R1494" s="422" t="n">
        <v>50.189692</v>
      </c>
      <c r="S1494" s="387" t="n"/>
      <c r="T1494" s="387" t="n"/>
      <c r="U1494" s="387" t="n"/>
      <c r="V1494" s="387" t="n"/>
      <c r="W1494" s="387" t="n"/>
      <c r="X1494" s="1" t="n"/>
      <c r="Y1494" s="1" t="n"/>
    </row>
    <row r="1495" hidden="1" ht="16.05" customFormat="1" customHeight="1" s="126">
      <c r="A1495" s="125" t="n">
        <v>1996</v>
      </c>
      <c r="B1495" s="125" t="n"/>
      <c r="C1495" s="130" t="inlineStr">
        <is>
          <t>Самара</t>
        </is>
      </c>
      <c r="D1495" s="130" t="inlineStr">
        <is>
          <t>Самара</t>
        </is>
      </c>
      <c r="E1495" s="130" t="n"/>
      <c r="F1495" s="130" t="inlineStr">
        <is>
          <t>АЗС</t>
        </is>
      </c>
      <c r="G1495" s="130" t="inlineStr">
        <is>
          <t>Лукойл</t>
        </is>
      </c>
      <c r="H1495" s="131" t="n"/>
      <c r="I1495" s="637" t="n">
        <v>63054</v>
      </c>
      <c r="J1495" s="637" t="inlineStr">
        <is>
          <t>SMR_LUK_63054</t>
        </is>
      </c>
      <c r="K1495" s="640" t="n">
        <v>1</v>
      </c>
      <c r="L1495" s="640" t="n">
        <v>0</v>
      </c>
      <c r="M1495" s="640" t="inlineStr">
        <is>
          <t>Samsung 32" вертикальный</t>
        </is>
      </c>
      <c r="N1495" s="640" t="n"/>
      <c r="O1495" s="640">
        <f>IF(AND(N1495=1,L1495=1),K1495,"")</f>
        <v/>
      </c>
      <c r="P1495" s="642" t="inlineStr">
        <is>
          <t>Самара, ул. Уральская, д.4</t>
        </is>
      </c>
      <c r="Q1495" s="640" t="n">
        <v>53.134605</v>
      </c>
      <c r="R1495" s="422" t="n">
        <v>50.112033</v>
      </c>
      <c r="S1495" s="387" t="n"/>
      <c r="T1495" s="387" t="n"/>
      <c r="U1495" s="387" t="n"/>
      <c r="V1495" s="387" t="n"/>
      <c r="W1495" s="387" t="n"/>
      <c r="X1495" s="1" t="n"/>
      <c r="Y1495" s="1" t="n"/>
    </row>
    <row r="1496" hidden="1" ht="16.05" customFormat="1" customHeight="1" s="126">
      <c r="A1496" s="125" t="n">
        <v>1997</v>
      </c>
      <c r="B1496" s="125" t="n"/>
      <c r="C1496" s="130" t="inlineStr">
        <is>
          <t>Самара</t>
        </is>
      </c>
      <c r="D1496" s="130" t="inlineStr">
        <is>
          <t>Самара</t>
        </is>
      </c>
      <c r="E1496" s="130" t="n"/>
      <c r="F1496" s="130" t="inlineStr">
        <is>
          <t>АЗС</t>
        </is>
      </c>
      <c r="G1496" s="130" t="inlineStr">
        <is>
          <t>Лукойл</t>
        </is>
      </c>
      <c r="H1496" s="131" t="n"/>
      <c r="I1496" s="637" t="n">
        <v>63056</v>
      </c>
      <c r="J1496" s="637" t="inlineStr">
        <is>
          <t>SMR_LUK_63056</t>
        </is>
      </c>
      <c r="K1496" s="640" t="n">
        <v>1</v>
      </c>
      <c r="L1496" s="640" t="n">
        <v>0</v>
      </c>
      <c r="M1496" s="640" t="inlineStr">
        <is>
          <t>Samsung 32" вертикальный</t>
        </is>
      </c>
      <c r="N1496" s="640" t="n"/>
      <c r="O1496" s="640">
        <f>IF(AND(N1496=1,L1496=1),K1496,"")</f>
        <v/>
      </c>
      <c r="P1496" s="642" t="inlineStr">
        <is>
          <t>Самара, Московское шоссе, 262 Б</t>
        </is>
      </c>
      <c r="Q1496" s="640" t="n">
        <v>53.248912</v>
      </c>
      <c r="R1496" s="422" t="n">
        <v>50.217639</v>
      </c>
      <c r="S1496" s="387" t="n"/>
      <c r="T1496" s="387" t="n"/>
      <c r="U1496" s="387" t="n"/>
      <c r="V1496" s="387" t="n"/>
      <c r="W1496" s="387" t="n"/>
      <c r="X1496" s="1" t="n"/>
      <c r="Y1496" s="1" t="n"/>
    </row>
    <row r="1497" hidden="1" ht="16.05" customFormat="1" customHeight="1" s="126">
      <c r="A1497" s="125" t="n">
        <v>1998</v>
      </c>
      <c r="B1497" s="125" t="n"/>
      <c r="C1497" s="130" t="inlineStr">
        <is>
          <t>Самара</t>
        </is>
      </c>
      <c r="D1497" s="130" t="inlineStr">
        <is>
          <t>Самара</t>
        </is>
      </c>
      <c r="E1497" s="130" t="n"/>
      <c r="F1497" s="130" t="inlineStr">
        <is>
          <t>АЗС</t>
        </is>
      </c>
      <c r="G1497" s="130" t="inlineStr">
        <is>
          <t>Лукойл</t>
        </is>
      </c>
      <c r="H1497" s="131" t="n"/>
      <c r="I1497" s="637" t="n">
        <v>63046</v>
      </c>
      <c r="J1497" s="637" t="inlineStr">
        <is>
          <t>SMR_LUK_63046</t>
        </is>
      </c>
      <c r="K1497" s="640" t="n">
        <v>1</v>
      </c>
      <c r="L1497" s="640" t="n">
        <v>0</v>
      </c>
      <c r="M1497" s="640" t="inlineStr">
        <is>
          <t>Samsung 32" вертикальный</t>
        </is>
      </c>
      <c r="N1497" s="640" t="n"/>
      <c r="O1497" s="640">
        <f>IF(AND(N1497=1,L1497=1),K1497,"")</f>
        <v/>
      </c>
      <c r="P1497" s="642" t="inlineStr">
        <is>
          <t>Самара, 1023 км а/д М-5 Москва-Самара-Уфа-Челябинск</t>
        </is>
      </c>
      <c r="Q1497" s="640" t="n">
        <v>53.455475</v>
      </c>
      <c r="R1497" s="422" t="n">
        <v>50.224685</v>
      </c>
      <c r="S1497" s="387" t="n"/>
      <c r="T1497" s="387" t="n"/>
      <c r="U1497" s="387" t="n"/>
      <c r="V1497" s="387" t="n"/>
      <c r="W1497" s="387" t="n"/>
      <c r="X1497" s="1" t="n"/>
      <c r="Y1497" s="1" t="n"/>
    </row>
    <row r="1498" hidden="1" ht="16.05" customFormat="1" customHeight="1" s="126">
      <c r="A1498" s="125" t="n">
        <v>1999</v>
      </c>
      <c r="B1498" s="125" t="n"/>
      <c r="C1498" s="130" t="inlineStr">
        <is>
          <t>Самара</t>
        </is>
      </c>
      <c r="D1498" s="130" t="inlineStr">
        <is>
          <t>Самара</t>
        </is>
      </c>
      <c r="E1498" s="130" t="n"/>
      <c r="F1498" s="130" t="inlineStr">
        <is>
          <t>АЗС</t>
        </is>
      </c>
      <c r="G1498" s="130" t="inlineStr">
        <is>
          <t>Лукойл</t>
        </is>
      </c>
      <c r="H1498" s="131" t="n"/>
      <c r="I1498" s="637" t="n">
        <v>63023</v>
      </c>
      <c r="J1498" s="637" t="inlineStr">
        <is>
          <t>SMR_LUK_63023</t>
        </is>
      </c>
      <c r="K1498" s="640" t="n">
        <v>1</v>
      </c>
      <c r="L1498" s="640" t="n">
        <v>0</v>
      </c>
      <c r="M1498" s="640" t="inlineStr">
        <is>
          <t>Samsung 32" вертикальный</t>
        </is>
      </c>
      <c r="N1498" s="640" t="n"/>
      <c r="O1498" s="640">
        <f>IF(AND(N1498=1,L1498=1),K1498,"")</f>
        <v/>
      </c>
      <c r="P1498" s="642" t="inlineStr">
        <is>
          <t>Волжский район, п. Спутник, 26 км а/д Самара-Бугуруслан</t>
        </is>
      </c>
      <c r="Q1498" s="640" t="n">
        <v>53.258785</v>
      </c>
      <c r="R1498" s="422" t="n">
        <v>50.423665</v>
      </c>
      <c r="S1498" s="387" t="n"/>
      <c r="T1498" s="387" t="n"/>
      <c r="U1498" s="387" t="n"/>
      <c r="V1498" s="387" t="n"/>
      <c r="W1498" s="387" t="n"/>
      <c r="X1498" s="1" t="n"/>
      <c r="Y1498" s="1" t="n"/>
    </row>
    <row r="1499" hidden="1" ht="16.05" customFormat="1" customHeight="1" s="126">
      <c r="A1499" s="125" t="n">
        <v>2000</v>
      </c>
      <c r="B1499" s="125" t="n"/>
      <c r="C1499" s="130" t="inlineStr">
        <is>
          <t>Самара</t>
        </is>
      </c>
      <c r="D1499" s="130" t="inlineStr">
        <is>
          <t>Самара</t>
        </is>
      </c>
      <c r="E1499" s="130" t="n"/>
      <c r="F1499" s="130" t="inlineStr">
        <is>
          <t>АЗС</t>
        </is>
      </c>
      <c r="G1499" s="130" t="inlineStr">
        <is>
          <t>Лукойл</t>
        </is>
      </c>
      <c r="H1499" s="131" t="n"/>
      <c r="I1499" s="637" t="n">
        <v>63053</v>
      </c>
      <c r="J1499" s="637" t="inlineStr">
        <is>
          <t>SMR_LUK_63053</t>
        </is>
      </c>
      <c r="K1499" s="640" t="n">
        <v>1</v>
      </c>
      <c r="L1499" s="640" t="n">
        <v>0</v>
      </c>
      <c r="M1499" s="640" t="inlineStr">
        <is>
          <t>Samsung 32" вертикальный</t>
        </is>
      </c>
      <c r="N1499" s="640" t="n"/>
      <c r="O1499" s="640">
        <f>IF(AND(N1499=1,L1499=1),K1499,"")</f>
        <v/>
      </c>
      <c r="P1499" s="642" t="inlineStr">
        <is>
          <t>г. Новокуйбышевск, Самарское шоссе, 4</t>
        </is>
      </c>
      <c r="Q1499" s="640" t="n">
        <v>53.120416</v>
      </c>
      <c r="R1499" s="422" t="n">
        <v>49.939871</v>
      </c>
      <c r="S1499" s="387" t="n"/>
      <c r="T1499" s="387" t="n"/>
      <c r="U1499" s="387" t="n"/>
      <c r="V1499" s="387" t="n"/>
      <c r="W1499" s="387" t="n"/>
      <c r="X1499" s="1" t="n"/>
      <c r="Y1499" s="1" t="n"/>
    </row>
    <row r="1500" hidden="1" ht="16.05" customFormat="1" customHeight="1" s="126">
      <c r="A1500" s="125" t="n">
        <v>2001</v>
      </c>
      <c r="B1500" s="125" t="n"/>
      <c r="C1500" s="130" t="inlineStr">
        <is>
          <t>Самара</t>
        </is>
      </c>
      <c r="D1500" s="130" t="inlineStr">
        <is>
          <t>Тольятти</t>
        </is>
      </c>
      <c r="E1500" s="130" t="n"/>
      <c r="F1500" s="130" t="inlineStr">
        <is>
          <t>АЗС</t>
        </is>
      </c>
      <c r="G1500" s="130" t="inlineStr">
        <is>
          <t>Лукойл</t>
        </is>
      </c>
      <c r="H1500" s="131" t="n"/>
      <c r="I1500" s="637" t="n">
        <v>63071</v>
      </c>
      <c r="J1500" s="637" t="inlineStr">
        <is>
          <t>SMR_LUK_63071</t>
        </is>
      </c>
      <c r="K1500" s="640" t="n">
        <v>1</v>
      </c>
      <c r="L1500" s="640" t="n">
        <v>0</v>
      </c>
      <c r="M1500" s="640" t="inlineStr">
        <is>
          <t>Samsung 32" вертикальный</t>
        </is>
      </c>
      <c r="N1500" s="640" t="n"/>
      <c r="O1500" s="640">
        <f>IF(AND(N1500=1,L1500=1),K1500,"")</f>
        <v/>
      </c>
      <c r="P1500" s="642" t="inlineStr">
        <is>
          <t>Тольятти, ул Куйбышева, 5 (975 км а/д М5)</t>
        </is>
      </c>
      <c r="Q1500" s="640" t="n">
        <v>53.491237</v>
      </c>
      <c r="R1500" s="422" t="n">
        <v>49.522217</v>
      </c>
      <c r="S1500" s="387" t="n"/>
      <c r="T1500" s="387" t="n"/>
      <c r="U1500" s="387" t="n"/>
      <c r="V1500" s="387" t="n"/>
      <c r="W1500" s="387" t="n"/>
      <c r="X1500" s="1" t="n"/>
      <c r="Y1500" s="1" t="n"/>
    </row>
    <row r="1501" hidden="1" ht="16.05" customFormat="1" customHeight="1" s="126">
      <c r="A1501" s="125" t="n">
        <v>2002</v>
      </c>
      <c r="B1501" s="125" t="n"/>
      <c r="C1501" s="130" t="inlineStr">
        <is>
          <t>Самара</t>
        </is>
      </c>
      <c r="D1501" s="130" t="inlineStr">
        <is>
          <t>Тольятти</t>
        </is>
      </c>
      <c r="E1501" s="130" t="n"/>
      <c r="F1501" s="130" t="inlineStr">
        <is>
          <t>АЗС</t>
        </is>
      </c>
      <c r="G1501" s="130" t="inlineStr">
        <is>
          <t>Лукойл</t>
        </is>
      </c>
      <c r="H1501" s="131" t="n"/>
      <c r="I1501" s="637" t="n">
        <v>63076</v>
      </c>
      <c r="J1501" s="637" t="inlineStr">
        <is>
          <t>SMR_LUK_63076</t>
        </is>
      </c>
      <c r="K1501" s="640" t="n">
        <v>1</v>
      </c>
      <c r="L1501" s="640" t="n">
        <v>0</v>
      </c>
      <c r="M1501" s="640" t="inlineStr">
        <is>
          <t>Samsung 32" вертикальный</t>
        </is>
      </c>
      <c r="N1501" s="640" t="n"/>
      <c r="O1501" s="640">
        <f>IF(AND(N1501=1,L1501=1),K1501,"")</f>
        <v/>
      </c>
      <c r="P1501" s="642" t="inlineStr">
        <is>
          <t>Ставропольский район, п. Тимофеевка, Обводная дорога (Обводное шоссе, 7А)</t>
        </is>
      </c>
      <c r="Q1501" s="640" t="n">
        <v>53.569975</v>
      </c>
      <c r="R1501" s="422" t="n">
        <v>49.383599</v>
      </c>
      <c r="S1501" s="387" t="n"/>
      <c r="T1501" s="387" t="n"/>
      <c r="U1501" s="387" t="n"/>
      <c r="V1501" s="387" t="n"/>
      <c r="W1501" s="387" t="n"/>
      <c r="X1501" s="1" t="n"/>
      <c r="Y1501" s="1" t="n"/>
    </row>
    <row r="1502" hidden="1" ht="16.05" customFormat="1" customHeight="1" s="126">
      <c r="A1502" s="125" t="n">
        <v>2003</v>
      </c>
      <c r="B1502" s="125" t="n"/>
      <c r="C1502" s="130" t="inlineStr">
        <is>
          <t>Челябинск</t>
        </is>
      </c>
      <c r="D1502" s="130" t="inlineStr">
        <is>
          <t>Челябинск</t>
        </is>
      </c>
      <c r="E1502" s="130" t="n"/>
      <c r="F1502" s="130" t="inlineStr">
        <is>
          <t>АЗС</t>
        </is>
      </c>
      <c r="G1502" s="130" t="inlineStr">
        <is>
          <t>Лукойл</t>
        </is>
      </c>
      <c r="H1502" s="131" t="n"/>
      <c r="I1502" s="637" t="n">
        <v>74002</v>
      </c>
      <c r="J1502" s="637" t="inlineStr">
        <is>
          <t>CHL_LUK_74002</t>
        </is>
      </c>
      <c r="K1502" s="640" t="n">
        <v>1</v>
      </c>
      <c r="L1502" s="640" t="n">
        <v>0</v>
      </c>
      <c r="M1502" s="640" t="inlineStr">
        <is>
          <t>Samsung 32" вертикальный</t>
        </is>
      </c>
      <c r="N1502" s="640" t="n"/>
      <c r="O1502" s="640">
        <f>IF(AND(N1502=1,L1502=1),K1502,"")</f>
        <v/>
      </c>
      <c r="P1502" s="642" t="inlineStr">
        <is>
          <t>Челябинск, ул.Артиллерийская, район ЧТЗ (Челябинск, ул.Артиллерийская, 136 к 1)</t>
        </is>
      </c>
      <c r="Q1502" s="640" t="n">
        <v>55.163365</v>
      </c>
      <c r="R1502" s="422" t="n">
        <v>61.433123</v>
      </c>
      <c r="S1502" s="387" t="n"/>
      <c r="T1502" s="387" t="n"/>
      <c r="U1502" s="387" t="n"/>
      <c r="V1502" s="387" t="n"/>
      <c r="W1502" s="387" t="n"/>
      <c r="X1502" s="1" t="n"/>
      <c r="Y1502" s="1" t="n"/>
    </row>
    <row r="1503" hidden="1" ht="16.05" customFormat="1" customHeight="1" s="126">
      <c r="A1503" s="125" t="n">
        <v>2004</v>
      </c>
      <c r="B1503" s="125" t="n"/>
      <c r="C1503" s="130" t="inlineStr">
        <is>
          <t>Челябинск</t>
        </is>
      </c>
      <c r="D1503" s="130" t="inlineStr">
        <is>
          <t>Челябинск</t>
        </is>
      </c>
      <c r="E1503" s="130" t="n"/>
      <c r="F1503" s="130" t="inlineStr">
        <is>
          <t>АЗС</t>
        </is>
      </c>
      <c r="G1503" s="130" t="inlineStr">
        <is>
          <t>Лукойл</t>
        </is>
      </c>
      <c r="H1503" s="131" t="n"/>
      <c r="I1503" s="637" t="n">
        <v>74005</v>
      </c>
      <c r="J1503" s="637" t="inlineStr">
        <is>
          <t>CHL_LUK_74005</t>
        </is>
      </c>
      <c r="K1503" s="640" t="n">
        <v>1</v>
      </c>
      <c r="L1503" s="640" t="n">
        <v>0</v>
      </c>
      <c r="M1503" s="640" t="inlineStr">
        <is>
          <t>Samsung 32" вертикальный</t>
        </is>
      </c>
      <c r="N1503" s="640" t="n"/>
      <c r="O1503" s="640">
        <f>IF(AND(N1503=1,L1503=1),K1503,"")</f>
        <v/>
      </c>
      <c r="P1503" s="642" t="inlineStr">
        <is>
          <t>Челябинск, ул.Мира ЧМЗ (Челябинск, ул.Мира, 67 к 1)</t>
        </is>
      </c>
      <c r="Q1503" s="640" t="n">
        <v>55.253464</v>
      </c>
      <c r="R1503" s="422" t="n">
        <v>61.37015</v>
      </c>
      <c r="S1503" s="387" t="n"/>
      <c r="T1503" s="387" t="n"/>
      <c r="U1503" s="387" t="n"/>
      <c r="V1503" s="387" t="n"/>
      <c r="W1503" s="387" t="n"/>
      <c r="X1503" s="1" t="n"/>
      <c r="Y1503" s="1" t="n"/>
    </row>
    <row r="1504" hidden="1" ht="16.05" customFormat="1" customHeight="1" s="126">
      <c r="A1504" s="125" t="n">
        <v>2005</v>
      </c>
      <c r="B1504" s="125" t="n"/>
      <c r="C1504" s="130" t="inlineStr">
        <is>
          <t>Челябинск</t>
        </is>
      </c>
      <c r="D1504" s="130" t="inlineStr">
        <is>
          <t>Челябинск</t>
        </is>
      </c>
      <c r="E1504" s="130" t="n"/>
      <c r="F1504" s="130" t="inlineStr">
        <is>
          <t>АЗС</t>
        </is>
      </c>
      <c r="G1504" s="130" t="inlineStr">
        <is>
          <t>Лукойл</t>
        </is>
      </c>
      <c r="H1504" s="131" t="n"/>
      <c r="I1504" s="637" t="n">
        <v>74007</v>
      </c>
      <c r="J1504" s="637" t="inlineStr">
        <is>
          <t>CHL_LUK_74007</t>
        </is>
      </c>
      <c r="K1504" s="640" t="n">
        <v>1</v>
      </c>
      <c r="L1504" s="640" t="n">
        <v>0</v>
      </c>
      <c r="M1504" s="640" t="inlineStr">
        <is>
          <t>Samsung 32" вертикальный</t>
        </is>
      </c>
      <c r="N1504" s="640" t="n"/>
      <c r="O1504" s="640">
        <f>IF(AND(N1504=1,L1504=1),K1504,"")</f>
        <v/>
      </c>
      <c r="P1504" s="642" t="inlineStr">
        <is>
          <t>Челябинск, Троицкий тракт, пост ГИБДД, 7 км (улица Салтыкова, 45)</t>
        </is>
      </c>
      <c r="Q1504" s="640" t="n">
        <v>55.132375</v>
      </c>
      <c r="R1504" s="422" t="n">
        <v>61.38554</v>
      </c>
      <c r="S1504" s="387" t="n"/>
      <c r="T1504" s="387" t="n"/>
      <c r="U1504" s="387" t="n"/>
      <c r="V1504" s="387" t="n"/>
      <c r="W1504" s="387" t="n"/>
      <c r="X1504" s="1" t="n"/>
      <c r="Y1504" s="1" t="n"/>
    </row>
    <row r="1505" hidden="1" ht="16.05" customFormat="1" customHeight="1" s="126">
      <c r="A1505" s="125" t="n">
        <v>2006</v>
      </c>
      <c r="B1505" s="125" t="n"/>
      <c r="C1505" s="130" t="inlineStr">
        <is>
          <t>Челябинск</t>
        </is>
      </c>
      <c r="D1505" s="130" t="inlineStr">
        <is>
          <t>Челябинск</t>
        </is>
      </c>
      <c r="E1505" s="130" t="n"/>
      <c r="F1505" s="130" t="inlineStr">
        <is>
          <t>АЗС</t>
        </is>
      </c>
      <c r="G1505" s="130" t="inlineStr">
        <is>
          <t>Лукойл</t>
        </is>
      </c>
      <c r="H1505" s="131" t="n"/>
      <c r="I1505" s="637" t="n">
        <v>74009</v>
      </c>
      <c r="J1505" s="637" t="inlineStr">
        <is>
          <t>CHL_LUK_74009</t>
        </is>
      </c>
      <c r="K1505" s="640" t="n">
        <v>1</v>
      </c>
      <c r="L1505" s="640" t="n">
        <v>0</v>
      </c>
      <c r="M1505" s="640" t="inlineStr">
        <is>
          <t>Samsung 32" вертикальный</t>
        </is>
      </c>
      <c r="N1505" s="640" t="n"/>
      <c r="O1505" s="640">
        <f>IF(AND(N1505=1,L1505=1),K1505,"")</f>
        <v/>
      </c>
      <c r="P1505" s="642" t="inlineStr">
        <is>
          <t>Челябинск, Копейское шоссе (Челябинск, Копейское шоссе, 33)</t>
        </is>
      </c>
      <c r="Q1505" s="640" t="n">
        <v>55.134676</v>
      </c>
      <c r="R1505" s="422" t="n">
        <v>61.464688</v>
      </c>
      <c r="S1505" s="387" t="n"/>
      <c r="T1505" s="387" t="n"/>
      <c r="U1505" s="387" t="n"/>
      <c r="V1505" s="387" t="n"/>
      <c r="W1505" s="387" t="n"/>
      <c r="X1505" s="1" t="n"/>
      <c r="Y1505" s="1" t="n"/>
    </row>
    <row r="1506" hidden="1" ht="16.05" customFormat="1" customHeight="1" s="126">
      <c r="A1506" s="125" t="n">
        <v>2007</v>
      </c>
      <c r="B1506" s="125" t="n"/>
      <c r="C1506" s="130" t="inlineStr">
        <is>
          <t>Челябинск</t>
        </is>
      </c>
      <c r="D1506" s="130" t="inlineStr">
        <is>
          <t>Челябинск</t>
        </is>
      </c>
      <c r="E1506" s="130" t="n"/>
      <c r="F1506" s="130" t="inlineStr">
        <is>
          <t>АЗС</t>
        </is>
      </c>
      <c r="G1506" s="130" t="inlineStr">
        <is>
          <t>Лукойл</t>
        </is>
      </c>
      <c r="H1506" s="131" t="n"/>
      <c r="I1506" s="637" t="n">
        <v>74027</v>
      </c>
      <c r="J1506" s="637" t="inlineStr">
        <is>
          <t>CHL_LUK_74027</t>
        </is>
      </c>
      <c r="K1506" s="640" t="n">
        <v>1</v>
      </c>
      <c r="L1506" s="640" t="n">
        <v>0</v>
      </c>
      <c r="M1506" s="640" t="inlineStr">
        <is>
          <t>Samsung 32" вертикальный</t>
        </is>
      </c>
      <c r="N1506" s="640" t="n"/>
      <c r="O1506" s="640">
        <f>IF(AND(N1506=1,L1506=1),K1506,"")</f>
        <v/>
      </c>
      <c r="P1506" s="642" t="inlineStr">
        <is>
          <t>Челябинск, ул.Братьев Кашириных - 8 марта (Челябинск, улица Братьев Кашириных, 65к1)</t>
        </is>
      </c>
      <c r="Q1506" s="640" t="n">
        <v>55.173769</v>
      </c>
      <c r="R1506" s="422" t="n">
        <v>61.382771</v>
      </c>
      <c r="S1506" s="387" t="n"/>
      <c r="T1506" s="387" t="n"/>
      <c r="U1506" s="387" t="n"/>
      <c r="V1506" s="387" t="n"/>
      <c r="W1506" s="387" t="n"/>
      <c r="X1506" s="1" t="n"/>
      <c r="Y1506" s="1" t="n"/>
    </row>
    <row r="1507" hidden="1" ht="16.05" customFormat="1" customHeight="1" s="126">
      <c r="A1507" s="125" t="n">
        <v>2008</v>
      </c>
      <c r="B1507" s="125" t="n"/>
      <c r="C1507" s="130" t="inlineStr">
        <is>
          <t>Челябинск</t>
        </is>
      </c>
      <c r="D1507" s="130" t="inlineStr">
        <is>
          <t>Челябинск</t>
        </is>
      </c>
      <c r="E1507" s="130" t="n"/>
      <c r="F1507" s="130" t="inlineStr">
        <is>
          <t>АЗС</t>
        </is>
      </c>
      <c r="G1507" s="130" t="inlineStr">
        <is>
          <t>Лукойл</t>
        </is>
      </c>
      <c r="H1507" s="131" t="n"/>
      <c r="I1507" s="637" t="n">
        <v>74083</v>
      </c>
      <c r="J1507" s="637" t="inlineStr">
        <is>
          <t>CHL_LUK_74083</t>
        </is>
      </c>
      <c r="K1507" s="640" t="n">
        <v>1</v>
      </c>
      <c r="L1507" s="640" t="n">
        <v>0</v>
      </c>
      <c r="M1507" s="640" t="inlineStr">
        <is>
          <t>Samsung 32" вертикальный</t>
        </is>
      </c>
      <c r="N1507" s="640" t="n"/>
      <c r="O1507" s="640">
        <f>IF(AND(N1507=1,L1507=1),K1507,"")</f>
        <v/>
      </c>
      <c r="P1507" s="642" t="inlineStr">
        <is>
          <t>Челябинск, ул.Молодогвардейцев (Челябинск, улица Молодогвардейцев, 17к1)</t>
        </is>
      </c>
      <c r="Q1507" s="640" t="n">
        <v>55.201131</v>
      </c>
      <c r="R1507" s="422" t="n">
        <v>61.329777</v>
      </c>
      <c r="S1507" s="387" t="n"/>
      <c r="T1507" s="387" t="n"/>
      <c r="U1507" s="387" t="n"/>
      <c r="V1507" s="387" t="n"/>
      <c r="W1507" s="387" t="n"/>
      <c r="X1507" s="1" t="n"/>
      <c r="Y1507" s="1" t="n"/>
    </row>
    <row r="1508" hidden="1" ht="16.05" customHeight="1">
      <c r="A1508" s="791" t="n">
        <v>2009</v>
      </c>
      <c r="B1508" s="13">
        <f>IF(OR(M1508="Sam 32",M1508="Sam 40"),"s",IF(M1508="AMS","a","v"))</f>
        <v/>
      </c>
      <c r="C1508" s="130" t="inlineStr">
        <is>
          <t>Челябинск</t>
        </is>
      </c>
      <c r="D1508" s="130" t="inlineStr">
        <is>
          <t>Челябинск</t>
        </is>
      </c>
      <c r="E1508" s="130" t="n"/>
      <c r="F1508" s="130" t="n"/>
      <c r="G1508" s="130" t="inlineStr">
        <is>
          <t>Лукойл</t>
        </is>
      </c>
      <c r="H1508" s="131" t="n"/>
      <c r="I1508" s="637" t="n">
        <v>74401</v>
      </c>
      <c r="J1508" s="637" t="inlineStr">
        <is>
          <t>CHL_LUK_74401</t>
        </is>
      </c>
      <c r="K1508" s="640" t="n">
        <v>1</v>
      </c>
      <c r="L1508" s="640" t="n">
        <v>0</v>
      </c>
      <c r="M1508" s="640" t="inlineStr">
        <is>
          <t>Sam 32</t>
        </is>
      </c>
      <c r="N1508" s="640" t="n"/>
      <c r="O1508" s="640">
        <f>IF(AND(N1508=1,L1508=1),K1508,"")</f>
        <v/>
      </c>
      <c r="P1508" s="642" t="inlineStr">
        <is>
          <t>Челябинск, ул.Энгельса-ул.Труда (в районе Центрального стадиона)</t>
        </is>
      </c>
      <c r="Q1508" s="640" t="n"/>
      <c r="R1508" s="422" t="n"/>
      <c r="X1508" s="1" t="n"/>
      <c r="Y1508" s="1" t="n"/>
      <c r="Z1508" s="1" t="n"/>
    </row>
    <row r="1509" hidden="1" ht="16.05" customFormat="1" customHeight="1" s="126">
      <c r="A1509" s="125" t="n">
        <v>2010</v>
      </c>
      <c r="B1509" s="125" t="n"/>
      <c r="C1509" s="130" t="inlineStr">
        <is>
          <t>Челябинск</t>
        </is>
      </c>
      <c r="D1509" s="130" t="inlineStr">
        <is>
          <t>Челябинск</t>
        </is>
      </c>
      <c r="E1509" s="130" t="n"/>
      <c r="F1509" s="130" t="inlineStr">
        <is>
          <t>АЗС</t>
        </is>
      </c>
      <c r="G1509" s="130" t="inlineStr">
        <is>
          <t>Лукойл</t>
        </is>
      </c>
      <c r="H1509" s="131" t="n"/>
      <c r="I1509" s="637" t="n">
        <v>74405</v>
      </c>
      <c r="J1509" s="637" t="inlineStr">
        <is>
          <t>CHL_LUK_74405</t>
        </is>
      </c>
      <c r="K1509" s="640" t="n">
        <v>1</v>
      </c>
      <c r="L1509" s="640" t="n">
        <v>0</v>
      </c>
      <c r="M1509" s="640" t="inlineStr">
        <is>
          <t>Samsung 32" вертикальный</t>
        </is>
      </c>
      <c r="N1509" s="640" t="n"/>
      <c r="O1509" s="640">
        <f>IF(AND(N1509=1,L1509=1),K1509,"")</f>
        <v/>
      </c>
      <c r="P1509" s="642" t="inlineStr">
        <is>
          <t>Челябинск, ул.Труда-пр.Свердловский (Челябинск,Свердловский проспект, 40Ак1)</t>
        </is>
      </c>
      <c r="Q1509" s="640" t="n">
        <v>55.168204</v>
      </c>
      <c r="R1509" s="422" t="n">
        <v>61.387628</v>
      </c>
      <c r="S1509" s="387" t="n"/>
      <c r="T1509" s="387" t="n"/>
      <c r="U1509" s="387" t="n"/>
      <c r="V1509" s="387" t="n"/>
      <c r="W1509" s="387" t="n"/>
      <c r="X1509" s="1" t="n"/>
      <c r="Y1509" s="1" t="n"/>
    </row>
    <row r="1510" hidden="1" ht="16.05" customFormat="1" customHeight="1" s="126">
      <c r="A1510" s="125" t="n">
        <v>2011</v>
      </c>
      <c r="B1510" s="125" t="n"/>
      <c r="C1510" s="130" t="inlineStr">
        <is>
          <t>Челябинск</t>
        </is>
      </c>
      <c r="D1510" s="130" t="inlineStr">
        <is>
          <t>Челябинск</t>
        </is>
      </c>
      <c r="E1510" s="130" t="n"/>
      <c r="F1510" s="130" t="inlineStr">
        <is>
          <t>АЗС</t>
        </is>
      </c>
      <c r="G1510" s="130" t="inlineStr">
        <is>
          <t>Лукойл</t>
        </is>
      </c>
      <c r="H1510" s="131" t="n"/>
      <c r="I1510" s="637" t="n">
        <v>74408</v>
      </c>
      <c r="J1510" s="637" t="inlineStr">
        <is>
          <t>CHL_LUK_74408</t>
        </is>
      </c>
      <c r="K1510" s="640" t="n">
        <v>1</v>
      </c>
      <c r="L1510" s="640" t="n">
        <v>0</v>
      </c>
      <c r="M1510" s="640" t="inlineStr">
        <is>
          <t>Samsung 32" вертикальный</t>
        </is>
      </c>
      <c r="N1510" s="640" t="n"/>
      <c r="O1510" s="640">
        <f>IF(AND(N1510=1,L1510=1),K1510,"")</f>
        <v/>
      </c>
      <c r="P1510" s="642" t="inlineStr">
        <is>
          <t>Челябинск, Комсомольский пр. - ул.Ворошилова (Челябинск, Комсомольский пр.  70к1)</t>
        </is>
      </c>
      <c r="Q1510" s="640" t="n">
        <v>55.195137</v>
      </c>
      <c r="R1510" s="422" t="n">
        <v>61.320321</v>
      </c>
      <c r="S1510" s="387" t="n"/>
      <c r="T1510" s="387" t="n"/>
      <c r="U1510" s="387" t="n"/>
      <c r="V1510" s="387" t="n"/>
      <c r="W1510" s="387" t="n"/>
      <c r="X1510" s="1" t="n"/>
      <c r="Y1510" s="1" t="n"/>
    </row>
    <row r="1511" hidden="1" ht="16.05" customFormat="1" customHeight="1" s="126">
      <c r="A1511" s="125" t="n">
        <v>2012</v>
      </c>
      <c r="B1511" s="125" t="n"/>
      <c r="C1511" s="130" t="inlineStr">
        <is>
          <t>Челябинск</t>
        </is>
      </c>
      <c r="D1511" s="130" t="inlineStr">
        <is>
          <t>Челябинск</t>
        </is>
      </c>
      <c r="E1511" s="130" t="n"/>
      <c r="F1511" s="130" t="inlineStr">
        <is>
          <t>АЗС</t>
        </is>
      </c>
      <c r="G1511" s="130" t="inlineStr">
        <is>
          <t>Лукойл</t>
        </is>
      </c>
      <c r="H1511" s="131" t="n"/>
      <c r="I1511" s="637" t="n">
        <v>74412</v>
      </c>
      <c r="J1511" s="637" t="inlineStr">
        <is>
          <t>CHL_LUK_74412</t>
        </is>
      </c>
      <c r="K1511" s="640" t="n">
        <v>1</v>
      </c>
      <c r="L1511" s="640" t="n">
        <v>0</v>
      </c>
      <c r="M1511" s="640" t="inlineStr">
        <is>
          <t>Samsung 32" вертикальный</t>
        </is>
      </c>
      <c r="N1511" s="640" t="n"/>
      <c r="O1511" s="640">
        <f>IF(AND(N1511=1,L1511=1),K1511,"")</f>
        <v/>
      </c>
      <c r="P1511" s="642" t="inlineStr">
        <is>
          <t>Челябинск, ул.Блюхера - ул.Воровского (Челябинск, улица Воровского, 28/1)</t>
        </is>
      </c>
      <c r="Q1511" s="640" t="n">
        <v>55.150821</v>
      </c>
      <c r="R1511" s="422" t="n">
        <v>61.389109</v>
      </c>
      <c r="S1511" s="387" t="n"/>
      <c r="T1511" s="387" t="n"/>
      <c r="U1511" s="387" t="n"/>
      <c r="V1511" s="387" t="n"/>
      <c r="W1511" s="387" t="n"/>
      <c r="X1511" s="1" t="n"/>
      <c r="Y1511" s="1" t="n"/>
    </row>
    <row r="1512" hidden="1" ht="16.05" customFormat="1" customHeight="1" s="126">
      <c r="A1512" s="125" t="n">
        <v>2013</v>
      </c>
      <c r="B1512" s="125" t="n"/>
      <c r="C1512" s="130" t="inlineStr">
        <is>
          <t>Челябинск</t>
        </is>
      </c>
      <c r="D1512" s="130" t="inlineStr">
        <is>
          <t>Челябинск</t>
        </is>
      </c>
      <c r="E1512" s="130" t="n"/>
      <c r="F1512" s="130" t="inlineStr">
        <is>
          <t>АЗС</t>
        </is>
      </c>
      <c r="G1512" s="130" t="inlineStr">
        <is>
          <t>Лукойл</t>
        </is>
      </c>
      <c r="H1512" s="131" t="n"/>
      <c r="I1512" s="637" t="n">
        <v>74421</v>
      </c>
      <c r="J1512" s="637" t="inlineStr">
        <is>
          <t>CHL_LUK_74421</t>
        </is>
      </c>
      <c r="K1512" s="640" t="n">
        <v>1</v>
      </c>
      <c r="L1512" s="640" t="n">
        <v>0</v>
      </c>
      <c r="M1512" s="640" t="inlineStr">
        <is>
          <t>Samsung 32" вертикальный</t>
        </is>
      </c>
      <c r="N1512" s="640" t="n"/>
      <c r="O1512" s="640">
        <f>IF(AND(N1512=1,L1512=1),K1512,"")</f>
        <v/>
      </c>
      <c r="P1512" s="642" t="inlineStr">
        <is>
          <t>Челябинск, ул.Героев Танкограда - пр.Ленина (ЧТЗ)  (Челябинск, улица Героев Танкограда, 83к1)</t>
        </is>
      </c>
      <c r="Q1512" s="640" t="n">
        <v>55.161956</v>
      </c>
      <c r="R1512" s="422" t="n">
        <v>61.452401</v>
      </c>
      <c r="S1512" s="387" t="n"/>
      <c r="T1512" s="387" t="n"/>
      <c r="U1512" s="387" t="n"/>
      <c r="V1512" s="387" t="n"/>
      <c r="W1512" s="387" t="n"/>
      <c r="X1512" s="1" t="n"/>
      <c r="Y1512" s="1" t="n"/>
    </row>
    <row r="1513" hidden="1" ht="16.05" customFormat="1" customHeight="1" s="126">
      <c r="A1513" s="125" t="n">
        <v>2014</v>
      </c>
      <c r="B1513" s="125" t="n"/>
      <c r="C1513" s="130" t="inlineStr">
        <is>
          <t>Челябинск</t>
        </is>
      </c>
      <c r="D1513" s="130" t="inlineStr">
        <is>
          <t>Челябинск</t>
        </is>
      </c>
      <c r="E1513" s="130" t="n"/>
      <c r="F1513" s="130" t="n"/>
      <c r="G1513" s="130" t="inlineStr">
        <is>
          <t>Лукойл</t>
        </is>
      </c>
      <c r="H1513" s="131" t="n"/>
      <c r="I1513" s="637" t="n">
        <v>74430</v>
      </c>
      <c r="J1513" s="637" t="inlineStr">
        <is>
          <t>CHL_LUK_74430</t>
        </is>
      </c>
      <c r="K1513" s="640" t="n">
        <v>1</v>
      </c>
      <c r="L1513" s="640" t="n">
        <v>0</v>
      </c>
      <c r="M1513" s="640" t="inlineStr">
        <is>
          <t>Sam 32</t>
        </is>
      </c>
      <c r="N1513" s="640" t="n"/>
      <c r="O1513" s="640">
        <f>IF(AND(N1513=1,L1513=1),K1513,"")</f>
        <v/>
      </c>
      <c r="P1513" s="642" t="inlineStr">
        <is>
          <t>Челябинск, Свердловский проспект, 40Ак1</t>
        </is>
      </c>
      <c r="Q1513" s="640" t="n">
        <v>55.168193</v>
      </c>
      <c r="R1513" s="422" t="n">
        <v>61.387368</v>
      </c>
      <c r="S1513" s="387" t="n"/>
      <c r="T1513" s="387" t="n"/>
      <c r="U1513" s="387" t="n"/>
      <c r="V1513" s="387" t="n"/>
      <c r="W1513" s="387" t="n"/>
      <c r="X1513" s="1" t="n"/>
      <c r="Y1513" s="1" t="n"/>
    </row>
    <row r="1514" hidden="1" ht="16.05" customFormat="1" customHeight="1" s="126">
      <c r="A1514" s="125" t="n">
        <v>2015</v>
      </c>
      <c r="B1514" s="125" t="n"/>
      <c r="C1514" s="130" t="inlineStr">
        <is>
          <t>Челябинск</t>
        </is>
      </c>
      <c r="D1514" s="130" t="inlineStr">
        <is>
          <t>Челябинск</t>
        </is>
      </c>
      <c r="E1514" s="130" t="n"/>
      <c r="F1514" s="130" t="inlineStr">
        <is>
          <t>АЗС</t>
        </is>
      </c>
      <c r="G1514" s="130" t="inlineStr">
        <is>
          <t>Лукойл</t>
        </is>
      </c>
      <c r="H1514" s="131" t="n"/>
      <c r="I1514" s="637" t="n">
        <v>74432</v>
      </c>
      <c r="J1514" s="637" t="inlineStr">
        <is>
          <t>CHL_LUK_74432</t>
        </is>
      </c>
      <c r="K1514" s="640" t="n">
        <v>1</v>
      </c>
      <c r="L1514" s="640" t="n">
        <v>0</v>
      </c>
      <c r="M1514" s="640" t="inlineStr">
        <is>
          <t>Samsung 32" вертикальный</t>
        </is>
      </c>
      <c r="N1514" s="640" t="n"/>
      <c r="O1514" s="640">
        <f>IF(AND(N1514=1,L1514=1),K1514,"")</f>
        <v/>
      </c>
      <c r="P1514" s="642" t="inlineStr">
        <is>
          <t>Челябинск, ул.Чайковского (Челябинск, улица Чайковского, 18/1)</t>
        </is>
      </c>
      <c r="Q1514" s="640" t="n">
        <v>55.192657</v>
      </c>
      <c r="R1514" s="422" t="n">
        <v>61.362493</v>
      </c>
      <c r="S1514" s="387" t="n"/>
      <c r="T1514" s="387" t="n"/>
      <c r="U1514" s="387" t="n"/>
      <c r="V1514" s="387" t="n"/>
      <c r="W1514" s="387" t="n"/>
      <c r="X1514" s="1" t="n"/>
      <c r="Y1514" s="1" t="n"/>
    </row>
    <row r="1515" hidden="1" ht="16.05" customFormat="1" customHeight="1" s="126">
      <c r="A1515" s="125" t="n">
        <v>2016</v>
      </c>
      <c r="B1515" s="125" t="n"/>
      <c r="C1515" s="130" t="inlineStr">
        <is>
          <t>Челябинск</t>
        </is>
      </c>
      <c r="D1515" s="130" t="inlineStr">
        <is>
          <t>Челябинск</t>
        </is>
      </c>
      <c r="E1515" s="130" t="n"/>
      <c r="F1515" s="130" t="inlineStr">
        <is>
          <t>АЗС</t>
        </is>
      </c>
      <c r="G1515" s="130" t="inlineStr">
        <is>
          <t>Лукойл</t>
        </is>
      </c>
      <c r="H1515" s="131" t="n"/>
      <c r="I1515" s="637" t="n">
        <v>74001</v>
      </c>
      <c r="J1515" s="637" t="inlineStr">
        <is>
          <t>CHL_LUK_74001</t>
        </is>
      </c>
      <c r="K1515" s="640" t="n">
        <v>1</v>
      </c>
      <c r="L1515" s="640" t="n">
        <v>0</v>
      </c>
      <c r="M1515" s="640" t="inlineStr">
        <is>
          <t>Samsung 32" вертикальный</t>
        </is>
      </c>
      <c r="N1515" s="640" t="n"/>
      <c r="O1515" s="640">
        <f>IF(AND(N1515=1,L1515=1),K1515,"")</f>
        <v/>
      </c>
      <c r="P1515" s="642" t="inlineStr">
        <is>
          <t>Челябинск, ул. Нефтебазовая (Челябинск, Нефтебазовая улица, 25А/1)</t>
        </is>
      </c>
      <c r="Q1515" s="640" t="n">
        <v>55.100704</v>
      </c>
      <c r="R1515" s="422" t="n">
        <v>61.345855</v>
      </c>
      <c r="S1515" s="387" t="n"/>
      <c r="T1515" s="387" t="n"/>
      <c r="U1515" s="387" t="n"/>
      <c r="V1515" s="387" t="n"/>
      <c r="W1515" s="387" t="n"/>
      <c r="X1515" s="1" t="n"/>
      <c r="Y1515" s="1" t="n"/>
    </row>
    <row r="1516" hidden="1" ht="16.05" customFormat="1" customHeight="1" s="126">
      <c r="A1516" s="125" t="n">
        <v>2017</v>
      </c>
      <c r="B1516" s="125" t="n"/>
      <c r="C1516" s="130" t="inlineStr">
        <is>
          <t>Челябинск</t>
        </is>
      </c>
      <c r="D1516" s="130" t="inlineStr">
        <is>
          <t>Челябинск</t>
        </is>
      </c>
      <c r="E1516" s="130" t="n"/>
      <c r="F1516" s="130" t="inlineStr">
        <is>
          <t>АЗС</t>
        </is>
      </c>
      <c r="G1516" s="130" t="inlineStr">
        <is>
          <t>Лукойл</t>
        </is>
      </c>
      <c r="H1516" s="131" t="n"/>
      <c r="I1516" s="637" t="n">
        <v>74010</v>
      </c>
      <c r="J1516" s="637" t="inlineStr">
        <is>
          <t>CHL_LUK_74010</t>
        </is>
      </c>
      <c r="K1516" s="640" t="n">
        <v>1</v>
      </c>
      <c r="L1516" s="640" t="n">
        <v>0</v>
      </c>
      <c r="M1516" s="640" t="inlineStr">
        <is>
          <t>Samsung 32" вертикальный</t>
        </is>
      </c>
      <c r="N1516" s="640" t="n"/>
      <c r="O1516" s="640">
        <f>IF(AND(N1516=1,L1516=1),K1516,"")</f>
        <v/>
      </c>
      <c r="P1516" s="642" t="inlineStr">
        <is>
          <t>Челябинск, ул. Новоэлеваторная (Челябинск, ул. Новоэлеваторная, 51/1)</t>
        </is>
      </c>
      <c r="Q1516" s="640" t="n">
        <v>55.105244</v>
      </c>
      <c r="R1516" s="422" t="n">
        <v>61.351148</v>
      </c>
      <c r="S1516" s="387" t="n"/>
      <c r="T1516" s="387" t="n"/>
      <c r="U1516" s="387" t="n"/>
      <c r="V1516" s="387" t="n"/>
      <c r="W1516" s="387" t="n"/>
      <c r="X1516" s="1" t="n"/>
      <c r="Y1516" s="1" t="n"/>
    </row>
    <row r="1517" hidden="1" ht="16.05" customFormat="1" customHeight="1" s="126">
      <c r="A1517" s="125" t="n">
        <v>2018</v>
      </c>
      <c r="B1517" s="125" t="n"/>
      <c r="C1517" s="130" t="inlineStr">
        <is>
          <t>Челябинск</t>
        </is>
      </c>
      <c r="D1517" s="130" t="inlineStr">
        <is>
          <t>Челябинск</t>
        </is>
      </c>
      <c r="E1517" s="130" t="n"/>
      <c r="F1517" s="130" t="inlineStr">
        <is>
          <t>АЗС</t>
        </is>
      </c>
      <c r="G1517" s="130" t="inlineStr">
        <is>
          <t>Лукойл</t>
        </is>
      </c>
      <c r="H1517" s="131" t="n"/>
      <c r="I1517" s="637" t="n">
        <v>74014</v>
      </c>
      <c r="J1517" s="637" t="inlineStr">
        <is>
          <t>CHL_LUK_74014</t>
        </is>
      </c>
      <c r="K1517" s="640" t="n">
        <v>1</v>
      </c>
      <c r="L1517" s="640" t="n">
        <v>0</v>
      </c>
      <c r="M1517" s="640" t="inlineStr">
        <is>
          <t>Samsung 32" вертикальный</t>
        </is>
      </c>
      <c r="N1517" s="640" t="n"/>
      <c r="O1517" s="640">
        <f>IF(AND(N1517=1,L1517=1),K1517,"")</f>
        <v/>
      </c>
      <c r="P1517" s="642" t="inlineStr">
        <is>
          <t>Челябинск, Ленинский район, а/д Меридиан (Челябинск, Россия, улица Игуменка, 89/1)</t>
        </is>
      </c>
      <c r="Q1517" s="640" t="n">
        <v>55.11383</v>
      </c>
      <c r="R1517" s="422" t="n">
        <v>61.411816</v>
      </c>
      <c r="S1517" s="387" t="n"/>
      <c r="T1517" s="387" t="n"/>
      <c r="U1517" s="387" t="n"/>
      <c r="V1517" s="387" t="n"/>
      <c r="W1517" s="387" t="n"/>
      <c r="X1517" s="1" t="n"/>
      <c r="Y1517" s="1" t="n"/>
    </row>
    <row r="1518" hidden="1" ht="16.05" customFormat="1" customHeight="1" s="126">
      <c r="A1518" s="125" t="n">
        <v>2019</v>
      </c>
      <c r="B1518" s="125" t="n"/>
      <c r="C1518" s="130" t="inlineStr">
        <is>
          <t>Челябинск</t>
        </is>
      </c>
      <c r="D1518" s="130" t="inlineStr">
        <is>
          <t>Челябинск</t>
        </is>
      </c>
      <c r="E1518" s="130" t="n"/>
      <c r="F1518" s="130" t="inlineStr">
        <is>
          <t>АЗС</t>
        </is>
      </c>
      <c r="G1518" s="130" t="inlineStr">
        <is>
          <t>Лукойл</t>
        </is>
      </c>
      <c r="H1518" s="131" t="n"/>
      <c r="I1518" s="637" t="n">
        <v>74073</v>
      </c>
      <c r="J1518" s="637" t="inlineStr">
        <is>
          <t>CHL_LUK_74073</t>
        </is>
      </c>
      <c r="K1518" s="640" t="n">
        <v>1</v>
      </c>
      <c r="L1518" s="640" t="n">
        <v>0</v>
      </c>
      <c r="M1518" s="640" t="inlineStr">
        <is>
          <t>Samsung 32" вертикальный</t>
        </is>
      </c>
      <c r="N1518" s="640" t="n"/>
      <c r="O1518" s="640">
        <f>IF(AND(N1518=1,L1518=1),K1518,"")</f>
        <v/>
      </c>
      <c r="P1518" s="642" t="inlineStr">
        <is>
          <t>с Бродокалмакский тракт (Челябинск, Бродокалмакский тракт, 1/3)</t>
        </is>
      </c>
      <c r="Q1518" s="640" t="n">
        <v>55.227854</v>
      </c>
      <c r="R1518" s="422" t="n">
        <v>61.500583</v>
      </c>
      <c r="S1518" s="387" t="n"/>
      <c r="T1518" s="387" t="n"/>
      <c r="U1518" s="387" t="n"/>
      <c r="V1518" s="387" t="n"/>
      <c r="W1518" s="387" t="n"/>
      <c r="X1518" s="1" t="n"/>
      <c r="Y1518" s="1" t="n"/>
    </row>
    <row r="1519" hidden="1" ht="16.05" customFormat="1" customHeight="1" s="126">
      <c r="A1519" s="125" t="n">
        <v>2020</v>
      </c>
      <c r="B1519" s="125" t="n"/>
      <c r="C1519" s="130" t="inlineStr">
        <is>
          <t>Челябинск</t>
        </is>
      </c>
      <c r="D1519" s="130" t="inlineStr">
        <is>
          <t>Челябинск</t>
        </is>
      </c>
      <c r="E1519" s="130" t="n"/>
      <c r="F1519" s="130" t="inlineStr">
        <is>
          <t>АЗС</t>
        </is>
      </c>
      <c r="G1519" s="130" t="inlineStr">
        <is>
          <t>Лукойл</t>
        </is>
      </c>
      <c r="H1519" s="131" t="n"/>
      <c r="I1519" s="637" t="n">
        <v>74092</v>
      </c>
      <c r="J1519" s="637" t="inlineStr">
        <is>
          <t>CHL_LUK_74092</t>
        </is>
      </c>
      <c r="K1519" s="640" t="n">
        <v>1</v>
      </c>
      <c r="L1519" s="640" t="n">
        <v>0</v>
      </c>
      <c r="M1519" s="640" t="inlineStr">
        <is>
          <t>Samsung 32" вертикальный</t>
        </is>
      </c>
      <c r="N1519" s="640" t="n"/>
      <c r="O1519" s="640">
        <f>IF(AND(N1519=1,L1519=1),K1519,"")</f>
        <v/>
      </c>
      <c r="P1519" s="642" t="inlineStr">
        <is>
          <t>Челябинск, ул. Хлебозаводская (Челябинск, Хлебозаводская улица, 7В/1)</t>
        </is>
      </c>
      <c r="Q1519" s="640" t="n">
        <v>55.235459</v>
      </c>
      <c r="R1519" s="422" t="n">
        <v>61.420047</v>
      </c>
      <c r="S1519" s="387" t="n"/>
      <c r="T1519" s="387" t="n"/>
      <c r="U1519" s="387" t="n"/>
      <c r="V1519" s="387" t="n"/>
      <c r="W1519" s="387" t="n"/>
      <c r="X1519" s="1" t="n"/>
      <c r="Y1519" s="1" t="n"/>
    </row>
    <row r="1520" hidden="1" ht="16.05" customFormat="1" customHeight="1" s="126">
      <c r="A1520" s="125" t="n">
        <v>2021</v>
      </c>
      <c r="B1520" s="125" t="n"/>
      <c r="C1520" s="130" t="inlineStr">
        <is>
          <t>Челябинск</t>
        </is>
      </c>
      <c r="D1520" s="130" t="inlineStr">
        <is>
          <t>Челябинск</t>
        </is>
      </c>
      <c r="E1520" s="130" t="n"/>
      <c r="F1520" s="130" t="inlineStr">
        <is>
          <t>АЗС</t>
        </is>
      </c>
      <c r="G1520" s="130" t="inlineStr">
        <is>
          <t>Лукойл</t>
        </is>
      </c>
      <c r="H1520" s="131" t="n"/>
      <c r="I1520" s="637" t="n">
        <v>74426</v>
      </c>
      <c r="J1520" s="637" t="inlineStr">
        <is>
          <t>CHL_LUK_74426</t>
        </is>
      </c>
      <c r="K1520" s="640" t="n">
        <v>1</v>
      </c>
      <c r="L1520" s="640" t="n">
        <v>0</v>
      </c>
      <c r="M1520" s="640" t="inlineStr">
        <is>
          <t>Samsung 32" вертикальный</t>
        </is>
      </c>
      <c r="N1520" s="640" t="n"/>
      <c r="O1520" s="640">
        <f>IF(AND(N1520=1,L1520=1),K1520,"")</f>
        <v/>
      </c>
      <c r="P1520" s="642" t="inlineStr">
        <is>
          <t>Челябинск, ул. Братьев Кашириных, Каширинский рынок (Челябинск, улица Братьев Кашириных, 65к1)</t>
        </is>
      </c>
      <c r="Q1520" s="640" t="n">
        <v>55.173776</v>
      </c>
      <c r="R1520" s="422" t="n">
        <v>61.382765</v>
      </c>
      <c r="S1520" s="387" t="n"/>
      <c r="T1520" s="387" t="n"/>
      <c r="U1520" s="387" t="n"/>
      <c r="V1520" s="387" t="n"/>
      <c r="W1520" s="387" t="n"/>
      <c r="X1520" s="1" t="n"/>
      <c r="Y1520" s="1" t="n"/>
    </row>
    <row r="1521" hidden="1" ht="16.05" customFormat="1" customHeight="1" s="126">
      <c r="A1521" s="125" t="n">
        <v>2022</v>
      </c>
      <c r="B1521" s="125" t="n"/>
      <c r="C1521" s="130" t="inlineStr">
        <is>
          <t>Челябинск</t>
        </is>
      </c>
      <c r="D1521" s="130" t="inlineStr">
        <is>
          <t>Челябинск</t>
        </is>
      </c>
      <c r="E1521" s="130" t="n"/>
      <c r="F1521" s="130" t="n"/>
      <c r="G1521" s="130" t="inlineStr">
        <is>
          <t>Лукойл</t>
        </is>
      </c>
      <c r="H1521" s="131" t="n"/>
      <c r="I1521" s="637" t="n">
        <v>74427</v>
      </c>
      <c r="J1521" s="637" t="inlineStr">
        <is>
          <t>CHL_LUK_74427</t>
        </is>
      </c>
      <c r="K1521" s="640" t="n">
        <v>1</v>
      </c>
      <c r="L1521" s="640" t="n">
        <v>0</v>
      </c>
      <c r="M1521" s="640" t="inlineStr">
        <is>
          <t>Sam 32</t>
        </is>
      </c>
      <c r="N1521" s="640" t="n"/>
      <c r="O1521" s="640">
        <f>IF(AND(N1521=1,L1521=1),K1521,"")</f>
        <v/>
      </c>
      <c r="P1521" s="642" t="inlineStr">
        <is>
          <t>Челябинск, ул. Молдавская, пересечение с Комсомольским пр</t>
        </is>
      </c>
      <c r="Q1521" s="640" t="n">
        <v>55.193095</v>
      </c>
      <c r="R1521" s="422" t="n">
        <v>61.301485</v>
      </c>
      <c r="S1521" s="387" t="n"/>
      <c r="T1521" s="387" t="n"/>
      <c r="U1521" s="387" t="n"/>
      <c r="V1521" s="387" t="n"/>
      <c r="W1521" s="387" t="n"/>
      <c r="X1521" s="1" t="n"/>
      <c r="Y1521" s="1" t="n"/>
    </row>
    <row r="1522" hidden="1" ht="16.05" customFormat="1" customHeight="1" s="126">
      <c r="A1522" s="125" t="n">
        <v>2023</v>
      </c>
      <c r="B1522" s="125" t="n"/>
      <c r="C1522" s="130" t="inlineStr">
        <is>
          <t>Челябинск</t>
        </is>
      </c>
      <c r="D1522" s="130" t="inlineStr">
        <is>
          <t>Челябинск</t>
        </is>
      </c>
      <c r="E1522" s="130" t="n"/>
      <c r="F1522" s="130" t="inlineStr">
        <is>
          <t>АЗС</t>
        </is>
      </c>
      <c r="G1522" s="130" t="inlineStr">
        <is>
          <t>Лукойл</t>
        </is>
      </c>
      <c r="H1522" s="131" t="n"/>
      <c r="I1522" s="637" t="n">
        <v>74433</v>
      </c>
      <c r="J1522" s="637" t="inlineStr">
        <is>
          <t>CHL_LUK_74433</t>
        </is>
      </c>
      <c r="K1522" s="640" t="n">
        <v>1</v>
      </c>
      <c r="L1522" s="640" t="n">
        <v>0</v>
      </c>
      <c r="M1522" s="640" t="inlineStr">
        <is>
          <t>Samsung 32" вертикальный</t>
        </is>
      </c>
      <c r="N1522" s="640" t="n"/>
      <c r="O1522" s="640">
        <f>IF(AND(N1522=1,L1522=1),K1522,"")</f>
        <v/>
      </c>
      <c r="P1522" s="642" t="inlineStr">
        <is>
          <t>Челябинск, Свердловский пр., Дворец спорта (Челябинск, Свердловский проспект, 53Ак1)</t>
        </is>
      </c>
      <c r="Q1522" s="640" t="n">
        <v>55.167012</v>
      </c>
      <c r="R1522" s="422" t="n">
        <v>61.390308</v>
      </c>
      <c r="S1522" s="387" t="n"/>
      <c r="T1522" s="387" t="n"/>
      <c r="U1522" s="387" t="n"/>
      <c r="V1522" s="387" t="n"/>
      <c r="W1522" s="387" t="n"/>
      <c r="X1522" s="1" t="n"/>
      <c r="Y1522" s="1" t="n"/>
    </row>
    <row r="1523" hidden="1" ht="16.05" customFormat="1" customHeight="1" s="126">
      <c r="A1523" s="125" t="n">
        <v>2024</v>
      </c>
      <c r="B1523" s="125" t="n"/>
      <c r="C1523" s="130" t="inlineStr">
        <is>
          <t>Оренбург</t>
        </is>
      </c>
      <c r="D1523" s="130" t="inlineStr">
        <is>
          <t>Оренбург</t>
        </is>
      </c>
      <c r="E1523" s="130" t="n"/>
      <c r="F1523" s="130" t="inlineStr">
        <is>
          <t>АЗС</t>
        </is>
      </c>
      <c r="G1523" s="130" t="inlineStr">
        <is>
          <t>Лукойл</t>
        </is>
      </c>
      <c r="H1523" s="131" t="n"/>
      <c r="I1523" s="637" t="n">
        <v>56028</v>
      </c>
      <c r="J1523" s="637" t="inlineStr">
        <is>
          <t>ORE_LUK_56028</t>
        </is>
      </c>
      <c r="K1523" s="640" t="n">
        <v>1</v>
      </c>
      <c r="L1523" s="640" t="n">
        <v>0</v>
      </c>
      <c r="M1523" s="640" t="inlineStr">
        <is>
          <t>Samsung 32" вертикальный</t>
        </is>
      </c>
      <c r="N1523" s="640" t="n"/>
      <c r="O1523" s="640">
        <f>IF(AND(N1523=1,L1523=1),K1523,"")</f>
        <v/>
      </c>
      <c r="P1523" s="642" t="inlineStr">
        <is>
          <t xml:space="preserve"> Дзерджинский р-н, ул Джангильдина, 32</t>
        </is>
      </c>
      <c r="Q1523" s="640" t="n">
        <v>51.836428</v>
      </c>
      <c r="R1523" s="422" t="n">
        <v>55.164535</v>
      </c>
      <c r="S1523" s="387" t="n"/>
      <c r="T1523" s="387" t="n"/>
      <c r="U1523" s="387" t="n"/>
      <c r="V1523" s="387" t="n"/>
      <c r="W1523" s="387" t="n"/>
      <c r="X1523" s="1" t="n"/>
      <c r="Y1523" s="1" t="n"/>
    </row>
    <row r="1524" hidden="1" ht="16.05" customFormat="1" customHeight="1" s="126">
      <c r="A1524" s="125" t="n">
        <v>2025</v>
      </c>
      <c r="B1524" s="125" t="n"/>
      <c r="C1524" s="130" t="inlineStr">
        <is>
          <t>Оренбург</t>
        </is>
      </c>
      <c r="D1524" s="130" t="inlineStr">
        <is>
          <t>Оренбург</t>
        </is>
      </c>
      <c r="E1524" s="130" t="n"/>
      <c r="F1524" s="130" t="inlineStr">
        <is>
          <t>АЗС</t>
        </is>
      </c>
      <c r="G1524" s="130" t="inlineStr">
        <is>
          <t>Лукойл</t>
        </is>
      </c>
      <c r="H1524" s="131" t="n"/>
      <c r="I1524" s="637" t="n">
        <v>56034</v>
      </c>
      <c r="J1524" s="637" t="inlineStr">
        <is>
          <t>ORE_LUK_56034</t>
        </is>
      </c>
      <c r="K1524" s="640" t="n">
        <v>1</v>
      </c>
      <c r="L1524" s="640" t="n">
        <v>0</v>
      </c>
      <c r="M1524" s="640" t="inlineStr">
        <is>
          <t>Samsung 32" вертикальный</t>
        </is>
      </c>
      <c r="N1524" s="640" t="n"/>
      <c r="O1524" s="640">
        <f>IF(AND(N1524=1,L1524=1),K1524,"")</f>
        <v/>
      </c>
      <c r="P1524" s="642" t="inlineStr">
        <is>
          <t>Оренбург, пр-т бр.Коростелевых, 165</t>
        </is>
      </c>
      <c r="Q1524" s="640" t="n">
        <v>51.80576</v>
      </c>
      <c r="R1524" s="422" t="n">
        <v>55.056195</v>
      </c>
      <c r="S1524" s="387" t="n"/>
      <c r="T1524" s="387" t="n"/>
      <c r="U1524" s="387" t="n"/>
      <c r="V1524" s="387" t="n"/>
      <c r="W1524" s="387" t="n"/>
      <c r="X1524" s="1" t="n"/>
      <c r="Y1524" s="1" t="n"/>
    </row>
    <row r="1525" hidden="1" ht="16.05" customFormat="1" customHeight="1" s="126">
      <c r="A1525" s="125" t="n">
        <v>2026</v>
      </c>
      <c r="B1525" s="125" t="n"/>
      <c r="C1525" s="130" t="inlineStr">
        <is>
          <t>Оренбург</t>
        </is>
      </c>
      <c r="D1525" s="130" t="inlineStr">
        <is>
          <t>Оренбург</t>
        </is>
      </c>
      <c r="E1525" s="130" t="n"/>
      <c r="F1525" s="130" t="inlineStr">
        <is>
          <t>АЗС</t>
        </is>
      </c>
      <c r="G1525" s="130" t="inlineStr">
        <is>
          <t>Лукойл</t>
        </is>
      </c>
      <c r="H1525" s="131" t="n"/>
      <c r="I1525" s="637" t="n">
        <v>56043</v>
      </c>
      <c r="J1525" s="637" t="inlineStr">
        <is>
          <t>ORE_LUK_56043</t>
        </is>
      </c>
      <c r="K1525" s="640" t="n">
        <v>1</v>
      </c>
      <c r="L1525" s="640" t="n">
        <v>0</v>
      </c>
      <c r="M1525" s="640" t="inlineStr">
        <is>
          <t>Samsung 32" вертикальный</t>
        </is>
      </c>
      <c r="N1525" s="640" t="n"/>
      <c r="O1525" s="640">
        <f>IF(AND(N1525=1,L1525=1),K1525,"")</f>
        <v/>
      </c>
      <c r="P1525" s="642" t="inlineStr">
        <is>
          <t>Оренбург, Загородное шоссе, 46</t>
        </is>
      </c>
      <c r="Q1525" s="640" t="n">
        <v>51.769124</v>
      </c>
      <c r="R1525" s="422" t="n">
        <v>55.199128</v>
      </c>
      <c r="S1525" s="387" t="n"/>
      <c r="T1525" s="387" t="n"/>
      <c r="U1525" s="387" t="n"/>
      <c r="V1525" s="387" t="n"/>
      <c r="W1525" s="387" t="n"/>
      <c r="X1525" s="1" t="n"/>
      <c r="Y1525" s="1" t="n"/>
    </row>
    <row r="1526" hidden="1" ht="16.05" customFormat="1" customHeight="1" s="126">
      <c r="A1526" s="125" t="n">
        <v>2027</v>
      </c>
      <c r="B1526" s="125" t="n"/>
      <c r="C1526" s="130" t="inlineStr">
        <is>
          <t>Оренбург</t>
        </is>
      </c>
      <c r="D1526" s="130" t="inlineStr">
        <is>
          <t>Оренбург</t>
        </is>
      </c>
      <c r="E1526" s="130" t="n"/>
      <c r="F1526" s="130" t="inlineStr">
        <is>
          <t>АЗС</t>
        </is>
      </c>
      <c r="G1526" s="130" t="inlineStr">
        <is>
          <t>Лукойл</t>
        </is>
      </c>
      <c r="H1526" s="131" t="n"/>
      <c r="I1526" s="637" t="n">
        <v>56044</v>
      </c>
      <c r="J1526" s="637" t="inlineStr">
        <is>
          <t>ORE_LUK_56044</t>
        </is>
      </c>
      <c r="K1526" s="640" t="n">
        <v>1</v>
      </c>
      <c r="L1526" s="640" t="n">
        <v>0</v>
      </c>
      <c r="M1526" s="640" t="inlineStr">
        <is>
          <t>Samsung 32" вертикальный</t>
        </is>
      </c>
      <c r="N1526" s="640" t="n"/>
      <c r="O1526" s="640">
        <f>IF(AND(N1526=1,L1526=1),K1526,"")</f>
        <v/>
      </c>
      <c r="P1526" s="642" t="inlineStr">
        <is>
          <t>Оренбург, ул Донгузская, 15/1</t>
        </is>
      </c>
      <c r="Q1526" s="640" t="n">
        <v>51.693748</v>
      </c>
      <c r="R1526" s="422" t="n">
        <v>55.080947</v>
      </c>
      <c r="S1526" s="387" t="n"/>
      <c r="T1526" s="387" t="n"/>
      <c r="U1526" s="387" t="n"/>
      <c r="V1526" s="387" t="n"/>
      <c r="W1526" s="387" t="n"/>
      <c r="X1526" s="1" t="n"/>
      <c r="Y1526" s="1" t="n"/>
    </row>
    <row r="1527" hidden="1" ht="16.05" customFormat="1" customHeight="1" s="126">
      <c r="A1527" s="125" t="n">
        <v>2028</v>
      </c>
      <c r="B1527" s="125" t="n"/>
      <c r="C1527" s="130" t="inlineStr">
        <is>
          <t>Оренбург</t>
        </is>
      </c>
      <c r="D1527" s="130" t="inlineStr">
        <is>
          <t>Оренбург</t>
        </is>
      </c>
      <c r="E1527" s="130" t="n"/>
      <c r="F1527" s="130" t="inlineStr">
        <is>
          <t>АЗС</t>
        </is>
      </c>
      <c r="G1527" s="130" t="inlineStr">
        <is>
          <t>Лукойл</t>
        </is>
      </c>
      <c r="H1527" s="131" t="n"/>
      <c r="I1527" s="637" t="n">
        <v>56045</v>
      </c>
      <c r="J1527" s="637" t="inlineStr">
        <is>
          <t>ORE_LUK_56045</t>
        </is>
      </c>
      <c r="K1527" s="640" t="n">
        <v>1</v>
      </c>
      <c r="L1527" s="640" t="n">
        <v>0</v>
      </c>
      <c r="M1527" s="640" t="inlineStr">
        <is>
          <t>Samsung 32" вертикальный</t>
        </is>
      </c>
      <c r="N1527" s="640" t="n"/>
      <c r="O1527" s="640">
        <f>IF(AND(N1527=1,L1527=1),K1527,"")</f>
        <v/>
      </c>
      <c r="P1527" s="642" t="inlineStr">
        <is>
          <t xml:space="preserve">Оренбург, Загородное шоссе, 15 </t>
        </is>
      </c>
      <c r="Q1527" s="640" t="n">
        <v>51.836145</v>
      </c>
      <c r="R1527" s="422" t="n">
        <v>55.168659</v>
      </c>
      <c r="S1527" s="387" t="n"/>
      <c r="T1527" s="387" t="n"/>
      <c r="U1527" s="387" t="n"/>
      <c r="V1527" s="387" t="n"/>
      <c r="W1527" s="387" t="n"/>
      <c r="X1527" s="1" t="n"/>
      <c r="Y1527" s="1" t="n"/>
    </row>
    <row r="1528" hidden="1" ht="16.05" customFormat="1" customHeight="1" s="126">
      <c r="A1528" s="125" t="n">
        <v>2029</v>
      </c>
      <c r="B1528" s="125" t="n"/>
      <c r="C1528" s="130" t="inlineStr">
        <is>
          <t>Оренбург</t>
        </is>
      </c>
      <c r="D1528" s="130" t="inlineStr">
        <is>
          <t>Оренбург</t>
        </is>
      </c>
      <c r="E1528" s="130" t="n"/>
      <c r="F1528" s="130" t="inlineStr">
        <is>
          <t>АЗС</t>
        </is>
      </c>
      <c r="G1528" s="130" t="inlineStr">
        <is>
          <t>Лукойл</t>
        </is>
      </c>
      <c r="H1528" s="131" t="n"/>
      <c r="I1528" s="637" t="n">
        <v>56048</v>
      </c>
      <c r="J1528" s="637" t="inlineStr">
        <is>
          <t>ORE_LUK_56048</t>
        </is>
      </c>
      <c r="K1528" s="640" t="n">
        <v>1</v>
      </c>
      <c r="L1528" s="640" t="n">
        <v>0</v>
      </c>
      <c r="M1528" s="640" t="inlineStr">
        <is>
          <t>Samsung 32" вертикальный</t>
        </is>
      </c>
      <c r="N1528" s="640" t="n"/>
      <c r="O1528" s="640">
        <f>IF(AND(N1528=1,L1528=1),K1528,"")</f>
        <v/>
      </c>
      <c r="P1528" s="642" t="inlineStr">
        <is>
          <t>Оренбург, ул. Терешковой, 150/4</t>
        </is>
      </c>
      <c r="Q1528" s="640" t="n">
        <v>51.837785</v>
      </c>
      <c r="R1528" s="422" t="n">
        <v>55.10771</v>
      </c>
      <c r="S1528" s="387" t="n"/>
      <c r="T1528" s="387" t="n"/>
      <c r="U1528" s="387" t="n"/>
      <c r="V1528" s="387" t="n"/>
      <c r="W1528" s="387" t="n"/>
      <c r="X1528" s="1" t="n"/>
      <c r="Y1528" s="1" t="n"/>
    </row>
    <row r="1529" hidden="1" ht="16.05" customFormat="1" customHeight="1" s="126">
      <c r="A1529" s="125" t="n">
        <v>2030</v>
      </c>
      <c r="B1529" s="125" t="n"/>
      <c r="C1529" s="130" t="inlineStr">
        <is>
          <t>Оренбург</t>
        </is>
      </c>
      <c r="D1529" s="130" t="inlineStr">
        <is>
          <t>Оренбург</t>
        </is>
      </c>
      <c r="E1529" s="130" t="n"/>
      <c r="F1529" s="130" t="inlineStr">
        <is>
          <t>АЗС</t>
        </is>
      </c>
      <c r="G1529" s="130" t="inlineStr">
        <is>
          <t>Лукойл</t>
        </is>
      </c>
      <c r="H1529" s="131" t="n"/>
      <c r="I1529" s="637" t="n">
        <v>56052</v>
      </c>
      <c r="J1529" s="637" t="inlineStr">
        <is>
          <t>ORE_LUK_56052</t>
        </is>
      </c>
      <c r="K1529" s="640" t="n">
        <v>1</v>
      </c>
      <c r="L1529" s="640" t="n">
        <v>0</v>
      </c>
      <c r="M1529" s="640" t="inlineStr">
        <is>
          <t>Samsung 32" вертикальный</t>
        </is>
      </c>
      <c r="N1529" s="640" t="n"/>
      <c r="O1529" s="640">
        <f>IF(AND(N1529=1,L1529=1),K1529,"")</f>
        <v/>
      </c>
      <c r="P1529" s="642" t="inlineStr">
        <is>
          <t>Оренбург, Нежинское шоссе, 4/1</t>
        </is>
      </c>
      <c r="Q1529" s="640" t="n">
        <v>51.77113</v>
      </c>
      <c r="R1529" s="422" t="n">
        <v>55.216354</v>
      </c>
      <c r="S1529" s="387" t="n"/>
      <c r="T1529" s="387" t="n"/>
      <c r="U1529" s="387" t="n"/>
      <c r="V1529" s="387" t="n"/>
      <c r="W1529" s="387" t="n"/>
      <c r="X1529" s="1" t="n"/>
      <c r="Y1529" s="1" t="n"/>
    </row>
    <row r="1530" hidden="1" ht="16.05" customFormat="1" customHeight="1" s="126">
      <c r="A1530" s="125" t="n">
        <v>2031</v>
      </c>
      <c r="B1530" s="125" t="n"/>
      <c r="C1530" s="130" t="inlineStr">
        <is>
          <t>Оренбург</t>
        </is>
      </c>
      <c r="D1530" s="130" t="inlineStr">
        <is>
          <t>Оренбург</t>
        </is>
      </c>
      <c r="E1530" s="130" t="n"/>
      <c r="F1530" s="130" t="inlineStr">
        <is>
          <t>АЗС</t>
        </is>
      </c>
      <c r="G1530" s="130" t="inlineStr">
        <is>
          <t>Лукойл</t>
        </is>
      </c>
      <c r="H1530" s="131" t="n"/>
      <c r="I1530" s="637" t="n">
        <v>56059</v>
      </c>
      <c r="J1530" s="637" t="inlineStr">
        <is>
          <t>ORE_LUK_56059</t>
        </is>
      </c>
      <c r="K1530" s="640" t="n">
        <v>1</v>
      </c>
      <c r="L1530" s="640" t="n">
        <v>0</v>
      </c>
      <c r="M1530" s="640" t="inlineStr">
        <is>
          <t>Samsung 32" вертикальный</t>
        </is>
      </c>
      <c r="N1530" s="640" t="n"/>
      <c r="O1530" s="640">
        <f>IF(AND(N1530=1,L1530=1),K1530,"")</f>
        <v/>
      </c>
      <c r="P1530" s="642" t="inlineStr">
        <is>
          <t xml:space="preserve">Оренбург, Нежинское шоссе, 3 </t>
        </is>
      </c>
      <c r="Q1530" s="640" t="n">
        <v>51.770535</v>
      </c>
      <c r="R1530" s="422" t="n">
        <v>55.21609</v>
      </c>
      <c r="S1530" s="387" t="n"/>
      <c r="T1530" s="387" t="n"/>
      <c r="U1530" s="387" t="n"/>
      <c r="V1530" s="387" t="n"/>
      <c r="W1530" s="387" t="n"/>
      <c r="X1530" s="1" t="n"/>
      <c r="Y1530" s="1" t="n"/>
    </row>
    <row r="1531" hidden="1" ht="16.05" customFormat="1" customHeight="1" s="126">
      <c r="A1531" s="125" t="n">
        <v>2032</v>
      </c>
      <c r="B1531" s="125" t="n"/>
      <c r="C1531" s="130" t="inlineStr">
        <is>
          <t>Оренбург</t>
        </is>
      </c>
      <c r="D1531" s="130" t="inlineStr">
        <is>
          <t>Оренбург</t>
        </is>
      </c>
      <c r="E1531" s="130" t="n"/>
      <c r="F1531" s="130" t="inlineStr">
        <is>
          <t>АЗС</t>
        </is>
      </c>
      <c r="G1531" s="130" t="inlineStr">
        <is>
          <t>Лукойл</t>
        </is>
      </c>
      <c r="H1531" s="131" t="n"/>
      <c r="I1531" s="637" t="n">
        <v>56047</v>
      </c>
      <c r="J1531" s="637" t="inlineStr">
        <is>
          <t>ORE_LUK_56047</t>
        </is>
      </c>
      <c r="K1531" s="640" t="n">
        <v>1</v>
      </c>
      <c r="L1531" s="640" t="n">
        <v>0</v>
      </c>
      <c r="M1531" s="640" t="inlineStr">
        <is>
          <t>Samsung 32" вертикальный</t>
        </is>
      </c>
      <c r="N1531" s="640" t="n"/>
      <c r="O1531" s="640">
        <f>IF(AND(N1531=1,L1531=1),K1531,"")</f>
        <v/>
      </c>
      <c r="P1531" s="642" t="inlineStr">
        <is>
          <t>Оренбург, Илекское шоссе, 4</t>
        </is>
      </c>
      <c r="Q1531" s="640" t="n">
        <v>51.730317</v>
      </c>
      <c r="R1531" s="422" t="n">
        <v>55.077327</v>
      </c>
      <c r="S1531" s="387" t="n"/>
      <c r="T1531" s="387" t="n"/>
      <c r="U1531" s="387" t="n"/>
      <c r="V1531" s="387" t="n"/>
      <c r="W1531" s="387" t="n"/>
      <c r="X1531" s="1" t="n"/>
      <c r="Y1531" s="1" t="n"/>
    </row>
    <row r="1532" hidden="1" ht="16.05" customFormat="1" customHeight="1" s="126">
      <c r="A1532" s="125" t="n">
        <v>2033</v>
      </c>
      <c r="B1532" s="125" t="n"/>
      <c r="C1532" s="130" t="inlineStr">
        <is>
          <t>Оренбург</t>
        </is>
      </c>
      <c r="D1532" s="130" t="inlineStr">
        <is>
          <t>Оренбург</t>
        </is>
      </c>
      <c r="E1532" s="130" t="n"/>
      <c r="F1532" s="130" t="inlineStr">
        <is>
          <t>АЗС</t>
        </is>
      </c>
      <c r="G1532" s="130" t="inlineStr">
        <is>
          <t>Лукойл</t>
        </is>
      </c>
      <c r="H1532" s="131" t="n"/>
      <c r="I1532" s="637" t="n">
        <v>56060</v>
      </c>
      <c r="J1532" s="637" t="inlineStr">
        <is>
          <t>ORE_LUK_56060</t>
        </is>
      </c>
      <c r="K1532" s="640" t="n">
        <v>1</v>
      </c>
      <c r="L1532" s="640" t="n">
        <v>0</v>
      </c>
      <c r="M1532" s="640" t="inlineStr">
        <is>
          <t>Sam 32</t>
        </is>
      </c>
      <c r="N1532" s="640" t="n"/>
      <c r="O1532" s="640">
        <f>IF(AND(N1532=1,L1532=1),K1532,"")</f>
        <v/>
      </c>
      <c r="P1532" s="642" t="inlineStr">
        <is>
          <t xml:space="preserve">Оренбург, Илекское шоссе, 2  </t>
        </is>
      </c>
      <c r="Q1532" s="640" t="n">
        <v>51.730668</v>
      </c>
      <c r="R1532" s="422" t="n">
        <v>55.07615</v>
      </c>
      <c r="S1532" s="387" t="n"/>
      <c r="T1532" s="387" t="n"/>
      <c r="U1532" s="387" t="n"/>
      <c r="V1532" s="387" t="n"/>
      <c r="W1532" s="387" t="n"/>
      <c r="X1532" s="1" t="n"/>
      <c r="Y1532" s="1" t="n"/>
    </row>
    <row r="1533" hidden="1" ht="16.05" customFormat="1" customHeight="1" s="126">
      <c r="A1533" s="125" t="n">
        <v>2034</v>
      </c>
      <c r="B1533" s="125" t="n"/>
      <c r="C1533" s="130" t="inlineStr">
        <is>
          <t>Оренбург</t>
        </is>
      </c>
      <c r="D1533" s="130" t="inlineStr">
        <is>
          <t>Оренбург</t>
        </is>
      </c>
      <c r="E1533" s="130" t="n"/>
      <c r="F1533" s="130" t="inlineStr">
        <is>
          <t>АЗС</t>
        </is>
      </c>
      <c r="G1533" s="130" t="inlineStr">
        <is>
          <t>Лукойл</t>
        </is>
      </c>
      <c r="H1533" s="131" t="n"/>
      <c r="I1533" s="637" t="n">
        <v>56053</v>
      </c>
      <c r="J1533" s="637" t="inlineStr">
        <is>
          <t>ORE_LUK_56053</t>
        </is>
      </c>
      <c r="K1533" s="640" t="n">
        <v>1</v>
      </c>
      <c r="L1533" s="640" t="n">
        <v>0</v>
      </c>
      <c r="M1533" s="640" t="inlineStr">
        <is>
          <t>Samsung 32" вертикальный</t>
        </is>
      </c>
      <c r="N1533" s="640" t="n"/>
      <c r="O1533" s="640">
        <f>IF(AND(N1533=1,L1533=1),K1533,"")</f>
        <v/>
      </c>
      <c r="P1533" s="642" t="inlineStr">
        <is>
          <t>Оренбург, Шарлыкское шоссе, 5</t>
        </is>
      </c>
      <c r="Q1533" s="640" t="n">
        <v>51.852508</v>
      </c>
      <c r="R1533" s="422" t="n">
        <v>55.128808</v>
      </c>
      <c r="S1533" s="387" t="n"/>
      <c r="T1533" s="387" t="n"/>
      <c r="U1533" s="387" t="n"/>
      <c r="V1533" s="387" t="n"/>
      <c r="W1533" s="387" t="n"/>
      <c r="X1533" s="1" t="n"/>
      <c r="Y1533" s="1" t="n"/>
    </row>
    <row r="1534" hidden="1" ht="16.05" customFormat="1" customHeight="1" s="126">
      <c r="A1534" s="125" t="n">
        <v>2035</v>
      </c>
      <c r="B1534" s="125" t="n"/>
      <c r="C1534" s="130" t="inlineStr">
        <is>
          <t>Оренбург</t>
        </is>
      </c>
      <c r="D1534" s="130" t="inlineStr">
        <is>
          <t>Оренбург</t>
        </is>
      </c>
      <c r="E1534" s="130" t="n"/>
      <c r="F1534" s="130" t="inlineStr">
        <is>
          <t>АЗС</t>
        </is>
      </c>
      <c r="G1534" s="130" t="inlineStr">
        <is>
          <t>Лукойл</t>
        </is>
      </c>
      <c r="H1534" s="131" t="n"/>
      <c r="I1534" s="637" t="n">
        <v>56055</v>
      </c>
      <c r="J1534" s="637" t="inlineStr">
        <is>
          <t>ORE_LUK_56055</t>
        </is>
      </c>
      <c r="K1534" s="640" t="n">
        <v>1</v>
      </c>
      <c r="L1534" s="640" t="n">
        <v>0</v>
      </c>
      <c r="M1534" s="640" t="inlineStr">
        <is>
          <t>Sam 32</t>
        </is>
      </c>
      <c r="N1534" s="640" t="n"/>
      <c r="O1534" s="640">
        <f>IF(AND(N1534=1,L1534=1),K1534,"")</f>
        <v/>
      </c>
      <c r="P1534" s="642" t="inlineStr">
        <is>
          <t>Оренбург, п. Кушкуль</t>
        </is>
      </c>
      <c r="Q1534" s="640" t="n">
        <v>51.880314</v>
      </c>
      <c r="R1534" s="422" t="n">
        <v>55.149664</v>
      </c>
      <c r="S1534" s="387" t="n"/>
      <c r="T1534" s="387" t="n"/>
      <c r="U1534" s="387" t="n"/>
      <c r="V1534" s="387" t="n"/>
      <c r="W1534" s="387" t="n"/>
      <c r="X1534" s="1" t="n"/>
      <c r="Y1534" s="1" t="n"/>
    </row>
    <row r="1535" hidden="1" ht="16.05" customFormat="1" customHeight="1" s="126">
      <c r="A1535" s="125" t="n">
        <v>2036</v>
      </c>
      <c r="B1535" s="125" t="n"/>
      <c r="C1535" s="130" t="inlineStr">
        <is>
          <t>Оренбург</t>
        </is>
      </c>
      <c r="D1535" s="130" t="inlineStr">
        <is>
          <t>Оренбург</t>
        </is>
      </c>
      <c r="E1535" s="130" t="n"/>
      <c r="F1535" s="130" t="inlineStr">
        <is>
          <t>АЗС</t>
        </is>
      </c>
      <c r="G1535" s="130" t="inlineStr">
        <is>
          <t>Лукойл</t>
        </is>
      </c>
      <c r="H1535" s="131" t="n"/>
      <c r="I1535" s="637" t="n">
        <v>56063</v>
      </c>
      <c r="J1535" s="637" t="inlineStr">
        <is>
          <t>ORE_LUK_56063</t>
        </is>
      </c>
      <c r="K1535" s="640" t="n">
        <v>1</v>
      </c>
      <c r="L1535" s="640" t="n">
        <v>0</v>
      </c>
      <c r="M1535" s="640" t="inlineStr">
        <is>
          <t>Samsung 32" вертикальный</t>
        </is>
      </c>
      <c r="N1535" s="640" t="n"/>
      <c r="O1535" s="640">
        <f>IF(AND(N1535=1,L1535=1),K1535,"")</f>
        <v/>
      </c>
      <c r="P1535" s="642" t="inlineStr">
        <is>
          <t>Оренбург, ул. Волгоградская, 7</t>
        </is>
      </c>
      <c r="Q1535" s="640" t="n">
        <v>51.848269</v>
      </c>
      <c r="R1535" s="422" t="n">
        <v>55.134977</v>
      </c>
      <c r="S1535" s="387" t="n"/>
      <c r="T1535" s="387" t="n"/>
      <c r="U1535" s="387" t="n"/>
      <c r="V1535" s="387" t="n"/>
      <c r="W1535" s="387" t="n"/>
      <c r="X1535" s="1" t="n"/>
      <c r="Y1535" s="1" t="n"/>
    </row>
    <row r="1536" hidden="1" ht="16.05" customFormat="1" customHeight="1" s="126">
      <c r="A1536" s="125" t="n">
        <v>2037</v>
      </c>
      <c r="B1536" s="125" t="n"/>
      <c r="C1536" s="130" t="inlineStr">
        <is>
          <t>Оренбург</t>
        </is>
      </c>
      <c r="D1536" s="130" t="inlineStr">
        <is>
          <t>Оренбург</t>
        </is>
      </c>
      <c r="E1536" s="130" t="n"/>
      <c r="F1536" s="130" t="inlineStr">
        <is>
          <t>АЗС</t>
        </is>
      </c>
      <c r="G1536" s="130" t="inlineStr">
        <is>
          <t>Лукойл</t>
        </is>
      </c>
      <c r="H1536" s="131" t="n"/>
      <c r="I1536" s="637" t="n">
        <v>56065</v>
      </c>
      <c r="J1536" s="637" t="inlineStr">
        <is>
          <t>ORE_LUK_56065</t>
        </is>
      </c>
      <c r="K1536" s="640" t="n">
        <v>1</v>
      </c>
      <c r="L1536" s="640" t="n">
        <v>0</v>
      </c>
      <c r="M1536" s="640" t="inlineStr">
        <is>
          <t>Samsung 32" вертикальный</t>
        </is>
      </c>
      <c r="N1536" s="640" t="n"/>
      <c r="O1536" s="640">
        <f>IF(AND(N1536=1,L1536=1),K1536,"")</f>
        <v/>
      </c>
      <c r="P1536" s="642" t="inlineStr">
        <is>
          <t>Оренбург, ул. Терешковой, 271/1</t>
        </is>
      </c>
      <c r="Q1536" s="640" t="n">
        <v>51.824022</v>
      </c>
      <c r="R1536" s="422" t="n">
        <v>55.106728</v>
      </c>
      <c r="S1536" s="387" t="n"/>
      <c r="T1536" s="387" t="n"/>
      <c r="U1536" s="387" t="n"/>
      <c r="V1536" s="387" t="n"/>
      <c r="W1536" s="387" t="n"/>
      <c r="X1536" s="1" t="n"/>
      <c r="Y1536" s="1" t="n"/>
    </row>
    <row r="1537" hidden="1" ht="16.05" customFormat="1" customHeight="1" s="126">
      <c r="A1537" s="125" t="n">
        <v>2038</v>
      </c>
      <c r="B1537" s="125" t="n"/>
      <c r="C1537" s="130" t="inlineStr">
        <is>
          <t>Тюмень</t>
        </is>
      </c>
      <c r="D1537" s="130" t="inlineStr">
        <is>
          <t>Тюмень</t>
        </is>
      </c>
      <c r="E1537" s="130" t="n"/>
      <c r="F1537" s="130" t="inlineStr">
        <is>
          <t>АЗС</t>
        </is>
      </c>
      <c r="G1537" s="130" t="inlineStr">
        <is>
          <t>Лукойл</t>
        </is>
      </c>
      <c r="H1537" s="131" t="n"/>
      <c r="I1537" s="637" t="n">
        <v>72303</v>
      </c>
      <c r="J1537" s="637" t="inlineStr">
        <is>
          <t>TMN_LUK_72303</t>
        </is>
      </c>
      <c r="K1537" s="640" t="n">
        <v>1</v>
      </c>
      <c r="L1537" s="640" t="n">
        <v>0</v>
      </c>
      <c r="M1537" s="640" t="inlineStr">
        <is>
          <t>Samsung 32" вертикальный</t>
        </is>
      </c>
      <c r="N1537" s="640" t="n"/>
      <c r="O1537" s="640">
        <f>IF(AND(N1537=1,L1537=1),K1537,"")</f>
        <v/>
      </c>
      <c r="P1537" s="642" t="inlineStr">
        <is>
          <t>Тюмень, ул. Московский тракт, 132-Б</t>
        </is>
      </c>
      <c r="Q1537" s="640" t="n">
        <v>57.132137</v>
      </c>
      <c r="R1537" s="422" t="n">
        <v>65.48624100000001</v>
      </c>
      <c r="S1537" s="387" t="n"/>
      <c r="T1537" s="387" t="n"/>
      <c r="U1537" s="387" t="n"/>
      <c r="V1537" s="387" t="n"/>
      <c r="W1537" s="387" t="n"/>
      <c r="X1537" s="1" t="n"/>
      <c r="Y1537" s="1" t="n"/>
    </row>
    <row r="1538" hidden="1" ht="16.05" customFormat="1" customHeight="1" s="126">
      <c r="A1538" s="125" t="n">
        <v>2039</v>
      </c>
      <c r="B1538" s="125" t="n"/>
      <c r="C1538" s="130" t="inlineStr">
        <is>
          <t>Тюмень</t>
        </is>
      </c>
      <c r="D1538" s="130" t="inlineStr">
        <is>
          <t>Тюмень</t>
        </is>
      </c>
      <c r="E1538" s="130" t="n"/>
      <c r="F1538" s="130" t="n"/>
      <c r="G1538" s="130" t="inlineStr">
        <is>
          <t>Лукойл</t>
        </is>
      </c>
      <c r="H1538" s="131" t="n"/>
      <c r="I1538" s="637" t="n">
        <v>72311</v>
      </c>
      <c r="J1538" s="637" t="inlineStr">
        <is>
          <t>TMN_LUK_72311</t>
        </is>
      </c>
      <c r="K1538" s="640" t="n">
        <v>1</v>
      </c>
      <c r="L1538" s="640" t="n">
        <v>0</v>
      </c>
      <c r="M1538" s="640" t="inlineStr">
        <is>
          <t>Sam 32</t>
        </is>
      </c>
      <c r="N1538" s="640" t="n"/>
      <c r="O1538" s="640">
        <f>IF(AND(N1538=1,L1538=1),K1538,"")</f>
        <v/>
      </c>
      <c r="P1538" s="642" t="inlineStr">
        <is>
          <t>Тюмень, ул.30 Лет Победы, 34</t>
        </is>
      </c>
      <c r="Q1538" s="640" t="n">
        <v>57.12647</v>
      </c>
      <c r="R1538" s="422" t="n">
        <v>65.565023</v>
      </c>
      <c r="S1538" s="387" t="n"/>
      <c r="T1538" s="387" t="n"/>
      <c r="U1538" s="387" t="n"/>
      <c r="V1538" s="387" t="n"/>
      <c r="W1538" s="387" t="n"/>
      <c r="X1538" s="1" t="n"/>
      <c r="Y1538" s="1" t="n"/>
    </row>
    <row r="1539" hidden="1" ht="16.05" customFormat="1" customHeight="1" s="126">
      <c r="A1539" s="125" t="n">
        <v>2040</v>
      </c>
      <c r="B1539" s="125" t="n"/>
      <c r="C1539" s="130" t="inlineStr">
        <is>
          <t>Тюмень</t>
        </is>
      </c>
      <c r="D1539" s="130" t="inlineStr">
        <is>
          <t>Тюмень</t>
        </is>
      </c>
      <c r="E1539" s="130" t="n"/>
      <c r="F1539" s="130" t="n"/>
      <c r="G1539" s="130" t="inlineStr">
        <is>
          <t>Лукойл</t>
        </is>
      </c>
      <c r="H1539" s="131" t="n"/>
      <c r="I1539" s="637" t="n">
        <v>72318</v>
      </c>
      <c r="J1539" s="637" t="inlineStr">
        <is>
          <t>TMN_LUK_72318</t>
        </is>
      </c>
      <c r="K1539" s="640" t="n">
        <v>1</v>
      </c>
      <c r="L1539" s="640" t="n">
        <v>0</v>
      </c>
      <c r="M1539" s="640" t="inlineStr">
        <is>
          <t>Sam 32</t>
        </is>
      </c>
      <c r="N1539" s="640" t="n"/>
      <c r="O1539" s="640">
        <f>IF(AND(N1539=1,L1539=1),K1539,"")</f>
        <v/>
      </c>
      <c r="P1539" s="642" t="inlineStr">
        <is>
          <t>Тюмень, район Рощинской кольцевой развязки окружной дороги</t>
        </is>
      </c>
      <c r="Q1539" s="640" t="n">
        <v>57.157584</v>
      </c>
      <c r="R1539" s="422" t="n">
        <v>65.440563</v>
      </c>
      <c r="S1539" s="387" t="n"/>
      <c r="T1539" s="387" t="n"/>
      <c r="U1539" s="387" t="n"/>
      <c r="V1539" s="387" t="n"/>
      <c r="W1539" s="387" t="n"/>
      <c r="X1539" s="1" t="n"/>
      <c r="Y1539" s="1" t="n"/>
    </row>
    <row r="1540" hidden="1" ht="16.05" customFormat="1" customHeight="1" s="126">
      <c r="A1540" s="125" t="n">
        <v>2041</v>
      </c>
      <c r="B1540" s="125" t="n"/>
      <c r="C1540" s="130" t="inlineStr">
        <is>
          <t>Тюмень</t>
        </is>
      </c>
      <c r="D1540" s="130" t="inlineStr">
        <is>
          <t>Тюмень</t>
        </is>
      </c>
      <c r="E1540" s="130" t="n"/>
      <c r="F1540" s="130" t="inlineStr">
        <is>
          <t>АЗС</t>
        </is>
      </c>
      <c r="G1540" s="130" t="inlineStr">
        <is>
          <t>Лукойл</t>
        </is>
      </c>
      <c r="H1540" s="131" t="n"/>
      <c r="I1540" s="637" t="n">
        <v>72325</v>
      </c>
      <c r="J1540" s="637" t="inlineStr">
        <is>
          <t>TMN_LUK_72325</t>
        </is>
      </c>
      <c r="K1540" s="640" t="n">
        <v>1</v>
      </c>
      <c r="L1540" s="640" t="n">
        <v>0</v>
      </c>
      <c r="M1540" s="640" t="inlineStr">
        <is>
          <t>Samsung 32" вертикальный</t>
        </is>
      </c>
      <c r="N1540" s="640" t="n"/>
      <c r="O1540" s="640">
        <f>IF(AND(N1540=1,L1540=1),K1540,"")</f>
        <v/>
      </c>
      <c r="P1540" s="642" t="inlineStr">
        <is>
          <t>Тюмень, ул. Домостроителей, д. 3</t>
        </is>
      </c>
      <c r="Q1540" s="640" t="n">
        <v>57.15443</v>
      </c>
      <c r="R1540" s="422" t="n">
        <v>65.637259</v>
      </c>
      <c r="S1540" s="387" t="n"/>
      <c r="T1540" s="387" t="n"/>
      <c r="U1540" s="387" t="n"/>
      <c r="V1540" s="387" t="n"/>
      <c r="W1540" s="387" t="n"/>
      <c r="X1540" s="1" t="n"/>
      <c r="Y1540" s="1" t="n"/>
    </row>
    <row r="1541" hidden="1" ht="16.05" customFormat="1" customHeight="1" s="126">
      <c r="A1541" s="125" t="n">
        <v>2042</v>
      </c>
      <c r="B1541" s="125" t="n"/>
      <c r="C1541" s="130" t="inlineStr">
        <is>
          <t>Тюмень</t>
        </is>
      </c>
      <c r="D1541" s="130" t="inlineStr">
        <is>
          <t>Тюмень</t>
        </is>
      </c>
      <c r="E1541" s="130" t="n"/>
      <c r="F1541" s="130" t="inlineStr">
        <is>
          <t>АЗС</t>
        </is>
      </c>
      <c r="G1541" s="130" t="inlineStr">
        <is>
          <t>Лукойл</t>
        </is>
      </c>
      <c r="H1541" s="131" t="n"/>
      <c r="I1541" s="637" t="n">
        <v>72305</v>
      </c>
      <c r="J1541" s="637" t="inlineStr">
        <is>
          <t>TMN_LUK_72305</t>
        </is>
      </c>
      <c r="K1541" s="640" t="n">
        <v>1</v>
      </c>
      <c r="L1541" s="640" t="n">
        <v>0</v>
      </c>
      <c r="M1541" s="640" t="inlineStr">
        <is>
          <t>Samsung 32" вертикальный</t>
        </is>
      </c>
      <c r="N1541" s="640" t="n"/>
      <c r="O1541" s="640">
        <f>IF(AND(N1541=1,L1541=1),K1541,"")</f>
        <v/>
      </c>
      <c r="P1541" s="642" t="inlineStr">
        <is>
          <t>Тюмень, ул. Магистральная, 30</t>
        </is>
      </c>
      <c r="Q1541" s="640" t="n">
        <v>57.205103</v>
      </c>
      <c r="R1541" s="422" t="n">
        <v>65.549482</v>
      </c>
      <c r="S1541" s="387" t="n"/>
      <c r="T1541" s="387" t="n"/>
      <c r="U1541" s="387" t="n"/>
      <c r="V1541" s="387" t="n"/>
      <c r="W1541" s="387" t="n"/>
      <c r="X1541" s="1" t="n"/>
      <c r="Y1541" s="1" t="n"/>
    </row>
    <row r="1542" hidden="1" ht="16.05" customFormat="1" customHeight="1" s="126">
      <c r="A1542" s="125" t="n">
        <v>2043</v>
      </c>
      <c r="B1542" s="125" t="n"/>
      <c r="C1542" s="130" t="inlineStr">
        <is>
          <t>Тюмень</t>
        </is>
      </c>
      <c r="D1542" s="130" t="inlineStr">
        <is>
          <t>Тюмень</t>
        </is>
      </c>
      <c r="E1542" s="130" t="n"/>
      <c r="F1542" s="130" t="inlineStr">
        <is>
          <t>АЗС</t>
        </is>
      </c>
      <c r="G1542" s="130" t="inlineStr">
        <is>
          <t>Лукойл</t>
        </is>
      </c>
      <c r="H1542" s="131" t="n"/>
      <c r="I1542" s="637" t="n">
        <v>72310</v>
      </c>
      <c r="J1542" s="637" t="inlineStr">
        <is>
          <t>TMN_LUK_72310</t>
        </is>
      </c>
      <c r="K1542" s="640" t="n">
        <v>1</v>
      </c>
      <c r="L1542" s="640" t="n">
        <v>0</v>
      </c>
      <c r="M1542" s="640" t="inlineStr">
        <is>
          <t>Samsung 32" вертикальный</t>
        </is>
      </c>
      <c r="N1542" s="640" t="n"/>
      <c r="O1542" s="640">
        <f>IF(AND(N1542=1,L1542=1),K1542,"")</f>
        <v/>
      </c>
      <c r="P1542" s="642" t="inlineStr">
        <is>
          <t>Тюмень, 317 км а/д Екатеринбург-Тюмень, строение 1</t>
        </is>
      </c>
      <c r="Q1542" s="640" t="n">
        <v>57.117311</v>
      </c>
      <c r="R1542" s="422" t="n">
        <v>65.433627</v>
      </c>
      <c r="S1542" s="387" t="n"/>
      <c r="T1542" s="387" t="n"/>
      <c r="U1542" s="387" t="n"/>
      <c r="V1542" s="387" t="n"/>
      <c r="W1542" s="387" t="n"/>
      <c r="X1542" s="1" t="n"/>
      <c r="Y1542" s="1" t="n"/>
    </row>
    <row r="1543" hidden="1" ht="16.05" customFormat="1" customHeight="1" s="126">
      <c r="A1543" s="125" t="n">
        <v>2044</v>
      </c>
      <c r="B1543" s="125" t="n"/>
      <c r="C1543" s="130" t="inlineStr">
        <is>
          <t>Тюмень</t>
        </is>
      </c>
      <c r="D1543" s="130" t="inlineStr">
        <is>
          <t>Тюмень</t>
        </is>
      </c>
      <c r="E1543" s="130" t="n"/>
      <c r="F1543" s="130" t="inlineStr">
        <is>
          <t>АЗС</t>
        </is>
      </c>
      <c r="G1543" s="130" t="inlineStr">
        <is>
          <t>Лукойл</t>
        </is>
      </c>
      <c r="H1543" s="131" t="n"/>
      <c r="I1543" s="637" t="n">
        <v>72314</v>
      </c>
      <c r="J1543" s="637" t="inlineStr">
        <is>
          <t>TMN_LUK_72314</t>
        </is>
      </c>
      <c r="K1543" s="640" t="n">
        <v>1</v>
      </c>
      <c r="L1543" s="640" t="n">
        <v>0</v>
      </c>
      <c r="M1543" s="640" t="inlineStr">
        <is>
          <t>Samsung 32" вертикальный</t>
        </is>
      </c>
      <c r="N1543" s="640" t="n"/>
      <c r="O1543" s="640">
        <f>IF(AND(N1543=1,L1543=1),K1543,"")</f>
        <v/>
      </c>
      <c r="P1543" s="642" t="inlineStr">
        <is>
          <t>Тюмень, 1 км Окружной а/д Тюмень-Омск</t>
        </is>
      </c>
      <c r="Q1543" s="640" t="n">
        <v>57.023418</v>
      </c>
      <c r="R1543" s="422" t="n">
        <v>65.72564199999999</v>
      </c>
      <c r="S1543" s="387" t="n"/>
      <c r="T1543" s="387" t="n"/>
      <c r="U1543" s="387" t="n"/>
      <c r="V1543" s="387" t="n"/>
      <c r="W1543" s="387" t="n"/>
      <c r="X1543" s="1" t="n"/>
      <c r="Y1543" s="1" t="n"/>
    </row>
    <row r="1544" hidden="1" ht="16.05" customFormat="1" customHeight="1" s="126">
      <c r="A1544" s="125" t="n">
        <v>2045</v>
      </c>
      <c r="B1544" s="125" t="n"/>
      <c r="C1544" s="130" t="inlineStr">
        <is>
          <t>Тюмень</t>
        </is>
      </c>
      <c r="D1544" s="130" t="inlineStr">
        <is>
          <t>Тюмень</t>
        </is>
      </c>
      <c r="E1544" s="130" t="n"/>
      <c r="F1544" s="130" t="inlineStr">
        <is>
          <t>АЗС</t>
        </is>
      </c>
      <c r="G1544" s="130" t="inlineStr">
        <is>
          <t>Лукойл</t>
        </is>
      </c>
      <c r="H1544" s="131" t="n"/>
      <c r="I1544" s="637" t="n">
        <v>72315</v>
      </c>
      <c r="J1544" s="637" t="inlineStr">
        <is>
          <t>TMN_LUK_72315</t>
        </is>
      </c>
      <c r="K1544" s="640" t="n">
        <v>1</v>
      </c>
      <c r="L1544" s="640" t="n">
        <v>0</v>
      </c>
      <c r="M1544" s="640" t="inlineStr">
        <is>
          <t>Samsung 32" вертикальный</t>
        </is>
      </c>
      <c r="N1544" s="640" t="n"/>
      <c r="O1544" s="640">
        <f>IF(AND(N1544=1,L1544=1),K1544,"")</f>
        <v/>
      </c>
      <c r="P1544" s="642" t="inlineStr">
        <is>
          <t>Тюмень, 13 км а/д Тюмень-Ханты-Мансийск, строение 2</t>
        </is>
      </c>
      <c r="Q1544" s="640" t="n">
        <v>57.171691</v>
      </c>
      <c r="R1544" s="422" t="n">
        <v>65.67779899999999</v>
      </c>
      <c r="S1544" s="387" t="n"/>
      <c r="T1544" s="387" t="n"/>
      <c r="U1544" s="387" t="n"/>
      <c r="V1544" s="387" t="n"/>
      <c r="W1544" s="387" t="n"/>
      <c r="X1544" s="1" t="n"/>
      <c r="Y1544" s="1" t="n"/>
    </row>
    <row r="1545" hidden="1" ht="16.05" customFormat="1" customHeight="1" s="126">
      <c r="A1545" s="125" t="n">
        <v>2046</v>
      </c>
      <c r="B1545" s="125" t="n"/>
      <c r="C1545" s="130" t="inlineStr">
        <is>
          <t>Тюмень</t>
        </is>
      </c>
      <c r="D1545" s="130" t="inlineStr">
        <is>
          <t>Тюмень</t>
        </is>
      </c>
      <c r="E1545" s="130" t="n"/>
      <c r="F1545" s="130" t="inlineStr">
        <is>
          <t>АЗС</t>
        </is>
      </c>
      <c r="G1545" s="130" t="inlineStr">
        <is>
          <t>Лукойл</t>
        </is>
      </c>
      <c r="H1545" s="131" t="n"/>
      <c r="I1545" s="637" t="n">
        <v>72320</v>
      </c>
      <c r="J1545" s="637" t="inlineStr">
        <is>
          <t>TMN_LUK_72320</t>
        </is>
      </c>
      <c r="K1545" s="640" t="n">
        <v>1</v>
      </c>
      <c r="L1545" s="640" t="n">
        <v>0</v>
      </c>
      <c r="M1545" s="640" t="inlineStr">
        <is>
          <t>Samsung 32" вертикальный</t>
        </is>
      </c>
      <c r="N1545" s="640" t="n"/>
      <c r="O1545" s="640">
        <f>IF(AND(N1545=1,L1545=1),K1545,"")</f>
        <v/>
      </c>
      <c r="P1545" s="642" t="inlineStr">
        <is>
          <t>Тюмень, 20 км Ялуторовского тракта</t>
        </is>
      </c>
      <c r="Q1545" s="640" t="n">
        <v>57.020149</v>
      </c>
      <c r="R1545" s="422" t="n">
        <v>65.753151</v>
      </c>
      <c r="S1545" s="387" t="n"/>
      <c r="T1545" s="387" t="n"/>
      <c r="U1545" s="387" t="n"/>
      <c r="V1545" s="387" t="n"/>
      <c r="W1545" s="387" t="n"/>
      <c r="X1545" s="1" t="n"/>
      <c r="Y1545" s="1" t="n"/>
    </row>
    <row r="1546" hidden="1" ht="16.05" customFormat="1" customHeight="1" s="126">
      <c r="A1546" s="125" t="n">
        <v>2047</v>
      </c>
      <c r="B1546" s="125" t="n"/>
      <c r="C1546" s="130" t="inlineStr">
        <is>
          <t>Тюмень</t>
        </is>
      </c>
      <c r="D1546" s="130" t="inlineStr">
        <is>
          <t>Тюмень</t>
        </is>
      </c>
      <c r="E1546" s="130" t="n"/>
      <c r="F1546" s="130" t="inlineStr">
        <is>
          <t>АЗС</t>
        </is>
      </c>
      <c r="G1546" s="130" t="inlineStr">
        <is>
          <t>Лукойл</t>
        </is>
      </c>
      <c r="H1546" s="131" t="n"/>
      <c r="I1546" s="637" t="n">
        <v>72326</v>
      </c>
      <c r="J1546" s="637" t="inlineStr">
        <is>
          <t>TMN_LUK_72326</t>
        </is>
      </c>
      <c r="K1546" s="640" t="n">
        <v>1</v>
      </c>
      <c r="L1546" s="640" t="n">
        <v>0</v>
      </c>
      <c r="M1546" s="640" t="inlineStr">
        <is>
          <t>Samsung 32" вертикальный</t>
        </is>
      </c>
      <c r="N1546" s="640" t="n"/>
      <c r="O1546" s="640">
        <f>IF(AND(N1546=1,L1546=1),K1546,"")</f>
        <v/>
      </c>
      <c r="P1546" s="642" t="inlineStr">
        <is>
          <t>Тюмень, ул. Ямская, 159, строение 1</t>
        </is>
      </c>
      <c r="Q1546" s="640" t="n">
        <v>57.162796</v>
      </c>
      <c r="R1546" s="422" t="n">
        <v>65.41064799999999</v>
      </c>
      <c r="S1546" s="387" t="n"/>
      <c r="T1546" s="387" t="n"/>
      <c r="U1546" s="387" t="n"/>
      <c r="V1546" s="387" t="n"/>
      <c r="W1546" s="387" t="n"/>
      <c r="X1546" s="1" t="n"/>
      <c r="Y1546" s="1" t="n"/>
    </row>
    <row r="1547" hidden="1" ht="16.05" customFormat="1" customHeight="1" s="126">
      <c r="A1547" s="125" t="n">
        <v>2048</v>
      </c>
      <c r="B1547" s="125" t="n"/>
      <c r="C1547" s="130" t="inlineStr">
        <is>
          <t>Астрахань</t>
        </is>
      </c>
      <c r="D1547" s="130" t="inlineStr">
        <is>
          <t>Астрахань</t>
        </is>
      </c>
      <c r="E1547" s="130" t="n"/>
      <c r="F1547" s="130" t="inlineStr">
        <is>
          <t>АЗС</t>
        </is>
      </c>
      <c r="G1547" s="130" t="inlineStr">
        <is>
          <t>Лукойл</t>
        </is>
      </c>
      <c r="H1547" s="131" t="n"/>
      <c r="I1547" s="637" t="inlineStr">
        <is>
          <t>30655 (305)</t>
        </is>
      </c>
      <c r="J1547" s="637" t="inlineStr">
        <is>
          <t>AST_LUK_30655</t>
        </is>
      </c>
      <c r="K1547" s="640" t="n">
        <v>1</v>
      </c>
      <c r="L1547" s="640" t="n">
        <v>0</v>
      </c>
      <c r="M1547" s="640" t="inlineStr">
        <is>
          <t>Samsung 32" вертикальный</t>
        </is>
      </c>
      <c r="N1547" s="640" t="n"/>
      <c r="O1547" s="640">
        <f>IF(AND(N1547=1,L1547=1),K1547,"")</f>
        <v/>
      </c>
      <c r="P1547" s="642" t="inlineStr">
        <is>
          <t>г. Астрахань, ул. Магистральная, д.2а</t>
        </is>
      </c>
      <c r="Q1547" s="640" t="inlineStr">
        <is>
          <t>46.390342</t>
        </is>
      </c>
      <c r="R1547" s="422" t="inlineStr">
        <is>
          <t>47.999862</t>
        </is>
      </c>
      <c r="S1547" s="387" t="n"/>
      <c r="T1547" s="387" t="n"/>
      <c r="U1547" s="387" t="n"/>
      <c r="V1547" s="387" t="n"/>
      <c r="W1547" s="387" t="n"/>
      <c r="X1547" s="1" t="n"/>
      <c r="Y1547" s="1" t="n"/>
    </row>
    <row r="1548" hidden="1" ht="16.05" customFormat="1" customHeight="1" s="126">
      <c r="A1548" s="125" t="n">
        <v>2049</v>
      </c>
      <c r="B1548" s="125" t="inlineStr">
        <is>
          <t>WF</t>
        </is>
      </c>
      <c r="C1548" s="130" t="inlineStr">
        <is>
          <t>Москва</t>
        </is>
      </c>
      <c r="D1548" s="130" t="inlineStr">
        <is>
          <t>Москва</t>
        </is>
      </c>
      <c r="E1548" s="130" t="inlineStr">
        <is>
          <t>САО</t>
        </is>
      </c>
      <c r="F1548" s="130" t="inlineStr">
        <is>
          <t>АЗС</t>
        </is>
      </c>
      <c r="G1548" s="130" t="inlineStr">
        <is>
          <t>Лукойл</t>
        </is>
      </c>
      <c r="H1548" s="131" t="n"/>
      <c r="I1548" s="637" t="n">
        <v>77569</v>
      </c>
      <c r="J1548" s="637" t="inlineStr">
        <is>
          <t>MSK_LUK_0569</t>
        </is>
      </c>
      <c r="K1548" s="640" t="n">
        <v>1</v>
      </c>
      <c r="L1548" s="640" t="n">
        <v>0</v>
      </c>
      <c r="M1548" s="640" t="inlineStr">
        <is>
          <t>Sam 32</t>
        </is>
      </c>
      <c r="N1548" s="640" t="n"/>
      <c r="O1548" s="640">
        <f>IF(AND(N1548=1,L1548=1),K1548,"")</f>
        <v/>
      </c>
      <c r="P1548" s="642" t="inlineStr">
        <is>
          <t>г. Москва, Правобережная улица, вл. 1-А</t>
        </is>
      </c>
      <c r="Q1548" s="640" t="n">
        <v>55.88062</v>
      </c>
      <c r="R1548" s="422" t="n">
        <v>37.44764</v>
      </c>
      <c r="S1548" s="438" t="n"/>
      <c r="T1548" s="387" t="n"/>
      <c r="U1548" s="387" t="n"/>
      <c r="V1548" s="387" t="n"/>
      <c r="W1548" s="387" t="n"/>
      <c r="X1548" s="1" t="n"/>
      <c r="Y1548" s="1" t="n"/>
    </row>
    <row r="1549" hidden="1" ht="16.05" customFormat="1" customHeight="1" s="126">
      <c r="A1549" s="125" t="n">
        <v>2050</v>
      </c>
      <c r="B1549" s="125" t="inlineStr">
        <is>
          <t>WF</t>
        </is>
      </c>
      <c r="C1549" s="130" t="inlineStr">
        <is>
          <t>Москва</t>
        </is>
      </c>
      <c r="D1549" s="130" t="inlineStr">
        <is>
          <t>Москва</t>
        </is>
      </c>
      <c r="E1549" s="130" t="inlineStr">
        <is>
          <t>ЗАО</t>
        </is>
      </c>
      <c r="F1549" s="130" t="inlineStr">
        <is>
          <t>АЗС</t>
        </is>
      </c>
      <c r="G1549" s="130" t="inlineStr">
        <is>
          <t>Лукойл</t>
        </is>
      </c>
      <c r="H1549" s="131" t="n"/>
      <c r="I1549" s="637" t="n">
        <v>77580</v>
      </c>
      <c r="J1549" s="637" t="inlineStr">
        <is>
          <t>MSK_LUK_0580</t>
        </is>
      </c>
      <c r="K1549" s="640" t="n">
        <v>2</v>
      </c>
      <c r="L1549" s="640" t="n">
        <v>0</v>
      </c>
      <c r="M1549" s="640" t="inlineStr">
        <is>
          <t>1 октября</t>
        </is>
      </c>
      <c r="N1549" s="640" t="n"/>
      <c r="O1549" s="640">
        <f>IF(AND(N1549=1,L1549=1),K1549,"")</f>
        <v/>
      </c>
      <c r="P1549" s="642" t="inlineStr">
        <is>
          <t>г. Москва, Озерная улица, дом 47Б</t>
        </is>
      </c>
      <c r="Q1549" s="640" t="n">
        <v>55.6632</v>
      </c>
      <c r="R1549" s="422" t="n">
        <v>37.43719</v>
      </c>
      <c r="S1549" s="438" t="n"/>
      <c r="T1549" s="387" t="n"/>
      <c r="U1549" s="387" t="n"/>
      <c r="V1549" s="387" t="n"/>
      <c r="W1549" s="387" t="n"/>
      <c r="X1549" s="1" t="n"/>
      <c r="Y1549" s="1" t="n"/>
    </row>
    <row r="1550" hidden="1" ht="16.05" customFormat="1" customHeight="1" s="126">
      <c r="A1550" s="791" t="n">
        <v>2063</v>
      </c>
      <c r="B1550" s="13" t="n"/>
      <c r="C1550" s="130" t="inlineStr">
        <is>
          <t>Санкт-Петербург</t>
        </is>
      </c>
      <c r="D1550" s="130" t="inlineStr">
        <is>
          <t>Санкт-Петербург</t>
        </is>
      </c>
      <c r="E1550" s="130" t="n"/>
      <c r="F1550" s="130" t="inlineStr">
        <is>
          <t>АЗС</t>
        </is>
      </c>
      <c r="G1550" s="130" t="inlineStr">
        <is>
          <t>Neste</t>
        </is>
      </c>
      <c r="H1550" s="131" t="inlineStr">
        <is>
          <t>АЗС № 29</t>
        </is>
      </c>
      <c r="I1550" s="637" t="n">
        <v>29</v>
      </c>
      <c r="J1550" s="637" t="inlineStr">
        <is>
          <t>SPB_Neste_029</t>
        </is>
      </c>
      <c r="K1550" s="640" t="n">
        <v>1</v>
      </c>
      <c r="L1550" s="640" t="n">
        <v>0</v>
      </c>
      <c r="M1550" s="623" t="inlineStr">
        <is>
          <t>Экран 55" вертикальный</t>
        </is>
      </c>
      <c r="N1550" s="640" t="n"/>
      <c r="O1550" s="640">
        <f>IF(AND(N1550=1,L1550=1),K1550,"")</f>
        <v/>
      </c>
      <c r="P1550" s="642" t="inlineStr">
        <is>
          <t>Санкт-Петербург, Малый проспект ВО, 68А</t>
        </is>
      </c>
      <c r="Q1550" s="640" t="inlineStr">
        <is>
          <t>59.93873</t>
        </is>
      </c>
      <c r="R1550" s="494" t="inlineStr">
        <is>
          <t>30.246491</t>
        </is>
      </c>
      <c r="S1550" s="387" t="n"/>
      <c r="T1550" s="436" t="n"/>
      <c r="U1550" s="436" t="n">
        <v>1</v>
      </c>
      <c r="V1550" s="438">
        <f>IF(AND(N1550=1,U1550=1),C1550,"")</f>
        <v/>
      </c>
      <c r="W1550" s="387" t="n"/>
      <c r="X1550" s="387" t="n"/>
      <c r="Y1550" s="387" t="n"/>
    </row>
    <row r="1551" hidden="1" ht="16.05" customFormat="1" customHeight="1" s="126">
      <c r="A1551" s="125" t="n">
        <v>2064</v>
      </c>
      <c r="B1551" s="125" t="n"/>
      <c r="C1551" s="130" t="inlineStr">
        <is>
          <t>Санкт-Петербург</t>
        </is>
      </c>
      <c r="D1551" s="130" t="inlineStr">
        <is>
          <t>Санкт-Петербург</t>
        </is>
      </c>
      <c r="E1551" s="130" t="n"/>
      <c r="F1551" s="130" t="inlineStr">
        <is>
          <t>АЗС</t>
        </is>
      </c>
      <c r="G1551" s="130" t="inlineStr">
        <is>
          <t>Татнефть</t>
        </is>
      </c>
      <c r="H1551" s="131" t="inlineStr">
        <is>
          <t>АЗС № 45</t>
        </is>
      </c>
      <c r="I1551" s="637" t="n">
        <v>45</v>
      </c>
      <c r="J1551" s="637" t="inlineStr">
        <is>
          <t>SPB_Neste_045</t>
        </is>
      </c>
      <c r="K1551" s="640" t="n">
        <v>2</v>
      </c>
      <c r="L1551" s="640" t="n">
        <v>0</v>
      </c>
      <c r="M1551" s="623" t="inlineStr">
        <is>
          <t>Экран 55" вертикальный</t>
        </is>
      </c>
      <c r="N1551" s="640" t="n"/>
      <c r="O1551" s="640">
        <f>IF(AND(N1551=1,L1551=1),K1551,"")</f>
        <v/>
      </c>
      <c r="P1551" s="642" t="inlineStr">
        <is>
          <t>Санкт-Петербург, ул. Авангардная, 36</t>
        </is>
      </c>
      <c r="Q1551" s="640" t="n">
        <v>59.826212</v>
      </c>
      <c r="R1551" s="494" t="n">
        <v>30.185684</v>
      </c>
      <c r="S1551" s="387" t="n"/>
      <c r="T1551" s="436" t="n"/>
      <c r="U1551" s="436" t="n">
        <v>1</v>
      </c>
      <c r="V1551" s="438">
        <f>IF(AND(N1551=1,U1551=1),C1551,"")</f>
        <v/>
      </c>
      <c r="W1551" s="387" t="n"/>
      <c r="X1551" s="387" t="n"/>
      <c r="Y1551" s="387" t="n"/>
    </row>
    <row r="1552" hidden="1" ht="16.05" customFormat="1" customHeight="1" s="126">
      <c r="A1552" s="125" t="n">
        <v>2058</v>
      </c>
      <c r="B1552" s="125" t="inlineStr">
        <is>
          <t>WF</t>
        </is>
      </c>
      <c r="C1552" s="130" t="inlineStr">
        <is>
          <t>Санкт-Петербург</t>
        </is>
      </c>
      <c r="D1552" s="130" t="inlineStr">
        <is>
          <t>Санкт-Петербург</t>
        </is>
      </c>
      <c r="E1552" s="130" t="n"/>
      <c r="F1552" s="130" t="inlineStr">
        <is>
          <t>Супермаркет</t>
        </is>
      </c>
      <c r="G1552" s="130" t="inlineStr">
        <is>
          <t>Азбука Вкуса</t>
        </is>
      </c>
      <c r="H1552" s="131" t="inlineStr">
        <is>
          <t>Daily</t>
        </is>
      </c>
      <c r="I1552" s="637" t="inlineStr">
        <is>
          <t>SPB_011_Daily</t>
        </is>
      </c>
      <c r="J1552" s="637" t="inlineStr">
        <is>
          <t>SPB_D_011</t>
        </is>
      </c>
      <c r="K1552" s="640" t="n">
        <v>1</v>
      </c>
      <c r="L1552" s="640" t="n">
        <v>0</v>
      </c>
      <c r="M1552" s="640" t="inlineStr">
        <is>
          <t>Samsung 40" вертикальный</t>
        </is>
      </c>
      <c r="N1552" s="640" t="n"/>
      <c r="O1552" s="640">
        <f>IF(AND(N1552=1,L1552=1),K1552,"")</f>
        <v/>
      </c>
      <c r="P1552" s="642" t="inlineStr">
        <is>
          <t>Санкт-Петербург, Марата, д. 1/71</t>
        </is>
      </c>
      <c r="Q1552" s="640" t="inlineStr">
        <is>
          <t>59.931175</t>
        </is>
      </c>
      <c r="R1552" s="422" t="inlineStr">
        <is>
          <t>30.35484</t>
        </is>
      </c>
      <c r="S1552" s="387" t="n">
        <v>24</v>
      </c>
      <c r="T1552" s="436">
        <f>IF(N1552=1,O1552*S1552,"")</f>
        <v/>
      </c>
      <c r="U1552" s="436" t="n">
        <v>1</v>
      </c>
      <c r="V1552" s="438">
        <f>IF(AND(N1552=1,U1552=1),C1552,"")</f>
        <v/>
      </c>
      <c r="W1552" s="387" t="n"/>
      <c r="X1552" s="387" t="n"/>
      <c r="Y1552" s="387" t="n"/>
    </row>
    <row r="1553" hidden="1" ht="16.05" customFormat="1" customHeight="1" s="126">
      <c r="A1553" s="125" t="n">
        <v>2065</v>
      </c>
      <c r="B1553" s="125" t="n"/>
      <c r="C1553" s="130" t="inlineStr">
        <is>
          <t>Санкт-Петербург</t>
        </is>
      </c>
      <c r="D1553" s="130" t="inlineStr">
        <is>
          <t>Санкт-Петербург</t>
        </is>
      </c>
      <c r="E1553" s="130" t="n"/>
      <c r="F1553" s="130" t="inlineStr">
        <is>
          <t>АЗС</t>
        </is>
      </c>
      <c r="G1553" s="130" t="inlineStr">
        <is>
          <t>Татнефть</t>
        </is>
      </c>
      <c r="H1553" s="131" t="inlineStr">
        <is>
          <t>АЗС № 300</t>
        </is>
      </c>
      <c r="I1553" s="637" t="n">
        <v>300</v>
      </c>
      <c r="J1553" s="637" t="inlineStr">
        <is>
          <t>SPB_Neste_300</t>
        </is>
      </c>
      <c r="K1553" s="640" t="n">
        <v>2</v>
      </c>
      <c r="L1553" s="640" t="n">
        <v>0</v>
      </c>
      <c r="M1553" s="623" t="inlineStr">
        <is>
          <t>Экран 55" вертикальный</t>
        </is>
      </c>
      <c r="N1553" s="640" t="n"/>
      <c r="O1553" s="640">
        <f>IF(AND(N1553=1,L1553=1),K1553,"")</f>
        <v/>
      </c>
      <c r="P1553" s="642" t="inlineStr">
        <is>
          <t>Санкт-Петербург, Пулковское шоссе, 38</t>
        </is>
      </c>
      <c r="Q1553" s="640" t="inlineStr">
        <is>
          <t>59.819888</t>
        </is>
      </c>
      <c r="R1553" s="494" t="inlineStr">
        <is>
          <t>30.325139</t>
        </is>
      </c>
      <c r="S1553" s="387" t="n"/>
      <c r="T1553" s="436" t="n"/>
      <c r="U1553" s="436" t="n">
        <v>1</v>
      </c>
      <c r="V1553" s="438">
        <f>IF(AND(N1553=1,U1553=1),C1553,"")</f>
        <v/>
      </c>
      <c r="W1553" s="387" t="n"/>
      <c r="X1553" s="387" t="n"/>
      <c r="Y1553" s="387" t="n"/>
    </row>
    <row r="1554" hidden="1" ht="16.05" customFormat="1" customHeight="1" s="126">
      <c r="A1554" s="125" t="n">
        <v>2060</v>
      </c>
      <c r="B1554" s="125" t="inlineStr">
        <is>
          <t>WF</t>
        </is>
      </c>
      <c r="C1554" s="130" t="inlineStr">
        <is>
          <t>Москва</t>
        </is>
      </c>
      <c r="D1554" s="130" t="inlineStr">
        <is>
          <t>Москва</t>
        </is>
      </c>
      <c r="E1554" s="130" t="n"/>
      <c r="F1554" s="130" t="inlineStr">
        <is>
          <t>АЗС</t>
        </is>
      </c>
      <c r="G1554" s="130" t="inlineStr">
        <is>
          <t>Лукойл</t>
        </is>
      </c>
      <c r="H1554" s="131" t="n"/>
      <c r="I1554" s="637" t="n">
        <v>77566</v>
      </c>
      <c r="J1554" s="637" t="inlineStr">
        <is>
          <t>MSK_LUK_0566</t>
        </is>
      </c>
      <c r="K1554" s="640" t="n">
        <v>1</v>
      </c>
      <c r="L1554" s="640" t="n">
        <v>0</v>
      </c>
      <c r="M1554" s="640" t="inlineStr">
        <is>
          <t>1 октября</t>
        </is>
      </c>
      <c r="N1554" s="640" t="n"/>
      <c r="O1554" s="640">
        <f>IF(AND(N1554=1,L1554=1),K1554,"")</f>
        <v/>
      </c>
      <c r="P1554" s="642" t="inlineStr">
        <is>
          <t>г. Москва, МКАД, 109 км, вл. 14</t>
        </is>
      </c>
      <c r="Q1554" s="640" t="n">
        <v>55.78012</v>
      </c>
      <c r="R1554" s="422" t="n">
        <v>37.84141</v>
      </c>
      <c r="S1554" s="438" t="n"/>
      <c r="T1554" s="436" t="n"/>
      <c r="U1554" s="387" t="n"/>
      <c r="V1554" s="387" t="n"/>
      <c r="W1554" s="387" t="n"/>
      <c r="X1554" s="1" t="n"/>
      <c r="Y1554" s="1" t="n"/>
    </row>
    <row r="1555" hidden="1" ht="16.05" customFormat="1" customHeight="1" s="126">
      <c r="A1555" s="125" t="n">
        <v>2061</v>
      </c>
      <c r="B1555" s="125" t="inlineStr">
        <is>
          <t>WF</t>
        </is>
      </c>
      <c r="C1555" s="130" t="inlineStr">
        <is>
          <t>Москва</t>
        </is>
      </c>
      <c r="D1555" s="130" t="inlineStr">
        <is>
          <t>Москва</t>
        </is>
      </c>
      <c r="E1555" s="130" t="n"/>
      <c r="F1555" s="130" t="inlineStr">
        <is>
          <t>АЗС</t>
        </is>
      </c>
      <c r="G1555" s="130" t="inlineStr">
        <is>
          <t>Лукойл</t>
        </is>
      </c>
      <c r="H1555" s="131" t="n"/>
      <c r="I1555" s="637" t="n">
        <v>77605</v>
      </c>
      <c r="J1555" s="637" t="inlineStr">
        <is>
          <t>MSK_LUK_0605</t>
        </is>
      </c>
      <c r="K1555" s="640" t="n">
        <v>1</v>
      </c>
      <c r="L1555" s="640" t="n">
        <v>0</v>
      </c>
      <c r="M1555" s="640" t="inlineStr">
        <is>
          <t>1 октября</t>
        </is>
      </c>
      <c r="N1555" s="640" t="n"/>
      <c r="O1555" s="640">
        <f>IF(AND(N1555=1,L1555=1),K1555,"")</f>
        <v/>
      </c>
      <c r="P1555" s="642" t="inlineStr">
        <is>
          <t>г. Москва, ш. Каширское, д. 67А</t>
        </is>
      </c>
      <c r="Q1555" s="640" t="n">
        <v>55.59689</v>
      </c>
      <c r="R1555" s="422" t="n">
        <v>37.72591</v>
      </c>
      <c r="S1555" s="438" t="n"/>
      <c r="T1555" s="436" t="n"/>
      <c r="U1555" s="387" t="n"/>
      <c r="V1555" s="387" t="n"/>
      <c r="W1555" s="387" t="n"/>
      <c r="X1555" s="1" t="n"/>
      <c r="Y1555" s="1" t="n"/>
    </row>
    <row r="1556" hidden="1" ht="16.05" customFormat="1" customHeight="1" s="126">
      <c r="A1556" s="128" t="n">
        <v>2062</v>
      </c>
      <c r="B1556" s="125" t="inlineStr">
        <is>
          <t>WF</t>
        </is>
      </c>
      <c r="C1556" s="130" t="inlineStr">
        <is>
          <t>Москва</t>
        </is>
      </c>
      <c r="D1556" s="130" t="inlineStr">
        <is>
          <t>Москва</t>
        </is>
      </c>
      <c r="E1556" s="130" t="n"/>
      <c r="F1556" s="130" t="inlineStr">
        <is>
          <t>АЗС</t>
        </is>
      </c>
      <c r="G1556" s="130" t="inlineStr">
        <is>
          <t>Лукойл</t>
        </is>
      </c>
      <c r="H1556" s="131" t="n"/>
      <c r="I1556" s="637" t="n">
        <v>77577</v>
      </c>
      <c r="J1556" s="637" t="inlineStr">
        <is>
          <t>MSK_LUK_0577</t>
        </is>
      </c>
      <c r="K1556" s="640" t="n">
        <v>1</v>
      </c>
      <c r="L1556" s="640" t="n">
        <v>0</v>
      </c>
      <c r="M1556" s="640" t="inlineStr">
        <is>
          <t>1 октября</t>
        </is>
      </c>
      <c r="N1556" s="640" t="n"/>
      <c r="O1556" s="640">
        <f>IF(AND(N1556=1,L1556=1),K1556,"")</f>
        <v/>
      </c>
      <c r="P1556" s="642" t="inlineStr">
        <is>
          <t>г. Москва, бульв. Красногвардейский, вл. 1А, соор. 1</t>
        </is>
      </c>
      <c r="Q1556" s="640" t="n">
        <v>55.75768</v>
      </c>
      <c r="R1556" s="422" t="n">
        <v>37.54389</v>
      </c>
      <c r="S1556" s="438" t="n"/>
      <c r="T1556" s="436" t="n"/>
      <c r="U1556" s="387" t="n"/>
      <c r="V1556" s="387" t="n"/>
      <c r="W1556" s="387" t="n"/>
      <c r="X1556" s="1" t="n"/>
      <c r="Y1556" s="1" t="n"/>
    </row>
    <row r="1557" hidden="1" ht="16.05" customHeight="1">
      <c r="A1557" s="791" t="n">
        <v>2066</v>
      </c>
      <c r="B1557" s="13" t="n"/>
      <c r="C1557" s="130" t="inlineStr">
        <is>
          <t>Санкт-Петербург</t>
        </is>
      </c>
      <c r="D1557" s="130" t="inlineStr">
        <is>
          <t>Санкт-Петербург</t>
        </is>
      </c>
      <c r="E1557" s="130" t="n"/>
      <c r="F1557" s="130" t="inlineStr">
        <is>
          <t>АЗС</t>
        </is>
      </c>
      <c r="G1557" s="130" t="inlineStr">
        <is>
          <t>Neste</t>
        </is>
      </c>
      <c r="H1557" s="131" t="inlineStr">
        <is>
          <t>АЗС № 301</t>
        </is>
      </c>
      <c r="I1557" s="637" t="n">
        <v>301</v>
      </c>
      <c r="J1557" s="637" t="inlineStr">
        <is>
          <t>SPB_Neste_301</t>
        </is>
      </c>
      <c r="K1557" s="640" t="n">
        <v>1</v>
      </c>
      <c r="L1557" s="640" t="n">
        <v>0</v>
      </c>
      <c r="M1557" s="623" t="inlineStr">
        <is>
          <t>Экран 55" вертикальный</t>
        </is>
      </c>
      <c r="N1557" s="640" t="n"/>
      <c r="O1557" s="640">
        <f>IF(AND(N1557=1,L1557=1),K1557,"")</f>
        <v/>
      </c>
      <c r="P1557" s="642" t="inlineStr">
        <is>
          <t>Санкт-Петербург, ул. Школьная, 77</t>
        </is>
      </c>
      <c r="Q1557" s="640" t="inlineStr">
        <is>
          <t>59.992812</t>
        </is>
      </c>
      <c r="R1557" s="494" t="inlineStr">
        <is>
          <t>30.2079</t>
        </is>
      </c>
      <c r="T1557" s="436" t="n"/>
      <c r="Z1557" s="1" t="n"/>
    </row>
    <row r="1558" hidden="1" ht="16.05" customFormat="1" customHeight="1" s="126">
      <c r="A1558" s="125" t="n">
        <v>2067</v>
      </c>
      <c r="B1558" s="125" t="n"/>
      <c r="C1558" s="130" t="inlineStr">
        <is>
          <t>Санкт-Петербург</t>
        </is>
      </c>
      <c r="D1558" s="130" t="inlineStr">
        <is>
          <t>Санкт-Петербург</t>
        </is>
      </c>
      <c r="E1558" s="130" t="n"/>
      <c r="F1558" s="130" t="inlineStr">
        <is>
          <t>АЗС</t>
        </is>
      </c>
      <c r="G1558" s="130" t="inlineStr">
        <is>
          <t>Neste</t>
        </is>
      </c>
      <c r="H1558" s="131" t="inlineStr">
        <is>
          <t>АЗС № 302</t>
        </is>
      </c>
      <c r="I1558" s="637" t="n">
        <v>302</v>
      </c>
      <c r="J1558" s="637" t="inlineStr">
        <is>
          <t>SPB_Neste_302</t>
        </is>
      </c>
      <c r="K1558" s="640" t="n">
        <v>2</v>
      </c>
      <c r="L1558" s="640" t="n">
        <v>0</v>
      </c>
      <c r="M1558" s="623" t="inlineStr">
        <is>
          <t>Экран 55" вертикальный</t>
        </is>
      </c>
      <c r="N1558" s="640" t="n"/>
      <c r="O1558" s="640">
        <f>IF(AND(N1558=1,L1558=1),K1558,"")</f>
        <v/>
      </c>
      <c r="P1558" s="642" t="inlineStr">
        <is>
          <t>Санкт-Петербург, Выборгское шоссе, 21*</t>
        </is>
      </c>
      <c r="Q1558" s="640" t="inlineStr">
        <is>
          <t>60.05777</t>
        </is>
      </c>
      <c r="R1558" s="494" t="inlineStr">
        <is>
          <t>30.308304</t>
        </is>
      </c>
      <c r="S1558" s="387" t="n"/>
      <c r="T1558" s="436" t="n"/>
      <c r="U1558" s="387" t="n"/>
      <c r="V1558" s="387" t="n"/>
      <c r="W1558" s="387" t="n"/>
      <c r="X1558" s="387" t="n"/>
      <c r="Y1558" s="387" t="n"/>
    </row>
    <row r="1559" hidden="1" ht="16.05" customFormat="1" customHeight="1" s="126">
      <c r="A1559" s="128" t="n">
        <v>2068</v>
      </c>
      <c r="B1559" s="128" t="n"/>
      <c r="C1559" s="130" t="inlineStr">
        <is>
          <t>Санкт-Петербург</t>
        </is>
      </c>
      <c r="D1559" s="130" t="inlineStr">
        <is>
          <t>Санкт-Петербург</t>
        </is>
      </c>
      <c r="E1559" s="130" t="n"/>
      <c r="F1559" s="130" t="inlineStr">
        <is>
          <t>АЗС</t>
        </is>
      </c>
      <c r="G1559" s="130" t="inlineStr">
        <is>
          <t>Татнефть</t>
        </is>
      </c>
      <c r="H1559" s="131" t="inlineStr">
        <is>
          <t>АЗС № 303</t>
        </is>
      </c>
      <c r="I1559" s="637" t="n">
        <v>303</v>
      </c>
      <c r="J1559" s="637" t="inlineStr">
        <is>
          <t>SPB_Neste_303</t>
        </is>
      </c>
      <c r="K1559" s="640" t="n">
        <v>2</v>
      </c>
      <c r="L1559" s="640" t="n">
        <v>0</v>
      </c>
      <c r="M1559" s="623" t="inlineStr">
        <is>
          <t>Экран 55" вертикальный</t>
        </is>
      </c>
      <c r="N1559" s="640" t="n"/>
      <c r="O1559" s="640">
        <f>IF(AND(N1559=1,L1559=1),K1559,"")</f>
        <v/>
      </c>
      <c r="P1559" s="642" t="inlineStr">
        <is>
          <t>Санкт-Петербург, Октябрьская наб., 12а</t>
        </is>
      </c>
      <c r="Q1559" s="640" t="inlineStr">
        <is>
          <t>59.911669</t>
        </is>
      </c>
      <c r="R1559" s="494" t="inlineStr">
        <is>
          <t>30.423343</t>
        </is>
      </c>
      <c r="S1559" s="387" t="n"/>
      <c r="T1559" s="436" t="n"/>
      <c r="U1559" s="387" t="n"/>
      <c r="V1559" s="387" t="n"/>
      <c r="W1559" s="387" t="n"/>
      <c r="X1559" s="387" t="n"/>
      <c r="Y1559" s="387" t="n"/>
    </row>
    <row r="1560" hidden="1" ht="16.05" customHeight="1">
      <c r="A1560" s="125" t="n">
        <v>2069</v>
      </c>
      <c r="B1560" s="125" t="n"/>
      <c r="C1560" s="130" t="inlineStr">
        <is>
          <t>Санкт-Петербург</t>
        </is>
      </c>
      <c r="D1560" s="130" t="inlineStr">
        <is>
          <t>Санкт-Петербург</t>
        </is>
      </c>
      <c r="E1560" s="130" t="n"/>
      <c r="F1560" s="130" t="inlineStr">
        <is>
          <t>АЗС</t>
        </is>
      </c>
      <c r="G1560" s="130" t="inlineStr">
        <is>
          <t>Neste</t>
        </is>
      </c>
      <c r="H1560" s="131" t="inlineStr">
        <is>
          <t>АЗС № 304</t>
        </is>
      </c>
      <c r="I1560" s="637" t="n">
        <v>304</v>
      </c>
      <c r="J1560" s="637" t="inlineStr">
        <is>
          <t>SPB_Neste_304</t>
        </is>
      </c>
      <c r="K1560" s="640" t="n">
        <v>3</v>
      </c>
      <c r="L1560" s="640" t="n">
        <v>0</v>
      </c>
      <c r="M1560" s="623" t="inlineStr">
        <is>
          <t>Экран 32" горизонтальный</t>
        </is>
      </c>
      <c r="N1560" s="640" t="n"/>
      <c r="O1560" s="640">
        <f>IF(AND(N1560=1,L1560=1),K1560,"")</f>
        <v/>
      </c>
      <c r="P1560" s="642" t="inlineStr">
        <is>
          <t>Санкт-Петербург, ул. Краснопутиловская, 95а</t>
        </is>
      </c>
      <c r="Q1560" s="640" t="inlineStr">
        <is>
          <t>59.851268</t>
        </is>
      </c>
      <c r="R1560" s="494" t="inlineStr">
        <is>
          <t>30.304702</t>
        </is>
      </c>
      <c r="T1560" s="436" t="n"/>
      <c r="Z1560" s="1" t="n"/>
    </row>
    <row r="1561" hidden="1" ht="16.05" customFormat="1" customHeight="1" s="126">
      <c r="A1561" s="125" t="n">
        <v>2070</v>
      </c>
      <c r="B1561" s="125" t="n"/>
      <c r="C1561" s="130" t="inlineStr">
        <is>
          <t>Санкт-Петербург</t>
        </is>
      </c>
      <c r="D1561" s="130" t="inlineStr">
        <is>
          <t>Санкт-Петербург</t>
        </is>
      </c>
      <c r="E1561" s="130" t="n"/>
      <c r="F1561" s="130" t="inlineStr">
        <is>
          <t>АЗС</t>
        </is>
      </c>
      <c r="G1561" s="130" t="inlineStr">
        <is>
          <t>Татнефть</t>
        </is>
      </c>
      <c r="H1561" s="131" t="inlineStr">
        <is>
          <t>АЗС № 305</t>
        </is>
      </c>
      <c r="I1561" s="637" t="n">
        <v>305</v>
      </c>
      <c r="J1561" s="637" t="inlineStr">
        <is>
          <t>SPB_Neste_305</t>
        </is>
      </c>
      <c r="K1561" s="640" t="n">
        <v>2</v>
      </c>
      <c r="L1561" s="640" t="n">
        <v>0</v>
      </c>
      <c r="M1561" s="623" t="inlineStr">
        <is>
          <t>Экран 55" вертикальный</t>
        </is>
      </c>
      <c r="N1561" s="640" t="n"/>
      <c r="O1561" s="640">
        <f>IF(AND(N1561=1,L1561=1),K1561,"")</f>
        <v/>
      </c>
      <c r="P1561" s="642" t="inlineStr">
        <is>
          <t>Санкт-Петербург, Дунайский пр., 19</t>
        </is>
      </c>
      <c r="Q1561" s="640" t="inlineStr">
        <is>
          <t>59.830495</t>
        </is>
      </c>
      <c r="R1561" s="494" t="inlineStr">
        <is>
          <t>30.347507</t>
        </is>
      </c>
      <c r="S1561" s="387" t="n"/>
      <c r="T1561" s="436" t="n"/>
      <c r="U1561" s="387" t="n"/>
      <c r="V1561" s="387" t="n"/>
      <c r="W1561" s="387" t="n"/>
      <c r="X1561" s="387" t="n"/>
      <c r="Y1561" s="387" t="n"/>
    </row>
    <row r="1562" hidden="1" ht="16.05" customFormat="1" customHeight="1" s="126">
      <c r="A1562" s="24" t="n">
        <v>2071</v>
      </c>
      <c r="B1562" s="23" t="n"/>
      <c r="C1562" s="130" t="inlineStr">
        <is>
          <t>Санкт-Петербург</t>
        </is>
      </c>
      <c r="D1562" s="130" t="inlineStr">
        <is>
          <t>Санкт-Петербург</t>
        </is>
      </c>
      <c r="E1562" s="130" t="n"/>
      <c r="F1562" s="130" t="inlineStr">
        <is>
          <t>АЗС</t>
        </is>
      </c>
      <c r="G1562" s="130" t="inlineStr">
        <is>
          <t>Neste</t>
        </is>
      </c>
      <c r="H1562" s="131" t="inlineStr">
        <is>
          <t>АЗС № 306</t>
        </is>
      </c>
      <c r="I1562" s="637" t="n">
        <v>306</v>
      </c>
      <c r="J1562" s="637" t="inlineStr">
        <is>
          <t>SPB_Neste_306</t>
        </is>
      </c>
      <c r="K1562" s="640" t="n">
        <v>1</v>
      </c>
      <c r="L1562" s="640" t="n">
        <v>0</v>
      </c>
      <c r="M1562" s="623" t="inlineStr">
        <is>
          <t>Экран 55" вертикальный</t>
        </is>
      </c>
      <c r="N1562" s="640" t="n"/>
      <c r="O1562" s="640">
        <f>IF(AND(N1562=1,L1562=1),K1562,"")</f>
        <v/>
      </c>
      <c r="P1562" s="642" t="inlineStr">
        <is>
          <t>Санкт-Петербург, Северный пр., 32</t>
        </is>
      </c>
      <c r="Q1562" s="640" t="inlineStr">
        <is>
          <t>60.032731</t>
        </is>
      </c>
      <c r="R1562" s="494" t="inlineStr">
        <is>
          <t>30.362832</t>
        </is>
      </c>
      <c r="S1562" s="387" t="n"/>
      <c r="T1562" s="436" t="n"/>
      <c r="U1562" s="387" t="n"/>
      <c r="V1562" s="387" t="n"/>
      <c r="W1562" s="387" t="n"/>
      <c r="X1562" s="387" t="n"/>
      <c r="Y1562" s="387" t="n"/>
    </row>
    <row r="1563" hidden="1" ht="16.05" customFormat="1" customHeight="1" s="126">
      <c r="A1563" s="125" t="n">
        <v>2072</v>
      </c>
      <c r="B1563" s="125" t="n"/>
      <c r="C1563" s="130" t="inlineStr">
        <is>
          <t>Санкт-Петербург</t>
        </is>
      </c>
      <c r="D1563" s="130" t="inlineStr">
        <is>
          <t>Санкт-Петербург</t>
        </is>
      </c>
      <c r="E1563" s="130" t="n"/>
      <c r="F1563" s="130" t="inlineStr">
        <is>
          <t>АЗС</t>
        </is>
      </c>
      <c r="G1563" s="130" t="inlineStr">
        <is>
          <t>Neste</t>
        </is>
      </c>
      <c r="H1563" s="131" t="inlineStr">
        <is>
          <t>АЗС № 307</t>
        </is>
      </c>
      <c r="I1563" s="637" t="n">
        <v>307</v>
      </c>
      <c r="J1563" s="637" t="inlineStr">
        <is>
          <t>SPB_Neste_307</t>
        </is>
      </c>
      <c r="K1563" s="640" t="n">
        <v>3</v>
      </c>
      <c r="L1563" s="640" t="n">
        <v>0</v>
      </c>
      <c r="M1563" s="623" t="inlineStr">
        <is>
          <t>Экран 32" горизонтальный</t>
        </is>
      </c>
      <c r="N1563" s="640" t="n"/>
      <c r="O1563" s="640">
        <f>IF(AND(N1563=1,L1563=1),K1563,"")</f>
        <v/>
      </c>
      <c r="P1563" s="642" t="inlineStr">
        <is>
          <t>Санкт-Петербург, Российский пр., 2</t>
        </is>
      </c>
      <c r="Q1563" s="640" t="inlineStr">
        <is>
          <t>59.920636</t>
        </is>
      </c>
      <c r="R1563" s="494" t="inlineStr">
        <is>
          <t>30.46975</t>
        </is>
      </c>
      <c r="S1563" s="387" t="n"/>
      <c r="T1563" s="436" t="n"/>
      <c r="U1563" s="387" t="n"/>
      <c r="V1563" s="387" t="n"/>
      <c r="W1563" s="387" t="n"/>
      <c r="X1563" s="387" t="n"/>
      <c r="Y1563" s="387" t="n"/>
    </row>
    <row r="1564" hidden="1" ht="16.05" customFormat="1" customHeight="1" s="126">
      <c r="A1564" s="125" t="n">
        <v>2073</v>
      </c>
      <c r="B1564" s="125" t="n"/>
      <c r="C1564" s="130" t="inlineStr">
        <is>
          <t>Санкт-Петербург</t>
        </is>
      </c>
      <c r="D1564" s="130" t="inlineStr">
        <is>
          <t>Санкт-Петербург</t>
        </is>
      </c>
      <c r="E1564" s="130" t="n"/>
      <c r="F1564" s="130" t="inlineStr">
        <is>
          <t>АЗС</t>
        </is>
      </c>
      <c r="G1564" s="130" t="inlineStr">
        <is>
          <t>Neste</t>
        </is>
      </c>
      <c r="H1564" s="131" t="inlineStr">
        <is>
          <t>АЗС № 308</t>
        </is>
      </c>
      <c r="I1564" s="637" t="n">
        <v>308</v>
      </c>
      <c r="J1564" s="637" t="inlineStr">
        <is>
          <t>SPB_Neste_308</t>
        </is>
      </c>
      <c r="K1564" s="640" t="n">
        <v>2</v>
      </c>
      <c r="L1564" s="640" t="n">
        <v>0</v>
      </c>
      <c r="M1564" s="623" t="inlineStr">
        <is>
          <t>Экран 32" горизонтальный</t>
        </is>
      </c>
      <c r="N1564" s="640" t="n"/>
      <c r="O1564" s="640">
        <f>IF(AND(N1564=1,L1564=1),K1564,"")</f>
        <v/>
      </c>
      <c r="P1564" s="642" t="inlineStr">
        <is>
          <t>Санкт-Петербург, ул. Софийская, 18а</t>
        </is>
      </c>
      <c r="Q1564" s="640" t="inlineStr">
        <is>
          <t>59.878971</t>
        </is>
      </c>
      <c r="R1564" s="494" t="inlineStr">
        <is>
          <t>30.397764</t>
        </is>
      </c>
      <c r="S1564" s="387" t="n"/>
      <c r="T1564" s="436" t="n"/>
      <c r="U1564" s="387" t="n"/>
      <c r="V1564" s="387" t="n"/>
      <c r="W1564" s="387" t="n"/>
      <c r="X1564" s="387" t="n"/>
      <c r="Y1564" s="387" t="n"/>
    </row>
    <row r="1565" hidden="1" ht="16.05" customHeight="1">
      <c r="A1565" s="626" t="n">
        <v>2074</v>
      </c>
      <c r="B1565" s="626" t="n"/>
      <c r="C1565" s="130" t="inlineStr">
        <is>
          <t>Санкт-Петербург</t>
        </is>
      </c>
      <c r="D1565" s="130" t="inlineStr">
        <is>
          <t>Санкт-Петербург</t>
        </is>
      </c>
      <c r="E1565" s="130" t="n"/>
      <c r="F1565" s="130" t="inlineStr">
        <is>
          <t>АЗС</t>
        </is>
      </c>
      <c r="G1565" s="130" t="inlineStr">
        <is>
          <t>Neste</t>
        </is>
      </c>
      <c r="H1565" s="131" t="inlineStr">
        <is>
          <t>АЗС № 343</t>
        </is>
      </c>
      <c r="I1565" s="637" t="n">
        <v>343</v>
      </c>
      <c r="J1565" s="637" t="inlineStr">
        <is>
          <t>SPB_Neste_343</t>
        </is>
      </c>
      <c r="K1565" s="640" t="n">
        <v>1</v>
      </c>
      <c r="L1565" s="640" t="n">
        <v>0</v>
      </c>
      <c r="M1565" s="623" t="inlineStr">
        <is>
          <t>Экран 55" вертикальный</t>
        </is>
      </c>
      <c r="N1565" s="640" t="n"/>
      <c r="O1565" s="640">
        <f>IF(AND(N1565=1,L1565=1),K1565,"")</f>
        <v/>
      </c>
      <c r="P1565" s="642" t="inlineStr">
        <is>
          <t>Санкт-Петербург, Московский пр., 156а</t>
        </is>
      </c>
      <c r="Q1565" s="640" t="inlineStr">
        <is>
          <t>59.881521</t>
        </is>
      </c>
      <c r="R1565" s="494" t="inlineStr">
        <is>
          <t>30.321267</t>
        </is>
      </c>
      <c r="T1565" s="436" t="n"/>
      <c r="Z1565" s="1" t="n"/>
    </row>
    <row r="1566" hidden="1" ht="16.05" customFormat="1" customHeight="1" s="126">
      <c r="A1566" s="791" t="n">
        <v>2075</v>
      </c>
      <c r="B1566" s="13" t="n"/>
      <c r="C1566" s="130" t="inlineStr">
        <is>
          <t>Санкт-Петербург</t>
        </is>
      </c>
      <c r="D1566" s="130" t="inlineStr">
        <is>
          <t>Санкт-Петербург</t>
        </is>
      </c>
      <c r="E1566" s="130" t="n"/>
      <c r="F1566" s="130" t="inlineStr">
        <is>
          <t>АЗС</t>
        </is>
      </c>
      <c r="G1566" s="130" t="inlineStr">
        <is>
          <t>Neste</t>
        </is>
      </c>
      <c r="H1566" s="131" t="inlineStr">
        <is>
          <t>АЗС № 344</t>
        </is>
      </c>
      <c r="I1566" s="637" t="n">
        <v>344</v>
      </c>
      <c r="J1566" s="637" t="inlineStr">
        <is>
          <t>SPB_Neste_344</t>
        </is>
      </c>
      <c r="K1566" s="640" t="n">
        <v>1</v>
      </c>
      <c r="L1566" s="640" t="n">
        <v>0</v>
      </c>
      <c r="M1566" s="623" t="inlineStr">
        <is>
          <t>Экран 55" вертикальный</t>
        </is>
      </c>
      <c r="N1566" s="640" t="n"/>
      <c r="O1566" s="640">
        <f>IF(AND(N1566=1,L1566=1),K1566,"")</f>
        <v/>
      </c>
      <c r="P1566" s="642" t="inlineStr">
        <is>
          <t>Санкт-Петербург, Малоохтинский пр., 59</t>
        </is>
      </c>
      <c r="Q1566" s="640" t="inlineStr">
        <is>
          <t>59.93062</t>
        </is>
      </c>
      <c r="R1566" s="494" t="inlineStr">
        <is>
          <t>30.400148</t>
        </is>
      </c>
      <c r="S1566" s="387" t="n"/>
      <c r="T1566" s="436" t="n"/>
      <c r="U1566" s="387" t="n"/>
      <c r="V1566" s="387" t="n"/>
      <c r="W1566" s="387" t="n"/>
      <c r="X1566" s="387" t="n"/>
      <c r="Y1566" s="387" t="n"/>
    </row>
    <row r="1567" hidden="1" ht="16.05" customFormat="1" customHeight="1" s="126">
      <c r="A1567" s="125" t="n">
        <v>2076</v>
      </c>
      <c r="B1567" s="125" t="n"/>
      <c r="C1567" s="130" t="inlineStr">
        <is>
          <t>Санкт-Петербург</t>
        </is>
      </c>
      <c r="D1567" s="130" t="inlineStr">
        <is>
          <t>Санкт-Петербург</t>
        </is>
      </c>
      <c r="E1567" s="130" t="n"/>
      <c r="F1567" s="130" t="inlineStr">
        <is>
          <t>АЗС</t>
        </is>
      </c>
      <c r="G1567" s="130" t="inlineStr">
        <is>
          <t>Татнефть</t>
        </is>
      </c>
      <c r="H1567" s="131" t="inlineStr">
        <is>
          <t>АЗС № 350</t>
        </is>
      </c>
      <c r="I1567" s="637" t="n">
        <v>350</v>
      </c>
      <c r="J1567" s="637" t="inlineStr">
        <is>
          <t>SPB_Neste_350</t>
        </is>
      </c>
      <c r="K1567" s="640" t="n">
        <v>2</v>
      </c>
      <c r="L1567" s="640" t="n">
        <v>0</v>
      </c>
      <c r="M1567" s="623" t="inlineStr">
        <is>
          <t>Экран 55" вертикальный</t>
        </is>
      </c>
      <c r="N1567" s="640" t="n"/>
      <c r="O1567" s="640">
        <f>IF(AND(N1567=1,L1567=1),K1567,"")</f>
        <v/>
      </c>
      <c r="P1567" s="642" t="inlineStr">
        <is>
          <t>Санкт-Петербург, Большевиков пр., 36</t>
        </is>
      </c>
      <c r="Q1567" s="640" t="inlineStr">
        <is>
          <t>59.892726</t>
        </is>
      </c>
      <c r="R1567" s="494" t="inlineStr">
        <is>
          <t>30.49263</t>
        </is>
      </c>
      <c r="S1567" s="387" t="n"/>
      <c r="T1567" s="436" t="n"/>
      <c r="U1567" s="387" t="n"/>
      <c r="V1567" s="387" t="n"/>
      <c r="W1567" s="387" t="n"/>
      <c r="X1567" s="387" t="n"/>
      <c r="Y1567" s="387" t="n"/>
    </row>
    <row r="1568" hidden="1" ht="16.05" customHeight="1">
      <c r="A1568" s="128" t="n">
        <v>2077</v>
      </c>
      <c r="B1568" s="128" t="n"/>
      <c r="C1568" s="130" t="inlineStr">
        <is>
          <t>Санкт-Петербург</t>
        </is>
      </c>
      <c r="D1568" s="130" t="inlineStr">
        <is>
          <t>Санкт-Петербург</t>
        </is>
      </c>
      <c r="E1568" s="130" t="n"/>
      <c r="F1568" s="130" t="inlineStr">
        <is>
          <t>АЗС</t>
        </is>
      </c>
      <c r="G1568" s="130" t="inlineStr">
        <is>
          <t>Татнефть</t>
        </is>
      </c>
      <c r="H1568" s="131" t="inlineStr">
        <is>
          <t>АЗС № 351</t>
        </is>
      </c>
      <c r="I1568" s="637" t="n">
        <v>351</v>
      </c>
      <c r="J1568" s="637" t="inlineStr">
        <is>
          <t>SPB_Neste_351</t>
        </is>
      </c>
      <c r="K1568" s="640" t="n">
        <v>2</v>
      </c>
      <c r="L1568" s="640" t="n">
        <v>0</v>
      </c>
      <c r="M1568" s="623" t="inlineStr">
        <is>
          <t>Экран 55" вертикальный</t>
        </is>
      </c>
      <c r="N1568" s="640" t="n"/>
      <c r="O1568" s="640">
        <f>IF(AND(N1568=1,L1568=1),K1568,"")</f>
        <v/>
      </c>
      <c r="P1568" s="642" t="inlineStr">
        <is>
          <t>Санкт-Петербург, Гражданский пр., 93</t>
        </is>
      </c>
      <c r="Q1568" s="640" t="inlineStr">
        <is>
          <t>60.02245</t>
        </is>
      </c>
      <c r="R1568" s="494" t="inlineStr">
        <is>
          <t>30.409158</t>
        </is>
      </c>
      <c r="T1568" s="436" t="n"/>
      <c r="Z1568" s="1" t="n"/>
    </row>
    <row r="1569" hidden="1" ht="16.05" customHeight="1">
      <c r="A1569" s="125" t="n">
        <v>2078</v>
      </c>
      <c r="B1569" s="125" t="n"/>
      <c r="C1569" s="130" t="inlineStr">
        <is>
          <t>Санкт-Петербург</t>
        </is>
      </c>
      <c r="D1569" s="130" t="inlineStr">
        <is>
          <t>Санкт-Петербург</t>
        </is>
      </c>
      <c r="E1569" s="130" t="n"/>
      <c r="F1569" s="130" t="inlineStr">
        <is>
          <t>АЗС</t>
        </is>
      </c>
      <c r="G1569" s="130" t="inlineStr">
        <is>
          <t>Neste</t>
        </is>
      </c>
      <c r="H1569" s="131" t="inlineStr">
        <is>
          <t>АЗС № 352</t>
        </is>
      </c>
      <c r="I1569" s="637" t="n">
        <v>352</v>
      </c>
      <c r="J1569" s="637" t="inlineStr">
        <is>
          <t>SPB_Neste_352</t>
        </is>
      </c>
      <c r="K1569" s="640" t="n">
        <v>3</v>
      </c>
      <c r="L1569" s="640" t="n">
        <v>0</v>
      </c>
      <c r="M1569" s="623" t="inlineStr">
        <is>
          <t>Экран 32" горизонтальный</t>
        </is>
      </c>
      <c r="N1569" s="640" t="n"/>
      <c r="O1569" s="640">
        <f>IF(AND(N1569=1,L1569=1),K1569,"")</f>
        <v/>
      </c>
      <c r="P1569" s="642" t="inlineStr">
        <is>
          <t>Санкт-Петербург, Маршала Блюхера пр., 2/7</t>
        </is>
      </c>
      <c r="Q1569" s="640" t="inlineStr">
        <is>
          <t>59.986551</t>
        </is>
      </c>
      <c r="R1569" s="494" t="inlineStr">
        <is>
          <t>30.362347</t>
        </is>
      </c>
      <c r="T1569" s="436" t="n"/>
      <c r="Z1569" s="1" t="n"/>
    </row>
    <row r="1570" hidden="1" ht="16.05" customFormat="1" customHeight="1" s="126">
      <c r="A1570" s="125" t="n">
        <v>2079</v>
      </c>
      <c r="B1570" s="125" t="n"/>
      <c r="C1570" s="130" t="inlineStr">
        <is>
          <t>Санкт-Петербург</t>
        </is>
      </c>
      <c r="D1570" s="130" t="inlineStr">
        <is>
          <t>Санкт-Петербург</t>
        </is>
      </c>
      <c r="E1570" s="130" t="n"/>
      <c r="F1570" s="130" t="inlineStr">
        <is>
          <t>АЗС</t>
        </is>
      </c>
      <c r="G1570" s="130" t="inlineStr">
        <is>
          <t>Neste</t>
        </is>
      </c>
      <c r="H1570" s="131" t="inlineStr">
        <is>
          <t>АЗС № 386</t>
        </is>
      </c>
      <c r="I1570" s="637" t="n">
        <v>386</v>
      </c>
      <c r="J1570" s="637" t="inlineStr">
        <is>
          <t>SPB_Neste_386</t>
        </is>
      </c>
      <c r="K1570" s="640" t="n">
        <v>1</v>
      </c>
      <c r="L1570" s="640" t="n">
        <v>0</v>
      </c>
      <c r="M1570" s="623" t="inlineStr">
        <is>
          <t>Экран 55" вертикальный</t>
        </is>
      </c>
      <c r="N1570" s="640" t="n"/>
      <c r="O1570" s="640">
        <f>IF(AND(N1570=1,L1570=1),K1570,"")</f>
        <v/>
      </c>
      <c r="P1570" s="642" t="inlineStr">
        <is>
          <t>Санкт-Петербург, Сизова пр., 19</t>
        </is>
      </c>
      <c r="Q1570" s="640" t="inlineStr">
        <is>
          <t>60.011154</t>
        </is>
      </c>
      <c r="R1570" s="494" t="inlineStr">
        <is>
          <t>30.276495</t>
        </is>
      </c>
      <c r="S1570" s="387" t="n"/>
      <c r="T1570" s="436" t="n"/>
      <c r="U1570" s="387" t="n"/>
      <c r="V1570" s="387" t="n"/>
      <c r="W1570" s="387" t="n"/>
      <c r="X1570" s="387" t="n"/>
      <c r="Y1570" s="387" t="n"/>
    </row>
    <row r="1571" hidden="1" ht="16.05" customFormat="1" customHeight="1" s="126">
      <c r="A1571" s="128" t="n">
        <v>2080</v>
      </c>
      <c r="B1571" s="128" t="n"/>
      <c r="C1571" s="130" t="inlineStr">
        <is>
          <t>Санкт-Петербург</t>
        </is>
      </c>
      <c r="D1571" s="130" t="inlineStr">
        <is>
          <t>Санкт-Петербург</t>
        </is>
      </c>
      <c r="E1571" s="130" t="n"/>
      <c r="F1571" s="130" t="inlineStr">
        <is>
          <t>АЗС</t>
        </is>
      </c>
      <c r="G1571" s="130" t="inlineStr">
        <is>
          <t>Neste</t>
        </is>
      </c>
      <c r="H1571" s="131" t="inlineStr">
        <is>
          <t>АЗС № 500</t>
        </is>
      </c>
      <c r="I1571" s="637" t="n">
        <v>500</v>
      </c>
      <c r="J1571" s="637" t="inlineStr">
        <is>
          <t>SPB_Neste_500</t>
        </is>
      </c>
      <c r="K1571" s="640" t="n">
        <v>3</v>
      </c>
      <c r="L1571" s="640" t="n">
        <v>0</v>
      </c>
      <c r="M1571" s="623" t="inlineStr">
        <is>
          <t>Экран 32" горизонтальный</t>
        </is>
      </c>
      <c r="N1571" s="640" t="n"/>
      <c r="O1571" s="640">
        <f>IF(AND(N1571=1,L1571=1),K1571,"")</f>
        <v/>
      </c>
      <c r="P1571" s="642" t="inlineStr">
        <is>
          <t>Выборг, Ленинградский пр., 16</t>
        </is>
      </c>
      <c r="Q1571" s="640" t="inlineStr">
        <is>
          <t>60.714099</t>
        </is>
      </c>
      <c r="R1571" s="494" t="inlineStr">
        <is>
          <t>28.748405</t>
        </is>
      </c>
      <c r="S1571" s="387" t="n"/>
      <c r="T1571" s="436" t="n"/>
      <c r="U1571" s="387" t="n"/>
      <c r="V1571" s="387" t="n"/>
      <c r="W1571" s="387" t="n"/>
      <c r="X1571" s="387" t="n"/>
      <c r="Y1571" s="387" t="n"/>
    </row>
    <row r="1572" hidden="1" ht="16.05" customFormat="1" customHeight="1" s="126">
      <c r="A1572" s="125" t="n">
        <v>2081</v>
      </c>
      <c r="B1572" s="125" t="n"/>
      <c r="C1572" s="130" t="inlineStr">
        <is>
          <t>Санкт-Петербург</t>
        </is>
      </c>
      <c r="D1572" s="130" t="inlineStr">
        <is>
          <t>Санкт-Петербург</t>
        </is>
      </c>
      <c r="E1572" s="130" t="n"/>
      <c r="F1572" s="130" t="inlineStr">
        <is>
          <t>АЗС</t>
        </is>
      </c>
      <c r="G1572" s="130" t="inlineStr">
        <is>
          <t>Татнефть</t>
        </is>
      </c>
      <c r="H1572" s="131" t="inlineStr">
        <is>
          <t>АЗС № 501</t>
        </is>
      </c>
      <c r="I1572" s="637" t="n">
        <v>501</v>
      </c>
      <c r="J1572" s="637" t="inlineStr">
        <is>
          <t>SPB_Neste_501</t>
        </is>
      </c>
      <c r="K1572" s="640" t="n">
        <v>2</v>
      </c>
      <c r="L1572" s="640" t="n">
        <v>0</v>
      </c>
      <c r="M1572" s="623" t="inlineStr">
        <is>
          <t>Экран 55" вертикальный</t>
        </is>
      </c>
      <c r="N1572" s="640" t="n"/>
      <c r="O1572" s="640">
        <f>IF(AND(N1572=1,L1572=1),K1572,"")</f>
        <v/>
      </c>
      <c r="P1572" s="642" t="inlineStr">
        <is>
          <t>Санкт-Петербург, Кондратьево</t>
        </is>
      </c>
      <c r="Q1572" s="640" t="n">
        <v>60.621179</v>
      </c>
      <c r="R1572" s="494" t="n">
        <v>28.168599</v>
      </c>
      <c r="S1572" s="387" t="n"/>
      <c r="T1572" s="436" t="n"/>
      <c r="U1572" s="387" t="n"/>
      <c r="V1572" s="387" t="n"/>
      <c r="W1572" s="387" t="n"/>
      <c r="X1572" s="387" t="n"/>
      <c r="Y1572" s="387" t="n"/>
    </row>
    <row r="1573" hidden="1" ht="16.05" customFormat="1" customHeight="1" s="126">
      <c r="A1573" s="125" t="n">
        <v>2082</v>
      </c>
      <c r="B1573" s="125" t="n"/>
      <c r="C1573" s="130" t="inlineStr">
        <is>
          <t>Санкт-Петербург</t>
        </is>
      </c>
      <c r="D1573" s="130" t="inlineStr">
        <is>
          <t>Санкт-Петербург</t>
        </is>
      </c>
      <c r="E1573" s="130" t="n"/>
      <c r="F1573" s="130" t="inlineStr">
        <is>
          <t>АЗС</t>
        </is>
      </c>
      <c r="G1573" s="130" t="inlineStr">
        <is>
          <t>Neste</t>
        </is>
      </c>
      <c r="H1573" s="131" t="inlineStr">
        <is>
          <t>АЗС № 510</t>
        </is>
      </c>
      <c r="I1573" s="637" t="n">
        <v>510</v>
      </c>
      <c r="J1573" s="637" t="inlineStr">
        <is>
          <t>SPB_Neste_510</t>
        </is>
      </c>
      <c r="K1573" s="640" t="n">
        <v>2</v>
      </c>
      <c r="L1573" s="640" t="n">
        <v>0</v>
      </c>
      <c r="M1573" s="623" t="inlineStr">
        <is>
          <t>Экран 32" горизонтальный</t>
        </is>
      </c>
      <c r="N1573" s="640" t="n"/>
      <c r="O1573" s="640">
        <f>IF(AND(N1573=1,L1573=1),K1573,"")</f>
        <v/>
      </c>
      <c r="P1573" s="642" t="inlineStr">
        <is>
          <t>Санкт-Петербург, Косыгина пр., 20</t>
        </is>
      </c>
      <c r="Q1573" s="640" t="inlineStr">
        <is>
          <t>59.945585</t>
        </is>
      </c>
      <c r="R1573" s="494" t="inlineStr">
        <is>
          <t>30.479963</t>
        </is>
      </c>
      <c r="S1573" s="387" t="n"/>
      <c r="T1573" s="436" t="n"/>
      <c r="U1573" s="387" t="n"/>
      <c r="V1573" s="387" t="n"/>
      <c r="W1573" s="387" t="n"/>
      <c r="X1573" s="387" t="n"/>
      <c r="Y1573" s="387" t="n"/>
    </row>
    <row r="1574" hidden="1" ht="16.05" customFormat="1" customHeight="1" s="126">
      <c r="A1574" s="128" t="n">
        <v>2083</v>
      </c>
      <c r="B1574" s="128" t="n"/>
      <c r="C1574" s="130" t="inlineStr">
        <is>
          <t>Санкт-Петербург</t>
        </is>
      </c>
      <c r="D1574" s="130" t="inlineStr">
        <is>
          <t>Санкт-Петербург</t>
        </is>
      </c>
      <c r="E1574" s="130" t="n"/>
      <c r="F1574" s="130" t="inlineStr">
        <is>
          <t>АЗС</t>
        </is>
      </c>
      <c r="G1574" s="130" t="inlineStr">
        <is>
          <t>Neste</t>
        </is>
      </c>
      <c r="H1574" s="131" t="inlineStr">
        <is>
          <t>АЗС № 511</t>
        </is>
      </c>
      <c r="I1574" s="637" t="n">
        <v>511</v>
      </c>
      <c r="J1574" s="637" t="inlineStr">
        <is>
          <t>SPB_Neste_511</t>
        </is>
      </c>
      <c r="K1574" s="640" t="n">
        <v>3</v>
      </c>
      <c r="L1574" s="640" t="n">
        <v>0</v>
      </c>
      <c r="M1574" s="623" t="inlineStr">
        <is>
          <t>Экран 32" горизонтальный</t>
        </is>
      </c>
      <c r="N1574" s="640" t="n"/>
      <c r="O1574" s="640">
        <f>IF(AND(N1574=1,L1574=1),K1574,"")</f>
        <v/>
      </c>
      <c r="P1574" s="642" t="inlineStr">
        <is>
          <t>Санкт-Петербург, ул. Партизана Германа, Д.4 А*</t>
        </is>
      </c>
      <c r="Q1574" s="640" t="inlineStr">
        <is>
          <t>59.842888</t>
        </is>
      </c>
      <c r="R1574" s="494" t="inlineStr">
        <is>
          <t>30.176629</t>
        </is>
      </c>
      <c r="S1574" s="387" t="n"/>
      <c r="T1574" s="436" t="n"/>
      <c r="U1574" s="387" t="n"/>
      <c r="V1574" s="387" t="n"/>
      <c r="W1574" s="387" t="n"/>
      <c r="X1574" s="387" t="n"/>
      <c r="Y1574" s="387" t="n"/>
    </row>
    <row r="1575" hidden="1" ht="16.05" customFormat="1" customHeight="1" s="126">
      <c r="A1575" s="791" t="n">
        <v>2084</v>
      </c>
      <c r="B1575" s="13" t="n"/>
      <c r="C1575" s="130" t="inlineStr">
        <is>
          <t>Санкт-Петербург</t>
        </is>
      </c>
      <c r="D1575" s="130" t="inlineStr">
        <is>
          <t>Санкт-Петербург</t>
        </is>
      </c>
      <c r="E1575" s="130" t="n"/>
      <c r="F1575" s="130" t="inlineStr">
        <is>
          <t>АЗС</t>
        </is>
      </c>
      <c r="G1575" s="130" t="inlineStr">
        <is>
          <t>Neste</t>
        </is>
      </c>
      <c r="H1575" s="131" t="inlineStr">
        <is>
          <t>АЗС № 512</t>
        </is>
      </c>
      <c r="I1575" s="637" t="n">
        <v>512</v>
      </c>
      <c r="J1575" s="637" t="inlineStr">
        <is>
          <t>SPB_Neste_512</t>
        </is>
      </c>
      <c r="K1575" s="640" t="n">
        <v>1</v>
      </c>
      <c r="L1575" s="640" t="n">
        <v>0</v>
      </c>
      <c r="M1575" s="623" t="inlineStr">
        <is>
          <t>Экран 55" вертикальный</t>
        </is>
      </c>
      <c r="N1575" s="640" t="n"/>
      <c r="O1575" s="640">
        <f>IF(AND(N1575=1,L1575=1),K1575,"")</f>
        <v/>
      </c>
      <c r="P1575" s="642" t="inlineStr">
        <is>
          <t>Сестрорецк, Приморское шоссе, 315</t>
        </is>
      </c>
      <c r="Q1575" s="640" t="inlineStr">
        <is>
          <t>60.121479</t>
        </is>
      </c>
      <c r="R1575" s="494" t="inlineStr">
        <is>
          <t>29.976458</t>
        </is>
      </c>
      <c r="S1575" s="387" t="n"/>
      <c r="T1575" s="436" t="n"/>
      <c r="U1575" s="387" t="n"/>
      <c r="V1575" s="387" t="n"/>
      <c r="W1575" s="387" t="n"/>
      <c r="X1575" s="387" t="n"/>
      <c r="Y1575" s="387" t="n"/>
    </row>
    <row r="1576" hidden="1" ht="16.05" customFormat="1" customHeight="1" s="126">
      <c r="A1576" s="125" t="n">
        <v>2085</v>
      </c>
      <c r="B1576" s="125" t="n"/>
      <c r="C1576" s="130" t="inlineStr">
        <is>
          <t>Санкт-Петербург</t>
        </is>
      </c>
      <c r="D1576" s="130" t="inlineStr">
        <is>
          <t>Кингисеппский</t>
        </is>
      </c>
      <c r="E1576" s="130" t="n"/>
      <c r="F1576" s="130" t="inlineStr">
        <is>
          <t>АЗС</t>
        </is>
      </c>
      <c r="G1576" s="130" t="inlineStr">
        <is>
          <t>Татнефть</t>
        </is>
      </c>
      <c r="H1576" s="131" t="inlineStr">
        <is>
          <t>АЗС № 514</t>
        </is>
      </c>
      <c r="I1576" s="637" t="n">
        <v>514</v>
      </c>
      <c r="J1576" s="637" t="inlineStr">
        <is>
          <t>SPB_Neste_514</t>
        </is>
      </c>
      <c r="K1576" s="640" t="n">
        <v>2</v>
      </c>
      <c r="L1576" s="640" t="n">
        <v>0</v>
      </c>
      <c r="M1576" s="623" t="inlineStr">
        <is>
          <t>Экран 55" вертикальный</t>
        </is>
      </c>
      <c r="N1576" s="640" t="n"/>
      <c r="O1576" s="640">
        <f>IF(AND(N1576=1,L1576=1),K1576,"")</f>
        <v/>
      </c>
      <c r="P1576" s="642" t="inlineStr">
        <is>
          <t>Ивангород, Кингисеппское ш. 11</t>
        </is>
      </c>
      <c r="Q1576" s="640" t="inlineStr">
        <is>
          <t>59.376087</t>
        </is>
      </c>
      <c r="R1576" s="494" t="inlineStr">
        <is>
          <t>28.224931</t>
        </is>
      </c>
      <c r="S1576" s="387" t="n"/>
      <c r="T1576" s="436" t="n"/>
      <c r="U1576" s="387" t="n"/>
      <c r="V1576" s="387" t="n"/>
      <c r="W1576" s="387" t="n"/>
      <c r="X1576" s="387" t="n"/>
      <c r="Y1576" s="387" t="n"/>
    </row>
    <row r="1577" hidden="1" ht="16.05" customFormat="1" customHeight="1" s="126">
      <c r="A1577" s="128" t="n">
        <v>2086</v>
      </c>
      <c r="B1577" s="128" t="n"/>
      <c r="C1577" s="130" t="inlineStr">
        <is>
          <t>Санкт-Петербург</t>
        </is>
      </c>
      <c r="D1577" s="130" t="inlineStr">
        <is>
          <t>Санкт-Петербург</t>
        </is>
      </c>
      <c r="E1577" s="130" t="n"/>
      <c r="F1577" s="130" t="inlineStr">
        <is>
          <t>АЗС</t>
        </is>
      </c>
      <c r="G1577" s="130" t="inlineStr">
        <is>
          <t>Neste</t>
        </is>
      </c>
      <c r="H1577" s="131" t="inlineStr">
        <is>
          <t>АЗС № 515</t>
        </is>
      </c>
      <c r="I1577" s="637" t="n">
        <v>515</v>
      </c>
      <c r="J1577" s="637" t="inlineStr">
        <is>
          <t>SPB_Neste_515</t>
        </is>
      </c>
      <c r="K1577" s="640" t="n">
        <v>3</v>
      </c>
      <c r="L1577" s="640" t="n">
        <v>0</v>
      </c>
      <c r="M1577" s="623" t="inlineStr">
        <is>
          <t>Экран 32" горизонтальный</t>
        </is>
      </c>
      <c r="N1577" s="640" t="n"/>
      <c r="O1577" s="640">
        <f>IF(AND(N1577=1,L1577=1),K1577,"")</f>
        <v/>
      </c>
      <c r="P1577" s="642" t="inlineStr">
        <is>
          <t>Всеволожск, Дорога Жизни 7км.</t>
        </is>
      </c>
      <c r="Q1577" s="640" t="inlineStr">
        <is>
          <t>60.020121</t>
        </is>
      </c>
      <c r="R1577" s="494" t="inlineStr">
        <is>
          <t>30.601983</t>
        </is>
      </c>
      <c r="S1577" s="387" t="n"/>
      <c r="T1577" s="436" t="n"/>
      <c r="U1577" s="387" t="n"/>
      <c r="V1577" s="387" t="n"/>
      <c r="W1577" s="387" t="n"/>
      <c r="X1577" s="387" t="n"/>
      <c r="Y1577" s="387" t="n"/>
    </row>
    <row r="1578" hidden="1" ht="16.05" customHeight="1">
      <c r="A1578" s="125" t="n">
        <v>2087</v>
      </c>
      <c r="B1578" s="125" t="n"/>
      <c r="C1578" s="130" t="inlineStr">
        <is>
          <t>Санкт-Петербург</t>
        </is>
      </c>
      <c r="D1578" s="130" t="inlineStr">
        <is>
          <t>Санкт-Петербург</t>
        </is>
      </c>
      <c r="E1578" s="130" t="n"/>
      <c r="F1578" s="130" t="inlineStr">
        <is>
          <t>АЗС</t>
        </is>
      </c>
      <c r="G1578" s="130" t="inlineStr">
        <is>
          <t>Татнефть</t>
        </is>
      </c>
      <c r="H1578" s="131" t="inlineStr">
        <is>
          <t>АЗС № 517</t>
        </is>
      </c>
      <c r="I1578" s="637" t="n">
        <v>517</v>
      </c>
      <c r="J1578" s="637" t="inlineStr">
        <is>
          <t>SPB_Neste_517</t>
        </is>
      </c>
      <c r="K1578" s="640" t="n">
        <v>2</v>
      </c>
      <c r="L1578" s="640" t="n">
        <v>0</v>
      </c>
      <c r="M1578" s="623" t="inlineStr">
        <is>
          <t>Экран 55" вертикальный</t>
        </is>
      </c>
      <c r="N1578" s="640" t="n"/>
      <c r="O1578" s="640">
        <f>IF(AND(N1578=1,L1578=1),K1578,"")</f>
        <v/>
      </c>
      <c r="P1578" s="642" t="inlineStr">
        <is>
          <t>Санкт-Петербург, ул. Планерная, 57/1</t>
        </is>
      </c>
      <c r="Q1578" s="640" t="inlineStr">
        <is>
          <t>60.021529</t>
        </is>
      </c>
      <c r="R1578" s="494" t="inlineStr">
        <is>
          <t>30.22485</t>
        </is>
      </c>
      <c r="T1578" s="436" t="n"/>
      <c r="Z1578" s="1" t="n"/>
    </row>
    <row r="1579" hidden="1" ht="16.05" customFormat="1" customHeight="1" s="126">
      <c r="A1579" s="125" t="n">
        <v>2088</v>
      </c>
      <c r="B1579" s="125" t="n"/>
      <c r="C1579" s="130" t="inlineStr">
        <is>
          <t>Санкт-Петербург</t>
        </is>
      </c>
      <c r="D1579" s="130" t="inlineStr">
        <is>
          <t>Санкт-Петербург</t>
        </is>
      </c>
      <c r="E1579" s="130" t="n"/>
      <c r="F1579" s="130" t="inlineStr">
        <is>
          <t>АЗС</t>
        </is>
      </c>
      <c r="G1579" s="130" t="inlineStr">
        <is>
          <t>Neste</t>
        </is>
      </c>
      <c r="H1579" s="131" t="inlineStr">
        <is>
          <t>АЗС № 518</t>
        </is>
      </c>
      <c r="I1579" s="637" t="n">
        <v>518</v>
      </c>
      <c r="J1579" s="637" t="inlineStr">
        <is>
          <t>SPB_Neste_518</t>
        </is>
      </c>
      <c r="K1579" s="640" t="n">
        <v>3</v>
      </c>
      <c r="L1579" s="640" t="n">
        <v>0</v>
      </c>
      <c r="M1579" s="623" t="inlineStr">
        <is>
          <t>Экран 32" горизонтальный</t>
        </is>
      </c>
      <c r="N1579" s="640" t="n"/>
      <c r="O1579" s="640">
        <f>IF(AND(N1579=1,L1579=1),K1579,"")</f>
        <v/>
      </c>
      <c r="P1579" s="642" t="inlineStr">
        <is>
          <t>Санкт-Петербург, 36 км. автодороги М-20 СПб-Луга, д.Верево 1 справа</t>
        </is>
      </c>
      <c r="Q1579" s="640" t="inlineStr">
        <is>
          <t>59.622085</t>
        </is>
      </c>
      <c r="R1579" s="494" t="inlineStr">
        <is>
          <t>30.184028</t>
        </is>
      </c>
      <c r="S1579" s="387" t="n"/>
      <c r="T1579" s="436" t="n"/>
      <c r="U1579" s="387" t="n"/>
      <c r="V1579" s="387" t="n"/>
      <c r="W1579" s="387" t="n"/>
      <c r="X1579" s="387" t="n"/>
      <c r="Y1579" s="387" t="n"/>
    </row>
    <row r="1580" hidden="1" ht="16.05" customFormat="1" customHeight="1" s="126">
      <c r="A1580" s="128" t="n">
        <v>2089</v>
      </c>
      <c r="B1580" s="128" t="n"/>
      <c r="C1580" s="130" t="inlineStr">
        <is>
          <t>Санкт-Петербург</t>
        </is>
      </c>
      <c r="D1580" s="130" t="inlineStr">
        <is>
          <t>Санкт-Петербург</t>
        </is>
      </c>
      <c r="E1580" s="130" t="n"/>
      <c r="F1580" s="130" t="inlineStr">
        <is>
          <t>АЗС</t>
        </is>
      </c>
      <c r="G1580" s="130" t="inlineStr">
        <is>
          <t>Neste</t>
        </is>
      </c>
      <c r="H1580" s="131" t="inlineStr">
        <is>
          <t>АЗС № 520</t>
        </is>
      </c>
      <c r="I1580" s="637" t="n">
        <v>520</v>
      </c>
      <c r="J1580" s="637" t="inlineStr">
        <is>
          <t>SPB_Neste_520</t>
        </is>
      </c>
      <c r="K1580" s="640" t="n">
        <v>3</v>
      </c>
      <c r="L1580" s="640" t="n">
        <v>0</v>
      </c>
      <c r="M1580" s="623" t="inlineStr">
        <is>
          <t>Экран 32" горизонтальный</t>
        </is>
      </c>
      <c r="N1580" s="640" t="n"/>
      <c r="O1580" s="640">
        <f>IF(AND(N1580=1,L1580=1),K1580,"")</f>
        <v/>
      </c>
      <c r="P1580" s="642" t="inlineStr">
        <is>
          <t>Санкт-Петербург, Всеволожск, Колтушское шоссе, 303</t>
        </is>
      </c>
      <c r="Q1580" s="640" t="inlineStr">
        <is>
          <t>59.991393</t>
        </is>
      </c>
      <c r="R1580" s="494" t="inlineStr">
        <is>
          <t>30.659395</t>
        </is>
      </c>
      <c r="S1580" s="387" t="n"/>
      <c r="T1580" s="436" t="n"/>
      <c r="U1580" s="387" t="n"/>
      <c r="V1580" s="387" t="n"/>
      <c r="W1580" s="387" t="n"/>
      <c r="X1580" s="387" t="n"/>
      <c r="Y1580" s="387" t="n"/>
    </row>
    <row r="1581" hidden="1" ht="16.05" customFormat="1" customHeight="1" s="126">
      <c r="A1581" s="125" t="n">
        <v>2090</v>
      </c>
      <c r="B1581" s="125" t="n"/>
      <c r="C1581" s="130" t="inlineStr">
        <is>
          <t>Санкт-Петербург</t>
        </is>
      </c>
      <c r="D1581" s="130" t="inlineStr">
        <is>
          <t>Санкт-Петербург</t>
        </is>
      </c>
      <c r="E1581" s="130" t="n"/>
      <c r="F1581" s="130" t="inlineStr">
        <is>
          <t>АЗС</t>
        </is>
      </c>
      <c r="G1581" s="130" t="inlineStr">
        <is>
          <t>Neste</t>
        </is>
      </c>
      <c r="H1581" s="131" t="inlineStr">
        <is>
          <t>АЗС № 522</t>
        </is>
      </c>
      <c r="I1581" s="637" t="n">
        <v>522</v>
      </c>
      <c r="J1581" s="637" t="inlineStr">
        <is>
          <t>SPB_Neste_522</t>
        </is>
      </c>
      <c r="K1581" s="640" t="n">
        <v>2</v>
      </c>
      <c r="L1581" s="640" t="n">
        <v>0</v>
      </c>
      <c r="M1581" s="623" t="inlineStr">
        <is>
          <t>Экран 55" вертикальный</t>
        </is>
      </c>
      <c r="N1581" s="640" t="n"/>
      <c r="O1581" s="640">
        <f>IF(AND(N1581=1,L1581=1),K1581,"")</f>
        <v/>
      </c>
      <c r="P1581" s="642" t="inlineStr">
        <is>
          <t>Санкт-Петербург, Мурманское ш., 21 км, Разметелево 1 справа</t>
        </is>
      </c>
      <c r="Q1581" s="640" t="inlineStr">
        <is>
          <t>59.892896</t>
        </is>
      </c>
      <c r="R1581" s="494" t="inlineStr">
        <is>
          <t>30.656113</t>
        </is>
      </c>
      <c r="S1581" s="387" t="n"/>
      <c r="T1581" s="436" t="n"/>
      <c r="U1581" s="387" t="n"/>
      <c r="V1581" s="387" t="n"/>
      <c r="W1581" s="387" t="n"/>
      <c r="X1581" s="387" t="n"/>
      <c r="Y1581" s="387" t="n"/>
    </row>
    <row r="1582" hidden="1" ht="16.05" customFormat="1" customHeight="1" s="126">
      <c r="A1582" s="125" t="n">
        <v>2091</v>
      </c>
      <c r="B1582" s="125" t="n"/>
      <c r="C1582" s="130" t="inlineStr">
        <is>
          <t>Санкт-Петербург</t>
        </is>
      </c>
      <c r="D1582" s="130" t="inlineStr">
        <is>
          <t>Санкт-Петербург</t>
        </is>
      </c>
      <c r="E1582" s="130" t="n"/>
      <c r="F1582" s="130" t="inlineStr">
        <is>
          <t>АЗС</t>
        </is>
      </c>
      <c r="G1582" s="130" t="inlineStr">
        <is>
          <t>Neste</t>
        </is>
      </c>
      <c r="H1582" s="131" t="inlineStr">
        <is>
          <t>АЗС № 523</t>
        </is>
      </c>
      <c r="I1582" s="637" t="n">
        <v>523</v>
      </c>
      <c r="J1582" s="637" t="inlineStr">
        <is>
          <t>SPB_Neste_523</t>
        </is>
      </c>
      <c r="K1582" s="640" t="n">
        <v>3</v>
      </c>
      <c r="L1582" s="640" t="n">
        <v>0</v>
      </c>
      <c r="M1582" s="623" t="inlineStr">
        <is>
          <t>Экран 32" горизонтальный</t>
        </is>
      </c>
      <c r="N1582" s="640" t="n"/>
      <c r="O1582" s="640">
        <f>IF(AND(N1582=1,L1582=1),K1582,"")</f>
        <v/>
      </c>
      <c r="P1582" s="642" t="inlineStr">
        <is>
          <t>Санкт-Петербург, Мурманское ш., 21 км, Разметелево 2 слева</t>
        </is>
      </c>
      <c r="Q1582" s="640" t="inlineStr">
        <is>
          <t>59.893999</t>
        </is>
      </c>
      <c r="R1582" s="494" t="inlineStr">
        <is>
          <t>30.653333</t>
        </is>
      </c>
      <c r="S1582" s="387" t="n"/>
      <c r="T1582" s="436" t="n"/>
      <c r="U1582" s="387" t="n"/>
      <c r="V1582" s="387" t="n"/>
      <c r="W1582" s="387" t="n"/>
      <c r="X1582" s="387" t="n"/>
      <c r="Y1582" s="387" t="n"/>
    </row>
    <row r="1583" hidden="1" ht="16.05" customFormat="1" customHeight="1" s="126">
      <c r="A1583" s="128" t="n">
        <v>2092</v>
      </c>
      <c r="B1583" s="128" t="n"/>
      <c r="C1583" s="130" t="inlineStr">
        <is>
          <t>Санкт-Петербург</t>
        </is>
      </c>
      <c r="D1583" s="130" t="inlineStr">
        <is>
          <t>Санкт-Петербург</t>
        </is>
      </c>
      <c r="E1583" s="130" t="n"/>
      <c r="F1583" s="130" t="inlineStr">
        <is>
          <t>АЗС</t>
        </is>
      </c>
      <c r="G1583" s="130" t="inlineStr">
        <is>
          <t>Neste</t>
        </is>
      </c>
      <c r="H1583" s="131" t="inlineStr">
        <is>
          <t>АЗС № 524</t>
        </is>
      </c>
      <c r="I1583" s="637" t="n">
        <v>524</v>
      </c>
      <c r="J1583" s="637" t="inlineStr">
        <is>
          <t>SPB_Neste_524</t>
        </is>
      </c>
      <c r="K1583" s="640" t="n">
        <v>2</v>
      </c>
      <c r="L1583" s="640" t="n">
        <v>0</v>
      </c>
      <c r="M1583" s="623" t="inlineStr">
        <is>
          <t>Экран 55" вертикальный</t>
        </is>
      </c>
      <c r="N1583" s="640" t="n"/>
      <c r="O1583" s="640">
        <f>IF(AND(N1583=1,L1583=1),K1583,"")</f>
        <v/>
      </c>
      <c r="P1583" s="642" t="inlineStr">
        <is>
          <t>Санкт-Петербург, 36 км. автодороги М-20 СПб-Луга, д.Верево 2 слева</t>
        </is>
      </c>
      <c r="Q1583" s="640" t="inlineStr">
        <is>
          <t>59.624767</t>
        </is>
      </c>
      <c r="R1583" s="494" t="inlineStr">
        <is>
          <t>30.1835</t>
        </is>
      </c>
      <c r="S1583" s="387" t="n"/>
      <c r="T1583" s="436" t="n"/>
      <c r="U1583" s="387" t="n"/>
      <c r="V1583" s="387" t="n"/>
      <c r="W1583" s="387" t="n"/>
      <c r="X1583" s="387" t="n"/>
      <c r="Y1583" s="387" t="n"/>
    </row>
    <row r="1584" hidden="1" ht="16.05" customFormat="1" customHeight="1" s="126">
      <c r="A1584" s="125" t="n">
        <v>2093</v>
      </c>
      <c r="B1584" s="125" t="n"/>
      <c r="C1584" s="130" t="inlineStr">
        <is>
          <t>Санкт-Петербург</t>
        </is>
      </c>
      <c r="D1584" s="130" t="inlineStr">
        <is>
          <t>Новгородская область</t>
        </is>
      </c>
      <c r="E1584" s="130" t="n"/>
      <c r="F1584" s="130" t="inlineStr">
        <is>
          <t>АЗС</t>
        </is>
      </c>
      <c r="G1584" s="130" t="inlineStr">
        <is>
          <t>Neste</t>
        </is>
      </c>
      <c r="H1584" s="131" t="inlineStr">
        <is>
          <t>АЗС № 527</t>
        </is>
      </c>
      <c r="I1584" s="637" t="n">
        <v>527</v>
      </c>
      <c r="J1584" s="637" t="inlineStr">
        <is>
          <t>SPB_Neste_527</t>
        </is>
      </c>
      <c r="K1584" s="640" t="n">
        <v>3</v>
      </c>
      <c r="L1584" s="640" t="n">
        <v>0</v>
      </c>
      <c r="M1584" s="623" t="inlineStr">
        <is>
          <t>Экран 32" горизонтальный</t>
        </is>
      </c>
      <c r="N1584" s="640" t="n"/>
      <c r="O1584" s="640">
        <f>IF(AND(N1584=1,L1584=1),K1584,"")</f>
        <v/>
      </c>
      <c r="P1584" s="642" t="inlineStr">
        <is>
          <t>Новгородская обл., Чудово, трасса Москва-СПБ, 581 км, слева</t>
        </is>
      </c>
      <c r="Q1584" s="640" t="inlineStr">
        <is>
          <t>59.121867</t>
        </is>
      </c>
      <c r="R1584" s="494" t="inlineStr">
        <is>
          <t>31.63529</t>
        </is>
      </c>
      <c r="S1584" s="387" t="n"/>
      <c r="T1584" s="436" t="n"/>
      <c r="U1584" s="387" t="n"/>
      <c r="V1584" s="387" t="n"/>
      <c r="W1584" s="387" t="n"/>
      <c r="X1584" s="387" t="n"/>
      <c r="Y1584" s="387" t="n"/>
    </row>
    <row r="1585" hidden="1" ht="16.05" customFormat="1" customHeight="1" s="126">
      <c r="A1585" s="125" t="n">
        <v>2094</v>
      </c>
      <c r="B1585" s="125" t="n"/>
      <c r="C1585" s="130" t="inlineStr">
        <is>
          <t>Санкт-Петербург</t>
        </is>
      </c>
      <c r="D1585" s="130" t="inlineStr">
        <is>
          <t>Санкт-Петербург</t>
        </is>
      </c>
      <c r="E1585" s="130" t="n"/>
      <c r="F1585" s="130" t="inlineStr">
        <is>
          <t>АЗС</t>
        </is>
      </c>
      <c r="G1585" s="130" t="inlineStr">
        <is>
          <t>Neste</t>
        </is>
      </c>
      <c r="H1585" s="131" t="inlineStr">
        <is>
          <t>АЗС № 528</t>
        </is>
      </c>
      <c r="I1585" s="637" t="n">
        <v>528</v>
      </c>
      <c r="J1585" s="637" t="inlineStr">
        <is>
          <t>SPB_Neste_528</t>
        </is>
      </c>
      <c r="K1585" s="640" t="n">
        <v>3</v>
      </c>
      <c r="L1585" s="640" t="n">
        <v>0</v>
      </c>
      <c r="M1585" s="623" t="inlineStr">
        <is>
          <t>Экран 32" горизонтальный</t>
        </is>
      </c>
      <c r="N1585" s="640" t="n"/>
      <c r="O1585" s="640">
        <f>IF(AND(N1585=1,L1585=1),K1585,"")</f>
        <v/>
      </c>
      <c r="P1585" s="642" t="inlineStr">
        <is>
          <t>Санкт-Петербург, трасса Скандинавия, 133 км, слева</t>
        </is>
      </c>
      <c r="Q1585" s="640" t="inlineStr">
        <is>
          <t>60.667781</t>
        </is>
      </c>
      <c r="R1585" s="494" t="inlineStr">
        <is>
          <t>28.9047</t>
        </is>
      </c>
      <c r="S1585" s="387" t="n"/>
      <c r="T1585" s="436" t="n"/>
      <c r="U1585" s="387" t="n"/>
      <c r="V1585" s="387" t="n"/>
      <c r="W1585" s="387" t="n"/>
      <c r="X1585" s="387" t="n"/>
      <c r="Y1585" s="387" t="n"/>
    </row>
    <row r="1586" hidden="1" ht="16.05" customFormat="1" customHeight="1" s="126">
      <c r="A1586" s="128" t="n">
        <v>2095</v>
      </c>
      <c r="B1586" s="128" t="n"/>
      <c r="C1586" s="130" t="inlineStr">
        <is>
          <t>Санкт-Петербург</t>
        </is>
      </c>
      <c r="D1586" s="130" t="inlineStr">
        <is>
          <t>Сосновый бор</t>
        </is>
      </c>
      <c r="E1586" s="130" t="n"/>
      <c r="F1586" s="130" t="inlineStr">
        <is>
          <t>АЗС</t>
        </is>
      </c>
      <c r="G1586" s="130" t="inlineStr">
        <is>
          <t>Татнефть</t>
        </is>
      </c>
      <c r="H1586" s="131" t="inlineStr">
        <is>
          <t>АЗС № 530</t>
        </is>
      </c>
      <c r="I1586" s="637" t="n">
        <v>530</v>
      </c>
      <c r="J1586" s="637" t="inlineStr">
        <is>
          <t>SPB_Neste_530</t>
        </is>
      </c>
      <c r="K1586" s="640" t="n">
        <v>2</v>
      </c>
      <c r="L1586" s="640" t="n">
        <v>0</v>
      </c>
      <c r="M1586" s="623" t="inlineStr">
        <is>
          <t>Экран 55" вертикальный</t>
        </is>
      </c>
      <c r="N1586" s="640" t="n"/>
      <c r="O1586" s="640">
        <f>IF(AND(N1586=1,L1586=1),K1586,"")</f>
        <v/>
      </c>
      <c r="P1586" s="642" t="inlineStr">
        <is>
          <t>Санкт-Петербург, Сосновый Бор, ул. Петра Великого, 10</t>
        </is>
      </c>
      <c r="Q1586" s="640" t="n">
        <v>59.901205</v>
      </c>
      <c r="R1586" s="494" t="n">
        <v>29.098611</v>
      </c>
      <c r="S1586" s="387" t="n"/>
      <c r="T1586" s="436" t="n"/>
      <c r="U1586" s="387" t="n"/>
      <c r="V1586" s="387" t="n"/>
      <c r="W1586" s="387" t="n"/>
      <c r="X1586" s="387" t="n"/>
      <c r="Y1586" s="387" t="n"/>
    </row>
    <row r="1587" hidden="1" ht="16.05" customFormat="1" customHeight="1" s="126">
      <c r="A1587" s="125" t="n">
        <v>2096</v>
      </c>
      <c r="B1587" s="125" t="n"/>
      <c r="C1587" s="130" t="inlineStr">
        <is>
          <t>Санкт-Петербург</t>
        </is>
      </c>
      <c r="D1587" s="130" t="inlineStr">
        <is>
          <t>Новгородская область</t>
        </is>
      </c>
      <c r="E1587" s="130" t="n"/>
      <c r="F1587" s="130" t="inlineStr">
        <is>
          <t>АЗС</t>
        </is>
      </c>
      <c r="G1587" s="130" t="inlineStr">
        <is>
          <t>Neste</t>
        </is>
      </c>
      <c r="H1587" s="131" t="inlineStr">
        <is>
          <t>АЗС № 531</t>
        </is>
      </c>
      <c r="I1587" s="637" t="n">
        <v>531</v>
      </c>
      <c r="J1587" s="637" t="inlineStr">
        <is>
          <t>SPB_Neste_531</t>
        </is>
      </c>
      <c r="K1587" s="640" t="n">
        <v>3</v>
      </c>
      <c r="L1587" s="640" t="n">
        <v>0</v>
      </c>
      <c r="M1587" s="623" t="inlineStr">
        <is>
          <t>Экран 32" горизонтальный</t>
        </is>
      </c>
      <c r="N1587" s="640" t="n"/>
      <c r="O1587" s="640">
        <f>IF(AND(N1587=1,L1587=1),K1587,"")</f>
        <v/>
      </c>
      <c r="P1587" s="642" t="inlineStr">
        <is>
          <t>В.Новгород. Ул.Б.Санкт-Петербургская 126</t>
        </is>
      </c>
      <c r="Q1587" s="640" t="inlineStr">
        <is>
          <t>58.564317</t>
        </is>
      </c>
      <c r="R1587" s="494" t="inlineStr">
        <is>
          <t>31.2795</t>
        </is>
      </c>
      <c r="S1587" s="387" t="n"/>
      <c r="T1587" s="436" t="n"/>
      <c r="U1587" s="387" t="n"/>
      <c r="V1587" s="387" t="n"/>
      <c r="W1587" s="387" t="n"/>
      <c r="X1587" s="387" t="n"/>
      <c r="Y1587" s="387" t="n"/>
    </row>
    <row r="1588" hidden="1" ht="16.05" customFormat="1" customHeight="1" s="126">
      <c r="A1588" s="791" t="n">
        <v>2097</v>
      </c>
      <c r="B1588" s="13" t="n"/>
      <c r="C1588" s="130" t="inlineStr">
        <is>
          <t>Санкт-Петербург</t>
        </is>
      </c>
      <c r="D1588" s="130" t="inlineStr">
        <is>
          <t>Санкт-Петербург</t>
        </is>
      </c>
      <c r="E1588" s="130" t="n"/>
      <c r="F1588" s="130" t="inlineStr">
        <is>
          <t>АЗС</t>
        </is>
      </c>
      <c r="G1588" s="130" t="inlineStr">
        <is>
          <t>Neste</t>
        </is>
      </c>
      <c r="H1588" s="131" t="inlineStr">
        <is>
          <t>АЗС № 532</t>
        </is>
      </c>
      <c r="I1588" s="637" t="n">
        <v>532</v>
      </c>
      <c r="J1588" s="637" t="inlineStr">
        <is>
          <t>SPB_Neste_532</t>
        </is>
      </c>
      <c r="K1588" s="640" t="n">
        <v>1</v>
      </c>
      <c r="L1588" s="640" t="n">
        <v>0</v>
      </c>
      <c r="M1588" s="623" t="inlineStr">
        <is>
          <t>Экран 55" вертикальный</t>
        </is>
      </c>
      <c r="N1588" s="640" t="n"/>
      <c r="O1588" s="640">
        <f>IF(AND(N1588=1,L1588=1),K1588,"")</f>
        <v/>
      </c>
      <c r="P1588" s="642" t="inlineStr">
        <is>
          <t>Санкт-Петербург, Пулковское шоссе, 109</t>
        </is>
      </c>
      <c r="Q1588" s="640" t="inlineStr">
        <is>
          <t>59.74918</t>
        </is>
      </c>
      <c r="R1588" s="494" t="inlineStr">
        <is>
          <t>30.3132</t>
        </is>
      </c>
      <c r="S1588" s="387" t="n"/>
      <c r="T1588" s="436" t="n"/>
      <c r="U1588" s="387" t="n"/>
      <c r="V1588" s="387" t="n"/>
      <c r="W1588" s="387" t="n"/>
      <c r="X1588" s="387" t="n"/>
      <c r="Y1588" s="387" t="n"/>
    </row>
    <row r="1589" hidden="1" ht="16.05" customFormat="1" customHeight="1" s="126">
      <c r="A1589" s="128" t="n">
        <v>2098</v>
      </c>
      <c r="B1589" s="128" t="n"/>
      <c r="C1589" s="130" t="inlineStr">
        <is>
          <t>Санкт-Петербург</t>
        </is>
      </c>
      <c r="D1589" s="130" t="inlineStr">
        <is>
          <t>Санкт-Петербург</t>
        </is>
      </c>
      <c r="E1589" s="130" t="n"/>
      <c r="F1589" s="130" t="inlineStr">
        <is>
          <t>АЗС</t>
        </is>
      </c>
      <c r="G1589" s="130" t="inlineStr">
        <is>
          <t>Neste</t>
        </is>
      </c>
      <c r="H1589" s="131" t="inlineStr">
        <is>
          <t>АЗС № 533</t>
        </is>
      </c>
      <c r="I1589" s="637" t="n">
        <v>533</v>
      </c>
      <c r="J1589" s="637" t="inlineStr">
        <is>
          <t>SPB_Neste_533</t>
        </is>
      </c>
      <c r="K1589" s="640" t="n">
        <v>2</v>
      </c>
      <c r="L1589" s="640" t="n">
        <v>0</v>
      </c>
      <c r="M1589" s="623" t="inlineStr">
        <is>
          <t>Экран 55" вертикальный</t>
        </is>
      </c>
      <c r="N1589" s="640" t="n"/>
      <c r="O1589" s="640">
        <f>IF(AND(N1589=1,L1589=1),K1589,"")</f>
        <v/>
      </c>
      <c r="P1589" s="642" t="inlineStr">
        <is>
          <t>Санкт-Петербург, Приозерское шоссе. 10 км</t>
        </is>
      </c>
      <c r="Q1589" s="640" t="inlineStr">
        <is>
          <t>60.162456</t>
        </is>
      </c>
      <c r="R1589" s="494" t="inlineStr">
        <is>
          <t>30.355242</t>
        </is>
      </c>
      <c r="S1589" s="387" t="n"/>
      <c r="T1589" s="436" t="n"/>
      <c r="U1589" s="387" t="n"/>
      <c r="V1589" s="387" t="n"/>
      <c r="W1589" s="387" t="n"/>
      <c r="X1589" s="387" t="n"/>
      <c r="Y1589" s="387" t="n"/>
    </row>
    <row r="1590" hidden="1" ht="16.05" customFormat="1" customHeight="1" s="126">
      <c r="A1590" s="125" t="n">
        <v>2099</v>
      </c>
      <c r="B1590" s="125" t="n"/>
      <c r="C1590" s="130" t="inlineStr">
        <is>
          <t>Санкт-Петербург</t>
        </is>
      </c>
      <c r="D1590" s="130" t="inlineStr">
        <is>
          <t>Санкт-Петербург</t>
        </is>
      </c>
      <c r="E1590" s="130" t="n"/>
      <c r="F1590" s="130" t="inlineStr">
        <is>
          <t>АЗС</t>
        </is>
      </c>
      <c r="G1590" s="130" t="inlineStr">
        <is>
          <t>Neste</t>
        </is>
      </c>
      <c r="H1590" s="131" t="inlineStr">
        <is>
          <t>АЗС №534</t>
        </is>
      </c>
      <c r="I1590" s="637" t="n">
        <v>534</v>
      </c>
      <c r="J1590" s="637" t="inlineStr">
        <is>
          <t>SPB_Neste_534</t>
        </is>
      </c>
      <c r="K1590" s="640" t="n">
        <v>3</v>
      </c>
      <c r="L1590" s="640" t="n">
        <v>0</v>
      </c>
      <c r="M1590" s="623" t="inlineStr">
        <is>
          <t>Экран 32" горизонтальный</t>
        </is>
      </c>
      <c r="N1590" s="640" t="n"/>
      <c r="O1590" s="640">
        <f>IF(AND(N1590=1,L1590=1),K1590,"")</f>
        <v/>
      </c>
      <c r="P1590" s="642" t="inlineStr">
        <is>
          <t>Санкт-Петербург, Средний пр.В.О., д.91 к.2</t>
        </is>
      </c>
      <c r="Q1590" s="640" t="inlineStr">
        <is>
          <t>59.935177</t>
        </is>
      </c>
      <c r="R1590" s="494" t="inlineStr">
        <is>
          <t>30.250325</t>
        </is>
      </c>
      <c r="S1590" s="387" t="n"/>
      <c r="T1590" s="436" t="n"/>
      <c r="U1590" s="387" t="n"/>
      <c r="V1590" s="387" t="n"/>
      <c r="W1590" s="387" t="n"/>
      <c r="X1590" s="387" t="n"/>
      <c r="Y1590" s="387" t="n"/>
    </row>
    <row r="1591" hidden="1" ht="16.05" customHeight="1">
      <c r="A1591" s="125" t="n">
        <v>2100</v>
      </c>
      <c r="B1591" s="125" t="n"/>
      <c r="C1591" s="130" t="inlineStr">
        <is>
          <t>Санкт-Петербург</t>
        </is>
      </c>
      <c r="D1591" s="130" t="inlineStr">
        <is>
          <t>Санкт-Петербург</t>
        </is>
      </c>
      <c r="E1591" s="130" t="n"/>
      <c r="F1591" s="130" t="inlineStr">
        <is>
          <t>АЗС</t>
        </is>
      </c>
      <c r="G1591" s="130" t="inlineStr">
        <is>
          <t>Татнефть</t>
        </is>
      </c>
      <c r="H1591" s="131" t="inlineStr">
        <is>
          <t>АЗС № 535</t>
        </is>
      </c>
      <c r="I1591" s="637" t="n">
        <v>535</v>
      </c>
      <c r="J1591" s="637" t="inlineStr">
        <is>
          <t>SPB_Neste_535</t>
        </is>
      </c>
      <c r="K1591" s="640" t="n">
        <v>2</v>
      </c>
      <c r="L1591" s="640" t="n">
        <v>0</v>
      </c>
      <c r="M1591" s="623" t="inlineStr">
        <is>
          <t>Экран 55" вертикальный</t>
        </is>
      </c>
      <c r="N1591" s="640" t="n"/>
      <c r="O1591" s="640">
        <f>IF(AND(N1591=1,L1591=1),K1591,"")</f>
        <v/>
      </c>
      <c r="P1591" s="642" t="inlineStr">
        <is>
          <t>Санкт-Петербург, Лабораторный пр., 21А</t>
        </is>
      </c>
      <c r="Q1591" s="640" t="inlineStr">
        <is>
          <t>59.980248</t>
        </is>
      </c>
      <c r="R1591" s="494" t="inlineStr">
        <is>
          <t>30.384654</t>
        </is>
      </c>
      <c r="T1591" s="436" t="n"/>
      <c r="Z1591" s="1" t="n"/>
    </row>
    <row r="1592" hidden="1" ht="16.05" customFormat="1" customHeight="1" s="126">
      <c r="A1592" s="128" t="n">
        <v>2101</v>
      </c>
      <c r="B1592" s="128" t="n"/>
      <c r="C1592" s="130" t="inlineStr">
        <is>
          <t>Санкт-Петербург</t>
        </is>
      </c>
      <c r="D1592" s="130" t="inlineStr">
        <is>
          <t>Санкт-Петербург</t>
        </is>
      </c>
      <c r="E1592" s="130" t="n"/>
      <c r="F1592" s="130" t="inlineStr">
        <is>
          <t>АЗС</t>
        </is>
      </c>
      <c r="G1592" s="130" t="inlineStr">
        <is>
          <t>Татнефть</t>
        </is>
      </c>
      <c r="H1592" s="131" t="inlineStr">
        <is>
          <t>АЗС № 536</t>
        </is>
      </c>
      <c r="I1592" s="637" t="n">
        <v>536</v>
      </c>
      <c r="J1592" s="637" t="inlineStr">
        <is>
          <t>SPB_Neste_536</t>
        </is>
      </c>
      <c r="K1592" s="640" t="n">
        <v>2</v>
      </c>
      <c r="L1592" s="640" t="n">
        <v>0</v>
      </c>
      <c r="M1592" s="623" t="inlineStr">
        <is>
          <t>Экран 55" вертикальный</t>
        </is>
      </c>
      <c r="N1592" s="640" t="n"/>
      <c r="O1592" s="640">
        <f>IF(AND(N1592=1,L1592=1),K1592,"")</f>
        <v/>
      </c>
      <c r="P1592" s="642" t="inlineStr">
        <is>
          <t>Санкт-Петербург, Пулковское шоссе, 72</t>
        </is>
      </c>
      <c r="Q1592" s="640" t="inlineStr">
        <is>
          <t>59.781088</t>
        </is>
      </c>
      <c r="R1592" s="494" t="inlineStr">
        <is>
          <t>30.326729</t>
        </is>
      </c>
      <c r="S1592" s="387" t="n"/>
      <c r="T1592" s="436" t="n"/>
      <c r="U1592" s="387" t="n"/>
      <c r="V1592" s="387" t="n"/>
      <c r="W1592" s="387" t="n"/>
      <c r="X1592" s="387" t="n"/>
      <c r="Y1592" s="387" t="n"/>
    </row>
    <row r="1593" hidden="1" ht="16.05" customFormat="1" customHeight="1" s="126">
      <c r="A1593" s="125" t="n">
        <v>2102</v>
      </c>
      <c r="B1593" s="125" t="n"/>
      <c r="C1593" s="130" t="inlineStr">
        <is>
          <t>Санкт-Петербург</t>
        </is>
      </c>
      <c r="D1593" s="130" t="inlineStr">
        <is>
          <t>Санкт-Петербург</t>
        </is>
      </c>
      <c r="E1593" s="130" t="n"/>
      <c r="F1593" s="130" t="inlineStr">
        <is>
          <t>АЗС</t>
        </is>
      </c>
      <c r="G1593" s="130" t="inlineStr">
        <is>
          <t>Татнефть</t>
        </is>
      </c>
      <c r="H1593" s="131" t="inlineStr">
        <is>
          <t>АЗС № 537</t>
        </is>
      </c>
      <c r="I1593" s="637" t="n">
        <v>537</v>
      </c>
      <c r="J1593" s="637" t="inlineStr">
        <is>
          <t>SPB_Neste_537</t>
        </is>
      </c>
      <c r="K1593" s="640" t="n">
        <v>2</v>
      </c>
      <c r="L1593" s="640" t="n">
        <v>0</v>
      </c>
      <c r="M1593" s="623" t="inlineStr">
        <is>
          <t>Экран 55" вертикальный</t>
        </is>
      </c>
      <c r="N1593" s="640" t="n"/>
      <c r="O1593" s="640">
        <f>IF(AND(N1593=1,L1593=1),K1593,"")</f>
        <v/>
      </c>
      <c r="P1593" s="642" t="inlineStr">
        <is>
          <t>Луга, Комсомольский пр., 56</t>
        </is>
      </c>
      <c r="Q1593" s="640" t="inlineStr">
        <is>
          <t>58.732082</t>
        </is>
      </c>
      <c r="R1593" s="494" t="inlineStr">
        <is>
          <t>29.881119</t>
        </is>
      </c>
      <c r="S1593" s="387" t="n"/>
      <c r="T1593" s="436" t="n"/>
      <c r="U1593" s="387" t="n"/>
      <c r="V1593" s="387" t="n"/>
      <c r="W1593" s="387" t="n"/>
      <c r="X1593" s="387" t="n"/>
      <c r="Y1593" s="387" t="n"/>
    </row>
    <row r="1594" hidden="1" ht="16.05" customFormat="1" customHeight="1" s="126">
      <c r="A1594" s="125" t="n">
        <v>2103</v>
      </c>
      <c r="B1594" s="125" t="n"/>
      <c r="C1594" s="130" t="inlineStr">
        <is>
          <t>Санкт-Петербург</t>
        </is>
      </c>
      <c r="D1594" s="130" t="inlineStr">
        <is>
          <t>Санкт-Петербург</t>
        </is>
      </c>
      <c r="E1594" s="130" t="n"/>
      <c r="F1594" s="130" t="inlineStr">
        <is>
          <t>АЗС</t>
        </is>
      </c>
      <c r="G1594" s="130" t="inlineStr">
        <is>
          <t>Neste</t>
        </is>
      </c>
      <c r="H1594" s="131" t="inlineStr">
        <is>
          <t>АЗС № 538</t>
        </is>
      </c>
      <c r="I1594" s="637" t="n">
        <v>538</v>
      </c>
      <c r="J1594" s="637" t="inlineStr">
        <is>
          <t>SPB_Neste_538</t>
        </is>
      </c>
      <c r="K1594" s="640" t="n">
        <v>2</v>
      </c>
      <c r="L1594" s="640" t="n">
        <v>0</v>
      </c>
      <c r="M1594" s="623" t="inlineStr">
        <is>
          <t>Экран 32" горизонтальный</t>
        </is>
      </c>
      <c r="N1594" s="640" t="n"/>
      <c r="O1594" s="640">
        <f>IF(AND(N1594=1,L1594=1),K1594,"")</f>
        <v/>
      </c>
      <c r="P1594" s="642" t="inlineStr">
        <is>
          <t xml:space="preserve">Санкт-Петербург, Софийская, 127, к.1. </t>
        </is>
      </c>
      <c r="Q1594" s="640" t="inlineStr">
        <is>
          <t>59.808501</t>
        </is>
      </c>
      <c r="R1594" s="494" t="inlineStr">
        <is>
          <t>30.46496</t>
        </is>
      </c>
      <c r="S1594" s="387" t="n"/>
      <c r="T1594" s="436" t="n"/>
      <c r="U1594" s="387" t="n"/>
      <c r="V1594" s="387" t="n"/>
      <c r="W1594" s="387" t="n"/>
      <c r="X1594" s="387" t="n"/>
      <c r="Y1594" s="387" t="n"/>
    </row>
    <row r="1595" hidden="1" ht="16.05" customFormat="1" customHeight="1" s="126">
      <c r="A1595" s="128" t="n">
        <v>2104</v>
      </c>
      <c r="B1595" s="128" t="n"/>
      <c r="C1595" s="130" t="inlineStr">
        <is>
          <t>Санкт-Петербург</t>
        </is>
      </c>
      <c r="D1595" s="130" t="inlineStr">
        <is>
          <t>Псков</t>
        </is>
      </c>
      <c r="E1595" s="130" t="n"/>
      <c r="F1595" s="130" t="inlineStr">
        <is>
          <t>АЗС</t>
        </is>
      </c>
      <c r="G1595" s="130" t="inlineStr">
        <is>
          <t>Татнефть</t>
        </is>
      </c>
      <c r="H1595" s="131" t="inlineStr">
        <is>
          <t>АЗС № 539</t>
        </is>
      </c>
      <c r="I1595" s="637" t="n">
        <v>539</v>
      </c>
      <c r="J1595" s="637" t="inlineStr">
        <is>
          <t>SPB_Neste_539</t>
        </is>
      </c>
      <c r="K1595" s="640" t="n">
        <v>2</v>
      </c>
      <c r="L1595" s="640" t="n">
        <v>0</v>
      </c>
      <c r="M1595" s="623" t="inlineStr">
        <is>
          <t>Экран 55" вертикальный</t>
        </is>
      </c>
      <c r="N1595" s="640" t="n"/>
      <c r="O1595" s="640">
        <f>IF(AND(N1595=1,L1595=1),K1595,"")</f>
        <v/>
      </c>
      <c r="P1595" s="642" t="inlineStr">
        <is>
          <t>Псков. Леона Поземского, 115</t>
        </is>
      </c>
      <c r="Q1595" s="640" t="inlineStr">
        <is>
          <t>57.837207</t>
        </is>
      </c>
      <c r="R1595" s="494" t="inlineStr">
        <is>
          <t>28.309301</t>
        </is>
      </c>
      <c r="S1595" s="387" t="n"/>
      <c r="T1595" s="436" t="n"/>
      <c r="U1595" s="387" t="n"/>
      <c r="V1595" s="387" t="n"/>
      <c r="W1595" s="387" t="n"/>
      <c r="X1595" s="387" t="n"/>
      <c r="Y1595" s="387" t="n"/>
    </row>
    <row r="1596" hidden="1" ht="16.05" customFormat="1" customHeight="1" s="126">
      <c r="A1596" s="125" t="n">
        <v>2105</v>
      </c>
      <c r="B1596" s="125" t="n"/>
      <c r="C1596" s="130" t="inlineStr">
        <is>
          <t>Санкт-Петербург</t>
        </is>
      </c>
      <c r="D1596" s="130" t="inlineStr">
        <is>
          <t>Санкт-Петербург</t>
        </is>
      </c>
      <c r="E1596" s="130" t="n"/>
      <c r="F1596" s="130" t="inlineStr">
        <is>
          <t>АЗС</t>
        </is>
      </c>
      <c r="G1596" s="130" t="inlineStr">
        <is>
          <t>Neste</t>
        </is>
      </c>
      <c r="H1596" s="131" t="inlineStr">
        <is>
          <t>АЗС № 540</t>
        </is>
      </c>
      <c r="I1596" s="637" t="n">
        <v>540</v>
      </c>
      <c r="J1596" s="637" t="inlineStr">
        <is>
          <t>SPB_Neste_540</t>
        </is>
      </c>
      <c r="K1596" s="640" t="n">
        <v>2</v>
      </c>
      <c r="L1596" s="640" t="n">
        <v>0</v>
      </c>
      <c r="M1596" s="623" t="inlineStr">
        <is>
          <t>Экран 32" горизонтальный</t>
        </is>
      </c>
      <c r="N1596" s="640" t="n"/>
      <c r="O1596" s="640">
        <f>IF(AND(N1596=1,L1596=1),K1596,"")</f>
        <v/>
      </c>
      <c r="P1596" s="642" t="inlineStr">
        <is>
          <t xml:space="preserve">Всеволожск, Дорога Жизни, 9 км </t>
        </is>
      </c>
      <c r="Q1596" s="640" t="inlineStr">
        <is>
          <t>60.020177</t>
        </is>
      </c>
      <c r="R1596" s="494" t="inlineStr">
        <is>
          <t>30.601965</t>
        </is>
      </c>
      <c r="S1596" s="387" t="n"/>
      <c r="T1596" s="436" t="n"/>
      <c r="U1596" s="387" t="n"/>
      <c r="V1596" s="387" t="n"/>
      <c r="W1596" s="387" t="n"/>
      <c r="X1596" s="387" t="n"/>
      <c r="Y1596" s="387" t="n"/>
    </row>
    <row r="1597" hidden="1" ht="16.05" customFormat="1" customHeight="1" s="126">
      <c r="A1597" s="125" t="n">
        <v>2106</v>
      </c>
      <c r="B1597" s="125" t="n"/>
      <c r="C1597" s="130" t="inlineStr">
        <is>
          <t>Санкт-Петербург</t>
        </is>
      </c>
      <c r="D1597" s="130" t="inlineStr">
        <is>
          <t>Псков</t>
        </is>
      </c>
      <c r="E1597" s="130" t="n"/>
      <c r="F1597" s="130" t="inlineStr">
        <is>
          <t>АЗС</t>
        </is>
      </c>
      <c r="G1597" s="130" t="inlineStr">
        <is>
          <t>Neste</t>
        </is>
      </c>
      <c r="H1597" s="131" t="inlineStr">
        <is>
          <t>АЗС № 541</t>
        </is>
      </c>
      <c r="I1597" s="637" t="n">
        <v>541</v>
      </c>
      <c r="J1597" s="637" t="inlineStr">
        <is>
          <t>SPB_Neste_541</t>
        </is>
      </c>
      <c r="K1597" s="640" t="n">
        <v>3</v>
      </c>
      <c r="L1597" s="640" t="n">
        <v>0</v>
      </c>
      <c r="M1597" s="623" t="inlineStr">
        <is>
          <t>Экран 32" горизонтальный</t>
        </is>
      </c>
      <c r="N1597" s="640" t="n"/>
      <c r="O1597" s="640">
        <f>IF(AND(N1597=1,L1597=1),K1597,"")</f>
        <v/>
      </c>
      <c r="P1597" s="642" t="inlineStr">
        <is>
          <t>Псков, 4 км., шоссе Псков-Изборск</t>
        </is>
      </c>
      <c r="Q1597" s="640" t="inlineStr">
        <is>
          <t>57.807463</t>
        </is>
      </c>
      <c r="R1597" s="494" t="inlineStr">
        <is>
          <t>28.266199</t>
        </is>
      </c>
      <c r="S1597" s="387" t="n"/>
      <c r="T1597" s="436" t="n"/>
      <c r="U1597" s="387" t="n"/>
      <c r="V1597" s="387" t="n"/>
      <c r="W1597" s="387" t="n"/>
      <c r="X1597" s="387" t="n"/>
      <c r="Y1597" s="387" t="n"/>
    </row>
    <row r="1598" hidden="1" ht="16.05" customFormat="1" customHeight="1" s="126">
      <c r="A1598" s="128" t="n">
        <v>2107</v>
      </c>
      <c r="B1598" s="128" t="n"/>
      <c r="C1598" s="130" t="inlineStr">
        <is>
          <t>Санкт-Петербург</t>
        </is>
      </c>
      <c r="D1598" s="130" t="inlineStr">
        <is>
          <t>Гатчинский</t>
        </is>
      </c>
      <c r="E1598" s="130" t="n"/>
      <c r="F1598" s="130" t="inlineStr">
        <is>
          <t>АЗС</t>
        </is>
      </c>
      <c r="G1598" s="130" t="inlineStr">
        <is>
          <t>Neste</t>
        </is>
      </c>
      <c r="H1598" s="131" t="inlineStr">
        <is>
          <t>АЗС №542</t>
        </is>
      </c>
      <c r="I1598" s="637" t="n">
        <v>542</v>
      </c>
      <c r="J1598" s="637" t="inlineStr">
        <is>
          <t>SPB_Neste_542</t>
        </is>
      </c>
      <c r="K1598" s="640" t="n">
        <v>2</v>
      </c>
      <c r="L1598" s="640" t="n">
        <v>0</v>
      </c>
      <c r="M1598" s="623" t="inlineStr">
        <is>
          <t>Экран 32" горизонтальный</t>
        </is>
      </c>
      <c r="N1598" s="640" t="n"/>
      <c r="O1598" s="640">
        <f>IF(AND(N1598=1,L1598=1),K1598,"")</f>
        <v/>
      </c>
      <c r="P1598" s="642" t="inlineStr">
        <is>
          <t>Гатчина, ул.Киевская 17</t>
        </is>
      </c>
      <c r="Q1598" s="640" t="inlineStr">
        <is>
          <t>59.55426</t>
        </is>
      </c>
      <c r="R1598" s="494" t="inlineStr">
        <is>
          <t>30.10533</t>
        </is>
      </c>
      <c r="S1598" s="387" t="n"/>
      <c r="T1598" s="436" t="n"/>
      <c r="U1598" s="387" t="n"/>
      <c r="V1598" s="387" t="n"/>
      <c r="W1598" s="387" t="n"/>
      <c r="X1598" s="387" t="n"/>
      <c r="Y1598" s="387" t="n"/>
    </row>
    <row r="1599" hidden="1" ht="16.05" customFormat="1" customHeight="1" s="126">
      <c r="A1599" s="125" t="n">
        <v>2108</v>
      </c>
      <c r="B1599" s="125" t="n"/>
      <c r="C1599" s="130" t="inlineStr">
        <is>
          <t>Санкт-Петербург</t>
        </is>
      </c>
      <c r="D1599" s="130" t="inlineStr">
        <is>
          <t>Псков</t>
        </is>
      </c>
      <c r="E1599" s="130" t="n"/>
      <c r="F1599" s="130" t="inlineStr">
        <is>
          <t>АЗС</t>
        </is>
      </c>
      <c r="G1599" s="130" t="inlineStr">
        <is>
          <t>Татнефть</t>
        </is>
      </c>
      <c r="H1599" s="131" t="inlineStr">
        <is>
          <t>АЗС № 544</t>
        </is>
      </c>
      <c r="I1599" s="637" t="n">
        <v>544</v>
      </c>
      <c r="J1599" s="637" t="inlineStr">
        <is>
          <t>SPB_Neste_544</t>
        </is>
      </c>
      <c r="K1599" s="640" t="n">
        <v>2</v>
      </c>
      <c r="L1599" s="640" t="n">
        <v>0</v>
      </c>
      <c r="M1599" s="623" t="inlineStr">
        <is>
          <t>Экран 55" вертикальный</t>
        </is>
      </c>
      <c r="N1599" s="640" t="n"/>
      <c r="O1599" s="640">
        <f>IF(AND(N1599=1,L1599=1),K1599,"")</f>
        <v/>
      </c>
      <c r="P1599" s="642" t="inlineStr">
        <is>
          <t>Псков, Ленинградское ш., 21</t>
        </is>
      </c>
      <c r="Q1599" s="640" t="n">
        <v>57.795644</v>
      </c>
      <c r="R1599" s="494" t="n">
        <v>28.416848</v>
      </c>
      <c r="S1599" s="387" t="n"/>
      <c r="T1599" s="436" t="n"/>
      <c r="U1599" s="387" t="n"/>
      <c r="V1599" s="387" t="n"/>
      <c r="W1599" s="387" t="n"/>
      <c r="X1599" s="387" t="n"/>
      <c r="Y1599" s="387" t="n"/>
    </row>
    <row r="1600" hidden="1" ht="16.05" customFormat="1" customHeight="1" s="126">
      <c r="A1600" s="125" t="n">
        <v>2109</v>
      </c>
      <c r="B1600" s="125" t="n"/>
      <c r="C1600" s="130" t="inlineStr">
        <is>
          <t>Санкт-Петербург</t>
        </is>
      </c>
      <c r="D1600" s="130" t="inlineStr">
        <is>
          <t>Новгород</t>
        </is>
      </c>
      <c r="E1600" s="130" t="n"/>
      <c r="F1600" s="130" t="inlineStr">
        <is>
          <t>АЗС</t>
        </is>
      </c>
      <c r="G1600" s="130" t="inlineStr">
        <is>
          <t>Neste</t>
        </is>
      </c>
      <c r="H1600" s="131" t="inlineStr">
        <is>
          <t>АЗС №545</t>
        </is>
      </c>
      <c r="I1600" s="637" t="n">
        <v>545</v>
      </c>
      <c r="J1600" s="637" t="inlineStr">
        <is>
          <t>SPB_Neste_545</t>
        </is>
      </c>
      <c r="K1600" s="640" t="n">
        <v>3</v>
      </c>
      <c r="L1600" s="640" t="n">
        <v>0</v>
      </c>
      <c r="M1600" s="623" t="inlineStr">
        <is>
          <t>Экран 32" горизонтальный</t>
        </is>
      </c>
      <c r="N1600" s="640" t="n"/>
      <c r="O1600" s="640">
        <f>IF(AND(N1600=1,L1600=1),K1600,"")</f>
        <v/>
      </c>
      <c r="P1600" s="642" t="inlineStr">
        <is>
          <t>Новгород Державина д.20</t>
        </is>
      </c>
      <c r="Q1600" s="640" t="inlineStr">
        <is>
          <t>58.539648</t>
        </is>
      </c>
      <c r="R1600" s="494" t="inlineStr">
        <is>
          <t>31.322763</t>
        </is>
      </c>
      <c r="S1600" s="387" t="n"/>
      <c r="T1600" s="436" t="n"/>
      <c r="U1600" s="387" t="n"/>
      <c r="V1600" s="387" t="n"/>
      <c r="W1600" s="387" t="n"/>
      <c r="X1600" s="387" t="n"/>
      <c r="Y1600" s="387" t="n"/>
    </row>
    <row r="1601" hidden="1" ht="16.05" customFormat="1" customHeight="1" s="126">
      <c r="A1601" s="128" t="n">
        <v>2117</v>
      </c>
      <c r="B1601" s="128" t="n"/>
      <c r="C1601" s="130" t="inlineStr">
        <is>
          <t>Алтайский край</t>
        </is>
      </c>
      <c r="D1601" s="130" t="inlineStr">
        <is>
          <t>Барнаул</t>
        </is>
      </c>
      <c r="E1601" s="130" t="n"/>
      <c r="F1601" s="130" t="inlineStr">
        <is>
          <t>АЗС</t>
        </is>
      </c>
      <c r="G1601" s="130" t="inlineStr">
        <is>
          <t>Роснефть</t>
        </is>
      </c>
      <c r="H1601" s="131" t="n"/>
      <c r="I1601" s="637" t="n">
        <v>4</v>
      </c>
      <c r="J1601" s="637" t="inlineStr">
        <is>
          <t>BRL_RN_0004</t>
        </is>
      </c>
      <c r="K1601" s="640" t="n">
        <v>1</v>
      </c>
      <c r="L1601" s="640" t="n">
        <v>1</v>
      </c>
      <c r="M1601" s="623" t="inlineStr">
        <is>
          <t>Samsung 32" вертикальный</t>
        </is>
      </c>
      <c r="N1601" s="640" t="n"/>
      <c r="O1601" s="640">
        <f>IF(AND(N1601=1,L1601=1),K1601,"")</f>
        <v/>
      </c>
      <c r="P1601" s="642" t="inlineStr">
        <is>
          <t xml:space="preserve">г.Барнаул ул.Титова,4в </t>
        </is>
      </c>
      <c r="Q1601" s="640" t="inlineStr">
        <is>
          <t>53.384938</t>
        </is>
      </c>
      <c r="R1601" s="494" t="inlineStr">
        <is>
          <t>83.733692</t>
        </is>
      </c>
      <c r="S1601" s="387" t="n"/>
      <c r="T1601" s="436" t="n"/>
      <c r="U1601" s="387" t="n"/>
      <c r="V1601" s="387" t="n"/>
      <c r="W1601" s="387" t="n"/>
      <c r="X1601" s="387" t="n"/>
      <c r="Y1601" s="387" t="n"/>
    </row>
    <row r="1602" hidden="1" ht="16.05" customFormat="1" customHeight="1" s="126">
      <c r="A1602" s="125" t="n">
        <v>2118</v>
      </c>
      <c r="B1602" s="125" t="n"/>
      <c r="C1602" s="130" t="inlineStr">
        <is>
          <t>Алтайский край</t>
        </is>
      </c>
      <c r="D1602" s="130" t="inlineStr">
        <is>
          <t>Барнаул</t>
        </is>
      </c>
      <c r="E1602" s="130" t="n"/>
      <c r="F1602" s="130" t="inlineStr">
        <is>
          <t>АЗС</t>
        </is>
      </c>
      <c r="G1602" s="130" t="inlineStr">
        <is>
          <t>Роснефть</t>
        </is>
      </c>
      <c r="H1602" s="131" t="n"/>
      <c r="I1602" s="637" t="n">
        <v>5</v>
      </c>
      <c r="J1602" s="637" t="inlineStr">
        <is>
          <t>BRL_RN_0005</t>
        </is>
      </c>
      <c r="K1602" s="640" t="n">
        <v>1</v>
      </c>
      <c r="L1602" s="640" t="n">
        <v>1</v>
      </c>
      <c r="M1602" s="623" t="inlineStr">
        <is>
          <t>Samsung 32" вертикальный</t>
        </is>
      </c>
      <c r="N1602" s="640" t="n"/>
      <c r="O1602" s="640">
        <f>IF(AND(N1602=1,L1602=1),K1602,"")</f>
        <v/>
      </c>
      <c r="P1602" s="642" t="inlineStr">
        <is>
          <t xml:space="preserve">г.Барнаул пр.Калинина,19 </t>
        </is>
      </c>
      <c r="Q1602" s="640" t="inlineStr">
        <is>
          <t>53.369627</t>
        </is>
      </c>
      <c r="R1602" s="422" t="inlineStr">
        <is>
          <t>83.761138</t>
        </is>
      </c>
      <c r="S1602" s="387" t="n"/>
      <c r="T1602" s="436" t="n"/>
      <c r="U1602" s="387" t="n"/>
      <c r="V1602" s="387" t="n"/>
      <c r="W1602" s="387" t="n"/>
      <c r="X1602" s="387" t="n"/>
      <c r="Y1602" s="387" t="n"/>
    </row>
    <row r="1603" hidden="1" ht="16.05" customFormat="1" customHeight="1" s="126">
      <c r="A1603" s="125" t="n">
        <v>2116</v>
      </c>
      <c r="B1603" s="125" t="n"/>
      <c r="C1603" s="130" t="inlineStr">
        <is>
          <t>Алтайский край</t>
        </is>
      </c>
      <c r="D1603" s="130" t="inlineStr">
        <is>
          <t>Барнаул</t>
        </is>
      </c>
      <c r="E1603" s="130" t="n"/>
      <c r="F1603" s="130" t="inlineStr">
        <is>
          <t>АЗС</t>
        </is>
      </c>
      <c r="G1603" s="130" t="inlineStr">
        <is>
          <t>Роснефть</t>
        </is>
      </c>
      <c r="H1603" s="131" t="n"/>
      <c r="I1603" s="637" t="n">
        <v>3</v>
      </c>
      <c r="J1603" s="637" t="inlineStr">
        <is>
          <t>BRL_RN_0003</t>
        </is>
      </c>
      <c r="K1603" s="640" t="n">
        <v>1</v>
      </c>
      <c r="L1603" s="640" t="n">
        <v>0</v>
      </c>
      <c r="M1603" s="640" t="inlineStr">
        <is>
          <t>Samsung 32" вертикальный</t>
        </is>
      </c>
      <c r="N1603" s="640" t="n"/>
      <c r="O1603" s="640">
        <f>IF(AND(N1603=1,L1603=1),K1603,"")</f>
        <v/>
      </c>
      <c r="P1603" s="642" t="inlineStr">
        <is>
          <t>г.Барнаул Малахова,88</t>
        </is>
      </c>
      <c r="Q1603" s="640" t="inlineStr">
        <is>
          <t>53.356052</t>
        </is>
      </c>
      <c r="R1603" s="422" t="inlineStr">
        <is>
          <t>83.697167</t>
        </is>
      </c>
      <c r="S1603" s="387" t="n"/>
      <c r="T1603" s="436" t="n"/>
      <c r="U1603" s="387" t="n"/>
      <c r="V1603" s="387" t="n"/>
      <c r="W1603" s="387" t="n"/>
      <c r="X1603" s="387" t="n"/>
      <c r="Y1603" s="387" t="n"/>
    </row>
    <row r="1604" hidden="1" ht="16.05" customFormat="1" customHeight="1" s="126">
      <c r="A1604" s="125" t="n">
        <v>2110</v>
      </c>
      <c r="B1604" s="125" t="inlineStr">
        <is>
          <t>WF</t>
        </is>
      </c>
      <c r="C1604" s="130" t="inlineStr">
        <is>
          <t>Нижний Новгород</t>
        </is>
      </c>
      <c r="D1604" s="130" t="inlineStr">
        <is>
          <t>Нижний Новгород</t>
        </is>
      </c>
      <c r="E1604" s="130" t="n"/>
      <c r="F1604" s="130" t="inlineStr">
        <is>
          <t>АЗС</t>
        </is>
      </c>
      <c r="G1604" s="130" t="inlineStr">
        <is>
          <t>Лукойл</t>
        </is>
      </c>
      <c r="H1604" s="131" t="n"/>
      <c r="I1604" s="637" t="n">
        <v>52002</v>
      </c>
      <c r="J1604" s="637" t="inlineStr">
        <is>
          <t>NN_LUK_52002</t>
        </is>
      </c>
      <c r="K1604" s="640" t="n">
        <v>1</v>
      </c>
      <c r="L1604" s="640" t="n">
        <v>0</v>
      </c>
      <c r="M1604" s="640" t="inlineStr">
        <is>
          <t>1 октября</t>
        </is>
      </c>
      <c r="N1604" s="640" t="n"/>
      <c r="O1604" s="640">
        <f>IF(AND(N1604=1,L1604=1),K1604,"")</f>
        <v/>
      </c>
      <c r="P1604" s="642" t="inlineStr">
        <is>
          <t xml:space="preserve">Россия, 603028, Нижегородская обл., г. Нижний Новгород, ш. Комсомольское, 2   </t>
        </is>
      </c>
      <c r="Q1604" s="640" t="n">
        <v>56.296094</v>
      </c>
      <c r="R1604" s="422" t="n">
        <v>43.925452</v>
      </c>
      <c r="S1604" s="387" t="n"/>
      <c r="T1604" s="436" t="n"/>
      <c r="U1604" s="387" t="n"/>
      <c r="V1604" s="387" t="n"/>
      <c r="W1604" s="387" t="n"/>
      <c r="X1604" s="1" t="n"/>
      <c r="Y1604" s="1" t="n"/>
    </row>
    <row r="1605" hidden="1" ht="16.05" customFormat="1" customHeight="1" s="126">
      <c r="A1605" s="125" t="n">
        <v>2111</v>
      </c>
      <c r="B1605" s="125" t="inlineStr">
        <is>
          <t>WF</t>
        </is>
      </c>
      <c r="C1605" s="130" t="inlineStr">
        <is>
          <t>Москва</t>
        </is>
      </c>
      <c r="D1605" s="130" t="inlineStr">
        <is>
          <t>Москва</t>
        </is>
      </c>
      <c r="E1605" s="130" t="n"/>
      <c r="F1605" s="130" t="inlineStr">
        <is>
          <t>АЗС</t>
        </is>
      </c>
      <c r="G1605" s="130" t="inlineStr">
        <is>
          <t>Лукойл</t>
        </is>
      </c>
      <c r="H1605" s="131" t="n"/>
      <c r="I1605" s="637" t="n">
        <v>77537</v>
      </c>
      <c r="J1605" s="637" t="inlineStr">
        <is>
          <t>MSK_LUK_0537</t>
        </is>
      </c>
      <c r="K1605" s="640" t="n">
        <v>1</v>
      </c>
      <c r="L1605" s="640" t="n">
        <v>0</v>
      </c>
      <c r="M1605" s="640" t="inlineStr">
        <is>
          <t>1 октября</t>
        </is>
      </c>
      <c r="N1605" s="640" t="n"/>
      <c r="O1605" s="640">
        <f>IF(AND(N1605=1,L1605=1),K1605,"")</f>
        <v/>
      </c>
      <c r="P1605" s="642" t="inlineStr">
        <is>
          <t>г. Москва, ул. Бабушкина Летчика, д. 38</t>
        </is>
      </c>
      <c r="Q1605" s="640" t="n">
        <v>55.8752</v>
      </c>
      <c r="R1605" s="422" t="n">
        <v>37.67993</v>
      </c>
      <c r="S1605" s="438" t="n"/>
      <c r="T1605" s="436" t="n"/>
      <c r="U1605" s="387" t="n"/>
      <c r="V1605" s="387" t="n"/>
      <c r="W1605" s="387" t="n"/>
      <c r="X1605" s="1" t="n"/>
      <c r="Y1605" s="1" t="n"/>
    </row>
    <row r="1606" hidden="1" ht="16.05" customFormat="1" customHeight="1" s="126">
      <c r="A1606" s="125" t="n">
        <v>2112</v>
      </c>
      <c r="B1606" s="125" t="inlineStr">
        <is>
          <t>WF</t>
        </is>
      </c>
      <c r="C1606" s="130" t="inlineStr">
        <is>
          <t>Москва</t>
        </is>
      </c>
      <c r="D1606" s="130" t="inlineStr">
        <is>
          <t>Москва</t>
        </is>
      </c>
      <c r="E1606" s="130" t="n"/>
      <c r="F1606" s="130" t="inlineStr">
        <is>
          <t>АЗС</t>
        </is>
      </c>
      <c r="G1606" s="130" t="inlineStr">
        <is>
          <t>Лукойл</t>
        </is>
      </c>
      <c r="H1606" s="131" t="n"/>
      <c r="I1606" s="637" t="n">
        <v>77545</v>
      </c>
      <c r="J1606" s="637" t="inlineStr">
        <is>
          <t>MSK_LUK_0545</t>
        </is>
      </c>
      <c r="K1606" s="640" t="n">
        <v>1</v>
      </c>
      <c r="L1606" s="640" t="n">
        <v>0</v>
      </c>
      <c r="M1606" s="640" t="inlineStr">
        <is>
          <t>1 октября</t>
        </is>
      </c>
      <c r="N1606" s="640" t="n"/>
      <c r="O1606" s="640">
        <f>IF(AND(N1606=1,L1606=1),K1606,"")</f>
        <v/>
      </c>
      <c r="P1606" s="642" t="inlineStr">
        <is>
          <t>г. Москва, ул. Магистральная 1-я, вл. 19/2</t>
        </is>
      </c>
      <c r="Q1606" s="640" t="n">
        <v>55.76945</v>
      </c>
      <c r="R1606" s="422" t="n">
        <v>37.523</v>
      </c>
      <c r="S1606" s="438" t="n"/>
      <c r="T1606" s="436" t="n"/>
      <c r="U1606" s="387" t="n"/>
      <c r="V1606" s="387" t="n"/>
      <c r="W1606" s="387" t="n"/>
      <c r="X1606" s="1" t="n"/>
      <c r="Y1606" s="1" t="n"/>
    </row>
    <row r="1607" hidden="1" ht="16.05" customHeight="1">
      <c r="A1607" s="791" t="n">
        <v>2113</v>
      </c>
      <c r="B1607" s="13">
        <f>IF(OR(M1607="Sam 32",M1607="Sam 40"),"s",IF(M1607="AMS","a","v"))</f>
        <v/>
      </c>
      <c r="C1607" s="130" t="inlineStr">
        <is>
          <t>Москва</t>
        </is>
      </c>
      <c r="D1607" s="130" t="inlineStr">
        <is>
          <t>Московская область</t>
        </is>
      </c>
      <c r="E1607" s="130" t="n"/>
      <c r="F1607" s="130" t="n"/>
      <c r="G1607" s="130" t="inlineStr">
        <is>
          <t>Лукойл</t>
        </is>
      </c>
      <c r="H1607" s="131" t="n"/>
      <c r="I1607" s="637" t="inlineStr">
        <is>
          <t>LUK_422</t>
        </is>
      </c>
      <c r="J1607" s="637" t="inlineStr">
        <is>
          <t>MSK_LUK_0422</t>
        </is>
      </c>
      <c r="K1607" s="640" t="n">
        <v>1</v>
      </c>
      <c r="L1607" s="640" t="n">
        <v>0</v>
      </c>
      <c r="M1607" s="640" t="inlineStr">
        <is>
          <t>Sam 32</t>
        </is>
      </c>
      <c r="N1607" s="640" t="n"/>
      <c r="O1607" s="640">
        <f>IF(AND(N1607=1,L1607=1),K1607,"")</f>
        <v/>
      </c>
      <c r="P1607" s="642" t="inlineStr">
        <is>
          <t>Московская область и новая Москва, Каширский район, М4, 117-й км (1427-й км), слева</t>
        </is>
      </c>
      <c r="Q1607" s="640" t="n"/>
      <c r="R1607" s="422" t="n"/>
      <c r="T1607" s="436" t="n"/>
      <c r="X1607" s="1" t="n"/>
      <c r="Y1607" s="1" t="n"/>
      <c r="Z1607" s="1" t="n"/>
    </row>
    <row r="1608" hidden="1" ht="16.05" customFormat="1" customHeight="1" s="126">
      <c r="A1608" s="125" t="n">
        <v>2114</v>
      </c>
      <c r="B1608" s="125" t="inlineStr">
        <is>
          <t>WF</t>
        </is>
      </c>
      <c r="C1608" s="130" t="inlineStr">
        <is>
          <t>Москва</t>
        </is>
      </c>
      <c r="D1608" s="130" t="inlineStr">
        <is>
          <t>Москва</t>
        </is>
      </c>
      <c r="E1608" s="130" t="n"/>
      <c r="F1608" s="130" t="inlineStr">
        <is>
          <t>АЗС</t>
        </is>
      </c>
      <c r="G1608" s="130" t="inlineStr">
        <is>
          <t>Лукойл</t>
        </is>
      </c>
      <c r="H1608" s="131" t="n"/>
      <c r="I1608" s="637" t="n">
        <v>77593</v>
      </c>
      <c r="J1608" s="637" t="inlineStr">
        <is>
          <t>MSK_LUK_0593</t>
        </is>
      </c>
      <c r="K1608" s="640" t="n">
        <v>1</v>
      </c>
      <c r="L1608" s="640" t="n">
        <v>0</v>
      </c>
      <c r="M1608" s="640" t="inlineStr">
        <is>
          <t>1 октября</t>
        </is>
      </c>
      <c r="N1608" s="640" t="n"/>
      <c r="O1608" s="640">
        <f>IF(AND(N1608=1,L1608=1),K1608,"")</f>
        <v/>
      </c>
      <c r="P1608" s="642" t="inlineStr">
        <is>
          <t>г. Москва, улица Покрышкина, дом 5, стр. 2</t>
        </is>
      </c>
      <c r="Q1608" s="640" t="n">
        <v>55.66442</v>
      </c>
      <c r="R1608" s="422" t="n">
        <v>37.47102</v>
      </c>
      <c r="S1608" s="438" t="n"/>
      <c r="T1608" s="436" t="n"/>
      <c r="U1608" s="387" t="n"/>
      <c r="V1608" s="387" t="n"/>
      <c r="W1608" s="387" t="n"/>
      <c r="X1608" s="1" t="n"/>
      <c r="Y1608" s="1" t="n"/>
    </row>
    <row r="1609" hidden="1" ht="16.05" customFormat="1" customHeight="1" s="126">
      <c r="A1609" s="125" t="n">
        <v>2115</v>
      </c>
      <c r="B1609" s="125" t="inlineStr">
        <is>
          <t>WF</t>
        </is>
      </c>
      <c r="C1609" s="130" t="inlineStr">
        <is>
          <t>Москва</t>
        </is>
      </c>
      <c r="D1609" s="130" t="inlineStr">
        <is>
          <t>Москва</t>
        </is>
      </c>
      <c r="E1609" s="130" t="n"/>
      <c r="F1609" s="130" t="inlineStr">
        <is>
          <t>АЗС</t>
        </is>
      </c>
      <c r="G1609" s="130" t="inlineStr">
        <is>
          <t>Лукойл</t>
        </is>
      </c>
      <c r="H1609" s="131" t="n"/>
      <c r="I1609" s="637" t="n">
        <v>77551</v>
      </c>
      <c r="J1609" s="637" t="inlineStr">
        <is>
          <t>MSK_LUK_0551</t>
        </is>
      </c>
      <c r="K1609" s="640" t="n">
        <v>1</v>
      </c>
      <c r="L1609" s="640" t="n">
        <v>0</v>
      </c>
      <c r="M1609" s="640" t="inlineStr">
        <is>
          <t>1 октября</t>
        </is>
      </c>
      <c r="N1609" s="640" t="n"/>
      <c r="O1609" s="640">
        <f>IF(AND(N1609=1,L1609=1),K1609,"")</f>
        <v/>
      </c>
      <c r="P1609" s="642" t="inlineStr">
        <is>
          <t>г. Москва, просп. Волгоградский, д. 39, стр. 1</t>
        </is>
      </c>
      <c r="Q1609" s="640" t="n">
        <v>55.71556</v>
      </c>
      <c r="R1609" s="422" t="n">
        <v>37.71267</v>
      </c>
      <c r="S1609" s="438" t="n"/>
      <c r="T1609" s="436" t="n"/>
      <c r="U1609" s="387" t="n"/>
      <c r="V1609" s="387" t="n"/>
      <c r="W1609" s="387" t="n"/>
      <c r="X1609" s="1" t="n"/>
      <c r="Y1609" s="1" t="n"/>
    </row>
    <row r="1610" hidden="1" ht="16.05" customFormat="1" customHeight="1" s="126">
      <c r="A1610" s="125" t="n">
        <v>2119</v>
      </c>
      <c r="B1610" s="125" t="n"/>
      <c r="C1610" s="130" t="inlineStr">
        <is>
          <t>Алтайский край</t>
        </is>
      </c>
      <c r="D1610" s="130" t="inlineStr">
        <is>
          <t>Барнаул</t>
        </is>
      </c>
      <c r="E1610" s="130" t="n"/>
      <c r="F1610" s="130" t="inlineStr">
        <is>
          <t>АЗС</t>
        </is>
      </c>
      <c r="G1610" s="130" t="inlineStr">
        <is>
          <t>Роснефть</t>
        </is>
      </c>
      <c r="H1610" s="131" t="n"/>
      <c r="I1610" s="637" t="n">
        <v>241</v>
      </c>
      <c r="J1610" s="637" t="inlineStr">
        <is>
          <t>BRL_RN_0241</t>
        </is>
      </c>
      <c r="K1610" s="640" t="n">
        <v>1</v>
      </c>
      <c r="L1610" s="640" t="n">
        <v>1</v>
      </c>
      <c r="M1610" s="623" t="inlineStr">
        <is>
          <t>Samsung 32" вертикальный</t>
        </is>
      </c>
      <c r="N1610" s="640" t="n"/>
      <c r="O1610" s="640">
        <f>IF(AND(N1610=1,L1610=1),K1610,"")</f>
        <v/>
      </c>
      <c r="P1610" s="642" t="inlineStr">
        <is>
          <t xml:space="preserve">г.Барнаул,  ул. Северо-Западная, 18 </t>
        </is>
      </c>
      <c r="Q1610" s="640" t="inlineStr">
        <is>
          <t>53.374448</t>
        </is>
      </c>
      <c r="R1610" s="422" t="inlineStr">
        <is>
          <t>83.751434</t>
        </is>
      </c>
      <c r="S1610" s="387" t="n"/>
      <c r="T1610" s="436" t="n"/>
      <c r="U1610" s="387" t="n"/>
      <c r="V1610" s="387" t="n"/>
      <c r="W1610" s="387" t="n"/>
      <c r="X1610" s="387" t="n"/>
      <c r="Y1610" s="387" t="n"/>
    </row>
    <row r="1611" hidden="1" ht="16.05" customFormat="1" customHeight="1" s="126">
      <c r="A1611" s="125" t="n">
        <v>2120</v>
      </c>
      <c r="B1611" s="125" t="n"/>
      <c r="C1611" s="130" t="inlineStr">
        <is>
          <t>Алтайский край</t>
        </is>
      </c>
      <c r="D1611" s="130" t="inlineStr">
        <is>
          <t>Барнаул</t>
        </is>
      </c>
      <c r="E1611" s="130" t="n"/>
      <c r="F1611" s="130" t="inlineStr">
        <is>
          <t>АЗС</t>
        </is>
      </c>
      <c r="G1611" s="130" t="inlineStr">
        <is>
          <t>Роснефть</t>
        </is>
      </c>
      <c r="H1611" s="131" t="n"/>
      <c r="I1611" s="637" t="n">
        <v>242</v>
      </c>
      <c r="J1611" s="637" t="inlineStr">
        <is>
          <t>BRL_RN_0242</t>
        </is>
      </c>
      <c r="K1611" s="640" t="n">
        <v>1</v>
      </c>
      <c r="L1611" s="640" t="n">
        <v>1</v>
      </c>
      <c r="M1611" s="623" t="inlineStr">
        <is>
          <t>Samsung 32" вертикальный</t>
        </is>
      </c>
      <c r="N1611" s="640" t="n"/>
      <c r="O1611" s="640">
        <f>IF(AND(N1611=1,L1611=1),K1611,"")</f>
        <v/>
      </c>
      <c r="P1611" s="642" t="inlineStr">
        <is>
          <t xml:space="preserve">г.Барнаул, ул. Власихинская,61 </t>
        </is>
      </c>
      <c r="Q1611" s="640" t="inlineStr">
        <is>
          <t>53.326604</t>
        </is>
      </c>
      <c r="R1611" s="422" t="inlineStr">
        <is>
          <t>83.693661</t>
        </is>
      </c>
      <c r="S1611" s="387" t="n"/>
      <c r="T1611" s="436" t="n"/>
      <c r="U1611" s="387" t="n"/>
      <c r="V1611" s="387" t="n"/>
      <c r="W1611" s="387" t="n"/>
      <c r="X1611" s="387" t="n"/>
      <c r="Y1611" s="387" t="n"/>
    </row>
    <row r="1612" hidden="1" ht="16.05" customFormat="1" customHeight="1" s="126">
      <c r="A1612" s="125" t="n">
        <v>2121</v>
      </c>
      <c r="B1612" s="125" t="n"/>
      <c r="C1612" s="130" t="inlineStr">
        <is>
          <t>Алтайский край</t>
        </is>
      </c>
      <c r="D1612" s="130" t="inlineStr">
        <is>
          <t>Барнаул</t>
        </is>
      </c>
      <c r="E1612" s="130" t="n"/>
      <c r="F1612" s="130" t="inlineStr">
        <is>
          <t>АЗС</t>
        </is>
      </c>
      <c r="G1612" s="130" t="inlineStr">
        <is>
          <t>Роснефть</t>
        </is>
      </c>
      <c r="H1612" s="131" t="n"/>
      <c r="I1612" s="637" t="n">
        <v>243</v>
      </c>
      <c r="J1612" s="637" t="inlineStr">
        <is>
          <t>BRL_RN_0243</t>
        </is>
      </c>
      <c r="K1612" s="640" t="n">
        <v>1</v>
      </c>
      <c r="L1612" s="640" t="n">
        <v>1</v>
      </c>
      <c r="M1612" s="623" t="inlineStr">
        <is>
          <t>Samsung 32" вертикальный</t>
        </is>
      </c>
      <c r="N1612" s="640" t="n"/>
      <c r="O1612" s="640">
        <f>IF(AND(N1612=1,L1612=1),K1612,"")</f>
        <v/>
      </c>
      <c r="P1612" s="642" t="inlineStr">
        <is>
          <t xml:space="preserve">г.Барнаул, Павловский тракт, 190 </t>
        </is>
      </c>
      <c r="Q1612" s="640" t="inlineStr">
        <is>
          <t>53.348963</t>
        </is>
      </c>
      <c r="R1612" s="494" t="inlineStr">
        <is>
          <t>83.636093</t>
        </is>
      </c>
      <c r="S1612" s="387" t="n"/>
      <c r="T1612" s="436" t="n"/>
      <c r="U1612" s="387" t="n"/>
      <c r="V1612" s="387" t="n"/>
      <c r="W1612" s="387" t="n"/>
      <c r="X1612" s="387" t="n"/>
      <c r="Y1612" s="387" t="n"/>
    </row>
    <row r="1613" hidden="1" ht="16.05" customFormat="1" customHeight="1" s="126">
      <c r="A1613" s="125" t="n">
        <v>2122</v>
      </c>
      <c r="B1613" s="125" t="n"/>
      <c r="C1613" s="130" t="inlineStr">
        <is>
          <t>Алтайский край</t>
        </is>
      </c>
      <c r="D1613" s="130" t="inlineStr">
        <is>
          <t>Барнаул</t>
        </is>
      </c>
      <c r="E1613" s="130" t="n"/>
      <c r="F1613" s="130" t="inlineStr">
        <is>
          <t>АЗС</t>
        </is>
      </c>
      <c r="G1613" s="130" t="inlineStr">
        <is>
          <t>Роснефть</t>
        </is>
      </c>
      <c r="H1613" s="131" t="n"/>
      <c r="I1613" s="637" t="n">
        <v>240</v>
      </c>
      <c r="J1613" s="637" t="inlineStr">
        <is>
          <t>BRL_RN_0240</t>
        </is>
      </c>
      <c r="K1613" s="640" t="n">
        <v>1</v>
      </c>
      <c r="L1613" s="640" t="n">
        <v>1</v>
      </c>
      <c r="M1613" s="623" t="inlineStr">
        <is>
          <t>Samsung 32" вертикальный</t>
        </is>
      </c>
      <c r="N1613" s="640" t="n"/>
      <c r="O1613" s="640">
        <f>IF(AND(N1613=1,L1613=1),K1613,"")</f>
        <v/>
      </c>
      <c r="P1613" s="642" t="inlineStr">
        <is>
          <t xml:space="preserve">г. Барнаул ул. Гоголя 90  </t>
        </is>
      </c>
      <c r="Q1613" s="640" t="inlineStr">
        <is>
          <t>53.329678</t>
        </is>
      </c>
      <c r="R1613" s="494" t="inlineStr">
        <is>
          <t>83.779835</t>
        </is>
      </c>
      <c r="S1613" s="387" t="n"/>
      <c r="T1613" s="436" t="n"/>
      <c r="U1613" s="387" t="n"/>
      <c r="V1613" s="387" t="n"/>
      <c r="W1613" s="387" t="n"/>
      <c r="X1613" s="387" t="n"/>
      <c r="Y1613" s="387" t="n"/>
    </row>
    <row r="1614" hidden="1" ht="16.05" customFormat="1" customHeight="1" s="126">
      <c r="A1614" s="125" t="n">
        <v>2123</v>
      </c>
      <c r="B1614" s="125" t="n"/>
      <c r="C1614" s="130" t="inlineStr">
        <is>
          <t>Алтайский край</t>
        </is>
      </c>
      <c r="D1614" s="130" t="inlineStr">
        <is>
          <t>Барнаул</t>
        </is>
      </c>
      <c r="E1614" s="130" t="n"/>
      <c r="F1614" s="130" t="inlineStr">
        <is>
          <t>АЗС</t>
        </is>
      </c>
      <c r="G1614" s="130" t="inlineStr">
        <is>
          <t>Роснефть</t>
        </is>
      </c>
      <c r="H1614" s="131" t="n"/>
      <c r="I1614" s="637" t="n">
        <v>250</v>
      </c>
      <c r="J1614" s="637" t="inlineStr">
        <is>
          <t>BRL_RN_0250</t>
        </is>
      </c>
      <c r="K1614" s="640" t="n">
        <v>1</v>
      </c>
      <c r="L1614" s="640" t="n">
        <v>1</v>
      </c>
      <c r="M1614" s="623" t="inlineStr">
        <is>
          <t>Samsung 32" вертикальный</t>
        </is>
      </c>
      <c r="N1614" s="640" t="n"/>
      <c r="O1614" s="640">
        <f>IF(AND(N1614=1,L1614=1),K1614,"")</f>
        <v/>
      </c>
      <c r="P1614" s="642" t="inlineStr">
        <is>
          <t xml:space="preserve">г. Барнаул, Правобережный тракт, 30 </t>
        </is>
      </c>
      <c r="Q1614" s="640" t="inlineStr">
        <is>
          <t>53.314719</t>
        </is>
      </c>
      <c r="R1614" s="494" t="inlineStr">
        <is>
          <t>83.835889</t>
        </is>
      </c>
      <c r="S1614" s="387" t="n"/>
      <c r="T1614" s="436" t="n"/>
      <c r="U1614" s="387" t="n"/>
      <c r="V1614" s="387" t="n"/>
      <c r="W1614" s="387" t="n"/>
      <c r="X1614" s="387" t="n"/>
      <c r="Y1614" s="387" t="n"/>
    </row>
    <row r="1615" hidden="1" ht="16.05" customFormat="1" customHeight="1" s="126">
      <c r="A1615" s="125" t="n">
        <v>2125</v>
      </c>
      <c r="B1615" s="125" t="n"/>
      <c r="C1615" s="130" t="inlineStr">
        <is>
          <t>Алтайский край</t>
        </is>
      </c>
      <c r="D1615" s="130" t="inlineStr">
        <is>
          <t>Барнаул</t>
        </is>
      </c>
      <c r="E1615" s="130" t="n"/>
      <c r="F1615" s="130" t="inlineStr">
        <is>
          <t>АЗС</t>
        </is>
      </c>
      <c r="G1615" s="130" t="inlineStr">
        <is>
          <t>Роснефть</t>
        </is>
      </c>
      <c r="H1615" s="131" t="n"/>
      <c r="I1615" s="637" t="n">
        <v>257</v>
      </c>
      <c r="J1615" s="637" t="inlineStr">
        <is>
          <t>BRL_RN_0257</t>
        </is>
      </c>
      <c r="K1615" s="640" t="n">
        <v>1</v>
      </c>
      <c r="L1615" s="640" t="n">
        <v>1</v>
      </c>
      <c r="M1615" s="623" t="inlineStr">
        <is>
          <t>Samsung 32" вертикальный</t>
        </is>
      </c>
      <c r="N1615" s="640" t="n"/>
      <c r="O1615" s="640">
        <f>IF(AND(N1615=1,L1615=1),K1615,"")</f>
        <v/>
      </c>
      <c r="P1615" s="642" t="inlineStr">
        <is>
          <t xml:space="preserve">пос. Солнечный, ул.Первая, 1 </t>
        </is>
      </c>
      <c r="Q1615" s="640" t="inlineStr">
        <is>
          <t>53.394186</t>
        </is>
      </c>
      <c r="R1615" s="494" t="inlineStr">
        <is>
          <t>83.990353</t>
        </is>
      </c>
      <c r="S1615" s="387" t="n"/>
      <c r="T1615" s="436" t="n"/>
      <c r="U1615" s="387" t="n"/>
      <c r="V1615" s="387" t="n"/>
      <c r="W1615" s="387" t="n"/>
      <c r="X1615" s="387" t="n"/>
      <c r="Y1615" s="387" t="n"/>
    </row>
    <row r="1616" ht="16.05" customFormat="1" customHeight="1" s="126">
      <c r="A1616" s="125" t="n">
        <v>2128</v>
      </c>
      <c r="B1616" s="125" t="inlineStr">
        <is>
          <t>WF</t>
        </is>
      </c>
      <c r="C1616" s="130" t="inlineStr">
        <is>
          <t>Москва</t>
        </is>
      </c>
      <c r="D1616" s="130" t="inlineStr">
        <is>
          <t>Москва</t>
        </is>
      </c>
      <c r="E1616" s="130" t="inlineStr">
        <is>
          <t>ЗАО</t>
        </is>
      </c>
      <c r="F1616" s="130" t="inlineStr">
        <is>
          <t>Супермаркет</t>
        </is>
      </c>
      <c r="G1616" s="130" t="inlineStr">
        <is>
          <t>Азбука Вкуса</t>
        </is>
      </c>
      <c r="H1616" s="131" t="n"/>
      <c r="I1616" s="637" t="n">
        <v>145</v>
      </c>
      <c r="J1616" s="637" t="inlineStr">
        <is>
          <t>MSK_A_145</t>
        </is>
      </c>
      <c r="K1616" s="640" t="n">
        <v>2</v>
      </c>
      <c r="L1616" s="640" t="n">
        <v>1</v>
      </c>
      <c r="M1616" s="623" t="inlineStr">
        <is>
          <t>Samsung 43" вертикальный</t>
        </is>
      </c>
      <c r="N1616" s="640" t="n">
        <v>1</v>
      </c>
      <c r="O1616" s="640">
        <f>IF(AND(N1616=1,L1616=1),K1616,"")</f>
        <v/>
      </c>
      <c r="P1616" s="642" t="inlineStr">
        <is>
          <t>Москва, Мосфильмовская д. 88</t>
        </is>
      </c>
      <c r="Q1616" s="640" t="inlineStr">
        <is>
          <t>55.704267</t>
        </is>
      </c>
      <c r="R1616" s="494" t="inlineStr">
        <is>
          <t>37.4932921</t>
        </is>
      </c>
      <c r="S1616" s="387" t="n">
        <v>24</v>
      </c>
      <c r="T1616" s="436">
        <f>IF(N1616=1,O1616*S1616,"")</f>
        <v/>
      </c>
      <c r="U1616" s="387" t="n"/>
      <c r="V1616" s="387" t="n"/>
      <c r="W1616" s="387" t="n"/>
      <c r="X1616" s="387" t="n"/>
      <c r="Y1616" s="387" t="n"/>
    </row>
    <row r="1617" hidden="1" ht="16.05" customFormat="1" customHeight="1" s="126">
      <c r="A1617" s="125" t="n">
        <v>2124</v>
      </c>
      <c r="B1617" s="125" t="n"/>
      <c r="C1617" s="130" t="inlineStr">
        <is>
          <t>Алтайский край</t>
        </is>
      </c>
      <c r="D1617" s="130" t="inlineStr">
        <is>
          <t>Барнаул</t>
        </is>
      </c>
      <c r="E1617" s="130" t="n"/>
      <c r="F1617" s="130" t="inlineStr">
        <is>
          <t>АЗС</t>
        </is>
      </c>
      <c r="G1617" s="130" t="inlineStr">
        <is>
          <t>Роснефть</t>
        </is>
      </c>
      <c r="H1617" s="131" t="n"/>
      <c r="I1617" s="637" t="n">
        <v>251</v>
      </c>
      <c r="J1617" s="637" t="inlineStr">
        <is>
          <t>BRL_RN_0251</t>
        </is>
      </c>
      <c r="K1617" s="640" t="n">
        <v>1</v>
      </c>
      <c r="L1617" s="640" t="n">
        <v>1</v>
      </c>
      <c r="M1617" s="623" t="inlineStr">
        <is>
          <t>Samsung 32" вертикальный</t>
        </is>
      </c>
      <c r="N1617" s="640" t="n"/>
      <c r="O1617" s="640">
        <f>IF(AND(N1617=1,L1617=1),K1617,"")</f>
        <v/>
      </c>
      <c r="P1617" s="642" t="inlineStr">
        <is>
          <t xml:space="preserve">г.Барнаул, Правобережный тракт, 31 </t>
        </is>
      </c>
      <c r="Q1617" s="640" t="inlineStr">
        <is>
          <t>53.315746</t>
        </is>
      </c>
      <c r="R1617" s="422" t="inlineStr">
        <is>
          <t>83.834482</t>
        </is>
      </c>
      <c r="S1617" s="387" t="n"/>
      <c r="T1617" s="436" t="n"/>
      <c r="U1617" s="387" t="n"/>
      <c r="V1617" s="387" t="n"/>
      <c r="W1617" s="387" t="n"/>
      <c r="X1617" s="387" t="n"/>
      <c r="Y1617" s="387" t="n"/>
    </row>
    <row r="1618" hidden="1" ht="16.05" customFormat="1" customHeight="1" s="126">
      <c r="A1618" s="125" t="n">
        <v>2171</v>
      </c>
      <c r="B1618" s="125" t="inlineStr">
        <is>
          <t>WF</t>
        </is>
      </c>
      <c r="C1618" s="130" t="inlineStr">
        <is>
          <t>Москва</t>
        </is>
      </c>
      <c r="D1618" s="130" t="inlineStr">
        <is>
          <t>Москва</t>
        </is>
      </c>
      <c r="E1618" s="130" t="inlineStr">
        <is>
          <t>ЦАО</t>
        </is>
      </c>
      <c r="F1618" s="130" t="inlineStr">
        <is>
          <t>Супермаркет</t>
        </is>
      </c>
      <c r="G1618" s="130" t="inlineStr">
        <is>
          <t>Азбука Вкуса</t>
        </is>
      </c>
      <c r="H1618" s="131" t="n"/>
      <c r="I1618" s="637" t="inlineStr">
        <is>
          <t>146_Daily</t>
        </is>
      </c>
      <c r="J1618" s="637" t="inlineStr">
        <is>
          <t>MSK_D_146</t>
        </is>
      </c>
      <c r="K1618" s="640" t="n">
        <v>2</v>
      </c>
      <c r="L1618" s="640" t="n">
        <v>1</v>
      </c>
      <c r="M1618" s="623" t="inlineStr">
        <is>
          <t>Samsung 43" вертикальный</t>
        </is>
      </c>
      <c r="N1618" s="640" t="n"/>
      <c r="O1618" s="640">
        <f>IF(AND(N1618=1,L1618=1),K1618,"")</f>
        <v/>
      </c>
      <c r="P1618" s="642" t="inlineStr">
        <is>
          <t>г.Москва, ул. Пречистенка д. 24</t>
        </is>
      </c>
      <c r="Q1618" s="640" t="inlineStr">
        <is>
          <t>55.7418739</t>
        </is>
      </c>
      <c r="R1618" s="494" t="inlineStr">
        <is>
          <t>37.5936878</t>
        </is>
      </c>
      <c r="S1618" s="387" t="n">
        <v>24</v>
      </c>
      <c r="T1618" s="436">
        <f>IF(N1618=1,O1618*S1618,"")</f>
        <v/>
      </c>
      <c r="U1618" s="387" t="n"/>
      <c r="V1618" s="387" t="n"/>
      <c r="W1618" s="387" t="n"/>
      <c r="X1618" s="387" t="n"/>
      <c r="Y1618" s="387" t="n"/>
    </row>
    <row r="1619" hidden="1" ht="16.05" customFormat="1" customHeight="1" s="126">
      <c r="A1619" s="125" t="n">
        <v>2173</v>
      </c>
      <c r="B1619" s="125" t="inlineStr">
        <is>
          <t>WF</t>
        </is>
      </c>
      <c r="C1619" s="130" t="inlineStr">
        <is>
          <t>Москва</t>
        </is>
      </c>
      <c r="D1619" s="130" t="inlineStr">
        <is>
          <t>Москва</t>
        </is>
      </c>
      <c r="E1619" s="130" t="inlineStr">
        <is>
          <t>ЦАО</t>
        </is>
      </c>
      <c r="F1619" s="130" t="inlineStr">
        <is>
          <t>Супермаркет</t>
        </is>
      </c>
      <c r="G1619" s="130" t="inlineStr">
        <is>
          <t>Азбука Вкуса</t>
        </is>
      </c>
      <c r="H1619" s="131" t="n"/>
      <c r="I1619" s="637" t="n">
        <v>147</v>
      </c>
      <c r="J1619" s="637" t="inlineStr">
        <is>
          <t>MSK_A_147</t>
        </is>
      </c>
      <c r="K1619" s="640" t="n">
        <v>4</v>
      </c>
      <c r="L1619" s="640" t="n">
        <v>1</v>
      </c>
      <c r="M1619" s="623" t="inlineStr">
        <is>
          <t>Samsung 43" вертикальный</t>
        </is>
      </c>
      <c r="N1619" s="640" t="n"/>
      <c r="O1619" s="640">
        <f>IF(AND(N1619=1,L1619=1),K1619,"")</f>
        <v/>
      </c>
      <c r="P1619" s="642" t="inlineStr">
        <is>
          <t>г.Москва, Арбат д. 54</t>
        </is>
      </c>
      <c r="Q1619" s="640" t="inlineStr">
        <is>
          <t>55.7471187</t>
        </is>
      </c>
      <c r="R1619" s="494" t="inlineStr">
        <is>
          <t>37.5831549</t>
        </is>
      </c>
      <c r="S1619" s="387" t="n">
        <v>24</v>
      </c>
      <c r="T1619" s="436">
        <f>IF(N1619=1,O1619*S1619,"")</f>
        <v/>
      </c>
      <c r="U1619" s="387" t="n"/>
      <c r="V1619" s="387" t="n"/>
      <c r="W1619" s="387" t="n"/>
      <c r="X1619" s="387" t="n"/>
      <c r="Y1619" s="387" t="n"/>
    </row>
    <row r="1620" hidden="1" ht="16.05" customFormat="1" customHeight="1" s="126">
      <c r="A1620" s="125" t="n">
        <v>2126</v>
      </c>
      <c r="B1620" s="125" t="inlineStr">
        <is>
          <t>WF</t>
        </is>
      </c>
      <c r="C1620" s="130" t="inlineStr">
        <is>
          <t>Москва</t>
        </is>
      </c>
      <c r="D1620" s="130" t="inlineStr">
        <is>
          <t>Москва</t>
        </is>
      </c>
      <c r="E1620" s="130" t="n"/>
      <c r="F1620" s="130" t="inlineStr">
        <is>
          <t>АЗС</t>
        </is>
      </c>
      <c r="G1620" s="130" t="inlineStr">
        <is>
          <t>Лукойл</t>
        </is>
      </c>
      <c r="H1620" s="131" t="n"/>
      <c r="I1620" s="637" t="n">
        <v>77571</v>
      </c>
      <c r="J1620" s="637" t="inlineStr">
        <is>
          <t>MSK_LUK_0571</t>
        </is>
      </c>
      <c r="K1620" s="640" t="n">
        <v>1</v>
      </c>
      <c r="L1620" s="640" t="n">
        <v>0</v>
      </c>
      <c r="M1620" s="640" t="inlineStr">
        <is>
          <t>1 октября</t>
        </is>
      </c>
      <c r="N1620" s="640" t="n"/>
      <c r="O1620" s="640">
        <f>IF(AND(N1620=1,L1620=1),K1620,"")</f>
        <v/>
      </c>
      <c r="P1620" s="642" t="inlineStr">
        <is>
          <t>г. Москва, МКАД, 58 км, вл. 6</t>
        </is>
      </c>
      <c r="Q1620" s="640" t="n">
        <v>55.750965</v>
      </c>
      <c r="R1620" s="422" t="n">
        <v>37.36953</v>
      </c>
      <c r="S1620" s="438" t="n"/>
      <c r="T1620" s="436" t="n"/>
      <c r="U1620" s="387" t="n"/>
      <c r="V1620" s="387" t="n"/>
      <c r="W1620" s="387" t="n"/>
      <c r="X1620" s="1" t="n"/>
      <c r="Y1620" s="1" t="n"/>
    </row>
    <row r="1621" hidden="1" ht="16.05" customFormat="1" customHeight="1" s="126">
      <c r="A1621" s="125" t="n">
        <v>2127</v>
      </c>
      <c r="B1621" s="125" t="inlineStr">
        <is>
          <t>WF</t>
        </is>
      </c>
      <c r="C1621" s="130" t="inlineStr">
        <is>
          <t>Москва</t>
        </is>
      </c>
      <c r="D1621" s="130" t="inlineStr">
        <is>
          <t>Московская область</t>
        </is>
      </c>
      <c r="E1621" s="130" t="n"/>
      <c r="F1621" s="130" t="inlineStr">
        <is>
          <t>АЗС</t>
        </is>
      </c>
      <c r="G1621" s="130" t="inlineStr">
        <is>
          <t>Лукойл</t>
        </is>
      </c>
      <c r="H1621" s="131" t="n"/>
      <c r="I1621" s="637" t="n">
        <v>50409</v>
      </c>
      <c r="J1621" s="637" t="inlineStr">
        <is>
          <t>MSK_LUK_0409</t>
        </is>
      </c>
      <c r="K1621" s="640" t="n">
        <v>1</v>
      </c>
      <c r="L1621" s="640" t="n">
        <v>0</v>
      </c>
      <c r="M1621" s="640" t="inlineStr">
        <is>
          <t>1 октября</t>
        </is>
      </c>
      <c r="N1621" s="640" t="n"/>
      <c r="O1621" s="640">
        <f>IF(AND(N1621=1,L1621=1),K1621,"")</f>
        <v/>
      </c>
      <c r="P1621" s="642" t="inlineStr">
        <is>
          <t>Московская область, г. Солнечногорск, 62 км Ленинградского шоссе</t>
        </is>
      </c>
      <c r="Q1621" s="640" t="n">
        <v>56.17309</v>
      </c>
      <c r="R1621" s="422" t="n">
        <v>37.00255</v>
      </c>
      <c r="S1621" s="438" t="n"/>
      <c r="T1621" s="436" t="n"/>
      <c r="U1621" s="387" t="n"/>
      <c r="V1621" s="387" t="n"/>
      <c r="W1621" s="387" t="n"/>
      <c r="X1621" s="1" t="n"/>
      <c r="Y1621" s="1" t="n"/>
    </row>
    <row r="1622" hidden="1" ht="16.05" customFormat="1" customHeight="1" s="126">
      <c r="A1622" s="125" t="n">
        <v>2177</v>
      </c>
      <c r="B1622" s="125" t="inlineStr">
        <is>
          <t>WF</t>
        </is>
      </c>
      <c r="C1622" s="130" t="inlineStr">
        <is>
          <t>Москва</t>
        </is>
      </c>
      <c r="D1622" s="130" t="inlineStr">
        <is>
          <t>Московская область</t>
        </is>
      </c>
      <c r="E1622" s="130" t="inlineStr">
        <is>
          <t>M1</t>
        </is>
      </c>
      <c r="F1622" s="130" t="inlineStr">
        <is>
          <t>АЗС</t>
        </is>
      </c>
      <c r="G1622" s="130" t="inlineStr">
        <is>
          <t>Роснефть</t>
        </is>
      </c>
      <c r="H1622" s="131" t="inlineStr">
        <is>
          <t>Голицино</t>
        </is>
      </c>
      <c r="I1622" s="637" t="inlineStr">
        <is>
          <t>Голицино</t>
        </is>
      </c>
      <c r="J1622" s="637" t="inlineStr">
        <is>
          <t>MSK_BP_Golittseno</t>
        </is>
      </c>
      <c r="K1622" s="640" t="n">
        <v>2</v>
      </c>
      <c r="L1622" s="640" t="n">
        <v>1</v>
      </c>
      <c r="M1622" s="623" t="inlineStr">
        <is>
          <t>Samsung 32" вертикальный</t>
        </is>
      </c>
      <c r="N1622" s="640" t="n"/>
      <c r="O1622" s="640">
        <f>IF(AND(N1622=1,L1622=1),K1622,"")</f>
        <v/>
      </c>
      <c r="P1622" s="642" t="inlineStr">
        <is>
          <t>МО Одинцовский р-он 45-й км Минского ш. (левая сторона)</t>
        </is>
      </c>
      <c r="Q1622" s="640" t="inlineStr">
        <is>
          <t>55.605594</t>
        </is>
      </c>
      <c r="R1622" s="494" t="inlineStr">
        <is>
          <t>37.019291</t>
        </is>
      </c>
      <c r="S1622" s="438" t="n"/>
      <c r="T1622" s="436">
        <f>S1622*O1622</f>
        <v/>
      </c>
      <c r="U1622" s="436" t="n">
        <v>1</v>
      </c>
      <c r="V1622" s="438">
        <f>IF(AND(N1622=1,U1622=1),C1622,"")</f>
        <v/>
      </c>
      <c r="W1622" s="387" t="n"/>
      <c r="X1622" s="387" t="n"/>
      <c r="Y1622" s="387" t="n"/>
    </row>
    <row r="1623" hidden="1" ht="16.05" customHeight="1">
      <c r="A1623" s="791" t="n">
        <v>2130</v>
      </c>
      <c r="B1623" s="13">
        <f>IF(OR(M1623="Sam 32",M1623="Sam 40"),"s",IF(M1623="AMS","a","v"))</f>
        <v/>
      </c>
      <c r="C1623" s="130" t="inlineStr">
        <is>
          <t>Екатеринбург</t>
        </is>
      </c>
      <c r="D1623" s="130" t="inlineStr">
        <is>
          <t>Екатеринбург</t>
        </is>
      </c>
      <c r="E1623" s="130" t="n"/>
      <c r="F1623" s="130" t="n"/>
      <c r="G1623" s="130" t="inlineStr">
        <is>
          <t>Лукойл</t>
        </is>
      </c>
      <c r="H1623" s="131" t="n"/>
      <c r="I1623" s="637" t="inlineStr">
        <is>
          <t>419_HOR</t>
        </is>
      </c>
      <c r="J1623" s="637" t="n"/>
      <c r="K1623" s="640" t="n">
        <v>2</v>
      </c>
      <c r="L1623" s="640" t="n">
        <v>0</v>
      </c>
      <c r="M1623" s="640" t="inlineStr">
        <is>
          <t>Sam 40</t>
        </is>
      </c>
      <c r="N1623" s="640" t="n"/>
      <c r="O1623" s="640">
        <f>IF(AND(N1623=1,L1623=1),K1623,"")</f>
        <v/>
      </c>
      <c r="P1623" s="642" t="inlineStr">
        <is>
          <t>г. Екатеринбург, ул. 2-я Новосибирская, 6</t>
        </is>
      </c>
      <c r="Q1623" s="640" t="n"/>
      <c r="R1623" s="422" t="n"/>
      <c r="X1623" s="1" t="n"/>
      <c r="Y1623" s="1" t="n"/>
      <c r="Z1623" s="1" t="n"/>
    </row>
    <row r="1624" hidden="1" ht="16.05" customHeight="1">
      <c r="A1624" s="791" t="n">
        <v>2131</v>
      </c>
      <c r="B1624" s="13">
        <f>IF(OR(M1624="Sam 32",M1624="Sam 40"),"s",IF(M1624="AMS","a","v"))</f>
        <v/>
      </c>
      <c r="C1624" s="130" t="inlineStr">
        <is>
          <t>Екатеринбург</t>
        </is>
      </c>
      <c r="D1624" s="130" t="inlineStr">
        <is>
          <t>Ачитский р-н</t>
        </is>
      </c>
      <c r="E1624" s="130" t="n"/>
      <c r="F1624" s="130" t="n"/>
      <c r="G1624" s="130" t="inlineStr">
        <is>
          <t>Лукойл</t>
        </is>
      </c>
      <c r="H1624" s="131" t="n"/>
      <c r="I1624" s="637" t="inlineStr">
        <is>
          <t>420_HOR</t>
        </is>
      </c>
      <c r="J1624" s="637" t="n"/>
      <c r="K1624" s="640" t="n">
        <v>2</v>
      </c>
      <c r="L1624" s="640" t="n">
        <v>0</v>
      </c>
      <c r="M1624" s="640" t="inlineStr">
        <is>
          <t>Sam 40</t>
        </is>
      </c>
      <c r="N1624" s="640" t="n"/>
      <c r="O1624" s="640">
        <f>IF(AND(N1624=1,L1624=1),K1624,"")</f>
        <v/>
      </c>
      <c r="P1624" s="642" t="inlineStr">
        <is>
          <t>Ачитский р-н, с. Бакряж, а/д Пермь-Екатеринбург, 169 км</t>
        </is>
      </c>
      <c r="Q1624" s="640" t="n"/>
      <c r="R1624" s="422" t="n"/>
      <c r="X1624" s="1" t="n"/>
      <c r="Y1624" s="1" t="n"/>
      <c r="Z1624" s="1" t="n"/>
    </row>
    <row r="1625" hidden="1" ht="16.05" customHeight="1">
      <c r="A1625" s="791" t="n">
        <v>2132</v>
      </c>
      <c r="B1625" s="13">
        <f>IF(OR(M1625="Sam 32",M1625="Sam 40"),"s",IF(M1625="AMS","a","v"))</f>
        <v/>
      </c>
      <c r="C1625" s="130" t="inlineStr">
        <is>
          <t>Екатеринбург</t>
        </is>
      </c>
      <c r="D1625" s="130" t="inlineStr">
        <is>
          <t>Екатеринбург</t>
        </is>
      </c>
      <c r="E1625" s="130" t="n"/>
      <c r="F1625" s="130" t="n"/>
      <c r="G1625" s="130" t="inlineStr">
        <is>
          <t>Лукойл</t>
        </is>
      </c>
      <c r="H1625" s="131" t="n"/>
      <c r="I1625" s="637" t="inlineStr">
        <is>
          <t>447_HOR</t>
        </is>
      </c>
      <c r="J1625" s="637" t="n"/>
      <c r="K1625" s="640" t="n">
        <v>2</v>
      </c>
      <c r="L1625" s="640" t="n">
        <v>0</v>
      </c>
      <c r="M1625" s="640" t="inlineStr">
        <is>
          <t>Sam 40</t>
        </is>
      </c>
      <c r="N1625" s="640" t="n"/>
      <c r="O1625" s="640">
        <f>IF(AND(N1625=1,L1625=1),K1625,"")</f>
        <v/>
      </c>
      <c r="P1625" s="642" t="inlineStr">
        <is>
          <t>г. Екатеринбург, ул. Волгоградская, 206</t>
        </is>
      </c>
      <c r="Q1625" s="640" t="n"/>
      <c r="R1625" s="422" t="n"/>
      <c r="X1625" s="1" t="n"/>
      <c r="Y1625" s="1" t="n"/>
      <c r="Z1625" s="1" t="n"/>
    </row>
    <row r="1626" hidden="1" ht="16.05" customHeight="1">
      <c r="A1626" s="791" t="n">
        <v>2133</v>
      </c>
      <c r="B1626" s="13">
        <f>IF(OR(M1626="Sam 32",M1626="Sam 40"),"s",IF(M1626="AMS","a","v"))</f>
        <v/>
      </c>
      <c r="C1626" s="130" t="inlineStr">
        <is>
          <t>Екатеринбург</t>
        </is>
      </c>
      <c r="D1626" s="130" t="inlineStr">
        <is>
          <t>Екатеринбург</t>
        </is>
      </c>
      <c r="E1626" s="130" t="n"/>
      <c r="F1626" s="130" t="n"/>
      <c r="G1626" s="130" t="inlineStr">
        <is>
          <t>Лукойл</t>
        </is>
      </c>
      <c r="H1626" s="131" t="n"/>
      <c r="I1626" s="637" t="inlineStr">
        <is>
          <t>453_HOR</t>
        </is>
      </c>
      <c r="J1626" s="637" t="n"/>
      <c r="K1626" s="640" t="n">
        <v>1</v>
      </c>
      <c r="L1626" s="640" t="n">
        <v>0</v>
      </c>
      <c r="M1626" s="640" t="inlineStr">
        <is>
          <t>Sam 40</t>
        </is>
      </c>
      <c r="N1626" s="640" t="n"/>
      <c r="O1626" s="640">
        <f>IF(AND(N1626=1,L1626=1),K1626,"")</f>
        <v/>
      </c>
      <c r="P1626" s="642" t="inlineStr">
        <is>
          <t>г. Екатеринбург, ул. Артинская, 22б</t>
        </is>
      </c>
      <c r="Q1626" s="640" t="n"/>
      <c r="R1626" s="422" t="n"/>
      <c r="X1626" s="1" t="n"/>
      <c r="Y1626" s="1" t="n"/>
      <c r="Z1626" s="1" t="n"/>
    </row>
    <row r="1627" hidden="1" ht="16.05" customHeight="1">
      <c r="A1627" s="791" t="n">
        <v>2134</v>
      </c>
      <c r="B1627" s="13">
        <f>IF(OR(M1627="Sam 32",M1627="Sam 40"),"s",IF(M1627="AMS","a","v"))</f>
        <v/>
      </c>
      <c r="C1627" s="130" t="inlineStr">
        <is>
          <t>Екатеринбург</t>
        </is>
      </c>
      <c r="D1627" s="130" t="inlineStr">
        <is>
          <t>Екатеринбург</t>
        </is>
      </c>
      <c r="E1627" s="130" t="n"/>
      <c r="F1627" s="130" t="n"/>
      <c r="G1627" s="130" t="inlineStr">
        <is>
          <t>Лукойл</t>
        </is>
      </c>
      <c r="H1627" s="131" t="n"/>
      <c r="I1627" s="637" t="inlineStr">
        <is>
          <t>455_HOR</t>
        </is>
      </c>
      <c r="J1627" s="637" t="n"/>
      <c r="K1627" s="640" t="n">
        <v>1</v>
      </c>
      <c r="L1627" s="640" t="n">
        <v>0</v>
      </c>
      <c r="M1627" s="640" t="inlineStr">
        <is>
          <t>Sam 40</t>
        </is>
      </c>
      <c r="N1627" s="640" t="n"/>
      <c r="O1627" s="640">
        <f>IF(AND(N1627=1,L1627=1),K1627,"")</f>
        <v/>
      </c>
      <c r="P1627" s="642" t="inlineStr">
        <is>
          <t>г. Екатеринбург, пос. Садовый, ЕКАД, 30 км.</t>
        </is>
      </c>
      <c r="Q1627" s="640" t="n"/>
      <c r="R1627" s="422" t="n"/>
      <c r="X1627" s="1" t="n"/>
      <c r="Y1627" s="1" t="n"/>
      <c r="Z1627" s="1" t="n"/>
    </row>
    <row r="1628" hidden="1" ht="16.05" customHeight="1">
      <c r="A1628" s="791" t="n">
        <v>2135</v>
      </c>
      <c r="B1628" s="13">
        <f>IF(OR(M1628="Sam 32",M1628="Sam 40"),"s",IF(M1628="AMS","a","v"))</f>
        <v/>
      </c>
      <c r="C1628" s="130" t="inlineStr">
        <is>
          <t>Екатеринбург</t>
        </is>
      </c>
      <c r="D1628" s="130" t="inlineStr">
        <is>
          <t>Екатеринбург</t>
        </is>
      </c>
      <c r="E1628" s="130" t="n"/>
      <c r="F1628" s="130" t="n"/>
      <c r="G1628" s="130" t="inlineStr">
        <is>
          <t>Лукойл</t>
        </is>
      </c>
      <c r="H1628" s="131" t="n"/>
      <c r="I1628" s="637" t="inlineStr">
        <is>
          <t>459_HOR</t>
        </is>
      </c>
      <c r="J1628" s="637" t="n"/>
      <c r="K1628" s="640" t="n">
        <v>1</v>
      </c>
      <c r="L1628" s="640" t="n">
        <v>0</v>
      </c>
      <c r="M1628" s="640" t="inlineStr">
        <is>
          <t>Sam 40</t>
        </is>
      </c>
      <c r="N1628" s="640" t="n"/>
      <c r="O1628" s="640">
        <f>IF(AND(N1628=1,L1628=1),K1628,"")</f>
        <v/>
      </c>
      <c r="P1628" s="642" t="inlineStr">
        <is>
          <t>г. Екатеринбург, ул. Трудовая, 31</t>
        </is>
      </c>
      <c r="Q1628" s="640" t="n"/>
      <c r="R1628" s="422" t="n"/>
      <c r="X1628" s="1" t="n"/>
      <c r="Y1628" s="1" t="n"/>
      <c r="Z1628" s="1" t="n"/>
    </row>
    <row r="1629" hidden="1" ht="16.05" customHeight="1">
      <c r="A1629" s="791" t="n">
        <v>2136</v>
      </c>
      <c r="B1629" s="13">
        <f>IF(OR(M1629="Sam 32",M1629="Sam 40"),"s",IF(M1629="AMS","a","v"))</f>
        <v/>
      </c>
      <c r="C1629" s="130" t="inlineStr">
        <is>
          <t>Екатеринбург</t>
        </is>
      </c>
      <c r="D1629" s="130" t="inlineStr">
        <is>
          <t>Свердловская обл</t>
        </is>
      </c>
      <c r="E1629" s="130" t="n"/>
      <c r="F1629" s="130" t="n"/>
      <c r="G1629" s="130" t="inlineStr">
        <is>
          <t>Лукойл</t>
        </is>
      </c>
      <c r="H1629" s="131" t="n"/>
      <c r="I1629" s="637" t="inlineStr">
        <is>
          <t>460_HOR</t>
        </is>
      </c>
      <c r="J1629" s="637" t="n"/>
      <c r="K1629" s="640" t="n">
        <v>1</v>
      </c>
      <c r="L1629" s="640" t="n">
        <v>0</v>
      </c>
      <c r="M1629" s="640" t="inlineStr">
        <is>
          <t>Sam 40</t>
        </is>
      </c>
      <c r="N1629" s="640" t="n"/>
      <c r="O1629" s="640">
        <f>IF(AND(N1629=1,L1629=1),K1629,"")</f>
        <v/>
      </c>
      <c r="P1629" s="642" t="inlineStr">
        <is>
          <t>Свердловская обл., а/д Екатеринбург-ХМАО, п.Пелым  (левая сторона)</t>
        </is>
      </c>
      <c r="Q1629" s="640" t="n"/>
      <c r="R1629" s="422" t="n"/>
      <c r="X1629" s="1" t="n"/>
      <c r="Y1629" s="1" t="n"/>
      <c r="Z1629" s="1" t="n"/>
    </row>
    <row r="1630" hidden="1" ht="16.05" customHeight="1">
      <c r="A1630" s="791" t="n">
        <v>2137</v>
      </c>
      <c r="B1630" s="13">
        <f>IF(OR(M1630="Sam 32",M1630="Sam 40"),"s",IF(M1630="AMS","a","v"))</f>
        <v/>
      </c>
      <c r="C1630" s="130" t="inlineStr">
        <is>
          <t>Екатеринбург</t>
        </is>
      </c>
      <c r="D1630" s="130" t="inlineStr">
        <is>
          <t>Екатеринбург</t>
        </is>
      </c>
      <c r="E1630" s="130" t="n"/>
      <c r="F1630" s="130" t="n"/>
      <c r="G1630" s="130" t="inlineStr">
        <is>
          <t>Лукойл</t>
        </is>
      </c>
      <c r="H1630" s="131" t="n"/>
      <c r="I1630" s="637" t="inlineStr">
        <is>
          <t>461_HOR</t>
        </is>
      </c>
      <c r="J1630" s="637" t="n"/>
      <c r="K1630" s="640" t="n">
        <v>2</v>
      </c>
      <c r="L1630" s="640" t="n">
        <v>0</v>
      </c>
      <c r="M1630" s="640" t="inlineStr">
        <is>
          <t>Sam 40</t>
        </is>
      </c>
      <c r="N1630" s="640" t="n"/>
      <c r="O1630" s="640">
        <f>IF(AND(N1630=1,L1630=1),K1630,"")</f>
        <v/>
      </c>
      <c r="P1630" s="642" t="inlineStr">
        <is>
          <t>г. Екатеринбург, ул. Трудовая, 22</t>
        </is>
      </c>
      <c r="Q1630" s="640" t="n"/>
      <c r="R1630" s="422" t="n"/>
      <c r="X1630" s="1" t="n"/>
      <c r="Y1630" s="1" t="n"/>
      <c r="Z1630" s="1" t="n"/>
    </row>
    <row r="1631" hidden="1" ht="16.05" customHeight="1">
      <c r="A1631" s="791" t="n">
        <v>2138</v>
      </c>
      <c r="B1631" s="13">
        <f>IF(OR(M1631="Sam 32",M1631="Sam 40"),"s",IF(M1631="AMS","a","v"))</f>
        <v/>
      </c>
      <c r="C1631" s="130" t="inlineStr">
        <is>
          <t>Екатеринбург</t>
        </is>
      </c>
      <c r="D1631" s="130" t="inlineStr">
        <is>
          <t>Екатеринбург</t>
        </is>
      </c>
      <c r="E1631" s="130" t="n"/>
      <c r="F1631" s="130" t="n"/>
      <c r="G1631" s="130" t="inlineStr">
        <is>
          <t>Лукойл</t>
        </is>
      </c>
      <c r="H1631" s="131" t="n"/>
      <c r="I1631" s="637" t="inlineStr">
        <is>
          <t>463_HOR</t>
        </is>
      </c>
      <c r="J1631" s="637" t="n"/>
      <c r="K1631" s="640" t="n">
        <v>2</v>
      </c>
      <c r="L1631" s="640" t="n">
        <v>0</v>
      </c>
      <c r="M1631" s="640" t="inlineStr">
        <is>
          <t>Sam 40</t>
        </is>
      </c>
      <c r="N1631" s="640" t="n"/>
      <c r="O1631" s="640">
        <f>IF(AND(N1631=1,L1631=1),K1631,"")</f>
        <v/>
      </c>
      <c r="P1631" s="642" t="inlineStr">
        <is>
          <t>г. Екатеринбург, ул. Елизаветинское шоссе, 60</t>
        </is>
      </c>
      <c r="Q1631" s="640" t="n"/>
      <c r="R1631" s="422" t="n"/>
      <c r="X1631" s="1" t="n"/>
      <c r="Y1631" s="1" t="n"/>
      <c r="Z1631" s="1" t="n"/>
    </row>
    <row r="1632" hidden="1" ht="16.05" customHeight="1">
      <c r="A1632" s="791" t="n">
        <v>2139</v>
      </c>
      <c r="B1632" s="13">
        <f>IF(OR(M1632="Sam 32",M1632="Sam 40"),"s",IF(M1632="AMS","a","v"))</f>
        <v/>
      </c>
      <c r="C1632" s="130" t="inlineStr">
        <is>
          <t>Екатеринбург</t>
        </is>
      </c>
      <c r="D1632" s="130" t="inlineStr">
        <is>
          <t>Екатеринбург</t>
        </is>
      </c>
      <c r="E1632" s="130" t="n"/>
      <c r="F1632" s="130" t="n"/>
      <c r="G1632" s="130" t="inlineStr">
        <is>
          <t>Лукойл</t>
        </is>
      </c>
      <c r="H1632" s="131" t="n"/>
      <c r="I1632" s="637" t="inlineStr">
        <is>
          <t>469_HOR</t>
        </is>
      </c>
      <c r="J1632" s="637" t="n"/>
      <c r="K1632" s="640" t="n">
        <v>1</v>
      </c>
      <c r="L1632" s="640" t="n">
        <v>0</v>
      </c>
      <c r="M1632" s="640" t="inlineStr">
        <is>
          <t>Sam 40</t>
        </is>
      </c>
      <c r="N1632" s="640" t="n"/>
      <c r="O1632" s="640">
        <f>IF(AND(N1632=1,L1632=1),K1632,"")</f>
        <v/>
      </c>
      <c r="P1632" s="642" t="inlineStr">
        <is>
          <t>г. Екатеринбург, 8 Марта, 183а</t>
        </is>
      </c>
      <c r="Q1632" s="640" t="n"/>
      <c r="R1632" s="422" t="n"/>
      <c r="X1632" s="1" t="n"/>
      <c r="Y1632" s="1" t="n"/>
      <c r="Z1632" s="1" t="n"/>
    </row>
    <row r="1633" hidden="1" ht="16.05" customHeight="1">
      <c r="A1633" s="791" t="n">
        <v>2140</v>
      </c>
      <c r="B1633" s="13">
        <f>IF(OR(M1633="Sam 32",M1633="Sam 40"),"s",IF(M1633="AMS","a","v"))</f>
        <v/>
      </c>
      <c r="C1633" s="130" t="inlineStr">
        <is>
          <t>Екатеринбург</t>
        </is>
      </c>
      <c r="D1633" s="130" t="inlineStr">
        <is>
          <t>Екатеринбург</t>
        </is>
      </c>
      <c r="E1633" s="130" t="n"/>
      <c r="F1633" s="130" t="n"/>
      <c r="G1633" s="130" t="inlineStr">
        <is>
          <t>Лукойл</t>
        </is>
      </c>
      <c r="H1633" s="131" t="n"/>
      <c r="I1633" s="637" t="inlineStr">
        <is>
          <t>477_HOR</t>
        </is>
      </c>
      <c r="J1633" s="637" t="n"/>
      <c r="K1633" s="640" t="n">
        <v>2</v>
      </c>
      <c r="L1633" s="640" t="n">
        <v>0</v>
      </c>
      <c r="M1633" s="640" t="inlineStr">
        <is>
          <t>Sam 40</t>
        </is>
      </c>
      <c r="N1633" s="640" t="n"/>
      <c r="O1633" s="640">
        <f>IF(AND(N1633=1,L1633=1),K1633,"")</f>
        <v/>
      </c>
      <c r="P1633" s="642" t="inlineStr">
        <is>
          <t>г. Екатеринбург, пер. Базовый, 30</t>
        </is>
      </c>
      <c r="Q1633" s="640" t="n"/>
      <c r="R1633" s="422" t="n"/>
      <c r="X1633" s="1" t="n"/>
      <c r="Y1633" s="1" t="n"/>
      <c r="Z1633" s="1" t="n"/>
    </row>
    <row r="1634" hidden="1" ht="16.05" customHeight="1">
      <c r="A1634" s="791" t="n">
        <v>2141</v>
      </c>
      <c r="B1634" s="13">
        <f>IF(OR(M1634="Sam 32",M1634="Sam 40"),"s",IF(M1634="AMS","a","v"))</f>
        <v/>
      </c>
      <c r="C1634" s="130" t="inlineStr">
        <is>
          <t>Екатеринбург</t>
        </is>
      </c>
      <c r="D1634" s="130" t="inlineStr">
        <is>
          <t>Нижнесергинский р-н</t>
        </is>
      </c>
      <c r="E1634" s="130" t="n"/>
      <c r="F1634" s="130" t="n"/>
      <c r="G1634" s="130" t="inlineStr">
        <is>
          <t>Лукойл</t>
        </is>
      </c>
      <c r="H1634" s="131" t="n"/>
      <c r="I1634" s="637" t="inlineStr">
        <is>
          <t>497_HOR</t>
        </is>
      </c>
      <c r="J1634" s="637" t="n"/>
      <c r="K1634" s="640" t="n">
        <v>2</v>
      </c>
      <c r="L1634" s="640" t="n">
        <v>0</v>
      </c>
      <c r="M1634" s="640" t="inlineStr">
        <is>
          <t>Sam 40</t>
        </is>
      </c>
      <c r="N1634" s="640" t="n"/>
      <c r="O1634" s="640">
        <f>IF(AND(N1634=1,L1634=1),K1634,"")</f>
        <v/>
      </c>
      <c r="P1634" s="642" t="inlineStr">
        <is>
          <t>Нижнесергинский р-н, д. Киселевка, а/д Пермь-Екатеринбург, напротив АЗС №480</t>
        </is>
      </c>
      <c r="Q1634" s="640" t="n"/>
      <c r="R1634" s="422" t="n"/>
      <c r="X1634" s="1" t="n"/>
      <c r="Y1634" s="1" t="n"/>
      <c r="Z1634" s="1" t="n"/>
    </row>
    <row r="1635" hidden="1" ht="16.05" customHeight="1">
      <c r="A1635" s="791" t="n">
        <v>2142</v>
      </c>
      <c r="B1635" s="13">
        <f>IF(OR(M1635="Sam 32",M1635="Sam 40"),"s",IF(M1635="AMS","a","v"))</f>
        <v/>
      </c>
      <c r="C1635" s="130" t="inlineStr">
        <is>
          <t>Ижевск</t>
        </is>
      </c>
      <c r="D1635" s="130" t="inlineStr">
        <is>
          <t>Ижевск</t>
        </is>
      </c>
      <c r="E1635" s="130" t="n"/>
      <c r="F1635" s="130" t="n"/>
      <c r="G1635" s="130" t="inlineStr">
        <is>
          <t>Лукойл</t>
        </is>
      </c>
      <c r="H1635" s="131" t="n"/>
      <c r="I1635" s="637" t="inlineStr">
        <is>
          <t>6_HOR</t>
        </is>
      </c>
      <c r="J1635" s="637" t="n"/>
      <c r="K1635" s="640" t="n">
        <v>2</v>
      </c>
      <c r="L1635" s="640" t="n">
        <v>0</v>
      </c>
      <c r="M1635" s="640" t="inlineStr">
        <is>
          <t>Sam 40</t>
        </is>
      </c>
      <c r="N1635" s="640" t="n"/>
      <c r="O1635" s="640">
        <f>IF(AND(N1635=1,L1635=1),K1635,"")</f>
        <v/>
      </c>
      <c r="P1635" s="642" t="inlineStr">
        <is>
          <t>г. Ижевск, ул. Азина, 342</t>
        </is>
      </c>
      <c r="Q1635" s="640" t="n"/>
      <c r="R1635" s="422" t="n"/>
      <c r="X1635" s="1" t="n"/>
      <c r="Y1635" s="1" t="n"/>
      <c r="Z1635" s="1" t="n"/>
    </row>
    <row r="1636" hidden="1" ht="16.05" customHeight="1">
      <c r="A1636" s="791" t="n">
        <v>2143</v>
      </c>
      <c r="B1636" s="13">
        <f>IF(OR(M1636="Sam 32",M1636="Sam 40"),"s",IF(M1636="AMS","a","v"))</f>
        <v/>
      </c>
      <c r="C1636" s="130" t="inlineStr">
        <is>
          <t>Ижевск</t>
        </is>
      </c>
      <c r="D1636" s="130" t="inlineStr">
        <is>
          <t>Ижевск</t>
        </is>
      </c>
      <c r="E1636" s="130" t="n"/>
      <c r="F1636" s="130" t="n"/>
      <c r="G1636" s="130" t="inlineStr">
        <is>
          <t>Лукойл</t>
        </is>
      </c>
      <c r="H1636" s="131" t="n"/>
      <c r="I1636" s="637" t="inlineStr">
        <is>
          <t>98_HOR</t>
        </is>
      </c>
      <c r="J1636" s="637" t="n"/>
      <c r="K1636" s="640" t="n">
        <v>1</v>
      </c>
      <c r="L1636" s="640" t="n">
        <v>0</v>
      </c>
      <c r="M1636" s="640" t="inlineStr">
        <is>
          <t>Sam 40</t>
        </is>
      </c>
      <c r="N1636" s="640" t="n"/>
      <c r="O1636" s="640">
        <f>IF(AND(N1636=1,L1636=1),K1636,"")</f>
        <v/>
      </c>
      <c r="P1636" s="642" t="inlineStr">
        <is>
          <t>г. Ижевск, ул. Либкнехта, 4</t>
        </is>
      </c>
      <c r="Q1636" s="640" t="n"/>
      <c r="R1636" s="422" t="n"/>
      <c r="X1636" s="1" t="n"/>
      <c r="Y1636" s="1" t="n"/>
      <c r="Z1636" s="1" t="n"/>
    </row>
    <row r="1637" hidden="1" ht="16.05" customHeight="1">
      <c r="A1637" s="791" t="n">
        <v>2144</v>
      </c>
      <c r="B1637" s="13">
        <f>IF(OR(M1637="Sam 32",M1637="Sam 40"),"s",IF(M1637="AMS","a","v"))</f>
        <v/>
      </c>
      <c r="C1637" s="130" t="inlineStr">
        <is>
          <t>Ижевск</t>
        </is>
      </c>
      <c r="D1637" s="130" t="inlineStr">
        <is>
          <t>Ижевск</t>
        </is>
      </c>
      <c r="E1637" s="130" t="n"/>
      <c r="F1637" s="130" t="n"/>
      <c r="G1637" s="130" t="inlineStr">
        <is>
          <t>Лукойл</t>
        </is>
      </c>
      <c r="H1637" s="131" t="n"/>
      <c r="I1637" s="637" t="inlineStr">
        <is>
          <t>103_HOR</t>
        </is>
      </c>
      <c r="J1637" s="637" t="n"/>
      <c r="K1637" s="640" t="n">
        <v>1</v>
      </c>
      <c r="L1637" s="640" t="n">
        <v>0</v>
      </c>
      <c r="M1637" s="640" t="inlineStr">
        <is>
          <t>Sam 40</t>
        </is>
      </c>
      <c r="N1637" s="640" t="n"/>
      <c r="O1637" s="640">
        <f>IF(AND(N1637=1,L1637=1),K1637,"")</f>
        <v/>
      </c>
      <c r="P1637" s="642" t="inlineStr">
        <is>
          <t>г. Ижевск, ул. Мельничная, 2</t>
        </is>
      </c>
      <c r="Q1637" s="640" t="n"/>
      <c r="R1637" s="422" t="n"/>
      <c r="X1637" s="1" t="n"/>
      <c r="Y1637" s="1" t="n"/>
      <c r="Z1637" s="1" t="n"/>
    </row>
    <row r="1638" hidden="1" ht="16.05" customHeight="1">
      <c r="A1638" s="791" t="n">
        <v>2145</v>
      </c>
      <c r="B1638" s="13">
        <f>IF(OR(M1638="Sam 32",M1638="Sam 40"),"s",IF(M1638="AMS","a","v"))</f>
        <v/>
      </c>
      <c r="C1638" s="130" t="inlineStr">
        <is>
          <t>Пермь</t>
        </is>
      </c>
      <c r="D1638" s="130" t="inlineStr">
        <is>
          <t>Пермь</t>
        </is>
      </c>
      <c r="E1638" s="130" t="n"/>
      <c r="F1638" s="130" t="n"/>
      <c r="G1638" s="130" t="inlineStr">
        <is>
          <t>Лукойл</t>
        </is>
      </c>
      <c r="H1638" s="131" t="n"/>
      <c r="I1638" s="637" t="inlineStr">
        <is>
          <t>2_HOR</t>
        </is>
      </c>
      <c r="J1638" s="637" t="n"/>
      <c r="K1638" s="640" t="n">
        <v>1</v>
      </c>
      <c r="L1638" s="640" t="n">
        <v>0</v>
      </c>
      <c r="M1638" s="640" t="inlineStr">
        <is>
          <t>Sam 40</t>
        </is>
      </c>
      <c r="N1638" s="640" t="n"/>
      <c r="O1638" s="640">
        <f>IF(AND(N1638=1,L1638=1),K1638,"")</f>
        <v/>
      </c>
      <c r="P1638" s="642" t="inlineStr">
        <is>
          <t>г. Пермь, Орджоникидзевский р-н, ул. Гайвинская, 103</t>
        </is>
      </c>
      <c r="Q1638" s="640" t="n"/>
      <c r="R1638" s="422" t="n"/>
      <c r="X1638" s="1" t="n"/>
      <c r="Y1638" s="1" t="n"/>
      <c r="Z1638" s="1" t="n"/>
    </row>
    <row r="1639" hidden="1" ht="16.05" customHeight="1">
      <c r="A1639" s="791" t="n">
        <v>2146</v>
      </c>
      <c r="B1639" s="13">
        <f>IF(OR(M1639="Sam 32",M1639="Sam 40"),"s",IF(M1639="AMS","a","v"))</f>
        <v/>
      </c>
      <c r="C1639" s="130" t="inlineStr">
        <is>
          <t>Пермь</t>
        </is>
      </c>
      <c r="D1639" s="130" t="inlineStr">
        <is>
          <t>Пермь</t>
        </is>
      </c>
      <c r="E1639" s="130" t="n"/>
      <c r="F1639" s="130" t="n"/>
      <c r="G1639" s="130" t="inlineStr">
        <is>
          <t>Лукойл</t>
        </is>
      </c>
      <c r="H1639" s="131" t="n"/>
      <c r="I1639" s="637" t="inlineStr">
        <is>
          <t>8_HOR</t>
        </is>
      </c>
      <c r="J1639" s="637" t="n"/>
      <c r="K1639" s="640" t="n">
        <v>2</v>
      </c>
      <c r="L1639" s="640" t="n">
        <v>0</v>
      </c>
      <c r="M1639" s="640" t="inlineStr">
        <is>
          <t>Sam 40</t>
        </is>
      </c>
      <c r="N1639" s="640" t="n"/>
      <c r="O1639" s="640">
        <f>IF(AND(N1639=1,L1639=1),K1639,"")</f>
        <v/>
      </c>
      <c r="P1639" s="642" t="inlineStr">
        <is>
          <t xml:space="preserve">г. Пермь, Свердловский р-н, ул. Куйбышева, 169а </t>
        </is>
      </c>
      <c r="Q1639" s="640" t="n"/>
      <c r="R1639" s="422" t="n"/>
      <c r="X1639" s="1" t="n"/>
      <c r="Y1639" s="1" t="n"/>
      <c r="Z1639" s="1" t="n"/>
    </row>
    <row r="1640" hidden="1" ht="16.05" customHeight="1">
      <c r="A1640" s="791" t="n">
        <v>2147</v>
      </c>
      <c r="B1640" s="13">
        <f>IF(OR(M1640="Sam 32",M1640="Sam 40"),"s",IF(M1640="AMS","a","v"))</f>
        <v/>
      </c>
      <c r="C1640" s="130" t="inlineStr">
        <is>
          <t>Пермь</t>
        </is>
      </c>
      <c r="D1640" s="130" t="inlineStr">
        <is>
          <t xml:space="preserve"> с/п Савинское</t>
        </is>
      </c>
      <c r="E1640" s="130" t="n"/>
      <c r="F1640" s="130" t="n"/>
      <c r="G1640" s="130" t="inlineStr">
        <is>
          <t>Лукойл</t>
        </is>
      </c>
      <c r="H1640" s="131" t="n"/>
      <c r="I1640" s="637" t="inlineStr">
        <is>
          <t>15_HOR</t>
        </is>
      </c>
      <c r="J1640" s="637" t="n"/>
      <c r="K1640" s="640" t="n">
        <v>2</v>
      </c>
      <c r="L1640" s="640" t="n">
        <v>0</v>
      </c>
      <c r="M1640" s="640" t="inlineStr">
        <is>
          <t>Sam 40</t>
        </is>
      </c>
      <c r="N1640" s="640" t="n"/>
      <c r="O1640" s="640">
        <f>IF(AND(N1640=1,L1640=1),K1640,"")</f>
        <v/>
      </c>
      <c r="P1640" s="642" t="inlineStr">
        <is>
          <t xml:space="preserve"> с/п Савинское, Аэропорт Большое Савино</t>
        </is>
      </c>
      <c r="Q1640" s="640" t="n"/>
      <c r="R1640" s="422" t="n"/>
      <c r="X1640" s="1" t="n"/>
      <c r="Y1640" s="1" t="n"/>
      <c r="Z1640" s="1" t="n"/>
    </row>
    <row r="1641" hidden="1" ht="16.05" customHeight="1">
      <c r="A1641" s="791" t="n">
        <v>2148</v>
      </c>
      <c r="B1641" s="13">
        <f>IF(OR(M1641="Sam 32",M1641="Sam 40"),"s",IF(M1641="AMS","a","v"))</f>
        <v/>
      </c>
      <c r="C1641" s="130" t="inlineStr">
        <is>
          <t>Пермь</t>
        </is>
      </c>
      <c r="D1641" s="130" t="inlineStr">
        <is>
          <t>Усольский р-н</t>
        </is>
      </c>
      <c r="E1641" s="130" t="n"/>
      <c r="F1641" s="130" t="n"/>
      <c r="G1641" s="130" t="inlineStr">
        <is>
          <t>Лукойл</t>
        </is>
      </c>
      <c r="H1641" s="131" t="n"/>
      <c r="I1641" s="637" t="inlineStr">
        <is>
          <t>53_HOR</t>
        </is>
      </c>
      <c r="J1641" s="637" t="n"/>
      <c r="K1641" s="640" t="n">
        <v>2</v>
      </c>
      <c r="L1641" s="640" t="n">
        <v>0</v>
      </c>
      <c r="M1641" s="640" t="inlineStr">
        <is>
          <t>Sam 40</t>
        </is>
      </c>
      <c r="N1641" s="640" t="n"/>
      <c r="O1641" s="640">
        <f>IF(AND(N1641=1,L1641=1),K1641,"")</f>
        <v/>
      </c>
      <c r="P1641" s="642" t="inlineStr">
        <is>
          <t>Усольский р-н, д. Новожилово</t>
        </is>
      </c>
      <c r="Q1641" s="640" t="n"/>
      <c r="R1641" s="422" t="n"/>
      <c r="X1641" s="1" t="n"/>
      <c r="Y1641" s="1" t="n"/>
      <c r="Z1641" s="1" t="n"/>
    </row>
    <row r="1642" hidden="1" ht="16.05" customHeight="1">
      <c r="A1642" s="791" t="n">
        <v>2149</v>
      </c>
      <c r="B1642" s="13">
        <f>IF(OR(M1642="Sam 32",M1642="Sam 40"),"s",IF(M1642="AMS","a","v"))</f>
        <v/>
      </c>
      <c r="C1642" s="130" t="inlineStr">
        <is>
          <t>Пермь</t>
        </is>
      </c>
      <c r="D1642" s="130" t="inlineStr">
        <is>
          <t>Чернушка</t>
        </is>
      </c>
      <c r="E1642" s="130" t="n"/>
      <c r="F1642" s="130" t="n"/>
      <c r="G1642" s="130" t="inlineStr">
        <is>
          <t>Лукойл</t>
        </is>
      </c>
      <c r="H1642" s="131" t="n"/>
      <c r="I1642" s="637" t="inlineStr">
        <is>
          <t>69_HOR</t>
        </is>
      </c>
      <c r="J1642" s="637" t="n"/>
      <c r="K1642" s="640" t="n">
        <v>1</v>
      </c>
      <c r="L1642" s="640" t="n">
        <v>0</v>
      </c>
      <c r="M1642" s="640" t="inlineStr">
        <is>
          <t>Sam 40</t>
        </is>
      </c>
      <c r="N1642" s="640" t="n"/>
      <c r="O1642" s="640">
        <f>IF(AND(N1642=1,L1642=1),K1642,"")</f>
        <v/>
      </c>
      <c r="P1642" s="642" t="inlineStr">
        <is>
          <t>г. Чернушка,  д. Большой Березник</t>
        </is>
      </c>
      <c r="Q1642" s="640" t="n"/>
      <c r="R1642" s="422" t="n"/>
      <c r="X1642" s="1" t="n"/>
      <c r="Y1642" s="1" t="n"/>
      <c r="Z1642" s="1" t="n"/>
    </row>
    <row r="1643" hidden="1" ht="16.05" customHeight="1">
      <c r="A1643" s="791" t="n">
        <v>2150</v>
      </c>
      <c r="B1643" s="13">
        <f>IF(OR(M1643="Sam 32",M1643="Sam 40"),"s",IF(M1643="AMS","a","v"))</f>
        <v/>
      </c>
      <c r="C1643" s="130" t="inlineStr">
        <is>
          <t>Пермь</t>
        </is>
      </c>
      <c r="D1643" s="130" t="inlineStr">
        <is>
          <t>Пермский край</t>
        </is>
      </c>
      <c r="E1643" s="130" t="n"/>
      <c r="F1643" s="130" t="n"/>
      <c r="G1643" s="130" t="inlineStr">
        <is>
          <t>Лукойл</t>
        </is>
      </c>
      <c r="H1643" s="131" t="n"/>
      <c r="I1643" s="637" t="inlineStr">
        <is>
          <t>73_HOR</t>
        </is>
      </c>
      <c r="J1643" s="637" t="n"/>
      <c r="K1643" s="640" t="n">
        <v>2</v>
      </c>
      <c r="L1643" s="640" t="n">
        <v>0</v>
      </c>
      <c r="M1643" s="640" t="inlineStr">
        <is>
          <t>Sam 40</t>
        </is>
      </c>
      <c r="N1643" s="640" t="n"/>
      <c r="O1643" s="640">
        <f>IF(AND(N1643=1,L1643=1),K1643,"")</f>
        <v/>
      </c>
      <c r="P1643" s="642" t="inlineStr">
        <is>
          <t>Пермский край, г.Пермь, Восточный обход-Лядовский тракт</t>
        </is>
      </c>
      <c r="Q1643" s="640" t="n"/>
      <c r="R1643" s="422" t="n"/>
      <c r="X1643" s="1" t="n"/>
      <c r="Y1643" s="1" t="n"/>
      <c r="Z1643" s="1" t="n"/>
    </row>
    <row r="1644" hidden="1" ht="16.05" customHeight="1">
      <c r="A1644" s="791" t="n">
        <v>2151</v>
      </c>
      <c r="B1644" s="13">
        <f>IF(OR(M1644="Sam 32",M1644="Sam 40"),"s",IF(M1644="AMS","a","v"))</f>
        <v/>
      </c>
      <c r="C1644" s="130" t="inlineStr">
        <is>
          <t>Пермь</t>
        </is>
      </c>
      <c r="D1644" s="130" t="inlineStr">
        <is>
          <t>Очер</t>
        </is>
      </c>
      <c r="E1644" s="130" t="n"/>
      <c r="F1644" s="130" t="n"/>
      <c r="G1644" s="130" t="inlineStr">
        <is>
          <t>Лукойл</t>
        </is>
      </c>
      <c r="H1644" s="131" t="n"/>
      <c r="I1644" s="637" t="inlineStr">
        <is>
          <t>80_HOR</t>
        </is>
      </c>
      <c r="J1644" s="637" t="n"/>
      <c r="K1644" s="640" t="n">
        <v>2</v>
      </c>
      <c r="L1644" s="640" t="n">
        <v>0</v>
      </c>
      <c r="M1644" s="640" t="inlineStr">
        <is>
          <t>Sam 40</t>
        </is>
      </c>
      <c r="N1644" s="640" t="n"/>
      <c r="O1644" s="640">
        <f>IF(AND(N1644=1,L1644=1),K1644,"")</f>
        <v/>
      </c>
      <c r="P1644" s="642" t="inlineStr">
        <is>
          <t>г. Очер, а/д Пермь-Казань</t>
        </is>
      </c>
      <c r="Q1644" s="640" t="n"/>
      <c r="R1644" s="422" t="n"/>
      <c r="X1644" s="1" t="n"/>
      <c r="Y1644" s="1" t="n"/>
      <c r="Z1644" s="1" t="n"/>
    </row>
    <row r="1645" hidden="1" ht="16.05" customHeight="1">
      <c r="A1645" s="791" t="n">
        <v>2152</v>
      </c>
      <c r="B1645" s="13">
        <f>IF(OR(M1645="Sam 32",M1645="Sam 40"),"s",IF(M1645="AMS","a","v"))</f>
        <v/>
      </c>
      <c r="C1645" s="130" t="inlineStr">
        <is>
          <t>Пермь</t>
        </is>
      </c>
      <c r="D1645" s="130" t="inlineStr">
        <is>
          <t>Пермский край</t>
        </is>
      </c>
      <c r="E1645" s="130" t="n"/>
      <c r="F1645" s="130" t="n"/>
      <c r="G1645" s="130" t="inlineStr">
        <is>
          <t>Лукойл</t>
        </is>
      </c>
      <c r="H1645" s="131" t="n"/>
      <c r="I1645" s="637" t="inlineStr">
        <is>
          <t>91_HOR</t>
        </is>
      </c>
      <c r="J1645" s="637" t="n"/>
      <c r="K1645" s="640" t="n">
        <v>2</v>
      </c>
      <c r="L1645" s="640" t="n">
        <v>0</v>
      </c>
      <c r="M1645" s="640" t="inlineStr">
        <is>
          <t>Sam 40</t>
        </is>
      </c>
      <c r="N1645" s="640" t="n"/>
      <c r="O1645" s="640">
        <f>IF(AND(N1645=1,L1645=1),K1645,"")</f>
        <v/>
      </c>
      <c r="P1645" s="642" t="inlineStr">
        <is>
          <t>Пермский край, а/д Пермь-Казань, отворот на д. Марчуги</t>
        </is>
      </c>
      <c r="Q1645" s="640" t="n"/>
      <c r="R1645" s="422" t="n"/>
      <c r="X1645" s="1" t="n"/>
      <c r="Y1645" s="1" t="n"/>
      <c r="Z1645" s="1" t="n"/>
    </row>
    <row r="1646" hidden="1" ht="16.05" customHeight="1">
      <c r="A1646" s="791" t="n">
        <v>2153</v>
      </c>
      <c r="B1646" s="13">
        <f>IF(OR(M1646="Sam 32",M1646="Sam 40"),"s",IF(M1646="AMS","a","v"))</f>
        <v/>
      </c>
      <c r="C1646" s="130" t="inlineStr">
        <is>
          <t>Пермь</t>
        </is>
      </c>
      <c r="D1646" s="130" t="inlineStr">
        <is>
          <t>Горнозаводск</t>
        </is>
      </c>
      <c r="E1646" s="130" t="n"/>
      <c r="F1646" s="130" t="n"/>
      <c r="G1646" s="130" t="inlineStr">
        <is>
          <t>Лукойл</t>
        </is>
      </c>
      <c r="H1646" s="131" t="n"/>
      <c r="I1646" s="637" t="inlineStr">
        <is>
          <t>102_HOR</t>
        </is>
      </c>
      <c r="J1646" s="637" t="n"/>
      <c r="K1646" s="640" t="n">
        <v>2</v>
      </c>
      <c r="L1646" s="640" t="n">
        <v>0</v>
      </c>
      <c r="M1646" s="640" t="inlineStr">
        <is>
          <t>Sam 40</t>
        </is>
      </c>
      <c r="N1646" s="640" t="n"/>
      <c r="O1646" s="640">
        <f>IF(AND(N1646=1,L1646=1),K1646,"")</f>
        <v/>
      </c>
      <c r="P1646" s="642" t="inlineStr">
        <is>
          <t>г. Горнозаводск, а/д Горнозаводск-Чусовой</t>
        </is>
      </c>
      <c r="Q1646" s="640" t="n"/>
      <c r="R1646" s="422" t="n"/>
      <c r="X1646" s="1" t="n"/>
      <c r="Y1646" s="1" t="n"/>
      <c r="Z1646" s="1" t="n"/>
    </row>
    <row r="1647" hidden="1" ht="16.05" customHeight="1">
      <c r="A1647" s="791" t="n">
        <v>2154</v>
      </c>
      <c r="B1647" s="13">
        <f>IF(OR(M1647="Sam 32",M1647="Sam 40"),"s",IF(M1647="AMS","a","v"))</f>
        <v/>
      </c>
      <c r="C1647" s="130" t="inlineStr">
        <is>
          <t>Пермь</t>
        </is>
      </c>
      <c r="D1647" s="130" t="inlineStr">
        <is>
          <t>Пермский край</t>
        </is>
      </c>
      <c r="E1647" s="130" t="n"/>
      <c r="F1647" s="130" t="n"/>
      <c r="G1647" s="130" t="inlineStr">
        <is>
          <t>Лукойл</t>
        </is>
      </c>
      <c r="H1647" s="131" t="n"/>
      <c r="I1647" s="637" t="inlineStr">
        <is>
          <t>104_HOR</t>
        </is>
      </c>
      <c r="J1647" s="637" t="n"/>
      <c r="K1647" s="640" t="n">
        <v>2</v>
      </c>
      <c r="L1647" s="640" t="n">
        <v>0</v>
      </c>
      <c r="M1647" s="640" t="inlineStr">
        <is>
          <t>Sam 40</t>
        </is>
      </c>
      <c r="N1647" s="640" t="n"/>
      <c r="O1647" s="640">
        <f>IF(AND(N1647=1,L1647=1),K1647,"")</f>
        <v/>
      </c>
      <c r="P1647" s="642" t="inlineStr">
        <is>
          <t>Пермский край, а/д Южный обход, д.Якунчики, ПК</t>
        </is>
      </c>
      <c r="Q1647" s="640" t="n"/>
      <c r="R1647" s="422" t="n"/>
      <c r="X1647" s="1" t="n"/>
      <c r="Y1647" s="1" t="n"/>
      <c r="Z1647" s="1" t="n"/>
    </row>
    <row r="1648" hidden="1" ht="16.05" customHeight="1">
      <c r="A1648" s="791" t="n">
        <v>2155</v>
      </c>
      <c r="B1648" s="13">
        <f>IF(OR(M1648="Sam 32",M1648="Sam 40"),"s",IF(M1648="AMS","a","v"))</f>
        <v/>
      </c>
      <c r="C1648" s="130" t="inlineStr">
        <is>
          <t>Пермь</t>
        </is>
      </c>
      <c r="D1648" s="130" t="inlineStr">
        <is>
          <t>Осинский р-н</t>
        </is>
      </c>
      <c r="E1648" s="130" t="n"/>
      <c r="F1648" s="130" t="n"/>
      <c r="G1648" s="130" t="inlineStr">
        <is>
          <t>Лукойл</t>
        </is>
      </c>
      <c r="H1648" s="131" t="n"/>
      <c r="I1648" s="637" t="inlineStr">
        <is>
          <t>115_HOR</t>
        </is>
      </c>
      <c r="J1648" s="637" t="n"/>
      <c r="K1648" s="640" t="n">
        <v>2</v>
      </c>
      <c r="L1648" s="640" t="n">
        <v>0</v>
      </c>
      <c r="M1648" s="640" t="inlineStr">
        <is>
          <t>Sam 40</t>
        </is>
      </c>
      <c r="N1648" s="640" t="n"/>
      <c r="O1648" s="640">
        <f>IF(AND(N1648=1,L1648=1),K1648,"")</f>
        <v/>
      </c>
      <c r="P1648" s="642" t="inlineStr">
        <is>
          <t>Осинский р-н, с. Крылово</t>
        </is>
      </c>
      <c r="Q1648" s="640" t="n"/>
      <c r="R1648" s="422" t="n"/>
      <c r="X1648" s="1" t="n"/>
      <c r="Y1648" s="1" t="n"/>
      <c r="Z1648" s="1" t="n"/>
    </row>
    <row r="1649" hidden="1" ht="16.05" customHeight="1">
      <c r="A1649" s="791" t="n">
        <v>2156</v>
      </c>
      <c r="B1649" s="13">
        <f>IF(OR(M1649="Sam 32",M1649="Sam 40"),"s",IF(M1649="AMS","a","v"))</f>
        <v/>
      </c>
      <c r="C1649" s="130" t="inlineStr">
        <is>
          <t>Пермь</t>
        </is>
      </c>
      <c r="D1649" s="130" t="inlineStr">
        <is>
          <t>Горнозаводский р-н,</t>
        </is>
      </c>
      <c r="E1649" s="130" t="n"/>
      <c r="F1649" s="130" t="n"/>
      <c r="G1649" s="130" t="inlineStr">
        <is>
          <t>Лукойл</t>
        </is>
      </c>
      <c r="H1649" s="131" t="n"/>
      <c r="I1649" s="637" t="inlineStr">
        <is>
          <t>126_HOR</t>
        </is>
      </c>
      <c r="J1649" s="637" t="n"/>
      <c r="K1649" s="640" t="n">
        <v>2</v>
      </c>
      <c r="L1649" s="640" t="n">
        <v>0</v>
      </c>
      <c r="M1649" s="640" t="inlineStr">
        <is>
          <t>Sam 40</t>
        </is>
      </c>
      <c r="N1649" s="640" t="n"/>
      <c r="O1649" s="640">
        <f>IF(AND(N1649=1,L1649=1),K1649,"")</f>
        <v/>
      </c>
      <c r="P1649" s="642" t="inlineStr">
        <is>
          <t>Горнозаводский р-н, п. Теплая Гора</t>
        </is>
      </c>
      <c r="Q1649" s="640" t="n"/>
      <c r="R1649" s="422" t="n"/>
      <c r="X1649" s="1" t="n"/>
      <c r="Y1649" s="1" t="n"/>
      <c r="Z1649" s="1" t="n"/>
    </row>
    <row r="1650" hidden="1" ht="16.05" customHeight="1">
      <c r="A1650" s="791" t="n">
        <v>2157</v>
      </c>
      <c r="B1650" s="13">
        <f>IF(OR(M1650="Sam 32",M1650="Sam 40"),"s",IF(M1650="AMS","a","v"))</f>
        <v/>
      </c>
      <c r="C1650" s="130" t="inlineStr">
        <is>
          <t>Пермь</t>
        </is>
      </c>
      <c r="D1650" s="130" t="inlineStr">
        <is>
          <t>Пермь</t>
        </is>
      </c>
      <c r="E1650" s="130" t="n"/>
      <c r="F1650" s="130" t="n"/>
      <c r="G1650" s="130" t="inlineStr">
        <is>
          <t>Лукойл</t>
        </is>
      </c>
      <c r="H1650" s="131" t="n"/>
      <c r="I1650" s="637" t="inlineStr">
        <is>
          <t>149_HOR</t>
        </is>
      </c>
      <c r="J1650" s="637" t="n"/>
      <c r="K1650" s="640" t="n">
        <v>1</v>
      </c>
      <c r="L1650" s="640" t="n">
        <v>0</v>
      </c>
      <c r="M1650" s="640" t="inlineStr">
        <is>
          <t>Sam 40</t>
        </is>
      </c>
      <c r="N1650" s="640" t="n"/>
      <c r="O1650" s="640">
        <f>IF(AND(N1650=1,L1650=1),K1650,"")</f>
        <v/>
      </c>
      <c r="P1650" s="642" t="inlineStr">
        <is>
          <t>г. Пермь, Ленинский р-н, ул. Парковая, 16</t>
        </is>
      </c>
      <c r="Q1650" s="640" t="n"/>
      <c r="R1650" s="422" t="n"/>
      <c r="X1650" s="1" t="n"/>
      <c r="Y1650" s="1" t="n"/>
      <c r="Z1650" s="1" t="n"/>
    </row>
    <row r="1651" hidden="1" ht="16.05" customHeight="1">
      <c r="A1651" s="791" t="n">
        <v>2158</v>
      </c>
      <c r="B1651" s="13">
        <f>IF(OR(M1651="Sam 32",M1651="Sam 40"),"s",IF(M1651="AMS","a","v"))</f>
        <v/>
      </c>
      <c r="C1651" s="130" t="inlineStr">
        <is>
          <t>Пермь</t>
        </is>
      </c>
      <c r="D1651" s="130" t="inlineStr">
        <is>
          <t>Березники</t>
        </is>
      </c>
      <c r="E1651" s="130" t="n"/>
      <c r="F1651" s="130" t="n"/>
      <c r="G1651" s="130" t="inlineStr">
        <is>
          <t>Лукойл</t>
        </is>
      </c>
      <c r="H1651" s="131" t="n"/>
      <c r="I1651" s="637" t="inlineStr">
        <is>
          <t>156_HOR</t>
        </is>
      </c>
      <c r="J1651" s="637" t="n"/>
      <c r="K1651" s="640" t="n">
        <v>2</v>
      </c>
      <c r="L1651" s="640" t="n">
        <v>0</v>
      </c>
      <c r="M1651" s="640" t="inlineStr">
        <is>
          <t>Sam 40</t>
        </is>
      </c>
      <c r="N1651" s="640" t="n"/>
      <c r="O1651" s="640">
        <f>IF(AND(N1651=1,L1651=1),K1651,"")</f>
        <v/>
      </c>
      <c r="P1651" s="642" t="inlineStr">
        <is>
          <t>г. Березники, ул. Березниковская, 81</t>
        </is>
      </c>
      <c r="Q1651" s="640" t="n"/>
      <c r="R1651" s="422" t="n"/>
      <c r="X1651" s="1" t="n"/>
      <c r="Y1651" s="1" t="n"/>
      <c r="Z1651" s="1" t="n"/>
    </row>
    <row r="1652" hidden="1" ht="16.05" customHeight="1">
      <c r="A1652" s="791" t="n">
        <v>2159</v>
      </c>
      <c r="B1652" s="13">
        <f>IF(OR(M1652="Sam 32",M1652="Sam 40"),"s",IF(M1652="AMS","a","v"))</f>
        <v/>
      </c>
      <c r="C1652" s="130" t="inlineStr">
        <is>
          <t>Пермь</t>
        </is>
      </c>
      <c r="D1652" s="130" t="inlineStr">
        <is>
          <t>Добрянский р-н</t>
        </is>
      </c>
      <c r="E1652" s="130" t="n"/>
      <c r="F1652" s="130" t="n"/>
      <c r="G1652" s="130" t="inlineStr">
        <is>
          <t>Лукойл</t>
        </is>
      </c>
      <c r="H1652" s="131" t="n"/>
      <c r="I1652" s="637" t="inlineStr">
        <is>
          <t>165_HOR</t>
        </is>
      </c>
      <c r="J1652" s="637" t="n"/>
      <c r="K1652" s="640" t="n">
        <v>2</v>
      </c>
      <c r="L1652" s="640" t="n">
        <v>0</v>
      </c>
      <c r="M1652" s="640" t="inlineStr">
        <is>
          <t>Sam 40</t>
        </is>
      </c>
      <c r="N1652" s="640" t="n"/>
      <c r="O1652" s="640">
        <f>IF(AND(N1652=1,L1652=1),K1652,"")</f>
        <v/>
      </c>
      <c r="P1652" s="642" t="inlineStr">
        <is>
          <t>Добрянский р-н, п. Дивья, а/д Пермь-Чусовой</t>
        </is>
      </c>
      <c r="Q1652" s="640" t="n"/>
      <c r="R1652" s="422" t="n"/>
      <c r="X1652" s="1" t="n"/>
      <c r="Y1652" s="1" t="n"/>
      <c r="Z1652" s="1" t="n"/>
    </row>
    <row r="1653" hidden="1" ht="16.05" customHeight="1">
      <c r="A1653" s="791" t="n">
        <v>2160</v>
      </c>
      <c r="B1653" s="13">
        <f>IF(OR(M1653="Sam 32",M1653="Sam 40"),"s",IF(M1653="AMS","a","v"))</f>
        <v/>
      </c>
      <c r="C1653" s="130" t="inlineStr">
        <is>
          <t>Киров</t>
        </is>
      </c>
      <c r="D1653" s="130" t="inlineStr">
        <is>
          <t>Киров</t>
        </is>
      </c>
      <c r="E1653" s="130" t="n"/>
      <c r="F1653" s="130" t="n"/>
      <c r="G1653" s="130" t="inlineStr">
        <is>
          <t>Лукойл</t>
        </is>
      </c>
      <c r="H1653" s="131" t="n"/>
      <c r="I1653" s="637" t="inlineStr">
        <is>
          <t>5_HOR</t>
        </is>
      </c>
      <c r="J1653" s="637" t="n"/>
      <c r="K1653" s="640" t="n">
        <v>1</v>
      </c>
      <c r="L1653" s="640" t="n">
        <v>0</v>
      </c>
      <c r="M1653" s="640" t="inlineStr">
        <is>
          <t>Sam 40</t>
        </is>
      </c>
      <c r="N1653" s="640" t="n"/>
      <c r="O1653" s="640">
        <f>IF(AND(N1653=1,L1653=1),K1653,"")</f>
        <v/>
      </c>
      <c r="P1653" s="642" t="inlineStr">
        <is>
          <t>г. Киров, ул. Московская</t>
        </is>
      </c>
      <c r="Q1653" s="640" t="n"/>
      <c r="R1653" s="422" t="n"/>
      <c r="X1653" s="1" t="n"/>
      <c r="Y1653" s="1" t="n"/>
      <c r="Z1653" s="1" t="n"/>
    </row>
    <row r="1654" hidden="1" ht="16.05" customHeight="1">
      <c r="A1654" s="791" t="n">
        <v>2161</v>
      </c>
      <c r="B1654" s="13">
        <f>IF(OR(M1654="Sam 32",M1654="Sam 40"),"s",IF(M1654="AMS","a","v"))</f>
        <v/>
      </c>
      <c r="C1654" s="130" t="inlineStr">
        <is>
          <t>Киров</t>
        </is>
      </c>
      <c r="D1654" s="130" t="inlineStr">
        <is>
          <t>Киров</t>
        </is>
      </c>
      <c r="E1654" s="130" t="n"/>
      <c r="F1654" s="130" t="n"/>
      <c r="G1654" s="130" t="inlineStr">
        <is>
          <t>Лукойл</t>
        </is>
      </c>
      <c r="H1654" s="131" t="n"/>
      <c r="I1654" s="637" t="inlineStr">
        <is>
          <t>6_HOR</t>
        </is>
      </c>
      <c r="J1654" s="637" t="n"/>
      <c r="K1654" s="640" t="n">
        <v>2</v>
      </c>
      <c r="L1654" s="640" t="n">
        <v>0</v>
      </c>
      <c r="M1654" s="640" t="inlineStr">
        <is>
          <t>Sam 40</t>
        </is>
      </c>
      <c r="N1654" s="640" t="n"/>
      <c r="O1654" s="640">
        <f>IF(AND(N1654=1,L1654=1),K1654,"")</f>
        <v/>
      </c>
      <c r="P1654" s="642" t="inlineStr">
        <is>
          <t>г. Киров, ул. Щорса, 111</t>
        </is>
      </c>
      <c r="Q1654" s="640" t="n"/>
      <c r="R1654" s="422" t="n"/>
      <c r="X1654" s="1" t="n"/>
      <c r="Y1654" s="1" t="n"/>
      <c r="Z1654" s="1" t="n"/>
    </row>
    <row r="1655" hidden="1" ht="16.05" customHeight="1">
      <c r="A1655" s="791" t="n">
        <v>2162</v>
      </c>
      <c r="B1655" s="13">
        <f>IF(OR(M1655="Sam 32",M1655="Sam 40"),"s",IF(M1655="AMS","a","v"))</f>
        <v/>
      </c>
      <c r="C1655" s="130" t="inlineStr">
        <is>
          <t>Киров</t>
        </is>
      </c>
      <c r="D1655" s="130" t="inlineStr">
        <is>
          <t>Киров</t>
        </is>
      </c>
      <c r="E1655" s="130" t="n"/>
      <c r="F1655" s="130" t="n"/>
      <c r="G1655" s="130" t="inlineStr">
        <is>
          <t>Лукойл</t>
        </is>
      </c>
      <c r="H1655" s="131" t="n"/>
      <c r="I1655" s="637" t="inlineStr">
        <is>
          <t>10_HOR</t>
        </is>
      </c>
      <c r="J1655" s="637" t="n"/>
      <c r="K1655" s="640" t="n">
        <v>2</v>
      </c>
      <c r="L1655" s="640" t="n">
        <v>0</v>
      </c>
      <c r="M1655" s="640" t="inlineStr">
        <is>
          <t>Sam 40</t>
        </is>
      </c>
      <c r="N1655" s="640" t="n"/>
      <c r="O1655" s="640">
        <f>IF(AND(N1655=1,L1655=1),K1655,"")</f>
        <v/>
      </c>
      <c r="P1655" s="642" t="inlineStr">
        <is>
          <t>г. Киров, ул. Производственная, д. 21а</t>
        </is>
      </c>
      <c r="Q1655" s="640" t="n"/>
      <c r="R1655" s="422" t="n"/>
      <c r="X1655" s="1" t="n"/>
      <c r="Y1655" s="1" t="n"/>
      <c r="Z1655" s="1" t="n"/>
    </row>
    <row r="1656" hidden="1" ht="16.05" customHeight="1">
      <c r="A1656" s="791" t="n">
        <v>2163</v>
      </c>
      <c r="B1656" s="13">
        <f>IF(OR(M1656="Sam 32",M1656="Sam 40"),"s",IF(M1656="AMS","a","v"))</f>
        <v/>
      </c>
      <c r="C1656" s="130" t="inlineStr">
        <is>
          <t>Киров</t>
        </is>
      </c>
      <c r="D1656" s="130" t="inlineStr">
        <is>
          <t>Киров</t>
        </is>
      </c>
      <c r="E1656" s="130" t="n"/>
      <c r="F1656" s="130" t="n"/>
      <c r="G1656" s="130" t="inlineStr">
        <is>
          <t>Лукойл</t>
        </is>
      </c>
      <c r="H1656" s="131" t="n"/>
      <c r="I1656" s="637" t="inlineStr">
        <is>
          <t>13_HOR</t>
        </is>
      </c>
      <c r="J1656" s="637" t="n"/>
      <c r="K1656" s="640" t="n">
        <v>2</v>
      </c>
      <c r="L1656" s="640" t="n">
        <v>0</v>
      </c>
      <c r="M1656" s="640" t="inlineStr">
        <is>
          <t>Sam 40</t>
        </is>
      </c>
      <c r="N1656" s="640" t="n"/>
      <c r="O1656" s="640">
        <f>IF(AND(N1656=1,L1656=1),K1656,"")</f>
        <v/>
      </c>
      <c r="P1656" s="642" t="inlineStr">
        <is>
          <t>г. Киров, ул. Советская</t>
        </is>
      </c>
      <c r="Q1656" s="640" t="n"/>
      <c r="R1656" s="422" t="n"/>
      <c r="X1656" s="1" t="n"/>
      <c r="Y1656" s="1" t="n"/>
      <c r="Z1656" s="1" t="n"/>
    </row>
    <row r="1657" hidden="1" ht="16.05" customHeight="1">
      <c r="A1657" s="791" t="n">
        <v>2164</v>
      </c>
      <c r="B1657" s="13">
        <f>IF(OR(M1657="Sam 32",M1657="Sam 40"),"s",IF(M1657="AMS","a","v"))</f>
        <v/>
      </c>
      <c r="C1657" s="130" t="inlineStr">
        <is>
          <t>Киров</t>
        </is>
      </c>
      <c r="D1657" s="130" t="inlineStr">
        <is>
          <t>Киров</t>
        </is>
      </c>
      <c r="E1657" s="130" t="n"/>
      <c r="F1657" s="130" t="n"/>
      <c r="G1657" s="130" t="inlineStr">
        <is>
          <t>Лукойл</t>
        </is>
      </c>
      <c r="H1657" s="131" t="n"/>
      <c r="I1657" s="637" t="inlineStr">
        <is>
          <t>16_HOR</t>
        </is>
      </c>
      <c r="J1657" s="637" t="n"/>
      <c r="K1657" s="640" t="n">
        <v>2</v>
      </c>
      <c r="L1657" s="640" t="n">
        <v>0</v>
      </c>
      <c r="M1657" s="640" t="inlineStr">
        <is>
          <t>Sam 40</t>
        </is>
      </c>
      <c r="N1657" s="640" t="n"/>
      <c r="O1657" s="640">
        <f>IF(AND(N1657=1,L1657=1),K1657,"")</f>
        <v/>
      </c>
      <c r="P1657" s="642" t="inlineStr">
        <is>
          <t>г. Киров, Нововятский р-н, ул. Советская 2</t>
        </is>
      </c>
      <c r="Q1657" s="640" t="n"/>
      <c r="R1657" s="422" t="n"/>
      <c r="X1657" s="1" t="n"/>
      <c r="Y1657" s="1" t="n"/>
      <c r="Z1657" s="1" t="n"/>
    </row>
    <row r="1658" hidden="1" ht="16.05" customHeight="1">
      <c r="A1658" s="791" t="n">
        <v>2165</v>
      </c>
      <c r="B1658" s="13">
        <f>IF(OR(M1658="Sam 32",M1658="Sam 40"),"s",IF(M1658="AMS","a","v"))</f>
        <v/>
      </c>
      <c r="C1658" s="130" t="inlineStr">
        <is>
          <t>Киров</t>
        </is>
      </c>
      <c r="D1658" s="130" t="inlineStr">
        <is>
          <t>Юрьянский р-н</t>
        </is>
      </c>
      <c r="E1658" s="130" t="n"/>
      <c r="F1658" s="130" t="n"/>
      <c r="G1658" s="130" t="inlineStr">
        <is>
          <t>Лукойл</t>
        </is>
      </c>
      <c r="H1658" s="131" t="n"/>
      <c r="I1658" s="637" t="inlineStr">
        <is>
          <t>20_HOR</t>
        </is>
      </c>
      <c r="J1658" s="637" t="n"/>
      <c r="K1658" s="640" t="n">
        <v>2</v>
      </c>
      <c r="L1658" s="640" t="n">
        <v>0</v>
      </c>
      <c r="M1658" s="640" t="inlineStr">
        <is>
          <t>Sam 40</t>
        </is>
      </c>
      <c r="N1658" s="640" t="n"/>
      <c r="O1658" s="640">
        <f>IF(AND(N1658=1,L1658=1),K1658,"")</f>
        <v/>
      </c>
      <c r="P1658" s="642" t="inlineStr">
        <is>
          <t>Юрьянский р-н, д. Нижняя Горца</t>
        </is>
      </c>
      <c r="Q1658" s="640" t="n"/>
      <c r="R1658" s="422" t="n"/>
      <c r="X1658" s="1" t="n"/>
      <c r="Y1658" s="1" t="n"/>
      <c r="Z1658" s="1" t="n"/>
    </row>
    <row r="1659" hidden="1" ht="16.05" customHeight="1">
      <c r="A1659" s="791" t="n">
        <v>2166</v>
      </c>
      <c r="B1659" s="13">
        <f>IF(OR(M1659="Sam 32",M1659="Sam 40"),"s",IF(M1659="AMS","a","v"))</f>
        <v/>
      </c>
      <c r="C1659" s="130" t="inlineStr">
        <is>
          <t>Киров</t>
        </is>
      </c>
      <c r="D1659" s="130" t="inlineStr">
        <is>
          <t>Шабалинский р-н</t>
        </is>
      </c>
      <c r="E1659" s="130" t="n"/>
      <c r="F1659" s="130" t="n"/>
      <c r="G1659" s="130" t="inlineStr">
        <is>
          <t>Лукойл</t>
        </is>
      </c>
      <c r="H1659" s="131" t="n"/>
      <c r="I1659" s="637" t="inlineStr">
        <is>
          <t>27_HOR</t>
        </is>
      </c>
      <c r="J1659" s="637" t="n"/>
      <c r="K1659" s="640" t="n">
        <v>2</v>
      </c>
      <c r="L1659" s="640" t="n">
        <v>0</v>
      </c>
      <c r="M1659" s="640" t="inlineStr">
        <is>
          <t>Sam 40</t>
        </is>
      </c>
      <c r="N1659" s="640" t="n"/>
      <c r="O1659" s="640">
        <f>IF(AND(N1659=1,L1659=1),K1659,"")</f>
        <v/>
      </c>
      <c r="P1659" s="642" t="inlineStr">
        <is>
          <t>Шабалинский р-н, д. Шмоны</t>
        </is>
      </c>
      <c r="Q1659" s="640" t="n"/>
      <c r="R1659" s="422" t="n"/>
      <c r="X1659" s="1" t="n"/>
      <c r="Y1659" s="1" t="n"/>
      <c r="Z1659" s="1" t="n"/>
    </row>
    <row r="1660" hidden="1" ht="16.05" customHeight="1">
      <c r="A1660" s="791" t="n">
        <v>2167</v>
      </c>
      <c r="B1660" s="13">
        <f>IF(OR(M1660="Sam 32",M1660="Sam 40"),"s",IF(M1660="AMS","a","v"))</f>
        <v/>
      </c>
      <c r="C1660" s="130" t="inlineStr">
        <is>
          <t>Киров</t>
        </is>
      </c>
      <c r="D1660" s="130" t="inlineStr">
        <is>
          <t>Котельничский р-н</t>
        </is>
      </c>
      <c r="E1660" s="130" t="n"/>
      <c r="F1660" s="130" t="n"/>
      <c r="G1660" s="130" t="inlineStr">
        <is>
          <t>Лукойл</t>
        </is>
      </c>
      <c r="H1660" s="131" t="n"/>
      <c r="I1660" s="637" t="inlineStr">
        <is>
          <t>36_HOR</t>
        </is>
      </c>
      <c r="J1660" s="637" t="n"/>
      <c r="K1660" s="640" t="n">
        <v>2</v>
      </c>
      <c r="L1660" s="640" t="n">
        <v>0</v>
      </c>
      <c r="M1660" s="640" t="inlineStr">
        <is>
          <t>Sam 40</t>
        </is>
      </c>
      <c r="N1660" s="640" t="n"/>
      <c r="O1660" s="640">
        <f>IF(AND(N1660=1,L1660=1),K1660,"")</f>
        <v/>
      </c>
      <c r="P1660" s="642" t="inlineStr">
        <is>
          <t>Котельничский р-н, д. Косолаповы (объездная дорога)</t>
        </is>
      </c>
      <c r="Q1660" s="640" t="n"/>
      <c r="R1660" s="422" t="n"/>
      <c r="X1660" s="1" t="n"/>
      <c r="Y1660" s="1" t="n"/>
      <c r="Z1660" s="1" t="n"/>
    </row>
    <row r="1661" hidden="1" ht="16.05" customHeight="1">
      <c r="A1661" s="791" t="n">
        <v>2168</v>
      </c>
      <c r="B1661" s="13">
        <f>IF(OR(M1661="Sam 32",M1661="Sam 40"),"s",IF(M1661="AMS","a","v"))</f>
        <v/>
      </c>
      <c r="C1661" s="130" t="inlineStr">
        <is>
          <t>Киров</t>
        </is>
      </c>
      <c r="D1661" s="130" t="inlineStr">
        <is>
          <t>Белая Холуница</t>
        </is>
      </c>
      <c r="E1661" s="130" t="n"/>
      <c r="F1661" s="130" t="n"/>
      <c r="G1661" s="130" t="inlineStr">
        <is>
          <t>Лукойл</t>
        </is>
      </c>
      <c r="H1661" s="131" t="n"/>
      <c r="I1661" s="637" t="inlineStr">
        <is>
          <t>70_HOR</t>
        </is>
      </c>
      <c r="J1661" s="637" t="n"/>
      <c r="K1661" s="640" t="n">
        <v>2</v>
      </c>
      <c r="L1661" s="640" t="n">
        <v>0</v>
      </c>
      <c r="M1661" s="640" t="inlineStr">
        <is>
          <t>Sam 40</t>
        </is>
      </c>
      <c r="N1661" s="640" t="n"/>
      <c r="O1661" s="640">
        <f>IF(AND(N1661=1,L1661=1),K1661,"")</f>
        <v/>
      </c>
      <c r="P1661" s="642" t="inlineStr">
        <is>
          <t>г. Белая Холуница, ул. Юбилейная</t>
        </is>
      </c>
      <c r="Q1661" s="640" t="n"/>
      <c r="R1661" s="422" t="n"/>
      <c r="X1661" s="1" t="n"/>
      <c r="Y1661" s="1" t="n"/>
      <c r="Z1661" s="1" t="n"/>
    </row>
    <row r="1662" hidden="1" ht="16.05" customHeight="1">
      <c r="A1662" s="791" t="n">
        <v>2169</v>
      </c>
      <c r="B1662" s="13">
        <f>IF(OR(M1662="Sam 32",M1662="Sam 40"),"s",IF(M1662="AMS","a","v"))</f>
        <v/>
      </c>
      <c r="C1662" s="130" t="inlineStr">
        <is>
          <t>Киров</t>
        </is>
      </c>
      <c r="D1662" s="130" t="inlineStr">
        <is>
          <t>Яранск</t>
        </is>
      </c>
      <c r="E1662" s="130" t="n"/>
      <c r="F1662" s="130" t="n"/>
      <c r="G1662" s="130" t="inlineStr">
        <is>
          <t>Лукойл</t>
        </is>
      </c>
      <c r="H1662" s="131" t="n"/>
      <c r="I1662" s="637" t="inlineStr">
        <is>
          <t>104_HOR</t>
        </is>
      </c>
      <c r="J1662" s="637" t="n"/>
      <c r="K1662" s="640" t="n">
        <v>2</v>
      </c>
      <c r="L1662" s="640" t="n">
        <v>0</v>
      </c>
      <c r="M1662" s="640" t="inlineStr">
        <is>
          <t>Sam 40</t>
        </is>
      </c>
      <c r="N1662" s="640" t="n"/>
      <c r="O1662" s="640">
        <f>IF(AND(N1662=1,L1662=1),K1662,"")</f>
        <v/>
      </c>
      <c r="P1662" s="642" t="inlineStr">
        <is>
          <t>г. Яранск, Пром.зона</t>
        </is>
      </c>
      <c r="Q1662" s="640" t="n"/>
      <c r="R1662" s="422" t="n"/>
      <c r="X1662" s="1" t="n"/>
      <c r="Y1662" s="1" t="n"/>
      <c r="Z1662" s="1" t="n"/>
    </row>
    <row r="1663" hidden="1" ht="16.05" customFormat="1" customHeight="1" s="126">
      <c r="A1663" s="125" t="n">
        <v>2170</v>
      </c>
      <c r="B1663" s="125" t="inlineStr">
        <is>
          <t>WF</t>
        </is>
      </c>
      <c r="C1663" s="130" t="inlineStr">
        <is>
          <t>Владимир</t>
        </is>
      </c>
      <c r="D1663" s="130" t="inlineStr">
        <is>
          <t>Владимирская область</t>
        </is>
      </c>
      <c r="E1663" s="130" t="n"/>
      <c r="F1663" s="130" t="inlineStr">
        <is>
          <t>АЗС</t>
        </is>
      </c>
      <c r="G1663" s="130" t="inlineStr">
        <is>
          <t>Лукойл</t>
        </is>
      </c>
      <c r="H1663" s="131" t="n">
        <v>13</v>
      </c>
      <c r="I1663" s="637" t="n">
        <v>33013</v>
      </c>
      <c r="J1663" s="637" t="inlineStr">
        <is>
          <t>VLA_LUK_33013</t>
        </is>
      </c>
      <c r="K1663" s="640" t="n">
        <v>1</v>
      </c>
      <c r="L1663" s="640" t="n">
        <v>0</v>
      </c>
      <c r="M1663" s="640" t="inlineStr">
        <is>
          <t>1 октября</t>
        </is>
      </c>
      <c r="N1663" s="640" t="n"/>
      <c r="O1663" s="640">
        <f>IF(AND(N1663=1,L1663=1),K1663,"")</f>
        <v/>
      </c>
      <c r="P1663" s="642" t="inlineStr">
        <is>
          <t xml:space="preserve">Россия, 601242, Владимирская обл., г. Лакинск, ул. Ундол, д. 105   </t>
        </is>
      </c>
      <c r="Q1663" s="640" t="n">
        <v>56.0004552</v>
      </c>
      <c r="R1663" s="422" t="n">
        <v>39.911834</v>
      </c>
      <c r="S1663" s="387" t="n"/>
      <c r="T1663" s="387" t="n"/>
      <c r="U1663" s="387" t="n"/>
      <c r="V1663" s="387" t="n"/>
      <c r="W1663" s="387" t="n"/>
      <c r="X1663" s="1" t="n"/>
      <c r="Y1663" s="1" t="n"/>
    </row>
    <row r="1664" hidden="1" ht="16.05" customFormat="1" customHeight="1" s="126">
      <c r="A1664" s="125" t="n">
        <v>2179</v>
      </c>
      <c r="B1664" s="125" t="inlineStr">
        <is>
          <t>WF</t>
        </is>
      </c>
      <c r="C1664" s="130" t="inlineStr">
        <is>
          <t>Москва</t>
        </is>
      </c>
      <c r="D1664" s="130" t="inlineStr">
        <is>
          <t>Москва</t>
        </is>
      </c>
      <c r="E1664" s="130" t="inlineStr">
        <is>
          <t>ЦАО</t>
        </is>
      </c>
      <c r="F1664" s="130" t="inlineStr">
        <is>
          <t>Супермаркет</t>
        </is>
      </c>
      <c r="G1664" s="130" t="inlineStr">
        <is>
          <t>Азбука Вкуса</t>
        </is>
      </c>
      <c r="H1664" s="131" t="inlineStr">
        <is>
          <t>148_Daily</t>
        </is>
      </c>
      <c r="I1664" s="637" t="inlineStr">
        <is>
          <t>148_Daily</t>
        </is>
      </c>
      <c r="J1664" s="637" t="inlineStr">
        <is>
          <t>MSK_D_148</t>
        </is>
      </c>
      <c r="K1664" s="640" t="n">
        <v>1</v>
      </c>
      <c r="L1664" s="640" t="n">
        <v>1</v>
      </c>
      <c r="M1664" s="623" t="inlineStr">
        <is>
          <t>Samsung 43" вертикальный</t>
        </is>
      </c>
      <c r="N1664" s="640" t="n"/>
      <c r="O1664" s="640">
        <f>IF(AND(N1664=1,L1664=1),K1664,"")</f>
        <v/>
      </c>
      <c r="P1664" s="642" t="inlineStr">
        <is>
          <t>г.Москва, ул. Никольская д. 10</t>
        </is>
      </c>
      <c r="Q1664" s="640" t="inlineStr">
        <is>
          <t>55.7580073</t>
        </is>
      </c>
      <c r="R1664" s="494" t="inlineStr">
        <is>
          <t>37.6243026</t>
        </is>
      </c>
      <c r="S1664" s="387" t="n">
        <v>24</v>
      </c>
      <c r="T1664" s="436">
        <f>IF(N1664=1,O1664*S1664,"")</f>
        <v/>
      </c>
      <c r="U1664" s="436" t="n">
        <v>1</v>
      </c>
      <c r="V1664" s="438">
        <f>IF(AND(N1664=1,U1664=1),C1664,"")</f>
        <v/>
      </c>
      <c r="W1664" s="387" t="n"/>
      <c r="X1664" s="387" t="n"/>
      <c r="Y1664" s="387" t="n"/>
    </row>
    <row r="1665" ht="16.05" customFormat="1" customHeight="1" s="126">
      <c r="A1665" s="125" t="n">
        <v>2181</v>
      </c>
      <c r="B1665" s="125" t="inlineStr">
        <is>
          <t>WF</t>
        </is>
      </c>
      <c r="C1665" s="130" t="inlineStr">
        <is>
          <t>Москва</t>
        </is>
      </c>
      <c r="D1665" s="130" t="inlineStr">
        <is>
          <t>Москва</t>
        </is>
      </c>
      <c r="E1665" s="130" t="inlineStr">
        <is>
          <t>ЗАО</t>
        </is>
      </c>
      <c r="F1665" s="130" t="inlineStr">
        <is>
          <t>Супермаркет</t>
        </is>
      </c>
      <c r="G1665" s="130" t="inlineStr">
        <is>
          <t>Азбука Вкуса</t>
        </is>
      </c>
      <c r="H1665" s="131" t="n">
        <v>149</v>
      </c>
      <c r="I1665" s="637" t="n">
        <v>149</v>
      </c>
      <c r="J1665" s="637" t="inlineStr">
        <is>
          <t>MSK_A_149</t>
        </is>
      </c>
      <c r="K1665" s="640" t="n">
        <v>2</v>
      </c>
      <c r="L1665" s="640" t="n">
        <v>1</v>
      </c>
      <c r="M1665" s="623" t="inlineStr">
        <is>
          <t>Samsung 43" вертикальный</t>
        </is>
      </c>
      <c r="N1665" s="640" t="n">
        <v>1</v>
      </c>
      <c r="O1665" s="640">
        <f>IF(AND(N1665=1,L1665=1),K1665,"")</f>
        <v/>
      </c>
      <c r="P1665" s="642" t="inlineStr">
        <is>
          <t>г.Москва, ул. Пырьева д. 8</t>
        </is>
      </c>
      <c r="Q1665" s="640" t="inlineStr">
        <is>
          <t>55.7259747</t>
        </is>
      </c>
      <c r="R1665" s="494" t="inlineStr">
        <is>
          <t>37.5271377</t>
        </is>
      </c>
      <c r="S1665" s="387" t="n">
        <v>24</v>
      </c>
      <c r="T1665" s="436">
        <f>IF(N1665=1,O1665*S1665,"")</f>
        <v/>
      </c>
      <c r="U1665" s="436" t="n">
        <v>1</v>
      </c>
      <c r="V1665" s="438">
        <f>IF(AND(N1665=1,U1665=1),C1665,"")</f>
        <v/>
      </c>
      <c r="W1665" s="387" t="n"/>
      <c r="X1665" s="387" t="n"/>
      <c r="Y1665" s="387" t="n"/>
    </row>
    <row r="1666" hidden="1" ht="16.05" customFormat="1" customHeight="1" s="126">
      <c r="A1666" s="125" t="n">
        <v>2190</v>
      </c>
      <c r="B1666" s="125" t="n"/>
      <c r="C1666" s="130" t="inlineStr">
        <is>
          <t>Санкт-Петербург</t>
        </is>
      </c>
      <c r="D1666" s="130" t="inlineStr">
        <is>
          <t>Санкт-Петербург</t>
        </is>
      </c>
      <c r="E1666" s="130" t="n"/>
      <c r="F1666" s="130" t="inlineStr">
        <is>
          <t>АЗС</t>
        </is>
      </c>
      <c r="G1666" s="130" t="inlineStr">
        <is>
          <t>Роснефть</t>
        </is>
      </c>
      <c r="H1666" s="131" t="n">
        <v>302</v>
      </c>
      <c r="I1666" s="637" t="inlineStr">
        <is>
          <t>302 Партизанская</t>
        </is>
      </c>
      <c r="J1666" s="637" t="inlineStr">
        <is>
          <t>SPB_RN_P_302</t>
        </is>
      </c>
      <c r="K1666" s="640" t="n">
        <v>2</v>
      </c>
      <c r="L1666" s="640" t="n">
        <v>1</v>
      </c>
      <c r="M1666" s="623" t="inlineStr">
        <is>
          <t>Samsung 32" вертикальный</t>
        </is>
      </c>
      <c r="N1666" s="640" t="n"/>
      <c r="O1666" s="640">
        <f>IF(AND(N1666=1,L1666=1),K1666,"")</f>
        <v/>
      </c>
      <c r="P1666" s="642" t="inlineStr">
        <is>
          <t>Санкт-Петербург,  Партизанская ул., 17а, лит.А</t>
        </is>
      </c>
      <c r="Q1666" s="640" t="inlineStr">
        <is>
          <t>59.947346</t>
        </is>
      </c>
      <c r="R1666" s="494" t="inlineStr">
        <is>
          <t>30.434887</t>
        </is>
      </c>
      <c r="S1666" s="387" t="n"/>
      <c r="T1666" s="387" t="n"/>
      <c r="U1666" s="387" t="n"/>
      <c r="V1666" s="438">
        <f>IF(AND(N1666=1,U1666=1),C1666,"")</f>
        <v/>
      </c>
      <c r="W1666" s="387" t="n"/>
      <c r="X1666" s="387" t="n"/>
      <c r="Y1666" s="387" t="n"/>
    </row>
    <row r="1667" hidden="1" ht="16.05" customFormat="1" customHeight="1" s="126">
      <c r="A1667" s="125" t="n">
        <v>2193</v>
      </c>
      <c r="B1667" s="125" t="n"/>
      <c r="C1667" s="130" t="inlineStr">
        <is>
          <t>Санкт-Петербург</t>
        </is>
      </c>
      <c r="D1667" s="130" t="inlineStr">
        <is>
          <t>Санкт-Петербург</t>
        </is>
      </c>
      <c r="E1667" s="130" t="n"/>
      <c r="F1667" s="130" t="inlineStr">
        <is>
          <t>АЗС</t>
        </is>
      </c>
      <c r="G1667" s="130" t="inlineStr">
        <is>
          <t>Роснефть</t>
        </is>
      </c>
      <c r="H1667" s="131" t="n">
        <v>476</v>
      </c>
      <c r="I1667" s="637" t="inlineStr">
        <is>
          <t>476 Московское шоссе-2</t>
        </is>
      </c>
      <c r="J1667" s="637" t="inlineStr">
        <is>
          <t>SPB_RN_P_476</t>
        </is>
      </c>
      <c r="K1667" s="640" t="n">
        <v>1</v>
      </c>
      <c r="L1667" s="640" t="n">
        <v>1</v>
      </c>
      <c r="M1667" s="623" t="inlineStr">
        <is>
          <t>Samsung 32" вертикальный</t>
        </is>
      </c>
      <c r="N1667" s="640" t="n"/>
      <c r="O1667" s="640">
        <f>IF(AND(N1667=1,L1667=1),K1667,"")</f>
        <v/>
      </c>
      <c r="P1667" s="642" t="inlineStr">
        <is>
          <t>Санкт-Петербург,  Шушары, Московское шоссе, 181, лит.А</t>
        </is>
      </c>
      <c r="Q1667" s="640" t="inlineStr">
        <is>
          <t>59.771303</t>
        </is>
      </c>
      <c r="R1667" s="494" t="inlineStr">
        <is>
          <t>30.457023</t>
        </is>
      </c>
      <c r="S1667" s="387" t="n"/>
      <c r="T1667" s="387" t="n"/>
      <c r="U1667" s="436" t="n">
        <v>1</v>
      </c>
      <c r="V1667" s="438">
        <f>IF(AND(N1667=1,U1667=1),C1667,"")</f>
        <v/>
      </c>
      <c r="W1667" s="387" t="n"/>
      <c r="X1667" s="387" t="n"/>
      <c r="Y1667" s="387" t="n"/>
    </row>
    <row r="1668" hidden="1" ht="16.05" customFormat="1" customHeight="1" s="126">
      <c r="A1668" s="125" t="n">
        <v>2183</v>
      </c>
      <c r="B1668" s="125" t="inlineStr">
        <is>
          <t>WF</t>
        </is>
      </c>
      <c r="C1668" s="130" t="inlineStr">
        <is>
          <t>Москва</t>
        </is>
      </c>
      <c r="D1668" s="130" t="inlineStr">
        <is>
          <t>Москва</t>
        </is>
      </c>
      <c r="E1668" s="130" t="inlineStr">
        <is>
          <t>ЗАО</t>
        </is>
      </c>
      <c r="F1668" s="130" t="inlineStr">
        <is>
          <t>Супермаркет</t>
        </is>
      </c>
      <c r="G1668" s="130" t="inlineStr">
        <is>
          <t>Азбука Вкуса</t>
        </is>
      </c>
      <c r="H1668" s="131" t="inlineStr">
        <is>
          <t>150_Daily</t>
        </is>
      </c>
      <c r="I1668" s="637" t="inlineStr">
        <is>
          <t>150_Daily</t>
        </is>
      </c>
      <c r="J1668" s="637" t="inlineStr">
        <is>
          <t>MSK_D_150</t>
        </is>
      </c>
      <c r="K1668" s="640" t="n">
        <v>2</v>
      </c>
      <c r="L1668" s="640" t="n">
        <v>0</v>
      </c>
      <c r="M1668" s="640" t="inlineStr">
        <is>
          <t>Samsung 43" вертикальный</t>
        </is>
      </c>
      <c r="N1668" s="640" t="n"/>
      <c r="O1668" s="640">
        <f>IF(AND(N1668=1,L1668=1),K1668,"")</f>
        <v/>
      </c>
      <c r="P1668" s="642" t="inlineStr">
        <is>
          <t>г.Москва, ул. Камергерский д. 6 /5c3</t>
        </is>
      </c>
      <c r="Q1668" s="640" t="inlineStr">
        <is>
          <t>55.7603119</t>
        </is>
      </c>
      <c r="R1668" s="422" t="inlineStr">
        <is>
          <t>37.6148952</t>
        </is>
      </c>
      <c r="S1668" s="387" t="n">
        <v>24</v>
      </c>
      <c r="T1668" s="436">
        <f>IF(N1668=1,O1668*S1668,"")</f>
        <v/>
      </c>
      <c r="U1668" s="436" t="n">
        <v>1</v>
      </c>
      <c r="V1668" s="438">
        <f>IF(AND(N1668=1,U1668=1),C1668,"")</f>
        <v/>
      </c>
      <c r="W1668" s="387" t="n"/>
      <c r="X1668" s="387" t="n"/>
      <c r="Y1668" s="387" t="n"/>
    </row>
    <row r="1669" hidden="1" ht="16.05" customFormat="1" customHeight="1" s="126">
      <c r="A1669" s="125" t="n">
        <v>2195</v>
      </c>
      <c r="B1669" s="125" t="n"/>
      <c r="C1669" s="130" t="inlineStr">
        <is>
          <t>Санкт-Петербург</t>
        </is>
      </c>
      <c r="D1669" s="130" t="inlineStr">
        <is>
          <t>Новгородская область</t>
        </is>
      </c>
      <c r="E1669" s="130" t="n"/>
      <c r="F1669" s="130" t="inlineStr">
        <is>
          <t>АЗС</t>
        </is>
      </c>
      <c r="G1669" s="130" t="inlineStr">
        <is>
          <t>Роснефть</t>
        </is>
      </c>
      <c r="H1669" s="131" t="n">
        <v>551</v>
      </c>
      <c r="I1669" s="637" t="inlineStr">
        <is>
          <t>551 Псковская</t>
        </is>
      </c>
      <c r="J1669" s="637" t="inlineStr">
        <is>
          <t>SPB_RN_P_551</t>
        </is>
      </c>
      <c r="K1669" s="640" t="n">
        <v>1</v>
      </c>
      <c r="L1669" s="640" t="n">
        <v>1</v>
      </c>
      <c r="M1669" s="623" t="inlineStr">
        <is>
          <t>Samsung 32" вертикальный</t>
        </is>
      </c>
      <c r="N1669" s="640" t="n"/>
      <c r="O1669" s="640">
        <f>IF(AND(N1669=1,L1669=1),K1669,"")</f>
        <v/>
      </c>
      <c r="P1669" s="642" t="inlineStr">
        <is>
          <t>Великий Новгород, ул. Псковская, квартал  147</t>
        </is>
      </c>
      <c r="Q1669" s="640" t="inlineStr">
        <is>
          <t>58.504195</t>
        </is>
      </c>
      <c r="R1669" s="494" t="inlineStr">
        <is>
          <t>31.228436</t>
        </is>
      </c>
      <c r="S1669" s="387" t="n"/>
      <c r="T1669" s="387" t="n"/>
      <c r="U1669" s="436" t="n">
        <v>1</v>
      </c>
      <c r="V1669" s="438">
        <f>IF(AND(N1669=1,U1669=1),C1669,"")</f>
        <v/>
      </c>
      <c r="W1669" s="387" t="n"/>
      <c r="X1669" s="387" t="n"/>
      <c r="Y1669" s="387" t="n"/>
    </row>
    <row r="1670" hidden="1" ht="16.05" customHeight="1">
      <c r="A1670" s="791" t="n">
        <v>2185</v>
      </c>
      <c r="B1670" s="13">
        <f>IF(OR(M1670="Sam 32",M1670="Sam 40"),"s",IF(M1670="AMS","a","v"))</f>
        <v/>
      </c>
      <c r="C1670" s="130" t="inlineStr">
        <is>
          <t>Екатеринбург</t>
        </is>
      </c>
      <c r="D1670" s="130" t="inlineStr">
        <is>
          <t>Екатеринбург</t>
        </is>
      </c>
      <c r="E1670" s="130" t="n"/>
      <c r="F1670" s="130" t="n"/>
      <c r="G1670" s="130" t="inlineStr">
        <is>
          <t>Лукойл</t>
        </is>
      </c>
      <c r="H1670" s="131" t="n"/>
      <c r="I1670" s="637" t="inlineStr">
        <is>
          <t>448_HOR</t>
        </is>
      </c>
      <c r="J1670" s="637" t="inlineStr">
        <is>
          <t>EKT_LUK_0448</t>
        </is>
      </c>
      <c r="K1670" s="640" t="n">
        <v>1</v>
      </c>
      <c r="L1670" s="640" t="n">
        <v>0</v>
      </c>
      <c r="M1670" s="640" t="inlineStr">
        <is>
          <t>Sam 43</t>
        </is>
      </c>
      <c r="N1670" s="640" t="n"/>
      <c r="O1670" s="640">
        <f>IF(AND(N1670=1,L1670=1),K1670,"")</f>
        <v/>
      </c>
      <c r="P1670" s="642" t="inlineStr">
        <is>
          <t>г. Екатеринбург, Кольцевой тракт 11</t>
        </is>
      </c>
      <c r="Q1670" s="640" t="n"/>
      <c r="R1670" s="422" t="n"/>
      <c r="X1670" s="1" t="n"/>
      <c r="Y1670" s="1" t="n"/>
      <c r="Z1670" s="1" t="n"/>
    </row>
    <row r="1671" hidden="1" ht="16.05" customHeight="1">
      <c r="A1671" s="791" t="n">
        <v>2186</v>
      </c>
      <c r="B1671" s="13">
        <f>IF(OR(M1671="Sam 32",M1671="Sam 40"),"s",IF(M1671="AMS","a","v"))</f>
        <v/>
      </c>
      <c r="C1671" s="130" t="inlineStr">
        <is>
          <t>Екатеринбург</t>
        </is>
      </c>
      <c r="D1671" s="130" t="inlineStr">
        <is>
          <t>Екатеринбург</t>
        </is>
      </c>
      <c r="E1671" s="130" t="n"/>
      <c r="F1671" s="130" t="n"/>
      <c r="G1671" s="130" t="inlineStr">
        <is>
          <t>Лукойл</t>
        </is>
      </c>
      <c r="H1671" s="131" t="n"/>
      <c r="I1671" s="637" t="inlineStr">
        <is>
          <t>449_HOR</t>
        </is>
      </c>
      <c r="J1671" s="637" t="inlineStr">
        <is>
          <t>EKT_LUK_0449</t>
        </is>
      </c>
      <c r="K1671" s="640" t="n">
        <v>1</v>
      </c>
      <c r="L1671" s="640" t="n">
        <v>0</v>
      </c>
      <c r="M1671" s="640" t="inlineStr">
        <is>
          <t>Sam 43</t>
        </is>
      </c>
      <c r="N1671" s="640" t="n"/>
      <c r="O1671" s="640">
        <f>IF(AND(N1671=1,L1671=1),K1671,"")</f>
        <v/>
      </c>
      <c r="P1671" s="642" t="inlineStr">
        <is>
          <t>г. Екатеринбург, Кольцевой тракт 50</t>
        </is>
      </c>
      <c r="Q1671" s="640" t="n"/>
      <c r="R1671" s="422" t="n"/>
      <c r="X1671" s="1" t="n"/>
      <c r="Y1671" s="1" t="n"/>
      <c r="Z1671" s="1" t="n"/>
    </row>
    <row r="1672" hidden="1" ht="16.05" customHeight="1">
      <c r="A1672" s="791" t="n">
        <v>2187</v>
      </c>
      <c r="B1672" s="13">
        <f>IF(OR(M1672="Sam 32",M1672="Sam 40"),"s",IF(M1672="AMS","a","v"))</f>
        <v/>
      </c>
      <c r="C1672" s="130" t="inlineStr">
        <is>
          <t>Екатеринбург</t>
        </is>
      </c>
      <c r="D1672" s="130" t="inlineStr">
        <is>
          <t>Екатеринбург</t>
        </is>
      </c>
      <c r="E1672" s="130" t="n"/>
      <c r="F1672" s="130" t="n"/>
      <c r="G1672" s="130" t="inlineStr">
        <is>
          <t>Лукойл</t>
        </is>
      </c>
      <c r="H1672" s="131" t="n"/>
      <c r="I1672" s="637" t="inlineStr">
        <is>
          <t>456_HOR</t>
        </is>
      </c>
      <c r="J1672" s="637" t="inlineStr">
        <is>
          <t>EKT_LUK_0456</t>
        </is>
      </c>
      <c r="K1672" s="640" t="n">
        <v>1</v>
      </c>
      <c r="L1672" s="640" t="n">
        <v>0</v>
      </c>
      <c r="M1672" s="640" t="inlineStr">
        <is>
          <t>Sam 43</t>
        </is>
      </c>
      <c r="N1672" s="640" t="n"/>
      <c r="O1672" s="640">
        <f>IF(AND(N1672=1,L1672=1),K1672,"")</f>
        <v/>
      </c>
      <c r="P1672" s="642" t="inlineStr">
        <is>
          <t>г. Екатеринбург, Водительский проезд 10</t>
        </is>
      </c>
      <c r="Q1672" s="640" t="n"/>
      <c r="R1672" s="422" t="n"/>
      <c r="X1672" s="1" t="n"/>
      <c r="Y1672" s="1" t="n"/>
      <c r="Z1672" s="1" t="n"/>
    </row>
    <row r="1673" hidden="1" ht="16.05" customHeight="1">
      <c r="A1673" s="791" t="n">
        <v>2188</v>
      </c>
      <c r="B1673" s="13">
        <f>IF(OR(M1673="Sam 32",M1673="Sam 40"),"s",IF(M1673="AMS","a","v"))</f>
        <v/>
      </c>
      <c r="C1673" s="130" t="inlineStr">
        <is>
          <t>Екатеринбург</t>
        </is>
      </c>
      <c r="D1673" s="130" t="inlineStr">
        <is>
          <t>Екатеринбург</t>
        </is>
      </c>
      <c r="E1673" s="130" t="n"/>
      <c r="F1673" s="130" t="n"/>
      <c r="G1673" s="130" t="inlineStr">
        <is>
          <t>Лукойл</t>
        </is>
      </c>
      <c r="H1673" s="131" t="n"/>
      <c r="I1673" s="637" t="inlineStr">
        <is>
          <t>462_HOR</t>
        </is>
      </c>
      <c r="J1673" s="637" t="inlineStr">
        <is>
          <t>EKT_LUK_0462</t>
        </is>
      </c>
      <c r="K1673" s="640" t="n">
        <v>1</v>
      </c>
      <c r="L1673" s="640" t="n">
        <v>0</v>
      </c>
      <c r="M1673" s="640" t="inlineStr">
        <is>
          <t>Sam 43</t>
        </is>
      </c>
      <c r="N1673" s="640" t="n"/>
      <c r="O1673" s="640">
        <f>IF(AND(N1673=1,L1673=1),K1673,"")</f>
        <v/>
      </c>
      <c r="P1673" s="642" t="inlineStr">
        <is>
          <t>г. Екатеринбург, Крестинского 40</t>
        </is>
      </c>
      <c r="Q1673" s="640" t="n"/>
      <c r="R1673" s="422" t="n"/>
      <c r="X1673" s="1" t="n"/>
      <c r="Y1673" s="1" t="n"/>
      <c r="Z1673" s="1" t="n"/>
    </row>
    <row r="1674" hidden="1" ht="16.05" customHeight="1">
      <c r="A1674" s="791" t="n">
        <v>2189</v>
      </c>
      <c r="B1674" s="13">
        <f>IF(OR(M1674="Sam 32",M1674="Sam 40"),"s",IF(M1674="AMS","a","v"))</f>
        <v/>
      </c>
      <c r="C1674" s="130" t="inlineStr">
        <is>
          <t>Екатеринбург</t>
        </is>
      </c>
      <c r="D1674" s="130" t="inlineStr">
        <is>
          <t>Екатеринбург</t>
        </is>
      </c>
      <c r="E1674" s="130" t="n"/>
      <c r="F1674" s="130" t="n"/>
      <c r="G1674" s="130" t="inlineStr">
        <is>
          <t>Лукойл</t>
        </is>
      </c>
      <c r="H1674" s="131" t="n"/>
      <c r="I1674" s="637" t="inlineStr">
        <is>
          <t>488_HOR</t>
        </is>
      </c>
      <c r="J1674" s="637" t="inlineStr">
        <is>
          <t>EKT_LUK_0488</t>
        </is>
      </c>
      <c r="K1674" s="640" t="n">
        <v>1</v>
      </c>
      <c r="L1674" s="640" t="n">
        <v>0</v>
      </c>
      <c r="M1674" s="640" t="inlineStr">
        <is>
          <t>Sam 43</t>
        </is>
      </c>
      <c r="N1674" s="640" t="n"/>
      <c r="O1674" s="640">
        <f>IF(AND(N1674=1,L1674=1),K1674,"")</f>
        <v/>
      </c>
      <c r="P1674" s="642" t="inlineStr">
        <is>
          <t>г. Екатеринбург, Сибирский тракт, дублер 6 км с 1</t>
        </is>
      </c>
      <c r="Q1674" s="640" t="n"/>
      <c r="R1674" s="422" t="n"/>
      <c r="X1674" s="1" t="n"/>
      <c r="Y1674" s="1" t="n"/>
      <c r="Z1674" s="1" t="n"/>
    </row>
    <row r="1675" hidden="1" ht="16.05" customFormat="1" customHeight="1" s="126">
      <c r="A1675" s="125" t="n">
        <v>2191</v>
      </c>
      <c r="B1675" s="125" t="n"/>
      <c r="C1675" s="130" t="inlineStr">
        <is>
          <t>Санкт-Петербург</t>
        </is>
      </c>
      <c r="D1675" s="130" t="inlineStr">
        <is>
          <t>Санкт-Петербург</t>
        </is>
      </c>
      <c r="E1675" s="130" t="n"/>
      <c r="F1675" s="130" t="inlineStr">
        <is>
          <t>АЗС</t>
        </is>
      </c>
      <c r="G1675" s="130" t="inlineStr">
        <is>
          <t>Роснефть</t>
        </is>
      </c>
      <c r="H1675" s="131" t="n">
        <v>343</v>
      </c>
      <c r="I1675" s="637" t="inlineStr">
        <is>
          <t>343 Советский</t>
        </is>
      </c>
      <c r="J1675" s="637" t="inlineStr">
        <is>
          <t>SPB_RN_P_343</t>
        </is>
      </c>
      <c r="K1675" s="640" t="n">
        <v>1</v>
      </c>
      <c r="L1675" s="640" t="n">
        <v>0</v>
      </c>
      <c r="M1675" s="640" t="inlineStr">
        <is>
          <t>Samsung 32" вертикальный</t>
        </is>
      </c>
      <c r="N1675" s="640" t="n"/>
      <c r="O1675" s="640">
        <f>IF(AND(N1675=1,L1675=1),K1675,"")</f>
        <v/>
      </c>
      <c r="P1675" s="642" t="inlineStr">
        <is>
          <t>Санкт-Петербург,  Советский пр., 37, лит.А</t>
        </is>
      </c>
      <c r="Q1675" s="640" t="inlineStr">
        <is>
          <t>59.830062</t>
        </is>
      </c>
      <c r="R1675" s="494" t="inlineStr">
        <is>
          <t>30.531826</t>
        </is>
      </c>
      <c r="S1675" s="387" t="n"/>
      <c r="T1675" s="387" t="n"/>
      <c r="U1675" s="387" t="n"/>
      <c r="V1675" s="387" t="n"/>
      <c r="W1675" s="387" t="n"/>
      <c r="X1675" s="387" t="n"/>
      <c r="Y1675" s="1" t="n"/>
    </row>
    <row r="1676" hidden="1" ht="16.05" customFormat="1" customHeight="1" s="126">
      <c r="A1676" s="125" t="n">
        <v>2192</v>
      </c>
      <c r="B1676" s="125" t="n"/>
      <c r="C1676" s="130" t="inlineStr">
        <is>
          <t>Санкт-Петербург</t>
        </is>
      </c>
      <c r="D1676" s="130" t="inlineStr">
        <is>
          <t>Санкт-Петербург</t>
        </is>
      </c>
      <c r="E1676" s="130" t="n"/>
      <c r="F1676" s="130" t="inlineStr">
        <is>
          <t>АЗС</t>
        </is>
      </c>
      <c r="G1676" s="130" t="inlineStr">
        <is>
          <t>Роснефть</t>
        </is>
      </c>
      <c r="H1676" s="131" t="n">
        <v>330</v>
      </c>
      <c r="I1676" s="637" t="inlineStr">
        <is>
          <t>330 Приморская</t>
        </is>
      </c>
      <c r="J1676" s="637" t="inlineStr">
        <is>
          <t>SPB_RN_P_330</t>
        </is>
      </c>
      <c r="K1676" s="640" t="n">
        <v>1</v>
      </c>
      <c r="L1676" s="640" t="n">
        <v>1</v>
      </c>
      <c r="M1676" s="623" t="inlineStr">
        <is>
          <t>Samsung 32" вертикальный</t>
        </is>
      </c>
      <c r="N1676" s="640" t="n"/>
      <c r="O1676" s="640">
        <f>IF(AND(N1676=1,L1676=1),K1676,"")</f>
        <v/>
      </c>
      <c r="P1676" s="642" t="inlineStr">
        <is>
          <t>Санкт-Петербург,  Приморский пр., 56</t>
        </is>
      </c>
      <c r="Q1676" s="640" t="inlineStr">
        <is>
          <t>59.830064</t>
        </is>
      </c>
      <c r="R1676" s="494" t="inlineStr">
        <is>
          <t>30.531848</t>
        </is>
      </c>
      <c r="S1676" s="387" t="n"/>
      <c r="T1676" s="387" t="n"/>
      <c r="U1676" s="387" t="n"/>
      <c r="V1676" s="387" t="n"/>
      <c r="W1676" s="387" t="n"/>
      <c r="X1676" s="387" t="n"/>
      <c r="Y1676" s="387" t="n"/>
    </row>
    <row r="1677" hidden="1" ht="16.05" customFormat="1" customHeight="1" s="126">
      <c r="A1677" s="125" t="n">
        <v>2196</v>
      </c>
      <c r="B1677" s="125" t="n"/>
      <c r="C1677" s="130" t="inlineStr">
        <is>
          <t>Санкт-Петербург</t>
        </is>
      </c>
      <c r="D1677" s="130" t="inlineStr">
        <is>
          <t>Новгородская область</t>
        </is>
      </c>
      <c r="E1677" s="130" t="n"/>
      <c r="F1677" s="130" t="inlineStr">
        <is>
          <t>АЗС</t>
        </is>
      </c>
      <c r="G1677" s="130" t="inlineStr">
        <is>
          <t>Роснефть</t>
        </is>
      </c>
      <c r="H1677" s="131" t="n">
        <v>552</v>
      </c>
      <c r="I1677" s="637" t="inlineStr">
        <is>
          <t>552 Державина</t>
        </is>
      </c>
      <c r="J1677" s="637" t="inlineStr">
        <is>
          <t>SPB_RN_P_552</t>
        </is>
      </c>
      <c r="K1677" s="640" t="n">
        <v>1</v>
      </c>
      <c r="L1677" s="640" t="n">
        <v>1</v>
      </c>
      <c r="M1677" s="623" t="inlineStr">
        <is>
          <t>Samsung 32" вертикальный</t>
        </is>
      </c>
      <c r="N1677" s="640" t="n"/>
      <c r="O1677" s="640">
        <f>IF(AND(N1677=1,L1677=1),K1677,"")</f>
        <v/>
      </c>
      <c r="P1677" s="642" t="inlineStr">
        <is>
          <t>Великий Новгород, Державина ул., 7</t>
        </is>
      </c>
      <c r="Q1677" s="640" t="inlineStr">
        <is>
          <t>58.545288</t>
        </is>
      </c>
      <c r="R1677" s="494" t="inlineStr">
        <is>
          <t>31.310638</t>
        </is>
      </c>
      <c r="S1677" s="387" t="n"/>
      <c r="T1677" s="387" t="n"/>
      <c r="U1677" s="387" t="n"/>
      <c r="V1677" s="387" t="n"/>
      <c r="W1677" s="387" t="n"/>
      <c r="X1677" s="387" t="n"/>
      <c r="Y1677" s="387" t="n"/>
    </row>
    <row r="1678" hidden="1" ht="16.05" customFormat="1" customHeight="1" s="126">
      <c r="A1678" s="125" t="n">
        <v>2197</v>
      </c>
      <c r="B1678" s="125" t="n"/>
      <c r="C1678" s="130" t="inlineStr">
        <is>
          <t>Санкт-Петербург</t>
        </is>
      </c>
      <c r="D1678" s="130" t="inlineStr">
        <is>
          <t>Новгородская область</t>
        </is>
      </c>
      <c r="E1678" s="130" t="n"/>
      <c r="F1678" s="130" t="inlineStr">
        <is>
          <t>АЗС</t>
        </is>
      </c>
      <c r="G1678" s="130" t="inlineStr">
        <is>
          <t>Роснефть</t>
        </is>
      </c>
      <c r="H1678" s="131" t="n">
        <v>553</v>
      </c>
      <c r="I1678" s="637" t="inlineStr">
        <is>
          <t>553 Прусская</t>
        </is>
      </c>
      <c r="J1678" s="637" t="inlineStr">
        <is>
          <t>SPB_RN_P_553</t>
        </is>
      </c>
      <c r="K1678" s="640" t="n">
        <v>1</v>
      </c>
      <c r="L1678" s="640" t="n">
        <v>1</v>
      </c>
      <c r="M1678" s="623" t="inlineStr">
        <is>
          <t>Samsung 32" вертикальный</t>
        </is>
      </c>
      <c r="N1678" s="640" t="n"/>
      <c r="O1678" s="640">
        <f>IF(AND(N1678=1,L1678=1),K1678,"")</f>
        <v/>
      </c>
      <c r="P1678" s="642" t="inlineStr">
        <is>
          <t>Великий Новгород, Прусская ул., 31</t>
        </is>
      </c>
      <c r="Q1678" s="640" t="inlineStr">
        <is>
          <t>58.516849</t>
        </is>
      </c>
      <c r="R1678" s="494" t="inlineStr">
        <is>
          <t>31.252876</t>
        </is>
      </c>
      <c r="S1678" s="387" t="n"/>
      <c r="T1678" s="387" t="n"/>
      <c r="U1678" s="387" t="n"/>
      <c r="V1678" s="387" t="n"/>
      <c r="W1678" s="387" t="n"/>
      <c r="X1678" s="387" t="n"/>
      <c r="Y1678" s="387" t="n"/>
    </row>
    <row r="1679" hidden="1" ht="16.05" customFormat="1" customHeight="1" s="126">
      <c r="A1679" s="125" t="n">
        <v>2194</v>
      </c>
      <c r="B1679" s="125" t="n"/>
      <c r="C1679" s="130" t="inlineStr">
        <is>
          <t>Санкт-Петербург</t>
        </is>
      </c>
      <c r="D1679" s="130" t="inlineStr">
        <is>
          <t>Ленинградская область</t>
        </is>
      </c>
      <c r="E1679" s="130" t="n"/>
      <c r="F1679" s="130" t="n"/>
      <c r="G1679" s="130" t="inlineStr">
        <is>
          <t>ПТК</t>
        </is>
      </c>
      <c r="H1679" s="131" t="n">
        <v>143</v>
      </c>
      <c r="I1679" s="637" t="inlineStr">
        <is>
          <t>ПТК_143</t>
        </is>
      </c>
      <c r="J1679" s="637" t="inlineStr">
        <is>
          <t>PTK_0143</t>
        </is>
      </c>
      <c r="K1679" s="640" t="n">
        <v>1</v>
      </c>
      <c r="L1679" s="640" t="n">
        <v>0</v>
      </c>
      <c r="M1679" s="640" t="inlineStr">
        <is>
          <t>Sam 32</t>
        </is>
      </c>
      <c r="N1679" s="640" t="n"/>
      <c r="O1679" s="640">
        <f>IF(AND(N1679=1,L1679=1),K1679,"")</f>
        <v/>
      </c>
      <c r="P1679" s="642" t="inlineStr">
        <is>
          <t>Ленинградская область,  Гатчина, Киевское шоссе, 44 км</t>
        </is>
      </c>
      <c r="Q1679" s="640" t="n">
        <v>59.57282</v>
      </c>
      <c r="R1679" s="422" t="n">
        <v>30.171616</v>
      </c>
      <c r="S1679" s="387" t="n"/>
      <c r="T1679" s="387" t="n"/>
      <c r="U1679" s="387" t="n"/>
      <c r="V1679" s="387" t="n"/>
      <c r="W1679" s="387" t="n"/>
      <c r="X1679" s="1" t="n"/>
      <c r="Y1679" s="1" t="n"/>
    </row>
    <row r="1680" hidden="1" ht="16.05" customFormat="1" customHeight="1" s="126">
      <c r="A1680" s="125" t="n">
        <v>2198</v>
      </c>
      <c r="B1680" s="125" t="n"/>
      <c r="C1680" s="130" t="inlineStr">
        <is>
          <t>Санкт-Петербург</t>
        </is>
      </c>
      <c r="D1680" s="130" t="inlineStr">
        <is>
          <t>Новгородская область</t>
        </is>
      </c>
      <c r="E1680" s="130" t="n"/>
      <c r="F1680" s="130" t="inlineStr">
        <is>
          <t>АЗС</t>
        </is>
      </c>
      <c r="G1680" s="130" t="inlineStr">
        <is>
          <t>Роснефть</t>
        </is>
      </c>
      <c r="H1680" s="131" t="n">
        <v>554</v>
      </c>
      <c r="I1680" s="637" t="inlineStr">
        <is>
          <t>554 Корсунова</t>
        </is>
      </c>
      <c r="J1680" s="637" t="inlineStr">
        <is>
          <t>SPB_RN_P_554</t>
        </is>
      </c>
      <c r="K1680" s="640" t="n">
        <v>1</v>
      </c>
      <c r="L1680" s="640" t="n">
        <v>1</v>
      </c>
      <c r="M1680" s="623" t="inlineStr">
        <is>
          <t>Samsung 32" вертикальный</t>
        </is>
      </c>
      <c r="N1680" s="640" t="n"/>
      <c r="O1680" s="640">
        <f>IF(AND(N1680=1,L1680=1),K1680,"")</f>
        <v/>
      </c>
      <c r="P1680" s="642" t="inlineStr">
        <is>
          <t>Великий Новгород, Корсунова пр., 38</t>
        </is>
      </c>
      <c r="Q1680" s="640" t="inlineStr">
        <is>
          <t>58.547769</t>
        </is>
      </c>
      <c r="R1680" s="494" t="inlineStr">
        <is>
          <t xml:space="preserve">31.230209
</t>
        </is>
      </c>
      <c r="S1680" s="387" t="n"/>
      <c r="T1680" s="387" t="n"/>
      <c r="U1680" s="387" t="n"/>
      <c r="V1680" s="387" t="n"/>
      <c r="W1680" s="387" t="n"/>
      <c r="X1680" s="387" t="n"/>
      <c r="Y1680" s="387" t="n"/>
    </row>
    <row r="1681" hidden="1" ht="16.05" customFormat="1" customHeight="1" s="126">
      <c r="A1681" s="125" t="n">
        <v>2199</v>
      </c>
      <c r="B1681" s="125" t="n"/>
      <c r="C1681" s="130" t="inlineStr">
        <is>
          <t>Санкт-Петербург</t>
        </is>
      </c>
      <c r="D1681" s="130" t="inlineStr">
        <is>
          <t>Новгородская область</t>
        </is>
      </c>
      <c r="E1681" s="130" t="n"/>
      <c r="F1681" s="130" t="inlineStr">
        <is>
          <t>АЗС</t>
        </is>
      </c>
      <c r="G1681" s="130" t="inlineStr">
        <is>
          <t>Роснефть</t>
        </is>
      </c>
      <c r="H1681" s="131" t="n">
        <v>555</v>
      </c>
      <c r="I1681" s="637" t="inlineStr">
        <is>
          <t>555 Большая Санкт-Петербургская</t>
        </is>
      </c>
      <c r="J1681" s="637" t="inlineStr">
        <is>
          <t>SPB_RN_P_555</t>
        </is>
      </c>
      <c r="K1681" s="640" t="n">
        <v>1</v>
      </c>
      <c r="L1681" s="640" t="n">
        <v>1</v>
      </c>
      <c r="M1681" s="623" t="inlineStr">
        <is>
          <t>Samsung 32" вертикальный</t>
        </is>
      </c>
      <c r="N1681" s="640" t="n"/>
      <c r="O1681" s="640">
        <f>IF(AND(N1681=1,L1681=1),K1681,"")</f>
        <v/>
      </c>
      <c r="P1681" s="642" t="inlineStr">
        <is>
          <t>Великий Новгород, Б. Санкт-Петербургская ул., 163</t>
        </is>
      </c>
      <c r="Q1681" s="640" t="inlineStr">
        <is>
          <t>58.573476</t>
        </is>
      </c>
      <c r="R1681" s="494" t="inlineStr">
        <is>
          <t>31.285035</t>
        </is>
      </c>
      <c r="S1681" s="387" t="n"/>
      <c r="T1681" s="387" t="n"/>
      <c r="U1681" s="387" t="n"/>
      <c r="V1681" s="387" t="n"/>
      <c r="W1681" s="387" t="n"/>
      <c r="X1681" s="387" t="n"/>
      <c r="Y1681" s="387" t="n"/>
    </row>
    <row r="1682" hidden="1" ht="16.05" customFormat="1" customHeight="1" s="126">
      <c r="A1682" s="125" t="n">
        <v>2200</v>
      </c>
      <c r="B1682" s="125" t="n"/>
      <c r="C1682" s="130" t="inlineStr">
        <is>
          <t>Санкт-Петербург</t>
        </is>
      </c>
      <c r="D1682" s="130" t="inlineStr">
        <is>
          <t>Новгородская область</t>
        </is>
      </c>
      <c r="E1682" s="130" t="n"/>
      <c r="F1682" s="130" t="inlineStr">
        <is>
          <t>АЗС</t>
        </is>
      </c>
      <c r="G1682" s="130" t="inlineStr">
        <is>
          <t>Роснефть</t>
        </is>
      </c>
      <c r="H1682" s="131" t="n">
        <v>556</v>
      </c>
      <c r="I1682" s="637" t="inlineStr">
        <is>
          <t>556 Мира</t>
        </is>
      </c>
      <c r="J1682" s="637" t="inlineStr">
        <is>
          <t>SPB_RN_P_556</t>
        </is>
      </c>
      <c r="K1682" s="640" t="n">
        <v>1</v>
      </c>
      <c r="L1682" s="640" t="n">
        <v>1</v>
      </c>
      <c r="M1682" s="623" t="inlineStr">
        <is>
          <t>Samsung 32" вертикальный</t>
        </is>
      </c>
      <c r="N1682" s="640" t="n"/>
      <c r="O1682" s="640">
        <f>IF(AND(N1682=1,L1682=1),K1682,"")</f>
        <v/>
      </c>
      <c r="P1682" s="642" t="inlineStr">
        <is>
          <t>Великий Новгород, пер. пр. Мира и Нехинской ул. (проспект Мира, 33)</t>
        </is>
      </c>
      <c r="Q1682" s="640" t="inlineStr">
        <is>
          <t>58.525225</t>
        </is>
      </c>
      <c r="R1682" s="494" t="inlineStr">
        <is>
          <t>31.231709</t>
        </is>
      </c>
      <c r="S1682" s="387" t="n"/>
      <c r="T1682" s="387" t="n"/>
      <c r="U1682" s="387" t="n"/>
      <c r="V1682" s="387" t="n"/>
      <c r="W1682" s="387" t="n"/>
      <c r="X1682" s="387" t="n"/>
      <c r="Y1682" s="387" t="n"/>
    </row>
    <row r="1683" hidden="1" ht="16.05" customFormat="1" customHeight="1" s="126">
      <c r="A1683" s="125" t="n">
        <v>2203</v>
      </c>
      <c r="B1683" s="125" t="n"/>
      <c r="C1683" s="130" t="inlineStr">
        <is>
          <t>Санкт-Петербург</t>
        </is>
      </c>
      <c r="D1683" s="130" t="inlineStr">
        <is>
          <t>Новгородская область</t>
        </is>
      </c>
      <c r="E1683" s="130" t="n"/>
      <c r="F1683" s="130" t="inlineStr">
        <is>
          <t>АЗС</t>
        </is>
      </c>
      <c r="G1683" s="130" t="inlineStr">
        <is>
          <t>Роснефть</t>
        </is>
      </c>
      <c r="H1683" s="131" t="n">
        <v>562</v>
      </c>
      <c r="I1683" s="637" t="inlineStr">
        <is>
          <t>562 Чудово</t>
        </is>
      </c>
      <c r="J1683" s="637" t="inlineStr">
        <is>
          <t>SPB_RN_P_562</t>
        </is>
      </c>
      <c r="K1683" s="640" t="n">
        <v>1</v>
      </c>
      <c r="L1683" s="640" t="n">
        <v>1</v>
      </c>
      <c r="M1683" s="623" t="inlineStr">
        <is>
          <t>Samsung 32" вертикальный</t>
        </is>
      </c>
      <c r="N1683" s="640" t="n"/>
      <c r="O1683" s="640">
        <f>IF(AND(N1683=1,L1683=1),K1683,"")</f>
        <v/>
      </c>
      <c r="P1683" s="642" t="inlineStr">
        <is>
          <t>Новгородская область, г.Чудово, а/д Москва-СПб, 581-й км</t>
        </is>
      </c>
      <c r="Q1683" s="640" t="inlineStr">
        <is>
          <t>59.123793</t>
        </is>
      </c>
      <c r="R1683" s="494" t="inlineStr">
        <is>
          <t>31.638003</t>
        </is>
      </c>
      <c r="S1683" s="387" t="n"/>
      <c r="T1683" s="387" t="n"/>
      <c r="U1683" s="387" t="n"/>
      <c r="V1683" s="387" t="n"/>
      <c r="W1683" s="387" t="n"/>
      <c r="X1683" s="387" t="n"/>
      <c r="Y1683" s="387" t="n"/>
    </row>
    <row r="1684" hidden="1" ht="16.05" customFormat="1" customHeight="1" s="126">
      <c r="A1684" s="125" t="n">
        <v>2205</v>
      </c>
      <c r="B1684" s="125" t="n"/>
      <c r="C1684" s="130" t="inlineStr">
        <is>
          <t>Санкт-Петербург</t>
        </is>
      </c>
      <c r="D1684" s="130" t="inlineStr">
        <is>
          <t>Псковская область</t>
        </is>
      </c>
      <c r="E1684" s="130" t="n"/>
      <c r="F1684" s="130" t="inlineStr">
        <is>
          <t>АЗС</t>
        </is>
      </c>
      <c r="G1684" s="130" t="inlineStr">
        <is>
          <t>Роснефть</t>
        </is>
      </c>
      <c r="H1684" s="131" t="n">
        <v>506</v>
      </c>
      <c r="I1684" s="637" t="inlineStr">
        <is>
          <t>506 Труда</t>
        </is>
      </c>
      <c r="J1684" s="637" t="inlineStr">
        <is>
          <t>SPB_RN_P_506</t>
        </is>
      </c>
      <c r="K1684" s="640" t="n">
        <v>1</v>
      </c>
      <c r="L1684" s="640" t="n">
        <v>1</v>
      </c>
      <c r="M1684" s="623" t="inlineStr">
        <is>
          <t>Samsung 32" вертикальный</t>
        </is>
      </c>
      <c r="N1684" s="640" t="n"/>
      <c r="O1684" s="640">
        <f>IF(AND(N1684=1,L1684=1),K1684,"")</f>
        <v/>
      </c>
      <c r="P1684" s="642" t="inlineStr">
        <is>
          <t>Псков, Труда ул., 79, лит.А</t>
        </is>
      </c>
      <c r="Q1684" s="640" t="inlineStr">
        <is>
          <t>57.840757</t>
        </is>
      </c>
      <c r="R1684" s="494" t="inlineStr">
        <is>
          <t>28.353233</t>
        </is>
      </c>
      <c r="S1684" s="387" t="n"/>
      <c r="T1684" s="387" t="n"/>
      <c r="U1684" s="387" t="n"/>
      <c r="V1684" s="387" t="n"/>
      <c r="W1684" s="387" t="n"/>
      <c r="X1684" s="387" t="n"/>
      <c r="Y1684" s="387" t="n"/>
    </row>
    <row r="1685" hidden="1" ht="16.05" customFormat="1" customHeight="1" s="126">
      <c r="A1685" s="125" t="n">
        <v>2207</v>
      </c>
      <c r="B1685" s="125" t="n"/>
      <c r="C1685" s="130" t="inlineStr">
        <is>
          <t>Карелия</t>
        </is>
      </c>
      <c r="D1685" s="130" t="inlineStr">
        <is>
          <t>Петрозаводск</t>
        </is>
      </c>
      <c r="E1685" s="130" t="n"/>
      <c r="F1685" s="130" t="inlineStr">
        <is>
          <t>АЗС</t>
        </is>
      </c>
      <c r="G1685" s="130" t="inlineStr">
        <is>
          <t>Роснефть</t>
        </is>
      </c>
      <c r="H1685" s="131" t="n">
        <v>142</v>
      </c>
      <c r="I1685" s="637" t="inlineStr">
        <is>
          <t>ПТК_142</t>
        </is>
      </c>
      <c r="J1685" s="637" t="inlineStr">
        <is>
          <t>PTZ_RN_442</t>
        </is>
      </c>
      <c r="K1685" s="640" t="n">
        <v>1</v>
      </c>
      <c r="L1685" s="640" t="n">
        <v>0</v>
      </c>
      <c r="M1685" s="623" t="inlineStr">
        <is>
          <t>Samsung 32" вертикальный</t>
        </is>
      </c>
      <c r="N1685" s="640" t="n"/>
      <c r="O1685" s="640">
        <f>IF(AND(N1685=1,L1685=1),K1685,"")</f>
        <v/>
      </c>
      <c r="P1685" s="642" t="inlineStr">
        <is>
          <t>Петрозаводск, ул. Университетская, 1</t>
        </is>
      </c>
      <c r="Q1685" s="640" t="inlineStr">
        <is>
          <t>61.777249</t>
        </is>
      </c>
      <c r="R1685" s="494" t="inlineStr">
        <is>
          <t>34.307594</t>
        </is>
      </c>
      <c r="S1685" s="387" t="n"/>
      <c r="T1685" s="387" t="n"/>
      <c r="U1685" s="387" t="n"/>
      <c r="V1685" s="387" t="n"/>
      <c r="W1685" s="387" t="n"/>
      <c r="X1685" s="387" t="n"/>
      <c r="Y1685" s="387" t="n"/>
    </row>
    <row r="1686" hidden="1" ht="16.05" customHeight="1">
      <c r="A1686" s="791" t="n">
        <v>2201</v>
      </c>
      <c r="B1686" s="13">
        <f>IF(OR(M1686="Sam 32",M1686="Sam 40"),"s",IF(M1686="AMS","a","v"))</f>
        <v/>
      </c>
      <c r="C1686" s="130" t="inlineStr">
        <is>
          <t>Санкт-Петербург</t>
        </is>
      </c>
      <c r="D1686" s="130" t="inlineStr">
        <is>
          <t>Новгородская область</t>
        </is>
      </c>
      <c r="E1686" s="130" t="n"/>
      <c r="F1686" s="130" t="n"/>
      <c r="G1686" s="130" t="inlineStr">
        <is>
          <t>ПТК</t>
        </is>
      </c>
      <c r="H1686" s="131" t="n">
        <v>258</v>
      </c>
      <c r="I1686" s="637" t="inlineStr">
        <is>
          <t>ПТК_258</t>
        </is>
      </c>
      <c r="J1686" s="637" t="n"/>
      <c r="K1686" s="640" t="n">
        <v>1</v>
      </c>
      <c r="L1686" s="640" t="n">
        <v>0</v>
      </c>
      <c r="M1686" s="640" t="inlineStr">
        <is>
          <t>Sam 32</t>
        </is>
      </c>
      <c r="N1686" s="640" t="n"/>
      <c r="O1686" s="640">
        <f>IF(AND(N1686=1,L1686=1),K1686,"")</f>
        <v/>
      </c>
      <c r="P1686" s="642" t="inlineStr">
        <is>
          <t>Новгородская область, Крестецкий р-н, д.Невская, а/д Москва-СПб, 457-й км</t>
        </is>
      </c>
      <c r="Q1686" s="640" t="n"/>
      <c r="R1686" s="422" t="n"/>
      <c r="X1686" s="1" t="n"/>
      <c r="Y1686" s="1" t="n"/>
      <c r="Z1686" s="1" t="n"/>
    </row>
    <row r="1687" hidden="1" ht="16.05" customFormat="1" customHeight="1" s="126">
      <c r="A1687" s="125" t="n">
        <v>2202</v>
      </c>
      <c r="B1687" s="125" t="n"/>
      <c r="C1687" s="130" t="inlineStr">
        <is>
          <t>Санкт-Петербург</t>
        </is>
      </c>
      <c r="D1687" s="130" t="inlineStr">
        <is>
          <t>Новгородская область</t>
        </is>
      </c>
      <c r="E1687" s="130" t="n"/>
      <c r="F1687" s="130" t="n"/>
      <c r="G1687" s="130" t="inlineStr">
        <is>
          <t>ПТК</t>
        </is>
      </c>
      <c r="H1687" s="131" t="n">
        <v>260</v>
      </c>
      <c r="I1687" s="637" t="inlineStr">
        <is>
          <t>ПТК_260 Навсегда</t>
        </is>
      </c>
      <c r="J1687" s="637" t="inlineStr">
        <is>
          <t>PTK_0260</t>
        </is>
      </c>
      <c r="K1687" s="640" t="n">
        <v>1</v>
      </c>
      <c r="L1687" s="640" t="n">
        <v>0</v>
      </c>
      <c r="M1687" s="640" t="inlineStr">
        <is>
          <t>Sam 32</t>
        </is>
      </c>
      <c r="N1687" s="640" t="n"/>
      <c r="O1687" s="640">
        <f>IF(AND(N1687=1,L1687=1),K1687,"")</f>
        <v/>
      </c>
      <c r="P1687" s="642" t="inlineStr">
        <is>
          <t>Новгородская область, с.Яжелбицы, ул.Центральная, 2А</t>
        </is>
      </c>
      <c r="Q1687" s="640" t="n">
        <v>58.031986</v>
      </c>
      <c r="R1687" s="422" t="n">
        <v>32.972827</v>
      </c>
      <c r="S1687" s="387" t="n"/>
      <c r="T1687" s="387" t="n"/>
      <c r="U1687" s="387" t="n"/>
      <c r="V1687" s="387" t="n"/>
      <c r="W1687" s="387" t="n"/>
      <c r="X1687" s="1" t="n"/>
      <c r="Y1687" s="1" t="n"/>
    </row>
    <row r="1688" hidden="1" ht="16.05" customFormat="1" customHeight="1" s="126">
      <c r="A1688" s="125" t="n">
        <v>2208</v>
      </c>
      <c r="B1688" s="125" t="n"/>
      <c r="C1688" s="130" t="inlineStr">
        <is>
          <t>Санкт-Петербург</t>
        </is>
      </c>
      <c r="D1688" s="130" t="inlineStr">
        <is>
          <t>Санкт-Петербург</t>
        </is>
      </c>
      <c r="E1688" s="130" t="n"/>
      <c r="F1688" s="130" t="inlineStr">
        <is>
          <t>АЗС</t>
        </is>
      </c>
      <c r="G1688" s="130" t="inlineStr">
        <is>
          <t>Neste</t>
        </is>
      </c>
      <c r="H1688" s="131" t="inlineStr">
        <is>
          <t>АЗС №547</t>
        </is>
      </c>
      <c r="I1688" s="637" t="n">
        <v>547</v>
      </c>
      <c r="J1688" s="637" t="inlineStr">
        <is>
          <t>SPB_Neste_547</t>
        </is>
      </c>
      <c r="K1688" s="640" t="n">
        <v>2</v>
      </c>
      <c r="L1688" s="640" t="n">
        <v>0</v>
      </c>
      <c r="M1688" s="623" t="inlineStr">
        <is>
          <t>Экран 32" горизонтальный</t>
        </is>
      </c>
      <c r="N1688" s="640" t="n"/>
      <c r="O1688" s="640">
        <f>IF(AND(N1688=1,L1688=1),K1688,"")</f>
        <v/>
      </c>
      <c r="P1688" s="642" t="inlineStr">
        <is>
          <t>Санкт-Петербург, Витебский пр. 139</t>
        </is>
      </c>
      <c r="Q1688" s="640" t="inlineStr">
        <is>
          <t>59.85679</t>
        </is>
      </c>
      <c r="R1688" s="494" t="inlineStr">
        <is>
          <t>30.361296</t>
        </is>
      </c>
      <c r="S1688" s="387" t="n"/>
      <c r="T1688" s="387" t="n"/>
      <c r="U1688" s="387" t="n"/>
      <c r="V1688" s="387" t="n"/>
      <c r="W1688" s="387" t="n"/>
      <c r="X1688" s="387" t="n"/>
      <c r="Y1688" s="387" t="n"/>
    </row>
    <row r="1689" hidden="1" ht="16.05" customFormat="1" customHeight="1" s="126">
      <c r="A1689" s="125" t="n">
        <v>2204</v>
      </c>
      <c r="B1689" s="125" t="n"/>
      <c r="C1689" s="130" t="inlineStr">
        <is>
          <t>Санкт-Петербург</t>
        </is>
      </c>
      <c r="D1689" s="130" t="inlineStr">
        <is>
          <t>Псковская область</t>
        </is>
      </c>
      <c r="E1689" s="130" t="n"/>
      <c r="F1689" s="130" t="inlineStr">
        <is>
          <t>АЗС</t>
        </is>
      </c>
      <c r="G1689" s="130" t="inlineStr">
        <is>
          <t>Роснефть</t>
        </is>
      </c>
      <c r="H1689" s="131" t="n">
        <v>201</v>
      </c>
      <c r="I1689" s="637" t="inlineStr">
        <is>
          <t>501 Чудская</t>
        </is>
      </c>
      <c r="J1689" s="637" t="inlineStr">
        <is>
          <t>SPB_RN_0501</t>
        </is>
      </c>
      <c r="K1689" s="640" t="n">
        <v>1</v>
      </c>
      <c r="L1689" s="640" t="n">
        <v>1</v>
      </c>
      <c r="M1689" s="640" t="inlineStr">
        <is>
          <t>Samsung 32" вертикальный</t>
        </is>
      </c>
      <c r="N1689" s="640" t="n"/>
      <c r="O1689" s="640">
        <f>IF(AND(N1689=1,L1689=1),K1689,"")</f>
        <v/>
      </c>
      <c r="P1689" s="642" t="inlineStr">
        <is>
          <t>Псков, Чудская ул., 5</t>
        </is>
      </c>
      <c r="Q1689" s="640" t="n">
        <v>57.832375</v>
      </c>
      <c r="R1689" s="422" t="n">
        <v>28.294572</v>
      </c>
      <c r="S1689" s="387" t="n"/>
      <c r="T1689" s="387" t="n"/>
      <c r="U1689" s="387" t="n"/>
      <c r="V1689" s="387" t="n"/>
      <c r="W1689" s="387" t="n"/>
      <c r="X1689" s="1" t="n"/>
      <c r="Y1689" s="1" t="n"/>
    </row>
    <row r="1690" hidden="1" ht="16.05" customFormat="1" customHeight="1" s="126">
      <c r="A1690" s="125" t="n">
        <v>2206</v>
      </c>
      <c r="B1690" s="125" t="n"/>
      <c r="C1690" s="130" t="inlineStr">
        <is>
          <t>Тверь</t>
        </is>
      </c>
      <c r="D1690" s="130" t="inlineStr">
        <is>
          <t>Тверская область</t>
        </is>
      </c>
      <c r="E1690" s="130" t="n"/>
      <c r="F1690" s="130" t="inlineStr">
        <is>
          <t>АЗС</t>
        </is>
      </c>
      <c r="G1690" s="130" t="inlineStr">
        <is>
          <t>ПТК</t>
        </is>
      </c>
      <c r="H1690" s="131" t="n">
        <v>157</v>
      </c>
      <c r="I1690" s="637" t="inlineStr">
        <is>
          <t>ПТК_157</t>
        </is>
      </c>
      <c r="J1690" s="637" t="inlineStr">
        <is>
          <t>PTK_0157</t>
        </is>
      </c>
      <c r="K1690" s="640" t="n">
        <v>1</v>
      </c>
      <c r="L1690" s="640" t="n">
        <v>0</v>
      </c>
      <c r="M1690" s="640" t="inlineStr">
        <is>
          <t>Samsung 32" вертикальный</t>
        </is>
      </c>
      <c r="N1690" s="640" t="n"/>
      <c r="O1690" s="640">
        <f>IF(AND(N1690=1,L1690=1),K1690,"")</f>
        <v/>
      </c>
      <c r="P1690" s="642" t="inlineStr">
        <is>
          <t xml:space="preserve">Тверская область, д.Холохоленка, вбл.В.Волочка, а/д Москва-СПб, 283-й км </t>
        </is>
      </c>
      <c r="Q1690" s="640" t="inlineStr">
        <is>
          <t>57.474636</t>
        </is>
      </c>
      <c r="R1690" s="422" t="inlineStr">
        <is>
          <t>34.695583</t>
        </is>
      </c>
      <c r="S1690" s="387" t="n"/>
      <c r="T1690" s="387" t="n"/>
      <c r="U1690" s="387" t="n"/>
      <c r="V1690" s="387" t="n"/>
      <c r="W1690" s="387" t="n"/>
      <c r="X1690" s="387" t="n"/>
      <c r="Y1690" s="387" t="n"/>
    </row>
    <row r="1691" hidden="1" ht="16.05" customFormat="1" customHeight="1" s="126">
      <c r="A1691" s="125" t="n">
        <v>2234</v>
      </c>
      <c r="B1691" s="125" t="n"/>
      <c r="C1691" s="130" t="inlineStr">
        <is>
          <t>Татарстан</t>
        </is>
      </c>
      <c r="D1691" s="130" t="inlineStr">
        <is>
          <t>Зеленодольский район</t>
        </is>
      </c>
      <c r="E1691" s="130" t="n"/>
      <c r="F1691" s="130" t="inlineStr">
        <is>
          <t>АЗС</t>
        </is>
      </c>
      <c r="G1691" s="130" t="inlineStr">
        <is>
          <t>ТАИФ</t>
        </is>
      </c>
      <c r="H1691" s="131" t="inlineStr">
        <is>
          <t>ТАИФ_101</t>
        </is>
      </c>
      <c r="I1691" s="637" t="inlineStr">
        <is>
          <t>ТАИФ_101</t>
        </is>
      </c>
      <c r="J1691" s="637" t="inlineStr">
        <is>
          <t>KAZ_TAIF_0101</t>
        </is>
      </c>
      <c r="K1691" s="640" t="n">
        <v>1</v>
      </c>
      <c r="L1691" s="640" t="n">
        <v>1</v>
      </c>
      <c r="M1691" s="623" t="inlineStr">
        <is>
          <t>Samsung 32" вертикальный</t>
        </is>
      </c>
      <c r="N1691" s="640" t="n"/>
      <c r="O1691" s="640">
        <f>IF(AND(N1691=1,L1691=1),K1691,"")</f>
        <v/>
      </c>
      <c r="P1691" s="642" t="inlineStr">
        <is>
          <t>Зеленодольский р-он, п. Васильево (М-7 Волга, 754-й километр, 4)</t>
        </is>
      </c>
      <c r="Q1691" s="640" t="inlineStr">
        <is>
          <t>55.72234</t>
        </is>
      </c>
      <c r="R1691" s="494" t="inlineStr">
        <is>
          <t>48.54518</t>
        </is>
      </c>
      <c r="S1691" s="387" t="n"/>
      <c r="T1691" s="387" t="n"/>
      <c r="U1691" s="387" t="n"/>
      <c r="V1691" s="387" t="n"/>
      <c r="W1691" s="387" t="n"/>
      <c r="X1691" s="387" t="n"/>
      <c r="Y1691" s="387" t="n"/>
    </row>
    <row r="1692" hidden="1" ht="16.05" customFormat="1" customHeight="1" s="126">
      <c r="A1692" s="125" t="n">
        <v>2235</v>
      </c>
      <c r="B1692" s="125" t="n"/>
      <c r="C1692" s="130" t="inlineStr">
        <is>
          <t>Татарстан</t>
        </is>
      </c>
      <c r="D1692" s="130" t="inlineStr">
        <is>
          <t>Казань</t>
        </is>
      </c>
      <c r="E1692" s="130" t="n"/>
      <c r="F1692" s="130" t="inlineStr">
        <is>
          <t>АЗС</t>
        </is>
      </c>
      <c r="G1692" s="130" t="inlineStr">
        <is>
          <t>ТАИФ</t>
        </is>
      </c>
      <c r="H1692" s="131" t="inlineStr">
        <is>
          <t>ТАИФ_102</t>
        </is>
      </c>
      <c r="I1692" s="637" t="inlineStr">
        <is>
          <t>ТАИФ_102</t>
        </is>
      </c>
      <c r="J1692" s="637" t="inlineStr">
        <is>
          <t>KAZ_TAIF_0102</t>
        </is>
      </c>
      <c r="K1692" s="640" t="n">
        <v>1</v>
      </c>
      <c r="L1692" s="640" t="n">
        <v>1</v>
      </c>
      <c r="M1692" s="623" t="inlineStr">
        <is>
          <t>Samsung 32" вертикальный</t>
        </is>
      </c>
      <c r="N1692" s="640" t="n"/>
      <c r="O1692" s="640">
        <f>IF(AND(N1692=1,L1692=1),K1692,"")</f>
        <v/>
      </c>
      <c r="P1692" s="642" t="inlineStr">
        <is>
          <t>Казань, ул. Ершова (улица Николая Ершова, 25Г)</t>
        </is>
      </c>
      <c r="Q1692" s="640" t="inlineStr">
        <is>
          <t>55.793687</t>
        </is>
      </c>
      <c r="R1692" s="494" t="inlineStr">
        <is>
          <t>49.165713</t>
        </is>
      </c>
      <c r="S1692" s="387" t="n"/>
      <c r="T1692" s="387" t="n"/>
      <c r="U1692" s="387" t="n"/>
      <c r="V1692" s="387" t="n"/>
      <c r="W1692" s="387" t="n"/>
      <c r="X1692" s="387" t="n"/>
      <c r="Y1692" s="387" t="n"/>
    </row>
    <row r="1693" hidden="1" ht="16.05" customFormat="1" customHeight="1" s="126">
      <c r="A1693" s="125" t="n">
        <v>2236</v>
      </c>
      <c r="B1693" s="125" t="n"/>
      <c r="C1693" s="130" t="inlineStr">
        <is>
          <t>Татарстан</t>
        </is>
      </c>
      <c r="D1693" s="130" t="inlineStr">
        <is>
          <t>Казань</t>
        </is>
      </c>
      <c r="E1693" s="130" t="n"/>
      <c r="F1693" s="130" t="inlineStr">
        <is>
          <t>АЗС</t>
        </is>
      </c>
      <c r="G1693" s="130" t="inlineStr">
        <is>
          <t>ТАИФ</t>
        </is>
      </c>
      <c r="H1693" s="131" t="inlineStr">
        <is>
          <t>ТАИФ_103</t>
        </is>
      </c>
      <c r="I1693" s="637" t="inlineStr">
        <is>
          <t>ТАИФ_103</t>
        </is>
      </c>
      <c r="J1693" s="637" t="inlineStr">
        <is>
          <t>KAZ_TAIF_0103</t>
        </is>
      </c>
      <c r="K1693" s="640" t="n">
        <v>1</v>
      </c>
      <c r="L1693" s="640" t="n">
        <v>1</v>
      </c>
      <c r="M1693" s="623" t="inlineStr">
        <is>
          <t>Samsung 32" вертикальный</t>
        </is>
      </c>
      <c r="N1693" s="640" t="n"/>
      <c r="O1693" s="640">
        <f>IF(AND(N1693=1,L1693=1),K1693,"")</f>
        <v/>
      </c>
      <c r="P1693" s="642" t="inlineStr">
        <is>
          <t>Казань, ш. Горьковское 46</t>
        </is>
      </c>
      <c r="Q1693" s="640" t="n">
        <v>55.827233</v>
      </c>
      <c r="R1693" s="494" t="n">
        <v>49.027546</v>
      </c>
      <c r="S1693" s="387" t="n"/>
      <c r="T1693" s="387" t="n"/>
      <c r="U1693" s="387" t="n"/>
      <c r="V1693" s="387" t="n"/>
      <c r="W1693" s="387" t="n"/>
      <c r="X1693" s="387" t="n"/>
      <c r="Y1693" s="387" t="n"/>
    </row>
    <row r="1694" hidden="1" ht="16.05" customFormat="1" customHeight="1" s="126">
      <c r="A1694" s="125" t="n">
        <v>2209</v>
      </c>
      <c r="B1694" s="125" t="n"/>
      <c r="C1694" s="130" t="inlineStr">
        <is>
          <t>Набережные Челны</t>
        </is>
      </c>
      <c r="D1694" s="130" t="inlineStr">
        <is>
          <t>Набережные Челны</t>
        </is>
      </c>
      <c r="E1694" s="130" t="n"/>
      <c r="F1694" s="130" t="inlineStr">
        <is>
          <t>АЗС</t>
        </is>
      </c>
      <c r="G1694" s="130" t="inlineStr">
        <is>
          <t>Лукойл</t>
        </is>
      </c>
      <c r="H1694" s="131" t="n">
        <v>16059</v>
      </c>
      <c r="I1694" s="637" t="n">
        <v>16059</v>
      </c>
      <c r="J1694" s="637" t="inlineStr">
        <is>
          <t>NCH_LUK_16059</t>
        </is>
      </c>
      <c r="K1694" s="640" t="n">
        <v>1</v>
      </c>
      <c r="L1694" s="640" t="n">
        <v>0</v>
      </c>
      <c r="M1694" s="640" t="inlineStr">
        <is>
          <t>Samsung 32" вертикальный</t>
        </is>
      </c>
      <c r="N1694" s="640" t="n"/>
      <c r="O1694" s="640">
        <f>IF(AND(N1694=1,L1694=1),K1694,"")</f>
        <v/>
      </c>
      <c r="P1694" s="642" t="inlineStr">
        <is>
          <t>Набережные Челны, ул Металургическая, 1059км трассы М7 (Металлургическая улица, 25)</t>
        </is>
      </c>
      <c r="Q1694" s="640" t="n">
        <v>55.674381</v>
      </c>
      <c r="R1694" s="422" t="n">
        <v>52.46207</v>
      </c>
      <c r="S1694" s="387" t="n"/>
      <c r="T1694" s="387" t="n"/>
      <c r="U1694" s="387" t="n"/>
      <c r="V1694" s="387" t="n"/>
      <c r="W1694" s="387" t="n"/>
      <c r="X1694" s="1" t="n"/>
      <c r="Y1694" s="1" t="n"/>
    </row>
    <row r="1695" hidden="1" ht="16.05" customFormat="1" customHeight="1" s="126">
      <c r="A1695" s="125" t="n">
        <v>2210</v>
      </c>
      <c r="B1695" s="125" t="n"/>
      <c r="C1695" s="130" t="inlineStr">
        <is>
          <t>Набережные Челны</t>
        </is>
      </c>
      <c r="D1695" s="130" t="inlineStr">
        <is>
          <t>Набережные Челны</t>
        </is>
      </c>
      <c r="E1695" s="130" t="n"/>
      <c r="F1695" s="130" t="inlineStr">
        <is>
          <t>АЗС</t>
        </is>
      </c>
      <c r="G1695" s="130" t="inlineStr">
        <is>
          <t>Лукойл</t>
        </is>
      </c>
      <c r="H1695" s="131" t="n">
        <v>16054</v>
      </c>
      <c r="I1695" s="637" t="n">
        <v>16054</v>
      </c>
      <c r="J1695" s="402" t="inlineStr">
        <is>
          <t>NCH_LUK_16054</t>
        </is>
      </c>
      <c r="K1695" s="640" t="n">
        <v>1</v>
      </c>
      <c r="L1695" s="640" t="n">
        <v>0</v>
      </c>
      <c r="M1695" s="640" t="inlineStr">
        <is>
          <t>Sam 32</t>
        </is>
      </c>
      <c r="N1695" s="640" t="n"/>
      <c r="O1695" s="640">
        <f>IF(AND(N1695=1,L1695=1),K1695,"")</f>
        <v/>
      </c>
      <c r="P1695" s="642" t="inlineStr">
        <is>
          <t>Набережные Челны, ул. Низамутдинова 1</t>
        </is>
      </c>
      <c r="Q1695" s="640" t="n">
        <v>55.69467</v>
      </c>
      <c r="R1695" s="422" t="n">
        <v>52.365048</v>
      </c>
      <c r="S1695" s="387" t="n"/>
      <c r="T1695" s="387" t="n"/>
      <c r="U1695" s="387" t="n"/>
      <c r="V1695" s="387" t="n"/>
      <c r="W1695" s="387" t="n"/>
      <c r="X1695" s="1" t="n"/>
      <c r="Y1695" s="1" t="n"/>
    </row>
    <row r="1696" hidden="1" ht="16.05" customFormat="1" customHeight="1" s="126">
      <c r="A1696" s="125" t="n">
        <v>2211</v>
      </c>
      <c r="B1696" s="125" t="n"/>
      <c r="C1696" s="130" t="inlineStr">
        <is>
          <t>Набережные Челны</t>
        </is>
      </c>
      <c r="D1696" s="130" t="inlineStr">
        <is>
          <t>Набережные Челны</t>
        </is>
      </c>
      <c r="E1696" s="130" t="n"/>
      <c r="F1696" s="130" t="inlineStr">
        <is>
          <t>АЗС</t>
        </is>
      </c>
      <c r="G1696" s="130" t="inlineStr">
        <is>
          <t>Лукойл</t>
        </is>
      </c>
      <c r="H1696" s="131" t="n">
        <v>16111</v>
      </c>
      <c r="I1696" s="637" t="n">
        <v>16111</v>
      </c>
      <c r="J1696" s="637" t="inlineStr">
        <is>
          <t>NCH_LUK_16111</t>
        </is>
      </c>
      <c r="K1696" s="640" t="n">
        <v>1</v>
      </c>
      <c r="L1696" s="640" t="n">
        <v>0</v>
      </c>
      <c r="M1696" s="640" t="inlineStr">
        <is>
          <t>Samsung 32" вертикальный</t>
        </is>
      </c>
      <c r="N1696" s="640" t="n"/>
      <c r="O1696" s="640">
        <f>IF(AND(N1696=1,L1696=1),K1696,"")</f>
        <v/>
      </c>
      <c r="P1696" s="642" t="inlineStr">
        <is>
          <t>Набережные Челны, Альметьевский тракт (Альметьевский тракт, 3Ас17)</t>
        </is>
      </c>
      <c r="Q1696" s="640" t="n">
        <v>55.661233</v>
      </c>
      <c r="R1696" s="422" t="n">
        <v>52.260945</v>
      </c>
      <c r="S1696" s="387" t="n"/>
      <c r="T1696" s="387" t="n"/>
      <c r="U1696" s="387" t="n"/>
      <c r="V1696" s="387" t="n"/>
      <c r="W1696" s="387" t="n"/>
      <c r="X1696" s="1" t="n"/>
      <c r="Y1696" s="1" t="n"/>
    </row>
    <row r="1697" hidden="1" ht="16.05" customFormat="1" customHeight="1" s="126">
      <c r="A1697" s="125" t="n">
        <v>2212</v>
      </c>
      <c r="B1697" s="125" t="n"/>
      <c r="C1697" s="130" t="inlineStr">
        <is>
          <t>Набережные Челны</t>
        </is>
      </c>
      <c r="D1697" s="130" t="inlineStr">
        <is>
          <t>Набережные Челны</t>
        </is>
      </c>
      <c r="E1697" s="130" t="n"/>
      <c r="F1697" s="130" t="inlineStr">
        <is>
          <t>АЗС</t>
        </is>
      </c>
      <c r="G1697" s="130" t="inlineStr">
        <is>
          <t>Лукойл</t>
        </is>
      </c>
      <c r="H1697" s="131" t="n">
        <v>16090</v>
      </c>
      <c r="I1697" s="637" t="n">
        <v>16090</v>
      </c>
      <c r="J1697" s="637" t="inlineStr">
        <is>
          <t>NCH_LUK_16090</t>
        </is>
      </c>
      <c r="K1697" s="640" t="n">
        <v>1</v>
      </c>
      <c r="L1697" s="640" t="n">
        <v>0</v>
      </c>
      <c r="M1697" s="640" t="inlineStr">
        <is>
          <t>Samsung 32" вертикальный</t>
        </is>
      </c>
      <c r="N1697" s="640" t="n"/>
      <c r="O1697" s="640">
        <f>IF(AND(N1697=1,L1697=1),K1697,"")</f>
        <v/>
      </c>
      <c r="P1697" s="642" t="inlineStr">
        <is>
          <t>Набережные Челны, Стройбаза,1058 км трассы М7 (Мензелинский тракт, 133)</t>
        </is>
      </c>
      <c r="Q1697" s="640" t="n">
        <v>55.677282</v>
      </c>
      <c r="R1697" s="422" t="n">
        <v>52.443193</v>
      </c>
      <c r="S1697" s="387" t="n"/>
      <c r="T1697" s="387" t="n"/>
      <c r="U1697" s="387" t="n"/>
      <c r="V1697" s="387" t="n"/>
      <c r="W1697" s="387" t="n"/>
      <c r="X1697" s="1" t="n"/>
      <c r="Y1697" s="1" t="n"/>
    </row>
    <row r="1698" hidden="1" ht="16.05" customFormat="1" customHeight="1" s="126">
      <c r="A1698" s="125" t="n">
        <v>2213</v>
      </c>
      <c r="B1698" s="125" t="n"/>
      <c r="C1698" s="130" t="inlineStr">
        <is>
          <t>Набережные Челны</t>
        </is>
      </c>
      <c r="D1698" s="130" t="inlineStr">
        <is>
          <t>Набережные Челны</t>
        </is>
      </c>
      <c r="E1698" s="130" t="n"/>
      <c r="F1698" s="130" t="inlineStr">
        <is>
          <t>АЗС</t>
        </is>
      </c>
      <c r="G1698" s="130" t="inlineStr">
        <is>
          <t>Лукойл</t>
        </is>
      </c>
      <c r="H1698" s="131" t="n">
        <v>16009</v>
      </c>
      <c r="I1698" s="637" t="n">
        <v>16009</v>
      </c>
      <c r="J1698" s="637" t="inlineStr">
        <is>
          <t>NCH_LUK_16009</t>
        </is>
      </c>
      <c r="K1698" s="640" t="n">
        <v>1</v>
      </c>
      <c r="L1698" s="640" t="n">
        <v>0</v>
      </c>
      <c r="M1698" s="640" t="inlineStr">
        <is>
          <t>Samsung 32" вертикальный</t>
        </is>
      </c>
      <c r="N1698" s="640" t="n"/>
      <c r="O1698" s="640">
        <f>IF(AND(N1698=1,L1698=1),K1698,"")</f>
        <v/>
      </c>
      <c r="P1698" s="642" t="inlineStr">
        <is>
          <t xml:space="preserve">Набережные Челны, 1029км трассы М7 г. </t>
        </is>
      </c>
      <c r="Q1698" s="640" t="n">
        <v>55.780517</v>
      </c>
      <c r="R1698" s="422" t="n">
        <v>52.190263</v>
      </c>
      <c r="S1698" s="387" t="n"/>
      <c r="T1698" s="387" t="n"/>
      <c r="U1698" s="387" t="n"/>
      <c r="V1698" s="387" t="n"/>
      <c r="W1698" s="387" t="n"/>
      <c r="X1698" s="1" t="n"/>
      <c r="Y1698" s="1" t="n"/>
    </row>
    <row r="1699" hidden="1" ht="16.05" customFormat="1" customHeight="1" s="126">
      <c r="A1699" s="125" t="n">
        <v>2214</v>
      </c>
      <c r="B1699" s="125" t="n"/>
      <c r="C1699" s="130" t="inlineStr">
        <is>
          <t>Набережные Челны</t>
        </is>
      </c>
      <c r="D1699" s="130" t="inlineStr">
        <is>
          <t>Набережные Челны</t>
        </is>
      </c>
      <c r="E1699" s="130" t="n"/>
      <c r="F1699" s="130" t="inlineStr">
        <is>
          <t>АЗС</t>
        </is>
      </c>
      <c r="G1699" s="130" t="inlineStr">
        <is>
          <t>Лукойл</t>
        </is>
      </c>
      <c r="H1699" s="131" t="n">
        <v>16104</v>
      </c>
      <c r="I1699" s="637" t="n">
        <v>16104</v>
      </c>
      <c r="J1699" s="637" t="inlineStr">
        <is>
          <t>NCH_LUK_16104</t>
        </is>
      </c>
      <c r="K1699" s="640" t="n">
        <v>1</v>
      </c>
      <c r="L1699" s="640" t="n">
        <v>0</v>
      </c>
      <c r="M1699" s="640" t="inlineStr">
        <is>
          <t>Samsung 32" вертикальный</t>
        </is>
      </c>
      <c r="N1699" s="640" t="n"/>
      <c r="O1699" s="640">
        <f>IF(AND(N1699=1,L1699=1),K1699,"")</f>
        <v/>
      </c>
      <c r="P1699" s="642" t="inlineStr">
        <is>
          <t>Набережные Челны, 1031км трассы ,М7</t>
        </is>
      </c>
      <c r="Q1699" s="640" t="n">
        <v>55.779479</v>
      </c>
      <c r="R1699" s="422" t="n">
        <v>52.200217</v>
      </c>
      <c r="S1699" s="387" t="n"/>
      <c r="T1699" s="387" t="n"/>
      <c r="U1699" s="387" t="n"/>
      <c r="V1699" s="387" t="n"/>
      <c r="W1699" s="387" t="n"/>
      <c r="X1699" s="1" t="n"/>
      <c r="Y1699" s="1" t="n"/>
    </row>
    <row r="1700" hidden="1" ht="16.05" customFormat="1" customHeight="1" s="126">
      <c r="A1700" s="125" t="n">
        <v>2215</v>
      </c>
      <c r="B1700" s="125" t="n"/>
      <c r="C1700" s="130" t="inlineStr">
        <is>
          <t>Магнитогорск</t>
        </is>
      </c>
      <c r="D1700" s="130" t="inlineStr">
        <is>
          <t>Магнитогорск</t>
        </is>
      </c>
      <c r="E1700" s="130" t="n"/>
      <c r="F1700" s="130" t="inlineStr">
        <is>
          <t>АЗС</t>
        </is>
      </c>
      <c r="G1700" s="130" t="inlineStr">
        <is>
          <t>Лукойл</t>
        </is>
      </c>
      <c r="H1700" s="131" t="n">
        <v>74051</v>
      </c>
      <c r="I1700" s="637" t="n">
        <v>74051</v>
      </c>
      <c r="J1700" s="637" t="inlineStr">
        <is>
          <t>MGK_LUK_74051</t>
        </is>
      </c>
      <c r="K1700" s="640" t="n">
        <v>1</v>
      </c>
      <c r="L1700" s="640" t="n">
        <v>0</v>
      </c>
      <c r="M1700" s="640" t="inlineStr">
        <is>
          <t>Samsung 32" вертикальный</t>
        </is>
      </c>
      <c r="N1700" s="640" t="n"/>
      <c r="O1700" s="640">
        <f>IF(AND(N1700=1,L1700=1),K1700,"")</f>
        <v/>
      </c>
      <c r="P1700" s="642" t="inlineStr">
        <is>
          <t>Магнитогорск,  ул. Просёлочная, 26/1</t>
        </is>
      </c>
      <c r="Q1700" s="640" t="n">
        <v>53.470745</v>
      </c>
      <c r="R1700" s="422" t="n">
        <v>59.07894</v>
      </c>
      <c r="S1700" s="387" t="n"/>
      <c r="T1700" s="387" t="n"/>
      <c r="U1700" s="387" t="n"/>
      <c r="V1700" s="387" t="n"/>
      <c r="W1700" s="387" t="n"/>
      <c r="X1700" s="1" t="n"/>
      <c r="Y1700" s="1" t="n"/>
    </row>
    <row r="1701" hidden="1" ht="16.05" customFormat="1" customHeight="1" s="126">
      <c r="A1701" s="125" t="n">
        <v>2216</v>
      </c>
      <c r="B1701" s="125" t="n"/>
      <c r="C1701" s="130" t="inlineStr">
        <is>
          <t>Магнитогорск</t>
        </is>
      </c>
      <c r="D1701" s="130" t="inlineStr">
        <is>
          <t>Магнитогорск</t>
        </is>
      </c>
      <c r="E1701" s="130" t="n"/>
      <c r="F1701" s="130" t="inlineStr">
        <is>
          <t>АЗС</t>
        </is>
      </c>
      <c r="G1701" s="130" t="inlineStr">
        <is>
          <t>Лукойл</t>
        </is>
      </c>
      <c r="H1701" s="131" t="n">
        <v>74054</v>
      </c>
      <c r="I1701" s="637" t="n">
        <v>74054</v>
      </c>
      <c r="J1701" s="637" t="inlineStr">
        <is>
          <t>MGK_LUK_74054</t>
        </is>
      </c>
      <c r="K1701" s="640" t="n">
        <v>1</v>
      </c>
      <c r="L1701" s="640" t="n">
        <v>0</v>
      </c>
      <c r="M1701" s="640" t="inlineStr">
        <is>
          <t>Samsung 32" вертикальный</t>
        </is>
      </c>
      <c r="N1701" s="640" t="n"/>
      <c r="O1701" s="640">
        <f>IF(AND(N1701=1,L1701=1),K1701,"")</f>
        <v/>
      </c>
      <c r="P1701" s="642" t="inlineStr">
        <is>
          <t>Магнитогорск, ул. Советская, 160/4</t>
        </is>
      </c>
      <c r="Q1701" s="640" t="n">
        <v>53.369668</v>
      </c>
      <c r="R1701" s="422" t="n">
        <v>58.958204</v>
      </c>
      <c r="S1701" s="387" t="n"/>
      <c r="T1701" s="387" t="n"/>
      <c r="U1701" s="387" t="n"/>
      <c r="V1701" s="387" t="n"/>
      <c r="W1701" s="387" t="n"/>
      <c r="X1701" s="1" t="n"/>
      <c r="Y1701" s="1" t="n"/>
    </row>
    <row r="1702" hidden="1" ht="16.05" customHeight="1">
      <c r="A1702" s="791" t="n">
        <v>2217</v>
      </c>
      <c r="B1702" s="13">
        <f>IF(OR(M1702="Sam 32",M1702="Sam 40"),"s",IF(M1702="AMS","a","v"))</f>
        <v/>
      </c>
      <c r="C1702" s="130" t="inlineStr">
        <is>
          <t>Магнитогорск</t>
        </is>
      </c>
      <c r="D1702" s="130" t="inlineStr">
        <is>
          <t>Магнитогорск</t>
        </is>
      </c>
      <c r="E1702" s="130" t="n"/>
      <c r="F1702" s="130" t="n"/>
      <c r="G1702" s="130" t="inlineStr">
        <is>
          <t>Лукойл</t>
        </is>
      </c>
      <c r="H1702" s="131" t="n">
        <v>74055</v>
      </c>
      <c r="I1702" s="637" t="inlineStr">
        <is>
          <t>LUK_74055</t>
        </is>
      </c>
      <c r="J1702" s="402" t="inlineStr">
        <is>
          <t>MGK_LUK_74055</t>
        </is>
      </c>
      <c r="K1702" s="640" t="n">
        <v>1</v>
      </c>
      <c r="L1702" s="640" t="n">
        <v>0</v>
      </c>
      <c r="M1702" s="640" t="inlineStr">
        <is>
          <t>Sam 32</t>
        </is>
      </c>
      <c r="N1702" s="640" t="n"/>
      <c r="O1702" s="640">
        <f>IF(AND(N1702=1,L1702=1),K1702,"")</f>
        <v/>
      </c>
      <c r="P1702" s="642" t="inlineStr">
        <is>
          <t>Магнитогорск,  ул. Шоссейная, 60</t>
        </is>
      </c>
      <c r="Q1702" s="640" t="n"/>
      <c r="R1702" s="422" t="n"/>
      <c r="X1702" s="1" t="n"/>
      <c r="Y1702" s="1" t="n"/>
      <c r="Z1702" s="1" t="n"/>
    </row>
    <row r="1703" hidden="1" ht="16.05" customFormat="1" customHeight="1" s="126">
      <c r="A1703" s="125" t="n">
        <v>2218</v>
      </c>
      <c r="B1703" s="125" t="n"/>
      <c r="C1703" s="130" t="inlineStr">
        <is>
          <t>Магнитогорск</t>
        </is>
      </c>
      <c r="D1703" s="130" t="inlineStr">
        <is>
          <t>Магнитогорск</t>
        </is>
      </c>
      <c r="E1703" s="130" t="n"/>
      <c r="F1703" s="130" t="inlineStr">
        <is>
          <t>АЗС</t>
        </is>
      </c>
      <c r="G1703" s="130" t="inlineStr">
        <is>
          <t>Лукойл</t>
        </is>
      </c>
      <c r="H1703" s="131" t="n">
        <v>74057</v>
      </c>
      <c r="I1703" s="637" t="n">
        <v>74057</v>
      </c>
      <c r="J1703" s="637" t="inlineStr">
        <is>
          <t>MGK_LUK_74057</t>
        </is>
      </c>
      <c r="K1703" s="640" t="n">
        <v>1</v>
      </c>
      <c r="L1703" s="640" t="n">
        <v>0</v>
      </c>
      <c r="M1703" s="640" t="inlineStr">
        <is>
          <t>Samsung 32" вертикальный</t>
        </is>
      </c>
      <c r="N1703" s="640" t="n"/>
      <c r="O1703" s="640">
        <f>IF(AND(N1703=1,L1703=1),K1703,"")</f>
        <v/>
      </c>
      <c r="P1703" s="642" t="inlineStr">
        <is>
          <t>Магнитогорск.  Северный переход, 3</t>
        </is>
      </c>
      <c r="Q1703" s="640" t="n">
        <v>53.439503</v>
      </c>
      <c r="R1703" s="422" t="n">
        <v>58.998211</v>
      </c>
      <c r="S1703" s="387" t="n"/>
      <c r="T1703" s="387" t="n"/>
      <c r="U1703" s="387" t="n"/>
      <c r="V1703" s="387" t="n"/>
      <c r="W1703" s="387" t="n"/>
      <c r="X1703" s="1" t="n"/>
      <c r="Y1703" s="1" t="n"/>
    </row>
    <row r="1704" hidden="1" ht="16.05" customFormat="1" customHeight="1" s="126">
      <c r="A1704" s="125" t="n">
        <v>2219</v>
      </c>
      <c r="B1704" s="125" t="n"/>
      <c r="C1704" s="130" t="inlineStr">
        <is>
          <t>Магнитогорск</t>
        </is>
      </c>
      <c r="D1704" s="130" t="inlineStr">
        <is>
          <t>Магнитогорск</t>
        </is>
      </c>
      <c r="E1704" s="130" t="n"/>
      <c r="F1704" s="130" t="inlineStr">
        <is>
          <t>АЗС</t>
        </is>
      </c>
      <c r="G1704" s="130" t="inlineStr">
        <is>
          <t>Лукойл</t>
        </is>
      </c>
      <c r="H1704" s="131" t="n">
        <v>74060</v>
      </c>
      <c r="I1704" s="637" t="n">
        <v>74060</v>
      </c>
      <c r="J1704" s="637" t="inlineStr">
        <is>
          <t>MGK_LUK_74060</t>
        </is>
      </c>
      <c r="K1704" s="640" t="n">
        <v>1</v>
      </c>
      <c r="L1704" s="640" t="n">
        <v>0</v>
      </c>
      <c r="M1704" s="640" t="inlineStr">
        <is>
          <t>Samsung 32" вертикальный</t>
        </is>
      </c>
      <c r="N1704" s="640" t="n"/>
      <c r="O1704" s="640">
        <f>IF(AND(N1704=1,L1704=1),K1704,"")</f>
        <v/>
      </c>
      <c r="P1704" s="642" t="inlineStr">
        <is>
          <t>Магнитогорск,  ул. Вокзальная, 19/1</t>
        </is>
      </c>
      <c r="Q1704" s="640" t="n">
        <v>53.435351</v>
      </c>
      <c r="R1704" s="422" t="n">
        <v>58.959626</v>
      </c>
      <c r="S1704" s="387" t="n"/>
      <c r="T1704" s="387" t="n"/>
      <c r="U1704" s="387" t="n"/>
      <c r="V1704" s="387" t="n"/>
      <c r="W1704" s="387" t="n"/>
      <c r="X1704" s="1" t="n"/>
      <c r="Y1704" s="1" t="n"/>
    </row>
    <row r="1705" hidden="1" ht="16.05" customFormat="1" customHeight="1" s="126">
      <c r="A1705" s="125" t="n">
        <v>2220</v>
      </c>
      <c r="B1705" s="125" t="n"/>
      <c r="C1705" s="130" t="inlineStr">
        <is>
          <t>Магнитогорск</t>
        </is>
      </c>
      <c r="D1705" s="130" t="inlineStr">
        <is>
          <t>Магнитогорск</t>
        </is>
      </c>
      <c r="E1705" s="130" t="n"/>
      <c r="F1705" s="130" t="inlineStr">
        <is>
          <t>АЗС</t>
        </is>
      </c>
      <c r="G1705" s="130" t="inlineStr">
        <is>
          <t>Лукойл</t>
        </is>
      </c>
      <c r="H1705" s="131" t="n">
        <v>74108</v>
      </c>
      <c r="I1705" s="637" t="n">
        <v>74108</v>
      </c>
      <c r="J1705" s="637" t="inlineStr">
        <is>
          <t>MGK_LUK_74108</t>
        </is>
      </c>
      <c r="K1705" s="640" t="n">
        <v>1</v>
      </c>
      <c r="L1705" s="640" t="n">
        <v>0</v>
      </c>
      <c r="M1705" s="640" t="inlineStr">
        <is>
          <t>Samsung 32" вертикальный</t>
        </is>
      </c>
      <c r="N1705" s="640" t="n"/>
      <c r="O1705" s="640">
        <f>IF(AND(N1705=1,L1705=1),K1705,"")</f>
        <v/>
      </c>
      <c r="P1705" s="642" t="inlineStr">
        <is>
          <t>Магнитогосрк,  ул. Магнитная, 27</t>
        </is>
      </c>
      <c r="Q1705" s="640" t="n">
        <v>53.391017</v>
      </c>
      <c r="R1705" s="422" t="n">
        <v>59.042425</v>
      </c>
      <c r="S1705" s="387" t="n"/>
      <c r="T1705" s="387" t="n"/>
      <c r="U1705" s="387" t="n"/>
      <c r="V1705" s="387" t="n"/>
      <c r="W1705" s="387" t="n"/>
      <c r="X1705" s="1" t="n"/>
      <c r="Y1705" s="1" t="n"/>
    </row>
    <row r="1706" hidden="1" ht="16.05" customFormat="1" customHeight="1" s="126">
      <c r="A1706" s="125" t="n">
        <v>2221</v>
      </c>
      <c r="B1706" s="125" t="n"/>
      <c r="C1706" s="130" t="inlineStr">
        <is>
          <t>Магнитогорск</t>
        </is>
      </c>
      <c r="D1706" s="130" t="inlineStr">
        <is>
          <t>Магнитогорск</t>
        </is>
      </c>
      <c r="E1706" s="130" t="n"/>
      <c r="F1706" s="130" t="inlineStr">
        <is>
          <t>АЗС</t>
        </is>
      </c>
      <c r="G1706" s="130" t="inlineStr">
        <is>
          <t>Лукойл</t>
        </is>
      </c>
      <c r="H1706" s="131" t="n">
        <v>74111</v>
      </c>
      <c r="I1706" s="637" t="n">
        <v>74111</v>
      </c>
      <c r="J1706" s="637" t="inlineStr">
        <is>
          <t>MGK_LUK_74111</t>
        </is>
      </c>
      <c r="K1706" s="640" t="n">
        <v>1</v>
      </c>
      <c r="L1706" s="640" t="n">
        <v>0</v>
      </c>
      <c r="M1706" s="640" t="inlineStr">
        <is>
          <t>Samsung 32" вертикальный</t>
        </is>
      </c>
      <c r="N1706" s="640" t="n"/>
      <c r="O1706" s="640">
        <f>IF(AND(N1706=1,L1706=1),K1706,"")</f>
        <v/>
      </c>
      <c r="P1706" s="642" t="inlineStr">
        <is>
          <t>Магнитогорск, пр. Пушкина, 8/1</t>
        </is>
      </c>
      <c r="Q1706" s="640" t="n">
        <v>53.400923</v>
      </c>
      <c r="R1706" s="422" t="n">
        <v>59.061719</v>
      </c>
      <c r="S1706" s="387" t="n"/>
      <c r="T1706" s="387" t="n"/>
      <c r="U1706" s="387" t="n"/>
      <c r="V1706" s="387" t="n"/>
      <c r="W1706" s="387" t="n"/>
      <c r="X1706" s="1" t="n"/>
      <c r="Y1706" s="1" t="n"/>
    </row>
    <row r="1707" hidden="1" ht="16.05" customHeight="1">
      <c r="A1707" s="791" t="n">
        <v>2222</v>
      </c>
      <c r="B1707" s="13">
        <f>IF(OR(M1707="Sam 32",M1707="Sam 40"),"s",IF(M1707="AMS","a","v"))</f>
        <v/>
      </c>
      <c r="C1707" s="130" t="inlineStr">
        <is>
          <t>Магнитогорск</t>
        </is>
      </c>
      <c r="D1707" s="130" t="inlineStr">
        <is>
          <t>Магнитогорск</t>
        </is>
      </c>
      <c r="E1707" s="130" t="n"/>
      <c r="F1707" s="130" t="n"/>
      <c r="G1707" s="130" t="inlineStr">
        <is>
          <t>Лукойл</t>
        </is>
      </c>
      <c r="H1707" s="131" t="n">
        <v>74163</v>
      </c>
      <c r="I1707" s="637" t="inlineStr">
        <is>
          <t>LUK_74163</t>
        </is>
      </c>
      <c r="J1707" s="402" t="inlineStr">
        <is>
          <t>MGK_LUK_74163</t>
        </is>
      </c>
      <c r="K1707" s="640" t="n">
        <v>1</v>
      </c>
      <c r="L1707" s="640" t="n">
        <v>0</v>
      </c>
      <c r="M1707" s="640" t="inlineStr">
        <is>
          <t>Sam 32</t>
        </is>
      </c>
      <c r="N1707" s="640" t="n"/>
      <c r="O1707" s="640">
        <f>IF(AND(N1707=1,L1707=1),K1707,"")</f>
        <v/>
      </c>
      <c r="P1707" s="642" t="inlineStr">
        <is>
          <t>Магнитогорск, ул. Комсомольская, 122</t>
        </is>
      </c>
      <c r="Q1707" s="640" t="n"/>
      <c r="R1707" s="422" t="n"/>
      <c r="X1707" s="1" t="n"/>
      <c r="Y1707" s="1" t="n"/>
      <c r="Z1707" s="1" t="n"/>
    </row>
    <row r="1708" hidden="1" ht="16.05" customFormat="1" customHeight="1" s="126">
      <c r="A1708" s="125" t="n">
        <v>2223</v>
      </c>
      <c r="B1708" s="125" t="n"/>
      <c r="C1708" s="130" t="inlineStr">
        <is>
          <t>Стерлитамак</t>
        </is>
      </c>
      <c r="D1708" s="130" t="inlineStr">
        <is>
          <t>Стерлитамак</t>
        </is>
      </c>
      <c r="E1708" s="130" t="n"/>
      <c r="F1708" s="130" t="inlineStr">
        <is>
          <t>АЗС</t>
        </is>
      </c>
      <c r="G1708" s="130" t="inlineStr">
        <is>
          <t>Лукойл</t>
        </is>
      </c>
      <c r="H1708" s="131" t="n">
        <v>2030</v>
      </c>
      <c r="I1708" s="637" t="n">
        <v>2030</v>
      </c>
      <c r="J1708" s="637" t="inlineStr">
        <is>
          <t>STM_LUK_2030</t>
        </is>
      </c>
      <c r="K1708" s="640" t="n">
        <v>1</v>
      </c>
      <c r="L1708" s="640" t="n">
        <v>0</v>
      </c>
      <c r="M1708" s="640" t="inlineStr">
        <is>
          <t>Samsung 32" вертикальный</t>
        </is>
      </c>
      <c r="N1708" s="640" t="n"/>
      <c r="O1708" s="640">
        <f>IF(AND(N1708=1,L1708=1),K1708,"")</f>
        <v/>
      </c>
      <c r="P1708" s="642" t="inlineStr">
        <is>
          <t>Стерлитамак ул.Профсоюзная 26</t>
        </is>
      </c>
      <c r="Q1708" s="640" t="n">
        <v>53.649948</v>
      </c>
      <c r="R1708" s="422" t="n">
        <v>55.978985</v>
      </c>
      <c r="S1708" s="387" t="n"/>
      <c r="T1708" s="387" t="n"/>
      <c r="U1708" s="387" t="n"/>
      <c r="V1708" s="387" t="n"/>
      <c r="W1708" s="387" t="n"/>
      <c r="X1708" s="1" t="n"/>
      <c r="Y1708" s="1" t="n"/>
    </row>
    <row r="1709" hidden="1" ht="16.05" customFormat="1" customHeight="1" s="126">
      <c r="A1709" s="125" t="n">
        <v>2224</v>
      </c>
      <c r="B1709" s="125" t="n"/>
      <c r="C1709" s="130" t="inlineStr">
        <is>
          <t>Стерлитамак</t>
        </is>
      </c>
      <c r="D1709" s="130" t="inlineStr">
        <is>
          <t>Стерлитамак</t>
        </is>
      </c>
      <c r="E1709" s="130" t="n"/>
      <c r="F1709" s="130" t="inlineStr">
        <is>
          <t>АЗС</t>
        </is>
      </c>
      <c r="G1709" s="130" t="inlineStr">
        <is>
          <t>Лукойл</t>
        </is>
      </c>
      <c r="H1709" s="131" t="n">
        <v>2050</v>
      </c>
      <c r="I1709" s="637" t="n">
        <v>2050</v>
      </c>
      <c r="J1709" s="637" t="inlineStr">
        <is>
          <t>STM_LUK_2050</t>
        </is>
      </c>
      <c r="K1709" s="640" t="n">
        <v>1</v>
      </c>
      <c r="L1709" s="640" t="n">
        <v>0</v>
      </c>
      <c r="M1709" s="640" t="inlineStr">
        <is>
          <t>Samsung 32" вертикальный</t>
        </is>
      </c>
      <c r="N1709" s="640" t="n"/>
      <c r="O1709" s="640">
        <f>IF(AND(N1709=1,L1709=1),K1709,"")</f>
        <v/>
      </c>
      <c r="P1709" s="642" t="inlineStr">
        <is>
          <t>Стерлитамак ул.Салтыково-Щедрина 2в</t>
        </is>
      </c>
      <c r="Q1709" s="640" t="n">
        <v>53.621968</v>
      </c>
      <c r="R1709" s="422" t="n">
        <v>55.932652</v>
      </c>
      <c r="S1709" s="387" t="n"/>
      <c r="T1709" s="387" t="n"/>
      <c r="U1709" s="387" t="n"/>
      <c r="V1709" s="387" t="n"/>
      <c r="W1709" s="387" t="n"/>
      <c r="X1709" s="1" t="n"/>
      <c r="Y1709" s="1" t="n"/>
    </row>
    <row r="1710" hidden="1" ht="16.05" customFormat="1" customHeight="1" s="126">
      <c r="A1710" s="125" t="n">
        <v>2225</v>
      </c>
      <c r="B1710" s="125" t="n"/>
      <c r="C1710" s="130" t="inlineStr">
        <is>
          <t>Стерлитамак</t>
        </is>
      </c>
      <c r="D1710" s="130" t="inlineStr">
        <is>
          <t>Стерлитамак</t>
        </is>
      </c>
      <c r="E1710" s="130" t="n"/>
      <c r="F1710" s="130" t="inlineStr">
        <is>
          <t>АЗС</t>
        </is>
      </c>
      <c r="G1710" s="130" t="inlineStr">
        <is>
          <t>Лукойл</t>
        </is>
      </c>
      <c r="H1710" s="131" t="n">
        <v>2057</v>
      </c>
      <c r="I1710" s="637" t="n">
        <v>2057</v>
      </c>
      <c r="J1710" s="637" t="inlineStr">
        <is>
          <t>STM_LUK_2057</t>
        </is>
      </c>
      <c r="K1710" s="640" t="n">
        <v>1</v>
      </c>
      <c r="L1710" s="640" t="n">
        <v>0</v>
      </c>
      <c r="M1710" s="640" t="inlineStr">
        <is>
          <t>Samsung 32" вертикальный</t>
        </is>
      </c>
      <c r="N1710" s="640" t="n"/>
      <c r="O1710" s="640">
        <f>IF(AND(N1710=1,L1710=1),K1710,"")</f>
        <v/>
      </c>
      <c r="P1710" s="642" t="inlineStr">
        <is>
          <t>Стерлитамак Уфимский тракт д8</t>
        </is>
      </c>
      <c r="Q1710" s="640" t="n">
        <v>53.685375</v>
      </c>
      <c r="R1710" s="422" t="n">
        <v>55.949639</v>
      </c>
      <c r="S1710" s="387" t="n"/>
      <c r="T1710" s="387" t="n"/>
      <c r="U1710" s="387" t="n"/>
      <c r="V1710" s="387" t="n"/>
      <c r="W1710" s="387" t="n"/>
      <c r="X1710" s="1" t="n"/>
      <c r="Y1710" s="1" t="n"/>
    </row>
    <row r="1711" hidden="1" ht="16.05" customFormat="1" customHeight="1" s="126">
      <c r="A1711" s="125" t="n">
        <v>2226</v>
      </c>
      <c r="B1711" s="125" t="n"/>
      <c r="C1711" s="130" t="inlineStr">
        <is>
          <t>Стерлитамак</t>
        </is>
      </c>
      <c r="D1711" s="130" t="inlineStr">
        <is>
          <t>Стерлитамак</t>
        </is>
      </c>
      <c r="E1711" s="130" t="n"/>
      <c r="F1711" s="130" t="inlineStr">
        <is>
          <t>АЗС</t>
        </is>
      </c>
      <c r="G1711" s="130" t="inlineStr">
        <is>
          <t>Лукойл</t>
        </is>
      </c>
      <c r="H1711" s="131" t="n">
        <v>2074</v>
      </c>
      <c r="I1711" s="637" t="n">
        <v>2074</v>
      </c>
      <c r="J1711" s="637" t="inlineStr">
        <is>
          <t>STM_LUK_2074</t>
        </is>
      </c>
      <c r="K1711" s="640" t="n">
        <v>1</v>
      </c>
      <c r="L1711" s="640" t="n">
        <v>0</v>
      </c>
      <c r="M1711" s="640" t="inlineStr">
        <is>
          <t>Samsung 32" вертикальный</t>
        </is>
      </c>
      <c r="N1711" s="640" t="n"/>
      <c r="O1711" s="640">
        <f>IF(AND(N1711=1,L1711=1),K1711,"")</f>
        <v/>
      </c>
      <c r="P1711" s="642" t="inlineStr">
        <is>
          <t>Стерлитамак, ул. Техническая д.7</t>
        </is>
      </c>
      <c r="Q1711" s="640" t="n">
        <v>53.662525</v>
      </c>
      <c r="R1711" s="422" t="n">
        <v>55.950287</v>
      </c>
      <c r="S1711" s="387" t="n"/>
      <c r="T1711" s="387" t="n"/>
      <c r="U1711" s="387" t="n"/>
      <c r="V1711" s="387" t="n"/>
      <c r="W1711" s="387" t="n"/>
      <c r="X1711" s="1" t="n"/>
      <c r="Y1711" s="1" t="n"/>
    </row>
    <row r="1712" hidden="1" ht="16.05" customFormat="1" customHeight="1" s="126">
      <c r="A1712" s="125" t="n">
        <v>2227</v>
      </c>
      <c r="B1712" s="125" t="n"/>
      <c r="C1712" s="130" t="inlineStr">
        <is>
          <t>Сургут</t>
        </is>
      </c>
      <c r="D1712" s="130" t="inlineStr">
        <is>
          <t>Сургут</t>
        </is>
      </c>
      <c r="E1712" s="130" t="n"/>
      <c r="F1712" s="130" t="inlineStr">
        <is>
          <t>АЗС</t>
        </is>
      </c>
      <c r="G1712" s="130" t="inlineStr">
        <is>
          <t>Лукойл</t>
        </is>
      </c>
      <c r="H1712" s="131" t="n">
        <v>86616</v>
      </c>
      <c r="I1712" s="637" t="n">
        <v>86616</v>
      </c>
      <c r="J1712" s="637" t="inlineStr">
        <is>
          <t>SUR_LUK_86616</t>
        </is>
      </c>
      <c r="K1712" s="640" t="n">
        <v>1</v>
      </c>
      <c r="L1712" s="640" t="n">
        <v>0</v>
      </c>
      <c r="M1712" s="640" t="inlineStr">
        <is>
          <t>Samsung 32" вертикальный</t>
        </is>
      </c>
      <c r="N1712" s="640" t="n"/>
      <c r="O1712" s="640">
        <f>IF(AND(N1712=1,L1712=1),K1712,"")</f>
        <v/>
      </c>
      <c r="P1712" s="642" t="inlineStr">
        <is>
          <t>Сургут, ул.Профсоюзная, 1</t>
        </is>
      </c>
      <c r="Q1712" s="640" t="n">
        <v>61.270237</v>
      </c>
      <c r="R1712" s="422" t="n">
        <v>73.37303900000001</v>
      </c>
      <c r="S1712" s="387" t="n"/>
      <c r="T1712" s="387" t="n"/>
      <c r="U1712" s="387" t="n"/>
      <c r="V1712" s="387" t="n"/>
      <c r="W1712" s="387" t="n"/>
      <c r="X1712" s="1" t="n"/>
      <c r="Y1712" s="1" t="n"/>
    </row>
    <row r="1713" hidden="1" ht="16.05" customFormat="1" customHeight="1" s="126">
      <c r="A1713" s="125" t="n">
        <v>2228</v>
      </c>
      <c r="B1713" s="125" t="n"/>
      <c r="C1713" s="130" t="inlineStr">
        <is>
          <t>Сургут</t>
        </is>
      </c>
      <c r="D1713" s="130" t="inlineStr">
        <is>
          <t>Сургут</t>
        </is>
      </c>
      <c r="E1713" s="130" t="n"/>
      <c r="F1713" s="130" t="inlineStr">
        <is>
          <t>АЗС</t>
        </is>
      </c>
      <c r="G1713" s="130" t="inlineStr">
        <is>
          <t>Лукойл</t>
        </is>
      </c>
      <c r="H1713" s="131" t="n">
        <v>86617</v>
      </c>
      <c r="I1713" s="637" t="n">
        <v>86617</v>
      </c>
      <c r="J1713" s="637" t="inlineStr">
        <is>
          <t>SUR_LUK_86617</t>
        </is>
      </c>
      <c r="K1713" s="640" t="n">
        <v>1</v>
      </c>
      <c r="L1713" s="640" t="n">
        <v>0</v>
      </c>
      <c r="M1713" s="640" t="inlineStr">
        <is>
          <t>Samsung 32" вертикальный</t>
        </is>
      </c>
      <c r="N1713" s="640" t="n"/>
      <c r="O1713" s="640">
        <f>IF(AND(N1713=1,L1713=1),K1713,"")</f>
        <v/>
      </c>
      <c r="P1713" s="642" t="inlineStr">
        <is>
          <t>Сургут ул.Генерала Иванова (Сургут, улица Генерала Иванова, 17)</t>
        </is>
      </c>
      <c r="Q1713" s="640" t="n">
        <v>61.265081</v>
      </c>
      <c r="R1713" s="422" t="n">
        <v>73.436301</v>
      </c>
      <c r="S1713" s="387" t="n"/>
      <c r="T1713" s="387" t="n"/>
      <c r="U1713" s="387" t="n"/>
      <c r="V1713" s="387" t="n"/>
      <c r="W1713" s="387" t="n"/>
      <c r="X1713" s="1" t="n"/>
      <c r="Y1713" s="1" t="n"/>
    </row>
    <row r="1714" hidden="1" ht="16.05" customFormat="1" customHeight="1" s="126">
      <c r="A1714" s="125" t="n">
        <v>2229</v>
      </c>
      <c r="B1714" s="125" t="n"/>
      <c r="C1714" s="130" t="inlineStr">
        <is>
          <t>Сургут</t>
        </is>
      </c>
      <c r="D1714" s="130" t="inlineStr">
        <is>
          <t>Сургут</t>
        </is>
      </c>
      <c r="E1714" s="130" t="n"/>
      <c r="F1714" s="130" t="inlineStr">
        <is>
          <t>АЗС</t>
        </is>
      </c>
      <c r="G1714" s="130" t="inlineStr">
        <is>
          <t>Лукойл</t>
        </is>
      </c>
      <c r="H1714" s="131" t="n">
        <v>86619</v>
      </c>
      <c r="I1714" s="637" t="n">
        <v>86619</v>
      </c>
      <c r="J1714" s="402" t="inlineStr">
        <is>
          <t>SUR_LUK_86619</t>
        </is>
      </c>
      <c r="K1714" s="640" t="n">
        <v>1</v>
      </c>
      <c r="L1714" s="640" t="n">
        <v>0</v>
      </c>
      <c r="M1714" s="640" t="inlineStr">
        <is>
          <t>Samsung 32" вертикальный</t>
        </is>
      </c>
      <c r="N1714" s="640" t="n"/>
      <c r="O1714" s="640">
        <f>IF(AND(N1714=1,L1714=1),K1714,"")</f>
        <v/>
      </c>
      <c r="P1714" s="642" t="inlineStr">
        <is>
          <t>Сургут, пос.Медвежий угол, ул 39 "3" (1 очередь)</t>
        </is>
      </c>
      <c r="Q1714" s="640" t="n">
        <v>61.286183</v>
      </c>
      <c r="R1714" s="422" t="n">
        <v>73.370593</v>
      </c>
      <c r="S1714" s="387" t="n"/>
      <c r="T1714" s="387" t="n"/>
      <c r="U1714" s="387" t="n"/>
      <c r="V1714" s="387" t="n"/>
      <c r="W1714" s="387" t="n"/>
      <c r="X1714" s="1" t="n"/>
      <c r="Y1714" s="1" t="n"/>
    </row>
    <row r="1715" hidden="1" ht="16.05" customFormat="1" customHeight="1" s="126">
      <c r="A1715" s="125" t="n">
        <v>2230</v>
      </c>
      <c r="B1715" s="125" t="n"/>
      <c r="C1715" s="130" t="inlineStr">
        <is>
          <t>Сургут</t>
        </is>
      </c>
      <c r="D1715" s="130" t="inlineStr">
        <is>
          <t>Сургут</t>
        </is>
      </c>
      <c r="E1715" s="130" t="n"/>
      <c r="F1715" s="130" t="inlineStr">
        <is>
          <t>АЗС</t>
        </is>
      </c>
      <c r="G1715" s="130" t="inlineStr">
        <is>
          <t>Лукойл</t>
        </is>
      </c>
      <c r="H1715" s="131" t="n">
        <v>86621</v>
      </c>
      <c r="I1715" s="637" t="n">
        <v>86612</v>
      </c>
      <c r="J1715" s="637" t="inlineStr">
        <is>
          <t>SUR_LUK_86612</t>
        </is>
      </c>
      <c r="K1715" s="640" t="n">
        <v>1</v>
      </c>
      <c r="L1715" s="640" t="n">
        <v>0</v>
      </c>
      <c r="M1715" s="640" t="inlineStr">
        <is>
          <t>Samsung 32" вертикальный</t>
        </is>
      </c>
      <c r="N1715" s="640" t="n"/>
      <c r="O1715" s="640">
        <f>IF(AND(N1715=1,L1715=1),K1715,"")</f>
        <v/>
      </c>
      <c r="P1715" s="642" t="inlineStr">
        <is>
          <t>Сургут, а/д Сургут - Нефтеюганск, 4 км Левобережного подхода к мосту через р. Обь</t>
        </is>
      </c>
      <c r="Q1715" s="640" t="n">
        <v>61.19757</v>
      </c>
      <c r="R1715" s="422" t="n">
        <v>73.13468</v>
      </c>
      <c r="S1715" s="387" t="n"/>
      <c r="T1715" s="387" t="n"/>
      <c r="U1715" s="387" t="n"/>
      <c r="V1715" s="387" t="n"/>
      <c r="W1715" s="387" t="n"/>
      <c r="X1715" s="1" t="n"/>
      <c r="Y1715" s="1" t="n"/>
    </row>
    <row r="1716" hidden="1" ht="16.05" customFormat="1" customHeight="1" s="126">
      <c r="A1716" s="125" t="n">
        <v>2231</v>
      </c>
      <c r="B1716" s="125" t="n"/>
      <c r="C1716" s="130" t="inlineStr">
        <is>
          <t>Сургут</t>
        </is>
      </c>
      <c r="D1716" s="130" t="inlineStr">
        <is>
          <t>Сургут</t>
        </is>
      </c>
      <c r="E1716" s="130" t="n"/>
      <c r="F1716" s="130" t="inlineStr">
        <is>
          <t>АЗС</t>
        </is>
      </c>
      <c r="G1716" s="130" t="inlineStr">
        <is>
          <t>Лукойл</t>
        </is>
      </c>
      <c r="H1716" s="131" t="n">
        <v>86622</v>
      </c>
      <c r="I1716" s="637" t="n">
        <v>86622</v>
      </c>
      <c r="J1716" s="637" t="inlineStr">
        <is>
          <t>SUR_LUK_86622</t>
        </is>
      </c>
      <c r="K1716" s="640" t="n">
        <v>1</v>
      </c>
      <c r="L1716" s="640" t="n">
        <v>0</v>
      </c>
      <c r="M1716" s="640" t="inlineStr">
        <is>
          <t>Samsung 32" вертикальный</t>
        </is>
      </c>
      <c r="N1716" s="640" t="n"/>
      <c r="O1716" s="640">
        <f>IF(AND(N1716=1,L1716=1),K1716,"")</f>
        <v/>
      </c>
      <c r="P1716" s="642" t="inlineStr">
        <is>
          <t>Сургут, ул.Профсоюзов,33/1</t>
        </is>
      </c>
      <c r="Q1716" s="640" t="n">
        <v>61.266089</v>
      </c>
      <c r="R1716" s="422" t="n">
        <v>73.408959</v>
      </c>
      <c r="S1716" s="387" t="n"/>
      <c r="T1716" s="387" t="n"/>
      <c r="U1716" s="387" t="n"/>
      <c r="V1716" s="387" t="n"/>
      <c r="W1716" s="387" t="n"/>
      <c r="X1716" s="1" t="n"/>
      <c r="Y1716" s="1" t="n"/>
    </row>
    <row r="1717" hidden="1" ht="16.05" customFormat="1" customHeight="1" s="126">
      <c r="A1717" s="125" t="n">
        <v>2232</v>
      </c>
      <c r="B1717" s="125" t="n"/>
      <c r="C1717" s="130" t="inlineStr">
        <is>
          <t>Сургут</t>
        </is>
      </c>
      <c r="D1717" s="130" t="inlineStr">
        <is>
          <t>Сургут</t>
        </is>
      </c>
      <c r="E1717" s="130" t="n"/>
      <c r="F1717" s="130" t="inlineStr">
        <is>
          <t>АЗС</t>
        </is>
      </c>
      <c r="G1717" s="130" t="inlineStr">
        <is>
          <t>Лукойл</t>
        </is>
      </c>
      <c r="H1717" s="131" t="n">
        <v>86623</v>
      </c>
      <c r="I1717" s="637" t="n">
        <v>86623</v>
      </c>
      <c r="J1717" s="637" t="inlineStr">
        <is>
          <t>SUR_LUK_86623</t>
        </is>
      </c>
      <c r="K1717" s="640" t="n">
        <v>1</v>
      </c>
      <c r="L1717" s="640" t="n">
        <v>0</v>
      </c>
      <c r="M1717" s="640" t="inlineStr">
        <is>
          <t>Samsung 32" вертикальный</t>
        </is>
      </c>
      <c r="N1717" s="640" t="n"/>
      <c r="O1717" s="640">
        <f>IF(AND(N1717=1,L1717=1),K1717,"")</f>
        <v/>
      </c>
      <c r="P1717" s="642" t="inlineStr">
        <is>
          <t>Сургут, ул.Заячий остров, 2</t>
        </is>
      </c>
      <c r="Q1717" s="640" t="n">
        <v>61.251743</v>
      </c>
      <c r="R1717" s="422" t="n">
        <v>73.357337</v>
      </c>
      <c r="S1717" s="387" t="n"/>
      <c r="T1717" s="387" t="n"/>
      <c r="U1717" s="387" t="n"/>
      <c r="V1717" s="387" t="n"/>
      <c r="W1717" s="387" t="n"/>
      <c r="X1717" s="1" t="n"/>
      <c r="Y1717" s="1" t="n"/>
    </row>
    <row r="1718" hidden="1" ht="16.05" customHeight="1">
      <c r="A1718" s="791" t="n">
        <v>2233</v>
      </c>
      <c r="B1718" s="13" t="n"/>
      <c r="C1718" s="130" t="inlineStr">
        <is>
          <t>Сургут</t>
        </is>
      </c>
      <c r="D1718" s="130" t="inlineStr">
        <is>
          <t>Сургут</t>
        </is>
      </c>
      <c r="E1718" s="130" t="n"/>
      <c r="F1718" s="130" t="inlineStr">
        <is>
          <t>АЗС</t>
        </is>
      </c>
      <c r="G1718" s="130" t="inlineStr">
        <is>
          <t>Лукойл</t>
        </is>
      </c>
      <c r="H1718" s="131" t="n">
        <v>86624</v>
      </c>
      <c r="I1718" s="637" t="n">
        <v>86624</v>
      </c>
      <c r="J1718" s="637" t="inlineStr">
        <is>
          <t>SUR_LUK_86624</t>
        </is>
      </c>
      <c r="K1718" s="640" t="n">
        <v>1</v>
      </c>
      <c r="L1718" s="640" t="n">
        <v>0</v>
      </c>
      <c r="M1718" s="640" t="inlineStr">
        <is>
          <t>Samsung 32" вертикальный</t>
        </is>
      </c>
      <c r="N1718" s="640" t="n"/>
      <c r="O1718" s="640">
        <f>IF(AND(N1718=1,L1718=1),K1718,"")</f>
        <v/>
      </c>
      <c r="P1718" s="642" t="inlineStr">
        <is>
          <t>Сургут, квартал 36, ул.Грибоедова (Сургут, улица Грибоедова, 36)</t>
        </is>
      </c>
      <c r="Q1718" s="640" t="n">
        <v>61.278654</v>
      </c>
      <c r="R1718" s="422" t="n">
        <v>73.34628600000001</v>
      </c>
      <c r="X1718" s="1" t="n"/>
      <c r="Y1718" s="1" t="n"/>
      <c r="Z1718" s="1" t="n"/>
    </row>
    <row r="1719" hidden="1" ht="16.05" customFormat="1" customHeight="1" s="126">
      <c r="A1719" s="125" t="n">
        <v>2237</v>
      </c>
      <c r="B1719" s="125" t="n"/>
      <c r="C1719" s="130" t="inlineStr">
        <is>
          <t>Татарстан</t>
        </is>
      </c>
      <c r="D1719" s="130" t="inlineStr">
        <is>
          <t>Казань</t>
        </is>
      </c>
      <c r="E1719" s="130" t="n"/>
      <c r="F1719" s="130" t="inlineStr">
        <is>
          <t>АЗС</t>
        </is>
      </c>
      <c r="G1719" s="130" t="inlineStr">
        <is>
          <t>ТАИФ</t>
        </is>
      </c>
      <c r="H1719" s="131" t="inlineStr">
        <is>
          <t>ТАИФ_104</t>
        </is>
      </c>
      <c r="I1719" s="637" t="inlineStr">
        <is>
          <t>ТАИФ_104</t>
        </is>
      </c>
      <c r="J1719" s="637" t="inlineStr">
        <is>
          <t>KAZ_TAIF_0104</t>
        </is>
      </c>
      <c r="K1719" s="640" t="n">
        <v>1</v>
      </c>
      <c r="L1719" s="640" t="n">
        <v>1</v>
      </c>
      <c r="M1719" s="623" t="inlineStr">
        <is>
          <t>Samsung 32" вертикальный</t>
        </is>
      </c>
      <c r="N1719" s="640" t="n"/>
      <c r="O1719" s="640">
        <f>IF(AND(N1719=1,L1719=1),K1719,"")</f>
        <v/>
      </c>
      <c r="P1719" s="642" t="inlineStr">
        <is>
          <t>Казань, на перекрестке Пр. Победы и улицы Оренбургский тракт (проспект Победы, 3А)</t>
        </is>
      </c>
      <c r="Q1719" s="640" t="inlineStr">
        <is>
          <t>55.737491</t>
        </is>
      </c>
      <c r="R1719" s="494" t="inlineStr">
        <is>
          <t>49.182898</t>
        </is>
      </c>
      <c r="S1719" s="387" t="n"/>
      <c r="T1719" s="387" t="n"/>
      <c r="U1719" s="387" t="n"/>
      <c r="V1719" s="387" t="n"/>
      <c r="W1719" s="387" t="n"/>
      <c r="X1719" s="387" t="n"/>
      <c r="Y1719" s="387" t="n"/>
    </row>
    <row r="1720" hidden="1" ht="16.05" customFormat="1" customHeight="1" s="126">
      <c r="A1720" s="125" t="n">
        <v>2238</v>
      </c>
      <c r="B1720" s="125" t="n"/>
      <c r="C1720" s="130" t="inlineStr">
        <is>
          <t>Татарстан</t>
        </is>
      </c>
      <c r="D1720" s="130" t="inlineStr">
        <is>
          <t>Казань</t>
        </is>
      </c>
      <c r="E1720" s="130" t="n"/>
      <c r="F1720" s="130" t="inlineStr">
        <is>
          <t>АЗС</t>
        </is>
      </c>
      <c r="G1720" s="130" t="inlineStr">
        <is>
          <t>ТАИФ</t>
        </is>
      </c>
      <c r="H1720" s="131" t="inlineStr">
        <is>
          <t>ТАИФ_107</t>
        </is>
      </c>
      <c r="I1720" s="637" t="inlineStr">
        <is>
          <t>ТАИФ_107</t>
        </is>
      </c>
      <c r="J1720" s="637" t="inlineStr">
        <is>
          <t>KAZ_TAIF_0107</t>
        </is>
      </c>
      <c r="K1720" s="640" t="n">
        <v>1</v>
      </c>
      <c r="L1720" s="640" t="n">
        <v>1</v>
      </c>
      <c r="M1720" s="623" t="inlineStr">
        <is>
          <t>Samsung 32" вертикальный</t>
        </is>
      </c>
      <c r="N1720" s="640" t="n"/>
      <c r="O1720" s="640">
        <f>IF(AND(N1720=1,L1720=1),K1720,"")</f>
        <v/>
      </c>
      <c r="P1720" s="642" t="inlineStr">
        <is>
          <t>Казань, ул Габишева (улица Комиссара Габишева, 30)</t>
        </is>
      </c>
      <c r="Q1720" s="640" t="inlineStr">
        <is>
          <t>55.750449</t>
        </is>
      </c>
      <c r="R1720" s="494" t="inlineStr">
        <is>
          <t>49.241535</t>
        </is>
      </c>
      <c r="S1720" s="387" t="n"/>
      <c r="T1720" s="387" t="n"/>
      <c r="U1720" s="387" t="n"/>
      <c r="V1720" s="387" t="n"/>
      <c r="W1720" s="387" t="n"/>
      <c r="X1720" s="387" t="n"/>
      <c r="Y1720" s="387" t="n"/>
    </row>
    <row r="1721" hidden="1" ht="16.05" customFormat="1" customHeight="1" s="126">
      <c r="A1721" s="125" t="n">
        <v>2239</v>
      </c>
      <c r="B1721" s="125" t="n"/>
      <c r="C1721" s="130" t="inlineStr">
        <is>
          <t>Татарстан</t>
        </is>
      </c>
      <c r="D1721" s="130" t="inlineStr">
        <is>
          <t>Казань</t>
        </is>
      </c>
      <c r="E1721" s="130" t="n"/>
      <c r="F1721" s="130" t="inlineStr">
        <is>
          <t>АЗС</t>
        </is>
      </c>
      <c r="G1721" s="130" t="inlineStr">
        <is>
          <t>ТАИФ</t>
        </is>
      </c>
      <c r="H1721" s="131" t="inlineStr">
        <is>
          <t>ТАИФ_108</t>
        </is>
      </c>
      <c r="I1721" s="637" t="inlineStr">
        <is>
          <t>ТАИФ_108</t>
        </is>
      </c>
      <c r="J1721" s="637" t="inlineStr">
        <is>
          <t>KAZ_TAIF_0108</t>
        </is>
      </c>
      <c r="K1721" s="640" t="n">
        <v>1</v>
      </c>
      <c r="L1721" s="640" t="n">
        <v>1</v>
      </c>
      <c r="M1721" s="623" t="inlineStr">
        <is>
          <t>Samsung 32" вертикальный</t>
        </is>
      </c>
      <c r="N1721" s="640" t="n"/>
      <c r="O1721" s="640">
        <f>IF(AND(N1721=1,L1721=1),K1721,"")</f>
        <v/>
      </c>
      <c r="P1721" s="642" t="inlineStr">
        <is>
          <t>Казань, просп.Победы (проспект Победы, 72В)</t>
        </is>
      </c>
      <c r="Q1721" s="640" t="inlineStr">
        <is>
          <t>55.755258</t>
        </is>
      </c>
      <c r="R1721" s="494" t="inlineStr">
        <is>
          <t>49.218944</t>
        </is>
      </c>
      <c r="S1721" s="387" t="n"/>
      <c r="T1721" s="387" t="n"/>
      <c r="U1721" s="387" t="n"/>
      <c r="V1721" s="387" t="n"/>
      <c r="W1721" s="387" t="n"/>
      <c r="X1721" s="387" t="n"/>
      <c r="Y1721" s="387" t="n"/>
    </row>
    <row r="1722" hidden="1" ht="16.05" customFormat="1" customHeight="1" s="126">
      <c r="A1722" s="125" t="n">
        <v>2240</v>
      </c>
      <c r="B1722" s="125" t="n"/>
      <c r="C1722" s="130" t="inlineStr">
        <is>
          <t>Татарстан</t>
        </is>
      </c>
      <c r="D1722" s="130" t="inlineStr">
        <is>
          <t>Казань</t>
        </is>
      </c>
      <c r="E1722" s="130" t="n"/>
      <c r="F1722" s="130" t="inlineStr">
        <is>
          <t>АЗС</t>
        </is>
      </c>
      <c r="G1722" s="130" t="inlineStr">
        <is>
          <t>ТАИФ</t>
        </is>
      </c>
      <c r="H1722" s="131" t="inlineStr">
        <is>
          <t>ТАИФ_112</t>
        </is>
      </c>
      <c r="I1722" s="637" t="inlineStr">
        <is>
          <t>ТАИФ_112</t>
        </is>
      </c>
      <c r="J1722" s="637" t="inlineStr">
        <is>
          <t>KAZ_TAIF_0112</t>
        </is>
      </c>
      <c r="K1722" s="640" t="n">
        <v>1</v>
      </c>
      <c r="L1722" s="640" t="n">
        <v>1</v>
      </c>
      <c r="M1722" s="623" t="inlineStr">
        <is>
          <t>Samsung 32" вертикальный</t>
        </is>
      </c>
      <c r="N1722" s="640" t="n"/>
      <c r="O1722" s="640">
        <f>IF(AND(N1722=1,L1722=1),K1722,"")</f>
        <v/>
      </c>
      <c r="P1722" s="642" t="inlineStr">
        <is>
          <t>Казань, ул. просп.Победы 11</t>
        </is>
      </c>
      <c r="Q1722" s="640" t="n">
        <v>55.74285</v>
      </c>
      <c r="R1722" s="494" t="n">
        <v>49.19295</v>
      </c>
      <c r="S1722" s="387" t="n"/>
      <c r="T1722" s="387" t="n"/>
      <c r="U1722" s="387" t="n"/>
      <c r="V1722" s="387" t="n"/>
      <c r="W1722" s="387" t="n"/>
      <c r="X1722" s="387" t="n"/>
      <c r="Y1722" s="387" t="n"/>
    </row>
    <row r="1723" hidden="1" ht="16.05" customFormat="1" customHeight="1" s="126">
      <c r="A1723" s="125" t="n">
        <v>2244</v>
      </c>
      <c r="B1723" s="125" t="n"/>
      <c r="C1723" s="130" t="inlineStr">
        <is>
          <t>Татарстан</t>
        </is>
      </c>
      <c r="D1723" s="130" t="inlineStr">
        <is>
          <t>Казань</t>
        </is>
      </c>
      <c r="E1723" s="130" t="n"/>
      <c r="F1723" s="130" t="inlineStr">
        <is>
          <t>АЗС</t>
        </is>
      </c>
      <c r="G1723" s="130" t="inlineStr">
        <is>
          <t>ТАИФ</t>
        </is>
      </c>
      <c r="H1723" s="131" t="inlineStr">
        <is>
          <t>ТАИФ_123</t>
        </is>
      </c>
      <c r="I1723" s="637" t="inlineStr">
        <is>
          <t>ТАИФ_123</t>
        </is>
      </c>
      <c r="J1723" s="637" t="inlineStr">
        <is>
          <t>KAZ_TAIF_0123</t>
        </is>
      </c>
      <c r="K1723" s="640" t="n">
        <v>1</v>
      </c>
      <c r="L1723" s="640" t="n">
        <v>1</v>
      </c>
      <c r="M1723" s="623" t="inlineStr">
        <is>
          <t>Samsung 32" вертикальный</t>
        </is>
      </c>
      <c r="N1723" s="640" t="n"/>
      <c r="O1723" s="640">
        <f>IF(AND(N1723=1,L1723=1),K1723,"")</f>
        <v/>
      </c>
      <c r="P1723" s="642" t="inlineStr">
        <is>
          <t>Казань, ул. Маршала Чуйкова (улица Адоратского, 24)</t>
        </is>
      </c>
      <c r="Q1723" s="640" t="inlineStr">
        <is>
          <t>55.83535</t>
        </is>
      </c>
      <c r="R1723" s="494" t="inlineStr">
        <is>
          <t>49.148724</t>
        </is>
      </c>
      <c r="S1723" s="387" t="n"/>
      <c r="T1723" s="387" t="n"/>
      <c r="U1723" s="387" t="n"/>
      <c r="V1723" s="387" t="n"/>
      <c r="W1723" s="387" t="n"/>
      <c r="X1723" s="387" t="n"/>
      <c r="Y1723" s="387" t="n"/>
    </row>
    <row r="1724" hidden="1" ht="16.05" customFormat="1" customHeight="1" s="126">
      <c r="A1724" s="845" t="n">
        <v>2246</v>
      </c>
      <c r="B1724" s="127" t="n"/>
      <c r="C1724" s="130" t="inlineStr">
        <is>
          <t>Татарстан</t>
        </is>
      </c>
      <c r="D1724" s="130" t="inlineStr">
        <is>
          <t>Казань</t>
        </is>
      </c>
      <c r="E1724" s="130" t="n"/>
      <c r="F1724" s="130" t="inlineStr">
        <is>
          <t>АЗС</t>
        </is>
      </c>
      <c r="G1724" s="130" t="inlineStr">
        <is>
          <t>ТАИФ</t>
        </is>
      </c>
      <c r="H1724" s="131" t="inlineStr">
        <is>
          <t>ТАИФ_131</t>
        </is>
      </c>
      <c r="I1724" s="637" t="inlineStr">
        <is>
          <t>ТАИФ_131</t>
        </is>
      </c>
      <c r="J1724" s="637" t="inlineStr">
        <is>
          <t>KAZ_TAIF_0131</t>
        </is>
      </c>
      <c r="K1724" s="640" t="n">
        <v>1</v>
      </c>
      <c r="L1724" s="640" t="n">
        <v>1</v>
      </c>
      <c r="M1724" s="623" t="inlineStr">
        <is>
          <t>Samsung 32" вертикальный</t>
        </is>
      </c>
      <c r="N1724" s="640" t="n"/>
      <c r="O1724" s="640">
        <f>IF(AND(N1724=1,L1724=1),K1724,"")</f>
        <v/>
      </c>
      <c r="P1724" s="642" t="inlineStr">
        <is>
          <t>Казань, ул.Аделя Кутуя, территория Базы Южного района электрических сетей (ЮРЭС) (улица Родины, 43Б)</t>
        </is>
      </c>
      <c r="Q1724" s="640" t="inlineStr">
        <is>
          <t>55.769342</t>
        </is>
      </c>
      <c r="R1724" s="494" t="inlineStr">
        <is>
          <t>49.208406</t>
        </is>
      </c>
      <c r="S1724" s="387" t="n"/>
      <c r="T1724" s="387" t="n"/>
      <c r="U1724" s="387" t="n"/>
      <c r="V1724" s="387" t="n"/>
      <c r="W1724" s="387" t="n"/>
      <c r="X1724" s="387" t="n"/>
      <c r="Y1724" s="387" t="n"/>
    </row>
    <row r="1725" hidden="1" ht="16.05" customFormat="1" customHeight="1" s="126">
      <c r="A1725" s="125" t="n">
        <v>2247</v>
      </c>
      <c r="B1725" s="125" t="n"/>
      <c r="C1725" s="130" t="inlineStr">
        <is>
          <t>Татарстан</t>
        </is>
      </c>
      <c r="D1725" s="130" t="inlineStr">
        <is>
          <t>Казань</t>
        </is>
      </c>
      <c r="E1725" s="130" t="n"/>
      <c r="F1725" s="130" t="inlineStr">
        <is>
          <t>АЗС</t>
        </is>
      </c>
      <c r="G1725" s="130" t="inlineStr">
        <is>
          <t>ТАИФ</t>
        </is>
      </c>
      <c r="H1725" s="131" t="inlineStr">
        <is>
          <t>ТАИФ_133</t>
        </is>
      </c>
      <c r="I1725" s="637" t="inlineStr">
        <is>
          <t>ТАИФ_133</t>
        </is>
      </c>
      <c r="J1725" s="637" t="inlineStr">
        <is>
          <t>KAZ_TAIF_0133</t>
        </is>
      </c>
      <c r="K1725" s="640" t="n">
        <v>1</v>
      </c>
      <c r="L1725" s="640" t="n">
        <v>1</v>
      </c>
      <c r="M1725" s="623" t="inlineStr">
        <is>
          <t>Samsung 32" вертикальный</t>
        </is>
      </c>
      <c r="N1725" s="640" t="n"/>
      <c r="O1725" s="640">
        <f>IF(AND(N1725=1,L1725=1),K1725,"")</f>
        <v/>
      </c>
      <c r="P1725" s="642" t="inlineStr">
        <is>
          <t>Казань, пр. Ямашева (проспект Ямашева, 29А)</t>
        </is>
      </c>
      <c r="Q1725" s="640" t="inlineStr">
        <is>
          <t>55.827889</t>
        </is>
      </c>
      <c r="R1725" s="494" t="inlineStr">
        <is>
          <t>49.109513</t>
        </is>
      </c>
      <c r="S1725" s="387" t="n"/>
      <c r="T1725" s="387" t="n"/>
      <c r="U1725" s="387" t="n"/>
      <c r="V1725" s="387" t="n"/>
      <c r="W1725" s="387" t="n"/>
      <c r="X1725" s="387" t="n"/>
      <c r="Y1725" s="387" t="n"/>
    </row>
    <row r="1726" hidden="1" ht="16.05" customHeight="1">
      <c r="A1726" s="791" t="n">
        <v>2241</v>
      </c>
      <c r="B1726" s="13" t="n"/>
      <c r="C1726" s="130" t="inlineStr">
        <is>
          <t>Татарстан</t>
        </is>
      </c>
      <c r="D1726" s="130" t="inlineStr">
        <is>
          <t>Казань</t>
        </is>
      </c>
      <c r="E1726" s="130" t="n"/>
      <c r="F1726" s="130" t="inlineStr">
        <is>
          <t>АЗС</t>
        </is>
      </c>
      <c r="G1726" s="130" t="inlineStr">
        <is>
          <t>ТАИФ</t>
        </is>
      </c>
      <c r="H1726" s="131" t="inlineStr">
        <is>
          <t>ТАИФ_119</t>
        </is>
      </c>
      <c r="I1726" s="637" t="inlineStr">
        <is>
          <t>ТАИФ_119</t>
        </is>
      </c>
      <c r="J1726" s="637" t="inlineStr">
        <is>
          <t>KAZ_TAIF_0119</t>
        </is>
      </c>
      <c r="K1726" s="640" t="n">
        <v>1</v>
      </c>
      <c r="L1726" s="640" t="n">
        <v>1</v>
      </c>
      <c r="M1726" s="623" t="inlineStr">
        <is>
          <t>Samsung 32" вертикальный</t>
        </is>
      </c>
      <c r="N1726" s="640" t="n"/>
      <c r="O1726" s="640">
        <f>IF(AND(N1726=1,L1726=1),K1726,"")</f>
        <v/>
      </c>
      <c r="P1726" s="642" t="inlineStr">
        <is>
          <t>Казань, Советский район, жилой массив Константиновка Школьная улица, 86Б</t>
        </is>
      </c>
      <c r="Q1726" s="494" t="inlineStr">
        <is>
          <t>55.800862</t>
        </is>
      </c>
      <c r="R1726" s="494" t="inlineStr">
        <is>
          <t>49.253933</t>
        </is>
      </c>
      <c r="X1726" s="1" t="n"/>
      <c r="Y1726" s="1" t="n"/>
      <c r="Z1726" s="1" t="n"/>
    </row>
    <row r="1727" hidden="1" ht="16.05" customHeight="1">
      <c r="A1727" s="791" t="n">
        <v>2242</v>
      </c>
      <c r="B1727" s="13" t="n"/>
      <c r="C1727" s="130" t="inlineStr">
        <is>
          <t>Татарстан</t>
        </is>
      </c>
      <c r="D1727" s="130" t="inlineStr">
        <is>
          <t>Казань</t>
        </is>
      </c>
      <c r="E1727" s="130" t="n"/>
      <c r="F1727" s="130" t="inlineStr">
        <is>
          <t>АЗС</t>
        </is>
      </c>
      <c r="G1727" s="130" t="inlineStr">
        <is>
          <t>ТАИФ</t>
        </is>
      </c>
      <c r="H1727" s="131" t="inlineStr">
        <is>
          <t>ТАИФ_120</t>
        </is>
      </c>
      <c r="I1727" s="637" t="inlineStr">
        <is>
          <t>ТАИФ_120</t>
        </is>
      </c>
      <c r="J1727" s="637" t="inlineStr">
        <is>
          <t>KAZ_TAIF_0120</t>
        </is>
      </c>
      <c r="K1727" s="640" t="n">
        <v>1</v>
      </c>
      <c r="L1727" s="640" t="n">
        <v>1</v>
      </c>
      <c r="M1727" s="623" t="inlineStr">
        <is>
          <t>Samsung 32" вертикальный</t>
        </is>
      </c>
      <c r="N1727" s="640" t="n"/>
      <c r="O1727" s="640">
        <f>IF(AND(N1727=1,L1727=1),K1727,"")</f>
        <v/>
      </c>
      <c r="P1727" s="642" t="inlineStr">
        <is>
          <t>Казань, ул Горьковское шоссе 30А</t>
        </is>
      </c>
      <c r="Q1727" s="494" t="inlineStr">
        <is>
          <t>55.827232</t>
        </is>
      </c>
      <c r="R1727" s="494" t="inlineStr">
        <is>
          <t>49.027553</t>
        </is>
      </c>
      <c r="S1727" s="653" t="n"/>
      <c r="X1727" s="1" t="n"/>
      <c r="Y1727" s="1" t="n"/>
      <c r="Z1727" s="1" t="n"/>
    </row>
    <row r="1728" hidden="1" ht="16.05" customHeight="1">
      <c r="A1728" s="791" t="n">
        <v>2243</v>
      </c>
      <c r="B1728" s="13" t="n"/>
      <c r="C1728" s="130" t="inlineStr">
        <is>
          <t>Татарстан</t>
        </is>
      </c>
      <c r="D1728" s="130" t="inlineStr">
        <is>
          <t>Казань</t>
        </is>
      </c>
      <c r="E1728" s="130" t="n"/>
      <c r="F1728" s="130" t="inlineStr">
        <is>
          <t>АЗС</t>
        </is>
      </c>
      <c r="G1728" s="130" t="inlineStr">
        <is>
          <t>ТАИФ</t>
        </is>
      </c>
      <c r="H1728" s="131" t="inlineStr">
        <is>
          <t>ТАИФ_121</t>
        </is>
      </c>
      <c r="I1728" s="637" t="inlineStr">
        <is>
          <t>ТАИФ_121</t>
        </is>
      </c>
      <c r="J1728" s="637" t="inlineStr">
        <is>
          <t>KAZ_TAIF_0121</t>
        </is>
      </c>
      <c r="K1728" s="640" t="n">
        <v>1</v>
      </c>
      <c r="L1728" s="640" t="n">
        <v>1</v>
      </c>
      <c r="M1728" s="623" t="inlineStr">
        <is>
          <t>Samsung 32" вертикальный</t>
        </is>
      </c>
      <c r="N1728" s="640" t="n"/>
      <c r="O1728" s="640">
        <f>IF(AND(N1728=1,L1728=1),K1728,"")</f>
        <v/>
      </c>
      <c r="P1728" s="642" t="inlineStr">
        <is>
          <t>Казань, автодорога М-7 "Волга" - Москва-Нижний Новгород-Казань-Уфа 817 км.</t>
        </is>
      </c>
      <c r="Q1728" s="640" t="inlineStr">
        <is>
          <t>55.874841</t>
        </is>
      </c>
      <c r="R1728" s="640" t="inlineStr">
        <is>
          <t>49.274566</t>
        </is>
      </c>
      <c r="X1728" s="1" t="n"/>
      <c r="Y1728" s="1" t="n"/>
      <c r="Z1728" s="1" t="n"/>
    </row>
    <row r="1729" hidden="1" ht="16.05" customFormat="1" customHeight="1" s="126">
      <c r="A1729" s="125" t="n">
        <v>2248</v>
      </c>
      <c r="B1729" s="125" t="n"/>
      <c r="C1729" s="130" t="inlineStr">
        <is>
          <t>Татарстан</t>
        </is>
      </c>
      <c r="D1729" s="130" t="inlineStr">
        <is>
          <t>Казань</t>
        </is>
      </c>
      <c r="E1729" s="130" t="n"/>
      <c r="F1729" s="130" t="inlineStr">
        <is>
          <t>АЗС</t>
        </is>
      </c>
      <c r="G1729" s="130" t="inlineStr">
        <is>
          <t>ТАИФ</t>
        </is>
      </c>
      <c r="H1729" s="131" t="inlineStr">
        <is>
          <t>ТАИФ_134</t>
        </is>
      </c>
      <c r="I1729" s="637" t="inlineStr">
        <is>
          <t>ТАИФ_134</t>
        </is>
      </c>
      <c r="J1729" s="637" t="inlineStr">
        <is>
          <t>KAZ_TAIF_0134</t>
        </is>
      </c>
      <c r="K1729" s="640" t="n">
        <v>1</v>
      </c>
      <c r="L1729" s="640" t="n">
        <v>1</v>
      </c>
      <c r="M1729" s="623" t="inlineStr">
        <is>
          <t>Samsung 32" вертикальный</t>
        </is>
      </c>
      <c r="N1729" s="640" t="n"/>
      <c r="O1729" s="640">
        <f>IF(AND(N1729=1,L1729=1),K1729,"")</f>
        <v/>
      </c>
      <c r="P1729" s="642" t="inlineStr">
        <is>
          <t>Казань, пос.Малые Клыки (проспект Победы, 194к1)</t>
        </is>
      </c>
      <c r="Q1729" s="640" t="inlineStr">
        <is>
          <t>55.795949</t>
        </is>
      </c>
      <c r="R1729" s="494" t="inlineStr">
        <is>
          <t>49.22171</t>
        </is>
      </c>
      <c r="S1729" s="387" t="n"/>
      <c r="T1729" s="387" t="n"/>
      <c r="U1729" s="387" t="n"/>
      <c r="V1729" s="387" t="n"/>
      <c r="W1729" s="387" t="n"/>
      <c r="X1729" s="387" t="n"/>
      <c r="Y1729" s="387" t="n"/>
    </row>
    <row r="1730" hidden="1" ht="16.05" customHeight="1">
      <c r="A1730" s="791" t="n">
        <v>2245</v>
      </c>
      <c r="B1730" s="13" t="n"/>
      <c r="C1730" s="130" t="inlineStr">
        <is>
          <t>Татарстан</t>
        </is>
      </c>
      <c r="D1730" s="130" t="inlineStr">
        <is>
          <t>Казань</t>
        </is>
      </c>
      <c r="E1730" s="130" t="n"/>
      <c r="F1730" s="130" t="inlineStr">
        <is>
          <t>АЗС</t>
        </is>
      </c>
      <c r="G1730" s="130" t="inlineStr">
        <is>
          <t>ТАИФ</t>
        </is>
      </c>
      <c r="H1730" s="131" t="inlineStr">
        <is>
          <t>ТАИФ_125</t>
        </is>
      </c>
      <c r="I1730" s="637" t="inlineStr">
        <is>
          <t>ТАИФ_125</t>
        </is>
      </c>
      <c r="J1730" s="637" t="inlineStr">
        <is>
          <t>KAZ_TAIF_0125</t>
        </is>
      </c>
      <c r="K1730" s="640" t="n">
        <v>1</v>
      </c>
      <c r="L1730" s="640" t="n">
        <v>1</v>
      </c>
      <c r="M1730" s="623" t="inlineStr">
        <is>
          <t>Samsung 32" вертикальный</t>
        </is>
      </c>
      <c r="N1730" s="640" t="n"/>
      <c r="O1730" s="640">
        <f>IF(AND(N1730=1,L1730=1),K1730,"")</f>
        <v/>
      </c>
      <c r="P1730" s="642" t="inlineStr">
        <is>
          <t>Казань, село Высокая Гора Большая Красная улица, 1Б</t>
        </is>
      </c>
      <c r="Q1730" s="640" t="inlineStr">
        <is>
          <t>55.903635</t>
        </is>
      </c>
      <c r="R1730" s="640" t="inlineStr">
        <is>
          <t>49.296201</t>
        </is>
      </c>
      <c r="S1730" s="653" t="n"/>
      <c r="X1730" s="1" t="n"/>
      <c r="Y1730" s="1" t="n"/>
      <c r="Z1730" s="1" t="n"/>
    </row>
    <row r="1731" hidden="1" ht="16.05" customFormat="1" customHeight="1" s="126">
      <c r="A1731" s="125" t="n">
        <v>2252</v>
      </c>
      <c r="B1731" s="125" t="n"/>
      <c r="C1731" s="130" t="inlineStr">
        <is>
          <t>Татарстан</t>
        </is>
      </c>
      <c r="D1731" s="130" t="inlineStr">
        <is>
          <t>Казань</t>
        </is>
      </c>
      <c r="E1731" s="130" t="n"/>
      <c r="F1731" s="130" t="inlineStr">
        <is>
          <t>АЗС</t>
        </is>
      </c>
      <c r="G1731" s="130" t="inlineStr">
        <is>
          <t>ТАИФ</t>
        </is>
      </c>
      <c r="H1731" s="131" t="inlineStr">
        <is>
          <t>ТАИФ_154</t>
        </is>
      </c>
      <c r="I1731" s="637" t="inlineStr">
        <is>
          <t>ТАИФ_154</t>
        </is>
      </c>
      <c r="J1731" s="637" t="inlineStr">
        <is>
          <t>KAZ_TAIF_0154</t>
        </is>
      </c>
      <c r="K1731" s="640" t="n">
        <v>1</v>
      </c>
      <c r="L1731" s="640" t="n">
        <v>1</v>
      </c>
      <c r="M1731" s="623" t="inlineStr">
        <is>
          <t>Samsung 32" вертикальный</t>
        </is>
      </c>
      <c r="N1731" s="640" t="n"/>
      <c r="O1731" s="640">
        <f>IF(AND(N1731=1,L1731=1),K1731,"")</f>
        <v/>
      </c>
      <c r="P1731" s="642" t="inlineStr">
        <is>
          <t>Казань, ул.Залесная 132б</t>
        </is>
      </c>
      <c r="Q1731" s="640" t="inlineStr">
        <is>
          <t>55.855269</t>
        </is>
      </c>
      <c r="R1731" s="494" t="inlineStr">
        <is>
          <t>48.872165</t>
        </is>
      </c>
      <c r="S1731" s="387" t="n"/>
      <c r="T1731" s="387" t="n"/>
      <c r="U1731" s="387" t="n"/>
      <c r="V1731" s="387" t="n"/>
      <c r="W1731" s="387" t="n"/>
      <c r="X1731" s="387" t="n"/>
      <c r="Y1731" s="387" t="n"/>
    </row>
    <row r="1732" hidden="1" ht="16.05" customFormat="1" customHeight="1" s="126">
      <c r="A1732" s="791" t="n">
        <v>2253</v>
      </c>
      <c r="B1732" s="13" t="n"/>
      <c r="C1732" s="130" t="inlineStr">
        <is>
          <t>Татарстан</t>
        </is>
      </c>
      <c r="D1732" s="130" t="inlineStr">
        <is>
          <t>Казань</t>
        </is>
      </c>
      <c r="E1732" s="130" t="n"/>
      <c r="F1732" s="130" t="inlineStr">
        <is>
          <t>АЗС</t>
        </is>
      </c>
      <c r="G1732" s="130" t="inlineStr">
        <is>
          <t>ТАИФ</t>
        </is>
      </c>
      <c r="H1732" s="131" t="inlineStr">
        <is>
          <t>ТАИФ_157</t>
        </is>
      </c>
      <c r="I1732" s="637" t="inlineStr">
        <is>
          <t>ТАИФ_157</t>
        </is>
      </c>
      <c r="J1732" s="637" t="inlineStr">
        <is>
          <t>KAZ_TAIF_0157</t>
        </is>
      </c>
      <c r="K1732" s="640" t="n">
        <v>1</v>
      </c>
      <c r="L1732" s="640" t="n">
        <v>1</v>
      </c>
      <c r="M1732" s="623" t="inlineStr">
        <is>
          <t>Samsung 32" вертикальный</t>
        </is>
      </c>
      <c r="N1732" s="640" t="n"/>
      <c r="O1732" s="640">
        <f>IF(AND(N1732=1,L1732=1),K1732,"")</f>
        <v/>
      </c>
      <c r="P1732" s="642" t="inlineStr">
        <is>
          <t>Казань, ул. Чистопольская (Чистопольская улица, 9)</t>
        </is>
      </c>
      <c r="Q1732" s="640" t="inlineStr">
        <is>
          <t>55.819919</t>
        </is>
      </c>
      <c r="R1732" s="494" t="inlineStr">
        <is>
          <t>49.105494</t>
        </is>
      </c>
      <c r="S1732" s="387" t="n"/>
      <c r="T1732" s="387" t="n"/>
      <c r="U1732" s="387" t="n"/>
      <c r="V1732" s="387" t="n"/>
      <c r="W1732" s="387" t="n"/>
      <c r="X1732" s="387" t="n"/>
      <c r="Y1732" s="387" t="n"/>
    </row>
    <row r="1733" hidden="1" ht="16.05" customFormat="1" customHeight="1" s="126">
      <c r="A1733" s="125" t="n">
        <v>2249</v>
      </c>
      <c r="B1733" s="125" t="n"/>
      <c r="C1733" s="130" t="inlineStr">
        <is>
          <t>Татарстан</t>
        </is>
      </c>
      <c r="D1733" s="130" t="inlineStr">
        <is>
          <t>Казань</t>
        </is>
      </c>
      <c r="E1733" s="130" t="n"/>
      <c r="F1733" s="130" t="inlineStr">
        <is>
          <t>АЗС</t>
        </is>
      </c>
      <c r="G1733" s="130" t="inlineStr">
        <is>
          <t>ТАИФ</t>
        </is>
      </c>
      <c r="H1733" s="131" t="inlineStr">
        <is>
          <t>ТАИФ_136</t>
        </is>
      </c>
      <c r="I1733" s="637" t="inlineStr">
        <is>
          <t>ТАИФ_136</t>
        </is>
      </c>
      <c r="J1733" s="637" t="inlineStr">
        <is>
          <t>KAZ_TAIF_0136</t>
        </is>
      </c>
      <c r="K1733" s="640" t="n">
        <v>1</v>
      </c>
      <c r="L1733" s="640" t="n">
        <v>1</v>
      </c>
      <c r="M1733" s="623" t="inlineStr">
        <is>
          <t>Samsung 32" вертикальный</t>
        </is>
      </c>
      <c r="N1733" s="640" t="n"/>
      <c r="O1733" s="640">
        <f>IF(AND(N1733=1,L1733=1),K1733,"")</f>
        <v/>
      </c>
      <c r="P1733" s="642" t="inlineStr">
        <is>
          <t>Казань, ул. Сибирский тракт (Сибирский тракт, 53А)</t>
        </is>
      </c>
      <c r="Q1733" s="640" t="inlineStr">
        <is>
          <t>55.838344</t>
        </is>
      </c>
      <c r="R1733" s="422" t="inlineStr">
        <is>
          <t>49.196216</t>
        </is>
      </c>
      <c r="S1733" s="387" t="n"/>
      <c r="T1733" s="387" t="n"/>
      <c r="U1733" s="387" t="n"/>
      <c r="V1733" s="387" t="n"/>
      <c r="W1733" s="387" t="n"/>
      <c r="X1733" s="387" t="n"/>
      <c r="Y1733" s="387" t="n"/>
    </row>
    <row r="1734" hidden="1" ht="16.05" customFormat="1" customHeight="1" s="126">
      <c r="A1734" s="791" t="n">
        <v>2255</v>
      </c>
      <c r="B1734" s="13" t="n"/>
      <c r="C1734" s="130" t="inlineStr">
        <is>
          <t>Татарстан</t>
        </is>
      </c>
      <c r="D1734" s="130" t="inlineStr">
        <is>
          <t>Казань</t>
        </is>
      </c>
      <c r="E1734" s="130" t="n"/>
      <c r="F1734" s="130" t="inlineStr">
        <is>
          <t>АЗС</t>
        </is>
      </c>
      <c r="G1734" s="130" t="inlineStr">
        <is>
          <t>ТАИФ</t>
        </is>
      </c>
      <c r="H1734" s="131" t="inlineStr">
        <is>
          <t>ТАИФ_162</t>
        </is>
      </c>
      <c r="I1734" s="637" t="inlineStr">
        <is>
          <t>ТАИФ_162</t>
        </is>
      </c>
      <c r="J1734" s="637" t="inlineStr">
        <is>
          <t>KAZ_TAIF_0162</t>
        </is>
      </c>
      <c r="K1734" s="640" t="n">
        <v>1</v>
      </c>
      <c r="L1734" s="640" t="n">
        <v>1</v>
      </c>
      <c r="M1734" s="623" t="inlineStr">
        <is>
          <t>Samsung 32" вертикальный</t>
        </is>
      </c>
      <c r="N1734" s="640" t="n"/>
      <c r="O1734" s="640">
        <f>IF(AND(N1734=1,L1734=1),K1734,"")</f>
        <v/>
      </c>
      <c r="P1734" s="642" t="inlineStr">
        <is>
          <t>Казань, ул. Лесозаводская (Лесозаводская улица, 8А)</t>
        </is>
      </c>
      <c r="Q1734" s="640" t="inlineStr">
        <is>
          <t>55.799722</t>
        </is>
      </c>
      <c r="R1734" s="640" t="inlineStr">
        <is>
          <t>49.038931</t>
        </is>
      </c>
      <c r="S1734" s="387" t="n"/>
      <c r="T1734" s="387" t="n"/>
      <c r="U1734" s="387" t="n"/>
      <c r="V1734" s="387" t="n"/>
      <c r="W1734" s="387" t="n"/>
      <c r="X1734" s="387" t="n"/>
      <c r="Y1734" s="387" t="n"/>
    </row>
    <row r="1735" hidden="1" ht="16.05" customHeight="1">
      <c r="A1735" s="791" t="n">
        <v>2250</v>
      </c>
      <c r="B1735" s="13" t="n"/>
      <c r="C1735" s="130" t="inlineStr">
        <is>
          <t>Татарстан</t>
        </is>
      </c>
      <c r="D1735" s="130" t="inlineStr">
        <is>
          <t>Казань</t>
        </is>
      </c>
      <c r="E1735" s="130" t="n"/>
      <c r="F1735" s="130" t="inlineStr">
        <is>
          <t>АЗС</t>
        </is>
      </c>
      <c r="G1735" s="130" t="inlineStr">
        <is>
          <t>ТАИФ</t>
        </is>
      </c>
      <c r="H1735" s="131" t="inlineStr">
        <is>
          <t>ТАИФ_141</t>
        </is>
      </c>
      <c r="I1735" s="637" t="inlineStr">
        <is>
          <t>ТАИФ_141</t>
        </is>
      </c>
      <c r="J1735" s="637" t="inlineStr">
        <is>
          <t>KAZ_TAIF_0141</t>
        </is>
      </c>
      <c r="K1735" s="640" t="n">
        <v>1</v>
      </c>
      <c r="L1735" s="640" t="n">
        <v>1</v>
      </c>
      <c r="M1735" s="623" t="inlineStr">
        <is>
          <t>Samsung 32" вертикальный</t>
        </is>
      </c>
      <c r="N1735" s="640" t="n"/>
      <c r="O1735" s="640">
        <f>IF(AND(N1735=1,L1735=1),K1735,"")</f>
        <v/>
      </c>
      <c r="P1735" s="642" t="inlineStr">
        <is>
          <t>Казань, ул. Лукина 48Б</t>
        </is>
      </c>
      <c r="Q1735" s="640" t="inlineStr">
        <is>
          <t>55.868241</t>
        </is>
      </c>
      <c r="R1735" s="640" t="inlineStr">
        <is>
          <t>49.095049</t>
        </is>
      </c>
      <c r="X1735" s="1" t="n"/>
      <c r="Y1735" s="1" t="n"/>
      <c r="Z1735" s="1" t="n"/>
    </row>
    <row r="1736" hidden="1" ht="16.05" customHeight="1">
      <c r="A1736" s="791" t="n">
        <v>2251</v>
      </c>
      <c r="B1736" s="13" t="n"/>
      <c r="C1736" s="130" t="inlineStr">
        <is>
          <t>Татарстан</t>
        </is>
      </c>
      <c r="D1736" s="130" t="inlineStr">
        <is>
          <t>Казань</t>
        </is>
      </c>
      <c r="E1736" s="130" t="n"/>
      <c r="F1736" s="130" t="inlineStr">
        <is>
          <t>АЗС</t>
        </is>
      </c>
      <c r="G1736" s="130" t="inlineStr">
        <is>
          <t>ТАИФ</t>
        </is>
      </c>
      <c r="H1736" s="131" t="inlineStr">
        <is>
          <t>ТАИФ_147</t>
        </is>
      </c>
      <c r="I1736" s="637" t="inlineStr">
        <is>
          <t>ТАИФ_147</t>
        </is>
      </c>
      <c r="J1736" s="637" t="inlineStr">
        <is>
          <t>KAZ_TAIF_0147</t>
        </is>
      </c>
      <c r="K1736" s="640" t="n">
        <v>1</v>
      </c>
      <c r="L1736" s="640" t="n">
        <v>1</v>
      </c>
      <c r="M1736" s="623" t="inlineStr">
        <is>
          <t>Samsung 32" вертикальный</t>
        </is>
      </c>
      <c r="N1736" s="640" t="n"/>
      <c r="O1736" s="640">
        <f>IF(AND(N1736=1,L1736=1),K1736,"")</f>
        <v/>
      </c>
      <c r="P1736" s="642" t="inlineStr">
        <is>
          <t>Казань, ул.Васильченко 9</t>
        </is>
      </c>
      <c r="Q1736" s="640" t="inlineStr">
        <is>
          <t>55.838593</t>
        </is>
      </c>
      <c r="R1736" s="640" t="inlineStr">
        <is>
          <t>49.056048</t>
        </is>
      </c>
      <c r="X1736" s="1" t="n"/>
      <c r="Y1736" s="1" t="n"/>
      <c r="Z1736" s="1" t="n"/>
    </row>
    <row r="1737" hidden="1" ht="16.05" customFormat="1" customHeight="1" s="126">
      <c r="A1737" s="125" t="n">
        <v>2257</v>
      </c>
      <c r="B1737" s="125" t="n"/>
      <c r="C1737" s="130" t="inlineStr">
        <is>
          <t>Татарстан</t>
        </is>
      </c>
      <c r="D1737" s="130" t="inlineStr">
        <is>
          <t>Казань</t>
        </is>
      </c>
      <c r="E1737" s="130" t="n"/>
      <c r="F1737" s="130" t="inlineStr">
        <is>
          <t>АЗС</t>
        </is>
      </c>
      <c r="G1737" s="130" t="inlineStr">
        <is>
          <t>ТАИФ</t>
        </is>
      </c>
      <c r="H1737" s="131" t="inlineStr">
        <is>
          <t>ТАИФ_167</t>
        </is>
      </c>
      <c r="I1737" s="637" t="inlineStr">
        <is>
          <t>ТАИФ_167</t>
        </is>
      </c>
      <c r="J1737" s="637" t="inlineStr">
        <is>
          <t>KAZ_TAIF_0167</t>
        </is>
      </c>
      <c r="K1737" s="640" t="n">
        <v>1</v>
      </c>
      <c r="L1737" s="640" t="n">
        <v>1</v>
      </c>
      <c r="M1737" s="623" t="inlineStr">
        <is>
          <t>Samsung 32" вертикальный</t>
        </is>
      </c>
      <c r="N1737" s="640" t="n"/>
      <c r="O1737" s="640">
        <f>IF(AND(N1737=1,L1737=1),K1737,"")</f>
        <v/>
      </c>
      <c r="P1737" s="642" t="inlineStr">
        <is>
          <t>Казань, ул. Тульская 57</t>
        </is>
      </c>
      <c r="Q1737" s="640" t="inlineStr">
        <is>
          <t>55.733119</t>
        </is>
      </c>
      <c r="R1737" s="494" t="inlineStr">
        <is>
          <t>49.136173</t>
        </is>
      </c>
      <c r="S1737" s="387" t="n"/>
      <c r="T1737" s="387" t="n"/>
      <c r="U1737" s="387" t="n"/>
      <c r="V1737" s="387" t="n"/>
      <c r="W1737" s="387" t="n"/>
      <c r="X1737" s="387" t="n"/>
      <c r="Y1737" s="387" t="n"/>
    </row>
    <row r="1738" hidden="1" ht="16.05" customHeight="1">
      <c r="A1738" s="791" t="n">
        <v>2258</v>
      </c>
      <c r="B1738" s="13" t="n"/>
      <c r="C1738" s="130" t="inlineStr">
        <is>
          <t>Татарстан</t>
        </is>
      </c>
      <c r="D1738" s="130" t="inlineStr">
        <is>
          <t>Казань</t>
        </is>
      </c>
      <c r="E1738" s="130" t="n"/>
      <c r="F1738" s="130" t="inlineStr">
        <is>
          <t>АЗС</t>
        </is>
      </c>
      <c r="G1738" s="130" t="inlineStr">
        <is>
          <t>ТАИФ</t>
        </is>
      </c>
      <c r="H1738" s="131" t="inlineStr">
        <is>
          <t>ТАИФ_169</t>
        </is>
      </c>
      <c r="I1738" s="637" t="inlineStr">
        <is>
          <t>ТАИФ_169</t>
        </is>
      </c>
      <c r="J1738" s="637" t="inlineStr">
        <is>
          <t>KAZ_TAIF_0169</t>
        </is>
      </c>
      <c r="K1738" s="640" t="n">
        <v>1</v>
      </c>
      <c r="L1738" s="640" t="n">
        <v>1</v>
      </c>
      <c r="M1738" s="623" t="inlineStr">
        <is>
          <t>Samsung 32" вертикальный</t>
        </is>
      </c>
      <c r="N1738" s="640" t="n"/>
      <c r="O1738" s="640">
        <f>IF(AND(N1738=1,L1738=1),K1738,"")</f>
        <v/>
      </c>
      <c r="P1738" s="642" t="inlineStr">
        <is>
          <t>Казань, ул. Краснококшайская (улица Табейкина, 17А)</t>
        </is>
      </c>
      <c r="Q1738" s="640" t="inlineStr">
        <is>
          <t>55.807287</t>
        </is>
      </c>
      <c r="R1738" s="494" t="inlineStr">
        <is>
          <t>49.074411</t>
        </is>
      </c>
      <c r="Z1738" s="1" t="n"/>
    </row>
    <row r="1739" hidden="1" ht="16.05" customHeight="1">
      <c r="A1739" s="791" t="n">
        <v>2254</v>
      </c>
      <c r="B1739" s="13">
        <f>IF(OR(M1739="Sam 32",M1739="Sam 40"),"s",IF(M1739="AMS","a","v"))</f>
        <v/>
      </c>
      <c r="C1739" s="130" t="inlineStr">
        <is>
          <t>Татарстан</t>
        </is>
      </c>
      <c r="D1739" s="130" t="inlineStr">
        <is>
          <t>Казань</t>
        </is>
      </c>
      <c r="E1739" s="130" t="n"/>
      <c r="F1739" s="130" t="n"/>
      <c r="G1739" s="130" t="inlineStr">
        <is>
          <t>ТАИФ</t>
        </is>
      </c>
      <c r="H1739" s="131" t="inlineStr">
        <is>
          <t>ТАИФ_159</t>
        </is>
      </c>
      <c r="I1739" s="637" t="inlineStr">
        <is>
          <t>ТАИФ_159</t>
        </is>
      </c>
      <c r="J1739" s="402" t="n"/>
      <c r="K1739" s="640" t="n">
        <v>1</v>
      </c>
      <c r="L1739" s="640" t="n">
        <v>0</v>
      </c>
      <c r="M1739" s="640" t="inlineStr">
        <is>
          <t>Sam 32</t>
        </is>
      </c>
      <c r="N1739" s="640" t="n"/>
      <c r="O1739" s="640">
        <f>IF(AND(N1739=1,L1739=1),K1739,"")</f>
        <v/>
      </c>
      <c r="P1739" s="642" t="inlineStr">
        <is>
          <t>Казань, просп. Победы 69</t>
        </is>
      </c>
      <c r="Q1739" s="640" t="n"/>
      <c r="R1739" s="422" t="n"/>
      <c r="X1739" s="1" t="n"/>
      <c r="Y1739" s="1" t="n"/>
      <c r="Z1739" s="1" t="n"/>
    </row>
    <row r="1740" hidden="1" ht="16.05" customHeight="1">
      <c r="A1740" s="125" t="n">
        <v>2266</v>
      </c>
      <c r="B1740" s="125" t="n"/>
      <c r="C1740" s="130" t="inlineStr">
        <is>
          <t>Улан-Удэ</t>
        </is>
      </c>
      <c r="D1740" s="130" t="inlineStr">
        <is>
          <t>Улан-Удэ</t>
        </is>
      </c>
      <c r="E1740" s="130" t="n"/>
      <c r="F1740" s="130" t="inlineStr">
        <is>
          <t>АЗС</t>
        </is>
      </c>
      <c r="G1740" s="130" t="inlineStr">
        <is>
          <t>Роснефть</t>
        </is>
      </c>
      <c r="H1740" s="131" t="inlineStr">
        <is>
          <t>АЗК № 1</t>
        </is>
      </c>
      <c r="I1740" s="637" t="inlineStr">
        <is>
          <t>RN_1</t>
        </is>
      </c>
      <c r="J1740" s="637" t="inlineStr">
        <is>
          <t>UDE_RN_0001</t>
        </is>
      </c>
      <c r="K1740" s="640" t="n">
        <v>1</v>
      </c>
      <c r="L1740" s="640" t="n">
        <v>1</v>
      </c>
      <c r="M1740" s="623" t="inlineStr">
        <is>
          <t>Samsung 32" вертикальный</t>
        </is>
      </c>
      <c r="N1740" s="640" t="n"/>
      <c r="O1740" s="640">
        <f>IF(AND(N1740=1,L1740=1),K1740,"")</f>
        <v/>
      </c>
      <c r="P1740" s="642" t="inlineStr">
        <is>
          <t xml:space="preserve">г. Улан-Удэ, пр. Автомобилистов, 14 </t>
        </is>
      </c>
      <c r="Q1740" s="640" t="inlineStr">
        <is>
          <t>51.839222</t>
        </is>
      </c>
      <c r="R1740" s="494" t="inlineStr">
        <is>
          <t>107.653116</t>
        </is>
      </c>
      <c r="T1740" s="436" t="n"/>
      <c r="Z1740" s="1" t="n"/>
    </row>
    <row r="1741" hidden="1" ht="16.05" customHeight="1">
      <c r="A1741" s="791" t="n">
        <v>2256</v>
      </c>
      <c r="B1741" s="13">
        <f>IF(OR(M1741="Sam 32",M1741="Sam 40"),"s",IF(M1741="AMS","a","v"))</f>
        <v/>
      </c>
      <c r="C1741" s="130" t="inlineStr">
        <is>
          <t>Татарстан</t>
        </is>
      </c>
      <c r="D1741" s="130" t="inlineStr">
        <is>
          <t>Казань</t>
        </is>
      </c>
      <c r="E1741" s="130" t="n"/>
      <c r="F1741" s="130" t="n"/>
      <c r="G1741" s="130" t="inlineStr">
        <is>
          <t>ТАИФ</t>
        </is>
      </c>
      <c r="H1741" s="131" t="inlineStr">
        <is>
          <t>ТАИФ_166</t>
        </is>
      </c>
      <c r="I1741" s="637" t="inlineStr">
        <is>
          <t>ТАИФ_166</t>
        </is>
      </c>
      <c r="J1741" s="402" t="n"/>
      <c r="K1741" s="640" t="n">
        <v>1</v>
      </c>
      <c r="L1741" s="640" t="n">
        <v>0</v>
      </c>
      <c r="M1741" s="640" t="inlineStr">
        <is>
          <t>Sam 32</t>
        </is>
      </c>
      <c r="N1741" s="640" t="n"/>
      <c r="O1741" s="640">
        <f>IF(AND(N1741=1,L1741=1),K1741,"")</f>
        <v/>
      </c>
      <c r="P1741" s="642" t="inlineStr">
        <is>
          <t>Казань, 10 км а/д Казань-Оренбург</t>
        </is>
      </c>
      <c r="Q1741" s="640" t="n"/>
      <c r="R1741" s="422" t="n"/>
      <c r="X1741" s="1" t="n"/>
      <c r="Y1741" s="1" t="n"/>
      <c r="Z1741" s="1" t="n"/>
    </row>
    <row r="1742" hidden="1" ht="16.05" customFormat="1" customHeight="1" s="126">
      <c r="A1742" s="125" t="n">
        <v>2267</v>
      </c>
      <c r="B1742" s="125" t="n"/>
      <c r="C1742" s="130" t="inlineStr">
        <is>
          <t>Улан-Удэ</t>
        </is>
      </c>
      <c r="D1742" s="130" t="inlineStr">
        <is>
          <t>Улан-Удэ</t>
        </is>
      </c>
      <c r="E1742" s="130" t="n"/>
      <c r="F1742" s="130" t="inlineStr">
        <is>
          <t>АЗС</t>
        </is>
      </c>
      <c r="G1742" s="130" t="inlineStr">
        <is>
          <t>Роснефть</t>
        </is>
      </c>
      <c r="H1742" s="131" t="inlineStr">
        <is>
          <t>АЗК №2</t>
        </is>
      </c>
      <c r="I1742" s="637" t="inlineStr">
        <is>
          <t>RN_2</t>
        </is>
      </c>
      <c r="J1742" s="637" t="inlineStr">
        <is>
          <t>UDE_RN_0002</t>
        </is>
      </c>
      <c r="K1742" s="640" t="n">
        <v>1</v>
      </c>
      <c r="L1742" s="640" t="n">
        <v>1</v>
      </c>
      <c r="M1742" s="623" t="inlineStr">
        <is>
          <t>Samsung 32" вертикальный</t>
        </is>
      </c>
      <c r="N1742" s="640" t="n"/>
      <c r="O1742" s="640">
        <f>IF(AND(N1742=1,L1742=1),K1742,"")</f>
        <v/>
      </c>
      <c r="P1742" s="642" t="inlineStr">
        <is>
          <t>г. Улан-Удэ, ул. Гоголя, 108</t>
        </is>
      </c>
      <c r="Q1742" s="640" t="inlineStr">
        <is>
          <t>51.824974</t>
        </is>
      </c>
      <c r="R1742" s="494" t="inlineStr">
        <is>
          <t>107.609772</t>
        </is>
      </c>
      <c r="S1742" s="387" t="n"/>
      <c r="T1742" s="387" t="n"/>
      <c r="U1742" s="387" t="n"/>
      <c r="V1742" s="387" t="n"/>
      <c r="W1742" s="387" t="n"/>
      <c r="X1742" s="387" t="n"/>
      <c r="Y1742" s="387" t="n"/>
    </row>
    <row r="1743" hidden="1" ht="16.05" customHeight="1">
      <c r="A1743" s="125" t="n">
        <v>2268</v>
      </c>
      <c r="B1743" s="125" t="n"/>
      <c r="C1743" s="130" t="inlineStr">
        <is>
          <t>Улан-Удэ</t>
        </is>
      </c>
      <c r="D1743" s="130" t="inlineStr">
        <is>
          <t>Улан-Удэ</t>
        </is>
      </c>
      <c r="E1743" s="130" t="n"/>
      <c r="F1743" s="130" t="inlineStr">
        <is>
          <t>АЗС</t>
        </is>
      </c>
      <c r="G1743" s="130" t="inlineStr">
        <is>
          <t>Роснефть</t>
        </is>
      </c>
      <c r="H1743" s="131" t="inlineStr">
        <is>
          <t>АЗК №4</t>
        </is>
      </c>
      <c r="I1743" s="637" t="inlineStr">
        <is>
          <t>RN_4</t>
        </is>
      </c>
      <c r="J1743" s="637" t="inlineStr">
        <is>
          <t>UDE_RN_0004</t>
        </is>
      </c>
      <c r="K1743" s="640" t="n">
        <v>1</v>
      </c>
      <c r="L1743" s="640" t="n">
        <v>0</v>
      </c>
      <c r="M1743" s="623" t="inlineStr">
        <is>
          <t>Samsung 32" вертикальный</t>
        </is>
      </c>
      <c r="N1743" s="640" t="n"/>
      <c r="O1743" s="640">
        <f>IF(AND(N1743=1,L1743=1),K1743,"")</f>
        <v/>
      </c>
      <c r="P1743" s="642" t="inlineStr">
        <is>
          <t>г. Улан-Удэ, ул. Бабушкина, 156</t>
        </is>
      </c>
      <c r="Q1743" s="640" t="inlineStr">
        <is>
          <t>51.798542</t>
        </is>
      </c>
      <c r="R1743" s="494" t="inlineStr">
        <is>
          <t>107.603915</t>
        </is>
      </c>
      <c r="Z1743" s="1" t="n"/>
    </row>
    <row r="1744" hidden="1" ht="16.05" customHeight="1">
      <c r="A1744" s="791" t="n">
        <v>2259</v>
      </c>
      <c r="B1744" s="13">
        <f>IF(OR(M1744="Sam 32",M1744="Sam 40"),"s",IF(M1744="AMS","a","v"))</f>
        <v/>
      </c>
      <c r="C1744" s="130" t="inlineStr">
        <is>
          <t>Набережные Челны</t>
        </is>
      </c>
      <c r="D1744" s="130" t="inlineStr">
        <is>
          <t>Елабужский район</t>
        </is>
      </c>
      <c r="E1744" s="130" t="n"/>
      <c r="F1744" s="130" t="n"/>
      <c r="G1744" s="130" t="inlineStr">
        <is>
          <t>ТАИФ</t>
        </is>
      </c>
      <c r="H1744" s="131" t="inlineStr">
        <is>
          <t>ТАИФ_201</t>
        </is>
      </c>
      <c r="I1744" s="637" t="inlineStr">
        <is>
          <t>ТАИФ_201</t>
        </is>
      </c>
      <c r="J1744" s="402" t="n"/>
      <c r="K1744" s="640" t="n">
        <v>1</v>
      </c>
      <c r="L1744" s="640" t="n">
        <v>0</v>
      </c>
      <c r="M1744" s="640" t="inlineStr">
        <is>
          <t>Sam 32</t>
        </is>
      </c>
      <c r="N1744" s="640" t="n"/>
      <c r="O1744" s="640">
        <f>IF(AND(N1744=1,L1744=1),K1744,"")</f>
        <v/>
      </c>
      <c r="P1744" s="642" t="inlineStr">
        <is>
          <t>Елабужский район, 203 км а/д Казань-Уфа</t>
        </is>
      </c>
      <c r="Q1744" s="640" t="n"/>
      <c r="R1744" s="422" t="n"/>
      <c r="X1744" s="1" t="n"/>
      <c r="Y1744" s="1" t="n"/>
      <c r="Z1744" s="1" t="n"/>
    </row>
    <row r="1745" hidden="1" ht="16.05" customHeight="1">
      <c r="A1745" s="791" t="n">
        <v>2260</v>
      </c>
      <c r="B1745" s="13">
        <f>IF(OR(M1745="Sam 32",M1745="Sam 40"),"s",IF(M1745="AMS","a","v"))</f>
        <v/>
      </c>
      <c r="C1745" s="130" t="inlineStr">
        <is>
          <t>Набережные Челны</t>
        </is>
      </c>
      <c r="D1745" s="130" t="inlineStr">
        <is>
          <t>Елабуга</t>
        </is>
      </c>
      <c r="E1745" s="130" t="n"/>
      <c r="F1745" s="130" t="n"/>
      <c r="G1745" s="130" t="inlineStr">
        <is>
          <t>ТАИФ</t>
        </is>
      </c>
      <c r="H1745" s="131" t="inlineStr">
        <is>
          <t>ТАИФ_203</t>
        </is>
      </c>
      <c r="I1745" s="637" t="inlineStr">
        <is>
          <t>ТАИФ_203</t>
        </is>
      </c>
      <c r="J1745" s="402" t="n"/>
      <c r="K1745" s="640" t="n">
        <v>1</v>
      </c>
      <c r="L1745" s="640" t="n">
        <v>0</v>
      </c>
      <c r="M1745" s="640" t="inlineStr">
        <is>
          <t>Sam 32</t>
        </is>
      </c>
      <c r="N1745" s="640" t="n"/>
      <c r="O1745" s="640">
        <f>IF(AND(N1745=1,L1745=1),K1745,"")</f>
        <v/>
      </c>
      <c r="P1745" s="642" t="inlineStr">
        <is>
          <t>Елабуга, ул. Окружное шоссе 9</t>
        </is>
      </c>
      <c r="Q1745" s="640" t="n"/>
      <c r="R1745" s="422" t="n"/>
      <c r="X1745" s="1" t="n"/>
      <c r="Y1745" s="1" t="n"/>
      <c r="Z1745" s="1" t="n"/>
    </row>
    <row r="1746" hidden="1" ht="16.05" customHeight="1">
      <c r="A1746" s="791" t="n">
        <v>2261</v>
      </c>
      <c r="B1746" s="13">
        <f>IF(OR(M1746="Sam 32",M1746="Sam 40"),"s",IF(M1746="AMS","a","v"))</f>
        <v/>
      </c>
      <c r="C1746" s="130" t="inlineStr">
        <is>
          <t>Набережные Челны</t>
        </is>
      </c>
      <c r="D1746" s="130" t="inlineStr">
        <is>
          <t>Набережные Челны</t>
        </is>
      </c>
      <c r="E1746" s="130" t="n"/>
      <c r="F1746" s="130" t="n"/>
      <c r="G1746" s="130" t="inlineStr">
        <is>
          <t>ТАИФ</t>
        </is>
      </c>
      <c r="H1746" s="131" t="inlineStr">
        <is>
          <t>ТАИФ_205</t>
        </is>
      </c>
      <c r="I1746" s="637" t="inlineStr">
        <is>
          <t>ТАИФ_205</t>
        </is>
      </c>
      <c r="J1746" s="402" t="n"/>
      <c r="K1746" s="640" t="n">
        <v>1</v>
      </c>
      <c r="L1746" s="640" t="n">
        <v>0</v>
      </c>
      <c r="M1746" s="640" t="inlineStr">
        <is>
          <t>Sam 32</t>
        </is>
      </c>
      <c r="N1746" s="640" t="n"/>
      <c r="O1746" s="640">
        <f>IF(AND(N1746=1,L1746=1),K1746,"")</f>
        <v/>
      </c>
      <c r="P1746" s="642" t="inlineStr">
        <is>
          <t>Набережные Челны, Просп. Чулман 75</t>
        </is>
      </c>
      <c r="Q1746" s="640" t="n"/>
      <c r="R1746" s="422" t="n"/>
      <c r="X1746" s="1" t="n"/>
      <c r="Y1746" s="1" t="n"/>
      <c r="Z1746" s="1" t="n"/>
    </row>
    <row r="1747" hidden="1" ht="16.05" customHeight="1">
      <c r="A1747" s="791" t="n">
        <v>2262</v>
      </c>
      <c r="B1747" s="13">
        <f>IF(OR(M1747="Sam 32",M1747="Sam 40"),"s",IF(M1747="AMS","a","v"))</f>
        <v/>
      </c>
      <c r="C1747" s="130" t="inlineStr">
        <is>
          <t>Набережные Челны</t>
        </is>
      </c>
      <c r="D1747" s="130" t="inlineStr">
        <is>
          <t>Набережные Челны</t>
        </is>
      </c>
      <c r="E1747" s="130" t="n"/>
      <c r="F1747" s="130" t="n"/>
      <c r="G1747" s="130" t="inlineStr">
        <is>
          <t>ТАИФ</t>
        </is>
      </c>
      <c r="H1747" s="131" t="inlineStr">
        <is>
          <t>ТАИФ_226</t>
        </is>
      </c>
      <c r="I1747" s="637" t="inlineStr">
        <is>
          <t>ТАИФ_226</t>
        </is>
      </c>
      <c r="J1747" s="402" t="n"/>
      <c r="K1747" s="640" t="n">
        <v>1</v>
      </c>
      <c r="L1747" s="640" t="n">
        <v>0</v>
      </c>
      <c r="M1747" s="640" t="inlineStr">
        <is>
          <t>Sam 32</t>
        </is>
      </c>
      <c r="N1747" s="640" t="n"/>
      <c r="O1747" s="640">
        <f>IF(AND(N1747=1,L1747=1),K1747,"")</f>
        <v/>
      </c>
      <c r="P1747" s="642" t="inlineStr">
        <is>
          <t>Набережные Челны, Наб.Челнинский проспект</t>
        </is>
      </c>
      <c r="Q1747" s="640" t="n"/>
      <c r="R1747" s="422" t="n"/>
      <c r="X1747" s="1" t="n"/>
      <c r="Y1747" s="1" t="n"/>
      <c r="Z1747" s="1" t="n"/>
    </row>
    <row r="1748" hidden="1" ht="16.05" customHeight="1">
      <c r="A1748" s="791" t="n">
        <v>2263</v>
      </c>
      <c r="B1748" s="13">
        <f>IF(OR(M1748="Sam 32",M1748="Sam 40"),"s",IF(M1748="AMS","a","v"))</f>
        <v/>
      </c>
      <c r="C1748" s="130" t="inlineStr">
        <is>
          <t>Набережные Челны</t>
        </is>
      </c>
      <c r="D1748" s="130" t="inlineStr">
        <is>
          <t>Набережные Челны</t>
        </is>
      </c>
      <c r="E1748" s="130" t="n"/>
      <c r="F1748" s="130" t="n"/>
      <c r="G1748" s="130" t="inlineStr">
        <is>
          <t>ТАИФ</t>
        </is>
      </c>
      <c r="H1748" s="131" t="inlineStr">
        <is>
          <t>ТАИФ_233</t>
        </is>
      </c>
      <c r="I1748" s="637" t="inlineStr">
        <is>
          <t>ТАИФ_233</t>
        </is>
      </c>
      <c r="J1748" s="402" t="n"/>
      <c r="K1748" s="640" t="n">
        <v>1</v>
      </c>
      <c r="L1748" s="640" t="n">
        <v>0</v>
      </c>
      <c r="M1748" s="640" t="inlineStr">
        <is>
          <t>Sam 32</t>
        </is>
      </c>
      <c r="N1748" s="640" t="n"/>
      <c r="O1748" s="640">
        <f>IF(AND(N1748=1,L1748=1),K1748,"")</f>
        <v/>
      </c>
      <c r="P1748" s="642" t="inlineStr">
        <is>
          <t>Набережные Челны, 48 комплекс, пр.Чулман</t>
        </is>
      </c>
      <c r="Q1748" s="640" t="n"/>
      <c r="R1748" s="422" t="n"/>
      <c r="X1748" s="1" t="n"/>
      <c r="Y1748" s="1" t="n"/>
      <c r="Z1748" s="1" t="n"/>
    </row>
    <row r="1749" hidden="1" ht="16.05" customHeight="1">
      <c r="A1749" s="87" t="n">
        <v>2264</v>
      </c>
      <c r="B1749" s="87">
        <f>IF(OR(M1749="Sam 32",M1749="Sam 40"),"s",IF(M1749="AMS","a","v"))</f>
        <v/>
      </c>
      <c r="C1749" s="130" t="inlineStr">
        <is>
          <t>Москва</t>
        </is>
      </c>
      <c r="D1749" s="130" t="inlineStr">
        <is>
          <t>Москва</t>
        </is>
      </c>
      <c r="E1749" s="130" t="inlineStr">
        <is>
          <t>ЗАО</t>
        </is>
      </c>
      <c r="F1749" s="130" t="n"/>
      <c r="G1749" s="130" t="inlineStr">
        <is>
          <t>Азбука Вкуса</t>
        </is>
      </c>
      <c r="H1749" s="131" t="n"/>
      <c r="I1749" s="637" t="n">
        <v>151</v>
      </c>
      <c r="J1749" s="402" t="inlineStr">
        <is>
          <t>MSK_A_151</t>
        </is>
      </c>
      <c r="K1749" s="640" t="n">
        <v>2</v>
      </c>
      <c r="L1749" s="640" t="n">
        <v>0</v>
      </c>
      <c r="M1749" s="640" t="inlineStr">
        <is>
          <t>Sam 43</t>
        </is>
      </c>
      <c r="N1749" s="640" t="n"/>
      <c r="O1749" s="640">
        <f>IF(AND(N1749=1,L1749=1),K1749,"")</f>
        <v/>
      </c>
      <c r="P1749" s="642" t="inlineStr">
        <is>
          <t>Москва, Киевское шоссе, 22-й километр, дв4с1кБ БП "Румянцево"</t>
        </is>
      </c>
      <c r="Q1749" s="640" t="n"/>
      <c r="R1749" s="422" t="n"/>
      <c r="S1749" s="387" t="n">
        <v>15</v>
      </c>
      <c r="T1749" s="436">
        <f>S1749*O1749</f>
        <v/>
      </c>
      <c r="U1749" s="436" t="n">
        <v>1</v>
      </c>
      <c r="V1749" s="438">
        <f>IF(AND(N1749=1,U1749=1),C1749,"")</f>
        <v/>
      </c>
      <c r="Z1749" s="1" t="n"/>
    </row>
    <row r="1750" hidden="1" ht="16.05" customFormat="1" customHeight="1" s="126">
      <c r="A1750" s="125" t="n">
        <v>2270</v>
      </c>
      <c r="B1750" s="125" t="n"/>
      <c r="C1750" s="130" t="inlineStr">
        <is>
          <t>Улан-Удэ</t>
        </is>
      </c>
      <c r="D1750" s="130" t="inlineStr">
        <is>
          <t>Улан-Удэ</t>
        </is>
      </c>
      <c r="E1750" s="130" t="n"/>
      <c r="F1750" s="130" t="inlineStr">
        <is>
          <t>АЗС</t>
        </is>
      </c>
      <c r="G1750" s="130" t="inlineStr">
        <is>
          <t>Роснефть</t>
        </is>
      </c>
      <c r="H1750" s="131" t="inlineStr">
        <is>
          <t>АЗК № 7</t>
        </is>
      </c>
      <c r="I1750" s="637" t="inlineStr">
        <is>
          <t>RN_7</t>
        </is>
      </c>
      <c r="J1750" s="637" t="inlineStr">
        <is>
          <t>UDE_RN_0007</t>
        </is>
      </c>
      <c r="K1750" s="640" t="n">
        <v>1</v>
      </c>
      <c r="L1750" s="640" t="n">
        <v>1</v>
      </c>
      <c r="M1750" s="623" t="inlineStr">
        <is>
          <t>Samsung 32" вертикальный</t>
        </is>
      </c>
      <c r="N1750" s="640" t="n"/>
      <c r="O1750" s="640">
        <f>IF(AND(N1750=1,L1750=1),K1750,"")</f>
        <v/>
      </c>
      <c r="P1750" s="642" t="inlineStr">
        <is>
          <t>г. Улан-Удэ, ул. Дорожная, 42б</t>
        </is>
      </c>
      <c r="Q1750" s="640" t="inlineStr">
        <is>
          <t>51.835666</t>
        </is>
      </c>
      <c r="R1750" s="494" t="inlineStr">
        <is>
          <t>107.512673</t>
        </is>
      </c>
      <c r="S1750" s="387" t="n"/>
      <c r="T1750" s="387" t="n"/>
      <c r="U1750" s="436" t="n"/>
      <c r="V1750" s="438" t="n"/>
      <c r="W1750" s="387" t="n"/>
      <c r="X1750" s="387" t="n"/>
      <c r="Y1750" s="387" t="n"/>
    </row>
    <row r="1751" hidden="1" ht="16.05" customFormat="1" customHeight="1" s="126">
      <c r="A1751" s="125" t="n">
        <v>2273</v>
      </c>
      <c r="B1751" s="125" t="n"/>
      <c r="C1751" s="130" t="inlineStr">
        <is>
          <t>Улан-Удэ</t>
        </is>
      </c>
      <c r="D1751" s="130" t="inlineStr">
        <is>
          <t>Улан-Удэ</t>
        </is>
      </c>
      <c r="E1751" s="130" t="n"/>
      <c r="F1751" s="130" t="inlineStr">
        <is>
          <t>АЗС</t>
        </is>
      </c>
      <c r="G1751" s="130" t="inlineStr">
        <is>
          <t>Роснефть</t>
        </is>
      </c>
      <c r="H1751" s="131" t="inlineStr">
        <is>
          <t>АЗК № 67</t>
        </is>
      </c>
      <c r="I1751" s="637" t="inlineStr">
        <is>
          <t>RN_67</t>
        </is>
      </c>
      <c r="J1751" s="637" t="inlineStr">
        <is>
          <t>UDE_RN_0067</t>
        </is>
      </c>
      <c r="K1751" s="640" t="n">
        <v>1</v>
      </c>
      <c r="L1751" s="640" t="n">
        <v>0</v>
      </c>
      <c r="M1751" s="623" t="inlineStr">
        <is>
          <t>Samsung 32" вертикальный</t>
        </is>
      </c>
      <c r="N1751" s="640" t="n"/>
      <c r="O1751" s="640">
        <f>IF(AND(N1751=1,L1751=1),K1751,"")</f>
        <v/>
      </c>
      <c r="P1751" s="642" t="inlineStr">
        <is>
          <t>г. Улан-Удэ, ул. Мелиораторов, 27</t>
        </is>
      </c>
      <c r="Q1751" s="640" t="inlineStr">
        <is>
          <t>51.813561</t>
        </is>
      </c>
      <c r="R1751" s="494" t="inlineStr">
        <is>
          <t>107.50183</t>
        </is>
      </c>
      <c r="S1751" s="387" t="n"/>
      <c r="T1751" s="387" t="n"/>
      <c r="U1751" s="387" t="n"/>
      <c r="V1751" s="387" t="n"/>
      <c r="W1751" s="387" t="n"/>
      <c r="X1751" s="387" t="n"/>
      <c r="Y1751" s="387" t="n"/>
    </row>
    <row r="1752" hidden="1" ht="16.05" customFormat="1" customHeight="1" s="126">
      <c r="A1752" s="125" t="n">
        <v>2269</v>
      </c>
      <c r="B1752" s="125" t="n"/>
      <c r="C1752" s="130" t="inlineStr">
        <is>
          <t>Улан-Удэ</t>
        </is>
      </c>
      <c r="D1752" s="130" t="inlineStr">
        <is>
          <t>Улан-Удэ</t>
        </is>
      </c>
      <c r="E1752" s="130" t="n"/>
      <c r="F1752" s="130" t="inlineStr">
        <is>
          <t>АЗС</t>
        </is>
      </c>
      <c r="G1752" s="130" t="inlineStr">
        <is>
          <t>Роснефть</t>
        </is>
      </c>
      <c r="H1752" s="131" t="inlineStr">
        <is>
          <t>АЗК № 6</t>
        </is>
      </c>
      <c r="I1752" s="637" t="inlineStr">
        <is>
          <t>RN_6</t>
        </is>
      </c>
      <c r="J1752" s="637" t="inlineStr">
        <is>
          <t>UDE_RN_0006</t>
        </is>
      </c>
      <c r="K1752" s="640" t="n">
        <v>1</v>
      </c>
      <c r="L1752" s="640" t="n">
        <v>0</v>
      </c>
      <c r="M1752" s="640" t="inlineStr">
        <is>
          <t>Samsung 32" вертикальный</t>
        </is>
      </c>
      <c r="N1752" s="640" t="n"/>
      <c r="O1752" s="640">
        <f>IF(AND(N1752=1,L1752=1),K1752,"")</f>
        <v/>
      </c>
      <c r="P1752" s="642" t="inlineStr">
        <is>
          <t>г. Улан-Удэ, ул. Магистральная, 11</t>
        </is>
      </c>
      <c r="Q1752" s="640" t="inlineStr">
        <is>
          <t>51.874572</t>
        </is>
      </c>
      <c r="R1752" s="422" t="inlineStr">
        <is>
          <t>107.732221</t>
        </is>
      </c>
      <c r="S1752" s="387" t="n"/>
      <c r="T1752" s="387" t="n"/>
      <c r="U1752" s="387" t="n"/>
      <c r="V1752" s="387" t="n"/>
      <c r="W1752" s="387" t="n"/>
      <c r="X1752" s="387" t="n"/>
      <c r="Y1752" s="387" t="n"/>
    </row>
    <row r="1753" hidden="1" ht="16.05" customFormat="1" customHeight="1" s="126">
      <c r="A1753" s="125" t="n">
        <v>2276</v>
      </c>
      <c r="B1753" s="125" t="n"/>
      <c r="C1753" s="130" t="inlineStr">
        <is>
          <t>Санкт-Петербург</t>
        </is>
      </c>
      <c r="D1753" s="130" t="inlineStr">
        <is>
          <t>Ленинградская область</t>
        </is>
      </c>
      <c r="E1753" s="130" t="n"/>
      <c r="F1753" s="130" t="inlineStr">
        <is>
          <t>АЗС</t>
        </is>
      </c>
      <c r="G1753" s="130" t="inlineStr">
        <is>
          <t>Роснефть</t>
        </is>
      </c>
      <c r="H1753" s="131" t="n">
        <v>22</v>
      </c>
      <c r="I1753" s="637" t="inlineStr">
        <is>
          <t>022 Владимировская</t>
        </is>
      </c>
      <c r="J1753" s="637" t="inlineStr">
        <is>
          <t>SPB_RN_0022</t>
        </is>
      </c>
      <c r="K1753" s="640" t="n">
        <v>1</v>
      </c>
      <c r="L1753" s="640" t="n">
        <v>1</v>
      </c>
      <c r="M1753" s="623" t="inlineStr">
        <is>
          <t>Samsung 32" вертикальный</t>
        </is>
      </c>
      <c r="N1753" s="640" t="n"/>
      <c r="O1753" s="640">
        <f>IF(AND(N1753=1,L1753=1),K1753,"")</f>
        <v/>
      </c>
      <c r="P1753" s="642" t="inlineStr">
        <is>
          <t>Ленинградская область, Приозерский район, Громовское сельское поселение, поселок Владимировка, бухта Владимировская</t>
        </is>
      </c>
      <c r="Q1753" s="640" t="inlineStr">
        <is>
          <t>60.8330265</t>
        </is>
      </c>
      <c r="R1753" s="494" t="inlineStr">
        <is>
          <t>30.4692277</t>
        </is>
      </c>
      <c r="S1753" s="387" t="n"/>
      <c r="T1753" s="387" t="n"/>
      <c r="U1753" s="387" t="n"/>
      <c r="V1753" s="387" t="n"/>
      <c r="W1753" s="387" t="n"/>
      <c r="X1753" s="387" t="n"/>
      <c r="Y1753" s="387" t="n"/>
    </row>
    <row r="1754" hidden="1" ht="16.05" customFormat="1" customHeight="1" s="126">
      <c r="A1754" s="125" t="n">
        <v>2271</v>
      </c>
      <c r="B1754" s="125" t="n"/>
      <c r="C1754" s="130" t="inlineStr">
        <is>
          <t>Улан-Удэ</t>
        </is>
      </c>
      <c r="D1754" s="130" t="inlineStr">
        <is>
          <t>Улан-Удэ</t>
        </is>
      </c>
      <c r="E1754" s="130" t="n"/>
      <c r="F1754" s="130" t="inlineStr">
        <is>
          <t>АЗС</t>
        </is>
      </c>
      <c r="G1754" s="130" t="inlineStr">
        <is>
          <t>Роснефть</t>
        </is>
      </c>
      <c r="H1754" s="131" t="inlineStr">
        <is>
          <t>АЗК № 10</t>
        </is>
      </c>
      <c r="I1754" s="637" t="inlineStr">
        <is>
          <t>RN_10</t>
        </is>
      </c>
      <c r="J1754" s="637" t="inlineStr">
        <is>
          <t>UDE_RN_0010</t>
        </is>
      </c>
      <c r="K1754" s="640" t="n">
        <v>1</v>
      </c>
      <c r="L1754" s="640" t="n">
        <v>0</v>
      </c>
      <c r="M1754" s="640" t="inlineStr">
        <is>
          <t>Samsung 32" вертикальный</t>
        </is>
      </c>
      <c r="N1754" s="640" t="n"/>
      <c r="O1754" s="640">
        <f>IF(AND(N1754=1,L1754=1),K1754,"")</f>
        <v/>
      </c>
      <c r="P1754" s="642" t="inlineStr">
        <is>
          <t>г. Улан-Удэ, ул. Кольцова, 1а</t>
        </is>
      </c>
      <c r="Q1754" s="640" t="inlineStr">
        <is>
          <t>51.819162</t>
        </is>
      </c>
      <c r="R1754" s="422" t="inlineStr">
        <is>
          <t>107.682679</t>
        </is>
      </c>
      <c r="S1754" s="387" t="n"/>
      <c r="T1754" s="387" t="n"/>
      <c r="U1754" s="387" t="n"/>
      <c r="V1754" s="387" t="n"/>
      <c r="W1754" s="387" t="n"/>
      <c r="X1754" s="387" t="n"/>
      <c r="Y1754" s="387" t="n"/>
    </row>
    <row r="1755" hidden="1" ht="16.05" customFormat="1" customHeight="1" s="126">
      <c r="A1755" s="125" t="n">
        <v>2272</v>
      </c>
      <c r="B1755" s="125" t="n"/>
      <c r="C1755" s="130" t="inlineStr">
        <is>
          <t>Улан-Удэ</t>
        </is>
      </c>
      <c r="D1755" s="130" t="inlineStr">
        <is>
          <t>Улан-Удэ</t>
        </is>
      </c>
      <c r="E1755" s="130" t="n"/>
      <c r="F1755" s="130" t="inlineStr">
        <is>
          <t>АЗС</t>
        </is>
      </c>
      <c r="G1755" s="130" t="inlineStr">
        <is>
          <t>Роснефть</t>
        </is>
      </c>
      <c r="H1755" s="131" t="inlineStr">
        <is>
          <t>АЗК № 12</t>
        </is>
      </c>
      <c r="I1755" s="637" t="inlineStr">
        <is>
          <t>RN_12</t>
        </is>
      </c>
      <c r="J1755" s="637" t="inlineStr">
        <is>
          <t>UDE_RN_0012</t>
        </is>
      </c>
      <c r="K1755" s="640" t="n">
        <v>1</v>
      </c>
      <c r="L1755" s="640" t="n">
        <v>0</v>
      </c>
      <c r="M1755" s="640" t="inlineStr">
        <is>
          <t>Samsung 32" вертикальный</t>
        </is>
      </c>
      <c r="N1755" s="640" t="n"/>
      <c r="O1755" s="640">
        <f>IF(AND(N1755=1,L1755=1),K1755,"")</f>
        <v/>
      </c>
      <c r="P1755" s="642" t="inlineStr">
        <is>
          <t>г. Улан-Удэ, пр. Автомобилистов, 21а</t>
        </is>
      </c>
      <c r="Q1755" s="640" t="inlineStr">
        <is>
          <t>51.840919</t>
        </is>
      </c>
      <c r="R1755" s="422" t="inlineStr">
        <is>
          <t>107.650591</t>
        </is>
      </c>
      <c r="S1755" s="387" t="n"/>
      <c r="T1755" s="387" t="n"/>
      <c r="U1755" s="387" t="n"/>
      <c r="V1755" s="387" t="n"/>
      <c r="W1755" s="387" t="n"/>
      <c r="X1755" s="387" t="n"/>
      <c r="Y1755" s="387" t="n"/>
    </row>
    <row r="1756" hidden="1" ht="16.05" customFormat="1" customHeight="1" s="126">
      <c r="A1756" s="125" t="n">
        <v>2277</v>
      </c>
      <c r="B1756" s="125" t="n"/>
      <c r="C1756" s="130" t="inlineStr">
        <is>
          <t>Уфа</t>
        </is>
      </c>
      <c r="D1756" s="130" t="inlineStr">
        <is>
          <t>Уфа</t>
        </is>
      </c>
      <c r="E1756" s="130" t="n"/>
      <c r="F1756" s="130" t="inlineStr">
        <is>
          <t>АЗС</t>
        </is>
      </c>
      <c r="G1756" s="130" t="inlineStr">
        <is>
          <t>Башнефть</t>
        </is>
      </c>
      <c r="H1756" s="131" t="inlineStr">
        <is>
          <t>№02-212</t>
        </is>
      </c>
      <c r="I1756" s="637" t="inlineStr">
        <is>
          <t>№02-212</t>
        </is>
      </c>
      <c r="J1756" s="637" t="inlineStr">
        <is>
          <t>UFA_BASH_02212</t>
        </is>
      </c>
      <c r="K1756" s="640" t="n">
        <v>1</v>
      </c>
      <c r="L1756" s="640" t="n">
        <v>1</v>
      </c>
      <c r="M1756" s="623" t="inlineStr">
        <is>
          <t>Samsung 32" вертикальный</t>
        </is>
      </c>
      <c r="N1756" s="640" t="n"/>
      <c r="O1756" s="640">
        <f>IF(AND(N1756=1,L1756=1),K1756,"")</f>
        <v/>
      </c>
      <c r="P1756" s="642" t="inlineStr">
        <is>
          <t>г. Уфа Октябрьский р-н, микрорайон Сипайлово, ул. Жукова, 1.</t>
        </is>
      </c>
      <c r="Q1756" s="640" t="inlineStr">
        <is>
          <t>54.764999</t>
        </is>
      </c>
      <c r="R1756" s="494" t="inlineStr">
        <is>
          <t>56.04678</t>
        </is>
      </c>
      <c r="S1756" s="387" t="n"/>
      <c r="T1756" s="387" t="n"/>
      <c r="U1756" s="387" t="n"/>
      <c r="V1756" s="387" t="n"/>
      <c r="W1756" s="387" t="n"/>
      <c r="X1756" s="387" t="n"/>
      <c r="Y1756" s="387" t="n"/>
    </row>
    <row r="1757" hidden="1" ht="16.05" customFormat="1" customHeight="1" s="126">
      <c r="A1757" s="125" t="n">
        <v>2278</v>
      </c>
      <c r="B1757" s="125" t="n"/>
      <c r="C1757" s="130" t="inlineStr">
        <is>
          <t>Уфа</t>
        </is>
      </c>
      <c r="D1757" s="130" t="inlineStr">
        <is>
          <t>Уфа</t>
        </is>
      </c>
      <c r="E1757" s="130" t="n"/>
      <c r="F1757" s="130" t="inlineStr">
        <is>
          <t>АЗС</t>
        </is>
      </c>
      <c r="G1757" s="130" t="inlineStr">
        <is>
          <t>Башнефть</t>
        </is>
      </c>
      <c r="H1757" s="131" t="inlineStr">
        <is>
          <t>№02-290</t>
        </is>
      </c>
      <c r="I1757" s="637" t="inlineStr">
        <is>
          <t>№02-290</t>
        </is>
      </c>
      <c r="J1757" s="637" t="inlineStr">
        <is>
          <t>UFA_BASH_02290</t>
        </is>
      </c>
      <c r="K1757" s="640" t="n">
        <v>1</v>
      </c>
      <c r="L1757" s="640" t="n">
        <v>1</v>
      </c>
      <c r="M1757" s="623" t="inlineStr">
        <is>
          <t>Samsung 32" вертикальный</t>
        </is>
      </c>
      <c r="N1757" s="640" t="n"/>
      <c r="O1757" s="640">
        <f>IF(AND(N1757=1,L1757=1),K1757,"")</f>
        <v/>
      </c>
      <c r="P1757" s="642" t="inlineStr">
        <is>
          <t>г. Уфа, Кировский р-н, ул.Воровского-Амурская (г. Уфа, Кировский район, пр-кт Салавата Юлаева, д. 39)</t>
        </is>
      </c>
      <c r="Q1757" s="640" t="inlineStr">
        <is>
          <t>54.720773</t>
        </is>
      </c>
      <c r="R1757" s="494" t="inlineStr">
        <is>
          <t>55.973595</t>
        </is>
      </c>
      <c r="S1757" s="387" t="n"/>
      <c r="T1757" s="387" t="n"/>
      <c r="U1757" s="387" t="n"/>
      <c r="V1757" s="387" t="n"/>
      <c r="W1757" s="387" t="n"/>
      <c r="X1757" s="387" t="n"/>
      <c r="Y1757" s="387" t="n"/>
    </row>
    <row r="1758" hidden="1" ht="16.05" customFormat="1" customHeight="1" s="126">
      <c r="A1758" s="125" t="n">
        <v>2274</v>
      </c>
      <c r="B1758" s="125" t="inlineStr">
        <is>
          <t>WF</t>
        </is>
      </c>
      <c r="C1758" s="130" t="inlineStr">
        <is>
          <t>Москва</t>
        </is>
      </c>
      <c r="D1758" s="130" t="inlineStr">
        <is>
          <t>Московская область</t>
        </is>
      </c>
      <c r="E1758" s="130" t="n"/>
      <c r="F1758" s="130" t="inlineStr">
        <is>
          <t>АЗС</t>
        </is>
      </c>
      <c r="G1758" s="130" t="inlineStr">
        <is>
          <t>Лукойл</t>
        </is>
      </c>
      <c r="H1758" s="131" t="n"/>
      <c r="I1758" s="637" t="n">
        <v>50905</v>
      </c>
      <c r="J1758" s="402" t="inlineStr">
        <is>
          <t>MSK_LUK_0905</t>
        </is>
      </c>
      <c r="K1758" s="640" t="n">
        <v>1</v>
      </c>
      <c r="L1758" s="640" t="n">
        <v>0</v>
      </c>
      <c r="M1758" s="640" t="inlineStr">
        <is>
          <t>1 октября</t>
        </is>
      </c>
      <c r="N1758" s="640" t="n"/>
      <c r="O1758" s="640">
        <f>IF(AND(N1758=1,L1758=1),K1758,"")</f>
        <v/>
      </c>
      <c r="P1758" s="642" t="inlineStr">
        <is>
          <t>Московская область, Солнечногорский муниципальный район, 64 км (левая сторона) скоростной автомобильной дороги М-11 "Москва – Санкт-Петербург"</t>
        </is>
      </c>
      <c r="Q1758" s="640" t="n">
        <v>56.231697</v>
      </c>
      <c r="R1758" s="422" t="n">
        <v>36.756199</v>
      </c>
      <c r="S1758" s="438" t="n"/>
      <c r="T1758" s="387" t="n"/>
      <c r="U1758" s="387" t="n"/>
      <c r="V1758" s="387" t="n"/>
      <c r="W1758" s="387" t="n"/>
      <c r="X1758" s="1" t="n"/>
      <c r="Y1758" s="1" t="n"/>
    </row>
    <row r="1759" hidden="1" ht="16.05" customFormat="1" customHeight="1" s="126">
      <c r="A1759" s="125" t="n">
        <v>2275</v>
      </c>
      <c r="B1759" s="125" t="inlineStr">
        <is>
          <t>WF</t>
        </is>
      </c>
      <c r="C1759" s="130" t="inlineStr">
        <is>
          <t>Москва</t>
        </is>
      </c>
      <c r="D1759" s="130" t="inlineStr">
        <is>
          <t>Московская область</t>
        </is>
      </c>
      <c r="E1759" s="130" t="n"/>
      <c r="F1759" s="130" t="inlineStr">
        <is>
          <t>АЗС</t>
        </is>
      </c>
      <c r="G1759" s="130" t="inlineStr">
        <is>
          <t>Лукойл</t>
        </is>
      </c>
      <c r="H1759" s="131" t="n"/>
      <c r="I1759" s="637" t="n">
        <v>50906</v>
      </c>
      <c r="J1759" s="402" t="inlineStr">
        <is>
          <t>MSK_LUK_0906</t>
        </is>
      </c>
      <c r="K1759" s="640" t="n">
        <v>1</v>
      </c>
      <c r="L1759" s="640" t="n">
        <v>0</v>
      </c>
      <c r="M1759" s="640" t="inlineStr">
        <is>
          <t>1 октября</t>
        </is>
      </c>
      <c r="N1759" s="640" t="n"/>
      <c r="O1759" s="640">
        <f>IF(AND(N1759=1,L1759=1),K1759,"")</f>
        <v/>
      </c>
      <c r="P1759" s="642" t="inlineStr">
        <is>
          <t>Московская область, Солнечногорский муниципальный район, 70 км (правая сторона) скоростной автомобильной дороги М-11 "Москва – Санкт-Петербург"</t>
        </is>
      </c>
      <c r="Q1759" s="640" t="n">
        <v>56.28083</v>
      </c>
      <c r="R1759" s="422" t="n">
        <v>36.716991</v>
      </c>
      <c r="S1759" s="438" t="n"/>
      <c r="T1759" s="387" t="n"/>
      <c r="U1759" s="387" t="n"/>
      <c r="V1759" s="387" t="n"/>
      <c r="W1759" s="387" t="n"/>
      <c r="X1759" s="1" t="n"/>
      <c r="Y1759" s="1" t="n"/>
    </row>
    <row r="1760" hidden="1" ht="16.05" customFormat="1" customHeight="1" s="126">
      <c r="A1760" s="125" t="n">
        <v>2279</v>
      </c>
      <c r="B1760" s="125" t="n"/>
      <c r="C1760" s="130" t="inlineStr">
        <is>
          <t>Челябинск</t>
        </is>
      </c>
      <c r="D1760" s="130" t="inlineStr">
        <is>
          <t>Челябинск</t>
        </is>
      </c>
      <c r="E1760" s="130" t="n"/>
      <c r="F1760" s="130" t="inlineStr">
        <is>
          <t>АЗС</t>
        </is>
      </c>
      <c r="G1760" s="130" t="inlineStr">
        <is>
          <t>Башнефть</t>
        </is>
      </c>
      <c r="H1760" s="131" t="inlineStr">
        <is>
          <t>№74-045</t>
        </is>
      </c>
      <c r="I1760" s="637" t="inlineStr">
        <is>
          <t>№74-045</t>
        </is>
      </c>
      <c r="J1760" s="637" t="inlineStr">
        <is>
          <t>CHL_BASH_74045</t>
        </is>
      </c>
      <c r="K1760" s="640" t="n">
        <v>1</v>
      </c>
      <c r="L1760" s="640" t="n">
        <v>1</v>
      </c>
      <c r="M1760" s="623" t="inlineStr">
        <is>
          <t>Samsung 32" вертикальный</t>
        </is>
      </c>
      <c r="N1760" s="640" t="n"/>
      <c r="O1760" s="640">
        <f>IF(AND(N1760=1,L1760=1),K1760,"")</f>
        <v/>
      </c>
      <c r="P1760" s="642" t="inlineStr">
        <is>
          <t>г. Челябинск, пр. Победы/ул. Пионерская (г. Челябинск, проспект Победы, 287-д)</t>
        </is>
      </c>
      <c r="Q1760" s="640" t="inlineStr">
        <is>
          <t>55.189279</t>
        </is>
      </c>
      <c r="R1760" s="494" t="inlineStr">
        <is>
          <t>61.34885</t>
        </is>
      </c>
      <c r="S1760" s="387" t="n"/>
      <c r="T1760" s="387" t="n"/>
      <c r="U1760" s="387" t="n"/>
      <c r="V1760" s="387" t="n"/>
      <c r="W1760" s="387" t="n"/>
      <c r="X1760" s="387" t="n"/>
      <c r="Y1760" s="387" t="n"/>
    </row>
    <row r="1761" hidden="1" ht="16.05" customFormat="1" customHeight="1" s="126">
      <c r="A1761" s="125" t="n">
        <v>2280</v>
      </c>
      <c r="B1761" s="125" t="n"/>
      <c r="C1761" s="130" t="inlineStr">
        <is>
          <t>Челябинск</t>
        </is>
      </c>
      <c r="D1761" s="130" t="inlineStr">
        <is>
          <t>Челябинск</t>
        </is>
      </c>
      <c r="E1761" s="130" t="n"/>
      <c r="F1761" s="130" t="inlineStr">
        <is>
          <t>АЗС</t>
        </is>
      </c>
      <c r="G1761" s="130" t="inlineStr">
        <is>
          <t>Башнефть</t>
        </is>
      </c>
      <c r="H1761" s="131" t="inlineStr">
        <is>
          <t>№74-046</t>
        </is>
      </c>
      <c r="I1761" s="637" t="inlineStr">
        <is>
          <t>№74-046</t>
        </is>
      </c>
      <c r="J1761" s="637" t="inlineStr">
        <is>
          <t>CHL_BASH_74046</t>
        </is>
      </c>
      <c r="K1761" s="640" t="n">
        <v>1</v>
      </c>
      <c r="L1761" s="640" t="n">
        <v>0</v>
      </c>
      <c r="M1761" s="623" t="inlineStr">
        <is>
          <t>Samsung 32" вертикальный</t>
        </is>
      </c>
      <c r="N1761" s="640" t="n"/>
      <c r="O1761" s="640">
        <f>IF(AND(N1761=1,L1761=1),K1761,"")</f>
        <v/>
      </c>
      <c r="P1761" s="642" t="inlineStr">
        <is>
          <t>г. Челябинск, ул. Механическая 80п</t>
        </is>
      </c>
      <c r="Q1761" s="640" t="inlineStr">
        <is>
          <t>55.193361</t>
        </is>
      </c>
      <c r="R1761" s="494" t="inlineStr">
        <is>
          <t>61.435198</t>
        </is>
      </c>
      <c r="S1761" s="387" t="n"/>
      <c r="T1761" s="387" t="n"/>
      <c r="U1761" s="387" t="n"/>
      <c r="V1761" s="387" t="n"/>
      <c r="W1761" s="387" t="n"/>
      <c r="X1761" s="387" t="n"/>
      <c r="Y1761" s="387" t="n"/>
    </row>
    <row r="1762" hidden="1" ht="16.05" customFormat="1" customHeight="1" s="126">
      <c r="A1762" s="125" t="n">
        <v>2281</v>
      </c>
      <c r="B1762" s="125" t="n"/>
      <c r="C1762" s="130" t="inlineStr">
        <is>
          <t>Челябинск</t>
        </is>
      </c>
      <c r="D1762" s="130" t="inlineStr">
        <is>
          <t>Челябинск</t>
        </is>
      </c>
      <c r="E1762" s="130" t="n"/>
      <c r="F1762" s="130" t="inlineStr">
        <is>
          <t>АЗС</t>
        </is>
      </c>
      <c r="G1762" s="130" t="inlineStr">
        <is>
          <t>Башнефть</t>
        </is>
      </c>
      <c r="H1762" s="131" t="inlineStr">
        <is>
          <t>№74-047</t>
        </is>
      </c>
      <c r="I1762" s="637" t="inlineStr">
        <is>
          <t>№74-047</t>
        </is>
      </c>
      <c r="J1762" s="637" t="inlineStr">
        <is>
          <t>CHL_BASH_74047</t>
        </is>
      </c>
      <c r="K1762" s="640" t="n">
        <v>1</v>
      </c>
      <c r="L1762" s="640" t="n">
        <v>1</v>
      </c>
      <c r="M1762" s="623" t="inlineStr">
        <is>
          <t>Samsung 32" вертикальный</t>
        </is>
      </c>
      <c r="N1762" s="640" t="n"/>
      <c r="O1762" s="640">
        <f>IF(AND(N1762=1,L1762=1),K1762,"")</f>
        <v/>
      </c>
      <c r="P1762" s="642" t="inlineStr">
        <is>
          <t>г. Челябинск, Северный луч 24п</t>
        </is>
      </c>
      <c r="Q1762" s="640" t="inlineStr">
        <is>
          <t>55.217653</t>
        </is>
      </c>
      <c r="R1762" s="494" t="inlineStr">
        <is>
          <t>61.432791</t>
        </is>
      </c>
      <c r="S1762" s="387" t="n"/>
      <c r="T1762" s="387" t="n"/>
      <c r="U1762" s="387" t="n"/>
      <c r="V1762" s="387" t="n"/>
      <c r="W1762" s="387" t="n"/>
      <c r="X1762" s="387" t="n"/>
      <c r="Y1762" s="387" t="n"/>
    </row>
    <row r="1763" hidden="1" ht="16.05" customFormat="1" customHeight="1" s="126">
      <c r="A1763" s="125" t="n">
        <v>2282</v>
      </c>
      <c r="B1763" s="125" t="n"/>
      <c r="C1763" s="130" t="inlineStr">
        <is>
          <t>Оренбург</t>
        </is>
      </c>
      <c r="D1763" s="130" t="inlineStr">
        <is>
          <t>Оренбург</t>
        </is>
      </c>
      <c r="E1763" s="130" t="n"/>
      <c r="F1763" s="130" t="inlineStr">
        <is>
          <t>АЗС</t>
        </is>
      </c>
      <c r="G1763" s="130" t="inlineStr">
        <is>
          <t>Башнефть</t>
        </is>
      </c>
      <c r="H1763" s="131" t="inlineStr">
        <is>
          <t>№56-077</t>
        </is>
      </c>
      <c r="I1763" s="637" t="inlineStr">
        <is>
          <t>№56-077</t>
        </is>
      </c>
      <c r="J1763" s="637" t="inlineStr">
        <is>
          <t>ORE_BASH_56077</t>
        </is>
      </c>
      <c r="K1763" s="640" t="n">
        <v>1</v>
      </c>
      <c r="L1763" s="640" t="n">
        <v>1</v>
      </c>
      <c r="M1763" s="623" t="inlineStr">
        <is>
          <t>Samsung 32" вертикальный</t>
        </is>
      </c>
      <c r="N1763" s="640" t="n"/>
      <c r="O1763" s="640">
        <f>IF(AND(N1763=1,L1763=1),K1763,"")</f>
        <v/>
      </c>
      <c r="P1763" s="642" t="inlineStr">
        <is>
          <t>Оренбургская область, г. Оренбург Загородное шоссе д.7</t>
        </is>
      </c>
      <c r="Q1763" s="640" t="inlineStr">
        <is>
          <t>51.846479</t>
        </is>
      </c>
      <c r="R1763" s="494" t="inlineStr">
        <is>
          <t>55.151023</t>
        </is>
      </c>
      <c r="S1763" s="387" t="n"/>
      <c r="T1763" s="387" t="n"/>
      <c r="U1763" s="387" t="n"/>
      <c r="V1763" s="387" t="n"/>
      <c r="W1763" s="387" t="n"/>
      <c r="X1763" s="387" t="n"/>
      <c r="Y1763" s="387" t="n"/>
    </row>
    <row r="1764" hidden="1" ht="16.05" customFormat="1" customHeight="1" s="126">
      <c r="A1764" s="125" t="n">
        <v>2283</v>
      </c>
      <c r="B1764" s="125" t="n"/>
      <c r="C1764" s="130" t="inlineStr">
        <is>
          <t>Ижевск</t>
        </is>
      </c>
      <c r="D1764" s="130" t="inlineStr">
        <is>
          <t>Ижевск</t>
        </is>
      </c>
      <c r="E1764" s="130" t="n"/>
      <c r="F1764" s="130" t="inlineStr">
        <is>
          <t>АЗС</t>
        </is>
      </c>
      <c r="G1764" s="130" t="inlineStr">
        <is>
          <t>Башнефть</t>
        </is>
      </c>
      <c r="H1764" s="131" t="inlineStr">
        <is>
          <t>№18-001</t>
        </is>
      </c>
      <c r="I1764" s="637" t="inlineStr">
        <is>
          <t>№18-001</t>
        </is>
      </c>
      <c r="J1764" s="637" t="inlineStr">
        <is>
          <t>IZE_BASH_18001</t>
        </is>
      </c>
      <c r="K1764" s="640" t="n">
        <v>1</v>
      </c>
      <c r="L1764" s="640" t="n">
        <v>1</v>
      </c>
      <c r="M1764" s="623" t="inlineStr">
        <is>
          <t>Samsung 32" вертикальный</t>
        </is>
      </c>
      <c r="N1764" s="640" t="n"/>
      <c r="O1764" s="640">
        <f>IF(AND(N1764=1,L1764=1),K1764,"")</f>
        <v/>
      </c>
      <c r="P1764" s="642" t="inlineStr">
        <is>
          <t>г. Ижевск, ул. Салютовская,81</t>
        </is>
      </c>
      <c r="Q1764" s="640" t="inlineStr">
        <is>
          <t>56.882958</t>
        </is>
      </c>
      <c r="R1764" s="494" t="inlineStr">
        <is>
          <t>53.259182</t>
        </is>
      </c>
      <c r="S1764" s="387" t="n"/>
      <c r="T1764" s="387" t="n"/>
      <c r="U1764" s="387" t="n"/>
      <c r="V1764" s="387" t="n"/>
      <c r="W1764" s="387" t="n"/>
      <c r="X1764" s="387" t="n"/>
      <c r="Y1764" s="387" t="n"/>
    </row>
    <row r="1765" hidden="1" ht="16.05" customFormat="1" customHeight="1" s="126">
      <c r="A1765" s="125" t="n">
        <v>2284</v>
      </c>
      <c r="B1765" s="125" t="n"/>
      <c r="C1765" s="130" t="inlineStr">
        <is>
          <t>Ижевск</t>
        </is>
      </c>
      <c r="D1765" s="130" t="inlineStr">
        <is>
          <t>Ижевск</t>
        </is>
      </c>
      <c r="E1765" s="130" t="n"/>
      <c r="F1765" s="130" t="inlineStr">
        <is>
          <t>АЗС</t>
        </is>
      </c>
      <c r="G1765" s="130" t="inlineStr">
        <is>
          <t>Башнефть</t>
        </is>
      </c>
      <c r="H1765" s="131" t="inlineStr">
        <is>
          <t>№18-006</t>
        </is>
      </c>
      <c r="I1765" s="637" t="inlineStr">
        <is>
          <t>№18-006</t>
        </is>
      </c>
      <c r="J1765" s="637" t="inlineStr">
        <is>
          <t>IZE_BASH_18006</t>
        </is>
      </c>
      <c r="K1765" s="640" t="n">
        <v>1</v>
      </c>
      <c r="L1765" s="640" t="n">
        <v>1</v>
      </c>
      <c r="M1765" s="623" t="inlineStr">
        <is>
          <t>Samsung 32" вертикальный</t>
        </is>
      </c>
      <c r="N1765" s="640" t="n"/>
      <c r="O1765" s="640">
        <f>IF(AND(N1765=1,L1765=1),K1765,"")</f>
        <v/>
      </c>
      <c r="P1765" s="642" t="inlineStr">
        <is>
          <t>г. Ижевск, ул, Крылова,28</t>
        </is>
      </c>
      <c r="Q1765" s="640" t="inlineStr">
        <is>
          <t>56.842807</t>
        </is>
      </c>
      <c r="R1765" s="494" t="inlineStr">
        <is>
          <t>53.118299</t>
        </is>
      </c>
      <c r="S1765" s="387" t="n"/>
      <c r="T1765" s="387" t="n"/>
      <c r="U1765" s="387" t="n"/>
      <c r="V1765" s="387" t="n"/>
      <c r="W1765" s="387" t="n"/>
      <c r="X1765" s="387" t="n"/>
      <c r="Y1765" s="387" t="n"/>
    </row>
    <row r="1766" hidden="1" ht="16.05" customFormat="1" customHeight="1" s="126">
      <c r="A1766" s="125" t="n">
        <v>2285</v>
      </c>
      <c r="B1766" s="125" t="n"/>
      <c r="C1766" s="130" t="inlineStr">
        <is>
          <t>Ижевск</t>
        </is>
      </c>
      <c r="D1766" s="130" t="inlineStr">
        <is>
          <t>Ижевск</t>
        </is>
      </c>
      <c r="E1766" s="130" t="n"/>
      <c r="F1766" s="130" t="inlineStr">
        <is>
          <t>АЗС</t>
        </is>
      </c>
      <c r="G1766" s="130" t="inlineStr">
        <is>
          <t>Башнефть</t>
        </is>
      </c>
      <c r="H1766" s="131" t="inlineStr">
        <is>
          <t>№18-007</t>
        </is>
      </c>
      <c r="I1766" s="637" t="inlineStr">
        <is>
          <t>№18-007</t>
        </is>
      </c>
      <c r="J1766" s="637" t="inlineStr">
        <is>
          <t>IZE_BASH_18007</t>
        </is>
      </c>
      <c r="K1766" s="640" t="n">
        <v>1</v>
      </c>
      <c r="L1766" s="640" t="n">
        <v>1</v>
      </c>
      <c r="M1766" s="623" t="inlineStr">
        <is>
          <t>Samsung 32" вертикальный</t>
        </is>
      </c>
      <c r="N1766" s="640" t="n"/>
      <c r="O1766" s="640">
        <f>IF(AND(N1766=1,L1766=1),K1766,"")</f>
        <v/>
      </c>
      <c r="P1766" s="642" t="inlineStr">
        <is>
          <t>г. Ижевск, пр, Калашникова, 2</t>
        </is>
      </c>
      <c r="Q1766" s="640" t="inlineStr">
        <is>
          <t>56.856594</t>
        </is>
      </c>
      <c r="R1766" s="494" t="inlineStr">
        <is>
          <t>53.29551</t>
        </is>
      </c>
      <c r="S1766" s="387" t="n"/>
      <c r="T1766" s="387" t="n"/>
      <c r="U1766" s="387" t="n"/>
      <c r="V1766" s="387" t="n"/>
      <c r="W1766" s="387" t="n"/>
      <c r="X1766" s="387" t="n"/>
      <c r="Y1766" s="387" t="n"/>
    </row>
    <row r="1767" hidden="1" ht="16.05" customFormat="1" customHeight="1" s="126">
      <c r="A1767" s="125" t="n">
        <v>2286</v>
      </c>
      <c r="B1767" s="125" t="n"/>
      <c r="C1767" s="130" t="inlineStr">
        <is>
          <t>Ижевск</t>
        </is>
      </c>
      <c r="D1767" s="130" t="inlineStr">
        <is>
          <t>Ижевск</t>
        </is>
      </c>
      <c r="E1767" s="130" t="n"/>
      <c r="F1767" s="130" t="inlineStr">
        <is>
          <t>АЗС</t>
        </is>
      </c>
      <c r="G1767" s="130" t="inlineStr">
        <is>
          <t>Башнефть</t>
        </is>
      </c>
      <c r="H1767" s="131" t="inlineStr">
        <is>
          <t>№18-008</t>
        </is>
      </c>
      <c r="I1767" s="637" t="inlineStr">
        <is>
          <t>№18-008</t>
        </is>
      </c>
      <c r="J1767" s="637" t="inlineStr">
        <is>
          <t>IZE_BASH_18008</t>
        </is>
      </c>
      <c r="K1767" s="640" t="n">
        <v>1</v>
      </c>
      <c r="L1767" s="640" t="n">
        <v>1</v>
      </c>
      <c r="M1767" s="623" t="inlineStr">
        <is>
          <t>Samsung 32" вертикальный</t>
        </is>
      </c>
      <c r="N1767" s="640" t="n"/>
      <c r="O1767" s="640">
        <f>IF(AND(N1767=1,L1767=1),K1767,"")</f>
        <v/>
      </c>
      <c r="P1767" s="642" t="inlineStr">
        <is>
          <t>г. Ижевск, ул, Новоажимова, 9</t>
        </is>
      </c>
      <c r="Q1767" s="640" t="inlineStr">
        <is>
          <t>56.831039</t>
        </is>
      </c>
      <c r="R1767" s="494" t="inlineStr">
        <is>
          <t>53.177255</t>
        </is>
      </c>
      <c r="S1767" s="387" t="n"/>
      <c r="T1767" s="387" t="n"/>
      <c r="U1767" s="387" t="n"/>
      <c r="V1767" s="387" t="n"/>
      <c r="W1767" s="387" t="n"/>
      <c r="X1767" s="387" t="n"/>
      <c r="Y1767" s="387" t="n"/>
    </row>
    <row r="1768" hidden="1" ht="16.05" customFormat="1" customHeight="1" s="126">
      <c r="A1768" s="125" t="n">
        <v>2287</v>
      </c>
      <c r="B1768" s="125" t="n"/>
      <c r="C1768" s="130" t="inlineStr">
        <is>
          <t>Ижевск</t>
        </is>
      </c>
      <c r="D1768" s="130" t="inlineStr">
        <is>
          <t>Ижевск</t>
        </is>
      </c>
      <c r="E1768" s="130" t="n"/>
      <c r="F1768" s="130" t="inlineStr">
        <is>
          <t>АЗС</t>
        </is>
      </c>
      <c r="G1768" s="130" t="inlineStr">
        <is>
          <t>Башнефть</t>
        </is>
      </c>
      <c r="H1768" s="131" t="inlineStr">
        <is>
          <t>№18-012</t>
        </is>
      </c>
      <c r="I1768" s="637" t="inlineStr">
        <is>
          <t>№18-012</t>
        </is>
      </c>
      <c r="J1768" s="637" t="inlineStr">
        <is>
          <t>IZE_BASH_18012</t>
        </is>
      </c>
      <c r="K1768" s="640" t="n">
        <v>1</v>
      </c>
      <c r="L1768" s="640" t="n">
        <v>1</v>
      </c>
      <c r="M1768" s="623" t="inlineStr">
        <is>
          <t>Samsung 32" вертикальный</t>
        </is>
      </c>
      <c r="N1768" s="640" t="n"/>
      <c r="O1768" s="640">
        <f>IF(AND(N1768=1,L1768=1),K1768,"")</f>
        <v/>
      </c>
      <c r="P1768" s="642" t="inlineStr">
        <is>
          <t>г. Ижевск, ул, Воткинское шоссе, 168</t>
        </is>
      </c>
      <c r="Q1768" s="640" t="inlineStr">
        <is>
          <t>56.892773</t>
        </is>
      </c>
      <c r="R1768" s="494" t="inlineStr">
        <is>
          <t>53.273735</t>
        </is>
      </c>
      <c r="S1768" s="387" t="n"/>
      <c r="T1768" s="387" t="n"/>
      <c r="U1768" s="387" t="n"/>
      <c r="V1768" s="387" t="n"/>
      <c r="W1768" s="387" t="n"/>
      <c r="X1768" s="387" t="n"/>
      <c r="Y1768" s="387" t="n"/>
    </row>
    <row r="1769" hidden="1" ht="16.05" customFormat="1" customHeight="1" s="126">
      <c r="A1769" s="125" t="n">
        <v>2288</v>
      </c>
      <c r="B1769" s="125" t="n"/>
      <c r="C1769" s="130" t="inlineStr">
        <is>
          <t>Ижевск</t>
        </is>
      </c>
      <c r="D1769" s="130" t="inlineStr">
        <is>
          <t>Ижевск</t>
        </is>
      </c>
      <c r="E1769" s="130" t="n"/>
      <c r="F1769" s="130" t="inlineStr">
        <is>
          <t>АЗС</t>
        </is>
      </c>
      <c r="G1769" s="130" t="inlineStr">
        <is>
          <t>Башнефть</t>
        </is>
      </c>
      <c r="H1769" s="131" t="inlineStr">
        <is>
          <t>№18-040</t>
        </is>
      </c>
      <c r="I1769" s="637" t="inlineStr">
        <is>
          <t>№18-040</t>
        </is>
      </c>
      <c r="J1769" s="637" t="inlineStr">
        <is>
          <t>IZE_BASH_18040</t>
        </is>
      </c>
      <c r="K1769" s="640" t="n">
        <v>1</v>
      </c>
      <c r="L1769" s="640" t="n">
        <v>1</v>
      </c>
      <c r="M1769" s="623" t="inlineStr">
        <is>
          <t>Samsung 32" вертикальный</t>
        </is>
      </c>
      <c r="N1769" s="640" t="n"/>
      <c r="O1769" s="640">
        <f>IF(AND(N1769=1,L1769=1),K1769,"")</f>
        <v/>
      </c>
      <c r="P1769" s="642" t="inlineStr">
        <is>
          <t>г. Ижевск, ул, Союзная,2.</t>
        </is>
      </c>
      <c r="Q1769" s="640" t="inlineStr">
        <is>
          <t>56.84033</t>
        </is>
      </c>
      <c r="R1769" s="494" t="inlineStr">
        <is>
          <t>53.311275</t>
        </is>
      </c>
      <c r="S1769" s="387" t="n"/>
      <c r="T1769" s="387" t="n"/>
      <c r="U1769" s="387" t="n"/>
      <c r="V1769" s="387" t="n"/>
      <c r="W1769" s="387" t="n"/>
      <c r="X1769" s="387" t="n"/>
      <c r="Y1769" s="387" t="n"/>
    </row>
    <row r="1770" hidden="1" ht="16.05" customFormat="1" customHeight="1" s="126">
      <c r="A1770" s="125" t="n">
        <v>2289</v>
      </c>
      <c r="B1770" s="125" t="inlineStr">
        <is>
          <t>WF</t>
        </is>
      </c>
      <c r="C1770" s="130" t="inlineStr">
        <is>
          <t>Санкт-Петербург</t>
        </is>
      </c>
      <c r="D1770" s="130" t="inlineStr">
        <is>
          <t>Санкт-Петербург</t>
        </is>
      </c>
      <c r="E1770" s="130" t="n"/>
      <c r="F1770" s="130" t="inlineStr">
        <is>
          <t>Супермаркет</t>
        </is>
      </c>
      <c r="G1770" s="130" t="inlineStr">
        <is>
          <t>Азбука Вкуса</t>
        </is>
      </c>
      <c r="H1770" s="131" t="inlineStr">
        <is>
          <t>Daily</t>
        </is>
      </c>
      <c r="I1770" s="637" t="inlineStr">
        <is>
          <t>SPB_012_Daily</t>
        </is>
      </c>
      <c r="J1770" s="637" t="inlineStr">
        <is>
          <t>SPB_D_012</t>
        </is>
      </c>
      <c r="K1770" s="640" t="n">
        <v>2</v>
      </c>
      <c r="L1770" s="640" t="n">
        <v>1</v>
      </c>
      <c r="M1770" s="623" t="inlineStr">
        <is>
          <t>Samsung 43" вертикальный</t>
        </is>
      </c>
      <c r="N1770" s="640" t="n"/>
      <c r="O1770" s="640">
        <f>IF(AND(N1770=1,L1770=1),K1770,"")</f>
        <v/>
      </c>
      <c r="P1770" s="642" t="inlineStr">
        <is>
          <t>Санкт-Петербург, Московский проспект д73 к5</t>
        </is>
      </c>
      <c r="Q1770" s="640" t="inlineStr">
        <is>
          <t>59.9050721</t>
        </is>
      </c>
      <c r="R1770" s="494" t="inlineStr">
        <is>
          <t>30.3178770</t>
        </is>
      </c>
      <c r="S1770" s="387" t="n">
        <v>17</v>
      </c>
      <c r="T1770" s="436">
        <f>IF(N1770=1,O1770*S1770,"")</f>
        <v/>
      </c>
      <c r="U1770" s="387" t="n"/>
      <c r="V1770" s="387" t="n"/>
      <c r="W1770" s="387" t="n"/>
      <c r="X1770" s="387" t="n"/>
      <c r="Y1770" s="387" t="n"/>
    </row>
    <row r="1771" hidden="1" ht="16.05" customFormat="1" customHeight="1" s="126">
      <c r="A1771" s="125" t="n">
        <v>2290</v>
      </c>
      <c r="B1771" s="125" t="inlineStr">
        <is>
          <t>WF</t>
        </is>
      </c>
      <c r="C1771" s="130" t="inlineStr">
        <is>
          <t>Москва</t>
        </is>
      </c>
      <c r="D1771" s="130" t="inlineStr">
        <is>
          <t>Москва</t>
        </is>
      </c>
      <c r="E1771" s="130" t="inlineStr">
        <is>
          <t>ЦАО</t>
        </is>
      </c>
      <c r="F1771" s="130" t="inlineStr">
        <is>
          <t>Супермаркет</t>
        </is>
      </c>
      <c r="G1771" s="130" t="inlineStr">
        <is>
          <t>Азбука Вкуса</t>
        </is>
      </c>
      <c r="H1771" s="131" t="n"/>
      <c r="I1771" s="637" t="n">
        <v>152</v>
      </c>
      <c r="J1771" s="637" t="inlineStr">
        <is>
          <t>MSK_A_152</t>
        </is>
      </c>
      <c r="K1771" s="640" t="n">
        <v>5</v>
      </c>
      <c r="L1771" s="640" t="n">
        <v>1</v>
      </c>
      <c r="M1771" s="623" t="inlineStr">
        <is>
          <t>Samsung 43" вертикальный</t>
        </is>
      </c>
      <c r="N1771" s="640" t="n"/>
      <c r="O1771" s="640">
        <f>IF(AND(N1771=1,L1771=1),K1771,"")</f>
        <v/>
      </c>
      <c r="P1771" s="642" t="inlineStr">
        <is>
          <t>Москва, Пресненская набережная, 12 Москва Сити</t>
        </is>
      </c>
      <c r="Q1771" s="640" t="inlineStr">
        <is>
          <t>55.747467</t>
        </is>
      </c>
      <c r="R1771" s="494" t="inlineStr">
        <is>
          <t>37.5411425</t>
        </is>
      </c>
      <c r="S1771" s="387" t="n">
        <v>24</v>
      </c>
      <c r="T1771" s="436">
        <f>IF(N1771=1,O1771*S1771,"")</f>
        <v/>
      </c>
      <c r="U1771" s="387" t="n"/>
      <c r="V1771" s="387" t="n"/>
      <c r="W1771" s="387" t="n"/>
      <c r="X1771" s="387" t="n"/>
      <c r="Y1771" s="387" t="n"/>
    </row>
    <row r="1772" hidden="1" ht="16.05" customFormat="1" customHeight="1" s="126">
      <c r="A1772" s="125" t="n">
        <v>2292</v>
      </c>
      <c r="B1772" s="125" t="n"/>
      <c r="C1772" s="130" t="inlineStr">
        <is>
          <t>Уфа</t>
        </is>
      </c>
      <c r="D1772" s="130" t="inlineStr">
        <is>
          <t>Уфимский район</t>
        </is>
      </c>
      <c r="E1772" s="130" t="n"/>
      <c r="F1772" s="130" t="inlineStr">
        <is>
          <t>АЗС</t>
        </is>
      </c>
      <c r="G1772" s="130" t="inlineStr">
        <is>
          <t>Башнефть</t>
        </is>
      </c>
      <c r="H1772" s="131" t="n"/>
      <c r="I1772" s="637" t="inlineStr">
        <is>
          <t>№02-109</t>
        </is>
      </c>
      <c r="J1772" s="637" t="inlineStr">
        <is>
          <t>UFA_BASH_02109</t>
        </is>
      </c>
      <c r="K1772" s="640" t="n">
        <v>1</v>
      </c>
      <c r="L1772" s="640" t="n">
        <v>1</v>
      </c>
      <c r="M1772" s="623" t="inlineStr">
        <is>
          <t>Samsung 32" вертикальный</t>
        </is>
      </c>
      <c r="N1772" s="640" t="n"/>
      <c r="O1772" s="640">
        <f>IF(AND(N1772=1,L1772=1),K1772,"")</f>
        <v/>
      </c>
      <c r="P1772" s="642" t="inlineStr">
        <is>
          <t>РБ, МР Уфимский в административных границах СП Зубовский сельсовет, с. Зубово (Зубовский сельсовет, Уфимский район, Республика Башкортостан, Россия, территория АЗС №109, соор. 1)</t>
        </is>
      </c>
      <c r="Q1772" s="640" t="inlineStr">
        <is>
          <t>54.612838</t>
        </is>
      </c>
      <c r="R1772" s="494" t="inlineStr">
        <is>
          <t>55.923992</t>
        </is>
      </c>
      <c r="S1772" s="387" t="n"/>
      <c r="T1772" s="387" t="n"/>
      <c r="U1772" s="387" t="n"/>
      <c r="V1772" s="387" t="n"/>
      <c r="W1772" s="387" t="n"/>
      <c r="X1772" s="387" t="n"/>
      <c r="Y1772" s="387" t="n"/>
    </row>
    <row r="1773" hidden="1" ht="16.05" customFormat="1" customHeight="1" s="126">
      <c r="A1773" s="125" t="n">
        <v>2293</v>
      </c>
      <c r="B1773" s="125" t="n"/>
      <c r="C1773" s="130" t="inlineStr">
        <is>
          <t>Тула</t>
        </is>
      </c>
      <c r="D1773" s="130" t="inlineStr">
        <is>
          <t>Заокский район</t>
        </is>
      </c>
      <c r="E1773" s="130" t="n"/>
      <c r="F1773" s="130" t="inlineStr">
        <is>
          <t>АЗС</t>
        </is>
      </c>
      <c r="G1773" s="130" t="inlineStr">
        <is>
          <t>Роснефть</t>
        </is>
      </c>
      <c r="H1773" s="131" t="n"/>
      <c r="I1773" s="637" t="inlineStr">
        <is>
          <t>RN_64</t>
        </is>
      </c>
      <c r="J1773" s="637" t="inlineStr">
        <is>
          <t>TUL_RN_064</t>
        </is>
      </c>
      <c r="K1773" s="640" t="n">
        <v>1</v>
      </c>
      <c r="L1773" s="640" t="n">
        <v>1</v>
      </c>
      <c r="M1773" s="623" t="inlineStr">
        <is>
          <t>Samsung 32" вертикальный</t>
        </is>
      </c>
      <c r="N1773" s="640" t="n"/>
      <c r="O1773" s="640">
        <f>IF(AND(N1773=1,L1773=1),K1773,"")</f>
        <v/>
      </c>
      <c r="P1773" s="642" t="inlineStr">
        <is>
          <t>Заокский р-н трасса Москва Симферополь 136 км слева</t>
        </is>
      </c>
      <c r="Q1773" s="640" t="inlineStr">
        <is>
          <t>54.585114</t>
        </is>
      </c>
      <c r="R1773" s="422" t="inlineStr">
        <is>
          <t>37.504902</t>
        </is>
      </c>
      <c r="S1773" s="387" t="n"/>
      <c r="T1773" s="387" t="n"/>
      <c r="U1773" s="436" t="n">
        <v>1</v>
      </c>
      <c r="V1773" s="438">
        <f>IF(AND(N1773=1,U1773=1),C1773,"")</f>
        <v/>
      </c>
      <c r="W1773" s="387" t="n"/>
      <c r="X1773" s="387" t="n"/>
      <c r="Y1773" s="387" t="n"/>
    </row>
    <row r="1774" hidden="1" ht="16.05" customFormat="1" customHeight="1" s="126">
      <c r="A1774" s="125" t="n">
        <v>2294</v>
      </c>
      <c r="B1774" s="125" t="n"/>
      <c r="C1774" s="130" t="inlineStr">
        <is>
          <t>Тула</t>
        </is>
      </c>
      <c r="D1774" s="130" t="inlineStr">
        <is>
          <t>Заокский район</t>
        </is>
      </c>
      <c r="E1774" s="130" t="n"/>
      <c r="F1774" s="130" t="inlineStr">
        <is>
          <t>АЗС</t>
        </is>
      </c>
      <c r="G1774" s="130" t="inlineStr">
        <is>
          <t>Роснефть</t>
        </is>
      </c>
      <c r="H1774" s="131" t="n"/>
      <c r="I1774" s="637" t="inlineStr">
        <is>
          <t>RN_65</t>
        </is>
      </c>
      <c r="J1774" s="637" t="inlineStr">
        <is>
          <t>TUL_RN_065</t>
        </is>
      </c>
      <c r="K1774" s="640" t="n">
        <v>1</v>
      </c>
      <c r="L1774" s="640" t="n">
        <v>1</v>
      </c>
      <c r="M1774" s="623" t="inlineStr">
        <is>
          <t>Samsung 32" вертикальный</t>
        </is>
      </c>
      <c r="N1774" s="640" t="n"/>
      <c r="O1774" s="640">
        <f>IF(AND(N1774=1,L1774=1),K1774,"")</f>
        <v/>
      </c>
      <c r="P1774" s="642" t="inlineStr">
        <is>
          <t>Заокский р-н трасса Москва Симферополь 136 км справа</t>
        </is>
      </c>
      <c r="Q1774" s="640" t="inlineStr">
        <is>
          <t>54.585193</t>
        </is>
      </c>
      <c r="R1774" s="422" t="inlineStr">
        <is>
          <t>37.502502</t>
        </is>
      </c>
      <c r="S1774" s="387" t="n"/>
      <c r="T1774" s="387" t="n"/>
      <c r="U1774" s="436" t="n">
        <v>1</v>
      </c>
      <c r="V1774" s="438">
        <f>IF(AND(N1774=1,U1774=1),C1774,"")</f>
        <v/>
      </c>
      <c r="W1774" s="387" t="n"/>
      <c r="X1774" s="387" t="n"/>
      <c r="Y1774" s="387" t="n"/>
    </row>
    <row r="1775" hidden="1" ht="16.05" customFormat="1" customHeight="1" s="126">
      <c r="A1775" s="125" t="n">
        <v>2291</v>
      </c>
      <c r="B1775" s="125" t="inlineStr">
        <is>
          <t>WF</t>
        </is>
      </c>
      <c r="C1775" s="130" t="inlineStr">
        <is>
          <t>Москва</t>
        </is>
      </c>
      <c r="D1775" s="130" t="inlineStr">
        <is>
          <t>Москва</t>
        </is>
      </c>
      <c r="E1775" s="130" t="inlineStr">
        <is>
          <t>М8</t>
        </is>
      </c>
      <c r="F1775" s="130" t="inlineStr">
        <is>
          <t>АЗС</t>
        </is>
      </c>
      <c r="G1775" s="130" t="inlineStr">
        <is>
          <t>Лукойл</t>
        </is>
      </c>
      <c r="H1775" s="131" t="inlineStr">
        <is>
          <t>LUK_547</t>
        </is>
      </c>
      <c r="I1775" s="637" t="n">
        <v>77547</v>
      </c>
      <c r="J1775" s="402" t="inlineStr">
        <is>
          <t>MSK_LUK_0547</t>
        </is>
      </c>
      <c r="K1775" s="640" t="n">
        <v>1</v>
      </c>
      <c r="L1775" s="640" t="n">
        <v>0</v>
      </c>
      <c r="M1775" s="640" t="inlineStr">
        <is>
          <t>1 октября</t>
        </is>
      </c>
      <c r="N1775" s="640" t="n"/>
      <c r="O1775" s="640">
        <f>IF(AND(N1775=1,L1775=1),K1775,"")</f>
        <v/>
      </c>
      <c r="P1775" s="642" t="inlineStr">
        <is>
          <t>г. Москва, пр. Старопетровский, вл. 4А</t>
        </is>
      </c>
      <c r="Q1775" s="640" t="n">
        <v>55.822306</v>
      </c>
      <c r="R1775" s="422" t="n">
        <v>37.501061</v>
      </c>
      <c r="S1775" s="438" t="n"/>
      <c r="T1775" s="387" t="n"/>
      <c r="U1775" s="436" t="n"/>
      <c r="V1775" s="387" t="n"/>
      <c r="W1775" s="387" t="n"/>
      <c r="X1775" s="1" t="n"/>
      <c r="Y1775" s="1" t="n"/>
    </row>
    <row r="1776" hidden="1" ht="16.05" customFormat="1" customHeight="1" s="126">
      <c r="A1776" s="125" t="n">
        <v>2295</v>
      </c>
      <c r="B1776" s="125" t="inlineStr">
        <is>
          <t>WF</t>
        </is>
      </c>
      <c r="C1776" s="130" t="inlineStr">
        <is>
          <t>Москва</t>
        </is>
      </c>
      <c r="D1776" s="130" t="inlineStr">
        <is>
          <t>Москва</t>
        </is>
      </c>
      <c r="E1776" s="130" t="inlineStr">
        <is>
          <t>ЗАО</t>
        </is>
      </c>
      <c r="F1776" s="130" t="inlineStr">
        <is>
          <t>Супермаркет</t>
        </is>
      </c>
      <c r="G1776" s="130" t="inlineStr">
        <is>
          <t>Азбука Вкуса</t>
        </is>
      </c>
      <c r="H1776" s="131" t="n"/>
      <c r="I1776" s="637" t="n">
        <v>153</v>
      </c>
      <c r="J1776" s="637" t="inlineStr">
        <is>
          <t>MSK_A_153</t>
        </is>
      </c>
      <c r="K1776" s="640" t="n">
        <v>2</v>
      </c>
      <c r="L1776" s="640" t="n">
        <v>1</v>
      </c>
      <c r="M1776" s="623" t="inlineStr">
        <is>
          <t>Samsung 43" вертикальный</t>
        </is>
      </c>
      <c r="N1776" s="640" t="n"/>
      <c r="O1776" s="640">
        <f>IF(AND(N1776=1,L1776=1),K1776,"")</f>
        <v/>
      </c>
      <c r="P1776" s="642" t="inlineStr">
        <is>
          <t>Московская область, Одинцовский р-н, д. Лапино, мкр. Радуга, строен. 70, Торговая Галерея Лапино.</t>
        </is>
      </c>
      <c r="Q1776" s="640" t="inlineStr">
        <is>
          <t>55.684238</t>
        </is>
      </c>
      <c r="R1776" s="494" t="inlineStr">
        <is>
          <t>37.136318</t>
        </is>
      </c>
      <c r="S1776" s="387" t="n">
        <v>24</v>
      </c>
      <c r="T1776" s="436">
        <f>IF(N1776=1,O1776*S1776,"")</f>
        <v/>
      </c>
      <c r="U1776" s="436" t="n"/>
      <c r="V1776" s="387" t="n"/>
      <c r="W1776" s="387" t="n"/>
      <c r="X1776" s="387" t="n"/>
      <c r="Y1776" s="387" t="n"/>
    </row>
    <row r="1777" hidden="1" ht="16.05" customFormat="1" customHeight="1" s="126">
      <c r="A1777" s="125" t="n">
        <v>2296</v>
      </c>
      <c r="B1777" s="125" t="inlineStr">
        <is>
          <t>WF</t>
        </is>
      </c>
      <c r="C1777" s="130" t="inlineStr">
        <is>
          <t>Москва</t>
        </is>
      </c>
      <c r="D1777" s="130" t="inlineStr">
        <is>
          <t>Москва</t>
        </is>
      </c>
      <c r="E1777" s="130" t="inlineStr">
        <is>
          <t>ЦАО</t>
        </is>
      </c>
      <c r="F1777" s="130" t="inlineStr">
        <is>
          <t>Супермаркет</t>
        </is>
      </c>
      <c r="G1777" s="130" t="inlineStr">
        <is>
          <t>Азбука Вкуса</t>
        </is>
      </c>
      <c r="H1777" s="131" t="n"/>
      <c r="I1777" s="637" t="inlineStr">
        <is>
          <t>154_Daily</t>
        </is>
      </c>
      <c r="J1777" s="637" t="inlineStr">
        <is>
          <t>MSK_D_154</t>
        </is>
      </c>
      <c r="K1777" s="640" t="n">
        <v>2</v>
      </c>
      <c r="L1777" s="640" t="n">
        <v>1</v>
      </c>
      <c r="M1777" s="623" t="inlineStr">
        <is>
          <t>Samsung 43" вертикальный</t>
        </is>
      </c>
      <c r="N1777" s="640" t="n"/>
      <c r="O1777" s="640">
        <f>IF(AND(N1777=1,L1777=1),K1777,"")</f>
        <v/>
      </c>
      <c r="P1777" s="642" t="inlineStr">
        <is>
          <t>Москва, ул. Сретенка, д. 1</t>
        </is>
      </c>
      <c r="Q1777" s="640" t="inlineStr">
        <is>
          <t>55.7665958</t>
        </is>
      </c>
      <c r="R1777" s="494" t="inlineStr">
        <is>
          <t>37.6308395</t>
        </is>
      </c>
      <c r="S1777" s="387" t="n">
        <v>24</v>
      </c>
      <c r="T1777" s="436">
        <f>IF(N1777=1,O1777*S1777,"")</f>
        <v/>
      </c>
      <c r="U1777" s="436" t="n"/>
      <c r="V1777" s="387" t="n"/>
      <c r="W1777" s="387" t="n"/>
      <c r="X1777" s="387" t="n"/>
      <c r="Y1777" s="387" t="n"/>
    </row>
    <row r="1778" hidden="1" ht="16.05" customFormat="1" customHeight="1" s="126">
      <c r="A1778" s="125" t="n">
        <v>2299</v>
      </c>
      <c r="B1778" s="125" t="inlineStr">
        <is>
          <t>WF</t>
        </is>
      </c>
      <c r="C1778" s="130" t="inlineStr">
        <is>
          <t>Москва</t>
        </is>
      </c>
      <c r="D1778" s="130" t="inlineStr">
        <is>
          <t>Москва</t>
        </is>
      </c>
      <c r="E1778" s="130" t="inlineStr">
        <is>
          <t>ЦАО</t>
        </is>
      </c>
      <c r="F1778" s="130" t="inlineStr">
        <is>
          <t>Супермаркет</t>
        </is>
      </c>
      <c r="G1778" s="130" t="inlineStr">
        <is>
          <t>Азбука Вкуса</t>
        </is>
      </c>
      <c r="H1778" s="131" t="n"/>
      <c r="I1778" s="637" t="inlineStr">
        <is>
          <t>155_Daily</t>
        </is>
      </c>
      <c r="J1778" s="637" t="inlineStr">
        <is>
          <t>MSK_D_155</t>
        </is>
      </c>
      <c r="K1778" s="640" t="n">
        <v>2</v>
      </c>
      <c r="L1778" s="640" t="n">
        <v>1</v>
      </c>
      <c r="M1778" s="623" t="inlineStr">
        <is>
          <t>Samsung 43" вертикальный</t>
        </is>
      </c>
      <c r="N1778" s="640" t="n"/>
      <c r="O1778" s="640">
        <f>IF(AND(N1778=1,L1778=1),K1778,"")</f>
        <v/>
      </c>
      <c r="P1778" s="642" t="inlineStr">
        <is>
          <t>Москва, Лялин переулок 11/13</t>
        </is>
      </c>
      <c r="Q1778" s="640" t="inlineStr">
        <is>
          <t>55.75898</t>
        </is>
      </c>
      <c r="R1778" s="494" t="inlineStr">
        <is>
          <t>37.652571</t>
        </is>
      </c>
      <c r="S1778" s="387" t="n">
        <v>24</v>
      </c>
      <c r="T1778" s="436">
        <f>IF(N1778=1,O1778*S1778,"")</f>
        <v/>
      </c>
      <c r="U1778" s="436" t="n"/>
      <c r="V1778" s="387" t="n"/>
      <c r="W1778" s="387" t="n"/>
      <c r="X1778" s="387" t="n"/>
      <c r="Y1778" s="387" t="n"/>
    </row>
    <row r="1779" hidden="1" ht="16.05" customFormat="1" customHeight="1" s="126">
      <c r="A1779" s="125" t="n">
        <v>2300</v>
      </c>
      <c r="B1779" s="125" t="n"/>
      <c r="C1779" s="130" t="inlineStr">
        <is>
          <t>Архангельск</t>
        </is>
      </c>
      <c r="D1779" s="130" t="inlineStr">
        <is>
          <t>Архангельск</t>
        </is>
      </c>
      <c r="E1779" s="130" t="n"/>
      <c r="F1779" s="130" t="inlineStr">
        <is>
          <t>АЗС</t>
        </is>
      </c>
      <c r="G1779" s="130" t="inlineStr">
        <is>
          <t>Роснефть</t>
        </is>
      </c>
      <c r="H1779" s="131" t="n">
        <v>253</v>
      </c>
      <c r="I1779" s="637" t="inlineStr">
        <is>
          <t>253 Окружное</t>
        </is>
      </c>
      <c r="J1779" s="637" t="inlineStr">
        <is>
          <t>ARH_RN_Okruznoe</t>
        </is>
      </c>
      <c r="K1779" s="640" t="n">
        <v>1</v>
      </c>
      <c r="L1779" s="640" t="n">
        <v>1</v>
      </c>
      <c r="M1779" s="623" t="inlineStr">
        <is>
          <t>Samsung 32" вертикальный</t>
        </is>
      </c>
      <c r="N1779" s="640" t="n"/>
      <c r="O1779" s="640">
        <f>IF(AND(N1779=1,L1779=1),K1779,"")</f>
        <v/>
      </c>
      <c r="P1779" s="642" t="inlineStr">
        <is>
          <t>г. Архангельск, Окружное шоссе, д.3, стр. 1</t>
        </is>
      </c>
      <c r="Q1779" s="640" t="inlineStr">
        <is>
          <t>64.565773</t>
        </is>
      </c>
      <c r="R1779" s="494" t="inlineStr">
        <is>
          <t>40.566014</t>
        </is>
      </c>
      <c r="S1779" s="387" t="n"/>
      <c r="T1779" s="436" t="n"/>
      <c r="U1779" s="436" t="n">
        <v>1</v>
      </c>
      <c r="V1779" s="438">
        <f>IF(AND(N1779=1,U1779=1),C1779,"")</f>
        <v/>
      </c>
      <c r="W1779" s="387" t="n"/>
      <c r="X1779" s="387" t="n"/>
      <c r="Y1779" s="387" t="n"/>
    </row>
    <row r="1780" hidden="1" ht="16.05" customFormat="1" customHeight="1" s="126">
      <c r="A1780" s="125" t="n">
        <v>2301</v>
      </c>
      <c r="B1780" s="125" t="n"/>
      <c r="C1780" s="130" t="inlineStr">
        <is>
          <t>Архангельск</t>
        </is>
      </c>
      <c r="D1780" s="130" t="inlineStr">
        <is>
          <t>Архангельск</t>
        </is>
      </c>
      <c r="E1780" s="130" t="n"/>
      <c r="F1780" s="130" t="inlineStr">
        <is>
          <t>АЗС</t>
        </is>
      </c>
      <c r="G1780" s="130" t="inlineStr">
        <is>
          <t>Роснефть</t>
        </is>
      </c>
      <c r="H1780" s="131" t="n">
        <v>255</v>
      </c>
      <c r="I1780" s="637" t="inlineStr">
        <is>
          <t>255 Советская</t>
        </is>
      </c>
      <c r="J1780" s="637" t="inlineStr">
        <is>
          <t>ARH_RN_Sovetskaya</t>
        </is>
      </c>
      <c r="K1780" s="640" t="n">
        <v>1</v>
      </c>
      <c r="L1780" s="640" t="n">
        <v>1</v>
      </c>
      <c r="M1780" s="623" t="inlineStr">
        <is>
          <t>Samsung 32" вертикальный</t>
        </is>
      </c>
      <c r="N1780" s="640" t="n"/>
      <c r="O1780" s="640">
        <f>IF(AND(N1780=1,L1780=1),K1780,"")</f>
        <v/>
      </c>
      <c r="P1780" s="642" t="inlineStr">
        <is>
          <t>г. Архангельск, ул. Советская, д.30</t>
        </is>
      </c>
      <c r="Q1780" s="640" t="inlineStr">
        <is>
          <t>64.57963</t>
        </is>
      </c>
      <c r="R1780" s="494" t="inlineStr">
        <is>
          <t>40.515268</t>
        </is>
      </c>
      <c r="S1780" s="387" t="n"/>
      <c r="T1780" s="387" t="n"/>
      <c r="U1780" s="436" t="n">
        <v>1</v>
      </c>
      <c r="V1780" s="438">
        <f>IF(AND(N1780=1,U1780=1),C1780,"")</f>
        <v/>
      </c>
      <c r="W1780" s="387" t="n"/>
      <c r="X1780" s="387" t="n"/>
      <c r="Y1780" s="387" t="n"/>
    </row>
    <row r="1781" hidden="1" ht="16.05" customHeight="1">
      <c r="A1781" s="791" t="n">
        <v>2297</v>
      </c>
      <c r="B1781" s="13">
        <f>IF(OR(M1781="Sam 32",M1781="Sam 40"),"s",IF(M1781="AMS","a","v"))</f>
        <v/>
      </c>
      <c r="C1781" s="130" t="inlineStr">
        <is>
          <t>Владимир</t>
        </is>
      </c>
      <c r="D1781" s="130" t="inlineStr">
        <is>
          <t>Владимирская область</t>
        </is>
      </c>
      <c r="E1781" s="130" t="n"/>
      <c r="F1781" s="130" t="n"/>
      <c r="G1781" s="130" t="inlineStr">
        <is>
          <t>Лукойл</t>
        </is>
      </c>
      <c r="H1781" s="131" t="n"/>
      <c r="I1781" s="637" t="inlineStr">
        <is>
          <t>LUK_33051</t>
        </is>
      </c>
      <c r="J1781" s="402" t="inlineStr">
        <is>
          <t>VLA_LUK_0051</t>
        </is>
      </c>
      <c r="K1781" s="640" t="n">
        <v>1</v>
      </c>
      <c r="L1781" s="640" t="n">
        <v>0</v>
      </c>
      <c r="M1781" s="640" t="inlineStr">
        <is>
          <t>Sam 32</t>
        </is>
      </c>
      <c r="N1781" s="640" t="n"/>
      <c r="O1781" s="640">
        <f>IF(AND(N1781=1,L1781=1),K1781,"")</f>
        <v/>
      </c>
      <c r="P1781" s="642" t="inlineStr">
        <is>
          <t xml:space="preserve">Владимирская обл., г. Покров, ул. Ленина, д. 6   </t>
        </is>
      </c>
      <c r="Q1781" s="640" t="n"/>
      <c r="R1781" s="422" t="n"/>
      <c r="U1781" s="436" t="n"/>
      <c r="X1781" s="1" t="n"/>
      <c r="Y1781" s="1" t="n"/>
      <c r="Z1781" s="1" t="n"/>
    </row>
    <row r="1782" hidden="1" ht="16.05" customFormat="1" customHeight="1" s="126">
      <c r="A1782" s="125" t="n">
        <v>2298</v>
      </c>
      <c r="B1782" s="125" t="inlineStr">
        <is>
          <t>WF</t>
        </is>
      </c>
      <c r="C1782" s="130" t="inlineStr">
        <is>
          <t>Владимир</t>
        </is>
      </c>
      <c r="D1782" s="130" t="inlineStr">
        <is>
          <t>Владимирская область</t>
        </is>
      </c>
      <c r="E1782" s="130" t="n"/>
      <c r="F1782" s="130" t="inlineStr">
        <is>
          <t>АЗС</t>
        </is>
      </c>
      <c r="G1782" s="130" t="inlineStr">
        <is>
          <t>Лукойл</t>
        </is>
      </c>
      <c r="H1782" s="131" t="n"/>
      <c r="I1782" s="637" t="n">
        <v>33024</v>
      </c>
      <c r="J1782" s="402" t="inlineStr">
        <is>
          <t>VLA_LUK_33024</t>
        </is>
      </c>
      <c r="K1782" s="640" t="n">
        <v>1</v>
      </c>
      <c r="L1782" s="640" t="n">
        <v>0</v>
      </c>
      <c r="M1782" s="640" t="inlineStr">
        <is>
          <t>1 октября</t>
        </is>
      </c>
      <c r="N1782" s="640" t="n"/>
      <c r="O1782" s="640">
        <f>IF(AND(N1782=1,L1782=1),K1782,"")</f>
        <v/>
      </c>
      <c r="P1782" s="642" t="inlineStr">
        <is>
          <t xml:space="preserve">Россия, 601446, Владимирская обл., г. Вязники, ул. Железнодорожная, д. 2а   </t>
        </is>
      </c>
      <c r="Q1782" s="640" t="n">
        <v>56.237006</v>
      </c>
      <c r="R1782" s="422" t="n">
        <v>42.109823</v>
      </c>
      <c r="S1782" s="387" t="n"/>
      <c r="T1782" s="387" t="n"/>
      <c r="U1782" s="436" t="n"/>
      <c r="V1782" s="387" t="n"/>
      <c r="W1782" s="387" t="n"/>
      <c r="X1782" s="1" t="n"/>
      <c r="Y1782" s="1" t="n"/>
    </row>
    <row r="1783" hidden="1" ht="16.05" customFormat="1" customHeight="1" s="126">
      <c r="A1783" s="125" t="n">
        <v>2302</v>
      </c>
      <c r="B1783" s="125" t="n"/>
      <c r="C1783" s="130" t="inlineStr">
        <is>
          <t>Архангельск</t>
        </is>
      </c>
      <c r="D1783" s="130" t="inlineStr">
        <is>
          <t>Архангельская обл.</t>
        </is>
      </c>
      <c r="E1783" s="130" t="n"/>
      <c r="F1783" s="130" t="inlineStr">
        <is>
          <t>АЗС</t>
        </is>
      </c>
      <c r="G1783" s="130" t="inlineStr">
        <is>
          <t>Роснефть</t>
        </is>
      </c>
      <c r="H1783" s="131" t="n">
        <v>260</v>
      </c>
      <c r="I1783" s="637" t="inlineStr">
        <is>
          <t>260 Новодвинск</t>
        </is>
      </c>
      <c r="J1783" s="637" t="inlineStr">
        <is>
          <t>ARH_RN_Novodvinsk</t>
        </is>
      </c>
      <c r="K1783" s="640" t="n">
        <v>1</v>
      </c>
      <c r="L1783" s="640" t="n">
        <v>1</v>
      </c>
      <c r="M1783" s="623" t="inlineStr">
        <is>
          <t>Samsung 32" вертикальный</t>
        </is>
      </c>
      <c r="N1783" s="640" t="n"/>
      <c r="O1783" s="640">
        <f>IF(AND(N1783=1,L1783=1),K1783,"")</f>
        <v/>
      </c>
      <c r="P1783" s="642" t="inlineStr">
        <is>
          <t>Архангельская обл., г. Новодвинск, ул. Ворошилова, д.28</t>
        </is>
      </c>
      <c r="Q1783" s="640" t="inlineStr">
        <is>
          <t>64.421936</t>
        </is>
      </c>
      <c r="R1783" s="494" t="inlineStr">
        <is>
          <t>40.808622</t>
        </is>
      </c>
      <c r="S1783" s="387" t="n"/>
      <c r="T1783" s="387" t="n"/>
      <c r="U1783" s="436" t="n">
        <v>1</v>
      </c>
      <c r="V1783" s="438">
        <f>IF(AND(N1783=1,U1783=1),C1783,"")</f>
        <v/>
      </c>
      <c r="W1783" s="387" t="n"/>
      <c r="X1783" s="387" t="n"/>
      <c r="Y1783" s="387" t="n"/>
    </row>
    <row r="1784" hidden="1" ht="16.05" customFormat="1" customHeight="1" s="126">
      <c r="A1784" s="125" t="n">
        <v>2303</v>
      </c>
      <c r="B1784" s="125" t="n"/>
      <c r="C1784" s="130" t="inlineStr">
        <is>
          <t>Архангельск</t>
        </is>
      </c>
      <c r="D1784" s="130" t="inlineStr">
        <is>
          <t>Архангельская обл.</t>
        </is>
      </c>
      <c r="E1784" s="130" t="n"/>
      <c r="F1784" s="130" t="inlineStr">
        <is>
          <t>АЗС</t>
        </is>
      </c>
      <c r="G1784" s="130" t="inlineStr">
        <is>
          <t>Роснефть</t>
        </is>
      </c>
      <c r="H1784" s="131" t="n">
        <v>205</v>
      </c>
      <c r="I1784" s="637" t="inlineStr">
        <is>
          <t>205 Онега</t>
        </is>
      </c>
      <c r="J1784" s="637" t="inlineStr">
        <is>
          <t>ARH_RN_Onega</t>
        </is>
      </c>
      <c r="K1784" s="640" t="n">
        <v>1</v>
      </c>
      <c r="L1784" s="640" t="n">
        <v>1</v>
      </c>
      <c r="M1784" s="623" t="inlineStr">
        <is>
          <t>Samsung 32" вертикальный</t>
        </is>
      </c>
      <c r="N1784" s="640" t="n"/>
      <c r="O1784" s="640">
        <f>IF(AND(N1784=1,L1784=1),K1784,"")</f>
        <v/>
      </c>
      <c r="P1784" s="642" t="inlineStr">
        <is>
          <t>Архангельская обл., г. Онега, ул. Хайнозерская, д.25</t>
        </is>
      </c>
      <c r="Q1784" s="640" t="inlineStr">
        <is>
          <t>63.925976</t>
        </is>
      </c>
      <c r="R1784" s="494" t="inlineStr">
        <is>
          <t>38.080411</t>
        </is>
      </c>
      <c r="S1784" s="387" t="n"/>
      <c r="T1784" s="387" t="n"/>
      <c r="U1784" s="436" t="n"/>
      <c r="V1784" s="438" t="n"/>
      <c r="W1784" s="387" t="n"/>
      <c r="X1784" s="387" t="n"/>
      <c r="Y1784" s="387" t="n"/>
    </row>
    <row r="1785" hidden="1" ht="16.05" customFormat="1" customHeight="1" s="126">
      <c r="A1785" s="125" t="n">
        <v>2304</v>
      </c>
      <c r="B1785" s="125" t="n"/>
      <c r="C1785" s="130" t="inlineStr">
        <is>
          <t>Архангельск</t>
        </is>
      </c>
      <c r="D1785" s="130" t="inlineStr">
        <is>
          <t>Архангельская обл.</t>
        </is>
      </c>
      <c r="E1785" s="130" t="n"/>
      <c r="F1785" s="130" t="inlineStr">
        <is>
          <t>АЗС</t>
        </is>
      </c>
      <c r="G1785" s="130" t="inlineStr">
        <is>
          <t>Роснефть</t>
        </is>
      </c>
      <c r="H1785" s="131" t="n">
        <v>202</v>
      </c>
      <c r="I1785" s="637" t="inlineStr">
        <is>
          <t>202 Котлас-2</t>
        </is>
      </c>
      <c r="J1785" s="637" t="inlineStr">
        <is>
          <t>ARH_RN_Kotlas-2</t>
        </is>
      </c>
      <c r="K1785" s="640" t="n">
        <v>1</v>
      </c>
      <c r="L1785" s="640" t="n">
        <v>1</v>
      </c>
      <c r="M1785" s="623" t="inlineStr">
        <is>
          <t>Samsung 32" вертикальный</t>
        </is>
      </c>
      <c r="N1785" s="640" t="n"/>
      <c r="O1785" s="640">
        <f>IF(AND(N1785=1,L1785=1),K1785,"")</f>
        <v/>
      </c>
      <c r="P1785" s="642" t="inlineStr">
        <is>
          <t>Архангельская обл., г. Котлас, ул Чиркова, д.41</t>
        </is>
      </c>
      <c r="Q1785" s="640" t="inlineStr">
        <is>
          <t>61.24518</t>
        </is>
      </c>
      <c r="R1785" s="494" t="inlineStr">
        <is>
          <t>46.690458</t>
        </is>
      </c>
      <c r="S1785" s="387" t="n"/>
      <c r="T1785" s="387" t="n"/>
      <c r="U1785" s="436" t="n"/>
      <c r="V1785" s="387" t="n"/>
      <c r="W1785" s="387" t="n"/>
      <c r="X1785" s="387" t="n"/>
      <c r="Y1785" s="387" t="n"/>
    </row>
    <row r="1786" hidden="1" ht="16.05" customFormat="1" customHeight="1" s="126">
      <c r="A1786" s="125" t="n">
        <v>2305</v>
      </c>
      <c r="B1786" s="125" t="n"/>
      <c r="C1786" s="130" t="inlineStr">
        <is>
          <t>Архангельск</t>
        </is>
      </c>
      <c r="D1786" s="130" t="inlineStr">
        <is>
          <t>Архангельская обл.</t>
        </is>
      </c>
      <c r="E1786" s="130" t="n"/>
      <c r="F1786" s="130" t="inlineStr">
        <is>
          <t>АЗС</t>
        </is>
      </c>
      <c r="G1786" s="130" t="inlineStr">
        <is>
          <t>Роснефть</t>
        </is>
      </c>
      <c r="H1786" s="131" t="n">
        <v>203</v>
      </c>
      <c r="I1786" s="637" t="inlineStr">
        <is>
          <t>203Коряжма</t>
        </is>
      </c>
      <c r="J1786" s="637" t="inlineStr">
        <is>
          <t>ARH_RN_Koryajma</t>
        </is>
      </c>
      <c r="K1786" s="640" t="n">
        <v>1</v>
      </c>
      <c r="L1786" s="640" t="n">
        <v>1</v>
      </c>
      <c r="M1786" s="623" t="inlineStr">
        <is>
          <t>Samsung 32" вертикальный</t>
        </is>
      </c>
      <c r="N1786" s="640" t="n"/>
      <c r="O1786" s="640">
        <f>IF(AND(N1786=1,L1786=1),K1786,"")</f>
        <v/>
      </c>
      <c r="P1786" s="642" t="inlineStr">
        <is>
          <t>Архангельская обл., г. Коряжма, Магистральное шоссе, д.13</t>
        </is>
      </c>
      <c r="Q1786" s="640" t="inlineStr">
        <is>
          <t>61.30709</t>
        </is>
      </c>
      <c r="R1786" s="494" t="inlineStr">
        <is>
          <t>47.154034</t>
        </is>
      </c>
      <c r="S1786" s="387" t="n"/>
      <c r="T1786" s="387" t="n"/>
      <c r="U1786" s="436" t="n"/>
      <c r="V1786" s="387" t="n"/>
      <c r="W1786" s="387" t="n"/>
      <c r="X1786" s="387" t="n"/>
      <c r="Y1786" s="387" t="n"/>
    </row>
    <row r="1787" hidden="1" ht="16.05" customFormat="1" customHeight="1" s="126">
      <c r="A1787" s="125" t="n">
        <v>2306</v>
      </c>
      <c r="B1787" s="125" t="n"/>
      <c r="C1787" s="130" t="inlineStr">
        <is>
          <t>Архангельск</t>
        </is>
      </c>
      <c r="D1787" s="130" t="inlineStr">
        <is>
          <t>Архангельская обл.</t>
        </is>
      </c>
      <c r="E1787" s="130" t="n"/>
      <c r="F1787" s="130" t="inlineStr">
        <is>
          <t>АЗС</t>
        </is>
      </c>
      <c r="G1787" s="130" t="inlineStr">
        <is>
          <t>Роснефть</t>
        </is>
      </c>
      <c r="H1787" s="131" t="n">
        <v>227</v>
      </c>
      <c r="I1787" s="637" t="inlineStr">
        <is>
          <t>227 Красноборск</t>
        </is>
      </c>
      <c r="J1787" s="637" t="inlineStr">
        <is>
          <t>ARH_RN_Krasnoborsk</t>
        </is>
      </c>
      <c r="K1787" s="640" t="n">
        <v>1</v>
      </c>
      <c r="L1787" s="640" t="n">
        <v>1</v>
      </c>
      <c r="M1787" s="623" t="inlineStr">
        <is>
          <t>Samsung 32" вертикальный</t>
        </is>
      </c>
      <c r="N1787" s="640" t="n"/>
      <c r="O1787" s="640">
        <f>IF(AND(N1787=1,L1787=1),K1787,"")</f>
        <v/>
      </c>
      <c r="P1787" s="642" t="inlineStr">
        <is>
          <t>Архангельская обл., с. Красноборск, ул. Гагарина, д.121-а</t>
        </is>
      </c>
      <c r="Q1787" s="640" t="inlineStr">
        <is>
          <t>61.560338</t>
        </is>
      </c>
      <c r="R1787" s="494" t="inlineStr">
        <is>
          <t>45.913245</t>
        </is>
      </c>
      <c r="S1787" s="387" t="n"/>
      <c r="T1787" s="387" t="n"/>
      <c r="U1787" s="436" t="n"/>
      <c r="V1787" s="387" t="n"/>
      <c r="W1787" s="387" t="n"/>
      <c r="X1787" s="387" t="n"/>
      <c r="Y1787" s="387" t="n"/>
    </row>
    <row r="1788" hidden="1" ht="16.05" customFormat="1" customHeight="1" s="126">
      <c r="A1788" s="125" t="n">
        <v>2307</v>
      </c>
      <c r="B1788" s="125" t="n"/>
      <c r="C1788" s="130" t="inlineStr">
        <is>
          <t>Архангельск</t>
        </is>
      </c>
      <c r="D1788" s="130" t="inlineStr">
        <is>
          <t>Архангельская обл.</t>
        </is>
      </c>
      <c r="E1788" s="130" t="n"/>
      <c r="F1788" s="130" t="inlineStr">
        <is>
          <t>АЗС</t>
        </is>
      </c>
      <c r="G1788" s="130" t="inlineStr">
        <is>
          <t>Роснефть</t>
        </is>
      </c>
      <c r="H1788" s="131" t="n">
        <v>234</v>
      </c>
      <c r="I1788" s="637" t="inlineStr">
        <is>
          <t>234 Ильинско-Подомское</t>
        </is>
      </c>
      <c r="J1788" s="637" t="inlineStr">
        <is>
          <t>ARH_RN_Ilinsko-Podomskoe</t>
        </is>
      </c>
      <c r="K1788" s="640" t="n">
        <v>1</v>
      </c>
      <c r="L1788" s="640" t="n">
        <v>1</v>
      </c>
      <c r="M1788" s="623" t="inlineStr">
        <is>
          <t>Samsung 32" вертикальный</t>
        </is>
      </c>
      <c r="N1788" s="640" t="n"/>
      <c r="O1788" s="640">
        <f>IF(AND(N1788=1,L1788=1),K1788,"")</f>
        <v/>
      </c>
      <c r="P1788" s="642" t="inlineStr">
        <is>
          <t>Архангельская обл., Вилегодский р-н, МО"Ильинское", д.Воронцово</t>
        </is>
      </c>
      <c r="Q1788" s="640" t="inlineStr">
        <is>
          <t>61.107824</t>
        </is>
      </c>
      <c r="R1788" s="494" t="inlineStr">
        <is>
          <t>47.999636</t>
        </is>
      </c>
      <c r="S1788" s="387" t="n"/>
      <c r="T1788" s="387" t="n"/>
      <c r="U1788" s="436" t="n"/>
      <c r="V1788" s="387" t="n"/>
      <c r="W1788" s="387" t="n"/>
      <c r="X1788" s="387" t="n"/>
      <c r="Y1788" s="387" t="n"/>
    </row>
    <row r="1789" hidden="1" ht="16.05" customFormat="1" customHeight="1" s="126">
      <c r="A1789" s="125" t="n">
        <v>2308</v>
      </c>
      <c r="B1789" s="125" t="n"/>
      <c r="C1789" s="130" t="inlineStr">
        <is>
          <t>Архангельск</t>
        </is>
      </c>
      <c r="D1789" s="130" t="inlineStr">
        <is>
          <t>Архангельская обл.</t>
        </is>
      </c>
      <c r="E1789" s="130" t="n"/>
      <c r="F1789" s="130" t="inlineStr">
        <is>
          <t>АЗС</t>
        </is>
      </c>
      <c r="G1789" s="130" t="inlineStr">
        <is>
          <t>Роснефть</t>
        </is>
      </c>
      <c r="H1789" s="131" t="n">
        <v>222</v>
      </c>
      <c r="I1789" s="637" t="inlineStr">
        <is>
          <t>222 Коноша</t>
        </is>
      </c>
      <c r="J1789" s="637" t="inlineStr">
        <is>
          <t>ARH_RN_Konosha</t>
        </is>
      </c>
      <c r="K1789" s="640" t="n">
        <v>1</v>
      </c>
      <c r="L1789" s="640" t="n">
        <v>1</v>
      </c>
      <c r="M1789" s="623" t="inlineStr">
        <is>
          <t>Samsung 32" вертикальный</t>
        </is>
      </c>
      <c r="N1789" s="640" t="n"/>
      <c r="O1789" s="640">
        <f>IF(AND(N1789=1,L1789=1),K1789,"")</f>
        <v/>
      </c>
      <c r="P1789" s="642" t="inlineStr">
        <is>
          <t>Архангельская обл., п. Коноша, ул. Советская, д.99</t>
        </is>
      </c>
      <c r="Q1789" s="640" t="inlineStr">
        <is>
          <t>60.983049</t>
        </is>
      </c>
      <c r="R1789" s="494" t="inlineStr">
        <is>
          <t>40.282784</t>
        </is>
      </c>
      <c r="S1789" s="387" t="n"/>
      <c r="T1789" s="387" t="n"/>
      <c r="U1789" s="436" t="n"/>
      <c r="V1789" s="387" t="n"/>
      <c r="W1789" s="387" t="n"/>
      <c r="X1789" s="387" t="n"/>
      <c r="Y1789" s="387" t="n"/>
    </row>
    <row r="1790" hidden="1" ht="16.05" customFormat="1" customHeight="1" s="126">
      <c r="A1790" s="125" t="n">
        <v>2309</v>
      </c>
      <c r="B1790" s="125" t="n"/>
      <c r="C1790" s="130" t="inlineStr">
        <is>
          <t>Архангельск</t>
        </is>
      </c>
      <c r="D1790" s="130" t="inlineStr">
        <is>
          <t>Архангельская обл.</t>
        </is>
      </c>
      <c r="E1790" s="130" t="n"/>
      <c r="F1790" s="130" t="inlineStr">
        <is>
          <t>АЗС</t>
        </is>
      </c>
      <c r="G1790" s="130" t="inlineStr">
        <is>
          <t>Роснефть</t>
        </is>
      </c>
      <c r="H1790" s="131" t="n">
        <v>240</v>
      </c>
      <c r="I1790" s="637" t="inlineStr">
        <is>
          <t>240 Октябрьский</t>
        </is>
      </c>
      <c r="J1790" s="637" t="inlineStr">
        <is>
          <t>ARH_RN_Oktyabrskiy</t>
        </is>
      </c>
      <c r="K1790" s="640" t="n">
        <v>1</v>
      </c>
      <c r="L1790" s="640" t="n">
        <v>1</v>
      </c>
      <c r="M1790" s="623" t="inlineStr">
        <is>
          <t>Samsung 32" вертикальный</t>
        </is>
      </c>
      <c r="N1790" s="640" t="n"/>
      <c r="O1790" s="640">
        <f>IF(AND(N1790=1,L1790=1),K1790,"")</f>
        <v/>
      </c>
      <c r="P1790" s="642" t="inlineStr">
        <is>
          <t>Архангельская обл., Устьянский р-н, п. Октябрьский, ул.Заводская, д.35-а</t>
        </is>
      </c>
      <c r="Q1790" s="640" t="inlineStr">
        <is>
          <t>61.089795</t>
        </is>
      </c>
      <c r="R1790" s="494" t="inlineStr">
        <is>
          <t>43.147341</t>
        </is>
      </c>
      <c r="S1790" s="387" t="n"/>
      <c r="T1790" s="387" t="n"/>
      <c r="U1790" s="436" t="n"/>
      <c r="V1790" s="387" t="n"/>
      <c r="W1790" s="387" t="n"/>
      <c r="X1790" s="387" t="n"/>
      <c r="Y1790" s="387" t="n"/>
    </row>
    <row r="1791" hidden="1" ht="16.05" customFormat="1" customHeight="1" s="126">
      <c r="A1791" s="125" t="n">
        <v>2310</v>
      </c>
      <c r="B1791" s="125" t="n"/>
      <c r="C1791" s="130" t="inlineStr">
        <is>
          <t>Архангельск</t>
        </is>
      </c>
      <c r="D1791" s="130" t="inlineStr">
        <is>
          <t>Архангельская обл.</t>
        </is>
      </c>
      <c r="E1791" s="130" t="n"/>
      <c r="F1791" s="130" t="inlineStr">
        <is>
          <t>АЗС</t>
        </is>
      </c>
      <c r="G1791" s="130" t="inlineStr">
        <is>
          <t>Роснефть</t>
        </is>
      </c>
      <c r="H1791" s="131" t="n">
        <v>247</v>
      </c>
      <c r="I1791" s="637" t="inlineStr">
        <is>
          <t>247 Лесобаза</t>
        </is>
      </c>
      <c r="J1791" s="637" t="inlineStr">
        <is>
          <t>ARH_RN_Lesobaza</t>
        </is>
      </c>
      <c r="K1791" s="640" t="n">
        <v>1</v>
      </c>
      <c r="L1791" s="640" t="n">
        <v>1</v>
      </c>
      <c r="M1791" s="623" t="inlineStr">
        <is>
          <t>Samsung 32" вертикальный</t>
        </is>
      </c>
      <c r="N1791" s="640" t="n"/>
      <c r="O1791" s="640">
        <f>IF(AND(N1791=1,L1791=1),K1791,"")</f>
        <v/>
      </c>
      <c r="P1791" s="642" t="inlineStr">
        <is>
          <t>Архангельская обл., г. Вельск, п. Лесобаза, ул. Климовского, д. 49</t>
        </is>
      </c>
      <c r="Q1791" s="640" t="inlineStr">
        <is>
          <t>61.050149</t>
        </is>
      </c>
      <c r="R1791" s="494" t="inlineStr">
        <is>
          <t>42.15561</t>
        </is>
      </c>
      <c r="S1791" s="387" t="n"/>
      <c r="T1791" s="387" t="n"/>
      <c r="U1791" s="436" t="n"/>
      <c r="V1791" s="387" t="n"/>
      <c r="W1791" s="387" t="n"/>
      <c r="X1791" s="387" t="n"/>
      <c r="Y1791" s="387" t="n"/>
    </row>
    <row r="1792" hidden="1" ht="16.05" customFormat="1" customHeight="1" s="126">
      <c r="A1792" s="125" t="n">
        <v>2311</v>
      </c>
      <c r="B1792" s="125" t="n"/>
      <c r="C1792" s="130" t="inlineStr">
        <is>
          <t>Архангельск</t>
        </is>
      </c>
      <c r="D1792" s="130" t="inlineStr">
        <is>
          <t>Архангельская обл.</t>
        </is>
      </c>
      <c r="E1792" s="130" t="n"/>
      <c r="F1792" s="130" t="inlineStr">
        <is>
          <t>АЗС</t>
        </is>
      </c>
      <c r="G1792" s="130" t="inlineStr">
        <is>
          <t>Роснефть</t>
        </is>
      </c>
      <c r="H1792" s="131" t="n">
        <v>244</v>
      </c>
      <c r="I1792" s="637" t="inlineStr">
        <is>
          <t>244 Березник</t>
        </is>
      </c>
      <c r="J1792" s="637" t="inlineStr">
        <is>
          <t>ARH_RN_Bereznik</t>
        </is>
      </c>
      <c r="K1792" s="640" t="n">
        <v>1</v>
      </c>
      <c r="L1792" s="640" t="n">
        <v>1</v>
      </c>
      <c r="M1792" s="623" t="inlineStr">
        <is>
          <t>Samsung 32" вертикальный</t>
        </is>
      </c>
      <c r="N1792" s="640" t="n"/>
      <c r="O1792" s="640">
        <f>IF(AND(N1792=1,L1792=1),K1792,"")</f>
        <v/>
      </c>
      <c r="P1792" s="642" t="inlineStr">
        <is>
          <t>Архангельская обл., Виноградовский р-н, п. Двинской Березник, массив придорожный</t>
        </is>
      </c>
      <c r="Q1792" s="640" t="inlineStr">
        <is>
          <t>62.841143</t>
        </is>
      </c>
      <c r="R1792" s="494" t="inlineStr">
        <is>
          <t>42.7536</t>
        </is>
      </c>
      <c r="S1792" s="387" t="n"/>
      <c r="T1792" s="387" t="n"/>
      <c r="U1792" s="436" t="n"/>
      <c r="V1792" s="387" t="n"/>
      <c r="W1792" s="387" t="n"/>
      <c r="X1792" s="387" t="n"/>
      <c r="Y1792" s="387" t="n"/>
    </row>
    <row r="1793" hidden="1" ht="16.05" customFormat="1" customHeight="1" s="126">
      <c r="A1793" s="125" t="n">
        <v>2312</v>
      </c>
      <c r="B1793" s="125" t="n"/>
      <c r="C1793" s="130" t="inlineStr">
        <is>
          <t>Архангельск</t>
        </is>
      </c>
      <c r="D1793" s="130" t="inlineStr">
        <is>
          <t>Архангельская обл.</t>
        </is>
      </c>
      <c r="E1793" s="130" t="n"/>
      <c r="F1793" s="130" t="inlineStr">
        <is>
          <t>АЗС</t>
        </is>
      </c>
      <c r="G1793" s="130" t="inlineStr">
        <is>
          <t>Роснефть</t>
        </is>
      </c>
      <c r="H1793" s="131" t="n">
        <v>252</v>
      </c>
      <c r="I1793" s="637" t="inlineStr">
        <is>
          <t>252 Брин-Наволок</t>
        </is>
      </c>
      <c r="J1793" s="637" t="inlineStr">
        <is>
          <t>ARH_RN_Brin-Navolok</t>
        </is>
      </c>
      <c r="K1793" s="640" t="n">
        <v>1</v>
      </c>
      <c r="L1793" s="640" t="n">
        <v>1</v>
      </c>
      <c r="M1793" s="623" t="inlineStr">
        <is>
          <t>Samsung 32" вертикальный</t>
        </is>
      </c>
      <c r="N1793" s="640" t="n"/>
      <c r="O1793" s="640">
        <f>IF(AND(N1793=1,L1793=1),K1793,"")</f>
        <v/>
      </c>
      <c r="P1793" s="642" t="inlineStr">
        <is>
          <t>Архангельская обл., Холмогорский р-н, п. Брин-Наволок развилка а/д "Москва-Архангельск"</t>
        </is>
      </c>
      <c r="Q1793" s="640" t="inlineStr">
        <is>
          <t>63.736134</t>
        </is>
      </c>
      <c r="R1793" s="494" t="inlineStr">
        <is>
          <t>41.410243</t>
        </is>
      </c>
      <c r="S1793" s="387" t="n"/>
      <c r="T1793" s="387" t="n"/>
      <c r="U1793" s="436" t="n"/>
      <c r="V1793" s="387" t="n"/>
      <c r="W1793" s="387" t="n"/>
      <c r="X1793" s="387" t="n"/>
      <c r="Y1793" s="387" t="n"/>
    </row>
    <row r="1794" hidden="1" ht="16.05" customFormat="1" customHeight="1" s="126">
      <c r="A1794" s="125" t="n">
        <v>2313</v>
      </c>
      <c r="B1794" s="125" t="n"/>
      <c r="C1794" s="130" t="inlineStr">
        <is>
          <t>Архангельск</t>
        </is>
      </c>
      <c r="D1794" s="130" t="inlineStr">
        <is>
          <t>Архангельская обл.</t>
        </is>
      </c>
      <c r="E1794" s="130" t="n"/>
      <c r="F1794" s="130" t="inlineStr">
        <is>
          <t>АЗС</t>
        </is>
      </c>
      <c r="G1794" s="130" t="inlineStr">
        <is>
          <t>Роснефть</t>
        </is>
      </c>
      <c r="H1794" s="131" t="n">
        <v>254</v>
      </c>
      <c r="I1794" s="637" t="inlineStr">
        <is>
          <t>254 Плесецк-1</t>
        </is>
      </c>
      <c r="J1794" s="637" t="inlineStr">
        <is>
          <t>ARH_RN_Pleseck-1</t>
        </is>
      </c>
      <c r="K1794" s="640" t="n">
        <v>1</v>
      </c>
      <c r="L1794" s="640" t="n">
        <v>0</v>
      </c>
      <c r="M1794" s="623" t="inlineStr">
        <is>
          <t>Samsung 32" вертикальный</t>
        </is>
      </c>
      <c r="N1794" s="640" t="n"/>
      <c r="O1794" s="640">
        <f>IF(AND(N1794=1,L1794=1),K1794,"")</f>
        <v/>
      </c>
      <c r="P1794" s="642" t="inlineStr">
        <is>
          <t>Архангельская обл., Плесецкий р-н, 176 км а/д Архангельск-Каргополь-Вытегра</t>
        </is>
      </c>
      <c r="Q1794" s="640" t="inlineStr">
        <is>
          <t>62.704186</t>
        </is>
      </c>
      <c r="R1794" s="494" t="inlineStr">
        <is>
          <t>40.242295</t>
        </is>
      </c>
      <c r="S1794" s="387" t="n"/>
      <c r="T1794" s="387" t="n"/>
      <c r="U1794" s="436" t="n"/>
      <c r="V1794" s="387" t="n"/>
      <c r="W1794" s="387" t="n"/>
      <c r="X1794" s="387" t="n"/>
      <c r="Y1794" s="387" t="n"/>
    </row>
    <row r="1795" hidden="1" ht="16.05" customFormat="1" customHeight="1" s="126">
      <c r="A1795" s="125" t="n">
        <v>2314</v>
      </c>
      <c r="B1795" s="125" t="n"/>
      <c r="C1795" s="130" t="inlineStr">
        <is>
          <t>Ростов-на-Дону</t>
        </is>
      </c>
      <c r="D1795" s="130" t="inlineStr">
        <is>
          <t>Ростов-на-Дону</t>
        </is>
      </c>
      <c r="E1795" s="130" t="n"/>
      <c r="F1795" s="130" t="inlineStr">
        <is>
          <t>АЗС</t>
        </is>
      </c>
      <c r="G1795" s="130" t="inlineStr">
        <is>
          <t>Роснефть</t>
        </is>
      </c>
      <c r="H1795" s="131" t="n"/>
      <c r="I1795" s="637" t="n">
        <v>2</v>
      </c>
      <c r="J1795" s="637" t="inlineStr">
        <is>
          <t>RND_RN_0002</t>
        </is>
      </c>
      <c r="K1795" s="640" t="n">
        <v>1</v>
      </c>
      <c r="L1795" s="640" t="n">
        <v>1</v>
      </c>
      <c r="M1795" s="623" t="inlineStr">
        <is>
          <t>Samsung 32" вертикальный</t>
        </is>
      </c>
      <c r="N1795" s="640" t="n"/>
      <c r="O1795" s="640">
        <f>IF(AND(N1795=1,L1795=1),K1795,"")</f>
        <v/>
      </c>
      <c r="P1795" s="642" t="inlineStr">
        <is>
          <t>РО, г. Ростов-на-Дону, пр. 40-летия Победы, д. 2г/51</t>
        </is>
      </c>
      <c r="Q1795" s="640" t="inlineStr">
        <is>
          <t>47.233111</t>
        </is>
      </c>
      <c r="R1795" s="494" t="inlineStr">
        <is>
          <t>39.786716</t>
        </is>
      </c>
      <c r="S1795" s="387" t="n"/>
      <c r="T1795" s="387" t="n"/>
      <c r="U1795" s="436" t="n"/>
      <c r="V1795" s="387" t="n"/>
      <c r="W1795" s="387" t="n"/>
      <c r="X1795" s="387" t="n"/>
      <c r="Y1795" s="387" t="n"/>
    </row>
    <row r="1796" hidden="1" ht="16.05" customFormat="1" customHeight="1" s="126">
      <c r="A1796" s="125" t="n">
        <v>2315</v>
      </c>
      <c r="B1796" s="125" t="n"/>
      <c r="C1796" s="130" t="inlineStr">
        <is>
          <t>Ростов-на-Дону</t>
        </is>
      </c>
      <c r="D1796" s="130" t="inlineStr">
        <is>
          <t>Ростов-на-Дону</t>
        </is>
      </c>
      <c r="E1796" s="130" t="n"/>
      <c r="F1796" s="130" t="inlineStr">
        <is>
          <t>АЗС</t>
        </is>
      </c>
      <c r="G1796" s="130" t="inlineStr">
        <is>
          <t>Роснефть</t>
        </is>
      </c>
      <c r="H1796" s="131" t="n"/>
      <c r="I1796" s="637" t="n">
        <v>8</v>
      </c>
      <c r="J1796" s="637" t="inlineStr">
        <is>
          <t>RND_RN_0008</t>
        </is>
      </c>
      <c r="K1796" s="640" t="n">
        <v>1</v>
      </c>
      <c r="L1796" s="640" t="n">
        <v>1</v>
      </c>
      <c r="M1796" s="623" t="inlineStr">
        <is>
          <t>Samsung 32" вертикальный</t>
        </is>
      </c>
      <c r="N1796" s="640" t="n"/>
      <c r="O1796" s="640">
        <f>IF(AND(N1796=1,L1796=1),K1796,"")</f>
        <v/>
      </c>
      <c r="P1796" s="642" t="inlineStr">
        <is>
          <t>РО, г.Ростов-на-Дону, ул. Штахановского,28/1</t>
        </is>
      </c>
      <c r="Q1796" s="640" t="inlineStr">
        <is>
          <t>47.292129</t>
        </is>
      </c>
      <c r="R1796" s="494" t="inlineStr">
        <is>
          <t>39.733518</t>
        </is>
      </c>
      <c r="S1796" s="387" t="n"/>
      <c r="T1796" s="387" t="n"/>
      <c r="U1796" s="436" t="n"/>
      <c r="V1796" s="387" t="n"/>
      <c r="W1796" s="387" t="n"/>
      <c r="X1796" s="387" t="n"/>
      <c r="Y1796" s="387" t="n"/>
    </row>
    <row r="1797" hidden="1" ht="16.05" customFormat="1" customHeight="1" s="126">
      <c r="A1797" s="125" t="n">
        <v>2316</v>
      </c>
      <c r="B1797" s="125" t="n"/>
      <c r="C1797" s="130" t="inlineStr">
        <is>
          <t>Ростов-на-Дону</t>
        </is>
      </c>
      <c r="D1797" s="130" t="inlineStr">
        <is>
          <t>Ростов-на-Дону</t>
        </is>
      </c>
      <c r="E1797" s="130" t="n"/>
      <c r="F1797" s="130" t="inlineStr">
        <is>
          <t>АЗС</t>
        </is>
      </c>
      <c r="G1797" s="130" t="inlineStr">
        <is>
          <t>Роснефть</t>
        </is>
      </c>
      <c r="H1797" s="131" t="n"/>
      <c r="I1797" s="637" t="n">
        <v>99</v>
      </c>
      <c r="J1797" s="637" t="inlineStr">
        <is>
          <t>RND_RN_0099</t>
        </is>
      </c>
      <c r="K1797" s="640" t="n">
        <v>1</v>
      </c>
      <c r="L1797" s="640" t="n">
        <v>1</v>
      </c>
      <c r="M1797" s="623" t="inlineStr">
        <is>
          <t>Samsung 32" вертикальный</t>
        </is>
      </c>
      <c r="N1797" s="640" t="n"/>
      <c r="O1797" s="640">
        <f>IF(AND(N1797=1,L1797=1),K1797,"")</f>
        <v/>
      </c>
      <c r="P1797" s="642" t="inlineStr">
        <is>
          <t>РО, г. Ростов-на-Дону,  ул. Менжинского, 2Б</t>
        </is>
      </c>
      <c r="Q1797" s="640" t="n">
        <v>47.259109</v>
      </c>
      <c r="R1797" s="422" t="n">
        <v>39.765633</v>
      </c>
      <c r="S1797" s="387" t="n"/>
      <c r="T1797" s="387" t="n"/>
      <c r="U1797" s="436" t="n"/>
      <c r="V1797" s="387" t="n"/>
      <c r="W1797" s="387" t="n"/>
      <c r="X1797" s="387" t="n"/>
      <c r="Y1797" s="387" t="n"/>
    </row>
    <row r="1798" hidden="1" ht="16.05" customFormat="1" customHeight="1" s="126">
      <c r="A1798" s="125" t="n">
        <v>2389</v>
      </c>
      <c r="B1798" s="125" t="n"/>
      <c r="C1798" s="130" t="inlineStr">
        <is>
          <t>Ростов-на-Дону</t>
        </is>
      </c>
      <c r="D1798" s="130" t="inlineStr">
        <is>
          <t>Ростовская область</t>
        </is>
      </c>
      <c r="E1798" s="130" t="n"/>
      <c r="F1798" s="130" t="inlineStr">
        <is>
          <t>АЗС</t>
        </is>
      </c>
      <c r="G1798" s="130" t="inlineStr">
        <is>
          <t>Роснефть</t>
        </is>
      </c>
      <c r="H1798" s="131" t="n"/>
      <c r="I1798" s="637" t="n">
        <v>11</v>
      </c>
      <c r="J1798" s="637" t="inlineStr">
        <is>
          <t>RND_RN_0011</t>
        </is>
      </c>
      <c r="K1798" s="640" t="n">
        <v>1</v>
      </c>
      <c r="L1798" s="640" t="n">
        <v>1</v>
      </c>
      <c r="M1798" s="623" t="inlineStr">
        <is>
          <t>Samsung 32" вертикальный</t>
        </is>
      </c>
      <c r="N1798" s="640" t="n"/>
      <c r="O1798" s="640">
        <f>IF(AND(N1798=1,L1798=1),K1798,"")</f>
        <v/>
      </c>
      <c r="P1798" s="642" t="inlineStr">
        <is>
          <t>Ростовская область, г. Батайск, Самарское шоссе, 19</t>
        </is>
      </c>
      <c r="Q1798" s="640" t="inlineStr">
        <is>
          <t>47.067682</t>
        </is>
      </c>
      <c r="R1798" s="494" t="inlineStr">
        <is>
          <t>39.74741</t>
        </is>
      </c>
      <c r="S1798" s="387" t="n"/>
      <c r="T1798" s="387" t="n"/>
      <c r="U1798" s="436" t="n"/>
      <c r="V1798" s="387" t="n"/>
      <c r="W1798" s="387" t="n"/>
      <c r="X1798" s="387" t="n"/>
      <c r="Y1798" s="387" t="n"/>
    </row>
    <row r="1799" hidden="1" ht="16.05" customFormat="1" customHeight="1" s="126">
      <c r="A1799" s="125" t="n">
        <v>2390</v>
      </c>
      <c r="B1799" s="125" t="n"/>
      <c r="C1799" s="130" t="inlineStr">
        <is>
          <t>Ростов-на-Дону</t>
        </is>
      </c>
      <c r="D1799" s="130" t="inlineStr">
        <is>
          <t>Ростовская область</t>
        </is>
      </c>
      <c r="E1799" s="130" t="n"/>
      <c r="F1799" s="130" t="inlineStr">
        <is>
          <t>АЗС</t>
        </is>
      </c>
      <c r="G1799" s="130" t="inlineStr">
        <is>
          <t>Роснефть</t>
        </is>
      </c>
      <c r="H1799" s="131" t="n"/>
      <c r="I1799" s="637" t="n">
        <v>56</v>
      </c>
      <c r="J1799" s="637" t="inlineStr">
        <is>
          <t>RND_RN_0056</t>
        </is>
      </c>
      <c r="K1799" s="640" t="n">
        <v>1</v>
      </c>
      <c r="L1799" s="640" t="n">
        <v>1</v>
      </c>
      <c r="M1799" s="623" t="inlineStr">
        <is>
          <t>Samsung 32" вертикальный</t>
        </is>
      </c>
      <c r="N1799" s="640" t="n"/>
      <c r="O1799" s="640">
        <f>IF(AND(N1799=1,L1799=1),K1799,"")</f>
        <v/>
      </c>
      <c r="P1799" s="642" t="inlineStr">
        <is>
          <t>Ростовская область, Октябрьский р-н, 1009км а/д Воронеж-Ростов-на-Дону</t>
        </is>
      </c>
      <c r="Q1799" s="640" t="inlineStr">
        <is>
          <t>47.649152</t>
        </is>
      </c>
      <c r="R1799" s="494" t="inlineStr">
        <is>
          <t>40.024781</t>
        </is>
      </c>
      <c r="S1799" s="387" t="n"/>
      <c r="T1799" s="387" t="n"/>
      <c r="U1799" s="436" t="n"/>
      <c r="V1799" s="387" t="n"/>
      <c r="W1799" s="387" t="n"/>
      <c r="X1799" s="387" t="n"/>
      <c r="Y1799" s="387" t="n"/>
    </row>
    <row r="1800" hidden="1" ht="16.05" customFormat="1" customHeight="1" s="126">
      <c r="A1800" s="125" t="n">
        <v>2391</v>
      </c>
      <c r="B1800" s="125" t="n"/>
      <c r="C1800" s="130" t="inlineStr">
        <is>
          <t>Ростов-на-Дону</t>
        </is>
      </c>
      <c r="D1800" s="130" t="inlineStr">
        <is>
          <t>Ростовская область</t>
        </is>
      </c>
      <c r="E1800" s="130" t="n"/>
      <c r="F1800" s="130" t="inlineStr">
        <is>
          <t>АЗС</t>
        </is>
      </c>
      <c r="G1800" s="130" t="inlineStr">
        <is>
          <t>Роснефть</t>
        </is>
      </c>
      <c r="H1800" s="131" t="n"/>
      <c r="I1800" s="637" t="n">
        <v>58</v>
      </c>
      <c r="J1800" s="637" t="inlineStr">
        <is>
          <t>RND_RN_0058</t>
        </is>
      </c>
      <c r="K1800" s="640" t="n">
        <v>1</v>
      </c>
      <c r="L1800" s="640" t="n">
        <v>1</v>
      </c>
      <c r="M1800" s="623" t="inlineStr">
        <is>
          <t>Samsung 32" вертикальный</t>
        </is>
      </c>
      <c r="N1800" s="640" t="n"/>
      <c r="O1800" s="640">
        <f>IF(AND(N1800=1,L1800=1),K1800,"")</f>
        <v/>
      </c>
      <c r="P1800" s="642" t="inlineStr">
        <is>
          <t>Ростовская область,  Чертковский район, а/м М-4 "Дон-2", 801 км+200м</t>
        </is>
      </c>
      <c r="Q1800" s="640" t="inlineStr">
        <is>
          <t>49.384305</t>
        </is>
      </c>
      <c r="R1800" s="422" t="inlineStr">
        <is>
          <t>40.583962</t>
        </is>
      </c>
      <c r="S1800" s="387" t="n"/>
      <c r="T1800" s="387" t="n"/>
      <c r="U1800" s="436" t="n"/>
      <c r="V1800" s="387" t="n"/>
      <c r="W1800" s="387" t="n"/>
      <c r="X1800" s="387" t="n"/>
      <c r="Y1800" s="387" t="n"/>
    </row>
    <row r="1801" hidden="1" ht="16.05" customFormat="1" customHeight="1" s="126">
      <c r="A1801" s="125" t="n">
        <v>2317</v>
      </c>
      <c r="B1801" s="125" t="n"/>
      <c r="C1801" s="130" t="inlineStr">
        <is>
          <t>Краснодар</t>
        </is>
      </c>
      <c r="D1801" s="130" t="inlineStr">
        <is>
          <t>Анапа</t>
        </is>
      </c>
      <c r="E1801" s="130" t="n"/>
      <c r="F1801" s="130" t="inlineStr">
        <is>
          <t>АЗС</t>
        </is>
      </c>
      <c r="G1801" s="130" t="inlineStr">
        <is>
          <t>Лукойл</t>
        </is>
      </c>
      <c r="H1801" s="131" t="n"/>
      <c r="I1801" s="637" t="n">
        <v>23005</v>
      </c>
      <c r="J1801" s="637" t="inlineStr">
        <is>
          <t>KDR_LUK_23005</t>
        </is>
      </c>
      <c r="K1801" s="640" t="n">
        <v>1</v>
      </c>
      <c r="L1801" s="640" t="n">
        <v>0</v>
      </c>
      <c r="M1801" s="640" t="inlineStr">
        <is>
          <t>Samsung 32" вертикальный</t>
        </is>
      </c>
      <c r="N1801" s="640" t="n"/>
      <c r="O1801" s="640">
        <f>IF(AND(N1801=1,L1801=1),K1801,"")</f>
        <v/>
      </c>
      <c r="P1801" s="642" t="inlineStr">
        <is>
          <t>Краснодарский край, Анапа город- курорт, . Анапская ст-ца,  Новороссийск-Керченский пролив а/дор, 329 км</t>
        </is>
      </c>
      <c r="Q1801" s="640" t="inlineStr">
        <is>
          <t>44.913527</t>
        </is>
      </c>
      <c r="R1801" s="422" t="inlineStr">
        <is>
          <t>37.403494</t>
        </is>
      </c>
      <c r="S1801" s="387" t="n"/>
      <c r="T1801" s="387" t="n"/>
      <c r="U1801" s="436" t="n"/>
      <c r="V1801" s="387" t="n"/>
      <c r="W1801" s="387" t="n"/>
      <c r="X1801" s="1" t="n"/>
      <c r="Y1801" s="1" t="n"/>
    </row>
    <row r="1802" hidden="1" ht="16.05" customFormat="1" customHeight="1" s="126">
      <c r="A1802" s="125" t="n">
        <v>2318</v>
      </c>
      <c r="B1802" s="125" t="n"/>
      <c r="C1802" s="130" t="inlineStr">
        <is>
          <t>Краснодар</t>
        </is>
      </c>
      <c r="D1802" s="130" t="inlineStr">
        <is>
          <t>Новороссийск</t>
        </is>
      </c>
      <c r="E1802" s="130" t="n"/>
      <c r="F1802" s="130" t="inlineStr">
        <is>
          <t>АЗС</t>
        </is>
      </c>
      <c r="G1802" s="130" t="inlineStr">
        <is>
          <t>Лукойл</t>
        </is>
      </c>
      <c r="H1802" s="131" t="n"/>
      <c r="I1802" s="637" t="n">
        <v>23009</v>
      </c>
      <c r="J1802" s="637" t="inlineStr">
        <is>
          <t>KDR_LUK_23009</t>
        </is>
      </c>
      <c r="K1802" s="640" t="n">
        <v>1</v>
      </c>
      <c r="L1802" s="640" t="n">
        <v>0</v>
      </c>
      <c r="M1802" s="640" t="inlineStr">
        <is>
          <t>Samsung 32" вертикальный</t>
        </is>
      </c>
      <c r="N1802" s="640" t="n"/>
      <c r="O1802" s="640">
        <f>IF(AND(N1802=1,L1802=1),K1802,"")</f>
        <v/>
      </c>
      <c r="P1802" s="642" t="inlineStr">
        <is>
          <t>Краснодарский край,  г. Новороссийск, пос. Глебовка (село Глебовское)</t>
        </is>
      </c>
      <c r="Q1802" s="640" t="inlineStr">
        <is>
          <t>44.716829</t>
        </is>
      </c>
      <c r="R1802" s="422" t="inlineStr">
        <is>
          <t>37.648772</t>
        </is>
      </c>
      <c r="S1802" s="387" t="n"/>
      <c r="T1802" s="387" t="n"/>
      <c r="U1802" s="436" t="n"/>
      <c r="V1802" s="387" t="n"/>
      <c r="W1802" s="387" t="n"/>
      <c r="X1802" s="1" t="n"/>
      <c r="Y1802" s="1" t="n"/>
    </row>
    <row r="1803" hidden="1" ht="16.05" customFormat="1" customHeight="1" s="126">
      <c r="A1803" s="125" t="n">
        <v>2319</v>
      </c>
      <c r="B1803" s="125" t="n"/>
      <c r="C1803" s="130" t="inlineStr">
        <is>
          <t>Ставрополь</t>
        </is>
      </c>
      <c r="D1803" s="130" t="inlineStr">
        <is>
          <t>Ставрополь</t>
        </is>
      </c>
      <c r="E1803" s="130" t="n"/>
      <c r="F1803" s="130" t="inlineStr">
        <is>
          <t>АЗС</t>
        </is>
      </c>
      <c r="G1803" s="130" t="inlineStr">
        <is>
          <t>Лукойл</t>
        </is>
      </c>
      <c r="H1803" s="131" t="n"/>
      <c r="I1803" s="637" t="n">
        <v>26062</v>
      </c>
      <c r="J1803" s="637" t="inlineStr">
        <is>
          <t>STW_LUK_26062</t>
        </is>
      </c>
      <c r="K1803" s="640" t="n">
        <v>1</v>
      </c>
      <c r="L1803" s="640" t="n">
        <v>0</v>
      </c>
      <c r="M1803" s="640" t="inlineStr">
        <is>
          <t>Samsung 32" вертикальный</t>
        </is>
      </c>
      <c r="N1803" s="640" t="n"/>
      <c r="O1803" s="640">
        <f>IF(AND(N1803=1,L1803=1),K1803,"")</f>
        <v/>
      </c>
      <c r="P1803" s="642" t="inlineStr">
        <is>
          <t>Ставропольский край, г.Ставрополь, шоссе Старомарьевское 28</t>
        </is>
      </c>
      <c r="Q1803" s="640" t="inlineStr">
        <is>
          <t>45.054034</t>
        </is>
      </c>
      <c r="R1803" s="422" t="inlineStr">
        <is>
          <t>42.031058</t>
        </is>
      </c>
      <c r="S1803" s="387" t="n"/>
      <c r="T1803" s="387" t="n"/>
      <c r="U1803" s="436" t="n"/>
      <c r="V1803" s="387" t="n"/>
      <c r="W1803" s="387" t="n"/>
      <c r="X1803" s="1" t="n"/>
      <c r="Y1803" s="1" t="n"/>
    </row>
    <row r="1804" hidden="1" ht="16.05" customFormat="1" customHeight="1" s="126">
      <c r="A1804" s="125" t="n">
        <v>2320</v>
      </c>
      <c r="B1804" s="125" t="n"/>
      <c r="C1804" s="130" t="inlineStr">
        <is>
          <t>Ставрополь</t>
        </is>
      </c>
      <c r="D1804" s="130" t="inlineStr">
        <is>
          <t>Ставрополь</t>
        </is>
      </c>
      <c r="E1804" s="130" t="n"/>
      <c r="F1804" s="130" t="inlineStr">
        <is>
          <t>АЗС</t>
        </is>
      </c>
      <c r="G1804" s="130" t="inlineStr">
        <is>
          <t>Лукойл</t>
        </is>
      </c>
      <c r="H1804" s="131" t="n"/>
      <c r="I1804" s="637" t="n">
        <v>26063</v>
      </c>
      <c r="J1804" s="637" t="inlineStr">
        <is>
          <t>STW_LUK_26063</t>
        </is>
      </c>
      <c r="K1804" s="640" t="n">
        <v>1</v>
      </c>
      <c r="L1804" s="640" t="n">
        <v>0</v>
      </c>
      <c r="M1804" s="640" t="inlineStr">
        <is>
          <t>Samsung 32" вертикальный</t>
        </is>
      </c>
      <c r="N1804" s="640" t="n"/>
      <c r="O1804" s="640">
        <f>IF(AND(N1804=1,L1804=1),K1804,"")</f>
        <v/>
      </c>
      <c r="P1804" s="642" t="inlineStr">
        <is>
          <t>Ставропольский край, г.Ставрополь, ул.Орджоникидзе,1А</t>
        </is>
      </c>
      <c r="Q1804" s="640" t="inlineStr">
        <is>
          <t>45.051054</t>
        </is>
      </c>
      <c r="R1804" s="422" t="inlineStr">
        <is>
          <t>41.993203</t>
        </is>
      </c>
      <c r="S1804" s="387" t="n"/>
      <c r="T1804" s="387" t="n"/>
      <c r="U1804" s="436" t="n"/>
      <c r="V1804" s="387" t="n"/>
      <c r="W1804" s="387" t="n"/>
      <c r="X1804" s="1" t="n"/>
      <c r="Y1804" s="1" t="n"/>
    </row>
    <row r="1805" hidden="1" ht="16.05" customFormat="1" customHeight="1" s="126">
      <c r="A1805" s="125" t="n">
        <v>2321</v>
      </c>
      <c r="B1805" s="125" t="n"/>
      <c r="C1805" s="130" t="inlineStr">
        <is>
          <t>Ставрополь</t>
        </is>
      </c>
      <c r="D1805" s="130" t="inlineStr">
        <is>
          <t>Ставрополь</t>
        </is>
      </c>
      <c r="E1805" s="130" t="n"/>
      <c r="F1805" s="130" t="inlineStr">
        <is>
          <t>АЗС</t>
        </is>
      </c>
      <c r="G1805" s="130" t="inlineStr">
        <is>
          <t>Лукойл</t>
        </is>
      </c>
      <c r="H1805" s="131" t="n"/>
      <c r="I1805" s="637" t="n">
        <v>26065</v>
      </c>
      <c r="J1805" s="637" t="inlineStr">
        <is>
          <t>STW_LUK_26065</t>
        </is>
      </c>
      <c r="K1805" s="640" t="n">
        <v>1</v>
      </c>
      <c r="L1805" s="640" t="n">
        <v>0</v>
      </c>
      <c r="M1805" s="640" t="inlineStr">
        <is>
          <t>Samsung 32" вертикальный</t>
        </is>
      </c>
      <c r="N1805" s="640" t="n"/>
      <c r="O1805" s="640">
        <f>IF(AND(N1805=1,L1805=1),K1805,"")</f>
        <v/>
      </c>
      <c r="P1805" s="642" t="inlineStr">
        <is>
          <t>Ставропольский край, г.Ставрополь, ул.Коломийцева,27</t>
        </is>
      </c>
      <c r="Q1805" s="640" t="inlineStr">
        <is>
          <t>45.100039</t>
        </is>
      </c>
      <c r="R1805" s="422" t="inlineStr">
        <is>
          <t>41.949797</t>
        </is>
      </c>
      <c r="S1805" s="387" t="n"/>
      <c r="T1805" s="387" t="n"/>
      <c r="U1805" s="436" t="n"/>
      <c r="V1805" s="387" t="n"/>
      <c r="W1805" s="387" t="n"/>
      <c r="X1805" s="1" t="n"/>
      <c r="Y1805" s="1" t="n"/>
    </row>
    <row r="1806" hidden="1" ht="16.05" customFormat="1" customHeight="1" s="126">
      <c r="A1806" s="125" t="n">
        <v>2322</v>
      </c>
      <c r="B1806" s="125" t="n"/>
      <c r="C1806" s="130" t="inlineStr">
        <is>
          <t>Ставрополь</t>
        </is>
      </c>
      <c r="D1806" s="130" t="inlineStr">
        <is>
          <t>Ставрополь</t>
        </is>
      </c>
      <c r="E1806" s="130" t="n"/>
      <c r="F1806" s="130" t="inlineStr">
        <is>
          <t>АЗС</t>
        </is>
      </c>
      <c r="G1806" s="130" t="inlineStr">
        <is>
          <t>Лукойл</t>
        </is>
      </c>
      <c r="H1806" s="131" t="n"/>
      <c r="I1806" s="637" t="n">
        <v>26069</v>
      </c>
      <c r="J1806" s="637" t="inlineStr">
        <is>
          <t>STW_LUK_26069</t>
        </is>
      </c>
      <c r="K1806" s="640" t="n">
        <v>1</v>
      </c>
      <c r="L1806" s="640" t="n">
        <v>0</v>
      </c>
      <c r="M1806" s="640" t="inlineStr">
        <is>
          <t>Samsung 32" вертикальный</t>
        </is>
      </c>
      <c r="N1806" s="640" t="n"/>
      <c r="O1806" s="640">
        <f>IF(AND(N1806=1,L1806=1),K1806,"")</f>
        <v/>
      </c>
      <c r="P1806" s="642" t="inlineStr">
        <is>
          <t>Ставропольский край, г.Ставрополь, пр-т Кулакова,7,А</t>
        </is>
      </c>
      <c r="Q1806" s="640" t="inlineStr">
        <is>
          <t>45.046801</t>
        </is>
      </c>
      <c r="R1806" s="422" t="inlineStr">
        <is>
          <t>41.912382</t>
        </is>
      </c>
      <c r="S1806" s="387" t="n"/>
      <c r="T1806" s="387" t="n"/>
      <c r="U1806" s="436" t="n"/>
      <c r="V1806" s="387" t="n"/>
      <c r="W1806" s="387" t="n"/>
      <c r="X1806" s="1" t="n"/>
      <c r="Y1806" s="1" t="n"/>
    </row>
    <row r="1807" hidden="1" ht="16.05" customFormat="1" customHeight="1" s="126">
      <c r="A1807" s="125" t="n">
        <v>2323</v>
      </c>
      <c r="B1807" s="125" t="n"/>
      <c r="C1807" s="130" t="inlineStr">
        <is>
          <t>Ставрополь</t>
        </is>
      </c>
      <c r="D1807" s="130" t="inlineStr">
        <is>
          <t>Ставрополь</t>
        </is>
      </c>
      <c r="E1807" s="130" t="n"/>
      <c r="F1807" s="130" t="inlineStr">
        <is>
          <t>АЗС</t>
        </is>
      </c>
      <c r="G1807" s="130" t="inlineStr">
        <is>
          <t>Лукойл</t>
        </is>
      </c>
      <c r="H1807" s="131" t="n"/>
      <c r="I1807" s="637" t="n">
        <v>26071</v>
      </c>
      <c r="J1807" s="637" t="inlineStr">
        <is>
          <t>STW_LUK_26071</t>
        </is>
      </c>
      <c r="K1807" s="640" t="n">
        <v>1</v>
      </c>
      <c r="L1807" s="640" t="n">
        <v>0</v>
      </c>
      <c r="M1807" s="640" t="inlineStr">
        <is>
          <t>Samsung 32" вертикальный</t>
        </is>
      </c>
      <c r="N1807" s="640" t="n"/>
      <c r="O1807" s="640">
        <f>IF(AND(N1807=1,L1807=1),K1807,"")</f>
        <v/>
      </c>
      <c r="P1807" s="642" t="inlineStr">
        <is>
          <t>Ставропольский край, г.Ставрополь, ул.Шпаковская, 98</t>
        </is>
      </c>
      <c r="Q1807" s="640" t="inlineStr">
        <is>
          <t>45.020252</t>
        </is>
      </c>
      <c r="R1807" s="422" t="inlineStr">
        <is>
          <t>41.916748</t>
        </is>
      </c>
      <c r="S1807" s="387" t="n"/>
      <c r="T1807" s="387" t="n"/>
      <c r="U1807" s="436" t="n"/>
      <c r="V1807" s="387" t="n"/>
      <c r="W1807" s="387" t="n"/>
      <c r="X1807" s="1" t="n"/>
      <c r="Y1807" s="1" t="n"/>
    </row>
    <row r="1808" hidden="1" ht="16.05" customFormat="1" customHeight="1" s="126">
      <c r="A1808" s="125" t="n">
        <v>2324</v>
      </c>
      <c r="B1808" s="125" t="n"/>
      <c r="C1808" s="130" t="inlineStr">
        <is>
          <t>Ставрополь</t>
        </is>
      </c>
      <c r="D1808" s="130" t="inlineStr">
        <is>
          <t>Ставрополь</t>
        </is>
      </c>
      <c r="E1808" s="130" t="n"/>
      <c r="F1808" s="130" t="inlineStr">
        <is>
          <t>АЗС</t>
        </is>
      </c>
      <c r="G1808" s="130" t="inlineStr">
        <is>
          <t>Лукойл</t>
        </is>
      </c>
      <c r="H1808" s="131" t="n"/>
      <c r="I1808" s="637" t="n">
        <v>26072</v>
      </c>
      <c r="J1808" s="637" t="inlineStr">
        <is>
          <t>STW_LUK_26072</t>
        </is>
      </c>
      <c r="K1808" s="640" t="n">
        <v>1</v>
      </c>
      <c r="L1808" s="640" t="n">
        <v>0</v>
      </c>
      <c r="M1808" s="640" t="inlineStr">
        <is>
          <t>Samsung 32" вертикальный</t>
        </is>
      </c>
      <c r="N1808" s="640" t="n"/>
      <c r="O1808" s="640">
        <f>IF(AND(N1808=1,L1808=1),K1808,"")</f>
        <v/>
      </c>
      <c r="P1808" s="642" t="inlineStr">
        <is>
          <t>Ставропольский край, г.Ставрополь, ул.Доваторцева, 54,А</t>
        </is>
      </c>
      <c r="Q1808" s="640" t="inlineStr">
        <is>
          <t>45.004175</t>
        </is>
      </c>
      <c r="R1808" s="422" t="inlineStr">
        <is>
          <t>41.927788</t>
        </is>
      </c>
      <c r="S1808" s="387" t="n"/>
      <c r="T1808" s="387" t="n"/>
      <c r="U1808" s="436" t="n"/>
      <c r="V1808" s="387" t="n"/>
      <c r="W1808" s="387" t="n"/>
      <c r="X1808" s="1" t="n"/>
      <c r="Y1808" s="1" t="n"/>
    </row>
    <row r="1809" hidden="1" ht="16.05" customFormat="1" customHeight="1" s="126">
      <c r="A1809" s="125" t="n">
        <v>2325</v>
      </c>
      <c r="B1809" s="125" t="n"/>
      <c r="C1809" s="130" t="inlineStr">
        <is>
          <t>Ставрополь</t>
        </is>
      </c>
      <c r="D1809" s="130" t="inlineStr">
        <is>
          <t>Шпаковский р-н</t>
        </is>
      </c>
      <c r="E1809" s="130" t="n"/>
      <c r="F1809" s="130" t="n"/>
      <c r="G1809" s="130" t="inlineStr">
        <is>
          <t>Лукойл</t>
        </is>
      </c>
      <c r="H1809" s="131" t="n"/>
      <c r="I1809" s="637" t="n">
        <v>26073</v>
      </c>
      <c r="J1809" s="402" t="inlineStr">
        <is>
          <t>STW_LUK_26073</t>
        </is>
      </c>
      <c r="K1809" s="640" t="n">
        <v>1</v>
      </c>
      <c r="L1809" s="640" t="n">
        <v>0</v>
      </c>
      <c r="M1809" s="640" t="inlineStr">
        <is>
          <t>Sam 32</t>
        </is>
      </c>
      <c r="N1809" s="640" t="n"/>
      <c r="O1809" s="640">
        <f>IF(AND(N1809=1,L1809=1),K1809,"")</f>
        <v/>
      </c>
      <c r="P1809" s="642" t="inlineStr">
        <is>
          <t>Ставропольский край, Шпаковский р-н, а/д Ставрополь-Аэропорт 5 км+800м</t>
        </is>
      </c>
      <c r="Q1809" s="640" t="n">
        <v>45.119717</v>
      </c>
      <c r="R1809" s="422" t="n">
        <v>42.04447</v>
      </c>
      <c r="S1809" s="387" t="n"/>
      <c r="T1809" s="387" t="n"/>
      <c r="U1809" s="436" t="n"/>
      <c r="V1809" s="387" t="n"/>
      <c r="W1809" s="387" t="n"/>
      <c r="X1809" s="1" t="n"/>
      <c r="Y1809" s="1" t="n"/>
    </row>
    <row r="1810" hidden="1" ht="16.05" customFormat="1" customHeight="1" s="126">
      <c r="A1810" s="125" t="n">
        <v>2326</v>
      </c>
      <c r="B1810" s="125" t="n"/>
      <c r="C1810" s="130" t="inlineStr">
        <is>
          <t>Краснодар</t>
        </is>
      </c>
      <c r="D1810" s="130" t="inlineStr">
        <is>
          <t>Новороссийск</t>
        </is>
      </c>
      <c r="E1810" s="130" t="n"/>
      <c r="F1810" s="130" t="inlineStr">
        <is>
          <t>АЗС</t>
        </is>
      </c>
      <c r="G1810" s="130" t="inlineStr">
        <is>
          <t>Лукойл</t>
        </is>
      </c>
      <c r="H1810" s="131" t="n"/>
      <c r="I1810" s="637" t="n">
        <v>23110</v>
      </c>
      <c r="J1810" s="637" t="inlineStr">
        <is>
          <t>KDR_LUK_23110</t>
        </is>
      </c>
      <c r="K1810" s="640" t="n">
        <v>1</v>
      </c>
      <c r="L1810" s="640" t="n">
        <v>0</v>
      </c>
      <c r="M1810" s="640" t="inlineStr">
        <is>
          <t>Samsung 32" вертикальный</t>
        </is>
      </c>
      <c r="N1810" s="640" t="n"/>
      <c r="O1810" s="640">
        <f>IF(AND(N1810=1,L1810=1),K1810,"")</f>
        <v/>
      </c>
      <c r="P1810" s="642" t="inlineStr">
        <is>
          <t>Краснодарский край. г.Новороссийск, шоссе Сухумское, р-н СРЗ (Сухумское шоссе, 64Б)</t>
        </is>
      </c>
      <c r="Q1810" s="640" t="inlineStr">
        <is>
          <t>44.732233</t>
        </is>
      </c>
      <c r="R1810" s="422" t="inlineStr">
        <is>
          <t>37.809276</t>
        </is>
      </c>
      <c r="S1810" s="387" t="n"/>
      <c r="T1810" s="387" t="n"/>
      <c r="U1810" s="436" t="n"/>
      <c r="V1810" s="387" t="n"/>
      <c r="W1810" s="387" t="n"/>
      <c r="X1810" s="1" t="n"/>
      <c r="Y1810" s="1" t="n"/>
    </row>
    <row r="1811" hidden="1" ht="16.05" customFormat="1" customHeight="1" s="126">
      <c r="A1811" s="125" t="n">
        <v>2327</v>
      </c>
      <c r="B1811" s="125" t="n"/>
      <c r="C1811" s="130" t="inlineStr">
        <is>
          <t>Ставрополь</t>
        </is>
      </c>
      <c r="D1811" s="130" t="inlineStr">
        <is>
          <t>Ставрополь</t>
        </is>
      </c>
      <c r="E1811" s="130" t="n"/>
      <c r="F1811" s="130" t="inlineStr">
        <is>
          <t>АЗС</t>
        </is>
      </c>
      <c r="G1811" s="130" t="inlineStr">
        <is>
          <t>Лукойл</t>
        </is>
      </c>
      <c r="H1811" s="131" t="n"/>
      <c r="I1811" s="637" t="n">
        <v>26142</v>
      </c>
      <c r="J1811" s="637" t="inlineStr">
        <is>
          <t>STW_LUK_26142</t>
        </is>
      </c>
      <c r="K1811" s="640" t="n">
        <v>1</v>
      </c>
      <c r="L1811" s="640" t="n">
        <v>0</v>
      </c>
      <c r="M1811" s="640" t="inlineStr">
        <is>
          <t>Samsung 32" вертикальный</t>
        </is>
      </c>
      <c r="N1811" s="640" t="n"/>
      <c r="O1811" s="640">
        <f>IF(AND(N1811=1,L1811=1),K1811,"")</f>
        <v/>
      </c>
      <c r="P1811" s="642" t="inlineStr">
        <is>
          <t>Ставропольский край, г.Ставрополь, ул.Лермонтова (р-н Ботанического сада),142</t>
        </is>
      </c>
      <c r="Q1811" s="640" t="inlineStr">
        <is>
          <t>45.036613</t>
        </is>
      </c>
      <c r="R1811" s="422" t="inlineStr">
        <is>
          <t>41.982252</t>
        </is>
      </c>
      <c r="S1811" s="387" t="n"/>
      <c r="T1811" s="387" t="n"/>
      <c r="U1811" s="436" t="n"/>
      <c r="V1811" s="387" t="n"/>
      <c r="W1811" s="387" t="n"/>
      <c r="X1811" s="1" t="n"/>
      <c r="Y1811" s="1" t="n"/>
    </row>
    <row r="1812" hidden="1" ht="16.05" customFormat="1" customHeight="1" s="126">
      <c r="A1812" s="125" t="n">
        <v>2328</v>
      </c>
      <c r="B1812" s="125" t="n"/>
      <c r="C1812" s="130" t="inlineStr">
        <is>
          <t>Ставрополь</t>
        </is>
      </c>
      <c r="D1812" s="130" t="inlineStr">
        <is>
          <t>Ставрополь</t>
        </is>
      </c>
      <c r="E1812" s="130" t="n"/>
      <c r="F1812" s="130" t="n"/>
      <c r="G1812" s="130" t="inlineStr">
        <is>
          <t>Лукойл</t>
        </is>
      </c>
      <c r="H1812" s="131" t="n"/>
      <c r="I1812" s="637" t="n">
        <v>26148</v>
      </c>
      <c r="J1812" s="402" t="inlineStr">
        <is>
          <t>STW_LUK_26148</t>
        </is>
      </c>
      <c r="K1812" s="640" t="n">
        <v>1</v>
      </c>
      <c r="L1812" s="640" t="n">
        <v>0</v>
      </c>
      <c r="M1812" s="640" t="inlineStr">
        <is>
          <t>Sam 32</t>
        </is>
      </c>
      <c r="N1812" s="640" t="n"/>
      <c r="O1812" s="640">
        <f>IF(AND(N1812=1,L1812=1),K1812,"")</f>
        <v/>
      </c>
      <c r="P1812" s="642" t="inlineStr">
        <is>
          <t>Ставрополь, ул.Лермонтова,339</t>
        </is>
      </c>
      <c r="Q1812" s="640" t="n">
        <v>45.032337</v>
      </c>
      <c r="R1812" s="422" t="n">
        <v>41.941703</v>
      </c>
      <c r="S1812" s="387" t="n"/>
      <c r="T1812" s="387" t="n"/>
      <c r="U1812" s="436" t="n"/>
      <c r="V1812" s="387" t="n"/>
      <c r="W1812" s="387" t="n"/>
      <c r="X1812" s="1" t="n"/>
      <c r="Y1812" s="1" t="n"/>
    </row>
    <row r="1813" hidden="1" ht="16.05" customFormat="1" customHeight="1" s="126">
      <c r="A1813" s="125" t="n">
        <v>2329</v>
      </c>
      <c r="B1813" s="125" t="n"/>
      <c r="C1813" s="130" t="inlineStr">
        <is>
          <t>Ставрополь</t>
        </is>
      </c>
      <c r="D1813" s="130" t="inlineStr">
        <is>
          <t>Ставрополь</t>
        </is>
      </c>
      <c r="E1813" s="130" t="n"/>
      <c r="F1813" s="130" t="inlineStr">
        <is>
          <t>АЗС</t>
        </is>
      </c>
      <c r="G1813" s="130" t="inlineStr">
        <is>
          <t>Лукойл</t>
        </is>
      </c>
      <c r="H1813" s="131" t="n"/>
      <c r="I1813" s="637" t="n">
        <v>26149</v>
      </c>
      <c r="J1813" s="637" t="inlineStr">
        <is>
          <t>STW_LUK_26149</t>
        </is>
      </c>
      <c r="K1813" s="640" t="n">
        <v>1</v>
      </c>
      <c r="L1813" s="640" t="n">
        <v>0</v>
      </c>
      <c r="M1813" s="640" t="inlineStr">
        <is>
          <t>Samsung 32" вертикальный</t>
        </is>
      </c>
      <c r="N1813" s="640" t="n"/>
      <c r="O1813" s="640">
        <f>IF(AND(N1813=1,L1813=1),K1813,"")</f>
        <v/>
      </c>
      <c r="P1813" s="642" t="inlineStr">
        <is>
          <t xml:space="preserve">Ставрополь, ул.Доваторцев,38, 253 квартал , </t>
        </is>
      </c>
      <c r="Q1813" s="640" t="inlineStr">
        <is>
          <t>45.021921</t>
        </is>
      </c>
      <c r="R1813" s="422" t="inlineStr">
        <is>
          <t>41.93581</t>
        </is>
      </c>
      <c r="S1813" s="387" t="n"/>
      <c r="T1813" s="387" t="n"/>
      <c r="U1813" s="436" t="n"/>
      <c r="V1813" s="387" t="n"/>
      <c r="W1813" s="387" t="n"/>
      <c r="X1813" s="1" t="n"/>
      <c r="Y1813" s="1" t="n"/>
    </row>
    <row r="1814" hidden="1" ht="16.05" customFormat="1" customHeight="1" s="126">
      <c r="A1814" s="125" t="n">
        <v>2330</v>
      </c>
      <c r="B1814" s="125" t="n"/>
      <c r="C1814" s="130" t="inlineStr">
        <is>
          <t>Краснодар</t>
        </is>
      </c>
      <c r="D1814" s="130" t="inlineStr">
        <is>
          <t>Анапа</t>
        </is>
      </c>
      <c r="E1814" s="130" t="n"/>
      <c r="F1814" s="130" t="inlineStr">
        <is>
          <t>АЗС</t>
        </is>
      </c>
      <c r="G1814" s="130" t="inlineStr">
        <is>
          <t>Лукойл</t>
        </is>
      </c>
      <c r="H1814" s="131" t="n"/>
      <c r="I1814" s="637" t="n">
        <v>23178</v>
      </c>
      <c r="J1814" s="637" t="inlineStr">
        <is>
          <t>KDR_LUK_23178</t>
        </is>
      </c>
      <c r="K1814" s="640" t="n">
        <v>1</v>
      </c>
      <c r="L1814" s="640" t="n">
        <v>0</v>
      </c>
      <c r="M1814" s="640" t="inlineStr">
        <is>
          <t>Samsung 32" вертикальный</t>
        </is>
      </c>
      <c r="N1814" s="640" t="n"/>
      <c r="O1814" s="640">
        <f>IF(AND(N1814=1,L1814=1),K1814,"")</f>
        <v/>
      </c>
      <c r="P1814" s="642" t="inlineStr">
        <is>
          <t>Краснодарский край ,Анапский район, г.Анапа, ш.Симферопольское,92</t>
        </is>
      </c>
      <c r="Q1814" s="640" t="inlineStr">
        <is>
          <t>44.942081</t>
        </is>
      </c>
      <c r="R1814" s="422" t="inlineStr">
        <is>
          <t>37.317391</t>
        </is>
      </c>
      <c r="S1814" s="387" t="n"/>
      <c r="T1814" s="387" t="n"/>
      <c r="U1814" s="436" t="n"/>
      <c r="V1814" s="387" t="n"/>
      <c r="W1814" s="387" t="n"/>
      <c r="X1814" s="1" t="n"/>
      <c r="Y1814" s="1" t="n"/>
    </row>
    <row r="1815" hidden="1" ht="16.05" customFormat="1" customHeight="1" s="126">
      <c r="A1815" s="125" t="n">
        <v>2331</v>
      </c>
      <c r="B1815" s="125" t="n"/>
      <c r="C1815" s="130" t="inlineStr">
        <is>
          <t>Краснодар</t>
        </is>
      </c>
      <c r="D1815" s="130" t="inlineStr">
        <is>
          <t>Анапа</t>
        </is>
      </c>
      <c r="E1815" s="130" t="n"/>
      <c r="F1815" s="130" t="inlineStr">
        <is>
          <t>АЗС</t>
        </is>
      </c>
      <c r="G1815" s="130" t="inlineStr">
        <is>
          <t>Лукойл</t>
        </is>
      </c>
      <c r="H1815" s="131" t="n"/>
      <c r="I1815" s="637" t="n">
        <v>23202</v>
      </c>
      <c r="J1815" s="637" t="inlineStr">
        <is>
          <t>KDR_LUK_23202</t>
        </is>
      </c>
      <c r="K1815" s="640" t="n">
        <v>1</v>
      </c>
      <c r="L1815" s="640" t="n">
        <v>0</v>
      </c>
      <c r="M1815" s="640" t="inlineStr">
        <is>
          <t>Samsung 32" вертикальный</t>
        </is>
      </c>
      <c r="N1815" s="640" t="n"/>
      <c r="O1815" s="640">
        <f>IF(AND(N1815=1,L1815=1),K1815,"")</f>
        <v/>
      </c>
      <c r="P1815" s="642" t="inlineStr">
        <is>
          <t>Краснодарский край ,г.Новороссийск, ст.Раевская , а/д Юровка-Раевская-Волчьи ворота справа (Степная улица)</t>
        </is>
      </c>
      <c r="Q1815" s="640" t="inlineStr">
        <is>
          <t>44.83628</t>
        </is>
      </c>
      <c r="R1815" s="422" t="inlineStr">
        <is>
          <t>37.549687</t>
        </is>
      </c>
      <c r="S1815" s="387" t="n"/>
      <c r="T1815" s="387" t="n"/>
      <c r="U1815" s="436" t="n"/>
      <c r="V1815" s="387" t="n"/>
      <c r="W1815" s="387" t="n"/>
      <c r="X1815" s="1" t="n"/>
      <c r="Y1815" s="1" t="n"/>
    </row>
    <row r="1816" hidden="1" ht="16.05" customFormat="1" customHeight="1" s="126">
      <c r="A1816" s="125" t="n">
        <v>2332</v>
      </c>
      <c r="B1816" s="125" t="n"/>
      <c r="C1816" s="130" t="inlineStr">
        <is>
          <t>Краснодар</t>
        </is>
      </c>
      <c r="D1816" s="130" t="inlineStr">
        <is>
          <t>Анапа</t>
        </is>
      </c>
      <c r="E1816" s="130" t="n"/>
      <c r="F1816" s="130" t="inlineStr">
        <is>
          <t>АЗС</t>
        </is>
      </c>
      <c r="G1816" s="130" t="inlineStr">
        <is>
          <t>Лукойл</t>
        </is>
      </c>
      <c r="H1816" s="131" t="n"/>
      <c r="I1816" s="637" t="n">
        <v>23212</v>
      </c>
      <c r="J1816" s="637" t="inlineStr">
        <is>
          <t>KDR_LUK_23212</t>
        </is>
      </c>
      <c r="K1816" s="640" t="n">
        <v>1</v>
      </c>
      <c r="L1816" s="640" t="n">
        <v>0</v>
      </c>
      <c r="M1816" s="640" t="inlineStr">
        <is>
          <t>Samsung 32" вертикальный</t>
        </is>
      </c>
      <c r="N1816" s="640" t="n"/>
      <c r="O1816" s="640">
        <f>IF(AND(N1816=1,L1816=1),K1816,"")</f>
        <v/>
      </c>
      <c r="P1816" s="642" t="inlineStr">
        <is>
          <t>Краснодарский край, Анапский  район, г.Анапа, ул.Ленина,182</t>
        </is>
      </c>
      <c r="Q1816" s="640" t="inlineStr">
        <is>
          <t>44.869521</t>
        </is>
      </c>
      <c r="R1816" s="422" t="inlineStr">
        <is>
          <t>37.331109</t>
        </is>
      </c>
      <c r="S1816" s="387" t="n"/>
      <c r="T1816" s="387" t="n"/>
      <c r="U1816" s="436" t="n"/>
      <c r="V1816" s="387" t="n"/>
      <c r="W1816" s="387" t="n"/>
      <c r="X1816" s="1" t="n"/>
      <c r="Y1816" s="1" t="n"/>
    </row>
    <row r="1817" hidden="1" ht="16.05" customFormat="1" customHeight="1" s="126">
      <c r="A1817" s="125" t="n">
        <v>2333</v>
      </c>
      <c r="B1817" s="125" t="n"/>
      <c r="C1817" s="130" t="inlineStr">
        <is>
          <t>Краснодар</t>
        </is>
      </c>
      <c r="D1817" s="130" t="inlineStr">
        <is>
          <t>Новороссийск</t>
        </is>
      </c>
      <c r="E1817" s="130" t="n"/>
      <c r="F1817" s="130" t="inlineStr">
        <is>
          <t>АЗС</t>
        </is>
      </c>
      <c r="G1817" s="130" t="inlineStr">
        <is>
          <t>Лукойл</t>
        </is>
      </c>
      <c r="H1817" s="131" t="n"/>
      <c r="I1817" s="637" t="n">
        <v>23217</v>
      </c>
      <c r="J1817" s="637" t="inlineStr">
        <is>
          <t>KDR_LUK_23217</t>
        </is>
      </c>
      <c r="K1817" s="640" t="n">
        <v>1</v>
      </c>
      <c r="L1817" s="640" t="n">
        <v>0</v>
      </c>
      <c r="M1817" s="640" t="inlineStr">
        <is>
          <t>Samsung 32" вертикальный</t>
        </is>
      </c>
      <c r="N1817" s="640" t="n"/>
      <c r="O1817" s="640">
        <f>IF(AND(N1817=1,L1817=1),K1817,"")</f>
        <v/>
      </c>
      <c r="P1817" s="642" t="inlineStr">
        <is>
          <t>Краснодарский край. г.Новороссийск, п.Верхнебаканский</t>
        </is>
      </c>
      <c r="Q1817" s="640" t="inlineStr">
        <is>
          <t>44.841693</t>
        </is>
      </c>
      <c r="R1817" s="422" t="inlineStr">
        <is>
          <t>37.668773</t>
        </is>
      </c>
      <c r="S1817" s="387" t="n"/>
      <c r="T1817" s="387" t="n"/>
      <c r="U1817" s="436" t="n"/>
      <c r="V1817" s="387" t="n"/>
      <c r="W1817" s="387" t="n"/>
      <c r="X1817" s="1" t="n"/>
      <c r="Y1817" s="1" t="n"/>
    </row>
    <row r="1818" hidden="1" ht="16.05" customFormat="1" customHeight="1" s="126">
      <c r="A1818" s="125" t="n">
        <v>2334</v>
      </c>
      <c r="B1818" s="125" t="n"/>
      <c r="C1818" s="130" t="inlineStr">
        <is>
          <t>Краснодар</t>
        </is>
      </c>
      <c r="D1818" s="130" t="inlineStr">
        <is>
          <t>Темрюкский район</t>
        </is>
      </c>
      <c r="E1818" s="130" t="n"/>
      <c r="F1818" s="130" t="inlineStr">
        <is>
          <t>АЗС</t>
        </is>
      </c>
      <c r="G1818" s="130" t="inlineStr">
        <is>
          <t>Лукойл</t>
        </is>
      </c>
      <c r="H1818" s="131" t="n"/>
      <c r="I1818" s="637" t="n">
        <v>23373</v>
      </c>
      <c r="J1818" s="637" t="inlineStr">
        <is>
          <t>KDR_LUK_23373</t>
        </is>
      </c>
      <c r="K1818" s="640" t="n">
        <v>1</v>
      </c>
      <c r="L1818" s="640" t="n">
        <v>0</v>
      </c>
      <c r="M1818" s="640" t="inlineStr">
        <is>
          <t>Samsung 32" вертикальный</t>
        </is>
      </c>
      <c r="N1818" s="640" t="n"/>
      <c r="O1818" s="640">
        <f>IF(AND(N1818=1,L1818=1),K1818,"")</f>
        <v/>
      </c>
      <c r="P1818" s="642" t="inlineStr">
        <is>
          <t>Краснодарский край,Темрюкский район,на участке км 26+400 (справа) а/д общего пользования федерального значения «Подъезд от автомобильной дороги М-25 Новороссийск – Керченский пролив к г. Керчь и сухогрузному району морского порта Тамань Краснодарского края</t>
        </is>
      </c>
      <c r="Q1818" s="640" t="inlineStr">
        <is>
          <t>45.211295</t>
        </is>
      </c>
      <c r="R1818" s="422" t="inlineStr">
        <is>
          <t>36.759708</t>
        </is>
      </c>
      <c r="S1818" s="387" t="n"/>
      <c r="T1818" s="387" t="n"/>
      <c r="U1818" s="436" t="n"/>
      <c r="V1818" s="387" t="n"/>
      <c r="W1818" s="387" t="n"/>
      <c r="X1818" s="1" t="n"/>
      <c r="Y1818" s="1" t="n"/>
    </row>
    <row r="1819" hidden="1" ht="16.05" customFormat="1" customHeight="1" s="126">
      <c r="A1819" s="125" t="n">
        <v>2335</v>
      </c>
      <c r="B1819" s="125" t="n"/>
      <c r="C1819" s="130" t="inlineStr">
        <is>
          <t>Краснодар</t>
        </is>
      </c>
      <c r="D1819" s="130" t="inlineStr">
        <is>
          <t>Темрюкский район</t>
        </is>
      </c>
      <c r="E1819" s="130" t="n"/>
      <c r="F1819" s="130" t="inlineStr">
        <is>
          <t>АЗС</t>
        </is>
      </c>
      <c r="G1819" s="130" t="inlineStr">
        <is>
          <t>Лукойл</t>
        </is>
      </c>
      <c r="H1819" s="131" t="n"/>
      <c r="I1819" s="637" t="n">
        <v>23374</v>
      </c>
      <c r="J1819" s="637" t="inlineStr">
        <is>
          <t>KDR_LUK_23374</t>
        </is>
      </c>
      <c r="K1819" s="640" t="n">
        <v>1</v>
      </c>
      <c r="L1819" s="640" t="n">
        <v>0</v>
      </c>
      <c r="M1819" s="640" t="inlineStr">
        <is>
          <t>Samsung 32" вертикальный</t>
        </is>
      </c>
      <c r="N1819" s="640" t="n"/>
      <c r="O1819" s="640">
        <f>IF(AND(N1819=1,L1819=1),K1819,"")</f>
        <v/>
      </c>
      <c r="P1819" s="642" t="inlineStr">
        <is>
          <t>Краснодарский край, Темрюкский район, на участке км 25+400 (слева) автомобильной дороги общего пользования федерального значения «Подъезд от автомобильной дороги М-25 Новороссийск – Керченский пролив к г. Керчь и сухогрузному району морского порта Тамань Краснодарского края</t>
        </is>
      </c>
      <c r="Q1819" s="640" t="inlineStr">
        <is>
          <t>45.217005</t>
        </is>
      </c>
      <c r="R1819" s="422" t="inlineStr">
        <is>
          <t>36.765454</t>
        </is>
      </c>
      <c r="S1819" s="387" t="n"/>
      <c r="T1819" s="387" t="n"/>
      <c r="U1819" s="436" t="n"/>
      <c r="V1819" s="387" t="n"/>
      <c r="W1819" s="387" t="n"/>
      <c r="X1819" s="1" t="n"/>
      <c r="Y1819" s="1" t="n"/>
    </row>
    <row r="1820" hidden="1" ht="16.05" customFormat="1" customHeight="1" s="126">
      <c r="A1820" s="125" t="n">
        <v>2336</v>
      </c>
      <c r="B1820" s="125" t="n"/>
      <c r="C1820" s="130" t="inlineStr">
        <is>
          <t>Калмыкия</t>
        </is>
      </c>
      <c r="D1820" s="130" t="inlineStr">
        <is>
          <t>Элиста</t>
        </is>
      </c>
      <c r="E1820" s="130" t="n"/>
      <c r="F1820" s="130" t="inlineStr">
        <is>
          <t>АЗС</t>
        </is>
      </c>
      <c r="G1820" s="130" t="inlineStr">
        <is>
          <t>Лукойл</t>
        </is>
      </c>
      <c r="H1820" s="131" t="n"/>
      <c r="I1820" s="637" t="n">
        <v>8540</v>
      </c>
      <c r="J1820" s="637" t="inlineStr">
        <is>
          <t>ELS_LUK_8540</t>
        </is>
      </c>
      <c r="K1820" s="640" t="n">
        <v>1</v>
      </c>
      <c r="L1820" s="640" t="n">
        <v>0</v>
      </c>
      <c r="M1820" s="640" t="inlineStr">
        <is>
          <t>Samsung 32" вертикальный</t>
        </is>
      </c>
      <c r="N1820" s="640" t="n"/>
      <c r="O1820" s="640">
        <f>IF(AND(N1820=1,L1820=1),K1820,"")</f>
        <v/>
      </c>
      <c r="P1820" s="642" t="inlineStr">
        <is>
          <t xml:space="preserve">Калмыкия Респ,, г. Элиста, ул. Ленина В.И., д. 270   </t>
        </is>
      </c>
      <c r="Q1820" s="640" t="inlineStr">
        <is>
          <t>46.311646</t>
        </is>
      </c>
      <c r="R1820" s="422" t="inlineStr">
        <is>
          <t>44.293708</t>
        </is>
      </c>
      <c r="S1820" s="387" t="n"/>
      <c r="T1820" s="387" t="n"/>
      <c r="U1820" s="436" t="n"/>
      <c r="V1820" s="387" t="n"/>
      <c r="W1820" s="387" t="n"/>
      <c r="X1820" s="1" t="n"/>
      <c r="Y1820" s="1" t="n"/>
    </row>
    <row r="1821" hidden="1" ht="16.05" customFormat="1" customHeight="1" s="126">
      <c r="A1821" s="125" t="n">
        <v>2337</v>
      </c>
      <c r="B1821" s="125" t="n"/>
      <c r="C1821" s="130" t="inlineStr">
        <is>
          <t>Калмыкия</t>
        </is>
      </c>
      <c r="D1821" s="130" t="inlineStr">
        <is>
          <t>Элиста</t>
        </is>
      </c>
      <c r="E1821" s="130" t="n"/>
      <c r="F1821" s="130" t="inlineStr">
        <is>
          <t>АЗС</t>
        </is>
      </c>
      <c r="G1821" s="130" t="inlineStr">
        <is>
          <t>Лукойл</t>
        </is>
      </c>
      <c r="H1821" s="131" t="n"/>
      <c r="I1821" s="637" t="n">
        <v>8541</v>
      </c>
      <c r="J1821" s="637" t="inlineStr">
        <is>
          <t>ELS_LUK_8541</t>
        </is>
      </c>
      <c r="K1821" s="640" t="n">
        <v>1</v>
      </c>
      <c r="L1821" s="640" t="n">
        <v>0</v>
      </c>
      <c r="M1821" s="640" t="inlineStr">
        <is>
          <t>Samsung 32" вертикальный</t>
        </is>
      </c>
      <c r="N1821" s="640" t="n"/>
      <c r="O1821" s="640">
        <f>IF(AND(N1821=1,L1821=1),K1821,"")</f>
        <v/>
      </c>
      <c r="P1821" s="642" t="inlineStr">
        <is>
          <t xml:space="preserve">Калмыкия Респ, г. Элиста, ул. Ленина,д. 199   </t>
        </is>
      </c>
      <c r="Q1821" s="640" t="inlineStr">
        <is>
          <t>46.309262</t>
        </is>
      </c>
      <c r="R1821" s="422" t="inlineStr">
        <is>
          <t>44.248567</t>
        </is>
      </c>
      <c r="S1821" s="387" t="n"/>
      <c r="T1821" s="387" t="n"/>
      <c r="U1821" s="436" t="n"/>
      <c r="V1821" s="387" t="n"/>
      <c r="W1821" s="387" t="n"/>
      <c r="X1821" s="1" t="n"/>
      <c r="Y1821" s="1" t="n"/>
    </row>
    <row r="1822" hidden="1" ht="16.05" customFormat="1" customHeight="1" s="126">
      <c r="A1822" s="125" t="n">
        <v>2338</v>
      </c>
      <c r="B1822" s="125" t="n"/>
      <c r="C1822" s="130" t="inlineStr">
        <is>
          <t>Калмыкия</t>
        </is>
      </c>
      <c r="D1822" s="130" t="inlineStr">
        <is>
          <t>Элиста</t>
        </is>
      </c>
      <c r="E1822" s="130" t="n"/>
      <c r="F1822" s="130" t="inlineStr">
        <is>
          <t>АЗС</t>
        </is>
      </c>
      <c r="G1822" s="130" t="inlineStr">
        <is>
          <t>Лукойл</t>
        </is>
      </c>
      <c r="H1822" s="131" t="n"/>
      <c r="I1822" s="637" t="n">
        <v>8542</v>
      </c>
      <c r="J1822" s="637" t="inlineStr">
        <is>
          <t>ELS_LUK_8542</t>
        </is>
      </c>
      <c r="K1822" s="640" t="n">
        <v>1</v>
      </c>
      <c r="L1822" s="640" t="n">
        <v>0</v>
      </c>
      <c r="M1822" s="640" t="inlineStr">
        <is>
          <t>Samsung 32" вертикальный</t>
        </is>
      </c>
      <c r="N1822" s="640" t="n"/>
      <c r="O1822" s="640">
        <f>IF(AND(N1822=1,L1822=1),K1822,"")</f>
        <v/>
      </c>
      <c r="P1822" s="642" t="inlineStr">
        <is>
          <t xml:space="preserve">Калмыкия Респ г. Элиста, северная промышленная зона-2  ,тер.29 </t>
        </is>
      </c>
      <c r="Q1822" s="640" t="inlineStr">
        <is>
          <t>46.340945</t>
        </is>
      </c>
      <c r="R1822" s="422" t="inlineStr">
        <is>
          <t>44.261548</t>
        </is>
      </c>
      <c r="S1822" s="387" t="n"/>
      <c r="T1822" s="387" t="n"/>
      <c r="U1822" s="436" t="n"/>
      <c r="V1822" s="387" t="n"/>
      <c r="W1822" s="387" t="n"/>
      <c r="X1822" s="1" t="n"/>
      <c r="Y1822" s="1" t="n"/>
    </row>
    <row r="1823" hidden="1" ht="16.05" customFormat="1" customHeight="1" s="126">
      <c r="A1823" s="125" t="n">
        <v>2339</v>
      </c>
      <c r="B1823" s="125" t="n"/>
      <c r="C1823" s="130" t="inlineStr">
        <is>
          <t>Калмыкия</t>
        </is>
      </c>
      <c r="D1823" s="130" t="inlineStr">
        <is>
          <t>Элиста</t>
        </is>
      </c>
      <c r="E1823" s="130" t="n"/>
      <c r="F1823" s="130" t="inlineStr">
        <is>
          <t>АЗС</t>
        </is>
      </c>
      <c r="G1823" s="130" t="inlineStr">
        <is>
          <t>Лукойл</t>
        </is>
      </c>
      <c r="H1823" s="131" t="n"/>
      <c r="I1823" s="637" t="n">
        <v>8546</v>
      </c>
      <c r="J1823" s="637" t="inlineStr">
        <is>
          <t>ELS_LUK_8546</t>
        </is>
      </c>
      <c r="K1823" s="640" t="n">
        <v>1</v>
      </c>
      <c r="L1823" s="640" t="n">
        <v>0</v>
      </c>
      <c r="M1823" s="640" t="inlineStr">
        <is>
          <t>Samsung 32" вертикальный</t>
        </is>
      </c>
      <c r="N1823" s="640" t="n"/>
      <c r="O1823" s="640">
        <f>IF(AND(N1823=1,L1823=1),K1823,"")</f>
        <v/>
      </c>
      <c r="P1823" s="642" t="inlineStr">
        <is>
          <t xml:space="preserve">Калмыкия Респ, г. Элиста 316км-100 слева а/д Астрахань-Элиста-Ставрополь, </t>
        </is>
      </c>
      <c r="Q1823" s="640" t="inlineStr">
        <is>
          <t>46.304729</t>
        </is>
      </c>
      <c r="R1823" s="422" t="inlineStr">
        <is>
          <t>44.266255</t>
        </is>
      </c>
      <c r="S1823" s="387" t="n"/>
      <c r="T1823" s="387" t="n"/>
      <c r="U1823" s="436" t="n"/>
      <c r="V1823" s="387" t="n"/>
      <c r="W1823" s="387" t="n"/>
      <c r="X1823" s="1" t="n"/>
      <c r="Y1823" s="1" t="n"/>
    </row>
    <row r="1824" hidden="1" ht="16.05" customFormat="1" customHeight="1" s="126">
      <c r="A1824" s="125" t="n">
        <v>2340</v>
      </c>
      <c r="B1824" s="125" t="n"/>
      <c r="C1824" s="130" t="inlineStr">
        <is>
          <t>Воронеж</t>
        </is>
      </c>
      <c r="D1824" s="130" t="inlineStr">
        <is>
          <t>Воронеж</t>
        </is>
      </c>
      <c r="E1824" s="130" t="n"/>
      <c r="F1824" s="130" t="inlineStr">
        <is>
          <t>АЗС</t>
        </is>
      </c>
      <c r="G1824" s="130" t="inlineStr">
        <is>
          <t>Лукойл</t>
        </is>
      </c>
      <c r="H1824" s="131" t="n"/>
      <c r="I1824" s="637" t="n">
        <v>36701</v>
      </c>
      <c r="J1824" s="637" t="inlineStr">
        <is>
          <t>VRN_LUK_36701</t>
        </is>
      </c>
      <c r="K1824" s="640" t="n">
        <v>1</v>
      </c>
      <c r="L1824" s="640" t="n">
        <v>0</v>
      </c>
      <c r="M1824" s="640" t="inlineStr">
        <is>
          <t>Samsung 32" вертикальный</t>
        </is>
      </c>
      <c r="N1824" s="640" t="n"/>
      <c r="O1824" s="640">
        <f>IF(AND(N1824=1,L1824=1),K1824,"")</f>
        <v/>
      </c>
      <c r="P1824" s="642" t="inlineStr">
        <is>
          <t>Воронежская область, г. Воронеж, ул. Холмистая, 62</t>
        </is>
      </c>
      <c r="Q1824" s="640" t="inlineStr">
        <is>
          <t>51.668065</t>
        </is>
      </c>
      <c r="R1824" s="422" t="inlineStr">
        <is>
          <t>39.126859</t>
        </is>
      </c>
      <c r="S1824" s="387" t="n"/>
      <c r="T1824" s="387" t="n"/>
      <c r="U1824" s="436" t="n"/>
      <c r="V1824" s="387" t="n"/>
      <c r="W1824" s="387" t="n"/>
      <c r="X1824" s="1" t="n"/>
      <c r="Y1824" s="1" t="n"/>
    </row>
    <row r="1825" hidden="1" ht="16.05" customFormat="1" customHeight="1" s="126">
      <c r="A1825" s="125" t="n">
        <v>2341</v>
      </c>
      <c r="B1825" s="125" t="n"/>
      <c r="C1825" s="130" t="inlineStr">
        <is>
          <t>Воронеж</t>
        </is>
      </c>
      <c r="D1825" s="130" t="inlineStr">
        <is>
          <t>Новоусманский р-н</t>
        </is>
      </c>
      <c r="E1825" s="130" t="n"/>
      <c r="F1825" s="130" t="inlineStr">
        <is>
          <t>АЗС</t>
        </is>
      </c>
      <c r="G1825" s="130" t="inlineStr">
        <is>
          <t>Лукойл</t>
        </is>
      </c>
      <c r="H1825" s="131" t="n"/>
      <c r="I1825" s="637" t="n">
        <v>36703</v>
      </c>
      <c r="J1825" s="637" t="inlineStr">
        <is>
          <t>VRN_LUK_36703</t>
        </is>
      </c>
      <c r="K1825" s="640" t="n">
        <v>1</v>
      </c>
      <c r="L1825" s="640" t="n">
        <v>0</v>
      </c>
      <c r="M1825" s="640" t="inlineStr">
        <is>
          <t>Samsung 32" вертикальный</t>
        </is>
      </c>
      <c r="N1825" s="640" t="n"/>
      <c r="O1825" s="640">
        <f>IF(AND(N1825=1,L1825=1),K1825,"")</f>
        <v/>
      </c>
      <c r="P1825" s="642" t="inlineStr">
        <is>
          <t>Воронежская область, Новоусманский р-н, 518 км + 100м (справа) а/д "ДОН" М4</t>
        </is>
      </c>
      <c r="Q1825" s="640" t="inlineStr">
        <is>
          <t>51.82601</t>
        </is>
      </c>
      <c r="R1825" s="422" t="inlineStr">
        <is>
          <t>39.249905</t>
        </is>
      </c>
      <c r="S1825" s="387" t="n"/>
      <c r="T1825" s="387" t="n"/>
      <c r="U1825" s="436" t="n"/>
      <c r="V1825" s="387" t="n"/>
      <c r="W1825" s="387" t="n"/>
      <c r="X1825" s="1" t="n"/>
      <c r="Y1825" s="1" t="n"/>
    </row>
    <row r="1826" hidden="1" ht="16.05" customFormat="1" customHeight="1" s="126">
      <c r="A1826" s="125" t="n">
        <v>2342</v>
      </c>
      <c r="B1826" s="125" t="n"/>
      <c r="C1826" s="130" t="inlineStr">
        <is>
          <t>Воронеж</t>
        </is>
      </c>
      <c r="D1826" s="130" t="inlineStr">
        <is>
          <t>Воронеж</t>
        </is>
      </c>
      <c r="E1826" s="130" t="n"/>
      <c r="F1826" s="130" t="inlineStr">
        <is>
          <t>АЗС</t>
        </is>
      </c>
      <c r="G1826" s="130" t="inlineStr">
        <is>
          <t>Лукойл</t>
        </is>
      </c>
      <c r="H1826" s="131" t="n"/>
      <c r="I1826" s="637" t="n">
        <v>36704</v>
      </c>
      <c r="J1826" s="637" t="inlineStr">
        <is>
          <t>VRN_LUK_36704</t>
        </is>
      </c>
      <c r="K1826" s="640" t="n">
        <v>1</v>
      </c>
      <c r="L1826" s="640" t="n">
        <v>0</v>
      </c>
      <c r="M1826" s="640" t="inlineStr">
        <is>
          <t>Samsung 32" вертикальный</t>
        </is>
      </c>
      <c r="N1826" s="640" t="n"/>
      <c r="O1826" s="640">
        <f>IF(AND(N1826=1,L1826=1),K1826,"")</f>
        <v/>
      </c>
      <c r="P1826" s="642" t="inlineStr">
        <is>
          <t>Воронежская область, г. Воронеж, ул. Героев Сибиряков, 20а</t>
        </is>
      </c>
      <c r="Q1826" s="640" t="inlineStr">
        <is>
          <t>51.655858</t>
        </is>
      </c>
      <c r="R1826" s="422" t="inlineStr">
        <is>
          <t>39.135087</t>
        </is>
      </c>
      <c r="S1826" s="387" t="n"/>
      <c r="T1826" s="387" t="n"/>
      <c r="U1826" s="436" t="n"/>
      <c r="V1826" s="387" t="n"/>
      <c r="W1826" s="387" t="n"/>
      <c r="X1826" s="1" t="n"/>
      <c r="Y1826" s="1" t="n"/>
    </row>
    <row r="1827" hidden="1" ht="16.05" customFormat="1" customHeight="1" s="126">
      <c r="A1827" s="125" t="n">
        <v>2343</v>
      </c>
      <c r="B1827" s="125" t="n"/>
      <c r="C1827" s="130" t="inlineStr">
        <is>
          <t>Воронеж</t>
        </is>
      </c>
      <c r="D1827" s="130" t="inlineStr">
        <is>
          <t>Новоусманский р-н</t>
        </is>
      </c>
      <c r="E1827" s="130" t="n"/>
      <c r="F1827" s="130" t="inlineStr">
        <is>
          <t>АЗС</t>
        </is>
      </c>
      <c r="G1827" s="130" t="inlineStr">
        <is>
          <t>Лукойл</t>
        </is>
      </c>
      <c r="H1827" s="131" t="n"/>
      <c r="I1827" s="637" t="n">
        <v>36710</v>
      </c>
      <c r="J1827" s="637" t="inlineStr">
        <is>
          <t>VRN_LUK_36710</t>
        </is>
      </c>
      <c r="K1827" s="640" t="n">
        <v>1</v>
      </c>
      <c r="L1827" s="640" t="n">
        <v>0</v>
      </c>
      <c r="M1827" s="640" t="inlineStr">
        <is>
          <t>Samsung 32" вертикальный</t>
        </is>
      </c>
      <c r="N1827" s="640" t="n"/>
      <c r="O1827" s="640">
        <f>IF(AND(N1827=1,L1827=1),K1827,"")</f>
        <v/>
      </c>
      <c r="P1827" s="642" t="inlineStr">
        <is>
          <t>Воронежская область, Новоусманский район, 531 км а/д М4 "Дон" (слева)</t>
        </is>
      </c>
      <c r="Q1827" s="640" t="inlineStr">
        <is>
          <t>51.582283</t>
        </is>
      </c>
      <c r="R1827" s="422" t="inlineStr">
        <is>
          <t>39.466325</t>
        </is>
      </c>
      <c r="S1827" s="387" t="n"/>
      <c r="T1827" s="387" t="n"/>
      <c r="U1827" s="436" t="n"/>
      <c r="V1827" s="387" t="n"/>
      <c r="W1827" s="387" t="n"/>
      <c r="X1827" s="1" t="n"/>
      <c r="Y1827" s="1" t="n"/>
    </row>
    <row r="1828" hidden="1" ht="16.05" customFormat="1" customHeight="1" s="126">
      <c r="A1828" s="125" t="n">
        <v>2344</v>
      </c>
      <c r="B1828" s="125" t="n"/>
      <c r="C1828" s="130" t="inlineStr">
        <is>
          <t>Воронеж</t>
        </is>
      </c>
      <c r="D1828" s="130" t="inlineStr">
        <is>
          <t>Новоусманский р-н</t>
        </is>
      </c>
      <c r="E1828" s="130" t="n"/>
      <c r="F1828" s="130" t="inlineStr">
        <is>
          <t>АЗС</t>
        </is>
      </c>
      <c r="G1828" s="130" t="inlineStr">
        <is>
          <t>Лукойл</t>
        </is>
      </c>
      <c r="H1828" s="131" t="n"/>
      <c r="I1828" s="637" t="n">
        <v>36711</v>
      </c>
      <c r="J1828" s="637" t="inlineStr">
        <is>
          <t>VRN_LUK_36711</t>
        </is>
      </c>
      <c r="K1828" s="640" t="n">
        <v>1</v>
      </c>
      <c r="L1828" s="640" t="n">
        <v>0</v>
      </c>
      <c r="M1828" s="640" t="inlineStr">
        <is>
          <t>Samsung 32" вертикальный</t>
        </is>
      </c>
      <c r="N1828" s="640" t="n"/>
      <c r="O1828" s="640">
        <f>IF(AND(N1828=1,L1828=1),K1828,"")</f>
        <v/>
      </c>
      <c r="P1828" s="642" t="inlineStr">
        <is>
          <t>Воронежская область, Новоусманский р-н, с. Рогачевка, 532 км - 700 а/м М4 "Дон"</t>
        </is>
      </c>
      <c r="Q1828" s="640" t="inlineStr">
        <is>
          <t>51.625561</t>
        </is>
      </c>
      <c r="R1828" s="422" t="inlineStr">
        <is>
          <t>39.351658</t>
        </is>
      </c>
      <c r="S1828" s="387" t="n"/>
      <c r="T1828" s="387" t="n"/>
      <c r="U1828" s="436" t="n"/>
      <c r="V1828" s="387" t="n"/>
      <c r="W1828" s="387" t="n"/>
      <c r="X1828" s="1" t="n"/>
      <c r="Y1828" s="1" t="n"/>
    </row>
    <row r="1829" hidden="1" ht="16.05" customFormat="1" customHeight="1" s="126">
      <c r="A1829" s="125" t="n">
        <v>2345</v>
      </c>
      <c r="B1829" s="125" t="n"/>
      <c r="C1829" s="130" t="inlineStr">
        <is>
          <t>Воронеж</t>
        </is>
      </c>
      <c r="D1829" s="130" t="inlineStr">
        <is>
          <t>Лискинский р-н</t>
        </is>
      </c>
      <c r="E1829" s="130" t="n"/>
      <c r="F1829" s="130" t="inlineStr">
        <is>
          <t>АЗС</t>
        </is>
      </c>
      <c r="G1829" s="130" t="inlineStr">
        <is>
          <t>Лукойл</t>
        </is>
      </c>
      <c r="H1829" s="131" t="n"/>
      <c r="I1829" s="637" t="n">
        <v>36712</v>
      </c>
      <c r="J1829" s="637" t="inlineStr">
        <is>
          <t>VRN_LUK_36712</t>
        </is>
      </c>
      <c r="K1829" s="640" t="n">
        <v>1</v>
      </c>
      <c r="L1829" s="640" t="n">
        <v>0</v>
      </c>
      <c r="M1829" s="640" t="inlineStr">
        <is>
          <t>Samsung 32" вертикальный</t>
        </is>
      </c>
      <c r="N1829" s="640" t="n"/>
      <c r="O1829" s="640">
        <f>IF(AND(N1829=1,L1829=1),K1829,"")</f>
        <v/>
      </c>
      <c r="P1829" s="642" t="inlineStr">
        <is>
          <t>Воронежская область, Лискинский р-н, с. Средний Икорец, 589 км а/д М-4 "Дон" (право)</t>
        </is>
      </c>
      <c r="Q1829" s="640" t="inlineStr">
        <is>
          <t>51.103976</t>
        </is>
      </c>
      <c r="R1829" s="422" t="inlineStr">
        <is>
          <t>39.747372</t>
        </is>
      </c>
      <c r="S1829" s="387" t="n"/>
      <c r="T1829" s="387" t="n"/>
      <c r="U1829" s="436" t="n"/>
      <c r="V1829" s="387" t="n"/>
      <c r="W1829" s="387" t="n"/>
      <c r="X1829" s="1" t="n"/>
      <c r="Y1829" s="1" t="n"/>
    </row>
    <row r="1830" hidden="1" ht="16.05" customFormat="1" customHeight="1" s="126">
      <c r="A1830" s="125" t="n">
        <v>2346</v>
      </c>
      <c r="B1830" s="125" t="n"/>
      <c r="C1830" s="130" t="inlineStr">
        <is>
          <t>Воронеж</t>
        </is>
      </c>
      <c r="D1830" s="130" t="inlineStr">
        <is>
          <t>Воронеж</t>
        </is>
      </c>
      <c r="E1830" s="130" t="n"/>
      <c r="F1830" s="130" t="inlineStr">
        <is>
          <t>АЗС</t>
        </is>
      </c>
      <c r="G1830" s="130" t="inlineStr">
        <is>
          <t>Лукойл</t>
        </is>
      </c>
      <c r="H1830" s="131" t="n"/>
      <c r="I1830" s="637" t="n">
        <v>36714</v>
      </c>
      <c r="J1830" s="637" t="inlineStr">
        <is>
          <t>VRN_LUK_36714</t>
        </is>
      </c>
      <c r="K1830" s="640" t="n">
        <v>1</v>
      </c>
      <c r="L1830" s="640" t="n">
        <v>0</v>
      </c>
      <c r="M1830" s="640" t="inlineStr">
        <is>
          <t>Samsung 32" вертикальный</t>
        </is>
      </c>
      <c r="N1830" s="640" t="n"/>
      <c r="O1830" s="640">
        <f>IF(AND(N1830=1,L1830=1),K1830,"")</f>
        <v/>
      </c>
      <c r="P1830" s="642" t="inlineStr">
        <is>
          <t>Воронежская область, г.Воронеж, ул. Ильюшина, д.17</t>
        </is>
      </c>
      <c r="Q1830" s="640" t="inlineStr">
        <is>
          <t>51.627325</t>
        </is>
      </c>
      <c r="R1830" s="422" t="inlineStr">
        <is>
          <t>39.286067</t>
        </is>
      </c>
      <c r="S1830" s="387" t="n"/>
      <c r="T1830" s="387" t="n"/>
      <c r="U1830" s="436" t="n"/>
      <c r="V1830" s="387" t="n"/>
      <c r="W1830" s="387" t="n"/>
      <c r="X1830" s="1" t="n"/>
      <c r="Y1830" s="1" t="n"/>
    </row>
    <row r="1831" hidden="1" ht="16.05" customFormat="1" customHeight="1" s="126">
      <c r="A1831" s="125" t="n">
        <v>2347</v>
      </c>
      <c r="B1831" s="125" t="n"/>
      <c r="C1831" s="130" t="inlineStr">
        <is>
          <t>Воронеж</t>
        </is>
      </c>
      <c r="D1831" s="130" t="inlineStr">
        <is>
          <t>Бобровский р-н</t>
        </is>
      </c>
      <c r="E1831" s="130" t="n"/>
      <c r="F1831" s="130" t="n"/>
      <c r="G1831" s="130" t="inlineStr">
        <is>
          <t>Лукойл</t>
        </is>
      </c>
      <c r="H1831" s="131" t="n"/>
      <c r="I1831" s="637" t="n">
        <v>36715</v>
      </c>
      <c r="J1831" s="402" t="inlineStr">
        <is>
          <t>VRN_LUK_36715</t>
        </is>
      </c>
      <c r="K1831" s="640" t="n">
        <v>1</v>
      </c>
      <c r="L1831" s="640" t="n">
        <v>0</v>
      </c>
      <c r="M1831" s="640" t="inlineStr">
        <is>
          <t>Sam 32</t>
        </is>
      </c>
      <c r="N1831" s="640" t="n"/>
      <c r="O1831" s="640">
        <f>IF(AND(N1831=1,L1831=1),K1831,"")</f>
        <v/>
      </c>
      <c r="P1831" s="642" t="inlineStr">
        <is>
          <t>Воронежская область, Бобровский р-н, с.Шестаково,633 км + 150 (право) на а/м М4 "Дон"</t>
        </is>
      </c>
      <c r="Q1831" s="640" t="n">
        <v>50.765891</v>
      </c>
      <c r="R1831" s="422" t="n">
        <v>40.021266</v>
      </c>
      <c r="S1831" s="387" t="n"/>
      <c r="T1831" s="387" t="n"/>
      <c r="U1831" s="436" t="n"/>
      <c r="V1831" s="387" t="n"/>
      <c r="W1831" s="387" t="n"/>
      <c r="X1831" s="1" t="n"/>
      <c r="Y1831" s="1" t="n"/>
    </row>
    <row r="1832" hidden="1" ht="16.05" customHeight="1">
      <c r="A1832" s="791" t="n">
        <v>2348</v>
      </c>
      <c r="B1832" s="13">
        <f>IF(OR(M1832="Sam 32",M1832="Sam 40"),"s",IF(M1832="AMS","a","v"))</f>
        <v/>
      </c>
      <c r="C1832" s="130" t="inlineStr">
        <is>
          <t>Воронеж</t>
        </is>
      </c>
      <c r="D1832" s="130" t="inlineStr">
        <is>
          <t>Бобровский р-н</t>
        </is>
      </c>
      <c r="E1832" s="130" t="n"/>
      <c r="F1832" s="130" t="n"/>
      <c r="G1832" s="130" t="inlineStr">
        <is>
          <t>Лукойл</t>
        </is>
      </c>
      <c r="H1832" s="131" t="n"/>
      <c r="I1832" s="637" t="n">
        <v>36716</v>
      </c>
      <c r="J1832" s="402" t="n"/>
      <c r="K1832" s="640" t="n">
        <v>0</v>
      </c>
      <c r="L1832" s="640" t="n">
        <v>0</v>
      </c>
      <c r="M1832" s="640" t="inlineStr">
        <is>
          <t>Sam 32</t>
        </is>
      </c>
      <c r="N1832" s="640" t="n"/>
      <c r="O1832" s="640">
        <f>IF(AND(N1832=1,L1832=1),K1832,"")</f>
        <v/>
      </c>
      <c r="P1832" s="642" t="inlineStr">
        <is>
          <t>Воронежская область, Бобровский р-н, с.Шестаково, 633 км + 150 (лево) на а/м М4 "Дон"</t>
        </is>
      </c>
      <c r="Q1832" s="640" t="n"/>
      <c r="R1832" s="422" t="n"/>
      <c r="U1832" s="436" t="n"/>
      <c r="X1832" s="1" t="n"/>
      <c r="Y1832" s="1" t="n"/>
      <c r="Z1832" s="1" t="n"/>
    </row>
    <row r="1833" hidden="1" ht="16.05" customFormat="1" customHeight="1" s="126">
      <c r="A1833" s="125" t="n">
        <v>2349</v>
      </c>
      <c r="B1833" s="125" t="n"/>
      <c r="C1833" s="130" t="inlineStr">
        <is>
          <t>Воронеж</t>
        </is>
      </c>
      <c r="D1833" s="130" t="inlineStr">
        <is>
          <t>Верхнемамонский р-он</t>
        </is>
      </c>
      <c r="E1833" s="130" t="n"/>
      <c r="F1833" s="130" t="inlineStr">
        <is>
          <t>АЗС</t>
        </is>
      </c>
      <c r="G1833" s="130" t="inlineStr">
        <is>
          <t>Лукойл</t>
        </is>
      </c>
      <c r="H1833" s="131" t="n"/>
      <c r="I1833" s="637" t="n">
        <v>36720</v>
      </c>
      <c r="J1833" s="637" t="inlineStr">
        <is>
          <t>VRN_LUK_36720</t>
        </is>
      </c>
      <c r="K1833" s="640" t="n">
        <v>1</v>
      </c>
      <c r="L1833" s="640" t="n">
        <v>0</v>
      </c>
      <c r="M1833" s="640" t="inlineStr">
        <is>
          <t>Samsung 32" вертикальный</t>
        </is>
      </c>
      <c r="N1833" s="640" t="n"/>
      <c r="O1833" s="640">
        <f>IF(AND(N1833=1,L1833=1),K1833,"")</f>
        <v/>
      </c>
      <c r="P1833" s="642" t="inlineStr">
        <is>
          <t>Воронежская область, Верхнемамонский р-он, с.Верхний Мамон,720 км а/д М-4 "Дон" (справа)</t>
        </is>
      </c>
      <c r="Q1833" s="640" t="inlineStr">
        <is>
          <t>50.097541</t>
        </is>
      </c>
      <c r="R1833" s="422" t="inlineStr">
        <is>
          <t>40.433374</t>
        </is>
      </c>
      <c r="S1833" s="387" t="n"/>
      <c r="T1833" s="387" t="n"/>
      <c r="U1833" s="436" t="n"/>
      <c r="V1833" s="387" t="n"/>
      <c r="W1833" s="387" t="n"/>
      <c r="X1833" s="1" t="n"/>
      <c r="Y1833" s="1" t="n"/>
    </row>
    <row r="1834" hidden="1" ht="16.05" customFormat="1" customHeight="1" s="126">
      <c r="A1834" s="125" t="n">
        <v>2350</v>
      </c>
      <c r="B1834" s="125" t="n"/>
      <c r="C1834" s="130" t="inlineStr">
        <is>
          <t>Воронеж</t>
        </is>
      </c>
      <c r="D1834" s="130" t="inlineStr">
        <is>
          <t>Верхнемамонский р-он</t>
        </is>
      </c>
      <c r="E1834" s="130" t="n"/>
      <c r="F1834" s="130" t="inlineStr">
        <is>
          <t>АЗС</t>
        </is>
      </c>
      <c r="G1834" s="130" t="inlineStr">
        <is>
          <t>Лукойл</t>
        </is>
      </c>
      <c r="H1834" s="131" t="n"/>
      <c r="I1834" s="637" t="n">
        <v>36722</v>
      </c>
      <c r="J1834" s="637" t="inlineStr">
        <is>
          <t>VRN_LUK_36722</t>
        </is>
      </c>
      <c r="K1834" s="640" t="n">
        <v>1</v>
      </c>
      <c r="L1834" s="640" t="n">
        <v>0</v>
      </c>
      <c r="M1834" s="640" t="inlineStr">
        <is>
          <t>Samsung 32" вертикальный</t>
        </is>
      </c>
      <c r="N1834" s="640" t="n"/>
      <c r="O1834" s="640">
        <f>IF(AND(N1834=1,L1834=1),K1834,"")</f>
        <v/>
      </c>
      <c r="P1834" s="642" t="inlineStr">
        <is>
          <t>Воронежская область, Верхнемамонский р-он, с.Верхний Мамон, 720 км а/д М-4 "Дон" (слева)</t>
        </is>
      </c>
      <c r="Q1834" s="640" t="inlineStr">
        <is>
          <t>50.096807</t>
        </is>
      </c>
      <c r="R1834" s="422" t="inlineStr">
        <is>
          <t>40.431872</t>
        </is>
      </c>
      <c r="S1834" s="387" t="n"/>
      <c r="T1834" s="387" t="n"/>
      <c r="U1834" s="436" t="n"/>
      <c r="V1834" s="387" t="n"/>
      <c r="W1834" s="387" t="n"/>
      <c r="X1834" s="1" t="n"/>
      <c r="Y1834" s="1" t="n"/>
    </row>
    <row r="1835" hidden="1" ht="16.05" customFormat="1" customHeight="1" s="126">
      <c r="A1835" s="125" t="n">
        <v>2351</v>
      </c>
      <c r="B1835" s="125" t="n"/>
      <c r="C1835" s="130" t="inlineStr">
        <is>
          <t>Воронеж</t>
        </is>
      </c>
      <c r="D1835" s="130" t="inlineStr">
        <is>
          <t>Воронеж</t>
        </is>
      </c>
      <c r="E1835" s="130" t="n"/>
      <c r="F1835" s="130" t="inlineStr">
        <is>
          <t>АЗС</t>
        </is>
      </c>
      <c r="G1835" s="130" t="inlineStr">
        <is>
          <t>Лукойл</t>
        </is>
      </c>
      <c r="H1835" s="131" t="n"/>
      <c r="I1835" s="637" t="n">
        <v>36724</v>
      </c>
      <c r="J1835" s="637" t="inlineStr">
        <is>
          <t>VRN_LUK_36724</t>
        </is>
      </c>
      <c r="K1835" s="640" t="n">
        <v>1</v>
      </c>
      <c r="L1835" s="640" t="n">
        <v>0</v>
      </c>
      <c r="M1835" s="640" t="inlineStr">
        <is>
          <t>Samsung 32" вертикальный</t>
        </is>
      </c>
      <c r="N1835" s="640" t="n"/>
      <c r="O1835" s="640">
        <f>IF(AND(N1835=1,L1835=1),K1835,"")</f>
        <v/>
      </c>
      <c r="P1835" s="642" t="inlineStr">
        <is>
          <t>Воронежская область, г. Воронеж, ул. Остужева, 37</t>
        </is>
      </c>
      <c r="Q1835" s="640" t="inlineStr">
        <is>
          <t>51.680972</t>
        </is>
      </c>
      <c r="R1835" s="422" t="inlineStr">
        <is>
          <t>39.286211</t>
        </is>
      </c>
      <c r="S1835" s="387" t="n"/>
      <c r="T1835" s="387" t="n"/>
      <c r="U1835" s="436" t="n"/>
      <c r="V1835" s="387" t="n"/>
      <c r="W1835" s="387" t="n"/>
      <c r="X1835" s="1" t="n"/>
      <c r="Y1835" s="1" t="n"/>
    </row>
    <row r="1836" hidden="1" ht="16.05" customFormat="1" customHeight="1" s="126">
      <c r="A1836" s="125" t="n">
        <v>2352</v>
      </c>
      <c r="B1836" s="125" t="n"/>
      <c r="C1836" s="130" t="inlineStr">
        <is>
          <t>Воронеж</t>
        </is>
      </c>
      <c r="D1836" s="130" t="inlineStr">
        <is>
          <t>Воронеж</t>
        </is>
      </c>
      <c r="E1836" s="130" t="n"/>
      <c r="F1836" s="130" t="inlineStr">
        <is>
          <t>АЗС</t>
        </is>
      </c>
      <c r="G1836" s="130" t="inlineStr">
        <is>
          <t>Лукойл</t>
        </is>
      </c>
      <c r="H1836" s="131" t="n"/>
      <c r="I1836" s="637" t="n">
        <v>36726</v>
      </c>
      <c r="J1836" s="637" t="inlineStr">
        <is>
          <t>VRN_LUK_36726</t>
        </is>
      </c>
      <c r="K1836" s="640" t="n">
        <v>1</v>
      </c>
      <c r="L1836" s="640" t="n">
        <v>0</v>
      </c>
      <c r="M1836" s="640" t="inlineStr">
        <is>
          <t>Samsung 32" вертикальный</t>
        </is>
      </c>
      <c r="N1836" s="640" t="n"/>
      <c r="O1836" s="640">
        <f>IF(AND(N1836=1,L1836=1),K1836,"")</f>
        <v/>
      </c>
      <c r="P1836" s="642" t="inlineStr">
        <is>
          <t>Воронежская областьг. Воронеж, ул. Степана Солодовникова, 6</t>
        </is>
      </c>
      <c r="Q1836" s="640" t="inlineStr">
        <is>
          <t>51.635023</t>
        </is>
      </c>
      <c r="R1836" s="422" t="inlineStr">
        <is>
          <t>39.205946</t>
        </is>
      </c>
      <c r="S1836" s="387" t="n"/>
      <c r="T1836" s="387" t="n"/>
      <c r="U1836" s="436" t="n"/>
      <c r="V1836" s="387" t="n"/>
      <c r="W1836" s="387" t="n"/>
      <c r="X1836" s="1" t="n"/>
      <c r="Y1836" s="1" t="n"/>
    </row>
    <row r="1837" hidden="1" ht="16.05" customFormat="1" customHeight="1" s="126">
      <c r="A1837" s="125" t="n">
        <v>2353</v>
      </c>
      <c r="B1837" s="125" t="n"/>
      <c r="C1837" s="130" t="inlineStr">
        <is>
          <t>Воронеж</t>
        </is>
      </c>
      <c r="D1837" s="130" t="inlineStr">
        <is>
          <t>Воронеж</t>
        </is>
      </c>
      <c r="E1837" s="130" t="n"/>
      <c r="F1837" s="130" t="inlineStr">
        <is>
          <t>АЗС</t>
        </is>
      </c>
      <c r="G1837" s="130" t="inlineStr">
        <is>
          <t>Лукойл</t>
        </is>
      </c>
      <c r="H1837" s="131" t="n"/>
      <c r="I1837" s="637" t="n">
        <v>36727</v>
      </c>
      <c r="J1837" s="637" t="inlineStr">
        <is>
          <t>VRN_LUK_36727</t>
        </is>
      </c>
      <c r="K1837" s="640" t="n">
        <v>1</v>
      </c>
      <c r="L1837" s="640" t="n">
        <v>0</v>
      </c>
      <c r="M1837" s="640" t="inlineStr">
        <is>
          <t>Samsung 32" вертикальный</t>
        </is>
      </c>
      <c r="N1837" s="640" t="n"/>
      <c r="O1837" s="640">
        <f>IF(AND(N1837=1,L1837=1),K1837,"")</f>
        <v/>
      </c>
      <c r="P1837" s="642" t="inlineStr">
        <is>
          <t>Воронежская область г. Воронеж, ул. Грамши, 2г</t>
        </is>
      </c>
      <c r="Q1837" s="640" t="inlineStr">
        <is>
          <t>51.633112</t>
        </is>
      </c>
      <c r="R1837" s="422" t="inlineStr">
        <is>
          <t>39.182159</t>
        </is>
      </c>
      <c r="S1837" s="387" t="n"/>
      <c r="T1837" s="387" t="n"/>
      <c r="U1837" s="436" t="n"/>
      <c r="V1837" s="387" t="n"/>
      <c r="W1837" s="387" t="n"/>
      <c r="X1837" s="1" t="n"/>
      <c r="Y1837" s="1" t="n"/>
    </row>
    <row r="1838" hidden="1" ht="16.05" customFormat="1" customHeight="1" s="126">
      <c r="A1838" s="125" t="n">
        <v>2354</v>
      </c>
      <c r="B1838" s="125" t="n"/>
      <c r="C1838" s="130" t="inlineStr">
        <is>
          <t>Липецк</t>
        </is>
      </c>
      <c r="D1838" s="130" t="inlineStr">
        <is>
          <t>Липецк</t>
        </is>
      </c>
      <c r="E1838" s="130" t="n"/>
      <c r="F1838" s="130" t="inlineStr">
        <is>
          <t>АЗС</t>
        </is>
      </c>
      <c r="G1838" s="130" t="inlineStr">
        <is>
          <t>Лукойл</t>
        </is>
      </c>
      <c r="H1838" s="131" t="n"/>
      <c r="I1838" s="637" t="n">
        <v>48750</v>
      </c>
      <c r="J1838" s="402" t="inlineStr">
        <is>
          <t>LIP_LUK_48750</t>
        </is>
      </c>
      <c r="K1838" s="640" t="n">
        <v>1</v>
      </c>
      <c r="L1838" s="640" t="n">
        <v>0</v>
      </c>
      <c r="M1838" s="640" t="inlineStr">
        <is>
          <t>1 октября</t>
        </is>
      </c>
      <c r="N1838" s="640" t="n"/>
      <c r="O1838" s="640">
        <f>IF(AND(N1838=1,L1838=1),K1838,"")</f>
        <v/>
      </c>
      <c r="P1838" s="642" t="inlineStr">
        <is>
          <t>Липецкая область,г. Липецк, ул. Катукова,  49</t>
        </is>
      </c>
      <c r="Q1838" s="640" t="n">
        <v>52.594211</v>
      </c>
      <c r="R1838" s="422" t="n">
        <v>39.504115</v>
      </c>
      <c r="S1838" s="387" t="n"/>
      <c r="T1838" s="387" t="n"/>
      <c r="U1838" s="436" t="n"/>
      <c r="V1838" s="387" t="n"/>
      <c r="W1838" s="387" t="n"/>
      <c r="X1838" s="1" t="n"/>
      <c r="Y1838" s="1" t="n"/>
    </row>
    <row r="1839" hidden="1" ht="16.05" customFormat="1" customHeight="1" s="126">
      <c r="A1839" s="125" t="n">
        <v>2355</v>
      </c>
      <c r="B1839" s="125" t="n"/>
      <c r="C1839" s="130" t="inlineStr">
        <is>
          <t>Липецк</t>
        </is>
      </c>
      <c r="D1839" s="130" t="inlineStr">
        <is>
          <t>Липецк</t>
        </is>
      </c>
      <c r="E1839" s="130" t="n"/>
      <c r="F1839" s="130" t="inlineStr">
        <is>
          <t>АЗС</t>
        </is>
      </c>
      <c r="G1839" s="130" t="inlineStr">
        <is>
          <t>Лукойл</t>
        </is>
      </c>
      <c r="H1839" s="131" t="n"/>
      <c r="I1839" s="637" t="n">
        <v>48751</v>
      </c>
      <c r="J1839" s="402" t="inlineStr">
        <is>
          <t>LIP_LUK_48751</t>
        </is>
      </c>
      <c r="K1839" s="640" t="n">
        <v>1</v>
      </c>
      <c r="L1839" s="640" t="n">
        <v>0</v>
      </c>
      <c r="M1839" s="640" t="inlineStr">
        <is>
          <t>1 октября</t>
        </is>
      </c>
      <c r="N1839" s="640" t="n"/>
      <c r="O1839" s="640">
        <f>IF(AND(N1839=1,L1839=1),K1839,"")</f>
        <v/>
      </c>
      <c r="P1839" s="642" t="inlineStr">
        <is>
          <t>Липецкая областьг. Липецк, Универсальный проезд,  1</t>
        </is>
      </c>
      <c r="Q1839" s="640" t="n">
        <v>52.617914</v>
      </c>
      <c r="R1839" s="422" t="n">
        <v>39.544468</v>
      </c>
      <c r="S1839" s="387" t="n"/>
      <c r="T1839" s="387" t="n"/>
      <c r="U1839" s="436" t="n"/>
      <c r="V1839" s="387" t="n"/>
      <c r="W1839" s="387" t="n"/>
      <c r="X1839" s="1" t="n"/>
      <c r="Y1839" s="1" t="n"/>
    </row>
    <row r="1840" hidden="1" ht="16.05" customFormat="1" customHeight="1" s="126">
      <c r="A1840" s="125" t="n">
        <v>2356</v>
      </c>
      <c r="B1840" s="125" t="n"/>
      <c r="C1840" s="130" t="inlineStr">
        <is>
          <t>Липецк</t>
        </is>
      </c>
      <c r="D1840" s="130" t="inlineStr">
        <is>
          <t>Липецк</t>
        </is>
      </c>
      <c r="E1840" s="130" t="n"/>
      <c r="F1840" s="130" t="inlineStr">
        <is>
          <t>АЗС</t>
        </is>
      </c>
      <c r="G1840" s="130" t="inlineStr">
        <is>
          <t>Лукойл</t>
        </is>
      </c>
      <c r="H1840" s="131" t="n"/>
      <c r="I1840" s="637" t="n">
        <v>48752</v>
      </c>
      <c r="J1840" s="402" t="inlineStr">
        <is>
          <t>LIP_LUK_48752</t>
        </is>
      </c>
      <c r="K1840" s="640" t="n">
        <v>1</v>
      </c>
      <c r="L1840" s="640" t="n">
        <v>0</v>
      </c>
      <c r="M1840" s="640" t="inlineStr">
        <is>
          <t>1 октября</t>
        </is>
      </c>
      <c r="N1840" s="640" t="n"/>
      <c r="O1840" s="640">
        <f>IF(AND(N1840=1,L1840=1),K1840,"")</f>
        <v/>
      </c>
      <c r="P1840" s="642" t="inlineStr">
        <is>
          <t>Липецкая область г. Липецк, ул. Валентины Терешковой, стр. 41</t>
        </is>
      </c>
      <c r="Q1840" s="640" t="n">
        <v>52.612818</v>
      </c>
      <c r="R1840" s="422" t="n">
        <v>39.58137</v>
      </c>
      <c r="S1840" s="387" t="n"/>
      <c r="T1840" s="387" t="n"/>
      <c r="U1840" s="436" t="n"/>
      <c r="V1840" s="387" t="n"/>
      <c r="W1840" s="387" t="n"/>
      <c r="X1840" s="1" t="n"/>
      <c r="Y1840" s="1" t="n"/>
    </row>
    <row r="1841" hidden="1" ht="16.05" customFormat="1" customHeight="1" s="126">
      <c r="A1841" s="125" t="n">
        <v>2357</v>
      </c>
      <c r="B1841" s="125" t="n"/>
      <c r="C1841" s="130" t="inlineStr">
        <is>
          <t>Липецк</t>
        </is>
      </c>
      <c r="D1841" s="130" t="inlineStr">
        <is>
          <t>Липецк</t>
        </is>
      </c>
      <c r="E1841" s="130" t="n"/>
      <c r="F1841" s="130" t="inlineStr">
        <is>
          <t>АЗС</t>
        </is>
      </c>
      <c r="G1841" s="130" t="inlineStr">
        <is>
          <t>Лукойл</t>
        </is>
      </c>
      <c r="H1841" s="131" t="n"/>
      <c r="I1841" s="637" t="n">
        <v>48753</v>
      </c>
      <c r="J1841" s="402" t="inlineStr">
        <is>
          <t>LIP_LUK_48753</t>
        </is>
      </c>
      <c r="K1841" s="640" t="n">
        <v>1</v>
      </c>
      <c r="L1841" s="640" t="n">
        <v>0</v>
      </c>
      <c r="M1841" s="640" t="inlineStr">
        <is>
          <t>1 октября</t>
        </is>
      </c>
      <c r="N1841" s="640" t="n"/>
      <c r="O1841" s="640">
        <f>IF(AND(N1841=1,L1841=1),K1841,"")</f>
        <v/>
      </c>
      <c r="P1841" s="642" t="inlineStr">
        <is>
          <t>Липецкая область, г. Липецк, ул. Краснозаводская, стр. 2Б</t>
        </is>
      </c>
      <c r="Q1841" s="640" t="n">
        <v>52.551603</v>
      </c>
      <c r="R1841" s="422" t="n">
        <v>39.563215</v>
      </c>
      <c r="S1841" s="387" t="n"/>
      <c r="T1841" s="387" t="n"/>
      <c r="U1841" s="436" t="n"/>
      <c r="V1841" s="387" t="n"/>
      <c r="W1841" s="387" t="n"/>
      <c r="X1841" s="1" t="n"/>
      <c r="Y1841" s="1" t="n"/>
    </row>
    <row r="1842" hidden="1" ht="16.05" customFormat="1" customHeight="1" s="126">
      <c r="A1842" s="125" t="n">
        <v>2358</v>
      </c>
      <c r="B1842" s="125" t="n"/>
      <c r="C1842" s="130" t="inlineStr">
        <is>
          <t>Липецк</t>
        </is>
      </c>
      <c r="D1842" s="130" t="inlineStr">
        <is>
          <t>Липецк</t>
        </is>
      </c>
      <c r="E1842" s="130" t="n"/>
      <c r="F1842" s="130" t="inlineStr">
        <is>
          <t>АЗС</t>
        </is>
      </c>
      <c r="G1842" s="130" t="inlineStr">
        <is>
          <t>Лукойл</t>
        </is>
      </c>
      <c r="H1842" s="131" t="n"/>
      <c r="I1842" s="637" t="n">
        <v>48754</v>
      </c>
      <c r="J1842" s="402" t="inlineStr">
        <is>
          <t>LIP_LUK_48754</t>
        </is>
      </c>
      <c r="K1842" s="640" t="n">
        <v>1</v>
      </c>
      <c r="L1842" s="640" t="n">
        <v>0</v>
      </c>
      <c r="M1842" s="640" t="inlineStr">
        <is>
          <t>1 октября</t>
        </is>
      </c>
      <c r="N1842" s="640" t="n"/>
      <c r="O1842" s="640">
        <f>IF(AND(N1842=1,L1842=1),K1842,"")</f>
        <v/>
      </c>
      <c r="P1842" s="642" t="inlineStr">
        <is>
          <t>Липецкая область г. Липецк, ул. Ферросплавная, стр. 43</t>
        </is>
      </c>
      <c r="Q1842" s="640" t="n">
        <v>52.578076</v>
      </c>
      <c r="R1842" s="422" t="n">
        <v>39.654323</v>
      </c>
      <c r="S1842" s="387" t="n"/>
      <c r="T1842" s="387" t="n"/>
      <c r="U1842" s="436" t="n"/>
      <c r="V1842" s="387" t="n"/>
      <c r="W1842" s="387" t="n"/>
      <c r="X1842" s="1" t="n"/>
      <c r="Y1842" s="1" t="n"/>
    </row>
    <row r="1843" hidden="1" ht="16.05" customFormat="1" customHeight="1" s="126">
      <c r="A1843" s="125" t="n">
        <v>2359</v>
      </c>
      <c r="B1843" s="125" t="n"/>
      <c r="C1843" s="130" t="inlineStr">
        <is>
          <t>Липецк</t>
        </is>
      </c>
      <c r="D1843" s="130" t="inlineStr">
        <is>
          <t>Липецк</t>
        </is>
      </c>
      <c r="E1843" s="130" t="n"/>
      <c r="F1843" s="130" t="inlineStr">
        <is>
          <t>АЗС</t>
        </is>
      </c>
      <c r="G1843" s="130" t="inlineStr">
        <is>
          <t>Лукойл</t>
        </is>
      </c>
      <c r="H1843" s="131" t="n"/>
      <c r="I1843" s="637" t="n">
        <v>48755</v>
      </c>
      <c r="J1843" s="402" t="inlineStr">
        <is>
          <t>LIP_LUK_48755</t>
        </is>
      </c>
      <c r="K1843" s="640" t="n">
        <v>1</v>
      </c>
      <c r="L1843" s="640" t="n">
        <v>0</v>
      </c>
      <c r="M1843" s="640" t="inlineStr">
        <is>
          <t>1 октября</t>
        </is>
      </c>
      <c r="N1843" s="640" t="n"/>
      <c r="O1843" s="640">
        <f>IF(AND(N1843=1,L1843=1),K1843,"")</f>
        <v/>
      </c>
      <c r="P1843" s="642" t="inlineStr">
        <is>
          <t>Липецкая область г. Липецк, ул. Адмирала Макарова, стр. 23</t>
        </is>
      </c>
      <c r="Q1843" s="640" t="n">
        <v>52.57679</v>
      </c>
      <c r="R1843" s="422" t="n">
        <v>39.625325</v>
      </c>
      <c r="S1843" s="387" t="n"/>
      <c r="T1843" s="387" t="n"/>
      <c r="U1843" s="436" t="n"/>
      <c r="V1843" s="387" t="n"/>
      <c r="W1843" s="387" t="n"/>
      <c r="X1843" s="1" t="n"/>
      <c r="Y1843" s="1" t="n"/>
    </row>
    <row r="1844" hidden="1" ht="16.05" customFormat="1" customHeight="1" s="126">
      <c r="A1844" s="125" t="n">
        <v>2360</v>
      </c>
      <c r="B1844" s="125" t="n"/>
      <c r="C1844" s="130" t="inlineStr">
        <is>
          <t>Липецк</t>
        </is>
      </c>
      <c r="D1844" s="130" t="inlineStr">
        <is>
          <t>Липецк</t>
        </is>
      </c>
      <c r="E1844" s="130" t="n"/>
      <c r="F1844" s="130" t="inlineStr">
        <is>
          <t>АЗС</t>
        </is>
      </c>
      <c r="G1844" s="130" t="inlineStr">
        <is>
          <t>Лукойл</t>
        </is>
      </c>
      <c r="H1844" s="131" t="n"/>
      <c r="I1844" s="637" t="n">
        <v>48756</v>
      </c>
      <c r="J1844" s="402" t="inlineStr">
        <is>
          <t>LIP_LUK_48756</t>
        </is>
      </c>
      <c r="K1844" s="640" t="n">
        <v>1</v>
      </c>
      <c r="L1844" s="640" t="n">
        <v>0</v>
      </c>
      <c r="M1844" s="640" t="inlineStr">
        <is>
          <t>1 октября</t>
        </is>
      </c>
      <c r="N1844" s="640" t="n"/>
      <c r="O1844" s="640">
        <f>IF(AND(N1844=1,L1844=1),K1844,"")</f>
        <v/>
      </c>
      <c r="P1844" s="642" t="inlineStr">
        <is>
          <t>Липецкая область, г. Липецк, ул. Баумана 2 «а»</t>
        </is>
      </c>
      <c r="Q1844" s="640" t="n">
        <v>52.635127</v>
      </c>
      <c r="R1844" s="422" t="n">
        <v>39.665417</v>
      </c>
      <c r="S1844" s="387" t="n"/>
      <c r="T1844" s="387" t="n"/>
      <c r="U1844" s="436" t="n"/>
      <c r="V1844" s="387" t="n"/>
      <c r="W1844" s="387" t="n"/>
      <c r="X1844" s="1" t="n"/>
      <c r="Y1844" s="1" t="n"/>
    </row>
    <row r="1845" hidden="1" ht="16.05" customFormat="1" customHeight="1" s="126">
      <c r="A1845" s="125" t="n">
        <v>2361</v>
      </c>
      <c r="B1845" s="125" t="n"/>
      <c r="C1845" s="130" t="inlineStr">
        <is>
          <t>Белгород</t>
        </is>
      </c>
      <c r="D1845" s="130" t="inlineStr">
        <is>
          <t>Белгород</t>
        </is>
      </c>
      <c r="E1845" s="130" t="n"/>
      <c r="F1845" s="130" t="inlineStr">
        <is>
          <t>АЗС</t>
        </is>
      </c>
      <c r="G1845" s="130" t="inlineStr">
        <is>
          <t>Лукойл</t>
        </is>
      </c>
      <c r="H1845" s="131" t="n"/>
      <c r="I1845" s="637" t="n">
        <v>31803</v>
      </c>
      <c r="J1845" s="637" t="inlineStr">
        <is>
          <t>BGD_LUK_31803</t>
        </is>
      </c>
      <c r="K1845" s="640" t="n">
        <v>1</v>
      </c>
      <c r="L1845" s="640" t="n">
        <v>0</v>
      </c>
      <c r="M1845" s="640" t="inlineStr">
        <is>
          <t>Samsung 32" вертикальный</t>
        </is>
      </c>
      <c r="N1845" s="640" t="n"/>
      <c r="O1845" s="640">
        <f>IF(AND(N1845=1,L1845=1),K1845,"")</f>
        <v/>
      </c>
      <c r="P1845" s="642" t="inlineStr">
        <is>
          <t>Белгородская обл. г. Белгород, ул. Волчанская, 139 А</t>
        </is>
      </c>
      <c r="Q1845" s="640" t="inlineStr">
        <is>
          <t>50.577182</t>
        </is>
      </c>
      <c r="R1845" s="422" t="inlineStr">
        <is>
          <t>36.625284</t>
        </is>
      </c>
      <c r="S1845" s="387" t="n"/>
      <c r="T1845" s="387" t="n"/>
      <c r="U1845" s="436" t="n"/>
      <c r="V1845" s="387" t="n"/>
      <c r="W1845" s="387" t="n"/>
      <c r="X1845" s="1" t="n"/>
      <c r="Y1845" s="1" t="n"/>
    </row>
    <row r="1846" hidden="1" ht="16.05" customFormat="1" customHeight="1" s="126">
      <c r="A1846" s="125" t="n">
        <v>2362</v>
      </c>
      <c r="B1846" s="125" t="n"/>
      <c r="C1846" s="130" t="inlineStr">
        <is>
          <t>Белгород</t>
        </is>
      </c>
      <c r="D1846" s="130" t="inlineStr">
        <is>
          <t>Белгород</t>
        </is>
      </c>
      <c r="E1846" s="130" t="n"/>
      <c r="F1846" s="130" t="inlineStr">
        <is>
          <t>АЗС</t>
        </is>
      </c>
      <c r="G1846" s="130" t="inlineStr">
        <is>
          <t>Лукойл</t>
        </is>
      </c>
      <c r="H1846" s="131" t="n"/>
      <c r="I1846" s="637" t="n">
        <v>31804</v>
      </c>
      <c r="J1846" s="637" t="inlineStr">
        <is>
          <t>BGD_LUK_31804</t>
        </is>
      </c>
      <c r="K1846" s="640" t="n">
        <v>1</v>
      </c>
      <c r="L1846" s="640" t="n">
        <v>0</v>
      </c>
      <c r="M1846" s="640" t="inlineStr">
        <is>
          <t>Samsung 32" вертикальный</t>
        </is>
      </c>
      <c r="N1846" s="640" t="n"/>
      <c r="O1846" s="640">
        <f>IF(AND(N1846=1,L1846=1),K1846,"")</f>
        <v/>
      </c>
      <c r="P1846" s="642" t="inlineStr">
        <is>
          <t>Белгородская обл. г. Белгород, ул. Волчанская, 1 Б</t>
        </is>
      </c>
      <c r="Q1846" s="640" t="inlineStr">
        <is>
          <t>50.589885</t>
        </is>
      </c>
      <c r="R1846" s="422" t="inlineStr">
        <is>
          <t>36.607066</t>
        </is>
      </c>
      <c r="S1846" s="387" t="n"/>
      <c r="T1846" s="387" t="n"/>
      <c r="U1846" s="436" t="n"/>
      <c r="V1846" s="387" t="n"/>
      <c r="W1846" s="387" t="n"/>
      <c r="X1846" s="1" t="n"/>
      <c r="Y1846" s="1" t="n"/>
    </row>
    <row r="1847" hidden="1" ht="16.05" customFormat="1" customHeight="1" s="126">
      <c r="A1847" s="125" t="n">
        <v>2363</v>
      </c>
      <c r="B1847" s="125" t="n"/>
      <c r="C1847" s="130" t="inlineStr">
        <is>
          <t>Белгород</t>
        </is>
      </c>
      <c r="D1847" s="130" t="inlineStr">
        <is>
          <t>Белгород</t>
        </is>
      </c>
      <c r="E1847" s="130" t="n"/>
      <c r="F1847" s="130" t="inlineStr">
        <is>
          <t>АЗС</t>
        </is>
      </c>
      <c r="G1847" s="130" t="inlineStr">
        <is>
          <t>Лукойл</t>
        </is>
      </c>
      <c r="H1847" s="131" t="n"/>
      <c r="I1847" s="637" t="n">
        <v>31805</v>
      </c>
      <c r="J1847" s="637" t="inlineStr">
        <is>
          <t>BGD_LUK_31805</t>
        </is>
      </c>
      <c r="K1847" s="640" t="n">
        <v>1</v>
      </c>
      <c r="L1847" s="640" t="n">
        <v>0</v>
      </c>
      <c r="M1847" s="640" t="inlineStr">
        <is>
          <t>Samsung 32" вертикальный</t>
        </is>
      </c>
      <c r="N1847" s="640" t="n"/>
      <c r="O1847" s="640">
        <f>IF(AND(N1847=1,L1847=1),K1847,"")</f>
        <v/>
      </c>
      <c r="P1847" s="642" t="inlineStr">
        <is>
          <t>Белгородская обл. г. Белгород, ул. Губкина, 62</t>
        </is>
      </c>
      <c r="Q1847" s="640" t="inlineStr">
        <is>
          <t>50.573178</t>
        </is>
      </c>
      <c r="R1847" s="422" t="inlineStr">
        <is>
          <t>36.553437</t>
        </is>
      </c>
      <c r="S1847" s="387" t="n"/>
      <c r="T1847" s="387" t="n"/>
      <c r="U1847" s="436" t="n"/>
      <c r="V1847" s="387" t="n"/>
      <c r="W1847" s="387" t="n"/>
      <c r="X1847" s="1" t="n"/>
      <c r="Y1847" s="1" t="n"/>
    </row>
    <row r="1848" hidden="1" ht="16.05" customFormat="1" customHeight="1" s="126">
      <c r="A1848" s="125" t="n">
        <v>2364</v>
      </c>
      <c r="B1848" s="125" t="n"/>
      <c r="C1848" s="130" t="inlineStr">
        <is>
          <t>Белгород</t>
        </is>
      </c>
      <c r="D1848" s="130" t="inlineStr">
        <is>
          <t>Белгород</t>
        </is>
      </c>
      <c r="E1848" s="130" t="n"/>
      <c r="F1848" s="130" t="inlineStr">
        <is>
          <t>АЗС</t>
        </is>
      </c>
      <c r="G1848" s="130" t="inlineStr">
        <is>
          <t>Лукойл</t>
        </is>
      </c>
      <c r="H1848" s="131" t="n"/>
      <c r="I1848" s="637" t="n">
        <v>31807</v>
      </c>
      <c r="J1848" s="637" t="inlineStr">
        <is>
          <t>BGD_LUK_31807</t>
        </is>
      </c>
      <c r="K1848" s="640" t="n">
        <v>1</v>
      </c>
      <c r="L1848" s="640" t="n">
        <v>0</v>
      </c>
      <c r="M1848" s="640" t="inlineStr">
        <is>
          <t>Samsung 32" вертикальный</t>
        </is>
      </c>
      <c r="N1848" s="640" t="n"/>
      <c r="O1848" s="640">
        <f>IF(AND(N1848=1,L1848=1),K1848,"")</f>
        <v/>
      </c>
      <c r="P1848" s="642" t="inlineStr">
        <is>
          <t>Белгородская область, г. Белгород, ул. Щорса, 1В</t>
        </is>
      </c>
      <c r="Q1848" s="640" t="inlineStr">
        <is>
          <t>50.587203</t>
        </is>
      </c>
      <c r="R1848" s="422" t="inlineStr">
        <is>
          <t>36.567065</t>
        </is>
      </c>
      <c r="S1848" s="387" t="n"/>
      <c r="T1848" s="387" t="n"/>
      <c r="U1848" s="436" t="n"/>
      <c r="V1848" s="387" t="n"/>
      <c r="W1848" s="387" t="n"/>
      <c r="X1848" s="1" t="n"/>
      <c r="Y1848" s="1" t="n"/>
    </row>
    <row r="1849" hidden="1" ht="16.05" customFormat="1" customHeight="1" s="126">
      <c r="A1849" s="125" t="n">
        <v>2365</v>
      </c>
      <c r="B1849" s="125" t="n"/>
      <c r="C1849" s="130" t="inlineStr">
        <is>
          <t>Белгород</t>
        </is>
      </c>
      <c r="D1849" s="130" t="inlineStr">
        <is>
          <t>Белгород</t>
        </is>
      </c>
      <c r="E1849" s="130" t="n"/>
      <c r="F1849" s="130" t="inlineStr">
        <is>
          <t>АЗС</t>
        </is>
      </c>
      <c r="G1849" s="130" t="inlineStr">
        <is>
          <t>Лукойл</t>
        </is>
      </c>
      <c r="H1849" s="131" t="n"/>
      <c r="I1849" s="637" t="n">
        <v>31808</v>
      </c>
      <c r="J1849" s="637" t="inlineStr">
        <is>
          <t>BGD_LUK_31808</t>
        </is>
      </c>
      <c r="K1849" s="640" t="n">
        <v>1</v>
      </c>
      <c r="L1849" s="640" t="n">
        <v>0</v>
      </c>
      <c r="M1849" s="640" t="inlineStr">
        <is>
          <t>Samsung 32" вертикальный</t>
        </is>
      </c>
      <c r="N1849" s="640" t="n"/>
      <c r="O1849" s="640">
        <f>IF(AND(N1849=1,L1849=1),K1849,"")</f>
        <v/>
      </c>
      <c r="P1849" s="642" t="inlineStr">
        <is>
          <t>Белгородская обл. г. Белгород, ул. Студенческая, 4 Б</t>
        </is>
      </c>
      <c r="Q1849" s="640" t="inlineStr">
        <is>
          <t>50.621441</t>
        </is>
      </c>
      <c r="R1849" s="422" t="inlineStr">
        <is>
          <t>36.59643</t>
        </is>
      </c>
      <c r="S1849" s="387" t="n"/>
      <c r="T1849" s="387" t="n"/>
      <c r="U1849" s="436" t="n"/>
      <c r="V1849" s="387" t="n"/>
      <c r="W1849" s="387" t="n"/>
      <c r="X1849" s="1" t="n"/>
      <c r="Y1849" s="1" t="n"/>
    </row>
    <row r="1850" hidden="1" ht="16.05" customFormat="1" customHeight="1" s="126">
      <c r="A1850" s="125" t="n">
        <v>2366</v>
      </c>
      <c r="B1850" s="125" t="n"/>
      <c r="C1850" s="130" t="inlineStr">
        <is>
          <t>Белгород</t>
        </is>
      </c>
      <c r="D1850" s="130" t="inlineStr">
        <is>
          <t>Белгород</t>
        </is>
      </c>
      <c r="E1850" s="130" t="n"/>
      <c r="F1850" s="130" t="inlineStr">
        <is>
          <t>АЗС</t>
        </is>
      </c>
      <c r="G1850" s="130" t="inlineStr">
        <is>
          <t>Лукойл</t>
        </is>
      </c>
      <c r="H1850" s="131" t="n"/>
      <c r="I1850" s="637" t="n">
        <v>31809</v>
      </c>
      <c r="J1850" s="637" t="inlineStr">
        <is>
          <t>BGD_LUK_31809</t>
        </is>
      </c>
      <c r="K1850" s="640" t="n">
        <v>1</v>
      </c>
      <c r="L1850" s="640" t="n">
        <v>0</v>
      </c>
      <c r="M1850" s="640" t="inlineStr">
        <is>
          <t>Samsung 32" вертикальный</t>
        </is>
      </c>
      <c r="N1850" s="640" t="n"/>
      <c r="O1850" s="640">
        <f>IF(AND(N1850=1,L1850=1),K1850,"")</f>
        <v/>
      </c>
      <c r="P1850" s="642" t="inlineStr">
        <is>
          <t>Белгородская обл. г. Белгород, ул. Сумская, 70</t>
        </is>
      </c>
      <c r="Q1850" s="640" t="inlineStr">
        <is>
          <t>50.610724</t>
        </is>
      </c>
      <c r="R1850" s="422" t="inlineStr">
        <is>
          <t>36.542747</t>
        </is>
      </c>
      <c r="S1850" s="387" t="n"/>
      <c r="T1850" s="387" t="n"/>
      <c r="U1850" s="436" t="n"/>
      <c r="V1850" s="387" t="n"/>
      <c r="W1850" s="387" t="n"/>
      <c r="X1850" s="1" t="n"/>
      <c r="Y1850" s="1" t="n"/>
    </row>
    <row r="1851" hidden="1" ht="16.05" customFormat="1" customHeight="1" s="126">
      <c r="A1851" s="125" t="n">
        <v>2367</v>
      </c>
      <c r="B1851" s="125" t="n"/>
      <c r="C1851" s="130" t="inlineStr">
        <is>
          <t>Курск</t>
        </is>
      </c>
      <c r="D1851" s="130" t="inlineStr">
        <is>
          <t>Курск</t>
        </is>
      </c>
      <c r="E1851" s="130" t="n"/>
      <c r="F1851" s="130" t="inlineStr">
        <is>
          <t>АЗС</t>
        </is>
      </c>
      <c r="G1851" s="130" t="inlineStr">
        <is>
          <t>Лукойл</t>
        </is>
      </c>
      <c r="H1851" s="131" t="n"/>
      <c r="I1851" s="637" t="n">
        <v>46824</v>
      </c>
      <c r="J1851" s="637" t="inlineStr">
        <is>
          <t>KSK_LUK_46824</t>
        </is>
      </c>
      <c r="K1851" s="640" t="n">
        <v>1</v>
      </c>
      <c r="L1851" s="640" t="n">
        <v>0</v>
      </c>
      <c r="M1851" s="640" t="inlineStr">
        <is>
          <t>Samsung 32" вертикальный</t>
        </is>
      </c>
      <c r="N1851" s="640" t="n"/>
      <c r="O1851" s="640">
        <f>IF(AND(N1851=1,L1851=1),K1851,"")</f>
        <v/>
      </c>
      <c r="P1851" s="642" t="inlineStr">
        <is>
          <t>Курская обл., г. Курск, ул. Халинская, д. 2А</t>
        </is>
      </c>
      <c r="Q1851" s="640" t="inlineStr">
        <is>
          <t>51.743658</t>
        </is>
      </c>
      <c r="R1851" s="422" t="inlineStr">
        <is>
          <t>36.263254</t>
        </is>
      </c>
      <c r="S1851" s="387" t="n"/>
      <c r="T1851" s="387" t="n"/>
      <c r="U1851" s="436" t="n"/>
      <c r="V1851" s="387" t="n"/>
      <c r="W1851" s="387" t="n"/>
      <c r="X1851" s="1" t="n"/>
      <c r="Y1851" s="1" t="n"/>
    </row>
    <row r="1852" hidden="1" ht="16.05" customFormat="1" customHeight="1" s="126">
      <c r="A1852" s="125" t="n">
        <v>2368</v>
      </c>
      <c r="B1852" s="125" t="n"/>
      <c r="C1852" s="130" t="inlineStr">
        <is>
          <t>Курск</t>
        </is>
      </c>
      <c r="D1852" s="130" t="inlineStr">
        <is>
          <t>Курск</t>
        </is>
      </c>
      <c r="E1852" s="130" t="n"/>
      <c r="F1852" s="130" t="inlineStr">
        <is>
          <t>АЗС</t>
        </is>
      </c>
      <c r="G1852" s="130" t="inlineStr">
        <is>
          <t>Лукойл</t>
        </is>
      </c>
      <c r="H1852" s="131" t="n"/>
      <c r="I1852" s="637" t="n">
        <v>46825</v>
      </c>
      <c r="J1852" s="637" t="inlineStr">
        <is>
          <t>KSK_LUK_46825</t>
        </is>
      </c>
      <c r="K1852" s="640" t="n">
        <v>1</v>
      </c>
      <c r="L1852" s="640" t="n">
        <v>0</v>
      </c>
      <c r="M1852" s="640" t="inlineStr">
        <is>
          <t>Samsung 32" вертикальный</t>
        </is>
      </c>
      <c r="N1852" s="640" t="n"/>
      <c r="O1852" s="640">
        <f>IF(AND(N1852=1,L1852=1),K1852,"")</f>
        <v/>
      </c>
      <c r="P1852" s="642" t="inlineStr">
        <is>
          <t>Курская обл., г. Курск, ул. Энгельса, 45</t>
        </is>
      </c>
      <c r="Q1852" s="640" t="inlineStr">
        <is>
          <t>51.712848</t>
        </is>
      </c>
      <c r="R1852" s="422" t="inlineStr">
        <is>
          <t>36.165688</t>
        </is>
      </c>
      <c r="S1852" s="387" t="n"/>
      <c r="T1852" s="387" t="n"/>
      <c r="U1852" s="436" t="n"/>
      <c r="V1852" s="387" t="n"/>
      <c r="W1852" s="387" t="n"/>
      <c r="X1852" s="1" t="n"/>
      <c r="Y1852" s="1" t="n"/>
    </row>
    <row r="1853" hidden="1" ht="16.05" customFormat="1" customHeight="1" s="126">
      <c r="A1853" s="125" t="n">
        <v>2369</v>
      </c>
      <c r="B1853" s="125" t="n"/>
      <c r="C1853" s="130" t="inlineStr">
        <is>
          <t>Курск</t>
        </is>
      </c>
      <c r="D1853" s="130" t="inlineStr">
        <is>
          <t>Курск</t>
        </is>
      </c>
      <c r="E1853" s="130" t="n"/>
      <c r="F1853" s="130" t="inlineStr">
        <is>
          <t>АЗС</t>
        </is>
      </c>
      <c r="G1853" s="130" t="inlineStr">
        <is>
          <t>Лукойл</t>
        </is>
      </c>
      <c r="H1853" s="131" t="n"/>
      <c r="I1853" s="637" t="n">
        <v>46826</v>
      </c>
      <c r="J1853" s="637" t="inlineStr">
        <is>
          <t>KSK_LUK_46826</t>
        </is>
      </c>
      <c r="K1853" s="640" t="n">
        <v>1</v>
      </c>
      <c r="L1853" s="640" t="n">
        <v>0</v>
      </c>
      <c r="M1853" s="640" t="inlineStr">
        <is>
          <t>Samsung 32" вертикальный</t>
        </is>
      </c>
      <c r="N1853" s="640" t="n"/>
      <c r="O1853" s="640">
        <f>IF(AND(N1853=1,L1853=1),K1853,"")</f>
        <v/>
      </c>
      <c r="P1853" s="642" t="inlineStr">
        <is>
          <t>Курская обл., г. Курск, ул. 2-я Новоселовка,1Г</t>
        </is>
      </c>
      <c r="Q1853" s="640" t="inlineStr">
        <is>
          <t>51.726082</t>
        </is>
      </c>
      <c r="R1853" s="422" t="inlineStr">
        <is>
          <t>36.221303</t>
        </is>
      </c>
      <c r="S1853" s="387" t="n"/>
      <c r="T1853" s="387" t="n"/>
      <c r="U1853" s="436" t="n"/>
      <c r="V1853" s="387" t="n"/>
      <c r="W1853" s="387" t="n"/>
      <c r="X1853" s="1" t="n"/>
      <c r="Y1853" s="1" t="n"/>
    </row>
    <row r="1854" hidden="1" ht="16.05" customFormat="1" customHeight="1" s="126">
      <c r="A1854" s="125" t="n">
        <v>2370</v>
      </c>
      <c r="B1854" s="125" t="n"/>
      <c r="C1854" s="130" t="inlineStr">
        <is>
          <t>Курск</t>
        </is>
      </c>
      <c r="D1854" s="130" t="inlineStr">
        <is>
          <t>Курск</t>
        </is>
      </c>
      <c r="E1854" s="130" t="n"/>
      <c r="F1854" s="130" t="inlineStr">
        <is>
          <t>АЗС</t>
        </is>
      </c>
      <c r="G1854" s="130" t="inlineStr">
        <is>
          <t>Лукойл</t>
        </is>
      </c>
      <c r="H1854" s="131" t="n"/>
      <c r="I1854" s="637" t="n">
        <v>46828</v>
      </c>
      <c r="J1854" s="637" t="inlineStr">
        <is>
          <t>KSK_LUK_46828</t>
        </is>
      </c>
      <c r="K1854" s="640" t="n">
        <v>1</v>
      </c>
      <c r="L1854" s="640" t="n">
        <v>0</v>
      </c>
      <c r="M1854" s="640" t="inlineStr">
        <is>
          <t>Samsung 32" вертикальный</t>
        </is>
      </c>
      <c r="N1854" s="640" t="n"/>
      <c r="O1854" s="640">
        <f>IF(AND(N1854=1,L1854=1),K1854,"")</f>
        <v/>
      </c>
      <c r="P1854" s="642" t="inlineStr">
        <is>
          <t>Курская обл., г. Курск, ул. Студенческая, 2а</t>
        </is>
      </c>
      <c r="Q1854" s="640" t="inlineStr">
        <is>
          <t>51.740323</t>
        </is>
      </c>
      <c r="R1854" s="422" t="inlineStr">
        <is>
          <t>36.147282</t>
        </is>
      </c>
      <c r="S1854" s="387" t="n"/>
      <c r="T1854" s="387" t="n"/>
      <c r="U1854" s="436" t="n"/>
      <c r="V1854" s="387" t="n"/>
      <c r="W1854" s="387" t="n"/>
      <c r="X1854" s="1" t="n"/>
      <c r="Y1854" s="1" t="n"/>
    </row>
    <row r="1855" hidden="1" ht="16.05" customFormat="1" customHeight="1" s="126">
      <c r="A1855" s="125" t="n">
        <v>2371</v>
      </c>
      <c r="B1855" s="125" t="n"/>
      <c r="C1855" s="130" t="inlineStr">
        <is>
          <t>Курск</t>
        </is>
      </c>
      <c r="D1855" s="130" t="inlineStr">
        <is>
          <t>Курск</t>
        </is>
      </c>
      <c r="E1855" s="130" t="n"/>
      <c r="F1855" s="130" t="inlineStr">
        <is>
          <t>АЗС</t>
        </is>
      </c>
      <c r="G1855" s="130" t="inlineStr">
        <is>
          <t>Лукойл</t>
        </is>
      </c>
      <c r="H1855" s="131" t="n"/>
      <c r="I1855" s="637" t="n">
        <v>46829</v>
      </c>
      <c r="J1855" s="637" t="inlineStr">
        <is>
          <t>KSK_LUK_46829</t>
        </is>
      </c>
      <c r="K1855" s="640" t="n">
        <v>1</v>
      </c>
      <c r="L1855" s="640" t="n">
        <v>0</v>
      </c>
      <c r="M1855" s="640" t="inlineStr">
        <is>
          <t>Samsung 32" вертикальный</t>
        </is>
      </c>
      <c r="N1855" s="640" t="n"/>
      <c r="O1855" s="640">
        <f>IF(AND(N1855=1,L1855=1),K1855,"")</f>
        <v/>
      </c>
      <c r="P1855" s="642" t="inlineStr">
        <is>
          <t>Курская обл., г. Курск, пр-кт Дружбы, 17а</t>
        </is>
      </c>
      <c r="Q1855" s="640" t="inlineStr">
        <is>
          <t>51.73933</t>
        </is>
      </c>
      <c r="R1855" s="422" t="inlineStr">
        <is>
          <t>36.124042</t>
        </is>
      </c>
      <c r="S1855" s="387" t="n"/>
      <c r="T1855" s="387" t="n"/>
      <c r="U1855" s="436" t="n"/>
      <c r="V1855" s="387" t="n"/>
      <c r="W1855" s="387" t="n"/>
      <c r="X1855" s="1" t="n"/>
      <c r="Y1855" s="1" t="n"/>
    </row>
    <row r="1856" hidden="1" ht="16.05" customFormat="1" customHeight="1" s="126">
      <c r="A1856" s="125" t="n">
        <v>2372</v>
      </c>
      <c r="B1856" s="125" t="n"/>
      <c r="C1856" s="130" t="inlineStr">
        <is>
          <t>Орел</t>
        </is>
      </c>
      <c r="D1856" s="130" t="inlineStr">
        <is>
          <t>Орел</t>
        </is>
      </c>
      <c r="E1856" s="130" t="n"/>
      <c r="F1856" s="130" t="inlineStr">
        <is>
          <t>АЗС</t>
        </is>
      </c>
      <c r="G1856" s="130" t="inlineStr">
        <is>
          <t>Лукойл</t>
        </is>
      </c>
      <c r="H1856" s="131" t="n"/>
      <c r="I1856" s="637" t="n">
        <v>57840</v>
      </c>
      <c r="J1856" s="402" t="inlineStr">
        <is>
          <t>ORL_LUK_57840</t>
        </is>
      </c>
      <c r="K1856" s="640" t="n">
        <v>1</v>
      </c>
      <c r="L1856" s="640" t="n">
        <v>0</v>
      </c>
      <c r="M1856" s="640" t="inlineStr">
        <is>
          <t>1 октября</t>
        </is>
      </c>
      <c r="N1856" s="640" t="n"/>
      <c r="O1856" s="640">
        <f>IF(AND(N1856=1,L1856=1),K1856,"")</f>
        <v/>
      </c>
      <c r="P1856" s="642" t="inlineStr">
        <is>
          <t>Орловская обл.,г. Орел, Московское ш.,  175,б</t>
        </is>
      </c>
      <c r="Q1856" s="640" t="n">
        <v>53.016611</v>
      </c>
      <c r="R1856" s="422" t="n">
        <v>36.161287</v>
      </c>
      <c r="S1856" s="387" t="n"/>
      <c r="T1856" s="387" t="n"/>
      <c r="U1856" s="436" t="n"/>
      <c r="V1856" s="387" t="n"/>
      <c r="W1856" s="387" t="n"/>
      <c r="X1856" s="1" t="n"/>
      <c r="Y1856" s="1" t="n"/>
    </row>
    <row r="1857" hidden="1" ht="16.05" customFormat="1" customHeight="1" s="126">
      <c r="A1857" s="125" t="n">
        <v>2373</v>
      </c>
      <c r="B1857" s="125" t="n"/>
      <c r="C1857" s="130" t="inlineStr">
        <is>
          <t>Тамбов</t>
        </is>
      </c>
      <c r="D1857" s="130" t="inlineStr">
        <is>
          <t>Тамбов</t>
        </is>
      </c>
      <c r="E1857" s="130" t="n"/>
      <c r="F1857" s="130" t="inlineStr">
        <is>
          <t>АЗС</t>
        </is>
      </c>
      <c r="G1857" s="130" t="inlineStr">
        <is>
          <t>Лукойл</t>
        </is>
      </c>
      <c r="H1857" s="131" t="n"/>
      <c r="I1857" s="637" t="n">
        <v>68851</v>
      </c>
      <c r="J1857" s="402" t="inlineStr">
        <is>
          <t>TMB_LUK_68851</t>
        </is>
      </c>
      <c r="K1857" s="640" t="n">
        <v>1</v>
      </c>
      <c r="L1857" s="640" t="n">
        <v>0</v>
      </c>
      <c r="M1857" s="640" t="inlineStr">
        <is>
          <t>1 октября</t>
        </is>
      </c>
      <c r="N1857" s="640" t="n"/>
      <c r="O1857" s="640">
        <f>IF(AND(N1857=1,L1857=1),K1857,"")</f>
        <v/>
      </c>
      <c r="P1857" s="642" t="inlineStr">
        <is>
          <t>Тамбовская обл., г. Тамбов, ул. Советская, 194 Г</t>
        </is>
      </c>
      <c r="Q1857" s="640" t="n">
        <v>52.75637</v>
      </c>
      <c r="R1857" s="422" t="n">
        <v>41.446821</v>
      </c>
      <c r="S1857" s="387" t="n"/>
      <c r="T1857" s="387" t="n"/>
      <c r="U1857" s="436" t="n"/>
      <c r="V1857" s="387" t="n"/>
      <c r="W1857" s="387" t="n"/>
      <c r="X1857" s="1" t="n"/>
      <c r="Y1857" s="1" t="n"/>
    </row>
    <row r="1858" hidden="1" ht="16.05" customFormat="1" customHeight="1" s="126">
      <c r="A1858" s="125" t="n">
        <v>2374</v>
      </c>
      <c r="B1858" s="125" t="n"/>
      <c r="C1858" s="130" t="inlineStr">
        <is>
          <t>Тамбов</t>
        </is>
      </c>
      <c r="D1858" s="130" t="inlineStr">
        <is>
          <t>Тамбов</t>
        </is>
      </c>
      <c r="E1858" s="130" t="n"/>
      <c r="F1858" s="130" t="inlineStr">
        <is>
          <t>АЗС</t>
        </is>
      </c>
      <c r="G1858" s="130" t="inlineStr">
        <is>
          <t>Лукойл</t>
        </is>
      </c>
      <c r="H1858" s="131" t="n"/>
      <c r="I1858" s="637" t="n">
        <v>68852</v>
      </c>
      <c r="J1858" s="402" t="inlineStr">
        <is>
          <t>TMB_LUK_68852</t>
        </is>
      </c>
      <c r="K1858" s="640" t="n">
        <v>1</v>
      </c>
      <c r="L1858" s="640" t="n">
        <v>0</v>
      </c>
      <c r="M1858" s="640" t="inlineStr">
        <is>
          <t>1 октября</t>
        </is>
      </c>
      <c r="N1858" s="640" t="n"/>
      <c r="O1858" s="640">
        <f>IF(AND(N1858=1,L1858=1),K1858,"")</f>
        <v/>
      </c>
      <c r="P1858" s="642" t="inlineStr">
        <is>
          <t>Тамбовская обл., г. Тамбов, ул. Чичерина,5</t>
        </is>
      </c>
      <c r="Q1858" s="640" t="n">
        <v>52.771268</v>
      </c>
      <c r="R1858" s="422" t="n">
        <v>41.408113</v>
      </c>
      <c r="S1858" s="387" t="n"/>
      <c r="T1858" s="387" t="n"/>
      <c r="U1858" s="436" t="n"/>
      <c r="V1858" s="387" t="n"/>
      <c r="W1858" s="387" t="n"/>
      <c r="X1858" s="1" t="n"/>
      <c r="Y1858" s="1" t="n"/>
    </row>
    <row r="1859" hidden="1" ht="16.05" customFormat="1" customHeight="1" s="126">
      <c r="A1859" s="125" t="n">
        <v>2375</v>
      </c>
      <c r="B1859" s="125" t="n"/>
      <c r="C1859" s="130" t="inlineStr">
        <is>
          <t>Тамбов</t>
        </is>
      </c>
      <c r="D1859" s="130" t="inlineStr">
        <is>
          <t>Тамбов</t>
        </is>
      </c>
      <c r="E1859" s="130" t="n"/>
      <c r="F1859" s="130" t="inlineStr">
        <is>
          <t>АЗС</t>
        </is>
      </c>
      <c r="G1859" s="130" t="inlineStr">
        <is>
          <t>Лукойл</t>
        </is>
      </c>
      <c r="H1859" s="131" t="n"/>
      <c r="I1859" s="637" t="n">
        <v>68853</v>
      </c>
      <c r="J1859" s="402" t="inlineStr">
        <is>
          <t>TMB_LUK_68853</t>
        </is>
      </c>
      <c r="K1859" s="640" t="n">
        <v>1</v>
      </c>
      <c r="L1859" s="640" t="n">
        <v>0</v>
      </c>
      <c r="M1859" s="640" t="inlineStr">
        <is>
          <t>1 октября</t>
        </is>
      </c>
      <c r="N1859" s="640" t="n"/>
      <c r="O1859" s="640">
        <f>IF(AND(N1859=1,L1859=1),K1859,"")</f>
        <v/>
      </c>
      <c r="P1859" s="642" t="inlineStr">
        <is>
          <t>Тамбовская обл., г. Тамбов, ул. Пролетарская, д.174</t>
        </is>
      </c>
      <c r="Q1859" s="640" t="n">
        <v>52.723461</v>
      </c>
      <c r="R1859" s="422" t="n">
        <v>41.435278</v>
      </c>
      <c r="S1859" s="387" t="n"/>
      <c r="T1859" s="387" t="n"/>
      <c r="U1859" s="436" t="n"/>
      <c r="V1859" s="387" t="n"/>
      <c r="W1859" s="387" t="n"/>
      <c r="X1859" s="1" t="n"/>
      <c r="Y1859" s="1" t="n"/>
    </row>
    <row r="1860" hidden="1" ht="16.05" customFormat="1" customHeight="1" s="126">
      <c r="A1860" s="125" t="n">
        <v>2376</v>
      </c>
      <c r="B1860" s="125" t="n"/>
      <c r="C1860" s="130" t="inlineStr">
        <is>
          <t>Рязань</t>
        </is>
      </c>
      <c r="D1860" s="130" t="inlineStr">
        <is>
          <t>Рязань</t>
        </is>
      </c>
      <c r="E1860" s="130" t="n"/>
      <c r="F1860" s="130" t="inlineStr">
        <is>
          <t>АЗС</t>
        </is>
      </c>
      <c r="G1860" s="130" t="inlineStr">
        <is>
          <t>Лукойл</t>
        </is>
      </c>
      <c r="H1860" s="131" t="n"/>
      <c r="I1860" s="637" t="n">
        <v>62871</v>
      </c>
      <c r="J1860" s="402" t="inlineStr">
        <is>
          <t>RZN_LUK_62871</t>
        </is>
      </c>
      <c r="K1860" s="640" t="n">
        <v>1</v>
      </c>
      <c r="L1860" s="640" t="n">
        <v>0</v>
      </c>
      <c r="M1860" s="640" t="inlineStr">
        <is>
          <t>1 октября</t>
        </is>
      </c>
      <c r="N1860" s="640" t="n"/>
      <c r="O1860" s="640">
        <f>IF(AND(N1860=1,L1860=1),K1860,"")</f>
        <v/>
      </c>
      <c r="P1860" s="642" t="inlineStr">
        <is>
          <t>Рязанская область, г.Рязань, Куйбышевское ш, 53</t>
        </is>
      </c>
      <c r="Q1860" s="640" t="n">
        <v>54.569476</v>
      </c>
      <c r="R1860" s="422" t="n">
        <v>39.808752</v>
      </c>
      <c r="S1860" s="387" t="n"/>
      <c r="T1860" s="387" t="n"/>
      <c r="U1860" s="436" t="n"/>
      <c r="V1860" s="387" t="n"/>
      <c r="W1860" s="387" t="n"/>
      <c r="X1860" s="1" t="n"/>
      <c r="Y1860" s="1" t="n"/>
    </row>
    <row r="1861" hidden="1" ht="16.05" customFormat="1" customHeight="1" s="126">
      <c r="A1861" s="125" t="n">
        <v>2377</v>
      </c>
      <c r="B1861" s="125" t="n"/>
      <c r="C1861" s="130" t="inlineStr">
        <is>
          <t>Тула</t>
        </is>
      </c>
      <c r="D1861" s="130" t="inlineStr">
        <is>
          <t>Тула</t>
        </is>
      </c>
      <c r="E1861" s="130" t="n"/>
      <c r="F1861" s="130" t="inlineStr">
        <is>
          <t>АЗС</t>
        </is>
      </c>
      <c r="G1861" s="130" t="inlineStr">
        <is>
          <t>Лукойл</t>
        </is>
      </c>
      <c r="H1861" s="131" t="n"/>
      <c r="I1861" s="637" t="n">
        <v>71902</v>
      </c>
      <c r="J1861" s="402" t="inlineStr">
        <is>
          <t>TUL_LUK_71902</t>
        </is>
      </c>
      <c r="K1861" s="640" t="n">
        <v>1</v>
      </c>
      <c r="L1861" s="640" t="n">
        <v>0</v>
      </c>
      <c r="M1861" s="640" t="inlineStr">
        <is>
          <t>1 октября</t>
        </is>
      </c>
      <c r="N1861" s="640" t="n"/>
      <c r="O1861" s="640">
        <f>IF(AND(N1861=1,L1861=1),K1861,"")</f>
        <v/>
      </c>
      <c r="P1861" s="642" t="inlineStr">
        <is>
          <t>Тульская область, г. Тула,  ул. Пролетарская, д. 2а</t>
        </is>
      </c>
      <c r="Q1861" s="640" t="n">
        <v>54.194618</v>
      </c>
      <c r="R1861" s="422" t="n">
        <v>37.631685</v>
      </c>
      <c r="S1861" s="387" t="n"/>
      <c r="T1861" s="387" t="n"/>
      <c r="U1861" s="436" t="n"/>
      <c r="V1861" s="387" t="n"/>
      <c r="W1861" s="387" t="n"/>
      <c r="X1861" s="1" t="n"/>
      <c r="Y1861" s="1" t="n"/>
    </row>
    <row r="1862" hidden="1" ht="16.05" customFormat="1" customHeight="1" s="126">
      <c r="A1862" s="125" t="n">
        <v>2378</v>
      </c>
      <c r="B1862" s="125" t="n"/>
      <c r="C1862" s="130" t="inlineStr">
        <is>
          <t>Тула</t>
        </is>
      </c>
      <c r="D1862" s="130" t="inlineStr">
        <is>
          <t>Киреевский район</t>
        </is>
      </c>
      <c r="E1862" s="130" t="n"/>
      <c r="F1862" s="130" t="inlineStr">
        <is>
          <t>АЗС</t>
        </is>
      </c>
      <c r="G1862" s="130" t="inlineStr">
        <is>
          <t>Лукойл</t>
        </is>
      </c>
      <c r="H1862" s="131" t="n"/>
      <c r="I1862" s="637" t="n">
        <v>71903</v>
      </c>
      <c r="J1862" s="402" t="inlineStr">
        <is>
          <t>TUL_LUK_71903</t>
        </is>
      </c>
      <c r="K1862" s="640" t="n">
        <v>1</v>
      </c>
      <c r="L1862" s="640" t="n">
        <v>0</v>
      </c>
      <c r="M1862" s="640" t="inlineStr">
        <is>
          <t>1 октября</t>
        </is>
      </c>
      <c r="N1862" s="640" t="n"/>
      <c r="O1862" s="640">
        <f>IF(AND(N1862=1,L1862=1),K1862,"")</f>
        <v/>
      </c>
      <c r="P1862" s="642" t="inlineStr">
        <is>
          <t>Тульская область, Киреевский район, с. Дедилово, а/д М-4 «Дон», 213 км + 300 м (справа)</t>
        </is>
      </c>
      <c r="Q1862" s="640" t="n">
        <v>54.006619</v>
      </c>
      <c r="R1862" s="422" t="n">
        <v>38.010637</v>
      </c>
      <c r="S1862" s="387" t="n"/>
      <c r="T1862" s="387" t="n"/>
      <c r="U1862" s="436" t="n"/>
      <c r="V1862" s="387" t="n"/>
      <c r="W1862" s="387" t="n"/>
      <c r="X1862" s="1" t="n"/>
      <c r="Y1862" s="1" t="n"/>
    </row>
    <row r="1863" hidden="1" ht="16.05" customFormat="1" customHeight="1" s="126">
      <c r="A1863" s="125" t="n">
        <v>2379</v>
      </c>
      <c r="B1863" s="125" t="n"/>
      <c r="C1863" s="130" t="inlineStr">
        <is>
          <t>Тула</t>
        </is>
      </c>
      <c r="D1863" s="130" t="inlineStr">
        <is>
          <t>Киреевский район</t>
        </is>
      </c>
      <c r="E1863" s="130" t="n"/>
      <c r="F1863" s="130" t="inlineStr">
        <is>
          <t>АЗС</t>
        </is>
      </c>
      <c r="G1863" s="130" t="inlineStr">
        <is>
          <t>Лукойл</t>
        </is>
      </c>
      <c r="H1863" s="131" t="n"/>
      <c r="I1863" s="637" t="n">
        <v>71906</v>
      </c>
      <c r="J1863" s="402" t="inlineStr">
        <is>
          <t>TUL_LUK_71906</t>
        </is>
      </c>
      <c r="K1863" s="640" t="n">
        <v>1</v>
      </c>
      <c r="L1863" s="640" t="n">
        <v>0</v>
      </c>
      <c r="M1863" s="640" t="inlineStr">
        <is>
          <t>1 октября</t>
        </is>
      </c>
      <c r="N1863" s="640" t="n"/>
      <c r="O1863" s="640">
        <f>IF(AND(N1863=1,L1863=1),K1863,"")</f>
        <v/>
      </c>
      <c r="P1863" s="642" t="inlineStr">
        <is>
          <t>Тульская область, Киреевский район, с. Дедилово, 213 км а/д М4 «Москва-Воронеж»  слева</t>
        </is>
      </c>
      <c r="Q1863" s="640" t="n">
        <v>53.998731</v>
      </c>
      <c r="R1863" s="422" t="n">
        <v>38.013727</v>
      </c>
      <c r="S1863" s="387" t="n"/>
      <c r="T1863" s="387" t="n"/>
      <c r="U1863" s="436" t="n"/>
      <c r="V1863" s="387" t="n"/>
      <c r="W1863" s="387" t="n"/>
      <c r="X1863" s="1" t="n"/>
      <c r="Y1863" s="1" t="n"/>
    </row>
    <row r="1864" hidden="1" ht="16.05" customFormat="1" customHeight="1" s="126">
      <c r="A1864" s="125" t="n">
        <v>2380</v>
      </c>
      <c r="B1864" s="125" t="n"/>
      <c r="C1864" s="130" t="inlineStr">
        <is>
          <t>Тула</t>
        </is>
      </c>
      <c r="D1864" s="130" t="inlineStr">
        <is>
          <t>Тула</t>
        </is>
      </c>
      <c r="E1864" s="130" t="n"/>
      <c r="F1864" s="130" t="inlineStr">
        <is>
          <t>АЗС</t>
        </is>
      </c>
      <c r="G1864" s="130" t="inlineStr">
        <is>
          <t>Лукойл</t>
        </is>
      </c>
      <c r="H1864" s="131" t="n"/>
      <c r="I1864" s="637" t="n">
        <v>71907</v>
      </c>
      <c r="J1864" s="402" t="inlineStr">
        <is>
          <t>TUL_LUK_71907</t>
        </is>
      </c>
      <c r="K1864" s="640" t="n">
        <v>1</v>
      </c>
      <c r="L1864" s="640" t="n">
        <v>0</v>
      </c>
      <c r="M1864" s="640" t="inlineStr">
        <is>
          <t>1 октября</t>
        </is>
      </c>
      <c r="N1864" s="640" t="n"/>
      <c r="O1864" s="640">
        <f>IF(AND(N1864=1,L1864=1),K1864,"")</f>
        <v/>
      </c>
      <c r="P1864" s="642" t="inlineStr">
        <is>
          <t>Тульская область, г. Тула,  п. Менделеевский,  ул. Трудовая, д. 44</t>
        </is>
      </c>
      <c r="Q1864" s="640" t="n">
        <v>54.130963</v>
      </c>
      <c r="R1864" s="422" t="n">
        <v>37.578718</v>
      </c>
      <c r="S1864" s="387" t="n"/>
      <c r="T1864" s="387" t="n"/>
      <c r="U1864" s="436" t="n"/>
      <c r="V1864" s="387" t="n"/>
      <c r="W1864" s="387" t="n"/>
      <c r="X1864" s="1" t="n"/>
      <c r="Y1864" s="1" t="n"/>
    </row>
    <row r="1865" hidden="1" ht="16.05" customFormat="1" customHeight="1" s="126">
      <c r="A1865" s="125" t="n">
        <v>2381</v>
      </c>
      <c r="B1865" s="125" t="n"/>
      <c r="C1865" s="130" t="inlineStr">
        <is>
          <t>Тула</t>
        </is>
      </c>
      <c r="D1865" s="130" t="inlineStr">
        <is>
          <t>Тула</t>
        </is>
      </c>
      <c r="E1865" s="130" t="n"/>
      <c r="F1865" s="130" t="inlineStr">
        <is>
          <t>АЗС</t>
        </is>
      </c>
      <c r="G1865" s="130" t="inlineStr">
        <is>
          <t>Лукойл</t>
        </is>
      </c>
      <c r="H1865" s="131" t="n"/>
      <c r="I1865" s="637" t="n">
        <v>71908</v>
      </c>
      <c r="J1865" s="402" t="inlineStr">
        <is>
          <t>TUL_LUK_71908</t>
        </is>
      </c>
      <c r="K1865" s="640" t="n">
        <v>1</v>
      </c>
      <c r="L1865" s="640" t="n">
        <v>0</v>
      </c>
      <c r="M1865" s="640" t="inlineStr">
        <is>
          <t>1 октября</t>
        </is>
      </c>
      <c r="N1865" s="640" t="n"/>
      <c r="O1865" s="640">
        <f>IF(AND(N1865=1,L1865=1),K1865,"")</f>
        <v/>
      </c>
      <c r="P1865" s="642" t="inlineStr">
        <is>
          <t>Тульская область, г. Тула, улица Макаренко, д. 22</t>
        </is>
      </c>
      <c r="Q1865" s="640" t="n">
        <v>54.111523</v>
      </c>
      <c r="R1865" s="422" t="n">
        <v>37.542581</v>
      </c>
      <c r="S1865" s="387" t="n"/>
      <c r="T1865" s="387" t="n"/>
      <c r="U1865" s="436" t="n"/>
      <c r="V1865" s="387" t="n"/>
      <c r="W1865" s="387" t="n"/>
      <c r="X1865" s="1" t="n"/>
      <c r="Y1865" s="1" t="n"/>
    </row>
    <row r="1866" hidden="1" ht="16.05" customFormat="1" customHeight="1" s="126">
      <c r="A1866" s="125" t="n">
        <v>2382</v>
      </c>
      <c r="B1866" s="125" t="n"/>
      <c r="C1866" s="130" t="inlineStr">
        <is>
          <t>Тула</t>
        </is>
      </c>
      <c r="D1866" s="130" t="inlineStr">
        <is>
          <t>Тула</t>
        </is>
      </c>
      <c r="E1866" s="130" t="n"/>
      <c r="F1866" s="130" t="inlineStr">
        <is>
          <t>АЗС</t>
        </is>
      </c>
      <c r="G1866" s="130" t="inlineStr">
        <is>
          <t>Лукойл</t>
        </is>
      </c>
      <c r="H1866" s="131" t="n"/>
      <c r="I1866" s="637" t="n">
        <v>71913</v>
      </c>
      <c r="J1866" s="402" t="inlineStr">
        <is>
          <t>TUL_LUK_71913</t>
        </is>
      </c>
      <c r="K1866" s="640" t="n">
        <v>1</v>
      </c>
      <c r="L1866" s="640" t="n">
        <v>0</v>
      </c>
      <c r="M1866" s="640" t="inlineStr">
        <is>
          <t>1 октября</t>
        </is>
      </c>
      <c r="N1866" s="640" t="n"/>
      <c r="O1866" s="640">
        <f>IF(AND(N1866=1,L1866=1),K1866,"")</f>
        <v/>
      </c>
      <c r="P1866" s="642" t="inlineStr">
        <is>
          <t>Тульская область, г. Тула, ул. Октябрьская, д. 1б</t>
        </is>
      </c>
      <c r="Q1866" s="640" t="n">
        <v>54.20323</v>
      </c>
      <c r="R1866" s="422" t="n">
        <v>37.620285</v>
      </c>
      <c r="S1866" s="387" t="n"/>
      <c r="T1866" s="387" t="n"/>
      <c r="U1866" s="436" t="n"/>
      <c r="V1866" s="387" t="n"/>
      <c r="W1866" s="387" t="n"/>
      <c r="X1866" s="1" t="n"/>
      <c r="Y1866" s="1" t="n"/>
    </row>
    <row r="1867" hidden="1" ht="16.05" customFormat="1" customHeight="1" s="126">
      <c r="A1867" s="125" t="n">
        <v>2383</v>
      </c>
      <c r="B1867" s="125" t="n"/>
      <c r="C1867" s="130" t="inlineStr">
        <is>
          <t>Тула</t>
        </is>
      </c>
      <c r="D1867" s="130" t="inlineStr">
        <is>
          <t>Тула</t>
        </is>
      </c>
      <c r="E1867" s="130" t="n"/>
      <c r="F1867" s="130" t="n"/>
      <c r="G1867" s="130" t="inlineStr">
        <is>
          <t>Лукойл</t>
        </is>
      </c>
      <c r="H1867" s="131" t="n"/>
      <c r="I1867" s="637" t="n">
        <v>71916</v>
      </c>
      <c r="J1867" s="402" t="inlineStr">
        <is>
          <t>TUL_LUK_71916</t>
        </is>
      </c>
      <c r="K1867" s="640" t="n">
        <v>1</v>
      </c>
      <c r="L1867" s="640" t="n">
        <v>0</v>
      </c>
      <c r="M1867" s="640" t="inlineStr">
        <is>
          <t>Sam 32</t>
        </is>
      </c>
      <c r="N1867" s="640" t="n"/>
      <c r="O1867" s="640">
        <f>IF(AND(N1867=1,L1867=1),K1867,"")</f>
        <v/>
      </c>
      <c r="P1867" s="642" t="inlineStr">
        <is>
          <t>Тульская область, г. Тула,  ул. Рязанская, д. 50</t>
        </is>
      </c>
      <c r="Q1867" s="640" t="n">
        <v>54.169611</v>
      </c>
      <c r="R1867" s="422" t="n">
        <v>37.634622</v>
      </c>
      <c r="S1867" s="387" t="n"/>
      <c r="T1867" s="387" t="n"/>
      <c r="U1867" s="436" t="n"/>
      <c r="V1867" s="387" t="n"/>
      <c r="W1867" s="387" t="n"/>
      <c r="X1867" s="1" t="n"/>
      <c r="Y1867" s="1" t="n"/>
    </row>
    <row r="1868" hidden="1" ht="16.05" customFormat="1" customHeight="1" s="126">
      <c r="A1868" s="125" t="n">
        <v>2384</v>
      </c>
      <c r="B1868" s="125" t="n"/>
      <c r="C1868" s="130" t="inlineStr">
        <is>
          <t>Брянск</t>
        </is>
      </c>
      <c r="D1868" s="130" t="inlineStr">
        <is>
          <t>Брянск</t>
        </is>
      </c>
      <c r="E1868" s="130" t="n"/>
      <c r="F1868" s="130" t="inlineStr">
        <is>
          <t>АЗС</t>
        </is>
      </c>
      <c r="G1868" s="130" t="inlineStr">
        <is>
          <t>Лукойл</t>
        </is>
      </c>
      <c r="H1868" s="131" t="n"/>
      <c r="I1868" s="637" t="n">
        <v>32957</v>
      </c>
      <c r="J1868" s="402" t="inlineStr">
        <is>
          <t>BRN_LUK_32957</t>
        </is>
      </c>
      <c r="K1868" s="640" t="n">
        <v>1</v>
      </c>
      <c r="L1868" s="640" t="n">
        <v>0</v>
      </c>
      <c r="M1868" s="640" t="inlineStr">
        <is>
          <t>1 октября</t>
        </is>
      </c>
      <c r="N1868" s="640" t="n"/>
      <c r="O1868" s="640">
        <f>IF(AND(N1868=1,L1868=1),K1868,"")</f>
        <v/>
      </c>
      <c r="P1868" s="642" t="inlineStr">
        <is>
          <t>Брянская обл.,г.Брянск,  Московский проспект, 2В</t>
        </is>
      </c>
      <c r="Q1868" s="640" t="n">
        <v>53.221678</v>
      </c>
      <c r="R1868" s="422" t="n">
        <v>34.372022</v>
      </c>
      <c r="S1868" s="387" t="n"/>
      <c r="T1868" s="387" t="n"/>
      <c r="U1868" s="436" t="n"/>
      <c r="V1868" s="387" t="n"/>
      <c r="W1868" s="387" t="n"/>
      <c r="X1868" s="1" t="n"/>
      <c r="Y1868" s="1" t="n"/>
    </row>
    <row r="1869" hidden="1" ht="16.05" customFormat="1" customHeight="1" s="126">
      <c r="A1869" s="125" t="n">
        <v>2385</v>
      </c>
      <c r="B1869" s="125" t="n"/>
      <c r="C1869" s="130" t="inlineStr">
        <is>
          <t>Брянск</t>
        </is>
      </c>
      <c r="D1869" s="130" t="inlineStr">
        <is>
          <t>Брянск</t>
        </is>
      </c>
      <c r="E1869" s="130" t="n"/>
      <c r="F1869" s="130" t="inlineStr">
        <is>
          <t>АЗС</t>
        </is>
      </c>
      <c r="G1869" s="130" t="inlineStr">
        <is>
          <t>Лукойл</t>
        </is>
      </c>
      <c r="H1869" s="131" t="n"/>
      <c r="I1869" s="637" t="n">
        <v>32959</v>
      </c>
      <c r="J1869" s="402" t="inlineStr">
        <is>
          <t>BRN_LUK_32959</t>
        </is>
      </c>
      <c r="K1869" s="640" t="n">
        <v>1</v>
      </c>
      <c r="L1869" s="640" t="n">
        <v>0</v>
      </c>
      <c r="M1869" s="640" t="inlineStr">
        <is>
          <t>1 октября</t>
        </is>
      </c>
      <c r="N1869" s="640" t="n"/>
      <c r="O1869" s="640">
        <f>IF(AND(N1869=1,L1869=1),K1869,"")</f>
        <v/>
      </c>
      <c r="P1869" s="642" t="inlineStr">
        <is>
          <t>Брянская обл. г. Брянск, ул. Речная</t>
        </is>
      </c>
      <c r="Q1869" s="640" t="n">
        <v>53.282471</v>
      </c>
      <c r="R1869" s="422" t="n">
        <v>34.373612</v>
      </c>
      <c r="S1869" s="387" t="n"/>
      <c r="T1869" s="387" t="n"/>
      <c r="U1869" s="436" t="n"/>
      <c r="V1869" s="387" t="n"/>
      <c r="W1869" s="387" t="n"/>
      <c r="X1869" s="1" t="n"/>
      <c r="Y1869" s="1" t="n"/>
    </row>
    <row r="1870" hidden="1" ht="16.05" customFormat="1" customHeight="1" s="126">
      <c r="A1870" s="125" t="n">
        <v>2386</v>
      </c>
      <c r="B1870" s="125" t="n"/>
      <c r="C1870" s="130" t="inlineStr">
        <is>
          <t>Брянск</t>
        </is>
      </c>
      <c r="D1870" s="130" t="inlineStr">
        <is>
          <t>Брянск</t>
        </is>
      </c>
      <c r="E1870" s="130" t="n"/>
      <c r="F1870" s="130" t="inlineStr">
        <is>
          <t>АЗС</t>
        </is>
      </c>
      <c r="G1870" s="130" t="inlineStr">
        <is>
          <t>Лукойл</t>
        </is>
      </c>
      <c r="H1870" s="131" t="n"/>
      <c r="I1870" s="637" t="n">
        <v>32960</v>
      </c>
      <c r="J1870" s="402" t="inlineStr">
        <is>
          <t>BRN_LUK_32960</t>
        </is>
      </c>
      <c r="K1870" s="640" t="n">
        <v>1</v>
      </c>
      <c r="L1870" s="640" t="n">
        <v>0</v>
      </c>
      <c r="M1870" s="640" t="inlineStr">
        <is>
          <t>1 октября</t>
        </is>
      </c>
      <c r="N1870" s="640" t="n"/>
      <c r="O1870" s="640">
        <f>IF(AND(N1870=1,L1870=1),K1870,"")</f>
        <v/>
      </c>
      <c r="P1870" s="642" t="inlineStr">
        <is>
          <t>Брянская область, г. Брянск, ул. Калинина</t>
        </is>
      </c>
      <c r="Q1870" s="640" t="n">
        <v>53.250177</v>
      </c>
      <c r="R1870" s="422" t="n">
        <v>34.379024</v>
      </c>
      <c r="S1870" s="387" t="n"/>
      <c r="T1870" s="387" t="n"/>
      <c r="U1870" s="436" t="n"/>
      <c r="V1870" s="387" t="n"/>
      <c r="W1870" s="387" t="n"/>
      <c r="X1870" s="1" t="n"/>
      <c r="Y1870" s="1" t="n"/>
    </row>
    <row r="1871" hidden="1" ht="16.05" customFormat="1" customHeight="1" s="126">
      <c r="A1871" s="125" t="n">
        <v>2387</v>
      </c>
      <c r="B1871" s="125" t="n"/>
      <c r="C1871" s="130" t="inlineStr">
        <is>
          <t>Калуга</t>
        </is>
      </c>
      <c r="D1871" s="130" t="inlineStr">
        <is>
          <t>Калуга</t>
        </is>
      </c>
      <c r="E1871" s="130" t="n"/>
      <c r="F1871" s="130" t="inlineStr">
        <is>
          <t>АЗС</t>
        </is>
      </c>
      <c r="G1871" s="130" t="inlineStr">
        <is>
          <t>Лукойл</t>
        </is>
      </c>
      <c r="H1871" s="131" t="n"/>
      <c r="I1871" s="637" t="n">
        <v>40983</v>
      </c>
      <c r="J1871" s="402" t="inlineStr">
        <is>
          <t>KLG_LUK_40983</t>
        </is>
      </c>
      <c r="K1871" s="640" t="n">
        <v>1</v>
      </c>
      <c r="L1871" s="640" t="n">
        <v>0</v>
      </c>
      <c r="M1871" s="640" t="inlineStr">
        <is>
          <t>1 октября</t>
        </is>
      </c>
      <c r="N1871" s="640" t="n"/>
      <c r="O1871" s="640">
        <f>IF(AND(N1871=1,L1871=1),K1871,"")</f>
        <v/>
      </c>
      <c r="P1871" s="642" t="inlineStr">
        <is>
          <t>Калужская обл., г. Калуга, ул. Хрустальная, д.62А</t>
        </is>
      </c>
      <c r="Q1871" s="640" t="n">
        <v>54.520451</v>
      </c>
      <c r="R1871" s="422" t="n">
        <v>36.30649</v>
      </c>
      <c r="S1871" s="387" t="n"/>
      <c r="T1871" s="387" t="n"/>
      <c r="U1871" s="436" t="n"/>
      <c r="V1871" s="387" t="n"/>
      <c r="W1871" s="387" t="n"/>
      <c r="X1871" s="1" t="n"/>
      <c r="Y1871" s="1" t="n"/>
    </row>
    <row r="1872" hidden="1" ht="16.05" customFormat="1" customHeight="1" s="126">
      <c r="A1872" s="125" t="n">
        <v>2388</v>
      </c>
      <c r="B1872" s="125" t="n"/>
      <c r="C1872" s="130" t="inlineStr">
        <is>
          <t>Калуга</t>
        </is>
      </c>
      <c r="D1872" s="130" t="inlineStr">
        <is>
          <t>Калуга</t>
        </is>
      </c>
      <c r="E1872" s="130" t="n"/>
      <c r="F1872" s="130" t="inlineStr">
        <is>
          <t>АЗС</t>
        </is>
      </c>
      <c r="G1872" s="130" t="inlineStr">
        <is>
          <t>Лукойл</t>
        </is>
      </c>
      <c r="H1872" s="131" t="n"/>
      <c r="I1872" s="637" t="n">
        <v>40984</v>
      </c>
      <c r="J1872" s="402" t="inlineStr">
        <is>
          <t>KLG_LUK_40984</t>
        </is>
      </c>
      <c r="K1872" s="640" t="n">
        <v>1</v>
      </c>
      <c r="L1872" s="640" t="n">
        <v>0</v>
      </c>
      <c r="M1872" s="640" t="inlineStr">
        <is>
          <t>1 октября</t>
        </is>
      </c>
      <c r="N1872" s="640" t="n"/>
      <c r="O1872" s="640">
        <f>IF(AND(N1872=1,L1872=1),K1872,"")</f>
        <v/>
      </c>
      <c r="P1872" s="642" t="inlineStr">
        <is>
          <t>Калужская обл., г. Калуга, ул. 40 лет Октября, д. 1А</t>
        </is>
      </c>
      <c r="Q1872" s="640" t="n">
        <v>54.515048</v>
      </c>
      <c r="R1872" s="422" t="n">
        <v>36.322804</v>
      </c>
      <c r="S1872" s="387" t="n"/>
      <c r="T1872" s="387" t="n"/>
      <c r="U1872" s="436" t="n"/>
      <c r="V1872" s="387" t="n"/>
      <c r="W1872" s="387" t="n"/>
      <c r="X1872" s="1" t="n"/>
      <c r="Y1872" s="1" t="n"/>
    </row>
    <row r="1873" hidden="1" ht="16.05" customFormat="1" customHeight="1" s="126">
      <c r="A1873" s="125" t="n">
        <v>2392</v>
      </c>
      <c r="B1873" s="125" t="n"/>
      <c r="C1873" s="130" t="inlineStr">
        <is>
          <t>Ростов-на-Дону</t>
        </is>
      </c>
      <c r="D1873" s="130" t="inlineStr">
        <is>
          <t>Ростовская область</t>
        </is>
      </c>
      <c r="E1873" s="130" t="n"/>
      <c r="F1873" s="130" t="inlineStr">
        <is>
          <t>АЗС</t>
        </is>
      </c>
      <c r="G1873" s="130" t="inlineStr">
        <is>
          <t>Роснефть</t>
        </is>
      </c>
      <c r="H1873" s="131" t="n"/>
      <c r="I1873" s="637" t="n">
        <v>60</v>
      </c>
      <c r="J1873" s="637" t="inlineStr">
        <is>
          <t>RND_RN_0060</t>
        </is>
      </c>
      <c r="K1873" s="640" t="n">
        <v>1</v>
      </c>
      <c r="L1873" s="640" t="n">
        <v>1</v>
      </c>
      <c r="M1873" s="623" t="inlineStr">
        <is>
          <t>Samsung 32" вертикальный</t>
        </is>
      </c>
      <c r="N1873" s="640" t="n"/>
      <c r="O1873" s="640">
        <f>IF(AND(N1873=1,L1873=1),K1873,"")</f>
        <v/>
      </c>
      <c r="P1873" s="642" t="inlineStr">
        <is>
          <t>Ростовская область,  Миллеровский р-н, а/д "Москва-Ростов" 854 км трасы</t>
        </is>
      </c>
      <c r="Q1873" s="640" t="inlineStr">
        <is>
          <t>48.958407</t>
        </is>
      </c>
      <c r="R1873" s="494" t="inlineStr">
        <is>
          <t>40.453082</t>
        </is>
      </c>
      <c r="S1873" s="387" t="n"/>
      <c r="T1873" s="387" t="n"/>
      <c r="U1873" s="436" t="n"/>
      <c r="V1873" s="387" t="n"/>
      <c r="W1873" s="387" t="n"/>
      <c r="X1873" s="387" t="n"/>
      <c r="Y1873" s="387" t="n"/>
    </row>
    <row r="1874" hidden="1" ht="16.05" customFormat="1" customHeight="1" s="126">
      <c r="A1874" s="125" t="n">
        <v>2393</v>
      </c>
      <c r="B1874" s="125" t="n"/>
      <c r="C1874" s="130" t="inlineStr">
        <is>
          <t>Ростов-на-Дону</t>
        </is>
      </c>
      <c r="D1874" s="130" t="inlineStr">
        <is>
          <t>Ростовская область</t>
        </is>
      </c>
      <c r="E1874" s="130" t="n"/>
      <c r="F1874" s="130" t="inlineStr">
        <is>
          <t>АЗС</t>
        </is>
      </c>
      <c r="G1874" s="130" t="inlineStr">
        <is>
          <t>Роснефть</t>
        </is>
      </c>
      <c r="H1874" s="131" t="n"/>
      <c r="I1874" s="637" t="n">
        <v>62</v>
      </c>
      <c r="J1874" s="637" t="inlineStr">
        <is>
          <t>RND_RN_0062</t>
        </is>
      </c>
      <c r="K1874" s="640" t="n">
        <v>1</v>
      </c>
      <c r="L1874" s="640" t="n">
        <v>1</v>
      </c>
      <c r="M1874" s="623" t="inlineStr">
        <is>
          <t>Samsung 32" вертикальный</t>
        </is>
      </c>
      <c r="N1874" s="640" t="n"/>
      <c r="O1874" s="640">
        <f>IF(AND(N1874=1,L1874=1),K1874,"")</f>
        <v/>
      </c>
      <c r="P1874" s="642" t="inlineStr">
        <is>
          <t>Ростовская область, г. Каменск-Шахтинский, а/м М-4 "Дон" 934 км, слева по ходу километража</t>
        </is>
      </c>
      <c r="Q1874" s="640" t="inlineStr">
        <is>
          <t>48.28468</t>
        </is>
      </c>
      <c r="R1874" s="494" t="inlineStr">
        <is>
          <t>40.294821</t>
        </is>
      </c>
      <c r="S1874" s="387" t="n"/>
      <c r="T1874" s="387" t="n"/>
      <c r="U1874" s="436" t="n"/>
      <c r="V1874" s="387" t="n"/>
      <c r="W1874" s="387" t="n"/>
      <c r="X1874" s="387" t="n"/>
      <c r="Y1874" s="387" t="n"/>
    </row>
    <row r="1875" hidden="1" ht="16.05" customFormat="1" customHeight="1" s="126">
      <c r="A1875" s="125" t="n">
        <v>2394</v>
      </c>
      <c r="B1875" s="125" t="n"/>
      <c r="C1875" s="130" t="inlineStr">
        <is>
          <t>Ростов-на-Дону</t>
        </is>
      </c>
      <c r="D1875" s="130" t="inlineStr">
        <is>
          <t>Ростовская область</t>
        </is>
      </c>
      <c r="E1875" s="130" t="n"/>
      <c r="F1875" s="130" t="inlineStr">
        <is>
          <t>АЗС</t>
        </is>
      </c>
      <c r="G1875" s="130" t="inlineStr">
        <is>
          <t>Роснефть</t>
        </is>
      </c>
      <c r="H1875" s="131" t="n"/>
      <c r="I1875" s="637" t="n">
        <v>80</v>
      </c>
      <c r="J1875" s="637" t="inlineStr">
        <is>
          <t>RND_RN_0080</t>
        </is>
      </c>
      <c r="K1875" s="640" t="n">
        <v>1</v>
      </c>
      <c r="L1875" s="640" t="n">
        <v>1</v>
      </c>
      <c r="M1875" s="623" t="inlineStr">
        <is>
          <t>Samsung 32" вертикальный</t>
        </is>
      </c>
      <c r="N1875" s="640" t="n"/>
      <c r="O1875" s="640">
        <f>IF(AND(N1875=1,L1875=1),K1875,"")</f>
        <v/>
      </c>
      <c r="P1875" s="642" t="inlineStr">
        <is>
          <t>Ростовская область,  Чертковский р-н, а/м М-4 "Дон-2" 801км слева по ходу километража</t>
        </is>
      </c>
      <c r="Q1875" s="640" t="inlineStr">
        <is>
          <t>49.379252</t>
        </is>
      </c>
      <c r="R1875" s="422" t="inlineStr">
        <is>
          <t>40.593652</t>
        </is>
      </c>
      <c r="S1875" s="387" t="n"/>
      <c r="T1875" s="387" t="n"/>
      <c r="U1875" s="436" t="n"/>
      <c r="V1875" s="387" t="n"/>
      <c r="W1875" s="387" t="n"/>
      <c r="X1875" s="387" t="n"/>
      <c r="Y1875" s="387" t="n"/>
    </row>
    <row r="1876" hidden="1" ht="16.05" customFormat="1" customHeight="1" s="126">
      <c r="A1876" s="125" t="n">
        <v>2396</v>
      </c>
      <c r="B1876" s="125" t="n"/>
      <c r="C1876" s="130" t="inlineStr">
        <is>
          <t>Ростов-на-Дону</t>
        </is>
      </c>
      <c r="D1876" s="130" t="inlineStr">
        <is>
          <t>Ростовская область</t>
        </is>
      </c>
      <c r="E1876" s="130" t="n"/>
      <c r="F1876" s="130" t="inlineStr">
        <is>
          <t>АЗС</t>
        </is>
      </c>
      <c r="G1876" s="130" t="inlineStr">
        <is>
          <t>Роснефть</t>
        </is>
      </c>
      <c r="H1876" s="131" t="n"/>
      <c r="I1876" s="637" t="n">
        <v>89</v>
      </c>
      <c r="J1876" s="637" t="inlineStr">
        <is>
          <t>RND_RN_0089</t>
        </is>
      </c>
      <c r="K1876" s="640" t="n">
        <v>1</v>
      </c>
      <c r="L1876" s="640" t="n">
        <v>1</v>
      </c>
      <c r="M1876" s="623" t="inlineStr">
        <is>
          <t>Samsung 32" вертикальный</t>
        </is>
      </c>
      <c r="N1876" s="640" t="n"/>
      <c r="O1876" s="640">
        <f>IF(AND(N1876=1,L1876=1),K1876,"")</f>
        <v/>
      </c>
      <c r="P1876" s="642" t="inlineStr">
        <is>
          <t>Ростовская область, Красносулинский р-н, трасса М4-Дон 965 км (справа по ходу километража)</t>
        </is>
      </c>
      <c r="Q1876" s="640" t="inlineStr">
        <is>
          <t>48.011634</t>
        </is>
      </c>
      <c r="R1876" s="494" t="inlineStr">
        <is>
          <t>40.239293</t>
        </is>
      </c>
      <c r="S1876" s="387" t="n"/>
      <c r="T1876" s="387" t="n"/>
      <c r="U1876" s="436" t="n"/>
      <c r="V1876" s="387" t="n"/>
      <c r="W1876" s="387" t="n"/>
      <c r="X1876" s="387" t="n"/>
      <c r="Y1876" s="387" t="n"/>
    </row>
    <row r="1877" hidden="1" ht="16.05" customFormat="1" customHeight="1" s="126">
      <c r="A1877" s="125" t="n">
        <v>2397</v>
      </c>
      <c r="B1877" s="125" t="n"/>
      <c r="C1877" s="130" t="inlineStr">
        <is>
          <t>Ростов-на-Дону</t>
        </is>
      </c>
      <c r="D1877" s="130" t="inlineStr">
        <is>
          <t>Ростовская область</t>
        </is>
      </c>
      <c r="E1877" s="130" t="n"/>
      <c r="F1877" s="130" t="inlineStr">
        <is>
          <t>АЗС</t>
        </is>
      </c>
      <c r="G1877" s="130" t="inlineStr">
        <is>
          <t>Роснефть</t>
        </is>
      </c>
      <c r="H1877" s="131" t="n"/>
      <c r="I1877" s="637" t="n">
        <v>90</v>
      </c>
      <c r="J1877" s="637" t="inlineStr">
        <is>
          <t>RND_RN_0090</t>
        </is>
      </c>
      <c r="K1877" s="640" t="n">
        <v>1</v>
      </c>
      <c r="L1877" s="640" t="n">
        <v>1</v>
      </c>
      <c r="M1877" s="623" t="inlineStr">
        <is>
          <t>Samsung 32" вертикальный</t>
        </is>
      </c>
      <c r="N1877" s="640" t="n"/>
      <c r="O1877" s="640">
        <f>IF(AND(N1877=1,L1877=1),K1877,"")</f>
        <v/>
      </c>
      <c r="P1877" s="642" t="inlineStr">
        <is>
          <t>Ростовская область, Красносулинский р-н, трасса М4-Дон 965 км (слева по ходу километража)</t>
        </is>
      </c>
      <c r="Q1877" s="640" t="inlineStr">
        <is>
          <t>48.008515</t>
        </is>
      </c>
      <c r="R1877" s="494" t="inlineStr">
        <is>
          <t>40.238622</t>
        </is>
      </c>
      <c r="S1877" s="387" t="n"/>
      <c r="T1877" s="387" t="n"/>
      <c r="U1877" s="436" t="n"/>
      <c r="V1877" s="387" t="n"/>
      <c r="W1877" s="387" t="n"/>
      <c r="X1877" s="387" t="n"/>
      <c r="Y1877" s="387" t="n"/>
    </row>
    <row r="1878" hidden="1" ht="16.05" customFormat="1" customHeight="1" s="126">
      <c r="A1878" s="125" t="n">
        <v>2398</v>
      </c>
      <c r="B1878" s="125" t="n"/>
      <c r="C1878" s="130" t="inlineStr">
        <is>
          <t>Ростов-на-Дону</t>
        </is>
      </c>
      <c r="D1878" s="130" t="inlineStr">
        <is>
          <t>Ростовская область</t>
        </is>
      </c>
      <c r="E1878" s="130" t="n"/>
      <c r="F1878" s="130" t="inlineStr">
        <is>
          <t>АЗС</t>
        </is>
      </c>
      <c r="G1878" s="130" t="inlineStr">
        <is>
          <t>Роснефть</t>
        </is>
      </c>
      <c r="H1878" s="131" t="n"/>
      <c r="I1878" s="637" t="n">
        <v>100</v>
      </c>
      <c r="J1878" s="637" t="inlineStr">
        <is>
          <t>RND_RN_0100</t>
        </is>
      </c>
      <c r="K1878" s="640" t="n">
        <v>1</v>
      </c>
      <c r="L1878" s="640" t="n">
        <v>1</v>
      </c>
      <c r="M1878" s="623" t="inlineStr">
        <is>
          <t>Samsung 32" вертикальный</t>
        </is>
      </c>
      <c r="N1878" s="640" t="n"/>
      <c r="O1878" s="640">
        <f>IF(AND(N1878=1,L1878=1),K1878,"")</f>
        <v/>
      </c>
      <c r="P1878" s="642" t="inlineStr">
        <is>
          <t>Ростовская область,  Красносулинский р-н, 993км+800м а/м М-4 "Дон"</t>
        </is>
      </c>
      <c r="Q1878" s="640" t="inlineStr">
        <is>
          <t>47.760855</t>
        </is>
      </c>
      <c r="R1878" s="494" t="inlineStr">
        <is>
          <t>40.148032</t>
        </is>
      </c>
      <c r="S1878" s="387" t="n"/>
      <c r="T1878" s="387" t="n"/>
      <c r="U1878" s="436" t="n"/>
      <c r="V1878" s="387" t="n"/>
      <c r="W1878" s="387" t="n"/>
      <c r="X1878" s="387" t="n"/>
      <c r="Y1878" s="387" t="n"/>
    </row>
    <row r="1879" hidden="1" ht="16.05" customHeight="1">
      <c r="A1879" s="791" t="n">
        <v>2395</v>
      </c>
      <c r="B1879" s="13">
        <f>IF(OR(M1879="Sam 32",M1879="Sam 40"),"s",IF(M1879="AMS","a","v"))</f>
        <v/>
      </c>
      <c r="C1879" s="130" t="inlineStr">
        <is>
          <t>Ростов-на-Дону</t>
        </is>
      </c>
      <c r="D1879" s="130" t="inlineStr">
        <is>
          <t>Ростовская область</t>
        </is>
      </c>
      <c r="E1879" s="130" t="n"/>
      <c r="F1879" s="130" t="n"/>
      <c r="G1879" s="130" t="inlineStr">
        <is>
          <t>Роснефть</t>
        </is>
      </c>
      <c r="H1879" s="131" t="n"/>
      <c r="I1879" s="637" t="n">
        <v>85</v>
      </c>
      <c r="J1879" s="402" t="n"/>
      <c r="K1879" s="640" t="n">
        <v>0</v>
      </c>
      <c r="L1879" s="640" t="n">
        <v>0</v>
      </c>
      <c r="M1879" s="640" t="inlineStr">
        <is>
          <t>Sam 32</t>
        </is>
      </c>
      <c r="N1879" s="640" t="n"/>
      <c r="O1879" s="640">
        <f>IF(AND(N1879=1,L1879=1),K1879,"")</f>
        <v/>
      </c>
      <c r="P1879" s="642" t="inlineStr">
        <is>
          <t>Ростовская область,  Чертковский р-н, а/м М-4 "Дон-2" 780 км справа по ходу километража</t>
        </is>
      </c>
      <c r="Q1879" s="640" t="n"/>
      <c r="R1879" s="422" t="n"/>
      <c r="U1879" s="436" t="n"/>
      <c r="X1879" s="1" t="n"/>
      <c r="Y1879" s="1" t="n"/>
      <c r="Z1879" s="1" t="n"/>
    </row>
    <row r="1880" hidden="1" ht="16.05" customFormat="1" customHeight="1" s="126">
      <c r="A1880" s="125" t="n">
        <v>2399</v>
      </c>
      <c r="B1880" s="125" t="n"/>
      <c r="C1880" s="130" t="inlineStr">
        <is>
          <t>Иркутск</t>
        </is>
      </c>
      <c r="D1880" s="130" t="inlineStr">
        <is>
          <t>Иркутск</t>
        </is>
      </c>
      <c r="E1880" s="130" t="n"/>
      <c r="F1880" s="130" t="inlineStr">
        <is>
          <t>АЗС</t>
        </is>
      </c>
      <c r="G1880" s="130" t="inlineStr">
        <is>
          <t>Роснефть</t>
        </is>
      </c>
      <c r="H1880" s="131" t="n"/>
      <c r="I1880" s="637" t="n">
        <v>1</v>
      </c>
      <c r="J1880" s="637" t="inlineStr">
        <is>
          <t>IRK_RN_001</t>
        </is>
      </c>
      <c r="K1880" s="640" t="n">
        <v>1</v>
      </c>
      <c r="L1880" s="640" t="n">
        <v>1</v>
      </c>
      <c r="M1880" s="623" t="inlineStr">
        <is>
          <t>Samsung 32" вертикальный</t>
        </is>
      </c>
      <c r="N1880" s="640" t="n"/>
      <c r="O1880" s="640">
        <f>IF(AND(N1880=1,L1880=1),K1880,"")</f>
        <v/>
      </c>
      <c r="P1880" s="642" t="inlineStr">
        <is>
          <t>Иркутск, ул. Маяковского, 65а</t>
        </is>
      </c>
      <c r="Q1880" s="640" t="inlineStr">
        <is>
          <t>52.284767</t>
        </is>
      </c>
      <c r="R1880" s="494" t="inlineStr">
        <is>
          <t>104.238071</t>
        </is>
      </c>
      <c r="S1880" s="387" t="n"/>
      <c r="T1880" s="387" t="n"/>
      <c r="U1880" s="436" t="n"/>
      <c r="V1880" s="387" t="n"/>
      <c r="W1880" s="387" t="n"/>
      <c r="X1880" s="387" t="n"/>
      <c r="Y1880" s="387" t="n"/>
    </row>
    <row r="1881" hidden="1" ht="16.05" customFormat="1" customHeight="1" s="126">
      <c r="A1881" s="125" t="n">
        <v>2401</v>
      </c>
      <c r="B1881" s="125" t="n"/>
      <c r="C1881" s="130" t="inlineStr">
        <is>
          <t>Иркутск</t>
        </is>
      </c>
      <c r="D1881" s="130" t="inlineStr">
        <is>
          <t>Иркутск</t>
        </is>
      </c>
      <c r="E1881" s="130" t="n"/>
      <c r="F1881" s="130" t="inlineStr">
        <is>
          <t>АЗС</t>
        </is>
      </c>
      <c r="G1881" s="130" t="inlineStr">
        <is>
          <t>Роснефть</t>
        </is>
      </c>
      <c r="H1881" s="131" t="n"/>
      <c r="I1881" s="637" t="n">
        <v>3</v>
      </c>
      <c r="J1881" s="637" t="inlineStr">
        <is>
          <t>IRK_RN_003</t>
        </is>
      </c>
      <c r="K1881" s="640" t="n">
        <v>1</v>
      </c>
      <c r="L1881" s="640" t="n">
        <v>1</v>
      </c>
      <c r="M1881" s="623" t="inlineStr">
        <is>
          <t>Samsung 32" вертикальный</t>
        </is>
      </c>
      <c r="N1881" s="640" t="n"/>
      <c r="O1881" s="640">
        <f>IF(AND(N1881=1,L1881=1),K1881,"")</f>
        <v/>
      </c>
      <c r="P1881" s="642" t="inlineStr">
        <is>
          <t>Иркутск, ул. Сергеева, 2</t>
        </is>
      </c>
      <c r="Q1881" s="640" t="inlineStr">
        <is>
          <t>52.253826</t>
        </is>
      </c>
      <c r="R1881" s="494" t="inlineStr">
        <is>
          <t>104.33777</t>
        </is>
      </c>
      <c r="S1881" s="387" t="n"/>
      <c r="T1881" s="387" t="n"/>
      <c r="U1881" s="436" t="n"/>
      <c r="V1881" s="387" t="n"/>
      <c r="W1881" s="387" t="n"/>
      <c r="X1881" s="387" t="n"/>
      <c r="Y1881" s="387" t="n"/>
    </row>
    <row r="1882" hidden="1" ht="16.05" customFormat="1" customHeight="1" s="126">
      <c r="A1882" s="125" t="n">
        <v>2402</v>
      </c>
      <c r="B1882" s="125" t="n"/>
      <c r="C1882" s="130" t="inlineStr">
        <is>
          <t>Иркутск</t>
        </is>
      </c>
      <c r="D1882" s="130" t="inlineStr">
        <is>
          <t>Иркутск</t>
        </is>
      </c>
      <c r="E1882" s="130" t="n"/>
      <c r="F1882" s="130" t="inlineStr">
        <is>
          <t>АЗС</t>
        </is>
      </c>
      <c r="G1882" s="130" t="inlineStr">
        <is>
          <t>Роснефть</t>
        </is>
      </c>
      <c r="H1882" s="131" t="n"/>
      <c r="I1882" s="637" t="n">
        <v>4</v>
      </c>
      <c r="J1882" s="637" t="inlineStr">
        <is>
          <t>IRK_RN_004</t>
        </is>
      </c>
      <c r="K1882" s="640" t="n">
        <v>1</v>
      </c>
      <c r="L1882" s="640" t="n">
        <v>1</v>
      </c>
      <c r="M1882" s="623" t="inlineStr">
        <is>
          <t>Samsung 32" вертикальный</t>
        </is>
      </c>
      <c r="N1882" s="640" t="n"/>
      <c r="O1882" s="640">
        <f>IF(AND(N1882=1,L1882=1),K1882,"")</f>
        <v/>
      </c>
      <c r="P1882" s="642" t="inlineStr">
        <is>
          <t>Иркутск, ул. Байкальская, 252б</t>
        </is>
      </c>
      <c r="Q1882" s="640" t="inlineStr">
        <is>
          <t>52.351565</t>
        </is>
      </c>
      <c r="R1882" s="494" t="inlineStr">
        <is>
          <t>104.175773</t>
        </is>
      </c>
      <c r="S1882" s="387" t="n"/>
      <c r="T1882" s="387" t="n"/>
      <c r="U1882" s="436" t="n"/>
      <c r="V1882" s="387" t="n"/>
      <c r="W1882" s="387" t="n"/>
      <c r="X1882" s="387" t="n"/>
      <c r="Y1882" s="387" t="n"/>
    </row>
    <row r="1883" hidden="1" ht="16.05" customFormat="1" customHeight="1" s="126">
      <c r="A1883" s="125" t="n">
        <v>2400</v>
      </c>
      <c r="B1883" s="125" t="n"/>
      <c r="C1883" s="130" t="inlineStr">
        <is>
          <t>Иркутск</t>
        </is>
      </c>
      <c r="D1883" s="130" t="inlineStr">
        <is>
          <t>Иркутск</t>
        </is>
      </c>
      <c r="E1883" s="130" t="n"/>
      <c r="F1883" s="130" t="inlineStr">
        <is>
          <t>АЗС</t>
        </is>
      </c>
      <c r="G1883" s="130" t="inlineStr">
        <is>
          <t>Роснефть</t>
        </is>
      </c>
      <c r="H1883" s="131" t="n"/>
      <c r="I1883" s="637" t="n">
        <v>2</v>
      </c>
      <c r="J1883" s="637" t="inlineStr">
        <is>
          <t>IRK_RN_002</t>
        </is>
      </c>
      <c r="K1883" s="640" t="n">
        <v>1</v>
      </c>
      <c r="L1883" s="640" t="n">
        <v>1</v>
      </c>
      <c r="M1883" s="623" t="inlineStr">
        <is>
          <t>Samsung 32" вертикальный</t>
        </is>
      </c>
      <c r="N1883" s="640" t="n"/>
      <c r="O1883" s="640">
        <f>IF(AND(N1883=1,L1883=1),K1883,"")</f>
        <v/>
      </c>
      <c r="P1883" s="642" t="inlineStr">
        <is>
          <t>Иркутск, ул. Рабочего Штаба, 92а</t>
        </is>
      </c>
      <c r="Q1883" s="640" t="inlineStr">
        <is>
          <t>52.265872</t>
        </is>
      </c>
      <c r="R1883" s="494" t="inlineStr">
        <is>
          <t>104.211328</t>
        </is>
      </c>
      <c r="S1883" s="387" t="n"/>
      <c r="T1883" s="387" t="n"/>
      <c r="U1883" s="436" t="n"/>
      <c r="V1883" s="387" t="n"/>
      <c r="W1883" s="387" t="n"/>
      <c r="X1883" s="387" t="n"/>
      <c r="Y1883" s="387" t="n"/>
    </row>
    <row r="1884" hidden="1" ht="16.05" customFormat="1" customHeight="1" s="126">
      <c r="A1884" s="125" t="n">
        <v>2403</v>
      </c>
      <c r="B1884" s="125" t="n"/>
      <c r="C1884" s="130" t="inlineStr">
        <is>
          <t>Иркутск</t>
        </is>
      </c>
      <c r="D1884" s="130" t="inlineStr">
        <is>
          <t>Иркутск</t>
        </is>
      </c>
      <c r="E1884" s="130" t="n"/>
      <c r="F1884" s="130" t="inlineStr">
        <is>
          <t>АЗС</t>
        </is>
      </c>
      <c r="G1884" s="130" t="inlineStr">
        <is>
          <t>Роснефть</t>
        </is>
      </c>
      <c r="H1884" s="131" t="n"/>
      <c r="I1884" s="637" t="n">
        <v>6</v>
      </c>
      <c r="J1884" s="637" t="inlineStr">
        <is>
          <t>IRK_RN_006</t>
        </is>
      </c>
      <c r="K1884" s="640" t="n">
        <v>1</v>
      </c>
      <c r="L1884" s="640" t="n">
        <v>1</v>
      </c>
      <c r="M1884" s="623" t="inlineStr">
        <is>
          <t>Samsung 32" вертикальный</t>
        </is>
      </c>
      <c r="N1884" s="640" t="n"/>
      <c r="O1884" s="640">
        <f>IF(AND(N1884=1,L1884=1),K1884,"")</f>
        <v/>
      </c>
      <c r="P1884" s="642" t="inlineStr">
        <is>
          <t>Иркутск,  ул. Р.Люксембург, 172а</t>
        </is>
      </c>
      <c r="Q1884" s="640" t="inlineStr">
        <is>
          <t>52.212279</t>
        </is>
      </c>
      <c r="R1884" s="494" t="inlineStr">
        <is>
          <t>104.111804</t>
        </is>
      </c>
      <c r="S1884" s="387" t="n"/>
      <c r="T1884" s="387" t="n"/>
      <c r="U1884" s="436" t="n"/>
      <c r="V1884" s="387" t="n"/>
      <c r="W1884" s="387" t="n"/>
      <c r="X1884" s="387" t="n"/>
      <c r="Y1884" s="387" t="n"/>
    </row>
    <row r="1885" hidden="1" ht="16.05" customFormat="1" customHeight="1" s="126">
      <c r="A1885" s="125" t="n">
        <v>2404</v>
      </c>
      <c r="B1885" s="125" t="n"/>
      <c r="C1885" s="130" t="inlineStr">
        <is>
          <t>Иркутск</t>
        </is>
      </c>
      <c r="D1885" s="130" t="inlineStr">
        <is>
          <t>Иркутск</t>
        </is>
      </c>
      <c r="E1885" s="130" t="n"/>
      <c r="F1885" s="130" t="inlineStr">
        <is>
          <t>АЗС</t>
        </is>
      </c>
      <c r="G1885" s="130" t="inlineStr">
        <is>
          <t>Роснефть</t>
        </is>
      </c>
      <c r="H1885" s="131" t="n"/>
      <c r="I1885" s="637" t="n">
        <v>10</v>
      </c>
      <c r="J1885" s="637" t="inlineStr">
        <is>
          <t>IRK_RN_010</t>
        </is>
      </c>
      <c r="K1885" s="640" t="n">
        <v>1</v>
      </c>
      <c r="L1885" s="640" t="n">
        <v>1</v>
      </c>
      <c r="M1885" s="623" t="inlineStr">
        <is>
          <t>Samsung 32" вертикальный</t>
        </is>
      </c>
      <c r="N1885" s="640" t="n"/>
      <c r="O1885" s="640">
        <f>IF(AND(N1885=1,L1885=1),K1885,"")</f>
        <v/>
      </c>
      <c r="P1885" s="642" t="inlineStr">
        <is>
          <t>Шелехов, ул. Култукский тракт, 9</t>
        </is>
      </c>
      <c r="Q1885" s="640" t="inlineStr">
        <is>
          <t>52.327578</t>
        </is>
      </c>
      <c r="R1885" s="494" t="inlineStr">
        <is>
          <t>104.235048</t>
        </is>
      </c>
      <c r="S1885" s="387" t="n"/>
      <c r="T1885" s="387" t="n"/>
      <c r="U1885" s="436" t="n"/>
      <c r="V1885" s="387" t="n"/>
      <c r="W1885" s="387" t="n"/>
      <c r="X1885" s="387" t="n"/>
      <c r="Y1885" s="387" t="n"/>
    </row>
    <row r="1886" hidden="1" ht="16.05" customFormat="1" customHeight="1" s="126">
      <c r="A1886" s="125" t="n">
        <v>2405</v>
      </c>
      <c r="B1886" s="125" t="n"/>
      <c r="C1886" s="130" t="inlineStr">
        <is>
          <t>Иркутск</t>
        </is>
      </c>
      <c r="D1886" s="130" t="inlineStr">
        <is>
          <t>Иркутск</t>
        </is>
      </c>
      <c r="E1886" s="130" t="n"/>
      <c r="F1886" s="130" t="inlineStr">
        <is>
          <t>АЗС</t>
        </is>
      </c>
      <c r="G1886" s="130" t="inlineStr">
        <is>
          <t>Роснефть</t>
        </is>
      </c>
      <c r="H1886" s="131" t="n"/>
      <c r="I1886" s="637" t="n">
        <v>53</v>
      </c>
      <c r="J1886" s="637" t="inlineStr">
        <is>
          <t>IRK_RN_053</t>
        </is>
      </c>
      <c r="K1886" s="640" t="n">
        <v>1</v>
      </c>
      <c r="L1886" s="640" t="n">
        <v>0</v>
      </c>
      <c r="M1886" s="623" t="inlineStr">
        <is>
          <t>Samsung 32" вертикальный</t>
        </is>
      </c>
      <c r="N1886" s="640" t="n"/>
      <c r="O1886" s="640">
        <f>IF(AND(N1886=1,L1886=1),K1886,"")</f>
        <v/>
      </c>
      <c r="P1886" s="642" t="inlineStr">
        <is>
          <t>Иркутск, ул. Трактовая, 35а</t>
        </is>
      </c>
      <c r="Q1886" s="640" t="inlineStr">
        <is>
          <t>52.330085</t>
        </is>
      </c>
      <c r="R1886" s="494" t="inlineStr">
        <is>
          <t>104.234658</t>
        </is>
      </c>
      <c r="S1886" s="387" t="n"/>
      <c r="T1886" s="387" t="n"/>
      <c r="U1886" s="436" t="n"/>
      <c r="V1886" s="387" t="n"/>
      <c r="W1886" s="387" t="n"/>
      <c r="X1886" s="387" t="n"/>
      <c r="Y1886" s="387" t="n"/>
    </row>
    <row r="1887" hidden="1" ht="16.05" customFormat="1" customHeight="1" s="126">
      <c r="A1887" s="125" t="n">
        <v>2406</v>
      </c>
      <c r="B1887" s="125" t="n"/>
      <c r="C1887" s="130" t="inlineStr">
        <is>
          <t>Иркутск</t>
        </is>
      </c>
      <c r="D1887" s="130" t="inlineStr">
        <is>
          <t>Иркутск</t>
        </is>
      </c>
      <c r="E1887" s="130" t="n"/>
      <c r="F1887" s="130" t="inlineStr">
        <is>
          <t>АЗС</t>
        </is>
      </c>
      <c r="G1887" s="130" t="inlineStr">
        <is>
          <t>Роснефть</t>
        </is>
      </c>
      <c r="H1887" s="131" t="n"/>
      <c r="I1887" s="637" t="n">
        <v>90</v>
      </c>
      <c r="J1887" s="637" t="inlineStr">
        <is>
          <t>IRK_RN_090</t>
        </is>
      </c>
      <c r="K1887" s="640" t="n">
        <v>1</v>
      </c>
      <c r="L1887" s="640" t="n">
        <v>1</v>
      </c>
      <c r="M1887" s="623" t="inlineStr">
        <is>
          <t>Samsung 32" вертикальный</t>
        </is>
      </c>
      <c r="N1887" s="640" t="n"/>
      <c r="O1887" s="640">
        <f>IF(AND(N1887=1,L1887=1),K1887,"")</f>
        <v/>
      </c>
      <c r="P1887" s="642" t="inlineStr">
        <is>
          <t>Иркутск, ул. Рабочего Штаба, 135</t>
        </is>
      </c>
      <c r="Q1887" s="640" t="inlineStr">
        <is>
          <t>52.261287</t>
        </is>
      </c>
      <c r="R1887" s="494" t="inlineStr">
        <is>
          <t>104.355346</t>
        </is>
      </c>
      <c r="S1887" s="387" t="n"/>
      <c r="T1887" s="387" t="n"/>
      <c r="U1887" s="436" t="n"/>
      <c r="V1887" s="387" t="n"/>
      <c r="W1887" s="387" t="n"/>
      <c r="X1887" s="387" t="n"/>
      <c r="Y1887" s="387" t="n"/>
    </row>
    <row r="1888" hidden="1" ht="16.05" customFormat="1" customHeight="1" s="126">
      <c r="A1888" s="125" t="n">
        <v>2407</v>
      </c>
      <c r="B1888" s="125" t="n"/>
      <c r="C1888" s="130" t="inlineStr">
        <is>
          <t>Иркутск</t>
        </is>
      </c>
      <c r="D1888" s="130" t="inlineStr">
        <is>
          <t>Иркутск</t>
        </is>
      </c>
      <c r="E1888" s="130" t="n"/>
      <c r="F1888" s="130" t="inlineStr">
        <is>
          <t>АЗС</t>
        </is>
      </c>
      <c r="G1888" s="130" t="inlineStr">
        <is>
          <t>Роснефть</t>
        </is>
      </c>
      <c r="H1888" s="131" t="n"/>
      <c r="I1888" s="637" t="n">
        <v>91</v>
      </c>
      <c r="J1888" s="637" t="inlineStr">
        <is>
          <t>IRK_RN_091</t>
        </is>
      </c>
      <c r="K1888" s="640" t="n">
        <v>1</v>
      </c>
      <c r="L1888" s="640" t="n">
        <v>1</v>
      </c>
      <c r="M1888" s="623" t="inlineStr">
        <is>
          <t>Samsung 32" вертикальный</t>
        </is>
      </c>
      <c r="N1888" s="640" t="n"/>
      <c r="O1888" s="640">
        <f>IF(AND(N1888=1,L1888=1),K1888,"")</f>
        <v/>
      </c>
      <c r="P1888" s="642" t="inlineStr">
        <is>
          <t>Ангарск, квартал 124, строение 7</t>
        </is>
      </c>
      <c r="Q1888" s="640" t="inlineStr">
        <is>
          <t>52.513201</t>
        </is>
      </c>
      <c r="R1888" s="494" t="inlineStr">
        <is>
          <t>103.838815</t>
        </is>
      </c>
      <c r="S1888" s="387" t="n"/>
      <c r="T1888" s="387" t="n"/>
      <c r="U1888" s="436" t="n"/>
      <c r="V1888" s="387" t="n"/>
      <c r="W1888" s="387" t="n"/>
      <c r="X1888" s="387" t="n"/>
      <c r="Y1888" s="387" t="n"/>
    </row>
    <row r="1889" hidden="1" ht="16.05" customFormat="1" customHeight="1" s="126">
      <c r="A1889" s="125" t="n">
        <v>2408</v>
      </c>
      <c r="B1889" s="125" t="n"/>
      <c r="C1889" s="130" t="inlineStr">
        <is>
          <t>Иркутск</t>
        </is>
      </c>
      <c r="D1889" s="130" t="inlineStr">
        <is>
          <t>Иркутск</t>
        </is>
      </c>
      <c r="E1889" s="130" t="n"/>
      <c r="F1889" s="130" t="inlineStr">
        <is>
          <t>АЗС</t>
        </is>
      </c>
      <c r="G1889" s="130" t="inlineStr">
        <is>
          <t>Роснефть</t>
        </is>
      </c>
      <c r="H1889" s="131" t="n"/>
      <c r="I1889" s="637" t="n">
        <v>123</v>
      </c>
      <c r="J1889" s="637" t="inlineStr">
        <is>
          <t>IRK_RN_123</t>
        </is>
      </c>
      <c r="K1889" s="640" t="n">
        <v>1</v>
      </c>
      <c r="L1889" s="640" t="n">
        <v>1</v>
      </c>
      <c r="M1889" s="623" t="inlineStr">
        <is>
          <t>Samsung 32" вертикальный</t>
        </is>
      </c>
      <c r="N1889" s="640" t="n"/>
      <c r="O1889" s="640">
        <f>IF(AND(N1889=1,L1889=1),K1889,"")</f>
        <v/>
      </c>
      <c r="P1889" s="642" t="inlineStr">
        <is>
          <t>Иркутск, ул. Ширямова, 17</t>
        </is>
      </c>
      <c r="Q1889" s="640" t="inlineStr">
        <is>
          <t>52.323232</t>
        </is>
      </c>
      <c r="R1889" s="494" t="inlineStr">
        <is>
          <t>104.305624</t>
        </is>
      </c>
      <c r="S1889" s="387" t="n"/>
      <c r="T1889" s="387" t="n"/>
      <c r="U1889" s="436" t="n"/>
      <c r="V1889" s="387" t="n"/>
      <c r="W1889" s="387" t="n"/>
      <c r="X1889" s="387" t="n"/>
      <c r="Y1889" s="387" t="n"/>
    </row>
    <row r="1890" hidden="1" ht="16.05" customFormat="1" customHeight="1" s="126">
      <c r="A1890" s="125" t="n">
        <v>2409</v>
      </c>
      <c r="B1890" s="125" t="n"/>
      <c r="C1890" s="130" t="inlineStr">
        <is>
          <t>Иркутск</t>
        </is>
      </c>
      <c r="D1890" s="130" t="inlineStr">
        <is>
          <t>Иркутск</t>
        </is>
      </c>
      <c r="E1890" s="130" t="n"/>
      <c r="F1890" s="130" t="inlineStr">
        <is>
          <t>АЗС</t>
        </is>
      </c>
      <c r="G1890" s="130" t="inlineStr">
        <is>
          <t>Роснефть</t>
        </is>
      </c>
      <c r="H1890" s="131" t="n"/>
      <c r="I1890" s="637" t="n">
        <v>141</v>
      </c>
      <c r="J1890" s="637" t="inlineStr">
        <is>
          <t>IRK_RN_141</t>
        </is>
      </c>
      <c r="K1890" s="640" t="n">
        <v>1</v>
      </c>
      <c r="L1890" s="640" t="n">
        <v>1</v>
      </c>
      <c r="M1890" s="623" t="inlineStr">
        <is>
          <t>Samsung 32" вертикальный</t>
        </is>
      </c>
      <c r="N1890" s="640" t="n"/>
      <c r="O1890" s="640">
        <f>IF(AND(N1890=1,L1890=1),K1890,"")</f>
        <v/>
      </c>
      <c r="P1890" s="642" t="inlineStr">
        <is>
          <t>Иркутск, ул. Сурнова, 31</t>
        </is>
      </c>
      <c r="Q1890" s="640" t="inlineStr">
        <is>
          <t>52.322742</t>
        </is>
      </c>
      <c r="R1890" s="494" t="inlineStr">
        <is>
          <t>104.289724</t>
        </is>
      </c>
      <c r="S1890" s="387" t="n"/>
      <c r="T1890" s="387" t="n"/>
      <c r="U1890" s="436" t="n"/>
      <c r="V1890" s="387" t="n"/>
      <c r="W1890" s="387" t="n"/>
      <c r="X1890" s="387" t="n"/>
      <c r="Y1890" s="387" t="n"/>
    </row>
    <row r="1891" hidden="1" ht="16.05" customFormat="1" customHeight="1" s="126">
      <c r="A1891" s="125" t="n">
        <v>2410</v>
      </c>
      <c r="B1891" s="125" t="n"/>
      <c r="C1891" s="130" t="inlineStr">
        <is>
          <t>Иркутск</t>
        </is>
      </c>
      <c r="D1891" s="130" t="inlineStr">
        <is>
          <t>Иркутск</t>
        </is>
      </c>
      <c r="E1891" s="130" t="n"/>
      <c r="F1891" s="130" t="inlineStr">
        <is>
          <t>АЗС</t>
        </is>
      </c>
      <c r="G1891" s="130" t="inlineStr">
        <is>
          <t>Роснефть</t>
        </is>
      </c>
      <c r="H1891" s="131" t="n"/>
      <c r="I1891" s="637" t="n">
        <v>142</v>
      </c>
      <c r="J1891" s="637" t="inlineStr">
        <is>
          <t>IRK_RN_142</t>
        </is>
      </c>
      <c r="K1891" s="640" t="n">
        <v>1</v>
      </c>
      <c r="L1891" s="640" t="n">
        <v>1</v>
      </c>
      <c r="M1891" s="623" t="inlineStr">
        <is>
          <t>Samsung 32" вертикальный</t>
        </is>
      </c>
      <c r="N1891" s="640" t="n"/>
      <c r="O1891" s="640">
        <f>IF(AND(N1891=1,L1891=1),K1891,"")</f>
        <v/>
      </c>
      <c r="P1891" s="642" t="inlineStr">
        <is>
          <t>Ангарск, м-н 34, сооружение 3</t>
        </is>
      </c>
      <c r="Q1891" s="640" t="inlineStr">
        <is>
          <t>52.54777</t>
        </is>
      </c>
      <c r="R1891" s="494" t="inlineStr">
        <is>
          <t>103.906144</t>
        </is>
      </c>
      <c r="S1891" s="387" t="n"/>
      <c r="T1891" s="387" t="n"/>
      <c r="U1891" s="436" t="n"/>
      <c r="V1891" s="387" t="n"/>
      <c r="W1891" s="387" t="n"/>
      <c r="X1891" s="387" t="n"/>
      <c r="Y1891" s="387" t="n"/>
    </row>
    <row r="1892" hidden="1" ht="16.05" customFormat="1" customHeight="1" s="126">
      <c r="A1892" s="125" t="n">
        <v>2411</v>
      </c>
      <c r="B1892" s="125" t="n"/>
      <c r="C1892" s="130" t="inlineStr">
        <is>
          <t>Иркутск</t>
        </is>
      </c>
      <c r="D1892" s="130" t="inlineStr">
        <is>
          <t>Иркутск</t>
        </is>
      </c>
      <c r="E1892" s="130" t="n"/>
      <c r="F1892" s="130" t="inlineStr">
        <is>
          <t>АЗС</t>
        </is>
      </c>
      <c r="G1892" s="130" t="inlineStr">
        <is>
          <t>Роснефть</t>
        </is>
      </c>
      <c r="H1892" s="131" t="n"/>
      <c r="I1892" s="637" t="n">
        <v>144</v>
      </c>
      <c r="J1892" s="637" t="inlineStr">
        <is>
          <t>IRK_RN_144</t>
        </is>
      </c>
      <c r="K1892" s="640" t="n">
        <v>1</v>
      </c>
      <c r="L1892" s="640" t="n">
        <v>1</v>
      </c>
      <c r="M1892" s="623" t="inlineStr">
        <is>
          <t>Samsung 32" вертикальный</t>
        </is>
      </c>
      <c r="N1892" s="640" t="n"/>
      <c r="O1892" s="640">
        <f>IF(AND(N1892=1,L1892=1),K1892,"")</f>
        <v/>
      </c>
      <c r="P1892" s="642" t="inlineStr">
        <is>
          <t>Ангарск, 4 колометр автодороги Байкал (230-й квартал, 5)</t>
        </is>
      </c>
      <c r="Q1892" s="640" t="inlineStr">
        <is>
          <t>52.4936</t>
        </is>
      </c>
      <c r="R1892" s="494" t="inlineStr">
        <is>
          <t>103.826023</t>
        </is>
      </c>
      <c r="S1892" s="387" t="n"/>
      <c r="T1892" s="387" t="n"/>
      <c r="U1892" s="436" t="n"/>
      <c r="V1892" s="387" t="n"/>
      <c r="W1892" s="387" t="n"/>
      <c r="X1892" s="387" t="n"/>
      <c r="Y1892" s="387" t="n"/>
    </row>
    <row r="1893" hidden="1" ht="16.05" customFormat="1" customHeight="1" s="126">
      <c r="A1893" s="845" t="n">
        <v>2714</v>
      </c>
      <c r="B1893" s="127" t="n"/>
      <c r="C1893" s="130" t="inlineStr">
        <is>
          <t>Ростов-на-Дону</t>
        </is>
      </c>
      <c r="D1893" s="130" t="inlineStr">
        <is>
          <t>Ростов-на-Дону</t>
        </is>
      </c>
      <c r="E1893" s="130" t="n"/>
      <c r="F1893" s="130" t="inlineStr">
        <is>
          <t>АЗС</t>
        </is>
      </c>
      <c r="G1893" s="130" t="inlineStr">
        <is>
          <t>Эксон Ойл</t>
        </is>
      </c>
      <c r="H1893" s="131" t="n"/>
      <c r="I1893" s="637" t="n">
        <v>1</v>
      </c>
      <c r="J1893" s="637" t="inlineStr">
        <is>
          <t>RND_EKSON_001</t>
        </is>
      </c>
      <c r="K1893" s="640" t="n">
        <v>1</v>
      </c>
      <c r="L1893" s="640" t="n">
        <v>1</v>
      </c>
      <c r="M1893" s="623" t="inlineStr">
        <is>
          <t>Samsung 32" вертикальный</t>
        </is>
      </c>
      <c r="N1893" s="640" t="n"/>
      <c r="O1893" s="640">
        <f>IF(AND(N1893=1,L1893=1),K1893,"")</f>
        <v/>
      </c>
      <c r="P1893" s="642" t="inlineStr">
        <is>
          <t>г. Ростов-на-Дону, Советский район, ул. Малиновского, 21</t>
        </is>
      </c>
      <c r="Q1893" s="640" t="inlineStr">
        <is>
          <t>47.225468</t>
        </is>
      </c>
      <c r="R1893" s="494" t="inlineStr">
        <is>
          <t>39.613261</t>
        </is>
      </c>
      <c r="S1893" s="387" t="n"/>
      <c r="T1893" s="387" t="n"/>
      <c r="U1893" s="436" t="n"/>
      <c r="V1893" s="387" t="n"/>
      <c r="W1893" s="387" t="n"/>
      <c r="X1893" s="387" t="n"/>
      <c r="Y1893" s="387" t="n"/>
    </row>
    <row r="1894" hidden="1" ht="16.05" customFormat="1" customHeight="1" s="126">
      <c r="A1894" s="845" t="n">
        <v>2715</v>
      </c>
      <c r="B1894" s="127" t="n"/>
      <c r="C1894" s="130" t="inlineStr">
        <is>
          <t>Ростов-на-Дону</t>
        </is>
      </c>
      <c r="D1894" s="130" t="inlineStr">
        <is>
          <t>Ростов-на-Дону</t>
        </is>
      </c>
      <c r="E1894" s="130" t="n"/>
      <c r="F1894" s="130" t="inlineStr">
        <is>
          <t>АЗС</t>
        </is>
      </c>
      <c r="G1894" s="130" t="inlineStr">
        <is>
          <t>Эксон Ойл</t>
        </is>
      </c>
      <c r="H1894" s="131" t="n"/>
      <c r="I1894" s="637" t="n">
        <v>2</v>
      </c>
      <c r="J1894" s="637" t="inlineStr">
        <is>
          <t>RND_EKSON_002</t>
        </is>
      </c>
      <c r="K1894" s="640" t="n">
        <v>1</v>
      </c>
      <c r="L1894" s="640" t="n">
        <v>1</v>
      </c>
      <c r="M1894" s="623" t="inlineStr">
        <is>
          <t>Samsung 32" вертикальный</t>
        </is>
      </c>
      <c r="N1894" s="640" t="n"/>
      <c r="O1894" s="640">
        <f>IF(AND(N1894=1,L1894=1),K1894,"")</f>
        <v/>
      </c>
      <c r="P1894" s="642" t="inlineStr">
        <is>
          <t>г. Ростов-на-Дону, Советский район, ул. Всесоюзная, 5 «б»</t>
        </is>
      </c>
      <c r="Q1894" s="640" t="inlineStr">
        <is>
          <t>47.194066</t>
        </is>
      </c>
      <c r="R1894" s="494" t="inlineStr">
        <is>
          <t>39.614006</t>
        </is>
      </c>
      <c r="S1894" s="387" t="n"/>
      <c r="T1894" s="387" t="n"/>
      <c r="U1894" s="436" t="n"/>
      <c r="V1894" s="387" t="n"/>
      <c r="W1894" s="387" t="n"/>
      <c r="X1894" s="387" t="n"/>
      <c r="Y1894" s="387" t="n"/>
    </row>
    <row r="1895" hidden="1" ht="16.05" customFormat="1" customHeight="1" s="126">
      <c r="A1895" s="845" t="n">
        <v>2716</v>
      </c>
      <c r="B1895" s="127" t="n"/>
      <c r="C1895" s="130" t="inlineStr">
        <is>
          <t>Ростов-на-Дону</t>
        </is>
      </c>
      <c r="D1895" s="130" t="inlineStr">
        <is>
          <t>Ростовская область</t>
        </is>
      </c>
      <c r="E1895" s="130" t="n"/>
      <c r="F1895" s="130" t="inlineStr">
        <is>
          <t>АЗС</t>
        </is>
      </c>
      <c r="G1895" s="130" t="inlineStr">
        <is>
          <t>Эксон Ойл</t>
        </is>
      </c>
      <c r="H1895" s="131" t="n"/>
      <c r="I1895" s="637" t="n">
        <v>3</v>
      </c>
      <c r="J1895" s="637" t="inlineStr">
        <is>
          <t>RND_EKSON_003</t>
        </is>
      </c>
      <c r="K1895" s="640" t="n">
        <v>1</v>
      </c>
      <c r="L1895" s="640" t="n">
        <v>1</v>
      </c>
      <c r="M1895" s="623" t="inlineStr">
        <is>
          <t>Samsung 32" вертикальный</t>
        </is>
      </c>
      <c r="N1895" s="640" t="n"/>
      <c r="O1895" s="640">
        <f>IF(AND(N1895=1,L1895=1),K1895,"")</f>
        <v/>
      </c>
      <c r="P1895" s="642" t="inlineStr">
        <is>
          <t>РО, Мясниковский район, автодорога Ростов-на-Дону — Таганрог 5 км+500м. (около поста ГАИ при въезде в г. Ростов-на-Дону) пересечение ул.Таганрогской/Малиновского</t>
        </is>
      </c>
      <c r="Q1895" s="640" t="inlineStr">
        <is>
          <t>47.260592</t>
        </is>
      </c>
      <c r="R1895" s="494" t="inlineStr">
        <is>
          <t>39.621085</t>
        </is>
      </c>
      <c r="S1895" s="387" t="n"/>
      <c r="T1895" s="387" t="n"/>
      <c r="U1895" s="436" t="n"/>
      <c r="V1895" s="387" t="n"/>
      <c r="W1895" s="387" t="n"/>
      <c r="X1895" s="387" t="n"/>
      <c r="Y1895" s="387" t="n"/>
    </row>
    <row r="1896" hidden="1" ht="16.05" customHeight="1">
      <c r="A1896" s="791" t="n">
        <v>2511</v>
      </c>
      <c r="B1896" s="13" t="n"/>
      <c r="C1896" s="130" t="inlineStr">
        <is>
          <t>Сургут</t>
        </is>
      </c>
      <c r="D1896" s="130" t="inlineStr">
        <is>
          <t>Сургут</t>
        </is>
      </c>
      <c r="E1896" s="130" t="n"/>
      <c r="F1896" s="130" t="n"/>
      <c r="G1896" s="130" t="inlineStr">
        <is>
          <t>Лукойл</t>
        </is>
      </c>
      <c r="H1896" s="131" t="n"/>
      <c r="I1896" s="637" t="inlineStr">
        <is>
          <t>LUK_86621</t>
        </is>
      </c>
      <c r="J1896" s="402" t="inlineStr">
        <is>
          <t>SUR_LUK_86621</t>
        </is>
      </c>
      <c r="K1896" s="640" t="n">
        <v>1</v>
      </c>
      <c r="L1896" s="640" t="n">
        <v>0</v>
      </c>
      <c r="M1896" s="640" t="inlineStr">
        <is>
          <t>Sam 32</t>
        </is>
      </c>
      <c r="N1896" s="640" t="n"/>
      <c r="O1896" s="640">
        <f>IF(AND(N1896=1,L1896=1),K1896,"")</f>
        <v/>
      </c>
      <c r="P1896" s="642" t="inlineStr">
        <is>
          <t>г.Сургут, ул.Гагарина.1</t>
        </is>
      </c>
      <c r="Q1896" s="640" t="inlineStr">
        <is>
          <t>Установка до 1 июня</t>
        </is>
      </c>
      <c r="R1896" s="422" t="n"/>
      <c r="U1896" s="436" t="n"/>
      <c r="X1896" s="1" t="n"/>
      <c r="Y1896" s="1" t="n"/>
      <c r="Z1896" s="1" t="n"/>
    </row>
    <row r="1897" hidden="1" ht="16.05" customFormat="1" customHeight="1" s="126">
      <c r="A1897" s="845" t="n">
        <v>2515</v>
      </c>
      <c r="B1897" s="127" t="n"/>
      <c r="C1897" s="130" t="inlineStr">
        <is>
          <t>Киров</t>
        </is>
      </c>
      <c r="D1897" s="130" t="inlineStr">
        <is>
          <t>Киров</t>
        </is>
      </c>
      <c r="E1897" s="130" t="n"/>
      <c r="F1897" s="130" t="inlineStr">
        <is>
          <t>АЗС</t>
        </is>
      </c>
      <c r="G1897" s="130" t="inlineStr">
        <is>
          <t>Лукойл</t>
        </is>
      </c>
      <c r="H1897" s="131" t="n"/>
      <c r="I1897" s="637" t="n">
        <v>43001</v>
      </c>
      <c r="J1897" s="402" t="inlineStr">
        <is>
          <t>KIR_LUK_43001</t>
        </is>
      </c>
      <c r="K1897" s="640" t="n">
        <v>1</v>
      </c>
      <c r="L1897" s="640" t="n">
        <v>0</v>
      </c>
      <c r="M1897" s="640" t="inlineStr">
        <is>
          <t>Samsung 32" вертикальный</t>
        </is>
      </c>
      <c r="N1897" s="640" t="n"/>
      <c r="O1897" s="640">
        <f>IF(AND(N1897=1,L1897=1),K1897,"")</f>
        <v/>
      </c>
      <c r="P1897" s="642" t="inlineStr">
        <is>
          <t xml:space="preserve">г. Киров, ул. Карла Маркса,1   </t>
        </is>
      </c>
      <c r="Q1897" s="640" t="n">
        <v>58.619195</v>
      </c>
      <c r="R1897" s="422" t="n">
        <v>49.657216</v>
      </c>
      <c r="S1897" s="387" t="n"/>
      <c r="T1897" s="387" t="n"/>
      <c r="U1897" s="436" t="n"/>
      <c r="V1897" s="387" t="n"/>
      <c r="W1897" s="387" t="n"/>
      <c r="X1897" s="1" t="n"/>
      <c r="Y1897" s="1" t="n"/>
    </row>
    <row r="1898" hidden="1" ht="16.05" customFormat="1" customHeight="1" s="126">
      <c r="A1898" s="845" t="n">
        <v>2516</v>
      </c>
      <c r="B1898" s="127" t="n"/>
      <c r="C1898" s="130" t="inlineStr">
        <is>
          <t>Киров</t>
        </is>
      </c>
      <c r="D1898" s="130" t="inlineStr">
        <is>
          <t>Киров</t>
        </is>
      </c>
      <c r="E1898" s="130" t="n"/>
      <c r="F1898" s="130" t="inlineStr">
        <is>
          <t>АЗС</t>
        </is>
      </c>
      <c r="G1898" s="130" t="inlineStr">
        <is>
          <t>Лукойл</t>
        </is>
      </c>
      <c r="H1898" s="131" t="n"/>
      <c r="I1898" s="637" t="n">
        <v>43002</v>
      </c>
      <c r="J1898" s="637" t="inlineStr">
        <is>
          <t>KIR_LUK_43002</t>
        </is>
      </c>
      <c r="K1898" s="640" t="n">
        <v>1</v>
      </c>
      <c r="L1898" s="640" t="n">
        <v>0</v>
      </c>
      <c r="M1898" s="640" t="inlineStr">
        <is>
          <t>Samsung 32" вертикальный</t>
        </is>
      </c>
      <c r="N1898" s="640" t="n"/>
      <c r="O1898" s="640">
        <f>IF(AND(N1898=1,L1898=1),K1898,"")</f>
        <v/>
      </c>
      <c r="P1898" s="642" t="inlineStr">
        <is>
          <t xml:space="preserve">г. Киров, ул. Ленина, д. 130    </t>
        </is>
      </c>
      <c r="Q1898" s="640" t="n">
        <v>58.585892</v>
      </c>
      <c r="R1898" s="422" t="n">
        <v>49.683087</v>
      </c>
      <c r="S1898" s="387" t="n"/>
      <c r="T1898" s="387" t="n"/>
      <c r="U1898" s="436" t="n"/>
      <c r="V1898" s="387" t="n"/>
      <c r="W1898" s="387" t="n"/>
      <c r="X1898" s="1" t="n"/>
      <c r="Y1898" s="1" t="n"/>
    </row>
    <row r="1899" hidden="1" ht="16.05" customFormat="1" customHeight="1" s="126">
      <c r="A1899" s="845" t="n">
        <v>2517</v>
      </c>
      <c r="B1899" s="127" t="n"/>
      <c r="C1899" s="130" t="inlineStr">
        <is>
          <t>Киров</t>
        </is>
      </c>
      <c r="D1899" s="130" t="inlineStr">
        <is>
          <t>Киров</t>
        </is>
      </c>
      <c r="E1899" s="130" t="n"/>
      <c r="F1899" s="130" t="inlineStr">
        <is>
          <t>АЗС</t>
        </is>
      </c>
      <c r="G1899" s="130" t="inlineStr">
        <is>
          <t>Лукойл</t>
        </is>
      </c>
      <c r="H1899" s="131" t="n"/>
      <c r="I1899" s="637" t="n">
        <v>43003</v>
      </c>
      <c r="J1899" s="637" t="inlineStr">
        <is>
          <t>KIR_LUK_43003</t>
        </is>
      </c>
      <c r="K1899" s="640" t="n">
        <v>1</v>
      </c>
      <c r="L1899" s="640" t="n">
        <v>0</v>
      </c>
      <c r="M1899" s="640" t="inlineStr">
        <is>
          <t>Samsung 32" вертикальный</t>
        </is>
      </c>
      <c r="N1899" s="640" t="n"/>
      <c r="O1899" s="640">
        <f>IF(AND(N1899=1,L1899=1),K1899,"")</f>
        <v/>
      </c>
      <c r="P1899" s="642" t="inlineStr">
        <is>
          <t>г. Киров, ул. Потребкооперации, д. бн    (Киров, улица Потребкооперации, 2/1)</t>
        </is>
      </c>
      <c r="Q1899" s="640" t="n">
        <v>58.567316</v>
      </c>
      <c r="R1899" s="422" t="n">
        <v>49.625753</v>
      </c>
      <c r="S1899" s="387" t="n"/>
      <c r="T1899" s="387" t="n"/>
      <c r="U1899" s="436" t="n"/>
      <c r="V1899" s="387" t="n"/>
      <c r="W1899" s="387" t="n"/>
      <c r="X1899" s="1" t="n"/>
      <c r="Y1899" s="1" t="n"/>
    </row>
    <row r="1900" hidden="1" ht="16.05" customFormat="1" customHeight="1" s="126">
      <c r="A1900" s="845" t="n">
        <v>2518</v>
      </c>
      <c r="B1900" s="127" t="n"/>
      <c r="C1900" s="130" t="inlineStr">
        <is>
          <t>Киров</t>
        </is>
      </c>
      <c r="D1900" s="130" t="inlineStr">
        <is>
          <t>Киров</t>
        </is>
      </c>
      <c r="E1900" s="130" t="n"/>
      <c r="F1900" s="130" t="inlineStr">
        <is>
          <t>АЗС</t>
        </is>
      </c>
      <c r="G1900" s="130" t="inlineStr">
        <is>
          <t>Лукойл</t>
        </is>
      </c>
      <c r="H1900" s="131" t="n"/>
      <c r="I1900" s="637" t="n">
        <v>43005</v>
      </c>
      <c r="J1900" s="637" t="inlineStr">
        <is>
          <t>KIR_LUK_43005</t>
        </is>
      </c>
      <c r="K1900" s="640" t="n">
        <v>1</v>
      </c>
      <c r="L1900" s="640" t="n">
        <v>0</v>
      </c>
      <c r="M1900" s="640" t="inlineStr">
        <is>
          <t>Samsung 32" вертикальный</t>
        </is>
      </c>
      <c r="N1900" s="640" t="n"/>
      <c r="O1900" s="640">
        <f>IF(AND(N1900=1,L1900=1),K1900,"")</f>
        <v/>
      </c>
      <c r="P1900" s="642" t="inlineStr">
        <is>
          <t xml:space="preserve">г. Киров, ул. Московская, д. 139   </t>
        </is>
      </c>
      <c r="Q1900" s="640" t="n">
        <v>58.603165</v>
      </c>
      <c r="R1900" s="422" t="n">
        <v>49.61927</v>
      </c>
      <c r="S1900" s="387" t="n"/>
      <c r="T1900" s="387" t="n"/>
      <c r="U1900" s="436" t="n"/>
      <c r="V1900" s="387" t="n"/>
      <c r="W1900" s="387" t="n"/>
      <c r="X1900" s="1" t="n"/>
      <c r="Y1900" s="1" t="n"/>
    </row>
    <row r="1901" hidden="1" ht="16.05" customFormat="1" customHeight="1" s="126">
      <c r="A1901" s="845" t="n">
        <v>2519</v>
      </c>
      <c r="B1901" s="127" t="n"/>
      <c r="C1901" s="130" t="inlineStr">
        <is>
          <t>Киров</t>
        </is>
      </c>
      <c r="D1901" s="130" t="inlineStr">
        <is>
          <t>Киров</t>
        </is>
      </c>
      <c r="E1901" s="130" t="n"/>
      <c r="F1901" s="130" t="inlineStr">
        <is>
          <t>АЗС</t>
        </is>
      </c>
      <c r="G1901" s="130" t="inlineStr">
        <is>
          <t>Лукойл</t>
        </is>
      </c>
      <c r="H1901" s="131" t="n"/>
      <c r="I1901" s="637" t="n">
        <v>43006</v>
      </c>
      <c r="J1901" s="637" t="inlineStr">
        <is>
          <t>KIR_LUK_43006</t>
        </is>
      </c>
      <c r="K1901" s="640" t="n">
        <v>1</v>
      </c>
      <c r="L1901" s="640" t="n">
        <v>0</v>
      </c>
      <c r="M1901" s="640" t="inlineStr">
        <is>
          <t>Samsung 32" вертикальный</t>
        </is>
      </c>
      <c r="N1901" s="640" t="n"/>
      <c r="O1901" s="640">
        <f>IF(AND(N1901=1,L1901=1),K1901,"")</f>
        <v/>
      </c>
      <c r="P1901" s="642" t="inlineStr">
        <is>
          <t xml:space="preserve">г. Киров, ул. Щорса, д. 111    </t>
        </is>
      </c>
      <c r="Q1901" s="640" t="n">
        <v>58.577728</v>
      </c>
      <c r="R1901" s="422" t="n">
        <v>49.584472</v>
      </c>
      <c r="S1901" s="387" t="n"/>
      <c r="T1901" s="387" t="n"/>
      <c r="U1901" s="436" t="n"/>
      <c r="V1901" s="387" t="n"/>
      <c r="W1901" s="387" t="n"/>
      <c r="X1901" s="1" t="n"/>
      <c r="Y1901" s="1" t="n"/>
    </row>
    <row r="1902" hidden="1" ht="16.05" customFormat="1" customHeight="1" s="126">
      <c r="A1902" s="845" t="n">
        <v>2520</v>
      </c>
      <c r="B1902" s="127" t="n"/>
      <c r="C1902" s="130" t="inlineStr">
        <is>
          <t>Киров</t>
        </is>
      </c>
      <c r="D1902" s="130" t="inlineStr">
        <is>
          <t>Киров</t>
        </is>
      </c>
      <c r="E1902" s="130" t="n"/>
      <c r="F1902" s="130" t="inlineStr">
        <is>
          <t>АЗС</t>
        </is>
      </c>
      <c r="G1902" s="130" t="inlineStr">
        <is>
          <t>Лукойл</t>
        </is>
      </c>
      <c r="H1902" s="131" t="n"/>
      <c r="I1902" s="637" t="n">
        <v>43007</v>
      </c>
      <c r="J1902" s="637" t="inlineStr">
        <is>
          <t>KIR_LUK_43007</t>
        </is>
      </c>
      <c r="K1902" s="640" t="n">
        <v>1</v>
      </c>
      <c r="L1902" s="640" t="n">
        <v>0</v>
      </c>
      <c r="M1902" s="640" t="inlineStr">
        <is>
          <t>Samsung 32" вертикальный</t>
        </is>
      </c>
      <c r="N1902" s="640" t="n"/>
      <c r="O1902" s="640">
        <f>IF(AND(N1902=1,L1902=1),K1902,"")</f>
        <v/>
      </c>
      <c r="P1902" s="642" t="inlineStr">
        <is>
          <t xml:space="preserve">г. Киров, ул. Павла Корчагина, д. 242   </t>
        </is>
      </c>
      <c r="Q1902" s="640" t="n">
        <v>58.671178</v>
      </c>
      <c r="R1902" s="422" t="n">
        <v>49.666388</v>
      </c>
      <c r="S1902" s="387" t="n"/>
      <c r="T1902" s="387" t="n"/>
      <c r="U1902" s="436" t="n"/>
      <c r="V1902" s="387" t="n"/>
      <c r="W1902" s="387" t="n"/>
      <c r="X1902" s="1" t="n"/>
      <c r="Y1902" s="1" t="n"/>
    </row>
    <row r="1903" hidden="1" ht="16.05" customFormat="1" customHeight="1" s="126">
      <c r="A1903" s="845" t="n">
        <v>2521</v>
      </c>
      <c r="B1903" s="127" t="n"/>
      <c r="C1903" s="130" t="inlineStr">
        <is>
          <t>Киров</t>
        </is>
      </c>
      <c r="D1903" s="130" t="inlineStr">
        <is>
          <t>Киров</t>
        </is>
      </c>
      <c r="E1903" s="130" t="n"/>
      <c r="F1903" s="130" t="inlineStr">
        <is>
          <t>АЗС</t>
        </is>
      </c>
      <c r="G1903" s="130" t="inlineStr">
        <is>
          <t>Лукойл</t>
        </is>
      </c>
      <c r="H1903" s="131" t="n"/>
      <c r="I1903" s="637" t="n">
        <v>43009</v>
      </c>
      <c r="J1903" s="637" t="inlineStr">
        <is>
          <t>KIR_LUK_43009</t>
        </is>
      </c>
      <c r="K1903" s="640" t="n">
        <v>1</v>
      </c>
      <c r="L1903" s="640" t="n">
        <v>0</v>
      </c>
      <c r="M1903" s="640" t="inlineStr">
        <is>
          <t>Samsung 32" вертикальный</t>
        </is>
      </c>
      <c r="N1903" s="640" t="n"/>
      <c r="O1903" s="640">
        <f>IF(AND(N1903=1,L1903=1),K1903,"")</f>
        <v/>
      </c>
      <c r="P1903" s="642" t="inlineStr">
        <is>
          <t>г. Киров, д. Лянгасы    (Киров, улица Дзержинского, 81А)</t>
        </is>
      </c>
      <c r="Q1903" s="640" t="n">
        <v>58.640611</v>
      </c>
      <c r="R1903" s="422" t="inlineStr">
        <is>
          <t xml:space="preserve">49,591087  </t>
        </is>
      </c>
      <c r="S1903" s="387" t="n"/>
      <c r="T1903" s="387" t="n"/>
      <c r="U1903" s="436" t="n"/>
      <c r="V1903" s="387" t="n"/>
      <c r="W1903" s="387" t="n"/>
      <c r="X1903" s="1" t="n"/>
      <c r="Y1903" s="1" t="n"/>
    </row>
    <row r="1904" hidden="1" ht="16.05" customFormat="1" customHeight="1" s="126">
      <c r="A1904" s="845" t="n">
        <v>2522</v>
      </c>
      <c r="B1904" s="127" t="n"/>
      <c r="C1904" s="130" t="inlineStr">
        <is>
          <t>Киров</t>
        </is>
      </c>
      <c r="D1904" s="130" t="inlineStr">
        <is>
          <t>Киров</t>
        </is>
      </c>
      <c r="E1904" s="130" t="n"/>
      <c r="F1904" s="130" t="inlineStr">
        <is>
          <t>АЗС</t>
        </is>
      </c>
      <c r="G1904" s="130" t="inlineStr">
        <is>
          <t>Лукойл</t>
        </is>
      </c>
      <c r="H1904" s="131" t="n"/>
      <c r="I1904" s="637" t="n">
        <v>43010</v>
      </c>
      <c r="J1904" s="637" t="inlineStr">
        <is>
          <t>KIR_LUK_43010</t>
        </is>
      </c>
      <c r="K1904" s="640" t="n">
        <v>1</v>
      </c>
      <c r="L1904" s="640" t="n">
        <v>0</v>
      </c>
      <c r="M1904" s="640" t="inlineStr">
        <is>
          <t>Samsung 32" вертикальный</t>
        </is>
      </c>
      <c r="N1904" s="640" t="n"/>
      <c r="O1904" s="640">
        <f>IF(AND(N1904=1,L1904=1),K1904,"")</f>
        <v/>
      </c>
      <c r="P1904" s="642" t="inlineStr">
        <is>
          <t xml:space="preserve">г. Киров, ул. Производственная, д. 21а   </t>
        </is>
      </c>
      <c r="Q1904" s="640" t="n">
        <v>58.58512</v>
      </c>
      <c r="R1904" s="422" t="n">
        <v>49.610043</v>
      </c>
      <c r="S1904" s="387" t="n"/>
      <c r="T1904" s="387" t="n"/>
      <c r="U1904" s="436" t="n"/>
      <c r="V1904" s="387" t="n"/>
      <c r="W1904" s="387" t="n"/>
      <c r="X1904" s="1" t="n"/>
      <c r="Y1904" s="1" t="n"/>
    </row>
    <row r="1905" hidden="1" ht="16.05" customFormat="1" customHeight="1" s="126">
      <c r="A1905" s="845" t="n">
        <v>2523</v>
      </c>
      <c r="B1905" s="127" t="n"/>
      <c r="C1905" s="130" t="inlineStr">
        <is>
          <t>Киров</t>
        </is>
      </c>
      <c r="D1905" s="130" t="inlineStr">
        <is>
          <t>Киров</t>
        </is>
      </c>
      <c r="E1905" s="130" t="n"/>
      <c r="F1905" s="130" t="inlineStr">
        <is>
          <t>АЗС</t>
        </is>
      </c>
      <c r="G1905" s="130" t="inlineStr">
        <is>
          <t>Лукойл</t>
        </is>
      </c>
      <c r="H1905" s="131" t="n"/>
      <c r="I1905" s="637" t="n">
        <v>43011</v>
      </c>
      <c r="J1905" s="637" t="inlineStr">
        <is>
          <t>KIR_LUK_43011</t>
        </is>
      </c>
      <c r="K1905" s="640" t="n">
        <v>1</v>
      </c>
      <c r="L1905" s="640" t="n">
        <v>0</v>
      </c>
      <c r="M1905" s="640" t="inlineStr">
        <is>
          <t>Samsung 32" вертикальный</t>
        </is>
      </c>
      <c r="N1905" s="640" t="n"/>
      <c r="O1905" s="640">
        <f>IF(AND(N1905=1,L1905=1),K1905,"")</f>
        <v/>
      </c>
      <c r="P1905" s="642" t="inlineStr">
        <is>
          <t xml:space="preserve">г. Киров, ул. Производственная  (Киров, Производственная улица, 21В)  </t>
        </is>
      </c>
      <c r="Q1905" s="640" t="n">
        <v>58.585326</v>
      </c>
      <c r="R1905" s="422" t="n">
        <v>49.609765</v>
      </c>
      <c r="S1905" s="387" t="n"/>
      <c r="T1905" s="387" t="n"/>
      <c r="U1905" s="436" t="n"/>
      <c r="V1905" s="387" t="n"/>
      <c r="W1905" s="387" t="n"/>
      <c r="X1905" s="1" t="n"/>
      <c r="Y1905" s="1" t="n"/>
    </row>
    <row r="1906" hidden="1" ht="16.05" customFormat="1" customHeight="1" s="126">
      <c r="A1906" s="845" t="n">
        <v>2524</v>
      </c>
      <c r="B1906" s="127" t="n"/>
      <c r="C1906" s="130" t="inlineStr">
        <is>
          <t>Киров</t>
        </is>
      </c>
      <c r="D1906" s="130" t="inlineStr">
        <is>
          <t>Киров</t>
        </is>
      </c>
      <c r="E1906" s="130" t="n"/>
      <c r="F1906" s="130" t="inlineStr">
        <is>
          <t>АЗС</t>
        </is>
      </c>
      <c r="G1906" s="130" t="inlineStr">
        <is>
          <t>Лукойл</t>
        </is>
      </c>
      <c r="H1906" s="131" t="n"/>
      <c r="I1906" s="637" t="n">
        <v>43012</v>
      </c>
      <c r="J1906" s="637" t="inlineStr">
        <is>
          <t>KIR_LUK_43012</t>
        </is>
      </c>
      <c r="K1906" s="640" t="n">
        <v>1</v>
      </c>
      <c r="L1906" s="640" t="n">
        <v>0</v>
      </c>
      <c r="M1906" s="640" t="inlineStr">
        <is>
          <t>Samsung 32" вертикальный</t>
        </is>
      </c>
      <c r="N1906" s="640" t="n"/>
      <c r="O1906" s="640">
        <f>IF(AND(N1906=1,L1906=1),K1906,"")</f>
        <v/>
      </c>
      <c r="P1906" s="642" t="inlineStr">
        <is>
          <t xml:space="preserve">г. Киров, ул. Солнечная, д.11а   </t>
        </is>
      </c>
      <c r="Q1906" s="640" t="n">
        <v>58.596023</v>
      </c>
      <c r="R1906" s="422" t="n">
        <v>49.62096</v>
      </c>
      <c r="S1906" s="387" t="n"/>
      <c r="T1906" s="387" t="n"/>
      <c r="U1906" s="436" t="n"/>
      <c r="V1906" s="387" t="n"/>
      <c r="W1906" s="387" t="n"/>
      <c r="X1906" s="1" t="n"/>
      <c r="Y1906" s="1" t="n"/>
    </row>
    <row r="1907" hidden="1" ht="16.05" customFormat="1" customHeight="1" s="126">
      <c r="A1907" s="845" t="n">
        <v>2525</v>
      </c>
      <c r="B1907" s="127" t="n"/>
      <c r="C1907" s="130" t="inlineStr">
        <is>
          <t>Киров</t>
        </is>
      </c>
      <c r="D1907" s="130" t="inlineStr">
        <is>
          <t>Киров</t>
        </is>
      </c>
      <c r="E1907" s="130" t="n"/>
      <c r="F1907" s="130" t="inlineStr">
        <is>
          <t>АЗС</t>
        </is>
      </c>
      <c r="G1907" s="130" t="inlineStr">
        <is>
          <t>Лукойл</t>
        </is>
      </c>
      <c r="H1907" s="131" t="n"/>
      <c r="I1907" s="637" t="n">
        <v>43013</v>
      </c>
      <c r="J1907" s="637" t="inlineStr">
        <is>
          <t>KIR_LUK_43013</t>
        </is>
      </c>
      <c r="K1907" s="640" t="n">
        <v>1</v>
      </c>
      <c r="L1907" s="640" t="n">
        <v>0</v>
      </c>
      <c r="M1907" s="640" t="inlineStr">
        <is>
          <t>Samsung 32" вертикальный</t>
        </is>
      </c>
      <c r="N1907" s="640" t="n"/>
      <c r="O1907" s="640">
        <f>IF(AND(N1907=1,L1907=1),K1907,"")</f>
        <v/>
      </c>
      <c r="P1907" s="642" t="inlineStr">
        <is>
          <t xml:space="preserve">г. Киров, ул. Советская (Нововятск), д. 174а   </t>
        </is>
      </c>
      <c r="Q1907" s="640" t="n">
        <v>58.485033</v>
      </c>
      <c r="R1907" s="422" t="n">
        <v>49.738014</v>
      </c>
      <c r="S1907" s="387" t="n"/>
      <c r="T1907" s="387" t="n"/>
      <c r="U1907" s="436" t="n"/>
      <c r="V1907" s="387" t="n"/>
      <c r="W1907" s="387" t="n"/>
      <c r="X1907" s="1" t="n"/>
      <c r="Y1907" s="1" t="n"/>
    </row>
    <row r="1908" hidden="1" ht="16.05" customFormat="1" customHeight="1" s="126">
      <c r="A1908" s="845" t="n">
        <v>2526</v>
      </c>
      <c r="B1908" s="127" t="n"/>
      <c r="C1908" s="130" t="inlineStr">
        <is>
          <t>Киров</t>
        </is>
      </c>
      <c r="D1908" s="130" t="inlineStr">
        <is>
          <t>Киров</t>
        </is>
      </c>
      <c r="E1908" s="130" t="n"/>
      <c r="F1908" s="130" t="inlineStr">
        <is>
          <t>АЗС</t>
        </is>
      </c>
      <c r="G1908" s="130" t="inlineStr">
        <is>
          <t>Лукойл</t>
        </is>
      </c>
      <c r="H1908" s="131" t="n"/>
      <c r="I1908" s="637" t="n">
        <v>43014</v>
      </c>
      <c r="J1908" s="637" t="inlineStr">
        <is>
          <t>KIR_LUK_43014</t>
        </is>
      </c>
      <c r="K1908" s="640" t="n">
        <v>1</v>
      </c>
      <c r="L1908" s="640" t="n">
        <v>0</v>
      </c>
      <c r="M1908" s="640" t="inlineStr">
        <is>
          <t>Samsung 32" вертикальный</t>
        </is>
      </c>
      <c r="N1908" s="640" t="n"/>
      <c r="O1908" s="640">
        <f>IF(AND(N1908=1,L1908=1),K1908,"")</f>
        <v/>
      </c>
      <c r="P1908" s="642" t="inlineStr">
        <is>
          <t xml:space="preserve">г. Киров, ул. Лепсе, д. 30а    </t>
        </is>
      </c>
      <c r="Q1908" s="640" t="n">
        <v>58.614114</v>
      </c>
      <c r="R1908" s="422" t="n">
        <v>49.627634</v>
      </c>
      <c r="S1908" s="387" t="n"/>
      <c r="T1908" s="387" t="n"/>
      <c r="U1908" s="436" t="n"/>
      <c r="V1908" s="387" t="n"/>
      <c r="W1908" s="387" t="n"/>
      <c r="X1908" s="1" t="n"/>
      <c r="Y1908" s="1" t="n"/>
    </row>
    <row r="1909" hidden="1" ht="16.05" customFormat="1" customHeight="1" s="126">
      <c r="A1909" s="845" t="n">
        <v>2527</v>
      </c>
      <c r="B1909" s="127" t="n"/>
      <c r="C1909" s="130" t="inlineStr">
        <is>
          <t>Киров</t>
        </is>
      </c>
      <c r="D1909" s="130" t="inlineStr">
        <is>
          <t>Киров</t>
        </is>
      </c>
      <c r="E1909" s="130" t="n"/>
      <c r="F1909" s="130" t="inlineStr">
        <is>
          <t>АЗС</t>
        </is>
      </c>
      <c r="G1909" s="130" t="inlineStr">
        <is>
          <t>Лукойл</t>
        </is>
      </c>
      <c r="H1909" s="131" t="n"/>
      <c r="I1909" s="637" t="n">
        <v>43016</v>
      </c>
      <c r="J1909" s="637" t="inlineStr">
        <is>
          <t>KIR_LUK_43016</t>
        </is>
      </c>
      <c r="K1909" s="640" t="n">
        <v>1</v>
      </c>
      <c r="L1909" s="640" t="n">
        <v>0</v>
      </c>
      <c r="M1909" s="640" t="inlineStr">
        <is>
          <t>Samsung 32" вертикальный</t>
        </is>
      </c>
      <c r="N1909" s="640" t="n"/>
      <c r="O1909" s="640">
        <f>IF(AND(N1909=1,L1909=1),K1909,"")</f>
        <v/>
      </c>
      <c r="P1909" s="642" t="inlineStr">
        <is>
          <t xml:space="preserve">г. Киров, ул. Советская, д.2   </t>
        </is>
      </c>
      <c r="Q1909" s="640" t="n">
        <v>58.517691</v>
      </c>
      <c r="R1909" s="422" t="n">
        <v>49.688489</v>
      </c>
      <c r="S1909" s="387" t="n"/>
      <c r="T1909" s="387" t="n"/>
      <c r="U1909" s="436" t="n"/>
      <c r="V1909" s="387" t="n"/>
      <c r="W1909" s="387" t="n"/>
      <c r="X1909" s="1" t="n"/>
      <c r="Y1909" s="1" t="n"/>
    </row>
    <row r="1910" hidden="1" ht="16.05" customFormat="1" customHeight="1" s="126">
      <c r="A1910" s="845" t="n">
        <v>2528</v>
      </c>
      <c r="B1910" s="127" t="n"/>
      <c r="C1910" s="130" t="inlineStr">
        <is>
          <t>Киров</t>
        </is>
      </c>
      <c r="D1910" s="130" t="inlineStr">
        <is>
          <t>Киров</t>
        </is>
      </c>
      <c r="E1910" s="130" t="n"/>
      <c r="F1910" s="130" t="inlineStr">
        <is>
          <t>АЗС</t>
        </is>
      </c>
      <c r="G1910" s="130" t="inlineStr">
        <is>
          <t>Лукойл</t>
        </is>
      </c>
      <c r="H1910" s="131" t="n"/>
      <c r="I1910" s="637" t="n">
        <v>43023</v>
      </c>
      <c r="J1910" s="637" t="inlineStr">
        <is>
          <t>KIR_LUK_43023</t>
        </is>
      </c>
      <c r="K1910" s="640" t="n">
        <v>1</v>
      </c>
      <c r="L1910" s="640" t="n">
        <v>0</v>
      </c>
      <c r="M1910" s="640" t="inlineStr">
        <is>
          <t>Samsung 32" вертикальный</t>
        </is>
      </c>
      <c r="N1910" s="640" t="n"/>
      <c r="O1910" s="640">
        <f>IF(AND(N1910=1,L1910=1),K1910,"")</f>
        <v/>
      </c>
      <c r="P1910" s="642" t="inlineStr">
        <is>
          <t xml:space="preserve">г. Киров, Советский тракт, д. 40   </t>
        </is>
      </c>
      <c r="Q1910" s="640" t="n">
        <v>58.521259</v>
      </c>
      <c r="R1910" s="422" t="n">
        <v>49.583716</v>
      </c>
      <c r="S1910" s="387" t="n"/>
      <c r="T1910" s="387" t="n"/>
      <c r="U1910" s="436" t="n"/>
      <c r="V1910" s="387" t="n"/>
      <c r="W1910" s="387" t="n"/>
      <c r="X1910" s="1" t="n"/>
      <c r="Y1910" s="1" t="n"/>
    </row>
    <row r="1911" hidden="1" ht="16.05" customFormat="1" customHeight="1" s="126">
      <c r="A1911" s="845" t="n">
        <v>2529</v>
      </c>
      <c r="B1911" s="127" t="n"/>
      <c r="C1911" s="130" t="inlineStr">
        <is>
          <t>Киров</t>
        </is>
      </c>
      <c r="D1911" s="130" t="inlineStr">
        <is>
          <t>Киров</t>
        </is>
      </c>
      <c r="E1911" s="130" t="n"/>
      <c r="F1911" s="130" t="inlineStr">
        <is>
          <t>АЗС</t>
        </is>
      </c>
      <c r="G1911" s="130" t="inlineStr">
        <is>
          <t>Лукойл</t>
        </is>
      </c>
      <c r="H1911" s="131" t="n"/>
      <c r="I1911" s="637" t="n">
        <v>43029</v>
      </c>
      <c r="J1911" s="637" t="inlineStr">
        <is>
          <t>KIR_LUK_43029</t>
        </is>
      </c>
      <c r="K1911" s="640" t="n">
        <v>1</v>
      </c>
      <c r="L1911" s="640" t="n">
        <v>0</v>
      </c>
      <c r="M1911" s="640" t="inlineStr">
        <is>
          <t>Samsung 32" вертикальный</t>
        </is>
      </c>
      <c r="N1911" s="640" t="n"/>
      <c r="O1911" s="640">
        <f>IF(AND(N1911=1,L1911=1),K1911,"")</f>
        <v/>
      </c>
      <c r="P1911" s="642" t="inlineStr">
        <is>
          <t xml:space="preserve">г. Киров, ул. П.Корчагина, д. 256   </t>
        </is>
      </c>
      <c r="Q1911" s="640" t="n">
        <v>58.67648</v>
      </c>
      <c r="R1911" s="422" t="n">
        <v>49.659875</v>
      </c>
      <c r="S1911" s="387" t="n"/>
      <c r="T1911" s="387" t="n"/>
      <c r="U1911" s="436" t="n"/>
      <c r="V1911" s="387" t="n"/>
      <c r="W1911" s="387" t="n"/>
      <c r="X1911" s="1" t="n"/>
      <c r="Y1911" s="1" t="n"/>
    </row>
    <row r="1912" hidden="1" ht="16.05" customFormat="1" customHeight="1" s="126">
      <c r="A1912" s="845" t="n">
        <v>2530</v>
      </c>
      <c r="B1912" s="127" t="n"/>
      <c r="C1912" s="130" t="inlineStr">
        <is>
          <t>Киров</t>
        </is>
      </c>
      <c r="D1912" s="130" t="inlineStr">
        <is>
          <t>Киров</t>
        </is>
      </c>
      <c r="E1912" s="130" t="n"/>
      <c r="F1912" s="130" t="inlineStr">
        <is>
          <t>АЗС</t>
        </is>
      </c>
      <c r="G1912" s="130" t="inlineStr">
        <is>
          <t>Лукойл</t>
        </is>
      </c>
      <c r="H1912" s="131" t="n"/>
      <c r="I1912" s="637" t="n">
        <v>43033</v>
      </c>
      <c r="J1912" s="637" t="inlineStr">
        <is>
          <t>KIR_LUK_43033</t>
        </is>
      </c>
      <c r="K1912" s="640" t="n">
        <v>1</v>
      </c>
      <c r="L1912" s="640" t="n">
        <v>0</v>
      </c>
      <c r="M1912" s="640" t="inlineStr">
        <is>
          <t>Samsung 32" вертикальный</t>
        </is>
      </c>
      <c r="N1912" s="640" t="n"/>
      <c r="O1912" s="640">
        <f>IF(AND(N1912=1,L1912=1),K1912,"")</f>
        <v/>
      </c>
      <c r="P1912" s="642" t="inlineStr">
        <is>
          <t xml:space="preserve">г. Киров, П. Корчагина, д. 260   </t>
        </is>
      </c>
      <c r="Q1912" s="640" t="n">
        <v>58.677439</v>
      </c>
      <c r="R1912" s="422" t="n">
        <v>49.658788</v>
      </c>
      <c r="S1912" s="387" t="n"/>
      <c r="T1912" s="387" t="n"/>
      <c r="U1912" s="436" t="n"/>
      <c r="V1912" s="387" t="n"/>
      <c r="W1912" s="387" t="n"/>
      <c r="X1912" s="1" t="n"/>
      <c r="Y1912" s="1" t="n"/>
    </row>
    <row r="1913" hidden="1" ht="16.05" customFormat="1" customHeight="1" s="126">
      <c r="A1913" s="845" t="n">
        <v>2531</v>
      </c>
      <c r="B1913" s="127" t="n"/>
      <c r="C1913" s="130" t="inlineStr">
        <is>
          <t>Киров</t>
        </is>
      </c>
      <c r="D1913" s="130" t="inlineStr">
        <is>
          <t>Киров</t>
        </is>
      </c>
      <c r="E1913" s="130" t="n"/>
      <c r="F1913" s="130" t="inlineStr">
        <is>
          <t>АЗС</t>
        </is>
      </c>
      <c r="G1913" s="130" t="inlineStr">
        <is>
          <t>Лукойл</t>
        </is>
      </c>
      <c r="H1913" s="131" t="n"/>
      <c r="I1913" s="637" t="n">
        <v>43034</v>
      </c>
      <c r="J1913" s="637" t="inlineStr">
        <is>
          <t>KIR_LUK_43034</t>
        </is>
      </c>
      <c r="K1913" s="640" t="n">
        <v>1</v>
      </c>
      <c r="L1913" s="640" t="n">
        <v>0</v>
      </c>
      <c r="M1913" s="640" t="inlineStr">
        <is>
          <t>Samsung 32" вертикальный</t>
        </is>
      </c>
      <c r="N1913" s="640" t="n"/>
      <c r="O1913" s="640">
        <f>IF(AND(N1913=1,L1913=1),K1913,"")</f>
        <v/>
      </c>
      <c r="P1913" s="642" t="inlineStr">
        <is>
          <t xml:space="preserve">г. Киров, ул. Пермская, д. 37   </t>
        </is>
      </c>
      <c r="Q1913" s="640" t="n">
        <v>58.618262</v>
      </c>
      <c r="R1913" s="422" t="n">
        <v>49.714825</v>
      </c>
      <c r="S1913" s="387" t="n"/>
      <c r="T1913" s="387" t="n"/>
      <c r="U1913" s="436" t="n"/>
      <c r="V1913" s="387" t="n"/>
      <c r="W1913" s="387" t="n"/>
      <c r="X1913" s="1" t="n"/>
      <c r="Y1913" s="1" t="n"/>
    </row>
    <row r="1914" hidden="1" ht="16.05" customFormat="1" customHeight="1" s="126">
      <c r="A1914" s="125" t="n">
        <v>2532</v>
      </c>
      <c r="B1914" s="125" t="n"/>
      <c r="C1914" s="130" t="inlineStr">
        <is>
          <t>Пермь</t>
        </is>
      </c>
      <c r="D1914" s="130" t="inlineStr">
        <is>
          <t>Пермь</t>
        </is>
      </c>
      <c r="E1914" s="130" t="n"/>
      <c r="F1914" s="130" t="inlineStr">
        <is>
          <t>АЗС</t>
        </is>
      </c>
      <c r="G1914" s="130" t="inlineStr">
        <is>
          <t>Лукойл</t>
        </is>
      </c>
      <c r="H1914" s="131" t="n"/>
      <c r="I1914" s="637" t="n">
        <v>59001</v>
      </c>
      <c r="J1914" s="637" t="inlineStr">
        <is>
          <t>PRM_LUK_59001</t>
        </is>
      </c>
      <c r="K1914" s="640" t="n">
        <v>1</v>
      </c>
      <c r="L1914" s="640" t="n">
        <v>0</v>
      </c>
      <c r="M1914" s="640" t="inlineStr">
        <is>
          <t>Samsung 32" вертикальный</t>
        </is>
      </c>
      <c r="N1914" s="640" t="n"/>
      <c r="O1914" s="640">
        <f>IF(AND(N1914=1,L1914=1),K1914,"")</f>
        <v/>
      </c>
      <c r="P1914" s="642" t="inlineStr">
        <is>
          <t xml:space="preserve">г. Пермь, ул. Соликамская, д. 303   </t>
        </is>
      </c>
      <c r="Q1914" s="640" t="n">
        <v>58.0995526</v>
      </c>
      <c r="R1914" s="422" t="n">
        <v>56.3573475</v>
      </c>
      <c r="S1914" s="387" t="n"/>
      <c r="T1914" s="387" t="n"/>
      <c r="U1914" s="436" t="n"/>
      <c r="V1914" s="387" t="n"/>
      <c r="W1914" s="387" t="n"/>
      <c r="X1914" s="1" t="n"/>
      <c r="Y1914" s="1" t="n"/>
    </row>
    <row r="1915" hidden="1" ht="16.05" customFormat="1" customHeight="1" s="126">
      <c r="A1915" s="125" t="n">
        <v>2533</v>
      </c>
      <c r="B1915" s="125" t="n"/>
      <c r="C1915" s="130" t="inlineStr">
        <is>
          <t>Пермь</t>
        </is>
      </c>
      <c r="D1915" s="130" t="inlineStr">
        <is>
          <t>Пермь</t>
        </is>
      </c>
      <c r="E1915" s="130" t="n"/>
      <c r="F1915" s="130" t="inlineStr">
        <is>
          <t>АЗС</t>
        </is>
      </c>
      <c r="G1915" s="130" t="inlineStr">
        <is>
          <t>Лукойл</t>
        </is>
      </c>
      <c r="H1915" s="131" t="n"/>
      <c r="I1915" s="637" t="n">
        <v>59002</v>
      </c>
      <c r="J1915" s="637" t="inlineStr">
        <is>
          <t>PRM_LUK_59002</t>
        </is>
      </c>
      <c r="K1915" s="640" t="n">
        <v>1</v>
      </c>
      <c r="L1915" s="640" t="n">
        <v>0</v>
      </c>
      <c r="M1915" s="640" t="inlineStr">
        <is>
          <t>Samsung 32" вертикальный</t>
        </is>
      </c>
      <c r="N1915" s="640" t="n"/>
      <c r="O1915" s="640">
        <f>IF(AND(N1915=1,L1915=1),K1915,"")</f>
        <v/>
      </c>
      <c r="P1915" s="642" t="inlineStr">
        <is>
          <t xml:space="preserve">г. Пермь, ул. Гайвинская, 103    </t>
        </is>
      </c>
      <c r="Q1915" s="640" t="n">
        <v>58.127032</v>
      </c>
      <c r="R1915" s="422" t="n">
        <v>56.293892</v>
      </c>
      <c r="S1915" s="387" t="n"/>
      <c r="T1915" s="387" t="n"/>
      <c r="U1915" s="436" t="n"/>
      <c r="V1915" s="387" t="n"/>
      <c r="W1915" s="387" t="n"/>
      <c r="X1915" s="1" t="n"/>
      <c r="Y1915" s="1" t="n"/>
    </row>
    <row r="1916" hidden="1" ht="16.05" customHeight="1">
      <c r="A1916" s="791" t="n">
        <v>2534</v>
      </c>
      <c r="B1916" s="13">
        <f>IF(OR(M1916="Sam 32",M1916="Sam 40"),"s",IF(M1916="AMS","a","v"))</f>
        <v/>
      </c>
      <c r="C1916" s="130" t="inlineStr">
        <is>
          <t>Пермь</t>
        </is>
      </c>
      <c r="D1916" s="130" t="inlineStr">
        <is>
          <t>Пермь</t>
        </is>
      </c>
      <c r="E1916" s="130" t="n"/>
      <c r="F1916" s="130" t="n"/>
      <c r="G1916" s="130" t="inlineStr">
        <is>
          <t>Лукойл</t>
        </is>
      </c>
      <c r="H1916" s="131" t="n"/>
      <c r="I1916" s="637" t="n">
        <v>59003</v>
      </c>
      <c r="J1916" s="402" t="n"/>
      <c r="K1916" s="640" t="n">
        <v>1</v>
      </c>
      <c r="L1916" s="640" t="n">
        <v>0</v>
      </c>
      <c r="M1916" s="640" t="inlineStr">
        <is>
          <t>Sam 32</t>
        </is>
      </c>
      <c r="N1916" s="640" t="n"/>
      <c r="O1916" s="640">
        <f>IF(AND(N1916=1,L1916=1),K1916,"")</f>
        <v/>
      </c>
      <c r="P1916" s="642" t="inlineStr">
        <is>
          <t xml:space="preserve">г. Пермь, ул. Циолковского, д. 5   </t>
        </is>
      </c>
      <c r="Q1916" s="640" t="n"/>
      <c r="R1916" s="422" t="n"/>
      <c r="U1916" s="436" t="n"/>
      <c r="X1916" s="1" t="n"/>
      <c r="Y1916" s="1" t="n"/>
      <c r="Z1916" s="1" t="n"/>
    </row>
    <row r="1917" hidden="1" ht="16.05" customFormat="1" customHeight="1" s="126">
      <c r="A1917" s="125" t="n">
        <v>2535</v>
      </c>
      <c r="B1917" s="125" t="n"/>
      <c r="C1917" s="130" t="inlineStr">
        <is>
          <t>Пермь</t>
        </is>
      </c>
      <c r="D1917" s="130" t="inlineStr">
        <is>
          <t>Пермь</t>
        </is>
      </c>
      <c r="E1917" s="130" t="n"/>
      <c r="F1917" s="130" t="inlineStr">
        <is>
          <t>АЗС</t>
        </is>
      </c>
      <c r="G1917" s="130" t="inlineStr">
        <is>
          <t>Лукойл</t>
        </is>
      </c>
      <c r="H1917" s="131" t="n"/>
      <c r="I1917" s="637" t="n">
        <v>59004</v>
      </c>
      <c r="J1917" s="637" t="inlineStr">
        <is>
          <t>PRM_LUK_59004</t>
        </is>
      </c>
      <c r="K1917" s="640" t="n">
        <v>1</v>
      </c>
      <c r="L1917" s="640" t="n">
        <v>0</v>
      </c>
      <c r="M1917" s="640" t="inlineStr">
        <is>
          <t>Samsung 32" вертикальный</t>
        </is>
      </c>
      <c r="N1917" s="640" t="n"/>
      <c r="O1917" s="640">
        <f>IF(AND(N1917=1,L1917=1),K1917,"")</f>
        <v/>
      </c>
      <c r="P1917" s="642" t="inlineStr">
        <is>
          <t xml:space="preserve">г. Пермь, ул. Героев Хасана,д. 51   </t>
        </is>
      </c>
      <c r="Q1917" s="640" t="n">
        <v>57.980144</v>
      </c>
      <c r="R1917" s="422" t="n">
        <v>56.259637</v>
      </c>
      <c r="S1917" s="387" t="n"/>
      <c r="T1917" s="387" t="n"/>
      <c r="U1917" s="436" t="n"/>
      <c r="V1917" s="387" t="n"/>
      <c r="W1917" s="387" t="n"/>
      <c r="X1917" s="1" t="n"/>
      <c r="Y1917" s="1" t="n"/>
    </row>
    <row r="1918" hidden="1" ht="16.05" customFormat="1" customHeight="1" s="126">
      <c r="A1918" s="125" t="n">
        <v>2536</v>
      </c>
      <c r="B1918" s="125" t="n"/>
      <c r="C1918" s="130" t="inlineStr">
        <is>
          <t>Пермь</t>
        </is>
      </c>
      <c r="D1918" s="130" t="inlineStr">
        <is>
          <t>Пермь</t>
        </is>
      </c>
      <c r="E1918" s="130" t="n"/>
      <c r="F1918" s="130" t="inlineStr">
        <is>
          <t>АЗС</t>
        </is>
      </c>
      <c r="G1918" s="130" t="inlineStr">
        <is>
          <t>Лукойл</t>
        </is>
      </c>
      <c r="H1918" s="131" t="n"/>
      <c r="I1918" s="637" t="n">
        <v>59005</v>
      </c>
      <c r="J1918" s="637" t="inlineStr">
        <is>
          <t>PRM_LUK_59005</t>
        </is>
      </c>
      <c r="K1918" s="640" t="n">
        <v>1</v>
      </c>
      <c r="L1918" s="640" t="n">
        <v>0</v>
      </c>
      <c r="M1918" s="640" t="inlineStr">
        <is>
          <t>Samsung 32" вертикальный</t>
        </is>
      </c>
      <c r="N1918" s="640" t="n"/>
      <c r="O1918" s="640">
        <f>IF(AND(N1918=1,L1918=1),K1918,"")</f>
        <v/>
      </c>
      <c r="P1918" s="642" t="inlineStr">
        <is>
          <t xml:space="preserve">г. Пермь, ул. Тихая, д. 25    </t>
        </is>
      </c>
      <c r="Q1918" s="640" t="n">
        <v>58.009735</v>
      </c>
      <c r="R1918" s="422" t="n">
        <v>56.265583</v>
      </c>
      <c r="S1918" s="387" t="n"/>
      <c r="T1918" s="387" t="n"/>
      <c r="U1918" s="436" t="n"/>
      <c r="V1918" s="387" t="n"/>
      <c r="W1918" s="387" t="n"/>
      <c r="X1918" s="1" t="n"/>
      <c r="Y1918" s="1" t="n"/>
    </row>
    <row r="1919" hidden="1" ht="16.05" customFormat="1" customHeight="1" s="126">
      <c r="A1919" s="125" t="n">
        <v>2537</v>
      </c>
      <c r="B1919" s="125" t="n"/>
      <c r="C1919" s="130" t="inlineStr">
        <is>
          <t>Пермь</t>
        </is>
      </c>
      <c r="D1919" s="130" t="inlineStr">
        <is>
          <t>Пермь</t>
        </is>
      </c>
      <c r="E1919" s="130" t="n"/>
      <c r="F1919" s="130" t="inlineStr">
        <is>
          <t>АЗС</t>
        </is>
      </c>
      <c r="G1919" s="130" t="inlineStr">
        <is>
          <t>Лукойл</t>
        </is>
      </c>
      <c r="H1919" s="131" t="n"/>
      <c r="I1919" s="637" t="n">
        <v>59008</v>
      </c>
      <c r="J1919" s="637" t="inlineStr">
        <is>
          <t>PRM_LUK_59008</t>
        </is>
      </c>
      <c r="K1919" s="640" t="n">
        <v>1</v>
      </c>
      <c r="L1919" s="640" t="n">
        <v>0</v>
      </c>
      <c r="M1919" s="640" t="inlineStr">
        <is>
          <t>Samsung 32" вертикальный</t>
        </is>
      </c>
      <c r="N1919" s="640" t="n"/>
      <c r="O1919" s="640">
        <f>IF(AND(N1919=1,L1919=1),K1919,"")</f>
        <v/>
      </c>
      <c r="P1919" s="642" t="inlineStr">
        <is>
          <t xml:space="preserve">г. Пермь, ул. Куйбышева, д. 169а   </t>
        </is>
      </c>
      <c r="Q1919" s="640" t="n">
        <v>57.954958</v>
      </c>
      <c r="R1919" s="422" t="n">
        <v>56.241125</v>
      </c>
      <c r="S1919" s="387" t="n"/>
      <c r="T1919" s="387" t="n"/>
      <c r="U1919" s="436" t="n"/>
      <c r="V1919" s="387" t="n"/>
      <c r="W1919" s="387" t="n"/>
      <c r="X1919" s="1" t="n"/>
      <c r="Y1919" s="1" t="n"/>
    </row>
    <row r="1920" hidden="1" ht="16.05" customFormat="1" customHeight="1" s="126">
      <c r="A1920" s="125" t="n">
        <v>2538</v>
      </c>
      <c r="B1920" s="125" t="n"/>
      <c r="C1920" s="130" t="inlineStr">
        <is>
          <t>Пермь</t>
        </is>
      </c>
      <c r="D1920" s="130" t="inlineStr">
        <is>
          <t>Пермь</t>
        </is>
      </c>
      <c r="E1920" s="130" t="n"/>
      <c r="F1920" s="130" t="inlineStr">
        <is>
          <t>АЗС</t>
        </is>
      </c>
      <c r="G1920" s="130" t="inlineStr">
        <is>
          <t>Лукойл</t>
        </is>
      </c>
      <c r="H1920" s="131" t="n"/>
      <c r="I1920" s="637" t="n">
        <v>59009</v>
      </c>
      <c r="J1920" s="637" t="inlineStr">
        <is>
          <t>PRM_LUK_59009</t>
        </is>
      </c>
      <c r="K1920" s="640" t="n">
        <v>1</v>
      </c>
      <c r="L1920" s="640" t="n">
        <v>0</v>
      </c>
      <c r="M1920" s="640" t="inlineStr">
        <is>
          <t>Samsung 32" вертикальный</t>
        </is>
      </c>
      <c r="N1920" s="640" t="n"/>
      <c r="O1920" s="640">
        <f>IF(AND(N1920=1,L1920=1),K1920,"")</f>
        <v/>
      </c>
      <c r="P1920" s="642" t="inlineStr">
        <is>
          <t xml:space="preserve">г. Пермь, ул. Дзержинского, д. 48а   </t>
        </is>
      </c>
      <c r="Q1920" s="640" t="n">
        <v>58.006144</v>
      </c>
      <c r="R1920" s="422" t="n">
        <v>56.164585</v>
      </c>
      <c r="S1920" s="387" t="n"/>
      <c r="T1920" s="387" t="n"/>
      <c r="U1920" s="436" t="n"/>
      <c r="V1920" s="387" t="n"/>
      <c r="W1920" s="387" t="n"/>
      <c r="X1920" s="1" t="n"/>
      <c r="Y1920" s="1" t="n"/>
    </row>
    <row r="1921" hidden="1" ht="16.05" customFormat="1" customHeight="1" s="126">
      <c r="A1921" s="125" t="n">
        <v>2539</v>
      </c>
      <c r="B1921" s="125" t="n"/>
      <c r="C1921" s="130" t="inlineStr">
        <is>
          <t>Пермь</t>
        </is>
      </c>
      <c r="D1921" s="130" t="inlineStr">
        <is>
          <t>Пермь</t>
        </is>
      </c>
      <c r="E1921" s="130" t="n"/>
      <c r="F1921" s="130" t="inlineStr">
        <is>
          <t>АЗС</t>
        </is>
      </c>
      <c r="G1921" s="130" t="inlineStr">
        <is>
          <t>Лукойл</t>
        </is>
      </c>
      <c r="H1921" s="131" t="n"/>
      <c r="I1921" s="637" t="n">
        <v>59012</v>
      </c>
      <c r="J1921" s="637" t="inlineStr">
        <is>
          <t>PRM_LUK_59012</t>
        </is>
      </c>
      <c r="K1921" s="640" t="n">
        <v>1</v>
      </c>
      <c r="L1921" s="640" t="n">
        <v>0</v>
      </c>
      <c r="M1921" s="640" t="inlineStr">
        <is>
          <t>Samsung 32" вертикальный</t>
        </is>
      </c>
      <c r="N1921" s="640" t="n"/>
      <c r="O1921" s="640">
        <f>IF(AND(N1921=1,L1921=1),K1921,"")</f>
        <v/>
      </c>
      <c r="P1921" s="642" t="inlineStr">
        <is>
          <t xml:space="preserve">г. Пермь, ул. Промышленная, д. 82   </t>
        </is>
      </c>
      <c r="Q1921" s="640" t="n">
        <v>57.933493</v>
      </c>
      <c r="R1921" s="422" t="n">
        <v>56.12178</v>
      </c>
      <c r="S1921" s="387" t="n"/>
      <c r="T1921" s="387" t="n"/>
      <c r="U1921" s="436" t="n"/>
      <c r="V1921" s="387" t="n"/>
      <c r="W1921" s="387" t="n"/>
      <c r="X1921" s="1" t="n"/>
      <c r="Y1921" s="1" t="n"/>
    </row>
    <row r="1922" hidden="1" ht="16.05" customFormat="1" customHeight="1" s="126">
      <c r="A1922" s="125" t="n">
        <v>2540</v>
      </c>
      <c r="B1922" s="125" t="n"/>
      <c r="C1922" s="130" t="inlineStr">
        <is>
          <t>Пермь</t>
        </is>
      </c>
      <c r="D1922" s="130" t="inlineStr">
        <is>
          <t>Пермь</t>
        </is>
      </c>
      <c r="E1922" s="130" t="n"/>
      <c r="F1922" s="130" t="inlineStr">
        <is>
          <t>АЗС</t>
        </is>
      </c>
      <c r="G1922" s="130" t="inlineStr">
        <is>
          <t>Лукойл</t>
        </is>
      </c>
      <c r="H1922" s="131" t="n"/>
      <c r="I1922" s="637" t="n">
        <v>59016</v>
      </c>
      <c r="J1922" s="637" t="inlineStr">
        <is>
          <t>PRM_LUK_59016</t>
        </is>
      </c>
      <c r="K1922" s="640" t="n">
        <v>1</v>
      </c>
      <c r="L1922" s="640" t="n">
        <v>0</v>
      </c>
      <c r="M1922" s="640" t="inlineStr">
        <is>
          <t>Samsung 32" вертикальный</t>
        </is>
      </c>
      <c r="N1922" s="640" t="n"/>
      <c r="O1922" s="640">
        <f>IF(AND(N1922=1,L1922=1),K1922,"")</f>
        <v/>
      </c>
      <c r="P1922" s="642" t="inlineStr">
        <is>
          <t xml:space="preserve">г. Пермь, ул. Братская, д. 104   </t>
        </is>
      </c>
      <c r="Q1922" s="640" t="n">
        <v>57.975441</v>
      </c>
      <c r="R1922" s="422" t="n">
        <v>56.329659</v>
      </c>
      <c r="S1922" s="387" t="n"/>
      <c r="T1922" s="387" t="n"/>
      <c r="U1922" s="436" t="n"/>
      <c r="V1922" s="387" t="n"/>
      <c r="W1922" s="387" t="n"/>
      <c r="X1922" s="1" t="n"/>
      <c r="Y1922" s="1" t="n"/>
    </row>
    <row r="1923" hidden="1" ht="16.05" customFormat="1" customHeight="1" s="126">
      <c r="A1923" s="125" t="n">
        <v>2541</v>
      </c>
      <c r="B1923" s="125" t="n"/>
      <c r="C1923" s="130" t="inlineStr">
        <is>
          <t>Пермь</t>
        </is>
      </c>
      <c r="D1923" s="130" t="inlineStr">
        <is>
          <t>Пермь</t>
        </is>
      </c>
      <c r="E1923" s="130" t="n"/>
      <c r="F1923" s="130" t="inlineStr">
        <is>
          <t>АЗС</t>
        </is>
      </c>
      <c r="G1923" s="130" t="inlineStr">
        <is>
          <t>Лукойл</t>
        </is>
      </c>
      <c r="H1923" s="131" t="n"/>
      <c r="I1923" s="637" t="n">
        <v>59019</v>
      </c>
      <c r="J1923" s="637" t="inlineStr">
        <is>
          <t>PRM_LUK_59019</t>
        </is>
      </c>
      <c r="K1923" s="640" t="n">
        <v>1</v>
      </c>
      <c r="L1923" s="640" t="n">
        <v>0</v>
      </c>
      <c r="M1923" s="640" t="inlineStr">
        <is>
          <t>Samsung 32" вертикальный</t>
        </is>
      </c>
      <c r="N1923" s="640" t="n"/>
      <c r="O1923" s="640">
        <f>IF(AND(N1923=1,L1923=1),K1923,"")</f>
        <v/>
      </c>
      <c r="P1923" s="642" t="inlineStr">
        <is>
          <t xml:space="preserve">г. Пермь, ул. Свиязева, д. 11    </t>
        </is>
      </c>
      <c r="Q1923" s="640" t="n">
        <v>57.962801</v>
      </c>
      <c r="R1923" s="422" t="n">
        <v>56.197248</v>
      </c>
      <c r="S1923" s="387" t="n"/>
      <c r="T1923" s="387" t="n"/>
      <c r="U1923" s="436" t="n"/>
      <c r="V1923" s="387" t="n"/>
      <c r="W1923" s="387" t="n"/>
      <c r="X1923" s="1" t="n"/>
      <c r="Y1923" s="1" t="n"/>
    </row>
    <row r="1924" hidden="1" ht="16.05" customFormat="1" customHeight="1" s="126">
      <c r="A1924" s="125" t="n">
        <v>2542</v>
      </c>
      <c r="B1924" s="125" t="n"/>
      <c r="C1924" s="130" t="inlineStr">
        <is>
          <t>Пермь</t>
        </is>
      </c>
      <c r="D1924" s="130" t="inlineStr">
        <is>
          <t>Пермь</t>
        </is>
      </c>
      <c r="E1924" s="130" t="n"/>
      <c r="F1924" s="130" t="inlineStr">
        <is>
          <t>АЗС</t>
        </is>
      </c>
      <c r="G1924" s="130" t="inlineStr">
        <is>
          <t>Лукойл</t>
        </is>
      </c>
      <c r="H1924" s="131" t="n"/>
      <c r="I1924" s="637" t="n">
        <v>59031</v>
      </c>
      <c r="J1924" s="637" t="inlineStr">
        <is>
          <t>PRM_LUK_59031</t>
        </is>
      </c>
      <c r="K1924" s="640" t="n">
        <v>1</v>
      </c>
      <c r="L1924" s="640" t="n">
        <v>0</v>
      </c>
      <c r="M1924" s="640" t="inlineStr">
        <is>
          <t>Samsung 32" вертикальный</t>
        </is>
      </c>
      <c r="N1924" s="640" t="n"/>
      <c r="O1924" s="640">
        <f>IF(AND(N1924=1,L1924=1),K1924,"")</f>
        <v/>
      </c>
      <c r="P1924" s="642" t="inlineStr">
        <is>
          <t xml:space="preserve">г. Пермь, ул. Пожарная, д. 20    </t>
        </is>
      </c>
      <c r="Q1924" s="640" t="n">
        <v>57.99943</v>
      </c>
      <c r="R1924" s="422" t="n">
        <v>56.116624</v>
      </c>
      <c r="S1924" s="387" t="n"/>
      <c r="T1924" s="387" t="n"/>
      <c r="U1924" s="436" t="n"/>
      <c r="V1924" s="387" t="n"/>
      <c r="W1924" s="387" t="n"/>
      <c r="X1924" s="1" t="n"/>
      <c r="Y1924" s="1" t="n"/>
    </row>
    <row r="1925" hidden="1" ht="16.05" customHeight="1">
      <c r="A1925" s="791" t="n">
        <v>2543</v>
      </c>
      <c r="B1925" s="13">
        <f>IF(OR(M1925="Sam 32",M1925="Sam 40"),"s",IF(M1925="AMS","a","v"))</f>
        <v/>
      </c>
      <c r="C1925" s="130" t="inlineStr">
        <is>
          <t>Пермь</t>
        </is>
      </c>
      <c r="D1925" s="130" t="inlineStr">
        <is>
          <t>Пермь</t>
        </is>
      </c>
      <c r="E1925" s="130" t="n"/>
      <c r="F1925" s="130" t="n"/>
      <c r="G1925" s="130" t="inlineStr">
        <is>
          <t>Лукойл</t>
        </is>
      </c>
      <c r="H1925" s="131" t="n"/>
      <c r="I1925" s="637" t="n">
        <v>59033</v>
      </c>
      <c r="J1925" s="402" t="n"/>
      <c r="K1925" s="640" t="n">
        <v>1</v>
      </c>
      <c r="L1925" s="640" t="n">
        <v>0</v>
      </c>
      <c r="M1925" s="640" t="inlineStr">
        <is>
          <t>Sam 32</t>
        </is>
      </c>
      <c r="N1925" s="640" t="n"/>
      <c r="O1925" s="640">
        <f>IF(AND(N1925=1,L1925=1),K1925,"")</f>
        <v/>
      </c>
      <c r="P1925" s="642" t="inlineStr">
        <is>
          <t xml:space="preserve">г. Пермь, ул. Блочная, д. 23    </t>
        </is>
      </c>
      <c r="Q1925" s="640" t="inlineStr">
        <is>
          <t>Установка до 1 июня</t>
        </is>
      </c>
      <c r="R1925" s="422" t="n"/>
      <c r="U1925" s="436" t="n"/>
      <c r="X1925" s="1" t="n"/>
      <c r="Y1925" s="1" t="n"/>
      <c r="Z1925" s="1" t="n"/>
    </row>
    <row r="1926" hidden="1" ht="16.05" customFormat="1" customHeight="1" s="126">
      <c r="A1926" s="125" t="n">
        <v>2544</v>
      </c>
      <c r="B1926" s="125" t="n"/>
      <c r="C1926" s="130" t="inlineStr">
        <is>
          <t>Пермь</t>
        </is>
      </c>
      <c r="D1926" s="130" t="inlineStr">
        <is>
          <t>Пермь</t>
        </is>
      </c>
      <c r="E1926" s="130" t="n"/>
      <c r="F1926" s="130" t="inlineStr">
        <is>
          <t>АЗС</t>
        </is>
      </c>
      <c r="G1926" s="130" t="inlineStr">
        <is>
          <t>Лукойл</t>
        </is>
      </c>
      <c r="H1926" s="131" t="n"/>
      <c r="I1926" s="637" t="n">
        <v>59040</v>
      </c>
      <c r="J1926" s="637" t="inlineStr">
        <is>
          <t>PRM_LUK_59040</t>
        </is>
      </c>
      <c r="K1926" s="640" t="n">
        <v>1</v>
      </c>
      <c r="L1926" s="640" t="n">
        <v>0</v>
      </c>
      <c r="M1926" s="640" t="inlineStr">
        <is>
          <t>Samsung 32" вертикальный</t>
        </is>
      </c>
      <c r="N1926" s="640" t="n"/>
      <c r="O1926" s="640">
        <f>IF(AND(N1926=1,L1926=1),K1926,"")</f>
        <v/>
      </c>
      <c r="P1926" s="642" t="inlineStr">
        <is>
          <t xml:space="preserve">г. Пермь, Индустриальный р-н, ул. Верхне-Муллинская, д. 140а   </t>
        </is>
      </c>
      <c r="Q1926" s="640" t="n">
        <v>57.941444</v>
      </c>
      <c r="R1926" s="422" t="n">
        <v>56.14131</v>
      </c>
      <c r="S1926" s="387" t="n"/>
      <c r="T1926" s="387" t="n"/>
      <c r="U1926" s="436" t="n"/>
      <c r="V1926" s="387" t="n"/>
      <c r="W1926" s="387" t="n"/>
      <c r="X1926" s="1" t="n"/>
      <c r="Y1926" s="1" t="n"/>
    </row>
    <row r="1927" hidden="1" ht="16.05" customFormat="1" customHeight="1" s="126">
      <c r="A1927" s="125" t="n">
        <v>2545</v>
      </c>
      <c r="B1927" s="125" t="n"/>
      <c r="C1927" s="130" t="inlineStr">
        <is>
          <t>Пермь</t>
        </is>
      </c>
      <c r="D1927" s="130" t="inlineStr">
        <is>
          <t>Пермь</t>
        </is>
      </c>
      <c r="E1927" s="130" t="n"/>
      <c r="F1927" s="130" t="inlineStr">
        <is>
          <t>АЗС</t>
        </is>
      </c>
      <c r="G1927" s="130" t="inlineStr">
        <is>
          <t>Лукойл</t>
        </is>
      </c>
      <c r="H1927" s="131" t="n"/>
      <c r="I1927" s="637" t="n">
        <v>59045</v>
      </c>
      <c r="J1927" s="637" t="inlineStr">
        <is>
          <t>PRM_LUK_59045</t>
        </is>
      </c>
      <c r="K1927" s="640" t="n">
        <v>1</v>
      </c>
      <c r="L1927" s="640" t="n">
        <v>0</v>
      </c>
      <c r="M1927" s="640" t="inlineStr">
        <is>
          <t>Samsung 32" вертикальный</t>
        </is>
      </c>
      <c r="N1927" s="640" t="n"/>
      <c r="O1927" s="640">
        <f>IF(AND(N1927=1,L1927=1),K1927,"")</f>
        <v/>
      </c>
      <c r="P1927" s="642" t="inlineStr">
        <is>
          <t xml:space="preserve">г. Пермь, ш. Космонавтов, уч. 164   </t>
        </is>
      </c>
      <c r="Q1927" s="640" t="n">
        <v>57.96778</v>
      </c>
      <c r="R1927" s="422" t="n">
        <v>56.147607</v>
      </c>
      <c r="S1927" s="387" t="n"/>
      <c r="T1927" s="387" t="n"/>
      <c r="U1927" s="436" t="n"/>
      <c r="V1927" s="387" t="n"/>
      <c r="W1927" s="387" t="n"/>
      <c r="X1927" s="1" t="n"/>
      <c r="Y1927" s="1" t="n"/>
    </row>
    <row r="1928" hidden="1" ht="16.05" customFormat="1" customHeight="1" s="126">
      <c r="A1928" s="125" t="n">
        <v>2546</v>
      </c>
      <c r="B1928" s="125" t="n"/>
      <c r="C1928" s="130" t="inlineStr">
        <is>
          <t>Пермь</t>
        </is>
      </c>
      <c r="D1928" s="130" t="inlineStr">
        <is>
          <t>Пермь</t>
        </is>
      </c>
      <c r="E1928" s="130" t="n"/>
      <c r="F1928" s="130" t="inlineStr">
        <is>
          <t>АЗС</t>
        </is>
      </c>
      <c r="G1928" s="130" t="inlineStr">
        <is>
          <t>Лукойл</t>
        </is>
      </c>
      <c r="H1928" s="131" t="n"/>
      <c r="I1928" s="637" t="n">
        <v>59047</v>
      </c>
      <c r="J1928" s="637" t="inlineStr">
        <is>
          <t>PRM_LUK_59047</t>
        </is>
      </c>
      <c r="K1928" s="640" t="n">
        <v>1</v>
      </c>
      <c r="L1928" s="640" t="n">
        <v>0</v>
      </c>
      <c r="M1928" s="640" t="inlineStr">
        <is>
          <t>Samsung 32" вертикальный</t>
        </is>
      </c>
      <c r="N1928" s="640" t="n"/>
      <c r="O1928" s="640">
        <f>IF(AND(N1928=1,L1928=1),K1928,"")</f>
        <v/>
      </c>
      <c r="P1928" s="642" t="inlineStr">
        <is>
          <t xml:space="preserve">г. Пермь, ул. Докучаева, д. 29    </t>
        </is>
      </c>
      <c r="Q1928" s="640" t="n">
        <v>58.037255</v>
      </c>
      <c r="R1928" s="422" t="n">
        <v>56.145684</v>
      </c>
      <c r="S1928" s="387" t="n"/>
      <c r="T1928" s="387" t="n"/>
      <c r="U1928" s="436" t="n"/>
      <c r="V1928" s="387" t="n"/>
      <c r="W1928" s="387" t="n"/>
      <c r="X1928" s="1" t="n"/>
      <c r="Y1928" s="1" t="n"/>
    </row>
    <row r="1929" hidden="1" ht="16.05" customFormat="1" customHeight="1" s="126">
      <c r="A1929" s="125" t="n">
        <v>2547</v>
      </c>
      <c r="B1929" s="125" t="n"/>
      <c r="C1929" s="130" t="inlineStr">
        <is>
          <t>Пермь</t>
        </is>
      </c>
      <c r="D1929" s="130" t="inlineStr">
        <is>
          <t>Пермь</t>
        </is>
      </c>
      <c r="E1929" s="130" t="n"/>
      <c r="F1929" s="130" t="inlineStr">
        <is>
          <t>АЗС</t>
        </is>
      </c>
      <c r="G1929" s="130" t="inlineStr">
        <is>
          <t>Лукойл</t>
        </is>
      </c>
      <c r="H1929" s="131" t="n"/>
      <c r="I1929" s="637" t="n">
        <v>59059</v>
      </c>
      <c r="J1929" s="637" t="inlineStr">
        <is>
          <t>PRM_LUK_59059</t>
        </is>
      </c>
      <c r="K1929" s="640" t="n">
        <v>1</v>
      </c>
      <c r="L1929" s="640" t="n">
        <v>0</v>
      </c>
      <c r="M1929" s="640" t="inlineStr">
        <is>
          <t>Samsung 32" вертикальный</t>
        </is>
      </c>
      <c r="N1929" s="640" t="n"/>
      <c r="O1929" s="640">
        <f>IF(AND(N1929=1,L1929=1),K1929,"")</f>
        <v/>
      </c>
      <c r="P1929" s="642" t="inlineStr">
        <is>
          <t xml:space="preserve">г. Пермь, ул. Цимлянская, д.13   </t>
        </is>
      </c>
      <c r="Q1929" s="640" t="n">
        <v>58.131826</v>
      </c>
      <c r="R1929" s="422" t="n">
        <v>56.394051</v>
      </c>
      <c r="S1929" s="387" t="n"/>
      <c r="T1929" s="387" t="n"/>
      <c r="U1929" s="436" t="n"/>
      <c r="V1929" s="387" t="n"/>
      <c r="W1929" s="387" t="n"/>
      <c r="X1929" s="1" t="n"/>
      <c r="Y1929" s="1" t="n"/>
    </row>
    <row r="1930" hidden="1" ht="16.05" customFormat="1" customHeight="1" s="126">
      <c r="A1930" s="125" t="n">
        <v>2548</v>
      </c>
      <c r="B1930" s="125" t="n"/>
      <c r="C1930" s="130" t="inlineStr">
        <is>
          <t>Пермь</t>
        </is>
      </c>
      <c r="D1930" s="130" t="inlineStr">
        <is>
          <t>Пермь</t>
        </is>
      </c>
      <c r="E1930" s="130" t="n"/>
      <c r="F1930" s="130" t="inlineStr">
        <is>
          <t>АЗС</t>
        </is>
      </c>
      <c r="G1930" s="130" t="inlineStr">
        <is>
          <t>Лукойл</t>
        </is>
      </c>
      <c r="H1930" s="131" t="n"/>
      <c r="I1930" s="637" t="n">
        <v>59071</v>
      </c>
      <c r="J1930" s="637" t="inlineStr">
        <is>
          <t>PRM_LUK_59071</t>
        </is>
      </c>
      <c r="K1930" s="640" t="n">
        <v>1</v>
      </c>
      <c r="L1930" s="640" t="n">
        <v>0</v>
      </c>
      <c r="M1930" s="640" t="inlineStr">
        <is>
          <t>Samsung 32" вертикальный</t>
        </is>
      </c>
      <c r="N1930" s="640" t="n"/>
      <c r="O1930" s="640">
        <f>IF(AND(N1930=1,L1930=1),K1930,"")</f>
        <v/>
      </c>
      <c r="P1930" s="642" t="inlineStr">
        <is>
          <t xml:space="preserve">г. Пермь, д. Хмели, ш. Космонавтов, 318   </t>
        </is>
      </c>
      <c r="Q1930" s="640" t="n">
        <v>57.95209</v>
      </c>
      <c r="R1930" s="422" t="n">
        <v>56.105027</v>
      </c>
      <c r="S1930" s="387" t="n"/>
      <c r="T1930" s="387" t="n"/>
      <c r="U1930" s="436" t="n"/>
      <c r="V1930" s="387" t="n"/>
      <c r="W1930" s="387" t="n"/>
      <c r="X1930" s="1" t="n"/>
      <c r="Y1930" s="1" t="n"/>
    </row>
    <row r="1931" hidden="1" ht="16.05" customFormat="1" customHeight="1" s="126">
      <c r="A1931" s="125" t="n">
        <v>2549</v>
      </c>
      <c r="B1931" s="125" t="n"/>
      <c r="C1931" s="130" t="inlineStr">
        <is>
          <t>Пермь</t>
        </is>
      </c>
      <c r="D1931" s="130" t="inlineStr">
        <is>
          <t>Пермь</t>
        </is>
      </c>
      <c r="E1931" s="130" t="n"/>
      <c r="F1931" s="130" t="inlineStr">
        <is>
          <t>АЗС</t>
        </is>
      </c>
      <c r="G1931" s="130" t="inlineStr">
        <is>
          <t>Лукойл</t>
        </is>
      </c>
      <c r="H1931" s="131" t="n"/>
      <c r="I1931" s="637" t="n">
        <v>59073</v>
      </c>
      <c r="J1931" s="637" t="inlineStr">
        <is>
          <t>PRM_LUK_59073</t>
        </is>
      </c>
      <c r="K1931" s="640" t="n">
        <v>1</v>
      </c>
      <c r="L1931" s="640" t="n">
        <v>0</v>
      </c>
      <c r="M1931" s="640" t="inlineStr">
        <is>
          <t>Samsung 32" вертикальный</t>
        </is>
      </c>
      <c r="N1931" s="640" t="n"/>
      <c r="O1931" s="640">
        <f>IF(AND(N1931=1,L1931=1),K1931,"")</f>
        <v/>
      </c>
      <c r="P1931" s="642" t="inlineStr">
        <is>
          <t xml:space="preserve">г. Пермь, Мотовилихинский р-н, северо-западнее Восточного обхода, 91   </t>
        </is>
      </c>
      <c r="Q1931" s="640" t="n">
        <v>58.043673</v>
      </c>
      <c r="R1931" s="422" t="n">
        <v>56.417942</v>
      </c>
      <c r="S1931" s="387" t="n"/>
      <c r="T1931" s="387" t="n"/>
      <c r="U1931" s="436" t="n"/>
      <c r="V1931" s="387" t="n"/>
      <c r="W1931" s="387" t="n"/>
      <c r="X1931" s="1" t="n"/>
      <c r="Y1931" s="1" t="n"/>
    </row>
    <row r="1932" hidden="1" ht="16.05" customFormat="1" customHeight="1" s="126">
      <c r="A1932" s="125" t="n">
        <v>2550</v>
      </c>
      <c r="B1932" s="125" t="n"/>
      <c r="C1932" s="130" t="inlineStr">
        <is>
          <t>Пермь</t>
        </is>
      </c>
      <c r="D1932" s="130" t="inlineStr">
        <is>
          <t>Пермь</t>
        </is>
      </c>
      <c r="E1932" s="130" t="n"/>
      <c r="F1932" s="130" t="inlineStr">
        <is>
          <t>АЗС</t>
        </is>
      </c>
      <c r="G1932" s="130" t="inlineStr">
        <is>
          <t>Лукойл</t>
        </is>
      </c>
      <c r="H1932" s="131" t="n"/>
      <c r="I1932" s="637" t="n">
        <v>59075</v>
      </c>
      <c r="J1932" s="637" t="inlineStr">
        <is>
          <t>PRM_LUK_59075</t>
        </is>
      </c>
      <c r="K1932" s="640" t="n">
        <v>1</v>
      </c>
      <c r="L1932" s="640" t="n">
        <v>0</v>
      </c>
      <c r="M1932" s="640" t="inlineStr">
        <is>
          <t>Samsung 32" вертикальный</t>
        </is>
      </c>
      <c r="N1932" s="640" t="n"/>
      <c r="O1932" s="640">
        <f>IF(AND(N1932=1,L1932=1),K1932,"")</f>
        <v/>
      </c>
      <c r="P1932" s="642" t="inlineStr">
        <is>
          <t xml:space="preserve">г. Пермь, ул. Старцева, 140    </t>
        </is>
      </c>
      <c r="Q1932" s="640" t="n">
        <v>57.987027</v>
      </c>
      <c r="R1932" s="422" t="n">
        <v>56.29417</v>
      </c>
      <c r="S1932" s="387" t="n"/>
      <c r="T1932" s="387" t="n"/>
      <c r="U1932" s="436" t="n"/>
      <c r="V1932" s="387" t="n"/>
      <c r="W1932" s="387" t="n"/>
      <c r="X1932" s="1" t="n"/>
      <c r="Y1932" s="1" t="n"/>
    </row>
    <row r="1933" hidden="1" ht="16.05" customFormat="1" customHeight="1" s="126">
      <c r="A1933" s="125" t="n">
        <v>2551</v>
      </c>
      <c r="B1933" s="125" t="n"/>
      <c r="C1933" s="130" t="inlineStr">
        <is>
          <t>Пермь</t>
        </is>
      </c>
      <c r="D1933" s="130" t="inlineStr">
        <is>
          <t>Пермь</t>
        </is>
      </c>
      <c r="E1933" s="130" t="n"/>
      <c r="F1933" s="130" t="inlineStr">
        <is>
          <t>АЗС</t>
        </is>
      </c>
      <c r="G1933" s="130" t="inlineStr">
        <is>
          <t>Лукойл</t>
        </is>
      </c>
      <c r="H1933" s="131" t="n"/>
      <c r="I1933" s="637" t="n">
        <v>59076</v>
      </c>
      <c r="J1933" s="637" t="inlineStr">
        <is>
          <t>PRM_LUK_59076</t>
        </is>
      </c>
      <c r="K1933" s="640" t="n">
        <v>1</v>
      </c>
      <c r="L1933" s="640" t="n">
        <v>0</v>
      </c>
      <c r="M1933" s="640" t="inlineStr">
        <is>
          <t>Samsung 32" вертикальный</t>
        </is>
      </c>
      <c r="N1933" s="640" t="n"/>
      <c r="O1933" s="640">
        <f>IF(AND(N1933=1,L1933=1),K1933,"")</f>
        <v/>
      </c>
      <c r="P1933" s="642" t="inlineStr">
        <is>
          <t xml:space="preserve">г. Пермь, ул. Лянгасова, 135    </t>
        </is>
      </c>
      <c r="Q1933" s="640" t="n">
        <v>58.099014</v>
      </c>
      <c r="R1933" s="422" t="n">
        <v>56.385238</v>
      </c>
      <c r="S1933" s="387" t="n"/>
      <c r="T1933" s="387" t="n"/>
      <c r="U1933" s="436" t="n"/>
      <c r="V1933" s="387" t="n"/>
      <c r="W1933" s="387" t="n"/>
      <c r="X1933" s="1" t="n"/>
      <c r="Y1933" s="1" t="n"/>
    </row>
    <row r="1934" hidden="1" ht="16.05" customFormat="1" customHeight="1" s="126">
      <c r="A1934" s="125" t="n">
        <v>2552</v>
      </c>
      <c r="B1934" s="125" t="n"/>
      <c r="C1934" s="130" t="inlineStr">
        <is>
          <t>Пермь</t>
        </is>
      </c>
      <c r="D1934" s="130" t="inlineStr">
        <is>
          <t>Пермь</t>
        </is>
      </c>
      <c r="E1934" s="130" t="n"/>
      <c r="F1934" s="130" t="inlineStr">
        <is>
          <t>АЗС</t>
        </is>
      </c>
      <c r="G1934" s="130" t="inlineStr">
        <is>
          <t>Лукойл</t>
        </is>
      </c>
      <c r="H1934" s="131" t="n"/>
      <c r="I1934" s="637" t="n">
        <v>59094</v>
      </c>
      <c r="J1934" s="637" t="inlineStr">
        <is>
          <t>PRM_LUK_59094</t>
        </is>
      </c>
      <c r="K1934" s="640" t="n">
        <v>1</v>
      </c>
      <c r="L1934" s="640" t="n">
        <v>0</v>
      </c>
      <c r="M1934" s="640" t="inlineStr">
        <is>
          <t>Samsung 32" вертикальный</t>
        </is>
      </c>
      <c r="N1934" s="640" t="n"/>
      <c r="O1934" s="640">
        <f>IF(AND(N1934=1,L1934=1),K1934,"")</f>
        <v/>
      </c>
      <c r="P1934" s="642" t="inlineStr">
        <is>
          <t xml:space="preserve">г. Пермь, Кировский р-н, ул.Сивашская, д. 14   </t>
        </is>
      </c>
      <c r="Q1934" s="640" t="n">
        <v>58.005358</v>
      </c>
      <c r="R1934" s="422" t="n">
        <v>55.913173</v>
      </c>
      <c r="S1934" s="387" t="n"/>
      <c r="T1934" s="387" t="n"/>
      <c r="U1934" s="436" t="n"/>
      <c r="V1934" s="387" t="n"/>
      <c r="W1934" s="387" t="n"/>
      <c r="X1934" s="1" t="n"/>
      <c r="Y1934" s="1" t="n"/>
    </row>
    <row r="1935" hidden="1" ht="16.05" customFormat="1" customHeight="1" s="126">
      <c r="A1935" s="125" t="n">
        <v>2553</v>
      </c>
      <c r="B1935" s="125" t="n"/>
      <c r="C1935" s="130" t="inlineStr">
        <is>
          <t>Пермь</t>
        </is>
      </c>
      <c r="D1935" s="130" t="inlineStr">
        <is>
          <t>Пермь</t>
        </is>
      </c>
      <c r="E1935" s="130" t="n"/>
      <c r="F1935" s="130" t="inlineStr">
        <is>
          <t>АЗС</t>
        </is>
      </c>
      <c r="G1935" s="130" t="inlineStr">
        <is>
          <t>Лукойл</t>
        </is>
      </c>
      <c r="H1935" s="131" t="n"/>
      <c r="I1935" s="637" t="n">
        <v>59113</v>
      </c>
      <c r="J1935" s="637" t="inlineStr">
        <is>
          <t>PRM_LUK_59113</t>
        </is>
      </c>
      <c r="K1935" s="640" t="n">
        <v>1</v>
      </c>
      <c r="L1935" s="640" t="n">
        <v>0</v>
      </c>
      <c r="M1935" s="640" t="inlineStr">
        <is>
          <t>Samsung 32" вертикальный</t>
        </is>
      </c>
      <c r="N1935" s="640" t="n"/>
      <c r="O1935" s="640">
        <f>IF(AND(N1935=1,L1935=1),K1935,"")</f>
        <v/>
      </c>
      <c r="P1935" s="642" t="inlineStr">
        <is>
          <t xml:space="preserve">г. Пермь, ул. Верхнемуллинская, 151   </t>
        </is>
      </c>
      <c r="Q1935" s="640" t="n">
        <v>57.937421</v>
      </c>
      <c r="R1935" s="422" t="n">
        <v>56.159429</v>
      </c>
      <c r="S1935" s="387" t="n"/>
      <c r="T1935" s="387" t="n"/>
      <c r="U1935" s="436" t="n"/>
      <c r="V1935" s="387" t="n"/>
      <c r="W1935" s="387" t="n"/>
      <c r="X1935" s="1" t="n"/>
      <c r="Y1935" s="1" t="n"/>
    </row>
    <row r="1936" hidden="1" ht="16.05" customFormat="1" customHeight="1" s="126">
      <c r="A1936" s="125" t="n">
        <v>2554</v>
      </c>
      <c r="B1936" s="125" t="n"/>
      <c r="C1936" s="130" t="inlineStr">
        <is>
          <t>Пермь</t>
        </is>
      </c>
      <c r="D1936" s="130" t="inlineStr">
        <is>
          <t>Пермь</t>
        </is>
      </c>
      <c r="E1936" s="130" t="n"/>
      <c r="F1936" s="130" t="inlineStr">
        <is>
          <t>АЗС</t>
        </is>
      </c>
      <c r="G1936" s="130" t="inlineStr">
        <is>
          <t>Лукойл</t>
        </is>
      </c>
      <c r="H1936" s="131" t="n"/>
      <c r="I1936" s="637" t="n">
        <v>59118</v>
      </c>
      <c r="J1936" s="637" t="inlineStr">
        <is>
          <t>PRM_LUK_59118</t>
        </is>
      </c>
      <c r="K1936" s="640" t="n">
        <v>1</v>
      </c>
      <c r="L1936" s="640" t="n">
        <v>0</v>
      </c>
      <c r="M1936" s="640" t="inlineStr">
        <is>
          <t>Samsung 32" вертикальный</t>
        </is>
      </c>
      <c r="N1936" s="640" t="n"/>
      <c r="O1936" s="640">
        <f>IF(AND(N1936=1,L1936=1),K1936,"")</f>
        <v/>
      </c>
      <c r="P1936" s="642" t="inlineStr">
        <is>
          <t xml:space="preserve"> г. Пермь, ш. Космонавтов, 393-а   </t>
        </is>
      </c>
      <c r="Q1936" s="640" t="n">
        <v>57.953346</v>
      </c>
      <c r="R1936" s="422" t="n">
        <v>56.116471</v>
      </c>
      <c r="S1936" s="387" t="n"/>
      <c r="T1936" s="387" t="n"/>
      <c r="U1936" s="436" t="n"/>
      <c r="V1936" s="387" t="n"/>
      <c r="W1936" s="387" t="n"/>
      <c r="X1936" s="1" t="n"/>
      <c r="Y1936" s="1" t="n"/>
    </row>
    <row r="1937" hidden="1" ht="16.05" customFormat="1" customHeight="1" s="126">
      <c r="A1937" s="125" t="n">
        <v>2555</v>
      </c>
      <c r="B1937" s="125" t="n"/>
      <c r="C1937" s="130" t="inlineStr">
        <is>
          <t>Пермь</t>
        </is>
      </c>
      <c r="D1937" s="130" t="inlineStr">
        <is>
          <t>Пермь</t>
        </is>
      </c>
      <c r="E1937" s="130" t="n"/>
      <c r="F1937" s="130" t="inlineStr">
        <is>
          <t>АЗС</t>
        </is>
      </c>
      <c r="G1937" s="130" t="inlineStr">
        <is>
          <t>Лукойл</t>
        </is>
      </c>
      <c r="H1937" s="131" t="n"/>
      <c r="I1937" s="637" t="n">
        <v>59122</v>
      </c>
      <c r="J1937" s="637" t="inlineStr">
        <is>
          <t>PRM_LUK_59122</t>
        </is>
      </c>
      <c r="K1937" s="640" t="n">
        <v>1</v>
      </c>
      <c r="L1937" s="640" t="n">
        <v>0</v>
      </c>
      <c r="M1937" s="640" t="inlineStr">
        <is>
          <t>Samsung 32" вертикальный</t>
        </is>
      </c>
      <c r="N1937" s="640" t="n"/>
      <c r="O1937" s="640">
        <f>IF(AND(N1937=1,L1937=1),K1937,"")</f>
        <v/>
      </c>
      <c r="P1937" s="642" t="inlineStr">
        <is>
          <t xml:space="preserve">г. Пермь, ул. Героев Хасана,76а   </t>
        </is>
      </c>
      <c r="Q1937" s="640" t="n">
        <v>57.957496</v>
      </c>
      <c r="R1937" s="422" t="n">
        <v>56.263795</v>
      </c>
      <c r="S1937" s="387" t="n"/>
      <c r="T1937" s="387" t="n"/>
      <c r="U1937" s="436" t="n"/>
      <c r="V1937" s="387" t="n"/>
      <c r="W1937" s="387" t="n"/>
      <c r="X1937" s="1" t="n"/>
      <c r="Y1937" s="1" t="n"/>
    </row>
    <row r="1938" hidden="1" ht="16.05" customFormat="1" customHeight="1" s="126">
      <c r="A1938" s="125" t="n">
        <v>2556</v>
      </c>
      <c r="B1938" s="125" t="n"/>
      <c r="C1938" s="130" t="inlineStr">
        <is>
          <t>Пермь</t>
        </is>
      </c>
      <c r="D1938" s="130" t="inlineStr">
        <is>
          <t>Пермь</t>
        </is>
      </c>
      <c r="E1938" s="130" t="n"/>
      <c r="F1938" s="130" t="inlineStr">
        <is>
          <t>АЗС</t>
        </is>
      </c>
      <c r="G1938" s="130" t="inlineStr">
        <is>
          <t>Лукойл</t>
        </is>
      </c>
      <c r="H1938" s="131" t="n"/>
      <c r="I1938" s="637" t="n">
        <v>59123</v>
      </c>
      <c r="J1938" s="637" t="inlineStr">
        <is>
          <t>PRM_LUK_59123</t>
        </is>
      </c>
      <c r="K1938" s="640" t="n">
        <v>1</v>
      </c>
      <c r="L1938" s="640" t="n">
        <v>0</v>
      </c>
      <c r="M1938" s="640" t="inlineStr">
        <is>
          <t>Samsung 32" вертикальный</t>
        </is>
      </c>
      <c r="N1938" s="640" t="n"/>
      <c r="O1938" s="640">
        <f>IF(AND(N1938=1,L1938=1),K1938,"")</f>
        <v/>
      </c>
      <c r="P1938" s="642" t="inlineStr">
        <is>
          <t xml:space="preserve">г. Пермь, ул. Екатерининская, квартал 225   </t>
        </is>
      </c>
      <c r="Q1938" s="640" t="n">
        <v>58.002834</v>
      </c>
      <c r="R1938" s="422" t="n">
        <v>56.1965</v>
      </c>
      <c r="S1938" s="387" t="n"/>
      <c r="T1938" s="387" t="n"/>
      <c r="U1938" s="436" t="n"/>
      <c r="V1938" s="387" t="n"/>
      <c r="W1938" s="387" t="n"/>
      <c r="X1938" s="1" t="n"/>
      <c r="Y1938" s="1" t="n"/>
    </row>
    <row r="1939" hidden="1" ht="16.05" customFormat="1" customHeight="1" s="126">
      <c r="A1939" s="125" t="n">
        <v>2557</v>
      </c>
      <c r="B1939" s="125" t="n"/>
      <c r="C1939" s="130" t="inlineStr">
        <is>
          <t>Пермь</t>
        </is>
      </c>
      <c r="D1939" s="130" t="inlineStr">
        <is>
          <t>Пермь</t>
        </is>
      </c>
      <c r="E1939" s="130" t="n"/>
      <c r="F1939" s="130" t="inlineStr">
        <is>
          <t>АЗС</t>
        </is>
      </c>
      <c r="G1939" s="130" t="inlineStr">
        <is>
          <t>Лукойл</t>
        </is>
      </c>
      <c r="H1939" s="131" t="n"/>
      <c r="I1939" s="637" t="n">
        <v>59124</v>
      </c>
      <c r="J1939" s="402" t="inlineStr">
        <is>
          <t>PRM_LUK_59124</t>
        </is>
      </c>
      <c r="K1939" s="640" t="n">
        <v>1</v>
      </c>
      <c r="L1939" s="640" t="n">
        <v>0</v>
      </c>
      <c r="M1939" s="640" t="inlineStr">
        <is>
          <t>Sam 32</t>
        </is>
      </c>
      <c r="N1939" s="640" t="n"/>
      <c r="O1939" s="640">
        <f>IF(AND(N1939=1,L1939=1),K1939,"")</f>
        <v/>
      </c>
      <c r="P1939" s="642" t="inlineStr">
        <is>
          <t xml:space="preserve">г. Пермь, ул. Комбайнеров, д. 41   </t>
        </is>
      </c>
      <c r="Q1939" s="640" t="n">
        <v>57.975131</v>
      </c>
      <c r="R1939" s="422" t="n">
        <v>56.185893</v>
      </c>
      <c r="S1939" s="387" t="n"/>
      <c r="T1939" s="387" t="n"/>
      <c r="U1939" s="436" t="n"/>
      <c r="V1939" s="387" t="n"/>
      <c r="W1939" s="387" t="n"/>
      <c r="X1939" s="1" t="n"/>
      <c r="Y1939" s="1" t="n"/>
    </row>
    <row r="1940" hidden="1" ht="16.05" customFormat="1" customHeight="1" s="126">
      <c r="A1940" s="125" t="n">
        <v>2558</v>
      </c>
      <c r="B1940" s="125" t="n"/>
      <c r="C1940" s="130" t="inlineStr">
        <is>
          <t>Пермь</t>
        </is>
      </c>
      <c r="D1940" s="130" t="inlineStr">
        <is>
          <t>Пермь</t>
        </is>
      </c>
      <c r="E1940" s="130" t="n"/>
      <c r="F1940" s="130" t="inlineStr">
        <is>
          <t>АЗС</t>
        </is>
      </c>
      <c r="G1940" s="130" t="inlineStr">
        <is>
          <t>Лукойл</t>
        </is>
      </c>
      <c r="H1940" s="131" t="n"/>
      <c r="I1940" s="637" t="n">
        <v>59125</v>
      </c>
      <c r="J1940" s="637" t="inlineStr">
        <is>
          <t>PRM_LUK_59125</t>
        </is>
      </c>
      <c r="K1940" s="640" t="n">
        <v>1</v>
      </c>
      <c r="L1940" s="640" t="n">
        <v>0</v>
      </c>
      <c r="M1940" s="640" t="inlineStr">
        <is>
          <t>Samsung 32" вертикальный</t>
        </is>
      </c>
      <c r="N1940" s="640" t="n"/>
      <c r="O1940" s="640">
        <f>IF(AND(N1940=1,L1940=1),K1940,"")</f>
        <v/>
      </c>
      <c r="P1940" s="642" t="inlineStr">
        <is>
          <t xml:space="preserve">г. Пермь, ул. Спешилова, д. 106   </t>
        </is>
      </c>
      <c r="Q1940" s="640" t="n">
        <v>58.037288</v>
      </c>
      <c r="R1940" s="422" t="n">
        <v>56.196879</v>
      </c>
      <c r="S1940" s="387" t="n"/>
      <c r="T1940" s="387" t="n"/>
      <c r="U1940" s="436" t="n"/>
      <c r="V1940" s="387" t="n"/>
      <c r="W1940" s="387" t="n"/>
      <c r="X1940" s="1" t="n"/>
      <c r="Y1940" s="1" t="n"/>
    </row>
    <row r="1941" hidden="1" ht="16.05" customFormat="1" customHeight="1" s="126">
      <c r="A1941" s="125" t="n">
        <v>2559</v>
      </c>
      <c r="B1941" s="125" t="n"/>
      <c r="C1941" s="130" t="inlineStr">
        <is>
          <t>Пермь</t>
        </is>
      </c>
      <c r="D1941" s="130" t="inlineStr">
        <is>
          <t>Пермь</t>
        </is>
      </c>
      <c r="E1941" s="130" t="n"/>
      <c r="F1941" s="130" t="inlineStr">
        <is>
          <t>АЗС</t>
        </is>
      </c>
      <c r="G1941" s="130" t="inlineStr">
        <is>
          <t>Лукойл</t>
        </is>
      </c>
      <c r="H1941" s="131" t="n"/>
      <c r="I1941" s="637" t="n">
        <v>59127</v>
      </c>
      <c r="J1941" s="637" t="inlineStr">
        <is>
          <t>PRM_LUK_59127</t>
        </is>
      </c>
      <c r="K1941" s="640" t="n">
        <v>1</v>
      </c>
      <c r="L1941" s="640" t="n">
        <v>0</v>
      </c>
      <c r="M1941" s="640" t="inlineStr">
        <is>
          <t>Samsung 32" вертикальный</t>
        </is>
      </c>
      <c r="N1941" s="640" t="n"/>
      <c r="O1941" s="640">
        <f>IF(AND(N1941=1,L1941=1),K1941,"")</f>
        <v/>
      </c>
      <c r="P1941" s="642" t="inlineStr">
        <is>
          <t xml:space="preserve">г. Пермь, ул. Адмирала Ушакова  (Пермь, улица Адмирала Ушакова, 124)  </t>
        </is>
      </c>
      <c r="Q1941" s="640" t="n">
        <v>58.023535</v>
      </c>
      <c r="R1941" s="422" t="n">
        <v>55.994971</v>
      </c>
      <c r="S1941" s="387" t="n"/>
      <c r="T1941" s="387" t="n"/>
      <c r="U1941" s="436" t="n"/>
      <c r="V1941" s="387" t="n"/>
      <c r="W1941" s="387" t="n"/>
      <c r="X1941" s="1" t="n"/>
      <c r="Y1941" s="1" t="n"/>
    </row>
    <row r="1942" hidden="1" ht="16.05" customFormat="1" customHeight="1" s="126">
      <c r="A1942" s="125" t="n">
        <v>2560</v>
      </c>
      <c r="B1942" s="125" t="n"/>
      <c r="C1942" s="130" t="inlineStr">
        <is>
          <t>Пермь</t>
        </is>
      </c>
      <c r="D1942" s="130" t="inlineStr">
        <is>
          <t>Пермь</t>
        </is>
      </c>
      <c r="E1942" s="130" t="n"/>
      <c r="F1942" s="130" t="inlineStr">
        <is>
          <t>АЗС</t>
        </is>
      </c>
      <c r="G1942" s="130" t="inlineStr">
        <is>
          <t>Лукойл</t>
        </is>
      </c>
      <c r="H1942" s="131" t="n"/>
      <c r="I1942" s="637" t="n">
        <v>59149</v>
      </c>
      <c r="J1942" s="637" t="inlineStr">
        <is>
          <t>PRM_LUK_59149</t>
        </is>
      </c>
      <c r="K1942" s="640" t="n">
        <v>1</v>
      </c>
      <c r="L1942" s="640" t="n">
        <v>0</v>
      </c>
      <c r="M1942" s="640" t="inlineStr">
        <is>
          <t>Samsung 32" вертикальный</t>
        </is>
      </c>
      <c r="N1942" s="640" t="n"/>
      <c r="O1942" s="640">
        <f>IF(AND(N1942=1,L1942=1),K1942,"")</f>
        <v/>
      </c>
      <c r="P1942" s="642" t="inlineStr">
        <is>
          <t xml:space="preserve">г. Пермь, ул. Парковая, д. 16    </t>
        </is>
      </c>
      <c r="Q1942" s="640" t="n">
        <v>58.015842</v>
      </c>
      <c r="R1942" s="422" t="n">
        <v>56.264943</v>
      </c>
      <c r="S1942" s="387" t="n"/>
      <c r="T1942" s="387" t="n"/>
      <c r="U1942" s="436" t="n"/>
      <c r="V1942" s="387" t="n"/>
      <c r="W1942" s="387" t="n"/>
      <c r="X1942" s="1" t="n"/>
      <c r="Y1942" s="1" t="n"/>
    </row>
    <row r="1943" hidden="1" ht="16.05" customFormat="1" customHeight="1" s="126">
      <c r="A1943" s="125" t="n">
        <v>2561</v>
      </c>
      <c r="B1943" s="125" t="n"/>
      <c r="C1943" s="130" t="inlineStr">
        <is>
          <t>Пермь</t>
        </is>
      </c>
      <c r="D1943" s="130" t="inlineStr">
        <is>
          <t>Пермь</t>
        </is>
      </c>
      <c r="E1943" s="130" t="n"/>
      <c r="F1943" s="130" t="inlineStr">
        <is>
          <t>АЗС</t>
        </is>
      </c>
      <c r="G1943" s="130" t="inlineStr">
        <is>
          <t>Лукойл</t>
        </is>
      </c>
      <c r="H1943" s="131" t="n"/>
      <c r="I1943" s="637" t="n">
        <v>59150</v>
      </c>
      <c r="J1943" s="637" t="inlineStr">
        <is>
          <t>PRM_LUK_59150</t>
        </is>
      </c>
      <c r="K1943" s="640" t="n">
        <v>1</v>
      </c>
      <c r="L1943" s="640" t="n">
        <v>0</v>
      </c>
      <c r="M1943" s="640" t="inlineStr">
        <is>
          <t>Samsung 32" вертикальный</t>
        </is>
      </c>
      <c r="N1943" s="640" t="n"/>
      <c r="O1943" s="640">
        <f>IF(AND(N1943=1,L1943=1),K1943,"")</f>
        <v/>
      </c>
      <c r="P1943" s="642" t="inlineStr">
        <is>
          <t xml:space="preserve">г. Пермь, ул. Макаренко, д. 29   </t>
        </is>
      </c>
      <c r="Q1943" s="640" t="n">
        <v>58.00758</v>
      </c>
      <c r="R1943" s="422" t="n">
        <v>56.291948</v>
      </c>
      <c r="S1943" s="387" t="n"/>
      <c r="T1943" s="387" t="n"/>
      <c r="U1943" s="436" t="n"/>
      <c r="V1943" s="387" t="n"/>
      <c r="W1943" s="387" t="n"/>
      <c r="X1943" s="1" t="n"/>
      <c r="Y1943" s="1" t="n"/>
    </row>
    <row r="1944" hidden="1" ht="16.05" customFormat="1" customHeight="1" s="126">
      <c r="A1944" s="125" t="n">
        <v>2562</v>
      </c>
      <c r="B1944" s="125" t="n"/>
      <c r="C1944" s="130" t="inlineStr">
        <is>
          <t>Пермь</t>
        </is>
      </c>
      <c r="D1944" s="130" t="inlineStr">
        <is>
          <t>Пермь</t>
        </is>
      </c>
      <c r="E1944" s="130" t="n"/>
      <c r="F1944" s="130" t="inlineStr">
        <is>
          <t>АЗС</t>
        </is>
      </c>
      <c r="G1944" s="130" t="inlineStr">
        <is>
          <t>Лукойл</t>
        </is>
      </c>
      <c r="H1944" s="131" t="n"/>
      <c r="I1944" s="637" t="n">
        <v>59153</v>
      </c>
      <c r="J1944" s="637" t="inlineStr">
        <is>
          <t>PRM_LUK_59153</t>
        </is>
      </c>
      <c r="K1944" s="640" t="n">
        <v>1</v>
      </c>
      <c r="L1944" s="640" t="n">
        <v>0</v>
      </c>
      <c r="M1944" s="640" t="inlineStr">
        <is>
          <t>Samsung 32" вертикальный</t>
        </is>
      </c>
      <c r="N1944" s="640" t="n"/>
      <c r="O1944" s="640">
        <f>IF(AND(N1944=1,L1944=1),K1944,"")</f>
        <v/>
      </c>
      <c r="P1944" s="642" t="inlineStr">
        <is>
          <t xml:space="preserve">г. Пермь, ул. Цимлянская, д.50   </t>
        </is>
      </c>
      <c r="Q1944" s="640" t="n">
        <v>58.144487</v>
      </c>
      <c r="R1944" s="422" t="n">
        <v>56.420937</v>
      </c>
      <c r="S1944" s="387" t="n"/>
      <c r="T1944" s="387" t="n"/>
      <c r="U1944" s="436" t="n"/>
      <c r="V1944" s="387" t="n"/>
      <c r="W1944" s="387" t="n"/>
      <c r="X1944" s="1" t="n"/>
      <c r="Y1944" s="1" t="n"/>
    </row>
    <row r="1945" hidden="1" ht="16.05" customFormat="1" customHeight="1" s="126">
      <c r="A1945" s="125" t="n">
        <v>2563</v>
      </c>
      <c r="B1945" s="125" t="n"/>
      <c r="C1945" s="130" t="inlineStr">
        <is>
          <t>Пермь</t>
        </is>
      </c>
      <c r="D1945" s="130" t="inlineStr">
        <is>
          <t>Пермь</t>
        </is>
      </c>
      <c r="E1945" s="130" t="n"/>
      <c r="F1945" s="130" t="inlineStr">
        <is>
          <t>АЗС</t>
        </is>
      </c>
      <c r="G1945" s="130" t="inlineStr">
        <is>
          <t>Лукойл</t>
        </is>
      </c>
      <c r="H1945" s="131" t="n"/>
      <c r="I1945" s="637" t="n">
        <v>59162</v>
      </c>
      <c r="J1945" s="637" t="inlineStr">
        <is>
          <t>PRM_LUK_59162</t>
        </is>
      </c>
      <c r="K1945" s="640" t="n">
        <v>1</v>
      </c>
      <c r="L1945" s="640" t="n">
        <v>0</v>
      </c>
      <c r="M1945" s="640" t="inlineStr">
        <is>
          <t>Samsung 32" вертикальный</t>
        </is>
      </c>
      <c r="N1945" s="640" t="n"/>
      <c r="O1945" s="640">
        <f>IF(AND(N1945=1,L1945=1),K1945,"")</f>
        <v/>
      </c>
      <c r="P1945" s="642" t="inlineStr">
        <is>
          <t xml:space="preserve"> г. Пермь, ул. Карпинского, 4    </t>
        </is>
      </c>
      <c r="Q1945" s="640" t="n">
        <v>57.991597</v>
      </c>
      <c r="R1945" s="422" t="n">
        <v>56.217244</v>
      </c>
      <c r="S1945" s="387" t="n"/>
      <c r="T1945" s="387" t="n"/>
      <c r="U1945" s="436" t="n"/>
      <c r="V1945" s="387" t="n"/>
      <c r="W1945" s="387" t="n"/>
      <c r="X1945" s="1" t="n"/>
      <c r="Y1945" s="1" t="n"/>
    </row>
    <row r="1946" hidden="1" ht="16.05" customFormat="1" customHeight="1" s="126">
      <c r="A1946" s="125" t="n">
        <v>2564</v>
      </c>
      <c r="B1946" s="125" t="n"/>
      <c r="C1946" s="130" t="inlineStr">
        <is>
          <t>Пермь</t>
        </is>
      </c>
      <c r="D1946" s="130" t="inlineStr">
        <is>
          <t>Пермь</t>
        </is>
      </c>
      <c r="E1946" s="130" t="n"/>
      <c r="F1946" s="130" t="inlineStr">
        <is>
          <t>АЗС</t>
        </is>
      </c>
      <c r="G1946" s="130" t="inlineStr">
        <is>
          <t>Лукойл</t>
        </is>
      </c>
      <c r="H1946" s="131" t="n"/>
      <c r="I1946" s="637" t="n">
        <v>59163</v>
      </c>
      <c r="J1946" s="637" t="inlineStr">
        <is>
          <t>PRM_LUK_59163</t>
        </is>
      </c>
      <c r="K1946" s="640" t="n">
        <v>1</v>
      </c>
      <c r="L1946" s="640" t="n">
        <v>0</v>
      </c>
      <c r="M1946" s="640" t="inlineStr">
        <is>
          <t>Samsung 32" вертикальный</t>
        </is>
      </c>
      <c r="N1946" s="640" t="n"/>
      <c r="O1946" s="640">
        <f>IF(AND(N1946=1,L1946=1),K1946,"")</f>
        <v/>
      </c>
      <c r="P1946" s="642" t="inlineStr">
        <is>
          <t>г. Пермь, ул. Яблочкова    (Пермь, улица Яблочкова, 36А)</t>
        </is>
      </c>
      <c r="Q1946" s="640" t="n">
        <v>57.969865</v>
      </c>
      <c r="R1946" s="422" t="n">
        <v>56.23091</v>
      </c>
      <c r="S1946" s="387" t="n"/>
      <c r="T1946" s="387" t="n"/>
      <c r="U1946" s="436" t="n"/>
      <c r="V1946" s="387" t="n"/>
      <c r="W1946" s="387" t="n"/>
      <c r="X1946" s="1" t="n"/>
      <c r="Y1946" s="1" t="n"/>
    </row>
    <row r="1947" hidden="1" ht="16.05" customFormat="1" customHeight="1" s="126">
      <c r="A1947" s="125" t="n">
        <v>2565</v>
      </c>
      <c r="B1947" s="125" t="n"/>
      <c r="C1947" s="130" t="inlineStr">
        <is>
          <t>Екатеринбург</t>
        </is>
      </c>
      <c r="D1947" s="130" t="inlineStr">
        <is>
          <t>Екатеринбург</t>
        </is>
      </c>
      <c r="E1947" s="130" t="n"/>
      <c r="F1947" s="130" t="inlineStr">
        <is>
          <t>АЗС</t>
        </is>
      </c>
      <c r="G1947" s="130" t="inlineStr">
        <is>
          <t>Лукойл</t>
        </is>
      </c>
      <c r="H1947" s="131" t="n"/>
      <c r="I1947" s="637" t="n">
        <v>66405</v>
      </c>
      <c r="J1947" s="637" t="inlineStr">
        <is>
          <t>EKT_LUK_66405</t>
        </is>
      </c>
      <c r="K1947" s="640" t="n">
        <v>1</v>
      </c>
      <c r="L1947" s="640" t="n">
        <v>0</v>
      </c>
      <c r="M1947" s="640" t="inlineStr">
        <is>
          <t>Samsung 32" вертикальный</t>
        </is>
      </c>
      <c r="N1947" s="640" t="n"/>
      <c r="O1947" s="640">
        <f>IF(AND(N1947=1,L1947=1),K1947,"")</f>
        <v/>
      </c>
      <c r="P1947" s="642" t="inlineStr">
        <is>
          <t xml:space="preserve">г. Екатеринбург, а/д Екатеринбург-Челябинск, 17-км   </t>
        </is>
      </c>
      <c r="Q1947" s="640" t="n">
        <v>56.706226</v>
      </c>
      <c r="R1947" s="422" t="n">
        <v>60.741847</v>
      </c>
      <c r="S1947" s="387" t="n"/>
      <c r="T1947" s="387" t="n"/>
      <c r="U1947" s="436" t="n"/>
      <c r="V1947" s="387" t="n"/>
      <c r="W1947" s="387" t="n"/>
      <c r="X1947" s="1" t="n"/>
      <c r="Y1947" s="1" t="n"/>
    </row>
    <row r="1948" hidden="1" ht="16.05" customFormat="1" customHeight="1" s="126">
      <c r="A1948" s="125" t="n">
        <v>2566</v>
      </c>
      <c r="B1948" s="125" t="n"/>
      <c r="C1948" s="130" t="inlineStr">
        <is>
          <t>Екатеринбург</t>
        </is>
      </c>
      <c r="D1948" s="130" t="inlineStr">
        <is>
          <t>Екатеринбург</t>
        </is>
      </c>
      <c r="E1948" s="130" t="n"/>
      <c r="F1948" s="130" t="inlineStr">
        <is>
          <t>АЗС</t>
        </is>
      </c>
      <c r="G1948" s="130" t="inlineStr">
        <is>
          <t>Лукойл</t>
        </is>
      </c>
      <c r="H1948" s="131" t="n"/>
      <c r="I1948" s="637" t="n">
        <v>66418</v>
      </c>
      <c r="J1948" s="637" t="inlineStr">
        <is>
          <t>EKT_LUK_66418</t>
        </is>
      </c>
      <c r="K1948" s="640" t="n">
        <v>1</v>
      </c>
      <c r="L1948" s="640" t="n">
        <v>0</v>
      </c>
      <c r="M1948" s="640" t="inlineStr">
        <is>
          <t>Samsung 32" вертикальный</t>
        </is>
      </c>
      <c r="N1948" s="640" t="n"/>
      <c r="O1948" s="640">
        <f>IF(AND(N1948=1,L1948=1),K1948,"")</f>
        <v/>
      </c>
      <c r="P1948" s="642" t="inlineStr">
        <is>
          <t xml:space="preserve">г. Екатеринбург, ул. Посадская, д. 85   </t>
        </is>
      </c>
      <c r="Q1948" s="640" t="n">
        <v>56.817565</v>
      </c>
      <c r="R1948" s="422" t="n">
        <v>60.587598</v>
      </c>
      <c r="S1948" s="387" t="n"/>
      <c r="T1948" s="387" t="n"/>
      <c r="U1948" s="436" t="n"/>
      <c r="V1948" s="387" t="n"/>
      <c r="W1948" s="387" t="n"/>
      <c r="X1948" s="1" t="n"/>
      <c r="Y1948" s="1" t="n"/>
    </row>
    <row r="1949" hidden="1" ht="16.05" customFormat="1" customHeight="1" s="126">
      <c r="A1949" s="125" t="n">
        <v>2567</v>
      </c>
      <c r="B1949" s="125" t="n"/>
      <c r="C1949" s="130" t="inlineStr">
        <is>
          <t>Екатеринбург</t>
        </is>
      </c>
      <c r="D1949" s="130" t="inlineStr">
        <is>
          <t>Екатеринбург</t>
        </is>
      </c>
      <c r="E1949" s="130" t="n"/>
      <c r="F1949" s="130" t="inlineStr">
        <is>
          <t>АЗС</t>
        </is>
      </c>
      <c r="G1949" s="130" t="inlineStr">
        <is>
          <t>Лукойл</t>
        </is>
      </c>
      <c r="H1949" s="131" t="n"/>
      <c r="I1949" s="637" t="n">
        <v>66419</v>
      </c>
      <c r="J1949" s="637" t="inlineStr">
        <is>
          <t>EKT_LUK_66419</t>
        </is>
      </c>
      <c r="K1949" s="640" t="n">
        <v>1</v>
      </c>
      <c r="L1949" s="640" t="n">
        <v>0</v>
      </c>
      <c r="M1949" s="640" t="inlineStr">
        <is>
          <t>Samsung 32" вертикальный</t>
        </is>
      </c>
      <c r="N1949" s="640" t="n"/>
      <c r="O1949" s="640">
        <f>IF(AND(N1949=1,L1949=1),K1949,"")</f>
        <v/>
      </c>
      <c r="P1949" s="642" t="inlineStr">
        <is>
          <t xml:space="preserve">г. Екатеринбург, ул. Новосибирская 2-я, 6   </t>
        </is>
      </c>
      <c r="Q1949" s="640" t="n">
        <v>56.760916</v>
      </c>
      <c r="R1949" s="422" t="inlineStr">
        <is>
          <t xml:space="preserve">60,587643
</t>
        </is>
      </c>
      <c r="S1949" s="387" t="n"/>
      <c r="T1949" s="387" t="n"/>
      <c r="U1949" s="436" t="n"/>
      <c r="V1949" s="387" t="n"/>
      <c r="W1949" s="387" t="n"/>
      <c r="X1949" s="1" t="n"/>
      <c r="Y1949" s="1" t="n"/>
    </row>
    <row r="1950" hidden="1" ht="16.05" customHeight="1">
      <c r="A1950" s="791" t="n">
        <v>2568</v>
      </c>
      <c r="B1950" s="13">
        <f>IF(OR(M1950="Sam 32",M1950="Sam 40"),"s",IF(M1950="AMS","a","v"))</f>
        <v/>
      </c>
      <c r="C1950" s="130" t="inlineStr">
        <is>
          <t>Екатеринбург</t>
        </is>
      </c>
      <c r="D1950" s="130" t="inlineStr">
        <is>
          <t>Екатеринбург</t>
        </is>
      </c>
      <c r="E1950" s="130" t="n"/>
      <c r="F1950" s="130" t="n"/>
      <c r="G1950" s="130" t="inlineStr">
        <is>
          <t>Лукойл</t>
        </is>
      </c>
      <c r="H1950" s="131" t="n"/>
      <c r="I1950" s="637" t="n">
        <v>66423</v>
      </c>
      <c r="J1950" s="402" t="n"/>
      <c r="K1950" s="640" t="n">
        <v>1</v>
      </c>
      <c r="L1950" s="640" t="n">
        <v>0</v>
      </c>
      <c r="M1950" s="640" t="inlineStr">
        <is>
          <t>Sam 32</t>
        </is>
      </c>
      <c r="N1950" s="640" t="n"/>
      <c r="O1950" s="640">
        <f>IF(AND(N1950=1,L1950=1),K1950,"")</f>
        <v/>
      </c>
      <c r="P1950" s="642" t="inlineStr">
        <is>
          <t xml:space="preserve">г. Екатеринбург, ул. Черепанова, д. 33   </t>
        </is>
      </c>
      <c r="Q1950" s="640" t="n"/>
      <c r="R1950" s="422" t="n"/>
      <c r="U1950" s="436" t="n"/>
      <c r="X1950" s="1" t="n"/>
      <c r="Y1950" s="1" t="n"/>
      <c r="Z1950" s="1" t="n"/>
    </row>
    <row r="1951" hidden="1" ht="16.05" customFormat="1" customHeight="1" s="126">
      <c r="A1951" s="125" t="n">
        <v>2569</v>
      </c>
      <c r="B1951" s="125" t="n"/>
      <c r="C1951" s="130" t="inlineStr">
        <is>
          <t>Екатеринбург</t>
        </is>
      </c>
      <c r="D1951" s="130" t="inlineStr">
        <is>
          <t>Екатеринбург</t>
        </is>
      </c>
      <c r="E1951" s="130" t="n"/>
      <c r="F1951" s="130" t="inlineStr">
        <is>
          <t>АЗС</t>
        </is>
      </c>
      <c r="G1951" s="130" t="inlineStr">
        <is>
          <t>Лукойл</t>
        </is>
      </c>
      <c r="H1951" s="131" t="n"/>
      <c r="I1951" s="637" t="n">
        <v>66428</v>
      </c>
      <c r="J1951" s="637" t="inlineStr">
        <is>
          <t>EKT_LUK_66428</t>
        </is>
      </c>
      <c r="K1951" s="640" t="n">
        <v>1</v>
      </c>
      <c r="L1951" s="640" t="n">
        <v>0</v>
      </c>
      <c r="M1951" s="640" t="inlineStr">
        <is>
          <t>Samsung 32" вертикальный</t>
        </is>
      </c>
      <c r="N1951" s="640" t="n"/>
      <c r="O1951" s="640">
        <f>IF(AND(N1951=1,L1951=1),K1951,"")</f>
        <v/>
      </c>
      <c r="P1951" s="642" t="inlineStr">
        <is>
          <t xml:space="preserve">г. Екатеринбург, ул. Владимира Высоцкого, 49   </t>
        </is>
      </c>
      <c r="Q1951" s="640" t="n">
        <v>56.844481</v>
      </c>
      <c r="R1951" s="422" t="n">
        <v>60.700621</v>
      </c>
      <c r="S1951" s="387" t="n"/>
      <c r="T1951" s="387" t="n"/>
      <c r="U1951" s="436" t="n"/>
      <c r="V1951" s="387" t="n"/>
      <c r="W1951" s="387" t="n"/>
      <c r="X1951" s="1" t="n"/>
      <c r="Y1951" s="1" t="n"/>
    </row>
    <row r="1952" hidden="1" ht="16.05" customFormat="1" customHeight="1" s="126">
      <c r="A1952" s="125" t="n">
        <v>2570</v>
      </c>
      <c r="B1952" s="125" t="n"/>
      <c r="C1952" s="130" t="inlineStr">
        <is>
          <t>Екатеринбург</t>
        </is>
      </c>
      <c r="D1952" s="130" t="inlineStr">
        <is>
          <t>Екатеринбург</t>
        </is>
      </c>
      <c r="E1952" s="130" t="n"/>
      <c r="F1952" s="130" t="inlineStr">
        <is>
          <t>АЗС</t>
        </is>
      </c>
      <c r="G1952" s="130" t="inlineStr">
        <is>
          <t>Лукойл</t>
        </is>
      </c>
      <c r="H1952" s="131" t="n"/>
      <c r="I1952" s="637" t="n">
        <v>66430</v>
      </c>
      <c r="J1952" s="637" t="inlineStr">
        <is>
          <t>EKT_LUK_66430</t>
        </is>
      </c>
      <c r="K1952" s="640" t="n">
        <v>1</v>
      </c>
      <c r="L1952" s="640" t="n">
        <v>0</v>
      </c>
      <c r="M1952" s="640" t="inlineStr">
        <is>
          <t>Samsung 32" вертикальный</t>
        </is>
      </c>
      <c r="N1952" s="640" t="n"/>
      <c r="O1952" s="640">
        <f>IF(AND(N1952=1,L1952=1),K1952,"")</f>
        <v/>
      </c>
      <c r="P1952" s="642" t="inlineStr">
        <is>
          <t xml:space="preserve">г. Екатеринбург, Дублер Сибирского тракта. 5   </t>
        </is>
      </c>
      <c r="Q1952" s="640" t="n">
        <v>56.829725</v>
      </c>
      <c r="R1952" s="422" t="n">
        <v>60.677279</v>
      </c>
      <c r="S1952" s="387" t="n"/>
      <c r="T1952" s="387" t="n"/>
      <c r="U1952" s="436" t="n"/>
      <c r="V1952" s="387" t="n"/>
      <c r="W1952" s="387" t="n"/>
      <c r="X1952" s="1" t="n"/>
      <c r="Y1952" s="1" t="n"/>
    </row>
    <row r="1953" hidden="1" ht="16.05" customFormat="1" customHeight="1" s="126">
      <c r="A1953" s="125" t="n">
        <v>2571</v>
      </c>
      <c r="B1953" s="125" t="n"/>
      <c r="C1953" s="130" t="inlineStr">
        <is>
          <t>Екатеринбург</t>
        </is>
      </c>
      <c r="D1953" s="130" t="inlineStr">
        <is>
          <t>Екатеринбург</t>
        </is>
      </c>
      <c r="E1953" s="130" t="n"/>
      <c r="F1953" s="130" t="inlineStr">
        <is>
          <t>АЗС</t>
        </is>
      </c>
      <c r="G1953" s="130" t="inlineStr">
        <is>
          <t>Лукойл</t>
        </is>
      </c>
      <c r="H1953" s="131" t="n"/>
      <c r="I1953" s="637" t="n">
        <v>66437</v>
      </c>
      <c r="J1953" s="637" t="inlineStr">
        <is>
          <t>EKT_LUK_66437</t>
        </is>
      </c>
      <c r="K1953" s="640" t="n">
        <v>1</v>
      </c>
      <c r="L1953" s="640" t="n">
        <v>0</v>
      </c>
      <c r="M1953" s="640" t="inlineStr">
        <is>
          <t>Samsung 32" вертикальный</t>
        </is>
      </c>
      <c r="N1953" s="640" t="n"/>
      <c r="O1953" s="640">
        <f>IF(AND(N1953=1,L1953=1),K1953,"")</f>
        <v/>
      </c>
      <c r="P1953" s="642" t="inlineStr">
        <is>
          <t xml:space="preserve">г. Екатеринбург, ул. Дерябиной-Репина   </t>
        </is>
      </c>
      <c r="Q1953" s="640" t="n">
        <v>56.82669</v>
      </c>
      <c r="R1953" s="422" t="n">
        <v>60.56202</v>
      </c>
      <c r="S1953" s="387" t="n"/>
      <c r="T1953" s="387" t="n"/>
      <c r="U1953" s="436" t="n"/>
      <c r="V1953" s="387" t="n"/>
      <c r="W1953" s="387" t="n"/>
      <c r="X1953" s="1" t="n"/>
      <c r="Y1953" s="1" t="n"/>
    </row>
    <row r="1954" hidden="1" ht="16.05" customFormat="1" customHeight="1" s="126">
      <c r="A1954" s="125" t="n">
        <v>2572</v>
      </c>
      <c r="B1954" s="125" t="n"/>
      <c r="C1954" s="130" t="inlineStr">
        <is>
          <t>Екатеринбург</t>
        </is>
      </c>
      <c r="D1954" s="130" t="inlineStr">
        <is>
          <t>Екатеринбург</t>
        </is>
      </c>
      <c r="E1954" s="130" t="n"/>
      <c r="F1954" s="130" t="inlineStr">
        <is>
          <t>АЗС</t>
        </is>
      </c>
      <c r="G1954" s="130" t="inlineStr">
        <is>
          <t>Лукойл</t>
        </is>
      </c>
      <c r="H1954" s="131" t="n"/>
      <c r="I1954" s="637" t="n">
        <v>66439</v>
      </c>
      <c r="J1954" s="637" t="inlineStr">
        <is>
          <t>EKT_LUK_66439</t>
        </is>
      </c>
      <c r="K1954" s="640" t="n">
        <v>1</v>
      </c>
      <c r="L1954" s="640" t="n">
        <v>0</v>
      </c>
      <c r="M1954" s="640" t="inlineStr">
        <is>
          <t>Samsung 32" вертикальный</t>
        </is>
      </c>
      <c r="N1954" s="640" t="n"/>
      <c r="O1954" s="640">
        <f>IF(AND(N1954=1,L1954=1),K1954,"")</f>
        <v/>
      </c>
      <c r="P1954" s="642" t="inlineStr">
        <is>
          <t xml:space="preserve">г. Екатеринбург, Сибирский тракт, 8 км   </t>
        </is>
      </c>
      <c r="Q1954" s="640" t="n">
        <v>56.812908</v>
      </c>
      <c r="R1954" s="422" t="n">
        <v>60.691202</v>
      </c>
      <c r="S1954" s="387" t="n"/>
      <c r="T1954" s="387" t="n"/>
      <c r="U1954" s="436" t="n"/>
      <c r="V1954" s="387" t="n"/>
      <c r="W1954" s="387" t="n"/>
      <c r="X1954" s="1" t="n"/>
      <c r="Y1954" s="1" t="n"/>
    </row>
    <row r="1955" hidden="1" ht="16.05" customFormat="1" customHeight="1" s="126">
      <c r="A1955" s="125" t="n">
        <v>2573</v>
      </c>
      <c r="B1955" s="125" t="n"/>
      <c r="C1955" s="130" t="inlineStr">
        <is>
          <t>Екатеринбург</t>
        </is>
      </c>
      <c r="D1955" s="130" t="inlineStr">
        <is>
          <t>Екатеринбург</t>
        </is>
      </c>
      <c r="E1955" s="130" t="n"/>
      <c r="F1955" s="130" t="inlineStr">
        <is>
          <t>АЗС</t>
        </is>
      </c>
      <c r="G1955" s="130" t="inlineStr">
        <is>
          <t>Лукойл</t>
        </is>
      </c>
      <c r="H1955" s="131" t="n"/>
      <c r="I1955" s="637" t="n">
        <v>66445</v>
      </c>
      <c r="J1955" s="637" t="inlineStr">
        <is>
          <t>EKT_LUK_66445</t>
        </is>
      </c>
      <c r="K1955" s="640" t="n">
        <v>1</v>
      </c>
      <c r="L1955" s="640" t="n">
        <v>0</v>
      </c>
      <c r="M1955" s="640" t="inlineStr">
        <is>
          <t>Samsung 32" вертикальный</t>
        </is>
      </c>
      <c r="N1955" s="640" t="n"/>
      <c r="O1955" s="640">
        <f>IF(AND(N1955=1,L1955=1),K1955,"")</f>
        <v/>
      </c>
      <c r="P1955" s="642" t="inlineStr">
        <is>
          <t xml:space="preserve">г. Екатеринбург, ул. Фронтовых Бригад, 19А   </t>
        </is>
      </c>
      <c r="Q1955" s="640" t="n">
        <v>56.882475</v>
      </c>
      <c r="R1955" s="422" t="n">
        <v>60.633955</v>
      </c>
      <c r="S1955" s="387" t="n"/>
      <c r="T1955" s="387" t="n"/>
      <c r="U1955" s="436" t="n"/>
      <c r="V1955" s="387" t="n"/>
      <c r="W1955" s="387" t="n"/>
      <c r="X1955" s="1" t="n"/>
      <c r="Y1955" s="1" t="n"/>
    </row>
    <row r="1956" hidden="1" ht="16.05" customFormat="1" customHeight="1" s="126">
      <c r="A1956" s="125" t="n">
        <v>2574</v>
      </c>
      <c r="B1956" s="125" t="n"/>
      <c r="C1956" s="130" t="inlineStr">
        <is>
          <t>Екатеринбург</t>
        </is>
      </c>
      <c r="D1956" s="130" t="inlineStr">
        <is>
          <t>Екатеринбург</t>
        </is>
      </c>
      <c r="E1956" s="130" t="n"/>
      <c r="F1956" s="130" t="inlineStr">
        <is>
          <t>АЗС</t>
        </is>
      </c>
      <c r="G1956" s="130" t="inlineStr">
        <is>
          <t>Лукойл</t>
        </is>
      </c>
      <c r="H1956" s="131" t="n"/>
      <c r="I1956" s="637" t="n">
        <v>66447</v>
      </c>
      <c r="J1956" s="637" t="inlineStr">
        <is>
          <t>EKT_LUK_66447</t>
        </is>
      </c>
      <c r="K1956" s="640" t="n">
        <v>1</v>
      </c>
      <c r="L1956" s="640" t="n">
        <v>0</v>
      </c>
      <c r="M1956" s="640" t="inlineStr">
        <is>
          <t>Samsung 32" вертикальный</t>
        </is>
      </c>
      <c r="N1956" s="640" t="n"/>
      <c r="O1956" s="640">
        <f>IF(AND(N1956=1,L1956=1),K1956,"")</f>
        <v/>
      </c>
      <c r="P1956" s="642" t="inlineStr">
        <is>
          <t xml:space="preserve">г. Екатеринбург, ул. Волгоградская, 206   </t>
        </is>
      </c>
      <c r="Q1956" s="640" t="n">
        <v>56.813956</v>
      </c>
      <c r="R1956" s="422" t="n">
        <v>60.552181</v>
      </c>
      <c r="S1956" s="387" t="n"/>
      <c r="T1956" s="387" t="n"/>
      <c r="U1956" s="436" t="n"/>
      <c r="V1956" s="387" t="n"/>
      <c r="W1956" s="387" t="n"/>
      <c r="X1956" s="1" t="n"/>
      <c r="Y1956" s="1" t="n"/>
    </row>
    <row r="1957" hidden="1" ht="16.05" customFormat="1" customHeight="1" s="126">
      <c r="A1957" s="125" t="n">
        <v>2575</v>
      </c>
      <c r="B1957" s="125" t="n"/>
      <c r="C1957" s="130" t="inlineStr">
        <is>
          <t>Екатеринбург</t>
        </is>
      </c>
      <c r="D1957" s="130" t="inlineStr">
        <is>
          <t>Екатеринбург</t>
        </is>
      </c>
      <c r="E1957" s="130" t="n"/>
      <c r="F1957" s="130" t="inlineStr">
        <is>
          <t>АЗС</t>
        </is>
      </c>
      <c r="G1957" s="130" t="inlineStr">
        <is>
          <t>Лукойл</t>
        </is>
      </c>
      <c r="H1957" s="131" t="n"/>
      <c r="I1957" s="637" t="n">
        <v>66448</v>
      </c>
      <c r="J1957" s="637" t="inlineStr">
        <is>
          <t>EKT_LUK_66448</t>
        </is>
      </c>
      <c r="K1957" s="640" t="n">
        <v>1</v>
      </c>
      <c r="L1957" s="640" t="n">
        <v>0</v>
      </c>
      <c r="M1957" s="640" t="inlineStr">
        <is>
          <t>Samsung 32" вертикальный</t>
        </is>
      </c>
      <c r="N1957" s="640" t="n"/>
      <c r="O1957" s="640">
        <f>IF(AND(N1957=1,L1957=1),K1957,"")</f>
        <v/>
      </c>
      <c r="P1957" s="642" t="inlineStr">
        <is>
          <t xml:space="preserve">г. Екатеринбург, Кольцовский тракт, 10 км, стр. 2   </t>
        </is>
      </c>
      <c r="Q1957" s="640" t="n">
        <v>56.788766</v>
      </c>
      <c r="R1957" s="422" t="n">
        <v>60.676716</v>
      </c>
      <c r="S1957" s="387" t="n"/>
      <c r="T1957" s="387" t="n"/>
      <c r="U1957" s="436" t="n"/>
      <c r="V1957" s="387" t="n"/>
      <c r="W1957" s="387" t="n"/>
      <c r="X1957" s="1" t="n"/>
      <c r="Y1957" s="1" t="n"/>
    </row>
    <row r="1958" hidden="1" ht="16.05" customFormat="1" customHeight="1" s="126">
      <c r="A1958" s="125" t="n">
        <v>2576</v>
      </c>
      <c r="B1958" s="125" t="n"/>
      <c r="C1958" s="130" t="inlineStr">
        <is>
          <t>Екатеринбург</t>
        </is>
      </c>
      <c r="D1958" s="130" t="inlineStr">
        <is>
          <t>Екатеринбург</t>
        </is>
      </c>
      <c r="E1958" s="130" t="n"/>
      <c r="F1958" s="130" t="inlineStr">
        <is>
          <t>АЗС</t>
        </is>
      </c>
      <c r="G1958" s="130" t="inlineStr">
        <is>
          <t>Лукойл</t>
        </is>
      </c>
      <c r="H1958" s="131" t="n"/>
      <c r="I1958" s="637" t="n">
        <v>66449</v>
      </c>
      <c r="J1958" s="637" t="inlineStr">
        <is>
          <t>EKT_LUK_66449</t>
        </is>
      </c>
      <c r="K1958" s="640" t="n">
        <v>1</v>
      </c>
      <c r="L1958" s="640" t="n">
        <v>0</v>
      </c>
      <c r="M1958" s="640" t="inlineStr">
        <is>
          <t>Samsung 32" вертикальный</t>
        </is>
      </c>
      <c r="N1958" s="640" t="n"/>
      <c r="O1958" s="640">
        <f>IF(AND(N1958=1,L1958=1),K1958,"")</f>
        <v/>
      </c>
      <c r="P1958" s="642" t="inlineStr">
        <is>
          <t xml:space="preserve">г. Екатеринбург, автодорога Екатеринбург-аэропорт Кольцово, 9 км, д. 5   </t>
        </is>
      </c>
      <c r="Q1958" s="640" t="n">
        <v>56.772452</v>
      </c>
      <c r="R1958" s="422" t="inlineStr">
        <is>
          <t xml:space="preserve">60,720878 
</t>
        </is>
      </c>
      <c r="S1958" s="387" t="n"/>
      <c r="T1958" s="387" t="n"/>
      <c r="U1958" s="436" t="n"/>
      <c r="V1958" s="387" t="n"/>
      <c r="W1958" s="387" t="n"/>
      <c r="X1958" s="1" t="n"/>
      <c r="Y1958" s="1" t="n"/>
    </row>
    <row r="1959" hidden="1" ht="16.05" customHeight="1">
      <c r="A1959" s="791" t="n">
        <v>2577</v>
      </c>
      <c r="B1959" s="13">
        <f>IF(OR(M1959="Sam 32",M1959="Sam 40"),"s",IF(M1959="AMS","a","v"))</f>
        <v/>
      </c>
      <c r="C1959" s="130" t="inlineStr">
        <is>
          <t>Екатеринбург</t>
        </is>
      </c>
      <c r="D1959" s="130" t="inlineStr">
        <is>
          <t>Екатеринбург</t>
        </is>
      </c>
      <c r="E1959" s="130" t="n"/>
      <c r="F1959" s="130" t="n"/>
      <c r="G1959" s="130" t="inlineStr">
        <is>
          <t>Лукойл</t>
        </is>
      </c>
      <c r="H1959" s="131" t="n"/>
      <c r="I1959" s="637" t="n">
        <v>66453</v>
      </c>
      <c r="J1959" s="402" t="n"/>
      <c r="K1959" s="640" t="n">
        <v>1</v>
      </c>
      <c r="L1959" s="640" t="n">
        <v>0</v>
      </c>
      <c r="M1959" s="640" t="inlineStr">
        <is>
          <t>Sam 32</t>
        </is>
      </c>
      <c r="N1959" s="640" t="n"/>
      <c r="O1959" s="640">
        <f>IF(AND(N1959=1,L1959=1),K1959,"")</f>
        <v/>
      </c>
      <c r="P1959" s="642" t="inlineStr">
        <is>
          <t xml:space="preserve">г. Екатеринбург, ул. Артинская, 22 Б   </t>
        </is>
      </c>
      <c r="Q1959" s="640" t="n"/>
      <c r="R1959" s="422" t="n"/>
      <c r="U1959" s="436" t="n"/>
      <c r="X1959" s="1" t="n"/>
      <c r="Y1959" s="1" t="n"/>
      <c r="Z1959" s="1" t="n"/>
    </row>
    <row r="1960" hidden="1" ht="16.05" customFormat="1" customHeight="1" s="126">
      <c r="A1960" s="125" t="n">
        <v>2578</v>
      </c>
      <c r="B1960" s="125" t="n"/>
      <c r="C1960" s="130" t="inlineStr">
        <is>
          <t>Екатеринбург</t>
        </is>
      </c>
      <c r="D1960" s="130" t="inlineStr">
        <is>
          <t>Екатеринбург</t>
        </is>
      </c>
      <c r="E1960" s="130" t="n"/>
      <c r="F1960" s="130" t="inlineStr">
        <is>
          <t>АЗС</t>
        </is>
      </c>
      <c r="G1960" s="130" t="inlineStr">
        <is>
          <t>Лукойл</t>
        </is>
      </c>
      <c r="H1960" s="131" t="n"/>
      <c r="I1960" s="637" t="n">
        <v>66454</v>
      </c>
      <c r="J1960" s="637" t="inlineStr">
        <is>
          <t>EKT_LUK_66454</t>
        </is>
      </c>
      <c r="K1960" s="640" t="n">
        <v>1</v>
      </c>
      <c r="L1960" s="640" t="n">
        <v>0</v>
      </c>
      <c r="M1960" s="640" t="inlineStr">
        <is>
          <t>Samsung 32" вертикальный</t>
        </is>
      </c>
      <c r="N1960" s="640" t="n"/>
      <c r="O1960" s="640">
        <f>IF(AND(N1960=1,L1960=1),K1960,"")</f>
        <v/>
      </c>
      <c r="P1960" s="642" t="inlineStr">
        <is>
          <t xml:space="preserve">г. Екатеринбург, ул. Маяковского, 1 А   </t>
        </is>
      </c>
      <c r="Q1960" s="640" t="n">
        <v>56.860646</v>
      </c>
      <c r="R1960" s="422" t="n">
        <v>60.613751</v>
      </c>
      <c r="S1960" s="387" t="n"/>
      <c r="T1960" s="387" t="n"/>
      <c r="U1960" s="436" t="n"/>
      <c r="V1960" s="387" t="n"/>
      <c r="W1960" s="387" t="n"/>
      <c r="X1960" s="1" t="n"/>
      <c r="Y1960" s="1" t="n"/>
    </row>
    <row r="1961" hidden="1" ht="16.05" customFormat="1" customHeight="1" s="126">
      <c r="A1961" s="125" t="n">
        <v>2579</v>
      </c>
      <c r="B1961" s="125" t="n"/>
      <c r="C1961" s="130" t="inlineStr">
        <is>
          <t>Екатеринбург</t>
        </is>
      </c>
      <c r="D1961" s="130" t="inlineStr">
        <is>
          <t>Екатеринбург</t>
        </is>
      </c>
      <c r="E1961" s="130" t="n"/>
      <c r="F1961" s="130" t="inlineStr">
        <is>
          <t>АЗС</t>
        </is>
      </c>
      <c r="G1961" s="130" t="inlineStr">
        <is>
          <t>Лукойл</t>
        </is>
      </c>
      <c r="H1961" s="131" t="n"/>
      <c r="I1961" s="637" t="n">
        <v>66455</v>
      </c>
      <c r="J1961" s="637" t="inlineStr">
        <is>
          <t>EKT_LUK_66455</t>
        </is>
      </c>
      <c r="K1961" s="640" t="n">
        <v>1</v>
      </c>
      <c r="L1961" s="640" t="n">
        <v>0</v>
      </c>
      <c r="M1961" s="640" t="inlineStr">
        <is>
          <t>Samsung 32" вертикальный</t>
        </is>
      </c>
      <c r="N1961" s="640" t="n"/>
      <c r="O1961" s="640">
        <f>IF(AND(N1961=1,L1961=1),K1961,"")</f>
        <v/>
      </c>
      <c r="P1961" s="642" t="inlineStr">
        <is>
          <t xml:space="preserve">г. Екатеринбург, ЕКАД, 30 км, д. 35   </t>
        </is>
      </c>
      <c r="Q1961" s="640" t="n">
        <v>56.940855</v>
      </c>
      <c r="R1961" s="422" t="n">
        <v>60.668901</v>
      </c>
      <c r="S1961" s="387" t="n"/>
      <c r="T1961" s="387" t="n"/>
      <c r="U1961" s="436" t="n"/>
      <c r="V1961" s="387" t="n"/>
      <c r="W1961" s="387" t="n"/>
      <c r="X1961" s="1" t="n"/>
      <c r="Y1961" s="1" t="n"/>
    </row>
    <row r="1962" hidden="1" ht="16.05" customFormat="1" customHeight="1" s="126">
      <c r="A1962" s="125" t="n">
        <v>2580</v>
      </c>
      <c r="B1962" s="125" t="n"/>
      <c r="C1962" s="130" t="inlineStr">
        <is>
          <t>Екатеринбург</t>
        </is>
      </c>
      <c r="D1962" s="130" t="inlineStr">
        <is>
          <t>Екатеринбург</t>
        </is>
      </c>
      <c r="E1962" s="130" t="n"/>
      <c r="F1962" s="130" t="inlineStr">
        <is>
          <t>АЗС</t>
        </is>
      </c>
      <c r="G1962" s="130" t="inlineStr">
        <is>
          <t>Лукойл</t>
        </is>
      </c>
      <c r="H1962" s="131" t="n"/>
      <c r="I1962" s="637" t="n">
        <v>66456</v>
      </c>
      <c r="J1962" s="637" t="inlineStr">
        <is>
          <t>EKT_LUK_66456</t>
        </is>
      </c>
      <c r="K1962" s="640" t="n">
        <v>1</v>
      </c>
      <c r="L1962" s="640" t="n">
        <v>0</v>
      </c>
      <c r="M1962" s="640" t="inlineStr">
        <is>
          <t>Samsung 32" вертикальный</t>
        </is>
      </c>
      <c r="N1962" s="640" t="n"/>
      <c r="O1962" s="640">
        <f>IF(AND(N1962=1,L1962=1),K1962,"")</f>
        <v/>
      </c>
      <c r="P1962" s="642" t="inlineStr">
        <is>
          <t xml:space="preserve">г. Екатеринбург, проезд Водительский, 10   </t>
        </is>
      </c>
      <c r="Q1962" s="640" t="n">
        <v>56.788402</v>
      </c>
      <c r="R1962" s="422" t="n">
        <v>60.61632</v>
      </c>
      <c r="S1962" s="387" t="n"/>
      <c r="T1962" s="387" t="n"/>
      <c r="U1962" s="436" t="n"/>
      <c r="V1962" s="387" t="n"/>
      <c r="W1962" s="387" t="n"/>
      <c r="X1962" s="1" t="n"/>
      <c r="Y1962" s="1" t="n"/>
    </row>
    <row r="1963" hidden="1" ht="16.05" customFormat="1" customHeight="1" s="126">
      <c r="A1963" s="125" t="n">
        <v>2581</v>
      </c>
      <c r="B1963" s="125" t="n"/>
      <c r="C1963" s="130" t="inlineStr">
        <is>
          <t>Екатеринбург</t>
        </is>
      </c>
      <c r="D1963" s="130" t="inlineStr">
        <is>
          <t>Екатеринбург</t>
        </is>
      </c>
      <c r="E1963" s="130" t="n"/>
      <c r="F1963" s="130" t="inlineStr">
        <is>
          <t>АЗС</t>
        </is>
      </c>
      <c r="G1963" s="130" t="inlineStr">
        <is>
          <t>Лукойл</t>
        </is>
      </c>
      <c r="H1963" s="131" t="n"/>
      <c r="I1963" s="637" t="n">
        <v>66458</v>
      </c>
      <c r="J1963" s="637" t="inlineStr">
        <is>
          <t>EKT_LUK_66458</t>
        </is>
      </c>
      <c r="K1963" s="640" t="n">
        <v>1</v>
      </c>
      <c r="L1963" s="640" t="n">
        <v>0</v>
      </c>
      <c r="M1963" s="640" t="inlineStr">
        <is>
          <t>Samsung 32" вертикальный</t>
        </is>
      </c>
      <c r="N1963" s="640" t="n"/>
      <c r="O1963" s="640">
        <f>IF(AND(N1963=1,L1963=1),K1963,"")</f>
        <v/>
      </c>
      <c r="P1963" s="642" t="inlineStr">
        <is>
          <t xml:space="preserve">г. Екатеринбург, Полевской тракт, 12 км   </t>
        </is>
      </c>
      <c r="Q1963" s="640" t="n">
        <v>56.73373</v>
      </c>
      <c r="R1963" s="422" t="n">
        <v>60.595088</v>
      </c>
      <c r="S1963" s="387" t="n"/>
      <c r="T1963" s="387" t="n"/>
      <c r="U1963" s="436" t="n"/>
      <c r="V1963" s="387" t="n"/>
      <c r="W1963" s="387" t="n"/>
      <c r="X1963" s="1" t="n"/>
      <c r="Y1963" s="1" t="n"/>
    </row>
    <row r="1964" hidden="1" ht="16.05" customFormat="1" customHeight="1" s="126">
      <c r="A1964" s="125" t="n">
        <v>2582</v>
      </c>
      <c r="B1964" s="125" t="n"/>
      <c r="C1964" s="130" t="inlineStr">
        <is>
          <t>Екатеринбург</t>
        </is>
      </c>
      <c r="D1964" s="130" t="inlineStr">
        <is>
          <t>Екатеринбург</t>
        </is>
      </c>
      <c r="E1964" s="130" t="n"/>
      <c r="F1964" s="130" t="inlineStr">
        <is>
          <t>АЗС</t>
        </is>
      </c>
      <c r="G1964" s="130" t="inlineStr">
        <is>
          <t>Лукойл</t>
        </is>
      </c>
      <c r="H1964" s="131" t="n"/>
      <c r="I1964" s="637" t="n">
        <v>66459</v>
      </c>
      <c r="J1964" s="637" t="inlineStr">
        <is>
          <t>EKT_LUK_66459</t>
        </is>
      </c>
      <c r="K1964" s="640" t="n">
        <v>1</v>
      </c>
      <c r="L1964" s="640" t="n">
        <v>0</v>
      </c>
      <c r="M1964" s="640" t="inlineStr">
        <is>
          <t>Samsung 32" вертикальный</t>
        </is>
      </c>
      <c r="N1964" s="640" t="n"/>
      <c r="O1964" s="640">
        <f>IF(AND(N1964=1,L1964=1),K1964,"")</f>
        <v/>
      </c>
      <c r="P1964" s="642" t="inlineStr">
        <is>
          <t xml:space="preserve">г. Екатеринбург, ул. Трудовая, 31   </t>
        </is>
      </c>
      <c r="Q1964" s="640" t="n">
        <v>56.889103</v>
      </c>
      <c r="R1964" s="422" t="n">
        <v>60.732434</v>
      </c>
      <c r="S1964" s="387" t="n"/>
      <c r="T1964" s="387" t="n"/>
      <c r="U1964" s="436" t="n"/>
      <c r="V1964" s="387" t="n"/>
      <c r="W1964" s="387" t="n"/>
      <c r="X1964" s="1" t="n"/>
      <c r="Y1964" s="1" t="n"/>
    </row>
    <row r="1965" hidden="1" ht="16.05" customFormat="1" customHeight="1" s="126">
      <c r="A1965" s="125" t="n">
        <v>2583</v>
      </c>
      <c r="B1965" s="125" t="n"/>
      <c r="C1965" s="130" t="inlineStr">
        <is>
          <t>Екатеринбург</t>
        </is>
      </c>
      <c r="D1965" s="130" t="inlineStr">
        <is>
          <t>Екатеринбург</t>
        </is>
      </c>
      <c r="E1965" s="130" t="n"/>
      <c r="F1965" s="130" t="inlineStr">
        <is>
          <t>АЗС</t>
        </is>
      </c>
      <c r="G1965" s="130" t="inlineStr">
        <is>
          <t>Лукойл</t>
        </is>
      </c>
      <c r="H1965" s="131" t="n"/>
      <c r="I1965" s="637" t="n">
        <v>66461</v>
      </c>
      <c r="J1965" s="637" t="inlineStr">
        <is>
          <t>EKT_LUK_66461</t>
        </is>
      </c>
      <c r="K1965" s="640" t="n">
        <v>1</v>
      </c>
      <c r="L1965" s="640" t="n">
        <v>0</v>
      </c>
      <c r="M1965" s="640" t="inlineStr">
        <is>
          <t>Samsung 32" вертикальный</t>
        </is>
      </c>
      <c r="N1965" s="640" t="n"/>
      <c r="O1965" s="640">
        <f>IF(AND(N1965=1,L1965=1),K1965,"")</f>
        <v/>
      </c>
      <c r="P1965" s="642" t="inlineStr">
        <is>
          <t xml:space="preserve">г. Екатеринбург, ул. Трудовая, 22   </t>
        </is>
      </c>
      <c r="Q1965" s="640" t="n">
        <v>56.887735</v>
      </c>
      <c r="R1965" s="422" t="n">
        <v>60.731595</v>
      </c>
      <c r="S1965" s="387" t="n"/>
      <c r="T1965" s="387" t="n"/>
      <c r="U1965" s="436" t="n"/>
      <c r="V1965" s="387" t="n"/>
      <c r="W1965" s="387" t="n"/>
      <c r="X1965" s="1" t="n"/>
      <c r="Y1965" s="1" t="n"/>
    </row>
    <row r="1966" hidden="1" ht="16.05" customFormat="1" customHeight="1" s="126">
      <c r="A1966" s="125" t="n">
        <v>2584</v>
      </c>
      <c r="B1966" s="125" t="n"/>
      <c r="C1966" s="130" t="inlineStr">
        <is>
          <t>Екатеринбург</t>
        </is>
      </c>
      <c r="D1966" s="130" t="inlineStr">
        <is>
          <t>Екатеринбург</t>
        </is>
      </c>
      <c r="E1966" s="130" t="n"/>
      <c r="F1966" s="130" t="inlineStr">
        <is>
          <t>АЗС</t>
        </is>
      </c>
      <c r="G1966" s="130" t="inlineStr">
        <is>
          <t>Лукойл</t>
        </is>
      </c>
      <c r="H1966" s="131" t="n"/>
      <c r="I1966" s="637" t="n">
        <v>66462</v>
      </c>
      <c r="J1966" s="637" t="inlineStr">
        <is>
          <t>EKT_LUK_66462</t>
        </is>
      </c>
      <c r="K1966" s="640" t="n">
        <v>1</v>
      </c>
      <c r="L1966" s="640" t="n">
        <v>0</v>
      </c>
      <c r="M1966" s="640" t="inlineStr">
        <is>
          <t>Samsung 32" вертикальный</t>
        </is>
      </c>
      <c r="N1966" s="640" t="n"/>
      <c r="O1966" s="640">
        <f>IF(AND(N1966=1,L1966=1),K1966,"")</f>
        <v/>
      </c>
      <c r="P1966" s="642" t="inlineStr">
        <is>
          <t xml:space="preserve">г. Екатеринбург, ул. Крестинского, 40   </t>
        </is>
      </c>
      <c r="Q1966" s="640" t="n">
        <v>56.78881</v>
      </c>
      <c r="R1966" s="422" t="n">
        <v>60.618944</v>
      </c>
      <c r="S1966" s="387" t="n"/>
      <c r="T1966" s="387" t="n"/>
      <c r="U1966" s="436" t="n"/>
      <c r="V1966" s="387" t="n"/>
      <c r="W1966" s="387" t="n"/>
      <c r="X1966" s="1" t="n"/>
      <c r="Y1966" s="1" t="n"/>
    </row>
    <row r="1967" hidden="1" ht="16.05" customFormat="1" customHeight="1" s="126">
      <c r="A1967" s="125" t="n">
        <v>2585</v>
      </c>
      <c r="B1967" s="125" t="n"/>
      <c r="C1967" s="130" t="inlineStr">
        <is>
          <t>Екатеринбург</t>
        </is>
      </c>
      <c r="D1967" s="130" t="inlineStr">
        <is>
          <t>Екатеринбург</t>
        </is>
      </c>
      <c r="E1967" s="130" t="n"/>
      <c r="F1967" s="130" t="inlineStr">
        <is>
          <t>АЗС</t>
        </is>
      </c>
      <c r="G1967" s="130" t="inlineStr">
        <is>
          <t>Лукойл</t>
        </is>
      </c>
      <c r="H1967" s="131" t="n"/>
      <c r="I1967" s="637" t="n">
        <v>66463</v>
      </c>
      <c r="J1967" s="637" t="inlineStr">
        <is>
          <t>EKT_LUK_66463</t>
        </is>
      </c>
      <c r="K1967" s="640" t="n">
        <v>1</v>
      </c>
      <c r="L1967" s="640" t="n">
        <v>0</v>
      </c>
      <c r="M1967" s="640" t="inlineStr">
        <is>
          <t>Samsung 32" вертикальный</t>
        </is>
      </c>
      <c r="N1967" s="640" t="n"/>
      <c r="O1967" s="640">
        <f>IF(AND(N1967=1,L1967=1),K1967,"")</f>
        <v/>
      </c>
      <c r="P1967" s="642" t="inlineStr">
        <is>
          <t xml:space="preserve">г. Екатеринбург, ш. Елизаветинское, 60   </t>
        </is>
      </c>
      <c r="Q1967" s="640" t="n">
        <v>56.758433</v>
      </c>
      <c r="R1967" s="422" t="n">
        <v>60.627838</v>
      </c>
      <c r="S1967" s="387" t="n"/>
      <c r="T1967" s="387" t="n"/>
      <c r="U1967" s="436" t="n"/>
      <c r="V1967" s="387" t="n"/>
      <c r="W1967" s="387" t="n"/>
      <c r="X1967" s="1" t="n"/>
      <c r="Y1967" s="1" t="n"/>
    </row>
    <row r="1968" hidden="1" ht="16.05" customFormat="1" customHeight="1" s="126">
      <c r="A1968" s="125" t="n">
        <v>2586</v>
      </c>
      <c r="B1968" s="125" t="n"/>
      <c r="C1968" s="130" t="inlineStr">
        <is>
          <t>Екатеринбург</t>
        </is>
      </c>
      <c r="D1968" s="130" t="inlineStr">
        <is>
          <t>Екатеринбург</t>
        </is>
      </c>
      <c r="E1968" s="130" t="n"/>
      <c r="F1968" s="130" t="inlineStr">
        <is>
          <t>АЗС</t>
        </is>
      </c>
      <c r="G1968" s="130" t="inlineStr">
        <is>
          <t>Лукойл</t>
        </is>
      </c>
      <c r="H1968" s="131" t="n"/>
      <c r="I1968" s="637" t="n">
        <v>66467</v>
      </c>
      <c r="J1968" s="637" t="inlineStr">
        <is>
          <t>EKT_LUK_66467</t>
        </is>
      </c>
      <c r="K1968" s="640" t="n">
        <v>1</v>
      </c>
      <c r="L1968" s="640" t="n">
        <v>0</v>
      </c>
      <c r="M1968" s="640" t="inlineStr">
        <is>
          <t>Samsung 32" вертикальный</t>
        </is>
      </c>
      <c r="N1968" s="640" t="n"/>
      <c r="O1968" s="640">
        <f>IF(AND(N1968=1,L1968=1),K1968,"")</f>
        <v/>
      </c>
      <c r="P1968" s="642" t="inlineStr">
        <is>
          <t xml:space="preserve">г. Екатеринбург, Московский тракт, 8 км   </t>
        </is>
      </c>
      <c r="Q1968" s="640" t="n">
        <v>56.817794</v>
      </c>
      <c r="R1968" s="422" t="n">
        <v>60.512656</v>
      </c>
      <c r="S1968" s="387" t="n"/>
      <c r="T1968" s="387" t="n"/>
      <c r="U1968" s="436" t="n"/>
      <c r="V1968" s="387" t="n"/>
      <c r="W1968" s="387" t="n"/>
      <c r="X1968" s="1" t="n"/>
      <c r="Y1968" s="1" t="n"/>
    </row>
    <row r="1969" hidden="1" ht="16.05" customFormat="1" customHeight="1" s="126">
      <c r="A1969" s="125" t="n">
        <v>2587</v>
      </c>
      <c r="B1969" s="125" t="n"/>
      <c r="C1969" s="130" t="inlineStr">
        <is>
          <t>Екатеринбург</t>
        </is>
      </c>
      <c r="D1969" s="130" t="inlineStr">
        <is>
          <t>Екатеринбург</t>
        </is>
      </c>
      <c r="E1969" s="130" t="n"/>
      <c r="F1969" s="130" t="inlineStr">
        <is>
          <t>АЗС</t>
        </is>
      </c>
      <c r="G1969" s="130" t="inlineStr">
        <is>
          <t>Лукойл</t>
        </is>
      </c>
      <c r="H1969" s="131" t="n"/>
      <c r="I1969" s="637" t="n">
        <v>66469</v>
      </c>
      <c r="J1969" s="637" t="inlineStr">
        <is>
          <t>EKT_LUK_66469</t>
        </is>
      </c>
      <c r="K1969" s="640" t="n">
        <v>1</v>
      </c>
      <c r="L1969" s="640" t="n">
        <v>0</v>
      </c>
      <c r="M1969" s="640" t="inlineStr">
        <is>
          <t>Samsung 32" вертикальный</t>
        </is>
      </c>
      <c r="N1969" s="640" t="n"/>
      <c r="O1969" s="640">
        <f>IF(AND(N1969=1,L1969=1),K1969,"")</f>
        <v/>
      </c>
      <c r="P1969" s="642" t="inlineStr">
        <is>
          <t xml:space="preserve">г. Екатеринбург, ул. 8 Марта, 183а   </t>
        </is>
      </c>
      <c r="Q1969" s="640" t="n">
        <v>56.798817</v>
      </c>
      <c r="R1969" s="422" t="n">
        <v>60.612548</v>
      </c>
      <c r="S1969" s="387" t="n"/>
      <c r="T1969" s="387" t="n"/>
      <c r="U1969" s="436" t="n"/>
      <c r="V1969" s="387" t="n"/>
      <c r="W1969" s="387" t="n"/>
      <c r="X1969" s="1" t="n"/>
      <c r="Y1969" s="1" t="n"/>
    </row>
    <row r="1970" hidden="1" ht="16.05" customFormat="1" customHeight="1" s="126">
      <c r="A1970" s="125" t="n">
        <v>2588</v>
      </c>
      <c r="B1970" s="125" t="n"/>
      <c r="C1970" s="130" t="inlineStr">
        <is>
          <t>Екатеринбург</t>
        </is>
      </c>
      <c r="D1970" s="130" t="inlineStr">
        <is>
          <t>Екатеринбург</t>
        </is>
      </c>
      <c r="E1970" s="130" t="n"/>
      <c r="F1970" s="130" t="inlineStr">
        <is>
          <t>АЗС</t>
        </is>
      </c>
      <c r="G1970" s="130" t="inlineStr">
        <is>
          <t>Лукойл</t>
        </is>
      </c>
      <c r="H1970" s="131" t="n"/>
      <c r="I1970" s="637" t="n">
        <v>66475</v>
      </c>
      <c r="J1970" s="402" t="inlineStr">
        <is>
          <t>EKT_LUK_66475</t>
        </is>
      </c>
      <c r="K1970" s="640" t="n">
        <v>1</v>
      </c>
      <c r="L1970" s="640" t="n">
        <v>0</v>
      </c>
      <c r="M1970" s="640" t="inlineStr">
        <is>
          <t>Samsung 32" вертикальный</t>
        </is>
      </c>
      <c r="N1970" s="640" t="n"/>
      <c r="O1970" s="640">
        <f>IF(AND(N1970=1,L1970=1),K1970,"")</f>
        <v/>
      </c>
      <c r="P1970" s="642" t="inlineStr">
        <is>
          <t xml:space="preserve">г. Екатеринбург, ул. Пехотинцев, 8   </t>
        </is>
      </c>
      <c r="Q1970" s="640" t="n">
        <v>56.870165</v>
      </c>
      <c r="R1970" s="422" t="n">
        <v>60.550403</v>
      </c>
      <c r="S1970" s="387" t="n"/>
      <c r="T1970" s="387" t="n"/>
      <c r="U1970" s="436" t="n"/>
      <c r="V1970" s="387" t="n"/>
      <c r="W1970" s="387" t="n"/>
      <c r="X1970" s="1" t="n"/>
      <c r="Y1970" s="1" t="n"/>
    </row>
    <row r="1971" hidden="1" ht="16.05" customFormat="1" customHeight="1" s="126">
      <c r="A1971" s="125" t="n">
        <v>2589</v>
      </c>
      <c r="B1971" s="125" t="n"/>
      <c r="C1971" s="130" t="inlineStr">
        <is>
          <t>Екатеринбург</t>
        </is>
      </c>
      <c r="D1971" s="130" t="inlineStr">
        <is>
          <t>Екатеринбург</t>
        </is>
      </c>
      <c r="E1971" s="130" t="n"/>
      <c r="F1971" s="130" t="inlineStr">
        <is>
          <t>АЗС</t>
        </is>
      </c>
      <c r="G1971" s="130" t="inlineStr">
        <is>
          <t>Лукойл</t>
        </is>
      </c>
      <c r="H1971" s="131" t="n"/>
      <c r="I1971" s="637" t="n">
        <v>66477</v>
      </c>
      <c r="J1971" s="637" t="inlineStr">
        <is>
          <t>EKT_LUK_66477</t>
        </is>
      </c>
      <c r="K1971" s="640" t="n">
        <v>1</v>
      </c>
      <c r="L1971" s="640" t="n">
        <v>0</v>
      </c>
      <c r="M1971" s="640" t="inlineStr">
        <is>
          <t>Samsung 32" вертикальный</t>
        </is>
      </c>
      <c r="N1971" s="640" t="n"/>
      <c r="O1971" s="640">
        <f>IF(AND(N1971=1,L1971=1),K1971,"")</f>
        <v/>
      </c>
      <c r="P1971" s="642" t="inlineStr">
        <is>
          <t xml:space="preserve">г. Екатеринбург, пер. Базовый, 30   </t>
        </is>
      </c>
      <c r="Q1971" s="640" t="n">
        <v>56.808383</v>
      </c>
      <c r="R1971" s="422" t="n">
        <v>60.652838</v>
      </c>
      <c r="S1971" s="387" t="n"/>
      <c r="T1971" s="387" t="n"/>
      <c r="U1971" s="436" t="n"/>
      <c r="V1971" s="387" t="n"/>
      <c r="W1971" s="387" t="n"/>
      <c r="X1971" s="1" t="n"/>
      <c r="Y1971" s="1" t="n"/>
    </row>
    <row r="1972" hidden="1" ht="16.05" customFormat="1" customHeight="1" s="126">
      <c r="A1972" s="125" t="n">
        <v>2590</v>
      </c>
      <c r="B1972" s="125" t="n"/>
      <c r="C1972" s="130" t="inlineStr">
        <is>
          <t>Екатеринбург</t>
        </is>
      </c>
      <c r="D1972" s="130" t="inlineStr">
        <is>
          <t>Екатеринбург</t>
        </is>
      </c>
      <c r="E1972" s="130" t="n"/>
      <c r="F1972" s="130" t="inlineStr">
        <is>
          <t>АЗС</t>
        </is>
      </c>
      <c r="G1972" s="130" t="inlineStr">
        <is>
          <t>Лукойл</t>
        </is>
      </c>
      <c r="H1972" s="131" t="n"/>
      <c r="I1972" s="637" t="n">
        <v>66478</v>
      </c>
      <c r="J1972" s="637" t="inlineStr">
        <is>
          <t>EKT_LUK_66478</t>
        </is>
      </c>
      <c r="K1972" s="640" t="n">
        <v>1</v>
      </c>
      <c r="L1972" s="640" t="n">
        <v>0</v>
      </c>
      <c r="M1972" s="640" t="inlineStr">
        <is>
          <t>Samsung 32" вертикальный</t>
        </is>
      </c>
      <c r="N1972" s="640" t="n"/>
      <c r="O1972" s="640">
        <f>IF(AND(N1972=1,L1972=1),K1972,"")</f>
        <v/>
      </c>
      <c r="P1972" s="642" t="inlineStr">
        <is>
          <t xml:space="preserve">г. Екатеринбург, ул. Онуфриева, 23   </t>
        </is>
      </c>
      <c r="Q1972" s="640" t="n">
        <v>56.802218</v>
      </c>
      <c r="R1972" s="422" t="n">
        <v>60.544725</v>
      </c>
      <c r="S1972" s="387" t="n"/>
      <c r="T1972" s="387" t="n"/>
      <c r="U1972" s="436" t="n"/>
      <c r="V1972" s="387" t="n"/>
      <c r="W1972" s="387" t="n"/>
      <c r="X1972" s="1" t="n"/>
      <c r="Y1972" s="1" t="n"/>
    </row>
    <row r="1973" hidden="1" ht="16.05" customHeight="1">
      <c r="A1973" s="791" t="n">
        <v>2591</v>
      </c>
      <c r="B1973" s="13">
        <f>IF(OR(M1973="Sam 32",M1973="Sam 40"),"s",IF(M1973="AMS","a","v"))</f>
        <v/>
      </c>
      <c r="C1973" s="130" t="inlineStr">
        <is>
          <t>Екатеринбург</t>
        </is>
      </c>
      <c r="D1973" s="130" t="inlineStr">
        <is>
          <t>Екатеринбург</t>
        </is>
      </c>
      <c r="E1973" s="130" t="n"/>
      <c r="F1973" s="130" t="n"/>
      <c r="G1973" s="130" t="inlineStr">
        <is>
          <t>Лукойл</t>
        </is>
      </c>
      <c r="H1973" s="131" t="n"/>
      <c r="I1973" s="637" t="n">
        <v>66484</v>
      </c>
      <c r="J1973" s="402" t="n"/>
      <c r="K1973" s="640" t="n">
        <v>1</v>
      </c>
      <c r="L1973" s="640" t="n">
        <v>0</v>
      </c>
      <c r="M1973" s="640" t="inlineStr">
        <is>
          <t>Sam 32</t>
        </is>
      </c>
      <c r="N1973" s="640" t="n"/>
      <c r="O1973" s="640">
        <f>IF(AND(N1973=1,L1973=1),K1973,"")</f>
        <v/>
      </c>
      <c r="P1973" s="642" t="inlineStr">
        <is>
          <t xml:space="preserve">г. Екатеринбург, г. Богданович, а/д Екатеринбург-Тюмень, 105+800 (левая сторона)   </t>
        </is>
      </c>
      <c r="Q1973" s="640" t="n"/>
      <c r="R1973" s="422" t="n"/>
      <c r="U1973" s="436" t="n"/>
      <c r="X1973" s="1" t="n"/>
      <c r="Y1973" s="1" t="n"/>
      <c r="Z1973" s="1" t="n"/>
    </row>
    <row r="1974" hidden="1" ht="16.05" customFormat="1" customHeight="1" s="126">
      <c r="A1974" s="125" t="n">
        <v>2592</v>
      </c>
      <c r="B1974" s="125" t="n"/>
      <c r="C1974" s="130" t="inlineStr">
        <is>
          <t>Екатеринбург</t>
        </is>
      </c>
      <c r="D1974" s="130" t="inlineStr">
        <is>
          <t>Екатеринбург</t>
        </is>
      </c>
      <c r="E1974" s="130" t="n"/>
      <c r="F1974" s="130" t="n"/>
      <c r="G1974" s="130" t="inlineStr">
        <is>
          <t>Лукойл</t>
        </is>
      </c>
      <c r="H1974" s="131" t="n"/>
      <c r="I1974" s="637" t="n">
        <v>66488</v>
      </c>
      <c r="J1974" s="402" t="inlineStr">
        <is>
          <t>EKT_LUK_66488</t>
        </is>
      </c>
      <c r="K1974" s="640" t="n">
        <v>1</v>
      </c>
      <c r="L1974" s="640" t="n">
        <v>0</v>
      </c>
      <c r="M1974" s="640" t="inlineStr">
        <is>
          <t>Sam 32</t>
        </is>
      </c>
      <c r="N1974" s="640" t="n"/>
      <c r="O1974" s="640">
        <f>IF(AND(N1974=1,L1974=1),K1974,"")</f>
        <v/>
      </c>
      <c r="P1974" s="642" t="inlineStr">
        <is>
          <t xml:space="preserve">г. Екатеринбург, дублер Сибирского тракта, 6 км (напротив т/к Метро)   </t>
        </is>
      </c>
      <c r="Q1974" s="640" t="n">
        <v>56.821836</v>
      </c>
      <c r="R1974" s="422" t="n">
        <v>60.705674</v>
      </c>
      <c r="S1974" s="387" t="n"/>
      <c r="T1974" s="387" t="n"/>
      <c r="U1974" s="436" t="n"/>
      <c r="V1974" s="387" t="n"/>
      <c r="W1974" s="387" t="n"/>
      <c r="X1974" s="1" t="n"/>
      <c r="Y1974" s="1" t="n"/>
    </row>
    <row r="1975" hidden="1" ht="16.05" customFormat="1" customHeight="1" s="126">
      <c r="A1975" s="125" t="n">
        <v>2593</v>
      </c>
      <c r="B1975" s="125" t="n"/>
      <c r="C1975" s="130" t="inlineStr">
        <is>
          <t>Екатеринбург</t>
        </is>
      </c>
      <c r="D1975" s="130" t="inlineStr">
        <is>
          <t>Екатеринбург</t>
        </is>
      </c>
      <c r="E1975" s="130" t="n"/>
      <c r="F1975" s="130" t="inlineStr">
        <is>
          <t>АЗС</t>
        </is>
      </c>
      <c r="G1975" s="130" t="inlineStr">
        <is>
          <t>Лукойл</t>
        </is>
      </c>
      <c r="H1975" s="131" t="n"/>
      <c r="I1975" s="637" t="n">
        <v>66498</v>
      </c>
      <c r="J1975" s="637" t="inlineStr">
        <is>
          <t>EKT_LUK_66498</t>
        </is>
      </c>
      <c r="K1975" s="640" t="n">
        <v>1</v>
      </c>
      <c r="L1975" s="640" t="n">
        <v>0</v>
      </c>
      <c r="M1975" s="640" t="inlineStr">
        <is>
          <t>Samsung 32" вертикальный</t>
        </is>
      </c>
      <c r="N1975" s="640" t="n"/>
      <c r="O1975" s="640">
        <f>IF(AND(N1975=1,L1975=1),K1975,"")</f>
        <v/>
      </c>
      <c r="P1975" s="642" t="inlineStr">
        <is>
          <t xml:space="preserve">г. Екатеринбург, ул. Блюхера, 91    </t>
        </is>
      </c>
      <c r="Q1975" s="640" t="n">
        <v>56.863326</v>
      </c>
      <c r="R1975" s="422" t="n">
        <v>60.664633</v>
      </c>
      <c r="S1975" s="387" t="n"/>
      <c r="T1975" s="387" t="n"/>
      <c r="U1975" s="436" t="n"/>
      <c r="V1975" s="387" t="n"/>
      <c r="W1975" s="387" t="n"/>
      <c r="X1975" s="1" t="n"/>
      <c r="Y1975" s="1" t="n"/>
    </row>
    <row r="1976" hidden="1" ht="16.05" customFormat="1" customHeight="1" s="126">
      <c r="A1976" s="845" t="n">
        <v>2594</v>
      </c>
      <c r="B1976" s="127" t="n"/>
      <c r="C1976" s="130" t="inlineStr">
        <is>
          <t>Ижевск</t>
        </is>
      </c>
      <c r="D1976" s="130" t="inlineStr">
        <is>
          <t>Ижевск</t>
        </is>
      </c>
      <c r="E1976" s="130" t="n"/>
      <c r="F1976" s="130" t="inlineStr">
        <is>
          <t>АЗС</t>
        </is>
      </c>
      <c r="G1976" s="130" t="inlineStr">
        <is>
          <t>Лукойл</t>
        </is>
      </c>
      <c r="H1976" s="131" t="n"/>
      <c r="I1976" s="637" t="n">
        <v>18001</v>
      </c>
      <c r="J1976" s="637" t="inlineStr">
        <is>
          <t>IZE_LUK_18001</t>
        </is>
      </c>
      <c r="K1976" s="640" t="n">
        <v>1</v>
      </c>
      <c r="L1976" s="640" t="n">
        <v>0</v>
      </c>
      <c r="M1976" s="640" t="inlineStr">
        <is>
          <t>Samsung 32" вертикальный</t>
        </is>
      </c>
      <c r="N1976" s="640" t="n"/>
      <c r="O1976" s="640">
        <f>IF(AND(N1976=1,L1976=1),K1976,"")</f>
        <v/>
      </c>
      <c r="P1976" s="642" t="inlineStr">
        <is>
          <t xml:space="preserve">г. Ижевск, ул. Маяковского, д. 26   </t>
        </is>
      </c>
      <c r="Q1976" s="640" t="n">
        <v>56.817227</v>
      </c>
      <c r="R1976" s="422" t="n">
        <v>53.200648</v>
      </c>
      <c r="S1976" s="387" t="n"/>
      <c r="T1976" s="387" t="n"/>
      <c r="U1976" s="436" t="n"/>
      <c r="V1976" s="387" t="n"/>
      <c r="W1976" s="387" t="n"/>
      <c r="X1976" s="1" t="n"/>
      <c r="Y1976" s="1" t="n"/>
    </row>
    <row r="1977" hidden="1" ht="16.05" customFormat="1" customHeight="1" s="126">
      <c r="A1977" s="845" t="n">
        <v>2595</v>
      </c>
      <c r="B1977" s="127" t="n"/>
      <c r="C1977" s="130" t="inlineStr">
        <is>
          <t>Ижевск</t>
        </is>
      </c>
      <c r="D1977" s="130" t="inlineStr">
        <is>
          <t>Ижевск</t>
        </is>
      </c>
      <c r="E1977" s="130" t="n"/>
      <c r="F1977" s="130" t="inlineStr">
        <is>
          <t>АЗС</t>
        </is>
      </c>
      <c r="G1977" s="130" t="inlineStr">
        <is>
          <t>Лукойл</t>
        </is>
      </c>
      <c r="H1977" s="131" t="n"/>
      <c r="I1977" s="637" t="n">
        <v>18002</v>
      </c>
      <c r="J1977" s="637" t="inlineStr">
        <is>
          <t>IZE_LUK_18002</t>
        </is>
      </c>
      <c r="K1977" s="640" t="n">
        <v>1</v>
      </c>
      <c r="L1977" s="640" t="n">
        <v>0</v>
      </c>
      <c r="M1977" s="640" t="inlineStr">
        <is>
          <t>Samsung 32" вертикальный</t>
        </is>
      </c>
      <c r="N1977" s="640" t="n"/>
      <c r="O1977" s="640">
        <f>IF(AND(N1977=1,L1977=1),K1977,"")</f>
        <v/>
      </c>
      <c r="P1977" s="642" t="inlineStr">
        <is>
          <t xml:space="preserve">г. Ижевск, ул. Камбарская, д. 51   </t>
        </is>
      </c>
      <c r="Q1977" s="640" t="n">
        <v>56.839937</v>
      </c>
      <c r="R1977" s="422" t="n">
        <v>53.300953</v>
      </c>
      <c r="S1977" s="387" t="n"/>
      <c r="T1977" s="387" t="n"/>
      <c r="U1977" s="436" t="n"/>
      <c r="V1977" s="387" t="n"/>
      <c r="W1977" s="387" t="n"/>
      <c r="X1977" s="1" t="n"/>
      <c r="Y1977" s="1" t="n"/>
    </row>
    <row r="1978" hidden="1" ht="16.05" customFormat="1" customHeight="1" s="126">
      <c r="A1978" s="845" t="n">
        <v>2596</v>
      </c>
      <c r="B1978" s="127" t="n"/>
      <c r="C1978" s="130" t="inlineStr">
        <is>
          <t>Ижевск</t>
        </is>
      </c>
      <c r="D1978" s="130" t="inlineStr">
        <is>
          <t>Ижевск</t>
        </is>
      </c>
      <c r="E1978" s="130" t="n"/>
      <c r="F1978" s="130" t="inlineStr">
        <is>
          <t>АЗС</t>
        </is>
      </c>
      <c r="G1978" s="130" t="inlineStr">
        <is>
          <t>Лукойл</t>
        </is>
      </c>
      <c r="H1978" s="131" t="n"/>
      <c r="I1978" s="637" t="n">
        <v>18003</v>
      </c>
      <c r="J1978" s="637" t="inlineStr">
        <is>
          <t>IZE_LUK_18003</t>
        </is>
      </c>
      <c r="K1978" s="640" t="n">
        <v>1</v>
      </c>
      <c r="L1978" s="640" t="n">
        <v>0</v>
      </c>
      <c r="M1978" s="640" t="inlineStr">
        <is>
          <t>Samsung 32" вертикальный</t>
        </is>
      </c>
      <c r="N1978" s="640" t="n"/>
      <c r="O1978" s="640">
        <f>IF(AND(N1978=1,L1978=1),K1978,"")</f>
        <v/>
      </c>
      <c r="P1978" s="642" t="inlineStr">
        <is>
          <t xml:space="preserve">г. Ижевск, ш. Воткинское, д. 296   </t>
        </is>
      </c>
      <c r="Q1978" s="640" t="n">
        <v>56.903219</v>
      </c>
      <c r="R1978" s="422" t="n">
        <v>53.33606</v>
      </c>
      <c r="S1978" s="387" t="n"/>
      <c r="T1978" s="387" t="n"/>
      <c r="U1978" s="436" t="n"/>
      <c r="V1978" s="387" t="n"/>
      <c r="W1978" s="387" t="n"/>
      <c r="X1978" s="1" t="n"/>
      <c r="Y1978" s="1" t="n"/>
    </row>
    <row r="1979" hidden="1" ht="16.05" customFormat="1" customHeight="1" s="126">
      <c r="A1979" s="845" t="n">
        <v>2597</v>
      </c>
      <c r="B1979" s="127" t="n"/>
      <c r="C1979" s="130" t="inlineStr">
        <is>
          <t>Ижевск</t>
        </is>
      </c>
      <c r="D1979" s="130" t="inlineStr">
        <is>
          <t>Ижевск</t>
        </is>
      </c>
      <c r="E1979" s="130" t="n"/>
      <c r="F1979" s="130" t="inlineStr">
        <is>
          <t>АЗС</t>
        </is>
      </c>
      <c r="G1979" s="130" t="inlineStr">
        <is>
          <t>Лукойл</t>
        </is>
      </c>
      <c r="H1979" s="131" t="n"/>
      <c r="I1979" s="637" t="n">
        <v>18004</v>
      </c>
      <c r="J1979" s="637" t="inlineStr">
        <is>
          <t>IZE_LUK_18004</t>
        </is>
      </c>
      <c r="K1979" s="640" t="n">
        <v>1</v>
      </c>
      <c r="L1979" s="640" t="n">
        <v>0</v>
      </c>
      <c r="M1979" s="640" t="inlineStr">
        <is>
          <t>Samsung 32" вертикальный</t>
        </is>
      </c>
      <c r="N1979" s="640" t="n"/>
      <c r="O1979" s="640">
        <f>IF(AND(N1979=1,L1979=1),K1979,"")</f>
        <v/>
      </c>
      <c r="P1979" s="642" t="inlineStr">
        <is>
          <t xml:space="preserve">г. Ижевск, ул. Буммашевская, д. 1   </t>
        </is>
      </c>
      <c r="Q1979" s="640" t="n">
        <v>56.882899</v>
      </c>
      <c r="R1979" s="422" t="n">
        <v>53.22686</v>
      </c>
      <c r="S1979" s="387" t="n"/>
      <c r="T1979" s="387" t="n"/>
      <c r="U1979" s="436" t="n"/>
      <c r="V1979" s="387" t="n"/>
      <c r="W1979" s="387" t="n"/>
      <c r="X1979" s="1" t="n"/>
      <c r="Y1979" s="1" t="n"/>
    </row>
    <row r="1980" hidden="1" ht="16.05" customFormat="1" customHeight="1" s="126">
      <c r="A1980" s="845" t="n">
        <v>2598</v>
      </c>
      <c r="B1980" s="127" t="n"/>
      <c r="C1980" s="130" t="inlineStr">
        <is>
          <t>Ижевск</t>
        </is>
      </c>
      <c r="D1980" s="130" t="inlineStr">
        <is>
          <t>Ижевск</t>
        </is>
      </c>
      <c r="E1980" s="130" t="n"/>
      <c r="F1980" s="130" t="inlineStr">
        <is>
          <t>АЗС</t>
        </is>
      </c>
      <c r="G1980" s="130" t="inlineStr">
        <is>
          <t>Лукойл</t>
        </is>
      </c>
      <c r="H1980" s="131" t="n"/>
      <c r="I1980" s="637" t="n">
        <v>18005</v>
      </c>
      <c r="J1980" s="637" t="inlineStr">
        <is>
          <t>IZE_LUK_18005</t>
        </is>
      </c>
      <c r="K1980" s="640" t="n">
        <v>1</v>
      </c>
      <c r="L1980" s="640" t="n">
        <v>0</v>
      </c>
      <c r="M1980" s="640" t="inlineStr">
        <is>
          <t>Samsung 32" вертикальный</t>
        </is>
      </c>
      <c r="N1980" s="640" t="n"/>
      <c r="O1980" s="640">
        <f>IF(AND(N1980=1,L1980=1),K1980,"")</f>
        <v/>
      </c>
      <c r="P1980" s="642" t="inlineStr">
        <is>
          <t xml:space="preserve">г. Ижевск, Як-Бодьинский тракт, 7 км   </t>
        </is>
      </c>
      <c r="Q1980" s="640" t="n">
        <v>56.893046</v>
      </c>
      <c r="R1980" s="422" t="n">
        <v>53.154193</v>
      </c>
      <c r="S1980" s="387" t="n"/>
      <c r="T1980" s="387" t="n"/>
      <c r="U1980" s="436" t="n"/>
      <c r="V1980" s="387" t="n"/>
      <c r="W1980" s="387" t="n"/>
      <c r="X1980" s="1" t="n"/>
      <c r="Y1980" s="1" t="n"/>
    </row>
    <row r="1981" hidden="1" ht="16.05" customFormat="1" customHeight="1" s="126">
      <c r="A1981" s="845" t="n">
        <v>2599</v>
      </c>
      <c r="B1981" s="127" t="n"/>
      <c r="C1981" s="130" t="inlineStr">
        <is>
          <t>Ижевск</t>
        </is>
      </c>
      <c r="D1981" s="130" t="inlineStr">
        <is>
          <t>Ижевск</t>
        </is>
      </c>
      <c r="E1981" s="130" t="n"/>
      <c r="F1981" s="130" t="inlineStr">
        <is>
          <t>АЗС</t>
        </is>
      </c>
      <c r="G1981" s="130" t="inlineStr">
        <is>
          <t>Лукойл</t>
        </is>
      </c>
      <c r="H1981" s="131" t="n"/>
      <c r="I1981" s="637" t="n">
        <v>18006</v>
      </c>
      <c r="J1981" s="637" t="inlineStr">
        <is>
          <t>IZE_LUK_18006</t>
        </is>
      </c>
      <c r="K1981" s="640" t="n">
        <v>1</v>
      </c>
      <c r="L1981" s="640" t="n">
        <v>0</v>
      </c>
      <c r="M1981" s="640" t="inlineStr">
        <is>
          <t>Samsung 32" вертикальный</t>
        </is>
      </c>
      <c r="N1981" s="640" t="n"/>
      <c r="O1981" s="640">
        <f>IF(AND(N1981=1,L1981=1),K1981,"")</f>
        <v/>
      </c>
      <c r="P1981" s="642" t="inlineStr">
        <is>
          <t xml:space="preserve">г. Ижевск, ул. Азина, д. 342   </t>
        </is>
      </c>
      <c r="Q1981" s="640" t="n">
        <v>56.792261</v>
      </c>
      <c r="R1981" s="422" t="n">
        <v>53.157816</v>
      </c>
      <c r="S1981" s="387" t="n"/>
      <c r="T1981" s="387" t="n"/>
      <c r="U1981" s="436" t="n"/>
      <c r="V1981" s="387" t="n"/>
      <c r="W1981" s="387" t="n"/>
      <c r="X1981" s="1" t="n"/>
      <c r="Y1981" s="1" t="n"/>
    </row>
    <row r="1982" hidden="1" ht="16.05" customHeight="1">
      <c r="A1982" s="791" t="n">
        <v>2600</v>
      </c>
      <c r="B1982" s="13">
        <f>IF(OR(M1982="Sam 32",M1982="Sam 40"),"s",IF(M1982="AMS","a","v"))</f>
        <v/>
      </c>
      <c r="C1982" s="130" t="inlineStr">
        <is>
          <t>Ижевск</t>
        </is>
      </c>
      <c r="D1982" s="130" t="inlineStr">
        <is>
          <t>Ижевск</t>
        </is>
      </c>
      <c r="E1982" s="130" t="n"/>
      <c r="F1982" s="130" t="n"/>
      <c r="G1982" s="130" t="inlineStr">
        <is>
          <t>Лукойл</t>
        </is>
      </c>
      <c r="H1982" s="131" t="n"/>
      <c r="I1982" s="637" t="n">
        <v>18039</v>
      </c>
      <c r="J1982" s="402" t="n"/>
      <c r="K1982" s="640" t="n">
        <v>0</v>
      </c>
      <c r="L1982" s="640" t="n">
        <v>0</v>
      </c>
      <c r="M1982" s="640" t="inlineStr">
        <is>
          <t>Sam 32</t>
        </is>
      </c>
      <c r="N1982" s="640" t="n"/>
      <c r="O1982" s="640">
        <f>IF(AND(N1982=1,L1982=1),K1982,"")</f>
        <v/>
      </c>
      <c r="P1982" s="642" t="inlineStr">
        <is>
          <t xml:space="preserve">г. Ижевск, п. Вараксино, Шабердинский тракт   </t>
        </is>
      </c>
      <c r="Q1982" s="640" t="inlineStr">
        <is>
          <t>Установка до 1 июня</t>
        </is>
      </c>
      <c r="R1982" s="422" t="n"/>
      <c r="U1982" s="436" t="n"/>
      <c r="X1982" s="1" t="n"/>
      <c r="Y1982" s="1" t="n"/>
      <c r="Z1982" s="1" t="n"/>
    </row>
    <row r="1983" hidden="1" ht="16.05" customFormat="1" customHeight="1" s="126">
      <c r="A1983" s="845" t="n">
        <v>2601</v>
      </c>
      <c r="B1983" s="127" t="n"/>
      <c r="C1983" s="130" t="inlineStr">
        <is>
          <t>Ижевск</t>
        </is>
      </c>
      <c r="D1983" s="130" t="inlineStr">
        <is>
          <t>Ижевск</t>
        </is>
      </c>
      <c r="E1983" s="130" t="n"/>
      <c r="F1983" s="130" t="inlineStr">
        <is>
          <t>АЗС</t>
        </is>
      </c>
      <c r="G1983" s="130" t="inlineStr">
        <is>
          <t>Лукойл</t>
        </is>
      </c>
      <c r="H1983" s="131" t="n"/>
      <c r="I1983" s="637" t="n">
        <v>18040</v>
      </c>
      <c r="J1983" s="402" t="inlineStr">
        <is>
          <t>IZE_LUK_18040</t>
        </is>
      </c>
      <c r="K1983" s="640" t="n">
        <v>1</v>
      </c>
      <c r="L1983" s="640" t="n">
        <v>0</v>
      </c>
      <c r="M1983" s="640" t="inlineStr">
        <is>
          <t>Sam 32</t>
        </is>
      </c>
      <c r="N1983" s="640" t="n"/>
      <c r="O1983" s="640">
        <f>IF(AND(N1983=1,L1983=1),K1983,"")</f>
        <v/>
      </c>
      <c r="P1983" s="642" t="inlineStr">
        <is>
          <t xml:space="preserve">г. Ижевск, ул. Маяковского, д. 46   </t>
        </is>
      </c>
      <c r="Q1983" s="640" t="n">
        <v>56.810522</v>
      </c>
      <c r="R1983" s="422" t="n">
        <v>53.206172</v>
      </c>
      <c r="S1983" s="387" t="n"/>
      <c r="T1983" s="387" t="n"/>
      <c r="U1983" s="436" t="n"/>
      <c r="V1983" s="387" t="n"/>
      <c r="W1983" s="387" t="n"/>
      <c r="X1983" s="1" t="n"/>
      <c r="Y1983" s="1" t="n"/>
    </row>
    <row r="1984" hidden="1" ht="16.05" customFormat="1" customHeight="1" s="126">
      <c r="A1984" s="845" t="n">
        <v>2602</v>
      </c>
      <c r="B1984" s="127" t="n"/>
      <c r="C1984" s="130" t="inlineStr">
        <is>
          <t>Ижевск</t>
        </is>
      </c>
      <c r="D1984" s="130" t="inlineStr">
        <is>
          <t>Ижевск</t>
        </is>
      </c>
      <c r="E1984" s="130" t="n"/>
      <c r="F1984" s="130" t="inlineStr">
        <is>
          <t>АЗС</t>
        </is>
      </c>
      <c r="G1984" s="130" t="inlineStr">
        <is>
          <t>Лукойл</t>
        </is>
      </c>
      <c r="H1984" s="131" t="n"/>
      <c r="I1984" s="637" t="n">
        <v>18062</v>
      </c>
      <c r="J1984" s="637" t="inlineStr">
        <is>
          <t>IZE_LUK_18062</t>
        </is>
      </c>
      <c r="K1984" s="640" t="n">
        <v>1</v>
      </c>
      <c r="L1984" s="640" t="n">
        <v>0</v>
      </c>
      <c r="M1984" s="640" t="inlineStr">
        <is>
          <t>Samsung 32" вертикальный</t>
        </is>
      </c>
      <c r="N1984" s="640" t="n"/>
      <c r="O1984" s="640">
        <f>IF(AND(N1984=1,L1984=1),K1984,"")</f>
        <v/>
      </c>
      <c r="P1984" s="642" t="inlineStr">
        <is>
          <t xml:space="preserve">г. Ижевск, ул. Маяковского, 51   </t>
        </is>
      </c>
      <c r="Q1984" s="640" t="n">
        <v>56.810808</v>
      </c>
      <c r="R1984" s="422" t="n">
        <v>53.208032</v>
      </c>
      <c r="S1984" s="387" t="n"/>
      <c r="T1984" s="387" t="n"/>
      <c r="U1984" s="436" t="n"/>
      <c r="V1984" s="387" t="n"/>
      <c r="W1984" s="387" t="n"/>
      <c r="X1984" s="1" t="n"/>
      <c r="Y1984" s="1" t="n"/>
    </row>
    <row r="1985" hidden="1" ht="16.05" customFormat="1" customHeight="1" s="126">
      <c r="A1985" s="845" t="n">
        <v>2603</v>
      </c>
      <c r="B1985" s="127" t="n"/>
      <c r="C1985" s="130" t="inlineStr">
        <is>
          <t>Ижевск</t>
        </is>
      </c>
      <c r="D1985" s="130" t="inlineStr">
        <is>
          <t>Ижевск</t>
        </is>
      </c>
      <c r="E1985" s="130" t="n"/>
      <c r="F1985" s="130" t="inlineStr">
        <is>
          <t>АЗС</t>
        </is>
      </c>
      <c r="G1985" s="130" t="inlineStr">
        <is>
          <t>Лукойл</t>
        </is>
      </c>
      <c r="H1985" s="131" t="n"/>
      <c r="I1985" s="637" t="n">
        <v>18070</v>
      </c>
      <c r="J1985" s="637" t="inlineStr">
        <is>
          <t>IZE_LUK_18070</t>
        </is>
      </c>
      <c r="K1985" s="640" t="n">
        <v>1</v>
      </c>
      <c r="L1985" s="640" t="n">
        <v>0</v>
      </c>
      <c r="M1985" s="640" t="inlineStr">
        <is>
          <t>Samsung 32" вертикальный</t>
        </is>
      </c>
      <c r="N1985" s="640" t="n"/>
      <c r="O1985" s="640">
        <f>IF(AND(N1985=1,L1985=1),K1985,"")</f>
        <v/>
      </c>
      <c r="P1985" s="642" t="inlineStr">
        <is>
          <t xml:space="preserve">г. Ижевск, ул. Ленина, 186    </t>
        </is>
      </c>
      <c r="Q1985" s="640" t="n">
        <v>56.84034</v>
      </c>
      <c r="R1985" s="422" t="n">
        <v>53.306595</v>
      </c>
      <c r="S1985" s="387" t="n"/>
      <c r="T1985" s="387" t="n"/>
      <c r="U1985" s="436" t="n"/>
      <c r="V1985" s="387" t="n"/>
      <c r="W1985" s="387" t="n"/>
      <c r="X1985" s="1" t="n"/>
      <c r="Y1985" s="1" t="n"/>
    </row>
    <row r="1986" hidden="1" ht="16.05" customFormat="1" customHeight="1" s="126">
      <c r="A1986" s="845" t="n">
        <v>2604</v>
      </c>
      <c r="B1986" s="127" t="n"/>
      <c r="C1986" s="130" t="inlineStr">
        <is>
          <t>Ижевск</t>
        </is>
      </c>
      <c r="D1986" s="130" t="inlineStr">
        <is>
          <t>Ижевск</t>
        </is>
      </c>
      <c r="E1986" s="130" t="n"/>
      <c r="F1986" s="130" t="inlineStr">
        <is>
          <t>АЗС</t>
        </is>
      </c>
      <c r="G1986" s="130" t="inlineStr">
        <is>
          <t>Лукойл</t>
        </is>
      </c>
      <c r="H1986" s="131" t="n"/>
      <c r="I1986" s="637" t="n">
        <v>18074</v>
      </c>
      <c r="J1986" s="637" t="inlineStr">
        <is>
          <t>IZE_LUK_18074</t>
        </is>
      </c>
      <c r="K1986" s="640" t="n">
        <v>1</v>
      </c>
      <c r="L1986" s="640" t="n">
        <v>0</v>
      </c>
      <c r="M1986" s="640" t="inlineStr">
        <is>
          <t>Samsung 32" вертикальный</t>
        </is>
      </c>
      <c r="N1986" s="640" t="n"/>
      <c r="O1986" s="640">
        <f>IF(AND(N1986=1,L1986=1),K1986,"")</f>
        <v/>
      </c>
      <c r="P1986" s="642" t="inlineStr">
        <is>
          <t xml:space="preserve">г. Ижевск, ул. Клубная, д. 34   </t>
        </is>
      </c>
      <c r="Q1986" s="640" t="n">
        <v>56.831241</v>
      </c>
      <c r="R1986" s="422" t="n">
        <v>53.149057</v>
      </c>
      <c r="S1986" s="387" t="n"/>
      <c r="T1986" s="387" t="n"/>
      <c r="U1986" s="436" t="n"/>
      <c r="V1986" s="387" t="n"/>
      <c r="W1986" s="387" t="n"/>
      <c r="X1986" s="1" t="n"/>
      <c r="Y1986" s="1" t="n"/>
    </row>
    <row r="1987" hidden="1" ht="16.05" customFormat="1" customHeight="1" s="126">
      <c r="A1987" s="845" t="n">
        <v>2605</v>
      </c>
      <c r="B1987" s="127" t="n"/>
      <c r="C1987" s="130" t="inlineStr">
        <is>
          <t>Ижевск</t>
        </is>
      </c>
      <c r="D1987" s="130" t="inlineStr">
        <is>
          <t>Ижевск</t>
        </is>
      </c>
      <c r="E1987" s="130" t="n"/>
      <c r="F1987" s="130" t="inlineStr">
        <is>
          <t>АЗС</t>
        </is>
      </c>
      <c r="G1987" s="130" t="inlineStr">
        <is>
          <t>Лукойл</t>
        </is>
      </c>
      <c r="H1987" s="131" t="n"/>
      <c r="I1987" s="637" t="n">
        <v>18098</v>
      </c>
      <c r="J1987" s="637" t="inlineStr">
        <is>
          <t>IZE_LUK_18098</t>
        </is>
      </c>
      <c r="K1987" s="640" t="n">
        <v>1</v>
      </c>
      <c r="L1987" s="640" t="n">
        <v>0</v>
      </c>
      <c r="M1987" s="640" t="inlineStr">
        <is>
          <t>Samsung 32" вертикальный</t>
        </is>
      </c>
      <c r="N1987" s="640" t="n"/>
      <c r="O1987" s="640">
        <f>IF(AND(N1987=1,L1987=1),K1987,"")</f>
        <v/>
      </c>
      <c r="P1987" s="642" t="inlineStr">
        <is>
          <t xml:space="preserve">г. Ижевск, ул. Карла Либкнехта, д. 4   </t>
        </is>
      </c>
      <c r="Q1987" s="640" t="n">
        <v>56.836859</v>
      </c>
      <c r="R1987" s="422" t="n">
        <v>53.204124</v>
      </c>
      <c r="S1987" s="387" t="n"/>
      <c r="T1987" s="387" t="n"/>
      <c r="U1987" s="436" t="n"/>
      <c r="V1987" s="387" t="n"/>
      <c r="W1987" s="387" t="n"/>
      <c r="X1987" s="1" t="n"/>
      <c r="Y1987" s="1" t="n"/>
    </row>
    <row r="1988" hidden="1" ht="16.05" customFormat="1" customHeight="1" s="126">
      <c r="A1988" s="845" t="n">
        <v>2606</v>
      </c>
      <c r="B1988" s="127" t="n"/>
      <c r="C1988" s="130" t="inlineStr">
        <is>
          <t>Ижевск</t>
        </is>
      </c>
      <c r="D1988" s="130" t="inlineStr">
        <is>
          <t>Ижевск</t>
        </is>
      </c>
      <c r="E1988" s="130" t="n"/>
      <c r="F1988" s="130" t="inlineStr">
        <is>
          <t>АЗС</t>
        </is>
      </c>
      <c r="G1988" s="130" t="inlineStr">
        <is>
          <t>Лукойл</t>
        </is>
      </c>
      <c r="H1988" s="131" t="n"/>
      <c r="I1988" s="637" t="n">
        <v>18099</v>
      </c>
      <c r="J1988" s="637" t="inlineStr">
        <is>
          <t>IZE_LUK_18099</t>
        </is>
      </c>
      <c r="K1988" s="640" t="n">
        <v>1</v>
      </c>
      <c r="L1988" s="640" t="n">
        <v>0</v>
      </c>
      <c r="M1988" s="640" t="inlineStr">
        <is>
          <t>Samsung 32" вертикальный</t>
        </is>
      </c>
      <c r="N1988" s="640" t="n"/>
      <c r="O1988" s="640">
        <f>IF(AND(N1988=1,L1988=1),K1988,"")</f>
        <v/>
      </c>
      <c r="P1988" s="642" t="inlineStr">
        <is>
          <t xml:space="preserve">г. Ижевск, ш. Славянское, 0/17   </t>
        </is>
      </c>
      <c r="Q1988" s="640" t="n">
        <v>56.948008</v>
      </c>
      <c r="R1988" s="422" t="n">
        <v>53.221623</v>
      </c>
      <c r="S1988" s="387" t="n"/>
      <c r="T1988" s="387" t="n"/>
      <c r="U1988" s="436" t="n"/>
      <c r="V1988" s="387" t="n"/>
      <c r="W1988" s="387" t="n"/>
      <c r="X1988" s="1" t="n"/>
      <c r="Y1988" s="1" t="n"/>
    </row>
    <row r="1989" hidden="1" ht="16.05" customFormat="1" customHeight="1" s="126">
      <c r="A1989" s="845" t="n">
        <v>2607</v>
      </c>
      <c r="B1989" s="127" t="n"/>
      <c r="C1989" s="130" t="inlineStr">
        <is>
          <t>Ижевск</t>
        </is>
      </c>
      <c r="D1989" s="130" t="inlineStr">
        <is>
          <t>Ижевск</t>
        </is>
      </c>
      <c r="E1989" s="130" t="n"/>
      <c r="F1989" s="130" t="inlineStr">
        <is>
          <t>АЗС</t>
        </is>
      </c>
      <c r="G1989" s="130" t="inlineStr">
        <is>
          <t>Лукойл</t>
        </is>
      </c>
      <c r="H1989" s="131" t="n"/>
      <c r="I1989" s="637" t="n">
        <v>18100</v>
      </c>
      <c r="J1989" s="637" t="inlineStr">
        <is>
          <t>IZE_LUK_18100</t>
        </is>
      </c>
      <c r="K1989" s="640" t="n">
        <v>1</v>
      </c>
      <c r="L1989" s="640" t="n">
        <v>0</v>
      </c>
      <c r="M1989" s="640" t="inlineStr">
        <is>
          <t>Samsung 32" вертикальный</t>
        </is>
      </c>
      <c r="N1989" s="640" t="n"/>
      <c r="O1989" s="640">
        <f>IF(AND(N1989=1,L1989=1),K1989,"")</f>
        <v/>
      </c>
      <c r="P1989" s="642" t="inlineStr">
        <is>
          <t xml:space="preserve">г. Ижевск, ш. Воткинское, д. 17а   </t>
        </is>
      </c>
      <c r="Q1989" s="640" t="n">
        <v>56.889154</v>
      </c>
      <c r="R1989" s="422" t="n">
        <v>53.23729</v>
      </c>
      <c r="S1989" s="387" t="n"/>
      <c r="T1989" s="387" t="n"/>
      <c r="U1989" s="436" t="n"/>
      <c r="V1989" s="387" t="n"/>
      <c r="W1989" s="387" t="n"/>
      <c r="X1989" s="1" t="n"/>
      <c r="Y1989" s="1" t="n"/>
    </row>
    <row r="1990" hidden="1" ht="16.05" customHeight="1">
      <c r="A1990" s="791" t="n">
        <v>2608</v>
      </c>
      <c r="B1990" s="13">
        <f>IF(OR(M1990="Sam 32",M1990="Sam 40"),"s",IF(M1990="AMS","a","v"))</f>
        <v/>
      </c>
      <c r="C1990" s="130" t="inlineStr">
        <is>
          <t>Ижевск</t>
        </is>
      </c>
      <c r="D1990" s="130" t="inlineStr">
        <is>
          <t>Ижевск</t>
        </is>
      </c>
      <c r="E1990" s="130" t="n"/>
      <c r="F1990" s="130" t="n"/>
      <c r="G1990" s="130" t="inlineStr">
        <is>
          <t>Лукойл</t>
        </is>
      </c>
      <c r="H1990" s="131" t="n"/>
      <c r="I1990" s="637" t="n">
        <v>18101</v>
      </c>
      <c r="J1990" s="402" t="n"/>
      <c r="K1990" s="640" t="n">
        <v>0</v>
      </c>
      <c r="L1990" s="640" t="n">
        <v>0</v>
      </c>
      <c r="M1990" s="640" t="inlineStr">
        <is>
          <t>Sam 32</t>
        </is>
      </c>
      <c r="N1990" s="640" t="n"/>
      <c r="O1990" s="640">
        <f>IF(AND(N1990=1,L1990=1),K1990,"")</f>
        <v/>
      </c>
      <c r="P1990" s="642" t="inlineStr">
        <is>
          <t xml:space="preserve">г. Ижевск, ул. Карла Либкнехта, д. 3   </t>
        </is>
      </c>
      <c r="Q1990" s="640" t="n"/>
      <c r="R1990" s="422" t="n"/>
      <c r="U1990" s="436" t="n"/>
      <c r="X1990" s="1" t="n"/>
      <c r="Y1990" s="1" t="n"/>
      <c r="Z1990" s="1" t="n"/>
    </row>
    <row r="1991" hidden="1" ht="16.05" customHeight="1">
      <c r="A1991" s="791" t="n">
        <v>2609</v>
      </c>
      <c r="B1991" s="13">
        <f>IF(OR(M1991="Sam 32",M1991="Sam 40"),"s",IF(M1991="AMS","a","v"))</f>
        <v/>
      </c>
      <c r="C1991" s="130" t="inlineStr">
        <is>
          <t>Ижевск</t>
        </is>
      </c>
      <c r="D1991" s="130" t="inlineStr">
        <is>
          <t>Ижевск</t>
        </is>
      </c>
      <c r="E1991" s="130" t="n"/>
      <c r="F1991" s="130" t="n"/>
      <c r="G1991" s="130" t="inlineStr">
        <is>
          <t>Лукойл</t>
        </is>
      </c>
      <c r="H1991" s="131" t="n"/>
      <c r="I1991" s="637" t="n">
        <v>18102</v>
      </c>
      <c r="J1991" s="402" t="n"/>
      <c r="K1991" s="640" t="n">
        <v>0</v>
      </c>
      <c r="L1991" s="640" t="n">
        <v>0</v>
      </c>
      <c r="M1991" s="640" t="inlineStr">
        <is>
          <t>Sam 32</t>
        </is>
      </c>
      <c r="N1991" s="640" t="n"/>
      <c r="O1991" s="640">
        <f>IF(AND(N1991=1,L1991=1),K1991,"")</f>
        <v/>
      </c>
      <c r="P1991" s="642" t="inlineStr">
        <is>
          <t xml:space="preserve">г. Ижевск, ул. Удмуртская, д. 270   </t>
        </is>
      </c>
      <c r="Q1991" s="640" t="n"/>
      <c r="R1991" s="422" t="n"/>
      <c r="U1991" s="436" t="n"/>
      <c r="X1991" s="1" t="n"/>
      <c r="Y1991" s="1" t="n"/>
      <c r="Z1991" s="1" t="n"/>
    </row>
    <row r="1992" hidden="1" ht="16.05" customFormat="1" customHeight="1" s="126">
      <c r="A1992" s="845" t="n">
        <v>2610</v>
      </c>
      <c r="B1992" s="127" t="n"/>
      <c r="C1992" s="130" t="inlineStr">
        <is>
          <t>Ижевск</t>
        </is>
      </c>
      <c r="D1992" s="130" t="inlineStr">
        <is>
          <t>Ижевск</t>
        </is>
      </c>
      <c r="E1992" s="130" t="n"/>
      <c r="F1992" s="130" t="inlineStr">
        <is>
          <t>АЗС</t>
        </is>
      </c>
      <c r="G1992" s="130" t="inlineStr">
        <is>
          <t>Лукойл</t>
        </is>
      </c>
      <c r="H1992" s="131" t="n"/>
      <c r="I1992" s="637" t="n">
        <v>18103</v>
      </c>
      <c r="J1992" s="637" t="inlineStr">
        <is>
          <t>IZE_LUK_18103</t>
        </is>
      </c>
      <c r="K1992" s="640" t="n">
        <v>1</v>
      </c>
      <c r="L1992" s="640" t="n">
        <v>0</v>
      </c>
      <c r="M1992" s="640" t="inlineStr">
        <is>
          <t>Samsung 32" вертикальный</t>
        </is>
      </c>
      <c r="N1992" s="640" t="n"/>
      <c r="O1992" s="640">
        <f>IF(AND(N1992=1,L1992=1),K1992,"")</f>
        <v/>
      </c>
      <c r="P1992" s="642" t="inlineStr">
        <is>
          <t xml:space="preserve">г. Ижевск, ул. Мельничная, д. 2   </t>
        </is>
      </c>
      <c r="Q1992" s="640" t="n">
        <v>56.833683</v>
      </c>
      <c r="R1992" s="422" t="n">
        <v>53.258948</v>
      </c>
      <c r="S1992" s="387" t="n"/>
      <c r="T1992" s="387" t="n"/>
      <c r="U1992" s="436" t="n"/>
      <c r="V1992" s="387" t="n"/>
      <c r="W1992" s="387" t="n"/>
      <c r="X1992" s="1" t="n"/>
      <c r="Y1992" s="1" t="n"/>
    </row>
    <row r="1993" hidden="1" ht="16.05" customFormat="1" customHeight="1" s="126">
      <c r="A1993" s="845" t="n">
        <v>2611</v>
      </c>
      <c r="B1993" s="127" t="n"/>
      <c r="C1993" s="130" t="inlineStr">
        <is>
          <t>Ижевск</t>
        </is>
      </c>
      <c r="D1993" s="130" t="inlineStr">
        <is>
          <t>Ижевск</t>
        </is>
      </c>
      <c r="E1993" s="130" t="n"/>
      <c r="F1993" s="130" t="inlineStr">
        <is>
          <t>АЗС</t>
        </is>
      </c>
      <c r="G1993" s="130" t="inlineStr">
        <is>
          <t>Лукойл</t>
        </is>
      </c>
      <c r="H1993" s="131" t="n"/>
      <c r="I1993" s="637" t="n">
        <v>18105</v>
      </c>
      <c r="J1993" s="637" t="inlineStr">
        <is>
          <t>IZE_LUK_18105</t>
        </is>
      </c>
      <c r="K1993" s="640" t="n">
        <v>1</v>
      </c>
      <c r="L1993" s="640" t="n">
        <v>0</v>
      </c>
      <c r="M1993" s="640" t="inlineStr">
        <is>
          <t>Samsung 32" вертикальный</t>
        </is>
      </c>
      <c r="N1993" s="640" t="n"/>
      <c r="O1993" s="640">
        <f>IF(AND(N1993=1,L1993=1),K1993,"")</f>
        <v/>
      </c>
      <c r="P1993" s="642" t="inlineStr">
        <is>
          <t xml:space="preserve">г. Ижевск, ул. ВасилияЧугуевского, 11   </t>
        </is>
      </c>
      <c r="Q1993" s="640" t="n">
        <v>56.834358</v>
      </c>
      <c r="R1993" s="422" t="n">
        <v>53.229034</v>
      </c>
      <c r="S1993" s="387" t="n"/>
      <c r="T1993" s="387" t="n"/>
      <c r="U1993" s="436" t="n"/>
      <c r="V1993" s="387" t="n"/>
      <c r="W1993" s="387" t="n"/>
      <c r="X1993" s="1" t="n"/>
      <c r="Y1993" s="1" t="n"/>
    </row>
    <row r="1994" hidden="1" ht="16.05" customHeight="1">
      <c r="A1994" s="791" t="n">
        <v>2612</v>
      </c>
      <c r="B1994" s="13">
        <f>IF(OR(M1994="Sam 32",M1994="Sam 40"),"s",IF(M1994="AMS","a","v"))</f>
        <v/>
      </c>
      <c r="C1994" s="130" t="inlineStr">
        <is>
          <t>Челябинск</t>
        </is>
      </c>
      <c r="D1994" s="130" t="inlineStr">
        <is>
          <t>Челябинск</t>
        </is>
      </c>
      <c r="E1994" s="130" t="n"/>
      <c r="F1994" s="130" t="n"/>
      <c r="G1994" s="130" t="inlineStr">
        <is>
          <t>Лукойл</t>
        </is>
      </c>
      <c r="H1994" s="131" t="n"/>
      <c r="I1994" s="637" t="n">
        <v>74190</v>
      </c>
      <c r="J1994" s="402" t="inlineStr">
        <is>
          <t>CHL_LUK_74190</t>
        </is>
      </c>
      <c r="K1994" s="640" t="n">
        <v>1</v>
      </c>
      <c r="L1994" s="640" t="n">
        <v>0</v>
      </c>
      <c r="M1994" s="640" t="inlineStr">
        <is>
          <t>Sam 32</t>
        </is>
      </c>
      <c r="N1994" s="640" t="n"/>
      <c r="O1994" s="640">
        <f>IF(AND(N1994=1,L1994=1),K1994,"")</f>
        <v/>
      </c>
      <c r="P1994" s="642" t="inlineStr">
        <is>
          <t>Челябинская обл., Катав-Ивановский район, автодорога Самара-Уфа-Челябинск, 1608 км № 3</t>
        </is>
      </c>
      <c r="Q1994" s="640" t="n"/>
      <c r="R1994" s="422" t="n"/>
      <c r="U1994" s="436" t="n"/>
      <c r="X1994" s="1" t="n"/>
      <c r="Y1994" s="1" t="n"/>
      <c r="Z1994" s="1" t="n"/>
    </row>
    <row r="1995" hidden="1" ht="16.05" customHeight="1">
      <c r="A1995" s="791" t="n">
        <v>2613</v>
      </c>
      <c r="B1995" s="13">
        <f>IF(OR(M1995="Sam 32",M1995="Sam 40"),"s",IF(M1995="AMS","a","v"))</f>
        <v/>
      </c>
      <c r="C1995" s="130" t="inlineStr">
        <is>
          <t>Челябинск</t>
        </is>
      </c>
      <c r="D1995" s="130" t="inlineStr">
        <is>
          <t>Челябинск</t>
        </is>
      </c>
      <c r="E1995" s="130" t="n"/>
      <c r="F1995" s="130" t="n"/>
      <c r="G1995" s="130" t="inlineStr">
        <is>
          <t>Лукойл</t>
        </is>
      </c>
      <c r="H1995" s="131" t="n"/>
      <c r="I1995" s="637" t="n">
        <v>74191</v>
      </c>
      <c r="J1995" s="402" t="inlineStr">
        <is>
          <t>CHL_LUK_74191</t>
        </is>
      </c>
      <c r="K1995" s="640" t="n">
        <v>1</v>
      </c>
      <c r="L1995" s="640" t="n">
        <v>0</v>
      </c>
      <c r="M1995" s="640" t="inlineStr">
        <is>
          <t>Sam 32</t>
        </is>
      </c>
      <c r="N1995" s="640" t="n"/>
      <c r="O1995" s="640">
        <f>IF(AND(N1995=1,L1995=1),K1995,"")</f>
        <v/>
      </c>
      <c r="P1995" s="642" t="inlineStr">
        <is>
          <t xml:space="preserve">Челябинская обл., Катав-Ивановский район, автодорога Самара-Уфа-Челябинск, 1608 км № 3 </t>
        </is>
      </c>
      <c r="Q1995" s="640" t="n"/>
      <c r="R1995" s="422" t="n"/>
      <c r="U1995" s="436" t="n"/>
      <c r="X1995" s="1" t="n"/>
      <c r="Y1995" s="1" t="n"/>
      <c r="Z1995" s="1" t="n"/>
    </row>
    <row r="1996" hidden="1" ht="16.05" customFormat="1" customHeight="1" s="126">
      <c r="A1996" s="125" t="n">
        <v>2614</v>
      </c>
      <c r="B1996" s="125" t="n"/>
      <c r="C1996" s="130" t="inlineStr">
        <is>
          <t>Москва</t>
        </is>
      </c>
      <c r="D1996" s="130" t="inlineStr">
        <is>
          <t>Москва</t>
        </is>
      </c>
      <c r="E1996" s="130" t="n"/>
      <c r="F1996" s="130" t="inlineStr">
        <is>
          <t>Турагентство</t>
        </is>
      </c>
      <c r="G1996" s="130" t="inlineStr">
        <is>
          <t>Coral Travel</t>
        </is>
      </c>
      <c r="H1996" s="131" t="n"/>
      <c r="I1996" s="637" t="inlineStr">
        <is>
          <t>MSK_C001</t>
        </is>
      </c>
      <c r="J1996" s="402" t="inlineStr">
        <is>
          <t>MSK_C001</t>
        </is>
      </c>
      <c r="K1996" s="640" t="n">
        <v>1</v>
      </c>
      <c r="L1996" s="640" t="n">
        <v>0</v>
      </c>
      <c r="M1996" s="640" t="inlineStr">
        <is>
          <t>Sam 43</t>
        </is>
      </c>
      <c r="N1996" s="640" t="n"/>
      <c r="O1996" s="640">
        <f>IF(AND(N1996=1,L1996=1),K1996,"")</f>
        <v/>
      </c>
      <c r="P1996" s="642" t="inlineStr">
        <is>
          <t>г. Москва, ул. Профсоюзная, д. 56</t>
        </is>
      </c>
      <c r="Q1996" s="640" t="n">
        <v>55.669634</v>
      </c>
      <c r="R1996" s="422" t="n">
        <v>37.552919</v>
      </c>
      <c r="S1996" s="387" t="n"/>
      <c r="T1996" s="387" t="n"/>
      <c r="U1996" s="436" t="n">
        <v>2</v>
      </c>
      <c r="V1996" s="387" t="n"/>
      <c r="W1996" s="325" t="n"/>
      <c r="X1996" s="1" t="n"/>
      <c r="Y1996" s="1" t="n"/>
    </row>
    <row r="1997" hidden="1" ht="16.05" customFormat="1" customHeight="1" s="126">
      <c r="A1997" s="125" t="n">
        <v>2615</v>
      </c>
      <c r="B1997" s="125" t="n"/>
      <c r="C1997" s="130" t="inlineStr">
        <is>
          <t>Москва</t>
        </is>
      </c>
      <c r="D1997" s="130" t="inlineStr">
        <is>
          <t>Москва</t>
        </is>
      </c>
      <c r="E1997" s="130" t="n"/>
      <c r="F1997" s="130" t="inlineStr">
        <is>
          <t>Турагентство</t>
        </is>
      </c>
      <c r="G1997" s="130" t="inlineStr">
        <is>
          <t>Coral Travel</t>
        </is>
      </c>
      <c r="H1997" s="131" t="n"/>
      <c r="I1997" s="637" t="inlineStr">
        <is>
          <t>MSK_C002</t>
        </is>
      </c>
      <c r="J1997" s="402" t="inlineStr">
        <is>
          <t>MSK_C002</t>
        </is>
      </c>
      <c r="K1997" s="640" t="n">
        <v>1</v>
      </c>
      <c r="L1997" s="640" t="n">
        <v>0</v>
      </c>
      <c r="M1997" s="640" t="inlineStr">
        <is>
          <t>Sam 43</t>
        </is>
      </c>
      <c r="N1997" s="640" t="n"/>
      <c r="O1997" s="640">
        <f>IF(AND(N1997=1,L1997=1),K1997,"")</f>
        <v/>
      </c>
      <c r="P1997" s="642" t="inlineStr">
        <is>
          <t>г. Москва ,Севастопольский пр-т, д. 28, корп. 2</t>
        </is>
      </c>
      <c r="Q1997" s="640" t="n">
        <v>55.66452</v>
      </c>
      <c r="R1997" s="422" t="n">
        <v>37.578335</v>
      </c>
      <c r="S1997" s="387" t="n"/>
      <c r="T1997" s="387" t="n"/>
      <c r="U1997" s="436" t="n">
        <v>2</v>
      </c>
      <c r="V1997" s="387" t="n"/>
      <c r="W1997" s="325" t="n"/>
      <c r="X1997" s="1" t="n"/>
      <c r="Y1997" s="1" t="n"/>
    </row>
    <row r="1998" hidden="1" ht="16.05" customFormat="1" customHeight="1" s="126">
      <c r="A1998" s="125" t="n">
        <v>2616</v>
      </c>
      <c r="B1998" s="125" t="n"/>
      <c r="C1998" s="130" t="inlineStr">
        <is>
          <t>Москва</t>
        </is>
      </c>
      <c r="D1998" s="130" t="inlineStr">
        <is>
          <t>Москва</t>
        </is>
      </c>
      <c r="E1998" s="130" t="n"/>
      <c r="F1998" s="130" t="inlineStr">
        <is>
          <t>Турагентство</t>
        </is>
      </c>
      <c r="G1998" s="130" t="inlineStr">
        <is>
          <t>Coral Travel</t>
        </is>
      </c>
      <c r="H1998" s="131" t="n"/>
      <c r="I1998" s="637" t="inlineStr">
        <is>
          <t>MSK_C003</t>
        </is>
      </c>
      <c r="J1998" s="402" t="inlineStr">
        <is>
          <t>MSK_C003</t>
        </is>
      </c>
      <c r="K1998" s="640" t="n">
        <v>1</v>
      </c>
      <c r="L1998" s="640" t="n">
        <v>0</v>
      </c>
      <c r="M1998" s="640" t="inlineStr">
        <is>
          <t>Sam 43</t>
        </is>
      </c>
      <c r="N1998" s="640" t="n"/>
      <c r="O1998" s="640">
        <f>IF(AND(N1998=1,L1998=1),K1998,"")</f>
        <v/>
      </c>
      <c r="P1998" s="642" t="inlineStr">
        <is>
          <t>г. Москва, ул. Покрышкина д. 4</t>
        </is>
      </c>
      <c r="Q1998" s="640" t="n">
        <v>55.664996</v>
      </c>
      <c r="R1998" s="422" t="n">
        <v>37.48156</v>
      </c>
      <c r="S1998" s="387" t="n"/>
      <c r="T1998" s="387" t="n"/>
      <c r="U1998" s="436" t="n">
        <v>2</v>
      </c>
      <c r="V1998" s="387" t="n"/>
      <c r="W1998" s="325" t="n"/>
      <c r="X1998" s="1" t="n"/>
      <c r="Y1998" s="1" t="n"/>
    </row>
    <row r="1999" hidden="1" ht="16.05" customFormat="1" customHeight="1" s="126">
      <c r="A1999" s="125" t="n">
        <v>2617</v>
      </c>
      <c r="B1999" s="125" t="n"/>
      <c r="C1999" s="130" t="inlineStr">
        <is>
          <t>Москва</t>
        </is>
      </c>
      <c r="D1999" s="130" t="inlineStr">
        <is>
          <t>Москва</t>
        </is>
      </c>
      <c r="E1999" s="130" t="n"/>
      <c r="F1999" s="130" t="inlineStr">
        <is>
          <t>Турагентство</t>
        </is>
      </c>
      <c r="G1999" s="130" t="inlineStr">
        <is>
          <t>Coral Travel</t>
        </is>
      </c>
      <c r="H1999" s="131" t="n"/>
      <c r="I1999" s="637" t="inlineStr">
        <is>
          <t>MSK_C004</t>
        </is>
      </c>
      <c r="J1999" s="402" t="inlineStr">
        <is>
          <t>MSK_C004</t>
        </is>
      </c>
      <c r="K1999" s="640" t="n">
        <v>1</v>
      </c>
      <c r="L1999" s="640" t="n">
        <v>0</v>
      </c>
      <c r="M1999" s="640" t="inlineStr">
        <is>
          <t>Sam 43</t>
        </is>
      </c>
      <c r="N1999" s="640" t="n"/>
      <c r="O1999" s="640">
        <f>IF(AND(N1999=1,L1999=1),K1999,"")</f>
        <v/>
      </c>
      <c r="P1999" s="642" t="inlineStr">
        <is>
          <t>г. Москва, Ореховый бульвар, д. 22 А, ТРК "Облака"</t>
        </is>
      </c>
      <c r="Q1999" s="640" t="n">
        <v>55.61209</v>
      </c>
      <c r="R1999" s="422" t="n">
        <v>37.73148</v>
      </c>
      <c r="S1999" s="387" t="n"/>
      <c r="T1999" s="387" t="n"/>
      <c r="U1999" s="436" t="n">
        <v>2</v>
      </c>
      <c r="V1999" s="387" t="n"/>
      <c r="W1999" s="325" t="n"/>
      <c r="X1999" s="1" t="n"/>
      <c r="Y1999" s="1" t="n"/>
    </row>
    <row r="2000" hidden="1" ht="16.05" customFormat="1" customHeight="1" s="126">
      <c r="A2000" s="125" t="n">
        <v>2618</v>
      </c>
      <c r="B2000" s="125" t="n"/>
      <c r="C2000" s="130" t="inlineStr">
        <is>
          <t>Москва</t>
        </is>
      </c>
      <c r="D2000" s="130" t="inlineStr">
        <is>
          <t>Москва</t>
        </is>
      </c>
      <c r="E2000" s="130" t="n"/>
      <c r="F2000" s="130" t="inlineStr">
        <is>
          <t>Турагентство</t>
        </is>
      </c>
      <c r="G2000" s="130" t="inlineStr">
        <is>
          <t>Coral Travel</t>
        </is>
      </c>
      <c r="H2000" s="131" t="n"/>
      <c r="I2000" s="637" t="inlineStr">
        <is>
          <t>MSK_C005</t>
        </is>
      </c>
      <c r="J2000" s="402" t="inlineStr">
        <is>
          <t>MSK_C005</t>
        </is>
      </c>
      <c r="K2000" s="640" t="n">
        <v>1</v>
      </c>
      <c r="L2000" s="640" t="n">
        <v>0</v>
      </c>
      <c r="M2000" s="640" t="inlineStr">
        <is>
          <t>Sam 43</t>
        </is>
      </c>
      <c r="N2000" s="640" t="n"/>
      <c r="O2000" s="640">
        <f>IF(AND(N2000=1,L2000=1),K2000,"")</f>
        <v/>
      </c>
      <c r="P2000" s="642" t="inlineStr">
        <is>
          <t>г. Москва, ул. Люблинская, д. 153</t>
        </is>
      </c>
      <c r="Q2000" s="640" t="n">
        <v>55.658892</v>
      </c>
      <c r="R2000" s="422" t="n">
        <v>37.741615</v>
      </c>
      <c r="S2000" s="387" t="n"/>
      <c r="T2000" s="387" t="n"/>
      <c r="U2000" s="436" t="n">
        <v>2</v>
      </c>
      <c r="V2000" s="387" t="n"/>
      <c r="W2000" s="325" t="n"/>
      <c r="X2000" s="1" t="n"/>
      <c r="Y2000" s="1" t="n"/>
    </row>
    <row r="2001" hidden="1" ht="16.05" customFormat="1" customHeight="1" s="126">
      <c r="A2001" s="125" t="n">
        <v>2619</v>
      </c>
      <c r="B2001" s="125" t="n"/>
      <c r="C2001" s="130" t="inlineStr">
        <is>
          <t>Москва</t>
        </is>
      </c>
      <c r="D2001" s="130" t="inlineStr">
        <is>
          <t>Москва</t>
        </is>
      </c>
      <c r="E2001" s="130" t="n"/>
      <c r="F2001" s="130" t="inlineStr">
        <is>
          <t>Турагентство</t>
        </is>
      </c>
      <c r="G2001" s="130" t="inlineStr">
        <is>
          <t>Coral Travel</t>
        </is>
      </c>
      <c r="H2001" s="131" t="n"/>
      <c r="I2001" s="637" t="inlineStr">
        <is>
          <t>MSK_C006</t>
        </is>
      </c>
      <c r="J2001" s="402" t="inlineStr">
        <is>
          <t>MSK_C006</t>
        </is>
      </c>
      <c r="K2001" s="640" t="n">
        <v>1</v>
      </c>
      <c r="L2001" s="640" t="n">
        <v>0</v>
      </c>
      <c r="M2001" s="640" t="inlineStr">
        <is>
          <t>Sam 43</t>
        </is>
      </c>
      <c r="N2001" s="640" t="n"/>
      <c r="O2001" s="640">
        <f>IF(AND(N2001=1,L2001=1),K2001,"")</f>
        <v/>
      </c>
      <c r="P2001" s="642" t="inlineStr">
        <is>
          <t>г. Москва, Балаклавский проспект, д. 5, корпус А</t>
        </is>
      </c>
      <c r="Q2001" s="640" t="n">
        <v>55.640814</v>
      </c>
      <c r="R2001" s="422" t="n">
        <v>37.607759</v>
      </c>
      <c r="S2001" s="387" t="n"/>
      <c r="T2001" s="387" t="n"/>
      <c r="U2001" s="436" t="n">
        <v>2</v>
      </c>
      <c r="V2001" s="387" t="n"/>
      <c r="W2001" s="325" t="n"/>
      <c r="X2001" s="1" t="n"/>
      <c r="Y2001" s="1" t="n"/>
    </row>
    <row r="2002" hidden="1" ht="16.05" customFormat="1" customHeight="1" s="126">
      <c r="A2002" s="125" t="n">
        <v>2620</v>
      </c>
      <c r="B2002" s="125" t="n"/>
      <c r="C2002" s="130" t="inlineStr">
        <is>
          <t>Москва</t>
        </is>
      </c>
      <c r="D2002" s="130" t="inlineStr">
        <is>
          <t>Москва</t>
        </is>
      </c>
      <c r="E2002" s="130" t="n"/>
      <c r="F2002" s="130" t="inlineStr">
        <is>
          <t>Турагентство</t>
        </is>
      </c>
      <c r="G2002" s="130" t="inlineStr">
        <is>
          <t>Coral Travel</t>
        </is>
      </c>
      <c r="H2002" s="131" t="n"/>
      <c r="I2002" s="637" t="inlineStr">
        <is>
          <t>MSK_C007</t>
        </is>
      </c>
      <c r="J2002" s="402" t="inlineStr">
        <is>
          <t>MSK_C007</t>
        </is>
      </c>
      <c r="K2002" s="640" t="n">
        <v>1</v>
      </c>
      <c r="L2002" s="640" t="n">
        <v>0</v>
      </c>
      <c r="M2002" s="640" t="inlineStr">
        <is>
          <t>Sam 43</t>
        </is>
      </c>
      <c r="N2002" s="640" t="n"/>
      <c r="O2002" s="640">
        <f>IF(AND(N2002=1,L2002=1),K2002,"")</f>
        <v/>
      </c>
      <c r="P2002" s="642" t="inlineStr">
        <is>
          <t>г. Москва, Ленинградский проспект, д. 76</t>
        </is>
      </c>
      <c r="Q2002" s="640" t="n">
        <v>55.805727</v>
      </c>
      <c r="R2002" s="422" t="n">
        <v>37.515427</v>
      </c>
      <c r="S2002" s="387" t="n"/>
      <c r="T2002" s="387" t="n"/>
      <c r="U2002" s="436" t="n">
        <v>2</v>
      </c>
      <c r="V2002" s="387" t="n"/>
      <c r="W2002" s="325" t="n"/>
      <c r="X2002" s="1" t="n"/>
      <c r="Y2002" s="1" t="n"/>
    </row>
    <row r="2003" hidden="1" ht="16.05" customFormat="1" customHeight="1" s="126">
      <c r="A2003" s="125" t="n">
        <v>2621</v>
      </c>
      <c r="B2003" s="125" t="n"/>
      <c r="C2003" s="130" t="inlineStr">
        <is>
          <t>Москва</t>
        </is>
      </c>
      <c r="D2003" s="130" t="inlineStr">
        <is>
          <t>Москва</t>
        </is>
      </c>
      <c r="E2003" s="130" t="n"/>
      <c r="F2003" s="130" t="inlineStr">
        <is>
          <t>Турагентство</t>
        </is>
      </c>
      <c r="G2003" s="130" t="inlineStr">
        <is>
          <t>Coral Travel</t>
        </is>
      </c>
      <c r="H2003" s="131" t="n"/>
      <c r="I2003" s="637" t="inlineStr">
        <is>
          <t>MSK_C008</t>
        </is>
      </c>
      <c r="J2003" s="402" t="inlineStr">
        <is>
          <t>MSK_C008</t>
        </is>
      </c>
      <c r="K2003" s="640" t="n">
        <v>1</v>
      </c>
      <c r="L2003" s="640" t="n">
        <v>0</v>
      </c>
      <c r="M2003" s="640" t="inlineStr">
        <is>
          <t>Sam 43</t>
        </is>
      </c>
      <c r="N2003" s="640" t="n"/>
      <c r="O2003" s="640">
        <f>IF(AND(N2003=1,L2003=1),K2003,"")</f>
        <v/>
      </c>
      <c r="P2003" s="642" t="inlineStr">
        <is>
          <t>г. Москва, ул. Таллинская, д. 26</t>
        </is>
      </c>
      <c r="Q2003" s="640" t="n">
        <v>55.799997</v>
      </c>
      <c r="R2003" s="422" t="n">
        <v>37.407343</v>
      </c>
      <c r="S2003" s="387" t="n"/>
      <c r="T2003" s="387" t="n"/>
      <c r="U2003" s="436" t="n">
        <v>2</v>
      </c>
      <c r="V2003" s="387" t="n"/>
      <c r="W2003" s="325" t="n"/>
      <c r="X2003" s="1" t="n"/>
      <c r="Y2003" s="1" t="n"/>
    </row>
    <row r="2004" hidden="1" ht="16.05" customFormat="1" customHeight="1" s="126">
      <c r="A2004" s="125" t="n">
        <v>2622</v>
      </c>
      <c r="B2004" s="125" t="n"/>
      <c r="C2004" s="130" t="inlineStr">
        <is>
          <t>Москва</t>
        </is>
      </c>
      <c r="D2004" s="130" t="inlineStr">
        <is>
          <t>Москва</t>
        </is>
      </c>
      <c r="E2004" s="130" t="n"/>
      <c r="F2004" s="130" t="inlineStr">
        <is>
          <t>Турагентство</t>
        </is>
      </c>
      <c r="G2004" s="130" t="inlineStr">
        <is>
          <t>Coral Travel</t>
        </is>
      </c>
      <c r="H2004" s="131" t="n"/>
      <c r="I2004" s="637" t="inlineStr">
        <is>
          <t>MSK_C009</t>
        </is>
      </c>
      <c r="J2004" s="402" t="inlineStr">
        <is>
          <t>MSK_C009</t>
        </is>
      </c>
      <c r="K2004" s="640" t="n">
        <v>1</v>
      </c>
      <c r="L2004" s="640" t="n">
        <v>0</v>
      </c>
      <c r="M2004" s="640" t="inlineStr">
        <is>
          <t>Sam 43</t>
        </is>
      </c>
      <c r="N2004" s="640" t="n"/>
      <c r="O2004" s="640">
        <f>IF(AND(N2004=1,L2004=1),K2004,"")</f>
        <v/>
      </c>
      <c r="P2004" s="642" t="inlineStr">
        <is>
          <t>г. Москва, Пятницкое шоссе, д. 39</t>
        </is>
      </c>
      <c r="Q2004" s="640" t="n">
        <v>55.855296</v>
      </c>
      <c r="R2004" s="422" t="n">
        <v>37.355303</v>
      </c>
      <c r="S2004" s="387" t="n"/>
      <c r="T2004" s="387" t="n"/>
      <c r="U2004" s="436" t="n">
        <v>2</v>
      </c>
      <c r="V2004" s="387" t="n"/>
      <c r="W2004" s="325" t="n"/>
      <c r="X2004" s="1" t="n"/>
      <c r="Y2004" s="1" t="n"/>
    </row>
    <row r="2005" hidden="1" ht="16.05" customFormat="1" customHeight="1" s="126">
      <c r="A2005" s="125" t="n">
        <v>2623</v>
      </c>
      <c r="B2005" s="125" t="n"/>
      <c r="C2005" s="130" t="inlineStr">
        <is>
          <t>Москва</t>
        </is>
      </c>
      <c r="D2005" s="130" t="inlineStr">
        <is>
          <t>Московская область</t>
        </is>
      </c>
      <c r="E2005" s="130" t="n"/>
      <c r="F2005" s="130" t="inlineStr">
        <is>
          <t>Турагентство</t>
        </is>
      </c>
      <c r="G2005" s="130" t="inlineStr">
        <is>
          <t>Coral Travel</t>
        </is>
      </c>
      <c r="H2005" s="131" t="n"/>
      <c r="I2005" s="637" t="inlineStr">
        <is>
          <t>MSK_C010</t>
        </is>
      </c>
      <c r="J2005" s="402" t="inlineStr">
        <is>
          <t>MSK_C010</t>
        </is>
      </c>
      <c r="K2005" s="640" t="n">
        <v>1</v>
      </c>
      <c r="L2005" s="640" t="n">
        <v>0</v>
      </c>
      <c r="M2005" s="640" t="inlineStr">
        <is>
          <t>Sam 43</t>
        </is>
      </c>
      <c r="N2005" s="640" t="n"/>
      <c r="O2005" s="640">
        <f>IF(AND(N2005=1,L2005=1),K2005,"")</f>
        <v/>
      </c>
      <c r="P2005" s="642" t="inlineStr">
        <is>
          <t>Московская обл, г. Красногорск, ул. Международная, д.12, ТРЦ Вегас</t>
        </is>
      </c>
      <c r="Q2005" s="640" t="n">
        <v>55.820428</v>
      </c>
      <c r="R2005" s="422" t="n">
        <v>37.389331</v>
      </c>
      <c r="S2005" s="387" t="n"/>
      <c r="T2005" s="387" t="n"/>
      <c r="U2005" s="436" t="n">
        <v>2</v>
      </c>
      <c r="V2005" s="387" t="n"/>
      <c r="W2005" s="325" t="n"/>
      <c r="X2005" s="1" t="n"/>
      <c r="Y2005" s="1" t="n"/>
    </row>
    <row r="2006" hidden="1" ht="16.05" customFormat="1" customHeight="1" s="126">
      <c r="A2006" s="125" t="n">
        <v>2624</v>
      </c>
      <c r="B2006" s="125" t="n"/>
      <c r="C2006" s="130" t="inlineStr">
        <is>
          <t>Москва</t>
        </is>
      </c>
      <c r="D2006" s="130" t="inlineStr">
        <is>
          <t>Московская область</t>
        </is>
      </c>
      <c r="E2006" s="130" t="n"/>
      <c r="F2006" s="130" t="inlineStr">
        <is>
          <t>Турагентство</t>
        </is>
      </c>
      <c r="G2006" s="130" t="inlineStr">
        <is>
          <t>Coral Travel</t>
        </is>
      </c>
      <c r="H2006" s="131" t="n"/>
      <c r="I2006" s="637" t="inlineStr">
        <is>
          <t>MSK_C011</t>
        </is>
      </c>
      <c r="J2006" s="402" t="inlineStr">
        <is>
          <t>MSK_C011</t>
        </is>
      </c>
      <c r="K2006" s="640" t="n">
        <v>1</v>
      </c>
      <c r="L2006" s="640" t="n">
        <v>0</v>
      </c>
      <c r="M2006" s="640" t="inlineStr">
        <is>
          <t>Sam 43</t>
        </is>
      </c>
      <c r="N2006" s="640" t="n"/>
      <c r="O2006" s="640">
        <f>IF(AND(N2006=1,L2006=1),K2006,"")</f>
        <v/>
      </c>
      <c r="P2006" s="642" t="inlineStr">
        <is>
          <t>Московская область, Красногорский район, Новорижское шоссе. 9 км от МКАД, Гипермаркет Карусель</t>
        </is>
      </c>
      <c r="Q2006" s="640" t="n">
        <v>55.782249</v>
      </c>
      <c r="R2006" s="422" t="n">
        <v>37.236288</v>
      </c>
      <c r="S2006" s="387" t="n"/>
      <c r="T2006" s="387" t="n"/>
      <c r="U2006" s="436" t="n">
        <v>2</v>
      </c>
      <c r="V2006" s="387" t="n"/>
      <c r="W2006" s="325" t="n"/>
      <c r="X2006" s="1" t="n"/>
      <c r="Y2006" s="1" t="n"/>
    </row>
    <row r="2007" hidden="1" ht="16.05" customFormat="1" customHeight="1" s="126">
      <c r="A2007" s="125" t="n">
        <v>2625</v>
      </c>
      <c r="B2007" s="125" t="n"/>
      <c r="C2007" s="130" t="inlineStr">
        <is>
          <t>Москва</t>
        </is>
      </c>
      <c r="D2007" s="130" t="inlineStr">
        <is>
          <t>Москва</t>
        </is>
      </c>
      <c r="E2007" s="130" t="n"/>
      <c r="F2007" s="130" t="inlineStr">
        <is>
          <t>Турагентство</t>
        </is>
      </c>
      <c r="G2007" s="130" t="inlineStr">
        <is>
          <t>Coral Travel</t>
        </is>
      </c>
      <c r="H2007" s="131" t="n"/>
      <c r="I2007" s="637" t="inlineStr">
        <is>
          <t>MSK_C012</t>
        </is>
      </c>
      <c r="J2007" s="402" t="inlineStr">
        <is>
          <t>MSK_C012</t>
        </is>
      </c>
      <c r="K2007" s="640" t="n">
        <v>1</v>
      </c>
      <c r="L2007" s="640" t="n">
        <v>0</v>
      </c>
      <c r="M2007" s="640" t="inlineStr">
        <is>
          <t>Sam 43</t>
        </is>
      </c>
      <c r="N2007" s="640" t="n"/>
      <c r="O2007" s="640">
        <f>IF(AND(N2007=1,L2007=1),K2007,"")</f>
        <v/>
      </c>
      <c r="P2007" s="642" t="inlineStr">
        <is>
          <t>г. Москва, ул. Миклухо-Маклая, д. 32А, ТЦ "Капитолий" 2 этаж</t>
        </is>
      </c>
      <c r="Q2007" s="640" t="n">
        <v>55.64089</v>
      </c>
      <c r="R2007" s="422" t="n">
        <v>37.530643</v>
      </c>
      <c r="S2007" s="387" t="n"/>
      <c r="T2007" s="387" t="n"/>
      <c r="U2007" s="436" t="n">
        <v>2</v>
      </c>
      <c r="V2007" s="387" t="n"/>
      <c r="W2007" s="325" t="n"/>
      <c r="X2007" s="1" t="n"/>
      <c r="Y2007" s="1" t="n"/>
    </row>
    <row r="2008" hidden="1" ht="16.05" customFormat="1" customHeight="1" s="126">
      <c r="A2008" s="125" t="n">
        <v>2626</v>
      </c>
      <c r="B2008" s="125" t="n"/>
      <c r="C2008" s="130" t="inlineStr">
        <is>
          <t>Москва</t>
        </is>
      </c>
      <c r="D2008" s="130" t="inlineStr">
        <is>
          <t>Москва</t>
        </is>
      </c>
      <c r="E2008" s="130" t="n"/>
      <c r="F2008" s="130" t="inlineStr">
        <is>
          <t>Турагентство</t>
        </is>
      </c>
      <c r="G2008" s="130" t="inlineStr">
        <is>
          <t>Coral Travel</t>
        </is>
      </c>
      <c r="H2008" s="131" t="n"/>
      <c r="I2008" s="637" t="inlineStr">
        <is>
          <t>MSK_C013</t>
        </is>
      </c>
      <c r="J2008" s="402" t="inlineStr">
        <is>
          <t>MSK_C013</t>
        </is>
      </c>
      <c r="K2008" s="640" t="n">
        <v>1</v>
      </c>
      <c r="L2008" s="640" t="n">
        <v>0</v>
      </c>
      <c r="M2008" s="640" t="inlineStr">
        <is>
          <t>Sam 43</t>
        </is>
      </c>
      <c r="N2008" s="640" t="n"/>
      <c r="O2008" s="640">
        <f>IF(AND(N2008=1,L2008=1),K2008,"")</f>
        <v/>
      </c>
      <c r="P2008" s="642" t="inlineStr">
        <is>
          <t>г. Москва,ул. Профсоюзная, д.118, ТЦ "ТРОПА"</t>
        </is>
      </c>
      <c r="Q2008" s="640" t="n">
        <v>55.636014</v>
      </c>
      <c r="R2008" s="422" t="n">
        <v>37.520985</v>
      </c>
      <c r="S2008" s="387" t="n"/>
      <c r="T2008" s="387" t="n"/>
      <c r="U2008" s="436" t="n">
        <v>2</v>
      </c>
      <c r="V2008" s="387" t="n"/>
      <c r="W2008" s="325" t="n"/>
      <c r="X2008" s="1" t="n"/>
      <c r="Y2008" s="1" t="n"/>
    </row>
    <row r="2009" hidden="1" ht="16.05" customFormat="1" customHeight="1" s="126">
      <c r="A2009" s="125" t="n">
        <v>2627</v>
      </c>
      <c r="B2009" s="125" t="n"/>
      <c r="C2009" s="130" t="inlineStr">
        <is>
          <t>Москва</t>
        </is>
      </c>
      <c r="D2009" s="130" t="inlineStr">
        <is>
          <t>Московская область</t>
        </is>
      </c>
      <c r="E2009" s="130" t="n"/>
      <c r="F2009" s="130" t="inlineStr">
        <is>
          <t>Турагентство</t>
        </is>
      </c>
      <c r="G2009" s="130" t="inlineStr">
        <is>
          <t>Coral Travel</t>
        </is>
      </c>
      <c r="H2009" s="131" t="n"/>
      <c r="I2009" s="637" t="inlineStr">
        <is>
          <t>MSK_C014</t>
        </is>
      </c>
      <c r="J2009" s="402" t="inlineStr">
        <is>
          <t>MSK_C014</t>
        </is>
      </c>
      <c r="K2009" s="640" t="n">
        <v>1</v>
      </c>
      <c r="L2009" s="640" t="n">
        <v>0</v>
      </c>
      <c r="M2009" s="640" t="inlineStr">
        <is>
          <t>Sam 43</t>
        </is>
      </c>
      <c r="N2009" s="640" t="n"/>
      <c r="O2009" s="640">
        <f>IF(AND(N2009=1,L2009=1),K2009,"")</f>
        <v/>
      </c>
      <c r="P2009" s="642" t="inlineStr">
        <is>
          <t>Московская область, г. Видное, пр-т Ленинского Комсомола, д. 9, корп. 3, оф. 207</t>
        </is>
      </c>
      <c r="Q2009" s="640" t="n">
        <v>55.54617</v>
      </c>
      <c r="R2009" s="422" t="n">
        <v>37.710577</v>
      </c>
      <c r="S2009" s="387" t="n"/>
      <c r="T2009" s="387" t="n"/>
      <c r="U2009" s="436" t="n">
        <v>2</v>
      </c>
      <c r="V2009" s="387" t="n"/>
      <c r="W2009" s="325" t="n"/>
      <c r="X2009" s="1" t="n"/>
      <c r="Y2009" s="1" t="n"/>
    </row>
    <row r="2010" hidden="1" ht="16.05" customFormat="1" customHeight="1" s="126">
      <c r="A2010" s="125" t="n">
        <v>2628</v>
      </c>
      <c r="B2010" s="125" t="n"/>
      <c r="C2010" s="130" t="inlineStr">
        <is>
          <t>Москва</t>
        </is>
      </c>
      <c r="D2010" s="130" t="inlineStr">
        <is>
          <t>Московская область</t>
        </is>
      </c>
      <c r="E2010" s="130" t="n"/>
      <c r="F2010" s="130" t="inlineStr">
        <is>
          <t>Турагентство</t>
        </is>
      </c>
      <c r="G2010" s="130" t="inlineStr">
        <is>
          <t>Coral Travel</t>
        </is>
      </c>
      <c r="H2010" s="131" t="n"/>
      <c r="I2010" s="637" t="inlineStr">
        <is>
          <t>MSK_C015</t>
        </is>
      </c>
      <c r="J2010" s="402" t="inlineStr">
        <is>
          <t>MSK_C015</t>
        </is>
      </c>
      <c r="K2010" s="640" t="n">
        <v>1</v>
      </c>
      <c r="L2010" s="640" t="n">
        <v>0</v>
      </c>
      <c r="M2010" s="640" t="inlineStr">
        <is>
          <t>Sam 43</t>
        </is>
      </c>
      <c r="N2010" s="640" t="n"/>
      <c r="O2010" s="640">
        <f>IF(AND(N2010=1,L2010=1),K2010,"")</f>
        <v/>
      </c>
      <c r="P2010" s="642" t="inlineStr">
        <is>
          <t>г. Москва, поселение Сосенское, поселок Коммунарка, д. 17А</t>
        </is>
      </c>
      <c r="Q2010" s="640" t="n">
        <v>55.56725</v>
      </c>
      <c r="R2010" s="422" t="n">
        <v>37.477915</v>
      </c>
      <c r="S2010" s="387" t="n"/>
      <c r="T2010" s="387" t="n"/>
      <c r="U2010" s="436" t="n">
        <v>2</v>
      </c>
      <c r="V2010" s="387" t="n"/>
      <c r="W2010" s="325" t="n"/>
      <c r="X2010" s="1" t="n"/>
      <c r="Y2010" s="1" t="n"/>
    </row>
    <row r="2011" hidden="1" ht="16.05" customFormat="1" customHeight="1" s="126">
      <c r="A2011" s="125" t="n">
        <v>2629</v>
      </c>
      <c r="B2011" s="125" t="n"/>
      <c r="C2011" s="130" t="inlineStr">
        <is>
          <t>Москва</t>
        </is>
      </c>
      <c r="D2011" s="130" t="inlineStr">
        <is>
          <t>Московская область</t>
        </is>
      </c>
      <c r="E2011" s="130" t="n"/>
      <c r="F2011" s="130" t="inlineStr">
        <is>
          <t>Турагентство</t>
        </is>
      </c>
      <c r="G2011" s="130" t="inlineStr">
        <is>
          <t>Coral Travel</t>
        </is>
      </c>
      <c r="H2011" s="131" t="n"/>
      <c r="I2011" s="637" t="inlineStr">
        <is>
          <t>MSK_C016</t>
        </is>
      </c>
      <c r="J2011" s="402" t="inlineStr">
        <is>
          <t>MSK_C016</t>
        </is>
      </c>
      <c r="K2011" s="640" t="n">
        <v>1</v>
      </c>
      <c r="L2011" s="640" t="n">
        <v>0</v>
      </c>
      <c r="M2011" s="640" t="inlineStr">
        <is>
          <t>Sam 43</t>
        </is>
      </c>
      <c r="N2011" s="640" t="n"/>
      <c r="O2011" s="640">
        <f>IF(AND(N2011=1,L2011=1),K2011,"")</f>
        <v/>
      </c>
      <c r="P2011" s="642" t="inlineStr">
        <is>
          <t>Московская обл., г. Московский, 1 микрорайон, д. 23 Д</t>
        </is>
      </c>
      <c r="Q2011" s="640" t="n">
        <v>55.603516</v>
      </c>
      <c r="R2011" s="422" t="n">
        <v>37.354021</v>
      </c>
      <c r="S2011" s="387" t="n"/>
      <c r="T2011" s="387" t="n"/>
      <c r="U2011" s="436" t="n">
        <v>2</v>
      </c>
      <c r="V2011" s="387" t="n"/>
      <c r="W2011" s="325" t="n"/>
      <c r="X2011" s="1" t="n"/>
      <c r="Y2011" s="1" t="n"/>
    </row>
    <row r="2012" hidden="1" ht="16.05" customFormat="1" customHeight="1" s="126">
      <c r="A2012" s="125" t="n">
        <v>2630</v>
      </c>
      <c r="B2012" s="125" t="n"/>
      <c r="C2012" s="130" t="inlineStr">
        <is>
          <t>Москва</t>
        </is>
      </c>
      <c r="D2012" s="130" t="inlineStr">
        <is>
          <t>Москва</t>
        </is>
      </c>
      <c r="E2012" s="130" t="n"/>
      <c r="F2012" s="130" t="inlineStr">
        <is>
          <t>Турагентство</t>
        </is>
      </c>
      <c r="G2012" s="130" t="inlineStr">
        <is>
          <t>Coral Travel</t>
        </is>
      </c>
      <c r="H2012" s="131" t="n"/>
      <c r="I2012" s="637" t="inlineStr">
        <is>
          <t>MSK_C017</t>
        </is>
      </c>
      <c r="J2012" s="402" t="inlineStr">
        <is>
          <t>MSK_C017</t>
        </is>
      </c>
      <c r="K2012" s="640" t="n">
        <v>1</v>
      </c>
      <c r="L2012" s="640" t="n">
        <v>0</v>
      </c>
      <c r="M2012" s="640" t="inlineStr">
        <is>
          <t>Sam 43</t>
        </is>
      </c>
      <c r="N2012" s="640" t="n"/>
      <c r="O2012" s="640">
        <f>IF(AND(N2012=1,L2012=1),K2012,"")</f>
        <v/>
      </c>
      <c r="P2012" s="642" t="inlineStr">
        <is>
          <t>г. Москва, 9-я Парковая, ул., д. 62</t>
        </is>
      </c>
      <c r="Q2012" s="640" t="n">
        <v>55.805347</v>
      </c>
      <c r="R2012" s="422" t="n">
        <v>37.801976</v>
      </c>
      <c r="S2012" s="387" t="n"/>
      <c r="T2012" s="387" t="n"/>
      <c r="U2012" s="436" t="n">
        <v>2</v>
      </c>
      <c r="V2012" s="387" t="n"/>
      <c r="W2012" s="325" t="n"/>
      <c r="X2012" s="1" t="n"/>
      <c r="Y2012" s="1" t="n"/>
    </row>
    <row r="2013" hidden="1" ht="16.05" customFormat="1" customHeight="1" s="126">
      <c r="A2013" s="125" t="n">
        <v>2631</v>
      </c>
      <c r="B2013" s="125" t="n"/>
      <c r="C2013" s="130" t="inlineStr">
        <is>
          <t>Москва</t>
        </is>
      </c>
      <c r="D2013" s="130" t="inlineStr">
        <is>
          <t>Москва</t>
        </is>
      </c>
      <c r="E2013" s="130" t="n"/>
      <c r="F2013" s="130" t="inlineStr">
        <is>
          <t>Турагентство</t>
        </is>
      </c>
      <c r="G2013" s="130" t="inlineStr">
        <is>
          <t>Coral Travel</t>
        </is>
      </c>
      <c r="H2013" s="131" t="n"/>
      <c r="I2013" s="637" t="inlineStr">
        <is>
          <t>MSK_C018</t>
        </is>
      </c>
      <c r="J2013" s="402" t="inlineStr">
        <is>
          <t>MSK_C018</t>
        </is>
      </c>
      <c r="K2013" s="640" t="n">
        <v>1</v>
      </c>
      <c r="L2013" s="640" t="n">
        <v>0</v>
      </c>
      <c r="M2013" s="640" t="inlineStr">
        <is>
          <t>Sam 43</t>
        </is>
      </c>
      <c r="N2013" s="640" t="n"/>
      <c r="O2013" s="640">
        <f>IF(AND(N2013=1,L2013=1),K2013,"")</f>
        <v/>
      </c>
      <c r="P2013" s="642" t="inlineStr">
        <is>
          <t>г. Москва, Зеленый проспект, д. 20 оф.7</t>
        </is>
      </c>
      <c r="Q2013" s="640" t="n">
        <v>55.750381</v>
      </c>
      <c r="R2013" s="422" t="n">
        <v>37.787359</v>
      </c>
      <c r="S2013" s="387" t="n"/>
      <c r="T2013" s="387" t="n"/>
      <c r="U2013" s="436" t="n">
        <v>2</v>
      </c>
      <c r="V2013" s="387" t="n"/>
      <c r="W2013" s="325" t="n"/>
      <c r="X2013" s="1" t="n"/>
      <c r="Y2013" s="1" t="n"/>
    </row>
    <row r="2014" hidden="1" ht="16.05" customFormat="1" customHeight="1" s="126">
      <c r="A2014" s="125" t="n">
        <v>2632</v>
      </c>
      <c r="B2014" s="125" t="n"/>
      <c r="C2014" s="130" t="inlineStr">
        <is>
          <t>Москва</t>
        </is>
      </c>
      <c r="D2014" s="130" t="inlineStr">
        <is>
          <t>Москва</t>
        </is>
      </c>
      <c r="E2014" s="130" t="n"/>
      <c r="F2014" s="130" t="inlineStr">
        <is>
          <t>Турагентство</t>
        </is>
      </c>
      <c r="G2014" s="130" t="inlineStr">
        <is>
          <t>Coral Travel</t>
        </is>
      </c>
      <c r="H2014" s="131" t="n"/>
      <c r="I2014" s="637" t="inlineStr">
        <is>
          <t>MSK_C019</t>
        </is>
      </c>
      <c r="J2014" s="402" t="inlineStr">
        <is>
          <t>MSK_C019</t>
        </is>
      </c>
      <c r="K2014" s="640" t="n">
        <v>1</v>
      </c>
      <c r="L2014" s="640" t="n">
        <v>0</v>
      </c>
      <c r="M2014" s="640" t="inlineStr">
        <is>
          <t>Sam 43</t>
        </is>
      </c>
      <c r="N2014" s="640" t="n"/>
      <c r="O2014" s="640">
        <f>IF(AND(N2014=1,L2014=1),K2014,"")</f>
        <v/>
      </c>
      <c r="P2014" s="642" t="inlineStr">
        <is>
          <t>г. Москва, ул. Зеленодольская, д. 41, стр. 1</t>
        </is>
      </c>
      <c r="Q2014" s="640" t="n">
        <v>55.702932</v>
      </c>
      <c r="R2014" s="422" t="n">
        <v>37.766421</v>
      </c>
      <c r="S2014" s="387" t="n"/>
      <c r="T2014" s="387" t="n"/>
      <c r="U2014" s="436" t="n">
        <v>2</v>
      </c>
      <c r="V2014" s="387" t="n"/>
      <c r="W2014" s="325" t="n"/>
      <c r="X2014" s="1" t="n"/>
      <c r="Y2014" s="1" t="n"/>
    </row>
    <row r="2015" hidden="1" ht="16.05" customFormat="1" customHeight="1" s="126">
      <c r="A2015" s="125" t="n">
        <v>2633</v>
      </c>
      <c r="B2015" s="125" t="n"/>
      <c r="C2015" s="130" t="inlineStr">
        <is>
          <t>Москва</t>
        </is>
      </c>
      <c r="D2015" s="130" t="inlineStr">
        <is>
          <t>Москва</t>
        </is>
      </c>
      <c r="E2015" s="130" t="n"/>
      <c r="F2015" s="130" t="inlineStr">
        <is>
          <t>Турагентство</t>
        </is>
      </c>
      <c r="G2015" s="130" t="inlineStr">
        <is>
          <t>Coral Travel</t>
        </is>
      </c>
      <c r="H2015" s="131" t="n"/>
      <c r="I2015" s="637" t="inlineStr">
        <is>
          <t>MSK_C020</t>
        </is>
      </c>
      <c r="J2015" s="402" t="inlineStr">
        <is>
          <t>MSK_C020</t>
        </is>
      </c>
      <c r="K2015" s="640" t="n">
        <v>1</v>
      </c>
      <c r="L2015" s="640" t="n">
        <v>0</v>
      </c>
      <c r="M2015" s="640" t="inlineStr">
        <is>
          <t>Sam 43</t>
        </is>
      </c>
      <c r="N2015" s="640" t="n"/>
      <c r="O2015" s="640">
        <f>IF(AND(N2015=1,L2015=1),K2015,"")</f>
        <v/>
      </c>
      <c r="P2015" s="642" t="inlineStr">
        <is>
          <t>г. Москва, ул. Марксистская, д. 5</t>
        </is>
      </c>
      <c r="Q2015" s="640" t="n">
        <v>55.736776</v>
      </c>
      <c r="R2015" s="422" t="n">
        <v>37.66474</v>
      </c>
      <c r="S2015" s="387" t="n"/>
      <c r="T2015" s="387" t="n"/>
      <c r="U2015" s="436" t="n">
        <v>2</v>
      </c>
      <c r="V2015" s="387" t="n"/>
      <c r="W2015" s="325" t="n"/>
      <c r="X2015" s="1" t="n"/>
      <c r="Y2015" s="1" t="n"/>
    </row>
    <row r="2016" hidden="1" ht="16.05" customFormat="1" customHeight="1" s="126">
      <c r="A2016" s="125" t="n">
        <v>2634</v>
      </c>
      <c r="B2016" s="125" t="n"/>
      <c r="C2016" s="130" t="inlineStr">
        <is>
          <t>Москва</t>
        </is>
      </c>
      <c r="D2016" s="130" t="inlineStr">
        <is>
          <t xml:space="preserve">Москва </t>
        </is>
      </c>
      <c r="E2016" s="130" t="n"/>
      <c r="F2016" s="130" t="inlineStr">
        <is>
          <t>Турагентство</t>
        </is>
      </c>
      <c r="G2016" s="130" t="inlineStr">
        <is>
          <t>Coral Travel</t>
        </is>
      </c>
      <c r="H2016" s="131" t="n"/>
      <c r="I2016" s="637" t="inlineStr">
        <is>
          <t>MSK_C021</t>
        </is>
      </c>
      <c r="J2016" s="402" t="inlineStr">
        <is>
          <t>MSK_C021</t>
        </is>
      </c>
      <c r="K2016" s="640" t="n">
        <v>1</v>
      </c>
      <c r="L2016" s="640" t="n">
        <v>0</v>
      </c>
      <c r="M2016" s="640" t="inlineStr">
        <is>
          <t>Sam 43</t>
        </is>
      </c>
      <c r="N2016" s="640" t="n"/>
      <c r="O2016" s="640">
        <f>IF(AND(N2016=1,L2016=1),K2016,"")</f>
        <v/>
      </c>
      <c r="P2016" s="642" t="inlineStr">
        <is>
          <t>05120, г. Москва, Нижняя Сыромятническая ул., д. 10 стр. 3, пом. 33</t>
        </is>
      </c>
      <c r="Q2016" s="640" t="n">
        <v>55.751464</v>
      </c>
      <c r="R2016" s="422" t="n">
        <v>37.670089</v>
      </c>
      <c r="S2016" s="387" t="n"/>
      <c r="T2016" s="387" t="n"/>
      <c r="U2016" s="436" t="n">
        <v>2</v>
      </c>
      <c r="V2016" s="387" t="n"/>
      <c r="W2016" s="325" t="n"/>
      <c r="X2016" s="1" t="n"/>
      <c r="Y2016" s="1" t="n"/>
    </row>
    <row r="2017" hidden="1" ht="16.05" customFormat="1" customHeight="1" s="126">
      <c r="A2017" s="125" t="n">
        <v>2635</v>
      </c>
      <c r="B2017" s="125" t="n"/>
      <c r="C2017" s="130" t="inlineStr">
        <is>
          <t>Москва</t>
        </is>
      </c>
      <c r="D2017" s="130" t="inlineStr">
        <is>
          <t>Москва</t>
        </is>
      </c>
      <c r="E2017" s="130" t="n"/>
      <c r="F2017" s="130" t="inlineStr">
        <is>
          <t>Турагентство</t>
        </is>
      </c>
      <c r="G2017" s="130" t="inlineStr">
        <is>
          <t>Coral Travel</t>
        </is>
      </c>
      <c r="H2017" s="131" t="n"/>
      <c r="I2017" s="637" t="inlineStr">
        <is>
          <t>MSK_C022</t>
        </is>
      </c>
      <c r="J2017" s="402" t="inlineStr">
        <is>
          <t>MSK_C022</t>
        </is>
      </c>
      <c r="K2017" s="640" t="n">
        <v>1</v>
      </c>
      <c r="L2017" s="640" t="n">
        <v>0</v>
      </c>
      <c r="M2017" s="640" t="inlineStr">
        <is>
          <t>Sam 43</t>
        </is>
      </c>
      <c r="N2017" s="640" t="n"/>
      <c r="O2017" s="640">
        <f>IF(AND(N2017=1,L2017=1),K2017,"")</f>
        <v/>
      </c>
      <c r="P2017" s="642" t="inlineStr">
        <is>
          <t>г. Москва, ул. Барклая, д. 12</t>
        </is>
      </c>
      <c r="Q2017" s="640" t="n">
        <v>55.744586</v>
      </c>
      <c r="R2017" s="422" t="n">
        <v>37.498132</v>
      </c>
      <c r="S2017" s="387" t="n"/>
      <c r="T2017" s="387" t="n"/>
      <c r="U2017" s="436" t="n">
        <v>2</v>
      </c>
      <c r="V2017" s="387" t="n"/>
      <c r="W2017" s="325" t="n"/>
      <c r="X2017" s="1" t="n"/>
      <c r="Y2017" s="1" t="n"/>
    </row>
    <row r="2018" hidden="1" ht="16.05" customFormat="1" customHeight="1" s="126">
      <c r="A2018" s="125" t="n">
        <v>2636</v>
      </c>
      <c r="B2018" s="125" t="n"/>
      <c r="C2018" s="130" t="inlineStr">
        <is>
          <t>Москва</t>
        </is>
      </c>
      <c r="D2018" s="130" t="inlineStr">
        <is>
          <t xml:space="preserve">Москва </t>
        </is>
      </c>
      <c r="E2018" s="130" t="n"/>
      <c r="F2018" s="130" t="inlineStr">
        <is>
          <t>Турагентство</t>
        </is>
      </c>
      <c r="G2018" s="130" t="inlineStr">
        <is>
          <t>Coral Travel</t>
        </is>
      </c>
      <c r="H2018" s="131" t="n"/>
      <c r="I2018" s="637" t="inlineStr">
        <is>
          <t>MSK_C023</t>
        </is>
      </c>
      <c r="J2018" s="402" t="inlineStr">
        <is>
          <t>MSK_C023</t>
        </is>
      </c>
      <c r="K2018" s="640" t="n">
        <v>1</v>
      </c>
      <c r="L2018" s="640" t="n">
        <v>0</v>
      </c>
      <c r="M2018" s="640" t="inlineStr">
        <is>
          <t>Sam 43</t>
        </is>
      </c>
      <c r="N2018" s="640" t="n"/>
      <c r="O2018" s="640">
        <f>IF(AND(N2018=1,L2018=1),K2018,"")</f>
        <v/>
      </c>
      <c r="P2018" s="642" t="inlineStr">
        <is>
          <t>121059, г. Москва, ул. Давыдковская д. 3</t>
        </is>
      </c>
      <c r="Q2018" s="640" t="n">
        <v>55.727437</v>
      </c>
      <c r="R2018" s="422" t="n">
        <v>37.479943</v>
      </c>
      <c r="S2018" s="387" t="n"/>
      <c r="T2018" s="387" t="n"/>
      <c r="U2018" s="436" t="n">
        <v>2</v>
      </c>
      <c r="V2018" s="387" t="n"/>
      <c r="W2018" s="325" t="n"/>
      <c r="X2018" s="1" t="n"/>
      <c r="Y2018" s="1" t="n"/>
    </row>
    <row r="2019" hidden="1" ht="16.05" customFormat="1" customHeight="1" s="126">
      <c r="A2019" s="125" t="n">
        <v>2637</v>
      </c>
      <c r="B2019" s="125" t="n"/>
      <c r="C2019" s="130" t="inlineStr">
        <is>
          <t>Москва</t>
        </is>
      </c>
      <c r="D2019" s="130" t="inlineStr">
        <is>
          <t>Москва</t>
        </is>
      </c>
      <c r="E2019" s="130" t="n"/>
      <c r="F2019" s="130" t="inlineStr">
        <is>
          <t>Турагентство</t>
        </is>
      </c>
      <c r="G2019" s="130" t="inlineStr">
        <is>
          <t>Coral Travel</t>
        </is>
      </c>
      <c r="H2019" s="131" t="n"/>
      <c r="I2019" s="637" t="inlineStr">
        <is>
          <t>MSK_C024</t>
        </is>
      </c>
      <c r="J2019" s="402" t="inlineStr">
        <is>
          <t>MSK_C024</t>
        </is>
      </c>
      <c r="K2019" s="640" t="n">
        <v>1</v>
      </c>
      <c r="L2019" s="640" t="n">
        <v>0</v>
      </c>
      <c r="M2019" s="640" t="inlineStr">
        <is>
          <t>Sam 43</t>
        </is>
      </c>
      <c r="N2019" s="640" t="n"/>
      <c r="O2019" s="640">
        <f>IF(AND(N2019=1,L2019=1),K2019,"")</f>
        <v/>
      </c>
      <c r="P2019" s="642" t="inlineStr">
        <is>
          <t>г. Москва, б-р Осенний, д. 16, корп. 1</t>
        </is>
      </c>
      <c r="Q2019" s="640" t="n">
        <v>55.760016</v>
      </c>
      <c r="R2019" s="422" t="n">
        <v>37.409291</v>
      </c>
      <c r="S2019" s="387" t="n"/>
      <c r="T2019" s="387" t="n"/>
      <c r="U2019" s="436" t="n">
        <v>2</v>
      </c>
      <c r="V2019" s="387" t="n"/>
      <c r="W2019" s="325" t="n"/>
      <c r="X2019" s="1" t="n"/>
      <c r="Y2019" s="1" t="n"/>
    </row>
    <row r="2020" hidden="1" ht="16.05" customFormat="1" customHeight="1" s="126">
      <c r="A2020" s="125" t="n">
        <v>2638</v>
      </c>
      <c r="B2020" s="125" t="n"/>
      <c r="C2020" s="130" t="inlineStr">
        <is>
          <t>Москва</t>
        </is>
      </c>
      <c r="D2020" s="130" t="inlineStr">
        <is>
          <t xml:space="preserve">Москва </t>
        </is>
      </c>
      <c r="E2020" s="130" t="n"/>
      <c r="F2020" s="130" t="inlineStr">
        <is>
          <t>Турагентство</t>
        </is>
      </c>
      <c r="G2020" s="130" t="inlineStr">
        <is>
          <t>Coral Travel</t>
        </is>
      </c>
      <c r="H2020" s="131" t="n"/>
      <c r="I2020" s="637" t="inlineStr">
        <is>
          <t>MSK_C025</t>
        </is>
      </c>
      <c r="J2020" s="402" t="inlineStr">
        <is>
          <t>MSK_C025</t>
        </is>
      </c>
      <c r="K2020" s="640" t="n">
        <v>1</v>
      </c>
      <c r="L2020" s="640" t="n">
        <v>0</v>
      </c>
      <c r="M2020" s="640" t="inlineStr">
        <is>
          <t>Sam 43</t>
        </is>
      </c>
      <c r="N2020" s="640" t="n"/>
      <c r="O2020" s="640">
        <f>IF(AND(N2020=1,L2020=1),K2020,"")</f>
        <v/>
      </c>
      <c r="P2020" s="642" t="inlineStr">
        <is>
          <t>125430, г. Москва, ул. Митинская, д.16</t>
        </is>
      </c>
      <c r="Q2020" s="640" t="n">
        <v>55.842338</v>
      </c>
      <c r="R2020" s="422" t="n">
        <v>37.37324</v>
      </c>
      <c r="S2020" s="387" t="n"/>
      <c r="T2020" s="387" t="n"/>
      <c r="U2020" s="436" t="n">
        <v>2</v>
      </c>
      <c r="V2020" s="387" t="n"/>
      <c r="W2020" s="325" t="n"/>
      <c r="X2020" s="1" t="n"/>
      <c r="Y2020" s="1" t="n"/>
    </row>
    <row r="2021" hidden="1" ht="16.05" customFormat="1" customHeight="1" s="126">
      <c r="A2021" s="125" t="n">
        <v>2639</v>
      </c>
      <c r="B2021" s="125" t="n"/>
      <c r="C2021" s="130" t="inlineStr">
        <is>
          <t>Москва</t>
        </is>
      </c>
      <c r="D2021" s="130" t="inlineStr">
        <is>
          <t>Московская область</t>
        </is>
      </c>
      <c r="E2021" s="130" t="n"/>
      <c r="F2021" s="130" t="inlineStr">
        <is>
          <t>Турагентство</t>
        </is>
      </c>
      <c r="G2021" s="130" t="inlineStr">
        <is>
          <t>Coral Travel</t>
        </is>
      </c>
      <c r="H2021" s="131" t="n"/>
      <c r="I2021" s="637" t="inlineStr">
        <is>
          <t>MSK_C026</t>
        </is>
      </c>
      <c r="J2021" s="402" t="inlineStr">
        <is>
          <t>MSK_C026</t>
        </is>
      </c>
      <c r="K2021" s="640" t="n">
        <v>1</v>
      </c>
      <c r="L2021" s="640" t="n">
        <v>0</v>
      </c>
      <c r="M2021" s="640" t="inlineStr">
        <is>
          <t>Sam 43</t>
        </is>
      </c>
      <c r="N2021" s="640" t="n"/>
      <c r="O2021" s="640">
        <f>IF(AND(N2021=1,L2021=1),K2021,"")</f>
        <v/>
      </c>
      <c r="P2021" s="642" t="inlineStr">
        <is>
          <t>г. Зеленоград, Савелкинский проезд, д. 8</t>
        </is>
      </c>
      <c r="Q2021" s="640" t="n">
        <v>55.990985</v>
      </c>
      <c r="R2021" s="422" t="n">
        <v>37.219376</v>
      </c>
      <c r="S2021" s="387" t="n"/>
      <c r="T2021" s="387" t="n"/>
      <c r="U2021" s="436" t="n">
        <v>2</v>
      </c>
      <c r="V2021" s="387" t="n"/>
      <c r="W2021" s="325" t="n"/>
      <c r="X2021" s="1" t="n"/>
      <c r="Y2021" s="1" t="n"/>
    </row>
    <row r="2022" hidden="1" ht="16.05" customFormat="1" customHeight="1" s="126">
      <c r="A2022" s="125" t="n">
        <v>2640</v>
      </c>
      <c r="B2022" s="125" t="n"/>
      <c r="C2022" s="130" t="inlineStr">
        <is>
          <t>Москва</t>
        </is>
      </c>
      <c r="D2022" s="130" t="inlineStr">
        <is>
          <t>Московская область</t>
        </is>
      </c>
      <c r="E2022" s="130" t="n"/>
      <c r="F2022" s="130" t="inlineStr">
        <is>
          <t>Турагентство</t>
        </is>
      </c>
      <c r="G2022" s="130" t="inlineStr">
        <is>
          <t>Coral Travel</t>
        </is>
      </c>
      <c r="H2022" s="131" t="n"/>
      <c r="I2022" s="637" t="inlineStr">
        <is>
          <t>MSK_C027</t>
        </is>
      </c>
      <c r="J2022" s="402" t="inlineStr">
        <is>
          <t>MSK_C027</t>
        </is>
      </c>
      <c r="K2022" s="640" t="n">
        <v>1</v>
      </c>
      <c r="L2022" s="640" t="n">
        <v>0</v>
      </c>
      <c r="M2022" s="640" t="inlineStr">
        <is>
          <t>Sam 43</t>
        </is>
      </c>
      <c r="N2022" s="640" t="n"/>
      <c r="O2022" s="640">
        <f>IF(AND(N2022=1,L2022=1),K2022,"")</f>
        <v/>
      </c>
      <c r="P2022" s="642" t="inlineStr">
        <is>
          <t>Московская обл, г. Лобня, Краснополянскийпр-д, д. 2</t>
        </is>
      </c>
      <c r="Q2022" s="640" t="n">
        <v>56.007728</v>
      </c>
      <c r="R2022" s="422" t="n">
        <v>37.437625</v>
      </c>
      <c r="S2022" s="387" t="n"/>
      <c r="T2022" s="387" t="n"/>
      <c r="U2022" s="436" t="n">
        <v>2</v>
      </c>
      <c r="V2022" s="387" t="n"/>
      <c r="W2022" s="325" t="n"/>
      <c r="X2022" s="1" t="n"/>
      <c r="Y2022" s="1" t="n"/>
    </row>
    <row r="2023" hidden="1" ht="16.05" customFormat="1" customHeight="1" s="126">
      <c r="A2023" s="125" t="n">
        <v>2641</v>
      </c>
      <c r="B2023" s="125" t="n"/>
      <c r="C2023" s="130" t="inlineStr">
        <is>
          <t>Москва</t>
        </is>
      </c>
      <c r="D2023" s="130" t="inlineStr">
        <is>
          <t>Московская область</t>
        </is>
      </c>
      <c r="E2023" s="130" t="n"/>
      <c r="F2023" s="130" t="inlineStr">
        <is>
          <t>Турагентство</t>
        </is>
      </c>
      <c r="G2023" s="130" t="inlineStr">
        <is>
          <t>Coral Travel</t>
        </is>
      </c>
      <c r="H2023" s="131" t="n"/>
      <c r="I2023" s="637" t="inlineStr">
        <is>
          <t>MSK_C028</t>
        </is>
      </c>
      <c r="J2023" s="402" t="inlineStr">
        <is>
          <t>MSK_C028</t>
        </is>
      </c>
      <c r="K2023" s="640" t="n">
        <v>1</v>
      </c>
      <c r="L2023" s="640" t="n">
        <v>0</v>
      </c>
      <c r="M2023" s="640" t="inlineStr">
        <is>
          <t>Sam 43</t>
        </is>
      </c>
      <c r="N2023" s="640" t="n"/>
      <c r="O2023" s="640">
        <f>IF(AND(N2023=1,L2023=1),K2023,"")</f>
        <v/>
      </c>
      <c r="P2023" s="642" t="inlineStr">
        <is>
          <t>Московская область, г. Химки, ул. Московская, д. 1, корпус А</t>
        </is>
      </c>
      <c r="Q2023" s="640" t="n">
        <v>55.893476</v>
      </c>
      <c r="R2023" s="422" t="n">
        <v>37.45125</v>
      </c>
      <c r="S2023" s="387" t="n"/>
      <c r="T2023" s="387" t="n"/>
      <c r="U2023" s="436" t="n">
        <v>2</v>
      </c>
      <c r="V2023" s="387" t="n"/>
      <c r="W2023" s="325" t="n"/>
      <c r="X2023" s="1" t="n"/>
      <c r="Y2023" s="1" t="n"/>
    </row>
    <row r="2024" hidden="1" ht="16.05" customFormat="1" customHeight="1" s="126">
      <c r="A2024" s="125" t="n">
        <v>2642</v>
      </c>
      <c r="B2024" s="125" t="n"/>
      <c r="C2024" s="130" t="inlineStr">
        <is>
          <t>Москва</t>
        </is>
      </c>
      <c r="D2024" s="130" t="inlineStr">
        <is>
          <t>Московская область</t>
        </is>
      </c>
      <c r="E2024" s="130" t="n"/>
      <c r="F2024" s="130" t="inlineStr">
        <is>
          <t>Турагентство</t>
        </is>
      </c>
      <c r="G2024" s="130" t="inlineStr">
        <is>
          <t>Coral Travel</t>
        </is>
      </c>
      <c r="H2024" s="131" t="n"/>
      <c r="I2024" s="637" t="inlineStr">
        <is>
          <t>MSK_C029</t>
        </is>
      </c>
      <c r="J2024" s="402" t="inlineStr">
        <is>
          <t>MSK_C029</t>
        </is>
      </c>
      <c r="K2024" s="640" t="n">
        <v>1</v>
      </c>
      <c r="L2024" s="640" t="n">
        <v>0</v>
      </c>
      <c r="M2024" s="640" t="inlineStr">
        <is>
          <t>Sam 43</t>
        </is>
      </c>
      <c r="N2024" s="640" t="n"/>
      <c r="O2024" s="640">
        <f>IF(AND(N2024=1,L2024=1),K2024,"")</f>
        <v/>
      </c>
      <c r="P2024" s="642" t="inlineStr">
        <is>
          <t>Московская обл., г. Сергиев Посад, ул. Новоугличское шоссе д. 85. ТЦ Капитолий</t>
        </is>
      </c>
      <c r="Q2024" s="640" t="n">
        <v>56.339846</v>
      </c>
      <c r="R2024" s="422" t="n">
        <v>38.124321</v>
      </c>
      <c r="S2024" s="387" t="n"/>
      <c r="T2024" s="387" t="n"/>
      <c r="U2024" s="436" t="n">
        <v>2</v>
      </c>
      <c r="V2024" s="387" t="n"/>
      <c r="W2024" s="325" t="n"/>
      <c r="X2024" s="1" t="n"/>
      <c r="Y2024" s="1" t="n"/>
    </row>
    <row r="2025" hidden="1" ht="16.05" customFormat="1" customHeight="1" s="126">
      <c r="A2025" s="125" t="n">
        <v>2643</v>
      </c>
      <c r="B2025" s="125" t="n"/>
      <c r="C2025" s="130" t="inlineStr">
        <is>
          <t>Москва</t>
        </is>
      </c>
      <c r="D2025" s="130" t="inlineStr">
        <is>
          <t>Москва</t>
        </is>
      </c>
      <c r="E2025" s="130" t="n"/>
      <c r="F2025" s="130" t="inlineStr">
        <is>
          <t>Турагентство</t>
        </is>
      </c>
      <c r="G2025" s="130" t="inlineStr">
        <is>
          <t>Coral Travel</t>
        </is>
      </c>
      <c r="H2025" s="131" t="n"/>
      <c r="I2025" s="637" t="inlineStr">
        <is>
          <t>MSK_C030</t>
        </is>
      </c>
      <c r="J2025" s="402" t="inlineStr">
        <is>
          <t>MSK_C030</t>
        </is>
      </c>
      <c r="K2025" s="640" t="n">
        <v>1</v>
      </c>
      <c r="L2025" s="640" t="n">
        <v>0</v>
      </c>
      <c r="M2025" s="640" t="inlineStr">
        <is>
          <t>Sam 43</t>
        </is>
      </c>
      <c r="N2025" s="640" t="n"/>
      <c r="O2025" s="640">
        <f>IF(AND(N2025=1,L2025=1),K2025,"")</f>
        <v/>
      </c>
      <c r="P2025" s="642" t="inlineStr">
        <is>
          <t>г. Москва, ул. Декабристов, д.15Б</t>
        </is>
      </c>
      <c r="Q2025" s="640" t="n">
        <v>55.864873</v>
      </c>
      <c r="R2025" s="422" t="n">
        <v>37.604115</v>
      </c>
      <c r="S2025" s="387" t="n"/>
      <c r="T2025" s="387" t="n"/>
      <c r="U2025" s="436" t="n">
        <v>2</v>
      </c>
      <c r="V2025" s="387" t="n"/>
      <c r="W2025" s="325" t="n"/>
      <c r="X2025" s="1" t="n"/>
      <c r="Y2025" s="1" t="n"/>
    </row>
    <row r="2026" hidden="1" ht="16.05" customFormat="1" customHeight="1" s="126">
      <c r="A2026" s="125" t="n">
        <v>2644</v>
      </c>
      <c r="B2026" s="125" t="n"/>
      <c r="C2026" s="130" t="inlineStr">
        <is>
          <t>Москва</t>
        </is>
      </c>
      <c r="D2026" s="130" t="inlineStr">
        <is>
          <t>Москва</t>
        </is>
      </c>
      <c r="E2026" s="130" t="n"/>
      <c r="F2026" s="130" t="inlineStr">
        <is>
          <t>Турагентство</t>
        </is>
      </c>
      <c r="G2026" s="130" t="inlineStr">
        <is>
          <t>Coral Travel</t>
        </is>
      </c>
      <c r="H2026" s="131" t="n"/>
      <c r="I2026" s="637" t="inlineStr">
        <is>
          <t>MSK_C031</t>
        </is>
      </c>
      <c r="J2026" s="402" t="inlineStr">
        <is>
          <t>MSK_C031</t>
        </is>
      </c>
      <c r="K2026" s="640" t="n">
        <v>1</v>
      </c>
      <c r="L2026" s="640" t="n">
        <v>0</v>
      </c>
      <c r="M2026" s="640" t="inlineStr">
        <is>
          <t>Sam 43</t>
        </is>
      </c>
      <c r="N2026" s="640" t="n"/>
      <c r="O2026" s="640">
        <f>IF(AND(N2026=1,L2026=1),K2026,"")</f>
        <v/>
      </c>
      <c r="P2026" s="642" t="inlineStr">
        <is>
          <t>г. Москва, ул.1-ая Останкинская д.53</t>
        </is>
      </c>
      <c r="Q2026" s="640" t="n">
        <v>55.823796</v>
      </c>
      <c r="R2026" s="422" t="n">
        <v>37.632209</v>
      </c>
      <c r="S2026" s="387" t="n"/>
      <c r="T2026" s="387" t="n"/>
      <c r="U2026" s="436" t="n">
        <v>2</v>
      </c>
      <c r="V2026" s="387" t="n"/>
      <c r="W2026" s="325" t="n"/>
      <c r="X2026" s="1" t="n"/>
      <c r="Y2026" s="1" t="n"/>
    </row>
    <row r="2027" hidden="1" ht="16.05" customFormat="1" customHeight="1" s="126">
      <c r="A2027" s="125" t="n">
        <v>2645</v>
      </c>
      <c r="B2027" s="125" t="n"/>
      <c r="C2027" s="130" t="inlineStr">
        <is>
          <t>Москва</t>
        </is>
      </c>
      <c r="D2027" s="130" t="inlineStr">
        <is>
          <t>Москва</t>
        </is>
      </c>
      <c r="E2027" s="130" t="n"/>
      <c r="F2027" s="130" t="inlineStr">
        <is>
          <t>Турагентство</t>
        </is>
      </c>
      <c r="G2027" s="130" t="inlineStr">
        <is>
          <t>Coral Travel</t>
        </is>
      </c>
      <c r="H2027" s="131" t="n"/>
      <c r="I2027" s="637" t="inlineStr">
        <is>
          <t>MSK_C032</t>
        </is>
      </c>
      <c r="J2027" s="402" t="inlineStr">
        <is>
          <t>MSK_C032</t>
        </is>
      </c>
      <c r="K2027" s="640" t="n">
        <v>1</v>
      </c>
      <c r="L2027" s="640" t="n">
        <v>0</v>
      </c>
      <c r="M2027" s="640" t="inlineStr">
        <is>
          <t>Sam 43</t>
        </is>
      </c>
      <c r="N2027" s="640" t="n"/>
      <c r="O2027" s="640">
        <f>IF(AND(N2027=1,L2027=1),K2027,"")</f>
        <v/>
      </c>
      <c r="P2027" s="642" t="inlineStr">
        <is>
          <t>г. Москва, шоссе Энтузиастов, д. 12, корп. 2</t>
        </is>
      </c>
      <c r="Q2027" s="640" t="n">
        <v>55.747194</v>
      </c>
      <c r="R2027" s="422" t="n">
        <v>37.706734</v>
      </c>
      <c r="S2027" s="387" t="n"/>
      <c r="T2027" s="387" t="n"/>
      <c r="U2027" s="436" t="n">
        <v>2</v>
      </c>
      <c r="V2027" s="387" t="n"/>
      <c r="W2027" s="325" t="n"/>
      <c r="X2027" s="1" t="n"/>
      <c r="Y2027" s="1" t="n"/>
    </row>
    <row r="2028" hidden="1" ht="16.05" customFormat="1" customHeight="1" s="126">
      <c r="A2028" s="125" t="n">
        <v>2646</v>
      </c>
      <c r="B2028" s="125" t="n"/>
      <c r="C2028" s="130" t="inlineStr">
        <is>
          <t>Москва</t>
        </is>
      </c>
      <c r="D2028" s="130" t="inlineStr">
        <is>
          <t>Московская область</t>
        </is>
      </c>
      <c r="E2028" s="130" t="n"/>
      <c r="F2028" s="130" t="inlineStr">
        <is>
          <t>Турагентство</t>
        </is>
      </c>
      <c r="G2028" s="130" t="inlineStr">
        <is>
          <t>Coral Travel</t>
        </is>
      </c>
      <c r="H2028" s="131" t="n"/>
      <c r="I2028" s="637" t="inlineStr">
        <is>
          <t>MSK_C033</t>
        </is>
      </c>
      <c r="J2028" s="402" t="inlineStr">
        <is>
          <t>MSK_C033</t>
        </is>
      </c>
      <c r="K2028" s="640" t="n">
        <v>1</v>
      </c>
      <c r="L2028" s="640" t="n">
        <v>0</v>
      </c>
      <c r="M2028" s="640" t="inlineStr">
        <is>
          <t>Sam 43</t>
        </is>
      </c>
      <c r="N2028" s="640" t="n"/>
      <c r="O2028" s="640">
        <f>IF(AND(N2028=1,L2028=1),K2028,"")</f>
        <v/>
      </c>
      <c r="P2028" s="642" t="inlineStr">
        <is>
          <t>Московская область, г. Люберцы, Октябрьский проспект, д.112</t>
        </is>
      </c>
      <c r="Q2028" s="640" t="n">
        <v>55.685211</v>
      </c>
      <c r="R2028" s="422" t="n">
        <v>37.877876</v>
      </c>
      <c r="S2028" s="387" t="n"/>
      <c r="T2028" s="387" t="n"/>
      <c r="U2028" s="436" t="n">
        <v>2</v>
      </c>
      <c r="V2028" s="387" t="n"/>
      <c r="W2028" s="325" t="n"/>
      <c r="X2028" s="1" t="n"/>
      <c r="Y2028" s="1" t="n"/>
    </row>
    <row r="2029" hidden="1" ht="16.05" customFormat="1" customHeight="1" s="126">
      <c r="A2029" s="125" t="n">
        <v>2647</v>
      </c>
      <c r="B2029" s="125" t="n"/>
      <c r="C2029" s="130" t="inlineStr">
        <is>
          <t>Москва</t>
        </is>
      </c>
      <c r="D2029" s="130" t="inlineStr">
        <is>
          <t>Московская область</t>
        </is>
      </c>
      <c r="E2029" s="130" t="n"/>
      <c r="F2029" s="130" t="inlineStr">
        <is>
          <t>Турагентство</t>
        </is>
      </c>
      <c r="G2029" s="130" t="inlineStr">
        <is>
          <t>Coral Travel</t>
        </is>
      </c>
      <c r="H2029" s="131" t="n"/>
      <c r="I2029" s="637" t="inlineStr">
        <is>
          <t>MSK_C034</t>
        </is>
      </c>
      <c r="J2029" s="402" t="inlineStr">
        <is>
          <t>MSK_C034</t>
        </is>
      </c>
      <c r="K2029" s="640" t="n">
        <v>1</v>
      </c>
      <c r="L2029" s="640" t="n">
        <v>0</v>
      </c>
      <c r="M2029" s="640" t="inlineStr">
        <is>
          <t>Sam 43</t>
        </is>
      </c>
      <c r="N2029" s="640" t="n"/>
      <c r="O2029" s="640">
        <f>IF(AND(N2029=1,L2029=1),K2029,"")</f>
        <v/>
      </c>
      <c r="P2029" s="642" t="inlineStr">
        <is>
          <t>Московская область, г. Люберцы, Октябрьский проспект, д.146</t>
        </is>
      </c>
      <c r="Q2029" s="640" t="n">
        <v>55.679797</v>
      </c>
      <c r="R2029" s="422" t="n">
        <v>37.889227</v>
      </c>
      <c r="S2029" s="387" t="n"/>
      <c r="T2029" s="387" t="n"/>
      <c r="U2029" s="436" t="n">
        <v>2</v>
      </c>
      <c r="V2029" s="387" t="n"/>
      <c r="W2029" s="325" t="n"/>
      <c r="X2029" s="1" t="n"/>
      <c r="Y2029" s="1" t="n"/>
    </row>
    <row r="2030" hidden="1" ht="16.05" customFormat="1" customHeight="1" s="126">
      <c r="A2030" s="125" t="n">
        <v>2648</v>
      </c>
      <c r="B2030" s="125" t="n"/>
      <c r="C2030" s="130" t="inlineStr">
        <is>
          <t>Москва</t>
        </is>
      </c>
      <c r="D2030" s="130" t="inlineStr">
        <is>
          <t>Московская область</t>
        </is>
      </c>
      <c r="E2030" s="130" t="n"/>
      <c r="F2030" s="130" t="inlineStr">
        <is>
          <t>Турагентство</t>
        </is>
      </c>
      <c r="G2030" s="130" t="inlineStr">
        <is>
          <t>Coral Travel</t>
        </is>
      </c>
      <c r="H2030" s="131" t="n"/>
      <c r="I2030" s="637" t="inlineStr">
        <is>
          <t>MSK_C035</t>
        </is>
      </c>
      <c r="J2030" s="402" t="inlineStr">
        <is>
          <t>MSK_C035</t>
        </is>
      </c>
      <c r="K2030" s="640" t="n">
        <v>1</v>
      </c>
      <c r="L2030" s="640" t="n">
        <v>0</v>
      </c>
      <c r="M2030" s="640" t="inlineStr">
        <is>
          <t>Sam 43</t>
        </is>
      </c>
      <c r="N2030" s="640" t="n"/>
      <c r="O2030" s="640">
        <f>IF(AND(N2030=1,L2030=1),K2030,"")</f>
        <v/>
      </c>
      <c r="P2030" s="642" t="inlineStr">
        <is>
          <t xml:space="preserve">Московская область, г. Люберцы, Октябрьский проспект, д.366 </t>
        </is>
      </c>
      <c r="Q2030" s="640" t="n">
        <v>55.663115</v>
      </c>
      <c r="R2030" s="422" t="n">
        <v>37.910471</v>
      </c>
      <c r="S2030" s="387" t="n"/>
      <c r="T2030" s="387" t="n"/>
      <c r="U2030" s="436" t="n">
        <v>2</v>
      </c>
      <c r="V2030" s="387" t="n"/>
      <c r="W2030" s="325" t="n"/>
      <c r="X2030" s="1" t="n"/>
      <c r="Y2030" s="1" t="n"/>
    </row>
    <row r="2031" hidden="1" ht="16.05" customFormat="1" customHeight="1" s="126">
      <c r="A2031" s="125" t="n">
        <v>2649</v>
      </c>
      <c r="B2031" s="125" t="n"/>
      <c r="C2031" s="130" t="inlineStr">
        <is>
          <t>Москва</t>
        </is>
      </c>
      <c r="D2031" s="130" t="inlineStr">
        <is>
          <t>Московская область</t>
        </is>
      </c>
      <c r="E2031" s="130" t="n"/>
      <c r="F2031" s="130" t="inlineStr">
        <is>
          <t>Турагентство</t>
        </is>
      </c>
      <c r="G2031" s="130" t="inlineStr">
        <is>
          <t>Coral Travel</t>
        </is>
      </c>
      <c r="H2031" s="131" t="n"/>
      <c r="I2031" s="637" t="inlineStr">
        <is>
          <t>MSK_C036</t>
        </is>
      </c>
      <c r="J2031" s="402" t="inlineStr">
        <is>
          <t>MSK_C036</t>
        </is>
      </c>
      <c r="K2031" s="640" t="n">
        <v>1</v>
      </c>
      <c r="L2031" s="640" t="n">
        <v>0</v>
      </c>
      <c r="M2031" s="640" t="inlineStr">
        <is>
          <t>Sam 43</t>
        </is>
      </c>
      <c r="N2031" s="640" t="n"/>
      <c r="O2031" s="640">
        <f>IF(AND(N2031=1,L2031=1),K2031,"")</f>
        <v/>
      </c>
      <c r="P2031" s="642" t="inlineStr">
        <is>
          <t>Московская область, г. Люберцы, ул. Побратимов, д. 7</t>
        </is>
      </c>
      <c r="Q2031" s="640" t="n">
        <v>55.691982</v>
      </c>
      <c r="R2031" s="422" t="n">
        <v>37.896299</v>
      </c>
      <c r="S2031" s="387" t="n"/>
      <c r="T2031" s="387" t="n"/>
      <c r="U2031" s="436" t="n">
        <v>2</v>
      </c>
      <c r="V2031" s="387" t="n"/>
      <c r="W2031" s="325" t="n"/>
      <c r="X2031" s="1" t="n"/>
      <c r="Y2031" s="1" t="n"/>
    </row>
    <row r="2032" hidden="1" ht="16.05" customFormat="1" customHeight="1" s="126">
      <c r="A2032" s="125" t="n">
        <v>2650</v>
      </c>
      <c r="B2032" s="125" t="n"/>
      <c r="C2032" s="130" t="inlineStr">
        <is>
          <t>Москва</t>
        </is>
      </c>
      <c r="D2032" s="130" t="inlineStr">
        <is>
          <t>Московская область</t>
        </is>
      </c>
      <c r="E2032" s="130" t="n"/>
      <c r="F2032" s="130" t="inlineStr">
        <is>
          <t>Турагентство</t>
        </is>
      </c>
      <c r="G2032" s="130" t="inlineStr">
        <is>
          <t>Coral Travel</t>
        </is>
      </c>
      <c r="H2032" s="131" t="n"/>
      <c r="I2032" s="637" t="inlineStr">
        <is>
          <t>MSK_C037</t>
        </is>
      </c>
      <c r="J2032" s="402" t="inlineStr">
        <is>
          <t>MSK_C037</t>
        </is>
      </c>
      <c r="K2032" s="640" t="n">
        <v>1</v>
      </c>
      <c r="L2032" s="640" t="n">
        <v>0</v>
      </c>
      <c r="M2032" s="640" t="inlineStr">
        <is>
          <t>Sam 43</t>
        </is>
      </c>
      <c r="N2032" s="640" t="n"/>
      <c r="O2032" s="640">
        <f>IF(AND(N2032=1,L2032=1),K2032,"")</f>
        <v/>
      </c>
      <c r="P2032" s="642" t="inlineStr">
        <is>
          <t>Московская область, г.Одинцово,Можайское шоссе, д20</t>
        </is>
      </c>
      <c r="Q2032" s="640" t="n">
        <v>55.67435</v>
      </c>
      <c r="R2032" s="422" t="n">
        <v>37.277467</v>
      </c>
      <c r="S2032" s="387" t="n"/>
      <c r="T2032" s="387" t="n"/>
      <c r="U2032" s="436" t="n">
        <v>2</v>
      </c>
      <c r="V2032" s="387" t="n"/>
      <c r="W2032" s="325" t="n"/>
      <c r="X2032" s="1" t="n"/>
      <c r="Y2032" s="1" t="n"/>
    </row>
    <row r="2033" hidden="1" ht="16.05" customFormat="1" customHeight="1" s="126">
      <c r="A2033" s="125" t="n">
        <v>2651</v>
      </c>
      <c r="B2033" s="125" t="n"/>
      <c r="C2033" s="130" t="inlineStr">
        <is>
          <t>Москва</t>
        </is>
      </c>
      <c r="D2033" s="130" t="inlineStr">
        <is>
          <t>Московская область</t>
        </is>
      </c>
      <c r="E2033" s="130" t="n"/>
      <c r="F2033" s="130" t="inlineStr">
        <is>
          <t>Турагентство</t>
        </is>
      </c>
      <c r="G2033" s="130" t="inlineStr">
        <is>
          <t>Coral Travel</t>
        </is>
      </c>
      <c r="H2033" s="131" t="n"/>
      <c r="I2033" s="637" t="inlineStr">
        <is>
          <t>MSK_C038</t>
        </is>
      </c>
      <c r="J2033" s="402" t="inlineStr">
        <is>
          <t>MSK_C038</t>
        </is>
      </c>
      <c r="K2033" s="640" t="n">
        <v>1</v>
      </c>
      <c r="L2033" s="640" t="n">
        <v>0</v>
      </c>
      <c r="M2033" s="640" t="inlineStr">
        <is>
          <t>Sam 43</t>
        </is>
      </c>
      <c r="N2033" s="640" t="n"/>
      <c r="O2033" s="640">
        <f>IF(AND(N2033=1,L2033=1),K2033,"")</f>
        <v/>
      </c>
      <c r="P2033" s="642" t="inlineStr">
        <is>
          <t>Московская область, Одинцовский р-он,  с. Немчиновка, Хорошевский пр-д, д. 14 (ТРК VEGAS Кунцево, 3 этаж, пав. 4-078)</t>
        </is>
      </c>
      <c r="Q2033" s="640" t="n">
        <v>55.720007</v>
      </c>
      <c r="R2033" s="422" t="n">
        <v>37.378982</v>
      </c>
      <c r="S2033" s="387" t="n"/>
      <c r="T2033" s="387" t="n"/>
      <c r="U2033" s="436" t="n">
        <v>2</v>
      </c>
      <c r="V2033" s="387" t="n"/>
      <c r="W2033" s="325" t="n"/>
      <c r="X2033" s="1" t="n"/>
      <c r="Y2033" s="1" t="n"/>
    </row>
    <row r="2034" hidden="1" ht="16.05" customFormat="1" customHeight="1" s="126">
      <c r="A2034" s="125" t="n">
        <v>2652</v>
      </c>
      <c r="B2034" s="125" t="n"/>
      <c r="C2034" s="130" t="inlineStr">
        <is>
          <t>Москва</t>
        </is>
      </c>
      <c r="D2034" s="130" t="inlineStr">
        <is>
          <t>Московская область</t>
        </is>
      </c>
      <c r="E2034" s="130" t="n"/>
      <c r="F2034" s="130" t="inlineStr">
        <is>
          <t>Турагентство</t>
        </is>
      </c>
      <c r="G2034" s="130" t="inlineStr">
        <is>
          <t>Coral Travel</t>
        </is>
      </c>
      <c r="H2034" s="131" t="n"/>
      <c r="I2034" s="637" t="inlineStr">
        <is>
          <t>MSK_C039</t>
        </is>
      </c>
      <c r="J2034" s="402" t="inlineStr">
        <is>
          <t>MSK_C039</t>
        </is>
      </c>
      <c r="K2034" s="640" t="n">
        <v>1</v>
      </c>
      <c r="L2034" s="640" t="n">
        <v>0</v>
      </c>
      <c r="M2034" s="640" t="inlineStr">
        <is>
          <t>Sam 43</t>
        </is>
      </c>
      <c r="N2034" s="640" t="n"/>
      <c r="O2034" s="640">
        <f>IF(AND(N2034=1,L2034=1),K2034,"")</f>
        <v/>
      </c>
      <c r="P2034" s="642" t="inlineStr">
        <is>
          <t>Московская обл, г. Красногорск, ул. Знаменская, д. 5, ТЦ Июнь</t>
        </is>
      </c>
      <c r="Q2034" s="640" t="n">
        <v>55.818996</v>
      </c>
      <c r="R2034" s="422" t="n">
        <v>37.347017</v>
      </c>
      <c r="S2034" s="387" t="n"/>
      <c r="T2034" s="387" t="n"/>
      <c r="U2034" s="436" t="n">
        <v>2</v>
      </c>
      <c r="V2034" s="387" t="n"/>
      <c r="W2034" s="325" t="n"/>
      <c r="X2034" s="1" t="n"/>
      <c r="Y2034" s="1" t="n"/>
    </row>
    <row r="2035" hidden="1" ht="16.05" customFormat="1" customHeight="1" s="126">
      <c r="A2035" s="125" t="n">
        <v>2653</v>
      </c>
      <c r="B2035" s="125" t="n"/>
      <c r="C2035" s="130" t="inlineStr">
        <is>
          <t>Москва</t>
        </is>
      </c>
      <c r="D2035" s="130" t="inlineStr">
        <is>
          <t>Москва</t>
        </is>
      </c>
      <c r="E2035" s="130" t="n"/>
      <c r="F2035" s="130" t="inlineStr">
        <is>
          <t>Турагентство</t>
        </is>
      </c>
      <c r="G2035" s="130" t="inlineStr">
        <is>
          <t>Coral Travel</t>
        </is>
      </c>
      <c r="H2035" s="131" t="n"/>
      <c r="I2035" s="637" t="inlineStr">
        <is>
          <t>MSK_C040</t>
        </is>
      </c>
      <c r="J2035" s="402" t="inlineStr">
        <is>
          <t>MSK_C040</t>
        </is>
      </c>
      <c r="K2035" s="640" t="n">
        <v>1</v>
      </c>
      <c r="L2035" s="640" t="n">
        <v>0</v>
      </c>
      <c r="M2035" s="640" t="inlineStr">
        <is>
          <t>Sam 43</t>
        </is>
      </c>
      <c r="N2035" s="640" t="n"/>
      <c r="O2035" s="640">
        <f>IF(AND(N2035=1,L2035=1),K2035,"")</f>
        <v/>
      </c>
      <c r="P2035" s="642" t="inlineStr">
        <is>
          <t>г. Москва, ул. Щукинская, д. 42, ТРК "ЩУКА", 5 уровень</t>
        </is>
      </c>
      <c r="Q2035" s="640" t="n">
        <v>55.809316</v>
      </c>
      <c r="R2035" s="422" t="n">
        <v>37.464489</v>
      </c>
      <c r="S2035" s="387" t="n"/>
      <c r="T2035" s="387" t="n"/>
      <c r="U2035" s="436" t="n">
        <v>2</v>
      </c>
      <c r="V2035" s="387" t="n"/>
      <c r="W2035" s="325" t="n"/>
      <c r="X2035" s="1" t="n"/>
      <c r="Y2035" s="1" t="n"/>
    </row>
    <row r="2036" hidden="1" ht="16.05" customFormat="1" customHeight="1" s="126">
      <c r="A2036" s="125" t="n">
        <v>2654</v>
      </c>
      <c r="B2036" s="125" t="n"/>
      <c r="C2036" s="130" t="inlineStr">
        <is>
          <t>Москва</t>
        </is>
      </c>
      <c r="D2036" s="130" t="inlineStr">
        <is>
          <t>Москва</t>
        </is>
      </c>
      <c r="E2036" s="130" t="n"/>
      <c r="F2036" s="130" t="inlineStr">
        <is>
          <t>Турагентство</t>
        </is>
      </c>
      <c r="G2036" s="130" t="inlineStr">
        <is>
          <t>Coral Travel</t>
        </is>
      </c>
      <c r="H2036" s="131" t="n"/>
      <c r="I2036" s="637" t="inlineStr">
        <is>
          <t>MSK_C041</t>
        </is>
      </c>
      <c r="J2036" s="402" t="inlineStr">
        <is>
          <t>MSK_C041</t>
        </is>
      </c>
      <c r="K2036" s="640" t="n">
        <v>1</v>
      </c>
      <c r="L2036" s="640" t="n">
        <v>0</v>
      </c>
      <c r="M2036" s="640" t="inlineStr">
        <is>
          <t>Sam 43</t>
        </is>
      </c>
      <c r="N2036" s="640" t="n"/>
      <c r="O2036" s="640">
        <f>IF(AND(N2036=1,L2036=1),K2036,"")</f>
        <v/>
      </c>
      <c r="P2036" s="642" t="inlineStr">
        <is>
          <t>г. Москва, ул. Маршала Бирюзова, д.32, ТРК "Пятая Авеню"</t>
        </is>
      </c>
      <c r="Q2036" s="640" t="n">
        <v>55.799569</v>
      </c>
      <c r="R2036" s="422" t="n">
        <v>37.482851</v>
      </c>
      <c r="S2036" s="387" t="n"/>
      <c r="T2036" s="387" t="n"/>
      <c r="U2036" s="436" t="n">
        <v>2</v>
      </c>
      <c r="V2036" s="387" t="n"/>
      <c r="W2036" s="325" t="n"/>
      <c r="X2036" s="1" t="n"/>
      <c r="Y2036" s="1" t="n"/>
    </row>
    <row r="2037" hidden="1" ht="16.05" customFormat="1" customHeight="1" s="126">
      <c r="A2037" s="125" t="n">
        <v>2655</v>
      </c>
      <c r="B2037" s="125" t="n"/>
      <c r="C2037" s="130" t="inlineStr">
        <is>
          <t>Москва</t>
        </is>
      </c>
      <c r="D2037" s="130" t="inlineStr">
        <is>
          <t>Москва</t>
        </is>
      </c>
      <c r="E2037" s="130" t="n"/>
      <c r="F2037" s="130" t="inlineStr">
        <is>
          <t>Турагентство</t>
        </is>
      </c>
      <c r="G2037" s="130" t="inlineStr">
        <is>
          <t>Coral Travel</t>
        </is>
      </c>
      <c r="H2037" s="131" t="n"/>
      <c r="I2037" s="637" t="inlineStr">
        <is>
          <t>MSK_C042</t>
        </is>
      </c>
      <c r="J2037" s="402" t="inlineStr">
        <is>
          <t>MSK_C042</t>
        </is>
      </c>
      <c r="K2037" s="640" t="n">
        <v>1</v>
      </c>
      <c r="L2037" s="640" t="n">
        <v>0</v>
      </c>
      <c r="M2037" s="640" t="inlineStr">
        <is>
          <t>Sam 43</t>
        </is>
      </c>
      <c r="N2037" s="640" t="n"/>
      <c r="O2037" s="640">
        <f>IF(AND(N2037=1,L2037=1),K2037,"")</f>
        <v/>
      </c>
      <c r="P2037" s="642" t="inlineStr">
        <is>
          <t>г. Москва, Алтуфьевсое шоссе, д. 70, корп. 1</t>
        </is>
      </c>
      <c r="Q2037" s="640" t="n">
        <v>55.887963</v>
      </c>
      <c r="R2037" s="422" t="n">
        <v>37.588471</v>
      </c>
      <c r="S2037" s="387" t="n"/>
      <c r="T2037" s="387" t="n"/>
      <c r="U2037" s="436" t="n">
        <v>2</v>
      </c>
      <c r="V2037" s="387" t="n"/>
      <c r="W2037" s="325" t="n"/>
      <c r="X2037" s="1" t="n"/>
      <c r="Y2037" s="1" t="n"/>
    </row>
    <row r="2038" hidden="1" ht="16.05" customFormat="1" customHeight="1" s="126">
      <c r="A2038" s="125" t="n">
        <v>2656</v>
      </c>
      <c r="B2038" s="125" t="n"/>
      <c r="C2038" s="130" t="inlineStr">
        <is>
          <t>Москва</t>
        </is>
      </c>
      <c r="D2038" s="130" t="inlineStr">
        <is>
          <t>Москва</t>
        </is>
      </c>
      <c r="E2038" s="130" t="n"/>
      <c r="F2038" s="130" t="inlineStr">
        <is>
          <t>Турагентство</t>
        </is>
      </c>
      <c r="G2038" s="130" t="inlineStr">
        <is>
          <t>Coral Travel</t>
        </is>
      </c>
      <c r="H2038" s="131" t="n"/>
      <c r="I2038" s="637" t="inlineStr">
        <is>
          <t>MSK_C043</t>
        </is>
      </c>
      <c r="J2038" s="402" t="inlineStr">
        <is>
          <t>MSK_C043</t>
        </is>
      </c>
      <c r="K2038" s="640" t="n">
        <v>1</v>
      </c>
      <c r="L2038" s="640" t="n">
        <v>0</v>
      </c>
      <c r="M2038" s="640" t="inlineStr">
        <is>
          <t>Sam 43</t>
        </is>
      </c>
      <c r="N2038" s="640" t="n"/>
      <c r="O2038" s="640">
        <f>IF(AND(N2038=1,L2038=1),K2038,"")</f>
        <v/>
      </c>
      <c r="P2038" s="642" t="inlineStr">
        <is>
          <t>г. Москва, ул. Русаковская, д. 31, ТЦ "Холдинг Центр", 1 этаж</t>
        </is>
      </c>
      <c r="Q2038" s="640" t="n">
        <v>55.788332</v>
      </c>
      <c r="R2038" s="422" t="n">
        <v>37.67862</v>
      </c>
      <c r="S2038" s="387" t="n"/>
      <c r="T2038" s="387" t="n"/>
      <c r="U2038" s="436" t="n">
        <v>2</v>
      </c>
      <c r="V2038" s="387" t="n"/>
      <c r="W2038" s="325" t="n"/>
      <c r="X2038" s="1" t="n"/>
      <c r="Y2038" s="1" t="n"/>
    </row>
    <row r="2039" hidden="1" ht="16.05" customFormat="1" customHeight="1" s="126">
      <c r="A2039" s="125" t="n">
        <v>2657</v>
      </c>
      <c r="B2039" s="125" t="n"/>
      <c r="C2039" s="130" t="inlineStr">
        <is>
          <t>Москва</t>
        </is>
      </c>
      <c r="D2039" s="130" t="inlineStr">
        <is>
          <t xml:space="preserve">Москва </t>
        </is>
      </c>
      <c r="E2039" s="130" t="n"/>
      <c r="F2039" s="130" t="inlineStr">
        <is>
          <t>Турагентство</t>
        </is>
      </c>
      <c r="G2039" s="130" t="inlineStr">
        <is>
          <t>Coral Travel</t>
        </is>
      </c>
      <c r="H2039" s="131" t="n"/>
      <c r="I2039" s="637" t="inlineStr">
        <is>
          <t>MSK_C044</t>
        </is>
      </c>
      <c r="J2039" s="402" t="inlineStr">
        <is>
          <t>MSK_C044</t>
        </is>
      </c>
      <c r="K2039" s="640" t="n">
        <v>1</v>
      </c>
      <c r="L2039" s="640" t="n">
        <v>0</v>
      </c>
      <c r="M2039" s="640" t="inlineStr">
        <is>
          <t>Sam 43</t>
        </is>
      </c>
      <c r="N2039" s="640" t="n"/>
      <c r="O2039" s="640">
        <f>IF(AND(N2039=1,L2039=1),K2039,"")</f>
        <v/>
      </c>
      <c r="P2039" s="642" t="inlineStr">
        <is>
          <t>г.Москва, Снежная ул., д.16, к.1</t>
        </is>
      </c>
      <c r="Q2039" s="640" t="n">
        <v>55.851099</v>
      </c>
      <c r="R2039" s="422" t="n">
        <v>37.646073</v>
      </c>
      <c r="S2039" s="387" t="n"/>
      <c r="T2039" s="387" t="n"/>
      <c r="U2039" s="436" t="n">
        <v>2</v>
      </c>
      <c r="V2039" s="387" t="n"/>
      <c r="W2039" s="325" t="n"/>
      <c r="X2039" s="1" t="n"/>
      <c r="Y2039" s="1" t="n"/>
    </row>
    <row r="2040" hidden="1" ht="16.05" customFormat="1" customHeight="1" s="126">
      <c r="A2040" s="125" t="n">
        <v>2658</v>
      </c>
      <c r="B2040" s="125" t="n"/>
      <c r="C2040" s="130" t="inlineStr">
        <is>
          <t>Москва</t>
        </is>
      </c>
      <c r="D2040" s="130" t="inlineStr">
        <is>
          <t>Москва</t>
        </is>
      </c>
      <c r="E2040" s="130" t="n"/>
      <c r="F2040" s="130" t="inlineStr">
        <is>
          <t>Турагентство</t>
        </is>
      </c>
      <c r="G2040" s="130" t="inlineStr">
        <is>
          <t>Coral Travel</t>
        </is>
      </c>
      <c r="H2040" s="131" t="n"/>
      <c r="I2040" s="637" t="inlineStr">
        <is>
          <t>MSK_C045</t>
        </is>
      </c>
      <c r="J2040" s="402" t="inlineStr">
        <is>
          <t>MSK_C045</t>
        </is>
      </c>
      <c r="K2040" s="640" t="n">
        <v>1</v>
      </c>
      <c r="L2040" s="640" t="n">
        <v>0</v>
      </c>
      <c r="M2040" s="640" t="inlineStr">
        <is>
          <t>Sam 43</t>
        </is>
      </c>
      <c r="N2040" s="640" t="n"/>
      <c r="O2040" s="640">
        <f>IF(AND(N2040=1,L2040=1),K2040,"")</f>
        <v/>
      </c>
      <c r="P2040" s="642" t="inlineStr">
        <is>
          <t>г. Москва, ул. Пришвина, д. 22</t>
        </is>
      </c>
      <c r="Q2040" s="640" t="n">
        <v>55.885458</v>
      </c>
      <c r="R2040" s="422" t="n">
        <v>37.602442</v>
      </c>
      <c r="S2040" s="387" t="n"/>
      <c r="T2040" s="387" t="n"/>
      <c r="U2040" s="436" t="n">
        <v>2</v>
      </c>
      <c r="V2040" s="387" t="n"/>
      <c r="W2040" s="325" t="n"/>
      <c r="X2040" s="1" t="n"/>
      <c r="Y2040" s="1" t="n"/>
    </row>
    <row r="2041" hidden="1" ht="16.05" customFormat="1" customHeight="1" s="126">
      <c r="A2041" s="125" t="n">
        <v>2659</v>
      </c>
      <c r="B2041" s="125" t="n"/>
      <c r="C2041" s="130" t="inlineStr">
        <is>
          <t>Москва</t>
        </is>
      </c>
      <c r="D2041" s="130" t="inlineStr">
        <is>
          <t>Москва</t>
        </is>
      </c>
      <c r="E2041" s="130" t="n"/>
      <c r="F2041" s="130" t="inlineStr">
        <is>
          <t>Турагентство</t>
        </is>
      </c>
      <c r="G2041" s="130" t="inlineStr">
        <is>
          <t>Coral Travel</t>
        </is>
      </c>
      <c r="H2041" s="131" t="n"/>
      <c r="I2041" s="637" t="inlineStr">
        <is>
          <t>MSK_C046</t>
        </is>
      </c>
      <c r="J2041" s="402" t="inlineStr">
        <is>
          <t>MSK_C046</t>
        </is>
      </c>
      <c r="K2041" s="640" t="n">
        <v>1</v>
      </c>
      <c r="L2041" s="640" t="n">
        <v>0</v>
      </c>
      <c r="M2041" s="640" t="inlineStr">
        <is>
          <t>Sam 43</t>
        </is>
      </c>
      <c r="N2041" s="640" t="n"/>
      <c r="O2041" s="640">
        <f>IF(AND(N2041=1,L2041=1),K2041,"")</f>
        <v/>
      </c>
      <c r="P2041" s="642" t="inlineStr">
        <is>
          <t>г. Москва, ул. Шереметьевская, д. 20</t>
        </is>
      </c>
      <c r="Q2041" s="640" t="n">
        <v>55.803535</v>
      </c>
      <c r="R2041" s="422" t="n">
        <v>37.617964</v>
      </c>
      <c r="S2041" s="387" t="n"/>
      <c r="T2041" s="387" t="n"/>
      <c r="U2041" s="436" t="n">
        <v>2</v>
      </c>
      <c r="V2041" s="387" t="n"/>
      <c r="W2041" s="325" t="n"/>
      <c r="X2041" s="1" t="n"/>
      <c r="Y2041" s="1" t="n"/>
    </row>
    <row r="2042" hidden="1" ht="16.05" customFormat="1" customHeight="1" s="126">
      <c r="A2042" s="125" t="n">
        <v>2660</v>
      </c>
      <c r="B2042" s="125" t="n"/>
      <c r="C2042" s="130" t="inlineStr">
        <is>
          <t>Москва</t>
        </is>
      </c>
      <c r="D2042" s="130" t="inlineStr">
        <is>
          <t>Москва</t>
        </is>
      </c>
      <c r="E2042" s="130" t="n"/>
      <c r="F2042" s="130" t="inlineStr">
        <is>
          <t>Турагентство</t>
        </is>
      </c>
      <c r="G2042" s="130" t="inlineStr">
        <is>
          <t>Coral Travel</t>
        </is>
      </c>
      <c r="H2042" s="131" t="n"/>
      <c r="I2042" s="637" t="inlineStr">
        <is>
          <t>MSK_C047</t>
        </is>
      </c>
      <c r="J2042" s="402" t="inlineStr">
        <is>
          <t>MSK_C047</t>
        </is>
      </c>
      <c r="K2042" s="640" t="n">
        <v>1</v>
      </c>
      <c r="L2042" s="640" t="n">
        <v>0</v>
      </c>
      <c r="M2042" s="640" t="inlineStr">
        <is>
          <t>Sam 43</t>
        </is>
      </c>
      <c r="N2042" s="640" t="n"/>
      <c r="O2042" s="640">
        <f>IF(AND(N2042=1,L2042=1),K2042,"")</f>
        <v/>
      </c>
      <c r="P2042" s="642" t="inlineStr">
        <is>
          <t>г. Москва, Боровское шоссе, д. 6</t>
        </is>
      </c>
      <c r="Q2042" s="640" t="n">
        <v>55.658685</v>
      </c>
      <c r="R2042" s="422" t="n">
        <v>37.401889</v>
      </c>
      <c r="S2042" s="387" t="n"/>
      <c r="T2042" s="387" t="n"/>
      <c r="U2042" s="436" t="n">
        <v>2</v>
      </c>
      <c r="V2042" s="387" t="n"/>
      <c r="W2042" s="325" t="n"/>
      <c r="X2042" s="1" t="n"/>
      <c r="Y2042" s="1" t="n"/>
    </row>
    <row r="2043" hidden="1" ht="16.05" customFormat="1" customHeight="1" s="126">
      <c r="A2043" s="125" t="n">
        <v>2661</v>
      </c>
      <c r="B2043" s="125" t="n"/>
      <c r="C2043" s="130" t="inlineStr">
        <is>
          <t>Москва</t>
        </is>
      </c>
      <c r="D2043" s="130" t="inlineStr">
        <is>
          <t>Москва</t>
        </is>
      </c>
      <c r="E2043" s="130" t="n"/>
      <c r="F2043" s="130" t="inlineStr">
        <is>
          <t>Турагентство</t>
        </is>
      </c>
      <c r="G2043" s="130" t="inlineStr">
        <is>
          <t>Coral Travel</t>
        </is>
      </c>
      <c r="H2043" s="131" t="n"/>
      <c r="I2043" s="637" t="inlineStr">
        <is>
          <t>MSK_C048</t>
        </is>
      </c>
      <c r="J2043" s="402" t="inlineStr">
        <is>
          <t>MSK_C048</t>
        </is>
      </c>
      <c r="K2043" s="640" t="n">
        <v>1</v>
      </c>
      <c r="L2043" s="640" t="n">
        <v>0</v>
      </c>
      <c r="M2043" s="640" t="inlineStr">
        <is>
          <t>Sam 43</t>
        </is>
      </c>
      <c r="N2043" s="640" t="n"/>
      <c r="O2043" s="640">
        <f>IF(AND(N2043=1,L2043=1),K2043,"")</f>
        <v/>
      </c>
      <c r="P2043" s="642" t="inlineStr">
        <is>
          <t>г. Москва, Ореховый бульвар, д.14, корпус 3</t>
        </is>
      </c>
      <c r="Q2043" s="640" t="n">
        <v>55.60952</v>
      </c>
      <c r="R2043" s="422" t="n">
        <v>37.720229</v>
      </c>
      <c r="S2043" s="387" t="n"/>
      <c r="T2043" s="387" t="n"/>
      <c r="U2043" s="436" t="n">
        <v>2</v>
      </c>
      <c r="V2043" s="387" t="n"/>
      <c r="W2043" s="325" t="n"/>
      <c r="X2043" s="1" t="n"/>
      <c r="Y2043" s="1" t="n"/>
    </row>
    <row r="2044" hidden="1" ht="16.05" customFormat="1" customHeight="1" s="126">
      <c r="A2044" s="125" t="n">
        <v>2662</v>
      </c>
      <c r="B2044" s="125" t="n"/>
      <c r="C2044" s="130" t="inlineStr">
        <is>
          <t>Москва</t>
        </is>
      </c>
      <c r="D2044" s="130" t="inlineStr">
        <is>
          <t xml:space="preserve">Москва </t>
        </is>
      </c>
      <c r="E2044" s="130" t="n"/>
      <c r="F2044" s="130" t="inlineStr">
        <is>
          <t>Турагентство</t>
        </is>
      </c>
      <c r="G2044" s="130" t="inlineStr">
        <is>
          <t>Coral Travel</t>
        </is>
      </c>
      <c r="H2044" s="131" t="n"/>
      <c r="I2044" s="637" t="inlineStr">
        <is>
          <t>MSK_C049</t>
        </is>
      </c>
      <c r="J2044" s="402" t="inlineStr">
        <is>
          <t>MSK_C049</t>
        </is>
      </c>
      <c r="K2044" s="640" t="n">
        <v>1</v>
      </c>
      <c r="L2044" s="640" t="n">
        <v>0</v>
      </c>
      <c r="M2044" s="640" t="inlineStr">
        <is>
          <t>Sam 43</t>
        </is>
      </c>
      <c r="N2044" s="640" t="n"/>
      <c r="O2044" s="640">
        <f>IF(AND(N2044=1,L2044=1),K2044,"")</f>
        <v/>
      </c>
      <c r="P2044" s="642" t="inlineStr">
        <is>
          <t>г. Москва, ул. Первомайская, д. 99</t>
        </is>
      </c>
      <c r="Q2044" s="640" t="n">
        <v>55.793591</v>
      </c>
      <c r="R2044" s="422" t="n">
        <v>37.809103</v>
      </c>
      <c r="S2044" s="387" t="n"/>
      <c r="T2044" s="387" t="n"/>
      <c r="U2044" s="436" t="n">
        <v>2</v>
      </c>
      <c r="V2044" s="387" t="n"/>
      <c r="W2044" s="325" t="n"/>
      <c r="X2044" s="1" t="n"/>
      <c r="Y2044" s="1" t="n"/>
    </row>
    <row r="2045" hidden="1" ht="16.05" customFormat="1" customHeight="1" s="126">
      <c r="A2045" s="125" t="n">
        <v>2663</v>
      </c>
      <c r="B2045" s="125" t="n"/>
      <c r="C2045" s="130" t="inlineStr">
        <is>
          <t>Москва</t>
        </is>
      </c>
      <c r="D2045" s="130" t="inlineStr">
        <is>
          <t xml:space="preserve">Москва </t>
        </is>
      </c>
      <c r="E2045" s="130" t="n"/>
      <c r="F2045" s="130" t="inlineStr">
        <is>
          <t>Турагентство</t>
        </is>
      </c>
      <c r="G2045" s="130" t="inlineStr">
        <is>
          <t>Coral Travel</t>
        </is>
      </c>
      <c r="H2045" s="131" t="n"/>
      <c r="I2045" s="637" t="inlineStr">
        <is>
          <t>MSK_C050</t>
        </is>
      </c>
      <c r="J2045" s="402" t="inlineStr">
        <is>
          <t>MSK_C050</t>
        </is>
      </c>
      <c r="K2045" s="640" t="n">
        <v>1</v>
      </c>
      <c r="L2045" s="640" t="n">
        <v>0</v>
      </c>
      <c r="M2045" s="640" t="inlineStr">
        <is>
          <t>Sam 43</t>
        </is>
      </c>
      <c r="N2045" s="640" t="n"/>
      <c r="O2045" s="640">
        <f>IF(AND(N2045=1,L2045=1),K2045,"")</f>
        <v/>
      </c>
      <c r="P2045" s="642" t="inlineStr">
        <is>
          <t>г. Москва, Ходынский бульвар, д. 4, ТЦ АВИАПАРК</t>
        </is>
      </c>
      <c r="Q2045" s="640" t="n">
        <v>55.790066</v>
      </c>
      <c r="R2045" s="422" t="n">
        <v>37.530352</v>
      </c>
      <c r="S2045" s="387" t="n"/>
      <c r="T2045" s="387" t="n"/>
      <c r="U2045" s="436" t="n">
        <v>2</v>
      </c>
      <c r="V2045" s="387" t="n"/>
      <c r="W2045" s="325" t="n"/>
      <c r="X2045" s="1" t="n"/>
      <c r="Y2045" s="1" t="n"/>
    </row>
    <row r="2046" hidden="1" ht="16.05" customFormat="1" customHeight="1" s="126">
      <c r="A2046" s="125" t="n">
        <v>2664</v>
      </c>
      <c r="B2046" s="125" t="n"/>
      <c r="C2046" s="130" t="inlineStr">
        <is>
          <t>Москва</t>
        </is>
      </c>
      <c r="D2046" s="130" t="inlineStr">
        <is>
          <t>Москва</t>
        </is>
      </c>
      <c r="E2046" s="130" t="n"/>
      <c r="F2046" s="130" t="inlineStr">
        <is>
          <t>Турагентство</t>
        </is>
      </c>
      <c r="G2046" s="130" t="inlineStr">
        <is>
          <t>Coral Travel</t>
        </is>
      </c>
      <c r="H2046" s="131" t="n"/>
      <c r="I2046" s="637" t="inlineStr">
        <is>
          <t>MSK_C051</t>
        </is>
      </c>
      <c r="J2046" s="402" t="inlineStr">
        <is>
          <t>MSK_C051</t>
        </is>
      </c>
      <c r="K2046" s="640" t="n">
        <v>1</v>
      </c>
      <c r="L2046" s="640" t="n">
        <v>0</v>
      </c>
      <c r="M2046" s="640" t="inlineStr">
        <is>
          <t>Sam 43</t>
        </is>
      </c>
      <c r="N2046" s="640" t="n"/>
      <c r="O2046" s="640">
        <f>IF(AND(N2046=1,L2046=1),K2046,"")</f>
        <v/>
      </c>
      <c r="P2046" s="642" t="inlineStr">
        <is>
          <t>г. Москва, Рязанский пр-т,д. 2, к. 2</t>
        </is>
      </c>
      <c r="Q2046" s="640" t="n">
        <v>55.730366</v>
      </c>
      <c r="R2046" s="422" t="n">
        <v>37.732735</v>
      </c>
      <c r="S2046" s="387" t="n"/>
      <c r="T2046" s="387" t="n"/>
      <c r="U2046" s="436" t="n">
        <v>2</v>
      </c>
      <c r="V2046" s="387" t="n"/>
      <c r="W2046" s="325" t="n"/>
      <c r="X2046" s="1" t="n"/>
      <c r="Y2046" s="1" t="n"/>
    </row>
    <row r="2047" hidden="1" ht="16.05" customFormat="1" customHeight="1" s="126">
      <c r="A2047" s="125" t="n">
        <v>2665</v>
      </c>
      <c r="B2047" s="125" t="n"/>
      <c r="C2047" s="130" t="inlineStr">
        <is>
          <t>Москва</t>
        </is>
      </c>
      <c r="D2047" s="130" t="inlineStr">
        <is>
          <t>Москва</t>
        </is>
      </c>
      <c r="E2047" s="130" t="n"/>
      <c r="F2047" s="130" t="inlineStr">
        <is>
          <t>Турагентство</t>
        </is>
      </c>
      <c r="G2047" s="130" t="inlineStr">
        <is>
          <t>Coral Travel</t>
        </is>
      </c>
      <c r="H2047" s="131" t="n"/>
      <c r="I2047" s="637" t="inlineStr">
        <is>
          <t>MSK_C052</t>
        </is>
      </c>
      <c r="J2047" s="402" t="inlineStr">
        <is>
          <t>MSK_C052</t>
        </is>
      </c>
      <c r="K2047" s="640" t="n">
        <v>1</v>
      </c>
      <c r="L2047" s="640" t="n">
        <v>0</v>
      </c>
      <c r="M2047" s="640" t="inlineStr">
        <is>
          <t>Sam 43</t>
        </is>
      </c>
      <c r="N2047" s="640" t="n"/>
      <c r="O2047" s="640">
        <f>IF(AND(N2047=1,L2047=1),K2047,"")</f>
        <v/>
      </c>
      <c r="P2047" s="642" t="inlineStr">
        <is>
          <t>г. Москва, ул. Фестивальная, д. 2Б, ТРЦ "РЕЧНОЙ", 2-ой этаж (около эскалатора на 3 этаж)</t>
        </is>
      </c>
      <c r="Q2047" s="640" t="n">
        <v>55.854998</v>
      </c>
      <c r="R2047" s="422" t="n">
        <v>37.477869</v>
      </c>
      <c r="S2047" s="387" t="n"/>
      <c r="T2047" s="387" t="n"/>
      <c r="U2047" s="436" t="n">
        <v>2</v>
      </c>
      <c r="V2047" s="387" t="n"/>
      <c r="W2047" s="325" t="n"/>
      <c r="X2047" s="1" t="n"/>
      <c r="Y2047" s="1" t="n"/>
    </row>
    <row r="2048" hidden="1" ht="16.05" customFormat="1" customHeight="1" s="126">
      <c r="A2048" s="125" t="n">
        <v>2666</v>
      </c>
      <c r="B2048" s="125" t="n"/>
      <c r="C2048" s="130" t="inlineStr">
        <is>
          <t>Москва</t>
        </is>
      </c>
      <c r="D2048" s="130" t="inlineStr">
        <is>
          <t>Москва</t>
        </is>
      </c>
      <c r="E2048" s="130" t="n"/>
      <c r="F2048" s="130" t="inlineStr">
        <is>
          <t>Турагентство</t>
        </is>
      </c>
      <c r="G2048" s="130" t="inlineStr">
        <is>
          <t>Coral Travel</t>
        </is>
      </c>
      <c r="H2048" s="131" t="n"/>
      <c r="I2048" s="637" t="inlineStr">
        <is>
          <t>MSK_C053</t>
        </is>
      </c>
      <c r="J2048" s="402" t="inlineStr">
        <is>
          <t>MSK_C053</t>
        </is>
      </c>
      <c r="K2048" s="640" t="n">
        <v>1</v>
      </c>
      <c r="L2048" s="640" t="n">
        <v>0</v>
      </c>
      <c r="M2048" s="640" t="inlineStr">
        <is>
          <t>Sam 43</t>
        </is>
      </c>
      <c r="N2048" s="640" t="n"/>
      <c r="O2048" s="640">
        <f>IF(AND(N2048=1,L2048=1),K2048,"")</f>
        <v/>
      </c>
      <c r="P2048" s="642" t="inlineStr">
        <is>
          <t>г. Москва, ул. Правобережная, д. 1Б</t>
        </is>
      </c>
      <c r="Q2048" s="640" t="n">
        <v>55.880857</v>
      </c>
      <c r="R2048" s="422" t="n">
        <v>37.450195</v>
      </c>
      <c r="S2048" s="387" t="n"/>
      <c r="T2048" s="387" t="n"/>
      <c r="U2048" s="436" t="n">
        <v>2</v>
      </c>
      <c r="V2048" s="387" t="n"/>
      <c r="W2048" s="325" t="n"/>
      <c r="X2048" s="1" t="n"/>
      <c r="Y2048" s="1" t="n"/>
    </row>
    <row r="2049" hidden="1" ht="16.05" customFormat="1" customHeight="1" s="126">
      <c r="A2049" s="125" t="n">
        <v>2667</v>
      </c>
      <c r="B2049" s="125" t="n"/>
      <c r="C2049" s="130" t="inlineStr">
        <is>
          <t>Москва</t>
        </is>
      </c>
      <c r="D2049" s="130" t="inlineStr">
        <is>
          <t>Москва</t>
        </is>
      </c>
      <c r="E2049" s="130" t="n"/>
      <c r="F2049" s="130" t="inlineStr">
        <is>
          <t>Турагентство</t>
        </is>
      </c>
      <c r="G2049" s="130" t="inlineStr">
        <is>
          <t>Coral Travel</t>
        </is>
      </c>
      <c r="H2049" s="131" t="n"/>
      <c r="I2049" s="637" t="inlineStr">
        <is>
          <t>MSK_C054</t>
        </is>
      </c>
      <c r="J2049" s="402" t="inlineStr">
        <is>
          <t>MSK_C054</t>
        </is>
      </c>
      <c r="K2049" s="640" t="n">
        <v>1</v>
      </c>
      <c r="L2049" s="640" t="n">
        <v>0</v>
      </c>
      <c r="M2049" s="640" t="inlineStr">
        <is>
          <t>Sam 43</t>
        </is>
      </c>
      <c r="N2049" s="640" t="n"/>
      <c r="O2049" s="640">
        <f>IF(AND(N2049=1,L2049=1),K2049,"")</f>
        <v/>
      </c>
      <c r="P2049" s="642" t="inlineStr">
        <is>
          <t>г. Москва, ул. Профсоюзная, д. 102, стр. 1</t>
        </is>
      </c>
      <c r="Q2049" s="640" t="n">
        <v>55.643553</v>
      </c>
      <c r="R2049" s="422" t="n">
        <v>37.526106</v>
      </c>
      <c r="S2049" s="387" t="n"/>
      <c r="T2049" s="387" t="n"/>
      <c r="U2049" s="436" t="n">
        <v>2</v>
      </c>
      <c r="V2049" s="387" t="n"/>
      <c r="W2049" s="325" t="n"/>
      <c r="X2049" s="1" t="n"/>
      <c r="Y2049" s="1" t="n"/>
    </row>
    <row r="2050" hidden="1" ht="16.05" customFormat="1" customHeight="1" s="126">
      <c r="A2050" s="125" t="n">
        <v>2668</v>
      </c>
      <c r="B2050" s="125" t="n"/>
      <c r="C2050" s="130" t="inlineStr">
        <is>
          <t>Москва</t>
        </is>
      </c>
      <c r="D2050" s="130" t="inlineStr">
        <is>
          <t>Москва</t>
        </is>
      </c>
      <c r="E2050" s="130" t="n"/>
      <c r="F2050" s="130" t="inlineStr">
        <is>
          <t>Турагентство</t>
        </is>
      </c>
      <c r="G2050" s="130" t="inlineStr">
        <is>
          <t>Coral Travel</t>
        </is>
      </c>
      <c r="H2050" s="131" t="n"/>
      <c r="I2050" s="637" t="inlineStr">
        <is>
          <t>MSK_C055</t>
        </is>
      </c>
      <c r="J2050" s="402" t="inlineStr">
        <is>
          <t>MSK_C055</t>
        </is>
      </c>
      <c r="K2050" s="640" t="n">
        <v>1</v>
      </c>
      <c r="L2050" s="640" t="n">
        <v>0</v>
      </c>
      <c r="M2050" s="640" t="inlineStr">
        <is>
          <t>Sam 43</t>
        </is>
      </c>
      <c r="N2050" s="640" t="n"/>
      <c r="O2050" s="640">
        <f>IF(AND(N2050=1,L2050=1),K2050,"")</f>
        <v/>
      </c>
      <c r="P2050" s="642" t="inlineStr">
        <is>
          <t>г. Москва, Комсомольский проспект, д. 4</t>
        </is>
      </c>
      <c r="Q2050" s="640" t="n">
        <v>55.732953</v>
      </c>
      <c r="R2050" s="422" t="n">
        <v>37.592269</v>
      </c>
      <c r="S2050" s="387" t="n"/>
      <c r="T2050" s="387" t="n"/>
      <c r="U2050" s="436" t="n">
        <v>2</v>
      </c>
      <c r="V2050" s="387" t="n"/>
      <c r="W2050" s="325" t="n"/>
      <c r="X2050" s="1" t="n"/>
      <c r="Y2050" s="1" t="n"/>
    </row>
    <row r="2051" hidden="1" ht="16.05" customFormat="1" customHeight="1" s="126">
      <c r="A2051" s="125" t="n">
        <v>2669</v>
      </c>
      <c r="B2051" s="125" t="n"/>
      <c r="C2051" s="130" t="inlineStr">
        <is>
          <t>Москва</t>
        </is>
      </c>
      <c r="D2051" s="130" t="inlineStr">
        <is>
          <t>Москва</t>
        </is>
      </c>
      <c r="E2051" s="130" t="n"/>
      <c r="F2051" s="130" t="inlineStr">
        <is>
          <t>Турагентство</t>
        </is>
      </c>
      <c r="G2051" s="130" t="inlineStr">
        <is>
          <t>Coral Travel</t>
        </is>
      </c>
      <c r="H2051" s="131" t="n"/>
      <c r="I2051" s="637" t="inlineStr">
        <is>
          <t>MSK_C056</t>
        </is>
      </c>
      <c r="J2051" s="402" t="inlineStr">
        <is>
          <t>MSK_C056</t>
        </is>
      </c>
      <c r="K2051" s="640" t="n">
        <v>1</v>
      </c>
      <c r="L2051" s="640" t="n">
        <v>0</v>
      </c>
      <c r="M2051" s="640" t="inlineStr">
        <is>
          <t>Sam 43</t>
        </is>
      </c>
      <c r="N2051" s="640" t="n"/>
      <c r="O2051" s="640">
        <f>IF(AND(N2051=1,L2051=1),K2051,"")</f>
        <v/>
      </c>
      <c r="P2051" s="642" t="inlineStr">
        <is>
          <t>г. Москва, Каширское шоссе, д. 26</t>
        </is>
      </c>
      <c r="Q2051" s="640" t="n">
        <v>55.653848</v>
      </c>
      <c r="R2051" s="422" t="n">
        <v>37.647106</v>
      </c>
      <c r="S2051" s="387" t="n"/>
      <c r="T2051" s="387" t="n"/>
      <c r="U2051" s="436" t="n">
        <v>2</v>
      </c>
      <c r="V2051" s="387" t="n"/>
      <c r="W2051" s="325" t="n"/>
      <c r="X2051" s="1" t="n"/>
      <c r="Y2051" s="1" t="n"/>
    </row>
    <row r="2052" hidden="1" ht="16.05" customFormat="1" customHeight="1" s="126">
      <c r="A2052" s="125" t="n">
        <v>2670</v>
      </c>
      <c r="B2052" s="125" t="n"/>
      <c r="C2052" s="130" t="inlineStr">
        <is>
          <t>Москва</t>
        </is>
      </c>
      <c r="D2052" s="130" t="inlineStr">
        <is>
          <t xml:space="preserve">Москва </t>
        </is>
      </c>
      <c r="E2052" s="130" t="n"/>
      <c r="F2052" s="130" t="inlineStr">
        <is>
          <t>Турагентство</t>
        </is>
      </c>
      <c r="G2052" s="130" t="inlineStr">
        <is>
          <t>Coral Travel</t>
        </is>
      </c>
      <c r="H2052" s="131" t="n"/>
      <c r="I2052" s="637" t="inlineStr">
        <is>
          <t>MSK_C057</t>
        </is>
      </c>
      <c r="J2052" s="402" t="inlineStr">
        <is>
          <t>MSK_C057</t>
        </is>
      </c>
      <c r="K2052" s="640" t="n">
        <v>1</v>
      </c>
      <c r="L2052" s="640" t="n">
        <v>0</v>
      </c>
      <c r="M2052" s="640" t="inlineStr">
        <is>
          <t>Sam 43</t>
        </is>
      </c>
      <c r="N2052" s="640" t="n"/>
      <c r="O2052" s="640">
        <f>IF(AND(N2052=1,L2052=1),K2052,"")</f>
        <v/>
      </c>
      <c r="P2052" s="642" t="inlineStr">
        <is>
          <t>г. Москва, Ленинский пр-т, вл. 109</t>
        </is>
      </c>
      <c r="Q2052" s="640" t="n">
        <v>55.663057</v>
      </c>
      <c r="R2052" s="422" t="n">
        <v>37.510451</v>
      </c>
      <c r="S2052" s="387" t="n"/>
      <c r="T2052" s="387" t="n"/>
      <c r="U2052" s="436" t="n">
        <v>2</v>
      </c>
      <c r="V2052" s="387" t="n"/>
      <c r="W2052" s="325" t="n"/>
      <c r="X2052" s="1" t="n"/>
      <c r="Y2052" s="1" t="n"/>
    </row>
    <row r="2053" hidden="1" ht="16.05" customFormat="1" customHeight="1" s="126">
      <c r="A2053" s="125" t="n">
        <v>2671</v>
      </c>
      <c r="B2053" s="125" t="n"/>
      <c r="C2053" s="130" t="inlineStr">
        <is>
          <t>Санкт-Петербург</t>
        </is>
      </c>
      <c r="D2053" s="130" t="inlineStr">
        <is>
          <t>Санкт-Петербург</t>
        </is>
      </c>
      <c r="E2053" s="130" t="n"/>
      <c r="F2053" s="130" t="inlineStr">
        <is>
          <t>Турагентство</t>
        </is>
      </c>
      <c r="G2053" s="130" t="inlineStr">
        <is>
          <t>Coral Travel</t>
        </is>
      </c>
      <c r="H2053" s="131" t="n"/>
      <c r="I2053" s="637" t="inlineStr">
        <is>
          <t>SPB_C001</t>
        </is>
      </c>
      <c r="J2053" s="402" t="inlineStr">
        <is>
          <t>SPB_C001</t>
        </is>
      </c>
      <c r="K2053" s="640" t="n">
        <v>1</v>
      </c>
      <c r="L2053" s="640" t="n">
        <v>0</v>
      </c>
      <c r="M2053" s="640" t="inlineStr">
        <is>
          <t>Sam 43</t>
        </is>
      </c>
      <c r="N2053" s="640" t="n"/>
      <c r="O2053" s="640">
        <f>IF(AND(N2053=1,L2053=1),K2053,"")</f>
        <v/>
      </c>
      <c r="P2053" s="642" t="inlineStr">
        <is>
          <t>г. Санкт - Петербург, ул. Коллонтай, д.3</t>
        </is>
      </c>
      <c r="Q2053" s="640" t="n">
        <v>59.912914</v>
      </c>
      <c r="R2053" s="422" t="n">
        <v>30.446878</v>
      </c>
      <c r="S2053" s="387" t="n"/>
      <c r="T2053" s="387" t="n"/>
      <c r="U2053" s="436" t="n">
        <v>2</v>
      </c>
      <c r="V2053" s="387" t="n"/>
      <c r="W2053" s="325" t="n"/>
      <c r="X2053" s="1" t="n"/>
      <c r="Y2053" s="1" t="n"/>
    </row>
    <row r="2054" hidden="1" ht="16.05" customFormat="1" customHeight="1" s="126">
      <c r="A2054" s="125" t="n">
        <v>2672</v>
      </c>
      <c r="B2054" s="125" t="n"/>
      <c r="C2054" s="130" t="inlineStr">
        <is>
          <t>Санкт-Петербург</t>
        </is>
      </c>
      <c r="D2054" s="130" t="inlineStr">
        <is>
          <t>Санкт-Петербург</t>
        </is>
      </c>
      <c r="E2054" s="130" t="n"/>
      <c r="F2054" s="130" t="inlineStr">
        <is>
          <t>Турагентство</t>
        </is>
      </c>
      <c r="G2054" s="130" t="inlineStr">
        <is>
          <t>Coral Travel</t>
        </is>
      </c>
      <c r="H2054" s="131" t="n"/>
      <c r="I2054" s="637" t="inlineStr">
        <is>
          <t>SPB_C002</t>
        </is>
      </c>
      <c r="J2054" s="402" t="inlineStr">
        <is>
          <t>SPB_C002</t>
        </is>
      </c>
      <c r="K2054" s="640" t="n">
        <v>1</v>
      </c>
      <c r="L2054" s="640" t="n">
        <v>0</v>
      </c>
      <c r="M2054" s="640" t="inlineStr">
        <is>
          <t>Sam 43</t>
        </is>
      </c>
      <c r="N2054" s="640" t="n"/>
      <c r="O2054" s="640">
        <f>IF(AND(N2054=1,L2054=1),K2054,"")</f>
        <v/>
      </c>
      <c r="P2054" s="642" t="inlineStr">
        <is>
          <t>г. Санкт-Петербург, Коломяжский проспект, д.15, корп.2</t>
        </is>
      </c>
      <c r="Q2054" s="640" t="n">
        <v>60.001523</v>
      </c>
      <c r="R2054" s="422" t="n">
        <v>30.299429</v>
      </c>
      <c r="S2054" s="387" t="n"/>
      <c r="T2054" s="387" t="n"/>
      <c r="U2054" s="436" t="n">
        <v>2</v>
      </c>
      <c r="V2054" s="387" t="n"/>
      <c r="W2054" s="325" t="n"/>
      <c r="X2054" s="1" t="n"/>
      <c r="Y2054" s="1" t="n"/>
    </row>
    <row r="2055" hidden="1" ht="16.05" customFormat="1" customHeight="1" s="126">
      <c r="A2055" s="125" t="n">
        <v>2673</v>
      </c>
      <c r="B2055" s="125" t="n"/>
      <c r="C2055" s="130" t="inlineStr">
        <is>
          <t>Санкт-Петербург</t>
        </is>
      </c>
      <c r="D2055" s="130" t="inlineStr">
        <is>
          <t>Санкт-Петербург</t>
        </is>
      </c>
      <c r="E2055" s="130" t="n"/>
      <c r="F2055" s="130" t="inlineStr">
        <is>
          <t>Турагентство</t>
        </is>
      </c>
      <c r="G2055" s="130" t="inlineStr">
        <is>
          <t>Coral Travel</t>
        </is>
      </c>
      <c r="H2055" s="131" t="n"/>
      <c r="I2055" s="637" t="inlineStr">
        <is>
          <t>SPB_C003</t>
        </is>
      </c>
      <c r="J2055" s="402" t="inlineStr">
        <is>
          <t>SPB_C003</t>
        </is>
      </c>
      <c r="K2055" s="640" t="n">
        <v>1</v>
      </c>
      <c r="L2055" s="640" t="n">
        <v>0</v>
      </c>
      <c r="M2055" s="640" t="inlineStr">
        <is>
          <t>Sam 43</t>
        </is>
      </c>
      <c r="N2055" s="640" t="n"/>
      <c r="O2055" s="640">
        <f>IF(AND(N2055=1,L2055=1),K2055,"")</f>
        <v/>
      </c>
      <c r="P2055" s="642" t="inlineStr">
        <is>
          <t>г. Санкт-Петербург, Малый В.О. пр-т, д.88</t>
        </is>
      </c>
      <c r="Q2055" s="640" t="n">
        <v>59.938257</v>
      </c>
      <c r="R2055" s="422" t="n">
        <v>30.230708</v>
      </c>
      <c r="S2055" s="387" t="n"/>
      <c r="T2055" s="387" t="n"/>
      <c r="U2055" s="436" t="n">
        <v>2</v>
      </c>
      <c r="V2055" s="387" t="n"/>
      <c r="W2055" s="325" t="n"/>
      <c r="X2055" s="1" t="n"/>
      <c r="Y2055" s="1" t="n"/>
    </row>
    <row r="2056" hidden="1" ht="16.05" customFormat="1" customHeight="1" s="126">
      <c r="A2056" s="125" t="n">
        <v>2674</v>
      </c>
      <c r="B2056" s="125" t="n"/>
      <c r="C2056" s="130" t="inlineStr">
        <is>
          <t>Санкт-Петербург</t>
        </is>
      </c>
      <c r="D2056" s="130" t="inlineStr">
        <is>
          <t>Санкт-Петербург</t>
        </is>
      </c>
      <c r="E2056" s="130" t="n"/>
      <c r="F2056" s="130" t="inlineStr">
        <is>
          <t>Турагентство</t>
        </is>
      </c>
      <c r="G2056" s="130" t="inlineStr">
        <is>
          <t>Coral Travel</t>
        </is>
      </c>
      <c r="H2056" s="131" t="n"/>
      <c r="I2056" s="637" t="inlineStr">
        <is>
          <t>SPB_C004</t>
        </is>
      </c>
      <c r="J2056" s="402" t="inlineStr">
        <is>
          <t>SPB_C004</t>
        </is>
      </c>
      <c r="K2056" s="640" t="n">
        <v>1</v>
      </c>
      <c r="L2056" s="640" t="n">
        <v>0</v>
      </c>
      <c r="M2056" s="640" t="inlineStr">
        <is>
          <t>Sam 43</t>
        </is>
      </c>
      <c r="N2056" s="640" t="n"/>
      <c r="O2056" s="640">
        <f>IF(AND(N2056=1,L2056=1),K2056,"")</f>
        <v/>
      </c>
      <c r="P2056" s="642" t="inlineStr">
        <is>
          <t>г. Санкт-Петербург, ул. Садовая, д. 91</t>
        </is>
      </c>
      <c r="Q2056" s="640" t="n">
        <v>59.919244</v>
      </c>
      <c r="R2056" s="422" t="n">
        <v>30.291183</v>
      </c>
      <c r="S2056" s="387" t="n"/>
      <c r="T2056" s="387" t="n"/>
      <c r="U2056" s="436" t="n">
        <v>2</v>
      </c>
      <c r="V2056" s="387" t="n"/>
      <c r="W2056" s="325" t="n"/>
      <c r="X2056" s="1" t="n"/>
      <c r="Y2056" s="1" t="n"/>
    </row>
    <row r="2057" hidden="1" ht="16.05" customFormat="1" customHeight="1" s="126">
      <c r="A2057" s="125" t="n">
        <v>2675</v>
      </c>
      <c r="B2057" s="125" t="n"/>
      <c r="C2057" s="130" t="inlineStr">
        <is>
          <t>Санкт-Петербург</t>
        </is>
      </c>
      <c r="D2057" s="130" t="inlineStr">
        <is>
          <t>Санкт-Петербург</t>
        </is>
      </c>
      <c r="E2057" s="130" t="n"/>
      <c r="F2057" s="130" t="inlineStr">
        <is>
          <t>Турагентство</t>
        </is>
      </c>
      <c r="G2057" s="130" t="inlineStr">
        <is>
          <t>Coral Travel</t>
        </is>
      </c>
      <c r="H2057" s="131" t="n"/>
      <c r="I2057" s="637" t="inlineStr">
        <is>
          <t>SPB_C005</t>
        </is>
      </c>
      <c r="J2057" s="402" t="inlineStr">
        <is>
          <t>SPB_C005</t>
        </is>
      </c>
      <c r="K2057" s="640" t="n">
        <v>1</v>
      </c>
      <c r="L2057" s="640" t="n">
        <v>0</v>
      </c>
      <c r="M2057" s="640" t="inlineStr">
        <is>
          <t>Sam 43</t>
        </is>
      </c>
      <c r="N2057" s="640" t="n"/>
      <c r="O2057" s="640">
        <f>IF(AND(N2057=1,L2057=1),K2057,"")</f>
        <v/>
      </c>
      <c r="P2057" s="642" t="inlineStr">
        <is>
          <t>г. Санкт-Петербург, Бульвар Новаторов , д.11,  к.2, ТК "Французский Бульвар" , 2 этаж</t>
        </is>
      </c>
      <c r="Q2057" s="640" t="n">
        <v>59.849769</v>
      </c>
      <c r="R2057" s="422" t="n">
        <v>30.268411</v>
      </c>
      <c r="S2057" s="387" t="n"/>
      <c r="T2057" s="387" t="n"/>
      <c r="U2057" s="436" t="n">
        <v>2</v>
      </c>
      <c r="V2057" s="387" t="n"/>
      <c r="W2057" s="325" t="n"/>
      <c r="X2057" s="1" t="n"/>
      <c r="Y2057" s="1" t="n"/>
    </row>
    <row r="2058" hidden="1" ht="16.05" customFormat="1" customHeight="1" s="126">
      <c r="A2058" s="125" t="n">
        <v>2676</v>
      </c>
      <c r="B2058" s="125" t="n"/>
      <c r="C2058" s="130" t="inlineStr">
        <is>
          <t>Санкт-Петербург</t>
        </is>
      </c>
      <c r="D2058" s="130" t="inlineStr">
        <is>
          <t>Санкт-Петербург</t>
        </is>
      </c>
      <c r="E2058" s="130" t="n"/>
      <c r="F2058" s="130" t="inlineStr">
        <is>
          <t>Турагентство</t>
        </is>
      </c>
      <c r="G2058" s="130" t="inlineStr">
        <is>
          <t>Coral Travel</t>
        </is>
      </c>
      <c r="H2058" s="131" t="n"/>
      <c r="I2058" s="637" t="inlineStr">
        <is>
          <t>SPB_C006</t>
        </is>
      </c>
      <c r="J2058" s="402" t="inlineStr">
        <is>
          <t>SPB_C006</t>
        </is>
      </c>
      <c r="K2058" s="640" t="n">
        <v>1</v>
      </c>
      <c r="L2058" s="640" t="n">
        <v>0</v>
      </c>
      <c r="M2058" s="640" t="inlineStr">
        <is>
          <t>Sam 43</t>
        </is>
      </c>
      <c r="N2058" s="640" t="n"/>
      <c r="O2058" s="640">
        <f>IF(AND(N2058=1,L2058=1),K2058,"")</f>
        <v/>
      </c>
      <c r="P2058" s="642" t="inlineStr">
        <is>
          <t>г. Санкт-Петербург, ул. Михаила Дудина, д.6 , корп.1</t>
        </is>
      </c>
      <c r="Q2058" s="640" t="n">
        <v>60.066958</v>
      </c>
      <c r="R2058" s="422" t="n">
        <v>30.336287</v>
      </c>
      <c r="S2058" s="387" t="n"/>
      <c r="T2058" s="387" t="n"/>
      <c r="U2058" s="436" t="n">
        <v>2</v>
      </c>
      <c r="V2058" s="387" t="n"/>
      <c r="W2058" s="325" t="n"/>
      <c r="X2058" s="1" t="n"/>
      <c r="Y2058" s="1" t="n"/>
    </row>
    <row r="2059" hidden="1" ht="16.05" customFormat="1" customHeight="1" s="126">
      <c r="A2059" s="125" t="n">
        <v>2677</v>
      </c>
      <c r="B2059" s="125" t="n"/>
      <c r="C2059" s="130" t="inlineStr">
        <is>
          <t>Нижний Новгород</t>
        </is>
      </c>
      <c r="D2059" s="130" t="inlineStr">
        <is>
          <t>Нижний Новгород</t>
        </is>
      </c>
      <c r="E2059" s="130" t="n"/>
      <c r="F2059" s="130" t="inlineStr">
        <is>
          <t>Турагентство</t>
        </is>
      </c>
      <c r="G2059" s="130" t="inlineStr">
        <is>
          <t>Coral Travel</t>
        </is>
      </c>
      <c r="H2059" s="131" t="n"/>
      <c r="I2059" s="637" t="inlineStr">
        <is>
          <t>NN_C001</t>
        </is>
      </c>
      <c r="J2059" s="402" t="inlineStr">
        <is>
          <t>NN_C001</t>
        </is>
      </c>
      <c r="K2059" s="640" t="n">
        <v>1</v>
      </c>
      <c r="L2059" s="640" t="n">
        <v>0</v>
      </c>
      <c r="M2059" s="640" t="inlineStr">
        <is>
          <t>Sam 43</t>
        </is>
      </c>
      <c r="N2059" s="640" t="n"/>
      <c r="O2059" s="640">
        <f>IF(AND(N2059=1,L2059=1),K2059,"")</f>
        <v/>
      </c>
      <c r="P2059" s="642" t="inlineStr">
        <is>
          <t>г. Нижний Новгород, ул. Семашко, д.30, 2 эт, оф. 5</t>
        </is>
      </c>
      <c r="Q2059" s="640" t="n">
        <v>56.320148</v>
      </c>
      <c r="R2059" s="422" t="n">
        <v>44.017242</v>
      </c>
      <c r="S2059" s="387" t="n"/>
      <c r="T2059" s="387" t="n"/>
      <c r="U2059" s="436" t="n">
        <v>2</v>
      </c>
      <c r="V2059" s="387" t="n"/>
      <c r="W2059" s="325" t="n"/>
      <c r="X2059" s="1" t="n"/>
      <c r="Y2059" s="1" t="n"/>
    </row>
    <row r="2060" hidden="1" ht="16.05" customFormat="1" customHeight="1" s="126">
      <c r="A2060" s="125" t="n">
        <v>2678</v>
      </c>
      <c r="B2060" s="125" t="n"/>
      <c r="C2060" s="130" t="inlineStr">
        <is>
          <t>Нижний Новгород</t>
        </is>
      </c>
      <c r="D2060" s="130" t="inlineStr">
        <is>
          <t>Нижний Новгород</t>
        </is>
      </c>
      <c r="E2060" s="130" t="n"/>
      <c r="F2060" s="130" t="inlineStr">
        <is>
          <t>Турагентство</t>
        </is>
      </c>
      <c r="G2060" s="130" t="inlineStr">
        <is>
          <t>Coral Travel</t>
        </is>
      </c>
      <c r="H2060" s="131" t="n"/>
      <c r="I2060" s="637" t="inlineStr">
        <is>
          <t>NN_C002</t>
        </is>
      </c>
      <c r="J2060" s="402" t="inlineStr">
        <is>
          <t>NN_C002</t>
        </is>
      </c>
      <c r="K2060" s="640" t="n">
        <v>1</v>
      </c>
      <c r="L2060" s="640" t="n">
        <v>0</v>
      </c>
      <c r="M2060" s="640" t="inlineStr">
        <is>
          <t>Sam 43</t>
        </is>
      </c>
      <c r="N2060" s="640" t="n"/>
      <c r="O2060" s="640">
        <f>IF(AND(N2060=1,L2060=1),K2060,"")</f>
        <v/>
      </c>
      <c r="P2060" s="642" t="inlineStr">
        <is>
          <t>г. Нижний Новгород, ул. Верхне-Печерская, д. 7 Б</t>
        </is>
      </c>
      <c r="Q2060" s="640" t="n">
        <v>56.288691</v>
      </c>
      <c r="R2060" s="422" t="n">
        <v>44.067081</v>
      </c>
      <c r="S2060" s="387" t="n"/>
      <c r="T2060" s="387" t="n"/>
      <c r="U2060" s="436" t="n">
        <v>2</v>
      </c>
      <c r="V2060" s="387" t="n"/>
      <c r="W2060" s="325" t="n"/>
      <c r="X2060" s="1" t="n"/>
      <c r="Y2060" s="1" t="n"/>
    </row>
    <row r="2061" hidden="1" ht="16.05" customFormat="1" customHeight="1" s="126">
      <c r="A2061" s="125" t="n">
        <v>2679</v>
      </c>
      <c r="B2061" s="125" t="n"/>
      <c r="C2061" s="130" t="inlineStr">
        <is>
          <t>Нижний Новгород</t>
        </is>
      </c>
      <c r="D2061" s="130" t="inlineStr">
        <is>
          <t>Нижний Новгород</t>
        </is>
      </c>
      <c r="E2061" s="130" t="n"/>
      <c r="F2061" s="130" t="inlineStr">
        <is>
          <t>Турагентство</t>
        </is>
      </c>
      <c r="G2061" s="130" t="inlineStr">
        <is>
          <t>Coral Travel</t>
        </is>
      </c>
      <c r="H2061" s="131" t="n"/>
      <c r="I2061" s="637" t="inlineStr">
        <is>
          <t>NN_C003</t>
        </is>
      </c>
      <c r="J2061" s="402" t="inlineStr">
        <is>
          <t>NN_C003</t>
        </is>
      </c>
      <c r="K2061" s="640" t="n">
        <v>1</v>
      </c>
      <c r="L2061" s="640" t="n">
        <v>0</v>
      </c>
      <c r="M2061" s="640" t="inlineStr">
        <is>
          <t>Sam 43</t>
        </is>
      </c>
      <c r="N2061" s="640" t="n"/>
      <c r="O2061" s="640">
        <f>IF(AND(N2061=1,L2061=1),K2061,"")</f>
        <v/>
      </c>
      <c r="P2061" s="642" t="inlineStr">
        <is>
          <t>г. Нижний Новгород, Московское шоссе, д. 12</t>
        </is>
      </c>
      <c r="Q2061" s="640" t="n">
        <v>56.317942</v>
      </c>
      <c r="R2061" s="422" t="n">
        <v>43.925443</v>
      </c>
      <c r="S2061" s="387" t="n"/>
      <c r="T2061" s="387" t="n"/>
      <c r="U2061" s="436" t="n">
        <v>2</v>
      </c>
      <c r="V2061" s="387" t="n"/>
      <c r="W2061" s="325" t="n"/>
      <c r="X2061" s="1" t="n"/>
      <c r="Y2061" s="1" t="n"/>
    </row>
    <row r="2062" hidden="1" ht="16.05" customFormat="1" customHeight="1" s="126">
      <c r="A2062" s="125" t="n">
        <v>2680</v>
      </c>
      <c r="B2062" s="125" t="n"/>
      <c r="C2062" s="130" t="inlineStr">
        <is>
          <t>Татарстан</t>
        </is>
      </c>
      <c r="D2062" s="130" t="inlineStr">
        <is>
          <t>Казань</t>
        </is>
      </c>
      <c r="E2062" s="130" t="n"/>
      <c r="F2062" s="130" t="inlineStr">
        <is>
          <t>Турагентство</t>
        </is>
      </c>
      <c r="G2062" s="130" t="inlineStr">
        <is>
          <t>Coral Travel</t>
        </is>
      </c>
      <c r="H2062" s="131" t="n"/>
      <c r="I2062" s="637" t="inlineStr">
        <is>
          <t>KZN_C001</t>
        </is>
      </c>
      <c r="J2062" s="402" t="inlineStr">
        <is>
          <t>KZN_C001</t>
        </is>
      </c>
      <c r="K2062" s="640" t="n">
        <v>1</v>
      </c>
      <c r="L2062" s="640" t="n">
        <v>0</v>
      </c>
      <c r="M2062" s="640" t="inlineStr">
        <is>
          <t>Sam 43</t>
        </is>
      </c>
      <c r="N2062" s="640" t="n"/>
      <c r="O2062" s="640">
        <f>IF(AND(N2062=1,L2062=1),K2062,"")</f>
        <v/>
      </c>
      <c r="P2062" s="642" t="inlineStr">
        <is>
          <t>г. Казань, проспект Ямашева, д. 97</t>
        </is>
      </c>
      <c r="Q2062" s="640" t="n">
        <v>55.825153</v>
      </c>
      <c r="R2062" s="422" t="n">
        <v>49.152417</v>
      </c>
      <c r="S2062" s="387" t="n"/>
      <c r="T2062" s="387" t="n"/>
      <c r="U2062" s="436" t="n">
        <v>2</v>
      </c>
      <c r="V2062" s="387" t="n"/>
      <c r="W2062" s="325" t="n"/>
      <c r="X2062" s="1" t="n"/>
      <c r="Y2062" s="1" t="n"/>
    </row>
    <row r="2063" hidden="1" ht="16.05" customFormat="1" customHeight="1" s="126">
      <c r="A2063" s="125" t="n">
        <v>2681</v>
      </c>
      <c r="B2063" s="125" t="n"/>
      <c r="C2063" s="130" t="inlineStr">
        <is>
          <t>Татарстан</t>
        </is>
      </c>
      <c r="D2063" s="130" t="inlineStr">
        <is>
          <t>Казань</t>
        </is>
      </c>
      <c r="E2063" s="130" t="n"/>
      <c r="F2063" s="130" t="inlineStr">
        <is>
          <t>Турагентство</t>
        </is>
      </c>
      <c r="G2063" s="130" t="inlineStr">
        <is>
          <t>Coral Travel</t>
        </is>
      </c>
      <c r="H2063" s="131" t="n"/>
      <c r="I2063" s="637" t="inlineStr">
        <is>
          <t>KZN_C002</t>
        </is>
      </c>
      <c r="J2063" s="402" t="inlineStr">
        <is>
          <t>KZN_C002</t>
        </is>
      </c>
      <c r="K2063" s="640" t="n">
        <v>1</v>
      </c>
      <c r="L2063" s="640" t="n">
        <v>0</v>
      </c>
      <c r="M2063" s="640" t="inlineStr">
        <is>
          <t>Sam 43</t>
        </is>
      </c>
      <c r="N2063" s="640" t="n"/>
      <c r="O2063" s="640">
        <f>IF(AND(N2063=1,L2063=1),K2063,"")</f>
        <v/>
      </c>
      <c r="P2063" s="642" t="inlineStr">
        <is>
          <t>г. Казань, ул. Юлиуса Фучика, д. 90</t>
        </is>
      </c>
      <c r="Q2063" s="640" t="n">
        <v>55.763478</v>
      </c>
      <c r="R2063" s="422" t="n">
        <v>49.233274</v>
      </c>
      <c r="S2063" s="387" t="n"/>
      <c r="T2063" s="387" t="n"/>
      <c r="U2063" s="436" t="n">
        <v>2</v>
      </c>
      <c r="V2063" s="387" t="n"/>
      <c r="W2063" s="325" t="n"/>
      <c r="X2063" s="1" t="n"/>
      <c r="Y2063" s="1" t="n"/>
    </row>
    <row r="2064" hidden="1" ht="16.05" customFormat="1" customHeight="1" s="126">
      <c r="A2064" s="125" t="n">
        <v>2682</v>
      </c>
      <c r="B2064" s="125" t="n"/>
      <c r="C2064" s="130" t="inlineStr">
        <is>
          <t>Татарстан</t>
        </is>
      </c>
      <c r="D2064" s="130" t="inlineStr">
        <is>
          <t>Казань</t>
        </is>
      </c>
      <c r="E2064" s="130" t="n"/>
      <c r="F2064" s="130" t="inlineStr">
        <is>
          <t>Турагентство</t>
        </is>
      </c>
      <c r="G2064" s="130" t="inlineStr">
        <is>
          <t>Coral Travel</t>
        </is>
      </c>
      <c r="H2064" s="131" t="n"/>
      <c r="I2064" s="637" t="inlineStr">
        <is>
          <t>KZN_C003</t>
        </is>
      </c>
      <c r="J2064" s="402" t="inlineStr">
        <is>
          <t>KZN_C003</t>
        </is>
      </c>
      <c r="K2064" s="640" t="n">
        <v>1</v>
      </c>
      <c r="L2064" s="640" t="n">
        <v>0</v>
      </c>
      <c r="M2064" s="640" t="inlineStr">
        <is>
          <t>Sam 43</t>
        </is>
      </c>
      <c r="N2064" s="640" t="n"/>
      <c r="O2064" s="640">
        <f>IF(AND(N2064=1,L2064=1),K2064,"")</f>
        <v/>
      </c>
      <c r="P2064" s="642" t="inlineStr">
        <is>
          <t>г. Казань, ул. Чистопольская, д. 11</t>
        </is>
      </c>
      <c r="Q2064" s="640" t="n">
        <v>55.820126</v>
      </c>
      <c r="R2064" s="422" t="n">
        <v>49.107474</v>
      </c>
      <c r="S2064" s="387" t="n"/>
      <c r="T2064" s="387" t="n"/>
      <c r="U2064" s="436" t="n">
        <v>2</v>
      </c>
      <c r="V2064" s="387" t="n"/>
      <c r="W2064" s="325" t="n"/>
      <c r="X2064" s="1" t="n"/>
      <c r="Y2064" s="1" t="n"/>
    </row>
    <row r="2065" hidden="1" ht="16.05" customFormat="1" customHeight="1" s="126">
      <c r="A2065" s="125" t="n">
        <v>2683</v>
      </c>
      <c r="B2065" s="125" t="n"/>
      <c r="C2065" s="130" t="inlineStr">
        <is>
          <t>Пермь</t>
        </is>
      </c>
      <c r="D2065" s="130" t="inlineStr">
        <is>
          <t>Пермь</t>
        </is>
      </c>
      <c r="E2065" s="130" t="n"/>
      <c r="F2065" s="130" t="inlineStr">
        <is>
          <t>Турагентство</t>
        </is>
      </c>
      <c r="G2065" s="130" t="inlineStr">
        <is>
          <t>Coral Travel</t>
        </is>
      </c>
      <c r="H2065" s="131" t="n"/>
      <c r="I2065" s="637" t="inlineStr">
        <is>
          <t>PRM_C001</t>
        </is>
      </c>
      <c r="J2065" s="402" t="inlineStr">
        <is>
          <t>PRM_C001</t>
        </is>
      </c>
      <c r="K2065" s="640" t="n">
        <v>1</v>
      </c>
      <c r="L2065" s="640" t="n">
        <v>0</v>
      </c>
      <c r="M2065" s="640" t="inlineStr">
        <is>
          <t>Sam 43</t>
        </is>
      </c>
      <c r="N2065" s="640" t="n"/>
      <c r="O2065" s="640">
        <f>IF(AND(N2065=1,L2065=1),K2065,"")</f>
        <v/>
      </c>
      <c r="P2065" s="642" t="inlineStr">
        <is>
          <t>г. Пермь, ул. Революции, д. 13</t>
        </is>
      </c>
      <c r="Q2065" s="640" t="n">
        <v>58.007761</v>
      </c>
      <c r="R2065" s="422" t="n">
        <v>56.262699</v>
      </c>
      <c r="S2065" s="387" t="n"/>
      <c r="T2065" s="387" t="n"/>
      <c r="U2065" s="436" t="n">
        <v>2</v>
      </c>
      <c r="V2065" s="387" t="n"/>
      <c r="W2065" s="325" t="n"/>
      <c r="X2065" s="1" t="n"/>
      <c r="Y2065" s="1" t="n"/>
    </row>
    <row r="2066" hidden="1" ht="16.05" customFormat="1" customHeight="1" s="126">
      <c r="A2066" s="125" t="n">
        <v>2684</v>
      </c>
      <c r="B2066" s="125" t="n"/>
      <c r="C2066" s="130" t="inlineStr">
        <is>
          <t>Пермь</t>
        </is>
      </c>
      <c r="D2066" s="130" t="inlineStr">
        <is>
          <t>Пермь</t>
        </is>
      </c>
      <c r="E2066" s="130" t="n"/>
      <c r="F2066" s="130" t="inlineStr">
        <is>
          <t>Турагентство</t>
        </is>
      </c>
      <c r="G2066" s="130" t="inlineStr">
        <is>
          <t>Coral Travel</t>
        </is>
      </c>
      <c r="H2066" s="131" t="n"/>
      <c r="I2066" s="637" t="inlineStr">
        <is>
          <t>PRM_C002</t>
        </is>
      </c>
      <c r="J2066" s="402" t="inlineStr">
        <is>
          <t>PRM_C002</t>
        </is>
      </c>
      <c r="K2066" s="640" t="n">
        <v>1</v>
      </c>
      <c r="L2066" s="640" t="n">
        <v>0</v>
      </c>
      <c r="M2066" s="640" t="inlineStr">
        <is>
          <t>Sam 43</t>
        </is>
      </c>
      <c r="N2066" s="640" t="n"/>
      <c r="O2066" s="640">
        <f>IF(AND(N2066=1,L2066=1),K2066,"")</f>
        <v/>
      </c>
      <c r="P2066" s="642" t="inlineStr">
        <is>
          <t>г. Пермь, ул. Ленина, д.66</t>
        </is>
      </c>
      <c r="Q2066" s="640" t="n">
        <v>58.008943</v>
      </c>
      <c r="R2066" s="422" t="n">
        <v>56.229129</v>
      </c>
      <c r="S2066" s="387" t="n"/>
      <c r="T2066" s="387" t="n"/>
      <c r="U2066" s="436" t="n">
        <v>2</v>
      </c>
      <c r="V2066" s="387" t="n"/>
      <c r="W2066" s="325" t="n"/>
      <c r="X2066" s="1" t="n"/>
      <c r="Y2066" s="1" t="n"/>
    </row>
    <row r="2067" hidden="1" ht="16.05" customFormat="1" customHeight="1" s="126">
      <c r="A2067" s="125" t="n">
        <v>2685</v>
      </c>
      <c r="B2067" s="125" t="n"/>
      <c r="C2067" s="130" t="inlineStr">
        <is>
          <t>Екатеринбург</t>
        </is>
      </c>
      <c r="D2067" s="130" t="inlineStr">
        <is>
          <t>Екатеринбург</t>
        </is>
      </c>
      <c r="E2067" s="130" t="n"/>
      <c r="F2067" s="130" t="inlineStr">
        <is>
          <t>Турагентство</t>
        </is>
      </c>
      <c r="G2067" s="130" t="inlineStr">
        <is>
          <t>Coral Travel</t>
        </is>
      </c>
      <c r="H2067" s="131" t="n"/>
      <c r="I2067" s="637" t="inlineStr">
        <is>
          <t>EKB_C001</t>
        </is>
      </c>
      <c r="J2067" s="402" t="inlineStr">
        <is>
          <t>EKB_C001</t>
        </is>
      </c>
      <c r="K2067" s="640" t="n">
        <v>1</v>
      </c>
      <c r="L2067" s="640" t="n">
        <v>0</v>
      </c>
      <c r="M2067" s="640" t="inlineStr">
        <is>
          <t>Sam 43</t>
        </is>
      </c>
      <c r="N2067" s="640" t="n"/>
      <c r="O2067" s="640">
        <f>IF(AND(N2067=1,L2067=1),K2067,"")</f>
        <v/>
      </c>
      <c r="P2067" s="642" t="inlineStr">
        <is>
          <t>г. Екатеринбург, ул. Малышева, д. 5</t>
        </is>
      </c>
      <c r="Q2067" s="640" t="n">
        <v>56.832969</v>
      </c>
      <c r="R2067" s="422" t="n">
        <v>60.582365</v>
      </c>
      <c r="S2067" s="387" t="n"/>
      <c r="T2067" s="387" t="n"/>
      <c r="U2067" s="436" t="n">
        <v>2</v>
      </c>
      <c r="V2067" s="387" t="n"/>
      <c r="W2067" s="325" t="n"/>
      <c r="X2067" s="1" t="n"/>
      <c r="Y2067" s="1" t="n"/>
    </row>
    <row r="2068" hidden="1" ht="16.05" customFormat="1" customHeight="1" s="126">
      <c r="A2068" s="125" t="n">
        <v>2686</v>
      </c>
      <c r="B2068" s="125" t="n"/>
      <c r="C2068" s="130" t="inlineStr">
        <is>
          <t>Екатеринбург</t>
        </is>
      </c>
      <c r="D2068" s="130" t="inlineStr">
        <is>
          <t>Екатеринбург</t>
        </is>
      </c>
      <c r="E2068" s="130" t="n"/>
      <c r="F2068" s="130" t="inlineStr">
        <is>
          <t>Турагентство</t>
        </is>
      </c>
      <c r="G2068" s="130" t="inlineStr">
        <is>
          <t>Coral Travel</t>
        </is>
      </c>
      <c r="H2068" s="131" t="n"/>
      <c r="I2068" s="637" t="inlineStr">
        <is>
          <t>EKB_C002</t>
        </is>
      </c>
      <c r="J2068" s="402" t="inlineStr">
        <is>
          <t>EKB_C002</t>
        </is>
      </c>
      <c r="K2068" s="640" t="n">
        <v>1</v>
      </c>
      <c r="L2068" s="640" t="n">
        <v>0</v>
      </c>
      <c r="M2068" s="640" t="inlineStr">
        <is>
          <t>Sam 43</t>
        </is>
      </c>
      <c r="N2068" s="640" t="n"/>
      <c r="O2068" s="640">
        <f>IF(AND(N2068=1,L2068=1),K2068,"")</f>
        <v/>
      </c>
      <c r="P2068" s="642" t="inlineStr">
        <is>
          <t>г. Екатеринбург, ул. Краснолесье, д.12А</t>
        </is>
      </c>
      <c r="Q2068" s="640" t="n">
        <v>56.779338</v>
      </c>
      <c r="R2068" s="422" t="n">
        <v>60.547861</v>
      </c>
      <c r="S2068" s="387" t="n"/>
      <c r="T2068" s="387" t="n"/>
      <c r="U2068" s="436" t="n">
        <v>2</v>
      </c>
      <c r="V2068" s="387" t="n"/>
      <c r="W2068" s="325" t="n"/>
      <c r="X2068" s="1" t="n"/>
      <c r="Y2068" s="1" t="n"/>
    </row>
    <row r="2069" hidden="1" ht="16.05" customFormat="1" customHeight="1" s="126">
      <c r="A2069" s="125" t="n">
        <v>2687</v>
      </c>
      <c r="B2069" s="125" t="n"/>
      <c r="C2069" s="130" t="inlineStr">
        <is>
          <t>Екатеринбург</t>
        </is>
      </c>
      <c r="D2069" s="130" t="inlineStr">
        <is>
          <t>Екатеринбург</t>
        </is>
      </c>
      <c r="E2069" s="130" t="n"/>
      <c r="F2069" s="130" t="inlineStr">
        <is>
          <t>Турагентство</t>
        </is>
      </c>
      <c r="G2069" s="130" t="inlineStr">
        <is>
          <t>Coral Travel</t>
        </is>
      </c>
      <c r="H2069" s="131" t="n"/>
      <c r="I2069" s="637" t="inlineStr">
        <is>
          <t>EKB_C003</t>
        </is>
      </c>
      <c r="J2069" s="402" t="inlineStr">
        <is>
          <t>EKB_C003</t>
        </is>
      </c>
      <c r="K2069" s="640" t="n">
        <v>1</v>
      </c>
      <c r="L2069" s="640" t="n">
        <v>0</v>
      </c>
      <c r="M2069" s="640" t="inlineStr">
        <is>
          <t>Sam 43</t>
        </is>
      </c>
      <c r="N2069" s="640" t="n"/>
      <c r="O2069" s="640">
        <f>IF(AND(N2069=1,L2069=1),K2069,"")</f>
        <v/>
      </c>
      <c r="P2069" s="642" t="inlineStr">
        <is>
          <t>г. Екатеринбург, ул. Бебеля, д. 120</t>
        </is>
      </c>
      <c r="Q2069" s="640" t="n">
        <v>56.850668</v>
      </c>
      <c r="R2069" s="422" t="n">
        <v>60.55794</v>
      </c>
      <c r="S2069" s="387" t="n"/>
      <c r="T2069" s="387" t="n"/>
      <c r="U2069" s="436" t="n">
        <v>2</v>
      </c>
      <c r="V2069" s="387" t="n"/>
      <c r="W2069" s="325" t="n"/>
      <c r="X2069" s="1" t="n"/>
      <c r="Y2069" s="1" t="n"/>
    </row>
    <row r="2070" hidden="1" ht="16.05" customFormat="1" customHeight="1" s="126">
      <c r="A2070" s="125" t="n">
        <v>2688</v>
      </c>
      <c r="B2070" s="125" t="n"/>
      <c r="C2070" s="130" t="inlineStr">
        <is>
          <t>Екатеринбург</t>
        </is>
      </c>
      <c r="D2070" s="130" t="inlineStr">
        <is>
          <t>Екатеринбург</t>
        </is>
      </c>
      <c r="E2070" s="130" t="n"/>
      <c r="F2070" s="130" t="inlineStr">
        <is>
          <t>Турагентство</t>
        </is>
      </c>
      <c r="G2070" s="130" t="inlineStr">
        <is>
          <t>Coral Travel</t>
        </is>
      </c>
      <c r="H2070" s="131" t="n"/>
      <c r="I2070" s="637" t="inlineStr">
        <is>
          <t>EKB_C004</t>
        </is>
      </c>
      <c r="J2070" s="402" t="inlineStr">
        <is>
          <t>EKB_C004</t>
        </is>
      </c>
      <c r="K2070" s="640" t="n">
        <v>1</v>
      </c>
      <c r="L2070" s="640" t="n">
        <v>0</v>
      </c>
      <c r="M2070" s="640" t="inlineStr">
        <is>
          <t>Sam 43</t>
        </is>
      </c>
      <c r="N2070" s="640" t="n"/>
      <c r="O2070" s="640">
        <f>IF(AND(N2070=1,L2070=1),K2070,"")</f>
        <v/>
      </c>
      <c r="P2070" s="642" t="inlineStr">
        <is>
          <t>г. Екатеринбург, ул. Московская, д. 77</t>
        </is>
      </c>
      <c r="Q2070" s="640" t="n">
        <v>56.826375</v>
      </c>
      <c r="R2070" s="422" t="n">
        <v>60.58656</v>
      </c>
      <c r="S2070" s="387" t="n"/>
      <c r="T2070" s="387" t="n"/>
      <c r="U2070" s="436" t="n">
        <v>2</v>
      </c>
      <c r="V2070" s="387" t="n"/>
      <c r="W2070" s="325" t="n"/>
      <c r="X2070" s="1" t="n"/>
      <c r="Y2070" s="1" t="n"/>
    </row>
    <row r="2071" hidden="1" ht="16.05" customFormat="1" customHeight="1" s="126">
      <c r="A2071" s="125" t="n">
        <v>2689</v>
      </c>
      <c r="B2071" s="125" t="n"/>
      <c r="C2071" s="130" t="inlineStr">
        <is>
          <t>Екатеринбург</t>
        </is>
      </c>
      <c r="D2071" s="130" t="inlineStr">
        <is>
          <t>Екатеринбург</t>
        </is>
      </c>
      <c r="E2071" s="130" t="n"/>
      <c r="F2071" s="130" t="inlineStr">
        <is>
          <t>Турагентство</t>
        </is>
      </c>
      <c r="G2071" s="130" t="inlineStr">
        <is>
          <t>Coral Travel</t>
        </is>
      </c>
      <c r="H2071" s="131" t="n"/>
      <c r="I2071" s="637" t="inlineStr">
        <is>
          <t>EKB_C005</t>
        </is>
      </c>
      <c r="J2071" s="402" t="inlineStr">
        <is>
          <t>EKB_C005</t>
        </is>
      </c>
      <c r="K2071" s="640" t="n">
        <v>1</v>
      </c>
      <c r="L2071" s="640" t="n">
        <v>0</v>
      </c>
      <c r="M2071" s="640" t="inlineStr">
        <is>
          <t>Sam 43</t>
        </is>
      </c>
      <c r="N2071" s="640" t="n"/>
      <c r="O2071" s="640">
        <f>IF(AND(N2071=1,L2071=1),K2071,"")</f>
        <v/>
      </c>
      <c r="P2071" s="642" t="inlineStr">
        <is>
          <t>г. Екатеринбург, ул. Блюхера , д.39</t>
        </is>
      </c>
      <c r="Q2071" s="640" t="n">
        <v>56.852381</v>
      </c>
      <c r="R2071" s="422" t="n">
        <v>60.640576</v>
      </c>
      <c r="S2071" s="387" t="n"/>
      <c r="T2071" s="387" t="n"/>
      <c r="U2071" s="436" t="n">
        <v>2</v>
      </c>
      <c r="V2071" s="387" t="n"/>
      <c r="W2071" s="325" t="n"/>
      <c r="X2071" s="1" t="n"/>
      <c r="Y2071" s="1" t="n"/>
    </row>
    <row r="2072" hidden="1" ht="16.05" customFormat="1" customHeight="1" s="126">
      <c r="A2072" s="125" t="n">
        <v>2690</v>
      </c>
      <c r="B2072" s="125" t="n"/>
      <c r="C2072" s="130" t="inlineStr">
        <is>
          <t>Челябинск</t>
        </is>
      </c>
      <c r="D2072" s="130" t="inlineStr">
        <is>
          <t>Челябинск</t>
        </is>
      </c>
      <c r="E2072" s="130" t="n"/>
      <c r="F2072" s="130" t="inlineStr">
        <is>
          <t>Турагентство</t>
        </is>
      </c>
      <c r="G2072" s="130" t="inlineStr">
        <is>
          <t>Coral Travel</t>
        </is>
      </c>
      <c r="H2072" s="131" t="n"/>
      <c r="I2072" s="637" t="inlineStr">
        <is>
          <t>CHL_C001</t>
        </is>
      </c>
      <c r="J2072" s="402" t="inlineStr">
        <is>
          <t>CHL_C001</t>
        </is>
      </c>
      <c r="K2072" s="640" t="n">
        <v>1</v>
      </c>
      <c r="L2072" s="640" t="n">
        <v>0</v>
      </c>
      <c r="M2072" s="640" t="inlineStr">
        <is>
          <t>Sam 43</t>
        </is>
      </c>
      <c r="N2072" s="640" t="n"/>
      <c r="O2072" s="640">
        <f>IF(AND(N2072=1,L2072=1),K2072,"")</f>
        <v/>
      </c>
      <c r="P2072" s="642" t="inlineStr">
        <is>
          <t>г. Челябинск, ул. Молодогвардейцев, д. 38А</t>
        </is>
      </c>
      <c r="Q2072" s="640" t="n">
        <v>55.192954</v>
      </c>
      <c r="R2072" s="422" t="n">
        <v>61.332063</v>
      </c>
      <c r="S2072" s="387" t="n"/>
      <c r="T2072" s="387" t="n"/>
      <c r="U2072" s="436" t="n">
        <v>2</v>
      </c>
      <c r="V2072" s="387" t="n"/>
      <c r="W2072" s="325" t="n"/>
      <c r="X2072" s="1" t="n"/>
      <c r="Y2072" s="1" t="n"/>
    </row>
    <row r="2073" hidden="1" ht="16.05" customFormat="1" customHeight="1" s="126">
      <c r="A2073" s="125" t="n">
        <v>2691</v>
      </c>
      <c r="B2073" s="125" t="n"/>
      <c r="C2073" s="130" t="inlineStr">
        <is>
          <t>Челябинск</t>
        </is>
      </c>
      <c r="D2073" s="130" t="inlineStr">
        <is>
          <t>Челябинск</t>
        </is>
      </c>
      <c r="E2073" s="130" t="n"/>
      <c r="F2073" s="130" t="inlineStr">
        <is>
          <t>Турагентство</t>
        </is>
      </c>
      <c r="G2073" s="130" t="inlineStr">
        <is>
          <t>Coral Travel</t>
        </is>
      </c>
      <c r="H2073" s="131" t="n"/>
      <c r="I2073" s="637" t="inlineStr">
        <is>
          <t>CHL_C002</t>
        </is>
      </c>
      <c r="J2073" s="402" t="inlineStr">
        <is>
          <t>CHL_C002</t>
        </is>
      </c>
      <c r="K2073" s="640" t="n">
        <v>1</v>
      </c>
      <c r="L2073" s="640" t="n">
        <v>0</v>
      </c>
      <c r="M2073" s="640" t="inlineStr">
        <is>
          <t>Sam 43</t>
        </is>
      </c>
      <c r="N2073" s="640" t="n"/>
      <c r="O2073" s="640">
        <f>IF(AND(N2073=1,L2073=1),K2073,"")</f>
        <v/>
      </c>
      <c r="P2073" s="642" t="inlineStr">
        <is>
          <t>г. Челябинск, улица Энгельса, д. 47</t>
        </is>
      </c>
      <c r="Q2073" s="640" t="n">
        <v>55.163749</v>
      </c>
      <c r="R2073" s="422" t="n">
        <v>61.381551</v>
      </c>
      <c r="S2073" s="387" t="n"/>
      <c r="T2073" s="387" t="n"/>
      <c r="U2073" s="436" t="n">
        <v>2</v>
      </c>
      <c r="V2073" s="387" t="n"/>
      <c r="W2073" s="325" t="n"/>
      <c r="X2073" s="1" t="n"/>
      <c r="Y2073" s="1" t="n"/>
    </row>
    <row r="2074" hidden="1" ht="16.05" customFormat="1" customHeight="1" s="126">
      <c r="A2074" s="125" t="n">
        <v>2692</v>
      </c>
      <c r="B2074" s="125" t="n"/>
      <c r="C2074" s="130" t="inlineStr">
        <is>
          <t>Челябинск</t>
        </is>
      </c>
      <c r="D2074" s="130" t="inlineStr">
        <is>
          <t>Челябинск</t>
        </is>
      </c>
      <c r="E2074" s="130" t="n"/>
      <c r="F2074" s="130" t="inlineStr">
        <is>
          <t>Турагентство</t>
        </is>
      </c>
      <c r="G2074" s="130" t="inlineStr">
        <is>
          <t>Coral Travel</t>
        </is>
      </c>
      <c r="H2074" s="131" t="n"/>
      <c r="I2074" s="637" t="inlineStr">
        <is>
          <t>CHL_C003</t>
        </is>
      </c>
      <c r="J2074" s="402" t="inlineStr">
        <is>
          <t>CHL_C003</t>
        </is>
      </c>
      <c r="K2074" s="640" t="n">
        <v>1</v>
      </c>
      <c r="L2074" s="640" t="n">
        <v>0</v>
      </c>
      <c r="M2074" s="640" t="inlineStr">
        <is>
          <t>Sam 43</t>
        </is>
      </c>
      <c r="N2074" s="640" t="n"/>
      <c r="O2074" s="640">
        <f>IF(AND(N2074=1,L2074=1),K2074,"")</f>
        <v/>
      </c>
      <c r="P2074" s="642" t="inlineStr">
        <is>
          <t>г. Челябинск, ул. 40 лет Победы, д. 24</t>
        </is>
      </c>
      <c r="Q2074" s="640" t="n">
        <v>55.183724</v>
      </c>
      <c r="R2074" s="422" t="n">
        <v>61.301188</v>
      </c>
      <c r="S2074" s="387" t="n"/>
      <c r="T2074" s="387" t="n"/>
      <c r="U2074" s="436" t="n">
        <v>2</v>
      </c>
      <c r="V2074" s="387" t="n"/>
      <c r="W2074" s="325" t="n"/>
      <c r="X2074" s="1" t="n"/>
      <c r="Y2074" s="1" t="n"/>
    </row>
    <row r="2075" hidden="1" ht="16.05" customFormat="1" customHeight="1" s="126">
      <c r="A2075" s="125" t="n">
        <v>2693</v>
      </c>
      <c r="B2075" s="125" t="n"/>
      <c r="C2075" s="130" t="inlineStr">
        <is>
          <t>Челябинск</t>
        </is>
      </c>
      <c r="D2075" s="130" t="inlineStr">
        <is>
          <t>Челябинск</t>
        </is>
      </c>
      <c r="E2075" s="130" t="n"/>
      <c r="F2075" s="130" t="inlineStr">
        <is>
          <t>Турагентство</t>
        </is>
      </c>
      <c r="G2075" s="130" t="inlineStr">
        <is>
          <t>Coral Travel</t>
        </is>
      </c>
      <c r="H2075" s="131" t="n"/>
      <c r="I2075" s="637" t="inlineStr">
        <is>
          <t>CHL_C004</t>
        </is>
      </c>
      <c r="J2075" s="402" t="inlineStr">
        <is>
          <t>CHL_C004</t>
        </is>
      </c>
      <c r="K2075" s="640" t="n">
        <v>1</v>
      </c>
      <c r="L2075" s="640" t="n">
        <v>0</v>
      </c>
      <c r="M2075" s="640" t="inlineStr">
        <is>
          <t>Sam 43</t>
        </is>
      </c>
      <c r="N2075" s="640" t="n"/>
      <c r="O2075" s="640">
        <f>IF(AND(N2075=1,L2075=1),K2075,"")</f>
        <v/>
      </c>
      <c r="P2075" s="642" t="inlineStr">
        <is>
          <t>г. Челябинск, ул. Труда, д. 174, офис 37</t>
        </is>
      </c>
      <c r="Q2075" s="640" t="n">
        <v>55.171504</v>
      </c>
      <c r="R2075" s="422" t="n">
        <v>61.365498</v>
      </c>
      <c r="S2075" s="387" t="n"/>
      <c r="T2075" s="387" t="n"/>
      <c r="U2075" s="436" t="n">
        <v>2</v>
      </c>
      <c r="V2075" s="387" t="n"/>
      <c r="W2075" s="325" t="n"/>
      <c r="X2075" s="1" t="n"/>
      <c r="Y2075" s="1" t="n"/>
    </row>
    <row r="2076" hidden="1" ht="16.05" customFormat="1" customHeight="1" s="126">
      <c r="A2076" s="125" t="n">
        <v>2694</v>
      </c>
      <c r="B2076" s="125" t="n"/>
      <c r="C2076" s="130" t="inlineStr">
        <is>
          <t>Уфа</t>
        </is>
      </c>
      <c r="D2076" s="130" t="inlineStr">
        <is>
          <t>Уфа</t>
        </is>
      </c>
      <c r="E2076" s="130" t="n"/>
      <c r="F2076" s="130" t="inlineStr">
        <is>
          <t>Турагентство</t>
        </is>
      </c>
      <c r="G2076" s="130" t="inlineStr">
        <is>
          <t>Coral Travel</t>
        </is>
      </c>
      <c r="H2076" s="131" t="n"/>
      <c r="I2076" s="637" t="inlineStr">
        <is>
          <t>UFA_C001</t>
        </is>
      </c>
      <c r="J2076" s="402" t="inlineStr">
        <is>
          <t>UFA_C001</t>
        </is>
      </c>
      <c r="K2076" s="640" t="n">
        <v>1</v>
      </c>
      <c r="L2076" s="640" t="n">
        <v>0</v>
      </c>
      <c r="M2076" s="640" t="inlineStr">
        <is>
          <t>Sam 43</t>
        </is>
      </c>
      <c r="N2076" s="640" t="n"/>
      <c r="O2076" s="640">
        <f>IF(AND(N2076=1,L2076=1),K2076,"")</f>
        <v/>
      </c>
      <c r="P2076" s="642" t="inlineStr">
        <is>
          <t>г. Уфа, ул. Цурюпы, д. 124</t>
        </is>
      </c>
      <c r="Q2076" s="640" t="n">
        <v>54.738942</v>
      </c>
      <c r="R2076" s="422" t="n">
        <v>55.960164</v>
      </c>
      <c r="S2076" s="387" t="n"/>
      <c r="T2076" s="387" t="n"/>
      <c r="U2076" s="436" t="n">
        <v>2</v>
      </c>
      <c r="V2076" s="387" t="n"/>
      <c r="W2076" s="325" t="n"/>
      <c r="X2076" s="1" t="n"/>
      <c r="Y2076" s="1" t="n"/>
    </row>
    <row r="2077" hidden="1" ht="16.05" customFormat="1" customHeight="1" s="126">
      <c r="A2077" s="125" t="n">
        <v>2695</v>
      </c>
      <c r="B2077" s="125" t="n"/>
      <c r="C2077" s="130" t="inlineStr">
        <is>
          <t>Уфа</t>
        </is>
      </c>
      <c r="D2077" s="130" t="inlineStr">
        <is>
          <t>Уфа</t>
        </is>
      </c>
      <c r="E2077" s="130" t="n"/>
      <c r="F2077" s="130" t="inlineStr">
        <is>
          <t>Турагентство</t>
        </is>
      </c>
      <c r="G2077" s="130" t="inlineStr">
        <is>
          <t>Coral Travel</t>
        </is>
      </c>
      <c r="H2077" s="131" t="n"/>
      <c r="I2077" s="637" t="inlineStr">
        <is>
          <t>UFA_C002</t>
        </is>
      </c>
      <c r="J2077" s="402" t="inlineStr">
        <is>
          <t>UFA_C002</t>
        </is>
      </c>
      <c r="K2077" s="640" t="n">
        <v>1</v>
      </c>
      <c r="L2077" s="640" t="n">
        <v>0</v>
      </c>
      <c r="M2077" s="640" t="inlineStr">
        <is>
          <t>Sam 43</t>
        </is>
      </c>
      <c r="N2077" s="640" t="n"/>
      <c r="O2077" s="640">
        <f>IF(AND(N2077=1,L2077=1),K2077,"")</f>
        <v/>
      </c>
      <c r="P2077" s="642" t="inlineStr">
        <is>
          <t>г. Уфа, Проспект Октября, д. 114/2</t>
        </is>
      </c>
      <c r="Q2077" s="640" t="n">
        <v>54.769009</v>
      </c>
      <c r="R2077" s="422" t="n">
        <v>56.025643</v>
      </c>
      <c r="S2077" s="387" t="n"/>
      <c r="T2077" s="387" t="n"/>
      <c r="U2077" s="436" t="n">
        <v>2</v>
      </c>
      <c r="V2077" s="387" t="n"/>
      <c r="W2077" s="325" t="n"/>
      <c r="X2077" s="1" t="n"/>
      <c r="Y2077" s="1" t="n"/>
    </row>
    <row r="2078" hidden="1" ht="16.05" customFormat="1" customHeight="1" s="126">
      <c r="A2078" s="125" t="n">
        <v>2696</v>
      </c>
      <c r="B2078" s="125" t="n"/>
      <c r="C2078" s="130" t="inlineStr">
        <is>
          <t>Уфа</t>
        </is>
      </c>
      <c r="D2078" s="130" t="inlineStr">
        <is>
          <t>Уфа</t>
        </is>
      </c>
      <c r="E2078" s="130" t="n"/>
      <c r="F2078" s="130" t="inlineStr">
        <is>
          <t>Турагентство</t>
        </is>
      </c>
      <c r="G2078" s="130" t="inlineStr">
        <is>
          <t>Coral Travel</t>
        </is>
      </c>
      <c r="H2078" s="131" t="n"/>
      <c r="I2078" s="637" t="inlineStr">
        <is>
          <t>UFA_C003</t>
        </is>
      </c>
      <c r="J2078" s="402" t="inlineStr">
        <is>
          <t>UFA_C003</t>
        </is>
      </c>
      <c r="K2078" s="640" t="n">
        <v>1</v>
      </c>
      <c r="L2078" s="640" t="n">
        <v>0</v>
      </c>
      <c r="M2078" s="640" t="inlineStr">
        <is>
          <t>Sam 43</t>
        </is>
      </c>
      <c r="N2078" s="640" t="n"/>
      <c r="O2078" s="640">
        <f>IF(AND(N2078=1,L2078=1),K2078,"")</f>
        <v/>
      </c>
      <c r="P2078" s="642" t="inlineStr">
        <is>
          <t>г.Уфа, ул. Софьи Перовской, д. 21</t>
        </is>
      </c>
      <c r="Q2078" s="640" t="n">
        <v>54.696038</v>
      </c>
      <c r="R2078" s="422" t="n">
        <v>55.997651</v>
      </c>
      <c r="S2078" s="387" t="n"/>
      <c r="T2078" s="387" t="n"/>
      <c r="U2078" s="436" t="n">
        <v>2</v>
      </c>
      <c r="V2078" s="387" t="n"/>
      <c r="W2078" s="325" t="n"/>
      <c r="X2078" s="1" t="n"/>
      <c r="Y2078" s="1" t="n"/>
    </row>
    <row r="2079" hidden="1" ht="16.05" customFormat="1" customHeight="1" s="126">
      <c r="A2079" s="125" t="n">
        <v>2697</v>
      </c>
      <c r="B2079" s="125" t="n"/>
      <c r="C2079" s="130" t="inlineStr">
        <is>
          <t>Уфа</t>
        </is>
      </c>
      <c r="D2079" s="130" t="inlineStr">
        <is>
          <t>Уфа</t>
        </is>
      </c>
      <c r="E2079" s="130" t="n"/>
      <c r="F2079" s="130" t="inlineStr">
        <is>
          <t>Турагентство</t>
        </is>
      </c>
      <c r="G2079" s="130" t="inlineStr">
        <is>
          <t>Coral Travel</t>
        </is>
      </c>
      <c r="H2079" s="131" t="n"/>
      <c r="I2079" s="637" t="inlineStr">
        <is>
          <t>UFA_C004</t>
        </is>
      </c>
      <c r="J2079" s="402" t="inlineStr">
        <is>
          <t>UFA_C004</t>
        </is>
      </c>
      <c r="K2079" s="640" t="n">
        <v>1</v>
      </c>
      <c r="L2079" s="640" t="n">
        <v>0</v>
      </c>
      <c r="M2079" s="640" t="inlineStr">
        <is>
          <t>Sam 43</t>
        </is>
      </c>
      <c r="N2079" s="640" t="n"/>
      <c r="O2079" s="640">
        <f>IF(AND(N2079=1,L2079=1),K2079,"")</f>
        <v/>
      </c>
      <c r="P2079" s="642" t="inlineStr">
        <is>
          <t>г. Уфа, ул. Минигали Губайдуллина, д. 6</t>
        </is>
      </c>
      <c r="Q2079" s="640" t="n">
        <v>54.720902</v>
      </c>
      <c r="R2079" s="422" t="n">
        <v>56.000813</v>
      </c>
      <c r="S2079" s="387" t="n"/>
      <c r="T2079" s="387" t="n"/>
      <c r="U2079" s="436" t="n">
        <v>2</v>
      </c>
      <c r="V2079" s="387" t="n"/>
      <c r="W2079" s="325" t="n"/>
      <c r="X2079" s="1" t="n"/>
      <c r="Y2079" s="1" t="n"/>
    </row>
    <row r="2080" hidden="1" ht="16.05" customFormat="1" customHeight="1" s="126">
      <c r="A2080" s="125" t="n">
        <v>2698</v>
      </c>
      <c r="B2080" s="125" t="n"/>
      <c r="C2080" s="130" t="inlineStr">
        <is>
          <t>Самара</t>
        </is>
      </c>
      <c r="D2080" s="130" t="inlineStr">
        <is>
          <t>Самара</t>
        </is>
      </c>
      <c r="E2080" s="130" t="n"/>
      <c r="F2080" s="130" t="inlineStr">
        <is>
          <t>Турагентство</t>
        </is>
      </c>
      <c r="G2080" s="130" t="inlineStr">
        <is>
          <t>Coral Travel</t>
        </is>
      </c>
      <c r="H2080" s="131" t="n"/>
      <c r="I2080" s="637" t="inlineStr">
        <is>
          <t>SMR_C001</t>
        </is>
      </c>
      <c r="J2080" s="402" t="inlineStr">
        <is>
          <t>SMR_C001</t>
        </is>
      </c>
      <c r="K2080" s="640" t="n">
        <v>1</v>
      </c>
      <c r="L2080" s="640" t="n">
        <v>0</v>
      </c>
      <c r="M2080" s="640" t="inlineStr">
        <is>
          <t>Sam 43</t>
        </is>
      </c>
      <c r="N2080" s="640" t="n"/>
      <c r="O2080" s="640">
        <f>IF(AND(N2080=1,L2080=1),K2080,"")</f>
        <v/>
      </c>
      <c r="P2080" s="642" t="inlineStr">
        <is>
          <t>г. Самара, Московское шоссе, д. 81Б</t>
        </is>
      </c>
      <c r="Q2080" s="640" t="n">
        <v>53.233279</v>
      </c>
      <c r="R2080" s="422" t="n">
        <v>50.200966</v>
      </c>
      <c r="S2080" s="387" t="n"/>
      <c r="T2080" s="387" t="n"/>
      <c r="U2080" s="436" t="n">
        <v>2</v>
      </c>
      <c r="V2080" s="387" t="n"/>
      <c r="W2080" s="325" t="n"/>
      <c r="X2080" s="1" t="n"/>
      <c r="Y2080" s="1" t="n"/>
    </row>
    <row r="2081" hidden="1" ht="16.05" customFormat="1" customHeight="1" s="126">
      <c r="A2081" s="125" t="n">
        <v>2699</v>
      </c>
      <c r="B2081" s="125" t="n"/>
      <c r="C2081" s="130" t="inlineStr">
        <is>
          <t>Самара</t>
        </is>
      </c>
      <c r="D2081" s="130" t="inlineStr">
        <is>
          <t>Самара</t>
        </is>
      </c>
      <c r="E2081" s="130" t="n"/>
      <c r="F2081" s="130" t="inlineStr">
        <is>
          <t>Турагентство</t>
        </is>
      </c>
      <c r="G2081" s="130" t="inlineStr">
        <is>
          <t>Coral Travel</t>
        </is>
      </c>
      <c r="H2081" s="131" t="n"/>
      <c r="I2081" s="637" t="inlineStr">
        <is>
          <t>SMR_C002</t>
        </is>
      </c>
      <c r="J2081" s="402" t="inlineStr">
        <is>
          <t>SMR_C002</t>
        </is>
      </c>
      <c r="K2081" s="640" t="n">
        <v>1</v>
      </c>
      <c r="L2081" s="640" t="n">
        <v>0</v>
      </c>
      <c r="M2081" s="640" t="inlineStr">
        <is>
          <t>Sam 43</t>
        </is>
      </c>
      <c r="N2081" s="640" t="n"/>
      <c r="O2081" s="640">
        <f>IF(AND(N2081=1,L2081=1),K2081,"")</f>
        <v/>
      </c>
      <c r="P2081" s="642" t="inlineStr">
        <is>
          <t>г. Самара, ул. Аэродромная, д. 47а</t>
        </is>
      </c>
      <c r="Q2081" s="640" t="n">
        <v>53.190925</v>
      </c>
      <c r="R2081" s="422" t="n">
        <v>50.189773</v>
      </c>
      <c r="S2081" s="387" t="n"/>
      <c r="T2081" s="387" t="n"/>
      <c r="U2081" s="436" t="n">
        <v>2</v>
      </c>
      <c r="V2081" s="387" t="n"/>
      <c r="W2081" s="325" t="n"/>
      <c r="X2081" s="1" t="n"/>
      <c r="Y2081" s="1" t="n"/>
    </row>
    <row r="2082" hidden="1" ht="16.05" customFormat="1" customHeight="1" s="126">
      <c r="A2082" s="125" t="n">
        <v>2700</v>
      </c>
      <c r="B2082" s="125" t="n"/>
      <c r="C2082" s="130" t="inlineStr">
        <is>
          <t>Саратов</t>
        </is>
      </c>
      <c r="D2082" s="130" t="inlineStr">
        <is>
          <t>Саратов</t>
        </is>
      </c>
      <c r="E2082" s="130" t="n"/>
      <c r="F2082" s="130" t="inlineStr">
        <is>
          <t>Турагентство</t>
        </is>
      </c>
      <c r="G2082" s="130" t="inlineStr">
        <is>
          <t>Coral Travel</t>
        </is>
      </c>
      <c r="H2082" s="131" t="n"/>
      <c r="I2082" s="637" t="inlineStr">
        <is>
          <t>SAR_C001</t>
        </is>
      </c>
      <c r="J2082" s="402" t="inlineStr">
        <is>
          <t>SAR_C001</t>
        </is>
      </c>
      <c r="K2082" s="640" t="n">
        <v>1</v>
      </c>
      <c r="L2082" s="640" t="n">
        <v>0</v>
      </c>
      <c r="M2082" s="640" t="inlineStr">
        <is>
          <t>Sam 43</t>
        </is>
      </c>
      <c r="N2082" s="640" t="n"/>
      <c r="O2082" s="640">
        <f>IF(AND(N2082=1,L2082=1),K2082,"")</f>
        <v/>
      </c>
      <c r="P2082" s="642" t="inlineStr">
        <is>
          <t>г. Саратов, площадь Орджоникидзе, д. 1</t>
        </is>
      </c>
      <c r="Q2082" s="640" t="n">
        <v>51.501224</v>
      </c>
      <c r="R2082" s="422" t="n">
        <v>45.944012</v>
      </c>
      <c r="S2082" s="387" t="n"/>
      <c r="T2082" s="387" t="n"/>
      <c r="U2082" s="436" t="n">
        <v>2</v>
      </c>
      <c r="V2082" s="387" t="n"/>
      <c r="W2082" s="325" t="n"/>
      <c r="X2082" s="1" t="n"/>
      <c r="Y2082" s="1" t="n"/>
    </row>
    <row r="2083" hidden="1" ht="16.05" customFormat="1" customHeight="1" s="126">
      <c r="A2083" s="125" t="n">
        <v>2701</v>
      </c>
      <c r="B2083" s="125" t="n"/>
      <c r="C2083" s="130" t="inlineStr">
        <is>
          <t>Саратов</t>
        </is>
      </c>
      <c r="D2083" s="130" t="inlineStr">
        <is>
          <t>Саратов</t>
        </is>
      </c>
      <c r="E2083" s="130" t="n"/>
      <c r="F2083" s="130" t="inlineStr">
        <is>
          <t>Турагентство</t>
        </is>
      </c>
      <c r="G2083" s="130" t="inlineStr">
        <is>
          <t>Coral Travel</t>
        </is>
      </c>
      <c r="H2083" s="131" t="n"/>
      <c r="I2083" s="637" t="inlineStr">
        <is>
          <t>SAR_C002</t>
        </is>
      </c>
      <c r="J2083" s="402" t="inlineStr">
        <is>
          <t>SAR_C002</t>
        </is>
      </c>
      <c r="K2083" s="640" t="n">
        <v>1</v>
      </c>
      <c r="L2083" s="640" t="n">
        <v>0</v>
      </c>
      <c r="M2083" s="640" t="inlineStr">
        <is>
          <t>Sam 43</t>
        </is>
      </c>
      <c r="N2083" s="640" t="n"/>
      <c r="O2083" s="640">
        <f>IF(AND(N2083=1,L2083=1),K2083,"")</f>
        <v/>
      </c>
      <c r="P2083" s="642" t="inlineStr">
        <is>
          <t>г. Саратов, ул. Московская, д. 115</t>
        </is>
      </c>
      <c r="Q2083" s="640" t="n">
        <v>51.536369</v>
      </c>
      <c r="R2083" s="422" t="n">
        <v>46.022192</v>
      </c>
      <c r="S2083" s="387" t="n"/>
      <c r="T2083" s="387" t="n"/>
      <c r="U2083" s="436" t="n">
        <v>2</v>
      </c>
      <c r="V2083" s="387" t="n"/>
      <c r="W2083" s="325" t="n"/>
      <c r="X2083" s="1" t="n"/>
      <c r="Y2083" s="1" t="n"/>
    </row>
    <row r="2084" hidden="1" ht="16.05" customFormat="1" customHeight="1" s="126">
      <c r="A2084" s="125" t="n">
        <v>2702</v>
      </c>
      <c r="B2084" s="125" t="n"/>
      <c r="C2084" s="130" t="inlineStr">
        <is>
          <t>Саратов</t>
        </is>
      </c>
      <c r="D2084" s="130" t="inlineStr">
        <is>
          <t>Саратов</t>
        </is>
      </c>
      <c r="E2084" s="130" t="n"/>
      <c r="F2084" s="130" t="inlineStr">
        <is>
          <t>Турагентство</t>
        </is>
      </c>
      <c r="G2084" s="130" t="inlineStr">
        <is>
          <t>Coral Travel</t>
        </is>
      </c>
      <c r="H2084" s="131" t="n"/>
      <c r="I2084" s="637" t="inlineStr">
        <is>
          <t>SAR_C003</t>
        </is>
      </c>
      <c r="J2084" s="402" t="inlineStr">
        <is>
          <t>SAR_C003</t>
        </is>
      </c>
      <c r="K2084" s="640" t="n">
        <v>1</v>
      </c>
      <c r="L2084" s="640" t="n">
        <v>0</v>
      </c>
      <c r="M2084" s="640" t="inlineStr">
        <is>
          <t>Sam 43</t>
        </is>
      </c>
      <c r="N2084" s="640" t="n"/>
      <c r="O2084" s="640">
        <f>IF(AND(N2084=1,L2084=1),K2084,"")</f>
        <v/>
      </c>
      <c r="P2084" s="642" t="inlineStr">
        <is>
          <t>Саратовская обл., г. Энгельс, ул. Тельмана, д. 6</t>
        </is>
      </c>
      <c r="Q2084" s="640" t="n">
        <v>51.495404</v>
      </c>
      <c r="R2084" s="422" t="n">
        <v>46.113937</v>
      </c>
      <c r="S2084" s="387" t="n"/>
      <c r="T2084" s="387" t="n"/>
      <c r="U2084" s="436" t="n">
        <v>2</v>
      </c>
      <c r="V2084" s="387" t="n"/>
      <c r="W2084" s="325" t="n"/>
      <c r="X2084" s="1" t="n"/>
      <c r="Y2084" s="1" t="n"/>
    </row>
    <row r="2085" hidden="1" ht="16.05" customFormat="1" customHeight="1" s="126">
      <c r="A2085" s="125" t="n">
        <v>2703</v>
      </c>
      <c r="B2085" s="125" t="n"/>
      <c r="C2085" s="130" t="inlineStr">
        <is>
          <t>Саратов</t>
        </is>
      </c>
      <c r="D2085" s="130" t="inlineStr">
        <is>
          <t>Саратов</t>
        </is>
      </c>
      <c r="E2085" s="130" t="n"/>
      <c r="F2085" s="130" t="inlineStr">
        <is>
          <t>Турагентство</t>
        </is>
      </c>
      <c r="G2085" s="130" t="inlineStr">
        <is>
          <t>Coral Travel</t>
        </is>
      </c>
      <c r="H2085" s="131" t="n"/>
      <c r="I2085" s="637" t="inlineStr">
        <is>
          <t>SAR_C004</t>
        </is>
      </c>
      <c r="J2085" s="402" t="inlineStr">
        <is>
          <t>SAR_C004</t>
        </is>
      </c>
      <c r="K2085" s="640" t="n">
        <v>1</v>
      </c>
      <c r="L2085" s="640" t="n">
        <v>0</v>
      </c>
      <c r="M2085" s="640" t="inlineStr">
        <is>
          <t>Sam 43</t>
        </is>
      </c>
      <c r="N2085" s="640" t="n"/>
      <c r="O2085" s="640">
        <f>IF(AND(N2085=1,L2085=1),K2085,"")</f>
        <v/>
      </c>
      <c r="P2085" s="642" t="inlineStr">
        <is>
          <t>г. Саратов ул. Усть-Курдюмская, д. 9a ТРЦ Синий Кит.</t>
        </is>
      </c>
      <c r="Q2085" s="640" t="n">
        <v>51.572877</v>
      </c>
      <c r="R2085" s="422" t="n">
        <v>46.070729</v>
      </c>
      <c r="S2085" s="387" t="n"/>
      <c r="T2085" s="387" t="n"/>
      <c r="U2085" s="436" t="n">
        <v>2</v>
      </c>
      <c r="V2085" s="387" t="n"/>
      <c r="W2085" s="325" t="n"/>
      <c r="X2085" s="1" t="n"/>
      <c r="Y2085" s="1" t="n"/>
    </row>
    <row r="2086" hidden="1" ht="16.05" customFormat="1" customHeight="1" s="126">
      <c r="A2086" s="125" t="n">
        <v>2704</v>
      </c>
      <c r="B2086" s="125" t="n"/>
      <c r="C2086" s="130" t="inlineStr">
        <is>
          <t>Ростов-на-Дону</t>
        </is>
      </c>
      <c r="D2086" s="130" t="inlineStr">
        <is>
          <t>Ростов-на-Дону</t>
        </is>
      </c>
      <c r="E2086" s="130" t="n"/>
      <c r="F2086" s="130" t="inlineStr">
        <is>
          <t>Турагентство</t>
        </is>
      </c>
      <c r="G2086" s="130" t="inlineStr">
        <is>
          <t>Coral Travel</t>
        </is>
      </c>
      <c r="H2086" s="131" t="n"/>
      <c r="I2086" s="637" t="inlineStr">
        <is>
          <t>RND_C001</t>
        </is>
      </c>
      <c r="J2086" s="402" t="inlineStr">
        <is>
          <t>RND_C001</t>
        </is>
      </c>
      <c r="K2086" s="640" t="n">
        <v>1</v>
      </c>
      <c r="L2086" s="640" t="n">
        <v>0</v>
      </c>
      <c r="M2086" s="640" t="inlineStr">
        <is>
          <t>Sam 43</t>
        </is>
      </c>
      <c r="N2086" s="640" t="n"/>
      <c r="O2086" s="640">
        <f>IF(AND(N2086=1,L2086=1),K2086,"")</f>
        <v/>
      </c>
      <c r="P2086" s="642" t="inlineStr">
        <is>
          <t>г. Ростов-на-Дону, ул. Максима Горького, д. 162</t>
        </is>
      </c>
      <c r="Q2086" s="640" t="n">
        <v>47.228253</v>
      </c>
      <c r="R2086" s="422" t="n">
        <v>39.723556</v>
      </c>
      <c r="S2086" s="387" t="n"/>
      <c r="T2086" s="387" t="n"/>
      <c r="U2086" s="436" t="n">
        <v>2</v>
      </c>
      <c r="V2086" s="387" t="n"/>
      <c r="W2086" s="325" t="n"/>
      <c r="X2086" s="1" t="n"/>
      <c r="Y2086" s="1" t="n"/>
    </row>
    <row r="2087" hidden="1" ht="16.05" customFormat="1" customHeight="1" s="126">
      <c r="A2087" s="125" t="n">
        <v>2705</v>
      </c>
      <c r="B2087" s="125" t="n"/>
      <c r="C2087" s="130" t="inlineStr">
        <is>
          <t>Тула</t>
        </is>
      </c>
      <c r="D2087" s="130" t="inlineStr">
        <is>
          <t>Тула</t>
        </is>
      </c>
      <c r="E2087" s="130" t="n"/>
      <c r="F2087" s="130" t="inlineStr">
        <is>
          <t>Турагентство</t>
        </is>
      </c>
      <c r="G2087" s="130" t="inlineStr">
        <is>
          <t>Coral Travel</t>
        </is>
      </c>
      <c r="H2087" s="131" t="n"/>
      <c r="I2087" s="637" t="inlineStr">
        <is>
          <t>TUL_C001</t>
        </is>
      </c>
      <c r="J2087" s="402" t="inlineStr">
        <is>
          <t>TUL_C001</t>
        </is>
      </c>
      <c r="K2087" s="640" t="n">
        <v>1</v>
      </c>
      <c r="L2087" s="640" t="n">
        <v>0</v>
      </c>
      <c r="M2087" s="640" t="inlineStr">
        <is>
          <t>Sam 43</t>
        </is>
      </c>
      <c r="N2087" s="640" t="n"/>
      <c r="O2087" s="640">
        <f>IF(AND(N2087=1,L2087=1),K2087,"")</f>
        <v/>
      </c>
      <c r="P2087" s="642" t="inlineStr">
        <is>
          <t>г. Тула, пр-т Ленина, д.35</t>
        </is>
      </c>
      <c r="Q2087" s="640" t="n">
        <v>54.188523</v>
      </c>
      <c r="R2087" s="422" t="n">
        <v>37.612969</v>
      </c>
      <c r="S2087" s="387" t="n"/>
      <c r="T2087" s="387" t="n"/>
      <c r="U2087" s="436" t="n">
        <v>2</v>
      </c>
      <c r="V2087" s="387" t="n"/>
      <c r="W2087" s="325" t="n"/>
      <c r="X2087" s="1" t="n"/>
      <c r="Y2087" s="1" t="n"/>
    </row>
    <row r="2088" hidden="1" ht="16.05" customFormat="1" customHeight="1" s="126">
      <c r="A2088" s="125" t="n">
        <v>2706</v>
      </c>
      <c r="B2088" s="125" t="n"/>
      <c r="C2088" s="130" t="inlineStr">
        <is>
          <t>Новосибирск</t>
        </is>
      </c>
      <c r="D2088" s="130" t="inlineStr">
        <is>
          <t>Новосибирск</t>
        </is>
      </c>
      <c r="E2088" s="130" t="n"/>
      <c r="F2088" s="130" t="inlineStr">
        <is>
          <t>Турагентство</t>
        </is>
      </c>
      <c r="G2088" s="130" t="inlineStr">
        <is>
          <t>Coral Travel</t>
        </is>
      </c>
      <c r="H2088" s="131" t="n"/>
      <c r="I2088" s="637" t="inlineStr">
        <is>
          <t>NVS_C001</t>
        </is>
      </c>
      <c r="J2088" s="402" t="inlineStr">
        <is>
          <t>NVS_C001</t>
        </is>
      </c>
      <c r="K2088" s="640" t="n">
        <v>1</v>
      </c>
      <c r="L2088" s="640" t="n">
        <v>0</v>
      </c>
      <c r="M2088" s="640" t="inlineStr">
        <is>
          <t>Sam 43</t>
        </is>
      </c>
      <c r="N2088" s="640" t="n"/>
      <c r="O2088" s="640">
        <f>IF(AND(N2088=1,L2088=1),K2088,"")</f>
        <v/>
      </c>
      <c r="P2088" s="642" t="inlineStr">
        <is>
          <t>г. Новосибирск, Б. Хмельницкого, д. 1/1</t>
        </is>
      </c>
      <c r="Q2088" s="640" t="n">
        <v>55.066422</v>
      </c>
      <c r="R2088" s="422" t="n">
        <v>82.933689</v>
      </c>
      <c r="S2088" s="387" t="n"/>
      <c r="T2088" s="387" t="n"/>
      <c r="U2088" s="436" t="n">
        <v>2</v>
      </c>
      <c r="V2088" s="387" t="n"/>
      <c r="W2088" s="325" t="n"/>
      <c r="X2088" s="1" t="n"/>
      <c r="Y2088" s="1" t="n"/>
    </row>
    <row r="2089" hidden="1" ht="16.05" customFormat="1" customHeight="1" s="126">
      <c r="A2089" s="125" t="n">
        <v>2707</v>
      </c>
      <c r="B2089" s="125" t="n"/>
      <c r="C2089" s="130" t="inlineStr">
        <is>
          <t>Новосибирск</t>
        </is>
      </c>
      <c r="D2089" s="130" t="inlineStr">
        <is>
          <t>Новосибирск</t>
        </is>
      </c>
      <c r="E2089" s="130" t="n"/>
      <c r="F2089" s="130" t="inlineStr">
        <is>
          <t>Турагентство</t>
        </is>
      </c>
      <c r="G2089" s="130" t="inlineStr">
        <is>
          <t>Coral Travel</t>
        </is>
      </c>
      <c r="H2089" s="131" t="n"/>
      <c r="I2089" s="637" t="inlineStr">
        <is>
          <t>NVS_C002</t>
        </is>
      </c>
      <c r="J2089" s="402" t="inlineStr">
        <is>
          <t>NVS_C002</t>
        </is>
      </c>
      <c r="K2089" s="640" t="n">
        <v>1</v>
      </c>
      <c r="L2089" s="640" t="n">
        <v>0</v>
      </c>
      <c r="M2089" s="640" t="inlineStr">
        <is>
          <t>Sam 43</t>
        </is>
      </c>
      <c r="N2089" s="640" t="n"/>
      <c r="O2089" s="640">
        <f>IF(AND(N2089=1,L2089=1),K2089,"")</f>
        <v/>
      </c>
      <c r="P2089" s="642" t="inlineStr">
        <is>
          <t>г. Новосибирск, ул. Б.Богаткова, д. 210/1</t>
        </is>
      </c>
      <c r="Q2089" s="640" t="n">
        <v>55.036597</v>
      </c>
      <c r="R2089" s="422" t="n">
        <v>82.97756200000001</v>
      </c>
      <c r="S2089" s="387" t="n"/>
      <c r="T2089" s="387" t="n"/>
      <c r="U2089" s="436" t="n">
        <v>2</v>
      </c>
      <c r="V2089" s="387" t="n"/>
      <c r="W2089" s="325" t="n"/>
      <c r="X2089" s="1" t="n"/>
      <c r="Y2089" s="1" t="n"/>
    </row>
    <row r="2090" hidden="1" ht="16.05" customFormat="1" customHeight="1" s="126">
      <c r="A2090" s="125" t="n">
        <v>2708</v>
      </c>
      <c r="B2090" s="125" t="n"/>
      <c r="C2090" s="130" t="inlineStr">
        <is>
          <t>Новосибирск</t>
        </is>
      </c>
      <c r="D2090" s="130" t="inlineStr">
        <is>
          <t>Новосибирск</t>
        </is>
      </c>
      <c r="E2090" s="130" t="n"/>
      <c r="F2090" s="130" t="inlineStr">
        <is>
          <t>Турагентство</t>
        </is>
      </c>
      <c r="G2090" s="130" t="inlineStr">
        <is>
          <t>Coral Travel</t>
        </is>
      </c>
      <c r="H2090" s="131" t="n"/>
      <c r="I2090" s="637" t="inlineStr">
        <is>
          <t>NVS_C003</t>
        </is>
      </c>
      <c r="J2090" s="402" t="inlineStr">
        <is>
          <t>NVS_C003</t>
        </is>
      </c>
      <c r="K2090" s="640" t="n">
        <v>1</v>
      </c>
      <c r="L2090" s="640" t="n">
        <v>0</v>
      </c>
      <c r="M2090" s="640" t="inlineStr">
        <is>
          <t>Sam 43</t>
        </is>
      </c>
      <c r="N2090" s="640" t="n"/>
      <c r="O2090" s="640">
        <f>IF(AND(N2090=1,L2090=1),K2090,"")</f>
        <v/>
      </c>
      <c r="P2090" s="642" t="inlineStr">
        <is>
          <t>г. Новосибирск, проспект Дзержинского, д. 2/2</t>
        </is>
      </c>
      <c r="Q2090" s="640" t="n">
        <v>55.043933</v>
      </c>
      <c r="R2090" s="422" t="n">
        <v>82.95348799999999</v>
      </c>
      <c r="S2090" s="387" t="n"/>
      <c r="T2090" s="387" t="n"/>
      <c r="U2090" s="436" t="n">
        <v>2</v>
      </c>
      <c r="V2090" s="387" t="n"/>
      <c r="W2090" s="325" t="n"/>
      <c r="X2090" s="1" t="n"/>
      <c r="Y2090" s="1" t="n"/>
    </row>
    <row r="2091" hidden="1" ht="16.05" customFormat="1" customHeight="1" s="126">
      <c r="A2091" s="125" t="n">
        <v>2709</v>
      </c>
      <c r="B2091" s="125" t="n"/>
      <c r="C2091" s="130" t="inlineStr">
        <is>
          <t>Новосибирск</t>
        </is>
      </c>
      <c r="D2091" s="130" t="inlineStr">
        <is>
          <t>Новосибирск</t>
        </is>
      </c>
      <c r="E2091" s="130" t="n"/>
      <c r="F2091" s="130" t="inlineStr">
        <is>
          <t>Турагентство</t>
        </is>
      </c>
      <c r="G2091" s="130" t="inlineStr">
        <is>
          <t>Coral Travel</t>
        </is>
      </c>
      <c r="H2091" s="131" t="n"/>
      <c r="I2091" s="637" t="inlineStr">
        <is>
          <t>NVS_C004</t>
        </is>
      </c>
      <c r="J2091" s="402" t="inlineStr">
        <is>
          <t>NVS_C004</t>
        </is>
      </c>
      <c r="K2091" s="640" t="n">
        <v>1</v>
      </c>
      <c r="L2091" s="640" t="n">
        <v>0</v>
      </c>
      <c r="M2091" s="640" t="inlineStr">
        <is>
          <t>Sam 43</t>
        </is>
      </c>
      <c r="N2091" s="640" t="n"/>
      <c r="O2091" s="640">
        <f>IF(AND(N2091=1,L2091=1),K2091,"")</f>
        <v/>
      </c>
      <c r="P2091" s="642" t="inlineStr">
        <is>
          <t>г. Новосибирск, ул. Курчатова, д.1</t>
        </is>
      </c>
      <c r="Q2091" s="640" t="n">
        <v>55.104311</v>
      </c>
      <c r="R2091" s="422" t="n">
        <v>82.96069199999999</v>
      </c>
      <c r="S2091" s="387" t="n"/>
      <c r="T2091" s="387" t="n"/>
      <c r="U2091" s="436" t="n">
        <v>2</v>
      </c>
      <c r="V2091" s="387" t="n"/>
      <c r="W2091" s="325" t="n"/>
      <c r="X2091" s="1" t="n"/>
      <c r="Y2091" s="1" t="n"/>
    </row>
    <row r="2092" hidden="1" ht="16.05" customFormat="1" customHeight="1" s="126">
      <c r="A2092" s="125" t="n">
        <v>2710</v>
      </c>
      <c r="B2092" s="125" t="n"/>
      <c r="C2092" s="130" t="inlineStr">
        <is>
          <t>Москва</t>
        </is>
      </c>
      <c r="D2092" s="130" t="inlineStr">
        <is>
          <t>Москва</t>
        </is>
      </c>
      <c r="E2092" s="130" t="n"/>
      <c r="F2092" s="130" t="inlineStr">
        <is>
          <t>Турагентство</t>
        </is>
      </c>
      <c r="G2092" s="130" t="inlineStr">
        <is>
          <t>Coral Travel</t>
        </is>
      </c>
      <c r="H2092" s="131" t="n"/>
      <c r="I2092" s="637" t="inlineStr">
        <is>
          <t>MSK_C058</t>
        </is>
      </c>
      <c r="J2092" s="402" t="inlineStr">
        <is>
          <t>MSK_C058</t>
        </is>
      </c>
      <c r="K2092" s="640" t="n">
        <v>1</v>
      </c>
      <c r="L2092" s="640" t="n">
        <v>0</v>
      </c>
      <c r="M2092" s="640" t="inlineStr">
        <is>
          <t>Sam 43</t>
        </is>
      </c>
      <c r="N2092" s="640" t="n"/>
      <c r="O2092" s="640">
        <f>IF(AND(N2092=1,L2092=1),K2092,"")</f>
        <v/>
      </c>
      <c r="P2092" s="642" t="inlineStr">
        <is>
          <t>г. Москва, Олимпийский проспект, д. 16, стр. 5</t>
        </is>
      </c>
      <c r="Q2092" s="640" t="n">
        <v>55.783796</v>
      </c>
      <c r="R2092" s="422" t="n">
        <v>37.624523</v>
      </c>
      <c r="S2092" s="387" t="n"/>
      <c r="T2092" s="387" t="n"/>
      <c r="U2092" s="436" t="n">
        <v>2</v>
      </c>
      <c r="V2092" s="387" t="n"/>
      <c r="W2092" s="325" t="n"/>
      <c r="X2092" s="1" t="n"/>
      <c r="Y2092" s="1" t="n"/>
    </row>
    <row r="2093" hidden="1" ht="16.05" customFormat="1" customHeight="1" s="126">
      <c r="A2093" s="125" t="n">
        <v>2711</v>
      </c>
      <c r="B2093" s="125" t="n"/>
      <c r="C2093" s="130" t="inlineStr">
        <is>
          <t>Москва</t>
        </is>
      </c>
      <c r="D2093" s="130" t="inlineStr">
        <is>
          <t>Московская область</t>
        </is>
      </c>
      <c r="E2093" s="130" t="n"/>
      <c r="F2093" s="130" t="inlineStr">
        <is>
          <t>Турагентство</t>
        </is>
      </c>
      <c r="G2093" s="130" t="inlineStr">
        <is>
          <t>Coral Travel</t>
        </is>
      </c>
      <c r="H2093" s="131" t="n"/>
      <c r="I2093" s="637" t="inlineStr">
        <is>
          <t>MSK_C059</t>
        </is>
      </c>
      <c r="J2093" s="402" t="inlineStr">
        <is>
          <t>MSK_C059</t>
        </is>
      </c>
      <c r="K2093" s="640" t="n">
        <v>1</v>
      </c>
      <c r="L2093" s="640" t="n">
        <v>0</v>
      </c>
      <c r="M2093" s="640" t="inlineStr">
        <is>
          <t>Sam 43</t>
        </is>
      </c>
      <c r="N2093" s="640" t="n"/>
      <c r="O2093" s="640">
        <f>IF(AND(N2093=1,L2093=1),K2093,"")</f>
        <v/>
      </c>
      <c r="P2093" s="642" t="inlineStr">
        <is>
          <t>Московская обл.,г. Королев, ул. Исаева, д.7, пом.1</t>
        </is>
      </c>
      <c r="Q2093" s="640" t="n">
        <v>55.92277</v>
      </c>
      <c r="R2093" s="422" t="n">
        <v>37.866702</v>
      </c>
      <c r="S2093" s="387" t="n"/>
      <c r="T2093" s="387" t="n"/>
      <c r="U2093" s="436" t="n">
        <v>2</v>
      </c>
      <c r="V2093" s="387" t="n"/>
      <c r="W2093" s="325" t="n"/>
      <c r="X2093" s="1" t="n"/>
      <c r="Y2093" s="1" t="n"/>
    </row>
    <row r="2094" hidden="1" ht="16.05" customFormat="1" customHeight="1" s="126">
      <c r="A2094" s="125" t="n">
        <v>2712</v>
      </c>
      <c r="B2094" s="125" t="n"/>
      <c r="C2094" s="130" t="inlineStr">
        <is>
          <t>Москва</t>
        </is>
      </c>
      <c r="D2094" s="130" t="inlineStr">
        <is>
          <t>Московская область</t>
        </is>
      </c>
      <c r="E2094" s="130" t="n"/>
      <c r="F2094" s="130" t="inlineStr">
        <is>
          <t>Турагентство</t>
        </is>
      </c>
      <c r="G2094" s="130" t="inlineStr">
        <is>
          <t>Coral Travel</t>
        </is>
      </c>
      <c r="H2094" s="131" t="n"/>
      <c r="I2094" s="637" t="inlineStr">
        <is>
          <t>MSK_C060</t>
        </is>
      </c>
      <c r="J2094" s="402" t="inlineStr">
        <is>
          <t>MSK_C060</t>
        </is>
      </c>
      <c r="K2094" s="640" t="n">
        <v>1</v>
      </c>
      <c r="L2094" s="640" t="n">
        <v>0</v>
      </c>
      <c r="M2094" s="640" t="inlineStr">
        <is>
          <t>Sam 43</t>
        </is>
      </c>
      <c r="N2094" s="640" t="n"/>
      <c r="O2094" s="640">
        <f>IF(AND(N2094=1,L2094=1),K2094,"")</f>
        <v/>
      </c>
      <c r="P2094" s="642" t="inlineStr">
        <is>
          <t>Московская обл., г. Химки, Ленинградское шоссе, д.5</t>
        </is>
      </c>
      <c r="Q2094" s="640" t="n">
        <v>55.888661</v>
      </c>
      <c r="R2094" s="422" t="n">
        <v>37.433686</v>
      </c>
      <c r="S2094" s="387" t="n"/>
      <c r="T2094" s="387" t="n"/>
      <c r="U2094" s="436" t="n">
        <v>2</v>
      </c>
      <c r="V2094" s="387" t="n"/>
      <c r="W2094" s="325" t="n"/>
      <c r="X2094" s="1" t="n"/>
      <c r="Y2094" s="1" t="n"/>
    </row>
    <row r="2095" hidden="1" ht="16.05" customFormat="1" customHeight="1" s="126">
      <c r="A2095" s="125" t="n">
        <v>2713</v>
      </c>
      <c r="B2095" s="125" t="n"/>
      <c r="C2095" s="130" t="inlineStr">
        <is>
          <t>Москва</t>
        </is>
      </c>
      <c r="D2095" s="130" t="inlineStr">
        <is>
          <t>Москва</t>
        </is>
      </c>
      <c r="E2095" s="130" t="n"/>
      <c r="F2095" s="130" t="inlineStr">
        <is>
          <t>Турагентство</t>
        </is>
      </c>
      <c r="G2095" s="130" t="inlineStr">
        <is>
          <t>Coral Travel</t>
        </is>
      </c>
      <c r="H2095" s="131" t="n"/>
      <c r="I2095" s="637" t="inlineStr">
        <is>
          <t>MSK_C061</t>
        </is>
      </c>
      <c r="J2095" s="402" t="inlineStr">
        <is>
          <t>MSK_C061</t>
        </is>
      </c>
      <c r="K2095" s="640" t="n">
        <v>1</v>
      </c>
      <c r="L2095" s="640" t="n">
        <v>0</v>
      </c>
      <c r="M2095" s="640" t="inlineStr">
        <is>
          <t>Sam 43</t>
        </is>
      </c>
      <c r="N2095" s="640" t="n"/>
      <c r="O2095" s="640">
        <f>IF(AND(N2095=1,L2095=1),K2095,"")</f>
        <v/>
      </c>
      <c r="P2095" s="642" t="inlineStr">
        <is>
          <t>г. Москва, ул. Большая Черемушкинская, д. 1</t>
        </is>
      </c>
      <c r="Q2095" s="640" t="n">
        <v>55.689211</v>
      </c>
      <c r="R2095" s="422" t="n">
        <v>37.602074</v>
      </c>
      <c r="S2095" s="387" t="n"/>
      <c r="T2095" s="387" t="n"/>
      <c r="U2095" s="436" t="n">
        <v>2</v>
      </c>
      <c r="V2095" s="387" t="n"/>
      <c r="W2095" s="325" t="n"/>
      <c r="X2095" s="1" t="n"/>
      <c r="Y2095" s="1" t="n"/>
    </row>
    <row r="2096" hidden="1" ht="16.05" customFormat="1" customHeight="1" s="126">
      <c r="A2096" s="845" t="n">
        <v>2717</v>
      </c>
      <c r="B2096" s="127" t="n"/>
      <c r="C2096" s="130" t="inlineStr">
        <is>
          <t>Ростов-на-Дону</t>
        </is>
      </c>
      <c r="D2096" s="130" t="inlineStr">
        <is>
          <t>Ростов-на-Дону</t>
        </is>
      </c>
      <c r="E2096" s="130" t="n"/>
      <c r="F2096" s="130" t="inlineStr">
        <is>
          <t>АЗС</t>
        </is>
      </c>
      <c r="G2096" s="130" t="inlineStr">
        <is>
          <t>Эксон Ойл</t>
        </is>
      </c>
      <c r="H2096" s="131" t="n"/>
      <c r="I2096" s="637" t="n">
        <v>6</v>
      </c>
      <c r="J2096" s="637" t="inlineStr">
        <is>
          <t>RND_EKSON_006</t>
        </is>
      </c>
      <c r="K2096" s="640" t="n">
        <v>1</v>
      </c>
      <c r="L2096" s="640" t="n">
        <v>1</v>
      </c>
      <c r="M2096" s="623" t="inlineStr">
        <is>
          <t>Samsung 32" вертикальный</t>
        </is>
      </c>
      <c r="N2096" s="640" t="n"/>
      <c r="O2096" s="640">
        <f>IF(AND(N2096=1,L2096=1),K2096,"")</f>
        <v/>
      </c>
      <c r="P2096" s="642" t="inlineStr">
        <is>
          <t>г. Ростов-на-Дону, Ворошиловский район, ул. Евдокимова, 39</t>
        </is>
      </c>
      <c r="Q2096" s="640" t="inlineStr">
        <is>
          <t>47.274054</t>
        </is>
      </c>
      <c r="R2096" s="494" t="inlineStr">
        <is>
          <t>39.717339</t>
        </is>
      </c>
      <c r="S2096" s="387" t="n"/>
      <c r="T2096" s="387" t="n"/>
      <c r="U2096" s="436" t="n"/>
      <c r="V2096" s="387" t="n"/>
      <c r="W2096" s="387" t="n"/>
      <c r="X2096" s="387" t="n"/>
      <c r="Y2096" s="387" t="n"/>
    </row>
    <row r="2097" hidden="1" ht="16.05" customFormat="1" customHeight="1" s="126">
      <c r="A2097" s="845" t="n">
        <v>2718</v>
      </c>
      <c r="B2097" s="127" t="n"/>
      <c r="C2097" s="130" t="inlineStr">
        <is>
          <t>Ростов-на-Дону</t>
        </is>
      </c>
      <c r="D2097" s="130" t="inlineStr">
        <is>
          <t>Ростов-на-Дону</t>
        </is>
      </c>
      <c r="E2097" s="130" t="n"/>
      <c r="F2097" s="130" t="inlineStr">
        <is>
          <t>АЗС</t>
        </is>
      </c>
      <c r="G2097" s="130" t="inlineStr">
        <is>
          <t>Эксон Ойл</t>
        </is>
      </c>
      <c r="H2097" s="131" t="n"/>
      <c r="I2097" s="637" t="n">
        <v>26</v>
      </c>
      <c r="J2097" s="637" t="inlineStr">
        <is>
          <t>RND_EKSON_026</t>
        </is>
      </c>
      <c r="K2097" s="640" t="n">
        <v>1</v>
      </c>
      <c r="L2097" s="640" t="n">
        <v>1</v>
      </c>
      <c r="M2097" s="623" t="inlineStr">
        <is>
          <t>Samsung 32" вертикальный</t>
        </is>
      </c>
      <c r="N2097" s="640" t="n"/>
      <c r="O2097" s="640">
        <f>IF(AND(N2097=1,L2097=1),K2097,"")</f>
        <v/>
      </c>
      <c r="P2097" s="642" t="inlineStr">
        <is>
          <t>г. Ростов-на-Дону, Октябрьский район, ул. Разъезд Темерник, дом 7</t>
        </is>
      </c>
      <c r="Q2097" s="640" t="inlineStr">
        <is>
          <t>47.249427</t>
        </is>
      </c>
      <c r="R2097" s="494" t="inlineStr">
        <is>
          <t>39.655113</t>
        </is>
      </c>
      <c r="S2097" s="387" t="n"/>
      <c r="T2097" s="387" t="n"/>
      <c r="U2097" s="436" t="n"/>
      <c r="V2097" s="387" t="n"/>
      <c r="W2097" s="387" t="n"/>
      <c r="X2097" s="387" t="n"/>
      <c r="Y2097" s="387" t="n"/>
    </row>
    <row r="2098" hidden="1" ht="16.05" customFormat="1" customHeight="1" s="126">
      <c r="A2098" s="845" t="n">
        <v>2719</v>
      </c>
      <c r="B2098" s="127" t="n"/>
      <c r="C2098" s="130" t="inlineStr">
        <is>
          <t>Ростов-на-Дону</t>
        </is>
      </c>
      <c r="D2098" s="130" t="inlineStr">
        <is>
          <t>Ростовская область</t>
        </is>
      </c>
      <c r="E2098" s="130" t="n"/>
      <c r="F2098" s="130" t="inlineStr">
        <is>
          <t>АЗС</t>
        </is>
      </c>
      <c r="G2098" s="130" t="inlineStr">
        <is>
          <t>Эксон Ойл</t>
        </is>
      </c>
      <c r="H2098" s="131" t="n"/>
      <c r="I2098" s="637" t="n">
        <v>28</v>
      </c>
      <c r="J2098" s="637" t="inlineStr">
        <is>
          <t>RND_EKSON_028</t>
        </is>
      </c>
      <c r="K2098" s="640" t="n">
        <v>1</v>
      </c>
      <c r="L2098" s="640" t="n">
        <v>1</v>
      </c>
      <c r="M2098" s="623" t="inlineStr">
        <is>
          <t>Samsung 32" вертикальный</t>
        </is>
      </c>
      <c r="N2098" s="640" t="n"/>
      <c r="O2098" s="640">
        <f>IF(AND(N2098=1,L2098=1),K2098,"")</f>
        <v/>
      </c>
      <c r="P2098" s="642" t="inlineStr">
        <is>
          <t>РО, Мясниковский район, установлено относительно ориентира 0+350 км автодороги Ростов-на-Дону — Новошахтинск, расположенного за пределами участка</t>
        </is>
      </c>
      <c r="Q2098" s="640" t="inlineStr">
        <is>
          <t>47.296846</t>
        </is>
      </c>
      <c r="R2098" s="494" t="inlineStr">
        <is>
          <t xml:space="preserve">39.658626 </t>
        </is>
      </c>
      <c r="S2098" s="387" t="n"/>
      <c r="T2098" s="387" t="n"/>
      <c r="U2098" s="436" t="n"/>
      <c r="V2098" s="387" t="n"/>
      <c r="W2098" s="387" t="n"/>
      <c r="X2098" s="387" t="n"/>
      <c r="Y2098" s="387" t="n"/>
    </row>
    <row r="2099" hidden="1" ht="16.05" customFormat="1" customHeight="1" s="126">
      <c r="A2099" s="845" t="n">
        <v>2720</v>
      </c>
      <c r="B2099" s="127" t="n"/>
      <c r="C2099" s="130" t="inlineStr">
        <is>
          <t>Ростов-на-Дону</t>
        </is>
      </c>
      <c r="D2099" s="130" t="inlineStr">
        <is>
          <t>Ростовская область</t>
        </is>
      </c>
      <c r="E2099" s="130" t="n"/>
      <c r="F2099" s="130" t="inlineStr">
        <is>
          <t>АЗС</t>
        </is>
      </c>
      <c r="G2099" s="130" t="inlineStr">
        <is>
          <t>Эксон Ойл</t>
        </is>
      </c>
      <c r="H2099" s="131" t="n"/>
      <c r="I2099" s="637" t="n">
        <v>32</v>
      </c>
      <c r="J2099" s="637" t="inlineStr">
        <is>
          <t>RND_EKSON_032</t>
        </is>
      </c>
      <c r="K2099" s="640" t="n">
        <v>1</v>
      </c>
      <c r="L2099" s="640" t="n">
        <v>1</v>
      </c>
      <c r="M2099" s="623" t="inlineStr">
        <is>
          <t>Samsung 32" вертикальный</t>
        </is>
      </c>
      <c r="N2099" s="640" t="n"/>
      <c r="O2099" s="640">
        <f>IF(AND(N2099=1,L2099=1),K2099,"")</f>
        <v/>
      </c>
      <c r="P2099" s="642" t="inlineStr">
        <is>
          <t>РО, Мясниковский район, Юго-восточная промзона, участок 1/5,фактический адрес Малиновского</t>
        </is>
      </c>
      <c r="Q2099" s="640" t="inlineStr">
        <is>
          <t>47.257898</t>
        </is>
      </c>
      <c r="R2099" s="494" t="inlineStr">
        <is>
          <t>39.617438</t>
        </is>
      </c>
      <c r="S2099" s="387" t="n"/>
      <c r="T2099" s="387" t="n"/>
      <c r="U2099" s="436" t="n"/>
      <c r="V2099" s="387" t="n"/>
      <c r="W2099" s="387" t="n"/>
      <c r="X2099" s="387" t="n"/>
      <c r="Y2099" s="387" t="n"/>
    </row>
    <row r="2100" hidden="1" ht="16.05" customFormat="1" customHeight="1" s="126">
      <c r="A2100" s="845" t="n">
        <v>2721</v>
      </c>
      <c r="B2100" s="127" t="n"/>
      <c r="C2100" s="130" t="inlineStr">
        <is>
          <t>Ростов-на-Дону</t>
        </is>
      </c>
      <c r="D2100" s="130" t="inlineStr">
        <is>
          <t>Ростов-на-Дону</t>
        </is>
      </c>
      <c r="E2100" s="130" t="n"/>
      <c r="F2100" s="130" t="inlineStr">
        <is>
          <t>АЗС</t>
        </is>
      </c>
      <c r="G2100" s="130" t="inlineStr">
        <is>
          <t>Эксон Ойл</t>
        </is>
      </c>
      <c r="H2100" s="131" t="n"/>
      <c r="I2100" s="637" t="n">
        <v>5</v>
      </c>
      <c r="J2100" s="637" t="inlineStr">
        <is>
          <t>RND_EKSON_005</t>
        </is>
      </c>
      <c r="K2100" s="640" t="n">
        <v>1</v>
      </c>
      <c r="L2100" s="640" t="n">
        <v>1</v>
      </c>
      <c r="M2100" s="623" t="inlineStr">
        <is>
          <t>Samsung 32" вертикальный</t>
        </is>
      </c>
      <c r="N2100" s="640" t="n"/>
      <c r="O2100" s="640">
        <f>IF(AND(N2100=1,L2100=1),K2100,"")</f>
        <v/>
      </c>
      <c r="P2100" s="642" t="inlineStr">
        <is>
          <t>г. Ростов-на-Дону, Пролетарский район, пр. 40-летия Победы, дом 95/2</t>
        </is>
      </c>
      <c r="Q2100" s="640" t="inlineStr">
        <is>
          <t>47.241371</t>
        </is>
      </c>
      <c r="R2100" s="494" t="inlineStr">
        <is>
          <t>39.834561</t>
        </is>
      </c>
      <c r="S2100" s="387" t="n"/>
      <c r="T2100" s="387" t="n"/>
      <c r="U2100" s="436" t="n"/>
      <c r="V2100" s="387" t="n"/>
      <c r="W2100" s="387" t="n"/>
      <c r="X2100" s="387" t="n"/>
      <c r="Y2100" s="387" t="n"/>
    </row>
    <row r="2101" hidden="1" ht="16.05" customFormat="1" customHeight="1" s="126">
      <c r="A2101" s="845" t="n">
        <v>2722</v>
      </c>
      <c r="B2101" s="127" t="n"/>
      <c r="C2101" s="130" t="inlineStr">
        <is>
          <t>Ростов-на-Дону</t>
        </is>
      </c>
      <c r="D2101" s="130" t="inlineStr">
        <is>
          <t>Ростовская область</t>
        </is>
      </c>
      <c r="E2101" s="130" t="n"/>
      <c r="F2101" s="130" t="inlineStr">
        <is>
          <t>АЗС</t>
        </is>
      </c>
      <c r="G2101" s="130" t="inlineStr">
        <is>
          <t>Эксон Ойл</t>
        </is>
      </c>
      <c r="H2101" s="131" t="n"/>
      <c r="I2101" s="637" t="inlineStr">
        <is>
          <t xml:space="preserve">21 </t>
        </is>
      </c>
      <c r="J2101" s="637" t="inlineStr">
        <is>
          <t>RND_EKSON_021</t>
        </is>
      </c>
      <c r="K2101" s="640" t="n">
        <v>1</v>
      </c>
      <c r="L2101" s="640" t="n">
        <v>1</v>
      </c>
      <c r="M2101" s="623" t="inlineStr">
        <is>
          <t>Samsung 32" вертикальный</t>
        </is>
      </c>
      <c r="N2101" s="640" t="n"/>
      <c r="O2101" s="640">
        <f>IF(AND(N2101=1,L2101=1),K2101,"")</f>
        <v/>
      </c>
      <c r="P2101" s="642" t="inlineStr">
        <is>
          <t>РО ,г. Батайск , Восточное шоссе 21</t>
        </is>
      </c>
      <c r="Q2101" s="640" t="inlineStr">
        <is>
          <t>47.124172</t>
        </is>
      </c>
      <c r="R2101" s="494" t="inlineStr">
        <is>
          <t>39.773691</t>
        </is>
      </c>
      <c r="S2101" s="387" t="n"/>
      <c r="T2101" s="387" t="n"/>
      <c r="U2101" s="436" t="n"/>
      <c r="V2101" s="387" t="n"/>
      <c r="W2101" s="387" t="n"/>
      <c r="X2101" s="387" t="n"/>
      <c r="Y2101" s="387" t="n"/>
    </row>
    <row r="2102" hidden="1" ht="16.05" customFormat="1" customHeight="1" s="126">
      <c r="A2102" s="845" t="n">
        <v>2723</v>
      </c>
      <c r="B2102" s="127" t="n"/>
      <c r="C2102" s="130" t="inlineStr">
        <is>
          <t>Ростов-на-Дону</t>
        </is>
      </c>
      <c r="D2102" s="130" t="inlineStr">
        <is>
          <t>Ростовская область</t>
        </is>
      </c>
      <c r="E2102" s="130" t="n"/>
      <c r="F2102" s="130" t="inlineStr">
        <is>
          <t>АЗС</t>
        </is>
      </c>
      <c r="G2102" s="130" t="inlineStr">
        <is>
          <t>Эксон Ойл</t>
        </is>
      </c>
      <c r="H2102" s="131" t="n"/>
      <c r="I2102" s="637" t="n">
        <v>27</v>
      </c>
      <c r="J2102" s="637" t="inlineStr">
        <is>
          <t>RND_EKSON_027</t>
        </is>
      </c>
      <c r="K2102" s="640" t="n">
        <v>1</v>
      </c>
      <c r="L2102" s="640" t="n">
        <v>1</v>
      </c>
      <c r="M2102" s="623" t="inlineStr">
        <is>
          <t>Samsung 32" вертикальный</t>
        </is>
      </c>
      <c r="N2102" s="640" t="n"/>
      <c r="O2102" s="640">
        <f>IF(AND(N2102=1,L2102=1),K2102,"")</f>
        <v/>
      </c>
      <c r="P2102" s="642" t="inlineStr">
        <is>
          <t>РО, г.Аксай . пр.Аксайский 14д</t>
        </is>
      </c>
      <c r="Q2102" s="640" t="inlineStr">
        <is>
          <t>47.275539</t>
        </is>
      </c>
      <c r="R2102" s="494" t="inlineStr">
        <is>
          <t>39.831381</t>
        </is>
      </c>
      <c r="S2102" s="387" t="n"/>
      <c r="T2102" s="387" t="n"/>
      <c r="U2102" s="436" t="n"/>
      <c r="V2102" s="387" t="n"/>
      <c r="W2102" s="387" t="n"/>
      <c r="X2102" s="387" t="n"/>
      <c r="Y2102" s="1" t="n"/>
    </row>
    <row r="2103" hidden="1" ht="16.05" customFormat="1" customHeight="1" s="126">
      <c r="A2103" s="845" t="n">
        <v>2724</v>
      </c>
      <c r="B2103" s="127" t="n"/>
      <c r="C2103" s="130" t="inlineStr">
        <is>
          <t>Ростов-на-Дону</t>
        </is>
      </c>
      <c r="D2103" s="130" t="inlineStr">
        <is>
          <t>Ростов-на-Дону</t>
        </is>
      </c>
      <c r="E2103" s="130" t="n"/>
      <c r="F2103" s="130" t="inlineStr">
        <is>
          <t>АЗС</t>
        </is>
      </c>
      <c r="G2103" s="130" t="inlineStr">
        <is>
          <t>Эксон Ойл</t>
        </is>
      </c>
      <c r="H2103" s="131" t="n"/>
      <c r="I2103" s="637" t="n">
        <v>29</v>
      </c>
      <c r="J2103" s="637" t="inlineStr">
        <is>
          <t>RND_EKSON_029</t>
        </is>
      </c>
      <c r="K2103" s="640" t="n">
        <v>1</v>
      </c>
      <c r="L2103" s="640" t="n">
        <v>1</v>
      </c>
      <c r="M2103" s="623" t="inlineStr">
        <is>
          <t>Samsung 32" вертикальный</t>
        </is>
      </c>
      <c r="N2103" s="640" t="n"/>
      <c r="O2103" s="640">
        <f>IF(AND(N2103=1,L2103=1),K2103,"")</f>
        <v/>
      </c>
      <c r="P2103" s="642" t="inlineStr">
        <is>
          <t>г. Ростов-на-Дону, Пролетарский район.ул. Вересаева, № 94а</t>
        </is>
      </c>
      <c r="Q2103" s="640" t="inlineStr">
        <is>
          <t>47.242588</t>
        </is>
      </c>
      <c r="R2103" s="494" t="inlineStr">
        <is>
          <t>39.798987</t>
        </is>
      </c>
      <c r="S2103" s="387" t="n"/>
      <c r="T2103" s="387" t="n"/>
      <c r="U2103" s="436" t="n"/>
      <c r="V2103" s="387" t="n"/>
      <c r="W2103" s="387" t="n"/>
      <c r="X2103" s="387" t="n"/>
      <c r="Y2103" s="387" t="n"/>
    </row>
    <row r="2104" hidden="1" ht="16.05" customFormat="1" customHeight="1" s="126">
      <c r="A2104" s="845" t="n">
        <v>2725</v>
      </c>
      <c r="B2104" s="127" t="n"/>
      <c r="C2104" s="130" t="inlineStr">
        <is>
          <t>Ростов-на-Дону</t>
        </is>
      </c>
      <c r="D2104" s="130" t="inlineStr">
        <is>
          <t>Ростовская область</t>
        </is>
      </c>
      <c r="E2104" s="130" t="n"/>
      <c r="F2104" s="130" t="inlineStr">
        <is>
          <t>АЗС</t>
        </is>
      </c>
      <c r="G2104" s="130" t="inlineStr">
        <is>
          <t>Эксон Ойл</t>
        </is>
      </c>
      <c r="H2104" s="131" t="n"/>
      <c r="I2104" s="637" t="n">
        <v>4</v>
      </c>
      <c r="J2104" s="637" t="inlineStr">
        <is>
          <t>RND_EKSON_004</t>
        </is>
      </c>
      <c r="K2104" s="640" t="n">
        <v>1</v>
      </c>
      <c r="L2104" s="640" t="n">
        <v>0</v>
      </c>
      <c r="M2104" s="623" t="inlineStr">
        <is>
          <t>Samsung 32" вертикальный</t>
        </is>
      </c>
      <c r="N2104" s="640" t="n"/>
      <c r="O2104" s="640">
        <f>IF(AND(N2104=1,L2104=1),K2104,"")</f>
        <v/>
      </c>
      <c r="P2104" s="642" t="inlineStr">
        <is>
          <t>РО, г. Аксай, ул. Западная, 8</t>
        </is>
      </c>
      <c r="Q2104" s="640" t="inlineStr">
        <is>
          <t>47.261256</t>
        </is>
      </c>
      <c r="R2104" s="494" t="inlineStr">
        <is>
          <t>39.852168</t>
        </is>
      </c>
      <c r="S2104" s="387" t="n"/>
      <c r="T2104" s="387" t="n"/>
      <c r="U2104" s="436" t="n"/>
      <c r="V2104" s="387" t="n"/>
      <c r="W2104" s="387" t="n"/>
      <c r="X2104" s="387" t="n"/>
      <c r="Y2104" s="387" t="n"/>
    </row>
    <row r="2105" hidden="1" ht="16.05" customFormat="1" customHeight="1" s="126">
      <c r="A2105" s="125" t="n">
        <v>2726</v>
      </c>
      <c r="B2105" s="125" t="n"/>
      <c r="C2105" s="130" t="inlineStr">
        <is>
          <t>Санкт-Петербург</t>
        </is>
      </c>
      <c r="D2105" s="130" t="inlineStr">
        <is>
          <t xml:space="preserve">Санкт-Петербург </t>
        </is>
      </c>
      <c r="E2105" s="130" t="n"/>
      <c r="F2105" s="130" t="inlineStr">
        <is>
          <t>АЗС</t>
        </is>
      </c>
      <c r="G2105" s="130" t="inlineStr">
        <is>
          <t>Газпромнефть</t>
        </is>
      </c>
      <c r="H2105" s="131" t="n"/>
      <c r="I2105" s="637" t="n">
        <v>10001</v>
      </c>
      <c r="J2105" s="637" t="inlineStr">
        <is>
          <t>GPN_10001</t>
        </is>
      </c>
      <c r="K2105" s="640" t="n">
        <v>3</v>
      </c>
      <c r="L2105" s="640" t="n">
        <v>1</v>
      </c>
      <c r="M2105" s="623" t="n">
        <v>3</v>
      </c>
      <c r="N2105" s="640" t="n"/>
      <c r="O2105" s="640">
        <f>IF(AND(N2105=1,L2105=1),K2105,"")</f>
        <v/>
      </c>
      <c r="P2105" s="642" t="inlineStr">
        <is>
          <t>г. Санкт-Петербург, Дунайский пр., 29</t>
        </is>
      </c>
      <c r="Q2105" s="640" t="inlineStr">
        <is>
          <t>59.832579</t>
        </is>
      </c>
      <c r="R2105" s="494" t="inlineStr">
        <is>
          <t>30.37009</t>
        </is>
      </c>
      <c r="S2105" s="387" t="n"/>
      <c r="T2105" s="387" t="n"/>
      <c r="U2105" s="436" t="n"/>
      <c r="V2105" s="387" t="n"/>
      <c r="W2105" s="387" t="n"/>
      <c r="X2105" s="387" t="n"/>
      <c r="Y2105" s="387" t="n"/>
    </row>
    <row r="2106" hidden="1" ht="16.05" customFormat="1" customHeight="1" s="126">
      <c r="A2106" s="125" t="n">
        <v>2727</v>
      </c>
      <c r="B2106" s="125" t="n"/>
      <c r="C2106" s="130" t="inlineStr">
        <is>
          <t>Санкт-Петербург</t>
        </is>
      </c>
      <c r="D2106" s="130" t="inlineStr">
        <is>
          <t xml:space="preserve">Санкт-Петербург </t>
        </is>
      </c>
      <c r="E2106" s="130" t="n"/>
      <c r="F2106" s="130" t="inlineStr">
        <is>
          <t>АЗС</t>
        </is>
      </c>
      <c r="G2106" s="130" t="inlineStr">
        <is>
          <t>Газпромнефть</t>
        </is>
      </c>
      <c r="H2106" s="131" t="n"/>
      <c r="I2106" s="637" t="n">
        <v>10003</v>
      </c>
      <c r="J2106" s="637" t="inlineStr">
        <is>
          <t>GPN_10003</t>
        </is>
      </c>
      <c r="K2106" s="640" t="n">
        <v>3</v>
      </c>
      <c r="L2106" s="640" t="n">
        <v>1</v>
      </c>
      <c r="M2106" s="623" t="n">
        <v>3</v>
      </c>
      <c r="N2106" s="640" t="n"/>
      <c r="O2106" s="640">
        <f>IF(AND(N2106=1,L2106=1),K2106,"")</f>
        <v/>
      </c>
      <c r="P2106" s="642" t="inlineStr">
        <is>
          <t>г. Санкт-Петербург, ул. Софийская, д.69</t>
        </is>
      </c>
      <c r="Q2106" s="640" t="n">
        <v>59.855344</v>
      </c>
      <c r="R2106" s="422" t="n">
        <v>30.422256</v>
      </c>
      <c r="S2106" s="387" t="n"/>
      <c r="T2106" s="387" t="n"/>
      <c r="U2106" s="436" t="n"/>
      <c r="V2106" s="387" t="n"/>
      <c r="W2106" s="387" t="n"/>
      <c r="X2106" s="387" t="n"/>
      <c r="Y2106" s="387" t="n"/>
    </row>
    <row r="2107" hidden="1" ht="16.05" customFormat="1" customHeight="1" s="126">
      <c r="A2107" s="125" t="n">
        <v>2728</v>
      </c>
      <c r="B2107" s="125" t="n"/>
      <c r="C2107" s="130" t="inlineStr">
        <is>
          <t>Санкт-Петербург</t>
        </is>
      </c>
      <c r="D2107" s="130" t="inlineStr">
        <is>
          <t xml:space="preserve">Санкт-Петербург </t>
        </is>
      </c>
      <c r="E2107" s="130" t="n"/>
      <c r="F2107" s="130" t="inlineStr">
        <is>
          <t>АЗС</t>
        </is>
      </c>
      <c r="G2107" s="130" t="inlineStr">
        <is>
          <t>Газпромнефть</t>
        </is>
      </c>
      <c r="H2107" s="131" t="n"/>
      <c r="I2107" s="637" t="n">
        <v>10006</v>
      </c>
      <c r="J2107" s="637" t="inlineStr">
        <is>
          <t>GPN_10006</t>
        </is>
      </c>
      <c r="K2107" s="640" t="n">
        <v>3</v>
      </c>
      <c r="L2107" s="640" t="n">
        <v>1</v>
      </c>
      <c r="M2107" s="623" t="n">
        <v>4</v>
      </c>
      <c r="N2107" s="640" t="n"/>
      <c r="O2107" s="640">
        <f>IF(AND(N2107=1,L2107=1),K2107,"")</f>
        <v/>
      </c>
      <c r="P2107" s="642" t="inlineStr">
        <is>
          <t>пр.Обуховской обороны, 303</t>
        </is>
      </c>
      <c r="Q2107" s="640" t="inlineStr">
        <is>
          <t>59.842183</t>
        </is>
      </c>
      <c r="R2107" s="494" t="inlineStr">
        <is>
          <t>30.483655</t>
        </is>
      </c>
      <c r="S2107" s="387" t="n"/>
      <c r="T2107" s="387" t="n"/>
      <c r="U2107" s="436" t="n"/>
      <c r="V2107" s="387" t="n"/>
      <c r="W2107" s="387">
        <f>IF(AND(N2107=1,O2107&lt;&gt;""),C2107,"")</f>
        <v/>
      </c>
      <c r="X2107" s="387" t="n"/>
      <c r="Y2107" s="387" t="n"/>
    </row>
    <row r="2108" hidden="1" ht="16.05" customFormat="1" customHeight="1" s="126">
      <c r="A2108" s="125" t="n">
        <v>2729</v>
      </c>
      <c r="B2108" s="125" t="n"/>
      <c r="C2108" s="130" t="inlineStr">
        <is>
          <t>Санкт-Петербург</t>
        </is>
      </c>
      <c r="D2108" s="130" t="inlineStr">
        <is>
          <t xml:space="preserve">Санкт-Петербург </t>
        </is>
      </c>
      <c r="E2108" s="130" t="n"/>
      <c r="F2108" s="130" t="inlineStr">
        <is>
          <t>АЗС</t>
        </is>
      </c>
      <c r="G2108" s="130" t="inlineStr">
        <is>
          <t>Газпромнефть</t>
        </is>
      </c>
      <c r="H2108" s="131" t="n"/>
      <c r="I2108" s="637" t="n">
        <v>10007</v>
      </c>
      <c r="J2108" s="637" t="inlineStr">
        <is>
          <t>GPN_10007</t>
        </is>
      </c>
      <c r="K2108" s="640" t="n">
        <v>3</v>
      </c>
      <c r="L2108" s="640" t="n">
        <v>1</v>
      </c>
      <c r="M2108" s="623" t="n">
        <v>3</v>
      </c>
      <c r="N2108" s="640" t="n"/>
      <c r="O2108" s="640">
        <f>IF(AND(N2108=1,L2108=1),K2108,"")</f>
        <v/>
      </c>
      <c r="P2108" s="642" t="inlineStr">
        <is>
          <t>Таллиннское ш., 151, к.1</t>
        </is>
      </c>
      <c r="Q2108" s="640" t="inlineStr">
        <is>
          <t>59.8109</t>
        </is>
      </c>
      <c r="R2108" s="494" t="inlineStr">
        <is>
          <t>30.16861</t>
        </is>
      </c>
      <c r="S2108" s="387" t="n"/>
      <c r="T2108" s="387" t="n"/>
      <c r="U2108" s="436" t="n"/>
      <c r="V2108" s="387" t="n"/>
      <c r="W2108" s="387">
        <f>IF(AND(N2108=1,O2108&lt;&gt;""),C2108,"")</f>
        <v/>
      </c>
      <c r="X2108" s="387" t="n"/>
      <c r="Y2108" s="387" t="n"/>
    </row>
    <row r="2109" hidden="1" ht="16.05" customFormat="1" customHeight="1" s="126">
      <c r="A2109" s="125" t="n">
        <v>2730</v>
      </c>
      <c r="B2109" s="125" t="n"/>
      <c r="C2109" s="130" t="inlineStr">
        <is>
          <t>Санкт-Петербург</t>
        </is>
      </c>
      <c r="D2109" s="130" t="inlineStr">
        <is>
          <t xml:space="preserve">Санкт-Петербург </t>
        </is>
      </c>
      <c r="E2109" s="130" t="n"/>
      <c r="F2109" s="130" t="inlineStr">
        <is>
          <t>АЗС</t>
        </is>
      </c>
      <c r="G2109" s="130" t="inlineStr">
        <is>
          <t>Газпромнефть</t>
        </is>
      </c>
      <c r="H2109" s="131" t="n"/>
      <c r="I2109" s="637" t="n">
        <v>10009</v>
      </c>
      <c r="J2109" s="637" t="inlineStr">
        <is>
          <t>GPN_10009</t>
        </is>
      </c>
      <c r="K2109" s="640" t="n">
        <v>3</v>
      </c>
      <c r="L2109" s="640" t="n">
        <v>1</v>
      </c>
      <c r="M2109" s="623" t="n">
        <v>5</v>
      </c>
      <c r="N2109" s="640" t="n"/>
      <c r="O2109" s="640">
        <f>IF(AND(N2109=1,L2109=1),K2109,"")</f>
        <v/>
      </c>
      <c r="P2109" s="642" t="inlineStr">
        <is>
          <t>г. Санкт-Петербург, Московское ш., 296, лит.А</t>
        </is>
      </c>
      <c r="Q2109" s="640" t="inlineStr">
        <is>
          <t>59.756811</t>
        </is>
      </c>
      <c r="R2109" s="494" t="inlineStr">
        <is>
          <t>30.479119</t>
        </is>
      </c>
      <c r="S2109" s="387" t="n"/>
      <c r="T2109" s="387" t="n"/>
      <c r="U2109" s="436" t="n"/>
      <c r="V2109" s="387" t="n"/>
      <c r="W2109" s="387">
        <f>IF(AND(N2109=1,O2109&lt;&gt;""),C2109,"")</f>
        <v/>
      </c>
      <c r="X2109" s="387" t="n"/>
      <c r="Y2109" s="1" t="n"/>
    </row>
    <row r="2110" hidden="1" ht="16.05" customFormat="1" customHeight="1" s="126">
      <c r="A2110" s="125" t="n">
        <v>2731</v>
      </c>
      <c r="B2110" s="125" t="n"/>
      <c r="C2110" s="130" t="inlineStr">
        <is>
          <t>Санкт-Петербург</t>
        </is>
      </c>
      <c r="D2110" s="130" t="inlineStr">
        <is>
          <t xml:space="preserve">Санкт-Петербург </t>
        </is>
      </c>
      <c r="E2110" s="130" t="n"/>
      <c r="F2110" s="130" t="inlineStr">
        <is>
          <t>АЗС</t>
        </is>
      </c>
      <c r="G2110" s="130" t="inlineStr">
        <is>
          <t>Газпромнефть</t>
        </is>
      </c>
      <c r="H2110" s="131" t="n"/>
      <c r="I2110" s="637" t="n">
        <v>10010</v>
      </c>
      <c r="J2110" s="637" t="inlineStr">
        <is>
          <t>GPN_10010</t>
        </is>
      </c>
      <c r="K2110" s="640" t="n">
        <v>3</v>
      </c>
      <c r="L2110" s="640" t="n">
        <v>1</v>
      </c>
      <c r="M2110" s="623" t="n">
        <v>5</v>
      </c>
      <c r="N2110" s="640" t="n"/>
      <c r="O2110" s="640">
        <f>IF(AND(N2110=1,L2110=1),K2110,"")</f>
        <v/>
      </c>
      <c r="P2110" s="642" t="inlineStr">
        <is>
          <t>г. Санкт-Петербург, Московское ш., 295, лит.А</t>
        </is>
      </c>
      <c r="Q2110" s="640" t="inlineStr">
        <is>
          <t>59.75822</t>
        </is>
      </c>
      <c r="R2110" s="494" t="inlineStr">
        <is>
          <t>30.48113</t>
        </is>
      </c>
      <c r="S2110" s="387" t="n"/>
      <c r="T2110" s="387" t="n"/>
      <c r="U2110" s="436" t="n"/>
      <c r="V2110" s="387" t="n"/>
      <c r="W2110" s="387">
        <f>IF(AND(N2110=1,O2110&lt;&gt;""),C2110,"")</f>
        <v/>
      </c>
      <c r="X2110" s="387" t="n"/>
      <c r="Y2110" s="387" t="n"/>
    </row>
    <row r="2111" hidden="1" ht="16.05" customFormat="1" customHeight="1" s="126">
      <c r="A2111" s="125" t="n">
        <v>2732</v>
      </c>
      <c r="B2111" s="125" t="n"/>
      <c r="C2111" s="130" t="inlineStr">
        <is>
          <t>Санкт-Петербург</t>
        </is>
      </c>
      <c r="D2111" s="130" t="inlineStr">
        <is>
          <t>Ленинградская область</t>
        </is>
      </c>
      <c r="E2111" s="130" t="n"/>
      <c r="F2111" s="130" t="inlineStr">
        <is>
          <t>АЗС</t>
        </is>
      </c>
      <c r="G2111" s="130" t="inlineStr">
        <is>
          <t>Газпромнефть</t>
        </is>
      </c>
      <c r="H2111" s="131" t="n"/>
      <c r="I2111" s="637" t="n">
        <v>10011</v>
      </c>
      <c r="J2111" s="637" t="inlineStr">
        <is>
          <t>GPN_10011</t>
        </is>
      </c>
      <c r="K2111" s="640" t="n">
        <v>2</v>
      </c>
      <c r="L2111" s="640" t="n">
        <v>1</v>
      </c>
      <c r="M2111" s="623" t="n">
        <v>2</v>
      </c>
      <c r="N2111" s="640" t="n"/>
      <c r="O2111" s="640">
        <f>IF(AND(N2111=1,L2111=1),K2111,"")</f>
        <v/>
      </c>
      <c r="P2111" s="642" t="inlineStr">
        <is>
          <t>ЛО, г.Сосновый Бор, Парковая, 11</t>
        </is>
      </c>
      <c r="Q2111" s="640" t="inlineStr">
        <is>
          <t>59.90944</t>
        </is>
      </c>
      <c r="R2111" s="494" t="inlineStr">
        <is>
          <t>29.07699</t>
        </is>
      </c>
      <c r="S2111" s="387" t="n"/>
      <c r="T2111" s="387" t="n"/>
      <c r="U2111" s="436" t="n"/>
      <c r="V2111" s="387" t="n"/>
      <c r="W2111" s="387">
        <f>IF(AND(N2111=1,O2111&lt;&gt;""),C2111,"")</f>
        <v/>
      </c>
      <c r="X2111" s="387" t="n"/>
      <c r="Y2111" s="387" t="n"/>
    </row>
    <row r="2112" hidden="1" ht="16.05" customFormat="1" customHeight="1" s="126">
      <c r="A2112" s="125" t="n">
        <v>2733</v>
      </c>
      <c r="B2112" s="125" t="n"/>
      <c r="C2112" s="130" t="inlineStr">
        <is>
          <t>Санкт-Петербург</t>
        </is>
      </c>
      <c r="D2112" s="130" t="inlineStr">
        <is>
          <t xml:space="preserve">Санкт-Петербург </t>
        </is>
      </c>
      <c r="E2112" s="130" t="n"/>
      <c r="F2112" s="130" t="inlineStr">
        <is>
          <t>АЗС</t>
        </is>
      </c>
      <c r="G2112" s="130" t="inlineStr">
        <is>
          <t>Газпромнефть</t>
        </is>
      </c>
      <c r="H2112" s="131" t="n"/>
      <c r="I2112" s="637" t="n">
        <v>10012</v>
      </c>
      <c r="J2112" s="637" t="inlineStr">
        <is>
          <t>GPN_10012</t>
        </is>
      </c>
      <c r="K2112" s="640" t="n">
        <v>3</v>
      </c>
      <c r="L2112" s="640" t="n">
        <v>1</v>
      </c>
      <c r="M2112" s="623" t="n">
        <v>3</v>
      </c>
      <c r="N2112" s="640" t="n"/>
      <c r="O2112" s="640">
        <f>IF(AND(N2112=1,L2112=1),K2112,"")</f>
        <v/>
      </c>
      <c r="P2112" s="642" t="inlineStr">
        <is>
          <t>ЛО, Красное Село, Гатчинское ш, 17</t>
        </is>
      </c>
      <c r="Q2112" s="640" t="inlineStr">
        <is>
          <t>59.71647</t>
        </is>
      </c>
      <c r="R2112" s="494" t="inlineStr">
        <is>
          <t>30.079683</t>
        </is>
      </c>
      <c r="S2112" s="387" t="n"/>
      <c r="T2112" s="387" t="n"/>
      <c r="U2112" s="436" t="n"/>
      <c r="V2112" s="387" t="n"/>
      <c r="W2112" s="387">
        <f>IF(AND(N2112=1,O2112&lt;&gt;""),C2112,"")</f>
        <v/>
      </c>
      <c r="X2112" s="387" t="n"/>
      <c r="Y2112" s="387" t="n"/>
    </row>
    <row r="2113" hidden="1" ht="16.05" customFormat="1" customHeight="1" s="126">
      <c r="A2113" s="125" t="n">
        <v>2734</v>
      </c>
      <c r="B2113" s="125" t="n"/>
      <c r="C2113" s="130" t="inlineStr">
        <is>
          <t>Санкт-Петербург</t>
        </is>
      </c>
      <c r="D2113" s="130" t="inlineStr">
        <is>
          <t xml:space="preserve">Санкт-Петербург </t>
        </is>
      </c>
      <c r="E2113" s="130" t="n"/>
      <c r="F2113" s="130" t="inlineStr">
        <is>
          <t>АЗС</t>
        </is>
      </c>
      <c r="G2113" s="130" t="inlineStr">
        <is>
          <t>Газпромнефть</t>
        </is>
      </c>
      <c r="H2113" s="131" t="n"/>
      <c r="I2113" s="637" t="n">
        <v>10013</v>
      </c>
      <c r="J2113" s="637" t="inlineStr">
        <is>
          <t>GPN_10013</t>
        </is>
      </c>
      <c r="K2113" s="640" t="n">
        <v>3</v>
      </c>
      <c r="L2113" s="640" t="n">
        <v>0</v>
      </c>
      <c r="M2113" s="623" t="n">
        <v>3</v>
      </c>
      <c r="N2113" s="640" t="n"/>
      <c r="O2113" s="640">
        <f>IF(AND(N2113=1,L2113=1),K2113,"")</f>
        <v/>
      </c>
      <c r="P2113" s="642" t="inlineStr">
        <is>
          <t>г. Санкт-петербург, ул. Фучика, 8. к.2</t>
        </is>
      </c>
      <c r="Q2113" s="640" t="inlineStr">
        <is>
          <t>59.88097</t>
        </is>
      </c>
      <c r="R2113" s="494" t="inlineStr">
        <is>
          <t>30.376064</t>
        </is>
      </c>
      <c r="S2113" s="387" t="n"/>
      <c r="T2113" s="387" t="n"/>
      <c r="U2113" s="436" t="n"/>
      <c r="V2113" s="387" t="n"/>
      <c r="W2113" s="387">
        <f>IF(AND(N2113=1,O2113&lt;&gt;""),C2113,"")</f>
        <v/>
      </c>
      <c r="X2113" s="387" t="n"/>
      <c r="Y2113" s="387" t="n"/>
    </row>
    <row r="2114" hidden="1" ht="16.05" customFormat="1" customHeight="1" s="126">
      <c r="A2114" s="125" t="n">
        <v>2735</v>
      </c>
      <c r="B2114" s="125" t="n"/>
      <c r="C2114" s="130" t="inlineStr">
        <is>
          <t>Санкт-Петербург</t>
        </is>
      </c>
      <c r="D2114" s="130" t="inlineStr">
        <is>
          <t xml:space="preserve">Санкт-Петербург </t>
        </is>
      </c>
      <c r="E2114" s="130" t="n"/>
      <c r="F2114" s="130" t="inlineStr">
        <is>
          <t>АЗС</t>
        </is>
      </c>
      <c r="G2114" s="130" t="inlineStr">
        <is>
          <t>Газпромнефть</t>
        </is>
      </c>
      <c r="H2114" s="131" t="n"/>
      <c r="I2114" s="637" t="n">
        <v>10014</v>
      </c>
      <c r="J2114" s="637" t="inlineStr">
        <is>
          <t>GPN_10014</t>
        </is>
      </c>
      <c r="K2114" s="640" t="n">
        <v>3</v>
      </c>
      <c r="L2114" s="640" t="n">
        <v>1</v>
      </c>
      <c r="M2114" s="623" t="n">
        <v>3</v>
      </c>
      <c r="N2114" s="640" t="n"/>
      <c r="O2114" s="640">
        <f>IF(AND(N2114=1,L2114=1),K2114,"")</f>
        <v/>
      </c>
      <c r="P2114" s="642" t="inlineStr">
        <is>
          <t>Парголово, ул. Ленинградская, 89, лит.А</t>
        </is>
      </c>
      <c r="Q2114" s="640" t="inlineStr">
        <is>
          <t>60.116781</t>
        </is>
      </c>
      <c r="R2114" s="494" t="inlineStr">
        <is>
          <t>30.19085</t>
        </is>
      </c>
      <c r="S2114" s="387" t="n"/>
      <c r="T2114" s="387" t="n"/>
      <c r="U2114" s="436" t="n"/>
      <c r="V2114" s="387" t="n"/>
      <c r="W2114" s="387">
        <f>IF(AND(N2114=1,O2114&lt;&gt;""),C2114,"")</f>
        <v/>
      </c>
      <c r="X2114" s="387" t="n"/>
      <c r="Y2114" s="387" t="n"/>
    </row>
    <row r="2115" hidden="1" ht="16.05" customFormat="1" customHeight="1" s="126">
      <c r="A2115" s="125" t="n">
        <v>2736</v>
      </c>
      <c r="B2115" s="125" t="n"/>
      <c r="C2115" s="130" t="inlineStr">
        <is>
          <t>Санкт-Петербург</t>
        </is>
      </c>
      <c r="D2115" s="130" t="inlineStr">
        <is>
          <t xml:space="preserve">Санкт-Петербург </t>
        </is>
      </c>
      <c r="E2115" s="130" t="n"/>
      <c r="F2115" s="130" t="inlineStr">
        <is>
          <t>АЗС</t>
        </is>
      </c>
      <c r="G2115" s="130" t="inlineStr">
        <is>
          <t>Газпромнефть</t>
        </is>
      </c>
      <c r="H2115" s="131" t="n"/>
      <c r="I2115" s="637" t="n">
        <v>10015</v>
      </c>
      <c r="J2115" s="637" t="inlineStr">
        <is>
          <t>GPN_10015</t>
        </is>
      </c>
      <c r="K2115" s="640" t="n">
        <v>3</v>
      </c>
      <c r="L2115" s="640" t="n">
        <v>1</v>
      </c>
      <c r="M2115" s="623" t="n">
        <v>3</v>
      </c>
      <c r="N2115" s="640" t="n"/>
      <c r="O2115" s="640">
        <f>IF(AND(N2115=1,L2115=1),K2115,"")</f>
        <v/>
      </c>
      <c r="P2115" s="642" t="inlineStr">
        <is>
          <t>СПБ, Выборгское шоссе, 503</t>
        </is>
      </c>
      <c r="Q2115" s="640" t="inlineStr">
        <is>
          <t>60.099086</t>
        </is>
      </c>
      <c r="R2115" s="494" t="inlineStr">
        <is>
          <t>30.260352</t>
        </is>
      </c>
      <c r="S2115" s="387" t="n"/>
      <c r="T2115" s="387" t="n"/>
      <c r="U2115" s="436" t="n"/>
      <c r="V2115" s="387" t="n"/>
      <c r="W2115" s="387">
        <f>IF(AND(N2115=1,O2115&lt;&gt;""),C2115,"")</f>
        <v/>
      </c>
      <c r="X2115" s="387" t="n"/>
      <c r="Y2115" s="387" t="n"/>
    </row>
    <row r="2116" hidden="1" ht="16.05" customFormat="1" customHeight="1" s="126">
      <c r="A2116" s="125" t="n">
        <v>2737</v>
      </c>
      <c r="B2116" s="125" t="n"/>
      <c r="C2116" s="130" t="inlineStr">
        <is>
          <t>Санкт-Петербург</t>
        </is>
      </c>
      <c r="D2116" s="130" t="inlineStr">
        <is>
          <t xml:space="preserve">Санкт-Петербург </t>
        </is>
      </c>
      <c r="E2116" s="130" t="n"/>
      <c r="F2116" s="130" t="inlineStr">
        <is>
          <t>АЗС</t>
        </is>
      </c>
      <c r="G2116" s="130" t="inlineStr">
        <is>
          <t>Газпромнефть</t>
        </is>
      </c>
      <c r="H2116" s="131" t="n"/>
      <c r="I2116" s="637" t="n">
        <v>10016</v>
      </c>
      <c r="J2116" s="637" t="inlineStr">
        <is>
          <t>GPN_10016</t>
        </is>
      </c>
      <c r="K2116" s="640" t="n">
        <v>3</v>
      </c>
      <c r="L2116" s="640" t="n">
        <v>1</v>
      </c>
      <c r="M2116" s="623" t="n">
        <v>3</v>
      </c>
      <c r="N2116" s="640" t="n"/>
      <c r="O2116" s="640">
        <f>IF(AND(N2116=1,L2116=1),K2116,"")</f>
        <v/>
      </c>
      <c r="P2116" s="642" t="inlineStr">
        <is>
          <t>г. Ломоносов, ул. Победы, д..27</t>
        </is>
      </c>
      <c r="Q2116" s="640" t="inlineStr">
        <is>
          <t>59.901436</t>
        </is>
      </c>
      <c r="R2116" s="494" t="inlineStr">
        <is>
          <t>29.768543</t>
        </is>
      </c>
      <c r="S2116" s="387" t="n"/>
      <c r="T2116" s="387" t="n"/>
      <c r="U2116" s="436" t="n"/>
      <c r="V2116" s="387" t="n"/>
      <c r="W2116" s="387">
        <f>IF(AND(N2116=1,O2116&lt;&gt;""),C2116,"")</f>
        <v/>
      </c>
      <c r="X2116" s="387" t="n"/>
      <c r="Y2116" s="387" t="n"/>
    </row>
    <row r="2117" hidden="1" ht="16.05" customFormat="1" customHeight="1" s="126">
      <c r="A2117" s="125" t="n">
        <v>2738</v>
      </c>
      <c r="B2117" s="125" t="n"/>
      <c r="C2117" s="130" t="inlineStr">
        <is>
          <t>Санкт-Петербург</t>
        </is>
      </c>
      <c r="D2117" s="130" t="inlineStr">
        <is>
          <t xml:space="preserve">Санкт-Петербург </t>
        </is>
      </c>
      <c r="E2117" s="130" t="n"/>
      <c r="F2117" s="130" t="inlineStr">
        <is>
          <t>АЗС</t>
        </is>
      </c>
      <c r="G2117" s="130" t="inlineStr">
        <is>
          <t>Газпромнефть</t>
        </is>
      </c>
      <c r="H2117" s="131" t="n"/>
      <c r="I2117" s="637" t="n">
        <v>10017</v>
      </c>
      <c r="J2117" s="637" t="inlineStr">
        <is>
          <t>GPN_10017</t>
        </is>
      </c>
      <c r="K2117" s="640" t="n">
        <v>3</v>
      </c>
      <c r="L2117" s="640" t="n">
        <v>1</v>
      </c>
      <c r="M2117" s="623" t="n">
        <v>3</v>
      </c>
      <c r="N2117" s="640" t="n"/>
      <c r="O2117" s="640">
        <f>IF(AND(N2117=1,L2117=1),K2117,"")</f>
        <v/>
      </c>
      <c r="P2117" s="642" t="inlineStr">
        <is>
          <t>г. Санкт-петербург, Московское ш., д. 46, корп. 3</t>
        </is>
      </c>
      <c r="Q2117" s="640" t="inlineStr">
        <is>
          <t>59.819259</t>
        </is>
      </c>
      <c r="R2117" s="494" t="inlineStr">
        <is>
          <t>30.368015</t>
        </is>
      </c>
      <c r="S2117" s="387" t="n"/>
      <c r="T2117" s="387" t="n"/>
      <c r="U2117" s="436" t="n"/>
      <c r="V2117" s="387" t="n"/>
      <c r="W2117" s="387">
        <f>IF(AND(N2117=1,O2117&lt;&gt;""),C2117,"")</f>
        <v/>
      </c>
      <c r="X2117" s="387" t="n"/>
      <c r="Y2117" s="387" t="n"/>
    </row>
    <row r="2118" hidden="1" ht="16.05" customFormat="1" customHeight="1" s="126">
      <c r="A2118" s="125" t="n">
        <v>2739</v>
      </c>
      <c r="B2118" s="125" t="n"/>
      <c r="C2118" s="130" t="inlineStr">
        <is>
          <t>Санкт-Петербург</t>
        </is>
      </c>
      <c r="D2118" s="130" t="inlineStr">
        <is>
          <t xml:space="preserve">Санкт-Петербург </t>
        </is>
      </c>
      <c r="E2118" s="130" t="n"/>
      <c r="F2118" s="130" t="inlineStr">
        <is>
          <t>АЗС</t>
        </is>
      </c>
      <c r="G2118" s="130" t="inlineStr">
        <is>
          <t>Газпромнефть</t>
        </is>
      </c>
      <c r="H2118" s="131" t="n"/>
      <c r="I2118" s="637" t="n">
        <v>10018</v>
      </c>
      <c r="J2118" s="637" t="inlineStr">
        <is>
          <t>GPN_10018</t>
        </is>
      </c>
      <c r="K2118" s="640" t="n">
        <v>3</v>
      </c>
      <c r="L2118" s="640" t="n">
        <v>1</v>
      </c>
      <c r="M2118" s="623" t="n">
        <v>4</v>
      </c>
      <c r="N2118" s="640" t="n"/>
      <c r="O2118" s="640">
        <f>IF(AND(N2118=1,L2118=1),K2118,"")</f>
        <v/>
      </c>
      <c r="P2118" s="642" t="inlineStr">
        <is>
          <t>г. Санкт-Петербург, ул. Химиков, д.4</t>
        </is>
      </c>
      <c r="Q2118" s="640" t="inlineStr">
        <is>
          <t>59.966025</t>
        </is>
      </c>
      <c r="R2118" s="494" t="inlineStr">
        <is>
          <t>30.469399</t>
        </is>
      </c>
      <c r="S2118" s="387" t="n"/>
      <c r="T2118" s="387" t="n"/>
      <c r="U2118" s="436" t="n"/>
      <c r="V2118" s="387" t="n"/>
      <c r="W2118" s="387">
        <f>IF(AND(N2118=1,O2118&lt;&gt;""),C2118,"")</f>
        <v/>
      </c>
      <c r="X2118" s="387" t="n"/>
      <c r="Y2118" s="387" t="n"/>
    </row>
    <row r="2119" hidden="1" ht="16.05" customFormat="1" customHeight="1" s="126">
      <c r="A2119" s="125" t="n">
        <v>2740</v>
      </c>
      <c r="B2119" s="125" t="n"/>
      <c r="C2119" s="130" t="inlineStr">
        <is>
          <t>Санкт-Петербург</t>
        </is>
      </c>
      <c r="D2119" s="130" t="inlineStr">
        <is>
          <t xml:space="preserve">Санкт-Петербург </t>
        </is>
      </c>
      <c r="E2119" s="130" t="n"/>
      <c r="F2119" s="130" t="inlineStr">
        <is>
          <t>АЗС</t>
        </is>
      </c>
      <c r="G2119" s="130" t="inlineStr">
        <is>
          <t>Газпромнефть</t>
        </is>
      </c>
      <c r="H2119" s="131" t="n"/>
      <c r="I2119" s="637" t="n">
        <v>10019</v>
      </c>
      <c r="J2119" s="637" t="inlineStr">
        <is>
          <t>GPN_10019</t>
        </is>
      </c>
      <c r="K2119" s="640" t="n">
        <v>3</v>
      </c>
      <c r="L2119" s="640" t="n">
        <v>1</v>
      </c>
      <c r="M2119" s="623" t="n">
        <v>4</v>
      </c>
      <c r="N2119" s="640" t="n"/>
      <c r="O2119" s="640">
        <f>IF(AND(N2119=1,L2119=1),K2119,"")</f>
        <v/>
      </c>
      <c r="P2119" s="642" t="inlineStr">
        <is>
          <t>г. Санкт-Петербург, ул. Планерная, д.30А</t>
        </is>
      </c>
      <c r="Q2119" s="640" t="inlineStr">
        <is>
          <t>60.00832</t>
        </is>
      </c>
      <c r="R2119" s="494" t="inlineStr">
        <is>
          <t>30.235235</t>
        </is>
      </c>
      <c r="S2119" s="387" t="n"/>
      <c r="T2119" s="387" t="n"/>
      <c r="U2119" s="436" t="n"/>
      <c r="V2119" s="387" t="n"/>
      <c r="W2119" s="387">
        <f>IF(AND(N2119=1,O2119&lt;&gt;""),C2119,"")</f>
        <v/>
      </c>
      <c r="X2119" s="387" t="n"/>
      <c r="Y2119" s="387" t="n"/>
    </row>
    <row r="2120" hidden="1" ht="16.05" customFormat="1" customHeight="1" s="126">
      <c r="A2120" s="125" t="n">
        <v>2742</v>
      </c>
      <c r="B2120" s="125" t="n"/>
      <c r="C2120" s="130" t="inlineStr">
        <is>
          <t>Санкт-Петербург</t>
        </is>
      </c>
      <c r="D2120" s="130" t="inlineStr">
        <is>
          <t xml:space="preserve">Санкт-Петербург </t>
        </is>
      </c>
      <c r="E2120" s="130" t="n"/>
      <c r="F2120" s="130" t="inlineStr">
        <is>
          <t>АЗС</t>
        </is>
      </c>
      <c r="G2120" s="130" t="inlineStr">
        <is>
          <t>Газпромнефть</t>
        </is>
      </c>
      <c r="H2120" s="131" t="n"/>
      <c r="I2120" s="637" t="n">
        <v>10021</v>
      </c>
      <c r="J2120" s="637" t="inlineStr">
        <is>
          <t>GPN_10021</t>
        </is>
      </c>
      <c r="K2120" s="640" t="n">
        <v>3</v>
      </c>
      <c r="L2120" s="640" t="n">
        <v>1</v>
      </c>
      <c r="M2120" s="623" t="n">
        <v>3</v>
      </c>
      <c r="N2120" s="640" t="n"/>
      <c r="O2120" s="640">
        <f>IF(AND(N2120=1,L2120=1),K2120,"")</f>
        <v/>
      </c>
      <c r="P2120" s="642" t="inlineStr">
        <is>
          <t>г. Кронштадт, Крондштадтское ш., д.15 а</t>
        </is>
      </c>
      <c r="Q2120" s="640" t="inlineStr">
        <is>
          <t>60.00859</t>
        </is>
      </c>
      <c r="R2120" s="494" t="inlineStr">
        <is>
          <t>29.737128</t>
        </is>
      </c>
      <c r="S2120" s="387" t="n"/>
      <c r="T2120" s="387" t="n"/>
      <c r="U2120" s="436" t="n"/>
      <c r="V2120" s="387" t="n"/>
      <c r="W2120" s="387">
        <f>IF(AND(N2120=1,O2120&lt;&gt;""),C2120,"")</f>
        <v/>
      </c>
      <c r="X2120" s="387" t="n"/>
      <c r="Y2120" s="387" t="n"/>
    </row>
    <row r="2121" hidden="1" ht="16.05" customFormat="1" customHeight="1" s="126">
      <c r="A2121" s="125" t="n">
        <v>2743</v>
      </c>
      <c r="B2121" s="125" t="n"/>
      <c r="C2121" s="130" t="inlineStr">
        <is>
          <t>Санкт-Петербург</t>
        </is>
      </c>
      <c r="D2121" s="130" t="inlineStr">
        <is>
          <t xml:space="preserve">Санкт-Петербург </t>
        </is>
      </c>
      <c r="E2121" s="130" t="n"/>
      <c r="F2121" s="130" t="inlineStr">
        <is>
          <t>АЗС</t>
        </is>
      </c>
      <c r="G2121" s="130" t="inlineStr">
        <is>
          <t>Газпромнефть</t>
        </is>
      </c>
      <c r="H2121" s="131" t="n"/>
      <c r="I2121" s="637" t="n">
        <v>10022</v>
      </c>
      <c r="J2121" s="637" t="inlineStr">
        <is>
          <t>GPN_10022</t>
        </is>
      </c>
      <c r="K2121" s="640" t="n">
        <v>3</v>
      </c>
      <c r="L2121" s="640" t="n">
        <v>1</v>
      </c>
      <c r="M2121" s="623" t="n">
        <v>3</v>
      </c>
      <c r="N2121" s="640" t="n"/>
      <c r="O2121" s="640">
        <f>IF(AND(N2121=1,L2121=1),K2121,"")</f>
        <v/>
      </c>
      <c r="P2121" s="642" t="inlineStr">
        <is>
          <t>СПБ, ул. Полевая-Сабировская д. 56</t>
        </is>
      </c>
      <c r="Q2121" s="640" t="inlineStr">
        <is>
          <t>59.966025</t>
        </is>
      </c>
      <c r="R2121" s="494" t="inlineStr">
        <is>
          <t>30.469399</t>
        </is>
      </c>
      <c r="S2121" s="387" t="n"/>
      <c r="T2121" s="387" t="n"/>
      <c r="U2121" s="436" t="n"/>
      <c r="V2121" s="387" t="n"/>
      <c r="W2121" s="387">
        <f>IF(AND(N2121=1,O2121&lt;&gt;""),C2121,"")</f>
        <v/>
      </c>
      <c r="X2121" s="387" t="n"/>
      <c r="Y2121" s="387" t="n"/>
    </row>
    <row r="2122" hidden="1" ht="16.05" customFormat="1" customHeight="1" s="126">
      <c r="A2122" s="125" t="n">
        <v>2744</v>
      </c>
      <c r="B2122" s="125" t="n"/>
      <c r="C2122" s="130" t="inlineStr">
        <is>
          <t>Санкт-Петербург</t>
        </is>
      </c>
      <c r="D2122" s="130" t="inlineStr">
        <is>
          <t xml:space="preserve">Санкт-Петербург </t>
        </is>
      </c>
      <c r="E2122" s="130" t="n"/>
      <c r="F2122" s="130" t="inlineStr">
        <is>
          <t>АЗС</t>
        </is>
      </c>
      <c r="G2122" s="130" t="inlineStr">
        <is>
          <t>Газпромнефть</t>
        </is>
      </c>
      <c r="H2122" s="131" t="n"/>
      <c r="I2122" s="637" t="n">
        <v>10023</v>
      </c>
      <c r="J2122" s="637" t="inlineStr">
        <is>
          <t>GPN_10023</t>
        </is>
      </c>
      <c r="K2122" s="640" t="n">
        <v>3</v>
      </c>
      <c r="L2122" s="640" t="n">
        <v>1</v>
      </c>
      <c r="M2122" s="623" t="n">
        <v>3</v>
      </c>
      <c r="N2122" s="640" t="n"/>
      <c r="O2122" s="640">
        <f>IF(AND(N2122=1,L2122=1),K2122,"")</f>
        <v/>
      </c>
      <c r="P2122" s="642" t="inlineStr">
        <is>
          <t>СПБ, ул. Камышовая д. 21</t>
        </is>
      </c>
      <c r="Q2122" s="640" t="inlineStr">
        <is>
          <t>60.007708</t>
        </is>
      </c>
      <c r="R2122" s="422" t="inlineStr">
        <is>
          <t>30.242628</t>
        </is>
      </c>
      <c r="S2122" s="387" t="n"/>
      <c r="T2122" s="387" t="n"/>
      <c r="U2122" s="436" t="n"/>
      <c r="V2122" s="387" t="n"/>
      <c r="W2122" s="387">
        <f>IF(AND(N2122=1,O2122&lt;&gt;""),C2122,"")</f>
        <v/>
      </c>
      <c r="X2122" s="387" t="n"/>
      <c r="Y2122" s="387" t="n"/>
    </row>
    <row r="2123" hidden="1" ht="16.05" customFormat="1" customHeight="1" s="126">
      <c r="A2123" s="125" t="n">
        <v>2741</v>
      </c>
      <c r="B2123" s="125" t="n"/>
      <c r="C2123" s="130" t="inlineStr">
        <is>
          <t>Санкт-Петербург</t>
        </is>
      </c>
      <c r="D2123" s="130" t="inlineStr">
        <is>
          <t xml:space="preserve">Санкт-Петербург </t>
        </is>
      </c>
      <c r="E2123" s="130" t="n"/>
      <c r="F2123" s="130" t="inlineStr">
        <is>
          <t>АЗС</t>
        </is>
      </c>
      <c r="G2123" s="130" t="inlineStr">
        <is>
          <t>Газпромнефть</t>
        </is>
      </c>
      <c r="H2123" s="131" t="n"/>
      <c r="I2123" s="637" t="n">
        <v>10020</v>
      </c>
      <c r="J2123" s="637" t="inlineStr">
        <is>
          <t>GPN_10020</t>
        </is>
      </c>
      <c r="K2123" s="640" t="n">
        <v>3</v>
      </c>
      <c r="L2123" s="640" t="n">
        <v>1</v>
      </c>
      <c r="M2123" s="623" t="n">
        <v>3</v>
      </c>
      <c r="N2123" s="640" t="n"/>
      <c r="O2123" s="640">
        <f>IF(AND(N2123=1,L2123=1),K2123,"")</f>
        <v/>
      </c>
      <c r="P2123" s="642" t="inlineStr">
        <is>
          <t>г. Санкт-Петербург, ул. Десантников, д.21</t>
        </is>
      </c>
      <c r="Q2123" s="640" t="n">
        <v>59.853148</v>
      </c>
      <c r="R2123" s="422" t="n">
        <v>30.199132</v>
      </c>
      <c r="S2123" s="387" t="n"/>
      <c r="T2123" s="387" t="n"/>
      <c r="U2123" s="436" t="n"/>
      <c r="V2123" s="387" t="n"/>
      <c r="W2123" s="387">
        <f>IF(AND(N2123=1,O2123&lt;&gt;""),C2123,"")</f>
        <v/>
      </c>
      <c r="X2123" s="387" t="n"/>
      <c r="Y2123" s="1" t="n"/>
    </row>
    <row r="2124" hidden="1" ht="16.05" customFormat="1" customHeight="1" s="126">
      <c r="A2124" s="125" t="n">
        <v>2745</v>
      </c>
      <c r="B2124" s="125" t="n"/>
      <c r="C2124" s="130" t="inlineStr">
        <is>
          <t>Санкт-Петербург</t>
        </is>
      </c>
      <c r="D2124" s="130" t="inlineStr">
        <is>
          <t xml:space="preserve">Санкт-Петербург </t>
        </is>
      </c>
      <c r="E2124" s="130" t="n"/>
      <c r="F2124" s="130" t="inlineStr">
        <is>
          <t>АЗС</t>
        </is>
      </c>
      <c r="G2124" s="130" t="inlineStr">
        <is>
          <t>Газпромнефть</t>
        </is>
      </c>
      <c r="H2124" s="131" t="n"/>
      <c r="I2124" s="637" t="n">
        <v>10024</v>
      </c>
      <c r="J2124" s="637" t="inlineStr">
        <is>
          <t>GPN_10024</t>
        </is>
      </c>
      <c r="K2124" s="640" t="n">
        <v>3</v>
      </c>
      <c r="L2124" s="640" t="n">
        <v>1</v>
      </c>
      <c r="M2124" s="623" t="n">
        <v>6</v>
      </c>
      <c r="N2124" s="640" t="n"/>
      <c r="O2124" s="640">
        <f>IF(AND(N2124=1,L2124=1),K2124,"")</f>
        <v/>
      </c>
      <c r="P2124" s="642" t="inlineStr">
        <is>
          <t>ЛО, п. Усть- Славянка, Советский пр., д.55, корп. 1</t>
        </is>
      </c>
      <c r="Q2124" s="640" t="inlineStr">
        <is>
          <t>59.8242</t>
        </is>
      </c>
      <c r="R2124" s="494" t="inlineStr">
        <is>
          <t>30.55405</t>
        </is>
      </c>
      <c r="S2124" s="387" t="n"/>
      <c r="T2124" s="387" t="n"/>
      <c r="U2124" s="436" t="n"/>
      <c r="V2124" s="387" t="n"/>
      <c r="W2124" s="387">
        <f>IF(AND(N2124=1,O2124&lt;&gt;""),C2124,"")</f>
        <v/>
      </c>
      <c r="X2124" s="387" t="n"/>
      <c r="Y2124" s="387" t="n"/>
    </row>
    <row r="2125" hidden="1" ht="16.05" customFormat="1" customHeight="1" s="126">
      <c r="A2125" s="125" t="n">
        <v>2746</v>
      </c>
      <c r="B2125" s="125" t="n"/>
      <c r="C2125" s="130" t="inlineStr">
        <is>
          <t>Санкт-Петербург</t>
        </is>
      </c>
      <c r="D2125" s="130" t="inlineStr">
        <is>
          <t xml:space="preserve">Санкт-Петербург </t>
        </is>
      </c>
      <c r="E2125" s="130" t="n"/>
      <c r="F2125" s="130" t="inlineStr">
        <is>
          <t>АЗС</t>
        </is>
      </c>
      <c r="G2125" s="130" t="inlineStr">
        <is>
          <t>Газпромнефть</t>
        </is>
      </c>
      <c r="H2125" s="131" t="n"/>
      <c r="I2125" s="637" t="n">
        <v>10025</v>
      </c>
      <c r="J2125" s="637" t="inlineStr">
        <is>
          <t>GPN_10025</t>
        </is>
      </c>
      <c r="K2125" s="640" t="n">
        <v>3</v>
      </c>
      <c r="L2125" s="640" t="n">
        <v>1</v>
      </c>
      <c r="M2125" s="623" t="n">
        <v>6</v>
      </c>
      <c r="N2125" s="640" t="n"/>
      <c r="O2125" s="640">
        <f>IF(AND(N2125=1,L2125=1),K2125,"")</f>
        <v/>
      </c>
      <c r="P2125" s="642" t="inlineStr">
        <is>
          <t>п. Саперный, Петрозаводское ш., д.52</t>
        </is>
      </c>
      <c r="Q2125" s="640" t="inlineStr">
        <is>
          <t>59.77328</t>
        </is>
      </c>
      <c r="R2125" s="494" t="inlineStr">
        <is>
          <t>30.701856</t>
        </is>
      </c>
      <c r="S2125" s="387" t="n"/>
      <c r="T2125" s="387" t="n"/>
      <c r="U2125" s="436" t="n"/>
      <c r="V2125" s="387" t="n"/>
      <c r="W2125" s="387">
        <f>IF(AND(N2125=1,O2125&lt;&gt;""),C2125,"")</f>
        <v/>
      </c>
      <c r="X2125" s="387" t="n"/>
      <c r="Y2125" s="387" t="n"/>
    </row>
    <row r="2126" hidden="1" ht="16.05" customFormat="1" customHeight="1" s="126">
      <c r="A2126" s="125" t="n">
        <v>2747</v>
      </c>
      <c r="B2126" s="125" t="n"/>
      <c r="C2126" s="130" t="inlineStr">
        <is>
          <t>Санкт-Петербург</t>
        </is>
      </c>
      <c r="D2126" s="130" t="inlineStr">
        <is>
          <t xml:space="preserve">Санкт-Петербург </t>
        </is>
      </c>
      <c r="E2126" s="130" t="n"/>
      <c r="F2126" s="130" t="inlineStr">
        <is>
          <t>АЗС</t>
        </is>
      </c>
      <c r="G2126" s="130" t="inlineStr">
        <is>
          <t>Газпромнефть</t>
        </is>
      </c>
      <c r="H2126" s="131" t="n"/>
      <c r="I2126" s="637" t="n">
        <v>10026</v>
      </c>
      <c r="J2126" s="637" t="inlineStr">
        <is>
          <t>GPN_10026</t>
        </is>
      </c>
      <c r="K2126" s="640" t="n">
        <v>3</v>
      </c>
      <c r="L2126" s="640" t="n">
        <v>1</v>
      </c>
      <c r="M2126" s="623" t="n">
        <v>4</v>
      </c>
      <c r="N2126" s="640" t="n"/>
      <c r="O2126" s="640">
        <f>IF(AND(N2126=1,L2126=1),K2126,"")</f>
        <v/>
      </c>
      <c r="P2126" s="642" t="inlineStr">
        <is>
          <t>пр. Энгельса д.190, корп. 1</t>
        </is>
      </c>
      <c r="Q2126" s="640" t="inlineStr">
        <is>
          <t>60.087192</t>
        </is>
      </c>
      <c r="R2126" s="494" t="inlineStr">
        <is>
          <t>30.36082</t>
        </is>
      </c>
      <c r="S2126" s="387" t="n"/>
      <c r="T2126" s="387" t="n"/>
      <c r="U2126" s="436" t="n"/>
      <c r="V2126" s="387" t="n"/>
      <c r="W2126" s="387">
        <f>IF(AND(N2126=1,O2126&lt;&gt;""),C2126,"")</f>
        <v/>
      </c>
      <c r="X2126" s="387" t="n"/>
      <c r="Y2126" s="387" t="n"/>
    </row>
    <row r="2127" hidden="1" ht="16.05" customFormat="1" customHeight="1" s="126">
      <c r="A2127" s="125" t="n">
        <v>2748</v>
      </c>
      <c r="B2127" s="125" t="n"/>
      <c r="C2127" s="130" t="inlineStr">
        <is>
          <t>Санкт-Петербург</t>
        </is>
      </c>
      <c r="D2127" s="130" t="inlineStr">
        <is>
          <t xml:space="preserve">Санкт-Петербург </t>
        </is>
      </c>
      <c r="E2127" s="130" t="n"/>
      <c r="F2127" s="130" t="inlineStr">
        <is>
          <t>АЗС</t>
        </is>
      </c>
      <c r="G2127" s="130" t="inlineStr">
        <is>
          <t>Газпромнефть</t>
        </is>
      </c>
      <c r="H2127" s="131" t="n"/>
      <c r="I2127" s="637" t="n">
        <v>10028</v>
      </c>
      <c r="J2127" s="637" t="inlineStr">
        <is>
          <t>GPN_10028</t>
        </is>
      </c>
      <c r="K2127" s="640" t="n">
        <v>3</v>
      </c>
      <c r="L2127" s="640" t="n">
        <v>1</v>
      </c>
      <c r="M2127" s="623" t="n">
        <v>6</v>
      </c>
      <c r="N2127" s="640" t="n"/>
      <c r="O2127" s="640">
        <f>IF(AND(N2127=1,L2127=1),K2127,"")</f>
        <v/>
      </c>
      <c r="P2127" s="642" t="inlineStr">
        <is>
          <t>г. Ломоносов, Краснофлотское ш., д. 54</t>
        </is>
      </c>
      <c r="Q2127" s="640" t="inlineStr">
        <is>
          <t>59.924217</t>
        </is>
      </c>
      <c r="R2127" s="494" t="inlineStr">
        <is>
          <t>29.709389</t>
        </is>
      </c>
      <c r="S2127" s="387" t="n"/>
      <c r="T2127" s="387" t="n"/>
      <c r="U2127" s="436" t="n"/>
      <c r="V2127" s="387" t="n"/>
      <c r="W2127" s="387">
        <f>IF(AND(N2127=1,O2127&lt;&gt;""),C2127,"")</f>
        <v/>
      </c>
      <c r="X2127" s="387" t="n"/>
      <c r="Y2127" s="387" t="n"/>
    </row>
    <row r="2128" hidden="1" ht="16.05" customFormat="1" customHeight="1" s="126">
      <c r="A2128" s="125" t="n">
        <v>2749</v>
      </c>
      <c r="B2128" s="125" t="n"/>
      <c r="C2128" s="130" t="inlineStr">
        <is>
          <t>Санкт-Петербург</t>
        </is>
      </c>
      <c r="D2128" s="130" t="inlineStr">
        <is>
          <t xml:space="preserve">Санкт-Петербург </t>
        </is>
      </c>
      <c r="E2128" s="130" t="n"/>
      <c r="F2128" s="130" t="inlineStr">
        <is>
          <t>АЗС</t>
        </is>
      </c>
      <c r="G2128" s="130" t="inlineStr">
        <is>
          <t>Газпромнефть</t>
        </is>
      </c>
      <c r="H2128" s="131" t="n"/>
      <c r="I2128" s="637" t="n">
        <v>10029</v>
      </c>
      <c r="J2128" s="637" t="inlineStr">
        <is>
          <t>GPN_10029</t>
        </is>
      </c>
      <c r="K2128" s="640" t="n">
        <v>3</v>
      </c>
      <c r="L2128" s="640" t="n">
        <v>1</v>
      </c>
      <c r="M2128" s="623" t="n">
        <v>6</v>
      </c>
      <c r="N2128" s="640" t="n"/>
      <c r="O2128" s="640">
        <f>IF(AND(N2128=1,L2128=1),K2128,"")</f>
        <v/>
      </c>
      <c r="P2128" s="642" t="inlineStr">
        <is>
          <t>ЛО, г. Петродворец, ул. Астрономическая д. 11</t>
        </is>
      </c>
      <c r="Q2128" s="640" t="inlineStr">
        <is>
          <t>59.87495</t>
        </is>
      </c>
      <c r="R2128" s="494" t="inlineStr">
        <is>
          <t>29.806254</t>
        </is>
      </c>
      <c r="S2128" s="387" t="n"/>
      <c r="T2128" s="387" t="n"/>
      <c r="U2128" s="436" t="n"/>
      <c r="V2128" s="387" t="n"/>
      <c r="W2128" s="387">
        <f>IF(AND(N2128=1,O2128&lt;&gt;""),C2128,"")</f>
        <v/>
      </c>
      <c r="X2128" s="387" t="n"/>
      <c r="Y2128" s="387" t="n"/>
    </row>
    <row r="2129" hidden="1" ht="16.05" customFormat="1" customHeight="1" s="126">
      <c r="A2129" s="125" t="n">
        <v>2751</v>
      </c>
      <c r="B2129" s="125" t="n"/>
      <c r="C2129" s="130" t="inlineStr">
        <is>
          <t>Санкт-Петербург</t>
        </is>
      </c>
      <c r="D2129" s="130" t="inlineStr">
        <is>
          <t>Ленинградская область</t>
        </is>
      </c>
      <c r="E2129" s="130" t="n"/>
      <c r="F2129" s="130" t="inlineStr">
        <is>
          <t>АЗС</t>
        </is>
      </c>
      <c r="G2129" s="130" t="inlineStr">
        <is>
          <t>Газпромнефть</t>
        </is>
      </c>
      <c r="H2129" s="131" t="n"/>
      <c r="I2129" s="637" t="n">
        <v>10031</v>
      </c>
      <c r="J2129" s="637" t="inlineStr">
        <is>
          <t>GPN_10031</t>
        </is>
      </c>
      <c r="K2129" s="640" t="n">
        <v>3</v>
      </c>
      <c r="L2129" s="640" t="n">
        <v>1</v>
      </c>
      <c r="M2129" s="623" t="n">
        <v>5</v>
      </c>
      <c r="N2129" s="640" t="n"/>
      <c r="O2129" s="640">
        <f>IF(AND(N2129=1,L2129=1),K2129,"")</f>
        <v/>
      </c>
      <c r="P2129" s="642" t="inlineStr">
        <is>
          <t>транзит М-10 Новгородская обл., с. Едрово, 368 км+700 м (справа)</t>
        </is>
      </c>
      <c r="Q2129" s="640" t="inlineStr">
        <is>
          <t>57.92629</t>
        </is>
      </c>
      <c r="R2129" s="494" t="inlineStr">
        <is>
          <t>33.58067</t>
        </is>
      </c>
      <c r="S2129" s="387" t="n"/>
      <c r="T2129" s="387" t="n"/>
      <c r="U2129" s="436" t="n"/>
      <c r="V2129" s="387" t="n"/>
      <c r="W2129" s="387">
        <f>IF(AND(N2129=1,O2129&lt;&gt;""),C2129,"")</f>
        <v/>
      </c>
      <c r="X2129" s="387" t="n"/>
      <c r="Y2129" s="387" t="n"/>
    </row>
    <row r="2130" hidden="1" ht="16.05" customFormat="1" customHeight="1" s="126">
      <c r="A2130" s="125" t="n">
        <v>2752</v>
      </c>
      <c r="B2130" s="125" t="n"/>
      <c r="C2130" s="130" t="inlineStr">
        <is>
          <t>Санкт-Петербург</t>
        </is>
      </c>
      <c r="D2130" s="130" t="inlineStr">
        <is>
          <t>Ленинградская область</t>
        </is>
      </c>
      <c r="E2130" s="130" t="n"/>
      <c r="F2130" s="130" t="inlineStr">
        <is>
          <t>АЗС</t>
        </is>
      </c>
      <c r="G2130" s="130" t="inlineStr">
        <is>
          <t>Газпромнефть</t>
        </is>
      </c>
      <c r="H2130" s="131" t="n"/>
      <c r="I2130" s="637" t="n">
        <v>10032</v>
      </c>
      <c r="J2130" s="637" t="inlineStr">
        <is>
          <t>GPN_10032</t>
        </is>
      </c>
      <c r="K2130" s="640" t="n">
        <v>3</v>
      </c>
      <c r="L2130" s="640" t="n">
        <v>1</v>
      </c>
      <c r="M2130" s="623" t="n">
        <v>5</v>
      </c>
      <c r="N2130" s="640" t="n"/>
      <c r="O2130" s="640">
        <f>IF(AND(N2130=1,L2130=1),K2130,"")</f>
        <v/>
      </c>
      <c r="P2130" s="642" t="inlineStr">
        <is>
          <t>г.Валдай ул. Выскодно д.2.    Едрово, М10 (368 км, вблизи с. Едрово, слева)</t>
        </is>
      </c>
      <c r="Q2130" s="640" t="inlineStr">
        <is>
          <t>57.92759</t>
        </is>
      </c>
      <c r="R2130" s="494" t="inlineStr">
        <is>
          <t>33.58247</t>
        </is>
      </c>
      <c r="S2130" s="387" t="n"/>
      <c r="T2130" s="387" t="n"/>
      <c r="U2130" s="436" t="n"/>
      <c r="V2130" s="387" t="n"/>
      <c r="W2130" s="387">
        <f>IF(AND(N2130=1,O2130&lt;&gt;""),C2130,"")</f>
        <v/>
      </c>
      <c r="X2130" s="387" t="n"/>
      <c r="Y2130" s="387" t="n"/>
    </row>
    <row r="2131" hidden="1" ht="16.05" customFormat="1" customHeight="1" s="126">
      <c r="A2131" s="125" t="n">
        <v>2753</v>
      </c>
      <c r="B2131" s="125" t="n"/>
      <c r="C2131" s="130" t="inlineStr">
        <is>
          <t>Санкт-Петербург</t>
        </is>
      </c>
      <c r="D2131" s="130" t="inlineStr">
        <is>
          <t>Ленинградская область</t>
        </is>
      </c>
      <c r="E2131" s="130" t="n"/>
      <c r="F2131" s="130" t="inlineStr">
        <is>
          <t>АЗС</t>
        </is>
      </c>
      <c r="G2131" s="130" t="inlineStr">
        <is>
          <t>Газпромнефть</t>
        </is>
      </c>
      <c r="H2131" s="131" t="n"/>
      <c r="I2131" s="637" t="n">
        <v>10033</v>
      </c>
      <c r="J2131" s="637" t="inlineStr">
        <is>
          <t>GPN_10033</t>
        </is>
      </c>
      <c r="K2131" s="640" t="n">
        <v>3</v>
      </c>
      <c r="L2131" s="640" t="n">
        <v>1</v>
      </c>
      <c r="M2131" s="623" t="n">
        <v>6</v>
      </c>
      <c r="N2131" s="640" t="n"/>
      <c r="O2131" s="640">
        <f>IF(AND(N2131=1,L2131=1),K2131,"")</f>
        <v/>
      </c>
      <c r="P2131" s="642" t="inlineStr">
        <is>
          <t>г.Валдай ул. Выскодно д.2 Валдай, М10 (пересечение с Васильева))</t>
        </is>
      </c>
      <c r="Q2131" s="640" t="inlineStr">
        <is>
          <t>57.987805</t>
        </is>
      </c>
      <c r="R2131" s="494" t="inlineStr">
        <is>
          <t>33.200332</t>
        </is>
      </c>
      <c r="S2131" s="387" t="n"/>
      <c r="T2131" s="387" t="n"/>
      <c r="U2131" s="436" t="n"/>
      <c r="V2131" s="387" t="n"/>
      <c r="W2131" s="387">
        <f>IF(AND(N2131=1,O2131&lt;&gt;""),C2131,"")</f>
        <v/>
      </c>
      <c r="X2131" s="387" t="n"/>
      <c r="Y2131" s="387" t="n"/>
    </row>
    <row r="2132" hidden="1" ht="16.05" customFormat="1" customHeight="1" s="126">
      <c r="A2132" s="125" t="n">
        <v>2750</v>
      </c>
      <c r="B2132" s="125" t="n"/>
      <c r="C2132" s="130" t="inlineStr">
        <is>
          <t>Санкт-Петербург</t>
        </is>
      </c>
      <c r="D2132" s="130" t="inlineStr">
        <is>
          <t xml:space="preserve">Санкт-Петербург </t>
        </is>
      </c>
      <c r="E2132" s="130" t="n"/>
      <c r="F2132" s="130" t="inlineStr">
        <is>
          <t>АЗС</t>
        </is>
      </c>
      <c r="G2132" s="130" t="inlineStr">
        <is>
          <t>Газпромнефть</t>
        </is>
      </c>
      <c r="H2132" s="131" t="n"/>
      <c r="I2132" s="637" t="n">
        <v>10030</v>
      </c>
      <c r="J2132" s="402" t="inlineStr">
        <is>
          <t>GPN_10030</t>
        </is>
      </c>
      <c r="K2132" s="640" t="n">
        <v>2</v>
      </c>
      <c r="L2132" s="640" t="n">
        <v>0</v>
      </c>
      <c r="M2132" s="640" t="n">
        <v>2</v>
      </c>
      <c r="N2132" s="640" t="n"/>
      <c r="O2132" s="640">
        <f>IF(AND(N2132=1,L2132=1),K2132,"")</f>
        <v/>
      </c>
      <c r="P2132" s="642" t="inlineStr">
        <is>
          <t>г. Санкт-Петербург, ул. Маршала Говорова, д.41</t>
        </is>
      </c>
      <c r="Q2132" s="640" t="n">
        <v>59.896382</v>
      </c>
      <c r="R2132" s="422" t="n">
        <v>30.288434</v>
      </c>
      <c r="S2132" s="387" t="n"/>
      <c r="T2132" s="387" t="n"/>
      <c r="U2132" s="436" t="n"/>
      <c r="V2132" s="387" t="n"/>
      <c r="W2132" s="387">
        <f>IF(AND(N2132=1,O2132&lt;&gt;""),C2132,"")</f>
        <v/>
      </c>
      <c r="X2132" s="387" t="n"/>
      <c r="Y2132" s="1" t="n"/>
    </row>
    <row r="2133" hidden="1" ht="16.05" customFormat="1" customHeight="1" s="126">
      <c r="A2133" s="125" t="n">
        <v>2754</v>
      </c>
      <c r="B2133" s="125" t="n"/>
      <c r="C2133" s="130" t="inlineStr">
        <is>
          <t>Санкт-Петербург</t>
        </is>
      </c>
      <c r="D2133" s="130" t="inlineStr">
        <is>
          <t xml:space="preserve">Санкт-Петербург </t>
        </is>
      </c>
      <c r="E2133" s="130" t="n"/>
      <c r="F2133" s="130" t="inlineStr">
        <is>
          <t>АЗС</t>
        </is>
      </c>
      <c r="G2133" s="130" t="inlineStr">
        <is>
          <t>Газпромнефть</t>
        </is>
      </c>
      <c r="H2133" s="131" t="n"/>
      <c r="I2133" s="637" t="n">
        <v>10035</v>
      </c>
      <c r="J2133" s="637" t="inlineStr">
        <is>
          <t>GPN_10035</t>
        </is>
      </c>
      <c r="K2133" s="640" t="n">
        <v>3</v>
      </c>
      <c r="L2133" s="640" t="n">
        <v>1</v>
      </c>
      <c r="M2133" s="623" t="n">
        <v>6</v>
      </c>
      <c r="N2133" s="640" t="n"/>
      <c r="O2133" s="640">
        <f>IF(AND(N2133=1,L2133=1),K2133,"")</f>
        <v/>
      </c>
      <c r="P2133" s="642" t="inlineStr">
        <is>
          <t>пр. Королева д.51</t>
        </is>
      </c>
      <c r="Q2133" s="640" t="inlineStr">
        <is>
          <t>60.02534</t>
        </is>
      </c>
      <c r="R2133" s="494" t="inlineStr">
        <is>
          <t>30.250605</t>
        </is>
      </c>
      <c r="S2133" s="387" t="n"/>
      <c r="T2133" s="387" t="n"/>
      <c r="U2133" s="436" t="n"/>
      <c r="V2133" s="387" t="n"/>
      <c r="W2133" s="387">
        <f>IF(AND(N2133=1,O2133&lt;&gt;""),C2133,"")</f>
        <v/>
      </c>
      <c r="X2133" s="387" t="n"/>
      <c r="Y2133" s="387" t="n"/>
    </row>
    <row r="2134" hidden="1" ht="16.05" customFormat="1" customHeight="1" s="126">
      <c r="A2134" s="125" t="n">
        <v>2755</v>
      </c>
      <c r="B2134" s="125" t="n"/>
      <c r="C2134" s="130" t="inlineStr">
        <is>
          <t>Санкт-Петербург</t>
        </is>
      </c>
      <c r="D2134" s="130" t="inlineStr">
        <is>
          <t xml:space="preserve">Санкт-Петербург </t>
        </is>
      </c>
      <c r="E2134" s="130" t="n"/>
      <c r="F2134" s="130" t="inlineStr">
        <is>
          <t>АЗС</t>
        </is>
      </c>
      <c r="G2134" s="130" t="inlineStr">
        <is>
          <t>Газпромнефть</t>
        </is>
      </c>
      <c r="H2134" s="131" t="n"/>
      <c r="I2134" s="637" t="n">
        <v>10036</v>
      </c>
      <c r="J2134" s="637" t="inlineStr">
        <is>
          <t>GPN_10036</t>
        </is>
      </c>
      <c r="K2134" s="640" t="n">
        <v>3</v>
      </c>
      <c r="L2134" s="640" t="n">
        <v>1</v>
      </c>
      <c r="M2134" s="623" t="n">
        <v>4</v>
      </c>
      <c r="N2134" s="640" t="n"/>
      <c r="O2134" s="640">
        <f>IF(AND(N2134=1,L2134=1),K2134,"")</f>
        <v/>
      </c>
      <c r="P2134" s="642" t="inlineStr">
        <is>
          <t>г. Пушкин, Красносельское шоссе, д. 64</t>
        </is>
      </c>
      <c r="Q2134" s="640" t="inlineStr">
        <is>
          <t>59.703121</t>
        </is>
      </c>
      <c r="R2134" s="422" t="inlineStr">
        <is>
          <t>30.358808</t>
        </is>
      </c>
      <c r="S2134" s="387" t="n"/>
      <c r="T2134" s="387" t="n"/>
      <c r="U2134" s="436" t="n"/>
      <c r="V2134" s="387" t="n"/>
      <c r="W2134" s="387">
        <f>IF(AND(N2134=1,O2134&lt;&gt;""),C2134,"")</f>
        <v/>
      </c>
      <c r="X2134" s="387" t="n"/>
      <c r="Y2134" s="387" t="n"/>
    </row>
    <row r="2135" hidden="1" ht="16.05" customFormat="1" customHeight="1" s="126">
      <c r="A2135" s="125" t="n">
        <v>2756</v>
      </c>
      <c r="B2135" s="125" t="n"/>
      <c r="C2135" s="130" t="inlineStr">
        <is>
          <t>Санкт-Петербург</t>
        </is>
      </c>
      <c r="D2135" s="130" t="inlineStr">
        <is>
          <t xml:space="preserve">Санкт-Петербург </t>
        </is>
      </c>
      <c r="E2135" s="130" t="n"/>
      <c r="F2135" s="130" t="inlineStr">
        <is>
          <t>АЗС</t>
        </is>
      </c>
      <c r="G2135" s="130" t="inlineStr">
        <is>
          <t>Газпромнефть</t>
        </is>
      </c>
      <c r="H2135" s="131" t="n"/>
      <c r="I2135" s="637" t="n">
        <v>10037</v>
      </c>
      <c r="J2135" s="637" t="inlineStr">
        <is>
          <t>GPN_10037</t>
        </is>
      </c>
      <c r="K2135" s="640" t="n">
        <v>3</v>
      </c>
      <c r="L2135" s="640" t="n">
        <v>1</v>
      </c>
      <c r="M2135" s="623" t="n">
        <v>4</v>
      </c>
      <c r="N2135" s="640" t="n"/>
      <c r="O2135" s="640">
        <f>IF(AND(N2135=1,L2135=1),K2135,"")</f>
        <v/>
      </c>
      <c r="P2135" s="642" t="inlineStr">
        <is>
          <t>г. Колпино, Заводской пр, д. 17</t>
        </is>
      </c>
      <c r="Q2135" s="640" t="inlineStr">
        <is>
          <t>59.729917</t>
        </is>
      </c>
      <c r="R2135" s="494" t="inlineStr">
        <is>
          <t>30.579515</t>
        </is>
      </c>
      <c r="S2135" s="387" t="n"/>
      <c r="T2135" s="387" t="n"/>
      <c r="U2135" s="436" t="n"/>
      <c r="V2135" s="387" t="n"/>
      <c r="W2135" s="387">
        <f>IF(AND(N2135=1,O2135&lt;&gt;""),C2135,"")</f>
        <v/>
      </c>
      <c r="X2135" s="387" t="n"/>
      <c r="Y2135" s="387" t="n"/>
    </row>
    <row r="2136" hidden="1" ht="16.05" customFormat="1" customHeight="1" s="126">
      <c r="A2136" s="125" t="n">
        <v>2757</v>
      </c>
      <c r="B2136" s="125" t="n"/>
      <c r="C2136" s="130" t="inlineStr">
        <is>
          <t>Санкт-Петербург</t>
        </is>
      </c>
      <c r="D2136" s="130" t="inlineStr">
        <is>
          <t xml:space="preserve">Санкт-Петербург </t>
        </is>
      </c>
      <c r="E2136" s="130" t="n"/>
      <c r="F2136" s="130" t="inlineStr">
        <is>
          <t>АЗС</t>
        </is>
      </c>
      <c r="G2136" s="130" t="inlineStr">
        <is>
          <t>Газпромнефть</t>
        </is>
      </c>
      <c r="H2136" s="131" t="n"/>
      <c r="I2136" s="637" t="n">
        <v>10038</v>
      </c>
      <c r="J2136" s="637" t="inlineStr">
        <is>
          <t>GPN_10038</t>
        </is>
      </c>
      <c r="K2136" s="640" t="n">
        <v>3</v>
      </c>
      <c r="L2136" s="640" t="n">
        <v>1</v>
      </c>
      <c r="M2136" s="623" t="n">
        <v>3</v>
      </c>
      <c r="N2136" s="640" t="n"/>
      <c r="O2136" s="640">
        <f>IF(AND(N2136=1,L2136=1),K2136,"")</f>
        <v/>
      </c>
      <c r="P2136" s="642" t="inlineStr">
        <is>
          <t>г. Санкт-Петербург, ул.Потапова, д.7</t>
        </is>
      </c>
      <c r="Q2136" s="640" t="inlineStr">
        <is>
          <t>59.961512</t>
        </is>
      </c>
      <c r="R2136" s="422" t="inlineStr">
        <is>
          <t>30.470926</t>
        </is>
      </c>
      <c r="S2136" s="387" t="n"/>
      <c r="T2136" s="387" t="n"/>
      <c r="U2136" s="436" t="n"/>
      <c r="V2136" s="387" t="n"/>
      <c r="W2136" s="387">
        <f>IF(AND(N2136=1,O2136&lt;&gt;""),C2136,"")</f>
        <v/>
      </c>
      <c r="X2136" s="387" t="n"/>
      <c r="Y2136" s="387" t="n"/>
    </row>
    <row r="2137" hidden="1" ht="16.05" customFormat="1" customHeight="1" s="126">
      <c r="A2137" s="125" t="n">
        <v>2758</v>
      </c>
      <c r="B2137" s="125" t="n"/>
      <c r="C2137" s="130" t="inlineStr">
        <is>
          <t>Санкт-Петербург</t>
        </is>
      </c>
      <c r="D2137" s="130" t="inlineStr">
        <is>
          <t>Ленинградская область</t>
        </is>
      </c>
      <c r="E2137" s="130" t="n"/>
      <c r="F2137" s="130" t="inlineStr">
        <is>
          <t>АЗС</t>
        </is>
      </c>
      <c r="G2137" s="130" t="inlineStr">
        <is>
          <t>Газпромнефть</t>
        </is>
      </c>
      <c r="H2137" s="131" t="n"/>
      <c r="I2137" s="637" t="n">
        <v>10039</v>
      </c>
      <c r="J2137" s="637" t="inlineStr">
        <is>
          <t>GPN_10039</t>
        </is>
      </c>
      <c r="K2137" s="640" t="n">
        <v>3</v>
      </c>
      <c r="L2137" s="640" t="n">
        <v>1</v>
      </c>
      <c r="M2137" s="623" t="n">
        <v>3</v>
      </c>
      <c r="N2137" s="640" t="n"/>
      <c r="O2137" s="640">
        <f>IF(AND(N2137=1,L2137=1),K2137,"")</f>
        <v/>
      </c>
      <c r="P2137" s="642" t="inlineStr">
        <is>
          <t>Лен.обл.; Всеволожский р-н; 36 км +130 м автодороги «Санкт-Петербург – Парголово – Огоньки».</t>
        </is>
      </c>
      <c r="Q2137" s="640" t="inlineStr">
        <is>
          <t>60.19257</t>
        </is>
      </c>
      <c r="R2137" s="494" t="inlineStr">
        <is>
          <t>30.08504</t>
        </is>
      </c>
      <c r="S2137" s="387" t="n"/>
      <c r="T2137" s="387" t="n"/>
      <c r="U2137" s="436" t="n"/>
      <c r="V2137" s="387" t="n"/>
      <c r="W2137" s="387">
        <f>IF(AND(N2137=1,O2137&lt;&gt;""),C2137,"")</f>
        <v/>
      </c>
      <c r="X2137" s="387" t="n"/>
      <c r="Y2137" s="387" t="n"/>
    </row>
    <row r="2138" hidden="1" ht="16.05" customFormat="1" customHeight="1" s="126">
      <c r="A2138" s="125" t="n">
        <v>2759</v>
      </c>
      <c r="B2138" s="125" t="n"/>
      <c r="C2138" s="130" t="inlineStr">
        <is>
          <t>Санкт-Петербург</t>
        </is>
      </c>
      <c r="D2138" s="130" t="inlineStr">
        <is>
          <t>Ленинградская область</t>
        </is>
      </c>
      <c r="E2138" s="130" t="n"/>
      <c r="F2138" s="130" t="inlineStr">
        <is>
          <t>АЗС</t>
        </is>
      </c>
      <c r="G2138" s="130" t="inlineStr">
        <is>
          <t>Газпромнефть</t>
        </is>
      </c>
      <c r="H2138" s="131" t="n"/>
      <c r="I2138" s="637" t="n">
        <v>10040</v>
      </c>
      <c r="J2138" s="637" t="inlineStr">
        <is>
          <t>GPN_10040</t>
        </is>
      </c>
      <c r="K2138" s="640" t="n">
        <v>3</v>
      </c>
      <c r="L2138" s="640" t="n">
        <v>1</v>
      </c>
      <c r="M2138" s="623" t="n">
        <v>3</v>
      </c>
      <c r="N2138" s="640" t="n"/>
      <c r="O2138" s="640">
        <f>IF(AND(N2138=1,L2138=1),K2138,"")</f>
        <v/>
      </c>
      <c r="P2138" s="642" t="inlineStr">
        <is>
          <t>г. Луга,Ленинградское ш.д. 24-а</t>
        </is>
      </c>
      <c r="Q2138" s="640" t="inlineStr">
        <is>
          <t>58.765755</t>
        </is>
      </c>
      <c r="R2138" s="494" t="inlineStr">
        <is>
          <t>29.867084</t>
        </is>
      </c>
      <c r="S2138" s="387" t="n"/>
      <c r="T2138" s="387" t="n"/>
      <c r="U2138" s="436" t="n"/>
      <c r="V2138" s="387" t="n"/>
      <c r="W2138" s="387">
        <f>IF(AND(N2138=1,O2138&lt;&gt;""),C2138,"")</f>
        <v/>
      </c>
      <c r="X2138" s="387" t="n"/>
      <c r="Y2138" s="387" t="n"/>
    </row>
    <row r="2139" hidden="1" ht="16.05" customFormat="1" customHeight="1" s="126">
      <c r="A2139" s="125" t="n">
        <v>2760</v>
      </c>
      <c r="B2139" s="125" t="n"/>
      <c r="C2139" s="130" t="inlineStr">
        <is>
          <t>Санкт-Петербург</t>
        </is>
      </c>
      <c r="D2139" s="130" t="inlineStr">
        <is>
          <t>Ленинградская область</t>
        </is>
      </c>
      <c r="E2139" s="130" t="n"/>
      <c r="F2139" s="130" t="inlineStr">
        <is>
          <t>АЗС</t>
        </is>
      </c>
      <c r="G2139" s="130" t="inlineStr">
        <is>
          <t>Газпромнефть</t>
        </is>
      </c>
      <c r="H2139" s="131" t="n"/>
      <c r="I2139" s="637" t="n">
        <v>10045</v>
      </c>
      <c r="J2139" s="637" t="inlineStr">
        <is>
          <t>GPN_10045</t>
        </is>
      </c>
      <c r="K2139" s="640" t="n">
        <v>3</v>
      </c>
      <c r="L2139" s="640" t="n">
        <v>1</v>
      </c>
      <c r="M2139" s="623" t="n">
        <v>4</v>
      </c>
      <c r="N2139" s="640" t="n"/>
      <c r="O2139" s="640">
        <f>IF(AND(N2139=1,L2139=1),K2139,"")</f>
        <v/>
      </c>
      <c r="P2139" s="642" t="inlineStr">
        <is>
          <t>г. Приозерск, Ленинградское шоссе, д.84</t>
        </is>
      </c>
      <c r="Q2139" s="640" t="inlineStr">
        <is>
          <t xml:space="preserve"> 61.0159 </t>
        </is>
      </c>
      <c r="R2139" s="494" t="inlineStr">
        <is>
          <t>30.14588</t>
        </is>
      </c>
      <c r="S2139" s="387" t="n"/>
      <c r="T2139" s="387" t="n"/>
      <c r="U2139" s="436" t="n"/>
      <c r="V2139" s="387" t="n"/>
      <c r="W2139" s="387">
        <f>IF(AND(N2139=1,O2139&lt;&gt;""),C2139,"")</f>
        <v/>
      </c>
      <c r="X2139" s="387" t="n"/>
      <c r="Y2139" s="387" t="n"/>
    </row>
    <row r="2140" hidden="1" ht="16.05" customFormat="1" customHeight="1" s="126">
      <c r="A2140" s="125" t="n">
        <v>2761</v>
      </c>
      <c r="B2140" s="125" t="n"/>
      <c r="C2140" s="130" t="inlineStr">
        <is>
          <t>Санкт-Петербург</t>
        </is>
      </c>
      <c r="D2140" s="130" t="inlineStr">
        <is>
          <t xml:space="preserve">Санкт-Петербург </t>
        </is>
      </c>
      <c r="E2140" s="130" t="n"/>
      <c r="F2140" s="130" t="inlineStr">
        <is>
          <t>АЗС</t>
        </is>
      </c>
      <c r="G2140" s="130" t="inlineStr">
        <is>
          <t>Газпромнефть</t>
        </is>
      </c>
      <c r="H2140" s="131" t="n"/>
      <c r="I2140" s="637" t="n">
        <v>10046</v>
      </c>
      <c r="J2140" s="637" t="inlineStr">
        <is>
          <t>GPN_10046</t>
        </is>
      </c>
      <c r="K2140" s="640" t="n">
        <v>3</v>
      </c>
      <c r="L2140" s="640" t="n">
        <v>1</v>
      </c>
      <c r="M2140" s="623" t="n">
        <v>3</v>
      </c>
      <c r="N2140" s="640" t="n"/>
      <c r="O2140" s="640">
        <f>IF(AND(N2140=1,L2140=1),K2140,"")</f>
        <v/>
      </c>
      <c r="P2140" s="642" t="inlineStr">
        <is>
          <t>г. Санкт-Петербург; ул. Карпатская; д.№15.</t>
        </is>
      </c>
      <c r="Q2140" s="640" t="inlineStr">
        <is>
          <t>59.83532</t>
        </is>
      </c>
      <c r="R2140" s="494" t="inlineStr">
        <is>
          <t>30.43017</t>
        </is>
      </c>
      <c r="S2140" s="387" t="n"/>
      <c r="T2140" s="387" t="n"/>
      <c r="U2140" s="436" t="n"/>
      <c r="V2140" s="387" t="n"/>
      <c r="W2140" s="387">
        <f>IF(AND(N2140=1,O2140&lt;&gt;""),C2140,"")</f>
        <v/>
      </c>
      <c r="X2140" s="387" t="n"/>
      <c r="Y2140" s="387" t="n"/>
    </row>
    <row r="2141" hidden="1" ht="16.05" customFormat="1" customHeight="1" s="126">
      <c r="A2141" s="125" t="n">
        <v>2762</v>
      </c>
      <c r="B2141" s="125" t="n"/>
      <c r="C2141" s="130" t="inlineStr">
        <is>
          <t>Санкт-Петербург</t>
        </is>
      </c>
      <c r="D2141" s="130" t="inlineStr">
        <is>
          <t xml:space="preserve">Санкт-Петербург </t>
        </is>
      </c>
      <c r="E2141" s="130" t="n"/>
      <c r="F2141" s="130" t="inlineStr">
        <is>
          <t>АЗС</t>
        </is>
      </c>
      <c r="G2141" s="130" t="inlineStr">
        <is>
          <t>Газпромнефть</t>
        </is>
      </c>
      <c r="H2141" s="131" t="n"/>
      <c r="I2141" s="637" t="n">
        <v>10047</v>
      </c>
      <c r="J2141" s="637" t="inlineStr">
        <is>
          <t>GPN_10047</t>
        </is>
      </c>
      <c r="K2141" s="640" t="n">
        <v>3</v>
      </c>
      <c r="L2141" s="640" t="n">
        <v>1</v>
      </c>
      <c r="M2141" s="623" t="n">
        <v>3</v>
      </c>
      <c r="N2141" s="640" t="n"/>
      <c r="O2141" s="640">
        <f>IF(AND(N2141=1,L2141=1),K2141,"")</f>
        <v/>
      </c>
      <c r="P2141" s="642" t="inlineStr">
        <is>
          <t>г. Санкт-Петербург, ул. Кубинская, д.№75, корпус №3</t>
        </is>
      </c>
      <c r="Q2141" s="640" t="inlineStr">
        <is>
          <t>59.840304</t>
        </is>
      </c>
      <c r="R2141" s="494" t="inlineStr">
        <is>
          <t>30.29847</t>
        </is>
      </c>
      <c r="S2141" s="387" t="n"/>
      <c r="T2141" s="387" t="n"/>
      <c r="U2141" s="436" t="n"/>
      <c r="V2141" s="387" t="n"/>
      <c r="W2141" s="387">
        <f>IF(AND(N2141=1,O2141&lt;&gt;""),C2141,"")</f>
        <v/>
      </c>
      <c r="X2141" s="387" t="n"/>
      <c r="Y2141" s="387" t="n"/>
    </row>
    <row r="2142" hidden="1" ht="16.05" customFormat="1" customHeight="1" s="126">
      <c r="A2142" s="125" t="n">
        <v>2763</v>
      </c>
      <c r="B2142" s="125" t="n"/>
      <c r="C2142" s="130" t="inlineStr">
        <is>
          <t>Санкт-Петербург</t>
        </is>
      </c>
      <c r="D2142" s="130" t="inlineStr">
        <is>
          <t xml:space="preserve">Санкт-Петербург </t>
        </is>
      </c>
      <c r="E2142" s="130" t="n"/>
      <c r="F2142" s="130" t="inlineStr">
        <is>
          <t>АЗС</t>
        </is>
      </c>
      <c r="G2142" s="130" t="inlineStr">
        <is>
          <t>Газпромнефть</t>
        </is>
      </c>
      <c r="H2142" s="131" t="n"/>
      <c r="I2142" s="637" t="n">
        <v>10048</v>
      </c>
      <c r="J2142" s="637" t="inlineStr">
        <is>
          <t>GPN_10048</t>
        </is>
      </c>
      <c r="K2142" s="640" t="n">
        <v>3</v>
      </c>
      <c r="L2142" s="640" t="n">
        <v>1</v>
      </c>
      <c r="M2142" s="623" t="n">
        <v>4</v>
      </c>
      <c r="N2142" s="640" t="n"/>
      <c r="O2142" s="640">
        <f>IF(AND(N2142=1,L2142=1),K2142,"")</f>
        <v/>
      </c>
      <c r="P2142" s="642" t="inlineStr">
        <is>
          <t>Санкт-Петербург; Курортный р-н; п.Песочный; Белоостровское ш.; д.№13.</t>
        </is>
      </c>
      <c r="Q2142" s="640" t="inlineStr">
        <is>
          <t>60.12956</t>
        </is>
      </c>
      <c r="R2142" s="494" t="inlineStr">
        <is>
          <t>30.12129</t>
        </is>
      </c>
      <c r="S2142" s="387" t="n"/>
      <c r="T2142" s="387" t="n"/>
      <c r="U2142" s="436" t="n"/>
      <c r="V2142" s="387" t="n"/>
      <c r="W2142" s="387">
        <f>IF(AND(N2142=1,O2142&lt;&gt;""),C2142,"")</f>
        <v/>
      </c>
      <c r="X2142" s="387" t="n"/>
      <c r="Y2142" s="387" t="n"/>
    </row>
    <row r="2143" hidden="1" ht="16.05" customFormat="1" customHeight="1" s="126">
      <c r="A2143" s="125" t="n">
        <v>2764</v>
      </c>
      <c r="B2143" s="125" t="n"/>
      <c r="C2143" s="130" t="inlineStr">
        <is>
          <t>Санкт-Петербург</t>
        </is>
      </c>
      <c r="D2143" s="130" t="inlineStr">
        <is>
          <t xml:space="preserve">Санкт-Петербург </t>
        </is>
      </c>
      <c r="E2143" s="130" t="n"/>
      <c r="F2143" s="130" t="inlineStr">
        <is>
          <t>АЗС</t>
        </is>
      </c>
      <c r="G2143" s="130" t="inlineStr">
        <is>
          <t>Газпромнефть</t>
        </is>
      </c>
      <c r="H2143" s="131" t="n"/>
      <c r="I2143" s="637" t="n">
        <v>10052</v>
      </c>
      <c r="J2143" s="637" t="inlineStr">
        <is>
          <t>GPN_10052</t>
        </is>
      </c>
      <c r="K2143" s="640" t="n">
        <v>3</v>
      </c>
      <c r="L2143" s="640" t="n">
        <v>1</v>
      </c>
      <c r="M2143" s="623" t="n">
        <v>3</v>
      </c>
      <c r="N2143" s="640" t="n"/>
      <c r="O2143" s="640">
        <f>IF(AND(N2143=1,L2143=1),K2143,"")</f>
        <v/>
      </c>
      <c r="P2143" s="642" t="inlineStr">
        <is>
          <t>Лен.обл., г. Гатчина; между Киевским ш. и Пушкинским ш. (Киевское ш., 147А, Пушкин)</t>
        </is>
      </c>
      <c r="Q2143" s="640" t="inlineStr">
        <is>
          <t>59.680244</t>
        </is>
      </c>
      <c r="R2143" s="494" t="inlineStr">
        <is>
          <t>30.24337</t>
        </is>
      </c>
      <c r="S2143" s="387" t="n"/>
      <c r="T2143" s="387" t="n"/>
      <c r="U2143" s="436" t="n"/>
      <c r="V2143" s="387" t="n"/>
      <c r="W2143" s="387">
        <f>IF(AND(N2143=1,O2143&lt;&gt;""),C2143,"")</f>
        <v/>
      </c>
      <c r="X2143" s="387" t="n"/>
      <c r="Y2143" s="387" t="n"/>
    </row>
    <row r="2144" hidden="1" ht="16.05" customFormat="1" customHeight="1" s="126">
      <c r="A2144" s="125" t="n">
        <v>2765</v>
      </c>
      <c r="B2144" s="125" t="n"/>
      <c r="C2144" s="130" t="inlineStr">
        <is>
          <t>Санкт-Петербург</t>
        </is>
      </c>
      <c r="D2144" s="130" t="inlineStr">
        <is>
          <t xml:space="preserve">Санкт-Петербург </t>
        </is>
      </c>
      <c r="E2144" s="130" t="n"/>
      <c r="F2144" s="130" t="inlineStr">
        <is>
          <t>АЗС</t>
        </is>
      </c>
      <c r="G2144" s="130" t="inlineStr">
        <is>
          <t>Газпромнефть</t>
        </is>
      </c>
      <c r="H2144" s="131" t="n"/>
      <c r="I2144" s="637" t="n">
        <v>10055</v>
      </c>
      <c r="J2144" s="637" t="inlineStr">
        <is>
          <t>GPN_10055</t>
        </is>
      </c>
      <c r="K2144" s="640" t="n">
        <v>3</v>
      </c>
      <c r="L2144" s="640" t="n">
        <v>1</v>
      </c>
      <c r="M2144" s="623" t="n">
        <v>6</v>
      </c>
      <c r="N2144" s="640" t="n"/>
      <c r="O2144" s="640">
        <f>IF(AND(N2144=1,L2144=1),K2144,"")</f>
        <v/>
      </c>
      <c r="P2144" s="642" t="inlineStr">
        <is>
          <t>СПб, Придорожная аллея, д.28</t>
        </is>
      </c>
      <c r="Q2144" s="640" t="inlineStr">
        <is>
          <t>60.053409</t>
        </is>
      </c>
      <c r="R2144" s="494" t="inlineStr">
        <is>
          <t>30.3738</t>
        </is>
      </c>
      <c r="S2144" s="387" t="n"/>
      <c r="T2144" s="387" t="n"/>
      <c r="U2144" s="436" t="n"/>
      <c r="V2144" s="387" t="n"/>
      <c r="W2144" s="387">
        <f>IF(AND(N2144=1,O2144&lt;&gt;""),C2144,"")</f>
        <v/>
      </c>
      <c r="X2144" s="387" t="n"/>
      <c r="Y2144" s="387" t="n"/>
    </row>
    <row r="2145" hidden="1" ht="16.05" customFormat="1" customHeight="1" s="126">
      <c r="A2145" s="125" t="n">
        <v>2767</v>
      </c>
      <c r="B2145" s="125" t="n"/>
      <c r="C2145" s="130" t="inlineStr">
        <is>
          <t>Санкт-Петербург</t>
        </is>
      </c>
      <c r="D2145" s="130" t="inlineStr">
        <is>
          <t xml:space="preserve">Санкт-Петербург </t>
        </is>
      </c>
      <c r="E2145" s="130" t="n"/>
      <c r="F2145" s="130" t="inlineStr">
        <is>
          <t>АЗС</t>
        </is>
      </c>
      <c r="G2145" s="130" t="inlineStr">
        <is>
          <t>Газпромнефть</t>
        </is>
      </c>
      <c r="H2145" s="131" t="n"/>
      <c r="I2145" s="637" t="n">
        <v>10057</v>
      </c>
      <c r="J2145" s="637" t="inlineStr">
        <is>
          <t>GPN_10057</t>
        </is>
      </c>
      <c r="K2145" s="640" t="n">
        <v>3</v>
      </c>
      <c r="L2145" s="640" t="n">
        <v>1</v>
      </c>
      <c r="M2145" s="623" t="n">
        <v>3</v>
      </c>
      <c r="N2145" s="640" t="n"/>
      <c r="O2145" s="640">
        <f>IF(AND(N2145=1,L2145=1),K2145,"")</f>
        <v/>
      </c>
      <c r="P2145" s="642" t="inlineStr">
        <is>
          <t>г. Санкт-Петербург, ул. Стасовой, д.10</t>
        </is>
      </c>
      <c r="Q2145" s="640" t="inlineStr">
        <is>
          <t>59.96893</t>
        </is>
      </c>
      <c r="R2145" s="494" t="inlineStr">
        <is>
          <t>30.438353</t>
        </is>
      </c>
      <c r="S2145" s="387" t="n"/>
      <c r="T2145" s="387" t="n"/>
      <c r="U2145" s="436" t="n"/>
      <c r="V2145" s="387" t="n"/>
      <c r="W2145" s="387">
        <f>IF(AND(N2145=1,O2145&lt;&gt;""),C2145,"")</f>
        <v/>
      </c>
      <c r="X2145" s="387" t="n"/>
      <c r="Y2145" s="387" t="n"/>
    </row>
    <row r="2146" hidden="1" ht="16.05" customFormat="1" customHeight="1" s="126">
      <c r="A2146" s="125" t="n">
        <v>2768</v>
      </c>
      <c r="B2146" s="125" t="n"/>
      <c r="C2146" s="130" t="inlineStr">
        <is>
          <t>Санкт-Петербург</t>
        </is>
      </c>
      <c r="D2146" s="130" t="inlineStr">
        <is>
          <t>Ленинградская область</t>
        </is>
      </c>
      <c r="E2146" s="130" t="n"/>
      <c r="F2146" s="130" t="inlineStr">
        <is>
          <t>АЗС</t>
        </is>
      </c>
      <c r="G2146" s="130" t="inlineStr">
        <is>
          <t>Газпромнефть</t>
        </is>
      </c>
      <c r="H2146" s="131" t="n"/>
      <c r="I2146" s="637" t="n">
        <v>10058</v>
      </c>
      <c r="J2146" s="637" t="inlineStr">
        <is>
          <t>GPN_10058</t>
        </is>
      </c>
      <c r="K2146" s="640" t="n">
        <v>3</v>
      </c>
      <c r="L2146" s="640" t="n">
        <v>1</v>
      </c>
      <c r="M2146" s="623" t="n">
        <v>3</v>
      </c>
      <c r="N2146" s="640" t="n"/>
      <c r="O2146" s="640">
        <f>IF(AND(N2146=1,L2146=1),K2146,"")</f>
        <v/>
      </c>
      <c r="P2146" s="642" t="inlineStr">
        <is>
          <t>Лен. обл., г.Тосно, Московское ш., 649 км.</t>
        </is>
      </c>
      <c r="Q2146" s="640" t="inlineStr">
        <is>
          <t>59.56991</t>
        </is>
      </c>
      <c r="R2146" s="494" t="inlineStr">
        <is>
          <t>30.82703</t>
        </is>
      </c>
      <c r="S2146" s="387" t="n"/>
      <c r="T2146" s="387" t="n"/>
      <c r="U2146" s="436" t="n"/>
      <c r="V2146" s="387" t="n"/>
      <c r="W2146" s="387">
        <f>IF(AND(N2146=1,O2146&lt;&gt;""),C2146,"")</f>
        <v/>
      </c>
      <c r="X2146" s="387" t="n"/>
      <c r="Y2146" s="387" t="n"/>
    </row>
    <row r="2147" hidden="1" ht="16.05" customFormat="1" customHeight="1" s="126">
      <c r="A2147" s="125" t="n">
        <v>2769</v>
      </c>
      <c r="B2147" s="125" t="n"/>
      <c r="C2147" s="130" t="inlineStr">
        <is>
          <t>Санкт-Петербург</t>
        </is>
      </c>
      <c r="D2147" s="130" t="inlineStr">
        <is>
          <t>Ленинградская область</t>
        </is>
      </c>
      <c r="E2147" s="130" t="n"/>
      <c r="F2147" s="130" t="inlineStr">
        <is>
          <t>АЗС</t>
        </is>
      </c>
      <c r="G2147" s="130" t="inlineStr">
        <is>
          <t>Газпромнефть</t>
        </is>
      </c>
      <c r="H2147" s="131" t="n"/>
      <c r="I2147" s="637" t="n">
        <v>10059</v>
      </c>
      <c r="J2147" s="637" t="inlineStr">
        <is>
          <t>GPN_10059</t>
        </is>
      </c>
      <c r="K2147" s="640" t="n">
        <v>3</v>
      </c>
      <c r="L2147" s="640" t="n">
        <v>1</v>
      </c>
      <c r="M2147" s="623" t="n">
        <v>5</v>
      </c>
      <c r="N2147" s="640" t="n"/>
      <c r="O2147" s="640">
        <f>IF(AND(N2147=1,L2147=1),K2147,"")</f>
        <v/>
      </c>
      <c r="P2147" s="642" t="inlineStr">
        <is>
          <t>Лен. обл., г.Тихвин, ул.Карла Маркса, д.74</t>
        </is>
      </c>
      <c r="Q2147" s="640" t="inlineStr">
        <is>
          <t>59.641294</t>
        </is>
      </c>
      <c r="R2147" s="494" t="inlineStr">
        <is>
          <t>33.571372</t>
        </is>
      </c>
      <c r="S2147" s="387" t="n"/>
      <c r="T2147" s="387" t="n"/>
      <c r="U2147" s="436" t="n"/>
      <c r="V2147" s="387" t="n"/>
      <c r="W2147" s="387">
        <f>IF(AND(N2147=1,O2147&lt;&gt;""),C2147,"")</f>
        <v/>
      </c>
      <c r="X2147" s="387" t="n"/>
      <c r="Y2147" s="387" t="n"/>
    </row>
    <row r="2148" hidden="1" ht="16.05" customFormat="1" customHeight="1" s="126">
      <c r="A2148" s="125" t="n">
        <v>2766</v>
      </c>
      <c r="B2148" s="125" t="n"/>
      <c r="C2148" s="130" t="inlineStr">
        <is>
          <t>Санкт-Петербург</t>
        </is>
      </c>
      <c r="D2148" s="130" t="inlineStr">
        <is>
          <t xml:space="preserve">Санкт-Петербург </t>
        </is>
      </c>
      <c r="E2148" s="130" t="n"/>
      <c r="F2148" s="130" t="inlineStr">
        <is>
          <t>АЗС</t>
        </is>
      </c>
      <c r="G2148" s="130" t="inlineStr">
        <is>
          <t>Газпромнефть</t>
        </is>
      </c>
      <c r="H2148" s="131" t="n"/>
      <c r="I2148" s="637" t="n">
        <v>10056</v>
      </c>
      <c r="J2148" s="402" t="inlineStr">
        <is>
          <t>GPN_10056</t>
        </is>
      </c>
      <c r="K2148" s="640" t="n">
        <v>3</v>
      </c>
      <c r="L2148" s="640" t="n">
        <v>0</v>
      </c>
      <c r="M2148" s="640" t="n">
        <v>6</v>
      </c>
      <c r="N2148" s="640" t="n"/>
      <c r="O2148" s="640">
        <f>IF(AND(N2148=1,L2148=1),K2148,"")</f>
        <v/>
      </c>
      <c r="P2148" s="642" t="inlineStr">
        <is>
          <t>СПб, ул. Долгоозерная, д.30</t>
        </is>
      </c>
      <c r="Q2148" s="640" t="n">
        <v>60.022616</v>
      </c>
      <c r="R2148" s="422" t="n">
        <v>30.266551</v>
      </c>
      <c r="S2148" s="387" t="n"/>
      <c r="T2148" s="387" t="n"/>
      <c r="U2148" s="436" t="n"/>
      <c r="V2148" s="387" t="n"/>
      <c r="W2148" s="387">
        <f>IF(AND(N2148=1,O2148&lt;&gt;""),C2148,"")</f>
        <v/>
      </c>
      <c r="X2148" s="387" t="n"/>
      <c r="Y2148" s="1" t="n"/>
    </row>
    <row r="2149" hidden="1" ht="16.05" customFormat="1" customHeight="1" s="126">
      <c r="A2149" s="125" t="n">
        <v>2770</v>
      </c>
      <c r="B2149" s="125" t="n"/>
      <c r="C2149" s="130" t="inlineStr">
        <is>
          <t>Санкт-Петербург</t>
        </is>
      </c>
      <c r="D2149" s="130" t="inlineStr">
        <is>
          <t xml:space="preserve">Санкт-Петербург </t>
        </is>
      </c>
      <c r="E2149" s="130" t="n"/>
      <c r="F2149" s="130" t="inlineStr">
        <is>
          <t>АЗС</t>
        </is>
      </c>
      <c r="G2149" s="130" t="inlineStr">
        <is>
          <t>Газпромнефть</t>
        </is>
      </c>
      <c r="H2149" s="131" t="n"/>
      <c r="I2149" s="637" t="n">
        <v>10060</v>
      </c>
      <c r="J2149" s="637" t="inlineStr">
        <is>
          <t>GPN_10060</t>
        </is>
      </c>
      <c r="K2149" s="640" t="n">
        <v>3</v>
      </c>
      <c r="L2149" s="640" t="n">
        <v>1</v>
      </c>
      <c r="M2149" s="623" t="n">
        <v>5</v>
      </c>
      <c r="N2149" s="640" t="n"/>
      <c r="O2149" s="640">
        <f>IF(AND(N2149=1,L2149=1),K2149,"")</f>
        <v/>
      </c>
      <c r="P2149" s="642" t="inlineStr">
        <is>
          <t>Санкт-Петербург, г.Сестрорецк, Приморское ш., д.264, лит. А</t>
        </is>
      </c>
      <c r="Q2149" s="640" t="inlineStr">
        <is>
          <t>60.082471</t>
        </is>
      </c>
      <c r="R2149" s="494" t="inlineStr">
        <is>
          <t>29.957279</t>
        </is>
      </c>
      <c r="S2149" s="387" t="n"/>
      <c r="T2149" s="387" t="n"/>
      <c r="U2149" s="436" t="n"/>
      <c r="V2149" s="387" t="n"/>
      <c r="W2149" s="387">
        <f>IF(AND(N2149=1,O2149&lt;&gt;""),C2149,"")</f>
        <v/>
      </c>
      <c r="X2149" s="387" t="n"/>
      <c r="Y2149" s="387" t="n"/>
    </row>
    <row r="2150" hidden="1" ht="16.05" customFormat="1" customHeight="1" s="126">
      <c r="A2150" s="125" t="n">
        <v>2771</v>
      </c>
      <c r="B2150" s="125" t="n"/>
      <c r="C2150" s="130" t="inlineStr">
        <is>
          <t>Санкт-Петербург</t>
        </is>
      </c>
      <c r="D2150" s="130" t="inlineStr">
        <is>
          <t xml:space="preserve">Санкт-Петербург </t>
        </is>
      </c>
      <c r="E2150" s="130" t="n"/>
      <c r="F2150" s="130" t="inlineStr">
        <is>
          <t>АЗС</t>
        </is>
      </c>
      <c r="G2150" s="130" t="inlineStr">
        <is>
          <t>Газпромнефть</t>
        </is>
      </c>
      <c r="H2150" s="131" t="n"/>
      <c r="I2150" s="637" t="n">
        <v>10061</v>
      </c>
      <c r="J2150" s="637" t="inlineStr">
        <is>
          <t>GPN_10061</t>
        </is>
      </c>
      <c r="K2150" s="640" t="n">
        <v>3</v>
      </c>
      <c r="L2150" s="640" t="n">
        <v>1</v>
      </c>
      <c r="M2150" s="623" t="n">
        <v>3</v>
      </c>
      <c r="N2150" s="640" t="n"/>
      <c r="O2150" s="640">
        <f>IF(AND(N2150=1,L2150=1),K2150,"")</f>
        <v/>
      </c>
      <c r="P2150" s="642" t="inlineStr">
        <is>
          <t>г. Санкт-Петербург; ул. Малая Балканская; д. 51, корпус 6.</t>
        </is>
      </c>
      <c r="Q2150" s="640" t="inlineStr">
        <is>
          <t>59.82722</t>
        </is>
      </c>
      <c r="R2150" s="494" t="inlineStr">
        <is>
          <t>30.41842</t>
        </is>
      </c>
      <c r="S2150" s="387" t="n"/>
      <c r="T2150" s="387" t="n"/>
      <c r="U2150" s="436" t="n"/>
      <c r="V2150" s="387" t="n"/>
      <c r="W2150" s="387">
        <f>IF(AND(N2150=1,O2150&lt;&gt;""),C2150,"")</f>
        <v/>
      </c>
      <c r="X2150" s="387" t="n"/>
      <c r="Y2150" s="387" t="n"/>
    </row>
    <row r="2151" hidden="1" ht="16.05" customFormat="1" customHeight="1" s="126">
      <c r="A2151" s="125" t="n">
        <v>2772</v>
      </c>
      <c r="B2151" s="125" t="n"/>
      <c r="C2151" s="130" t="inlineStr">
        <is>
          <t>Санкт-Петербург</t>
        </is>
      </c>
      <c r="D2151" s="130" t="inlineStr">
        <is>
          <t>Ленинградская область</t>
        </is>
      </c>
      <c r="E2151" s="130" t="n"/>
      <c r="F2151" s="130" t="inlineStr">
        <is>
          <t>АЗС</t>
        </is>
      </c>
      <c r="G2151" s="130" t="inlineStr">
        <is>
          <t>Газпромнефть</t>
        </is>
      </c>
      <c r="H2151" s="131" t="n"/>
      <c r="I2151" s="637" t="n">
        <v>10063</v>
      </c>
      <c r="J2151" s="637" t="inlineStr">
        <is>
          <t>GPN_10063</t>
        </is>
      </c>
      <c r="K2151" s="640" t="n">
        <v>3</v>
      </c>
      <c r="L2151" s="640" t="n">
        <v>1</v>
      </c>
      <c r="M2151" s="623" t="n">
        <v>4</v>
      </c>
      <c r="N2151" s="640" t="n"/>
      <c r="O2151" s="640">
        <f>IF(AND(N2151=1,L2151=1),K2151,"")</f>
        <v/>
      </c>
      <c r="P2151" s="642" t="inlineStr">
        <is>
          <t>Всеволожск, ш. Дорога Жизни, 6 км+200м.</t>
        </is>
      </c>
      <c r="Q2151" s="640" t="inlineStr">
        <is>
          <t>60.01591</t>
        </is>
      </c>
      <c r="R2151" s="422" t="inlineStr">
        <is>
          <t>30.59181</t>
        </is>
      </c>
      <c r="S2151" s="387" t="n"/>
      <c r="T2151" s="387" t="n"/>
      <c r="U2151" s="436" t="n"/>
      <c r="V2151" s="387" t="n"/>
      <c r="W2151" s="387">
        <f>IF(AND(N2151=1,O2151&lt;&gt;""),C2151,"")</f>
        <v/>
      </c>
      <c r="X2151" s="387" t="n"/>
      <c r="Y2151" s="387" t="n"/>
    </row>
    <row r="2152" hidden="1" ht="16.05" customFormat="1" customHeight="1" s="126">
      <c r="A2152" s="125" t="n">
        <v>2773</v>
      </c>
      <c r="B2152" s="125" t="n"/>
      <c r="C2152" s="130" t="inlineStr">
        <is>
          <t>Санкт-Петербург</t>
        </is>
      </c>
      <c r="D2152" s="130" t="inlineStr">
        <is>
          <t xml:space="preserve">Санкт-Петербург </t>
        </is>
      </c>
      <c r="E2152" s="130" t="n"/>
      <c r="F2152" s="130" t="inlineStr">
        <is>
          <t>АЗС</t>
        </is>
      </c>
      <c r="G2152" s="130" t="inlineStr">
        <is>
          <t>Газпромнефть</t>
        </is>
      </c>
      <c r="H2152" s="131" t="n"/>
      <c r="I2152" s="637" t="n">
        <v>10065</v>
      </c>
      <c r="J2152" s="637" t="inlineStr">
        <is>
          <t>GPN_10065</t>
        </is>
      </c>
      <c r="K2152" s="640" t="n">
        <v>3</v>
      </c>
      <c r="L2152" s="640" t="n">
        <v>1</v>
      </c>
      <c r="M2152" s="623" t="n">
        <v>3</v>
      </c>
      <c r="N2152" s="640" t="n"/>
      <c r="O2152" s="640">
        <f>IF(AND(N2152=1,L2152=1),K2152,"")</f>
        <v/>
      </c>
      <c r="P2152" s="642" t="inlineStr">
        <is>
          <t>г. Санкт-Петербург; ул. Белградская; д.1.</t>
        </is>
      </c>
      <c r="Q2152" s="640" t="inlineStr">
        <is>
          <t>59.877967</t>
        </is>
      </c>
      <c r="R2152" s="494" t="inlineStr">
        <is>
          <t>30.352501</t>
        </is>
      </c>
      <c r="S2152" s="387" t="n"/>
      <c r="T2152" s="387" t="n"/>
      <c r="U2152" s="436" t="n"/>
      <c r="V2152" s="387" t="n"/>
      <c r="W2152" s="387">
        <f>IF(AND(N2152=1,O2152&lt;&gt;""),C2152,"")</f>
        <v/>
      </c>
      <c r="X2152" s="387" t="n"/>
      <c r="Y2152" s="387" t="n"/>
    </row>
    <row r="2153" hidden="1" ht="16.05" customFormat="1" customHeight="1" s="126">
      <c r="A2153" s="125" t="n">
        <v>2774</v>
      </c>
      <c r="B2153" s="125" t="n"/>
      <c r="C2153" s="130" t="inlineStr">
        <is>
          <t>Санкт-Петербург</t>
        </is>
      </c>
      <c r="D2153" s="130" t="inlineStr">
        <is>
          <t>Ленинградская область</t>
        </is>
      </c>
      <c r="E2153" s="130" t="n"/>
      <c r="F2153" s="130" t="inlineStr">
        <is>
          <t>АЗС</t>
        </is>
      </c>
      <c r="G2153" s="130" t="inlineStr">
        <is>
          <t>Газпромнефть</t>
        </is>
      </c>
      <c r="H2153" s="131" t="n"/>
      <c r="I2153" s="637" t="n">
        <v>10067</v>
      </c>
      <c r="J2153" s="637" t="inlineStr">
        <is>
          <t>GPN_10067</t>
        </is>
      </c>
      <c r="K2153" s="640" t="n">
        <v>1</v>
      </c>
      <c r="L2153" s="640" t="n">
        <v>1</v>
      </c>
      <c r="M2153" s="623" t="n">
        <v>1</v>
      </c>
      <c r="N2153" s="640" t="n"/>
      <c r="O2153" s="640">
        <f>IF(AND(N2153=1,L2153=1),K2153,"")</f>
        <v/>
      </c>
      <c r="P2153" s="642" t="inlineStr">
        <is>
          <t>Лен. Обл., Лужский р-н, Мшинская волость, у д. Сорочкино (Мшинское сельское поселение, Р-23, 103-й километр, корп. М)</t>
        </is>
      </c>
      <c r="Q2153" s="640" t="inlineStr">
        <is>
          <t>59.08563</t>
        </is>
      </c>
      <c r="R2153" s="494" t="inlineStr">
        <is>
          <t>29.91716</t>
        </is>
      </c>
      <c r="S2153" s="387" t="n"/>
      <c r="T2153" s="387" t="n"/>
      <c r="U2153" s="436" t="n"/>
      <c r="V2153" s="387" t="n"/>
      <c r="W2153" s="387">
        <f>IF(AND(N2153=1,O2153&lt;&gt;""),C2153,"")</f>
        <v/>
      </c>
      <c r="X2153" s="387" t="n"/>
      <c r="Y2153" s="387" t="n"/>
    </row>
    <row r="2154" hidden="1" ht="16.05" customFormat="1" customHeight="1" s="126">
      <c r="A2154" s="125" t="n">
        <v>2775</v>
      </c>
      <c r="B2154" s="125" t="n"/>
      <c r="C2154" s="130" t="inlineStr">
        <is>
          <t>Санкт-Петербург</t>
        </is>
      </c>
      <c r="D2154" s="130" t="inlineStr">
        <is>
          <t>Ленинградская область</t>
        </is>
      </c>
      <c r="E2154" s="130" t="n"/>
      <c r="F2154" s="130" t="inlineStr">
        <is>
          <t>АЗС</t>
        </is>
      </c>
      <c r="G2154" s="130" t="inlineStr">
        <is>
          <t>Газпромнефть</t>
        </is>
      </c>
      <c r="H2154" s="131" t="n"/>
      <c r="I2154" s="637" t="n">
        <v>10068</v>
      </c>
      <c r="J2154" s="637" t="inlineStr">
        <is>
          <t>GPN_10068</t>
        </is>
      </c>
      <c r="K2154" s="640" t="n">
        <v>3</v>
      </c>
      <c r="L2154" s="640" t="n">
        <v>1</v>
      </c>
      <c r="M2154" s="623" t="n">
        <v>3</v>
      </c>
      <c r="N2154" s="640" t="n"/>
      <c r="O2154" s="640">
        <f>IF(AND(N2154=1,L2154=1),K2154,"")</f>
        <v/>
      </c>
      <c r="P2154" s="642" t="inlineStr">
        <is>
          <t>Лен.обл.,Гатчинский р-н,вблизи пос.Войсковицы,промзона №1</t>
        </is>
      </c>
      <c r="Q2154" s="640" t="inlineStr">
        <is>
          <t>59.52247</t>
        </is>
      </c>
      <c r="R2154" s="494" t="inlineStr">
        <is>
          <t>29.96152</t>
        </is>
      </c>
      <c r="S2154" s="387" t="n"/>
      <c r="T2154" s="387" t="n"/>
      <c r="U2154" s="436" t="n"/>
      <c r="V2154" s="387" t="n"/>
      <c r="W2154" s="387">
        <f>IF(AND(N2154=1,O2154&lt;&gt;""),C2154,"")</f>
        <v/>
      </c>
      <c r="X2154" s="387" t="n"/>
      <c r="Y2154" s="387" t="n"/>
    </row>
    <row r="2155" hidden="1" ht="16.05" customFormat="1" customHeight="1" s="126">
      <c r="A2155" s="125" t="n">
        <v>2776</v>
      </c>
      <c r="B2155" s="125" t="n"/>
      <c r="C2155" s="130" t="inlineStr">
        <is>
          <t>Санкт-Петербург</t>
        </is>
      </c>
      <c r="D2155" s="130" t="inlineStr">
        <is>
          <t>Ленинградская область</t>
        </is>
      </c>
      <c r="E2155" s="130" t="n"/>
      <c r="F2155" s="130" t="inlineStr">
        <is>
          <t>АЗС</t>
        </is>
      </c>
      <c r="G2155" s="130" t="inlineStr">
        <is>
          <t>Газпромнефть</t>
        </is>
      </c>
      <c r="H2155" s="131" t="n"/>
      <c r="I2155" s="637" t="n">
        <v>10069</v>
      </c>
      <c r="J2155" s="637" t="inlineStr">
        <is>
          <t>GPN_10069</t>
        </is>
      </c>
      <c r="K2155" s="640" t="n">
        <v>1</v>
      </c>
      <c r="L2155" s="640" t="n">
        <v>1</v>
      </c>
      <c r="M2155" s="623" t="n">
        <v>1</v>
      </c>
      <c r="N2155" s="640" t="n"/>
      <c r="O2155" s="640">
        <f>IF(AND(N2155=1,L2155=1),K2155,"")</f>
        <v/>
      </c>
      <c r="P2155" s="642" t="inlineStr">
        <is>
          <t>Лен. Обл., Всеволожский район, г.п. им.Свердлова, на повороте автодороги СПб-Всеволожск</t>
        </is>
      </c>
      <c r="Q2155" s="640" t="inlineStr">
        <is>
          <t>59.7985</t>
        </is>
      </c>
      <c r="R2155" s="494" t="inlineStr">
        <is>
          <t>30.66636</t>
        </is>
      </c>
      <c r="S2155" s="387" t="n"/>
      <c r="T2155" s="387" t="n"/>
      <c r="U2155" s="436" t="n"/>
      <c r="V2155" s="387" t="n"/>
      <c r="W2155" s="387">
        <f>IF(AND(N2155=1,O2155&lt;&gt;""),C2155,"")</f>
        <v/>
      </c>
      <c r="X2155" s="387" t="n"/>
      <c r="Y2155" s="387" t="n"/>
    </row>
    <row r="2156" hidden="1" ht="16.05" customFormat="1" customHeight="1" s="126">
      <c r="A2156" s="125" t="n">
        <v>2777</v>
      </c>
      <c r="B2156" s="125" t="n"/>
      <c r="C2156" s="130" t="inlineStr">
        <is>
          <t>Санкт-Петербург</t>
        </is>
      </c>
      <c r="D2156" s="130" t="inlineStr">
        <is>
          <t xml:space="preserve">Санкт-Петербург </t>
        </is>
      </c>
      <c r="E2156" s="130" t="n"/>
      <c r="F2156" s="130" t="inlineStr">
        <is>
          <t>АЗС</t>
        </is>
      </c>
      <c r="G2156" s="130" t="inlineStr">
        <is>
          <t>Газпромнефть</t>
        </is>
      </c>
      <c r="H2156" s="131" t="n"/>
      <c r="I2156" s="637" t="n">
        <v>10070</v>
      </c>
      <c r="J2156" s="637" t="inlineStr">
        <is>
          <t>GPN_10070</t>
        </is>
      </c>
      <c r="K2156" s="640" t="n">
        <v>3</v>
      </c>
      <c r="L2156" s="640" t="n">
        <v>1</v>
      </c>
      <c r="M2156" s="623" t="n">
        <v>4</v>
      </c>
      <c r="N2156" s="640" t="n"/>
      <c r="O2156" s="640">
        <f>IF(AND(N2156=1,L2156=1),K2156,"")</f>
        <v/>
      </c>
      <c r="P2156" s="642" t="inlineStr">
        <is>
          <t>Спб.,ул. Седова д. 43/2 лит. А</t>
        </is>
      </c>
      <c r="Q2156" s="640" t="inlineStr">
        <is>
          <t>59.886081</t>
        </is>
      </c>
      <c r="R2156" s="494" t="inlineStr">
        <is>
          <t>30.421762</t>
        </is>
      </c>
      <c r="S2156" s="387" t="n"/>
      <c r="T2156" s="387" t="n"/>
      <c r="U2156" s="436" t="n"/>
      <c r="V2156" s="387" t="n"/>
      <c r="W2156" s="387">
        <f>IF(AND(N2156=1,O2156&lt;&gt;""),C2156,"")</f>
        <v/>
      </c>
      <c r="X2156" s="387" t="n"/>
      <c r="Y2156" s="387" t="n"/>
    </row>
    <row r="2157" hidden="1" ht="16.05" customFormat="1" customHeight="1" s="126">
      <c r="A2157" s="125" t="n">
        <v>2778</v>
      </c>
      <c r="B2157" s="125" t="n"/>
      <c r="C2157" s="130" t="inlineStr">
        <is>
          <t>Санкт-Петербург</t>
        </is>
      </c>
      <c r="D2157" s="130" t="inlineStr">
        <is>
          <t xml:space="preserve">Санкт-Петербург </t>
        </is>
      </c>
      <c r="E2157" s="130" t="n"/>
      <c r="F2157" s="130" t="inlineStr">
        <is>
          <t>АЗС</t>
        </is>
      </c>
      <c r="G2157" s="130" t="inlineStr">
        <is>
          <t>Газпромнефть</t>
        </is>
      </c>
      <c r="H2157" s="131" t="n"/>
      <c r="I2157" s="637" t="n">
        <v>10071</v>
      </c>
      <c r="J2157" s="637" t="inlineStr">
        <is>
          <t>GPN_10071</t>
        </is>
      </c>
      <c r="K2157" s="640" t="n">
        <v>3</v>
      </c>
      <c r="L2157" s="640" t="n">
        <v>1</v>
      </c>
      <c r="M2157" s="623" t="n">
        <v>4</v>
      </c>
      <c r="N2157" s="640" t="n"/>
      <c r="O2157" s="640">
        <f>IF(AND(N2157=1,L2157=1),K2157,"")</f>
        <v/>
      </c>
      <c r="P2157" s="642" t="inlineStr">
        <is>
          <t>Санкт-Петербург, ул. Матюшенко, д.3 лит. А.</t>
        </is>
      </c>
      <c r="Q2157" s="640" t="inlineStr">
        <is>
          <t>59.878554</t>
        </is>
      </c>
      <c r="R2157" s="494" t="inlineStr">
        <is>
          <t>30.446232</t>
        </is>
      </c>
      <c r="S2157" s="387" t="n"/>
      <c r="T2157" s="387" t="n"/>
      <c r="U2157" s="436" t="n"/>
      <c r="V2157" s="387" t="n"/>
      <c r="W2157" s="387">
        <f>IF(AND(N2157=1,O2157&lt;&gt;""),C2157,"")</f>
        <v/>
      </c>
      <c r="X2157" s="387" t="n"/>
      <c r="Y2157" s="387" t="n"/>
    </row>
    <row r="2158" hidden="1" ht="16.05" customFormat="1" customHeight="1" s="126">
      <c r="A2158" s="125" t="n">
        <v>2779</v>
      </c>
      <c r="B2158" s="125" t="n"/>
      <c r="C2158" s="130" t="inlineStr">
        <is>
          <t>Санкт-Петербург</t>
        </is>
      </c>
      <c r="D2158" s="130" t="inlineStr">
        <is>
          <t>Ленинградская область</t>
        </is>
      </c>
      <c r="E2158" s="130" t="n"/>
      <c r="F2158" s="130" t="inlineStr">
        <is>
          <t>АЗС</t>
        </is>
      </c>
      <c r="G2158" s="130" t="inlineStr">
        <is>
          <t>Газпромнефть</t>
        </is>
      </c>
      <c r="H2158" s="131" t="n"/>
      <c r="I2158" s="637" t="n">
        <v>10072</v>
      </c>
      <c r="J2158" s="637" t="inlineStr">
        <is>
          <t>GPN_10072</t>
        </is>
      </c>
      <c r="K2158" s="640" t="n">
        <v>3</v>
      </c>
      <c r="L2158" s="640" t="n">
        <v>1</v>
      </c>
      <c r="M2158" s="623" t="n">
        <v>5</v>
      </c>
      <c r="N2158" s="640" t="n"/>
      <c r="O2158" s="640">
        <f>IF(AND(N2158=1,L2158=1),K2158,"")</f>
        <v/>
      </c>
      <c r="P2158" s="642" t="inlineStr">
        <is>
          <t>Новгородская обл. г.В.Новгород на пересечении ул.Радищева (улица Радищева, 2А)</t>
        </is>
      </c>
      <c r="Q2158" s="640" t="inlineStr">
        <is>
          <t>58.56196</t>
        </is>
      </c>
      <c r="R2158" s="494" t="inlineStr">
        <is>
          <t>31.27495</t>
        </is>
      </c>
      <c r="S2158" s="387" t="n"/>
      <c r="T2158" s="387" t="n"/>
      <c r="U2158" s="436" t="n"/>
      <c r="V2158" s="387" t="n"/>
      <c r="W2158" s="387">
        <f>IF(AND(N2158=1,O2158&lt;&gt;""),C2158,"")</f>
        <v/>
      </c>
      <c r="X2158" s="387" t="n"/>
      <c r="Y2158" s="387" t="n"/>
    </row>
    <row r="2159" hidden="1" ht="16.05" customFormat="1" customHeight="1" s="126">
      <c r="A2159" s="125" t="n">
        <v>2780</v>
      </c>
      <c r="B2159" s="125" t="n"/>
      <c r="C2159" s="130" t="inlineStr">
        <is>
          <t>Санкт-Петербург</t>
        </is>
      </c>
      <c r="D2159" s="130" t="inlineStr">
        <is>
          <t>Ленинградская область</t>
        </is>
      </c>
      <c r="E2159" s="130" t="n"/>
      <c r="F2159" s="130" t="inlineStr">
        <is>
          <t>АЗС</t>
        </is>
      </c>
      <c r="G2159" s="130" t="inlineStr">
        <is>
          <t>Газпромнефть</t>
        </is>
      </c>
      <c r="H2159" s="131" t="n"/>
      <c r="I2159" s="637" t="n">
        <v>10073</v>
      </c>
      <c r="J2159" s="637" t="inlineStr">
        <is>
          <t>GPN_10073</t>
        </is>
      </c>
      <c r="K2159" s="640" t="n">
        <v>1</v>
      </c>
      <c r="L2159" s="640" t="n">
        <v>1</v>
      </c>
      <c r="M2159" s="623" t="n">
        <v>1</v>
      </c>
      <c r="N2159" s="640" t="n"/>
      <c r="O2159" s="640">
        <f>IF(AND(N2159=1,L2159=1),K2159,"")</f>
        <v/>
      </c>
      <c r="P2159" s="642" t="inlineStr">
        <is>
          <t>Новгородская обл. г.В.Новгород на пересечении ул.Державина (улица Державина, 1к2)</t>
        </is>
      </c>
      <c r="Q2159" s="640" t="inlineStr">
        <is>
          <t>58.548618</t>
        </is>
      </c>
      <c r="R2159" s="494" t="inlineStr">
        <is>
          <t>31.29579</t>
        </is>
      </c>
      <c r="S2159" s="387" t="n"/>
      <c r="T2159" s="387" t="n"/>
      <c r="U2159" s="436" t="n"/>
      <c r="V2159" s="387" t="n"/>
      <c r="W2159" s="387">
        <f>IF(AND(N2159=1,O2159&lt;&gt;""),C2159,"")</f>
        <v/>
      </c>
      <c r="X2159" s="387" t="n"/>
      <c r="Y2159" s="387" t="n"/>
    </row>
    <row r="2160" hidden="1" ht="16.05" customFormat="1" customHeight="1" s="126">
      <c r="A2160" s="125" t="n">
        <v>2781</v>
      </c>
      <c r="B2160" s="125" t="n"/>
      <c r="C2160" s="130" t="inlineStr">
        <is>
          <t>Санкт-Петербург</t>
        </is>
      </c>
      <c r="D2160" s="130" t="inlineStr">
        <is>
          <t>Ленинградская область</t>
        </is>
      </c>
      <c r="E2160" s="130" t="n"/>
      <c r="F2160" s="130" t="inlineStr">
        <is>
          <t>АЗС</t>
        </is>
      </c>
      <c r="G2160" s="130" t="inlineStr">
        <is>
          <t>Газпромнефть</t>
        </is>
      </c>
      <c r="H2160" s="131" t="n"/>
      <c r="I2160" s="637" t="n">
        <v>10074</v>
      </c>
      <c r="J2160" s="637" t="inlineStr">
        <is>
          <t>GPN_10074</t>
        </is>
      </c>
      <c r="K2160" s="640" t="n">
        <v>3</v>
      </c>
      <c r="L2160" s="640" t="n">
        <v>1</v>
      </c>
      <c r="M2160" s="623" t="n">
        <v>3</v>
      </c>
      <c r="N2160" s="640" t="n"/>
      <c r="O2160" s="640">
        <f>IF(AND(N2160=1,L2160=1),K2160,"")</f>
        <v/>
      </c>
      <c r="P2160" s="642" t="inlineStr">
        <is>
          <t>Лен. Обл., г.Кингисепп, Криковское шоссе, д.28</t>
        </is>
      </c>
      <c r="Q2160" s="640" t="inlineStr">
        <is>
          <t>59.39101</t>
        </is>
      </c>
      <c r="R2160" s="494" t="inlineStr">
        <is>
          <t>28.60798</t>
        </is>
      </c>
      <c r="S2160" s="387" t="n"/>
      <c r="T2160" s="387" t="n"/>
      <c r="U2160" s="436" t="n"/>
      <c r="V2160" s="387" t="n"/>
      <c r="W2160" s="387">
        <f>IF(AND(N2160=1,O2160&lt;&gt;""),C2160,"")</f>
        <v/>
      </c>
      <c r="X2160" s="387" t="n"/>
      <c r="Y2160" s="387" t="n"/>
    </row>
    <row r="2161" hidden="1" ht="16.05" customFormat="1" customHeight="1" s="126">
      <c r="A2161" s="125" t="n">
        <v>2782</v>
      </c>
      <c r="B2161" s="125" t="n"/>
      <c r="C2161" s="130" t="inlineStr">
        <is>
          <t>Санкт-Петербург</t>
        </is>
      </c>
      <c r="D2161" s="130" t="inlineStr">
        <is>
          <t xml:space="preserve">Санкт-Петербург </t>
        </is>
      </c>
      <c r="E2161" s="130" t="n"/>
      <c r="F2161" s="130" t="inlineStr">
        <is>
          <t>АЗС</t>
        </is>
      </c>
      <c r="G2161" s="130" t="inlineStr">
        <is>
          <t>Газпромнефть</t>
        </is>
      </c>
      <c r="H2161" s="131" t="n"/>
      <c r="I2161" s="637" t="n">
        <v>10075</v>
      </c>
      <c r="J2161" s="637" t="inlineStr">
        <is>
          <t>GPN_10075</t>
        </is>
      </c>
      <c r="K2161" s="640" t="n">
        <v>3</v>
      </c>
      <c r="L2161" s="640" t="n">
        <v>1</v>
      </c>
      <c r="M2161" s="623" t="n">
        <v>4</v>
      </c>
      <c r="N2161" s="640" t="n"/>
      <c r="O2161" s="640">
        <f>IF(AND(N2161=1,L2161=1),K2161,"")</f>
        <v/>
      </c>
      <c r="P2161" s="642" t="inlineStr">
        <is>
          <t>Санкт-Петербург, п.Шушары, Витебский проспект, д.145</t>
        </is>
      </c>
      <c r="Q2161" s="640" t="inlineStr">
        <is>
          <t>59.79671</t>
        </is>
      </c>
      <c r="R2161" s="422" t="inlineStr">
        <is>
          <t>30.390141</t>
        </is>
      </c>
      <c r="S2161" s="387" t="n"/>
      <c r="T2161" s="387" t="n"/>
      <c r="U2161" s="436" t="n"/>
      <c r="V2161" s="387" t="n"/>
      <c r="W2161" s="387">
        <f>IF(AND(N2161=1,O2161&lt;&gt;""),C2161,"")</f>
        <v/>
      </c>
      <c r="X2161" s="387" t="n"/>
      <c r="Y2161" s="387" t="n"/>
    </row>
    <row r="2162" hidden="1" ht="16.05" customFormat="1" customHeight="1" s="126">
      <c r="A2162" s="125" t="n">
        <v>2783</v>
      </c>
      <c r="B2162" s="125" t="n"/>
      <c r="C2162" s="130" t="inlineStr">
        <is>
          <t>Санкт-Петербург</t>
        </is>
      </c>
      <c r="D2162" s="130" t="inlineStr">
        <is>
          <t xml:space="preserve">Санкт-Петербург </t>
        </is>
      </c>
      <c r="E2162" s="130" t="n"/>
      <c r="F2162" s="130" t="inlineStr">
        <is>
          <t>АЗС</t>
        </is>
      </c>
      <c r="G2162" s="130" t="inlineStr">
        <is>
          <t>Газпромнефть</t>
        </is>
      </c>
      <c r="H2162" s="131" t="n"/>
      <c r="I2162" s="637" t="n">
        <v>10076</v>
      </c>
      <c r="J2162" s="637" t="inlineStr">
        <is>
          <t>GPN_10076</t>
        </is>
      </c>
      <c r="K2162" s="640" t="n">
        <v>3</v>
      </c>
      <c r="L2162" s="640" t="n">
        <v>1</v>
      </c>
      <c r="M2162" s="623" t="n">
        <v>4</v>
      </c>
      <c r="N2162" s="640" t="n"/>
      <c r="O2162" s="640">
        <f>IF(AND(N2162=1,L2162=1),K2162,"")</f>
        <v/>
      </c>
      <c r="P2162" s="642" t="inlineStr">
        <is>
          <t>Санкт-Петербург, п.Шушары, Витебский проспект, д. 138</t>
        </is>
      </c>
      <c r="Q2162" s="640" t="inlineStr">
        <is>
          <t>59.787754</t>
        </is>
      </c>
      <c r="R2162" s="494" t="inlineStr">
        <is>
          <t>30.394453</t>
        </is>
      </c>
      <c r="S2162" s="387" t="n"/>
      <c r="T2162" s="387" t="n"/>
      <c r="U2162" s="436" t="n"/>
      <c r="V2162" s="387" t="n"/>
      <c r="W2162" s="387">
        <f>IF(AND(N2162=1,O2162&lt;&gt;""),C2162,"")</f>
        <v/>
      </c>
      <c r="X2162" s="387" t="n"/>
      <c r="Y2162" s="387" t="n"/>
    </row>
    <row r="2163" hidden="1" ht="16.05" customFormat="1" customHeight="1" s="126">
      <c r="A2163" s="125" t="n">
        <v>2784</v>
      </c>
      <c r="B2163" s="125" t="n"/>
      <c r="C2163" s="130" t="inlineStr">
        <is>
          <t>Санкт-Петербург</t>
        </is>
      </c>
      <c r="D2163" s="130" t="inlineStr">
        <is>
          <t>Ленинградская область</t>
        </is>
      </c>
      <c r="E2163" s="130" t="n"/>
      <c r="F2163" s="130" t="inlineStr">
        <is>
          <t>АЗС</t>
        </is>
      </c>
      <c r="G2163" s="130" t="inlineStr">
        <is>
          <t>Газпромнефть</t>
        </is>
      </c>
      <c r="H2163" s="131" t="n"/>
      <c r="I2163" s="637" t="n">
        <v>10077</v>
      </c>
      <c r="J2163" s="637" t="inlineStr">
        <is>
          <t>GPN_10077</t>
        </is>
      </c>
      <c r="K2163" s="640" t="n">
        <v>1</v>
      </c>
      <c r="L2163" s="640" t="n">
        <v>1</v>
      </c>
      <c r="M2163" s="623" t="n">
        <v>1</v>
      </c>
      <c r="N2163" s="640" t="n"/>
      <c r="O2163" s="640">
        <f>IF(AND(N2163=1,L2163=1),K2163,"")</f>
        <v/>
      </c>
      <c r="P2163" s="642" t="inlineStr">
        <is>
          <t>Псковская область, г.Остров ул.Карла Маркса.юго-вост.д94 слева</t>
        </is>
      </c>
      <c r="Q2163" s="640" t="inlineStr">
        <is>
          <t>57.366987</t>
        </is>
      </c>
      <c r="R2163" s="494" t="inlineStr">
        <is>
          <t>28.360697</t>
        </is>
      </c>
      <c r="S2163" s="387" t="n"/>
      <c r="T2163" s="387" t="n"/>
      <c r="U2163" s="436" t="n"/>
      <c r="V2163" s="387" t="n"/>
      <c r="W2163" s="387">
        <f>IF(AND(N2163=1,O2163&lt;&gt;""),C2163,"")</f>
        <v/>
      </c>
      <c r="X2163" s="387" t="n"/>
      <c r="Y2163" s="387" t="n"/>
    </row>
    <row r="2164" hidden="1" ht="16.05" customFormat="1" customHeight="1" s="126">
      <c r="A2164" s="125" t="n">
        <v>2785</v>
      </c>
      <c r="B2164" s="125" t="n"/>
      <c r="C2164" s="130" t="inlineStr">
        <is>
          <t>Санкт-Петербург</t>
        </is>
      </c>
      <c r="D2164" s="130" t="inlineStr">
        <is>
          <t>Ленинградская область</t>
        </is>
      </c>
      <c r="E2164" s="130" t="n"/>
      <c r="F2164" s="130" t="inlineStr">
        <is>
          <t>АЗС</t>
        </is>
      </c>
      <c r="G2164" s="130" t="inlineStr">
        <is>
          <t>Газпромнефть</t>
        </is>
      </c>
      <c r="H2164" s="131" t="n"/>
      <c r="I2164" s="637" t="n">
        <v>10078</v>
      </c>
      <c r="J2164" s="637" t="inlineStr">
        <is>
          <t>GPN_10078</t>
        </is>
      </c>
      <c r="K2164" s="640" t="n">
        <v>1</v>
      </c>
      <c r="L2164" s="640" t="n">
        <v>1</v>
      </c>
      <c r="M2164" s="623" t="n">
        <v>1</v>
      </c>
      <c r="N2164" s="640" t="n"/>
      <c r="O2164" s="640">
        <f>IF(AND(N2164=1,L2164=1),K2164,"")</f>
        <v/>
      </c>
      <c r="P2164" s="642" t="inlineStr">
        <is>
          <t>Псковская область, г.Остров ул.Пригородная.вост.д18 справа</t>
        </is>
      </c>
      <c r="Q2164" s="640" t="inlineStr">
        <is>
          <t>57.35509</t>
        </is>
      </c>
      <c r="R2164" s="494" t="inlineStr">
        <is>
          <t>28.36653</t>
        </is>
      </c>
      <c r="S2164" s="387" t="n"/>
      <c r="T2164" s="387" t="n"/>
      <c r="U2164" s="436" t="n"/>
      <c r="V2164" s="387" t="n"/>
      <c r="W2164" s="387">
        <f>IF(AND(N2164=1,O2164&lt;&gt;""),C2164,"")</f>
        <v/>
      </c>
      <c r="X2164" s="387" t="n"/>
      <c r="Y2164" s="387" t="n"/>
    </row>
    <row r="2165" hidden="1" ht="16.05" customFormat="1" customHeight="1" s="126">
      <c r="A2165" s="125" t="n">
        <v>2786</v>
      </c>
      <c r="B2165" s="125" t="n"/>
      <c r="C2165" s="130" t="inlineStr">
        <is>
          <t>Санкт-Петербург</t>
        </is>
      </c>
      <c r="D2165" s="130" t="inlineStr">
        <is>
          <t xml:space="preserve">Санкт-Петербург </t>
        </is>
      </c>
      <c r="E2165" s="130" t="n"/>
      <c r="F2165" s="130" t="inlineStr">
        <is>
          <t>АЗС</t>
        </is>
      </c>
      <c r="G2165" s="130" t="inlineStr">
        <is>
          <t>Газпромнефть</t>
        </is>
      </c>
      <c r="H2165" s="131" t="n"/>
      <c r="I2165" s="637" t="n">
        <v>10079</v>
      </c>
      <c r="J2165" s="637" t="inlineStr">
        <is>
          <t>GPN_10079</t>
        </is>
      </c>
      <c r="K2165" s="640" t="n">
        <v>3</v>
      </c>
      <c r="L2165" s="640" t="n">
        <v>1</v>
      </c>
      <c r="M2165" s="623" t="n">
        <v>3</v>
      </c>
      <c r="N2165" s="640" t="n"/>
      <c r="O2165" s="640">
        <f>IF(AND(N2165=1,L2165=1),K2165,"")</f>
        <v/>
      </c>
      <c r="P2165" s="642" t="inlineStr">
        <is>
          <t>Спб, ул. Краснопутиловская д.46. к3 лит А</t>
        </is>
      </c>
      <c r="Q2165" s="640" t="inlineStr">
        <is>
          <t>59.861611</t>
        </is>
      </c>
      <c r="R2165" s="494" t="inlineStr">
        <is>
          <t>30.288425</t>
        </is>
      </c>
      <c r="S2165" s="387" t="n"/>
      <c r="T2165" s="387" t="n"/>
      <c r="U2165" s="436" t="n"/>
      <c r="V2165" s="387" t="n"/>
      <c r="W2165" s="387">
        <f>IF(AND(N2165=1,O2165&lt;&gt;""),C2165,"")</f>
        <v/>
      </c>
      <c r="X2165" s="387" t="n"/>
      <c r="Y2165" s="387" t="n"/>
    </row>
    <row r="2166" hidden="1" ht="16.05" customFormat="1" customHeight="1" s="126">
      <c r="A2166" s="125" t="n">
        <v>2787</v>
      </c>
      <c r="B2166" s="125" t="n"/>
      <c r="C2166" s="130" t="inlineStr">
        <is>
          <t>Санкт-Петербург</t>
        </is>
      </c>
      <c r="D2166" s="130" t="inlineStr">
        <is>
          <t>Ленинградская область</t>
        </is>
      </c>
      <c r="E2166" s="130" t="n"/>
      <c r="F2166" s="130" t="inlineStr">
        <is>
          <t>АЗС</t>
        </is>
      </c>
      <c r="G2166" s="130" t="inlineStr">
        <is>
          <t>Газпромнефть</t>
        </is>
      </c>
      <c r="H2166" s="131" t="n"/>
      <c r="I2166" s="637" t="n">
        <v>10080</v>
      </c>
      <c r="J2166" s="637" t="inlineStr">
        <is>
          <t>GPN_10080</t>
        </is>
      </c>
      <c r="K2166" s="640" t="n">
        <v>3</v>
      </c>
      <c r="L2166" s="640" t="n">
        <v>1</v>
      </c>
      <c r="M2166" s="623" t="n">
        <v>5</v>
      </c>
      <c r="N2166" s="640" t="n"/>
      <c r="O2166" s="640">
        <f>IF(AND(N2166=1,L2166=1),K2166,"")</f>
        <v/>
      </c>
      <c r="P2166" s="642" t="inlineStr">
        <is>
          <t>Лен.обл., Гатчинский р-н, Новосветовское с.п., 43 км. трассы СПб-Псков, участок № 5</t>
        </is>
      </c>
      <c r="Q2166" s="640" t="inlineStr">
        <is>
          <t>59.57346</t>
        </is>
      </c>
      <c r="R2166" s="494" t="inlineStr">
        <is>
          <t>30.1687</t>
        </is>
      </c>
      <c r="S2166" s="387" t="n"/>
      <c r="T2166" s="387" t="n"/>
      <c r="U2166" s="436" t="n"/>
      <c r="V2166" s="387" t="n"/>
      <c r="W2166" s="387">
        <f>IF(AND(N2166=1,O2166&lt;&gt;""),C2166,"")</f>
        <v/>
      </c>
      <c r="X2166" s="387" t="n"/>
      <c r="Y2166" s="387" t="n"/>
    </row>
    <row r="2167" hidden="1" ht="16.05" customFormat="1" customHeight="1" s="126">
      <c r="A2167" s="125" t="n">
        <v>2788</v>
      </c>
      <c r="B2167" s="125" t="n"/>
      <c r="C2167" s="130" t="inlineStr">
        <is>
          <t>Санкт-Петербург</t>
        </is>
      </c>
      <c r="D2167" s="130" t="inlineStr">
        <is>
          <t>Ленинградская область</t>
        </is>
      </c>
      <c r="E2167" s="130" t="n"/>
      <c r="F2167" s="130" t="inlineStr">
        <is>
          <t>АЗС</t>
        </is>
      </c>
      <c r="G2167" s="130" t="inlineStr">
        <is>
          <t>Газпромнефть</t>
        </is>
      </c>
      <c r="H2167" s="131" t="n"/>
      <c r="I2167" s="637" t="n">
        <v>10083</v>
      </c>
      <c r="J2167" s="637" t="inlineStr">
        <is>
          <t>GPN_10083</t>
        </is>
      </c>
      <c r="K2167" s="640" t="n">
        <v>1</v>
      </c>
      <c r="L2167" s="640" t="n">
        <v>1</v>
      </c>
      <c r="M2167" s="623" t="n">
        <v>1</v>
      </c>
      <c r="N2167" s="640" t="n"/>
      <c r="O2167" s="640">
        <f>IF(AND(N2167=1,L2167=1),K2167,"")</f>
        <v/>
      </c>
      <c r="P2167" s="642" t="inlineStr">
        <is>
          <t>Всеволожский р-он г. п.Кузьмоловский, Ленинградское шоссе д2</t>
        </is>
      </c>
      <c r="Q2167" s="640" t="inlineStr">
        <is>
          <t>60.107289</t>
        </is>
      </c>
      <c r="R2167" s="494" t="inlineStr">
        <is>
          <t>30.499304</t>
        </is>
      </c>
      <c r="S2167" s="387" t="n"/>
      <c r="T2167" s="387" t="n"/>
      <c r="U2167" s="436" t="n"/>
      <c r="V2167" s="387" t="n"/>
      <c r="W2167" s="387">
        <f>IF(AND(N2167=1,O2167&lt;&gt;""),C2167,"")</f>
        <v/>
      </c>
      <c r="X2167" s="387" t="n"/>
      <c r="Y2167" s="387" t="n"/>
    </row>
    <row r="2168" hidden="1" ht="16.05" customFormat="1" customHeight="1" s="126">
      <c r="A2168" s="125" t="n">
        <v>2789</v>
      </c>
      <c r="B2168" s="125" t="n"/>
      <c r="C2168" s="130" t="inlineStr">
        <is>
          <t>Санкт-Петербург</t>
        </is>
      </c>
      <c r="D2168" s="130" t="inlineStr">
        <is>
          <t>Ленинградская область</t>
        </is>
      </c>
      <c r="E2168" s="130" t="n"/>
      <c r="F2168" s="130" t="inlineStr">
        <is>
          <t>АЗС</t>
        </is>
      </c>
      <c r="G2168" s="130" t="inlineStr">
        <is>
          <t>Газпромнефть</t>
        </is>
      </c>
      <c r="H2168" s="131" t="n"/>
      <c r="I2168" s="637" t="n">
        <v>10084</v>
      </c>
      <c r="J2168" s="637" t="inlineStr">
        <is>
          <t>GPN_10084</t>
        </is>
      </c>
      <c r="K2168" s="640" t="n">
        <v>3</v>
      </c>
      <c r="L2168" s="640" t="n">
        <v>1</v>
      </c>
      <c r="M2168" s="623" t="n">
        <v>3</v>
      </c>
      <c r="N2168" s="640" t="n"/>
      <c r="O2168" s="640">
        <f>IF(AND(N2168=1,L2168=1),K2168,"")</f>
        <v/>
      </c>
      <c r="P2168" s="642" t="inlineStr">
        <is>
          <t>Псковс.обл, Великие Луки, М9 Москва-Рига (467 км, пересечение с трассой Великие Луки-Невель)</t>
        </is>
      </c>
      <c r="Q2168" s="640" t="inlineStr">
        <is>
          <t>56.28606</t>
        </is>
      </c>
      <c r="R2168" s="494" t="inlineStr">
        <is>
          <t>30.51075</t>
        </is>
      </c>
      <c r="S2168" s="387" t="n"/>
      <c r="T2168" s="387" t="n"/>
      <c r="U2168" s="436" t="n"/>
      <c r="V2168" s="387" t="n"/>
      <c r="W2168" s="387">
        <f>IF(AND(N2168=1,O2168&lt;&gt;""),C2168,"")</f>
        <v/>
      </c>
      <c r="X2168" s="387" t="n"/>
      <c r="Y2168" s="387" t="n"/>
    </row>
    <row r="2169" hidden="1" ht="16.05" customFormat="1" customHeight="1" s="126">
      <c r="A2169" s="125" t="n">
        <v>2790</v>
      </c>
      <c r="B2169" s="125" t="n"/>
      <c r="C2169" s="130" t="inlineStr">
        <is>
          <t>Санкт-Петербург</t>
        </is>
      </c>
      <c r="D2169" s="130" t="inlineStr">
        <is>
          <t>Ленинградская область</t>
        </is>
      </c>
      <c r="E2169" s="130" t="n"/>
      <c r="F2169" s="130" t="inlineStr">
        <is>
          <t>АЗС</t>
        </is>
      </c>
      <c r="G2169" s="130" t="inlineStr">
        <is>
          <t>Газпромнефть</t>
        </is>
      </c>
      <c r="H2169" s="131" t="n"/>
      <c r="I2169" s="637" t="n">
        <v>10085</v>
      </c>
      <c r="J2169" s="637" t="inlineStr">
        <is>
          <t>GPN_10085</t>
        </is>
      </c>
      <c r="K2169" s="640" t="n">
        <v>1</v>
      </c>
      <c r="L2169" s="640" t="n">
        <v>1</v>
      </c>
      <c r="M2169" s="623" t="n">
        <v>1</v>
      </c>
      <c r="N2169" s="640" t="n"/>
      <c r="O2169" s="640">
        <f>IF(AND(N2169=1,L2169=1),K2169,"")</f>
        <v/>
      </c>
      <c r="P2169" s="642" t="inlineStr">
        <is>
          <t>Новгородская обл., г. Валдай, Выскодно-1, с. Зимогорье(338 км. +300м(право) а/д Москва - СПб)</t>
        </is>
      </c>
      <c r="Q2169" s="640" t="inlineStr">
        <is>
          <t>57.95609</t>
        </is>
      </c>
      <c r="R2169" s="494" t="inlineStr">
        <is>
          <t>33.25595</t>
        </is>
      </c>
      <c r="S2169" s="387" t="n"/>
      <c r="T2169" s="387" t="n"/>
      <c r="U2169" s="436" t="n"/>
      <c r="V2169" s="387" t="n"/>
      <c r="W2169" s="387">
        <f>IF(AND(N2169=1,O2169&lt;&gt;""),C2169,"")</f>
        <v/>
      </c>
      <c r="X2169" s="387" t="n"/>
      <c r="Y2169" s="387" t="n"/>
    </row>
    <row r="2170" hidden="1" ht="16.05" customFormat="1" customHeight="1" s="126">
      <c r="A2170" s="125" t="n">
        <v>2791</v>
      </c>
      <c r="B2170" s="125" t="n"/>
      <c r="C2170" s="130" t="inlineStr">
        <is>
          <t>Санкт-Петербург</t>
        </is>
      </c>
      <c r="D2170" s="130" t="inlineStr">
        <is>
          <t>Ленинградская область</t>
        </is>
      </c>
      <c r="E2170" s="130" t="n"/>
      <c r="F2170" s="130" t="inlineStr">
        <is>
          <t>АЗС</t>
        </is>
      </c>
      <c r="G2170" s="130" t="inlineStr">
        <is>
          <t>Газпромнефть</t>
        </is>
      </c>
      <c r="H2170" s="131" t="n"/>
      <c r="I2170" s="637" t="n">
        <v>10095</v>
      </c>
      <c r="J2170" s="637" t="inlineStr">
        <is>
          <t>GPN_10095</t>
        </is>
      </c>
      <c r="K2170" s="640" t="n">
        <v>1</v>
      </c>
      <c r="L2170" s="640" t="n">
        <v>1</v>
      </c>
      <c r="M2170" s="623" t="n">
        <v>1</v>
      </c>
      <c r="N2170" s="640" t="n"/>
      <c r="O2170" s="640">
        <f>IF(AND(N2170=1,L2170=1),K2170,"")</f>
        <v/>
      </c>
      <c r="P2170" s="642" t="inlineStr">
        <is>
          <t>Невельский район, ФАД М20 Санкт-Петербург-Киев, км 538, слева</t>
        </is>
      </c>
      <c r="Q2170" s="640" t="inlineStr">
        <is>
          <t>55.8935</t>
        </is>
      </c>
      <c r="R2170" s="494" t="inlineStr">
        <is>
          <t>29.9628</t>
        </is>
      </c>
      <c r="S2170" s="387" t="n"/>
      <c r="T2170" s="387" t="n"/>
      <c r="U2170" s="436" t="n"/>
      <c r="V2170" s="387" t="n"/>
      <c r="W2170" s="387">
        <f>IF(AND(N2170=1,O2170&lt;&gt;""),C2170,"")</f>
        <v/>
      </c>
      <c r="X2170" s="387" t="n"/>
      <c r="Y2170" s="387" t="n"/>
    </row>
    <row r="2171" hidden="1" ht="16.05" customFormat="1" customHeight="1" s="126">
      <c r="A2171" s="125" t="n">
        <v>2792</v>
      </c>
      <c r="B2171" s="125" t="n"/>
      <c r="C2171" s="130" t="inlineStr">
        <is>
          <t>Санкт-Петербург</t>
        </is>
      </c>
      <c r="D2171" s="130" t="inlineStr">
        <is>
          <t>Ленинградская область</t>
        </is>
      </c>
      <c r="E2171" s="130" t="n"/>
      <c r="F2171" s="130" t="inlineStr">
        <is>
          <t>АЗС</t>
        </is>
      </c>
      <c r="G2171" s="130" t="inlineStr">
        <is>
          <t>Газпромнефть</t>
        </is>
      </c>
      <c r="H2171" s="131" t="n"/>
      <c r="I2171" s="637" t="n">
        <v>10099</v>
      </c>
      <c r="J2171" s="637" t="inlineStr">
        <is>
          <t>GPN_10099</t>
        </is>
      </c>
      <c r="K2171" s="640" t="n">
        <v>1</v>
      </c>
      <c r="L2171" s="640" t="n">
        <v>1</v>
      </c>
      <c r="M2171" s="623" t="n">
        <v>1</v>
      </c>
      <c r="N2171" s="640" t="n"/>
      <c r="O2171" s="640">
        <f>IF(AND(N2171=1,L2171=1),K2171,"")</f>
        <v/>
      </c>
      <c r="P2171" s="642" t="inlineStr">
        <is>
          <t>Республика Карелия г. Сортавала, п. Вяртсиля, ж/д станция</t>
        </is>
      </c>
      <c r="Q2171" s="640" t="inlineStr">
        <is>
          <t>62.1673</t>
        </is>
      </c>
      <c r="R2171" s="494" t="inlineStr">
        <is>
          <t>30.64124</t>
        </is>
      </c>
      <c r="S2171" s="387" t="n"/>
      <c r="T2171" s="387" t="n"/>
      <c r="U2171" s="436" t="n"/>
      <c r="V2171" s="387" t="n"/>
      <c r="W2171" s="387">
        <f>IF(AND(N2171=1,O2171&lt;&gt;""),C2171,"")</f>
        <v/>
      </c>
      <c r="X2171" s="387" t="n"/>
      <c r="Y2171" s="387" t="n"/>
    </row>
    <row r="2172" hidden="1" ht="16.05" customFormat="1" customHeight="1" s="126">
      <c r="A2172" s="125" t="n">
        <v>2793</v>
      </c>
      <c r="B2172" s="125" t="n"/>
      <c r="C2172" s="130" t="inlineStr">
        <is>
          <t>Санкт-Петербург</t>
        </is>
      </c>
      <c r="D2172" s="130" t="inlineStr">
        <is>
          <t>Ленинградская область</t>
        </is>
      </c>
      <c r="E2172" s="130" t="n"/>
      <c r="F2172" s="130" t="inlineStr">
        <is>
          <t>АЗС</t>
        </is>
      </c>
      <c r="G2172" s="130" t="inlineStr">
        <is>
          <t>Газпромнефть</t>
        </is>
      </c>
      <c r="H2172" s="131" t="n"/>
      <c r="I2172" s="637" t="n">
        <v>10101</v>
      </c>
      <c r="J2172" s="637" t="inlineStr">
        <is>
          <t>GPN_10101</t>
        </is>
      </c>
      <c r="K2172" s="640" t="n">
        <v>3</v>
      </c>
      <c r="L2172" s="640" t="n">
        <v>1</v>
      </c>
      <c r="M2172" s="623" t="n">
        <v>3</v>
      </c>
      <c r="N2172" s="640" t="n"/>
      <c r="O2172" s="640">
        <f>IF(AND(N2172=1,L2172=1),K2172,"")</f>
        <v/>
      </c>
      <c r="P2172" s="642" t="inlineStr">
        <is>
          <t>Тосненский р-он., массив Ушаки, уч. Никитино, Рябово-1</t>
        </is>
      </c>
      <c r="Q2172" s="640" t="inlineStr">
        <is>
          <t>59.41691</t>
        </is>
      </c>
      <c r="R2172" s="494" t="inlineStr">
        <is>
          <t>31.10421</t>
        </is>
      </c>
      <c r="S2172" s="387" t="n"/>
      <c r="T2172" s="387" t="n"/>
      <c r="U2172" s="436" t="n"/>
      <c r="V2172" s="387" t="n"/>
      <c r="W2172" s="387">
        <f>IF(AND(N2172=1,O2172&lt;&gt;""),C2172,"")</f>
        <v/>
      </c>
      <c r="X2172" s="387" t="n"/>
      <c r="Y2172" s="387" t="n"/>
    </row>
    <row r="2173" hidden="1" ht="16.05" customFormat="1" customHeight="1" s="126">
      <c r="A2173" s="125" t="n">
        <v>2794</v>
      </c>
      <c r="B2173" s="125" t="n"/>
      <c r="C2173" s="130" t="inlineStr">
        <is>
          <t>Санкт-Петербург</t>
        </is>
      </c>
      <c r="D2173" s="130" t="inlineStr">
        <is>
          <t>Ленинградская область</t>
        </is>
      </c>
      <c r="E2173" s="130" t="n"/>
      <c r="F2173" s="130" t="inlineStr">
        <is>
          <t>АЗС</t>
        </is>
      </c>
      <c r="G2173" s="130" t="inlineStr">
        <is>
          <t>Газпромнефть</t>
        </is>
      </c>
      <c r="H2173" s="131" t="n"/>
      <c r="I2173" s="637" t="n">
        <v>10102</v>
      </c>
      <c r="J2173" s="637" t="inlineStr">
        <is>
          <t>GPN_10102</t>
        </is>
      </c>
      <c r="K2173" s="640" t="n">
        <v>1</v>
      </c>
      <c r="L2173" s="640" t="n">
        <v>1</v>
      </c>
      <c r="M2173" s="623" t="n">
        <v>1</v>
      </c>
      <c r="N2173" s="640" t="n"/>
      <c r="O2173" s="640">
        <f>IF(AND(N2173=1,L2173=1),K2173,"")</f>
        <v/>
      </c>
      <c r="P2173" s="642" t="inlineStr">
        <is>
          <t>Тосненский р-он., Рябовское ш., а/д Россия 625км.+420м. (справа),Рябово-2</t>
        </is>
      </c>
      <c r="Q2173" s="640" t="inlineStr">
        <is>
          <t>59.41376</t>
        </is>
      </c>
      <c r="R2173" s="494" t="inlineStr">
        <is>
          <t>31.11258</t>
        </is>
      </c>
      <c r="S2173" s="387" t="n"/>
      <c r="T2173" s="387" t="n"/>
      <c r="U2173" s="436" t="n"/>
      <c r="V2173" s="387" t="n"/>
      <c r="W2173" s="387">
        <f>IF(AND(N2173=1,O2173&lt;&gt;""),C2173,"")</f>
        <v/>
      </c>
      <c r="X2173" s="387" t="n"/>
      <c r="Y2173" s="387" t="n"/>
    </row>
    <row r="2174" hidden="1" ht="16.05" customFormat="1" customHeight="1" s="126">
      <c r="A2174" s="125" t="n">
        <v>2795</v>
      </c>
      <c r="B2174" s="125" t="n"/>
      <c r="C2174" s="130" t="inlineStr">
        <is>
          <t>Санкт-Петербург</t>
        </is>
      </c>
      <c r="D2174" s="130" t="inlineStr">
        <is>
          <t>Ленинградская область</t>
        </is>
      </c>
      <c r="E2174" s="130" t="n"/>
      <c r="F2174" s="130" t="inlineStr">
        <is>
          <t>АЗС</t>
        </is>
      </c>
      <c r="G2174" s="130" t="inlineStr">
        <is>
          <t>Газпромнефть</t>
        </is>
      </c>
      <c r="H2174" s="131" t="n"/>
      <c r="I2174" s="637" t="n">
        <v>10103</v>
      </c>
      <c r="J2174" s="637" t="inlineStr">
        <is>
          <t>GPN_10103</t>
        </is>
      </c>
      <c r="K2174" s="640" t="n">
        <v>3</v>
      </c>
      <c r="L2174" s="640" t="n">
        <v>1</v>
      </c>
      <c r="M2174" s="623" t="n">
        <v>4</v>
      </c>
      <c r="N2174" s="640" t="n"/>
      <c r="O2174" s="640">
        <f>IF(AND(N2174=1,L2174=1),K2174,"")</f>
        <v/>
      </c>
      <c r="P2174" s="642" t="inlineStr">
        <is>
          <t>Окуловский р-н, г. Окуловка, ул. Полевая, участок № 90-6</t>
        </is>
      </c>
      <c r="Q2174" s="640" t="inlineStr">
        <is>
          <t>58.38621</t>
        </is>
      </c>
      <c r="R2174" s="494" t="inlineStr">
        <is>
          <t>33.29223</t>
        </is>
      </c>
      <c r="S2174" s="387" t="n"/>
      <c r="T2174" s="387" t="n"/>
      <c r="U2174" s="436" t="n"/>
      <c r="V2174" s="387" t="n"/>
      <c r="W2174" s="387">
        <f>IF(AND(N2174=1,O2174&lt;&gt;""),C2174,"")</f>
        <v/>
      </c>
      <c r="X2174" s="387" t="n"/>
      <c r="Y2174" s="387" t="n"/>
    </row>
    <row r="2175" hidden="1" ht="16.05" customFormat="1" customHeight="1" s="126">
      <c r="A2175" s="125" t="n">
        <v>2796</v>
      </c>
      <c r="B2175" s="125" t="n"/>
      <c r="C2175" s="130" t="inlineStr">
        <is>
          <t>Санкт-Петербург</t>
        </is>
      </c>
      <c r="D2175" s="130" t="inlineStr">
        <is>
          <t>Ленинградская область</t>
        </is>
      </c>
      <c r="E2175" s="130" t="n"/>
      <c r="F2175" s="130" t="inlineStr">
        <is>
          <t>АЗС</t>
        </is>
      </c>
      <c r="G2175" s="130" t="inlineStr">
        <is>
          <t>Газпромнефть</t>
        </is>
      </c>
      <c r="H2175" s="131" t="n"/>
      <c r="I2175" s="637" t="n">
        <v>10104</v>
      </c>
      <c r="J2175" s="637" t="inlineStr">
        <is>
          <t>GPN_10104</t>
        </is>
      </c>
      <c r="K2175" s="640" t="n">
        <v>2</v>
      </c>
      <c r="L2175" s="640" t="n">
        <v>1</v>
      </c>
      <c r="M2175" s="623" t="n">
        <v>2</v>
      </c>
      <c r="N2175" s="640" t="n"/>
      <c r="O2175" s="640">
        <f>IF(AND(N2175=1,L2175=1),K2175,"")</f>
        <v/>
      </c>
      <c r="P2175" s="642" t="inlineStr">
        <is>
          <t>Ленинградская область, Кингисепский р-н, автодорога М-11 Нарва, км 106 дер. Гурлево, слева.</t>
        </is>
      </c>
      <c r="Q2175" s="640" t="inlineStr">
        <is>
          <t>59.46011</t>
        </is>
      </c>
      <c r="R2175" s="494" t="inlineStr">
        <is>
          <t>28.87991</t>
        </is>
      </c>
      <c r="S2175" s="387" t="n"/>
      <c r="T2175" s="387" t="n"/>
      <c r="U2175" s="436" t="n"/>
      <c r="V2175" s="387" t="n"/>
      <c r="W2175" s="387">
        <f>IF(AND(N2175=1,O2175&lt;&gt;""),C2175,"")</f>
        <v/>
      </c>
      <c r="X2175" s="387" t="n"/>
      <c r="Y2175" s="387" t="n"/>
    </row>
    <row r="2176" hidden="1" ht="16.05" customFormat="1" customHeight="1" s="126">
      <c r="A2176" s="125" t="n">
        <v>2797</v>
      </c>
      <c r="B2176" s="125" t="n"/>
      <c r="C2176" s="130" t="inlineStr">
        <is>
          <t>Санкт-Петербург</t>
        </is>
      </c>
      <c r="D2176" s="130" t="inlineStr">
        <is>
          <t>Ленинградская область</t>
        </is>
      </c>
      <c r="E2176" s="130" t="n"/>
      <c r="F2176" s="130" t="inlineStr">
        <is>
          <t>АЗС</t>
        </is>
      </c>
      <c r="G2176" s="130" t="inlineStr">
        <is>
          <t>Газпромнефть</t>
        </is>
      </c>
      <c r="H2176" s="131" t="n"/>
      <c r="I2176" s="637" t="n">
        <v>10105</v>
      </c>
      <c r="J2176" s="637" t="inlineStr">
        <is>
          <t>GPN_10105</t>
        </is>
      </c>
      <c r="K2176" s="640" t="n">
        <v>1</v>
      </c>
      <c r="L2176" s="640" t="n">
        <v>1</v>
      </c>
      <c r="M2176" s="623" t="n">
        <v>1</v>
      </c>
      <c r="N2176" s="640" t="n"/>
      <c r="O2176" s="640">
        <f>IF(AND(N2176=1,L2176=1),K2176,"")</f>
        <v/>
      </c>
      <c r="P2176" s="642" t="inlineStr">
        <is>
          <t>Ленинградская область, Кингисеппский р-н, автодорога М-11 Нарва, км 114 Алексеевка, справа.</t>
        </is>
      </c>
      <c r="Q2176" s="640" t="inlineStr">
        <is>
          <t>59.41952</t>
        </is>
      </c>
      <c r="R2176" s="494" t="inlineStr">
        <is>
          <t>28.75891</t>
        </is>
      </c>
      <c r="S2176" s="387" t="n"/>
      <c r="T2176" s="387" t="n"/>
      <c r="U2176" s="436" t="n"/>
      <c r="V2176" s="387" t="n"/>
      <c r="W2176" s="387">
        <f>IF(AND(N2176=1,O2176&lt;&gt;""),C2176,"")</f>
        <v/>
      </c>
      <c r="X2176" s="387" t="n"/>
      <c r="Y2176" s="387" t="n"/>
    </row>
    <row r="2177" hidden="1" ht="16.05" customFormat="1" customHeight="1" s="126">
      <c r="A2177" s="125" t="n">
        <v>2798</v>
      </c>
      <c r="B2177" s="125" t="n"/>
      <c r="C2177" s="130" t="inlineStr">
        <is>
          <t>Санкт-Петербург</t>
        </is>
      </c>
      <c r="D2177" s="130" t="inlineStr">
        <is>
          <t xml:space="preserve">Санкт-Петербург </t>
        </is>
      </c>
      <c r="E2177" s="130" t="n"/>
      <c r="F2177" s="130" t="inlineStr">
        <is>
          <t>АЗС</t>
        </is>
      </c>
      <c r="G2177" s="130" t="inlineStr">
        <is>
          <t>Газпромнефть</t>
        </is>
      </c>
      <c r="H2177" s="131" t="n"/>
      <c r="I2177" s="637" t="n">
        <v>10107</v>
      </c>
      <c r="J2177" s="637" t="inlineStr">
        <is>
          <t>GPN_10107</t>
        </is>
      </c>
      <c r="K2177" s="640" t="n">
        <v>3</v>
      </c>
      <c r="L2177" s="640" t="n">
        <v>1</v>
      </c>
      <c r="M2177" s="623" t="n">
        <v>3</v>
      </c>
      <c r="N2177" s="640" t="n"/>
      <c r="O2177" s="640">
        <f>IF(AND(N2177=1,L2177=1),K2177,"")</f>
        <v/>
      </c>
      <c r="P2177" s="642" t="inlineStr">
        <is>
          <t>г. Санкт-Петербург, проспект Ветеранов, дом 161</t>
        </is>
      </c>
      <c r="Q2177" s="640" t="inlineStr">
        <is>
          <t>59.835876</t>
        </is>
      </c>
      <c r="R2177" s="494" t="inlineStr">
        <is>
          <t>30.125623</t>
        </is>
      </c>
      <c r="S2177" s="387" t="n"/>
      <c r="T2177" s="387" t="n"/>
      <c r="U2177" s="436" t="n"/>
      <c r="V2177" s="387" t="n"/>
      <c r="W2177" s="387">
        <f>IF(AND(N2177=1,O2177&lt;&gt;""),C2177,"")</f>
        <v/>
      </c>
      <c r="X2177" s="387" t="n"/>
      <c r="Y2177" s="387" t="n"/>
    </row>
    <row r="2178" hidden="1" ht="16.05" customFormat="1" customHeight="1" s="126">
      <c r="A2178" s="125" t="n">
        <v>2799</v>
      </c>
      <c r="B2178" s="125" t="n"/>
      <c r="C2178" s="130" t="inlineStr">
        <is>
          <t>Санкт-Петербург</t>
        </is>
      </c>
      <c r="D2178" s="130" t="inlineStr">
        <is>
          <t xml:space="preserve">Санкт-Петербург </t>
        </is>
      </c>
      <c r="E2178" s="130" t="n"/>
      <c r="F2178" s="130" t="inlineStr">
        <is>
          <t>АЗС</t>
        </is>
      </c>
      <c r="G2178" s="130" t="inlineStr">
        <is>
          <t>Газпромнефть</t>
        </is>
      </c>
      <c r="H2178" s="131" t="n"/>
      <c r="I2178" s="637" t="n">
        <v>10108</v>
      </c>
      <c r="J2178" s="637" t="inlineStr">
        <is>
          <t>GPN_10108</t>
        </is>
      </c>
      <c r="K2178" s="640" t="n">
        <v>3</v>
      </c>
      <c r="L2178" s="640" t="n">
        <v>1</v>
      </c>
      <c r="M2178" s="623" t="n">
        <v>6</v>
      </c>
      <c r="N2178" s="640" t="n"/>
      <c r="O2178" s="640">
        <f>IF(AND(N2178=1,L2178=1),K2178,"")</f>
        <v/>
      </c>
      <c r="P2178" s="642" t="inlineStr">
        <is>
          <t>Выборгское шоссе, влад. 220</t>
        </is>
      </c>
      <c r="Q2178" s="640" t="inlineStr">
        <is>
          <t>60.0766</t>
        </is>
      </c>
      <c r="R2178" s="494" t="inlineStr">
        <is>
          <t>30.27224</t>
        </is>
      </c>
      <c r="S2178" s="387" t="n"/>
      <c r="T2178" s="387" t="n"/>
      <c r="U2178" s="436" t="n"/>
      <c r="V2178" s="387" t="n"/>
      <c r="W2178" s="387">
        <f>IF(AND(N2178=1,O2178&lt;&gt;""),C2178,"")</f>
        <v/>
      </c>
      <c r="X2178" s="387" t="n"/>
      <c r="Y2178" s="387" t="n"/>
    </row>
    <row r="2179" hidden="1" ht="16.05" customFormat="1" customHeight="1" s="126">
      <c r="A2179" s="125" t="n">
        <v>2800</v>
      </c>
      <c r="B2179" s="125" t="n"/>
      <c r="C2179" s="130" t="inlineStr">
        <is>
          <t>Санкт-Петербург</t>
        </is>
      </c>
      <c r="D2179" s="130" t="inlineStr">
        <is>
          <t>Ленинградская область</t>
        </is>
      </c>
      <c r="E2179" s="130" t="n"/>
      <c r="F2179" s="130" t="inlineStr">
        <is>
          <t>АЗС</t>
        </is>
      </c>
      <c r="G2179" s="130" t="inlineStr">
        <is>
          <t>Газпромнефть</t>
        </is>
      </c>
      <c r="H2179" s="131" t="n"/>
      <c r="I2179" s="637" t="n">
        <v>10109</v>
      </c>
      <c r="J2179" s="637" t="inlineStr">
        <is>
          <t>GPN_10109</t>
        </is>
      </c>
      <c r="K2179" s="640" t="n">
        <v>1</v>
      </c>
      <c r="L2179" s="640" t="n">
        <v>1</v>
      </c>
      <c r="M2179" s="623" t="n">
        <v>1</v>
      </c>
      <c r="N2179" s="640" t="n"/>
      <c r="O2179" s="640">
        <f>IF(AND(N2179=1,L2179=1),K2179,"")</f>
        <v/>
      </c>
      <c r="P2179" s="642" t="inlineStr">
        <is>
          <t>Новгородская область, г. Старая Русса, ул. Бетховена д.7</t>
        </is>
      </c>
      <c r="Q2179" s="640" t="inlineStr">
        <is>
          <t>57.9963</t>
        </is>
      </c>
      <c r="R2179" s="494" t="inlineStr">
        <is>
          <t>31.36156</t>
        </is>
      </c>
      <c r="S2179" s="387" t="n"/>
      <c r="T2179" s="387" t="n"/>
      <c r="U2179" s="436" t="n"/>
      <c r="V2179" s="387" t="n"/>
      <c r="W2179" s="387">
        <f>IF(AND(N2179=1,O2179&lt;&gt;""),C2179,"")</f>
        <v/>
      </c>
      <c r="X2179" s="387" t="n"/>
      <c r="Y2179" s="387" t="n"/>
    </row>
    <row r="2180" hidden="1" ht="16.05" customFormat="1" customHeight="1" s="126">
      <c r="A2180" s="125" t="n">
        <v>2801</v>
      </c>
      <c r="B2180" s="125" t="n"/>
      <c r="C2180" s="130" t="inlineStr">
        <is>
          <t>Санкт-Петербург</t>
        </is>
      </c>
      <c r="D2180" s="130" t="inlineStr">
        <is>
          <t>Ленинградская область</t>
        </is>
      </c>
      <c r="E2180" s="130" t="n"/>
      <c r="F2180" s="130" t="inlineStr">
        <is>
          <t>АЗС</t>
        </is>
      </c>
      <c r="G2180" s="130" t="inlineStr">
        <is>
          <t>Газпромнефть</t>
        </is>
      </c>
      <c r="H2180" s="131" t="n"/>
      <c r="I2180" s="637" t="n">
        <v>10110</v>
      </c>
      <c r="J2180" s="637" t="inlineStr">
        <is>
          <t>GPN_10110</t>
        </is>
      </c>
      <c r="K2180" s="640" t="n">
        <v>3</v>
      </c>
      <c r="L2180" s="640" t="n">
        <v>1</v>
      </c>
      <c r="M2180" s="623" t="n">
        <v>4</v>
      </c>
      <c r="N2180" s="640" t="n"/>
      <c r="O2180" s="640">
        <f>IF(AND(N2180=1,L2180=1),K2180,"")</f>
        <v/>
      </c>
      <c r="P2180" s="642" t="inlineStr">
        <is>
          <t>Санкт-Петербург, Шушары, Колпинское шоссе (Санкт-Петербург, Шушары, Колпинское ш., 54)</t>
        </is>
      </c>
      <c r="Q2180" s="640" t="inlineStr">
        <is>
          <t>59.747899</t>
        </is>
      </c>
      <c r="R2180" s="494" t="inlineStr">
        <is>
          <t>30.506562</t>
        </is>
      </c>
      <c r="S2180" s="387" t="n"/>
      <c r="T2180" s="387" t="n"/>
      <c r="U2180" s="436" t="n"/>
      <c r="V2180" s="387" t="n"/>
      <c r="W2180" s="387">
        <f>IF(AND(N2180=1,O2180&lt;&gt;""),C2180,"")</f>
        <v/>
      </c>
      <c r="X2180" s="387" t="n"/>
      <c r="Y2180" s="387" t="n"/>
    </row>
    <row r="2181" hidden="1" ht="16.05" customFormat="1" customHeight="1" s="126">
      <c r="A2181" s="125" t="n">
        <v>2802</v>
      </c>
      <c r="B2181" s="125" t="n"/>
      <c r="C2181" s="130" t="inlineStr">
        <is>
          <t>Санкт-Петербург</t>
        </is>
      </c>
      <c r="D2181" s="130" t="inlineStr">
        <is>
          <t>Ленинградская область</t>
        </is>
      </c>
      <c r="E2181" s="130" t="n"/>
      <c r="F2181" s="130" t="inlineStr">
        <is>
          <t>АЗС</t>
        </is>
      </c>
      <c r="G2181" s="130" t="inlineStr">
        <is>
          <t>Газпромнефть</t>
        </is>
      </c>
      <c r="H2181" s="131" t="n"/>
      <c r="I2181" s="637" t="n">
        <v>10111</v>
      </c>
      <c r="J2181" s="637" t="inlineStr">
        <is>
          <t>GPN_10111</t>
        </is>
      </c>
      <c r="K2181" s="640" t="n">
        <v>3</v>
      </c>
      <c r="L2181" s="640" t="n">
        <v>1</v>
      </c>
      <c r="M2181" s="623" t="n">
        <v>6</v>
      </c>
      <c r="N2181" s="640" t="n"/>
      <c r="O2181" s="640">
        <f>IF(AND(N2181=1,L2181=1),K2181,"")</f>
        <v/>
      </c>
      <c r="P2181" s="642" t="inlineStr">
        <is>
          <t>Р-21 ("Кола", Санкт-Петербург - Петрозаводск - Мурманск - Печенга (Р-21 Кола, 144-й километр)</t>
        </is>
      </c>
      <c r="Q2181" s="640" t="inlineStr">
        <is>
          <t>60.20001</t>
        </is>
      </c>
      <c r="R2181" s="494" t="inlineStr">
        <is>
          <t>32.66111</t>
        </is>
      </c>
      <c r="S2181" s="387" t="n"/>
      <c r="T2181" s="387" t="n"/>
      <c r="U2181" s="436" t="n"/>
      <c r="V2181" s="387" t="n"/>
      <c r="W2181" s="387">
        <f>IF(AND(N2181=1,O2181&lt;&gt;""),C2181,"")</f>
        <v/>
      </c>
      <c r="X2181" s="387" t="n"/>
      <c r="Y2181" s="387" t="n"/>
    </row>
    <row r="2182" hidden="1" ht="16.05" customFormat="1" customHeight="1" s="126">
      <c r="A2182" s="125" t="n">
        <v>2803</v>
      </c>
      <c r="B2182" s="125" t="n"/>
      <c r="C2182" s="130" t="inlineStr">
        <is>
          <t>Санкт-Петербург</t>
        </is>
      </c>
      <c r="D2182" s="130" t="inlineStr">
        <is>
          <t>Ленинградская область</t>
        </is>
      </c>
      <c r="E2182" s="130" t="n"/>
      <c r="F2182" s="130" t="inlineStr">
        <is>
          <t>АЗС</t>
        </is>
      </c>
      <c r="G2182" s="130" t="inlineStr">
        <is>
          <t>Газпромнефть</t>
        </is>
      </c>
      <c r="H2182" s="131" t="n"/>
      <c r="I2182" s="637" t="n">
        <v>10112</v>
      </c>
      <c r="J2182" s="637" t="inlineStr">
        <is>
          <t>GPN_10112</t>
        </is>
      </c>
      <c r="K2182" s="640" t="n">
        <v>3</v>
      </c>
      <c r="L2182" s="640" t="n">
        <v>1</v>
      </c>
      <c r="M2182" s="623" t="n">
        <v>6</v>
      </c>
      <c r="N2182" s="640" t="n"/>
      <c r="O2182" s="640">
        <f>IF(AND(N2182=1,L2182=1),K2182,"")</f>
        <v/>
      </c>
      <c r="P2182" s="642" t="inlineStr">
        <is>
          <t>Гатчинский район, г, Гатчина, ул. Киевская, д. 21</t>
        </is>
      </c>
      <c r="Q2182" s="640" t="inlineStr">
        <is>
          <t>59.553324</t>
        </is>
      </c>
      <c r="R2182" s="494" t="inlineStr">
        <is>
          <t>30.103542</t>
        </is>
      </c>
      <c r="S2182" s="387" t="n"/>
      <c r="T2182" s="387" t="n"/>
      <c r="U2182" s="436" t="n"/>
      <c r="V2182" s="387" t="n"/>
      <c r="W2182" s="387">
        <f>IF(AND(N2182=1,O2182&lt;&gt;""),C2182,"")</f>
        <v/>
      </c>
      <c r="X2182" s="387" t="n"/>
      <c r="Y2182" s="387" t="n"/>
    </row>
    <row r="2183" hidden="1" ht="16.05" customFormat="1" customHeight="1" s="126">
      <c r="A2183" s="125" t="n">
        <v>2804</v>
      </c>
      <c r="B2183" s="125" t="n"/>
      <c r="C2183" s="130" t="inlineStr">
        <is>
          <t>Санкт-Петербург</t>
        </is>
      </c>
      <c r="D2183" s="130" t="inlineStr">
        <is>
          <t>Ленинградская область</t>
        </is>
      </c>
      <c r="E2183" s="130" t="n"/>
      <c r="F2183" s="130" t="inlineStr">
        <is>
          <t>АЗС</t>
        </is>
      </c>
      <c r="G2183" s="130" t="inlineStr">
        <is>
          <t>Газпромнефть</t>
        </is>
      </c>
      <c r="H2183" s="131" t="n"/>
      <c r="I2183" s="637" t="n">
        <v>10113</v>
      </c>
      <c r="J2183" s="637" t="inlineStr">
        <is>
          <t>GPN_10113</t>
        </is>
      </c>
      <c r="K2183" s="640" t="n">
        <v>3</v>
      </c>
      <c r="L2183" s="640" t="n">
        <v>1</v>
      </c>
      <c r="M2183" s="623" t="n">
        <v>6</v>
      </c>
      <c r="N2183" s="640" t="n"/>
      <c r="O2183" s="640">
        <f>IF(AND(N2183=1,L2183=1),K2183,"")</f>
        <v/>
      </c>
      <c r="P2183" s="642" t="inlineStr">
        <is>
          <t>Ленинградская область, Кировский район, 45 км., Мурманского шоссе</t>
        </is>
      </c>
      <c r="Q2183" s="640" t="inlineStr">
        <is>
          <t>59.90497</t>
        </is>
      </c>
      <c r="R2183" s="494" t="inlineStr">
        <is>
          <t>31.06712</t>
        </is>
      </c>
      <c r="S2183" s="387" t="n"/>
      <c r="T2183" s="387" t="n"/>
      <c r="U2183" s="436" t="n"/>
      <c r="V2183" s="387" t="n"/>
      <c r="W2183" s="387">
        <f>IF(AND(N2183=1,O2183&lt;&gt;""),C2183,"")</f>
        <v/>
      </c>
      <c r="X2183" s="387" t="n"/>
      <c r="Y2183" s="387" t="n"/>
    </row>
    <row r="2184" hidden="1" ht="16.05" customFormat="1" customHeight="1" s="126">
      <c r="A2184" s="125" t="n">
        <v>2805</v>
      </c>
      <c r="B2184" s="125" t="n"/>
      <c r="C2184" s="130" t="inlineStr">
        <is>
          <t>Санкт-Петербург</t>
        </is>
      </c>
      <c r="D2184" s="130" t="inlineStr">
        <is>
          <t xml:space="preserve">Санкт-Петербург </t>
        </is>
      </c>
      <c r="E2184" s="130" t="n"/>
      <c r="F2184" s="130" t="inlineStr">
        <is>
          <t>АЗС</t>
        </is>
      </c>
      <c r="G2184" s="130" t="inlineStr">
        <is>
          <t>Газпромнефть</t>
        </is>
      </c>
      <c r="H2184" s="131" t="n"/>
      <c r="I2184" s="637" t="n">
        <v>10114</v>
      </c>
      <c r="J2184" s="637" t="inlineStr">
        <is>
          <t>GPN_10114</t>
        </is>
      </c>
      <c r="K2184" s="640" t="n">
        <v>3</v>
      </c>
      <c r="L2184" s="640" t="n">
        <v>1</v>
      </c>
      <c r="M2184" s="623" t="n">
        <v>4</v>
      </c>
      <c r="N2184" s="640" t="n"/>
      <c r="O2184" s="640">
        <f>IF(AND(N2184=1,L2184=1),K2184,"")</f>
        <v/>
      </c>
      <c r="P2184" s="642" t="inlineStr">
        <is>
          <t>СПБ, Индустриальный, 68</t>
        </is>
      </c>
      <c r="Q2184" s="640" t="inlineStr">
        <is>
          <t>59.969641</t>
        </is>
      </c>
      <c r="R2184" s="494" t="inlineStr">
        <is>
          <t>30.456014</t>
        </is>
      </c>
      <c r="S2184" s="387" t="n"/>
      <c r="T2184" s="387" t="n"/>
      <c r="U2184" s="436" t="n"/>
      <c r="V2184" s="387" t="n"/>
      <c r="W2184" s="387">
        <f>IF(AND(N2184=1,O2184&lt;&gt;""),C2184,"")</f>
        <v/>
      </c>
      <c r="X2184" s="387" t="n"/>
      <c r="Y2184" s="387" t="n"/>
    </row>
    <row r="2185" hidden="1" ht="16.05" customFormat="1" customHeight="1" s="126">
      <c r="A2185" s="125" t="n">
        <v>2806</v>
      </c>
      <c r="B2185" s="125" t="n"/>
      <c r="C2185" s="130" t="inlineStr">
        <is>
          <t>Санкт-Петербург</t>
        </is>
      </c>
      <c r="D2185" s="130" t="inlineStr">
        <is>
          <t>Ленинградская область</t>
        </is>
      </c>
      <c r="E2185" s="130" t="n"/>
      <c r="F2185" s="130" t="inlineStr">
        <is>
          <t>АЗС</t>
        </is>
      </c>
      <c r="G2185" s="130" t="inlineStr">
        <is>
          <t>Газпромнефть</t>
        </is>
      </c>
      <c r="H2185" s="131" t="n"/>
      <c r="I2185" s="637" t="n">
        <v>10116</v>
      </c>
      <c r="J2185" s="637" t="inlineStr">
        <is>
          <t>GPN_10116</t>
        </is>
      </c>
      <c r="K2185" s="640" t="n">
        <v>3</v>
      </c>
      <c r="L2185" s="640" t="n">
        <v>1</v>
      </c>
      <c r="M2185" s="623" t="n">
        <v>6</v>
      </c>
      <c r="N2185" s="640" t="n"/>
      <c r="O2185" s="640">
        <f>IF(AND(N2185=1,L2185=1),K2185,"")</f>
        <v/>
      </c>
      <c r="P2185" s="642" t="inlineStr">
        <is>
          <t>Ленинградская область, ФАД М-11 Москва-Санкт-Петербург, км 665 справа МФЗ (из Москвы)</t>
        </is>
      </c>
      <c r="Q2185" s="640" t="inlineStr">
        <is>
          <t>59.702893</t>
        </is>
      </c>
      <c r="R2185" s="494" t="inlineStr">
        <is>
          <t>30.551605</t>
        </is>
      </c>
      <c r="S2185" s="387" t="n"/>
      <c r="T2185" s="387" t="n"/>
      <c r="U2185" s="436" t="n"/>
      <c r="V2185" s="387" t="n"/>
      <c r="W2185" s="387">
        <f>IF(AND(N2185=1,O2185&lt;&gt;""),C2185,"")</f>
        <v/>
      </c>
      <c r="X2185" s="387" t="n"/>
      <c r="Y2185" s="387" t="n"/>
    </row>
    <row r="2186" hidden="1" ht="16.05" customFormat="1" customHeight="1" s="126">
      <c r="A2186" s="125" t="n">
        <v>2807</v>
      </c>
      <c r="B2186" s="125" t="n"/>
      <c r="C2186" s="130" t="inlineStr">
        <is>
          <t>Санкт-Петербург</t>
        </is>
      </c>
      <c r="D2186" s="130" t="inlineStr">
        <is>
          <t>Ленинградская область</t>
        </is>
      </c>
      <c r="E2186" s="130" t="n"/>
      <c r="F2186" s="130" t="inlineStr">
        <is>
          <t>АЗС</t>
        </is>
      </c>
      <c r="G2186" s="130" t="inlineStr">
        <is>
          <t>Газпромнефть</t>
        </is>
      </c>
      <c r="H2186" s="131" t="n"/>
      <c r="I2186" s="637" t="n">
        <v>10117</v>
      </c>
      <c r="J2186" s="637" t="inlineStr">
        <is>
          <t>GPN_10117</t>
        </is>
      </c>
      <c r="K2186" s="640" t="n">
        <v>3</v>
      </c>
      <c r="L2186" s="640" t="n">
        <v>1</v>
      </c>
      <c r="M2186" s="623" t="n">
        <v>6</v>
      </c>
      <c r="N2186" s="640" t="n"/>
      <c r="O2186" s="640">
        <f>IF(AND(N2186=1,L2186=1),K2186,"")</f>
        <v/>
      </c>
      <c r="P2186" s="642" t="inlineStr">
        <is>
          <t>Ленинградская область, ФАД М-11 Москва-Санкт-Петербург М-11,  км 665 слева МФЗ (из Москвы)</t>
        </is>
      </c>
      <c r="Q2186" s="640" t="inlineStr">
        <is>
          <t>59.700235</t>
        </is>
      </c>
      <c r="R2186" s="494" t="inlineStr">
        <is>
          <t>30.554554</t>
        </is>
      </c>
      <c r="S2186" s="387" t="n"/>
      <c r="T2186" s="387" t="n"/>
      <c r="U2186" s="436" t="n"/>
      <c r="V2186" s="387" t="n"/>
      <c r="W2186" s="387">
        <f>IF(AND(N2186=1,O2186&lt;&gt;""),C2186,"")</f>
        <v/>
      </c>
      <c r="X2186" s="387" t="n"/>
      <c r="Y2186" s="387" t="n"/>
    </row>
    <row r="2187" hidden="1" ht="16.05" customFormat="1" customHeight="1" s="126">
      <c r="A2187" s="125" t="n">
        <v>2808</v>
      </c>
      <c r="B2187" s="125" t="n"/>
      <c r="C2187" s="130" t="inlineStr">
        <is>
          <t>ЦФО (Калуга, Тула, Тверь, Рязань,Смоленск,Владимир,Воронеж, Ярославль)</t>
        </is>
      </c>
      <c r="D2187" s="130" t="inlineStr">
        <is>
          <t>Смоленская область</t>
        </is>
      </c>
      <c r="E2187" s="130" t="inlineStr">
        <is>
          <t>M1</t>
        </is>
      </c>
      <c r="F2187" s="130" t="inlineStr">
        <is>
          <t>АЗС</t>
        </is>
      </c>
      <c r="G2187" s="130" t="inlineStr">
        <is>
          <t>Газпромнефть</t>
        </is>
      </c>
      <c r="H2187" s="131" t="n"/>
      <c r="I2187" s="637" t="n">
        <v>12279</v>
      </c>
      <c r="J2187" s="637" t="inlineStr">
        <is>
          <t>GPN_12279</t>
        </is>
      </c>
      <c r="K2187" s="640" t="n">
        <v>3</v>
      </c>
      <c r="L2187" s="640" t="n">
        <v>1</v>
      </c>
      <c r="M2187" s="623" t="n">
        <v>6</v>
      </c>
      <c r="N2187" s="640" t="n"/>
      <c r="O2187" s="640">
        <f>IF(AND(N2187=1,L2187=1),K2187,"")</f>
        <v/>
      </c>
      <c r="P2187" s="642" t="inlineStr">
        <is>
          <t>( МО ) Смоленская область, 297 км справа ФАД М-1 Беларусь (Экотек 2)</t>
        </is>
      </c>
      <c r="Q2187" s="640" t="inlineStr">
        <is>
          <t>55.141346</t>
        </is>
      </c>
      <c r="R2187" s="494" t="inlineStr">
        <is>
          <t>33.24821</t>
        </is>
      </c>
      <c r="S2187" s="387" t="n"/>
      <c r="T2187" s="387" t="n"/>
      <c r="U2187" s="436" t="n"/>
      <c r="V2187" s="387" t="n"/>
      <c r="W2187" s="387">
        <f>IF(AND(N2187=1,O2187&lt;&gt;""),C2187,"")</f>
        <v/>
      </c>
      <c r="X2187" s="387" t="n"/>
      <c r="Y2187" s="387" t="n"/>
    </row>
    <row r="2188" hidden="1" ht="16.05" customFormat="1" customHeight="1" s="126">
      <c r="A2188" s="125" t="n">
        <v>2809</v>
      </c>
      <c r="B2188" s="125" t="n"/>
      <c r="C2188" s="416" t="inlineStr">
        <is>
          <t>ЦФО (Калуга, Тула, Тверь, Рязань,Смоленск,Владимир,Воронеж, Ярославль)</t>
        </is>
      </c>
      <c r="D2188" s="130" t="inlineStr">
        <is>
          <t>Калуга</t>
        </is>
      </c>
      <c r="E2188" s="130" t="n"/>
      <c r="F2188" s="130" t="inlineStr">
        <is>
          <t>АЗС</t>
        </is>
      </c>
      <c r="G2188" s="130" t="inlineStr">
        <is>
          <t>Газпромнефть</t>
        </is>
      </c>
      <c r="H2188" s="131" t="n"/>
      <c r="I2188" s="637" t="n">
        <v>12085</v>
      </c>
      <c r="J2188" s="637" t="inlineStr">
        <is>
          <t>GPN_12085</t>
        </is>
      </c>
      <c r="K2188" s="640" t="n">
        <v>3</v>
      </c>
      <c r="L2188" s="640" t="n">
        <v>1</v>
      </c>
      <c r="M2188" s="623" t="n">
        <v>3</v>
      </c>
      <c r="N2188" s="640" t="n"/>
      <c r="O2188" s="640">
        <f>IF(AND(N2188=1,L2188=1),K2188,"")</f>
        <v/>
      </c>
      <c r="P2188" s="642" t="inlineStr">
        <is>
          <t>г. Калуга, Грабцевское ш. (г. Калуга, Грабцевское ш. 71 А)</t>
        </is>
      </c>
      <c r="Q2188" s="640" t="inlineStr">
        <is>
          <t>54.541475</t>
        </is>
      </c>
      <c r="R2188" s="494" t="inlineStr">
        <is>
          <t>36.315994</t>
        </is>
      </c>
      <c r="S2188" s="387" t="n"/>
      <c r="T2188" s="387" t="n"/>
      <c r="U2188" s="436" t="n"/>
      <c r="V2188" s="387" t="n"/>
      <c r="W2188" s="387">
        <f>IF(AND(N2188=1,O2188&lt;&gt;""),C2188,"")</f>
        <v/>
      </c>
      <c r="X2188" s="387" t="n"/>
      <c r="Y2188" s="387" t="n"/>
    </row>
    <row r="2189" hidden="1" ht="16.05" customFormat="1" customHeight="1" s="126">
      <c r="A2189" s="125" t="n">
        <v>2810</v>
      </c>
      <c r="B2189" s="125" t="n"/>
      <c r="C2189" s="130" t="inlineStr">
        <is>
          <t>Москва</t>
        </is>
      </c>
      <c r="D2189" s="130" t="inlineStr">
        <is>
          <t>Москва</t>
        </is>
      </c>
      <c r="E2189" s="130" t="inlineStr">
        <is>
          <t>САО</t>
        </is>
      </c>
      <c r="F2189" s="130" t="inlineStr">
        <is>
          <t>АЗС</t>
        </is>
      </c>
      <c r="G2189" s="130" t="inlineStr">
        <is>
          <t>Газпромнефть</t>
        </is>
      </c>
      <c r="H2189" s="131" t="n"/>
      <c r="I2189" s="637" t="n">
        <v>11113</v>
      </c>
      <c r="J2189" s="637" t="inlineStr">
        <is>
          <t>GPN_11113</t>
        </is>
      </c>
      <c r="K2189" s="640" t="n">
        <v>1</v>
      </c>
      <c r="L2189" s="640" t="n">
        <v>1</v>
      </c>
      <c r="M2189" s="623" t="n">
        <v>1</v>
      </c>
      <c r="N2189" s="640" t="n"/>
      <c r="O2189" s="640">
        <f>IF(AND(N2189=1,L2189=1),K2189,"")</f>
        <v/>
      </c>
      <c r="P2189" s="642" t="inlineStr">
        <is>
          <t>г. Москва Огородный проезд вл7</t>
        </is>
      </c>
      <c r="Q2189" s="640" t="inlineStr">
        <is>
          <t>55.81059</t>
        </is>
      </c>
      <c r="R2189" s="494" t="inlineStr">
        <is>
          <t>37.60622</t>
        </is>
      </c>
      <c r="S2189" s="387" t="n"/>
      <c r="T2189" s="387" t="n"/>
      <c r="U2189" s="436" t="n"/>
      <c r="V2189" s="387" t="n"/>
      <c r="W2189" s="387">
        <f>IF(AND(N2189=1,O2189&lt;&gt;""),C2189,"")</f>
        <v/>
      </c>
      <c r="X2189" s="387" t="n"/>
      <c r="Y2189" s="387" t="n"/>
    </row>
    <row r="2190" hidden="1" ht="16.05" customFormat="1" customHeight="1" s="126">
      <c r="A2190" s="125" t="n">
        <v>2811</v>
      </c>
      <c r="B2190" s="125" t="n"/>
      <c r="C2190" s="130" t="inlineStr">
        <is>
          <t>Москва</t>
        </is>
      </c>
      <c r="D2190" s="130" t="inlineStr">
        <is>
          <t>Москва</t>
        </is>
      </c>
      <c r="E2190" s="130" t="inlineStr">
        <is>
          <t>ЮАО</t>
        </is>
      </c>
      <c r="F2190" s="130" t="inlineStr">
        <is>
          <t>АЗС</t>
        </is>
      </c>
      <c r="G2190" s="130" t="inlineStr">
        <is>
          <t>Газпромнефть</t>
        </is>
      </c>
      <c r="H2190" s="131" t="n"/>
      <c r="I2190" s="637" t="n">
        <v>11171</v>
      </c>
      <c r="J2190" s="637" t="inlineStr">
        <is>
          <t>GPN_11171</t>
        </is>
      </c>
      <c r="K2190" s="640" t="n">
        <v>3</v>
      </c>
      <c r="L2190" s="640" t="n">
        <v>1</v>
      </c>
      <c r="M2190" s="623" t="n">
        <v>6</v>
      </c>
      <c r="N2190" s="640" t="n"/>
      <c r="O2190" s="640">
        <f>IF(AND(N2190=1,L2190=1),K2190,"")</f>
        <v/>
      </c>
      <c r="P2190" s="642" t="inlineStr">
        <is>
          <t>г. Москва, Каширское шоссе, вл. 57а.</t>
        </is>
      </c>
      <c r="Q2190" s="640" t="inlineStr">
        <is>
          <t>55.634425</t>
        </is>
      </c>
      <c r="R2190" s="494" t="inlineStr">
        <is>
          <t>37.701385</t>
        </is>
      </c>
      <c r="S2190" s="387" t="n"/>
      <c r="T2190" s="387" t="n"/>
      <c r="U2190" s="436" t="n"/>
      <c r="V2190" s="387" t="n"/>
      <c r="W2190" s="387">
        <f>IF(AND(N2190=1,O2190&lt;&gt;""),C2190,"")</f>
        <v/>
      </c>
      <c r="X2190" s="387" t="n"/>
      <c r="Y2190" s="387" t="n"/>
    </row>
    <row r="2191" hidden="1" ht="55.05" customFormat="1" customHeight="1" s="126">
      <c r="A2191" s="125" t="n">
        <v>2812</v>
      </c>
      <c r="B2191" s="125" t="n"/>
      <c r="C2191" s="130" t="inlineStr">
        <is>
          <t>Москва</t>
        </is>
      </c>
      <c r="D2191" s="130" t="inlineStr">
        <is>
          <t>Москва</t>
        </is>
      </c>
      <c r="E2191" s="130" t="inlineStr">
        <is>
          <t>МКАД</t>
        </is>
      </c>
      <c r="F2191" s="130" t="inlineStr">
        <is>
          <t>АЗС</t>
        </is>
      </c>
      <c r="G2191" s="130" t="inlineStr">
        <is>
          <t>Газпромнефть</t>
        </is>
      </c>
      <c r="H2191" s="131" t="n"/>
      <c r="I2191" s="637" t="n">
        <v>11157</v>
      </c>
      <c r="J2191" s="637" t="inlineStr">
        <is>
          <t>GPN_11157</t>
        </is>
      </c>
      <c r="K2191" s="640" t="n">
        <v>3</v>
      </c>
      <c r="L2191" s="640" t="n">
        <v>1</v>
      </c>
      <c r="M2191" s="623" t="n">
        <v>5</v>
      </c>
      <c r="N2191" s="640" t="n"/>
      <c r="O2191" s="640">
        <f>IF(AND(N2191=1,L2191=1),K2191,"")</f>
        <v/>
      </c>
      <c r="P2191" s="642" t="inlineStr">
        <is>
          <t>г. Москва, МКАД, 53км</t>
        </is>
      </c>
      <c r="Q2191" s="640" t="inlineStr">
        <is>
          <t>55.70683</t>
        </is>
      </c>
      <c r="R2191" s="494" t="inlineStr">
        <is>
          <t>37.393808</t>
        </is>
      </c>
      <c r="S2191" s="387" t="n"/>
      <c r="T2191" s="387" t="n"/>
      <c r="U2191" s="436" t="n"/>
      <c r="V2191" s="387" t="n"/>
      <c r="W2191" s="387">
        <f>IF(AND(N2191=1,O2191&lt;&gt;""),C2191,"")</f>
        <v/>
      </c>
      <c r="X2191" s="387" t="n"/>
      <c r="Y2191" s="387" t="n"/>
    </row>
    <row r="2192" hidden="1" ht="16.05" customFormat="1" customHeight="1" s="126">
      <c r="A2192" s="125" t="n">
        <v>2813</v>
      </c>
      <c r="B2192" s="125" t="n"/>
      <c r="C2192" s="130" t="inlineStr">
        <is>
          <t>Москва</t>
        </is>
      </c>
      <c r="D2192" s="130" t="inlineStr">
        <is>
          <t>Москва</t>
        </is>
      </c>
      <c r="E2192" s="130" t="inlineStr">
        <is>
          <t>ЗАО</t>
        </is>
      </c>
      <c r="F2192" s="130" t="inlineStr">
        <is>
          <t>АЗС</t>
        </is>
      </c>
      <c r="G2192" s="130" t="inlineStr">
        <is>
          <t>Газпромнефть</t>
        </is>
      </c>
      <c r="H2192" s="131" t="n"/>
      <c r="I2192" s="637" t="n">
        <v>11145</v>
      </c>
      <c r="J2192" s="637" t="inlineStr">
        <is>
          <t>GPN_11145</t>
        </is>
      </c>
      <c r="K2192" s="640" t="n">
        <v>3</v>
      </c>
      <c r="L2192" s="640" t="n">
        <v>1</v>
      </c>
      <c r="M2192" s="623" t="n">
        <v>5</v>
      </c>
      <c r="N2192" s="640" t="n"/>
      <c r="O2192" s="640">
        <f>IF(AND(N2192=1,L2192=1),K2192,"")</f>
        <v/>
      </c>
      <c r="P2192" s="642" t="inlineStr">
        <is>
          <t>г. Москва, ул. Барклая д.1Ж</t>
        </is>
      </c>
      <c r="Q2192" s="640" t="inlineStr">
        <is>
          <t>55.736909</t>
        </is>
      </c>
      <c r="R2192" s="494" t="inlineStr">
        <is>
          <t>37.511939</t>
        </is>
      </c>
      <c r="S2192" s="387" t="n"/>
      <c r="T2192" s="387" t="n"/>
      <c r="U2192" s="436" t="n"/>
      <c r="V2192" s="387" t="n"/>
      <c r="W2192" s="387">
        <f>IF(AND(N2192=1,O2192&lt;&gt;""),C2192,"")</f>
        <v/>
      </c>
      <c r="X2192" s="387" t="n"/>
      <c r="Y2192" s="387" t="n"/>
    </row>
    <row r="2193" hidden="1" ht="16.05" customFormat="1" customHeight="1" s="126">
      <c r="A2193" s="125" t="n">
        <v>2814</v>
      </c>
      <c r="B2193" s="125" t="n"/>
      <c r="C2193" s="130" t="inlineStr">
        <is>
          <t>Москва</t>
        </is>
      </c>
      <c r="D2193" s="130" t="inlineStr">
        <is>
          <t>Москва</t>
        </is>
      </c>
      <c r="E2193" s="130" t="inlineStr">
        <is>
          <t>ЮАО</t>
        </is>
      </c>
      <c r="F2193" s="130" t="inlineStr">
        <is>
          <t>АЗС</t>
        </is>
      </c>
      <c r="G2193" s="130" t="inlineStr">
        <is>
          <t>Газпромнефть</t>
        </is>
      </c>
      <c r="H2193" s="131" t="n"/>
      <c r="I2193" s="637" t="n">
        <v>11153</v>
      </c>
      <c r="J2193" s="637" t="inlineStr">
        <is>
          <t>GPN_11153</t>
        </is>
      </c>
      <c r="K2193" s="640" t="n">
        <v>1</v>
      </c>
      <c r="L2193" s="640" t="n">
        <v>1</v>
      </c>
      <c r="M2193" s="623" t="n">
        <v>1</v>
      </c>
      <c r="N2193" s="640" t="n"/>
      <c r="O2193" s="640">
        <f>IF(AND(N2193=1,L2193=1),K2193,"")</f>
        <v/>
      </c>
      <c r="P2193" s="642" t="inlineStr">
        <is>
          <t>г. Москва, ул. Подольских курсантов, вл.5Б</t>
        </is>
      </c>
      <c r="Q2193" s="640" t="inlineStr">
        <is>
          <t>55.60909</t>
        </is>
      </c>
      <c r="R2193" s="494" t="inlineStr">
        <is>
          <t>37.61733</t>
        </is>
      </c>
      <c r="S2193" s="387" t="n"/>
      <c r="T2193" s="387" t="n"/>
      <c r="U2193" s="436" t="n"/>
      <c r="V2193" s="387" t="n"/>
      <c r="W2193" s="387">
        <f>IF(AND(N2193=1,O2193&lt;&gt;""),C2193,"")</f>
        <v/>
      </c>
      <c r="X2193" s="387" t="n"/>
      <c r="Y2193" s="387" t="n"/>
    </row>
    <row r="2194" hidden="1" ht="16.05" customFormat="1" customHeight="1" s="126">
      <c r="A2194" s="125" t="n">
        <v>2815</v>
      </c>
      <c r="B2194" s="125" t="n"/>
      <c r="C2194" s="130" t="inlineStr">
        <is>
          <t>Москва</t>
        </is>
      </c>
      <c r="D2194" s="130" t="inlineStr">
        <is>
          <t>Москва</t>
        </is>
      </c>
      <c r="E2194" s="130" t="inlineStr">
        <is>
          <t>ЮАО</t>
        </is>
      </c>
      <c r="F2194" s="130" t="inlineStr">
        <is>
          <t>АЗС</t>
        </is>
      </c>
      <c r="G2194" s="130" t="inlineStr">
        <is>
          <t>Газпромнефть</t>
        </is>
      </c>
      <c r="H2194" s="131" t="n"/>
      <c r="I2194" s="637" t="n">
        <v>11146</v>
      </c>
      <c r="J2194" s="637" t="inlineStr">
        <is>
          <t>GPN_11146</t>
        </is>
      </c>
      <c r="K2194" s="640" t="n">
        <v>3</v>
      </c>
      <c r="L2194" s="640" t="n">
        <v>1</v>
      </c>
      <c r="M2194" s="623" t="n">
        <v>3</v>
      </c>
      <c r="N2194" s="640" t="n"/>
      <c r="O2194" s="640">
        <f>IF(AND(N2194=1,L2194=1),K2194,"")</f>
        <v/>
      </c>
      <c r="P2194" s="642" t="inlineStr">
        <is>
          <t>г. Москва, ул.Садовники, вл.11</t>
        </is>
      </c>
      <c r="Q2194" s="640" t="inlineStr">
        <is>
          <t>55.67368</t>
        </is>
      </c>
      <c r="R2194" s="494" t="inlineStr">
        <is>
          <t>37.65711</t>
        </is>
      </c>
      <c r="S2194" s="387" t="n"/>
      <c r="T2194" s="387" t="n"/>
      <c r="U2194" s="436" t="n"/>
      <c r="V2194" s="387" t="n"/>
      <c r="W2194" s="387">
        <f>IF(AND(N2194=1,O2194&lt;&gt;""),C2194,"")</f>
        <v/>
      </c>
      <c r="X2194" s="387" t="n"/>
      <c r="Y2194" s="387" t="n"/>
    </row>
    <row r="2195" hidden="1" ht="16.05" customFormat="1" customHeight="1" s="126">
      <c r="A2195" s="125" t="n">
        <v>2816</v>
      </c>
      <c r="B2195" s="125" t="n"/>
      <c r="C2195" s="130" t="inlineStr">
        <is>
          <t>Москва</t>
        </is>
      </c>
      <c r="D2195" s="130" t="inlineStr">
        <is>
          <t>Москва</t>
        </is>
      </c>
      <c r="E2195" s="130" t="inlineStr">
        <is>
          <t>ЮАО</t>
        </is>
      </c>
      <c r="F2195" s="130" t="inlineStr">
        <is>
          <t>АЗС</t>
        </is>
      </c>
      <c r="G2195" s="130" t="inlineStr">
        <is>
          <t>Газпромнефть</t>
        </is>
      </c>
      <c r="H2195" s="131" t="n"/>
      <c r="I2195" s="637" t="n">
        <v>11152</v>
      </c>
      <c r="J2195" s="637" t="inlineStr">
        <is>
          <t>GPN_11152</t>
        </is>
      </c>
      <c r="K2195" s="640" t="n">
        <v>3</v>
      </c>
      <c r="L2195" s="640" t="n">
        <v>0</v>
      </c>
      <c r="M2195" s="623" t="n">
        <v>4</v>
      </c>
      <c r="N2195" s="640" t="n"/>
      <c r="O2195" s="640">
        <f>IF(AND(N2195=1,L2195=1),K2195,"")</f>
        <v/>
      </c>
      <c r="P2195" s="642" t="inlineStr">
        <is>
          <t>г. Москва, Шепеловский проезд , вл.29А</t>
        </is>
      </c>
      <c r="Q2195" s="640" t="inlineStr">
        <is>
          <t>55.61632</t>
        </is>
      </c>
      <c r="R2195" s="494" t="inlineStr">
        <is>
          <t>37.69519</t>
        </is>
      </c>
      <c r="S2195" s="387" t="n"/>
      <c r="T2195" s="387" t="n"/>
      <c r="U2195" s="436" t="n"/>
      <c r="V2195" s="387" t="n"/>
      <c r="W2195" s="387">
        <f>IF(AND(N2195=1,O2195&lt;&gt;""),C2195,"")</f>
        <v/>
      </c>
      <c r="X2195" s="387" t="n"/>
      <c r="Y2195" s="387" t="n"/>
    </row>
    <row r="2196" hidden="1" ht="16.05" customFormat="1" customHeight="1" s="126">
      <c r="A2196" s="125" t="n">
        <v>2817</v>
      </c>
      <c r="B2196" s="125" t="n"/>
      <c r="C2196" s="130" t="inlineStr">
        <is>
          <t>Москва</t>
        </is>
      </c>
      <c r="D2196" s="130" t="inlineStr">
        <is>
          <t>Москва</t>
        </is>
      </c>
      <c r="E2196" s="130" t="inlineStr">
        <is>
          <t>ЮЗАО</t>
        </is>
      </c>
      <c r="F2196" s="130" t="inlineStr">
        <is>
          <t>АЗС</t>
        </is>
      </c>
      <c r="G2196" s="130" t="inlineStr">
        <is>
          <t>Газпромнефть</t>
        </is>
      </c>
      <c r="H2196" s="131" t="n"/>
      <c r="I2196" s="637" t="n">
        <v>11104</v>
      </c>
      <c r="J2196" s="637" t="inlineStr">
        <is>
          <t>GPN_11104</t>
        </is>
      </c>
      <c r="K2196" s="640" t="n">
        <v>3</v>
      </c>
      <c r="L2196" s="640" t="n">
        <v>1</v>
      </c>
      <c r="M2196" s="623" t="n">
        <v>3</v>
      </c>
      <c r="N2196" s="640" t="n"/>
      <c r="O2196" s="640">
        <f>IF(AND(N2196=1,L2196=1),K2196,"")</f>
        <v/>
      </c>
      <c r="P2196" s="642" t="inlineStr">
        <is>
          <t>г. Москва,ул.Дмитрия Ульянова,вл.9А</t>
        </is>
      </c>
      <c r="Q2196" s="640" t="inlineStr">
        <is>
          <t>55.690839</t>
        </is>
      </c>
      <c r="R2196" s="494" t="inlineStr">
        <is>
          <t>37.565966</t>
        </is>
      </c>
      <c r="S2196" s="387" t="n"/>
      <c r="T2196" s="387" t="n"/>
      <c r="U2196" s="436" t="n"/>
      <c r="V2196" s="387" t="n"/>
      <c r="W2196" s="387">
        <f>IF(AND(N2196=1,O2196&lt;&gt;""),C2196,"")</f>
        <v/>
      </c>
      <c r="X2196" s="387" t="n"/>
      <c r="Y2196" s="387" t="n"/>
    </row>
    <row r="2197" hidden="1" ht="16.05" customFormat="1" customHeight="1" s="126">
      <c r="A2197" s="125" t="n">
        <v>2818</v>
      </c>
      <c r="B2197" s="125" t="n"/>
      <c r="C2197" s="130" t="inlineStr">
        <is>
          <t>Москва</t>
        </is>
      </c>
      <c r="D2197" s="130" t="inlineStr">
        <is>
          <t>Москва</t>
        </is>
      </c>
      <c r="E2197" s="130" t="inlineStr">
        <is>
          <t>М10</t>
        </is>
      </c>
      <c r="F2197" s="130" t="inlineStr">
        <is>
          <t>АЗС</t>
        </is>
      </c>
      <c r="G2197" s="130" t="inlineStr">
        <is>
          <t>Газпромнефть</t>
        </is>
      </c>
      <c r="H2197" s="131" t="n"/>
      <c r="I2197" s="637" t="n">
        <v>12160</v>
      </c>
      <c r="J2197" s="637" t="inlineStr">
        <is>
          <t>GPN_12160</t>
        </is>
      </c>
      <c r="K2197" s="640" t="n">
        <v>3</v>
      </c>
      <c r="L2197" s="640" t="n">
        <v>1</v>
      </c>
      <c r="M2197" s="623" t="n">
        <v>6</v>
      </c>
      <c r="N2197" s="640" t="n"/>
      <c r="O2197" s="640">
        <f>IF(AND(N2197=1,L2197=1),K2197,"")</f>
        <v/>
      </c>
      <c r="P2197" s="642" t="inlineStr">
        <is>
          <t>г.Зеленоград,ВКЗ,Сосновая ал.</t>
        </is>
      </c>
      <c r="Q2197" s="640" t="inlineStr">
        <is>
          <t>55.979837</t>
        </is>
      </c>
      <c r="R2197" s="494" t="inlineStr">
        <is>
          <t>37.263825</t>
        </is>
      </c>
      <c r="S2197" s="387" t="n"/>
      <c r="T2197" s="387" t="n"/>
      <c r="U2197" s="436" t="n"/>
      <c r="V2197" s="387" t="n"/>
      <c r="W2197" s="387">
        <f>IF(AND(N2197=1,O2197&lt;&gt;""),C2197,"")</f>
        <v/>
      </c>
      <c r="X2197" s="387" t="n"/>
      <c r="Y2197" s="387" t="n"/>
    </row>
    <row r="2198" hidden="1" ht="16.05" customFormat="1" customHeight="1" s="126">
      <c r="A2198" s="125" t="n">
        <v>2819</v>
      </c>
      <c r="B2198" s="125" t="n"/>
      <c r="C2198" s="130" t="inlineStr">
        <is>
          <t>Москва</t>
        </is>
      </c>
      <c r="D2198" s="130" t="inlineStr">
        <is>
          <t>Москва</t>
        </is>
      </c>
      <c r="E2198" s="130" t="inlineStr">
        <is>
          <t>ЗАО</t>
        </is>
      </c>
      <c r="F2198" s="130" t="inlineStr">
        <is>
          <t>АЗС</t>
        </is>
      </c>
      <c r="G2198" s="130" t="inlineStr">
        <is>
          <t>Газпромнефть</t>
        </is>
      </c>
      <c r="H2198" s="131" t="n"/>
      <c r="I2198" s="637" t="n">
        <v>11119</v>
      </c>
      <c r="J2198" s="637" t="inlineStr">
        <is>
          <t>GPN_11119</t>
        </is>
      </c>
      <c r="K2198" s="640" t="n">
        <v>3</v>
      </c>
      <c r="L2198" s="640" t="n">
        <v>1</v>
      </c>
      <c r="M2198" s="623" t="n">
        <v>5</v>
      </c>
      <c r="N2198" s="640" t="n"/>
      <c r="O2198" s="640">
        <f>IF(AND(N2198=1,L2198=1),K2198,"")</f>
        <v/>
      </c>
      <c r="P2198" s="642" t="inlineStr">
        <is>
          <t>г.Москва, Кутузовский , 55</t>
        </is>
      </c>
      <c r="Q2198" s="640" t="inlineStr">
        <is>
          <t>55.729934</t>
        </is>
      </c>
      <c r="R2198" s="494" t="inlineStr">
        <is>
          <t>37.484343</t>
        </is>
      </c>
      <c r="S2198" s="387" t="n"/>
      <c r="T2198" s="387" t="n"/>
      <c r="U2198" s="436" t="n"/>
      <c r="V2198" s="387" t="n"/>
      <c r="W2198" s="387">
        <f>IF(AND(N2198=1,O2198&lt;&gt;""),C2198,"")</f>
        <v/>
      </c>
      <c r="X2198" s="387" t="n"/>
      <c r="Y2198" s="387" t="n"/>
    </row>
    <row r="2199" hidden="1" ht="16.05" customFormat="1" customHeight="1" s="126">
      <c r="A2199" s="125" t="n">
        <v>2820</v>
      </c>
      <c r="B2199" s="125" t="n"/>
      <c r="C2199" s="130" t="inlineStr">
        <is>
          <t>Москва</t>
        </is>
      </c>
      <c r="D2199" s="130" t="inlineStr">
        <is>
          <t>Москва</t>
        </is>
      </c>
      <c r="E2199" s="130" t="inlineStr">
        <is>
          <t>ЗАО</t>
        </is>
      </c>
      <c r="F2199" s="130" t="inlineStr">
        <is>
          <t>АЗС</t>
        </is>
      </c>
      <c r="G2199" s="130" t="inlineStr">
        <is>
          <t>Газпромнефть</t>
        </is>
      </c>
      <c r="H2199" s="131" t="n"/>
      <c r="I2199" s="637" t="n">
        <v>11118</v>
      </c>
      <c r="J2199" s="637" t="inlineStr">
        <is>
          <t>GPN_11118</t>
        </is>
      </c>
      <c r="K2199" s="640" t="n">
        <v>3</v>
      </c>
      <c r="L2199" s="640" t="n">
        <v>1</v>
      </c>
      <c r="M2199" s="623" t="n">
        <v>6</v>
      </c>
      <c r="N2199" s="640" t="n"/>
      <c r="O2199" s="640">
        <f>IF(AND(N2199=1,L2199=1),K2199,"")</f>
        <v/>
      </c>
      <c r="P2199" s="642" t="inlineStr">
        <is>
          <t>г.Москва, Кутузовский пр-кт, вл.52</t>
        </is>
      </c>
      <c r="Q2199" s="640" t="inlineStr">
        <is>
          <t>55.730943</t>
        </is>
      </c>
      <c r="R2199" s="494" t="inlineStr">
        <is>
          <t>37.483436</t>
        </is>
      </c>
      <c r="S2199" s="387" t="n"/>
      <c r="T2199" s="387" t="n"/>
      <c r="U2199" s="436" t="n"/>
      <c r="V2199" s="387" t="n"/>
      <c r="W2199" s="387">
        <f>IF(AND(N2199=1,O2199&lt;&gt;""),C2199,"")</f>
        <v/>
      </c>
      <c r="X2199" s="387" t="n"/>
      <c r="Y2199" s="387" t="n"/>
    </row>
    <row r="2200" hidden="1" ht="16.05" customFormat="1" customHeight="1" s="126">
      <c r="A2200" s="125" t="n">
        <v>2821</v>
      </c>
      <c r="B2200" s="125" t="n"/>
      <c r="C2200" s="130" t="inlineStr">
        <is>
          <t>Москва</t>
        </is>
      </c>
      <c r="D2200" s="130" t="inlineStr">
        <is>
          <t>Москва</t>
        </is>
      </c>
      <c r="E2200" s="130" t="inlineStr">
        <is>
          <t>ЮАО</t>
        </is>
      </c>
      <c r="F2200" s="130" t="inlineStr">
        <is>
          <t>АЗС</t>
        </is>
      </c>
      <c r="G2200" s="130" t="inlineStr">
        <is>
          <t>Газпромнефть</t>
        </is>
      </c>
      <c r="H2200" s="131" t="n"/>
      <c r="I2200" s="637" t="n">
        <v>11101</v>
      </c>
      <c r="J2200" s="637" t="inlineStr">
        <is>
          <t>GPN_11101</t>
        </is>
      </c>
      <c r="K2200" s="640" t="n">
        <v>3</v>
      </c>
      <c r="L2200" s="640" t="n">
        <v>1</v>
      </c>
      <c r="M2200" s="623" t="n">
        <v>6</v>
      </c>
      <c r="N2200" s="640" t="n"/>
      <c r="O2200" s="640">
        <f>IF(AND(N2200=1,L2200=1),K2200,"")</f>
        <v/>
      </c>
      <c r="P2200" s="642" t="inlineStr">
        <is>
          <t>г.Москва, Поляны ул., вл.2</t>
        </is>
      </c>
      <c r="Q2200" s="640" t="n">
        <v>55.570648</v>
      </c>
      <c r="R2200" s="494" t="n">
        <v>37.560976</v>
      </c>
      <c r="S2200" s="387" t="n"/>
      <c r="T2200" s="387" t="n"/>
      <c r="U2200" s="436" t="n"/>
      <c r="V2200" s="387" t="n"/>
      <c r="W2200" s="387">
        <f>IF(AND(N2200=1,O2200&lt;&gt;""),C2200,"")</f>
        <v/>
      </c>
      <c r="X2200" s="387" t="n"/>
      <c r="Y2200" s="387" t="n"/>
    </row>
    <row r="2201" hidden="1" ht="16.05" customFormat="1" customHeight="1" s="126">
      <c r="A2201" s="87" t="n">
        <v>2822</v>
      </c>
      <c r="B2201" s="87" t="n"/>
      <c r="C2201" s="130" t="inlineStr">
        <is>
          <t>Москва</t>
        </is>
      </c>
      <c r="D2201" s="130" t="inlineStr">
        <is>
          <t>Москва</t>
        </is>
      </c>
      <c r="E2201" s="130" t="inlineStr">
        <is>
          <t>ЗАО</t>
        </is>
      </c>
      <c r="F2201" s="130" t="inlineStr">
        <is>
          <t>АЗС</t>
        </is>
      </c>
      <c r="G2201" s="130" t="inlineStr">
        <is>
          <t>Газпромнефть</t>
        </is>
      </c>
      <c r="H2201" s="131" t="n"/>
      <c r="I2201" s="637" t="n">
        <v>11164</v>
      </c>
      <c r="J2201" s="637" t="inlineStr">
        <is>
          <t>GPN_11164</t>
        </is>
      </c>
      <c r="K2201" s="640" t="n">
        <v>3</v>
      </c>
      <c r="L2201" s="640" t="n">
        <v>1</v>
      </c>
      <c r="M2201" s="623" t="n">
        <v>6</v>
      </c>
      <c r="N2201" s="640" t="n"/>
      <c r="O2201" s="640">
        <f>IF(AND(N2201=1,L2201=1),K2201,"")</f>
        <v/>
      </c>
      <c r="P2201" s="642" t="inlineStr">
        <is>
          <t>г.Москва, пр-т Вернадского.100А</t>
        </is>
      </c>
      <c r="Q2201" s="640" t="inlineStr">
        <is>
          <t>55.651029</t>
        </is>
      </c>
      <c r="R2201" s="494" t="inlineStr">
        <is>
          <t>37.478513</t>
        </is>
      </c>
      <c r="S2201" s="387" t="n"/>
      <c r="T2201" s="387" t="n"/>
      <c r="U2201" s="436" t="n"/>
      <c r="V2201" s="387" t="n"/>
      <c r="W2201" s="387">
        <f>IF(AND(N2201=1,O2201&lt;&gt;""),C2201,"")</f>
        <v/>
      </c>
      <c r="X2201" s="387" t="n"/>
      <c r="Y2201" s="387" t="n"/>
    </row>
    <row r="2202" hidden="1" ht="16.05" customFormat="1" customHeight="1" s="126">
      <c r="A2202" s="87" t="n">
        <v>2823</v>
      </c>
      <c r="B2202" s="87" t="n"/>
      <c r="C2202" s="130" t="inlineStr">
        <is>
          <t>Москва</t>
        </is>
      </c>
      <c r="D2202" s="130" t="inlineStr">
        <is>
          <t>Москва</t>
        </is>
      </c>
      <c r="E2202" s="130" t="inlineStr">
        <is>
          <t>ЮВАО</t>
        </is>
      </c>
      <c r="F2202" s="130" t="inlineStr">
        <is>
          <t>АЗС</t>
        </is>
      </c>
      <c r="G2202" s="130" t="inlineStr">
        <is>
          <t>Газпромнефть</t>
        </is>
      </c>
      <c r="H2202" s="131" t="n"/>
      <c r="I2202" s="637" t="n">
        <v>11124</v>
      </c>
      <c r="J2202" s="637" t="inlineStr">
        <is>
          <t>GPN_11124</t>
        </is>
      </c>
      <c r="K2202" s="640" t="n">
        <v>3</v>
      </c>
      <c r="L2202" s="640" t="n">
        <v>1</v>
      </c>
      <c r="M2202" s="623" t="n">
        <v>3</v>
      </c>
      <c r="N2202" s="640" t="n"/>
      <c r="O2202" s="640">
        <f>IF(AND(N2202=1,L2202=1),K2202,"")</f>
        <v/>
      </c>
      <c r="P2202" s="642" t="inlineStr">
        <is>
          <t>г.Москва, ул Речников, вл.9</t>
        </is>
      </c>
      <c r="Q2202" s="640" t="inlineStr">
        <is>
          <t>55.684148</t>
        </is>
      </c>
      <c r="R2202" s="494" t="inlineStr">
        <is>
          <t>37.693911</t>
        </is>
      </c>
      <c r="S2202" s="387" t="n"/>
      <c r="T2202" s="387" t="n"/>
      <c r="U2202" s="436" t="n"/>
      <c r="V2202" s="387" t="n"/>
      <c r="W2202" s="387">
        <f>IF(AND(N2202=1,O2202&lt;&gt;""),C2202,"")</f>
        <v/>
      </c>
      <c r="X2202" s="387" t="n"/>
      <c r="Y2202" s="387" t="n"/>
    </row>
    <row r="2203" hidden="1" ht="16.05" customFormat="1" customHeight="1" s="126">
      <c r="A2203" s="87" t="n">
        <v>2824</v>
      </c>
      <c r="B2203" s="87" t="n"/>
      <c r="C2203" s="130" t="inlineStr">
        <is>
          <t>Москва</t>
        </is>
      </c>
      <c r="D2203" s="130" t="inlineStr">
        <is>
          <t>Москва</t>
        </is>
      </c>
      <c r="E2203" s="130" t="inlineStr">
        <is>
          <t>ЮВАО</t>
        </is>
      </c>
      <c r="F2203" s="130" t="inlineStr">
        <is>
          <t>АЗС</t>
        </is>
      </c>
      <c r="G2203" s="130" t="inlineStr">
        <is>
          <t>Газпромнефть</t>
        </is>
      </c>
      <c r="H2203" s="131" t="n"/>
      <c r="I2203" s="637" t="n">
        <v>11161</v>
      </c>
      <c r="J2203" s="637" t="inlineStr">
        <is>
          <t>GPN_11161</t>
        </is>
      </c>
      <c r="K2203" s="640" t="n">
        <v>3</v>
      </c>
      <c r="L2203" s="640" t="n">
        <v>1</v>
      </c>
      <c r="M2203" s="623" t="n">
        <v>6</v>
      </c>
      <c r="N2203" s="640" t="n"/>
      <c r="O2203" s="640">
        <f>IF(AND(N2203=1,L2203=1),K2203,"")</f>
        <v/>
      </c>
      <c r="P2203" s="642" t="inlineStr">
        <is>
          <t>г.Москва, ул.Подольская,вл.13</t>
        </is>
      </c>
      <c r="Q2203" s="640" t="inlineStr">
        <is>
          <t>55.65466</t>
        </is>
      </c>
      <c r="R2203" s="494" t="inlineStr">
        <is>
          <t>37.71041</t>
        </is>
      </c>
      <c r="S2203" s="387" t="n"/>
      <c r="T2203" s="387" t="n"/>
      <c r="U2203" s="436" t="n"/>
      <c r="V2203" s="387" t="n"/>
      <c r="W2203" s="387">
        <f>IF(AND(N2203=1,O2203&lt;&gt;""),C2203,"")</f>
        <v/>
      </c>
      <c r="X2203" s="387" t="n"/>
      <c r="Y2203" s="387" t="n"/>
    </row>
    <row r="2204" hidden="1" ht="16.05" customHeight="1">
      <c r="A2204" s="125" t="n">
        <v>2825</v>
      </c>
      <c r="B2204" s="125" t="n"/>
      <c r="C2204" s="130" t="inlineStr">
        <is>
          <t>Москва</t>
        </is>
      </c>
      <c r="D2204" s="130" t="inlineStr">
        <is>
          <t>Москва</t>
        </is>
      </c>
      <c r="E2204" s="130" t="inlineStr">
        <is>
          <t>САО</t>
        </is>
      </c>
      <c r="F2204" s="130" t="inlineStr">
        <is>
          <t>АЗС</t>
        </is>
      </c>
      <c r="G2204" s="130" t="inlineStr">
        <is>
          <t>Газпромнефть</t>
        </is>
      </c>
      <c r="H2204" s="131" t="n"/>
      <c r="I2204" s="637" t="n">
        <v>11138</v>
      </c>
      <c r="J2204" s="637" t="inlineStr">
        <is>
          <t>GPN_11138</t>
        </is>
      </c>
      <c r="K2204" s="640" t="n">
        <v>3</v>
      </c>
      <c r="L2204" s="640" t="n">
        <v>1</v>
      </c>
      <c r="M2204" s="623" t="n">
        <v>6</v>
      </c>
      <c r="N2204" s="640" t="n"/>
      <c r="O2204" s="640">
        <f>IF(AND(N2204=1,L2204=1),K2204,"")</f>
        <v/>
      </c>
      <c r="P2204" s="642" t="inlineStr">
        <is>
          <t>г.Москва,Алтуфьевское ш.,вл.106</t>
        </is>
      </c>
      <c r="Q2204" s="640" t="inlineStr">
        <is>
          <t>55.907591</t>
        </is>
      </c>
      <c r="R2204" s="494" t="inlineStr">
        <is>
          <t>37.588665</t>
        </is>
      </c>
      <c r="U2204" s="436" t="n"/>
      <c r="W2204" s="387">
        <f>IF(AND(N2204=1,O2204&lt;&gt;""),C2204,"")</f>
        <v/>
      </c>
      <c r="Z2204" s="126" t="n"/>
    </row>
    <row r="2205" hidden="1" ht="16.05" customHeight="1">
      <c r="A2205" s="125" t="n">
        <v>2826</v>
      </c>
      <c r="B2205" s="125" t="n"/>
      <c r="C2205" s="130" t="inlineStr">
        <is>
          <t>Москва</t>
        </is>
      </c>
      <c r="D2205" s="130" t="inlineStr">
        <is>
          <t>Москва</t>
        </is>
      </c>
      <c r="E2205" s="130" t="inlineStr">
        <is>
          <t>САО</t>
        </is>
      </c>
      <c r="F2205" s="130" t="inlineStr">
        <is>
          <t>АЗС</t>
        </is>
      </c>
      <c r="G2205" s="130" t="inlineStr">
        <is>
          <t>Газпромнефть</t>
        </is>
      </c>
      <c r="H2205" s="131" t="n"/>
      <c r="I2205" s="637" t="n">
        <v>11140</v>
      </c>
      <c r="J2205" s="637" t="inlineStr">
        <is>
          <t>GPN_11140</t>
        </is>
      </c>
      <c r="K2205" s="640" t="n">
        <v>3</v>
      </c>
      <c r="L2205" s="640" t="n">
        <v>1</v>
      </c>
      <c r="M2205" s="623" t="n">
        <v>3</v>
      </c>
      <c r="N2205" s="640" t="n"/>
      <c r="O2205" s="640">
        <f>IF(AND(N2205=1,L2205=1),K2205,"")</f>
        <v/>
      </c>
      <c r="P2205" s="642" t="inlineStr">
        <is>
          <t>г.Москва,Дыбенко ул.,9</t>
        </is>
      </c>
      <c r="Q2205" s="640" t="inlineStr">
        <is>
          <t>55.880036</t>
        </is>
      </c>
      <c r="R2205" s="494" t="inlineStr">
        <is>
          <t>37.48154</t>
        </is>
      </c>
      <c r="U2205" s="436" t="n"/>
      <c r="W2205" s="387">
        <f>IF(AND(N2205=1,O2205&lt;&gt;""),C2205,"")</f>
        <v/>
      </c>
      <c r="Z2205" s="126" t="n"/>
    </row>
    <row r="2206" hidden="1" ht="16.05" customHeight="1">
      <c r="A2206" s="125" t="n">
        <v>2827</v>
      </c>
      <c r="B2206" s="125" t="n"/>
      <c r="C2206" s="130" t="inlineStr">
        <is>
          <t>Москва</t>
        </is>
      </c>
      <c r="D2206" s="130" t="inlineStr">
        <is>
          <t>Москва</t>
        </is>
      </c>
      <c r="E2206" s="130" t="inlineStr">
        <is>
          <t>САО</t>
        </is>
      </c>
      <c r="F2206" s="130" t="inlineStr">
        <is>
          <t>АЗС</t>
        </is>
      </c>
      <c r="G2206" s="130" t="inlineStr">
        <is>
          <t>Газпромнефть</t>
        </is>
      </c>
      <c r="H2206" s="131" t="n"/>
      <c r="I2206" s="637" t="n">
        <v>11129</v>
      </c>
      <c r="J2206" s="637" t="inlineStr">
        <is>
          <t>GPN_11129</t>
        </is>
      </c>
      <c r="K2206" s="640" t="n">
        <v>3</v>
      </c>
      <c r="L2206" s="640" t="n">
        <v>1</v>
      </c>
      <c r="M2206" s="623" t="n">
        <v>3</v>
      </c>
      <c r="N2206" s="640" t="n"/>
      <c r="O2206" s="640">
        <f>IF(AND(N2206=1,L2206=1),K2206,"")</f>
        <v/>
      </c>
      <c r="P2206" s="642" t="inlineStr">
        <is>
          <t>г.Москва,Ижорская ул.,31-6</t>
        </is>
      </c>
      <c r="Q2206" s="640" t="inlineStr">
        <is>
          <t>55.89578</t>
        </is>
      </c>
      <c r="R2206" s="494" t="inlineStr">
        <is>
          <t>37.52598</t>
        </is>
      </c>
      <c r="U2206" s="436" t="n"/>
      <c r="W2206" s="387">
        <f>IF(AND(N2206=1,O2206&lt;&gt;""),C2206,"")</f>
        <v/>
      </c>
      <c r="Z2206" s="126" t="n"/>
    </row>
    <row r="2207" hidden="1" ht="16.05" customFormat="1" customHeight="1" s="126">
      <c r="A2207" s="125" t="n">
        <v>2828</v>
      </c>
      <c r="B2207" s="125" t="n"/>
      <c r="C2207" s="130" t="inlineStr">
        <is>
          <t>Москва</t>
        </is>
      </c>
      <c r="D2207" s="130" t="inlineStr">
        <is>
          <t>Москва</t>
        </is>
      </c>
      <c r="E2207" s="130" t="inlineStr">
        <is>
          <t>ЗАО</t>
        </is>
      </c>
      <c r="F2207" s="130" t="inlineStr">
        <is>
          <t>АЗС</t>
        </is>
      </c>
      <c r="G2207" s="130" t="inlineStr">
        <is>
          <t>Газпромнефть</t>
        </is>
      </c>
      <c r="H2207" s="131" t="n"/>
      <c r="I2207" s="637" t="n">
        <v>11100</v>
      </c>
      <c r="J2207" s="637" t="inlineStr">
        <is>
          <t>GPN_11100</t>
        </is>
      </c>
      <c r="K2207" s="640" t="n">
        <v>3</v>
      </c>
      <c r="L2207" s="640" t="n">
        <v>1</v>
      </c>
      <c r="M2207" s="623" t="n">
        <v>6</v>
      </c>
      <c r="N2207" s="640" t="n"/>
      <c r="O2207" s="640">
        <f>IF(AND(N2207=1,L2207=1),K2207,"")</f>
        <v/>
      </c>
      <c r="P2207" s="642" t="inlineStr">
        <is>
          <t>г.Москва,Лобачевского,92А</t>
        </is>
      </c>
      <c r="Q2207" s="640" t="inlineStr">
        <is>
          <t>55.67856</t>
        </is>
      </c>
      <c r="R2207" s="494" t="inlineStr">
        <is>
          <t>37.484413</t>
        </is>
      </c>
      <c r="S2207" s="387" t="n"/>
      <c r="T2207" s="387" t="n"/>
      <c r="U2207" s="436" t="n"/>
      <c r="V2207" s="387" t="n"/>
      <c r="W2207" s="387">
        <f>IF(AND(N2207=1,O2207&lt;&gt;""),C2207,"")</f>
        <v/>
      </c>
      <c r="X2207" s="387" t="n"/>
      <c r="Y2207" s="387" t="n"/>
    </row>
    <row r="2208" hidden="1" ht="16.05" customFormat="1" customHeight="1" s="126">
      <c r="A2208" s="125" t="n">
        <v>2830</v>
      </c>
      <c r="B2208" s="125" t="n"/>
      <c r="C2208" s="130" t="inlineStr">
        <is>
          <t>Москва</t>
        </is>
      </c>
      <c r="D2208" s="130" t="inlineStr">
        <is>
          <t>Москва</t>
        </is>
      </c>
      <c r="E2208" s="130" t="inlineStr">
        <is>
          <t>СВАО</t>
        </is>
      </c>
      <c r="F2208" s="130" t="inlineStr">
        <is>
          <t>АЗС</t>
        </is>
      </c>
      <c r="G2208" s="130" t="inlineStr">
        <is>
          <t>Газпромнефть</t>
        </is>
      </c>
      <c r="H2208" s="131" t="n"/>
      <c r="I2208" s="637" t="n">
        <v>11134</v>
      </c>
      <c r="J2208" s="637" t="inlineStr">
        <is>
          <t>GPN_11134</t>
        </is>
      </c>
      <c r="K2208" s="640" t="n">
        <v>3</v>
      </c>
      <c r="L2208" s="640" t="n">
        <v>1</v>
      </c>
      <c r="M2208" s="623" t="n">
        <v>3</v>
      </c>
      <c r="N2208" s="640" t="n"/>
      <c r="O2208" s="640">
        <f>IF(AND(N2208=1,L2208=1),K2208,"")</f>
        <v/>
      </c>
      <c r="P2208" s="642" t="inlineStr">
        <is>
          <t>г.Москва,Русаковская наб.,вл.7</t>
        </is>
      </c>
      <c r="Q2208" s="640" t="inlineStr">
        <is>
          <t>55.798318</t>
        </is>
      </c>
      <c r="R2208" s="494" t="inlineStr">
        <is>
          <t>37.698538</t>
        </is>
      </c>
      <c r="S2208" s="387" t="n"/>
      <c r="T2208" s="387" t="n"/>
      <c r="U2208" s="436" t="n"/>
      <c r="V2208" s="387" t="n"/>
      <c r="W2208" s="387">
        <f>IF(AND(N2208=1,O2208&lt;&gt;""),C2208,"")</f>
        <v/>
      </c>
      <c r="X2208" s="387" t="n"/>
      <c r="Y2208" s="387" t="n"/>
    </row>
    <row r="2209" hidden="1" ht="16.05" customFormat="1" customHeight="1" s="126">
      <c r="A2209" s="87" t="n">
        <v>2831</v>
      </c>
      <c r="B2209" s="87" t="n"/>
      <c r="C2209" s="130" t="inlineStr">
        <is>
          <t>Москва</t>
        </is>
      </c>
      <c r="D2209" s="130" t="inlineStr">
        <is>
          <t>Москва</t>
        </is>
      </c>
      <c r="E2209" s="130" t="inlineStr">
        <is>
          <t>СЗАО</t>
        </is>
      </c>
      <c r="F2209" s="130" t="inlineStr">
        <is>
          <t>АЗС</t>
        </is>
      </c>
      <c r="G2209" s="130" t="inlineStr">
        <is>
          <t>Газпромнефть</t>
        </is>
      </c>
      <c r="H2209" s="131" t="n"/>
      <c r="I2209" s="637" t="n">
        <v>11150</v>
      </c>
      <c r="J2209" s="637" t="inlineStr">
        <is>
          <t>GPN_11150</t>
        </is>
      </c>
      <c r="K2209" s="640" t="n">
        <v>3</v>
      </c>
      <c r="L2209" s="640" t="n">
        <v>1</v>
      </c>
      <c r="M2209" s="623" t="n">
        <v>6</v>
      </c>
      <c r="N2209" s="640" t="n"/>
      <c r="O2209" s="640">
        <f>IF(AND(N2209=1,L2209=1),K2209,"")</f>
        <v/>
      </c>
      <c r="P2209" s="642" t="inlineStr">
        <is>
          <t>г.Москва,Свободы ул,70</t>
        </is>
      </c>
      <c r="Q2209" s="640" t="inlineStr">
        <is>
          <t>55.872223</t>
        </is>
      </c>
      <c r="R2209" s="494" t="inlineStr">
        <is>
          <t>37.441008</t>
        </is>
      </c>
      <c r="S2209" s="387" t="n"/>
      <c r="T2209" s="387" t="n"/>
      <c r="U2209" s="436" t="n"/>
      <c r="V2209" s="387" t="n"/>
      <c r="W2209" s="387">
        <f>IF(AND(N2209=1,O2209&lt;&gt;""),C2209,"")</f>
        <v/>
      </c>
      <c r="X2209" s="387" t="n"/>
      <c r="Y2209" s="387" t="n"/>
    </row>
    <row r="2210" hidden="1" ht="16.05" customFormat="1" customHeight="1" s="126">
      <c r="A2210" s="125" t="n">
        <v>2829</v>
      </c>
      <c r="B2210" s="125" t="n"/>
      <c r="C2210" s="130" t="inlineStr">
        <is>
          <t>Москва</t>
        </is>
      </c>
      <c r="D2210" s="130" t="inlineStr">
        <is>
          <t>Москва</t>
        </is>
      </c>
      <c r="E2210" s="130" t="inlineStr">
        <is>
          <t>МКАД</t>
        </is>
      </c>
      <c r="F2210" s="130" t="inlineStr">
        <is>
          <t>АЗС</t>
        </is>
      </c>
      <c r="G2210" s="130" t="inlineStr">
        <is>
          <t>Газпромнефть</t>
        </is>
      </c>
      <c r="H2210" s="131" t="n"/>
      <c r="I2210" s="637" t="n">
        <v>11123</v>
      </c>
      <c r="J2210" s="637" t="inlineStr">
        <is>
          <t>GPN_11123</t>
        </is>
      </c>
      <c r="K2210" s="640" t="n">
        <v>3</v>
      </c>
      <c r="L2210" s="640" t="n">
        <v>1</v>
      </c>
      <c r="M2210" s="623" t="n">
        <v>5</v>
      </c>
      <c r="N2210" s="640" t="n"/>
      <c r="O2210" s="640">
        <f>IF(AND(N2210=1,L2210=1),K2210,"")</f>
        <v/>
      </c>
      <c r="P2210" s="642" t="inlineStr">
        <is>
          <t>г.Москва,МКАД,83 км., вл.14</t>
        </is>
      </c>
      <c r="Q2210" s="640" t="inlineStr">
        <is>
          <t>55.910362</t>
        </is>
      </c>
      <c r="R2210" s="494" t="inlineStr">
        <is>
          <t>37.578645</t>
        </is>
      </c>
      <c r="S2210" s="387" t="n"/>
      <c r="T2210" s="387" t="n"/>
      <c r="U2210" s="436" t="n"/>
      <c r="V2210" s="387" t="n"/>
      <c r="W2210" s="387">
        <f>IF(AND(N2210=1,O2210&lt;&gt;""),C2210,"")</f>
        <v/>
      </c>
      <c r="X2210" s="387" t="n"/>
      <c r="Y2210" s="387" t="n"/>
    </row>
    <row r="2211" hidden="1" ht="16.05" customFormat="1" customHeight="1" s="126">
      <c r="A2211" s="125" t="n">
        <v>2832</v>
      </c>
      <c r="B2211" s="125" t="n"/>
      <c r="C2211" s="130" t="inlineStr">
        <is>
          <t>Москва</t>
        </is>
      </c>
      <c r="D2211" s="130" t="inlineStr">
        <is>
          <t>Москва</t>
        </is>
      </c>
      <c r="E2211" s="130" t="inlineStr">
        <is>
          <t>ВАО</t>
        </is>
      </c>
      <c r="F2211" s="130" t="inlineStr">
        <is>
          <t>АЗС</t>
        </is>
      </c>
      <c r="G2211" s="130" t="inlineStr">
        <is>
          <t>Газпромнефть</t>
        </is>
      </c>
      <c r="H2211" s="131" t="n"/>
      <c r="I2211" s="637" t="n">
        <v>11137</v>
      </c>
      <c r="J2211" s="637" t="inlineStr">
        <is>
          <t>GPN_11137</t>
        </is>
      </c>
      <c r="K2211" s="640" t="n">
        <v>3</v>
      </c>
      <c r="L2211" s="640" t="n">
        <v>1</v>
      </c>
      <c r="M2211" s="623" t="n">
        <v>3</v>
      </c>
      <c r="N2211" s="640" t="n"/>
      <c r="O2211" s="640">
        <f>IF(AND(N2211=1,L2211=1),K2211,"")</f>
        <v/>
      </c>
      <c r="P2211" s="642" t="inlineStr">
        <is>
          <t>г.Москва,Сормовский пр-д,вл.9</t>
        </is>
      </c>
      <c r="Q2211" s="640" t="inlineStr">
        <is>
          <t>55.70771</t>
        </is>
      </c>
      <c r="R2211" s="494" t="inlineStr">
        <is>
          <t>37.80037</t>
        </is>
      </c>
      <c r="S2211" s="387" t="n"/>
      <c r="T2211" s="387" t="n"/>
      <c r="U2211" s="436" t="n"/>
      <c r="V2211" s="387" t="n"/>
      <c r="W2211" s="387">
        <f>IF(AND(N2211=1,O2211&lt;&gt;""),C2211,"")</f>
        <v/>
      </c>
      <c r="X2211" s="387" t="n"/>
      <c r="Y2211" s="387" t="n"/>
    </row>
    <row r="2212" hidden="1" ht="16.05" customFormat="1" customHeight="1" s="126">
      <c r="A2212" s="125" t="n">
        <v>2833</v>
      </c>
      <c r="B2212" s="125" t="n"/>
      <c r="C2212" s="130" t="inlineStr">
        <is>
          <t>Москва</t>
        </is>
      </c>
      <c r="D2212" s="130" t="inlineStr">
        <is>
          <t>Москва</t>
        </is>
      </c>
      <c r="E2212" s="130" t="inlineStr">
        <is>
          <t>ЗАО</t>
        </is>
      </c>
      <c r="F2212" s="130" t="inlineStr">
        <is>
          <t>АЗС</t>
        </is>
      </c>
      <c r="G2212" s="130" t="inlineStr">
        <is>
          <t>Газпромнефть</t>
        </is>
      </c>
      <c r="H2212" s="131" t="n"/>
      <c r="I2212" s="637" t="n">
        <v>11130</v>
      </c>
      <c r="J2212" s="637" t="inlineStr">
        <is>
          <t>GPN_11130</t>
        </is>
      </c>
      <c r="K2212" s="640" t="n">
        <v>3</v>
      </c>
      <c r="L2212" s="640" t="n">
        <v>1</v>
      </c>
      <c r="M2212" s="623" t="n">
        <v>6</v>
      </c>
      <c r="N2212" s="640" t="n"/>
      <c r="O2212" s="640">
        <f>IF(AND(N2212=1,L2212=1),K2212,"")</f>
        <v/>
      </c>
      <c r="P2212" s="642" t="inlineStr">
        <is>
          <t>Г.Москва,ул Минская,9км</t>
        </is>
      </c>
      <c r="Q2212" s="640" t="inlineStr">
        <is>
          <t>55.726208</t>
        </is>
      </c>
      <c r="R2212" s="494" t="inlineStr">
        <is>
          <t>37.494713</t>
        </is>
      </c>
      <c r="S2212" s="387" t="n"/>
      <c r="T2212" s="387" t="n"/>
      <c r="U2212" s="436" t="n"/>
      <c r="V2212" s="387" t="n"/>
      <c r="W2212" s="387">
        <f>IF(AND(N2212=1,O2212&lt;&gt;""),C2212,"")</f>
        <v/>
      </c>
      <c r="X2212" s="387" t="n"/>
      <c r="Y2212" s="387" t="n"/>
    </row>
    <row r="2213" hidden="1" ht="16.05" customHeight="1">
      <c r="A2213" s="125" t="n">
        <v>2834</v>
      </c>
      <c r="B2213" s="125" t="n"/>
      <c r="C2213" s="130" t="inlineStr">
        <is>
          <t>Москва</t>
        </is>
      </c>
      <c r="D2213" s="130" t="inlineStr">
        <is>
          <t>Москва</t>
        </is>
      </c>
      <c r="E2213" s="130" t="inlineStr">
        <is>
          <t>ЮЗАО</t>
        </is>
      </c>
      <c r="F2213" s="130" t="inlineStr">
        <is>
          <t>АЗС</t>
        </is>
      </c>
      <c r="G2213" s="130" t="inlineStr">
        <is>
          <t>Газпромнефть</t>
        </is>
      </c>
      <c r="H2213" s="131" t="n"/>
      <c r="I2213" s="637" t="n">
        <v>11105</v>
      </c>
      <c r="J2213" s="637" t="inlineStr">
        <is>
          <t>GPN_11105</t>
        </is>
      </c>
      <c r="K2213" s="640" t="n">
        <v>1</v>
      </c>
      <c r="L2213" s="640" t="n">
        <v>1</v>
      </c>
      <c r="M2213" s="623" t="n">
        <v>1</v>
      </c>
      <c r="N2213" s="640" t="n"/>
      <c r="O2213" s="640">
        <f>IF(AND(N2213=1,L2213=1),K2213,"")</f>
        <v/>
      </c>
      <c r="P2213" s="642" t="inlineStr">
        <is>
          <t>г.Москва,ул Обручева,вл.42А</t>
        </is>
      </c>
      <c r="Q2213" s="640" t="inlineStr">
        <is>
          <t>55.652019</t>
        </is>
      </c>
      <c r="R2213" s="494" t="inlineStr">
        <is>
          <t>37.546929</t>
        </is>
      </c>
      <c r="U2213" s="436" t="n"/>
      <c r="W2213" s="387">
        <f>IF(AND(N2213=1,O2213&lt;&gt;""),C2213,"")</f>
        <v/>
      </c>
      <c r="Z2213" s="126" t="n"/>
    </row>
    <row r="2214" hidden="1" ht="16.05" customFormat="1" customHeight="1" s="126">
      <c r="A2214" s="87" t="n">
        <v>2835</v>
      </c>
      <c r="B2214" s="87" t="n"/>
      <c r="C2214" s="130" t="inlineStr">
        <is>
          <t>Москва</t>
        </is>
      </c>
      <c r="D2214" s="130" t="inlineStr">
        <is>
          <t>Москва</t>
        </is>
      </c>
      <c r="E2214" s="130" t="inlineStr">
        <is>
          <t>СЗАО</t>
        </is>
      </c>
      <c r="F2214" s="130" t="inlineStr">
        <is>
          <t>АЗС</t>
        </is>
      </c>
      <c r="G2214" s="130" t="inlineStr">
        <is>
          <t>Газпромнефть</t>
        </is>
      </c>
      <c r="H2214" s="131" t="n"/>
      <c r="I2214" s="637" t="n">
        <v>11149</v>
      </c>
      <c r="J2214" s="637" t="inlineStr">
        <is>
          <t>GPN_11149</t>
        </is>
      </c>
      <c r="K2214" s="640" t="n">
        <v>3</v>
      </c>
      <c r="L2214" s="640" t="n">
        <v>1</v>
      </c>
      <c r="M2214" s="623" t="n">
        <v>6</v>
      </c>
      <c r="N2214" s="640" t="n"/>
      <c r="O2214" s="640">
        <f>IF(AND(N2214=1,L2214=1),K2214,"")</f>
        <v/>
      </c>
      <c r="P2214" s="642" t="inlineStr">
        <is>
          <t>г.Москва,ул.Беломорская,вл.2А</t>
        </is>
      </c>
      <c r="Q2214" s="640" t="inlineStr">
        <is>
          <t>55.862098</t>
        </is>
      </c>
      <c r="R2214" s="494" t="inlineStr">
        <is>
          <t>37.466849</t>
        </is>
      </c>
      <c r="S2214" s="387" t="n"/>
      <c r="T2214" s="387" t="n"/>
      <c r="U2214" s="436" t="n"/>
      <c r="V2214" s="387" t="n"/>
      <c r="W2214" s="387">
        <f>IF(AND(N2214=1,O2214&lt;&gt;""),C2214,"")</f>
        <v/>
      </c>
      <c r="X2214" s="387" t="n"/>
      <c r="Y2214" s="387" t="n"/>
    </row>
    <row r="2215" hidden="1" ht="16.05" customFormat="1" customHeight="1" s="126">
      <c r="A2215" s="125" t="n">
        <v>2836</v>
      </c>
      <c r="B2215" s="125" t="n"/>
      <c r="C2215" s="130" t="inlineStr">
        <is>
          <t>Москва</t>
        </is>
      </c>
      <c r="D2215" s="130" t="inlineStr">
        <is>
          <t>Москва</t>
        </is>
      </c>
      <c r="E2215" s="130" t="inlineStr">
        <is>
          <t>ЮАО</t>
        </is>
      </c>
      <c r="F2215" s="130" t="inlineStr">
        <is>
          <t>АЗС</t>
        </is>
      </c>
      <c r="G2215" s="130" t="inlineStr">
        <is>
          <t>Газпромнефть</t>
        </is>
      </c>
      <c r="H2215" s="131" t="n"/>
      <c r="I2215" s="637" t="n">
        <v>11144</v>
      </c>
      <c r="J2215" s="637" t="inlineStr">
        <is>
          <t>GPN_11144</t>
        </is>
      </c>
      <c r="K2215" s="640" t="n">
        <v>3</v>
      </c>
      <c r="L2215" s="640" t="n">
        <v>1</v>
      </c>
      <c r="M2215" s="623" t="n">
        <v>5</v>
      </c>
      <c r="N2215" s="640" t="n"/>
      <c r="O2215" s="640">
        <f>IF(AND(N2215=1,L2215=1),K2215,"")</f>
        <v/>
      </c>
      <c r="P2215" s="642" t="inlineStr">
        <is>
          <t>г.Москва,ул.Красного Маяка,вл.14А</t>
        </is>
      </c>
      <c r="Q2215" s="640" t="inlineStr">
        <is>
          <t>55.613265</t>
        </is>
      </c>
      <c r="R2215" s="494" t="inlineStr">
        <is>
          <t>37.588943</t>
        </is>
      </c>
      <c r="S2215" s="387" t="n"/>
      <c r="T2215" s="387" t="n"/>
      <c r="U2215" s="436" t="n"/>
      <c r="V2215" s="387" t="n"/>
      <c r="W2215" s="387">
        <f>IF(AND(N2215=1,O2215&lt;&gt;""),C2215,"")</f>
        <v/>
      </c>
      <c r="X2215" s="387" t="n"/>
      <c r="Y2215" s="387" t="n"/>
    </row>
    <row r="2216" hidden="1" ht="16.05" customFormat="1" customHeight="1" s="126">
      <c r="A2216" s="125" t="n">
        <v>2837</v>
      </c>
      <c r="B2216" s="125" t="n"/>
      <c r="C2216" s="130" t="inlineStr">
        <is>
          <t>Москва</t>
        </is>
      </c>
      <c r="D2216" s="130" t="inlineStr">
        <is>
          <t>Москва</t>
        </is>
      </c>
      <c r="E2216" s="130" t="inlineStr">
        <is>
          <t>ЗАО</t>
        </is>
      </c>
      <c r="F2216" s="130" t="inlineStr">
        <is>
          <t>АЗС</t>
        </is>
      </c>
      <c r="G2216" s="130" t="inlineStr">
        <is>
          <t>Газпромнефть</t>
        </is>
      </c>
      <c r="H2216" s="131" t="n"/>
      <c r="I2216" s="637" t="n">
        <v>11162</v>
      </c>
      <c r="J2216" s="637" t="inlineStr">
        <is>
          <t>GPN_11162</t>
        </is>
      </c>
      <c r="K2216" s="640" t="n">
        <v>3</v>
      </c>
      <c r="L2216" s="640" t="n">
        <v>1</v>
      </c>
      <c r="M2216" s="623" t="n">
        <v>6</v>
      </c>
      <c r="N2216" s="640" t="n"/>
      <c r="O2216" s="640">
        <f>IF(AND(N2216=1,L2216=1),K2216,"")</f>
        <v/>
      </c>
      <c r="P2216" s="642" t="inlineStr">
        <is>
          <t>г.Москва,ул.Лобачевского,21</t>
        </is>
      </c>
      <c r="Q2216" s="640" t="inlineStr">
        <is>
          <t>55.677737</t>
        </is>
      </c>
      <c r="R2216" s="494" t="inlineStr">
        <is>
          <t>37.481569</t>
        </is>
      </c>
      <c r="S2216" s="387" t="n"/>
      <c r="T2216" s="387" t="n"/>
      <c r="U2216" s="436" t="n"/>
      <c r="V2216" s="387" t="n"/>
      <c r="W2216" s="387">
        <f>IF(AND(N2216=1,O2216&lt;&gt;""),C2216,"")</f>
        <v/>
      </c>
      <c r="X2216" s="387" t="n"/>
      <c r="Y2216" s="387" t="n"/>
    </row>
    <row r="2217" hidden="1" ht="16.05" customHeight="1">
      <c r="A2217" s="125" t="n">
        <v>2838</v>
      </c>
      <c r="B2217" s="125" t="n"/>
      <c r="C2217" s="130" t="inlineStr">
        <is>
          <t>Москва</t>
        </is>
      </c>
      <c r="D2217" s="130" t="inlineStr">
        <is>
          <t>Москва</t>
        </is>
      </c>
      <c r="E2217" s="130" t="inlineStr">
        <is>
          <t>ВАО</t>
        </is>
      </c>
      <c r="F2217" s="130" t="inlineStr">
        <is>
          <t>АЗС</t>
        </is>
      </c>
      <c r="G2217" s="130" t="inlineStr">
        <is>
          <t>Газпромнефть</t>
        </is>
      </c>
      <c r="H2217" s="131" t="n"/>
      <c r="I2217" s="637" t="n">
        <v>11106</v>
      </c>
      <c r="J2217" s="637" t="inlineStr">
        <is>
          <t>GPN_11106</t>
        </is>
      </c>
      <c r="K2217" s="640" t="n">
        <v>3</v>
      </c>
      <c r="L2217" s="640" t="n">
        <v>1</v>
      </c>
      <c r="M2217" s="623" t="n">
        <v>3</v>
      </c>
      <c r="N2217" s="640" t="n"/>
      <c r="O2217" s="640">
        <f>IF(AND(N2217=1,L2217=1),K2217,"")</f>
        <v/>
      </c>
      <c r="P2217" s="642" t="inlineStr">
        <is>
          <t>г.Москва,ул.Ставропольская,вл.31</t>
        </is>
      </c>
      <c r="Q2217" s="640" t="inlineStr">
        <is>
          <t>55.68237</t>
        </is>
      </c>
      <c r="R2217" s="494" t="inlineStr">
        <is>
          <t>37.77365</t>
        </is>
      </c>
      <c r="U2217" s="436" t="n"/>
      <c r="W2217" s="387">
        <f>IF(AND(N2217=1,O2217&lt;&gt;""),C2217,"")</f>
        <v/>
      </c>
      <c r="Z2217" s="126" t="n"/>
    </row>
    <row r="2218" hidden="1" ht="16.05" customFormat="1" customHeight="1" s="126">
      <c r="A2218" s="87" t="n">
        <v>2839</v>
      </c>
      <c r="B2218" s="87" t="n"/>
      <c r="C2218" s="130" t="inlineStr">
        <is>
          <t>Москва</t>
        </is>
      </c>
      <c r="D2218" s="130" t="inlineStr">
        <is>
          <t>Москва</t>
        </is>
      </c>
      <c r="E2218" s="130" t="inlineStr">
        <is>
          <t>САО</t>
        </is>
      </c>
      <c r="F2218" s="130" t="inlineStr">
        <is>
          <t>АЗС</t>
        </is>
      </c>
      <c r="G2218" s="130" t="inlineStr">
        <is>
          <t>Газпромнефть</t>
        </is>
      </c>
      <c r="H2218" s="131" t="n"/>
      <c r="I2218" s="637" t="n">
        <v>11141</v>
      </c>
      <c r="J2218" s="637" t="inlineStr">
        <is>
          <t>GPN_11141</t>
        </is>
      </c>
      <c r="K2218" s="640" t="n">
        <v>3</v>
      </c>
      <c r="L2218" s="640" t="n">
        <v>1</v>
      </c>
      <c r="M2218" s="623" t="n">
        <v>3</v>
      </c>
      <c r="N2218" s="640" t="n"/>
      <c r="O2218" s="640">
        <f>IF(AND(N2218=1,L2218=1),K2218,"")</f>
        <v/>
      </c>
      <c r="P2218" s="642" t="inlineStr">
        <is>
          <t>г.Москва,Фестивальная ул.,д.6</t>
        </is>
      </c>
      <c r="Q2218" s="640" t="n">
        <v>55.858049</v>
      </c>
      <c r="R2218" s="494" t="n">
        <v>37.487622</v>
      </c>
      <c r="S2218" s="387" t="n"/>
      <c r="T2218" s="387" t="n"/>
      <c r="U2218" s="436" t="n"/>
      <c r="V2218" s="387" t="n"/>
      <c r="W2218" s="387">
        <f>IF(AND(N2218=1,O2218&lt;&gt;""),C2218,"")</f>
        <v/>
      </c>
      <c r="X2218" s="387" t="n"/>
      <c r="Y2218" s="387" t="n"/>
    </row>
    <row r="2219" hidden="1" ht="16.05" customFormat="1" customHeight="1" s="126">
      <c r="A2219" s="125" t="n">
        <v>2840</v>
      </c>
      <c r="B2219" s="125" t="n"/>
      <c r="C2219" s="130" t="inlineStr">
        <is>
          <t>Москва</t>
        </is>
      </c>
      <c r="D2219" s="130" t="inlineStr">
        <is>
          <t>Московская область</t>
        </is>
      </c>
      <c r="E2219" s="130" t="inlineStr">
        <is>
          <t>М2</t>
        </is>
      </c>
      <c r="F2219" s="130" t="inlineStr">
        <is>
          <t>АЗС</t>
        </is>
      </c>
      <c r="G2219" s="130" t="inlineStr">
        <is>
          <t>Газпромнефть</t>
        </is>
      </c>
      <c r="H2219" s="131" t="n"/>
      <c r="I2219" s="637" t="n">
        <v>12191</v>
      </c>
      <c r="J2219" s="637" t="inlineStr">
        <is>
          <t>GPN_11191</t>
        </is>
      </c>
      <c r="K2219" s="640" t="n">
        <v>3</v>
      </c>
      <c r="L2219" s="640" t="n">
        <v>1</v>
      </c>
      <c r="M2219" s="623" t="n">
        <v>5</v>
      </c>
      <c r="N2219" s="640" t="n"/>
      <c r="O2219" s="640">
        <f>IF(AND(N2219=1,L2219=1),K2219,"")</f>
        <v/>
      </c>
      <c r="P2219" s="642" t="inlineStr">
        <is>
          <t>г.Подольск, ул.Лапшенкова, 1</t>
        </is>
      </c>
      <c r="Q2219" s="640" t="inlineStr">
        <is>
          <t>55.40432</t>
        </is>
      </c>
      <c r="R2219" s="494" t="inlineStr">
        <is>
          <t>37.545842</t>
        </is>
      </c>
      <c r="S2219" s="387" t="n"/>
      <c r="T2219" s="387" t="n"/>
      <c r="U2219" s="436" t="n"/>
      <c r="V2219" s="387" t="n"/>
      <c r="W2219" s="387">
        <f>IF(AND(N2219=1,O2219&lt;&gt;""),C2219,"")</f>
        <v/>
      </c>
      <c r="X2219" s="387" t="n"/>
      <c r="Y2219" s="387" t="n"/>
    </row>
    <row r="2220" hidden="1" ht="16.05" customFormat="1" customHeight="1" s="126">
      <c r="A2220" s="125" t="n">
        <v>2841</v>
      </c>
      <c r="B2220" s="125" t="n"/>
      <c r="C2220" s="130" t="inlineStr">
        <is>
          <t>Москва</t>
        </is>
      </c>
      <c r="D2220" s="130" t="inlineStr">
        <is>
          <t>Москва</t>
        </is>
      </c>
      <c r="E2220" s="130" t="inlineStr">
        <is>
          <t>МКАД</t>
        </is>
      </c>
      <c r="F2220" s="130" t="inlineStr">
        <is>
          <t>АЗС</t>
        </is>
      </c>
      <c r="G2220" s="130" t="inlineStr">
        <is>
          <t>Газпромнефть</t>
        </is>
      </c>
      <c r="H2220" s="131" t="n"/>
      <c r="I2220" s="637" t="n">
        <v>11166</v>
      </c>
      <c r="J2220" s="637" t="inlineStr">
        <is>
          <t>GPN_11166</t>
        </is>
      </c>
      <c r="K2220" s="640" t="n">
        <v>3</v>
      </c>
      <c r="L2220" s="640" t="n">
        <v>1</v>
      </c>
      <c r="M2220" s="623" t="n">
        <v>6</v>
      </c>
      <c r="N2220" s="640" t="n"/>
      <c r="O2220" s="640">
        <f>IF(AND(N2220=1,L2220=1),K2220,"")</f>
        <v/>
      </c>
      <c r="P2220" s="642" t="inlineStr">
        <is>
          <t>Коримос 1000(мкад внут сторона16км вл4)</t>
        </is>
      </c>
      <c r="Q2220" s="640" t="inlineStr">
        <is>
          <t>55.644478</t>
        </is>
      </c>
      <c r="R2220" s="494" t="inlineStr">
        <is>
          <t>37.821299</t>
        </is>
      </c>
      <c r="S2220" s="387" t="n"/>
      <c r="T2220" s="387" t="n"/>
      <c r="U2220" s="436" t="n"/>
      <c r="V2220" s="387" t="n"/>
      <c r="W2220" s="387">
        <f>IF(AND(N2220=1,O2220&lt;&gt;""),C2220,"")</f>
        <v/>
      </c>
      <c r="X2220" s="387" t="n"/>
      <c r="Y2220" s="387" t="n"/>
    </row>
    <row r="2221" hidden="1" ht="16.05" customHeight="1">
      <c r="A2221" s="125" t="n">
        <v>2842</v>
      </c>
      <c r="B2221" s="125" t="n"/>
      <c r="C2221" s="130" t="inlineStr">
        <is>
          <t>Москва</t>
        </is>
      </c>
      <c r="D2221" s="130" t="inlineStr">
        <is>
          <t>Московская область</t>
        </is>
      </c>
      <c r="E2221" s="130" t="inlineStr">
        <is>
          <t>М2</t>
        </is>
      </c>
      <c r="F2221" s="130" t="inlineStr">
        <is>
          <t>АЗС</t>
        </is>
      </c>
      <c r="G2221" s="130" t="inlineStr">
        <is>
          <t>Газпромнефть</t>
        </is>
      </c>
      <c r="H2221" s="131" t="n"/>
      <c r="I2221" s="637" t="n">
        <v>12029</v>
      </c>
      <c r="J2221" s="637" t="inlineStr">
        <is>
          <t>GPN_12029</t>
        </is>
      </c>
      <c r="K2221" s="640" t="n">
        <v>3</v>
      </c>
      <c r="L2221" s="640" t="n">
        <v>1</v>
      </c>
      <c r="M2221" s="623" t="n">
        <v>3</v>
      </c>
      <c r="N2221" s="640" t="n"/>
      <c r="O2221" s="640">
        <f>IF(AND(N2221=1,L2221=1),K2221,"")</f>
        <v/>
      </c>
      <c r="P2221" s="642" t="inlineStr">
        <is>
          <t>Лаговская 1</t>
        </is>
      </c>
      <c r="Q2221" s="640" t="inlineStr">
        <is>
          <t>55.31161</t>
        </is>
      </c>
      <c r="R2221" s="494" t="inlineStr">
        <is>
          <t>37.55202</t>
        </is>
      </c>
      <c r="U2221" s="436" t="n"/>
      <c r="W2221" s="387">
        <f>IF(AND(N2221=1,O2221&lt;&gt;""),C2221,"")</f>
        <v/>
      </c>
      <c r="Z2221" s="126" t="n"/>
    </row>
    <row r="2222" hidden="1" ht="16.05" customFormat="1" customHeight="1" s="126">
      <c r="A2222" s="87" t="n">
        <v>2843</v>
      </c>
      <c r="B2222" s="87" t="n"/>
      <c r="C2222" s="130" t="inlineStr">
        <is>
          <t>Москва</t>
        </is>
      </c>
      <c r="D2222" s="130" t="inlineStr">
        <is>
          <t>Московская область</t>
        </is>
      </c>
      <c r="E2222" s="130" t="inlineStr">
        <is>
          <t>М2</t>
        </is>
      </c>
      <c r="F2222" s="130" t="inlineStr">
        <is>
          <t>АЗС</t>
        </is>
      </c>
      <c r="G2222" s="130" t="inlineStr">
        <is>
          <t>Газпромнефть</t>
        </is>
      </c>
      <c r="H2222" s="131" t="n"/>
      <c r="I2222" s="637" t="n">
        <v>12030</v>
      </c>
      <c r="J2222" s="637" t="inlineStr">
        <is>
          <t>GPN_12030</t>
        </is>
      </c>
      <c r="K2222" s="640" t="n">
        <v>3</v>
      </c>
      <c r="L2222" s="640" t="n">
        <v>1</v>
      </c>
      <c r="M2222" s="623" t="n">
        <v>3</v>
      </c>
      <c r="N2222" s="640" t="n"/>
      <c r="O2222" s="640">
        <f>IF(AND(N2222=1,L2222=1),K2222,"")</f>
        <v/>
      </c>
      <c r="P2222" s="642" t="inlineStr">
        <is>
          <t>Лаговская 2 52км слева</t>
        </is>
      </c>
      <c r="Q2222" s="640" t="inlineStr">
        <is>
          <t>55.31084</t>
        </is>
      </c>
      <c r="R2222" s="494" t="inlineStr">
        <is>
          <t>37.55368</t>
        </is>
      </c>
      <c r="S2222" s="387" t="n"/>
      <c r="T2222" s="387" t="n"/>
      <c r="U2222" s="436" t="n"/>
      <c r="V2222" s="387" t="n"/>
      <c r="W2222" s="387">
        <f>IF(AND(N2222=1,O2222&lt;&gt;""),C2222,"")</f>
        <v/>
      </c>
      <c r="X2222" s="387" t="n"/>
      <c r="Y2222" s="387" t="n"/>
    </row>
    <row r="2223" hidden="1" ht="16.05" customFormat="1" customHeight="1" s="126">
      <c r="A2223" s="125" t="n">
        <v>2844</v>
      </c>
      <c r="B2223" s="125" t="n"/>
      <c r="C2223" s="130" t="inlineStr">
        <is>
          <t>Москва</t>
        </is>
      </c>
      <c r="D2223" s="130" t="inlineStr">
        <is>
          <t>Московская область</t>
        </is>
      </c>
      <c r="E2223" s="130" t="inlineStr">
        <is>
          <t>М4</t>
        </is>
      </c>
      <c r="F2223" s="130" t="inlineStr">
        <is>
          <t>АЗС</t>
        </is>
      </c>
      <c r="G2223" s="130" t="inlineStr">
        <is>
          <t>Газпромнефть</t>
        </is>
      </c>
      <c r="H2223" s="131" t="n"/>
      <c r="I2223" s="637" t="n">
        <v>12258</v>
      </c>
      <c r="J2223" s="637" t="inlineStr">
        <is>
          <t>GPN_12258</t>
        </is>
      </c>
      <c r="K2223" s="640" t="n">
        <v>3</v>
      </c>
      <c r="L2223" s="640" t="n">
        <v>1</v>
      </c>
      <c r="M2223" s="623" t="n">
        <v>4</v>
      </c>
      <c r="N2223" s="640" t="n"/>
      <c r="O2223" s="640">
        <f>IF(AND(N2223=1,L2223=1),K2223,"")</f>
        <v/>
      </c>
      <c r="P2223" s="642" t="inlineStr">
        <is>
          <t>М.О. ФАД М4"Дон" 57 км (правая сторона)</t>
        </is>
      </c>
      <c r="Q2223" s="640" t="inlineStr">
        <is>
          <t>55.28566</t>
        </is>
      </c>
      <c r="R2223" s="494" t="inlineStr">
        <is>
          <t>37.85546</t>
        </is>
      </c>
      <c r="S2223" s="387" t="n"/>
      <c r="T2223" s="387" t="n"/>
      <c r="U2223" s="436" t="n"/>
      <c r="V2223" s="387" t="n"/>
      <c r="W2223" s="387">
        <f>IF(AND(N2223=1,O2223&lt;&gt;""),C2223,"")</f>
        <v/>
      </c>
      <c r="X2223" s="387" t="n"/>
      <c r="Y2223" s="387" t="n"/>
    </row>
    <row r="2224" hidden="1" ht="16.05" customFormat="1" customHeight="1" s="126">
      <c r="A2224" s="125" t="n">
        <v>2845</v>
      </c>
      <c r="B2224" s="125" t="n"/>
      <c r="C2224" s="130" t="inlineStr">
        <is>
          <t>Москва</t>
        </is>
      </c>
      <c r="D2224" s="130" t="inlineStr">
        <is>
          <t>Московская область</t>
        </is>
      </c>
      <c r="E2224" s="130" t="inlineStr">
        <is>
          <t>М9</t>
        </is>
      </c>
      <c r="F2224" s="130" t="inlineStr">
        <is>
          <t>АЗС</t>
        </is>
      </c>
      <c r="G2224" s="130" t="inlineStr">
        <is>
          <t>Газпромнефть</t>
        </is>
      </c>
      <c r="H2224" s="131" t="n"/>
      <c r="I2224" s="637" t="n">
        <v>12250</v>
      </c>
      <c r="J2224" s="637" t="inlineStr">
        <is>
          <t>GPN_12250</t>
        </is>
      </c>
      <c r="K2224" s="640" t="n">
        <v>3</v>
      </c>
      <c r="L2224" s="640" t="n">
        <v>1</v>
      </c>
      <c r="M2224" s="623" t="n">
        <v>3</v>
      </c>
      <c r="N2224" s="640" t="n"/>
      <c r="O2224" s="640">
        <f>IF(AND(N2224=1,L2224=1),K2224,"")</f>
        <v/>
      </c>
      <c r="P2224" s="642" t="inlineStr">
        <is>
          <t>М.О., Новорижское ш., 95 км. (право)</t>
        </is>
      </c>
      <c r="Q2224" s="640" t="inlineStr">
        <is>
          <t>55.9906</t>
        </is>
      </c>
      <c r="R2224" s="494" t="inlineStr">
        <is>
          <t>36.27069</t>
        </is>
      </c>
      <c r="S2224" s="387" t="n"/>
      <c r="T2224" s="387" t="n"/>
      <c r="U2224" s="436" t="n"/>
      <c r="V2224" s="387" t="n"/>
      <c r="W2224" s="387">
        <f>IF(AND(N2224=1,O2224&lt;&gt;""),C2224,"")</f>
        <v/>
      </c>
      <c r="X2224" s="387" t="n"/>
      <c r="Y2224" s="387" t="n"/>
    </row>
    <row r="2225" hidden="1" ht="16.05" customHeight="1">
      <c r="A2225" s="125" t="n">
        <v>2846</v>
      </c>
      <c r="B2225" s="125" t="n"/>
      <c r="C2225" s="130" t="inlineStr">
        <is>
          <t>Москва</t>
        </is>
      </c>
      <c r="D2225" s="130" t="inlineStr">
        <is>
          <t>Московская область</t>
        </is>
      </c>
      <c r="E2225" s="130" t="inlineStr">
        <is>
          <t>М5</t>
        </is>
      </c>
      <c r="F2225" s="130" t="inlineStr">
        <is>
          <t>АЗС</t>
        </is>
      </c>
      <c r="G2225" s="130" t="inlineStr">
        <is>
          <t>Газпромнефть</t>
        </is>
      </c>
      <c r="H2225" s="131" t="n"/>
      <c r="I2225" s="637" t="n">
        <v>12031</v>
      </c>
      <c r="J2225" s="637" t="inlineStr">
        <is>
          <t>GPN_12031</t>
        </is>
      </c>
      <c r="K2225" s="640" t="n">
        <v>2</v>
      </c>
      <c r="L2225" s="640" t="n">
        <v>1</v>
      </c>
      <c r="M2225" s="623" t="n">
        <v>2</v>
      </c>
      <c r="N2225" s="640" t="n"/>
      <c r="O2225" s="640">
        <f>IF(AND(N2225=1,L2225=1),K2225,"")</f>
        <v/>
      </c>
      <c r="P2225" s="642" t="inlineStr">
        <is>
          <t>М.О.,г.Луховицы. ул.Куйбышева.д.67а</t>
        </is>
      </c>
      <c r="Q2225" s="640" t="inlineStr">
        <is>
          <t>54.966352</t>
        </is>
      </c>
      <c r="R2225" s="494" t="inlineStr">
        <is>
          <t>39.02567</t>
        </is>
      </c>
      <c r="U2225" s="436" t="n"/>
      <c r="W2225" s="387">
        <f>IF(AND(N2225=1,O2225&lt;&gt;""),C2225,"")</f>
        <v/>
      </c>
      <c r="Z2225" s="126" t="n"/>
    </row>
    <row r="2226" hidden="1" ht="16.05" customFormat="1" customHeight="1" s="126">
      <c r="A2226" s="125" t="n">
        <v>2847</v>
      </c>
      <c r="B2226" s="125" t="n"/>
      <c r="C2226" s="130" t="inlineStr">
        <is>
          <t>Москва</t>
        </is>
      </c>
      <c r="D2226" s="130" t="inlineStr">
        <is>
          <t>Московская область</t>
        </is>
      </c>
      <c r="E2226" s="130" t="inlineStr">
        <is>
          <t>М2</t>
        </is>
      </c>
      <c r="F2226" s="130" t="inlineStr">
        <is>
          <t>АЗС</t>
        </is>
      </c>
      <c r="G2226" s="130" t="inlineStr">
        <is>
          <t>Газпромнефть</t>
        </is>
      </c>
      <c r="H2226" s="131" t="n"/>
      <c r="I2226" s="637" t="n">
        <v>12204</v>
      </c>
      <c r="J2226" s="637" t="inlineStr">
        <is>
          <t>GPN_12204</t>
        </is>
      </c>
      <c r="K2226" s="640" t="n">
        <v>3</v>
      </c>
      <c r="L2226" s="640" t="n">
        <v>1</v>
      </c>
      <c r="M2226" s="623" t="n">
        <v>4</v>
      </c>
      <c r="N2226" s="640" t="n"/>
      <c r="O2226" s="640">
        <f>IF(AND(N2226=1,L2226=1),K2226,"")</f>
        <v/>
      </c>
      <c r="P2226" s="642" t="inlineStr">
        <is>
          <t>МО г Серпухов, Борисовское шоссе</t>
        </is>
      </c>
      <c r="Q2226" s="640" t="inlineStr">
        <is>
          <t>54.91431</t>
        </is>
      </c>
      <c r="R2226" s="494" t="inlineStr">
        <is>
          <t>37.44719</t>
        </is>
      </c>
      <c r="S2226" s="387" t="n"/>
      <c r="T2226" s="387" t="n"/>
      <c r="U2226" s="436" t="n"/>
      <c r="V2226" s="387" t="n"/>
      <c r="W2226" s="387">
        <f>IF(AND(N2226=1,O2226&lt;&gt;""),C2226,"")</f>
        <v/>
      </c>
      <c r="X2226" s="387" t="n"/>
      <c r="Y2226" s="387" t="n"/>
    </row>
    <row r="2227" hidden="1" ht="16.05" customFormat="1" customHeight="1" s="126">
      <c r="A2227" s="125" t="n">
        <v>2848</v>
      </c>
      <c r="B2227" s="125" t="n"/>
      <c r="C2227" s="130" t="inlineStr">
        <is>
          <t>Москва</t>
        </is>
      </c>
      <c r="D2227" s="130" t="inlineStr">
        <is>
          <t>Московская область</t>
        </is>
      </c>
      <c r="E2227" s="130" t="inlineStr">
        <is>
          <t>М4</t>
        </is>
      </c>
      <c r="F2227" s="130" t="inlineStr">
        <is>
          <t>АЗС</t>
        </is>
      </c>
      <c r="G2227" s="130" t="inlineStr">
        <is>
          <t>Газпромнефть</t>
        </is>
      </c>
      <c r="H2227" s="131" t="n"/>
      <c r="I2227" s="637" t="n">
        <v>12253</v>
      </c>
      <c r="J2227" s="637" t="inlineStr">
        <is>
          <t>GPN_12253</t>
        </is>
      </c>
      <c r="K2227" s="640" t="n">
        <v>3</v>
      </c>
      <c r="L2227" s="640" t="n">
        <v>1</v>
      </c>
      <c r="M2227" s="623" t="n">
        <v>3</v>
      </c>
      <c r="N2227" s="640" t="n"/>
      <c r="O2227" s="640">
        <f>IF(AND(N2227=1,L2227=1),K2227,"")</f>
        <v/>
      </c>
      <c r="P2227" s="642" t="inlineStr">
        <is>
          <t>МО, 127 км трассы М4, слева</t>
        </is>
      </c>
      <c r="Q2227" s="640" t="inlineStr">
        <is>
          <t>54.73679</t>
        </is>
      </c>
      <c r="R2227" s="494" t="inlineStr">
        <is>
          <t>38.15841</t>
        </is>
      </c>
      <c r="S2227" s="387" t="n"/>
      <c r="T2227" s="387" t="n"/>
      <c r="U2227" s="436" t="n"/>
      <c r="V2227" s="387" t="n"/>
      <c r="W2227" s="387">
        <f>IF(AND(N2227=1,O2227&lt;&gt;""),C2227,"")</f>
        <v/>
      </c>
      <c r="X2227" s="387" t="n"/>
      <c r="Y2227" s="387" t="n"/>
    </row>
    <row r="2228" hidden="1" ht="16.05" customFormat="1" customHeight="1" s="126">
      <c r="A2228" s="125" t="n">
        <v>2849</v>
      </c>
      <c r="B2228" s="125" t="n"/>
      <c r="C2228" s="130" t="inlineStr">
        <is>
          <t>Москва</t>
        </is>
      </c>
      <c r="D2228" s="130" t="inlineStr">
        <is>
          <t>Московская область</t>
        </is>
      </c>
      <c r="E2228" s="130" t="inlineStr">
        <is>
          <t>А108</t>
        </is>
      </c>
      <c r="F2228" s="130" t="inlineStr">
        <is>
          <t>АЗС</t>
        </is>
      </c>
      <c r="G2228" s="130" t="inlineStr">
        <is>
          <t>Газпромнефть</t>
        </is>
      </c>
      <c r="H2228" s="131" t="n"/>
      <c r="I2228" s="637" t="n">
        <v>12050</v>
      </c>
      <c r="J2228" s="637" t="inlineStr">
        <is>
          <t>GPN_12050</t>
        </is>
      </c>
      <c r="K2228" s="640" t="n">
        <v>3</v>
      </c>
      <c r="L2228" s="640" t="n">
        <v>1</v>
      </c>
      <c r="M2228" s="623" t="n">
        <v>3</v>
      </c>
      <c r="N2228" s="640" t="n"/>
      <c r="O2228" s="640">
        <f>IF(AND(N2228=1,L2228=1),K2228,"")</f>
        <v/>
      </c>
      <c r="P2228" s="642" t="inlineStr">
        <is>
          <t>МО, 4 км а/д "Клин-Дмитров"</t>
        </is>
      </c>
      <c r="Q2228" s="640" t="inlineStr">
        <is>
          <t>56.353387</t>
        </is>
      </c>
      <c r="R2228" s="494" t="inlineStr">
        <is>
          <t>36.748357</t>
        </is>
      </c>
      <c r="S2228" s="387" t="n"/>
      <c r="T2228" s="387" t="n"/>
      <c r="U2228" s="436" t="n"/>
      <c r="V2228" s="387" t="n"/>
      <c r="W2228" s="387">
        <f>IF(AND(N2228=1,O2228&lt;&gt;""),C2228,"")</f>
        <v/>
      </c>
      <c r="X2228" s="387" t="n"/>
      <c r="Y2228" s="387" t="n"/>
    </row>
    <row r="2229" hidden="1" ht="16.05" customFormat="1" customHeight="1" s="126">
      <c r="A2229" s="125" t="n">
        <v>2850</v>
      </c>
      <c r="B2229" s="125" t="n"/>
      <c r="C2229" s="130" t="inlineStr">
        <is>
          <t>Москва</t>
        </is>
      </c>
      <c r="D2229" s="130" t="inlineStr">
        <is>
          <t>Москва</t>
        </is>
      </c>
      <c r="E2229" s="130" t="inlineStr">
        <is>
          <t>А130</t>
        </is>
      </c>
      <c r="F2229" s="130" t="inlineStr">
        <is>
          <t>АЗС</t>
        </is>
      </c>
      <c r="G2229" s="130" t="inlineStr">
        <is>
          <t>Газпромнефть</t>
        </is>
      </c>
      <c r="H2229" s="131" t="n"/>
      <c r="I2229" s="637" t="n">
        <v>11027</v>
      </c>
      <c r="J2229" s="637" t="inlineStr">
        <is>
          <t>GPN_11027</t>
        </is>
      </c>
      <c r="K2229" s="640" t="n">
        <v>3</v>
      </c>
      <c r="L2229" s="640" t="n">
        <v>1</v>
      </c>
      <c r="M2229" s="623" t="n">
        <v>6</v>
      </c>
      <c r="N2229" s="640" t="n"/>
      <c r="O2229" s="640">
        <f>IF(AND(N2229=1,L2229=1),K2229,"")</f>
        <v/>
      </c>
      <c r="P2229" s="642" t="inlineStr">
        <is>
          <t>МО, 40 км Калужского ш., г. Троицк</t>
        </is>
      </c>
      <c r="Q2229" s="640" t="inlineStr">
        <is>
          <t>55.474135</t>
        </is>
      </c>
      <c r="R2229" s="494" t="inlineStr">
        <is>
          <t>37.311627</t>
        </is>
      </c>
      <c r="S2229" s="387" t="n"/>
      <c r="T2229" s="387" t="n"/>
      <c r="U2229" s="436" t="n"/>
      <c r="V2229" s="387" t="n"/>
      <c r="W2229" s="387">
        <f>IF(AND(N2229=1,O2229&lt;&gt;""),C2229,"")</f>
        <v/>
      </c>
      <c r="X2229" s="387" t="n"/>
      <c r="Y2229" s="387" t="n"/>
    </row>
    <row r="2230" hidden="1" ht="16.05" customFormat="1" customHeight="1" s="126">
      <c r="A2230" s="125" t="n">
        <v>2851</v>
      </c>
      <c r="B2230" s="125" t="n"/>
      <c r="C2230" s="130" t="inlineStr">
        <is>
          <t>Москва</t>
        </is>
      </c>
      <c r="D2230" s="130" t="inlineStr">
        <is>
          <t>Московская область</t>
        </is>
      </c>
      <c r="E2230" s="130" t="inlineStr">
        <is>
          <t>М2</t>
        </is>
      </c>
      <c r="F2230" s="130" t="inlineStr">
        <is>
          <t>АЗС</t>
        </is>
      </c>
      <c r="G2230" s="130" t="inlineStr">
        <is>
          <t>Газпромнефть</t>
        </is>
      </c>
      <c r="H2230" s="131" t="n"/>
      <c r="I2230" s="637" t="n">
        <v>12013</v>
      </c>
      <c r="J2230" s="637" t="inlineStr">
        <is>
          <t>GPN_12013</t>
        </is>
      </c>
      <c r="K2230" s="640" t="n">
        <v>3</v>
      </c>
      <c r="L2230" s="640" t="n">
        <v>1</v>
      </c>
      <c r="M2230" s="623" t="n">
        <v>6</v>
      </c>
      <c r="N2230" s="640" t="n"/>
      <c r="O2230" s="640">
        <f>IF(AND(N2230=1,L2230=1),K2230,"")</f>
        <v/>
      </c>
      <c r="P2230" s="642" t="inlineStr">
        <is>
          <t>МО, 94 км Симферопольского ш., левая сторона</t>
        </is>
      </c>
      <c r="Q2230" s="640" t="inlineStr">
        <is>
          <t>54.936405</t>
        </is>
      </c>
      <c r="R2230" s="494" t="inlineStr">
        <is>
          <t>37.529994</t>
        </is>
      </c>
      <c r="S2230" s="387" t="n"/>
      <c r="T2230" s="387" t="n"/>
      <c r="U2230" s="436" t="n"/>
      <c r="V2230" s="387" t="n"/>
      <c r="W2230" s="387">
        <f>IF(AND(N2230=1,O2230&lt;&gt;""),C2230,"")</f>
        <v/>
      </c>
      <c r="X2230" s="387" t="n"/>
      <c r="Y2230" s="387" t="n"/>
    </row>
    <row r="2231" hidden="1" ht="16.05" customFormat="1" customHeight="1" s="126">
      <c r="A2231" s="125" t="n">
        <v>2852</v>
      </c>
      <c r="B2231" s="125" t="n"/>
      <c r="C2231" s="130" t="inlineStr">
        <is>
          <t>Москва</t>
        </is>
      </c>
      <c r="D2231" s="130" t="inlineStr">
        <is>
          <t>Московская область</t>
        </is>
      </c>
      <c r="E2231" s="130" t="inlineStr">
        <is>
          <t>М2</t>
        </is>
      </c>
      <c r="F2231" s="130" t="inlineStr">
        <is>
          <t>АЗС</t>
        </is>
      </c>
      <c r="G2231" s="130" t="inlineStr">
        <is>
          <t>Газпромнефть</t>
        </is>
      </c>
      <c r="H2231" s="131" t="n"/>
      <c r="I2231" s="637" t="n">
        <v>12012</v>
      </c>
      <c r="J2231" s="637" t="inlineStr">
        <is>
          <t>GPN_12012</t>
        </is>
      </c>
      <c r="K2231" s="640" t="n">
        <v>3</v>
      </c>
      <c r="L2231" s="640" t="n">
        <v>1</v>
      </c>
      <c r="M2231" s="623" t="n">
        <v>6</v>
      </c>
      <c r="N2231" s="640" t="n"/>
      <c r="O2231" s="640">
        <f>IF(AND(N2231=1,L2231=1),K2231,"")</f>
        <v/>
      </c>
      <c r="P2231" s="642" t="inlineStr">
        <is>
          <t>МО, 94 км Симферопольского ш., правая сторона</t>
        </is>
      </c>
      <c r="Q2231" s="640" t="inlineStr">
        <is>
          <t>54.936608</t>
        </is>
      </c>
      <c r="R2231" s="494" t="inlineStr">
        <is>
          <t>37.52772</t>
        </is>
      </c>
      <c r="S2231" s="387" t="n"/>
      <c r="T2231" s="387" t="n"/>
      <c r="U2231" s="436" t="n"/>
      <c r="V2231" s="387" t="n"/>
      <c r="W2231" s="387">
        <f>IF(AND(N2231=1,O2231&lt;&gt;""),C2231,"")</f>
        <v/>
      </c>
      <c r="X2231" s="387" t="n"/>
      <c r="Y2231" s="387" t="n"/>
    </row>
    <row r="2232" hidden="1" ht="16.05" customFormat="1" customHeight="1" s="126">
      <c r="A2232" s="125" t="n">
        <v>2853</v>
      </c>
      <c r="B2232" s="125" t="n"/>
      <c r="C2232" s="130" t="inlineStr">
        <is>
          <t>Москва</t>
        </is>
      </c>
      <c r="D2232" s="130" t="inlineStr">
        <is>
          <t>Московская область</t>
        </is>
      </c>
      <c r="E2232" s="130" t="inlineStr">
        <is>
          <t>А108</t>
        </is>
      </c>
      <c r="F2232" s="130" t="inlineStr">
        <is>
          <t>АЗС</t>
        </is>
      </c>
      <c r="G2232" s="130" t="inlineStr">
        <is>
          <t>Газпромнефть</t>
        </is>
      </c>
      <c r="H2232" s="131" t="n"/>
      <c r="I2232" s="637" t="n">
        <v>12084</v>
      </c>
      <c r="J2232" s="637" t="inlineStr">
        <is>
          <t>GPN_12084</t>
        </is>
      </c>
      <c r="K2232" s="640" t="n">
        <v>3</v>
      </c>
      <c r="L2232" s="640" t="n">
        <v>1</v>
      </c>
      <c r="M2232" s="623" t="n">
        <v>3</v>
      </c>
      <c r="N2232" s="640" t="n"/>
      <c r="O2232" s="640">
        <f>IF(AND(N2232=1,L2232=1),K2232,"")</f>
        <v/>
      </c>
      <c r="P2232" s="642" t="inlineStr">
        <is>
          <t>МО, г. Дмитров ул. Профессинальная вл. 185</t>
        </is>
      </c>
      <c r="Q2232" s="640" t="inlineStr">
        <is>
          <t>56.379361</t>
        </is>
      </c>
      <c r="R2232" s="494" t="inlineStr">
        <is>
          <t>37.524264</t>
        </is>
      </c>
      <c r="S2232" s="387" t="n"/>
      <c r="T2232" s="387" t="n"/>
      <c r="U2232" s="436" t="n"/>
      <c r="V2232" s="387" t="n"/>
      <c r="W2232" s="387">
        <f>IF(AND(N2232=1,O2232&lt;&gt;""),C2232,"")</f>
        <v/>
      </c>
      <c r="X2232" s="387" t="n"/>
      <c r="Y2232" s="387" t="n"/>
    </row>
    <row r="2233" hidden="1" ht="16.05" customFormat="1" customHeight="1" s="126">
      <c r="A2233" s="125" t="n">
        <v>2854</v>
      </c>
      <c r="B2233" s="125" t="n"/>
      <c r="C2233" s="130" t="inlineStr">
        <is>
          <t>Москва</t>
        </is>
      </c>
      <c r="D2233" s="130" t="inlineStr">
        <is>
          <t>Московская область</t>
        </is>
      </c>
      <c r="E2233" s="130" t="inlineStr">
        <is>
          <t>М5</t>
        </is>
      </c>
      <c r="F2233" s="130" t="inlineStr">
        <is>
          <t>АЗС</t>
        </is>
      </c>
      <c r="G2233" s="130" t="inlineStr">
        <is>
          <t>Газпромнефть</t>
        </is>
      </c>
      <c r="H2233" s="131" t="n"/>
      <c r="I2233" s="637" t="n">
        <v>12067</v>
      </c>
      <c r="J2233" s="637" t="inlineStr">
        <is>
          <t>GPN_12067</t>
        </is>
      </c>
      <c r="K2233" s="640" t="n">
        <v>3</v>
      </c>
      <c r="L2233" s="640" t="n">
        <v>1</v>
      </c>
      <c r="M2233" s="623" t="n">
        <v>6</v>
      </c>
      <c r="N2233" s="640" t="n"/>
      <c r="O2233" s="640">
        <f>IF(AND(N2233=1,L2233=1),K2233,"")</f>
        <v/>
      </c>
      <c r="P2233" s="642" t="inlineStr">
        <is>
          <t>МО, г. Коломна, проезд Станкостроителей, д.11а</t>
        </is>
      </c>
      <c r="Q2233" s="640" t="inlineStr">
        <is>
          <t>55.0727</t>
        </is>
      </c>
      <c r="R2233" s="494" t="inlineStr">
        <is>
          <t>38.78666</t>
        </is>
      </c>
      <c r="S2233" s="387" t="n"/>
      <c r="T2233" s="387" t="n"/>
      <c r="U2233" s="436" t="n"/>
      <c r="V2233" s="387" t="n"/>
      <c r="W2233" s="387">
        <f>IF(AND(N2233=1,O2233&lt;&gt;""),C2233,"")</f>
        <v/>
      </c>
      <c r="X2233" s="387" t="n"/>
      <c r="Y2233" s="387" t="n"/>
    </row>
    <row r="2234" hidden="1" ht="16.05" customFormat="1" customHeight="1" s="126">
      <c r="A2234" s="125" t="n">
        <v>2855</v>
      </c>
      <c r="B2234" s="125" t="n"/>
      <c r="C2234" s="130" t="inlineStr">
        <is>
          <t>Москва</t>
        </is>
      </c>
      <c r="D2234" s="130" t="inlineStr">
        <is>
          <t>Московская область</t>
        </is>
      </c>
      <c r="E2234" s="130" t="inlineStr">
        <is>
          <t>М5</t>
        </is>
      </c>
      <c r="F2234" s="130" t="inlineStr">
        <is>
          <t>АЗС</t>
        </is>
      </c>
      <c r="G2234" s="130" t="inlineStr">
        <is>
          <t>Газпромнефть</t>
        </is>
      </c>
      <c r="H2234" s="131" t="n"/>
      <c r="I2234" s="637" t="n">
        <v>12056</v>
      </c>
      <c r="J2234" s="637" t="inlineStr">
        <is>
          <t>GPN_12056</t>
        </is>
      </c>
      <c r="K2234" s="640" t="n">
        <v>3</v>
      </c>
      <c r="L2234" s="640" t="n">
        <v>1</v>
      </c>
      <c r="M2234" s="623" t="n">
        <v>4</v>
      </c>
      <c r="N2234" s="640" t="n"/>
      <c r="O2234" s="640">
        <f>IF(AND(N2234=1,L2234=1),K2234,"")</f>
        <v/>
      </c>
      <c r="P2234" s="642" t="inlineStr">
        <is>
          <t>МО, г. Коломна, ул. Митяево, д.1</t>
        </is>
      </c>
      <c r="Q2234" s="640" t="inlineStr">
        <is>
          <t>55.093241</t>
        </is>
      </c>
      <c r="R2234" s="422" t="inlineStr">
        <is>
          <t>38.792173</t>
        </is>
      </c>
      <c r="S2234" s="387" t="n"/>
      <c r="T2234" s="387" t="n"/>
      <c r="U2234" s="436" t="n"/>
      <c r="V2234" s="387" t="n"/>
      <c r="W2234" s="387">
        <f>IF(AND(N2234=1,O2234&lt;&gt;""),C2234,"")</f>
        <v/>
      </c>
      <c r="X2234" s="387" t="n"/>
      <c r="Y2234" s="387" t="n"/>
    </row>
    <row r="2235" hidden="1" ht="16.05" customFormat="1" customHeight="1" s="126">
      <c r="A2235" s="125" t="n">
        <v>2856</v>
      </c>
      <c r="B2235" s="125" t="n"/>
      <c r="C2235" s="130" t="inlineStr">
        <is>
          <t>Москва</t>
        </is>
      </c>
      <c r="D2235" s="130" t="inlineStr">
        <is>
          <t>Московская область</t>
        </is>
      </c>
      <c r="E2235" s="130" t="inlineStr">
        <is>
          <t>46К-9011</t>
        </is>
      </c>
      <c r="F2235" s="130" t="inlineStr">
        <is>
          <t>АЗС</t>
        </is>
      </c>
      <c r="G2235" s="130" t="inlineStr">
        <is>
          <t>Газпромнефть</t>
        </is>
      </c>
      <c r="H2235" s="131" t="n"/>
      <c r="I2235" s="637" t="n">
        <v>12036</v>
      </c>
      <c r="J2235" s="637" t="inlineStr">
        <is>
          <t>GPN_12036</t>
        </is>
      </c>
      <c r="K2235" s="640" t="n">
        <v>1</v>
      </c>
      <c r="L2235" s="640" t="n">
        <v>1</v>
      </c>
      <c r="M2235" s="623" t="n">
        <v>1</v>
      </c>
      <c r="N2235" s="640" t="n"/>
      <c r="O2235" s="640">
        <f>IF(AND(N2235=1,L2235=1),K2235,"")</f>
        <v/>
      </c>
      <c r="P2235" s="642" t="inlineStr">
        <is>
          <t>МО, г. Красногорск, 27 км Волокаламского ш.</t>
        </is>
      </c>
      <c r="Q2235" s="640" t="inlineStr">
        <is>
          <t>55.832862</t>
        </is>
      </c>
      <c r="R2235" s="494" t="inlineStr">
        <is>
          <t>37.270368</t>
        </is>
      </c>
      <c r="S2235" s="387" t="n"/>
      <c r="T2235" s="387" t="n"/>
      <c r="U2235" s="436" t="n"/>
      <c r="V2235" s="387" t="n"/>
      <c r="W2235" s="387">
        <f>IF(AND(N2235=1,O2235&lt;&gt;""),C2235,"")</f>
        <v/>
      </c>
      <c r="X2235" s="387" t="n"/>
      <c r="Y2235" s="387" t="n"/>
    </row>
    <row r="2236" hidden="1" ht="16.05" customFormat="1" customHeight="1" s="126">
      <c r="A2236" s="125" t="n">
        <v>2857</v>
      </c>
      <c r="B2236" s="125" t="n"/>
      <c r="C2236" s="130" t="inlineStr">
        <is>
          <t>Москва</t>
        </is>
      </c>
      <c r="D2236" s="130" t="inlineStr">
        <is>
          <t>Московская область</t>
        </is>
      </c>
      <c r="E2236" s="130" t="inlineStr">
        <is>
          <t>А103</t>
        </is>
      </c>
      <c r="F2236" s="130" t="inlineStr">
        <is>
          <t>АЗС</t>
        </is>
      </c>
      <c r="G2236" s="130" t="inlineStr">
        <is>
          <t>Газпромнефть</t>
        </is>
      </c>
      <c r="H2236" s="131" t="n"/>
      <c r="I2236" s="637" t="n">
        <v>12032</v>
      </c>
      <c r="J2236" s="637" t="inlineStr">
        <is>
          <t>GPN_12032</t>
        </is>
      </c>
      <c r="K2236" s="640" t="n">
        <v>3</v>
      </c>
      <c r="L2236" s="640" t="n">
        <v>1</v>
      </c>
      <c r="M2236" s="623" t="n">
        <v>5</v>
      </c>
      <c r="N2236" s="640" t="n"/>
      <c r="O2236" s="640">
        <f>IF(AND(N2236=1,L2236=1),K2236,"")</f>
        <v/>
      </c>
      <c r="P2236" s="642" t="inlineStr">
        <is>
          <t>МО, г. Лосино-Петровский, пос. Осеево, ул. Первомайская</t>
        </is>
      </c>
      <c r="Q2236" s="640" t="inlineStr">
        <is>
          <t>55.875294</t>
        </is>
      </c>
      <c r="R2236" s="494" t="inlineStr">
        <is>
          <t>38.199767</t>
        </is>
      </c>
      <c r="S2236" s="387" t="n"/>
      <c r="T2236" s="387" t="n"/>
      <c r="U2236" s="436" t="n"/>
      <c r="V2236" s="387" t="n"/>
      <c r="W2236" s="387">
        <f>IF(AND(N2236=1,O2236&lt;&gt;""),C2236,"")</f>
        <v/>
      </c>
      <c r="X2236" s="387" t="n"/>
      <c r="Y2236" s="387" t="n"/>
    </row>
    <row r="2237" hidden="1" ht="16.05" customFormat="1" customHeight="1" s="126">
      <c r="A2237" s="125" t="n">
        <v>2858</v>
      </c>
      <c r="B2237" s="125" t="n"/>
      <c r="C2237" s="130" t="inlineStr">
        <is>
          <t>Москва</t>
        </is>
      </c>
      <c r="D2237" s="130" t="inlineStr">
        <is>
          <t>Московская область</t>
        </is>
      </c>
      <c r="E2237" s="130" t="inlineStr">
        <is>
          <t>М3</t>
        </is>
      </c>
      <c r="F2237" s="130" t="inlineStr">
        <is>
          <t>АЗС</t>
        </is>
      </c>
      <c r="G2237" s="130" t="inlineStr">
        <is>
          <t>Газпромнефть</t>
        </is>
      </c>
      <c r="H2237" s="131" t="n"/>
      <c r="I2237" s="637" t="n">
        <v>12057</v>
      </c>
      <c r="J2237" s="637" t="inlineStr">
        <is>
          <t>GPN_12057</t>
        </is>
      </c>
      <c r="K2237" s="640" t="n">
        <v>1</v>
      </c>
      <c r="L2237" s="640" t="n">
        <v>1</v>
      </c>
      <c r="M2237" s="623" t="n">
        <v>1</v>
      </c>
      <c r="N2237" s="640" t="n"/>
      <c r="O2237" s="640">
        <f>IF(AND(N2237=1,L2237=1),K2237,"")</f>
        <v/>
      </c>
      <c r="P2237" s="642" t="inlineStr">
        <is>
          <t>МО, г. Наро-Фоминск, 72 км+300 м а/д. «Украина»</t>
        </is>
      </c>
      <c r="Q2237" s="640" t="inlineStr">
        <is>
          <t>55.371684</t>
        </is>
      </c>
      <c r="R2237" s="494" t="inlineStr">
        <is>
          <t>36.764482</t>
        </is>
      </c>
      <c r="S2237" s="387" t="n"/>
      <c r="T2237" s="387" t="n"/>
      <c r="U2237" s="436" t="n"/>
      <c r="V2237" s="387" t="n"/>
      <c r="W2237" s="387">
        <f>IF(AND(N2237=1,O2237&lt;&gt;""),C2237,"")</f>
        <v/>
      </c>
      <c r="X2237" s="387" t="n"/>
      <c r="Y2237" s="387" t="n"/>
    </row>
    <row r="2238" hidden="1" ht="16.05" customFormat="1" customHeight="1" s="126">
      <c r="A2238" s="125" t="n">
        <v>2859</v>
      </c>
      <c r="B2238" s="125" t="n"/>
      <c r="C2238" s="130" t="inlineStr">
        <is>
          <t>Москва</t>
        </is>
      </c>
      <c r="D2238" s="130" t="inlineStr">
        <is>
          <t>Московская область</t>
        </is>
      </c>
      <c r="E2238" s="130" t="inlineStr">
        <is>
          <t>М3</t>
        </is>
      </c>
      <c r="F2238" s="130" t="inlineStr">
        <is>
          <t>АЗС</t>
        </is>
      </c>
      <c r="G2238" s="130" t="inlineStr">
        <is>
          <t>Газпромнефть</t>
        </is>
      </c>
      <c r="H2238" s="131" t="n"/>
      <c r="I2238" s="637" t="n">
        <v>12058</v>
      </c>
      <c r="J2238" s="637" t="inlineStr">
        <is>
          <t>GPN_12058</t>
        </is>
      </c>
      <c r="K2238" s="640" t="n">
        <v>3</v>
      </c>
      <c r="L2238" s="640" t="n">
        <v>1</v>
      </c>
      <c r="M2238" s="623" t="n">
        <v>6</v>
      </c>
      <c r="N2238" s="640" t="n"/>
      <c r="O2238" s="640">
        <f>IF(AND(N2238=1,L2238=1),K2238,"")</f>
        <v/>
      </c>
      <c r="P2238" s="642" t="inlineStr">
        <is>
          <t>МО, г. Наро-Фоминский район, г. Апрелевка, 44 км+300 м Киевского шоссе (правая сторона)</t>
        </is>
      </c>
      <c r="Q2238" s="640" t="inlineStr">
        <is>
          <t>55.540723</t>
        </is>
      </c>
      <c r="R2238" s="494" t="inlineStr">
        <is>
          <t>37.084934</t>
        </is>
      </c>
      <c r="S2238" s="387" t="n"/>
      <c r="T2238" s="387" t="n"/>
      <c r="U2238" s="436" t="n"/>
      <c r="V2238" s="387" t="n"/>
      <c r="W2238" s="387">
        <f>IF(AND(N2238=1,O2238&lt;&gt;""),C2238,"")</f>
        <v/>
      </c>
      <c r="X2238" s="387" t="n"/>
      <c r="Y2238" s="387" t="n"/>
    </row>
    <row r="2239" hidden="1" ht="16.05" customFormat="1" customHeight="1" s="126">
      <c r="A2239" s="125" t="n">
        <v>2860</v>
      </c>
      <c r="B2239" s="125" t="n"/>
      <c r="C2239" s="130" t="inlineStr">
        <is>
          <t>Москва</t>
        </is>
      </c>
      <c r="D2239" s="130" t="inlineStr">
        <is>
          <t>Московская область</t>
        </is>
      </c>
      <c r="E2239" s="130" t="inlineStr">
        <is>
          <t>М8</t>
        </is>
      </c>
      <c r="F2239" s="130" t="inlineStr">
        <is>
          <t>АЗС</t>
        </is>
      </c>
      <c r="G2239" s="130" t="inlineStr">
        <is>
          <t>Газпромнефть</t>
        </is>
      </c>
      <c r="H2239" s="131" t="n"/>
      <c r="I2239" s="637" t="n">
        <v>11033</v>
      </c>
      <c r="J2239" s="637" t="inlineStr">
        <is>
          <t>GPN_11033</t>
        </is>
      </c>
      <c r="K2239" s="640" t="n">
        <v>3</v>
      </c>
      <c r="L2239" s="640" t="n">
        <v>1</v>
      </c>
      <c r="M2239" s="623" t="n">
        <v>5</v>
      </c>
      <c r="N2239" s="640" t="n"/>
      <c r="O2239" s="640">
        <f>IF(AND(N2239=1,L2239=1),K2239,"")</f>
        <v/>
      </c>
      <c r="P2239" s="642" t="inlineStr">
        <is>
          <t>МО, г. Пушкино, Ярославское ш., д.187</t>
        </is>
      </c>
      <c r="Q2239" s="640" t="inlineStr">
        <is>
          <t>56.002692</t>
        </is>
      </c>
      <c r="R2239" s="494" t="inlineStr">
        <is>
          <t>37.87246</t>
        </is>
      </c>
      <c r="S2239" s="387" t="n"/>
      <c r="T2239" s="387" t="n"/>
      <c r="U2239" s="436" t="n"/>
      <c r="V2239" s="387" t="n"/>
      <c r="W2239" s="387">
        <f>IF(AND(N2239=1,O2239&lt;&gt;""),C2239,"")</f>
        <v/>
      </c>
      <c r="X2239" s="387" t="n"/>
      <c r="Y2239" s="387" t="n"/>
    </row>
    <row r="2240" hidden="1" ht="16.05" customFormat="1" customHeight="1" s="126">
      <c r="A2240" s="125" t="n">
        <v>2861</v>
      </c>
      <c r="B2240" s="125" t="n"/>
      <c r="C2240" s="130" t="inlineStr">
        <is>
          <t>Москва</t>
        </is>
      </c>
      <c r="D2240" s="130" t="inlineStr">
        <is>
          <t>Москва</t>
        </is>
      </c>
      <c r="E2240" s="130" t="inlineStr">
        <is>
          <t>М7</t>
        </is>
      </c>
      <c r="F2240" s="130" t="inlineStr">
        <is>
          <t>АЗС</t>
        </is>
      </c>
      <c r="G2240" s="130" t="inlineStr">
        <is>
          <t>Газпромнефть</t>
        </is>
      </c>
      <c r="H2240" s="131" t="n"/>
      <c r="I2240" s="637" t="n">
        <v>11023</v>
      </c>
      <c r="J2240" s="637" t="inlineStr">
        <is>
          <t>GPN_11023</t>
        </is>
      </c>
      <c r="K2240" s="640" t="n">
        <v>3</v>
      </c>
      <c r="L2240" s="640" t="n">
        <v>1</v>
      </c>
      <c r="M2240" s="623" t="n">
        <v>3</v>
      </c>
      <c r="N2240" s="640" t="n"/>
      <c r="O2240" s="640">
        <f>IF(AND(N2240=1,L2240=1),K2240,"")</f>
        <v/>
      </c>
      <c r="P2240" s="642" t="inlineStr">
        <is>
          <t>МО, г. Реутов, Транспортный пр-д, вл.6</t>
        </is>
      </c>
      <c r="Q2240" s="640" t="inlineStr">
        <is>
          <t>55.779657</t>
        </is>
      </c>
      <c r="R2240" s="494" t="inlineStr">
        <is>
          <t>37.864793</t>
        </is>
      </c>
      <c r="S2240" s="387" t="n"/>
      <c r="T2240" s="387" t="n"/>
      <c r="U2240" s="436" t="n"/>
      <c r="V2240" s="387" t="n"/>
      <c r="W2240" s="387">
        <f>IF(AND(N2240=1,O2240&lt;&gt;""),C2240,"")</f>
        <v/>
      </c>
      <c r="X2240" s="387" t="n"/>
      <c r="Y2240" s="387" t="n"/>
    </row>
    <row r="2241" hidden="1" ht="16.05" customFormat="1" customHeight="1" s="126">
      <c r="A2241" s="125" t="n">
        <v>2862</v>
      </c>
      <c r="B2241" s="125" t="n"/>
      <c r="C2241" s="130" t="inlineStr">
        <is>
          <t>Москва</t>
        </is>
      </c>
      <c r="D2241" s="130" t="inlineStr">
        <is>
          <t>Московская область</t>
        </is>
      </c>
      <c r="E2241" s="130" t="inlineStr">
        <is>
          <t>А103</t>
        </is>
      </c>
      <c r="F2241" s="130" t="inlineStr">
        <is>
          <t>АЗС</t>
        </is>
      </c>
      <c r="G2241" s="130" t="inlineStr">
        <is>
          <t>Газпромнефть</t>
        </is>
      </c>
      <c r="H2241" s="131" t="n"/>
      <c r="I2241" s="637" t="n">
        <v>12037</v>
      </c>
      <c r="J2241" s="637" t="inlineStr">
        <is>
          <t>GPN_11037</t>
        </is>
      </c>
      <c r="K2241" s="640" t="n">
        <v>3</v>
      </c>
      <c r="L2241" s="640" t="n">
        <v>1</v>
      </c>
      <c r="M2241" s="623" t="n">
        <v>4</v>
      </c>
      <c r="N2241" s="640" t="n"/>
      <c r="O2241" s="640">
        <f>IF(AND(N2241=1,L2241=1),K2241,"")</f>
        <v/>
      </c>
      <c r="P2241" s="642" t="inlineStr">
        <is>
          <t>МО, г. Щелково, 30 км Щелковского ш.</t>
        </is>
      </c>
      <c r="Q2241" s="640" t="inlineStr">
        <is>
          <t>55.87982</t>
        </is>
      </c>
      <c r="R2241" s="494" t="inlineStr">
        <is>
          <t>38.0032</t>
        </is>
      </c>
      <c r="S2241" s="387" t="n"/>
      <c r="T2241" s="387" t="n"/>
      <c r="U2241" s="436" t="n"/>
      <c r="V2241" s="387" t="n"/>
      <c r="W2241" s="387">
        <f>IF(AND(N2241=1,O2241&lt;&gt;""),C2241,"")</f>
        <v/>
      </c>
      <c r="X2241" s="387" t="n"/>
      <c r="Y2241" s="387" t="n"/>
    </row>
    <row r="2242" hidden="1" ht="16.05" customFormat="1" customHeight="1" s="126">
      <c r="A2242" s="125" t="n">
        <v>2863</v>
      </c>
      <c r="B2242" s="125" t="n"/>
      <c r="C2242" s="130" t="inlineStr">
        <is>
          <t>Москва</t>
        </is>
      </c>
      <c r="D2242" s="130" t="inlineStr">
        <is>
          <t>Московская область</t>
        </is>
      </c>
      <c r="E2242" s="130" t="inlineStr">
        <is>
          <t>А103</t>
        </is>
      </c>
      <c r="F2242" s="130" t="inlineStr">
        <is>
          <t>АЗС</t>
        </is>
      </c>
      <c r="G2242" s="130" t="inlineStr">
        <is>
          <t>Газпромнефть</t>
        </is>
      </c>
      <c r="H2242" s="131" t="n"/>
      <c r="I2242" s="637" t="n">
        <v>12024</v>
      </c>
      <c r="J2242" s="637" t="inlineStr">
        <is>
          <t>GPN_11024</t>
        </is>
      </c>
      <c r="K2242" s="640" t="n">
        <v>1</v>
      </c>
      <c r="L2242" s="640" t="n">
        <v>0</v>
      </c>
      <c r="M2242" s="623" t="n">
        <v>1</v>
      </c>
      <c r="N2242" s="640" t="n"/>
      <c r="O2242" s="640">
        <f>IF(AND(N2242=1,L2242=1),K2242,"")</f>
        <v/>
      </c>
      <c r="P2242" s="642" t="inlineStr">
        <is>
          <t>МО, г. Щелково, ул.Талсинская рядом с Macdonald 's</t>
        </is>
      </c>
      <c r="Q2242" s="640" t="inlineStr">
        <is>
          <t>55.92491</t>
        </is>
      </c>
      <c r="R2242" s="494" t="inlineStr">
        <is>
          <t>37.99821</t>
        </is>
      </c>
      <c r="S2242" s="387" t="n"/>
      <c r="T2242" s="387" t="n"/>
      <c r="U2242" s="436" t="n"/>
      <c r="V2242" s="387" t="n"/>
      <c r="W2242" s="387">
        <f>IF(AND(N2242=1,O2242&lt;&gt;""),C2242,"")</f>
        <v/>
      </c>
      <c r="X2242" s="387" t="n"/>
      <c r="Y2242" s="387" t="n"/>
    </row>
    <row r="2243" hidden="1" ht="16.05" customFormat="1" customHeight="1" s="126">
      <c r="A2243" s="125" t="n">
        <v>2864</v>
      </c>
      <c r="B2243" s="125" t="n"/>
      <c r="C2243" s="130" t="inlineStr">
        <is>
          <t>Москва</t>
        </is>
      </c>
      <c r="D2243" s="130" t="inlineStr">
        <is>
          <t>Московская область</t>
        </is>
      </c>
      <c r="E2243" s="130" t="inlineStr">
        <is>
          <t>46К-7120</t>
        </is>
      </c>
      <c r="F2243" s="130" t="inlineStr">
        <is>
          <t>АЗС</t>
        </is>
      </c>
      <c r="G2243" s="130" t="inlineStr">
        <is>
          <t>Газпромнефть</t>
        </is>
      </c>
      <c r="H2243" s="131" t="n"/>
      <c r="I2243" s="637" t="n">
        <v>12053</v>
      </c>
      <c r="J2243" s="637" t="inlineStr">
        <is>
          <t>GPN_12053</t>
        </is>
      </c>
      <c r="K2243" s="640" t="n">
        <v>1</v>
      </c>
      <c r="L2243" s="640" t="n">
        <v>1</v>
      </c>
      <c r="M2243" s="623" t="n">
        <v>1</v>
      </c>
      <c r="N2243" s="640" t="n"/>
      <c r="O2243" s="640">
        <f>IF(AND(N2243=1,L2243=1),K2243,"")</f>
        <v/>
      </c>
      <c r="P2243" s="642" t="inlineStr">
        <is>
          <t>МО, г. Щелково, Фряновское ш., пос. РТС</t>
        </is>
      </c>
      <c r="Q2243" s="640" t="inlineStr">
        <is>
          <t>55.939059</t>
        </is>
      </c>
      <c r="R2243" s="494" t="inlineStr">
        <is>
          <t>38.030153</t>
        </is>
      </c>
      <c r="S2243" s="387" t="n"/>
      <c r="T2243" s="387" t="n"/>
      <c r="U2243" s="436" t="n"/>
      <c r="V2243" s="387" t="n"/>
      <c r="W2243" s="387">
        <f>IF(AND(N2243=1,O2243&lt;&gt;""),C2243,"")</f>
        <v/>
      </c>
      <c r="X2243" s="387" t="n"/>
      <c r="Y2243" s="387" t="n"/>
    </row>
    <row r="2244" hidden="1" ht="16.05" customFormat="1" customHeight="1" s="126">
      <c r="A2244" s="125" t="n">
        <v>2865</v>
      </c>
      <c r="B2244" s="125" t="n"/>
      <c r="C2244" s="130" t="inlineStr">
        <is>
          <t>Москва</t>
        </is>
      </c>
      <c r="D2244" s="130" t="inlineStr">
        <is>
          <t>Московская область</t>
        </is>
      </c>
      <c r="E2244" s="130" t="inlineStr">
        <is>
          <t>А108</t>
        </is>
      </c>
      <c r="F2244" s="130" t="inlineStr">
        <is>
          <t>АЗС</t>
        </is>
      </c>
      <c r="G2244" s="130" t="inlineStr">
        <is>
          <t>Газпромнефть</t>
        </is>
      </c>
      <c r="H2244" s="131" t="n"/>
      <c r="I2244" s="637" t="n">
        <v>12069</v>
      </c>
      <c r="J2244" s="637" t="inlineStr">
        <is>
          <t>GPN_12069</t>
        </is>
      </c>
      <c r="K2244" s="640" t="n">
        <v>3</v>
      </c>
      <c r="L2244" s="640" t="n">
        <v>1</v>
      </c>
      <c r="M2244" s="623" t="n">
        <v>6</v>
      </c>
      <c r="N2244" s="640" t="n"/>
      <c r="O2244" s="640">
        <f>IF(AND(N2244=1,L2244=1),K2244,"")</f>
        <v/>
      </c>
      <c r="P2244" s="642" t="inlineStr">
        <is>
          <t>МО, Дмитровский р-н, Якотский с/о, в р-не с. Жестылево</t>
        </is>
      </c>
      <c r="Q2244" s="640" t="inlineStr">
        <is>
          <t>56.410188</t>
        </is>
      </c>
      <c r="R2244" s="494" t="inlineStr">
        <is>
          <t>37.645731</t>
        </is>
      </c>
      <c r="S2244" s="387" t="n"/>
      <c r="T2244" s="387" t="n"/>
      <c r="U2244" s="436" t="n"/>
      <c r="V2244" s="387" t="n"/>
      <c r="W2244" s="387">
        <f>IF(AND(N2244=1,O2244&lt;&gt;""),C2244,"")</f>
        <v/>
      </c>
      <c r="X2244" s="387" t="n"/>
      <c r="Y2244" s="387" t="n"/>
    </row>
    <row r="2245" hidden="1" ht="16.05" customFormat="1" customHeight="1" s="126">
      <c r="A2245" s="125" t="n">
        <v>2867</v>
      </c>
      <c r="B2245" s="125" t="n"/>
      <c r="C2245" s="130" t="inlineStr">
        <is>
          <t>Москва</t>
        </is>
      </c>
      <c r="D2245" s="130" t="inlineStr">
        <is>
          <t>Московская область</t>
        </is>
      </c>
      <c r="E2245" s="130" t="inlineStr">
        <is>
          <t>А108</t>
        </is>
      </c>
      <c r="F2245" s="130" t="inlineStr">
        <is>
          <t>АЗС</t>
        </is>
      </c>
      <c r="G2245" s="130" t="inlineStr">
        <is>
          <t>Газпромнефть</t>
        </is>
      </c>
      <c r="H2245" s="131" t="n"/>
      <c r="I2245" s="637" t="n">
        <v>12061</v>
      </c>
      <c r="J2245" s="637" t="inlineStr">
        <is>
          <t>GPN_12061</t>
        </is>
      </c>
      <c r="K2245" s="640" t="n">
        <v>3</v>
      </c>
      <c r="L2245" s="640" t="n">
        <v>1</v>
      </c>
      <c r="M2245" s="623" t="n">
        <v>3</v>
      </c>
      <c r="N2245" s="640" t="n"/>
      <c r="O2245" s="640">
        <f>IF(AND(N2245=1,L2245=1),K2245,"")</f>
        <v/>
      </c>
      <c r="P2245" s="642" t="inlineStr">
        <is>
          <t>МО, Клинский р-н, Лаврово, МБК Волоколамского-Ленинградского ш., 39+ 900км</t>
        </is>
      </c>
      <c r="Q2245" s="640" t="inlineStr">
        <is>
          <t>56.31968</t>
        </is>
      </c>
      <c r="R2245" s="494" t="inlineStr">
        <is>
          <t>36.69374</t>
        </is>
      </c>
      <c r="S2245" s="387" t="n"/>
      <c r="T2245" s="387" t="n"/>
      <c r="U2245" s="436" t="n"/>
      <c r="V2245" s="387" t="n"/>
      <c r="W2245" s="387">
        <f>IF(AND(N2245=1,O2245&lt;&gt;""),C2245,"")</f>
        <v/>
      </c>
      <c r="X2245" s="387" t="n"/>
      <c r="Y2245" s="387" t="n"/>
    </row>
    <row r="2246" hidden="1" ht="16.05" customFormat="1" customHeight="1" s="126">
      <c r="A2246" s="125" t="n">
        <v>2868</v>
      </c>
      <c r="B2246" s="125" t="n"/>
      <c r="C2246" s="130" t="inlineStr">
        <is>
          <t>Москва</t>
        </is>
      </c>
      <c r="D2246" s="130" t="inlineStr">
        <is>
          <t>Московская область</t>
        </is>
      </c>
      <c r="E2246" s="130" t="inlineStr">
        <is>
          <t>М10</t>
        </is>
      </c>
      <c r="F2246" s="130" t="inlineStr">
        <is>
          <t>АЗС</t>
        </is>
      </c>
      <c r="G2246" s="130" t="inlineStr">
        <is>
          <t>Газпромнефть</t>
        </is>
      </c>
      <c r="H2246" s="131" t="n"/>
      <c r="I2246" s="637" t="n">
        <v>12063</v>
      </c>
      <c r="J2246" s="637" t="inlineStr">
        <is>
          <t>GPN_12063</t>
        </is>
      </c>
      <c r="K2246" s="640" t="n">
        <v>3</v>
      </c>
      <c r="L2246" s="640" t="n">
        <v>1</v>
      </c>
      <c r="M2246" s="623" t="n">
        <v>6</v>
      </c>
      <c r="N2246" s="640" t="n"/>
      <c r="O2246" s="640">
        <f>IF(AND(N2246=1,L2246=1),K2246,"")</f>
        <v/>
      </c>
      <c r="P2246" s="642" t="inlineStr">
        <is>
          <t>МО, Клинский р-н,96км. а/д "Россия"</t>
        </is>
      </c>
      <c r="Q2246" s="640" t="inlineStr">
        <is>
          <t>56.403424</t>
        </is>
      </c>
      <c r="R2246" s="494" t="inlineStr">
        <is>
          <t>36.648531</t>
        </is>
      </c>
      <c r="S2246" s="387" t="n"/>
      <c r="T2246" s="387" t="n"/>
      <c r="U2246" s="436" t="n"/>
      <c r="V2246" s="387" t="n"/>
      <c r="W2246" s="387">
        <f>IF(AND(N2246=1,O2246&lt;&gt;""),C2246,"")</f>
        <v/>
      </c>
      <c r="X2246" s="387" t="n"/>
      <c r="Y2246" s="387" t="n"/>
    </row>
    <row r="2247" hidden="1" ht="16.05" customFormat="1" customHeight="1" s="126">
      <c r="A2247" s="125" t="n">
        <v>2866</v>
      </c>
      <c r="B2247" s="125" t="n"/>
      <c r="C2247" s="130" t="inlineStr">
        <is>
          <t>Москва</t>
        </is>
      </c>
      <c r="D2247" s="130" t="inlineStr">
        <is>
          <t>Московская область</t>
        </is>
      </c>
      <c r="E2247" s="130" t="inlineStr">
        <is>
          <t>М10</t>
        </is>
      </c>
      <c r="F2247" s="130" t="inlineStr">
        <is>
          <t>АЗС</t>
        </is>
      </c>
      <c r="G2247" s="130" t="inlineStr">
        <is>
          <t>Газпромнефть</t>
        </is>
      </c>
      <c r="H2247" s="131" t="n"/>
      <c r="I2247" s="637" t="n">
        <v>12051</v>
      </c>
      <c r="J2247" s="637" t="inlineStr">
        <is>
          <t>GPN_12051</t>
        </is>
      </c>
      <c r="K2247" s="640" t="n">
        <v>1</v>
      </c>
      <c r="L2247" s="640" t="n">
        <v>0</v>
      </c>
      <c r="M2247" s="640" t="n">
        <v>1</v>
      </c>
      <c r="N2247" s="640" t="n"/>
      <c r="O2247" s="640">
        <f>IF(AND(N2247=1,L2247=1),K2247,"")</f>
        <v/>
      </c>
      <c r="P2247" s="642" t="inlineStr">
        <is>
          <t>МО, Клинский р-н, 108 км а/д "Россия" справа</t>
        </is>
      </c>
      <c r="Q2247" s="640" t="inlineStr">
        <is>
          <t>56.4919</t>
        </is>
      </c>
      <c r="R2247" s="422" t="inlineStr">
        <is>
          <t>36.56154</t>
        </is>
      </c>
      <c r="S2247" s="387" t="n"/>
      <c r="T2247" s="387" t="n"/>
      <c r="U2247" s="436" t="n"/>
      <c r="V2247" s="387" t="n"/>
      <c r="W2247" s="387">
        <f>IF(AND(N2247=1,O2247&lt;&gt;""),C2247,"")</f>
        <v/>
      </c>
      <c r="X2247" s="387" t="n"/>
      <c r="Y2247" s="387" t="n"/>
    </row>
    <row r="2248" hidden="1" ht="16.05" customFormat="1" customHeight="1" s="126">
      <c r="A2248" s="125" t="n">
        <v>2869</v>
      </c>
      <c r="B2248" s="125" t="n"/>
      <c r="C2248" s="130" t="inlineStr">
        <is>
          <t>Москва</t>
        </is>
      </c>
      <c r="D2248" s="130" t="inlineStr">
        <is>
          <t>Московская область</t>
        </is>
      </c>
      <c r="E2248" s="130" t="inlineStr">
        <is>
          <t>М10</t>
        </is>
      </c>
      <c r="F2248" s="130" t="inlineStr">
        <is>
          <t>АЗС</t>
        </is>
      </c>
      <c r="G2248" s="130" t="inlineStr">
        <is>
          <t>Газпромнефть</t>
        </is>
      </c>
      <c r="H2248" s="131" t="n"/>
      <c r="I2248" s="637" t="n">
        <v>12062</v>
      </c>
      <c r="J2248" s="637" t="inlineStr">
        <is>
          <t>GPN_12062</t>
        </is>
      </c>
      <c r="K2248" s="640" t="n">
        <v>3</v>
      </c>
      <c r="L2248" s="640" t="n">
        <v>1</v>
      </c>
      <c r="M2248" s="623" t="n">
        <v>6</v>
      </c>
      <c r="N2248" s="640" t="n"/>
      <c r="O2248" s="640">
        <f>IF(AND(N2248=1,L2248=1),K2248,"")</f>
        <v/>
      </c>
      <c r="P2248" s="642" t="inlineStr">
        <is>
          <t>МО, Клинский р-н,пос.31 Октября,92км.,ш."Москва-Санкт-Петербург"</t>
        </is>
      </c>
      <c r="Q2248" s="640" t="inlineStr">
        <is>
          <t>56.373713</t>
        </is>
      </c>
      <c r="R2248" s="494" t="inlineStr">
        <is>
          <t>36.681663</t>
        </is>
      </c>
      <c r="S2248" s="387" t="n"/>
      <c r="T2248" s="387" t="n"/>
      <c r="U2248" s="436" t="n"/>
      <c r="V2248" s="387" t="n"/>
      <c r="W2248" s="387">
        <f>IF(AND(N2248=1,O2248&lt;&gt;""),C2248,"")</f>
        <v/>
      </c>
      <c r="X2248" s="387" t="n"/>
      <c r="Y2248" s="387" t="n"/>
    </row>
    <row r="2249" hidden="1" ht="16.05" customFormat="1" customHeight="1" s="126">
      <c r="A2249" s="125" t="n">
        <v>2870</v>
      </c>
      <c r="B2249" s="125" t="n"/>
      <c r="C2249" s="130" t="inlineStr">
        <is>
          <t>Москва</t>
        </is>
      </c>
      <c r="D2249" s="130" t="inlineStr">
        <is>
          <t>Московская область</t>
        </is>
      </c>
      <c r="E2249" s="130" t="inlineStr">
        <is>
          <t>М5</t>
        </is>
      </c>
      <c r="F2249" s="130" t="inlineStr">
        <is>
          <t>АЗС</t>
        </is>
      </c>
      <c r="G2249" s="130" t="inlineStr">
        <is>
          <t>Газпромнефть</t>
        </is>
      </c>
      <c r="H2249" s="131" t="n"/>
      <c r="I2249" s="637" t="n">
        <v>12247</v>
      </c>
      <c r="J2249" s="637" t="inlineStr">
        <is>
          <t>GPN_12247</t>
        </is>
      </c>
      <c r="K2249" s="640" t="n">
        <v>3</v>
      </c>
      <c r="L2249" s="640" t="n">
        <v>1</v>
      </c>
      <c r="M2249" s="623" t="n">
        <v>3</v>
      </c>
      <c r="N2249" s="640" t="n"/>
      <c r="O2249" s="640">
        <f>IF(AND(N2249=1,L2249=1),K2249,"")</f>
        <v/>
      </c>
      <c r="P2249" s="642" t="inlineStr">
        <is>
          <t>МО, Коломенский район, с. Чанки, 108 км трассы М-5 "Урал", ул. Центральная, д. 150</t>
        </is>
      </c>
      <c r="Q2249" s="640" t="inlineStr">
        <is>
          <t>55.1239</t>
        </is>
      </c>
      <c r="R2249" s="494" t="inlineStr">
        <is>
          <t>38.80822</t>
        </is>
      </c>
      <c r="S2249" s="387" t="n"/>
      <c r="T2249" s="387" t="n"/>
      <c r="U2249" s="436" t="n"/>
      <c r="V2249" s="387" t="n"/>
      <c r="W2249" s="387">
        <f>IF(AND(N2249=1,O2249&lt;&gt;""),C2249,"")</f>
        <v/>
      </c>
      <c r="X2249" s="387" t="n"/>
      <c r="Y2249" s="387" t="n"/>
    </row>
    <row r="2250" hidden="1" ht="16.05" customFormat="1" customHeight="1" s="126">
      <c r="A2250" s="125" t="n">
        <v>2871</v>
      </c>
      <c r="B2250" s="125" t="n"/>
      <c r="C2250" s="130" t="inlineStr">
        <is>
          <t>Москва</t>
        </is>
      </c>
      <c r="D2250" s="130" t="inlineStr">
        <is>
          <t>Московская область</t>
        </is>
      </c>
      <c r="E2250" s="130" t="inlineStr">
        <is>
          <t>М5</t>
        </is>
      </c>
      <c r="F2250" s="130" t="inlineStr">
        <is>
          <t>АЗС</t>
        </is>
      </c>
      <c r="G2250" s="130" t="inlineStr">
        <is>
          <t>Газпромнефть</t>
        </is>
      </c>
      <c r="H2250" s="131" t="n"/>
      <c r="I2250" s="637" t="n">
        <v>12246</v>
      </c>
      <c r="J2250" s="637" t="inlineStr">
        <is>
          <t>GPN_12246</t>
        </is>
      </c>
      <c r="K2250" s="640" t="n">
        <v>2</v>
      </c>
      <c r="L2250" s="640" t="n">
        <v>1</v>
      </c>
      <c r="M2250" s="623" t="n">
        <v>2</v>
      </c>
      <c r="N2250" s="640" t="n"/>
      <c r="O2250" s="640">
        <f>IF(AND(N2250=1,L2250=1),K2250,"")</f>
        <v/>
      </c>
      <c r="P2250" s="642" t="inlineStr">
        <is>
          <t>МО, Коломенский район, с. Чанки, 108 км трассы М-5 "Урал", ул. Центральная, д. 150А</t>
        </is>
      </c>
      <c r="Q2250" s="640" t="inlineStr">
        <is>
          <t>55.12238</t>
        </is>
      </c>
      <c r="R2250" s="494" t="inlineStr">
        <is>
          <t>38.80811</t>
        </is>
      </c>
      <c r="S2250" s="387" t="n"/>
      <c r="T2250" s="387" t="n"/>
      <c r="U2250" s="436" t="n"/>
      <c r="V2250" s="387" t="n"/>
      <c r="W2250" s="387">
        <f>IF(AND(N2250=1,O2250&lt;&gt;""),C2250,"")</f>
        <v/>
      </c>
      <c r="X2250" s="387" t="n"/>
      <c r="Y2250" s="387" t="n"/>
    </row>
    <row r="2251" hidden="1" ht="16.05" customFormat="1" customHeight="1" s="126">
      <c r="A2251" s="125" t="n">
        <v>2872</v>
      </c>
      <c r="B2251" s="125" t="n"/>
      <c r="C2251" s="130" t="inlineStr">
        <is>
          <t>Москва</t>
        </is>
      </c>
      <c r="D2251" s="130" t="inlineStr">
        <is>
          <t>Московская область</t>
        </is>
      </c>
      <c r="E2251" s="130" t="inlineStr">
        <is>
          <t>М2</t>
        </is>
      </c>
      <c r="F2251" s="130" t="inlineStr">
        <is>
          <t>АЗС</t>
        </is>
      </c>
      <c r="G2251" s="130" t="inlineStr">
        <is>
          <t>Газпромнефть</t>
        </is>
      </c>
      <c r="H2251" s="131" t="n"/>
      <c r="I2251" s="637" t="n">
        <v>12198</v>
      </c>
      <c r="J2251" s="637" t="inlineStr">
        <is>
          <t>GPN_12198</t>
        </is>
      </c>
      <c r="K2251" s="640" t="n">
        <v>3</v>
      </c>
      <c r="L2251" s="640" t="n">
        <v>1</v>
      </c>
      <c r="M2251" s="623" t="n">
        <v>6</v>
      </c>
      <c r="N2251" s="640" t="n"/>
      <c r="O2251" s="640">
        <f>IF(AND(N2251=1,L2251=1),K2251,"")</f>
        <v/>
      </c>
      <c r="P2251" s="642" t="inlineStr">
        <is>
          <t>МО, М2 "Крым", 70 км право</t>
        </is>
      </c>
      <c r="Q2251" s="640" t="inlineStr">
        <is>
          <t>55.15148</t>
        </is>
      </c>
      <c r="R2251" s="494" t="inlineStr">
        <is>
          <t>37.54971</t>
        </is>
      </c>
      <c r="S2251" s="387" t="n"/>
      <c r="T2251" s="387" t="n"/>
      <c r="U2251" s="436" t="n"/>
      <c r="V2251" s="387" t="n"/>
      <c r="W2251" s="387">
        <f>IF(AND(N2251=1,O2251&lt;&gt;""),C2251,"")</f>
        <v/>
      </c>
      <c r="X2251" s="387" t="n"/>
      <c r="Y2251" s="387" t="n"/>
    </row>
    <row r="2252" hidden="1" ht="16.05" customFormat="1" customHeight="1" s="126">
      <c r="A2252" s="125" t="n">
        <v>2873</v>
      </c>
      <c r="B2252" s="125" t="n"/>
      <c r="C2252" s="130" t="inlineStr">
        <is>
          <t>Москва</t>
        </is>
      </c>
      <c r="D2252" s="130" t="inlineStr">
        <is>
          <t>Московская область</t>
        </is>
      </c>
      <c r="E2252" s="130" t="inlineStr">
        <is>
          <t>М7</t>
        </is>
      </c>
      <c r="F2252" s="130" t="inlineStr">
        <is>
          <t>АЗС</t>
        </is>
      </c>
      <c r="G2252" s="130" t="inlineStr">
        <is>
          <t>Газпромнефть</t>
        </is>
      </c>
      <c r="H2252" s="131" t="n"/>
      <c r="I2252" s="637" t="n">
        <v>12273</v>
      </c>
      <c r="J2252" s="637" t="inlineStr">
        <is>
          <t>GPN_12273</t>
        </is>
      </c>
      <c r="K2252" s="640" t="n">
        <v>3</v>
      </c>
      <c r="L2252" s="640" t="n">
        <v>1</v>
      </c>
      <c r="M2252" s="623" t="n">
        <v>5</v>
      </c>
      <c r="N2252" s="640" t="n"/>
      <c r="O2252" s="640">
        <f>IF(AND(N2252=1,L2252=1),K2252,"")</f>
        <v/>
      </c>
      <c r="P2252" s="642" t="inlineStr">
        <is>
          <t>МО, М-7 52 км, справа</t>
        </is>
      </c>
      <c r="Q2252" s="640" t="inlineStr">
        <is>
          <t>55.8298</t>
        </is>
      </c>
      <c r="R2252" s="494" t="inlineStr">
        <is>
          <t>38.4063</t>
        </is>
      </c>
      <c r="S2252" s="387" t="n"/>
      <c r="T2252" s="387" t="n"/>
      <c r="U2252" s="436" t="n"/>
      <c r="V2252" s="387" t="n"/>
      <c r="W2252" s="387">
        <f>IF(AND(N2252=1,O2252&lt;&gt;""),C2252,"")</f>
        <v/>
      </c>
      <c r="X2252" s="387" t="n"/>
      <c r="Y2252" s="387" t="n"/>
    </row>
    <row r="2253" hidden="1" ht="16.05" customFormat="1" customHeight="1" s="126">
      <c r="A2253" s="125" t="n">
        <v>2874</v>
      </c>
      <c r="B2253" s="125" t="n"/>
      <c r="C2253" s="130" t="inlineStr">
        <is>
          <t>Москва</t>
        </is>
      </c>
      <c r="D2253" s="130" t="inlineStr">
        <is>
          <t>Московская область</t>
        </is>
      </c>
      <c r="E2253" s="130" t="inlineStr">
        <is>
          <t>М1</t>
        </is>
      </c>
      <c r="F2253" s="130" t="inlineStr">
        <is>
          <t>АЗС</t>
        </is>
      </c>
      <c r="G2253" s="130" t="inlineStr">
        <is>
          <t>Газпромнефть</t>
        </is>
      </c>
      <c r="H2253" s="131" t="n"/>
      <c r="I2253" s="637" t="n">
        <v>12001</v>
      </c>
      <c r="J2253" s="637" t="inlineStr">
        <is>
          <t>GPN_12001</t>
        </is>
      </c>
      <c r="K2253" s="640" t="n">
        <v>3</v>
      </c>
      <c r="L2253" s="640" t="n">
        <v>1</v>
      </c>
      <c r="M2253" s="623" t="n">
        <v>6</v>
      </c>
      <c r="N2253" s="640" t="n"/>
      <c r="O2253" s="640">
        <f>IF(AND(N2253=1,L2253=1),K2253,"")</f>
        <v/>
      </c>
      <c r="P2253" s="642" t="inlineStr">
        <is>
          <t>МО, Минское ш., 24 км</t>
        </is>
      </c>
      <c r="Q2253" s="640" t="inlineStr">
        <is>
          <t>55.656538</t>
        </is>
      </c>
      <c r="R2253" s="494" t="inlineStr">
        <is>
          <t>37.295839</t>
        </is>
      </c>
      <c r="S2253" s="387" t="n"/>
      <c r="T2253" s="387" t="n"/>
      <c r="U2253" s="436" t="n"/>
      <c r="V2253" s="387" t="n"/>
      <c r="W2253" s="387">
        <f>IF(AND(N2253=1,O2253&lt;&gt;""),C2253,"")</f>
        <v/>
      </c>
      <c r="X2253" s="387" t="n"/>
      <c r="Y2253" s="387" t="n"/>
    </row>
    <row r="2254" hidden="1" ht="16.05" customFormat="1" customHeight="1" s="126">
      <c r="A2254" s="125" t="n">
        <v>2875</v>
      </c>
      <c r="B2254" s="125" t="n"/>
      <c r="C2254" s="130" t="inlineStr">
        <is>
          <t>Москва</t>
        </is>
      </c>
      <c r="D2254" s="130" t="inlineStr">
        <is>
          <t>Московская область</t>
        </is>
      </c>
      <c r="E2254" s="130" t="inlineStr">
        <is>
          <t>А108</t>
        </is>
      </c>
      <c r="F2254" s="130" t="inlineStr">
        <is>
          <t>АЗС</t>
        </is>
      </c>
      <c r="G2254" s="130" t="inlineStr">
        <is>
          <t>Газпромнефть</t>
        </is>
      </c>
      <c r="H2254" s="131" t="n"/>
      <c r="I2254" s="637" t="n">
        <v>12270</v>
      </c>
      <c r="J2254" s="637" t="inlineStr">
        <is>
          <t>GPN_12270</t>
        </is>
      </c>
      <c r="K2254" s="640" t="n">
        <v>3</v>
      </c>
      <c r="L2254" s="640" t="n">
        <v>1</v>
      </c>
      <c r="M2254" s="623" t="n">
        <v>5</v>
      </c>
      <c r="N2254" s="640" t="n"/>
      <c r="O2254" s="640">
        <f>IF(AND(N2254=1,L2254=1),K2254,"")</f>
        <v/>
      </c>
      <c r="P2254" s="642" t="inlineStr">
        <is>
          <t>МО, Орехово-Зуевский р-н, А-108, д. Кабаново</t>
        </is>
      </c>
      <c r="Q2254" s="640" t="inlineStr">
        <is>
          <t>55.76263</t>
        </is>
      </c>
      <c r="R2254" s="494" t="inlineStr">
        <is>
          <t>38.94159</t>
        </is>
      </c>
      <c r="S2254" s="387" t="n"/>
      <c r="T2254" s="387" t="n"/>
      <c r="U2254" s="436" t="n"/>
      <c r="V2254" s="387" t="n"/>
      <c r="W2254" s="387">
        <f>IF(AND(N2254=1,O2254&lt;&gt;""),C2254,"")</f>
        <v/>
      </c>
      <c r="X2254" s="387" t="n"/>
      <c r="Y2254" s="387" t="n"/>
    </row>
    <row r="2255" hidden="1" ht="16.05" customFormat="1" customHeight="1" s="126">
      <c r="A2255" s="125" t="n">
        <v>2876</v>
      </c>
      <c r="B2255" s="125" t="n"/>
      <c r="C2255" s="130" t="inlineStr">
        <is>
          <t>Москва</t>
        </is>
      </c>
      <c r="D2255" s="130" t="inlineStr">
        <is>
          <t>Московская область</t>
        </is>
      </c>
      <c r="E2255" s="130" t="inlineStr">
        <is>
          <t>М7</t>
        </is>
      </c>
      <c r="F2255" s="130" t="inlineStr">
        <is>
          <t>АЗС</t>
        </is>
      </c>
      <c r="G2255" s="130" t="inlineStr">
        <is>
          <t>Газпромнефть</t>
        </is>
      </c>
      <c r="H2255" s="131" t="n"/>
      <c r="I2255" s="637" t="n">
        <v>12267</v>
      </c>
      <c r="J2255" s="637" t="inlineStr">
        <is>
          <t>GPN_12267</t>
        </is>
      </c>
      <c r="K2255" s="640" t="n">
        <v>3</v>
      </c>
      <c r="L2255" s="640" t="n">
        <v>1</v>
      </c>
      <c r="M2255" s="623" t="n">
        <v>6</v>
      </c>
      <c r="N2255" s="640" t="n"/>
      <c r="O2255" s="640">
        <f>IF(AND(N2255=1,L2255=1),K2255,"")</f>
        <v/>
      </c>
      <c r="P2255" s="642" t="inlineStr">
        <is>
          <t>МО, Павлово-Посадский район, 69 км., ФАД М-7 "Волга",слева</t>
        </is>
      </c>
      <c r="Q2255" s="640" t="inlineStr">
        <is>
          <t>55.84892</t>
        </is>
      </c>
      <c r="R2255" s="494" t="inlineStr">
        <is>
          <t>38.67564</t>
        </is>
      </c>
      <c r="S2255" s="387" t="n"/>
      <c r="T2255" s="387" t="n"/>
      <c r="U2255" s="436" t="n"/>
      <c r="V2255" s="387" t="n"/>
      <c r="W2255" s="387">
        <f>IF(AND(N2255=1,O2255&lt;&gt;""),C2255,"")</f>
        <v/>
      </c>
      <c r="X2255" s="387" t="n"/>
      <c r="Y2255" s="387" t="n"/>
    </row>
    <row r="2256" hidden="1" ht="16.05" customFormat="1" customHeight="1" s="126">
      <c r="A2256" s="125" t="n">
        <v>2877</v>
      </c>
      <c r="B2256" s="125" t="n"/>
      <c r="C2256" s="130" t="inlineStr">
        <is>
          <t>Москва</t>
        </is>
      </c>
      <c r="D2256" s="130" t="inlineStr">
        <is>
          <t>Москва</t>
        </is>
      </c>
      <c r="E2256" s="130" t="inlineStr">
        <is>
          <t>МКАД</t>
        </is>
      </c>
      <c r="F2256" s="130" t="inlineStr">
        <is>
          <t>АЗС</t>
        </is>
      </c>
      <c r="G2256" s="130" t="inlineStr">
        <is>
          <t>Газпромнефть</t>
        </is>
      </c>
      <c r="H2256" s="131" t="n"/>
      <c r="I2256" s="637" t="n">
        <v>11165</v>
      </c>
      <c r="J2256" s="637" t="inlineStr">
        <is>
          <t>GPN_11165</t>
        </is>
      </c>
      <c r="K2256" s="640" t="n">
        <v>3</v>
      </c>
      <c r="L2256" s="640" t="n">
        <v>1</v>
      </c>
      <c r="M2256" s="623" t="n">
        <v>6</v>
      </c>
      <c r="N2256" s="640" t="n"/>
      <c r="O2256" s="640">
        <f>IF(AND(N2256=1,L2256=1),K2256,"")</f>
        <v/>
      </c>
      <c r="P2256" s="642" t="inlineStr">
        <is>
          <t>МО, пос. Измайлово, 31 км МКАД</t>
        </is>
      </c>
      <c r="Q2256" s="640" t="n">
        <v>55.572817</v>
      </c>
      <c r="R2256" s="494" t="n">
        <v>37.64133</v>
      </c>
      <c r="S2256" s="387" t="n"/>
      <c r="T2256" s="387" t="n"/>
      <c r="U2256" s="436" t="n"/>
      <c r="V2256" s="387" t="n"/>
      <c r="W2256" s="387">
        <f>IF(AND(N2256=1,O2256&lt;&gt;""),C2256,"")</f>
        <v/>
      </c>
      <c r="X2256" s="387" t="n"/>
      <c r="Y2256" s="387" t="n"/>
    </row>
    <row r="2257" hidden="1" ht="16.05" customFormat="1" customHeight="1" s="126">
      <c r="A2257" s="125" t="n">
        <v>2878</v>
      </c>
      <c r="B2257" s="125" t="n"/>
      <c r="C2257" s="416" t="inlineStr">
        <is>
          <t>ЦФО (Калуга, Тула, Тверь, Рязань,Смоленск,Владимир,Воронеж, Ярославль)</t>
        </is>
      </c>
      <c r="D2257" s="130" t="inlineStr">
        <is>
          <t>Тверь</t>
        </is>
      </c>
      <c r="E2257" s="130" t="n"/>
      <c r="F2257" s="130" t="inlineStr">
        <is>
          <t>АЗС</t>
        </is>
      </c>
      <c r="G2257" s="130" t="inlineStr">
        <is>
          <t>Газпромнефть</t>
        </is>
      </c>
      <c r="H2257" s="131" t="n"/>
      <c r="I2257" s="637" t="n">
        <v>12064</v>
      </c>
      <c r="J2257" s="637" t="inlineStr">
        <is>
          <t>GPN_12064</t>
        </is>
      </c>
      <c r="K2257" s="640" t="n">
        <v>3</v>
      </c>
      <c r="L2257" s="640" t="n">
        <v>1</v>
      </c>
      <c r="M2257" s="623" t="n">
        <v>6</v>
      </c>
      <c r="N2257" s="640" t="n"/>
      <c r="O2257" s="640">
        <f>IF(AND(N2257=1,L2257=1),K2257,"")</f>
        <v/>
      </c>
      <c r="P2257" s="642" t="inlineStr">
        <is>
          <t>г. Тверь,Пролетарский р-н, ул.1-я за Линией Октябрьской ж/д, д. 1-а</t>
        </is>
      </c>
      <c r="Q2257" s="640" t="inlineStr">
        <is>
          <t>56.849653</t>
        </is>
      </c>
      <c r="R2257" s="494" t="inlineStr">
        <is>
          <t>35.854485</t>
        </is>
      </c>
      <c r="S2257" s="387" t="n"/>
      <c r="T2257" s="387" t="n"/>
      <c r="U2257" s="436" t="n"/>
      <c r="V2257" s="387" t="n"/>
      <c r="W2257" s="387">
        <f>IF(AND(N2257=1,O2257&lt;&gt;""),C2257,"")</f>
        <v/>
      </c>
      <c r="X2257" s="387" t="n"/>
      <c r="Y2257" s="387" t="n"/>
    </row>
    <row r="2258" hidden="1" ht="16.05" customFormat="1" customHeight="1" s="126">
      <c r="A2258" s="125" t="n">
        <v>2879</v>
      </c>
      <c r="B2258" s="125" t="n"/>
      <c r="C2258" s="416" t="inlineStr">
        <is>
          <t>ЦФО (Калуга, Тула, Тверь, Рязань,Смоленск,Владимир,Воронеж, Ярославль)</t>
        </is>
      </c>
      <c r="D2258" s="130" t="inlineStr">
        <is>
          <t>Тверская область</t>
        </is>
      </c>
      <c r="E2258" s="130" t="n"/>
      <c r="F2258" s="130" t="inlineStr">
        <is>
          <t>АЗС</t>
        </is>
      </c>
      <c r="G2258" s="130" t="inlineStr">
        <is>
          <t>Газпромнефть</t>
        </is>
      </c>
      <c r="H2258" s="131" t="n"/>
      <c r="I2258" s="637" t="n">
        <v>12065</v>
      </c>
      <c r="J2258" s="637" t="inlineStr">
        <is>
          <t>GPN_12065</t>
        </is>
      </c>
      <c r="K2258" s="640" t="n">
        <v>3</v>
      </c>
      <c r="L2258" s="640" t="n">
        <v>1</v>
      </c>
      <c r="M2258" s="623" t="n">
        <v>6</v>
      </c>
      <c r="N2258" s="640" t="n"/>
      <c r="O2258" s="640">
        <f>IF(AND(N2258=1,L2258=1),K2258,"")</f>
        <v/>
      </c>
      <c r="P2258" s="642" t="inlineStr">
        <is>
          <t>ТО, Калининский р-н, Эмаусский с/о в р-не д. Пасынково, 155км+665м(право)</t>
        </is>
      </c>
      <c r="Q2258" s="640" t="inlineStr">
        <is>
          <t>56.784538</t>
        </is>
      </c>
      <c r="R2258" s="494" t="inlineStr">
        <is>
          <t>36.052402</t>
        </is>
      </c>
      <c r="S2258" s="387" t="n"/>
      <c r="T2258" s="387" t="n"/>
      <c r="U2258" s="436" t="n"/>
      <c r="V2258" s="387" t="n"/>
      <c r="W2258" s="387">
        <f>IF(AND(N2258=1,O2258&lt;&gt;""),C2258,"")</f>
        <v/>
      </c>
      <c r="X2258" s="387" t="n"/>
      <c r="Y2258" s="387" t="n"/>
    </row>
    <row r="2259" hidden="1" ht="16.05" customFormat="1" customHeight="1" s="126">
      <c r="A2259" s="125" t="n">
        <v>2880</v>
      </c>
      <c r="B2259" s="125" t="n"/>
      <c r="C2259" s="416" t="inlineStr">
        <is>
          <t>ЦФО (Калуга, Тула, Тверь, Рязань,Смоленск,Владимир,Воронеж, Ярославль)</t>
        </is>
      </c>
      <c r="D2259" s="130" t="inlineStr">
        <is>
          <t>Тверская область</t>
        </is>
      </c>
      <c r="E2259" s="130" t="n"/>
      <c r="F2259" s="130" t="inlineStr">
        <is>
          <t>АЗС</t>
        </is>
      </c>
      <c r="G2259" s="130" t="inlineStr">
        <is>
          <t>Газпромнефть</t>
        </is>
      </c>
      <c r="H2259" s="131" t="n"/>
      <c r="I2259" s="637" t="n">
        <v>12066</v>
      </c>
      <c r="J2259" s="637" t="inlineStr">
        <is>
          <t>GPN_12066</t>
        </is>
      </c>
      <c r="K2259" s="640" t="n">
        <v>3</v>
      </c>
      <c r="L2259" s="640" t="n">
        <v>1</v>
      </c>
      <c r="M2259" s="623" t="n">
        <v>6</v>
      </c>
      <c r="N2259" s="640" t="n"/>
      <c r="O2259" s="640">
        <f>IF(AND(N2259=1,L2259=1),K2259,"")</f>
        <v/>
      </c>
      <c r="P2259" s="642" t="inlineStr">
        <is>
          <t>ТО, Торжокский р-н, Марьинский с/о на 214 км+550м(право) автодороги "Москва-Санкт-Петербург"</t>
        </is>
      </c>
      <c r="Q2259" s="640" t="inlineStr">
        <is>
          <t>57.15062</t>
        </is>
      </c>
      <c r="R2259" s="494" t="inlineStr">
        <is>
          <t>34.966513</t>
        </is>
      </c>
      <c r="S2259" s="387" t="n"/>
      <c r="T2259" s="387" t="n"/>
      <c r="U2259" s="436" t="n"/>
      <c r="V2259" s="387" t="n"/>
      <c r="W2259" s="387">
        <f>IF(AND(N2259=1,O2259&lt;&gt;""),C2259,"")</f>
        <v/>
      </c>
      <c r="X2259" s="387" t="n"/>
      <c r="Y2259" s="387" t="n"/>
    </row>
    <row r="2260" hidden="1" ht="55.05" customFormat="1" customHeight="1" s="126">
      <c r="A2260" s="125" t="n">
        <v>2881</v>
      </c>
      <c r="B2260" s="125" t="n"/>
      <c r="C2260" s="130" t="inlineStr">
        <is>
          <t>Москва</t>
        </is>
      </c>
      <c r="D2260" s="130" t="inlineStr">
        <is>
          <t>Московская область</t>
        </is>
      </c>
      <c r="E2260" s="130" t="inlineStr">
        <is>
          <t>М10</t>
        </is>
      </c>
      <c r="F2260" s="130" t="inlineStr">
        <is>
          <t>АЗС</t>
        </is>
      </c>
      <c r="G2260" s="130" t="inlineStr">
        <is>
          <t>Газпромнефть</t>
        </is>
      </c>
      <c r="H2260" s="131" t="n"/>
      <c r="I2260" s="637" t="n">
        <v>12028</v>
      </c>
      <c r="J2260" s="637" t="inlineStr">
        <is>
          <t>GPN_12028</t>
        </is>
      </c>
      <c r="K2260" s="640" t="n">
        <v>3</v>
      </c>
      <c r="L2260" s="640" t="n">
        <v>1</v>
      </c>
      <c r="M2260" s="623" t="n">
        <v>6</v>
      </c>
      <c r="N2260" s="640" t="n"/>
      <c r="O2260" s="640">
        <f>IF(AND(N2260=1,L2260=1),K2260,"")</f>
        <v/>
      </c>
      <c r="P2260" s="642" t="inlineStr">
        <is>
          <t>МО, Солнечногорский р-н, д.Пешки,Пешковский с.о.</t>
        </is>
      </c>
      <c r="Q2260" s="640" t="inlineStr">
        <is>
          <t>56.134244</t>
        </is>
      </c>
      <c r="R2260" s="494" t="inlineStr">
        <is>
          <t>37.063539</t>
        </is>
      </c>
      <c r="S2260" s="387" t="n"/>
      <c r="T2260" s="387" t="n"/>
      <c r="U2260" s="436" t="n"/>
      <c r="V2260" s="387" t="n"/>
      <c r="W2260" s="387">
        <f>IF(AND(N2260=1,O2260&lt;&gt;""),C2260,"")</f>
        <v/>
      </c>
      <c r="X2260" s="387" t="n"/>
      <c r="Y2260" s="387" t="n"/>
    </row>
    <row r="2261" hidden="1" ht="55.05" customFormat="1" customHeight="1" s="126">
      <c r="A2261" s="125" t="n">
        <v>2882</v>
      </c>
      <c r="B2261" s="125" t="n"/>
      <c r="C2261" s="130" t="inlineStr">
        <is>
          <t>Москва</t>
        </is>
      </c>
      <c r="D2261" s="130" t="inlineStr">
        <is>
          <t>Московская область</t>
        </is>
      </c>
      <c r="E2261" s="130" t="inlineStr">
        <is>
          <t>А108</t>
        </is>
      </c>
      <c r="F2261" s="130" t="inlineStr">
        <is>
          <t>АЗС</t>
        </is>
      </c>
      <c r="G2261" s="130" t="inlineStr">
        <is>
          <t>Газпромнефть</t>
        </is>
      </c>
      <c r="H2261" s="131" t="n"/>
      <c r="I2261" s="637" t="n">
        <v>12043</v>
      </c>
      <c r="J2261" s="637" t="inlineStr">
        <is>
          <t>GPN_12043</t>
        </is>
      </c>
      <c r="K2261" s="640" t="n">
        <v>3</v>
      </c>
      <c r="L2261" s="640" t="n">
        <v>1</v>
      </c>
      <c r="M2261" s="623" t="n">
        <v>3</v>
      </c>
      <c r="N2261" s="640" t="n"/>
      <c r="O2261" s="640">
        <f>IF(AND(N2261=1,L2261=1),K2261,"")</f>
        <v/>
      </c>
      <c r="P2261" s="642" t="inlineStr">
        <is>
          <t>МО, Ступинский р-н, 85-й км Каширского ш. (слева)</t>
        </is>
      </c>
      <c r="Q2261" s="640" t="inlineStr">
        <is>
          <t>55.078213</t>
        </is>
      </c>
      <c r="R2261" s="494" t="inlineStr">
        <is>
          <t>37.952891</t>
        </is>
      </c>
      <c r="S2261" s="387" t="n"/>
      <c r="T2261" s="387" t="n"/>
      <c r="U2261" s="436" t="n"/>
      <c r="V2261" s="387" t="n"/>
      <c r="W2261" s="387">
        <f>IF(AND(N2261=1,O2261&lt;&gt;""),C2261,"")</f>
        <v/>
      </c>
      <c r="X2261" s="387" t="n"/>
      <c r="Y2261" s="387" t="n"/>
    </row>
    <row r="2262" hidden="1" ht="55.05" customFormat="1" customHeight="1" s="126">
      <c r="A2262" s="125" t="n">
        <v>2883</v>
      </c>
      <c r="B2262" s="125" t="n"/>
      <c r="C2262" s="416" t="inlineStr">
        <is>
          <t>ЦФО (Калуга, Тула, Тверь, Рязань,Смоленск,Владимир,Воронеж, Ярославль)</t>
        </is>
      </c>
      <c r="D2262" s="130" t="inlineStr">
        <is>
          <t>Тверская область</t>
        </is>
      </c>
      <c r="E2262" s="130" t="n"/>
      <c r="F2262" s="130" t="inlineStr">
        <is>
          <t>АЗС</t>
        </is>
      </c>
      <c r="G2262" s="130" t="inlineStr">
        <is>
          <t>Газпромнефть</t>
        </is>
      </c>
      <c r="H2262" s="131" t="n"/>
      <c r="I2262" s="637" t="n">
        <v>12070</v>
      </c>
      <c r="J2262" s="637" t="inlineStr">
        <is>
          <t>GPN_12070</t>
        </is>
      </c>
      <c r="K2262" s="640" t="n">
        <v>3</v>
      </c>
      <c r="L2262" s="640" t="n">
        <v>1</v>
      </c>
      <c r="M2262" s="623" t="n">
        <v>6</v>
      </c>
      <c r="N2262" s="640" t="n"/>
      <c r="O2262" s="640">
        <f>IF(AND(N2262=1,L2262=1),K2262,"")</f>
        <v/>
      </c>
      <c r="P2262" s="642" t="inlineStr">
        <is>
          <t>Тверская область, Торжокский р-н, д. Большая Киселенка, а/д Москва-Санкт-Петербург 242 км. (деревня Большая Киселёнка, 4А)</t>
        </is>
      </c>
      <c r="Q2262" s="640" t="inlineStr">
        <is>
          <t>57.150439</t>
        </is>
      </c>
      <c r="R2262" s="494" t="inlineStr">
        <is>
          <t>34.966855</t>
        </is>
      </c>
      <c r="S2262" s="387" t="n"/>
      <c r="T2262" s="387" t="n"/>
      <c r="U2262" s="436" t="n"/>
      <c r="V2262" s="387" t="n"/>
      <c r="W2262" s="387">
        <f>IF(AND(N2262=1,O2262&lt;&gt;""),C2262,"")</f>
        <v/>
      </c>
      <c r="X2262" s="387" t="n"/>
      <c r="Y2262" s="387" t="n"/>
    </row>
    <row r="2263" hidden="1" ht="16.05" customFormat="1" customHeight="1" s="126">
      <c r="A2263" s="125" t="n">
        <v>2884</v>
      </c>
      <c r="B2263" s="125" t="n"/>
      <c r="C2263" s="416" t="inlineStr">
        <is>
          <t>ЦФО (Калуга, Тула, Тверь, Рязань,Смоленск,Владимир,Воронеж, Ярославль)</t>
        </is>
      </c>
      <c r="D2263" s="130" t="inlineStr">
        <is>
          <t>Тверская область</t>
        </is>
      </c>
      <c r="E2263" s="130" t="n"/>
      <c r="F2263" s="130" t="inlineStr">
        <is>
          <t>АЗС</t>
        </is>
      </c>
      <c r="G2263" s="130" t="inlineStr">
        <is>
          <t>Газпромнефть</t>
        </is>
      </c>
      <c r="H2263" s="131" t="n"/>
      <c r="I2263" s="637" t="n">
        <v>12071</v>
      </c>
      <c r="J2263" s="637" t="inlineStr">
        <is>
          <t>GPN_12071</t>
        </is>
      </c>
      <c r="K2263" s="640" t="n">
        <v>3</v>
      </c>
      <c r="L2263" s="640" t="n">
        <v>1</v>
      </c>
      <c r="M2263" s="623" t="n">
        <v>6</v>
      </c>
      <c r="N2263" s="640" t="n"/>
      <c r="O2263" s="640">
        <f>IF(AND(N2263=1,L2263=1),K2263,"")</f>
        <v/>
      </c>
      <c r="P2263" s="642" t="inlineStr">
        <is>
          <t>ТО, Калининский р-н, Эмаусский с/о в р-не д. Пасынково, 152км(лево)</t>
        </is>
      </c>
      <c r="Q2263" s="640" t="inlineStr">
        <is>
          <t>56.778684</t>
        </is>
      </c>
      <c r="R2263" s="494" t="inlineStr">
        <is>
          <t>36.110627</t>
        </is>
      </c>
      <c r="S2263" s="387" t="n"/>
      <c r="T2263" s="387" t="n"/>
      <c r="U2263" s="436" t="n"/>
      <c r="V2263" s="387" t="n"/>
      <c r="W2263" s="387">
        <f>IF(AND(N2263=1,O2263&lt;&gt;""),C2263,"")</f>
        <v/>
      </c>
      <c r="X2263" s="387" t="n"/>
      <c r="Y2263" s="387" t="n"/>
    </row>
    <row r="2264" hidden="1" ht="16.05" customFormat="1" customHeight="1" s="126">
      <c r="A2264" s="125" t="n">
        <v>2885</v>
      </c>
      <c r="B2264" s="125" t="n"/>
      <c r="C2264" s="416" t="inlineStr">
        <is>
          <t>ЦФО (Калуга, Тула, Тверь, Рязань,Смоленск,Владимир,Воронеж, Ярославль)</t>
        </is>
      </c>
      <c r="D2264" s="130" t="inlineStr">
        <is>
          <t>Калуга</t>
        </is>
      </c>
      <c r="E2264" s="130" t="n"/>
      <c r="F2264" s="130" t="inlineStr">
        <is>
          <t>АЗС</t>
        </is>
      </c>
      <c r="G2264" s="130" t="inlineStr">
        <is>
          <t>Газпромнефть</t>
        </is>
      </c>
      <c r="H2264" s="131" t="n"/>
      <c r="I2264" s="637" t="n">
        <v>12073</v>
      </c>
      <c r="J2264" s="637" t="inlineStr">
        <is>
          <t>GPN_12073</t>
        </is>
      </c>
      <c r="K2264" s="640" t="n">
        <v>3</v>
      </c>
      <c r="L2264" s="640" t="n">
        <v>1</v>
      </c>
      <c r="M2264" s="623" t="n">
        <v>4</v>
      </c>
      <c r="N2264" s="640" t="n"/>
      <c r="O2264" s="640">
        <f>IF(AND(N2264=1,L2264=1),K2264,"")</f>
        <v/>
      </c>
      <c r="P2264" s="642" t="inlineStr">
        <is>
          <t>Калуга, ул. Трифоновская в 200м от перекрестка с Тарутинской (Тарутинская ул., 161Б)</t>
        </is>
      </c>
      <c r="Q2264" s="640" t="inlineStr">
        <is>
          <t>54.562567</t>
        </is>
      </c>
      <c r="R2264" s="494" t="inlineStr">
        <is>
          <t>36.293791</t>
        </is>
      </c>
      <c r="S2264" s="387" t="n"/>
      <c r="T2264" s="387" t="n"/>
      <c r="U2264" s="436" t="n"/>
      <c r="V2264" s="387" t="n"/>
      <c r="W2264" s="387">
        <f>IF(AND(N2264=1,O2264&lt;&gt;""),C2264,"")</f>
        <v/>
      </c>
      <c r="X2264" s="387" t="n"/>
      <c r="Y2264" s="387" t="n"/>
    </row>
    <row r="2265" hidden="1" ht="55.05" customFormat="1" customHeight="1" s="126">
      <c r="A2265" s="125" t="n">
        <v>2886</v>
      </c>
      <c r="B2265" s="125" t="n"/>
      <c r="C2265" s="416" t="inlineStr">
        <is>
          <t>ЦФО (Калуга, Тула, Тверь, Рязань,Смоленск,Владимир,Воронеж, Ярославль)</t>
        </is>
      </c>
      <c r="D2265" s="130" t="inlineStr">
        <is>
          <t>Калуга</t>
        </is>
      </c>
      <c r="E2265" s="130" t="n"/>
      <c r="F2265" s="130" t="inlineStr">
        <is>
          <t>АЗС</t>
        </is>
      </c>
      <c r="G2265" s="130" t="inlineStr">
        <is>
          <t>Газпромнефть</t>
        </is>
      </c>
      <c r="H2265" s="131" t="n"/>
      <c r="I2265" s="637" t="n">
        <v>12076</v>
      </c>
      <c r="J2265" s="637" t="inlineStr">
        <is>
          <t>GPN_12076</t>
        </is>
      </c>
      <c r="K2265" s="640" t="n">
        <v>3</v>
      </c>
      <c r="L2265" s="640" t="n">
        <v>1</v>
      </c>
      <c r="M2265" s="623" t="n">
        <v>3</v>
      </c>
      <c r="N2265" s="640" t="n"/>
      <c r="O2265" s="640">
        <f>IF(AND(N2265=1,L2265=1),K2265,"")</f>
        <v/>
      </c>
      <c r="P2265" s="642" t="inlineStr">
        <is>
          <t>Калуга, правый берег, поворот на ул.Можайская (Россия, Калуга, Тульское шоссеповорот на Можайскую улицу)</t>
        </is>
      </c>
      <c r="Q2265" s="640" t="inlineStr">
        <is>
          <t>54.496651</t>
        </is>
      </c>
      <c r="R2265" s="494" t="inlineStr">
        <is>
          <t>36.229961</t>
        </is>
      </c>
      <c r="S2265" s="387" t="n"/>
      <c r="T2265" s="387" t="n"/>
      <c r="U2265" s="436" t="n"/>
      <c r="V2265" s="387" t="n"/>
      <c r="W2265" s="387">
        <f>IF(AND(N2265=1,O2265&lt;&gt;""),C2265,"")</f>
        <v/>
      </c>
      <c r="X2265" s="387" t="n"/>
      <c r="Y2265" s="387" t="n"/>
    </row>
    <row r="2266" hidden="1" ht="55.05" customFormat="1" customHeight="1" s="126">
      <c r="A2266" s="125" t="n">
        <v>2887</v>
      </c>
      <c r="B2266" s="125" t="n"/>
      <c r="C2266" s="416" t="inlineStr">
        <is>
          <t>ЦФО (Калуга, Тула, Тверь, Рязань,Смоленск,Владимир,Воронеж, Ярославль)</t>
        </is>
      </c>
      <c r="D2266" s="130" t="inlineStr">
        <is>
          <t>Калужская область</t>
        </is>
      </c>
      <c r="E2266" s="130" t="n"/>
      <c r="F2266" s="130" t="inlineStr">
        <is>
          <t>АЗС</t>
        </is>
      </c>
      <c r="G2266" s="130" t="inlineStr">
        <is>
          <t>Газпромнефть</t>
        </is>
      </c>
      <c r="H2266" s="131" t="n"/>
      <c r="I2266" s="637" t="n">
        <v>12081</v>
      </c>
      <c r="J2266" s="637" t="inlineStr">
        <is>
          <t>GPN_12081</t>
        </is>
      </c>
      <c r="K2266" s="640" t="n">
        <v>3</v>
      </c>
      <c r="L2266" s="640" t="n">
        <v>1</v>
      </c>
      <c r="M2266" s="623" t="n">
        <v>3</v>
      </c>
      <c r="N2266" s="640" t="n"/>
      <c r="O2266" s="640">
        <f>IF(AND(N2266=1,L2266=1),K2266,"")</f>
        <v/>
      </c>
      <c r="P2266" s="642" t="inlineStr">
        <is>
          <t>КО, Малоярославецкий р-н, 143 км а/д "Украина", лево по ходу километража автодороги</t>
        </is>
      </c>
      <c r="Q2266" s="640" t="inlineStr">
        <is>
          <t>54.818718</t>
        </is>
      </c>
      <c r="R2266" s="494" t="inlineStr">
        <is>
          <t>36.301919</t>
        </is>
      </c>
      <c r="S2266" s="387" t="n"/>
      <c r="T2266" s="387" t="n"/>
      <c r="U2266" s="436" t="n"/>
      <c r="V2266" s="387" t="n"/>
      <c r="W2266" s="387">
        <f>IF(AND(N2266=1,O2266&lt;&gt;""),C2266,"")</f>
        <v/>
      </c>
      <c r="X2266" s="387" t="n"/>
      <c r="Y2266" s="387" t="n"/>
    </row>
    <row r="2267" hidden="1" ht="55.05" customFormat="1" customHeight="1" s="126">
      <c r="A2267" s="125" t="n">
        <v>2888</v>
      </c>
      <c r="B2267" s="125" t="n"/>
      <c r="C2267" s="416" t="inlineStr">
        <is>
          <t>ЦФО (Калуга, Тула, Тверь, Рязань,Смоленск,Владимир,Воронеж, Ярославль)</t>
        </is>
      </c>
      <c r="D2267" s="130" t="inlineStr">
        <is>
          <t>Калужская область</t>
        </is>
      </c>
      <c r="E2267" s="130" t="n"/>
      <c r="F2267" s="130" t="inlineStr">
        <is>
          <t>АЗС</t>
        </is>
      </c>
      <c r="G2267" s="130" t="inlineStr">
        <is>
          <t>Газпромнефть</t>
        </is>
      </c>
      <c r="H2267" s="131" t="n"/>
      <c r="I2267" s="637" t="n">
        <v>12082</v>
      </c>
      <c r="J2267" s="637" t="inlineStr">
        <is>
          <t>GPN_12082</t>
        </is>
      </c>
      <c r="K2267" s="640" t="n">
        <v>3</v>
      </c>
      <c r="L2267" s="640" t="n">
        <v>1</v>
      </c>
      <c r="M2267" s="623" t="n">
        <v>3</v>
      </c>
      <c r="N2267" s="640" t="n"/>
      <c r="O2267" s="640">
        <f>IF(AND(N2267=1,L2267=1),K2267,"")</f>
        <v/>
      </c>
      <c r="P2267" s="642" t="inlineStr">
        <is>
          <t>КО, Дзержинский р-н, МО сельское поселение "д. Карцово", 41 км а/д "Калуга-Медынь"</t>
        </is>
      </c>
      <c r="Q2267" s="640" t="inlineStr">
        <is>
          <t>54.794191</t>
        </is>
      </c>
      <c r="R2267" s="494" t="inlineStr">
        <is>
          <t>35.952621</t>
        </is>
      </c>
      <c r="S2267" s="387" t="n"/>
      <c r="T2267" s="387" t="n"/>
      <c r="U2267" s="436" t="n"/>
      <c r="V2267" s="387" t="n"/>
      <c r="W2267" s="387">
        <f>IF(AND(N2267=1,O2267&lt;&gt;""),C2267,"")</f>
        <v/>
      </c>
      <c r="X2267" s="387" t="n"/>
      <c r="Y2267" s="387" t="n"/>
    </row>
    <row r="2268" hidden="1" ht="55.05" customFormat="1" customHeight="1" s="126">
      <c r="A2268" s="125" t="n">
        <v>2889</v>
      </c>
      <c r="B2268" s="125" t="n"/>
      <c r="C2268" s="130" t="inlineStr">
        <is>
          <t>Москва</t>
        </is>
      </c>
      <c r="D2268" s="130" t="inlineStr">
        <is>
          <t>Московская область</t>
        </is>
      </c>
      <c r="E2268" s="130" t="inlineStr">
        <is>
          <t>М10</t>
        </is>
      </c>
      <c r="F2268" s="130" t="inlineStr">
        <is>
          <t>АЗС</t>
        </is>
      </c>
      <c r="G2268" s="130" t="inlineStr">
        <is>
          <t>Газпромнефть</t>
        </is>
      </c>
      <c r="H2268" s="131" t="n"/>
      <c r="I2268" s="637" t="n">
        <v>12060</v>
      </c>
      <c r="J2268" s="637" t="inlineStr">
        <is>
          <t>GPN_12060</t>
        </is>
      </c>
      <c r="K2268" s="640" t="n">
        <v>3</v>
      </c>
      <c r="L2268" s="640" t="n">
        <v>1</v>
      </c>
      <c r="M2268" s="623" t="n">
        <v>6</v>
      </c>
      <c r="N2268" s="640" t="n"/>
      <c r="O2268" s="640">
        <f>IF(AND(N2268=1,L2268=1),K2268,"")</f>
        <v/>
      </c>
      <c r="P2268" s="642" t="inlineStr">
        <is>
          <t xml:space="preserve">МО, Химкинский р-н, автомагистраль "Москва-Санкт-Петербург",31км, вл. 1  </t>
        </is>
      </c>
      <c r="Q2268" s="640" t="inlineStr">
        <is>
          <t>55.964114</t>
        </is>
      </c>
      <c r="R2268" s="494" t="inlineStr">
        <is>
          <t>37.331635</t>
        </is>
      </c>
      <c r="S2268" s="387" t="n"/>
      <c r="T2268" s="387" t="n"/>
      <c r="U2268" s="436" t="n"/>
      <c r="V2268" s="387" t="n"/>
      <c r="W2268" s="387">
        <f>IF(AND(N2268=1,O2268&lt;&gt;""),C2268,"")</f>
        <v/>
      </c>
      <c r="X2268" s="387" t="n"/>
      <c r="Y2268" s="387" t="n"/>
    </row>
    <row r="2269" hidden="1" ht="55.05" customFormat="1" customHeight="1" s="126">
      <c r="A2269" s="125" t="n">
        <v>2890</v>
      </c>
      <c r="B2269" s="125" t="n"/>
      <c r="C2269" s="130" t="inlineStr">
        <is>
          <t>Москва</t>
        </is>
      </c>
      <c r="D2269" s="130" t="inlineStr">
        <is>
          <t>Московская область</t>
        </is>
      </c>
      <c r="E2269" s="130" t="inlineStr">
        <is>
          <t>САО</t>
        </is>
      </c>
      <c r="F2269" s="130" t="inlineStr">
        <is>
          <t>АЗС</t>
        </is>
      </c>
      <c r="G2269" s="130" t="inlineStr">
        <is>
          <t>Газпромнефть</t>
        </is>
      </c>
      <c r="H2269" s="131" t="n"/>
      <c r="I2269" s="637" t="n">
        <v>12059</v>
      </c>
      <c r="J2269" s="637" t="inlineStr">
        <is>
          <t>GPN_12059</t>
        </is>
      </c>
      <c r="K2269" s="640" t="n">
        <v>3</v>
      </c>
      <c r="L2269" s="640" t="n">
        <v>1</v>
      </c>
      <c r="M2269" s="623" t="n">
        <v>3</v>
      </c>
      <c r="N2269" s="640" t="n"/>
      <c r="O2269" s="640">
        <f>IF(AND(N2269=1,L2269=1),K2269,"")</f>
        <v/>
      </c>
      <c r="P2269" s="642" t="inlineStr">
        <is>
          <t>МО, Химкинский р-н, Лихачевское ш.,вл. 13</t>
        </is>
      </c>
      <c r="Q2269" s="640" t="inlineStr">
        <is>
          <t>55.89946</t>
        </is>
      </c>
      <c r="R2269" s="494" t="inlineStr">
        <is>
          <t>37.49011</t>
        </is>
      </c>
      <c r="S2269" s="387" t="n"/>
      <c r="T2269" s="387" t="n"/>
      <c r="U2269" s="436" t="n"/>
      <c r="V2269" s="387" t="n"/>
      <c r="W2269" s="387">
        <f>IF(AND(N2269=1,O2269&lt;&gt;""),C2269,"")</f>
        <v/>
      </c>
      <c r="X2269" s="387" t="n"/>
      <c r="Y2269" s="387" t="n"/>
    </row>
    <row r="2270" hidden="1" ht="55.05" customFormat="1" customHeight="1" s="126">
      <c r="A2270" s="125" t="n">
        <v>2891</v>
      </c>
      <c r="B2270" s="125" t="n"/>
      <c r="C2270" s="416" t="inlineStr">
        <is>
          <t>ЦФО (Калуга, Тула, Тверь, Рязань,Смоленск,Владимир,Воронеж, Ярославль)</t>
        </is>
      </c>
      <c r="D2270" s="130" t="inlineStr">
        <is>
          <t>Тверская область</t>
        </is>
      </c>
      <c r="E2270" s="130" t="n"/>
      <c r="F2270" s="130" t="inlineStr">
        <is>
          <t>АЗС</t>
        </is>
      </c>
      <c r="G2270" s="130" t="inlineStr">
        <is>
          <t>Газпромнефть</t>
        </is>
      </c>
      <c r="H2270" s="131" t="n"/>
      <c r="I2270" s="637" t="n">
        <v>12089</v>
      </c>
      <c r="J2270" s="637" t="inlineStr">
        <is>
          <t>GPN_12089</t>
        </is>
      </c>
      <c r="K2270" s="640" t="n">
        <v>3</v>
      </c>
      <c r="L2270" s="640" t="n">
        <v>1</v>
      </c>
      <c r="M2270" s="623" t="n">
        <v>5</v>
      </c>
      <c r="N2270" s="640" t="n"/>
      <c r="O2270" s="640">
        <f>IF(AND(N2270=1,L2270=1),K2270,"")</f>
        <v/>
      </c>
      <c r="P2270" s="642" t="inlineStr">
        <is>
          <t>ТО, Калининский р-н, Заволожское с/п в р-не пос. Дмитрово-Черкассы (Россия, городской округ Тверь, М-10 Россия, 175-й километр)</t>
        </is>
      </c>
      <c r="Q2270" s="640" t="inlineStr">
        <is>
          <t>56.857858</t>
        </is>
      </c>
      <c r="R2270" s="494" t="inlineStr">
        <is>
          <t>35.789366</t>
        </is>
      </c>
      <c r="S2270" s="387" t="n"/>
      <c r="T2270" s="387" t="n"/>
      <c r="U2270" s="436" t="n"/>
      <c r="V2270" s="387" t="n"/>
      <c r="W2270" s="387">
        <f>IF(AND(N2270=1,O2270&lt;&gt;""),C2270,"")</f>
        <v/>
      </c>
      <c r="X2270" s="387" t="n"/>
      <c r="Y2270" s="387" t="n"/>
    </row>
    <row r="2271" hidden="1" ht="16.05" customFormat="1" customHeight="1" s="126">
      <c r="A2271" s="125" t="n">
        <v>2892</v>
      </c>
      <c r="B2271" s="125" t="n"/>
      <c r="C2271" s="130" t="inlineStr">
        <is>
          <t>Москва</t>
        </is>
      </c>
      <c r="D2271" s="130" t="inlineStr">
        <is>
          <t>Москва</t>
        </is>
      </c>
      <c r="E2271" s="130" t="inlineStr">
        <is>
          <t>ЮЗАО</t>
        </is>
      </c>
      <c r="F2271" s="130" t="inlineStr">
        <is>
          <t>АЗС</t>
        </is>
      </c>
      <c r="G2271" s="130" t="inlineStr">
        <is>
          <t>Газпромнефть</t>
        </is>
      </c>
      <c r="H2271" s="131" t="n"/>
      <c r="I2271" s="637" t="n">
        <v>11122</v>
      </c>
      <c r="J2271" s="637" t="inlineStr">
        <is>
          <t>GPN_11122</t>
        </is>
      </c>
      <c r="K2271" s="640" t="n">
        <v>3</v>
      </c>
      <c r="L2271" s="640" t="n">
        <v>1</v>
      </c>
      <c r="M2271" s="623" t="n">
        <v>5</v>
      </c>
      <c r="N2271" s="640" t="n"/>
      <c r="O2271" s="640">
        <f>IF(AND(N2271=1,L2271=1),K2271,"")</f>
        <v/>
      </c>
      <c r="P2271" s="642" t="inlineStr">
        <is>
          <t>МО,Ленинский район п\о пос.Московский</t>
        </is>
      </c>
      <c r="Q2271" s="640" t="inlineStr">
        <is>
          <t>55.631800</t>
        </is>
      </c>
      <c r="R2271" s="494" t="inlineStr">
        <is>
          <t>37.466611</t>
        </is>
      </c>
      <c r="S2271" s="387" t="n"/>
      <c r="T2271" s="387" t="n"/>
      <c r="U2271" s="436" t="n"/>
      <c r="V2271" s="387" t="n"/>
      <c r="W2271" s="387">
        <f>IF(AND(N2271=1,O2271&lt;&gt;""),C2271,"")</f>
        <v/>
      </c>
      <c r="X2271" s="387" t="n"/>
      <c r="Y2271" s="387" t="n"/>
    </row>
    <row r="2272" hidden="1" ht="16.05" customFormat="1" customHeight="1" s="126">
      <c r="A2272" s="125" t="n">
        <v>2893</v>
      </c>
      <c r="B2272" s="125" t="n"/>
      <c r="C2272" s="130" t="inlineStr">
        <is>
          <t>Москва</t>
        </is>
      </c>
      <c r="D2272" s="130" t="inlineStr">
        <is>
          <t>Московская область</t>
        </is>
      </c>
      <c r="E2272" s="130" t="inlineStr">
        <is>
          <t>М10</t>
        </is>
      </c>
      <c r="F2272" s="130" t="inlineStr">
        <is>
          <t>АЗС</t>
        </is>
      </c>
      <c r="G2272" s="130" t="inlineStr">
        <is>
          <t>Газпромнефть</t>
        </is>
      </c>
      <c r="H2272" s="131" t="n"/>
      <c r="I2272" s="637" t="n">
        <v>12251</v>
      </c>
      <c r="J2272" s="637" t="inlineStr">
        <is>
          <t>GPN_12251</t>
        </is>
      </c>
      <c r="K2272" s="640" t="n">
        <v>3</v>
      </c>
      <c r="L2272" s="640" t="n">
        <v>1</v>
      </c>
      <c r="M2272" s="623" t="n">
        <v>6</v>
      </c>
      <c r="N2272" s="640" t="n"/>
      <c r="O2272" s="640">
        <f>IF(AND(N2272=1,L2272=1),K2272,"")</f>
        <v/>
      </c>
      <c r="P2272" s="642" t="inlineStr">
        <is>
          <t>МО. Дурыкино, 45км. Автодороги М10 "МСК-СПб"</t>
        </is>
      </c>
      <c r="Q2272" s="640" t="inlineStr">
        <is>
          <t>56.04455</t>
        </is>
      </c>
      <c r="R2272" s="494" t="inlineStr">
        <is>
          <t>37.15701</t>
        </is>
      </c>
      <c r="S2272" s="387" t="n"/>
      <c r="T2272" s="387" t="n"/>
      <c r="U2272" s="436" t="n"/>
      <c r="V2272" s="387" t="n"/>
      <c r="W2272" s="387">
        <f>IF(AND(N2272=1,O2272&lt;&gt;""),C2272,"")</f>
        <v/>
      </c>
      <c r="X2272" s="387" t="n"/>
      <c r="Y2272" s="387" t="n"/>
    </row>
    <row r="2273" hidden="1" ht="55.05" customFormat="1" customHeight="1" s="126">
      <c r="A2273" s="125" t="n">
        <v>2894</v>
      </c>
      <c r="B2273" s="125" t="n"/>
      <c r="C2273" s="130" t="inlineStr">
        <is>
          <t>Москва</t>
        </is>
      </c>
      <c r="D2273" s="130" t="inlineStr">
        <is>
          <t>Московская область</t>
        </is>
      </c>
      <c r="E2273" s="130" t="inlineStr">
        <is>
          <t>А104</t>
        </is>
      </c>
      <c r="F2273" s="130" t="inlineStr">
        <is>
          <t>АЗС</t>
        </is>
      </c>
      <c r="G2273" s="130" t="inlineStr">
        <is>
          <t>Газпромнефть</t>
        </is>
      </c>
      <c r="H2273" s="131" t="n"/>
      <c r="I2273" s="637" t="n">
        <v>12271</v>
      </c>
      <c r="J2273" s="637" t="inlineStr">
        <is>
          <t>GPN_12271</t>
        </is>
      </c>
      <c r="K2273" s="640" t="n">
        <v>3</v>
      </c>
      <c r="L2273" s="640" t="n">
        <v>1</v>
      </c>
      <c r="M2273" s="623" t="n">
        <v>5</v>
      </c>
      <c r="N2273" s="640" t="n"/>
      <c r="O2273" s="640">
        <f>IF(AND(N2273=1,L2273=1),K2273,"")</f>
        <v/>
      </c>
      <c r="P2273" s="642" t="inlineStr">
        <is>
          <t>МО., г. Долгопрудный, мкр. Павельцево</t>
        </is>
      </c>
      <c r="Q2273" s="640" t="inlineStr">
        <is>
          <t>55.97269</t>
        </is>
      </c>
      <c r="R2273" s="494" t="inlineStr">
        <is>
          <t>37.46213</t>
        </is>
      </c>
      <c r="S2273" s="387" t="n"/>
      <c r="T2273" s="387" t="n"/>
      <c r="U2273" s="436" t="n"/>
      <c r="V2273" s="387" t="n"/>
      <c r="W2273" s="387">
        <f>IF(AND(N2273=1,O2273&lt;&gt;""),C2273,"")</f>
        <v/>
      </c>
      <c r="X2273" s="387" t="n"/>
      <c r="Y2273" s="387" t="n"/>
    </row>
    <row r="2274" hidden="1" ht="16.05" customFormat="1" customHeight="1" s="126">
      <c r="A2274" s="125" t="n">
        <v>2895</v>
      </c>
      <c r="B2274" s="125" t="n"/>
      <c r="C2274" s="130" t="inlineStr">
        <is>
          <t>Москва</t>
        </is>
      </c>
      <c r="D2274" s="130" t="inlineStr">
        <is>
          <t>Московская область</t>
        </is>
      </c>
      <c r="E2274" s="130" t="inlineStr">
        <is>
          <t>М1</t>
        </is>
      </c>
      <c r="F2274" s="130" t="inlineStr">
        <is>
          <t>АЗС</t>
        </is>
      </c>
      <c r="G2274" s="130" t="inlineStr">
        <is>
          <t>Газпромнефть</t>
        </is>
      </c>
      <c r="H2274" s="131" t="n"/>
      <c r="I2274" s="637" t="n">
        <v>12278</v>
      </c>
      <c r="J2274" s="637" t="inlineStr">
        <is>
          <t>GPN_12278</t>
        </is>
      </c>
      <c r="K2274" s="640" t="n">
        <v>3</v>
      </c>
      <c r="L2274" s="640" t="n">
        <v>1</v>
      </c>
      <c r="M2274" s="623" t="n">
        <v>6</v>
      </c>
      <c r="N2274" s="640" t="n"/>
      <c r="O2274" s="640">
        <f>IF(AND(N2274=1,L2274=1),K2274,"")</f>
        <v/>
      </c>
      <c r="P2274" s="642" t="inlineStr">
        <is>
          <t>Можайск, Минское шоссе (97 км, слева) Русь</t>
        </is>
      </c>
      <c r="Q2274" s="640" t="inlineStr">
        <is>
          <t>55.49711</t>
        </is>
      </c>
      <c r="R2274" s="494" t="inlineStr">
        <is>
          <t>36.19192</t>
        </is>
      </c>
      <c r="S2274" s="387" t="n"/>
      <c r="T2274" s="387" t="n"/>
      <c r="U2274" s="436" t="n"/>
      <c r="V2274" s="387" t="n"/>
      <c r="W2274" s="387">
        <f>IF(AND(N2274=1,O2274&lt;&gt;""),C2274,"")</f>
        <v/>
      </c>
      <c r="X2274" s="387" t="n"/>
      <c r="Y2274" s="387" t="n"/>
    </row>
    <row r="2275" hidden="1" ht="16.05" customFormat="1" customHeight="1" s="126">
      <c r="A2275" s="125" t="n">
        <v>2896</v>
      </c>
      <c r="B2275" s="125" t="n"/>
      <c r="C2275" s="130" t="inlineStr">
        <is>
          <t>Москва</t>
        </is>
      </c>
      <c r="D2275" s="130" t="inlineStr">
        <is>
          <t>Московская область</t>
        </is>
      </c>
      <c r="E2275" s="130" t="inlineStr">
        <is>
          <t>МКАД</t>
        </is>
      </c>
      <c r="F2275" s="130" t="inlineStr">
        <is>
          <t>АЗС</t>
        </is>
      </c>
      <c r="G2275" s="130" t="inlineStr">
        <is>
          <t>Газпромнефть</t>
        </is>
      </c>
      <c r="H2275" s="131" t="n"/>
      <c r="I2275" s="637" t="n">
        <v>11225</v>
      </c>
      <c r="J2275" s="637" t="inlineStr">
        <is>
          <t>GPN_11225</t>
        </is>
      </c>
      <c r="K2275" s="640" t="n">
        <v>3</v>
      </c>
      <c r="L2275" s="640" t="n">
        <v>1</v>
      </c>
      <c r="M2275" s="623" t="n">
        <v>6</v>
      </c>
      <c r="N2275" s="640" t="n"/>
      <c r="O2275" s="640">
        <f>IF(AND(N2275=1,L2275=1),K2275,"")</f>
        <v/>
      </c>
      <c r="P2275" s="642" t="inlineStr">
        <is>
          <t>Моск обл., Мытищинский р-н, 85 км. внеш стороны МКАД, вблизи Алтуфьевского ш.</t>
        </is>
      </c>
      <c r="Q2275" s="640" t="inlineStr">
        <is>
          <t>55.9058279</t>
        </is>
      </c>
      <c r="R2275" s="494" t="inlineStr">
        <is>
          <t>37.6091684</t>
        </is>
      </c>
      <c r="S2275" s="387" t="n"/>
      <c r="T2275" s="387" t="n"/>
      <c r="U2275" s="436" t="n"/>
      <c r="V2275" s="387" t="n"/>
      <c r="W2275" s="387">
        <f>IF(AND(N2275=1,O2275&lt;&gt;""),C2275,"")</f>
        <v/>
      </c>
      <c r="X2275" s="387" t="n"/>
      <c r="Y2275" s="387" t="n"/>
    </row>
    <row r="2276" hidden="1" ht="16.05" customFormat="1" customHeight="1" s="126">
      <c r="A2276" s="125" t="n">
        <v>2897</v>
      </c>
      <c r="B2276" s="125" t="n"/>
      <c r="C2276" s="130" t="inlineStr">
        <is>
          <t>Москва</t>
        </is>
      </c>
      <c r="D2276" s="130" t="inlineStr">
        <is>
          <t>Москва</t>
        </is>
      </c>
      <c r="E2276" s="130" t="inlineStr">
        <is>
          <t>ЮАО</t>
        </is>
      </c>
      <c r="F2276" s="130" t="inlineStr">
        <is>
          <t>АЗС</t>
        </is>
      </c>
      <c r="G2276" s="130" t="inlineStr">
        <is>
          <t>Газпромнефть</t>
        </is>
      </c>
      <c r="H2276" s="131" t="n"/>
      <c r="I2276" s="637" t="n">
        <v>11006</v>
      </c>
      <c r="J2276" s="637" t="inlineStr">
        <is>
          <t>GPN_11006</t>
        </is>
      </c>
      <c r="K2276" s="640" t="n">
        <v>1</v>
      </c>
      <c r="L2276" s="640" t="n">
        <v>1</v>
      </c>
      <c r="M2276" s="623" t="n">
        <v>1</v>
      </c>
      <c r="N2276" s="640" t="n"/>
      <c r="O2276" s="640">
        <f>IF(AND(N2276=1,L2276=1),K2276,"")</f>
        <v/>
      </c>
      <c r="P2276" s="642" t="inlineStr">
        <is>
          <t>Москва, 6-й Загородный пр-д, д.1, стр.1</t>
        </is>
      </c>
      <c r="Q2276" s="640" t="inlineStr">
        <is>
          <t>55.68424</t>
        </is>
      </c>
      <c r="R2276" s="494" t="inlineStr">
        <is>
          <t>37.60648</t>
        </is>
      </c>
      <c r="S2276" s="387" t="n"/>
      <c r="T2276" s="387" t="n"/>
      <c r="U2276" s="436" t="n"/>
      <c r="V2276" s="387" t="n"/>
      <c r="W2276" s="387">
        <f>IF(AND(N2276=1,O2276&lt;&gt;""),C2276,"")</f>
        <v/>
      </c>
      <c r="X2276" s="387" t="n"/>
      <c r="Y2276" s="387" t="n"/>
    </row>
    <row r="2277" hidden="1" ht="16.05" customFormat="1" customHeight="1" s="126">
      <c r="A2277" s="125" t="n">
        <v>2898</v>
      </c>
      <c r="B2277" s="125" t="n"/>
      <c r="C2277" s="130" t="inlineStr">
        <is>
          <t>Москва</t>
        </is>
      </c>
      <c r="D2277" s="130" t="inlineStr">
        <is>
          <t>Москва</t>
        </is>
      </c>
      <c r="E2277" s="130" t="inlineStr">
        <is>
          <t>М11</t>
        </is>
      </c>
      <c r="F2277" s="130" t="inlineStr">
        <is>
          <t>АЗС</t>
        </is>
      </c>
      <c r="G2277" s="130" t="inlineStr">
        <is>
          <t>Газпромнефть</t>
        </is>
      </c>
      <c r="H2277" s="131" t="n"/>
      <c r="I2277" s="637" t="n">
        <v>12041</v>
      </c>
      <c r="J2277" s="637" t="inlineStr">
        <is>
          <t>GPN_12041</t>
        </is>
      </c>
      <c r="K2277" s="640" t="n">
        <v>3</v>
      </c>
      <c r="L2277" s="640" t="n">
        <v>1</v>
      </c>
      <c r="M2277" s="623" t="n">
        <v>5</v>
      </c>
      <c r="N2277" s="640" t="n"/>
      <c r="O2277" s="640">
        <f>IF(AND(N2277=1,L2277=1),K2277,"")</f>
        <v/>
      </c>
      <c r="P2277" s="642" t="inlineStr">
        <is>
          <t>Москва, Аэропорт Шереметьево-2, въезд</t>
        </is>
      </c>
      <c r="Q2277" s="640" t="inlineStr">
        <is>
          <t>55.959328</t>
        </is>
      </c>
      <c r="R2277" s="494" t="inlineStr">
        <is>
          <t>37.414959</t>
        </is>
      </c>
      <c r="S2277" s="387" t="n"/>
      <c r="T2277" s="387" t="n"/>
      <c r="U2277" s="436" t="n"/>
      <c r="V2277" s="387" t="n"/>
      <c r="W2277" s="387">
        <f>IF(AND(N2277=1,O2277&lt;&gt;""),C2277,"")</f>
        <v/>
      </c>
      <c r="X2277" s="387" t="n"/>
      <c r="Y2277" s="387" t="n"/>
    </row>
    <row r="2278" hidden="1" ht="16.05" customFormat="1" customHeight="1" s="126">
      <c r="A2278" s="125" t="n">
        <v>2899</v>
      </c>
      <c r="B2278" s="125" t="n"/>
      <c r="C2278" s="130" t="inlineStr">
        <is>
          <t>Москва</t>
        </is>
      </c>
      <c r="D2278" s="130" t="inlineStr">
        <is>
          <t>Москва</t>
        </is>
      </c>
      <c r="E2278" s="130" t="inlineStr">
        <is>
          <t>САО</t>
        </is>
      </c>
      <c r="F2278" s="130" t="inlineStr">
        <is>
          <t>АЗС</t>
        </is>
      </c>
      <c r="G2278" s="130" t="inlineStr">
        <is>
          <t>Газпромнефть</t>
        </is>
      </c>
      <c r="H2278" s="131" t="n"/>
      <c r="I2278" s="637" t="n">
        <v>11048</v>
      </c>
      <c r="J2278" s="637" t="inlineStr">
        <is>
          <t>GPN_11048</t>
        </is>
      </c>
      <c r="K2278" s="640" t="n">
        <v>1</v>
      </c>
      <c r="L2278" s="640" t="n">
        <v>1</v>
      </c>
      <c r="M2278" s="623" t="n">
        <v>1</v>
      </c>
      <c r="N2278" s="640" t="n"/>
      <c r="O2278" s="640">
        <f>IF(AND(N2278=1,L2278=1),K2278,"")</f>
        <v/>
      </c>
      <c r="P2278" s="642" t="inlineStr">
        <is>
          <t>Москва, Дмитровское ш., напротив вл. 21, стр.1</t>
        </is>
      </c>
      <c r="Q2278" s="640" t="inlineStr">
        <is>
          <t>55.82295</t>
        </is>
      </c>
      <c r="R2278" s="494" t="inlineStr">
        <is>
          <t>37.57332</t>
        </is>
      </c>
      <c r="S2278" s="387" t="n"/>
      <c r="T2278" s="387" t="n"/>
      <c r="U2278" s="436" t="n"/>
      <c r="V2278" s="387" t="n"/>
      <c r="W2278" s="387">
        <f>IF(AND(N2278=1,O2278&lt;&gt;""),C2278,"")</f>
        <v/>
      </c>
      <c r="X2278" s="387" t="n"/>
      <c r="Y2278" s="387" t="n"/>
    </row>
    <row r="2279" hidden="1" ht="16.05" customFormat="1" customHeight="1" s="126">
      <c r="A2279" s="125" t="n">
        <v>2900</v>
      </c>
      <c r="B2279" s="125" t="n"/>
      <c r="C2279" s="130" t="inlineStr">
        <is>
          <t>Москва</t>
        </is>
      </c>
      <c r="D2279" s="130" t="inlineStr">
        <is>
          <t>Москва</t>
        </is>
      </c>
      <c r="E2279" s="130" t="inlineStr">
        <is>
          <t>ЮАО</t>
        </is>
      </c>
      <c r="F2279" s="130" t="inlineStr">
        <is>
          <t>АЗС</t>
        </is>
      </c>
      <c r="G2279" s="130" t="inlineStr">
        <is>
          <t>Газпромнефть</t>
        </is>
      </c>
      <c r="H2279" s="131" t="n"/>
      <c r="I2279" s="637" t="n">
        <v>11093</v>
      </c>
      <c r="J2279" s="637" t="inlineStr">
        <is>
          <t>GPN_11093</t>
        </is>
      </c>
      <c r="K2279" s="640" t="n">
        <v>3</v>
      </c>
      <c r="L2279" s="640" t="n">
        <v>1</v>
      </c>
      <c r="M2279" s="623" t="n">
        <v>5</v>
      </c>
      <c r="N2279" s="640" t="n"/>
      <c r="O2279" s="640">
        <f>IF(AND(N2279=1,L2279=1),K2279,"")</f>
        <v/>
      </c>
      <c r="P2279" s="642" t="inlineStr">
        <is>
          <t>Москва, Каширское ш.,вл 80А</t>
        </is>
      </c>
      <c r="Q2279" s="640" t="inlineStr">
        <is>
          <t>55.632794</t>
        </is>
      </c>
      <c r="R2279" s="494" t="inlineStr">
        <is>
          <t>37.701789</t>
        </is>
      </c>
      <c r="S2279" s="387" t="n"/>
      <c r="T2279" s="387" t="n"/>
      <c r="U2279" s="436" t="n"/>
      <c r="V2279" s="387" t="n"/>
      <c r="W2279" s="387">
        <f>IF(AND(N2279=1,O2279&lt;&gt;""),C2279,"")</f>
        <v/>
      </c>
      <c r="X2279" s="387" t="n"/>
      <c r="Y2279" s="387" t="n"/>
    </row>
    <row r="2280" hidden="1" ht="16.05" customFormat="1" customHeight="1" s="126">
      <c r="A2280" s="125" t="n">
        <v>2901</v>
      </c>
      <c r="B2280" s="125" t="n"/>
      <c r="C2280" s="130" t="inlineStr">
        <is>
          <t>Москва</t>
        </is>
      </c>
      <c r="D2280" s="130" t="inlineStr">
        <is>
          <t>Москва</t>
        </is>
      </c>
      <c r="E2280" s="130" t="inlineStr">
        <is>
          <t>ЗАО</t>
        </is>
      </c>
      <c r="F2280" s="130" t="inlineStr">
        <is>
          <t>АЗС</t>
        </is>
      </c>
      <c r="G2280" s="130" t="inlineStr">
        <is>
          <t>Газпромнефть</t>
        </is>
      </c>
      <c r="H2280" s="131" t="n"/>
      <c r="I2280" s="637" t="n">
        <v>11007</v>
      </c>
      <c r="J2280" s="637" t="inlineStr">
        <is>
          <t>GPN_11007</t>
        </is>
      </c>
      <c r="K2280" s="640" t="n">
        <v>1</v>
      </c>
      <c r="L2280" s="640" t="n">
        <v>1</v>
      </c>
      <c r="M2280" s="623" t="n">
        <v>1</v>
      </c>
      <c r="N2280" s="640" t="n"/>
      <c r="O2280" s="640">
        <f>IF(AND(N2280=1,L2280=1),K2280,"")</f>
        <v/>
      </c>
      <c r="P2280" s="642" t="inlineStr">
        <is>
          <t>Москва, МКАД 46 км, вл.6</t>
        </is>
      </c>
      <c r="Q2280" s="640" t="inlineStr">
        <is>
          <t>55.65465</t>
        </is>
      </c>
      <c r="R2280" s="494" t="inlineStr">
        <is>
          <t>37.44172</t>
        </is>
      </c>
      <c r="S2280" s="387" t="n"/>
      <c r="T2280" s="387" t="n"/>
      <c r="U2280" s="436" t="n"/>
      <c r="V2280" s="387" t="n"/>
      <c r="W2280" s="387">
        <f>IF(AND(N2280=1,O2280&lt;&gt;""),C2280,"")</f>
        <v/>
      </c>
      <c r="X2280" s="387" t="n"/>
      <c r="Y2280" s="387" t="n"/>
    </row>
    <row r="2281" hidden="1" ht="16.05" customFormat="1" customHeight="1" s="126">
      <c r="A2281" s="125" t="n">
        <v>2902</v>
      </c>
      <c r="B2281" s="125" t="n"/>
      <c r="C2281" s="130" t="inlineStr">
        <is>
          <t>Москва</t>
        </is>
      </c>
      <c r="D2281" s="130" t="inlineStr">
        <is>
          <t>Москва</t>
        </is>
      </c>
      <c r="E2281" s="130" t="inlineStr">
        <is>
          <t>МКАД</t>
        </is>
      </c>
      <c r="F2281" s="130" t="inlineStr">
        <is>
          <t>АЗС</t>
        </is>
      </c>
      <c r="G2281" s="130" t="inlineStr">
        <is>
          <t>Газпромнефть</t>
        </is>
      </c>
      <c r="H2281" s="131" t="n"/>
      <c r="I2281" s="637" t="n">
        <v>11038</v>
      </c>
      <c r="J2281" s="637" t="inlineStr">
        <is>
          <t>GPN_11038</t>
        </is>
      </c>
      <c r="K2281" s="640" t="n">
        <v>3</v>
      </c>
      <c r="L2281" s="640" t="n">
        <v>1</v>
      </c>
      <c r="M2281" s="623" t="n">
        <v>6</v>
      </c>
      <c r="N2281" s="640" t="n"/>
      <c r="O2281" s="640">
        <f>IF(AND(N2281=1,L2281=1),K2281,"")</f>
        <v/>
      </c>
      <c r="P2281" s="642" t="inlineStr">
        <is>
          <t>Москва, МКАД, 19-й км, вл. 6</t>
        </is>
      </c>
      <c r="Q2281" s="640" t="inlineStr">
        <is>
          <t>55.61913</t>
        </is>
      </c>
      <c r="R2281" s="494" t="inlineStr">
        <is>
          <t>37.78221</t>
        </is>
      </c>
      <c r="S2281" s="387" t="n"/>
      <c r="T2281" s="387" t="n"/>
      <c r="U2281" s="436" t="n"/>
      <c r="V2281" s="387" t="n"/>
      <c r="W2281" s="387">
        <f>IF(AND(N2281=1,O2281&lt;&gt;""),C2281,"")</f>
        <v/>
      </c>
      <c r="X2281" s="387" t="n"/>
      <c r="Y2281" s="387" t="n"/>
    </row>
    <row r="2282" hidden="1" ht="16.05" customFormat="1" customHeight="1" s="126">
      <c r="A2282" s="87" t="n">
        <v>2903</v>
      </c>
      <c r="B2282" s="87" t="n"/>
      <c r="C2282" s="130" t="inlineStr">
        <is>
          <t>Москва</t>
        </is>
      </c>
      <c r="D2282" s="130" t="inlineStr">
        <is>
          <t>Москва</t>
        </is>
      </c>
      <c r="E2282" s="130" t="inlineStr">
        <is>
          <t>МКАД</t>
        </is>
      </c>
      <c r="F2282" s="130" t="inlineStr">
        <is>
          <t>АЗС</t>
        </is>
      </c>
      <c r="G2282" s="130" t="inlineStr">
        <is>
          <t>Газпромнефть</t>
        </is>
      </c>
      <c r="H2282" s="131" t="n"/>
      <c r="I2282" s="637" t="n">
        <v>11040</v>
      </c>
      <c r="J2282" s="637" t="inlineStr">
        <is>
          <t>GPN_11040</t>
        </is>
      </c>
      <c r="K2282" s="640" t="n">
        <v>3</v>
      </c>
      <c r="L2282" s="640" t="n">
        <v>1</v>
      </c>
      <c r="M2282" s="623" t="n">
        <v>5</v>
      </c>
      <c r="N2282" s="640" t="n"/>
      <c r="O2282" s="640">
        <f>IF(AND(N2282=1,L2282=1),K2282,"")</f>
        <v/>
      </c>
      <c r="P2282" s="642" t="inlineStr">
        <is>
          <t>Москва, МКАД, 34-й км, Сев. Бутово, вл.7, стр. 1.2.3</t>
        </is>
      </c>
      <c r="Q2282" s="640" t="inlineStr">
        <is>
          <t>55.580223</t>
        </is>
      </c>
      <c r="R2282" s="494" t="inlineStr">
        <is>
          <t>37.572998</t>
        </is>
      </c>
      <c r="S2282" s="387" t="n"/>
      <c r="T2282" s="387" t="n"/>
      <c r="U2282" s="436" t="n"/>
      <c r="V2282" s="387" t="n"/>
      <c r="W2282" s="387">
        <f>IF(AND(N2282=1,O2282&lt;&gt;""),C2282,"")</f>
        <v/>
      </c>
      <c r="X2282" s="387" t="n"/>
      <c r="Y2282" s="387" t="n"/>
    </row>
    <row r="2283" hidden="1" ht="16.05" customFormat="1" customHeight="1" s="126">
      <c r="A2283" s="125" t="n">
        <v>2904</v>
      </c>
      <c r="B2283" s="125" t="n"/>
      <c r="C2283" s="130" t="inlineStr">
        <is>
          <t>Москва</t>
        </is>
      </c>
      <c r="D2283" s="130" t="inlineStr">
        <is>
          <t>Москва</t>
        </is>
      </c>
      <c r="E2283" s="130" t="inlineStr">
        <is>
          <t>ЦАО</t>
        </is>
      </c>
      <c r="F2283" s="130" t="inlineStr">
        <is>
          <t>АЗС</t>
        </is>
      </c>
      <c r="G2283" s="130" t="inlineStr">
        <is>
          <t>Газпромнефть</t>
        </is>
      </c>
      <c r="H2283" s="131" t="n"/>
      <c r="I2283" s="637" t="n">
        <v>11049</v>
      </c>
      <c r="J2283" s="637" t="inlineStr">
        <is>
          <t>GPN_11049</t>
        </is>
      </c>
      <c r="K2283" s="640" t="n">
        <v>1</v>
      </c>
      <c r="L2283" s="640" t="n">
        <v>1</v>
      </c>
      <c r="M2283" s="623" t="n">
        <v>1</v>
      </c>
      <c r="N2283" s="640" t="n"/>
      <c r="O2283" s="640">
        <f>IF(AND(N2283=1,L2283=1),K2283,"")</f>
        <v/>
      </c>
      <c r="P2283" s="642" t="inlineStr">
        <is>
          <t>Москва, наб. академика Туполева, д.17</t>
        </is>
      </c>
      <c r="Q2283" s="640" t="inlineStr">
        <is>
          <t>55.75957</t>
        </is>
      </c>
      <c r="R2283" s="494" t="inlineStr">
        <is>
          <t>37.67641</t>
        </is>
      </c>
      <c r="S2283" s="387" t="n"/>
      <c r="T2283" s="387" t="n"/>
      <c r="U2283" s="436" t="n"/>
      <c r="V2283" s="387" t="n"/>
      <c r="W2283" s="387">
        <f>IF(AND(N2283=1,O2283&lt;&gt;""),C2283,"")</f>
        <v/>
      </c>
      <c r="X2283" s="387" t="n"/>
      <c r="Y2283" s="387" t="n"/>
    </row>
    <row r="2284" hidden="1" ht="16.05" customFormat="1" customHeight="1" s="126">
      <c r="A2284" s="125" t="n">
        <v>2905</v>
      </c>
      <c r="B2284" s="125" t="n"/>
      <c r="C2284" s="130" t="inlineStr">
        <is>
          <t>Москва</t>
        </is>
      </c>
      <c r="D2284" s="130" t="inlineStr">
        <is>
          <t>Москва</t>
        </is>
      </c>
      <c r="E2284" s="130" t="inlineStr">
        <is>
          <t>ЮАО</t>
        </is>
      </c>
      <c r="F2284" s="130" t="inlineStr">
        <is>
          <t>АЗС</t>
        </is>
      </c>
      <c r="G2284" s="130" t="inlineStr">
        <is>
          <t>Газпромнефть</t>
        </is>
      </c>
      <c r="H2284" s="131" t="n"/>
      <c r="I2284" s="637" t="n">
        <v>11094</v>
      </c>
      <c r="J2284" s="637" t="inlineStr">
        <is>
          <t>GPN_11094</t>
        </is>
      </c>
      <c r="K2284" s="640" t="n">
        <v>3</v>
      </c>
      <c r="L2284" s="640" t="n">
        <v>1</v>
      </c>
      <c r="M2284" s="623" t="n">
        <v>5</v>
      </c>
      <c r="N2284" s="640" t="n"/>
      <c r="O2284" s="640">
        <f>IF(AND(N2284=1,L2284=1),K2284,"")</f>
        <v/>
      </c>
      <c r="P2284" s="642" t="inlineStr">
        <is>
          <t>Москва, Севастопольский пр-кт,вл.89</t>
        </is>
      </c>
      <c r="Q2284" s="640" t="inlineStr">
        <is>
          <t>55.644711</t>
        </is>
      </c>
      <c r="R2284" s="494" t="inlineStr">
        <is>
          <t>37.561041</t>
        </is>
      </c>
      <c r="S2284" s="387" t="n"/>
      <c r="T2284" s="387" t="n"/>
      <c r="U2284" s="436" t="n"/>
      <c r="V2284" s="387" t="n"/>
      <c r="W2284" s="387">
        <f>IF(AND(N2284=1,O2284&lt;&gt;""),C2284,"")</f>
        <v/>
      </c>
      <c r="X2284" s="387" t="n"/>
      <c r="Y2284" s="387" t="n"/>
    </row>
    <row r="2285" hidden="1" ht="16.05" customHeight="1">
      <c r="A2285" s="125" t="n">
        <v>2906</v>
      </c>
      <c r="B2285" s="125" t="n"/>
      <c r="C2285" s="130" t="inlineStr">
        <is>
          <t>Москва</t>
        </is>
      </c>
      <c r="D2285" s="130" t="inlineStr">
        <is>
          <t>Москва</t>
        </is>
      </c>
      <c r="E2285" s="130" t="inlineStr">
        <is>
          <t>ЮАО</t>
        </is>
      </c>
      <c r="F2285" s="130" t="inlineStr">
        <is>
          <t>АЗС</t>
        </is>
      </c>
      <c r="G2285" s="130" t="inlineStr">
        <is>
          <t>Газпромнефть</t>
        </is>
      </c>
      <c r="H2285" s="131" t="n"/>
      <c r="I2285" s="637" t="n">
        <v>11046</v>
      </c>
      <c r="J2285" s="637" t="inlineStr">
        <is>
          <t>GPN_11046</t>
        </is>
      </c>
      <c r="K2285" s="640" t="n">
        <v>3</v>
      </c>
      <c r="L2285" s="640" t="n">
        <v>1</v>
      </c>
      <c r="M2285" s="623" t="n">
        <v>3</v>
      </c>
      <c r="N2285" s="640" t="n"/>
      <c r="O2285" s="640">
        <f>IF(AND(N2285=1,L2285=1),K2285,"")</f>
        <v/>
      </c>
      <c r="P2285" s="642" t="inlineStr">
        <is>
          <t>Москва, Севастопольский пр-т, д.95</t>
        </is>
      </c>
      <c r="Q2285" s="640" t="inlineStr">
        <is>
          <t>55.63478</t>
        </is>
      </c>
      <c r="R2285" s="494" t="inlineStr">
        <is>
          <t>37.54324</t>
        </is>
      </c>
      <c r="U2285" s="436" t="n"/>
      <c r="W2285" s="387">
        <f>IF(AND(N2285=1,O2285&lt;&gt;""),C2285,"")</f>
        <v/>
      </c>
      <c r="Z2285" s="126" t="n"/>
    </row>
    <row r="2286" hidden="1" ht="16.05" customFormat="1" customHeight="1" s="126">
      <c r="A2286" s="125" t="n">
        <v>2907</v>
      </c>
      <c r="B2286" s="125" t="n"/>
      <c r="C2286" s="130" t="inlineStr">
        <is>
          <t>Москва</t>
        </is>
      </c>
      <c r="D2286" s="130" t="inlineStr">
        <is>
          <t>Москва</t>
        </is>
      </c>
      <c r="E2286" s="130" t="inlineStr">
        <is>
          <t>ЗАО</t>
        </is>
      </c>
      <c r="F2286" s="130" t="inlineStr">
        <is>
          <t>АЗС</t>
        </is>
      </c>
      <c r="G2286" s="130" t="inlineStr">
        <is>
          <t>Газпромнефть</t>
        </is>
      </c>
      <c r="H2286" s="131" t="n"/>
      <c r="I2286" s="637" t="n">
        <v>11011</v>
      </c>
      <c r="J2286" s="637" t="inlineStr">
        <is>
          <t>GPN_11011</t>
        </is>
      </c>
      <c r="K2286" s="640" t="n">
        <v>3</v>
      </c>
      <c r="L2286" s="640" t="n">
        <v>1</v>
      </c>
      <c r="M2286" s="623" t="n">
        <v>3</v>
      </c>
      <c r="N2286" s="640" t="n"/>
      <c r="O2286" s="640">
        <f>IF(AND(N2286=1,L2286=1),K2286,"")</f>
        <v/>
      </c>
      <c r="P2286" s="642" t="inlineStr">
        <is>
          <t>Москва, ул. Барклая, вл.26</t>
        </is>
      </c>
      <c r="Q2286" s="640" t="inlineStr">
        <is>
          <t>55.75171</t>
        </is>
      </c>
      <c r="R2286" s="494" t="inlineStr">
        <is>
          <t>37.49422</t>
        </is>
      </c>
      <c r="S2286" s="387" t="n"/>
      <c r="T2286" s="387" t="n"/>
      <c r="U2286" s="436" t="n"/>
      <c r="V2286" s="387" t="n"/>
      <c r="W2286" s="387">
        <f>IF(AND(N2286=1,O2286&lt;&gt;""),C2286,"")</f>
        <v/>
      </c>
      <c r="X2286" s="387" t="n"/>
      <c r="Y2286" s="387" t="n"/>
    </row>
    <row r="2287" hidden="1" ht="16.05" customFormat="1" customHeight="1" s="126">
      <c r="A2287" s="125" t="n">
        <v>2908</v>
      </c>
      <c r="B2287" s="125" t="n"/>
      <c r="C2287" s="130" t="inlineStr">
        <is>
          <t>Москва</t>
        </is>
      </c>
      <c r="D2287" s="130" t="inlineStr">
        <is>
          <t>Москва</t>
        </is>
      </c>
      <c r="E2287" s="130" t="inlineStr">
        <is>
          <t>ЦАО</t>
        </is>
      </c>
      <c r="F2287" s="130" t="inlineStr">
        <is>
          <t>АЗС</t>
        </is>
      </c>
      <c r="G2287" s="130" t="inlineStr">
        <is>
          <t>Газпромнефть</t>
        </is>
      </c>
      <c r="H2287" s="131" t="n"/>
      <c r="I2287" s="637" t="n">
        <v>11020</v>
      </c>
      <c r="J2287" s="637" t="inlineStr">
        <is>
          <t>GPN_11020</t>
        </is>
      </c>
      <c r="K2287" s="640" t="n">
        <v>1</v>
      </c>
      <c r="L2287" s="640" t="n">
        <v>1</v>
      </c>
      <c r="M2287" s="623" t="n">
        <v>1</v>
      </c>
      <c r="N2287" s="640" t="n"/>
      <c r="O2287" s="640">
        <f>IF(AND(N2287=1,L2287=1),K2287,"")</f>
        <v/>
      </c>
      <c r="P2287" s="642" t="inlineStr">
        <is>
          <t>Москва, ул. Гаврикова, вл.1</t>
        </is>
      </c>
      <c r="Q2287" s="640" t="inlineStr">
        <is>
          <t>55.77951</t>
        </is>
      </c>
      <c r="R2287" s="494" t="inlineStr">
        <is>
          <t>37.67199</t>
        </is>
      </c>
      <c r="S2287" s="387" t="n"/>
      <c r="T2287" s="387" t="n"/>
      <c r="U2287" s="436" t="n"/>
      <c r="V2287" s="387" t="n"/>
      <c r="W2287" s="387">
        <f>IF(AND(N2287=1,O2287&lt;&gt;""),C2287,"")</f>
        <v/>
      </c>
      <c r="X2287" s="387" t="n"/>
      <c r="Y2287" s="387" t="n"/>
    </row>
    <row r="2288" hidden="1" ht="16.05" customFormat="1" customHeight="1" s="126">
      <c r="A2288" s="125" t="n">
        <v>2909</v>
      </c>
      <c r="B2288" s="125" t="n"/>
      <c r="C2288" s="130" t="inlineStr">
        <is>
          <t>Москва</t>
        </is>
      </c>
      <c r="D2288" s="130" t="inlineStr">
        <is>
          <t>Москва</t>
        </is>
      </c>
      <c r="E2288" s="130" t="inlineStr">
        <is>
          <t>МКАД</t>
        </is>
      </c>
      <c r="F2288" s="130" t="inlineStr">
        <is>
          <t>АЗС</t>
        </is>
      </c>
      <c r="G2288" s="130" t="inlineStr">
        <is>
          <t>Газпромнефть</t>
        </is>
      </c>
      <c r="H2288" s="131" t="n"/>
      <c r="I2288" s="637" t="n">
        <v>11015</v>
      </c>
      <c r="J2288" s="637" t="inlineStr">
        <is>
          <t>GPN_11015</t>
        </is>
      </c>
      <c r="K2288" s="640" t="n">
        <v>1</v>
      </c>
      <c r="L2288" s="640" t="n">
        <v>1</v>
      </c>
      <c r="M2288" s="623" t="n">
        <v>1</v>
      </c>
      <c r="N2288" s="640" t="n"/>
      <c r="O2288" s="640">
        <f>IF(AND(N2288=1,L2288=1),K2288,"")</f>
        <v/>
      </c>
      <c r="P2288" s="642" t="inlineStr">
        <is>
          <t>Москва, ул. Генерала Тюленева, вл.14, стр.1</t>
        </is>
      </c>
      <c r="Q2288" s="640" t="inlineStr">
        <is>
          <t>55.61407</t>
        </is>
      </c>
      <c r="R2288" s="494" t="inlineStr">
        <is>
          <t>37.49078</t>
        </is>
      </c>
      <c r="S2288" s="387" t="n"/>
      <c r="T2288" s="387" t="n"/>
      <c r="U2288" s="436" t="n"/>
      <c r="V2288" s="387" t="n"/>
      <c r="W2288" s="387">
        <f>IF(AND(N2288=1,O2288&lt;&gt;""),C2288,"")</f>
        <v/>
      </c>
      <c r="X2288" s="387" t="n"/>
      <c r="Y2288" s="387" t="n"/>
    </row>
    <row r="2289" hidden="1" ht="16.05" customFormat="1" customHeight="1" s="126">
      <c r="A2289" s="125" t="n">
        <v>2910</v>
      </c>
      <c r="B2289" s="125" t="n"/>
      <c r="C2289" s="130" t="inlineStr">
        <is>
          <t>Москва</t>
        </is>
      </c>
      <c r="D2289" s="130" t="inlineStr">
        <is>
          <t>Москва</t>
        </is>
      </c>
      <c r="E2289" s="130" t="inlineStr">
        <is>
          <t>ЮАО</t>
        </is>
      </c>
      <c r="F2289" s="130" t="inlineStr">
        <is>
          <t>АЗС</t>
        </is>
      </c>
      <c r="G2289" s="130" t="inlineStr">
        <is>
          <t>Газпромнефть</t>
        </is>
      </c>
      <c r="H2289" s="131" t="n"/>
      <c r="I2289" s="637" t="n">
        <v>11003</v>
      </c>
      <c r="J2289" s="637" t="inlineStr">
        <is>
          <t>GPN_11003</t>
        </is>
      </c>
      <c r="K2289" s="640" t="n">
        <v>1</v>
      </c>
      <c r="L2289" s="640" t="n">
        <v>1</v>
      </c>
      <c r="M2289" s="623" t="n">
        <v>1</v>
      </c>
      <c r="N2289" s="640" t="n"/>
      <c r="O2289" s="640">
        <f>IF(AND(N2289=1,L2289=1),K2289,"")</f>
        <v/>
      </c>
      <c r="P2289" s="642" t="inlineStr">
        <is>
          <t>Москва, ул. Перерва, стр 19</t>
        </is>
      </c>
      <c r="Q2289" s="640" t="inlineStr">
        <is>
          <t>55.65396</t>
        </is>
      </c>
      <c r="R2289" s="494" t="inlineStr">
        <is>
          <t>37.73193</t>
        </is>
      </c>
      <c r="S2289" s="387" t="n"/>
      <c r="T2289" s="387" t="n"/>
      <c r="U2289" s="436" t="n"/>
      <c r="V2289" s="387" t="n"/>
      <c r="W2289" s="387">
        <f>IF(AND(N2289=1,O2289&lt;&gt;""),C2289,"")</f>
        <v/>
      </c>
      <c r="X2289" s="387" t="n"/>
      <c r="Y2289" s="387" t="n"/>
    </row>
    <row r="2290" hidden="1" ht="16.05" customFormat="1" customHeight="1" s="126">
      <c r="A2290" s="125" t="n">
        <v>2911</v>
      </c>
      <c r="B2290" s="125" t="n"/>
      <c r="C2290" s="130" t="inlineStr">
        <is>
          <t>Москва</t>
        </is>
      </c>
      <c r="D2290" s="130" t="inlineStr">
        <is>
          <t>Москва</t>
        </is>
      </c>
      <c r="E2290" s="130" t="inlineStr">
        <is>
          <t>ВАО</t>
        </is>
      </c>
      <c r="F2290" s="130" t="inlineStr">
        <is>
          <t>АЗС</t>
        </is>
      </c>
      <c r="G2290" s="130" t="inlineStr">
        <is>
          <t>Газпромнефть</t>
        </is>
      </c>
      <c r="H2290" s="131" t="n"/>
      <c r="I2290" s="637" t="n">
        <v>11002</v>
      </c>
      <c r="J2290" s="637" t="inlineStr">
        <is>
          <t>GPN_11002</t>
        </is>
      </c>
      <c r="K2290" s="640" t="n">
        <v>3</v>
      </c>
      <c r="L2290" s="640" t="n">
        <v>1</v>
      </c>
      <c r="M2290" s="623" t="n">
        <v>4</v>
      </c>
      <c r="N2290" s="640" t="n"/>
      <c r="O2290" s="640">
        <f>IF(AND(N2290=1,L2290=1),K2290,"")</f>
        <v/>
      </c>
      <c r="P2290" s="642" t="inlineStr">
        <is>
          <t>Москва, ул.Амурская, вл.11</t>
        </is>
      </c>
      <c r="Q2290" s="640" t="inlineStr">
        <is>
          <t>55.81197</t>
        </is>
      </c>
      <c r="R2290" s="494" t="inlineStr">
        <is>
          <t>37.77493</t>
        </is>
      </c>
      <c r="S2290" s="387" t="n"/>
      <c r="T2290" s="387" t="n"/>
      <c r="U2290" s="436" t="n"/>
      <c r="V2290" s="387" t="n"/>
      <c r="W2290" s="387">
        <f>IF(AND(N2290=1,O2290&lt;&gt;""),C2290,"")</f>
        <v/>
      </c>
      <c r="X2290" s="387" t="n"/>
      <c r="Y2290" s="387" t="n"/>
    </row>
    <row r="2291" hidden="1" ht="16.05" customFormat="1" customHeight="1" s="126">
      <c r="A2291" s="125" t="n">
        <v>2912</v>
      </c>
      <c r="B2291" s="125" t="n"/>
      <c r="C2291" s="130" t="inlineStr">
        <is>
          <t>Москва</t>
        </is>
      </c>
      <c r="D2291" s="130" t="inlineStr">
        <is>
          <t>Московская область</t>
        </is>
      </c>
      <c r="E2291" s="130" t="inlineStr">
        <is>
          <t>М4</t>
        </is>
      </c>
      <c r="F2291" s="130" t="inlineStr">
        <is>
          <t>АЗС</t>
        </is>
      </c>
      <c r="G2291" s="130" t="inlineStr">
        <is>
          <t>Газпромнефть</t>
        </is>
      </c>
      <c r="H2291" s="131" t="n"/>
      <c r="I2291" s="637" t="n">
        <v>12254</v>
      </c>
      <c r="J2291" s="637" t="inlineStr">
        <is>
          <t>GPN_12254</t>
        </is>
      </c>
      <c r="K2291" s="640" t="n">
        <v>3</v>
      </c>
      <c r="L2291" s="640" t="n">
        <v>1</v>
      </c>
      <c r="M2291" s="623" t="n">
        <v>3</v>
      </c>
      <c r="N2291" s="640" t="n"/>
      <c r="O2291" s="640">
        <f>IF(AND(N2291=1,L2291=1),K2291,"")</f>
        <v/>
      </c>
      <c r="P2291" s="642" t="inlineStr">
        <is>
          <t>Московская обл., 127 км М4 ДОН правая сторона</t>
        </is>
      </c>
      <c r="Q2291" s="640" t="inlineStr">
        <is>
          <t>54.73686</t>
        </is>
      </c>
      <c r="R2291" s="494" t="inlineStr">
        <is>
          <t>38.15596</t>
        </is>
      </c>
      <c r="S2291" s="387" t="n"/>
      <c r="T2291" s="387" t="n"/>
      <c r="U2291" s="436" t="n"/>
      <c r="V2291" s="387" t="n"/>
      <c r="W2291" s="387">
        <f>IF(AND(N2291=1,O2291&lt;&gt;""),C2291,"")</f>
        <v/>
      </c>
      <c r="X2291" s="387" t="n"/>
      <c r="Y2291" s="387" t="n"/>
    </row>
    <row r="2292" hidden="1" ht="16.05" customFormat="1" customHeight="1" s="126">
      <c r="A2292" s="125" t="n">
        <v>2914</v>
      </c>
      <c r="B2292" s="125" t="n"/>
      <c r="C2292" s="130" t="inlineStr">
        <is>
          <t>Москва</t>
        </is>
      </c>
      <c r="D2292" s="130" t="inlineStr">
        <is>
          <t>Московская область</t>
        </is>
      </c>
      <c r="E2292" s="130" t="inlineStr">
        <is>
          <t>А108</t>
        </is>
      </c>
      <c r="F2292" s="130" t="inlineStr">
        <is>
          <t>АЗС</t>
        </is>
      </c>
      <c r="G2292" s="130" t="inlineStr">
        <is>
          <t>Газпромнефть</t>
        </is>
      </c>
      <c r="H2292" s="131" t="n"/>
      <c r="I2292" s="637" t="n">
        <v>12220</v>
      </c>
      <c r="J2292" s="637" t="inlineStr">
        <is>
          <t>GPN_12220</t>
        </is>
      </c>
      <c r="K2292" s="640" t="n">
        <v>3</v>
      </c>
      <c r="L2292" s="640" t="n">
        <v>1</v>
      </c>
      <c r="M2292" s="623" t="n">
        <v>3</v>
      </c>
      <c r="N2292" s="640" t="n"/>
      <c r="O2292" s="640">
        <f>IF(AND(N2292=1,L2292=1),K2292,"")</f>
        <v/>
      </c>
      <c r="P2292" s="642" t="inlineStr">
        <is>
          <t>Московская обл., Воскресенский р-н., д. Гостилово</t>
        </is>
      </c>
      <c r="Q2292" s="640" t="inlineStr">
        <is>
          <t>55.30897</t>
        </is>
      </c>
      <c r="R2292" s="494" t="inlineStr">
        <is>
          <t>38.6082</t>
        </is>
      </c>
      <c r="S2292" s="387" t="n"/>
      <c r="T2292" s="387" t="n"/>
      <c r="U2292" s="436" t="n"/>
      <c r="V2292" s="387" t="n"/>
      <c r="W2292" s="387">
        <f>IF(AND(N2292=1,O2292&lt;&gt;""),C2292,"")</f>
        <v/>
      </c>
      <c r="X2292" s="387" t="n"/>
      <c r="Y2292" s="387" t="n"/>
    </row>
    <row r="2293" hidden="1" ht="16.05" customFormat="1" customHeight="1" s="126">
      <c r="A2293" s="125" t="n">
        <v>2915</v>
      </c>
      <c r="B2293" s="125" t="n"/>
      <c r="C2293" s="130" t="inlineStr">
        <is>
          <t>Москва</t>
        </is>
      </c>
      <c r="D2293" s="130" t="inlineStr">
        <is>
          <t>Московская область</t>
        </is>
      </c>
      <c r="E2293" s="130" t="inlineStr">
        <is>
          <t>М9</t>
        </is>
      </c>
      <c r="F2293" s="130" t="inlineStr">
        <is>
          <t>АЗС</t>
        </is>
      </c>
      <c r="G2293" s="130" t="inlineStr">
        <is>
          <t>Газпромнефть</t>
        </is>
      </c>
      <c r="H2293" s="131" t="n"/>
      <c r="I2293" s="637" t="n">
        <v>12214</v>
      </c>
      <c r="J2293" s="637" t="inlineStr">
        <is>
          <t>GPN_12214</t>
        </is>
      </c>
      <c r="K2293" s="640" t="n">
        <v>3</v>
      </c>
      <c r="L2293" s="640" t="n">
        <v>1</v>
      </c>
      <c r="M2293" s="623" t="n">
        <v>5</v>
      </c>
      <c r="N2293" s="640" t="n"/>
      <c r="O2293" s="640">
        <f>IF(AND(N2293=1,L2293=1),K2293,"")</f>
        <v/>
      </c>
      <c r="P2293" s="642" t="inlineStr">
        <is>
          <t>Московская обл., г. Волоколамск, Северное ш, д 18</t>
        </is>
      </c>
      <c r="Q2293" s="640" t="inlineStr">
        <is>
          <t>56.0547</t>
        </is>
      </c>
      <c r="R2293" s="494" t="inlineStr">
        <is>
          <t>35.949</t>
        </is>
      </c>
      <c r="S2293" s="387" t="n"/>
      <c r="T2293" s="387" t="n"/>
      <c r="U2293" s="436" t="n"/>
      <c r="V2293" s="387" t="n"/>
      <c r="W2293" s="387">
        <f>IF(AND(N2293=1,O2293&lt;&gt;""),C2293,"")</f>
        <v/>
      </c>
      <c r="X2293" s="387" t="n"/>
      <c r="Y2293" s="387" t="n"/>
    </row>
    <row r="2294" hidden="1" ht="16.05" customFormat="1" customHeight="1" s="126">
      <c r="A2294" s="125" t="n">
        <v>2913</v>
      </c>
      <c r="B2294" s="125" t="n"/>
      <c r="C2294" s="130" t="inlineStr">
        <is>
          <t>Москва</t>
        </is>
      </c>
      <c r="D2294" s="130" t="inlineStr">
        <is>
          <t>Московская область</t>
        </is>
      </c>
      <c r="E2294" s="130" t="inlineStr">
        <is>
          <t>А104</t>
        </is>
      </c>
      <c r="F2294" s="130" t="inlineStr">
        <is>
          <t>АЗС</t>
        </is>
      </c>
      <c r="G2294" s="130" t="inlineStr">
        <is>
          <t>Газпромнефть</t>
        </is>
      </c>
      <c r="H2294" s="131" t="n"/>
      <c r="I2294" s="637" t="n">
        <v>12210</v>
      </c>
      <c r="J2294" s="637" t="inlineStr">
        <is>
          <t>GPN_12210</t>
        </is>
      </c>
      <c r="K2294" s="640" t="n">
        <v>3</v>
      </c>
      <c r="L2294" s="640" t="n">
        <v>1</v>
      </c>
      <c r="M2294" s="623" t="n">
        <v>6</v>
      </c>
      <c r="N2294" s="640" t="n"/>
      <c r="O2294" s="640">
        <f>IF(AND(N2294=1,L2294=1),K2294,"")</f>
        <v/>
      </c>
      <c r="P2294" s="642" t="inlineStr">
        <is>
          <t>Московская обл., А-104 г. Яхрома ул. Подолинская</t>
        </is>
      </c>
      <c r="Q2294" s="640" t="inlineStr">
        <is>
          <t>56.30395</t>
        </is>
      </c>
      <c r="R2294" s="494" t="inlineStr">
        <is>
          <t>37.47936</t>
        </is>
      </c>
      <c r="S2294" s="387" t="n"/>
      <c r="T2294" s="387" t="n"/>
      <c r="U2294" s="436" t="n"/>
      <c r="V2294" s="387" t="n"/>
      <c r="W2294" s="387">
        <f>IF(AND(N2294=1,O2294&lt;&gt;""),C2294,"")</f>
        <v/>
      </c>
      <c r="X2294" s="387" t="n"/>
      <c r="Y2294" s="387" t="n"/>
    </row>
    <row r="2295" hidden="1" ht="16.05" customFormat="1" customHeight="1" s="126">
      <c r="A2295" s="125" t="n">
        <v>2916</v>
      </c>
      <c r="B2295" s="125" t="n"/>
      <c r="C2295" s="130" t="inlineStr">
        <is>
          <t>Москва</t>
        </is>
      </c>
      <c r="D2295" s="130" t="inlineStr">
        <is>
          <t>Московская область</t>
        </is>
      </c>
      <c r="E2295" s="130" t="inlineStr">
        <is>
          <t>Р105</t>
        </is>
      </c>
      <c r="F2295" s="130" t="inlineStr">
        <is>
          <t>АЗС</t>
        </is>
      </c>
      <c r="G2295" s="130" t="inlineStr">
        <is>
          <t>Газпромнефть</t>
        </is>
      </c>
      <c r="H2295" s="131" t="n"/>
      <c r="I2295" s="637" t="n">
        <v>12186</v>
      </c>
      <c r="J2295" s="637" t="inlineStr">
        <is>
          <t>GPN_12186</t>
        </is>
      </c>
      <c r="K2295" s="640" t="n">
        <v>3</v>
      </c>
      <c r="L2295" s="640" t="n">
        <v>1</v>
      </c>
      <c r="M2295" s="623" t="n">
        <v>3</v>
      </c>
      <c r="N2295" s="640" t="n"/>
      <c r="O2295" s="640">
        <f>IF(AND(N2295=1,L2295=1),K2295,"")</f>
        <v/>
      </c>
      <c r="P2295" s="642" t="inlineStr">
        <is>
          <t>Московская обл., г. Егорьевск, ул. Советская, д. 2б</t>
        </is>
      </c>
      <c r="Q2295" s="640" t="inlineStr">
        <is>
          <t>55.394029</t>
        </is>
      </c>
      <c r="R2295" s="494" t="inlineStr">
        <is>
          <t>39.017938</t>
        </is>
      </c>
      <c r="S2295" s="387" t="n"/>
      <c r="T2295" s="387" t="n"/>
      <c r="U2295" s="436" t="n"/>
      <c r="V2295" s="387" t="n"/>
      <c r="W2295" s="387">
        <f>IF(AND(N2295=1,O2295&lt;&gt;""),C2295,"")</f>
        <v/>
      </c>
      <c r="X2295" s="387" t="n"/>
      <c r="Y2295" s="387" t="n"/>
    </row>
    <row r="2296" hidden="1" ht="16.05" customFormat="1" customHeight="1" s="126">
      <c r="A2296" s="125" t="n">
        <v>2917</v>
      </c>
      <c r="B2296" s="125" t="n"/>
      <c r="C2296" s="130" t="inlineStr">
        <is>
          <t>Москва</t>
        </is>
      </c>
      <c r="D2296" s="130" t="inlineStr">
        <is>
          <t>Московская область</t>
        </is>
      </c>
      <c r="E2296" s="130" t="inlineStr">
        <is>
          <t>М5</t>
        </is>
      </c>
      <c r="F2296" s="130" t="inlineStr">
        <is>
          <t>АЗС</t>
        </is>
      </c>
      <c r="G2296" s="130" t="inlineStr">
        <is>
          <t>Газпромнефть</t>
        </is>
      </c>
      <c r="H2296" s="131" t="n"/>
      <c r="I2296" s="637" t="n">
        <v>12213</v>
      </c>
      <c r="J2296" s="637" t="inlineStr">
        <is>
          <t>GPN_12213</t>
        </is>
      </c>
      <c r="K2296" s="640" t="n">
        <v>3</v>
      </c>
      <c r="L2296" s="640" t="n">
        <v>1</v>
      </c>
      <c r="M2296" s="623" t="n">
        <v>3</v>
      </c>
      <c r="N2296" s="640" t="n"/>
      <c r="O2296" s="640">
        <f>IF(AND(N2296=1,L2296=1),K2296,"")</f>
        <v/>
      </c>
      <c r="P2296" s="642" t="inlineStr">
        <is>
          <t>Московская обл., г. Зарайск, ул. Московская, д. 8</t>
        </is>
      </c>
      <c r="Q2296" s="640" t="inlineStr">
        <is>
          <t>54.77236</t>
        </is>
      </c>
      <c r="R2296" s="494" t="inlineStr">
        <is>
          <t>38.88289</t>
        </is>
      </c>
      <c r="S2296" s="387" t="n"/>
      <c r="T2296" s="387" t="n"/>
      <c r="U2296" s="436" t="n"/>
      <c r="V2296" s="387" t="n"/>
      <c r="W2296" s="387">
        <f>IF(AND(N2296=1,O2296&lt;&gt;""),C2296,"")</f>
        <v/>
      </c>
      <c r="X2296" s="387" t="n"/>
      <c r="Y2296" s="387" t="n"/>
    </row>
    <row r="2297" hidden="1" ht="16.05" customFormat="1" customHeight="1" s="126">
      <c r="A2297" s="125" t="n">
        <v>2918</v>
      </c>
      <c r="B2297" s="125" t="n"/>
      <c r="C2297" s="130" t="inlineStr">
        <is>
          <t>Москва</t>
        </is>
      </c>
      <c r="D2297" s="130" t="inlineStr">
        <is>
          <t>Московская область</t>
        </is>
      </c>
      <c r="E2297" s="130" t="inlineStr">
        <is>
          <t>М5</t>
        </is>
      </c>
      <c r="F2297" s="130" t="inlineStr">
        <is>
          <t>АЗС</t>
        </is>
      </c>
      <c r="G2297" s="130" t="inlineStr">
        <is>
          <t>Газпромнефть</t>
        </is>
      </c>
      <c r="H2297" s="131" t="n"/>
      <c r="I2297" s="637" t="n">
        <v>12232</v>
      </c>
      <c r="J2297" s="637" t="inlineStr">
        <is>
          <t>GPN_12232</t>
        </is>
      </c>
      <c r="K2297" s="640" t="n">
        <v>3</v>
      </c>
      <c r="L2297" s="640" t="n">
        <v>1</v>
      </c>
      <c r="M2297" s="623" t="n">
        <v>3</v>
      </c>
      <c r="N2297" s="640" t="n"/>
      <c r="O2297" s="640">
        <f>IF(AND(N2297=1,L2297=1),K2297,"")</f>
        <v/>
      </c>
      <c r="P2297" s="642" t="inlineStr">
        <is>
          <t>Московская обл., г. Коломна, ул. Октябрьской революции, д. 139</t>
        </is>
      </c>
      <c r="Q2297" s="640" t="n">
        <v>55.11214</v>
      </c>
      <c r="R2297" s="494" t="n">
        <v>38.73937</v>
      </c>
      <c r="S2297" s="387" t="n"/>
      <c r="T2297" s="387" t="n"/>
      <c r="U2297" s="436" t="n"/>
      <c r="V2297" s="387" t="n"/>
      <c r="W2297" s="387">
        <f>IF(AND(N2297=1,O2297&lt;&gt;""),C2297,"")</f>
        <v/>
      </c>
      <c r="X2297" s="387" t="n"/>
      <c r="Y2297" s="387" t="n"/>
    </row>
    <row r="2298" hidden="1" ht="16.05" customFormat="1" customHeight="1" s="126">
      <c r="A2298" s="125" t="n">
        <v>2919</v>
      </c>
      <c r="B2298" s="125" t="n"/>
      <c r="C2298" s="130" t="inlineStr">
        <is>
          <t>Москва</t>
        </is>
      </c>
      <c r="D2298" s="130" t="inlineStr">
        <is>
          <t>Московская область</t>
        </is>
      </c>
      <c r="E2298" s="130" t="inlineStr">
        <is>
          <t>А100</t>
        </is>
      </c>
      <c r="F2298" s="130" t="inlineStr">
        <is>
          <t>АЗС</t>
        </is>
      </c>
      <c r="G2298" s="130" t="inlineStr">
        <is>
          <t>Газпромнефть</t>
        </is>
      </c>
      <c r="H2298" s="131" t="n"/>
      <c r="I2298" s="637" t="n">
        <v>12224</v>
      </c>
      <c r="J2298" s="637" t="inlineStr">
        <is>
          <t>GPN_12224</t>
        </is>
      </c>
      <c r="K2298" s="640" t="n">
        <v>1</v>
      </c>
      <c r="L2298" s="640" t="n">
        <v>1</v>
      </c>
      <c r="M2298" s="623" t="n">
        <v>1</v>
      </c>
      <c r="N2298" s="640" t="n"/>
      <c r="O2298" s="640">
        <f>IF(AND(N2298=1,L2298=1),K2298,"")</f>
        <v/>
      </c>
      <c r="P2298" s="642" t="inlineStr">
        <is>
          <t>Московская обл., г. Можайск, ул. 1-я Железнодорожная, д. 42</t>
        </is>
      </c>
      <c r="Q2298" s="640" t="inlineStr">
        <is>
          <t>55.49648</t>
        </is>
      </c>
      <c r="R2298" s="494" t="inlineStr">
        <is>
          <t>36.02768</t>
        </is>
      </c>
      <c r="S2298" s="387" t="n"/>
      <c r="T2298" s="387" t="n"/>
      <c r="U2298" s="436" t="n"/>
      <c r="V2298" s="387" t="n"/>
      <c r="W2298" s="387">
        <f>IF(AND(N2298=1,O2298&lt;&gt;""),C2298,"")</f>
        <v/>
      </c>
      <c r="X2298" s="387" t="n"/>
      <c r="Y2298" s="387" t="n"/>
    </row>
    <row r="2299" hidden="1" ht="16.05" customFormat="1" customHeight="1" s="126">
      <c r="A2299" s="125" t="n">
        <v>2920</v>
      </c>
      <c r="B2299" s="125" t="n"/>
      <c r="C2299" s="130" t="inlineStr">
        <is>
          <t>Москва</t>
        </is>
      </c>
      <c r="D2299" s="130" t="inlineStr">
        <is>
          <t>Московская область</t>
        </is>
      </c>
      <c r="E2299" s="130" t="inlineStr">
        <is>
          <t>М1</t>
        </is>
      </c>
      <c r="F2299" s="130" t="inlineStr">
        <is>
          <t>АЗС</t>
        </is>
      </c>
      <c r="G2299" s="130" t="inlineStr">
        <is>
          <t>Газпромнефть</t>
        </is>
      </c>
      <c r="H2299" s="131" t="n"/>
      <c r="I2299" s="637" t="n">
        <v>12179</v>
      </c>
      <c r="J2299" s="637" t="inlineStr">
        <is>
          <t>GPN_12179</t>
        </is>
      </c>
      <c r="K2299" s="640" t="n">
        <v>3</v>
      </c>
      <c r="L2299" s="640" t="n">
        <v>1</v>
      </c>
      <c r="M2299" s="623" t="n">
        <v>3</v>
      </c>
      <c r="N2299" s="640" t="n"/>
      <c r="O2299" s="640">
        <f>IF(AND(N2299=1,L2299=1),K2299,"")</f>
        <v/>
      </c>
      <c r="P2299" s="642" t="inlineStr">
        <is>
          <t>Московская обл., г. Можайск, ул. Вокзальная, д.3</t>
        </is>
      </c>
      <c r="Q2299" s="640" t="inlineStr">
        <is>
          <t>55.495843</t>
        </is>
      </c>
      <c r="R2299" s="494" t="inlineStr">
        <is>
          <t>36.021904</t>
        </is>
      </c>
      <c r="S2299" s="387" t="n"/>
      <c r="T2299" s="387" t="n"/>
      <c r="U2299" s="436" t="n"/>
      <c r="V2299" s="387" t="n"/>
      <c r="W2299" s="387">
        <f>IF(AND(N2299=1,O2299&lt;&gt;""),C2299,"")</f>
        <v/>
      </c>
      <c r="X2299" s="387" t="n"/>
      <c r="Y2299" s="387" t="n"/>
    </row>
    <row r="2300" hidden="1" ht="16.05" customFormat="1" customHeight="1" s="126">
      <c r="A2300" s="125" t="n">
        <v>2921</v>
      </c>
      <c r="B2300" s="125" t="n"/>
      <c r="C2300" s="130" t="inlineStr">
        <is>
          <t>Москва</t>
        </is>
      </c>
      <c r="D2300" s="130" t="inlineStr">
        <is>
          <t>Московская область</t>
        </is>
      </c>
      <c r="E2300" s="130" t="inlineStr">
        <is>
          <t>М3</t>
        </is>
      </c>
      <c r="F2300" s="130" t="inlineStr">
        <is>
          <t>АЗС</t>
        </is>
      </c>
      <c r="G2300" s="130" t="inlineStr">
        <is>
          <t>Газпромнефть</t>
        </is>
      </c>
      <c r="H2300" s="131" t="n"/>
      <c r="I2300" s="637" t="n">
        <v>12180</v>
      </c>
      <c r="J2300" s="637" t="inlineStr">
        <is>
          <t>GPN_12180</t>
        </is>
      </c>
      <c r="K2300" s="640" t="n">
        <v>3</v>
      </c>
      <c r="L2300" s="640" t="n">
        <v>1</v>
      </c>
      <c r="M2300" s="623" t="n">
        <v>6</v>
      </c>
      <c r="N2300" s="640" t="n"/>
      <c r="O2300" s="640">
        <f>IF(AND(N2300=1,L2300=1),K2300,"")</f>
        <v/>
      </c>
      <c r="P2300" s="642" t="inlineStr">
        <is>
          <t>Московская обл., г. Наро-Фоминск, 71 км Киевского шоссе, АЗС № 317</t>
        </is>
      </c>
      <c r="Q2300" s="640" t="inlineStr">
        <is>
          <t>55.385354</t>
        </is>
      </c>
      <c r="R2300" s="494" t="inlineStr">
        <is>
          <t>36.783929</t>
        </is>
      </c>
      <c r="S2300" s="387" t="n"/>
      <c r="T2300" s="387" t="n"/>
      <c r="U2300" s="436" t="n"/>
      <c r="V2300" s="387" t="n"/>
      <c r="W2300" s="387">
        <f>IF(AND(N2300=1,O2300&lt;&gt;""),C2300,"")</f>
        <v/>
      </c>
      <c r="X2300" s="387" t="n"/>
      <c r="Y2300" s="387" t="n"/>
    </row>
    <row r="2301" hidden="1" ht="16.05" customFormat="1" customHeight="1" s="126">
      <c r="A2301" s="125" t="n">
        <v>2922</v>
      </c>
      <c r="B2301" s="125" t="n"/>
      <c r="C2301" s="130" t="inlineStr">
        <is>
          <t>Москва</t>
        </is>
      </c>
      <c r="D2301" s="130" t="inlineStr">
        <is>
          <t>Московская область</t>
        </is>
      </c>
      <c r="E2301" s="130" t="inlineStr">
        <is>
          <t>Р22</t>
        </is>
      </c>
      <c r="F2301" s="130" t="inlineStr">
        <is>
          <t>АЗС</t>
        </is>
      </c>
      <c r="G2301" s="130" t="inlineStr">
        <is>
          <t>Газпромнефть</t>
        </is>
      </c>
      <c r="H2301" s="131" t="n"/>
      <c r="I2301" s="637" t="n">
        <v>12235</v>
      </c>
      <c r="J2301" s="637" t="inlineStr">
        <is>
          <t>GPN_12235</t>
        </is>
      </c>
      <c r="K2301" s="640" t="n">
        <v>3</v>
      </c>
      <c r="L2301" s="640" t="n">
        <v>1</v>
      </c>
      <c r="M2301" s="623" t="n">
        <v>3</v>
      </c>
      <c r="N2301" s="640" t="n"/>
      <c r="O2301" s="640">
        <f>IF(AND(N2301=1,L2301=1),K2301,"")</f>
        <v/>
      </c>
      <c r="P2301" s="642" t="inlineStr">
        <is>
          <t>Московская обл., г. Озёры, ул. Свердлова</t>
        </is>
      </c>
      <c r="Q2301" s="640" t="inlineStr">
        <is>
          <t>54.86779</t>
        </is>
      </c>
      <c r="R2301" s="494" t="inlineStr">
        <is>
          <t>38.55748</t>
        </is>
      </c>
      <c r="S2301" s="387" t="n"/>
      <c r="T2301" s="387" t="n"/>
      <c r="U2301" s="436" t="n"/>
      <c r="V2301" s="387" t="n"/>
      <c r="W2301" s="387">
        <f>IF(AND(N2301=1,O2301&lt;&gt;""),C2301,"")</f>
        <v/>
      </c>
      <c r="X2301" s="387" t="n"/>
      <c r="Y2301" s="387" t="n"/>
    </row>
    <row r="2302" hidden="1" ht="16.05" customFormat="1" customHeight="1" s="126">
      <c r="A2302" s="125" t="n">
        <v>2923</v>
      </c>
      <c r="B2302" s="125" t="n"/>
      <c r="C2302" s="130" t="inlineStr">
        <is>
          <t>Москва</t>
        </is>
      </c>
      <c r="D2302" s="130" t="inlineStr">
        <is>
          <t>Московская область</t>
        </is>
      </c>
      <c r="E2302" s="130" t="inlineStr">
        <is>
          <t>46К-5300</t>
        </is>
      </c>
      <c r="F2302" s="130" t="inlineStr">
        <is>
          <t>АЗС</t>
        </is>
      </c>
      <c r="G2302" s="130" t="inlineStr">
        <is>
          <t>Газпромнефть</t>
        </is>
      </c>
      <c r="H2302" s="131" t="n"/>
      <c r="I2302" s="637" t="n">
        <v>12194</v>
      </c>
      <c r="J2302" s="637" t="inlineStr">
        <is>
          <t>GPN_12194</t>
        </is>
      </c>
      <c r="K2302" s="640" t="n">
        <v>3</v>
      </c>
      <c r="L2302" s="640" t="n">
        <v>1</v>
      </c>
      <c r="M2302" s="623" t="n">
        <v>5</v>
      </c>
      <c r="N2302" s="640" t="n"/>
      <c r="O2302" s="640">
        <f>IF(AND(N2302=1,L2302=1),K2302,"")</f>
        <v/>
      </c>
      <c r="P2302" s="642" t="inlineStr">
        <is>
          <t>Московская обл., г. Раменское, ул. Михалевича, влад. 118</t>
        </is>
      </c>
      <c r="Q2302" s="640" t="inlineStr">
        <is>
          <t>55.549242</t>
        </is>
      </c>
      <c r="R2302" s="494" t="inlineStr">
        <is>
          <t>38.278943</t>
        </is>
      </c>
      <c r="S2302" s="387" t="n"/>
      <c r="T2302" s="387" t="n"/>
      <c r="U2302" s="436" t="n"/>
      <c r="V2302" s="387" t="n"/>
      <c r="W2302" s="387">
        <f>IF(AND(N2302=1,O2302&lt;&gt;""),C2302,"")</f>
        <v/>
      </c>
      <c r="X2302" s="387" t="n"/>
      <c r="Y2302" s="387" t="n"/>
    </row>
    <row r="2303" hidden="1" ht="16.05" customFormat="1" customHeight="1" s="126">
      <c r="A2303" s="125" t="n">
        <v>2924</v>
      </c>
      <c r="B2303" s="125" t="n"/>
      <c r="C2303" s="130" t="inlineStr">
        <is>
          <t>Москва</t>
        </is>
      </c>
      <c r="D2303" s="130" t="inlineStr">
        <is>
          <t>Московская область</t>
        </is>
      </c>
      <c r="E2303" s="130" t="inlineStr">
        <is>
          <t>Р106</t>
        </is>
      </c>
      <c r="F2303" s="130" t="inlineStr">
        <is>
          <t>АЗС</t>
        </is>
      </c>
      <c r="G2303" s="130" t="inlineStr">
        <is>
          <t>Газпромнефть</t>
        </is>
      </c>
      <c r="H2303" s="131" t="n"/>
      <c r="I2303" s="637" t="n">
        <v>12193</v>
      </c>
      <c r="J2303" s="637" t="inlineStr">
        <is>
          <t>GPN_12193</t>
        </is>
      </c>
      <c r="K2303" s="640" t="n">
        <v>1</v>
      </c>
      <c r="L2303" s="640" t="n">
        <v>1</v>
      </c>
      <c r="M2303" s="623" t="n">
        <v>1</v>
      </c>
      <c r="N2303" s="640" t="n"/>
      <c r="O2303" s="640">
        <f>IF(AND(N2303=1,L2303=1),K2303,"")</f>
        <v/>
      </c>
      <c r="P2303" s="642" t="inlineStr">
        <is>
          <t>Московская обл., г. Рошаль, ул. Советская, д. 1а</t>
        </is>
      </c>
      <c r="Q2303" s="640" t="inlineStr">
        <is>
          <t>55.66215</t>
        </is>
      </c>
      <c r="R2303" s="494" t="inlineStr">
        <is>
          <t>39.84081</t>
        </is>
      </c>
      <c r="S2303" s="387" t="n"/>
      <c r="T2303" s="387" t="n"/>
      <c r="U2303" s="436" t="n"/>
      <c r="V2303" s="387" t="n"/>
      <c r="W2303" s="387">
        <f>IF(AND(N2303=1,O2303&lt;&gt;""),C2303,"")</f>
        <v/>
      </c>
      <c r="X2303" s="387" t="n"/>
      <c r="Y2303" s="387" t="n"/>
    </row>
    <row r="2304" hidden="1" ht="16.05" customFormat="1" customHeight="1" s="126">
      <c r="A2304" s="125" t="n">
        <v>2925</v>
      </c>
      <c r="B2304" s="125" t="n"/>
      <c r="C2304" s="130" t="inlineStr">
        <is>
          <t>Москва</t>
        </is>
      </c>
      <c r="D2304" s="130" t="inlineStr">
        <is>
          <t>Московская область</t>
        </is>
      </c>
      <c r="E2304" s="130" t="inlineStr">
        <is>
          <t>А108</t>
        </is>
      </c>
      <c r="F2304" s="130" t="inlineStr">
        <is>
          <t>АЗС</t>
        </is>
      </c>
      <c r="G2304" s="130" t="inlineStr">
        <is>
          <t>Газпромнефть</t>
        </is>
      </c>
      <c r="H2304" s="131" t="n"/>
      <c r="I2304" s="637" t="n">
        <v>12183</v>
      </c>
      <c r="J2304" s="637" t="inlineStr">
        <is>
          <t>GPN_12183</t>
        </is>
      </c>
      <c r="K2304" s="640" t="n">
        <v>1</v>
      </c>
      <c r="L2304" s="640" t="n">
        <v>1</v>
      </c>
      <c r="M2304" s="623" t="n">
        <v>1</v>
      </c>
      <c r="N2304" s="640" t="n"/>
      <c r="O2304" s="640">
        <f>IF(AND(N2304=1,L2304=1),K2304,"")</f>
        <v/>
      </c>
      <c r="P2304" s="642" t="inlineStr">
        <is>
          <t>Московская обл., г. Руза, ул. Красная, АЗС №323</t>
        </is>
      </c>
      <c r="Q2304" s="640" t="inlineStr">
        <is>
          <t>55.692447</t>
        </is>
      </c>
      <c r="R2304" s="494" t="inlineStr">
        <is>
          <t>36.213186</t>
        </is>
      </c>
      <c r="S2304" s="387" t="n"/>
      <c r="T2304" s="387" t="n"/>
      <c r="U2304" s="436" t="n"/>
      <c r="V2304" s="387" t="n"/>
      <c r="W2304" s="387">
        <f>IF(AND(N2304=1,O2304&lt;&gt;""),C2304,"")</f>
        <v/>
      </c>
      <c r="X2304" s="387" t="n"/>
      <c r="Y2304" s="387" t="n"/>
    </row>
    <row r="2305" hidden="1" ht="16.05" customFormat="1" customHeight="1" s="126">
      <c r="A2305" s="125" t="n">
        <v>2926</v>
      </c>
      <c r="B2305" s="125" t="n"/>
      <c r="C2305" s="130" t="inlineStr">
        <is>
          <t>Москва</t>
        </is>
      </c>
      <c r="D2305" s="130" t="inlineStr">
        <is>
          <t>Московская область</t>
        </is>
      </c>
      <c r="E2305" s="130" t="inlineStr">
        <is>
          <t>Р22</t>
        </is>
      </c>
      <c r="F2305" s="130" t="inlineStr">
        <is>
          <t>АЗС</t>
        </is>
      </c>
      <c r="G2305" s="130" t="inlineStr">
        <is>
          <t>Газпромнефть</t>
        </is>
      </c>
      <c r="H2305" s="131" t="n"/>
      <c r="I2305" s="637" t="n">
        <v>12184</v>
      </c>
      <c r="J2305" s="637" t="inlineStr">
        <is>
          <t>GPN_12184</t>
        </is>
      </c>
      <c r="K2305" s="640" t="n">
        <v>3</v>
      </c>
      <c r="L2305" s="640" t="n">
        <v>1</v>
      </c>
      <c r="M2305" s="623" t="n">
        <v>3</v>
      </c>
      <c r="N2305" s="640" t="n"/>
      <c r="O2305" s="640">
        <f>IF(AND(N2305=1,L2305=1),K2305,"")</f>
        <v/>
      </c>
      <c r="P2305" s="642" t="inlineStr">
        <is>
          <t>Московская обл., г. Серебряные Пруды, ул. Привокзальная, д. 1</t>
        </is>
      </c>
      <c r="Q2305" s="640" t="inlineStr">
        <is>
          <t>54.460525</t>
        </is>
      </c>
      <c r="R2305" s="494" t="inlineStr">
        <is>
          <t>38.727477</t>
        </is>
      </c>
      <c r="S2305" s="387" t="n"/>
      <c r="T2305" s="387" t="n"/>
      <c r="U2305" s="436" t="n"/>
      <c r="V2305" s="387" t="n"/>
      <c r="W2305" s="387">
        <f>IF(AND(N2305=1,O2305&lt;&gt;""),C2305,"")</f>
        <v/>
      </c>
      <c r="X2305" s="387" t="n"/>
      <c r="Y2305" s="387" t="n"/>
    </row>
    <row r="2306" hidden="1" ht="16.05" customFormat="1" customHeight="1" s="126">
      <c r="A2306" s="125" t="n">
        <v>2927</v>
      </c>
      <c r="B2306" s="125" t="n"/>
      <c r="C2306" s="416" t="inlineStr">
        <is>
          <t>ЦФО (Калуга, Тула, Тверь, Рязань,Смоленск,Владимир,Воронеж, Ярославль)</t>
        </is>
      </c>
      <c r="D2306" s="130" t="inlineStr">
        <is>
          <t>Тульская область</t>
        </is>
      </c>
      <c r="E2306" s="130" t="n"/>
      <c r="F2306" s="130" t="inlineStr">
        <is>
          <t>АЗС</t>
        </is>
      </c>
      <c r="G2306" s="130" t="inlineStr">
        <is>
          <t>Газпромнефть</t>
        </is>
      </c>
      <c r="H2306" s="131" t="n"/>
      <c r="I2306" s="637" t="n">
        <v>12255</v>
      </c>
      <c r="J2306" s="637" t="inlineStr">
        <is>
          <t>GPN_12255</t>
        </is>
      </c>
      <c r="K2306" s="640" t="n">
        <v>3</v>
      </c>
      <c r="L2306" s="640" t="n">
        <v>1</v>
      </c>
      <c r="M2306" s="623" t="n">
        <v>5</v>
      </c>
      <c r="N2306" s="640" t="n"/>
      <c r="O2306" s="640">
        <f>IF(AND(N2306=1,L2306=1),K2306,"")</f>
        <v/>
      </c>
      <c r="P2306" s="642" t="inlineStr">
        <is>
          <t>Тульская обл. Богородицкий р-н, 249 км трассы М-4 Дон, левая сторона</t>
        </is>
      </c>
      <c r="Q2306" s="640" t="inlineStr">
        <is>
          <t>53.70074</t>
        </is>
      </c>
      <c r="R2306" s="494" t="inlineStr">
        <is>
          <t>38.04804</t>
        </is>
      </c>
      <c r="S2306" s="387" t="n"/>
      <c r="T2306" s="387" t="n"/>
      <c r="U2306" s="436" t="n"/>
      <c r="V2306" s="387" t="n"/>
      <c r="W2306" s="387">
        <f>IF(AND(N2306=1,O2306&lt;&gt;""),C2306,"")</f>
        <v/>
      </c>
      <c r="X2306" s="387" t="n"/>
      <c r="Y2306" s="387" t="n"/>
    </row>
    <row r="2307" hidden="1" ht="16.05" customFormat="1" customHeight="1" s="126">
      <c r="A2307" s="125" t="n">
        <v>2928</v>
      </c>
      <c r="B2307" s="125" t="n"/>
      <c r="C2307" s="416" t="inlineStr">
        <is>
          <t>ЦФО (Калуга, Тула, Тверь, Рязань,Смоленск,Владимир,Воронеж, Ярославль)</t>
        </is>
      </c>
      <c r="D2307" s="130" t="inlineStr">
        <is>
          <t>Тульская область</t>
        </is>
      </c>
      <c r="E2307" s="130" t="n"/>
      <c r="F2307" s="130" t="inlineStr">
        <is>
          <t>АЗС</t>
        </is>
      </c>
      <c r="G2307" s="130" t="inlineStr">
        <is>
          <t>Газпромнефть</t>
        </is>
      </c>
      <c r="H2307" s="131" t="n"/>
      <c r="I2307" s="637" t="n">
        <v>12256</v>
      </c>
      <c r="J2307" s="637" t="inlineStr">
        <is>
          <t>GPN_12256</t>
        </is>
      </c>
      <c r="K2307" s="640" t="n">
        <v>3</v>
      </c>
      <c r="L2307" s="640" t="n">
        <v>1</v>
      </c>
      <c r="M2307" s="623" t="n">
        <v>5</v>
      </c>
      <c r="N2307" s="640" t="n"/>
      <c r="O2307" s="640">
        <f>IF(AND(N2307=1,L2307=1),K2307,"")</f>
        <v/>
      </c>
      <c r="P2307" s="642" t="inlineStr">
        <is>
          <t>Тульская область, Богородицкий р-н, 249 км. трассы М4 «Дон» правая сторона</t>
        </is>
      </c>
      <c r="Q2307" s="640" t="inlineStr">
        <is>
          <t>53.70102</t>
        </is>
      </c>
      <c r="R2307" s="494" t="inlineStr">
        <is>
          <t>38.04585</t>
        </is>
      </c>
      <c r="S2307" s="387" t="n"/>
      <c r="T2307" s="387" t="n"/>
      <c r="U2307" s="436" t="n"/>
      <c r="V2307" s="387" t="n"/>
      <c r="W2307" s="387">
        <f>IF(AND(N2307=1,O2307&lt;&gt;""),C2307,"")</f>
        <v/>
      </c>
      <c r="X2307" s="387" t="n"/>
      <c r="Y2307" s="387" t="n"/>
    </row>
    <row r="2308" hidden="1" ht="16.05" customFormat="1" customHeight="1" s="126">
      <c r="A2308" s="125" t="n">
        <v>2929</v>
      </c>
      <c r="B2308" s="125" t="n"/>
      <c r="C2308" s="130" t="inlineStr">
        <is>
          <t>Москва</t>
        </is>
      </c>
      <c r="D2308" s="130" t="inlineStr">
        <is>
          <t>Московская область</t>
        </is>
      </c>
      <c r="E2308" s="130" t="inlineStr">
        <is>
          <t>Р106</t>
        </is>
      </c>
      <c r="F2308" s="130" t="inlineStr">
        <is>
          <t>АЗС</t>
        </is>
      </c>
      <c r="G2308" s="130" t="inlineStr">
        <is>
          <t>Газпромнефть</t>
        </is>
      </c>
      <c r="H2308" s="131" t="n"/>
      <c r="I2308" s="637" t="n">
        <v>12229</v>
      </c>
      <c r="J2308" s="637" t="inlineStr">
        <is>
          <t>GPN_12229</t>
        </is>
      </c>
      <c r="K2308" s="640" t="n">
        <v>1</v>
      </c>
      <c r="L2308" s="640" t="n">
        <v>1</v>
      </c>
      <c r="M2308" s="623" t="n">
        <v>1</v>
      </c>
      <c r="N2308" s="640" t="n"/>
      <c r="O2308" s="640">
        <f>IF(AND(N2308=1,L2308=1),K2308,"")</f>
        <v/>
      </c>
      <c r="P2308" s="642" t="inlineStr">
        <is>
          <t>Московская обл., г. Шатура, просп. Ильича, д.96</t>
        </is>
      </c>
      <c r="Q2308" s="640" t="inlineStr">
        <is>
          <t>55.57516</t>
        </is>
      </c>
      <c r="R2308" s="494" t="inlineStr">
        <is>
          <t>39.51285</t>
        </is>
      </c>
      <c r="S2308" s="387" t="n"/>
      <c r="T2308" s="387" t="n"/>
      <c r="U2308" s="436" t="n"/>
      <c r="V2308" s="387" t="n"/>
      <c r="W2308" s="387">
        <f>IF(AND(N2308=1,O2308&lt;&gt;""),C2308,"")</f>
        <v/>
      </c>
      <c r="X2308" s="387" t="n"/>
      <c r="Y2308" s="387" t="n"/>
    </row>
    <row r="2309" hidden="1" ht="55.05" customFormat="1" customHeight="1" s="126">
      <c r="A2309" s="125" t="n">
        <v>2930</v>
      </c>
      <c r="B2309" s="125" t="n"/>
      <c r="C2309" s="130" t="inlineStr">
        <is>
          <t>Москва</t>
        </is>
      </c>
      <c r="D2309" s="130" t="inlineStr">
        <is>
          <t>Московская область</t>
        </is>
      </c>
      <c r="E2309" s="130" t="inlineStr">
        <is>
          <t>А103</t>
        </is>
      </c>
      <c r="F2309" s="130" t="inlineStr">
        <is>
          <t>АЗС</t>
        </is>
      </c>
      <c r="G2309" s="130" t="inlineStr">
        <is>
          <t>Газпромнефть</t>
        </is>
      </c>
      <c r="H2309" s="131" t="n"/>
      <c r="I2309" s="637" t="n">
        <v>11034</v>
      </c>
      <c r="J2309" s="637" t="inlineStr">
        <is>
          <t>GPN_11034</t>
        </is>
      </c>
      <c r="K2309" s="640" t="n">
        <v>1</v>
      </c>
      <c r="L2309" s="640" t="n">
        <v>1</v>
      </c>
      <c r="M2309" s="623" t="n">
        <v>1</v>
      </c>
      <c r="N2309" s="640" t="n"/>
      <c r="O2309" s="640">
        <f>IF(AND(N2309=1,L2309=1),K2309,"")</f>
        <v/>
      </c>
      <c r="P2309" s="642" t="inlineStr">
        <is>
          <t>Московская обл., г. Щелково, Восточная промзона, автодорога Насосный завод - завод ЖБК</t>
        </is>
      </c>
      <c r="Q2309" s="640" t="inlineStr">
        <is>
          <t>55.90762</t>
        </is>
      </c>
      <c r="R2309" s="494" t="inlineStr">
        <is>
          <t>38.04749</t>
        </is>
      </c>
      <c r="S2309" s="387" t="n"/>
      <c r="T2309" s="387" t="n"/>
      <c r="U2309" s="436" t="n"/>
      <c r="V2309" s="387" t="n"/>
      <c r="W2309" s="387">
        <f>IF(AND(N2309=1,O2309&lt;&gt;""),C2309,"")</f>
        <v/>
      </c>
      <c r="X2309" s="387" t="n"/>
      <c r="Y2309" s="387" t="n"/>
    </row>
    <row r="2310" hidden="1" ht="55.05" customFormat="1" customHeight="1" s="126">
      <c r="A2310" s="125" t="n">
        <v>2931</v>
      </c>
      <c r="B2310" s="125" t="n"/>
      <c r="C2310" s="416" t="inlineStr">
        <is>
          <t>ЦФО (Калуга, Тула, Тверь, Рязань,Смоленск,Владимир,Воронеж, Ярославль)</t>
        </is>
      </c>
      <c r="D2310" s="130" t="inlineStr">
        <is>
          <t>Рязанская область</t>
        </is>
      </c>
      <c r="E2310" s="130" t="n"/>
      <c r="F2310" s="130" t="inlineStr">
        <is>
          <t>АЗС</t>
        </is>
      </c>
      <c r="G2310" s="130" t="inlineStr">
        <is>
          <t>Газпромнефть</t>
        </is>
      </c>
      <c r="H2310" s="131" t="n"/>
      <c r="I2310" s="637" t="n">
        <v>12260</v>
      </c>
      <c r="J2310" s="637" t="inlineStr">
        <is>
          <t>GPN_12260</t>
        </is>
      </c>
      <c r="K2310" s="640" t="n">
        <v>3</v>
      </c>
      <c r="L2310" s="640" t="n">
        <v>1</v>
      </c>
      <c r="M2310" s="623" t="n">
        <v>3</v>
      </c>
      <c r="N2310" s="640" t="n"/>
      <c r="O2310" s="640">
        <f>IF(AND(N2310=1,L2310=1),K2310,"")</f>
        <v/>
      </c>
      <c r="P2310" s="642" t="inlineStr">
        <is>
          <t>М.О. г. Шацк, 350км М-5 слева</t>
        </is>
      </c>
      <c r="Q2310" s="640" t="inlineStr">
        <is>
          <t>54.02271</t>
        </is>
      </c>
      <c r="R2310" s="494" t="inlineStr">
        <is>
          <t>41.67453</t>
        </is>
      </c>
      <c r="S2310" s="387" t="n"/>
      <c r="T2310" s="387" t="n"/>
      <c r="U2310" s="436" t="n"/>
      <c r="V2310" s="387" t="n"/>
      <c r="W2310" s="387">
        <f>IF(AND(N2310=1,O2310&lt;&gt;""),C2310,"")</f>
        <v/>
      </c>
      <c r="X2310" s="387" t="n"/>
      <c r="Y2310" s="387" t="n"/>
    </row>
    <row r="2311" hidden="1" ht="16.05" customFormat="1" customHeight="1" s="126">
      <c r="A2311" s="125" t="n">
        <v>2932</v>
      </c>
      <c r="B2311" s="125" t="n"/>
      <c r="C2311" s="416" t="inlineStr">
        <is>
          <t>ЦФО (Калуга, Тула, Тверь, Рязань,Смоленск,Владимир,Воронеж, Ярославль)</t>
        </is>
      </c>
      <c r="D2311" s="130" t="inlineStr">
        <is>
          <t>Рязанская область</t>
        </is>
      </c>
      <c r="E2311" s="130" t="n"/>
      <c r="F2311" s="130" t="inlineStr">
        <is>
          <t>АЗС</t>
        </is>
      </c>
      <c r="G2311" s="130" t="inlineStr">
        <is>
          <t>Газпромнефть</t>
        </is>
      </c>
      <c r="H2311" s="131" t="n"/>
      <c r="I2311" s="637" t="n">
        <v>12261</v>
      </c>
      <c r="J2311" s="637" t="inlineStr">
        <is>
          <t>GPN_12261</t>
        </is>
      </c>
      <c r="K2311" s="640" t="n">
        <v>3</v>
      </c>
      <c r="L2311" s="640" t="n">
        <v>1</v>
      </c>
      <c r="M2311" s="623" t="n">
        <v>6</v>
      </c>
      <c r="N2311" s="640" t="n"/>
      <c r="O2311" s="640">
        <f>IF(AND(N2311=1,L2311=1),K2311,"")</f>
        <v/>
      </c>
      <c r="P2311" s="642" t="inlineStr">
        <is>
          <t>Рязанская область, 340 км. М-5 справа.</t>
        </is>
      </c>
      <c r="Q2311" s="640" t="inlineStr">
        <is>
          <t>54.04992</t>
        </is>
      </c>
      <c r="R2311" s="494" t="inlineStr">
        <is>
          <t>41.5247</t>
        </is>
      </c>
      <c r="S2311" s="387" t="n"/>
      <c r="T2311" s="387" t="n"/>
      <c r="U2311" s="436" t="n"/>
      <c r="V2311" s="387" t="n"/>
      <c r="W2311" s="387">
        <f>IF(AND(N2311=1,O2311&lt;&gt;""),C2311,"")</f>
        <v/>
      </c>
      <c r="X2311" s="387" t="n"/>
      <c r="Y2311" s="387" t="n"/>
    </row>
    <row r="2312" hidden="1" ht="16.05" customFormat="1" customHeight="1" s="126">
      <c r="A2312" s="125" t="n">
        <v>2933</v>
      </c>
      <c r="B2312" s="125" t="n"/>
      <c r="C2312" s="130" t="inlineStr">
        <is>
          <t>Москва</t>
        </is>
      </c>
      <c r="D2312" s="130" t="inlineStr">
        <is>
          <t>Москва</t>
        </is>
      </c>
      <c r="E2312" s="130" t="inlineStr">
        <is>
          <t>М10</t>
        </is>
      </c>
      <c r="F2312" s="130" t="inlineStr">
        <is>
          <t>АЗС</t>
        </is>
      </c>
      <c r="G2312" s="130" t="inlineStr">
        <is>
          <t>Газпромнефть</t>
        </is>
      </c>
      <c r="H2312" s="131" t="n"/>
      <c r="I2312" s="637" t="n">
        <v>12139</v>
      </c>
      <c r="J2312" s="637" t="inlineStr">
        <is>
          <t>GPN_12139</t>
        </is>
      </c>
      <c r="K2312" s="640" t="n">
        <v>3</v>
      </c>
      <c r="L2312" s="640" t="n">
        <v>1</v>
      </c>
      <c r="M2312" s="623" t="n">
        <v>6</v>
      </c>
      <c r="N2312" s="640" t="n"/>
      <c r="O2312" s="640">
        <f>IF(AND(N2312=1,L2312=1),K2312,"")</f>
        <v/>
      </c>
      <c r="P2312" s="642" t="inlineStr">
        <is>
          <t>Московская обл., г.Зеленоград, 3-й Западный пр, корп. АЗС-166</t>
        </is>
      </c>
      <c r="Q2312" s="640" t="inlineStr">
        <is>
          <t>56.00832</t>
        </is>
      </c>
      <c r="R2312" s="494" t="inlineStr">
        <is>
          <t>37.167746</t>
        </is>
      </c>
      <c r="S2312" s="387" t="n"/>
      <c r="T2312" s="387" t="n"/>
      <c r="U2312" s="436" t="n"/>
      <c r="V2312" s="387" t="n"/>
      <c r="W2312" s="387">
        <f>IF(AND(N2312=1,O2312&lt;&gt;""),C2312,"")</f>
        <v/>
      </c>
      <c r="X2312" s="387" t="n"/>
      <c r="Y2312" s="387" t="n"/>
    </row>
    <row r="2313" hidden="1" ht="55.05" customFormat="1" customHeight="1" s="126">
      <c r="A2313" s="125" t="n">
        <v>2934</v>
      </c>
      <c r="B2313" s="125" t="n"/>
      <c r="C2313" s="130" t="inlineStr">
        <is>
          <t>Москва</t>
        </is>
      </c>
      <c r="D2313" s="130" t="inlineStr">
        <is>
          <t>Московская область</t>
        </is>
      </c>
      <c r="E2313" s="130" t="inlineStr">
        <is>
          <t>М4</t>
        </is>
      </c>
      <c r="F2313" s="130" t="inlineStr">
        <is>
          <t>АЗС</t>
        </is>
      </c>
      <c r="G2313" s="130" t="inlineStr">
        <is>
          <t>Газпромнефть</t>
        </is>
      </c>
      <c r="H2313" s="131" t="n"/>
      <c r="I2313" s="637" t="n">
        <v>12209</v>
      </c>
      <c r="J2313" s="637" t="inlineStr">
        <is>
          <t>GPN_12209</t>
        </is>
      </c>
      <c r="K2313" s="640" t="n">
        <v>2</v>
      </c>
      <c r="L2313" s="640" t="n">
        <v>1</v>
      </c>
      <c r="M2313" s="623" t="n">
        <v>2</v>
      </c>
      <c r="N2313" s="640" t="n"/>
      <c r="O2313" s="640">
        <f>IF(AND(N2313=1,L2313=1),K2313,"")</f>
        <v/>
      </c>
      <c r="P2313" s="642" t="inlineStr">
        <is>
          <t>Московская обл., г.Кашира, Каширский просп.,д.7</t>
        </is>
      </c>
      <c r="Q2313" s="640" t="inlineStr">
        <is>
          <t>54.83507</t>
        </is>
      </c>
      <c r="R2313" s="494" t="inlineStr">
        <is>
          <t>38.17418</t>
        </is>
      </c>
      <c r="S2313" s="387" t="n"/>
      <c r="T2313" s="387" t="n"/>
      <c r="U2313" s="436" t="n"/>
      <c r="V2313" s="387" t="n"/>
      <c r="W2313" s="387">
        <f>IF(AND(N2313=1,O2313&lt;&gt;""),C2313,"")</f>
        <v/>
      </c>
      <c r="X2313" s="387" t="n"/>
      <c r="Y2313" s="387" t="n"/>
    </row>
    <row r="2314" hidden="1" ht="55.05" customFormat="1" customHeight="1" s="126">
      <c r="A2314" s="125" t="n">
        <v>2935</v>
      </c>
      <c r="B2314" s="125" t="n"/>
      <c r="C2314" s="130" t="inlineStr">
        <is>
          <t>Москва</t>
        </is>
      </c>
      <c r="D2314" s="130" t="inlineStr">
        <is>
          <t>Московская область</t>
        </is>
      </c>
      <c r="E2314" s="130" t="inlineStr">
        <is>
          <t>А108</t>
        </is>
      </c>
      <c r="F2314" s="130" t="inlineStr">
        <is>
          <t>АЗС</t>
        </is>
      </c>
      <c r="G2314" s="130" t="inlineStr">
        <is>
          <t>Газпромнефть</t>
        </is>
      </c>
      <c r="H2314" s="131" t="n"/>
      <c r="I2314" s="637" t="n">
        <v>12219</v>
      </c>
      <c r="J2314" s="637" t="inlineStr">
        <is>
          <t>GPN_12219</t>
        </is>
      </c>
      <c r="K2314" s="640" t="n">
        <v>1</v>
      </c>
      <c r="L2314" s="640" t="n">
        <v>1</v>
      </c>
      <c r="M2314" s="623" t="n">
        <v>1</v>
      </c>
      <c r="N2314" s="640" t="n"/>
      <c r="O2314" s="640">
        <f>IF(AND(N2314=1,L2314=1),K2314,"")</f>
        <v/>
      </c>
      <c r="P2314" s="642" t="inlineStr">
        <is>
          <t>Московская обл., г.Куровское, Орехово-Зуевкий р-н, 3км Ликинского шоссе</t>
        </is>
      </c>
      <c r="Q2314" s="640" t="inlineStr">
        <is>
          <t>55.60128</t>
        </is>
      </c>
      <c r="R2314" s="494" t="inlineStr">
        <is>
          <t>38.92669</t>
        </is>
      </c>
      <c r="S2314" s="387" t="n"/>
      <c r="T2314" s="387" t="n"/>
      <c r="U2314" s="436" t="n"/>
      <c r="V2314" s="387" t="n"/>
      <c r="W2314" s="387">
        <f>IF(AND(N2314=1,O2314&lt;&gt;""),C2314,"")</f>
        <v/>
      </c>
      <c r="X2314" s="387" t="n"/>
      <c r="Y2314" s="387" t="n"/>
    </row>
    <row r="2315" hidden="1" ht="16.05" customFormat="1" customHeight="1" s="126">
      <c r="A2315" s="125" t="n">
        <v>2936</v>
      </c>
      <c r="B2315" s="125" t="n"/>
      <c r="C2315" s="130" t="inlineStr">
        <is>
          <t>Москва</t>
        </is>
      </c>
      <c r="D2315" s="130" t="inlineStr">
        <is>
          <t>Московская область</t>
        </is>
      </c>
      <c r="E2315" s="130" t="inlineStr">
        <is>
          <t>46К-9012</t>
        </is>
      </c>
      <c r="F2315" s="130" t="inlineStr">
        <is>
          <t>АЗС</t>
        </is>
      </c>
      <c r="G2315" s="130" t="inlineStr">
        <is>
          <t>Газпромнефть</t>
        </is>
      </c>
      <c r="H2315" s="131" t="n"/>
      <c r="I2315" s="637" t="n">
        <v>12185</v>
      </c>
      <c r="J2315" s="637" t="inlineStr">
        <is>
          <t>GPN_12185</t>
        </is>
      </c>
      <c r="K2315" s="640" t="n">
        <v>3</v>
      </c>
      <c r="L2315" s="640" t="n">
        <v>1</v>
      </c>
      <c r="M2315" s="623" t="n">
        <v>3</v>
      </c>
      <c r="N2315" s="640" t="n"/>
      <c r="O2315" s="640">
        <f>IF(AND(N2315=1,L2315=1),K2315,"")</f>
        <v/>
      </c>
      <c r="P2315" s="642" t="inlineStr">
        <is>
          <t>Московская обл., Истринский р-н, Волоколамское ш., 52 км.</t>
        </is>
      </c>
      <c r="Q2315" s="640" t="inlineStr">
        <is>
          <t>55.903093</t>
        </is>
      </c>
      <c r="R2315" s="494" t="inlineStr">
        <is>
          <t>36.897829</t>
        </is>
      </c>
      <c r="S2315" s="387" t="n"/>
      <c r="T2315" s="387" t="n"/>
      <c r="U2315" s="436" t="n"/>
      <c r="V2315" s="387" t="n"/>
      <c r="W2315" s="387">
        <f>IF(AND(N2315=1,O2315&lt;&gt;""),C2315,"")</f>
        <v/>
      </c>
      <c r="X2315" s="387" t="n"/>
      <c r="Y2315" s="387" t="n"/>
    </row>
    <row r="2316" hidden="1" ht="16.05" customFormat="1" customHeight="1" s="126">
      <c r="A2316" s="125" t="n">
        <v>2937</v>
      </c>
      <c r="B2316" s="125" t="n"/>
      <c r="C2316" s="130" t="inlineStr">
        <is>
          <t>Москва</t>
        </is>
      </c>
      <c r="D2316" s="130" t="inlineStr">
        <is>
          <t>Московская область</t>
        </is>
      </c>
      <c r="E2316" s="130" t="inlineStr">
        <is>
          <t>М2</t>
        </is>
      </c>
      <c r="F2316" s="130" t="inlineStr">
        <is>
          <t>АЗС</t>
        </is>
      </c>
      <c r="G2316" s="130" t="inlineStr">
        <is>
          <t>Газпромнефть</t>
        </is>
      </c>
      <c r="H2316" s="131" t="n"/>
      <c r="I2316" s="637" t="n">
        <v>12195</v>
      </c>
      <c r="J2316" s="637" t="inlineStr">
        <is>
          <t>GPN_11195</t>
        </is>
      </c>
      <c r="K2316" s="640" t="n">
        <v>3</v>
      </c>
      <c r="L2316" s="640" t="n">
        <v>1</v>
      </c>
      <c r="M2316" s="623" t="n">
        <v>3</v>
      </c>
      <c r="N2316" s="640" t="n"/>
      <c r="O2316" s="640">
        <f>IF(AND(N2316=1,L2316=1),K2316,"")</f>
        <v/>
      </c>
      <c r="P2316" s="642" t="inlineStr">
        <is>
          <t>Московская обл., Подольский р-н, вблизи дер. Александровка, а/д "Москва-Крым", 38 км.</t>
        </is>
      </c>
      <c r="Q2316" s="640" t="inlineStr">
        <is>
          <t>55.42479</t>
        </is>
      </c>
      <c r="R2316" s="494" t="inlineStr">
        <is>
          <t>37.61137</t>
        </is>
      </c>
      <c r="S2316" s="387" t="n"/>
      <c r="T2316" s="387" t="n"/>
      <c r="U2316" s="436" t="n"/>
      <c r="V2316" s="387" t="n"/>
      <c r="W2316" s="387">
        <f>IF(AND(N2316=1,O2316&lt;&gt;""),C2316,"")</f>
        <v/>
      </c>
      <c r="X2316" s="387" t="n"/>
      <c r="Y2316" s="387" t="n"/>
    </row>
    <row r="2317" hidden="1" ht="16.05" customFormat="1" customHeight="1" s="126">
      <c r="A2317" s="125" t="n">
        <v>2938</v>
      </c>
      <c r="B2317" s="125" t="n"/>
      <c r="C2317" s="130" t="inlineStr">
        <is>
          <t>Москва</t>
        </is>
      </c>
      <c r="D2317" s="130" t="inlineStr">
        <is>
          <t>Московская область</t>
        </is>
      </c>
      <c r="E2317" s="130" t="inlineStr">
        <is>
          <t>А107</t>
        </is>
      </c>
      <c r="F2317" s="130" t="inlineStr">
        <is>
          <t>АЗС</t>
        </is>
      </c>
      <c r="G2317" s="130" t="inlineStr">
        <is>
          <t>Газпромнефть</t>
        </is>
      </c>
      <c r="H2317" s="131" t="n"/>
      <c r="I2317" s="637" t="n">
        <v>12207</v>
      </c>
      <c r="J2317" s="637" t="inlineStr">
        <is>
          <t>GPN_12207</t>
        </is>
      </c>
      <c r="K2317" s="640" t="n">
        <v>2</v>
      </c>
      <c r="L2317" s="640" t="n">
        <v>1</v>
      </c>
      <c r="M2317" s="623" t="n">
        <v>2</v>
      </c>
      <c r="N2317" s="640" t="n"/>
      <c r="O2317" s="640">
        <f>IF(AND(N2317=1,L2317=1),K2317,"")</f>
        <v/>
      </c>
      <c r="P2317" s="642" t="inlineStr">
        <is>
          <t>Московская обл., Подольский р-н, г. Климовск, Симферопольское ш., 51 км.</t>
        </is>
      </c>
      <c r="Q2317" s="640" t="inlineStr">
        <is>
          <t>55.3438</t>
        </is>
      </c>
      <c r="R2317" s="494" t="inlineStr">
        <is>
          <t>37.52993</t>
        </is>
      </c>
      <c r="S2317" s="387" t="n"/>
      <c r="T2317" s="387" t="n"/>
      <c r="U2317" s="436" t="n"/>
      <c r="V2317" s="387" t="n"/>
      <c r="W2317" s="387">
        <f>IF(AND(N2317=1,O2317&lt;&gt;""),C2317,"")</f>
        <v/>
      </c>
      <c r="X2317" s="387" t="n"/>
      <c r="Y2317" s="387" t="n"/>
    </row>
    <row r="2318" hidden="1" ht="16.05" customFormat="1" customHeight="1" s="126">
      <c r="A2318" s="125" t="n">
        <v>2939</v>
      </c>
      <c r="B2318" s="125" t="n"/>
      <c r="C2318" s="130" t="inlineStr">
        <is>
          <t>Москва</t>
        </is>
      </c>
      <c r="D2318" s="130" t="inlineStr">
        <is>
          <t>Московская область</t>
        </is>
      </c>
      <c r="E2318" s="130" t="inlineStr">
        <is>
          <t>А107</t>
        </is>
      </c>
      <c r="F2318" s="130" t="inlineStr">
        <is>
          <t>АЗС</t>
        </is>
      </c>
      <c r="G2318" s="130" t="inlineStr">
        <is>
          <t>Газпромнефть</t>
        </is>
      </c>
      <c r="H2318" s="131" t="n"/>
      <c r="I2318" s="637" t="n">
        <v>12206</v>
      </c>
      <c r="J2318" s="637" t="inlineStr">
        <is>
          <t>GPN_12206</t>
        </is>
      </c>
      <c r="K2318" s="640" t="n">
        <v>3</v>
      </c>
      <c r="L2318" s="640" t="n">
        <v>1</v>
      </c>
      <c r="M2318" s="623" t="n">
        <v>6</v>
      </c>
      <c r="N2318" s="640" t="n"/>
      <c r="O2318" s="640">
        <f>IF(AND(N2318=1,L2318=1),K2318,"")</f>
        <v/>
      </c>
      <c r="P2318" s="642" t="inlineStr">
        <is>
          <t>Московская обл., Подольский р-н, пос. Курилово, Варшавское ш., 52 км</t>
        </is>
      </c>
      <c r="Q2318" s="640" t="inlineStr">
        <is>
          <t>55.37391</t>
        </is>
      </c>
      <c r="R2318" s="494" t="inlineStr">
        <is>
          <t>37.38935</t>
        </is>
      </c>
      <c r="S2318" s="387" t="n"/>
      <c r="T2318" s="387" t="n"/>
      <c r="U2318" s="436" t="n"/>
      <c r="V2318" s="387" t="n"/>
      <c r="W2318" s="387">
        <f>IF(AND(N2318=1,O2318&lt;&gt;""),C2318,"")</f>
        <v/>
      </c>
      <c r="X2318" s="387" t="n"/>
      <c r="Y2318" s="387" t="n"/>
    </row>
    <row r="2319" hidden="1" ht="16.05" customFormat="1" customHeight="1" s="126">
      <c r="A2319" s="125" t="n">
        <v>2940</v>
      </c>
      <c r="B2319" s="125" t="n"/>
      <c r="C2319" s="130" t="inlineStr">
        <is>
          <t>Москва</t>
        </is>
      </c>
      <c r="D2319" s="130" t="inlineStr">
        <is>
          <t>Московская область</t>
        </is>
      </c>
      <c r="E2319" s="130" t="inlineStr">
        <is>
          <t>Р22</t>
        </is>
      </c>
      <c r="F2319" s="130" t="inlineStr">
        <is>
          <t>АЗС</t>
        </is>
      </c>
      <c r="G2319" s="130" t="inlineStr">
        <is>
          <t>Газпромнефть</t>
        </is>
      </c>
      <c r="H2319" s="131" t="n"/>
      <c r="I2319" s="637" t="n">
        <v>12231</v>
      </c>
      <c r="J2319" s="637" t="inlineStr">
        <is>
          <t>GPN_12231</t>
        </is>
      </c>
      <c r="K2319" s="640" t="n">
        <v>1</v>
      </c>
      <c r="L2319" s="640" t="n">
        <v>1</v>
      </c>
      <c r="M2319" s="623" t="n">
        <v>1</v>
      </c>
      <c r="N2319" s="640" t="n"/>
      <c r="O2319" s="640">
        <f>IF(AND(N2319=1,L2319=1),K2319,"")</f>
        <v/>
      </c>
      <c r="P2319" s="642" t="inlineStr">
        <is>
          <t>Московская обл., ст.Кашира-1, ул.Стрелецкая, АЗС№310</t>
        </is>
      </c>
      <c r="Q2319" s="640" t="inlineStr">
        <is>
          <t>54.82277</t>
        </is>
      </c>
      <c r="R2319" s="494" t="inlineStr">
        <is>
          <t>38.15108</t>
        </is>
      </c>
      <c r="S2319" s="387" t="n"/>
      <c r="T2319" s="387" t="n"/>
      <c r="U2319" s="436" t="n"/>
      <c r="V2319" s="387" t="n"/>
      <c r="W2319" s="387">
        <f>IF(AND(N2319=1,O2319&lt;&gt;""),C2319,"")</f>
        <v/>
      </c>
      <c r="X2319" s="387" t="n"/>
      <c r="Y2319" s="387" t="n"/>
    </row>
    <row r="2320" hidden="1" ht="16.05" customFormat="1" customHeight="1" s="126">
      <c r="A2320" s="125" t="n">
        <v>2941</v>
      </c>
      <c r="B2320" s="125" t="n"/>
      <c r="C2320" s="130" t="inlineStr">
        <is>
          <t>Москва</t>
        </is>
      </c>
      <c r="D2320" s="130" t="inlineStr">
        <is>
          <t>Московская область</t>
        </is>
      </c>
      <c r="E2320" s="130" t="inlineStr">
        <is>
          <t>М2</t>
        </is>
      </c>
      <c r="F2320" s="130" t="inlineStr">
        <is>
          <t>АЗС</t>
        </is>
      </c>
      <c r="G2320" s="130" t="inlineStr">
        <is>
          <t>Газпромнефть</t>
        </is>
      </c>
      <c r="H2320" s="131" t="n"/>
      <c r="I2320" s="637" t="n">
        <v>12187</v>
      </c>
      <c r="J2320" s="637" t="inlineStr">
        <is>
          <t>GPN_12187</t>
        </is>
      </c>
      <c r="K2320" s="640" t="n">
        <v>3</v>
      </c>
      <c r="L2320" s="640" t="n">
        <v>1</v>
      </c>
      <c r="M2320" s="623" t="n">
        <v>3</v>
      </c>
      <c r="N2320" s="640" t="n"/>
      <c r="O2320" s="640">
        <f>IF(AND(N2320=1,L2320=1),K2320,"")</f>
        <v/>
      </c>
      <c r="P2320" s="642" t="inlineStr">
        <is>
          <t>Московская обл., Чеховский р-н, д.Манушкино, 78 км Симферопольского шоссе</t>
        </is>
      </c>
      <c r="Q2320" s="640" t="n">
        <v>55.115115</v>
      </c>
      <c r="R2320" s="494" t="n">
        <v>37.44716</v>
      </c>
      <c r="S2320" s="387" t="n"/>
      <c r="T2320" s="387" t="n"/>
      <c r="U2320" s="436" t="n"/>
      <c r="V2320" s="387" t="n"/>
      <c r="W2320" s="387">
        <f>IF(AND(N2320=1,O2320&lt;&gt;""),C2320,"")</f>
        <v/>
      </c>
      <c r="X2320" s="387" t="n"/>
      <c r="Y2320" s="387" t="n"/>
    </row>
    <row r="2321" hidden="1" ht="16.05" customFormat="1" customHeight="1" s="126">
      <c r="A2321" s="125" t="n">
        <v>2942</v>
      </c>
      <c r="B2321" s="125" t="n"/>
      <c r="C2321" s="416" t="inlineStr">
        <is>
          <t>ЦФО (Калуга, Тула, Тверь, Рязань,Смоленск,Владимир,Воронеж, Ярославль)</t>
        </is>
      </c>
      <c r="D2321" s="130" t="inlineStr">
        <is>
          <t>Смоленская область</t>
        </is>
      </c>
      <c r="E2321" s="130" t="n"/>
      <c r="F2321" s="130" t="inlineStr">
        <is>
          <t>АЗС</t>
        </is>
      </c>
      <c r="G2321" s="130" t="inlineStr">
        <is>
          <t>Газпромнефть</t>
        </is>
      </c>
      <c r="H2321" s="131" t="n"/>
      <c r="I2321" s="637" t="n">
        <v>12310</v>
      </c>
      <c r="J2321" s="637" t="inlineStr">
        <is>
          <t>GPN_12310</t>
        </is>
      </c>
      <c r="K2321" s="640" t="n">
        <v>3</v>
      </c>
      <c r="L2321" s="640" t="n">
        <v>1</v>
      </c>
      <c r="M2321" s="623" t="n">
        <v>6</v>
      </c>
      <c r="N2321" s="640" t="n"/>
      <c r="O2321" s="640">
        <f>IF(AND(N2321=1,L2321=1),K2321,"")</f>
        <v/>
      </c>
      <c r="P2321" s="642" t="inlineStr">
        <is>
          <t>Смоленская обл., г. Сафоново, автомагистраль «Москва-Минск» 297 км (левая сторона)</t>
        </is>
      </c>
      <c r="Q2321" s="640" t="inlineStr">
        <is>
          <t>55.1404</t>
        </is>
      </c>
      <c r="R2321" s="494" t="inlineStr">
        <is>
          <t>33.2482</t>
        </is>
      </c>
      <c r="S2321" s="387" t="n"/>
      <c r="T2321" s="387" t="n"/>
      <c r="U2321" s="436" t="n"/>
      <c r="V2321" s="387" t="n"/>
      <c r="W2321" s="387">
        <f>IF(AND(N2321=1,O2321&lt;&gt;""),C2321,"")</f>
        <v/>
      </c>
      <c r="X2321" s="387" t="n"/>
      <c r="Y2321" s="387" t="n"/>
    </row>
    <row r="2322" hidden="1" ht="16.05" customFormat="1" customHeight="1" s="126">
      <c r="A2322" s="125" t="n">
        <v>2943</v>
      </c>
      <c r="B2322" s="125" t="n"/>
      <c r="C2322" s="130" t="inlineStr">
        <is>
          <t>Ярославль</t>
        </is>
      </c>
      <c r="D2322" s="130" t="inlineStr">
        <is>
          <t>Ярославль</t>
        </is>
      </c>
      <c r="E2322" s="130" t="n"/>
      <c r="F2322" s="130" t="inlineStr">
        <is>
          <t>АЗС</t>
        </is>
      </c>
      <c r="G2322" s="130" t="inlineStr">
        <is>
          <t>Газпромнефть</t>
        </is>
      </c>
      <c r="H2322" s="131" t="n"/>
      <c r="I2322" s="637" t="n">
        <v>13001</v>
      </c>
      <c r="J2322" s="637" t="inlineStr">
        <is>
          <t>GPN_13001</t>
        </is>
      </c>
      <c r="K2322" s="640" t="n">
        <v>1</v>
      </c>
      <c r="L2322" s="640" t="n">
        <v>1</v>
      </c>
      <c r="M2322" s="623" t="n">
        <v>1</v>
      </c>
      <c r="N2322" s="640" t="n"/>
      <c r="O2322" s="640">
        <f>IF(AND(N2322=1,L2322=1),K2322,"")</f>
        <v/>
      </c>
      <c r="P2322" s="642" t="inlineStr">
        <is>
          <t>Ярославль, Силикатное шоссе д. 2</t>
        </is>
      </c>
      <c r="Q2322" s="640" t="inlineStr">
        <is>
          <t>57.59361</t>
        </is>
      </c>
      <c r="R2322" s="494" t="inlineStr">
        <is>
          <t>39.86104</t>
        </is>
      </c>
      <c r="S2322" s="387" t="n"/>
      <c r="T2322" s="387" t="n"/>
      <c r="U2322" s="436" t="n"/>
      <c r="V2322" s="387" t="n"/>
      <c r="W2322" s="387">
        <f>IF(AND(N2322=1,O2322&lt;&gt;""),C2322,"")</f>
        <v/>
      </c>
      <c r="X2322" s="387" t="n"/>
      <c r="Y2322" s="387" t="n"/>
    </row>
    <row r="2323" hidden="1" ht="16.05" customFormat="1" customHeight="1" s="126">
      <c r="A2323" s="125" t="n">
        <v>2944</v>
      </c>
      <c r="B2323" s="125" t="n"/>
      <c r="C2323" s="130" t="inlineStr">
        <is>
          <t>Ярославль</t>
        </is>
      </c>
      <c r="D2323" s="130" t="inlineStr">
        <is>
          <t>Ярославль</t>
        </is>
      </c>
      <c r="E2323" s="130" t="n"/>
      <c r="F2323" s="130" t="inlineStr">
        <is>
          <t>АЗС</t>
        </is>
      </c>
      <c r="G2323" s="130" t="inlineStr">
        <is>
          <t>Газпромнефть</t>
        </is>
      </c>
      <c r="H2323" s="131" t="n"/>
      <c r="I2323" s="637" t="n">
        <v>13002</v>
      </c>
      <c r="J2323" s="637" t="inlineStr">
        <is>
          <t>GPN_13002</t>
        </is>
      </c>
      <c r="K2323" s="640" t="n">
        <v>3</v>
      </c>
      <c r="L2323" s="640" t="n">
        <v>1</v>
      </c>
      <c r="M2323" s="623" t="n">
        <v>3</v>
      </c>
      <c r="N2323" s="640" t="n"/>
      <c r="O2323" s="640">
        <f>IF(AND(N2323=1,L2323=1),K2323,"")</f>
        <v/>
      </c>
      <c r="P2323" s="642" t="inlineStr">
        <is>
          <t>Ярославль, Костромское шоссе 4</t>
        </is>
      </c>
      <c r="Q2323" s="640" t="inlineStr">
        <is>
          <t>57.542207</t>
        </is>
      </c>
      <c r="R2323" s="494" t="inlineStr">
        <is>
          <t>39.952312</t>
        </is>
      </c>
      <c r="S2323" s="387" t="n"/>
      <c r="T2323" s="387" t="n"/>
      <c r="U2323" s="436" t="n"/>
      <c r="V2323" s="387" t="n"/>
      <c r="W2323" s="387">
        <f>IF(AND(N2323=1,O2323&lt;&gt;""),C2323,"")</f>
        <v/>
      </c>
      <c r="X2323" s="387" t="n"/>
      <c r="Y2323" s="387" t="n"/>
    </row>
    <row r="2324" hidden="1" ht="55.05" customFormat="1" customHeight="1" s="126">
      <c r="A2324" s="125" t="n">
        <v>2945</v>
      </c>
      <c r="B2324" s="125" t="n"/>
      <c r="C2324" s="130" t="inlineStr">
        <is>
          <t>Ярославль</t>
        </is>
      </c>
      <c r="D2324" s="130" t="inlineStr">
        <is>
          <t>Ярославль</t>
        </is>
      </c>
      <c r="E2324" s="130" t="n"/>
      <c r="F2324" s="130" t="inlineStr">
        <is>
          <t>АЗС</t>
        </is>
      </c>
      <c r="G2324" s="130" t="inlineStr">
        <is>
          <t>Газпромнефть</t>
        </is>
      </c>
      <c r="H2324" s="131" t="n"/>
      <c r="I2324" s="637" t="n">
        <v>13003</v>
      </c>
      <c r="J2324" s="637" t="inlineStr">
        <is>
          <t>GPN_13003</t>
        </is>
      </c>
      <c r="K2324" s="640" t="n">
        <v>1</v>
      </c>
      <c r="L2324" s="640" t="n">
        <v>1</v>
      </c>
      <c r="M2324" s="623" t="n">
        <v>1</v>
      </c>
      <c r="N2324" s="640" t="n"/>
      <c r="O2324" s="640">
        <f>IF(AND(N2324=1,L2324=1),K2324,"")</f>
        <v/>
      </c>
      <c r="P2324" s="642" t="inlineStr">
        <is>
          <t>Ярославль, ул. Выставочная д.3</t>
        </is>
      </c>
      <c r="Q2324" s="640" t="inlineStr">
        <is>
          <t>57.66519</t>
        </is>
      </c>
      <c r="R2324" s="494" t="inlineStr">
        <is>
          <t>39.83978</t>
        </is>
      </c>
      <c r="S2324" s="387" t="n"/>
      <c r="T2324" s="387" t="n"/>
      <c r="U2324" s="436" t="n"/>
      <c r="V2324" s="387" t="n"/>
      <c r="W2324" s="387">
        <f>IF(AND(N2324=1,O2324&lt;&gt;""),C2324,"")</f>
        <v/>
      </c>
      <c r="X2324" s="387" t="n"/>
      <c r="Y2324" s="387" t="n"/>
    </row>
    <row r="2325" hidden="1" ht="16.05" customFormat="1" customHeight="1" s="126">
      <c r="A2325" s="125" t="n">
        <v>2946</v>
      </c>
      <c r="B2325" s="125" t="n"/>
      <c r="C2325" s="130" t="inlineStr">
        <is>
          <t>Ярославль</t>
        </is>
      </c>
      <c r="D2325" s="130" t="inlineStr">
        <is>
          <t>Ярославль</t>
        </is>
      </c>
      <c r="E2325" s="130" t="n"/>
      <c r="F2325" s="130" t="inlineStr">
        <is>
          <t>АЗС</t>
        </is>
      </c>
      <c r="G2325" s="130" t="inlineStr">
        <is>
          <t>Газпромнефть</t>
        </is>
      </c>
      <c r="H2325" s="131" t="n"/>
      <c r="I2325" s="637" t="n">
        <v>13004</v>
      </c>
      <c r="J2325" s="637" t="inlineStr">
        <is>
          <t>GPN_13004</t>
        </is>
      </c>
      <c r="K2325" s="640" t="n">
        <v>3</v>
      </c>
      <c r="L2325" s="640" t="n">
        <v>1</v>
      </c>
      <c r="M2325" s="623" t="n">
        <v>3</v>
      </c>
      <c r="N2325" s="640" t="n"/>
      <c r="O2325" s="640">
        <f>IF(AND(N2325=1,L2325=1),K2325,"")</f>
        <v/>
      </c>
      <c r="P2325" s="642" t="inlineStr">
        <is>
          <t>Ярославль, ул. Магистральная д.1а</t>
        </is>
      </c>
      <c r="Q2325" s="640" t="inlineStr">
        <is>
          <t>57.615155</t>
        </is>
      </c>
      <c r="R2325" s="494" t="inlineStr">
        <is>
          <t>39.840463</t>
        </is>
      </c>
      <c r="S2325" s="387" t="n"/>
      <c r="T2325" s="387" t="n"/>
      <c r="U2325" s="436" t="n"/>
      <c r="V2325" s="387" t="n"/>
      <c r="W2325" s="387">
        <f>IF(AND(N2325=1,O2325&lt;&gt;""),C2325,"")</f>
        <v/>
      </c>
      <c r="X2325" s="387" t="n"/>
      <c r="Y2325" s="387" t="n"/>
    </row>
    <row r="2326" hidden="1" ht="16.05" customFormat="1" customHeight="1" s="126">
      <c r="A2326" s="125" t="n">
        <v>2947</v>
      </c>
      <c r="B2326" s="125" t="n"/>
      <c r="C2326" s="130" t="inlineStr">
        <is>
          <t>Ярославль</t>
        </is>
      </c>
      <c r="D2326" s="130" t="inlineStr">
        <is>
          <t>Ярославская область</t>
        </is>
      </c>
      <c r="E2326" s="130" t="n"/>
      <c r="F2326" s="130" t="inlineStr">
        <is>
          <t>АЗС</t>
        </is>
      </c>
      <c r="G2326" s="130" t="inlineStr">
        <is>
          <t>Газпромнефть</t>
        </is>
      </c>
      <c r="H2326" s="131" t="n"/>
      <c r="I2326" s="637" t="n">
        <v>13006</v>
      </c>
      <c r="J2326" s="637" t="inlineStr">
        <is>
          <t>GPN_13006</t>
        </is>
      </c>
      <c r="K2326" s="640" t="n">
        <v>3</v>
      </c>
      <c r="L2326" s="640" t="n">
        <v>1</v>
      </c>
      <c r="M2326" s="623" t="n">
        <v>3</v>
      </c>
      <c r="N2326" s="640" t="n"/>
      <c r="O2326" s="640">
        <f>IF(AND(N2326=1,L2326=1),K2326,"")</f>
        <v/>
      </c>
      <c r="P2326" s="642" t="inlineStr">
        <is>
          <t>Гаврилов - Ямский р-он, д. Голузиново, Трасса М-8 "Холмогоры" (слева) 226 км</t>
        </is>
      </c>
      <c r="Q2326" s="640" t="inlineStr">
        <is>
          <t>57.34131</t>
        </is>
      </c>
      <c r="R2326" s="494" t="inlineStr">
        <is>
          <t>39.58035</t>
        </is>
      </c>
      <c r="S2326" s="387" t="n"/>
      <c r="T2326" s="387" t="n"/>
      <c r="U2326" s="436" t="n"/>
      <c r="V2326" s="387" t="n"/>
      <c r="W2326" s="387">
        <f>IF(AND(N2326=1,O2326&lt;&gt;""),C2326,"")</f>
        <v/>
      </c>
      <c r="X2326" s="387" t="n"/>
      <c r="Y2326" s="387" t="n"/>
    </row>
    <row r="2327" hidden="1" ht="16.05" customFormat="1" customHeight="1" s="126">
      <c r="A2327" s="125" t="n">
        <v>2948</v>
      </c>
      <c r="B2327" s="125" t="n"/>
      <c r="C2327" s="130" t="inlineStr">
        <is>
          <t>Ярославль</t>
        </is>
      </c>
      <c r="D2327" s="130" t="inlineStr">
        <is>
          <t>Ярославль</t>
        </is>
      </c>
      <c r="E2327" s="130" t="n"/>
      <c r="F2327" s="130" t="inlineStr">
        <is>
          <t>АЗС</t>
        </is>
      </c>
      <c r="G2327" s="130" t="inlineStr">
        <is>
          <t>Газпромнефть</t>
        </is>
      </c>
      <c r="H2327" s="131" t="n"/>
      <c r="I2327" s="637" t="n">
        <v>13007</v>
      </c>
      <c r="J2327" s="637" t="inlineStr">
        <is>
          <t>GPN_13007</t>
        </is>
      </c>
      <c r="K2327" s="640" t="n">
        <v>2</v>
      </c>
      <c r="L2327" s="640" t="n">
        <v>1</v>
      </c>
      <c r="M2327" s="623" t="n">
        <v>2</v>
      </c>
      <c r="N2327" s="640" t="n"/>
      <c r="O2327" s="640">
        <f>IF(AND(N2327=1,L2327=1),K2327,"")</f>
        <v/>
      </c>
      <c r="P2327" s="642" t="inlineStr">
        <is>
          <t>Ярославль, ул. Шевелюха (ул. Шевелюха, 117А, посёлок Шевелюха, Ярославль)</t>
        </is>
      </c>
      <c r="Q2327" s="640" t="inlineStr">
        <is>
          <t>57.666736</t>
        </is>
      </c>
      <c r="R2327" s="494" t="inlineStr">
        <is>
          <t>39.906692</t>
        </is>
      </c>
      <c r="S2327" s="387" t="n"/>
      <c r="T2327" s="387" t="n"/>
      <c r="U2327" s="436" t="n"/>
      <c r="V2327" s="387" t="n"/>
      <c r="W2327" s="387">
        <f>IF(AND(N2327=1,O2327&lt;&gt;""),C2327,"")</f>
        <v/>
      </c>
      <c r="X2327" s="387" t="n"/>
      <c r="Y2327" s="387" t="n"/>
    </row>
    <row r="2328" hidden="1" ht="16.05" customFormat="1" customHeight="1" s="126">
      <c r="A2328" s="125" t="n">
        <v>2949</v>
      </c>
      <c r="B2328" s="125" t="n"/>
      <c r="C2328" s="130" t="inlineStr">
        <is>
          <t>Ярославль</t>
        </is>
      </c>
      <c r="D2328" s="130" t="inlineStr">
        <is>
          <t>Ярославская область</t>
        </is>
      </c>
      <c r="E2328" s="130" t="n"/>
      <c r="F2328" s="130" t="inlineStr">
        <is>
          <t>АЗС</t>
        </is>
      </c>
      <c r="G2328" s="130" t="inlineStr">
        <is>
          <t>Газпромнефть</t>
        </is>
      </c>
      <c r="H2328" s="131" t="n"/>
      <c r="I2328" s="637" t="n">
        <v>13008</v>
      </c>
      <c r="J2328" s="637" t="inlineStr">
        <is>
          <t>GPN_13008</t>
        </is>
      </c>
      <c r="K2328" s="640" t="n">
        <v>3</v>
      </c>
      <c r="L2328" s="640" t="n">
        <v>1</v>
      </c>
      <c r="M2328" s="623" t="n">
        <v>3</v>
      </c>
      <c r="N2328" s="640" t="n"/>
      <c r="O2328" s="640">
        <f>IF(AND(N2328=1,L2328=1),K2328,"")</f>
        <v/>
      </c>
      <c r="P2328" s="642" t="inlineStr">
        <is>
          <t>Ростов, Трасса М-8 "Холмогоры" (справа) 209км</t>
        </is>
      </c>
      <c r="Q2328" s="640" t="inlineStr">
        <is>
          <t>57.21165</t>
        </is>
      </c>
      <c r="R2328" s="494" t="inlineStr">
        <is>
          <t>39.4437</t>
        </is>
      </c>
      <c r="S2328" s="387" t="n"/>
      <c r="T2328" s="387" t="n"/>
      <c r="U2328" s="436" t="n"/>
      <c r="V2328" s="387" t="n"/>
      <c r="W2328" s="387">
        <f>IF(AND(N2328=1,O2328&lt;&gt;""),C2328,"")</f>
        <v/>
      </c>
      <c r="X2328" s="387" t="n"/>
      <c r="Y2328" s="387" t="n"/>
    </row>
    <row r="2329" hidden="1" ht="16.05" customFormat="1" customHeight="1" s="126">
      <c r="A2329" s="125" t="n">
        <v>2950</v>
      </c>
      <c r="B2329" s="125" t="n"/>
      <c r="C2329" s="130" t="inlineStr">
        <is>
          <t>Ярославль</t>
        </is>
      </c>
      <c r="D2329" s="130" t="inlineStr">
        <is>
          <t>Ярославская область</t>
        </is>
      </c>
      <c r="E2329" s="130" t="n"/>
      <c r="F2329" s="130" t="inlineStr">
        <is>
          <t>АЗС</t>
        </is>
      </c>
      <c r="G2329" s="130" t="inlineStr">
        <is>
          <t>Газпромнефть</t>
        </is>
      </c>
      <c r="H2329" s="131" t="n"/>
      <c r="I2329" s="637" t="n">
        <v>13009</v>
      </c>
      <c r="J2329" s="637" t="inlineStr">
        <is>
          <t>GPN_13009</t>
        </is>
      </c>
      <c r="K2329" s="640" t="n">
        <v>3</v>
      </c>
      <c r="L2329" s="640" t="n">
        <v>1</v>
      </c>
      <c r="M2329" s="623" t="n">
        <v>3</v>
      </c>
      <c r="N2329" s="640" t="n"/>
      <c r="O2329" s="640">
        <f>IF(AND(N2329=1,L2329=1),K2329,"")</f>
        <v/>
      </c>
      <c r="P2329" s="642" t="inlineStr">
        <is>
          <t>Переславский р-он, Трасса М-8 "Холмогоры" (слева) 164 км</t>
        </is>
      </c>
      <c r="Q2329" s="640" t="inlineStr">
        <is>
          <t>56.881787</t>
        </is>
      </c>
      <c r="R2329" s="494" t="inlineStr">
        <is>
          <t>39.0856</t>
        </is>
      </c>
      <c r="S2329" s="387" t="n"/>
      <c r="T2329" s="387" t="n"/>
      <c r="U2329" s="436" t="n"/>
      <c r="V2329" s="387" t="n"/>
      <c r="W2329" s="387">
        <f>IF(AND(N2329=1,O2329&lt;&gt;""),C2329,"")</f>
        <v/>
      </c>
      <c r="X2329" s="387" t="n"/>
      <c r="Y2329" s="387" t="n"/>
    </row>
    <row r="2330" hidden="1" ht="16.05" customFormat="1" customHeight="1" s="126">
      <c r="A2330" s="125" t="n">
        <v>2951</v>
      </c>
      <c r="B2330" s="125" t="n"/>
      <c r="C2330" s="130" t="inlineStr">
        <is>
          <t>Ярославль</t>
        </is>
      </c>
      <c r="D2330" s="130" t="inlineStr">
        <is>
          <t>Ярославская область</t>
        </is>
      </c>
      <c r="E2330" s="130" t="n"/>
      <c r="F2330" s="130" t="inlineStr">
        <is>
          <t>АЗС</t>
        </is>
      </c>
      <c r="G2330" s="130" t="inlineStr">
        <is>
          <t>Газпромнефть</t>
        </is>
      </c>
      <c r="H2330" s="131" t="n"/>
      <c r="I2330" s="637" t="n">
        <v>13012</v>
      </c>
      <c r="J2330" s="637" t="inlineStr">
        <is>
          <t>GPN_13012</t>
        </is>
      </c>
      <c r="K2330" s="640" t="n">
        <v>3</v>
      </c>
      <c r="L2330" s="640" t="n">
        <v>1</v>
      </c>
      <c r="M2330" s="623" t="n">
        <v>3</v>
      </c>
      <c r="N2330" s="640" t="n"/>
      <c r="O2330" s="640">
        <f>IF(AND(N2330=1,L2330=1),K2330,"")</f>
        <v/>
      </c>
      <c r="P2330" s="642" t="inlineStr">
        <is>
          <t>Переславский р-он, М-8 Холмогоры (справа) 135</t>
        </is>
      </c>
      <c r="Q2330" s="640" t="inlineStr">
        <is>
          <t>56.7069</t>
        </is>
      </c>
      <c r="R2330" s="494" t="inlineStr">
        <is>
          <t>38.80016</t>
        </is>
      </c>
      <c r="S2330" s="387" t="n"/>
      <c r="T2330" s="387" t="n"/>
      <c r="U2330" s="436" t="n"/>
      <c r="V2330" s="387" t="n"/>
      <c r="W2330" s="387">
        <f>IF(AND(N2330=1,O2330&lt;&gt;""),C2330,"")</f>
        <v/>
      </c>
      <c r="X2330" s="387" t="n"/>
      <c r="Y2330" s="387" t="n"/>
    </row>
    <row r="2331" hidden="1" ht="16.05" customFormat="1" customHeight="1" s="126">
      <c r="A2331" s="125" t="n">
        <v>2952</v>
      </c>
      <c r="B2331" s="125" t="n"/>
      <c r="C2331" s="130" t="inlineStr">
        <is>
          <t>Ярославль</t>
        </is>
      </c>
      <c r="D2331" s="130" t="inlineStr">
        <is>
          <t>Ярославская область</t>
        </is>
      </c>
      <c r="E2331" s="130" t="n"/>
      <c r="F2331" s="130" t="inlineStr">
        <is>
          <t>АЗС</t>
        </is>
      </c>
      <c r="G2331" s="130" t="inlineStr">
        <is>
          <t>Газпромнефть</t>
        </is>
      </c>
      <c r="H2331" s="131" t="n"/>
      <c r="I2331" s="637" t="n">
        <v>13013</v>
      </c>
      <c r="J2331" s="637" t="inlineStr">
        <is>
          <t>GPN_13013</t>
        </is>
      </c>
      <c r="K2331" s="640" t="n">
        <v>3</v>
      </c>
      <c r="L2331" s="640" t="n">
        <v>1</v>
      </c>
      <c r="M2331" s="623" t="n">
        <v>3</v>
      </c>
      <c r="N2331" s="640" t="n"/>
      <c r="O2331" s="640">
        <f>IF(AND(N2331=1,L2331=1),K2331,"")</f>
        <v/>
      </c>
      <c r="P2331" s="642" t="inlineStr">
        <is>
          <t>Переславский р-он, Трасса М-8 "Холмогоры" (справа)</t>
        </is>
      </c>
      <c r="Q2331" s="640" t="inlineStr">
        <is>
          <t>56.69757</t>
        </is>
      </c>
      <c r="R2331" s="494" t="inlineStr">
        <is>
          <t>38.83246</t>
        </is>
      </c>
      <c r="S2331" s="387" t="n"/>
      <c r="T2331" s="387" t="n"/>
      <c r="U2331" s="436" t="n"/>
      <c r="V2331" s="387" t="n"/>
      <c r="W2331" s="387">
        <f>IF(AND(N2331=1,O2331&lt;&gt;""),C2331,"")</f>
        <v/>
      </c>
      <c r="X2331" s="387" t="n"/>
      <c r="Y2331" s="387" t="n"/>
    </row>
    <row r="2332" hidden="1" ht="16.05" customFormat="1" customHeight="1" s="126">
      <c r="A2332" s="125" t="n">
        <v>2953</v>
      </c>
      <c r="B2332" s="125" t="n"/>
      <c r="C2332" s="130" t="inlineStr">
        <is>
          <t>Ярославль</t>
        </is>
      </c>
      <c r="D2332" s="130" t="inlineStr">
        <is>
          <t>Ярославль</t>
        </is>
      </c>
      <c r="E2332" s="130" t="n"/>
      <c r="F2332" s="130" t="inlineStr">
        <is>
          <t>АЗС</t>
        </is>
      </c>
      <c r="G2332" s="130" t="inlineStr">
        <is>
          <t>Газпромнефть</t>
        </is>
      </c>
      <c r="H2332" s="131" t="n"/>
      <c r="I2332" s="637" t="n">
        <v>13014</v>
      </c>
      <c r="J2332" s="637" t="inlineStr">
        <is>
          <t>GPN_13014</t>
        </is>
      </c>
      <c r="K2332" s="640" t="n">
        <v>3</v>
      </c>
      <c r="L2332" s="640" t="n">
        <v>1</v>
      </c>
      <c r="M2332" s="623" t="n">
        <v>3</v>
      </c>
      <c r="N2332" s="640" t="n"/>
      <c r="O2332" s="640">
        <f>IF(AND(N2332=1,L2332=1),K2332,"")</f>
        <v/>
      </c>
      <c r="P2332" s="642" t="inlineStr">
        <is>
          <t>Ярославль, Московский проспект д.110 а</t>
        </is>
      </c>
      <c r="Q2332" s="640" t="inlineStr">
        <is>
          <t>57.57275</t>
        </is>
      </c>
      <c r="R2332" s="494" t="inlineStr">
        <is>
          <t>39.83933</t>
        </is>
      </c>
      <c r="S2332" s="387" t="n"/>
      <c r="T2332" s="387" t="n"/>
      <c r="U2332" s="436" t="n"/>
      <c r="V2332" s="387" t="n"/>
      <c r="W2332" s="387">
        <f>IF(AND(N2332=1,O2332&lt;&gt;""),C2332,"")</f>
        <v/>
      </c>
      <c r="X2332" s="387" t="n"/>
      <c r="Y2332" s="387" t="n"/>
    </row>
    <row r="2333" hidden="1" ht="16.05" customFormat="1" customHeight="1" s="126">
      <c r="A2333" s="125" t="n">
        <v>2954</v>
      </c>
      <c r="B2333" s="125" t="n"/>
      <c r="C2333" s="130" t="inlineStr">
        <is>
          <t>Ярославль</t>
        </is>
      </c>
      <c r="D2333" s="130" t="inlineStr">
        <is>
          <t>Ярославль</t>
        </is>
      </c>
      <c r="E2333" s="130" t="n"/>
      <c r="F2333" s="130" t="inlineStr">
        <is>
          <t>АЗС</t>
        </is>
      </c>
      <c r="G2333" s="130" t="inlineStr">
        <is>
          <t>Газпромнефть</t>
        </is>
      </c>
      <c r="H2333" s="131" t="n"/>
      <c r="I2333" s="637" t="n">
        <v>13015</v>
      </c>
      <c r="J2333" s="637" t="inlineStr">
        <is>
          <t>GPN_13015</t>
        </is>
      </c>
      <c r="K2333" s="640" t="n">
        <v>3</v>
      </c>
      <c r="L2333" s="640" t="n">
        <v>1</v>
      </c>
      <c r="M2333" s="623" t="n">
        <v>3</v>
      </c>
      <c r="N2333" s="640" t="n"/>
      <c r="O2333" s="640">
        <f>IF(AND(N2333=1,L2333=1),K2333,"")</f>
        <v/>
      </c>
      <c r="P2333" s="642" t="inlineStr">
        <is>
          <t>Ярославль, Трасса М-8 "Холмогоры" (слева) 266 км</t>
        </is>
      </c>
      <c r="Q2333" s="640" t="inlineStr">
        <is>
          <t>57.62143</t>
        </is>
      </c>
      <c r="R2333" s="494" t="inlineStr">
        <is>
          <t>39.77313</t>
        </is>
      </c>
      <c r="S2333" s="387" t="n"/>
      <c r="T2333" s="387" t="n"/>
      <c r="U2333" s="436" t="n"/>
      <c r="V2333" s="387" t="n"/>
      <c r="W2333" s="387">
        <f>IF(AND(N2333=1,O2333&lt;&gt;""),C2333,"")</f>
        <v/>
      </c>
      <c r="X2333" s="387" t="n"/>
      <c r="Y2333" s="387" t="n"/>
    </row>
    <row r="2334" hidden="1" ht="16.05" customFormat="1" customHeight="1" s="126">
      <c r="A2334" s="125" t="n">
        <v>2955</v>
      </c>
      <c r="B2334" s="125" t="n"/>
      <c r="C2334" s="130" t="inlineStr">
        <is>
          <t>Ярославль</t>
        </is>
      </c>
      <c r="D2334" s="130" t="inlineStr">
        <is>
          <t>Ярославль</t>
        </is>
      </c>
      <c r="E2334" s="130" t="n"/>
      <c r="F2334" s="130" t="inlineStr">
        <is>
          <t>АЗС</t>
        </is>
      </c>
      <c r="G2334" s="130" t="inlineStr">
        <is>
          <t>Газпромнефть</t>
        </is>
      </c>
      <c r="H2334" s="131" t="n"/>
      <c r="I2334" s="637" t="n">
        <v>13016</v>
      </c>
      <c r="J2334" s="637" t="inlineStr">
        <is>
          <t>GPN_13016</t>
        </is>
      </c>
      <c r="K2334" s="640" t="n">
        <v>3</v>
      </c>
      <c r="L2334" s="640" t="n">
        <v>1</v>
      </c>
      <c r="M2334" s="623" t="n">
        <v>3</v>
      </c>
      <c r="N2334" s="640" t="n"/>
      <c r="O2334" s="640">
        <f>IF(AND(N2334=1,L2334=1),K2334,"")</f>
        <v/>
      </c>
      <c r="P2334" s="642" t="inlineStr">
        <is>
          <t>Ярославль, Трасса М-8 "Холмогоры" (справа) 266 км</t>
        </is>
      </c>
      <c r="Q2334" s="640" t="inlineStr">
        <is>
          <t>57.62055</t>
        </is>
      </c>
      <c r="R2334" s="494" t="inlineStr">
        <is>
          <t>39.77202</t>
        </is>
      </c>
      <c r="S2334" s="387" t="n"/>
      <c r="T2334" s="387" t="n"/>
      <c r="U2334" s="436" t="n"/>
      <c r="V2334" s="387" t="n"/>
      <c r="W2334" s="387">
        <f>IF(AND(N2334=1,O2334&lt;&gt;""),C2334,"")</f>
        <v/>
      </c>
      <c r="X2334" s="387" t="n"/>
      <c r="Y2334" s="387" t="n"/>
    </row>
    <row r="2335" hidden="1" ht="16.05" customFormat="1" customHeight="1" s="126">
      <c r="A2335" s="125" t="n">
        <v>2956</v>
      </c>
      <c r="B2335" s="125" t="n"/>
      <c r="C2335" s="130" t="inlineStr">
        <is>
          <t>Ярославль</t>
        </is>
      </c>
      <c r="D2335" s="130" t="inlineStr">
        <is>
          <t>Ярославская область</t>
        </is>
      </c>
      <c r="E2335" s="130" t="n"/>
      <c r="F2335" s="130" t="inlineStr">
        <is>
          <t>АЗС</t>
        </is>
      </c>
      <c r="G2335" s="130" t="inlineStr">
        <is>
          <t>Газпромнефть</t>
        </is>
      </c>
      <c r="H2335" s="131" t="n"/>
      <c r="I2335" s="637" t="n">
        <v>13017</v>
      </c>
      <c r="J2335" s="637" t="inlineStr">
        <is>
          <t>GPN_13017</t>
        </is>
      </c>
      <c r="K2335" s="640" t="n">
        <v>3</v>
      </c>
      <c r="L2335" s="640" t="n">
        <v>1</v>
      </c>
      <c r="M2335" s="623" t="n">
        <v>3</v>
      </c>
      <c r="N2335" s="640" t="n"/>
      <c r="O2335" s="640">
        <f>IF(AND(N2335=1,L2335=1),K2335,"")</f>
        <v/>
      </c>
      <c r="P2335" s="642" t="inlineStr">
        <is>
          <t>Ярославская область, д. Орлово, въезд в г. Ярославль со стороны г. Костромы (Ярославский район, Туношенское сельское поселение, М-8, подъезд к Костроме, 11-й километр, 8)</t>
        </is>
      </c>
      <c r="Q2335" s="640" t="inlineStr">
        <is>
          <t>57.540678</t>
        </is>
      </c>
      <c r="R2335" s="494" t="inlineStr">
        <is>
          <t>39.993318</t>
        </is>
      </c>
      <c r="S2335" s="387" t="n"/>
      <c r="T2335" s="387" t="n"/>
      <c r="U2335" s="436" t="n"/>
      <c r="V2335" s="387" t="n"/>
      <c r="W2335" s="387">
        <f>IF(AND(N2335=1,O2335&lt;&gt;""),C2335,"")</f>
        <v/>
      </c>
      <c r="X2335" s="387" t="n"/>
      <c r="Y2335" s="387" t="n"/>
    </row>
    <row r="2336" hidden="1" ht="16.05" customFormat="1" customHeight="1" s="126">
      <c r="A2336" s="125" t="n">
        <v>2957</v>
      </c>
      <c r="B2336" s="125" t="n"/>
      <c r="C2336" s="130" t="inlineStr">
        <is>
          <t>Ярославль</t>
        </is>
      </c>
      <c r="D2336" s="130" t="inlineStr">
        <is>
          <t>Ярославль</t>
        </is>
      </c>
      <c r="E2336" s="130" t="n"/>
      <c r="F2336" s="130" t="inlineStr">
        <is>
          <t>АЗС</t>
        </is>
      </c>
      <c r="G2336" s="130" t="inlineStr">
        <is>
          <t>Газпромнефть</t>
        </is>
      </c>
      <c r="H2336" s="131" t="n"/>
      <c r="I2336" s="637" t="n">
        <v>13018</v>
      </c>
      <c r="J2336" s="637" t="inlineStr">
        <is>
          <t>GPN_13018</t>
        </is>
      </c>
      <c r="K2336" s="640" t="n">
        <v>3</v>
      </c>
      <c r="L2336" s="640" t="n">
        <v>1</v>
      </c>
      <c r="M2336" s="623" t="n">
        <v>3</v>
      </c>
      <c r="N2336" s="640" t="n"/>
      <c r="O2336" s="640">
        <f>IF(AND(N2336=1,L2336=1),K2336,"")</f>
        <v/>
      </c>
      <c r="P2336" s="642" t="inlineStr">
        <is>
          <t>Ярославль, г.Ярославль. Ленинградский проспект (г.Ярославль. Ленинградский проспект, 130)</t>
        </is>
      </c>
      <c r="Q2336" s="640" t="inlineStr">
        <is>
          <t>57.724202</t>
        </is>
      </c>
      <c r="R2336" s="494" t="inlineStr">
        <is>
          <t>39.749613</t>
        </is>
      </c>
      <c r="S2336" s="387" t="n"/>
      <c r="T2336" s="387" t="n"/>
      <c r="U2336" s="436" t="n"/>
      <c r="V2336" s="387" t="n"/>
      <c r="W2336" s="387">
        <f>IF(AND(N2336=1,O2336&lt;&gt;""),C2336,"")</f>
        <v/>
      </c>
      <c r="X2336" s="387" t="n"/>
      <c r="Y2336" s="387" t="n"/>
    </row>
    <row r="2337" hidden="1" ht="16.05" customFormat="1" customHeight="1" s="126">
      <c r="A2337" s="125" t="n">
        <v>2958</v>
      </c>
      <c r="B2337" s="125" t="n"/>
      <c r="C2337" s="130" t="inlineStr">
        <is>
          <t>Ярославль</t>
        </is>
      </c>
      <c r="D2337" s="130" t="inlineStr">
        <is>
          <t>Ярославская область</t>
        </is>
      </c>
      <c r="E2337" s="130" t="n"/>
      <c r="F2337" s="130" t="inlineStr">
        <is>
          <t>АЗС</t>
        </is>
      </c>
      <c r="G2337" s="130" t="inlineStr">
        <is>
          <t>Газпромнефть</t>
        </is>
      </c>
      <c r="H2337" s="131" t="n"/>
      <c r="I2337" s="637" t="n">
        <v>13019</v>
      </c>
      <c r="J2337" s="637" t="inlineStr">
        <is>
          <t>GPN_13019</t>
        </is>
      </c>
      <c r="K2337" s="640" t="n">
        <v>3</v>
      </c>
      <c r="L2337" s="640" t="n">
        <v>1</v>
      </c>
      <c r="M2337" s="623" t="n">
        <v>3</v>
      </c>
      <c r="N2337" s="640" t="n"/>
      <c r="O2337" s="640">
        <f>IF(AND(N2337=1,L2337=1),K2337,"")</f>
        <v/>
      </c>
      <c r="P2337" s="642" t="inlineStr">
        <is>
          <t>Александровский район, Краснопламенское с/п, вблизи д.Мякишево (106 км. Трассы М-8. слева)</t>
        </is>
      </c>
      <c r="Q2337" s="640" t="inlineStr">
        <is>
          <t>56.51007</t>
        </is>
      </c>
      <c r="R2337" s="494" t="inlineStr">
        <is>
          <t>38.51704</t>
        </is>
      </c>
      <c r="S2337" s="387" t="n"/>
      <c r="T2337" s="387" t="n"/>
      <c r="U2337" s="436" t="n"/>
      <c r="V2337" s="387" t="n"/>
      <c r="W2337" s="387">
        <f>IF(AND(N2337=1,O2337&lt;&gt;""),C2337,"")</f>
        <v/>
      </c>
      <c r="X2337" s="387" t="n"/>
      <c r="Y2337" s="387" t="n"/>
    </row>
    <row r="2338" hidden="1" ht="16.05" customFormat="1" customHeight="1" s="126">
      <c r="A2338" s="125" t="n">
        <v>2959</v>
      </c>
      <c r="B2338" s="125" t="n"/>
      <c r="C2338" s="130" t="inlineStr">
        <is>
          <t>Ярославль</t>
        </is>
      </c>
      <c r="D2338" s="130" t="inlineStr">
        <is>
          <t>Ярославская область</t>
        </is>
      </c>
      <c r="E2338" s="130" t="n"/>
      <c r="F2338" s="130" t="inlineStr">
        <is>
          <t>АЗС</t>
        </is>
      </c>
      <c r="G2338" s="130" t="inlineStr">
        <is>
          <t>Газпромнефть</t>
        </is>
      </c>
      <c r="H2338" s="131" t="n"/>
      <c r="I2338" s="637" t="n">
        <v>13020</v>
      </c>
      <c r="J2338" s="637" t="inlineStr">
        <is>
          <t>GPN_13020</t>
        </is>
      </c>
      <c r="K2338" s="640" t="n">
        <v>1</v>
      </c>
      <c r="L2338" s="640" t="n">
        <v>1</v>
      </c>
      <c r="M2338" s="623" t="n">
        <v>1</v>
      </c>
      <c r="N2338" s="640" t="n"/>
      <c r="O2338" s="640">
        <f>IF(AND(N2338=1,L2338=1),K2338,"")</f>
        <v/>
      </c>
      <c r="P2338" s="642" t="inlineStr">
        <is>
          <t>Ярославский р-он, п.Лесные поляны, трасса М-8 "Холмогоры" (справа) 270 км</t>
        </is>
      </c>
      <c r="Q2338" s="640" t="inlineStr">
        <is>
          <t>57.67879</t>
        </is>
      </c>
      <c r="R2338" s="494" t="inlineStr">
        <is>
          <t>39.90193</t>
        </is>
      </c>
      <c r="S2338" s="387" t="n"/>
      <c r="T2338" s="387" t="n"/>
      <c r="U2338" s="436" t="n"/>
      <c r="V2338" s="387" t="n"/>
      <c r="W2338" s="387">
        <f>IF(AND(N2338=1,O2338&lt;&gt;""),C2338,"")</f>
        <v/>
      </c>
      <c r="X2338" s="387" t="n"/>
      <c r="Y2338" s="387" t="n"/>
    </row>
    <row r="2339" hidden="1" ht="16.05" customFormat="1" customHeight="1" s="126">
      <c r="A2339" s="125" t="n">
        <v>2960</v>
      </c>
      <c r="B2339" s="125" t="n"/>
      <c r="C2339" s="130" t="inlineStr">
        <is>
          <t>Ярославль</t>
        </is>
      </c>
      <c r="D2339" s="130" t="inlineStr">
        <is>
          <t>Ярославль</t>
        </is>
      </c>
      <c r="E2339" s="130" t="n"/>
      <c r="F2339" s="130" t="inlineStr">
        <is>
          <t>АЗС</t>
        </is>
      </c>
      <c r="G2339" s="130" t="inlineStr">
        <is>
          <t>Газпромнефть</t>
        </is>
      </c>
      <c r="H2339" s="131" t="n"/>
      <c r="I2339" s="637" t="n">
        <v>13021</v>
      </c>
      <c r="J2339" s="637" t="inlineStr">
        <is>
          <t>GPN_13021</t>
        </is>
      </c>
      <c r="K2339" s="640" t="n">
        <v>3</v>
      </c>
      <c r="L2339" s="640" t="n">
        <v>1</v>
      </c>
      <c r="M2339" s="623" t="n">
        <v>5</v>
      </c>
      <c r="N2339" s="640" t="n"/>
      <c r="O2339" s="640">
        <f>IF(AND(N2339=1,L2339=1),K2339,"")</f>
        <v/>
      </c>
      <c r="P2339" s="642" t="inlineStr">
        <is>
          <t>г. Ярославль, проспект Машиностроителей (Россия, Ярославский район, посёлок Красный Бор, напротив пр-та Машиностроителей, 40)</t>
        </is>
      </c>
      <c r="Q2339" s="640" t="inlineStr">
        <is>
          <t>57.643719</t>
        </is>
      </c>
      <c r="R2339" s="494" t="inlineStr">
        <is>
          <t>39.95854</t>
        </is>
      </c>
      <c r="S2339" s="387" t="n"/>
      <c r="T2339" s="387" t="n"/>
      <c r="U2339" s="436" t="n"/>
      <c r="V2339" s="387" t="n"/>
      <c r="W2339" s="387">
        <f>IF(AND(N2339=1,O2339&lt;&gt;""),C2339,"")</f>
        <v/>
      </c>
      <c r="X2339" s="387" t="n"/>
      <c r="Y2339" s="387" t="n"/>
    </row>
    <row r="2340" hidden="1" ht="16.05" customFormat="1" customHeight="1" s="126">
      <c r="A2340" s="125" t="n">
        <v>2961</v>
      </c>
      <c r="B2340" s="125" t="n"/>
      <c r="C2340" s="130" t="inlineStr">
        <is>
          <t>Ярославль</t>
        </is>
      </c>
      <c r="D2340" s="130" t="inlineStr">
        <is>
          <t>Ярославль</t>
        </is>
      </c>
      <c r="E2340" s="130" t="n"/>
      <c r="F2340" s="130" t="inlineStr">
        <is>
          <t>АЗС</t>
        </is>
      </c>
      <c r="G2340" s="130" t="inlineStr">
        <is>
          <t>Газпромнефть</t>
        </is>
      </c>
      <c r="H2340" s="131" t="n"/>
      <c r="I2340" s="637" t="n">
        <v>13022</v>
      </c>
      <c r="J2340" s="637" t="inlineStr">
        <is>
          <t>GPN_13022</t>
        </is>
      </c>
      <c r="K2340" s="640" t="n">
        <v>3</v>
      </c>
      <c r="L2340" s="640" t="n">
        <v>1</v>
      </c>
      <c r="M2340" s="623" t="n">
        <v>3</v>
      </c>
      <c r="N2340" s="640" t="n"/>
      <c r="O2340" s="640">
        <f>IF(AND(N2340=1,L2340=1),K2340,"")</f>
        <v/>
      </c>
      <c r="P2340" s="642" t="inlineStr">
        <is>
          <t>г. Ярославль, Промышленное шоссе, пересечения с ул.Промышленной, в Дзержинском районе (г. Ярославль, Промышленное шоссе, 66)</t>
        </is>
      </c>
      <c r="Q2340" s="640" t="inlineStr">
        <is>
          <t>57.67631</t>
        </is>
      </c>
      <c r="R2340" s="494" t="inlineStr">
        <is>
          <t>39.802406</t>
        </is>
      </c>
      <c r="S2340" s="387" t="n"/>
      <c r="T2340" s="387" t="n"/>
      <c r="U2340" s="436" t="n"/>
      <c r="V2340" s="387" t="n"/>
      <c r="W2340" s="387">
        <f>IF(AND(N2340=1,O2340&lt;&gt;""),C2340,"")</f>
        <v/>
      </c>
      <c r="X2340" s="387" t="n"/>
      <c r="Y2340" s="387" t="n"/>
    </row>
    <row r="2341" hidden="1" ht="16.05" customFormat="1" customHeight="1" s="126">
      <c r="A2341" s="125" t="n">
        <v>2962</v>
      </c>
      <c r="B2341" s="125" t="n"/>
      <c r="C2341" s="130" t="inlineStr">
        <is>
          <t>Ярославль</t>
        </is>
      </c>
      <c r="D2341" s="130" t="inlineStr">
        <is>
          <t>Ярославская область</t>
        </is>
      </c>
      <c r="E2341" s="130" t="n"/>
      <c r="F2341" s="130" t="inlineStr">
        <is>
          <t>АЗС</t>
        </is>
      </c>
      <c r="G2341" s="130" t="inlineStr">
        <is>
          <t>Газпромнефть</t>
        </is>
      </c>
      <c r="H2341" s="131" t="n"/>
      <c r="I2341" s="637" t="n">
        <v>13029</v>
      </c>
      <c r="J2341" s="637" t="inlineStr">
        <is>
          <t>GPN_13029</t>
        </is>
      </c>
      <c r="K2341" s="640" t="n">
        <v>3</v>
      </c>
      <c r="L2341" s="640" t="n">
        <v>1</v>
      </c>
      <c r="M2341" s="623" t="n">
        <v>3</v>
      </c>
      <c r="N2341" s="640" t="n"/>
      <c r="O2341" s="640">
        <f>IF(AND(N2341=1,L2341=1),K2341,"")</f>
        <v/>
      </c>
      <c r="P2341" s="642" t="inlineStr">
        <is>
          <t>Ярославский р-он, Трасса М-8 "Холмогоры" (справа) 254 км</t>
        </is>
      </c>
      <c r="Q2341" s="640" t="inlineStr">
        <is>
          <t>57.54348</t>
        </is>
      </c>
      <c r="R2341" s="494" t="inlineStr">
        <is>
          <t>39.80193</t>
        </is>
      </c>
      <c r="S2341" s="387" t="n"/>
      <c r="T2341" s="387" t="n"/>
      <c r="U2341" s="436" t="n"/>
      <c r="V2341" s="387" t="n"/>
      <c r="W2341" s="387">
        <f>IF(AND(N2341=1,O2341&lt;&gt;""),C2341,"")</f>
        <v/>
      </c>
      <c r="X2341" s="387" t="n"/>
      <c r="Y2341" s="387" t="n"/>
    </row>
    <row r="2342" hidden="1" ht="16.05" customFormat="1" customHeight="1" s="126">
      <c r="A2342" s="125" t="n">
        <v>2963</v>
      </c>
      <c r="B2342" s="125" t="n"/>
      <c r="C2342" s="130" t="inlineStr">
        <is>
          <t>Ярославль</t>
        </is>
      </c>
      <c r="D2342" s="130" t="inlineStr">
        <is>
          <t>Ярославская область</t>
        </is>
      </c>
      <c r="E2342" s="130" t="n"/>
      <c r="F2342" s="130" t="inlineStr">
        <is>
          <t>АЗС</t>
        </is>
      </c>
      <c r="G2342" s="130" t="inlineStr">
        <is>
          <t>Газпромнефть</t>
        </is>
      </c>
      <c r="H2342" s="131" t="n"/>
      <c r="I2342" s="637" t="n">
        <v>13033</v>
      </c>
      <c r="J2342" s="637" t="inlineStr">
        <is>
          <t>GPN_13033</t>
        </is>
      </c>
      <c r="K2342" s="640" t="n">
        <v>3</v>
      </c>
      <c r="L2342" s="640" t="n">
        <v>1</v>
      </c>
      <c r="M2342" s="623" t="n">
        <v>5</v>
      </c>
      <c r="N2342" s="640" t="n"/>
      <c r="O2342" s="640">
        <f>IF(AND(N2342=1,L2342=1),K2342,"")</f>
        <v/>
      </c>
      <c r="P2342" s="642" t="inlineStr">
        <is>
          <t>Вологодская область, г. Череповец на ул. Олимпийская д.48</t>
        </is>
      </c>
      <c r="Q2342" s="640" t="inlineStr">
        <is>
          <t>59.1301</t>
        </is>
      </c>
      <c r="R2342" s="494" t="inlineStr">
        <is>
          <t>38.01153</t>
        </is>
      </c>
      <c r="S2342" s="387" t="n"/>
      <c r="T2342" s="387" t="n"/>
      <c r="U2342" s="436" t="n"/>
      <c r="V2342" s="387" t="n"/>
      <c r="W2342" s="387">
        <f>IF(AND(N2342=1,O2342&lt;&gt;""),C2342,"")</f>
        <v/>
      </c>
      <c r="X2342" s="387" t="n"/>
      <c r="Y2342" s="387" t="n"/>
    </row>
    <row r="2343" hidden="1" ht="16.05" customFormat="1" customHeight="1" s="126">
      <c r="A2343" s="125" t="n">
        <v>2964</v>
      </c>
      <c r="B2343" s="125" t="n"/>
      <c r="C2343" s="130" t="inlineStr">
        <is>
          <t>Ярославль</t>
        </is>
      </c>
      <c r="D2343" s="130" t="inlineStr">
        <is>
          <t>Ярославская область</t>
        </is>
      </c>
      <c r="E2343" s="130" t="n"/>
      <c r="F2343" s="130" t="inlineStr">
        <is>
          <t>АЗС</t>
        </is>
      </c>
      <c r="G2343" s="130" t="inlineStr">
        <is>
          <t>Газпромнефть</t>
        </is>
      </c>
      <c r="H2343" s="131" t="n"/>
      <c r="I2343" s="637" t="n">
        <v>13035</v>
      </c>
      <c r="J2343" s="637" t="inlineStr">
        <is>
          <t>GPN_13035</t>
        </is>
      </c>
      <c r="K2343" s="640" t="n">
        <v>3</v>
      </c>
      <c r="L2343" s="640" t="n">
        <v>1</v>
      </c>
      <c r="M2343" s="623" t="n">
        <v>3</v>
      </c>
      <c r="N2343" s="640" t="n"/>
      <c r="O2343" s="640">
        <f>IF(AND(N2343=1,L2343=1),K2343,"")</f>
        <v/>
      </c>
      <c r="P2343" s="642" t="inlineStr">
        <is>
          <t>Череповец,ул.Химиков 13</t>
        </is>
      </c>
      <c r="Q2343" s="640" t="inlineStr">
        <is>
          <t>59.126625</t>
        </is>
      </c>
      <c r="R2343" s="494" t="inlineStr">
        <is>
          <t>37.953684</t>
        </is>
      </c>
      <c r="S2343" s="387" t="n"/>
      <c r="T2343" s="387" t="n"/>
      <c r="U2343" s="436" t="n"/>
      <c r="V2343" s="387" t="n"/>
      <c r="W2343" s="387">
        <f>IF(AND(N2343=1,O2343&lt;&gt;""),C2343,"")</f>
        <v/>
      </c>
      <c r="X2343" s="387" t="n"/>
      <c r="Y2343" s="387" t="n"/>
    </row>
    <row r="2344" hidden="1" ht="16.05" customFormat="1" customHeight="1" s="126">
      <c r="A2344" s="125" t="n">
        <v>2965</v>
      </c>
      <c r="B2344" s="125" t="n"/>
      <c r="C2344" s="130" t="inlineStr">
        <is>
          <t>Ярославль</t>
        </is>
      </c>
      <c r="D2344" s="130" t="inlineStr">
        <is>
          <t>Ярославская область</t>
        </is>
      </c>
      <c r="E2344" s="130" t="n"/>
      <c r="F2344" s="130" t="inlineStr">
        <is>
          <t>АЗС</t>
        </is>
      </c>
      <c r="G2344" s="130" t="inlineStr">
        <is>
          <t>Газпромнефть</t>
        </is>
      </c>
      <c r="H2344" s="131" t="n"/>
      <c r="I2344" s="637" t="n">
        <v>13037</v>
      </c>
      <c r="J2344" s="637" t="inlineStr">
        <is>
          <t>GPN_13037</t>
        </is>
      </c>
      <c r="K2344" s="640" t="n">
        <v>3</v>
      </c>
      <c r="L2344" s="640" t="n">
        <v>1</v>
      </c>
      <c r="M2344" s="623" t="n">
        <v>6</v>
      </c>
      <c r="N2344" s="640" t="n"/>
      <c r="O2344" s="640">
        <f>IF(AND(N2344=1,L2344=1),K2344,"")</f>
        <v/>
      </c>
      <c r="P2344" s="642" t="inlineStr">
        <is>
          <t>Вологодская область, Сокольский район, с.п. Пригородное, ФАД М-8, 491 км (слева)</t>
        </is>
      </c>
      <c r="Q2344" s="640" t="inlineStr">
        <is>
          <t>59.40031</t>
        </is>
      </c>
      <c r="R2344" s="494" t="inlineStr">
        <is>
          <t>40.152808</t>
        </is>
      </c>
      <c r="S2344" s="387" t="n"/>
      <c r="T2344" s="387" t="n"/>
      <c r="U2344" s="436" t="n"/>
      <c r="V2344" s="387" t="n"/>
      <c r="W2344" s="387">
        <f>IF(AND(N2344=1,O2344&lt;&gt;""),C2344,"")</f>
        <v/>
      </c>
      <c r="X2344" s="387" t="n"/>
      <c r="Y2344" s="387" t="n"/>
    </row>
    <row r="2345" hidden="1" ht="16.05" customFormat="1" customHeight="1" s="126">
      <c r="A2345" s="125" t="n">
        <v>2966</v>
      </c>
      <c r="B2345" s="125" t="n"/>
      <c r="C2345" s="130" t="inlineStr">
        <is>
          <t>Ярославль</t>
        </is>
      </c>
      <c r="D2345" s="130" t="inlineStr">
        <is>
          <t>Ярославль</t>
        </is>
      </c>
      <c r="E2345" s="130" t="n"/>
      <c r="F2345" s="130" t="inlineStr">
        <is>
          <t>АЗС</t>
        </is>
      </c>
      <c r="G2345" s="130" t="inlineStr">
        <is>
          <t>Газпромнефть</t>
        </is>
      </c>
      <c r="H2345" s="131" t="n"/>
      <c r="I2345" s="637" t="n">
        <v>13078</v>
      </c>
      <c r="J2345" s="637" t="inlineStr">
        <is>
          <t>GPN_13078</t>
        </is>
      </c>
      <c r="K2345" s="640" t="n">
        <v>1</v>
      </c>
      <c r="L2345" s="640" t="n">
        <v>1</v>
      </c>
      <c r="M2345" s="623" t="n">
        <v>1</v>
      </c>
      <c r="N2345" s="640" t="n"/>
      <c r="O2345" s="640">
        <f>IF(AND(N2345=1,L2345=1),K2345,"")</f>
        <v/>
      </c>
      <c r="P2345" s="642" t="inlineStr">
        <is>
          <t>Ярославль, Ленинградский проспект (г. Ярославль, Ленинградский просп., 29Б)</t>
        </is>
      </c>
      <c r="Q2345" s="640" t="inlineStr">
        <is>
          <t>57.672515</t>
        </is>
      </c>
      <c r="R2345" s="494" t="inlineStr">
        <is>
          <t>39.824874</t>
        </is>
      </c>
      <c r="S2345" s="387" t="n"/>
      <c r="T2345" s="387" t="n"/>
      <c r="U2345" s="436" t="n"/>
      <c r="V2345" s="387" t="n"/>
      <c r="W2345" s="387">
        <f>IF(AND(N2345=1,O2345&lt;&gt;""),C2345,"")</f>
        <v/>
      </c>
      <c r="X2345" s="387" t="n"/>
      <c r="Y2345" s="387" t="n"/>
    </row>
    <row r="2346" hidden="1" ht="16.05" customFormat="1" customHeight="1" s="126">
      <c r="A2346" s="125" t="n">
        <v>2967</v>
      </c>
      <c r="B2346" s="125" t="n"/>
      <c r="C2346" s="130" t="inlineStr">
        <is>
          <t>Ярославль</t>
        </is>
      </c>
      <c r="D2346" s="130" t="inlineStr">
        <is>
          <t>Ярославль</t>
        </is>
      </c>
      <c r="E2346" s="130" t="n"/>
      <c r="F2346" s="130" t="inlineStr">
        <is>
          <t>АЗС</t>
        </is>
      </c>
      <c r="G2346" s="130" t="inlineStr">
        <is>
          <t>Газпромнефть</t>
        </is>
      </c>
      <c r="H2346" s="131" t="n"/>
      <c r="I2346" s="637" t="n">
        <v>13084</v>
      </c>
      <c r="J2346" s="637" t="inlineStr">
        <is>
          <t>GPN_13084</t>
        </is>
      </c>
      <c r="K2346" s="640" t="n">
        <v>3</v>
      </c>
      <c r="L2346" s="640" t="n">
        <v>1</v>
      </c>
      <c r="M2346" s="623" t="n">
        <v>3</v>
      </c>
      <c r="N2346" s="640" t="n"/>
      <c r="O2346" s="640">
        <f>IF(AND(N2346=1,L2346=1),K2346,"")</f>
        <v/>
      </c>
      <c r="P2346" s="642" t="inlineStr">
        <is>
          <t>г. Ярославль, Промышленное ш., д.66</t>
        </is>
      </c>
      <c r="Q2346" s="640" t="inlineStr">
        <is>
          <t>57.67631</t>
        </is>
      </c>
      <c r="R2346" s="494" t="inlineStr">
        <is>
          <t>39.80237</t>
        </is>
      </c>
      <c r="S2346" s="387" t="n"/>
      <c r="T2346" s="387" t="n"/>
      <c r="U2346" s="436" t="n"/>
      <c r="V2346" s="387" t="n"/>
      <c r="W2346" s="387">
        <f>IF(AND(N2346=1,O2346&lt;&gt;""),C2346,"")</f>
        <v/>
      </c>
      <c r="X2346" s="387" t="n"/>
      <c r="Y2346" s="387" t="n"/>
    </row>
    <row r="2347" hidden="1" ht="16.05" customFormat="1" customHeight="1" s="126">
      <c r="A2347" s="125" t="n">
        <v>2968</v>
      </c>
      <c r="B2347" s="125" t="n"/>
      <c r="C2347" s="416" t="inlineStr">
        <is>
          <t>ЦФО (Калуга, Тула, Тверь, Рязань,Смоленск,Владимир,Воронеж, Ярославль)</t>
        </is>
      </c>
      <c r="D2347" s="130" t="inlineStr">
        <is>
          <t>Владимирская область</t>
        </is>
      </c>
      <c r="E2347" s="130" t="n"/>
      <c r="F2347" s="130" t="inlineStr">
        <is>
          <t>АЗС</t>
        </is>
      </c>
      <c r="G2347" s="130" t="inlineStr">
        <is>
          <t>Газпромнефть</t>
        </is>
      </c>
      <c r="H2347" s="131" t="n"/>
      <c r="I2347" s="637" t="n">
        <v>13100</v>
      </c>
      <c r="J2347" s="637" t="inlineStr">
        <is>
          <t>GPN_13100</t>
        </is>
      </c>
      <c r="K2347" s="640" t="n">
        <v>3</v>
      </c>
      <c r="L2347" s="640" t="n">
        <v>1</v>
      </c>
      <c r="M2347" s="623" t="n">
        <v>6</v>
      </c>
      <c r="N2347" s="640" t="n"/>
      <c r="O2347" s="640">
        <f>IF(AND(N2347=1,L2347=1),K2347,"")</f>
        <v/>
      </c>
      <c r="P2347" s="642" t="inlineStr">
        <is>
          <t>Владимирская область, Собинский район, д. Рукав, 170 км+200м слева трассы М - 7 «Волга».</t>
        </is>
      </c>
      <c r="Q2347" s="640" t="inlineStr">
        <is>
          <t>56.08357</t>
        </is>
      </c>
      <c r="R2347" s="494" t="inlineStr">
        <is>
          <t>40.20756</t>
        </is>
      </c>
      <c r="S2347" s="387" t="n"/>
      <c r="T2347" s="387" t="n"/>
      <c r="U2347" s="436" t="n"/>
      <c r="V2347" s="387" t="n"/>
      <c r="W2347" s="387">
        <f>IF(AND(N2347=1,O2347&lt;&gt;""),C2347,"")</f>
        <v/>
      </c>
      <c r="X2347" s="387" t="n"/>
      <c r="Y2347" s="387" t="n"/>
    </row>
    <row r="2348" hidden="1" ht="16.05" customFormat="1" customHeight="1" s="126">
      <c r="A2348" s="125" t="n">
        <v>2969</v>
      </c>
      <c r="B2348" s="125" t="n"/>
      <c r="C2348" s="130" t="inlineStr">
        <is>
          <t>Ярославль</t>
        </is>
      </c>
      <c r="D2348" s="130" t="inlineStr">
        <is>
          <t>Иваново</t>
        </is>
      </c>
      <c r="E2348" s="130" t="n"/>
      <c r="F2348" s="130" t="inlineStr">
        <is>
          <t>АЗС</t>
        </is>
      </c>
      <c r="G2348" s="130" t="inlineStr">
        <is>
          <t>Газпромнефть</t>
        </is>
      </c>
      <c r="H2348" s="131" t="n"/>
      <c r="I2348" s="637" t="n">
        <v>13101</v>
      </c>
      <c r="J2348" s="637" t="inlineStr">
        <is>
          <t>GPN_13101</t>
        </is>
      </c>
      <c r="K2348" s="640" t="n">
        <v>3</v>
      </c>
      <c r="L2348" s="640" t="n">
        <v>1</v>
      </c>
      <c r="M2348" s="623" t="n">
        <v>3</v>
      </c>
      <c r="N2348" s="640" t="n"/>
      <c r="O2348" s="640">
        <f>IF(AND(N2348=1,L2348=1),K2348,"")</f>
        <v/>
      </c>
      <c r="P2348" s="642" t="inlineStr">
        <is>
          <t>Иваново, ул. Балинская д. 48</t>
        </is>
      </c>
      <c r="Q2348" s="640" t="inlineStr">
        <is>
          <t>57.004309</t>
        </is>
      </c>
      <c r="R2348" s="494" t="inlineStr">
        <is>
          <t>40.885706</t>
        </is>
      </c>
      <c r="S2348" s="387" t="n"/>
      <c r="T2348" s="387" t="n"/>
      <c r="U2348" s="436" t="n"/>
      <c r="V2348" s="387" t="n"/>
      <c r="W2348" s="387">
        <f>IF(AND(N2348=1,O2348&lt;&gt;""),C2348,"")</f>
        <v/>
      </c>
      <c r="X2348" s="387" t="n"/>
      <c r="Y2348" s="387" t="n"/>
    </row>
    <row r="2349" hidden="1" ht="16.05" customFormat="1" customHeight="1" s="126">
      <c r="A2349" s="125" t="n">
        <v>2970</v>
      </c>
      <c r="B2349" s="125" t="n"/>
      <c r="C2349" s="130" t="inlineStr">
        <is>
          <t>Ярославль</t>
        </is>
      </c>
      <c r="D2349" s="130" t="inlineStr">
        <is>
          <t>Иваново</t>
        </is>
      </c>
      <c r="E2349" s="130" t="n"/>
      <c r="F2349" s="130" t="inlineStr">
        <is>
          <t>АЗС</t>
        </is>
      </c>
      <c r="G2349" s="130" t="inlineStr">
        <is>
          <t>Газпромнефть</t>
        </is>
      </c>
      <c r="H2349" s="131" t="n"/>
      <c r="I2349" s="637" t="n">
        <v>13102</v>
      </c>
      <c r="J2349" s="637" t="inlineStr">
        <is>
          <t>GPN_13102</t>
        </is>
      </c>
      <c r="K2349" s="640" t="n">
        <v>3</v>
      </c>
      <c r="L2349" s="640" t="n">
        <v>1</v>
      </c>
      <c r="M2349" s="623" t="n">
        <v>3</v>
      </c>
      <c r="N2349" s="640" t="n"/>
      <c r="O2349" s="640">
        <f>IF(AND(N2349=1,L2349=1),K2349,"")</f>
        <v/>
      </c>
      <c r="P2349" s="642" t="inlineStr">
        <is>
          <t>Иваново, проспект Текстильщиков 127</t>
        </is>
      </c>
      <c r="Q2349" s="640" t="inlineStr">
        <is>
          <t>56.957855</t>
        </is>
      </c>
      <c r="R2349" s="494" t="inlineStr">
        <is>
          <t>40.979904</t>
        </is>
      </c>
      <c r="S2349" s="387" t="n"/>
      <c r="T2349" s="387" t="n"/>
      <c r="U2349" s="436" t="n"/>
      <c r="V2349" s="387" t="n"/>
      <c r="W2349" s="387">
        <f>IF(AND(N2349=1,O2349&lt;&gt;""),C2349,"")</f>
        <v/>
      </c>
      <c r="X2349" s="387" t="n"/>
      <c r="Y2349" s="387" t="n"/>
    </row>
    <row r="2350" hidden="1" ht="55.05" customFormat="1" customHeight="1" s="126">
      <c r="A2350" s="125" t="n">
        <v>2971</v>
      </c>
      <c r="B2350" s="125" t="n"/>
      <c r="C2350" s="130" t="inlineStr">
        <is>
          <t>Ярославль</t>
        </is>
      </c>
      <c r="D2350" s="130" t="inlineStr">
        <is>
          <t>Иваново</t>
        </is>
      </c>
      <c r="E2350" s="130" t="n"/>
      <c r="F2350" s="130" t="inlineStr">
        <is>
          <t>АЗС</t>
        </is>
      </c>
      <c r="G2350" s="130" t="inlineStr">
        <is>
          <t>Газпромнефть</t>
        </is>
      </c>
      <c r="H2350" s="131" t="n"/>
      <c r="I2350" s="637" t="n">
        <v>13104</v>
      </c>
      <c r="J2350" s="637" t="inlineStr">
        <is>
          <t>GPN_13104</t>
        </is>
      </c>
      <c r="K2350" s="640" t="n">
        <v>3</v>
      </c>
      <c r="L2350" s="640" t="n">
        <v>1</v>
      </c>
      <c r="M2350" s="623" t="n">
        <v>4</v>
      </c>
      <c r="N2350" s="640" t="n"/>
      <c r="O2350" s="640">
        <f>IF(AND(N2350=1,L2350=1),K2350,"")</f>
        <v/>
      </c>
      <c r="P2350" s="642" t="inlineStr">
        <is>
          <t>Иваново, м. Харинка, в районе завода "Ивчесмаш" (г. Иваново, улица Павла Большевикова, 27А)</t>
        </is>
      </c>
      <c r="Q2350" s="640" t="inlineStr">
        <is>
          <t>56.964895</t>
        </is>
      </c>
      <c r="R2350" s="494" t="inlineStr">
        <is>
          <t>41.059567</t>
        </is>
      </c>
      <c r="S2350" s="387" t="n"/>
      <c r="T2350" s="387" t="n"/>
      <c r="U2350" s="436" t="n"/>
      <c r="V2350" s="387" t="n"/>
      <c r="W2350" s="387">
        <f>IF(AND(N2350=1,O2350&lt;&gt;""),C2350,"")</f>
        <v/>
      </c>
      <c r="X2350" s="387" t="n"/>
      <c r="Y2350" s="387" t="n"/>
    </row>
    <row r="2351" hidden="1" ht="16.05" customFormat="1" customHeight="1" s="126">
      <c r="A2351" s="125" t="n">
        <v>2972</v>
      </c>
      <c r="B2351" s="125" t="n"/>
      <c r="C2351" s="130" t="inlineStr">
        <is>
          <t>Ярославль</t>
        </is>
      </c>
      <c r="D2351" s="130" t="inlineStr">
        <is>
          <t>Ивановская область</t>
        </is>
      </c>
      <c r="E2351" s="130" t="n"/>
      <c r="F2351" s="130" t="inlineStr">
        <is>
          <t>АЗС</t>
        </is>
      </c>
      <c r="G2351" s="130" t="inlineStr">
        <is>
          <t>Газпромнефть</t>
        </is>
      </c>
      <c r="H2351" s="131" t="n"/>
      <c r="I2351" s="637" t="n">
        <v>13106</v>
      </c>
      <c r="J2351" s="637" t="inlineStr">
        <is>
          <t>GPN_13106</t>
        </is>
      </c>
      <c r="K2351" s="640" t="n">
        <v>3</v>
      </c>
      <c r="L2351" s="640" t="n">
        <v>1</v>
      </c>
      <c r="M2351" s="623" t="n">
        <v>3</v>
      </c>
      <c r="N2351" s="640" t="n"/>
      <c r="O2351" s="640">
        <f>IF(AND(N2351=1,L2351=1),K2351,"")</f>
        <v/>
      </c>
      <c r="P2351" s="642" t="inlineStr">
        <is>
          <t>Ивановский р-он, д. Крутово, Трасса М-7 "Волга" (справа) 183 км., д. 1</t>
        </is>
      </c>
      <c r="Q2351" s="640" t="inlineStr">
        <is>
          <t>56.89532</t>
        </is>
      </c>
      <c r="R2351" s="494" t="inlineStr">
        <is>
          <t>40.93611</t>
        </is>
      </c>
      <c r="S2351" s="387" t="n"/>
      <c r="T2351" s="387" t="n"/>
      <c r="U2351" s="436" t="n"/>
      <c r="V2351" s="387" t="n"/>
      <c r="W2351" s="387">
        <f>IF(AND(N2351=1,O2351&lt;&gt;""),C2351,"")</f>
        <v/>
      </c>
      <c r="X2351" s="387" t="n"/>
      <c r="Y2351" s="387" t="n"/>
    </row>
    <row r="2352" hidden="1" ht="16.05" customFormat="1" customHeight="1" s="126">
      <c r="A2352" s="125" t="n">
        <v>2973</v>
      </c>
      <c r="B2352" s="125" t="n"/>
      <c r="C2352" s="130" t="inlineStr">
        <is>
          <t>Ярославль</t>
        </is>
      </c>
      <c r="D2352" s="130" t="inlineStr">
        <is>
          <t>Иваново</t>
        </is>
      </c>
      <c r="E2352" s="130" t="n"/>
      <c r="F2352" s="130" t="inlineStr">
        <is>
          <t>АЗС</t>
        </is>
      </c>
      <c r="G2352" s="130" t="inlineStr">
        <is>
          <t>Газпромнефть</t>
        </is>
      </c>
      <c r="H2352" s="131" t="n"/>
      <c r="I2352" s="637" t="n">
        <v>13107</v>
      </c>
      <c r="J2352" s="637" t="inlineStr">
        <is>
          <t>GPN_13107</t>
        </is>
      </c>
      <c r="K2352" s="640" t="n">
        <v>3</v>
      </c>
      <c r="L2352" s="640" t="n">
        <v>1</v>
      </c>
      <c r="M2352" s="623" t="n">
        <v>4</v>
      </c>
      <c r="N2352" s="640" t="n"/>
      <c r="O2352" s="640">
        <f>IF(AND(N2352=1,L2352=1),K2352,"")</f>
        <v/>
      </c>
      <c r="P2352" s="642" t="inlineStr">
        <is>
          <t>Иваново, ул. Фрунзе 89Д</t>
        </is>
      </c>
      <c r="Q2352" s="640" t="inlineStr">
        <is>
          <t>57.048355</t>
        </is>
      </c>
      <c r="R2352" s="494" t="inlineStr">
        <is>
          <t>40.964758</t>
        </is>
      </c>
      <c r="S2352" s="387" t="n"/>
      <c r="T2352" s="387" t="n"/>
      <c r="U2352" s="436" t="n"/>
      <c r="V2352" s="387" t="n"/>
      <c r="W2352" s="387">
        <f>IF(AND(N2352=1,O2352&lt;&gt;""),C2352,"")</f>
        <v/>
      </c>
      <c r="X2352" s="387" t="n"/>
      <c r="Y2352" s="387" t="n"/>
    </row>
    <row r="2353" hidden="1" ht="16.05" customFormat="1" customHeight="1" s="126">
      <c r="A2353" s="125" t="n">
        <v>2974</v>
      </c>
      <c r="B2353" s="125" t="n"/>
      <c r="C2353" s="130" t="inlineStr">
        <is>
          <t>Ярославль</t>
        </is>
      </c>
      <c r="D2353" s="130" t="inlineStr">
        <is>
          <t>Ивановская область</t>
        </is>
      </c>
      <c r="E2353" s="130" t="n"/>
      <c r="F2353" s="130" t="inlineStr">
        <is>
          <t>АЗС</t>
        </is>
      </c>
      <c r="G2353" s="130" t="inlineStr">
        <is>
          <t>Газпромнефть</t>
        </is>
      </c>
      <c r="H2353" s="131" t="n"/>
      <c r="I2353" s="637" t="n">
        <v>13108</v>
      </c>
      <c r="J2353" s="637" t="inlineStr">
        <is>
          <t>GPN_13108</t>
        </is>
      </c>
      <c r="K2353" s="640" t="n">
        <v>3</v>
      </c>
      <c r="L2353" s="640" t="n">
        <v>1</v>
      </c>
      <c r="M2353" s="623" t="n">
        <v>5</v>
      </c>
      <c r="N2353" s="640" t="n"/>
      <c r="O2353" s="640">
        <f>IF(AND(N2353=1,L2353=1),K2353,"")</f>
        <v/>
      </c>
      <c r="P2353" s="642" t="inlineStr">
        <is>
          <t>Ивановский р-он, м. Беляницы, окружная а/д, в 2 км северо-западнее г. Иваново</t>
        </is>
      </c>
      <c r="Q2353" s="640" t="inlineStr">
        <is>
          <t>57.02165</t>
        </is>
      </c>
      <c r="R2353" s="494" t="inlineStr">
        <is>
          <t>40.90049</t>
        </is>
      </c>
      <c r="S2353" s="387" t="n"/>
      <c r="T2353" s="387" t="n"/>
      <c r="U2353" s="436" t="n"/>
      <c r="V2353" s="387" t="n"/>
      <c r="W2353" s="387">
        <f>IF(AND(N2353=1,O2353&lt;&gt;""),C2353,"")</f>
        <v/>
      </c>
      <c r="X2353" s="387" t="n"/>
      <c r="Y2353" s="387" t="n"/>
    </row>
    <row r="2354" hidden="1" ht="16.05" customFormat="1" customHeight="1" s="126">
      <c r="A2354" s="125" t="n">
        <v>2975</v>
      </c>
      <c r="B2354" s="125" t="n"/>
      <c r="C2354" s="130" t="inlineStr">
        <is>
          <t>Ярославль</t>
        </is>
      </c>
      <c r="D2354" s="130" t="inlineStr">
        <is>
          <t>Ярославская область</t>
        </is>
      </c>
      <c r="E2354" s="130" t="n"/>
      <c r="F2354" s="130" t="inlineStr">
        <is>
          <t>АЗС</t>
        </is>
      </c>
      <c r="G2354" s="130" t="inlineStr">
        <is>
          <t>Газпромнефть</t>
        </is>
      </c>
      <c r="H2354" s="131" t="n"/>
      <c r="I2354" s="637" t="n">
        <v>13113</v>
      </c>
      <c r="J2354" s="637" t="inlineStr">
        <is>
          <t>GPN_13113</t>
        </is>
      </c>
      <c r="K2354" s="640" t="n">
        <v>1</v>
      </c>
      <c r="L2354" s="640" t="n">
        <v>1</v>
      </c>
      <c r="M2354" s="623" t="n">
        <v>1</v>
      </c>
      <c r="N2354" s="640" t="n"/>
      <c r="O2354" s="640">
        <f>IF(AND(N2354=1,L2354=1),K2354,"")</f>
        <v/>
      </c>
      <c r="P2354" s="642" t="inlineStr">
        <is>
          <t>Комсомольский р-он, п. Писцово, Р-79 "Иваново-Ярославль", (справа) 38 км</t>
        </is>
      </c>
      <c r="Q2354" s="640" t="inlineStr">
        <is>
          <t>57.17037</t>
        </is>
      </c>
      <c r="R2354" s="494" t="inlineStr">
        <is>
          <t>40.51887</t>
        </is>
      </c>
      <c r="S2354" s="387" t="n"/>
      <c r="T2354" s="387" t="n"/>
      <c r="U2354" s="436" t="n"/>
      <c r="V2354" s="387" t="n"/>
      <c r="W2354" s="387">
        <f>IF(AND(N2354=1,O2354&lt;&gt;""),C2354,"")</f>
        <v/>
      </c>
      <c r="X2354" s="387" t="n"/>
      <c r="Y2354" s="387" t="n"/>
    </row>
    <row r="2355" hidden="1" ht="16.05" customFormat="1" customHeight="1" s="126">
      <c r="A2355" s="125" t="n">
        <v>2976</v>
      </c>
      <c r="B2355" s="125" t="n"/>
      <c r="C2355" s="130" t="inlineStr">
        <is>
          <t>Ярославль</t>
        </is>
      </c>
      <c r="D2355" s="130" t="inlineStr">
        <is>
          <t>Ивановская область</t>
        </is>
      </c>
      <c r="E2355" s="130" t="n"/>
      <c r="F2355" s="130" t="inlineStr">
        <is>
          <t>АЗС</t>
        </is>
      </c>
      <c r="G2355" s="130" t="inlineStr">
        <is>
          <t>Газпромнефть</t>
        </is>
      </c>
      <c r="H2355" s="131" t="n"/>
      <c r="I2355" s="637" t="n">
        <v>13115</v>
      </c>
      <c r="J2355" s="637" t="inlineStr">
        <is>
          <t>GPN_13115</t>
        </is>
      </c>
      <c r="K2355" s="640" t="n">
        <v>3</v>
      </c>
      <c r="L2355" s="640" t="n">
        <v>1</v>
      </c>
      <c r="M2355" s="623" t="n">
        <v>3</v>
      </c>
      <c r="N2355" s="640" t="n"/>
      <c r="O2355" s="640">
        <f>IF(AND(N2355=1,L2355=1),K2355,"")</f>
        <v/>
      </c>
      <c r="P2355" s="642" t="inlineStr">
        <is>
          <t>Ивановская область, г. Иваново, Минская ул., 115</t>
        </is>
      </c>
      <c r="Q2355" s="640" t="inlineStr">
        <is>
          <t>57.046254</t>
        </is>
      </c>
      <c r="R2355" s="494" t="inlineStr">
        <is>
          <t>40.939803</t>
        </is>
      </c>
      <c r="S2355" s="387" t="n"/>
      <c r="T2355" s="387" t="n"/>
      <c r="U2355" s="436" t="n"/>
      <c r="V2355" s="387" t="n"/>
      <c r="W2355" s="387">
        <f>IF(AND(N2355=1,O2355&lt;&gt;""),C2355,"")</f>
        <v/>
      </c>
      <c r="X2355" s="387" t="n"/>
      <c r="Y2355" s="387" t="n"/>
    </row>
    <row r="2356" hidden="1" ht="16.05" customFormat="1" customHeight="1" s="126">
      <c r="A2356" s="125" t="n">
        <v>2977</v>
      </c>
      <c r="B2356" s="125" t="n"/>
      <c r="C2356" s="416" t="inlineStr">
        <is>
          <t>ЦФО (Калуга, Тула, Тверь, Рязань,Смоленск,Владимир,Воронеж, Ярославль)</t>
        </is>
      </c>
      <c r="D2356" s="130" t="inlineStr">
        <is>
          <t>Владимирская область</t>
        </is>
      </c>
      <c r="E2356" s="130" t="n"/>
      <c r="F2356" s="130" t="inlineStr">
        <is>
          <t>АЗС</t>
        </is>
      </c>
      <c r="G2356" s="130" t="inlineStr">
        <is>
          <t>Газпромнефть</t>
        </is>
      </c>
      <c r="H2356" s="131" t="n"/>
      <c r="I2356" s="637" t="n">
        <v>13119</v>
      </c>
      <c r="J2356" s="637" t="inlineStr">
        <is>
          <t>GPN_13119</t>
        </is>
      </c>
      <c r="K2356" s="640" t="n">
        <v>3</v>
      </c>
      <c r="L2356" s="640" t="n">
        <v>1</v>
      </c>
      <c r="M2356" s="623" t="n">
        <v>6</v>
      </c>
      <c r="N2356" s="640" t="n"/>
      <c r="O2356" s="640">
        <f>IF(AND(N2356=1,L2356=1),K2356,"")</f>
        <v/>
      </c>
      <c r="P2356" s="642" t="inlineStr">
        <is>
          <t>М-7,166 км справа, Собинка</t>
        </is>
      </c>
      <c r="Q2356" s="640" t="inlineStr">
        <is>
          <t>56.06858</t>
        </is>
      </c>
      <c r="R2356" s="494" t="inlineStr">
        <is>
          <t>40.15377</t>
        </is>
      </c>
      <c r="S2356" s="387" t="n"/>
      <c r="T2356" s="387" t="n"/>
      <c r="U2356" s="436" t="n"/>
      <c r="V2356" s="387" t="n"/>
      <c r="W2356" s="387">
        <f>IF(AND(N2356=1,O2356&lt;&gt;""),C2356,"")</f>
        <v/>
      </c>
      <c r="X2356" s="387" t="n"/>
      <c r="Y2356" s="387" t="n"/>
    </row>
    <row r="2357" hidden="1" ht="16.05" customFormat="1" customHeight="1" s="126">
      <c r="A2357" s="125" t="n">
        <v>2978</v>
      </c>
      <c r="B2357" s="125" t="n"/>
      <c r="C2357" s="416" t="inlineStr">
        <is>
          <t>ЦФО (Калуга, Тула, Тверь, Рязань,Смоленск,Владимир,Воронеж, Ярославль)</t>
        </is>
      </c>
      <c r="D2357" s="130" t="inlineStr">
        <is>
          <t>Владимир</t>
        </is>
      </c>
      <c r="E2357" s="130" t="n"/>
      <c r="F2357" s="130" t="inlineStr">
        <is>
          <t>АЗС</t>
        </is>
      </c>
      <c r="G2357" s="130" t="inlineStr">
        <is>
          <t>Газпромнефть</t>
        </is>
      </c>
      <c r="H2357" s="131" t="n"/>
      <c r="I2357" s="637" t="n">
        <v>13120</v>
      </c>
      <c r="J2357" s="637" t="inlineStr">
        <is>
          <t>GPN_13120</t>
        </is>
      </c>
      <c r="K2357" s="640" t="n">
        <v>3</v>
      </c>
      <c r="L2357" s="640" t="n">
        <v>1</v>
      </c>
      <c r="M2357" s="623" t="n">
        <v>6</v>
      </c>
      <c r="N2357" s="640" t="n"/>
      <c r="O2357" s="640">
        <f>IF(AND(N2357=1,L2357=1),K2357,"")</f>
        <v/>
      </c>
      <c r="P2357" s="642" t="inlineStr">
        <is>
          <t>г. Владимир, Растопчина, д.1А</t>
        </is>
      </c>
      <c r="Q2357" s="640" t="inlineStr">
        <is>
          <t>56.174384</t>
        </is>
      </c>
      <c r="R2357" s="494" t="inlineStr">
        <is>
          <t>40.491112</t>
        </is>
      </c>
      <c r="S2357" s="387" t="n"/>
      <c r="T2357" s="387" t="n"/>
      <c r="U2357" s="436" t="n"/>
      <c r="V2357" s="387" t="n"/>
      <c r="W2357" s="387">
        <f>IF(AND(N2357=1,O2357&lt;&gt;""),C2357,"")</f>
        <v/>
      </c>
      <c r="X2357" s="387" t="n"/>
      <c r="Y2357" s="387" t="n"/>
    </row>
    <row r="2358" hidden="1" ht="16.05" customFormat="1" customHeight="1" s="126">
      <c r="A2358" s="125" t="n">
        <v>2979</v>
      </c>
      <c r="B2358" s="125" t="n"/>
      <c r="C2358" s="416" t="inlineStr">
        <is>
          <t>ЦФО (Калуга, Тула, Тверь, Рязань,Смоленск,Владимир,Воронеж, Ярославль)</t>
        </is>
      </c>
      <c r="D2358" s="130" t="inlineStr">
        <is>
          <t>Владимир</t>
        </is>
      </c>
      <c r="E2358" s="130" t="n"/>
      <c r="F2358" s="130" t="inlineStr">
        <is>
          <t>АЗС</t>
        </is>
      </c>
      <c r="G2358" s="130" t="inlineStr">
        <is>
          <t>Газпромнефть</t>
        </is>
      </c>
      <c r="H2358" s="131" t="n"/>
      <c r="I2358" s="637" t="n">
        <v>13121</v>
      </c>
      <c r="J2358" s="637" t="inlineStr">
        <is>
          <t>GPN_13121</t>
        </is>
      </c>
      <c r="K2358" s="640" t="n">
        <v>3</v>
      </c>
      <c r="L2358" s="640" t="n">
        <v>1</v>
      </c>
      <c r="M2358" s="623" t="n">
        <v>5</v>
      </c>
      <c r="N2358" s="640" t="n"/>
      <c r="O2358" s="640">
        <f>IF(AND(N2358=1,L2358=1),K2358,"")</f>
        <v/>
      </c>
      <c r="P2358" s="642" t="inlineStr">
        <is>
          <t>Владимир, Большая Нижегородская, 94Г</t>
        </is>
      </c>
      <c r="Q2358" s="640" t="inlineStr">
        <is>
          <t>56.147155</t>
        </is>
      </c>
      <c r="R2358" s="494" t="inlineStr">
        <is>
          <t>40.447975</t>
        </is>
      </c>
      <c r="S2358" s="387" t="n"/>
      <c r="T2358" s="387" t="n"/>
      <c r="U2358" s="436" t="n"/>
      <c r="V2358" s="387" t="n"/>
      <c r="W2358" s="387">
        <f>IF(AND(N2358=1,O2358&lt;&gt;""),C2358,"")</f>
        <v/>
      </c>
      <c r="X2358" s="387" t="n"/>
      <c r="Y2358" s="387" t="n"/>
    </row>
    <row r="2359" hidden="1" ht="55.05" customFormat="1" customHeight="1" s="126">
      <c r="A2359" s="125" t="n">
        <v>2980</v>
      </c>
      <c r="B2359" s="125" t="n"/>
      <c r="C2359" s="416" t="inlineStr">
        <is>
          <t>ЦФО (Калуга, Тула, Тверь, Рязань,Смоленск,Владимир,Воронеж, Ярославль)</t>
        </is>
      </c>
      <c r="D2359" s="130" t="inlineStr">
        <is>
          <t>Владимир</t>
        </is>
      </c>
      <c r="E2359" s="130" t="n"/>
      <c r="F2359" s="130" t="inlineStr">
        <is>
          <t>АЗС</t>
        </is>
      </c>
      <c r="G2359" s="130" t="inlineStr">
        <is>
          <t>Газпромнефть</t>
        </is>
      </c>
      <c r="H2359" s="131" t="n"/>
      <c r="I2359" s="637" t="n">
        <v>13123</v>
      </c>
      <c r="J2359" s="637" t="inlineStr">
        <is>
          <t>GPN_13123</t>
        </is>
      </c>
      <c r="K2359" s="640" t="n">
        <v>3</v>
      </c>
      <c r="L2359" s="640" t="n">
        <v>1</v>
      </c>
      <c r="M2359" s="623" t="n">
        <v>6</v>
      </c>
      <c r="N2359" s="640" t="n"/>
      <c r="O2359" s="640">
        <f>IF(AND(N2359=1,L2359=1),K2359,"")</f>
        <v/>
      </c>
      <c r="P2359" s="642" t="inlineStr">
        <is>
          <t>Владимир, Лакина, 30</t>
        </is>
      </c>
      <c r="Q2359" s="640" t="inlineStr">
        <is>
          <t>56.133347</t>
        </is>
      </c>
      <c r="R2359" s="494" t="inlineStr">
        <is>
          <t>40.347705</t>
        </is>
      </c>
      <c r="S2359" s="387" t="n"/>
      <c r="T2359" s="387" t="n"/>
      <c r="U2359" s="436" t="n"/>
      <c r="V2359" s="387" t="n"/>
      <c r="W2359" s="387">
        <f>IF(AND(N2359=1,O2359&lt;&gt;""),C2359,"")</f>
        <v/>
      </c>
      <c r="X2359" s="387" t="n"/>
      <c r="Y2359" s="387" t="n"/>
    </row>
    <row r="2360" hidden="1" ht="16.05" customFormat="1" customHeight="1" s="126">
      <c r="A2360" s="125" t="n">
        <v>2981</v>
      </c>
      <c r="B2360" s="125" t="n"/>
      <c r="C2360" s="416" t="inlineStr">
        <is>
          <t>ЦФО (Калуга, Тула, Тверь, Рязань,Смоленск,Владимир,Воронеж, Ярославль)</t>
        </is>
      </c>
      <c r="D2360" s="130" t="inlineStr">
        <is>
          <t>Владимир</t>
        </is>
      </c>
      <c r="E2360" s="130" t="n"/>
      <c r="F2360" s="130" t="inlineStr">
        <is>
          <t>АЗС</t>
        </is>
      </c>
      <c r="G2360" s="130" t="inlineStr">
        <is>
          <t>Газпромнефть</t>
        </is>
      </c>
      <c r="H2360" s="131" t="n"/>
      <c r="I2360" s="637" t="n">
        <v>13125</v>
      </c>
      <c r="J2360" s="637" t="inlineStr">
        <is>
          <t>GPN_13125</t>
        </is>
      </c>
      <c r="K2360" s="640" t="n">
        <v>3</v>
      </c>
      <c r="L2360" s="640" t="n">
        <v>1</v>
      </c>
      <c r="M2360" s="623" t="n">
        <v>6</v>
      </c>
      <c r="N2360" s="640" t="n"/>
      <c r="O2360" s="640">
        <f>IF(AND(N2360=1,L2360=1),K2360,"")</f>
        <v/>
      </c>
      <c r="P2360" s="642" t="inlineStr">
        <is>
          <t>Владимир, Суздальский проспект, 30</t>
        </is>
      </c>
      <c r="Q2360" s="640" t="inlineStr">
        <is>
          <t>56.178784</t>
        </is>
      </c>
      <c r="R2360" s="494" t="inlineStr">
        <is>
          <t>40.454425</t>
        </is>
      </c>
      <c r="S2360" s="387" t="n"/>
      <c r="T2360" s="387" t="n"/>
      <c r="U2360" s="436" t="n"/>
      <c r="V2360" s="387" t="n"/>
      <c r="W2360" s="387">
        <f>IF(AND(N2360=1,O2360&lt;&gt;""),C2360,"")</f>
        <v/>
      </c>
      <c r="X2360" s="387" t="n"/>
      <c r="Y2360" s="387" t="n"/>
    </row>
    <row r="2361" hidden="1" ht="55.05" customFormat="1" customHeight="1" s="126">
      <c r="A2361" s="125" t="n">
        <v>2982</v>
      </c>
      <c r="B2361" s="125" t="n"/>
      <c r="C2361" s="130" t="inlineStr">
        <is>
          <t>Ярославль</t>
        </is>
      </c>
      <c r="D2361" s="130" t="inlineStr">
        <is>
          <t>Иваново</t>
        </is>
      </c>
      <c r="E2361" s="130" t="n"/>
      <c r="F2361" s="130" t="inlineStr">
        <is>
          <t>АЗС</t>
        </is>
      </c>
      <c r="G2361" s="130" t="inlineStr">
        <is>
          <t>Газпромнефть</t>
        </is>
      </c>
      <c r="H2361" s="131" t="n"/>
      <c r="I2361" s="637" t="n">
        <v>13131</v>
      </c>
      <c r="J2361" s="637" t="inlineStr">
        <is>
          <t>GPN_13131</t>
        </is>
      </c>
      <c r="K2361" s="640" t="n">
        <v>1</v>
      </c>
      <c r="L2361" s="640" t="n">
        <v>1</v>
      </c>
      <c r="M2361" s="623" t="n">
        <v>1</v>
      </c>
      <c r="N2361" s="640" t="n"/>
      <c r="O2361" s="640">
        <f>IF(AND(N2361=1,L2361=1),K2361,"")</f>
        <v/>
      </c>
      <c r="P2361" s="642" t="inlineStr">
        <is>
          <t>Иваново, пересечение ул. Кузнецова и Рабфаковская (г. Иваново, Рабфаковская ул., 11, Фрунзенский район)</t>
        </is>
      </c>
      <c r="Q2361" s="640" t="inlineStr">
        <is>
          <t>57.00633</t>
        </is>
      </c>
      <c r="R2361" s="494" t="inlineStr">
        <is>
          <t>40.950114</t>
        </is>
      </c>
      <c r="S2361" s="387" t="n"/>
      <c r="T2361" s="387" t="n"/>
      <c r="U2361" s="436" t="n"/>
      <c r="V2361" s="387" t="n"/>
      <c r="W2361" s="387">
        <f>IF(AND(N2361=1,O2361&lt;&gt;""),C2361,"")</f>
        <v/>
      </c>
      <c r="X2361" s="387" t="n"/>
      <c r="Y2361" s="387" t="n"/>
    </row>
    <row r="2362" hidden="1" ht="55.05" customFormat="1" customHeight="1" s="126">
      <c r="A2362" s="125" t="n">
        <v>2983</v>
      </c>
      <c r="B2362" s="125" t="n"/>
      <c r="C2362" s="130" t="inlineStr">
        <is>
          <t>Ярославль</t>
        </is>
      </c>
      <c r="D2362" s="130" t="inlineStr">
        <is>
          <t>Иваново</t>
        </is>
      </c>
      <c r="E2362" s="130" t="n"/>
      <c r="F2362" s="130" t="inlineStr">
        <is>
          <t>АЗС</t>
        </is>
      </c>
      <c r="G2362" s="130" t="inlineStr">
        <is>
          <t>Газпромнефть</t>
        </is>
      </c>
      <c r="H2362" s="131" t="n"/>
      <c r="I2362" s="637" t="n">
        <v>13133</v>
      </c>
      <c r="J2362" s="637" t="inlineStr">
        <is>
          <t>GPN_13133</t>
        </is>
      </c>
      <c r="K2362" s="640" t="n">
        <v>3</v>
      </c>
      <c r="L2362" s="640" t="n">
        <v>1</v>
      </c>
      <c r="M2362" s="623" t="n">
        <v>3</v>
      </c>
      <c r="N2362" s="640" t="n"/>
      <c r="O2362" s="640">
        <f>IF(AND(N2362=1,L2362=1),K2362,"")</f>
        <v/>
      </c>
      <c r="P2362" s="642" t="inlineStr">
        <is>
          <t>Иваново, пр. Строителей д. 23</t>
        </is>
      </c>
      <c r="Q2362" s="640" t="inlineStr">
        <is>
          <t>56.964298</t>
        </is>
      </c>
      <c r="R2362" s="494" t="inlineStr">
        <is>
          <t>40.987512</t>
        </is>
      </c>
      <c r="S2362" s="387" t="n"/>
      <c r="T2362" s="387" t="n"/>
      <c r="U2362" s="436" t="n"/>
      <c r="V2362" s="387" t="n"/>
      <c r="W2362" s="387">
        <f>IF(AND(N2362=1,O2362&lt;&gt;""),C2362,"")</f>
        <v/>
      </c>
      <c r="X2362" s="387" t="n"/>
      <c r="Y2362" s="387" t="n"/>
    </row>
    <row r="2363" hidden="1" ht="55.05" customFormat="1" customHeight="1" s="126">
      <c r="A2363" s="125" t="n">
        <v>2984</v>
      </c>
      <c r="B2363" s="125" t="n"/>
      <c r="C2363" s="130" t="inlineStr">
        <is>
          <t>Ярославль</t>
        </is>
      </c>
      <c r="D2363" s="130" t="inlineStr">
        <is>
          <t>Иваново</t>
        </is>
      </c>
      <c r="E2363" s="130" t="n"/>
      <c r="F2363" s="130" t="inlineStr">
        <is>
          <t>АЗС</t>
        </is>
      </c>
      <c r="G2363" s="130" t="inlineStr">
        <is>
          <t>Газпромнефть</t>
        </is>
      </c>
      <c r="H2363" s="131" t="n"/>
      <c r="I2363" s="637" t="n">
        <v>13158</v>
      </c>
      <c r="J2363" s="637" t="inlineStr">
        <is>
          <t>GPN_13158</t>
        </is>
      </c>
      <c r="K2363" s="640" t="n">
        <v>3</v>
      </c>
      <c r="L2363" s="640" t="n">
        <v>1</v>
      </c>
      <c r="M2363" s="623" t="n">
        <v>3</v>
      </c>
      <c r="N2363" s="640" t="n"/>
      <c r="O2363" s="640">
        <f>IF(AND(N2363=1,L2363=1),K2363,"")</f>
        <v/>
      </c>
      <c r="P2363" s="642" t="inlineStr">
        <is>
          <t>Иваново, д. Кочедыково д. 2</t>
        </is>
      </c>
      <c r="Q2363" s="640" t="inlineStr">
        <is>
          <t>56.940987</t>
        </is>
      </c>
      <c r="R2363" s="494" t="inlineStr">
        <is>
          <t>41.056153</t>
        </is>
      </c>
      <c r="S2363" s="387" t="n"/>
      <c r="T2363" s="387" t="n"/>
      <c r="U2363" s="436" t="n"/>
      <c r="V2363" s="387" t="n"/>
      <c r="W2363" s="387">
        <f>IF(AND(N2363=1,O2363&lt;&gt;""),C2363,"")</f>
        <v/>
      </c>
      <c r="X2363" s="387" t="n"/>
      <c r="Y2363" s="387" t="n"/>
    </row>
    <row r="2364" hidden="1" ht="16.05" customFormat="1" customHeight="1" s="126">
      <c r="A2364" s="125" t="n">
        <v>2985</v>
      </c>
      <c r="B2364" s="125" t="n"/>
      <c r="C2364" s="130" t="inlineStr">
        <is>
          <t>Ярославль</t>
        </is>
      </c>
      <c r="D2364" s="130" t="inlineStr">
        <is>
          <t>Иваново</t>
        </is>
      </c>
      <c r="E2364" s="130" t="n"/>
      <c r="F2364" s="130" t="inlineStr">
        <is>
          <t>АЗС</t>
        </is>
      </c>
      <c r="G2364" s="130" t="inlineStr">
        <is>
          <t>Газпромнефть</t>
        </is>
      </c>
      <c r="H2364" s="131" t="n"/>
      <c r="I2364" s="637" t="n">
        <v>13162</v>
      </c>
      <c r="J2364" s="637" t="inlineStr">
        <is>
          <t>GPN_13162</t>
        </is>
      </c>
      <c r="K2364" s="640" t="n">
        <v>3</v>
      </c>
      <c r="L2364" s="640" t="n">
        <v>1</v>
      </c>
      <c r="M2364" s="623" t="n">
        <v>4</v>
      </c>
      <c r="N2364" s="640" t="n"/>
      <c r="O2364" s="640">
        <f>IF(AND(N2364=1,L2364=1),K2364,"")</f>
        <v/>
      </c>
      <c r="P2364" s="642" t="inlineStr">
        <is>
          <t>Иваново, ул. Лежневская д. 100</t>
        </is>
      </c>
      <c r="Q2364" s="640" t="inlineStr">
        <is>
          <t>56.982695</t>
        </is>
      </c>
      <c r="R2364" s="494" t="inlineStr">
        <is>
          <t>40.979625</t>
        </is>
      </c>
      <c r="S2364" s="387" t="n"/>
      <c r="T2364" s="387" t="n"/>
      <c r="U2364" s="436" t="n"/>
      <c r="V2364" s="387" t="n"/>
      <c r="W2364" s="387">
        <f>IF(AND(N2364=1,O2364&lt;&gt;""),C2364,"")</f>
        <v/>
      </c>
      <c r="X2364" s="387" t="n"/>
      <c r="Y2364" s="387" t="n"/>
    </row>
    <row r="2365" hidden="1" ht="16.05" customFormat="1" customHeight="1" s="126">
      <c r="A2365" s="125" t="n">
        <v>2986</v>
      </c>
      <c r="B2365" s="125" t="n"/>
      <c r="C2365" s="416" t="inlineStr">
        <is>
          <t>Приволжье (Нижний Новгород, Казань)</t>
        </is>
      </c>
      <c r="D2365" s="130" t="inlineStr">
        <is>
          <t>Нижний Новгород</t>
        </is>
      </c>
      <c r="E2365" s="130" t="n"/>
      <c r="F2365" s="130" t="inlineStr">
        <is>
          <t>АЗС</t>
        </is>
      </c>
      <c r="G2365" s="130" t="inlineStr">
        <is>
          <t>Газпромнефть</t>
        </is>
      </c>
      <c r="H2365" s="131" t="n"/>
      <c r="I2365" s="637" t="n">
        <v>14201</v>
      </c>
      <c r="J2365" s="637" t="inlineStr">
        <is>
          <t>GPN_14201</t>
        </is>
      </c>
      <c r="K2365" s="640" t="n">
        <v>1</v>
      </c>
      <c r="L2365" s="640" t="n">
        <v>1</v>
      </c>
      <c r="M2365" s="623" t="n">
        <v>1</v>
      </c>
      <c r="N2365" s="640" t="n"/>
      <c r="O2365" s="640">
        <f>IF(AND(N2365=1,L2365=1),K2365,"")</f>
        <v/>
      </c>
      <c r="P2365" s="642" t="inlineStr">
        <is>
          <t>г. Нижний Новгород ул. Коминтерна д. 17</t>
        </is>
      </c>
      <c r="Q2365" s="640" t="inlineStr">
        <is>
          <t>56.340694</t>
        </is>
      </c>
      <c r="R2365" s="494" t="inlineStr">
        <is>
          <t>43.880662</t>
        </is>
      </c>
      <c r="S2365" s="387" t="n"/>
      <c r="T2365" s="387" t="n"/>
      <c r="U2365" s="436" t="n"/>
      <c r="V2365" s="387" t="n"/>
      <c r="W2365" s="387">
        <f>IF(AND(N2365=1,O2365&lt;&gt;""),C2365,"")</f>
        <v/>
      </c>
      <c r="X2365" s="387" t="n"/>
      <c r="Y2365" s="387" t="n"/>
    </row>
    <row r="2366" hidden="1" ht="16.05" customFormat="1" customHeight="1" s="126">
      <c r="A2366" s="125" t="n">
        <v>2987</v>
      </c>
      <c r="B2366" s="125" t="n"/>
      <c r="C2366" s="416" t="inlineStr">
        <is>
          <t>Приволжье (Нижний Новгород, Казань)</t>
        </is>
      </c>
      <c r="D2366" s="130" t="inlineStr">
        <is>
          <t>Нижний Новгород</t>
        </is>
      </c>
      <c r="E2366" s="130" t="n"/>
      <c r="F2366" s="130" t="inlineStr">
        <is>
          <t>АЗС</t>
        </is>
      </c>
      <c r="G2366" s="130" t="inlineStr">
        <is>
          <t>Газпромнефть</t>
        </is>
      </c>
      <c r="H2366" s="131" t="n"/>
      <c r="I2366" s="637" t="n">
        <v>14202</v>
      </c>
      <c r="J2366" s="637" t="inlineStr">
        <is>
          <t>GPN_14202</t>
        </is>
      </c>
      <c r="K2366" s="640" t="n">
        <v>1</v>
      </c>
      <c r="L2366" s="640" t="n">
        <v>1</v>
      </c>
      <c r="M2366" s="623" t="n">
        <v>1</v>
      </c>
      <c r="N2366" s="640" t="n"/>
      <c r="O2366" s="640">
        <f>IF(AND(N2366=1,L2366=1),K2366,"")</f>
        <v/>
      </c>
      <c r="P2366" s="642" t="inlineStr">
        <is>
          <t>г. Нижний Новгород пл. Комсомольская д. 3-А</t>
        </is>
      </c>
      <c r="Q2366" s="640" t="inlineStr">
        <is>
          <t>56.299266</t>
        </is>
      </c>
      <c r="R2366" s="494" t="inlineStr">
        <is>
          <t>43.945224</t>
        </is>
      </c>
      <c r="S2366" s="387" t="n"/>
      <c r="T2366" s="387" t="n"/>
      <c r="U2366" s="436" t="n"/>
      <c r="V2366" s="387" t="n"/>
      <c r="W2366" s="387">
        <f>IF(AND(N2366=1,O2366&lt;&gt;""),C2366,"")</f>
        <v/>
      </c>
      <c r="X2366" s="387" t="n"/>
      <c r="Y2366" s="387" t="n"/>
    </row>
    <row r="2367" hidden="1" ht="16.05" customFormat="1" customHeight="1" s="126">
      <c r="A2367" s="125" t="n">
        <v>2988</v>
      </c>
      <c r="B2367" s="125" t="n"/>
      <c r="C2367" s="416" t="inlineStr">
        <is>
          <t>Приволжье (Нижний Новгород, Казань)</t>
        </is>
      </c>
      <c r="D2367" s="130" t="inlineStr">
        <is>
          <t>Нижегородская обл.</t>
        </is>
      </c>
      <c r="E2367" s="130" t="n"/>
      <c r="F2367" s="130" t="inlineStr">
        <is>
          <t>АЗС</t>
        </is>
      </c>
      <c r="G2367" s="130" t="inlineStr">
        <is>
          <t>Газпромнефть</t>
        </is>
      </c>
      <c r="H2367" s="131" t="n"/>
      <c r="I2367" s="637" t="n">
        <v>14205</v>
      </c>
      <c r="J2367" s="637" t="inlineStr">
        <is>
          <t>GPN_14205</t>
        </is>
      </c>
      <c r="K2367" s="640" t="n">
        <v>3</v>
      </c>
      <c r="L2367" s="640" t="n">
        <v>1</v>
      </c>
      <c r="M2367" s="623" t="n">
        <v>3</v>
      </c>
      <c r="N2367" s="640" t="n"/>
      <c r="O2367" s="640">
        <f>IF(AND(N2367=1,L2367=1),K2367,"")</f>
        <v/>
      </c>
      <c r="P2367" s="642" t="inlineStr">
        <is>
          <t>г. Дзержинск Северное шоссе д.2</t>
        </is>
      </c>
      <c r="Q2367" s="640" t="inlineStr">
        <is>
          <t>56.293477</t>
        </is>
      </c>
      <c r="R2367" s="494" t="inlineStr">
        <is>
          <t>43.476861</t>
        </is>
      </c>
      <c r="S2367" s="387" t="n"/>
      <c r="T2367" s="387" t="n"/>
      <c r="U2367" s="436" t="n"/>
      <c r="V2367" s="387" t="n"/>
      <c r="W2367" s="387">
        <f>IF(AND(N2367=1,O2367&lt;&gt;""),C2367,"")</f>
        <v/>
      </c>
      <c r="X2367" s="387" t="n"/>
      <c r="Y2367" s="387" t="n"/>
    </row>
    <row r="2368" hidden="1" ht="35.1" customFormat="1" customHeight="1" s="126">
      <c r="A2368" s="125" t="n">
        <v>2989</v>
      </c>
      <c r="B2368" s="125" t="n"/>
      <c r="C2368" s="416" t="inlineStr">
        <is>
          <t>Приволжье (Нижний Новгород, Казань)</t>
        </is>
      </c>
      <c r="D2368" s="130" t="inlineStr">
        <is>
          <t>Нижегородская обл.</t>
        </is>
      </c>
      <c r="E2368" s="130" t="n"/>
      <c r="F2368" s="130" t="inlineStr">
        <is>
          <t>АЗС</t>
        </is>
      </c>
      <c r="G2368" s="130" t="inlineStr">
        <is>
          <t>Газпромнефть</t>
        </is>
      </c>
      <c r="H2368" s="131" t="n"/>
      <c r="I2368" s="637" t="n">
        <v>14206</v>
      </c>
      <c r="J2368" s="637" t="inlineStr">
        <is>
          <t>GPN_14206</t>
        </is>
      </c>
      <c r="K2368" s="640" t="n">
        <v>1</v>
      </c>
      <c r="L2368" s="640" t="n">
        <v>1</v>
      </c>
      <c r="M2368" s="623" t="n">
        <v>1</v>
      </c>
      <c r="N2368" s="640" t="n"/>
      <c r="O2368" s="640">
        <f>IF(AND(N2368=1,L2368=1),K2368,"")</f>
        <v/>
      </c>
      <c r="P2368" s="642" t="inlineStr">
        <is>
          <t>г. Дзержинск Северное шоссе д.1</t>
        </is>
      </c>
      <c r="Q2368" s="640" t="inlineStr">
        <is>
          <t>56.294041</t>
        </is>
      </c>
      <c r="R2368" s="494" t="inlineStr">
        <is>
          <t>43.475612</t>
        </is>
      </c>
      <c r="S2368" s="387" t="n"/>
      <c r="T2368" s="387" t="n"/>
      <c r="U2368" s="436" t="n"/>
      <c r="V2368" s="387" t="n"/>
      <c r="W2368" s="387">
        <f>IF(AND(N2368=1,O2368&lt;&gt;""),C2368,"")</f>
        <v/>
      </c>
      <c r="X2368" s="387" t="n"/>
      <c r="Y2368" s="387" t="n"/>
    </row>
    <row r="2369" hidden="1" ht="35.1" customFormat="1" customHeight="1" s="126">
      <c r="A2369" s="125" t="n">
        <v>2990</v>
      </c>
      <c r="B2369" s="125" t="n"/>
      <c r="C2369" s="416" t="inlineStr">
        <is>
          <t>Приволжье (Нижний Новгород, Казань)</t>
        </is>
      </c>
      <c r="D2369" s="130" t="inlineStr">
        <is>
          <t>Нижний Новгород</t>
        </is>
      </c>
      <c r="E2369" s="130" t="n"/>
      <c r="F2369" s="130" t="inlineStr">
        <is>
          <t>АЗС</t>
        </is>
      </c>
      <c r="G2369" s="130" t="inlineStr">
        <is>
          <t>Газпромнефть</t>
        </is>
      </c>
      <c r="H2369" s="131" t="n"/>
      <c r="I2369" s="637" t="n">
        <v>14207</v>
      </c>
      <c r="J2369" s="637" t="inlineStr">
        <is>
          <t>GPN_14207</t>
        </is>
      </c>
      <c r="K2369" s="640" t="n">
        <v>3</v>
      </c>
      <c r="L2369" s="640" t="n">
        <v>1</v>
      </c>
      <c r="M2369" s="623" t="n">
        <v>5</v>
      </c>
      <c r="N2369" s="640" t="n"/>
      <c r="O2369" s="640">
        <f>IF(AND(N2369=1,L2369=1),K2369,"")</f>
        <v/>
      </c>
      <c r="P2369" s="642" t="inlineStr">
        <is>
          <t>г. Нижний Новгород ул. Тимирязева д. 11-А</t>
        </is>
      </c>
      <c r="Q2369" s="640" t="inlineStr">
        <is>
          <t>56.307991</t>
        </is>
      </c>
      <c r="R2369" s="494" t="inlineStr">
        <is>
          <t>44.002222</t>
        </is>
      </c>
      <c r="S2369" s="387" t="n"/>
      <c r="T2369" s="387" t="n"/>
      <c r="U2369" s="436" t="n"/>
      <c r="V2369" s="387" t="n"/>
      <c r="W2369" s="387">
        <f>IF(AND(N2369=1,O2369&lt;&gt;""),C2369,"")</f>
        <v/>
      </c>
      <c r="X2369" s="387" t="n"/>
      <c r="Y2369" s="387" t="n"/>
    </row>
    <row r="2370" hidden="1" ht="35.1" customFormat="1" customHeight="1" s="126">
      <c r="A2370" s="125" t="n">
        <v>2991</v>
      </c>
      <c r="B2370" s="125" t="n"/>
      <c r="C2370" s="416" t="inlineStr">
        <is>
          <t>Приволжье (Нижний Новгород, Казань)</t>
        </is>
      </c>
      <c r="D2370" s="130" t="inlineStr">
        <is>
          <t>Нижний Новгород</t>
        </is>
      </c>
      <c r="E2370" s="130" t="n"/>
      <c r="F2370" s="130" t="inlineStr">
        <is>
          <t>АЗС</t>
        </is>
      </c>
      <c r="G2370" s="130" t="inlineStr">
        <is>
          <t>Газпромнефть</t>
        </is>
      </c>
      <c r="H2370" s="131" t="n"/>
      <c r="I2370" s="637" t="n">
        <v>14208</v>
      </c>
      <c r="J2370" s="637" t="inlineStr">
        <is>
          <t>GPN_14208</t>
        </is>
      </c>
      <c r="K2370" s="640" t="n">
        <v>3</v>
      </c>
      <c r="L2370" s="640" t="n">
        <v>1</v>
      </c>
      <c r="M2370" s="623" t="n">
        <v>3</v>
      </c>
      <c r="N2370" s="640" t="n"/>
      <c r="O2370" s="640">
        <f>IF(AND(N2370=1,L2370=1),K2370,"")</f>
        <v/>
      </c>
      <c r="P2370" s="642" t="inlineStr">
        <is>
          <t>г.Н.Новгород ул.Ларина д.32</t>
        </is>
      </c>
      <c r="Q2370" s="640" t="inlineStr">
        <is>
          <t>56.236241</t>
        </is>
      </c>
      <c r="R2370" s="494" t="inlineStr">
        <is>
          <t>44.021725</t>
        </is>
      </c>
      <c r="S2370" s="387" t="n"/>
      <c r="T2370" s="387" t="n"/>
      <c r="U2370" s="436" t="n"/>
      <c r="V2370" s="387" t="n"/>
      <c r="W2370" s="387">
        <f>IF(AND(N2370=1,O2370&lt;&gt;""),C2370,"")</f>
        <v/>
      </c>
      <c r="X2370" s="387" t="n"/>
      <c r="Y2370" s="387" t="n"/>
    </row>
    <row r="2371" hidden="1" ht="35.1" customFormat="1" customHeight="1" s="126">
      <c r="A2371" s="125" t="n">
        <v>2992</v>
      </c>
      <c r="B2371" s="125" t="n"/>
      <c r="C2371" s="416" t="inlineStr">
        <is>
          <t>Приволжье (Нижний Новгород, Казань)</t>
        </is>
      </c>
      <c r="D2371" s="130" t="inlineStr">
        <is>
          <t>Нижний Новгород</t>
        </is>
      </c>
      <c r="E2371" s="130" t="n"/>
      <c r="F2371" s="130" t="inlineStr">
        <is>
          <t>АЗС</t>
        </is>
      </c>
      <c r="G2371" s="130" t="inlineStr">
        <is>
          <t>Газпромнефть</t>
        </is>
      </c>
      <c r="H2371" s="131" t="n"/>
      <c r="I2371" s="637" t="n">
        <v>14209</v>
      </c>
      <c r="J2371" s="637" t="inlineStr">
        <is>
          <t>GPN_14209</t>
        </is>
      </c>
      <c r="K2371" s="640" t="n">
        <v>3</v>
      </c>
      <c r="L2371" s="640" t="n">
        <v>1</v>
      </c>
      <c r="M2371" s="623" t="n">
        <v>3</v>
      </c>
      <c r="N2371" s="640" t="n"/>
      <c r="O2371" s="640">
        <f>IF(AND(N2371=1,L2371=1),K2371,"")</f>
        <v/>
      </c>
      <c r="P2371" s="642" t="inlineStr">
        <is>
          <t>г. Н. Новгород, Московское шоссе, 248а</t>
        </is>
      </c>
      <c r="Q2371" s="640" t="inlineStr">
        <is>
          <t>56.313009</t>
        </is>
      </c>
      <c r="R2371" s="494" t="inlineStr">
        <is>
          <t>43.865706</t>
        </is>
      </c>
      <c r="S2371" s="387" t="n"/>
      <c r="T2371" s="387" t="n"/>
      <c r="U2371" s="436" t="n"/>
      <c r="V2371" s="387" t="n"/>
      <c r="W2371" s="387">
        <f>IF(AND(N2371=1,O2371&lt;&gt;""),C2371,"")</f>
        <v/>
      </c>
      <c r="X2371" s="387" t="n"/>
      <c r="Y2371" s="387" t="n"/>
    </row>
    <row r="2372" hidden="1" ht="35.1" customFormat="1" customHeight="1" s="126">
      <c r="A2372" s="125" t="n">
        <v>2993</v>
      </c>
      <c r="B2372" s="125" t="n"/>
      <c r="C2372" s="416" t="inlineStr">
        <is>
          <t>Приволжье (Нижний Новгород, Казань)</t>
        </is>
      </c>
      <c r="D2372" s="130" t="inlineStr">
        <is>
          <t>Нижегородская обл.</t>
        </is>
      </c>
      <c r="E2372" s="130" t="n"/>
      <c r="F2372" s="130" t="inlineStr">
        <is>
          <t>АЗС</t>
        </is>
      </c>
      <c r="G2372" s="130" t="inlineStr">
        <is>
          <t>Газпромнефть</t>
        </is>
      </c>
      <c r="H2372" s="131" t="n"/>
      <c r="I2372" s="637" t="n">
        <v>14210</v>
      </c>
      <c r="J2372" s="637" t="inlineStr">
        <is>
          <t>GPN_14210</t>
        </is>
      </c>
      <c r="K2372" s="640" t="n">
        <v>2</v>
      </c>
      <c r="L2372" s="640" t="n">
        <v>1</v>
      </c>
      <c r="M2372" s="623" t="n">
        <v>2</v>
      </c>
      <c r="N2372" s="640" t="n"/>
      <c r="O2372" s="640">
        <f>IF(AND(N2372=1,L2372=1),K2372,"")</f>
        <v/>
      </c>
      <c r="P2372" s="642" t="inlineStr">
        <is>
          <t>г. Дзержинск Московское шоссе, 389 км, справа (М-7 Волга, 390-й километр, 2)</t>
        </is>
      </c>
      <c r="Q2372" s="640" t="inlineStr">
        <is>
          <t>56.30051</t>
        </is>
      </c>
      <c r="R2372" s="494" t="inlineStr">
        <is>
          <t>43.54227</t>
        </is>
      </c>
      <c r="S2372" s="387" t="n"/>
      <c r="T2372" s="387" t="n"/>
      <c r="U2372" s="436" t="n"/>
      <c r="V2372" s="387" t="n"/>
      <c r="W2372" s="387">
        <f>IF(AND(N2372=1,O2372&lt;&gt;""),C2372,"")</f>
        <v/>
      </c>
      <c r="X2372" s="387" t="n"/>
      <c r="Y2372" s="387" t="n"/>
    </row>
    <row r="2373" hidden="1" ht="35.1" customFormat="1" customHeight="1" s="126">
      <c r="A2373" s="125" t="n">
        <v>2994</v>
      </c>
      <c r="B2373" s="125" t="n"/>
      <c r="C2373" s="416" t="inlineStr">
        <is>
          <t>Приволжье (Нижний Новгород, Казань)</t>
        </is>
      </c>
      <c r="D2373" s="130" t="inlineStr">
        <is>
          <t>Нижегородская обл.</t>
        </is>
      </c>
      <c r="E2373" s="130" t="n"/>
      <c r="F2373" s="130" t="inlineStr">
        <is>
          <t>АЗС</t>
        </is>
      </c>
      <c r="G2373" s="130" t="inlineStr">
        <is>
          <t>Газпромнефть</t>
        </is>
      </c>
      <c r="H2373" s="131" t="n"/>
      <c r="I2373" s="637" t="n">
        <v>14211</v>
      </c>
      <c r="J2373" s="637" t="inlineStr">
        <is>
          <t>GPN_14211</t>
        </is>
      </c>
      <c r="K2373" s="640" t="n">
        <v>1</v>
      </c>
      <c r="L2373" s="640" t="n">
        <v>1</v>
      </c>
      <c r="M2373" s="623" t="n">
        <v>1</v>
      </c>
      <c r="N2373" s="640" t="n"/>
      <c r="O2373" s="640">
        <f>IF(AND(N2373=1,L2373=1),K2373,"")</f>
        <v/>
      </c>
      <c r="P2373" s="642" t="inlineStr">
        <is>
          <t>г. Дзержинск Московское шоссе, 389 км, слева (М-7 Волга, 390-й километр, 1)</t>
        </is>
      </c>
      <c r="Q2373" s="640" t="inlineStr">
        <is>
          <t>56.30156</t>
        </is>
      </c>
      <c r="R2373" s="494" t="inlineStr">
        <is>
          <t>43.54453</t>
        </is>
      </c>
      <c r="S2373" s="387" t="n"/>
      <c r="T2373" s="387" t="n"/>
      <c r="U2373" s="436" t="n"/>
      <c r="V2373" s="387" t="n"/>
      <c r="W2373" s="387">
        <f>IF(AND(N2373=1,O2373&lt;&gt;""),C2373,"")</f>
        <v/>
      </c>
      <c r="X2373" s="387" t="n"/>
      <c r="Y2373" s="387" t="n"/>
    </row>
    <row r="2374" hidden="1" ht="35.1" customFormat="1" customHeight="1" s="126">
      <c r="A2374" s="125" t="n">
        <v>2995</v>
      </c>
      <c r="B2374" s="125" t="n"/>
      <c r="C2374" s="416" t="inlineStr">
        <is>
          <t>Приволжье (Нижний Новгород, Казань)</t>
        </is>
      </c>
      <c r="D2374" s="130" t="inlineStr">
        <is>
          <t>Нижегородская обл.</t>
        </is>
      </c>
      <c r="E2374" s="130" t="n"/>
      <c r="F2374" s="130" t="inlineStr">
        <is>
          <t>АЗС</t>
        </is>
      </c>
      <c r="G2374" s="130" t="inlineStr">
        <is>
          <t>Газпромнефть</t>
        </is>
      </c>
      <c r="H2374" s="131" t="n"/>
      <c r="I2374" s="637" t="n">
        <v>14212</v>
      </c>
      <c r="J2374" s="637" t="inlineStr">
        <is>
          <t>GPN_14212</t>
        </is>
      </c>
      <c r="K2374" s="640" t="n">
        <v>3</v>
      </c>
      <c r="L2374" s="640" t="n">
        <v>1</v>
      </c>
      <c r="M2374" s="623" t="n">
        <v>3</v>
      </c>
      <c r="N2374" s="640" t="n"/>
      <c r="O2374" s="640">
        <f>IF(AND(N2374=1,L2374=1),K2374,"")</f>
        <v/>
      </c>
      <c r="P2374" s="642" t="inlineStr">
        <is>
          <t>Нижегородская обл., г.Дзержинск, Московское ш., 384км (М-7 Волга, 384-й километр, 2)</t>
        </is>
      </c>
      <c r="Q2374" s="640" t="inlineStr">
        <is>
          <t>56.29805</t>
        </is>
      </c>
      <c r="R2374" s="494" t="inlineStr">
        <is>
          <t>43.45587</t>
        </is>
      </c>
      <c r="S2374" s="387" t="n"/>
      <c r="T2374" s="387" t="n"/>
      <c r="U2374" s="436" t="n"/>
      <c r="V2374" s="387" t="n"/>
      <c r="W2374" s="387">
        <f>IF(AND(N2374=1,O2374&lt;&gt;""),C2374,"")</f>
        <v/>
      </c>
      <c r="X2374" s="387" t="n"/>
      <c r="Y2374" s="387" t="n"/>
    </row>
    <row r="2375" hidden="1" ht="35.1" customFormat="1" customHeight="1" s="126">
      <c r="A2375" s="125" t="n">
        <v>2996</v>
      </c>
      <c r="B2375" s="125" t="n"/>
      <c r="C2375" s="416" t="inlineStr">
        <is>
          <t>Приволжье (Нижний Новгород, Казань)</t>
        </is>
      </c>
      <c r="D2375" s="130" t="inlineStr">
        <is>
          <t>Нижний Новгород</t>
        </is>
      </c>
      <c r="E2375" s="130" t="n"/>
      <c r="F2375" s="130" t="inlineStr">
        <is>
          <t>АЗС</t>
        </is>
      </c>
      <c r="G2375" s="130" t="inlineStr">
        <is>
          <t>Газпромнефть</t>
        </is>
      </c>
      <c r="H2375" s="131" t="n"/>
      <c r="I2375" s="637" t="n">
        <v>14213</v>
      </c>
      <c r="J2375" s="637" t="inlineStr">
        <is>
          <t>GPN_14213</t>
        </is>
      </c>
      <c r="K2375" s="640" t="n">
        <v>2</v>
      </c>
      <c r="L2375" s="640" t="n">
        <v>1</v>
      </c>
      <c r="M2375" s="623" t="n">
        <v>5</v>
      </c>
      <c r="N2375" s="640" t="n"/>
      <c r="O2375" s="640">
        <f>IF(AND(N2375=1,L2375=1),K2375,"")</f>
        <v/>
      </c>
      <c r="P2375" s="642" t="inlineStr">
        <is>
          <t>Нижегородская обл., г.Дзержинск, Московское ш., 398км (посёлок Лесная Поляна, 24Б)</t>
        </is>
      </c>
      <c r="Q2375" s="640" t="inlineStr">
        <is>
          <t>56.30577</t>
        </is>
      </c>
      <c r="R2375" s="494" t="inlineStr">
        <is>
          <t>43.68371</t>
        </is>
      </c>
      <c r="S2375" s="387" t="n"/>
      <c r="T2375" s="387" t="n"/>
      <c r="U2375" s="436" t="n"/>
      <c r="V2375" s="387" t="n"/>
      <c r="W2375" s="387">
        <f>IF(AND(N2375=1,O2375&lt;&gt;""),C2375,"")</f>
        <v/>
      </c>
      <c r="X2375" s="387" t="n"/>
      <c r="Y2375" s="387" t="n"/>
    </row>
    <row r="2376" hidden="1" ht="35.1" customFormat="1" customHeight="1" s="126">
      <c r="A2376" s="125" t="n">
        <v>2997</v>
      </c>
      <c r="B2376" s="125" t="n"/>
      <c r="C2376" s="416" t="inlineStr">
        <is>
          <t>Приволжье (Нижний Новгород, Казань)</t>
        </is>
      </c>
      <c r="D2376" s="130" t="inlineStr">
        <is>
          <t>Нижний Новгород</t>
        </is>
      </c>
      <c r="E2376" s="130" t="n"/>
      <c r="F2376" s="130" t="inlineStr">
        <is>
          <t>АЗС</t>
        </is>
      </c>
      <c r="G2376" s="130" t="inlineStr">
        <is>
          <t>Газпромнефть</t>
        </is>
      </c>
      <c r="H2376" s="131" t="n"/>
      <c r="I2376" s="637" t="n">
        <v>14214</v>
      </c>
      <c r="J2376" s="637" t="inlineStr">
        <is>
          <t>GPN_14214</t>
        </is>
      </c>
      <c r="K2376" s="640" t="n">
        <v>1</v>
      </c>
      <c r="L2376" s="640" t="n">
        <v>1</v>
      </c>
      <c r="M2376" s="623" t="n">
        <v>1</v>
      </c>
      <c r="N2376" s="640" t="n"/>
      <c r="O2376" s="640">
        <f>IF(AND(N2376=1,L2376=1),K2376,"")</f>
        <v/>
      </c>
      <c r="P2376" s="642" t="inlineStr">
        <is>
          <t>г.Нижний Новгород, ул.Ларина, д.2</t>
        </is>
      </c>
      <c r="Q2376" s="640" t="inlineStr">
        <is>
          <t>56.242984</t>
        </is>
      </c>
      <c r="R2376" s="494" t="inlineStr">
        <is>
          <t>43.973288</t>
        </is>
      </c>
      <c r="S2376" s="387" t="n"/>
      <c r="T2376" s="387" t="n"/>
      <c r="U2376" s="436" t="n"/>
      <c r="V2376" s="387" t="n"/>
      <c r="W2376" s="387">
        <f>IF(AND(N2376=1,O2376&lt;&gt;""),C2376,"")</f>
        <v/>
      </c>
      <c r="X2376" s="387" t="n"/>
      <c r="Y2376" s="387" t="n"/>
    </row>
    <row r="2377" hidden="1" ht="35.1" customFormat="1" customHeight="1" s="126">
      <c r="A2377" s="125" t="n">
        <v>2998</v>
      </c>
      <c r="B2377" s="125" t="n"/>
      <c r="C2377" s="416" t="inlineStr">
        <is>
          <t>Приволжье (Нижний Новгород, Казань)</t>
        </is>
      </c>
      <c r="D2377" s="130" t="inlineStr">
        <is>
          <t>Нижний Новгород</t>
        </is>
      </c>
      <c r="E2377" s="130" t="n"/>
      <c r="F2377" s="130" t="inlineStr">
        <is>
          <t>АЗС</t>
        </is>
      </c>
      <c r="G2377" s="130" t="inlineStr">
        <is>
          <t>Газпромнефть</t>
        </is>
      </c>
      <c r="H2377" s="131" t="n"/>
      <c r="I2377" s="637" t="n">
        <v>14215</v>
      </c>
      <c r="J2377" s="637" t="inlineStr">
        <is>
          <t>GPN_14215</t>
        </is>
      </c>
      <c r="K2377" s="640" t="n">
        <v>3</v>
      </c>
      <c r="L2377" s="640" t="n">
        <v>1</v>
      </c>
      <c r="M2377" s="623" t="n">
        <v>3</v>
      </c>
      <c r="N2377" s="640" t="n"/>
      <c r="O2377" s="640">
        <f>IF(AND(N2377=1,L2377=1),K2377,"")</f>
        <v/>
      </c>
      <c r="P2377" s="642" t="inlineStr">
        <is>
          <t>Нижегородская обл., Москрвское ш., 213б</t>
        </is>
      </c>
      <c r="Q2377" s="640" t="inlineStr">
        <is>
          <t>56.314477</t>
        </is>
      </c>
      <c r="R2377" s="494" t="inlineStr">
        <is>
          <t>43.869218</t>
        </is>
      </c>
      <c r="S2377" s="387" t="n"/>
      <c r="T2377" s="387" t="n"/>
      <c r="U2377" s="436" t="n"/>
      <c r="V2377" s="387" t="n"/>
      <c r="W2377" s="387">
        <f>IF(AND(N2377=1,O2377&lt;&gt;""),C2377,"")</f>
        <v/>
      </c>
      <c r="X2377" s="387" t="n"/>
      <c r="Y2377" s="387" t="n"/>
    </row>
    <row r="2378" hidden="1" ht="35.1" customFormat="1" customHeight="1" s="126">
      <c r="A2378" s="125" t="n">
        <v>2999</v>
      </c>
      <c r="B2378" s="125" t="n"/>
      <c r="C2378" s="416" t="inlineStr">
        <is>
          <t>Приволжье (Нижний Новгород, Казань)</t>
        </is>
      </c>
      <c r="D2378" s="130" t="inlineStr">
        <is>
          <t>Нижний Новгород</t>
        </is>
      </c>
      <c r="E2378" s="130" t="n"/>
      <c r="F2378" s="130" t="inlineStr">
        <is>
          <t>АЗС</t>
        </is>
      </c>
      <c r="G2378" s="130" t="inlineStr">
        <is>
          <t>Газпромнефть</t>
        </is>
      </c>
      <c r="H2378" s="131" t="n"/>
      <c r="I2378" s="637" t="n">
        <v>14216</v>
      </c>
      <c r="J2378" s="637" t="inlineStr">
        <is>
          <t>GPN_14216</t>
        </is>
      </c>
      <c r="K2378" s="640" t="n">
        <v>3</v>
      </c>
      <c r="L2378" s="640" t="n">
        <v>1</v>
      </c>
      <c r="M2378" s="623" t="n">
        <v>3</v>
      </c>
      <c r="N2378" s="640" t="n"/>
      <c r="O2378" s="640">
        <f>IF(AND(N2378=1,L2378=1),K2378,"")</f>
        <v/>
      </c>
      <c r="P2378" s="642" t="inlineStr">
        <is>
          <t>г.Нижний Новгород, пр-т Ленина, 92а</t>
        </is>
      </c>
      <c r="Q2378" s="640" t="inlineStr">
        <is>
          <t>56.255773</t>
        </is>
      </c>
      <c r="R2378" s="494" t="inlineStr">
        <is>
          <t>43.897443</t>
        </is>
      </c>
      <c r="S2378" s="387" t="n"/>
      <c r="T2378" s="387" t="n"/>
      <c r="U2378" s="436" t="n"/>
      <c r="V2378" s="387" t="n"/>
      <c r="W2378" s="387">
        <f>IF(AND(N2378=1,O2378&lt;&gt;""),C2378,"")</f>
        <v/>
      </c>
      <c r="X2378" s="387" t="n"/>
      <c r="Y2378" s="387" t="n"/>
    </row>
    <row r="2379" hidden="1" ht="35.1" customFormat="1" customHeight="1" s="126">
      <c r="A2379" s="125" t="n">
        <v>3000</v>
      </c>
      <c r="B2379" s="125" t="n"/>
      <c r="C2379" s="416" t="inlineStr">
        <is>
          <t>Приволжье (Нижний Новгород, Казань)</t>
        </is>
      </c>
      <c r="D2379" s="130" t="inlineStr">
        <is>
          <t>Нижегородская обл.</t>
        </is>
      </c>
      <c r="E2379" s="130" t="n"/>
      <c r="F2379" s="130" t="inlineStr">
        <is>
          <t>АЗС</t>
        </is>
      </c>
      <c r="G2379" s="130" t="inlineStr">
        <is>
          <t>Газпромнефть</t>
        </is>
      </c>
      <c r="H2379" s="131" t="n"/>
      <c r="I2379" s="637" t="n">
        <v>14219</v>
      </c>
      <c r="J2379" s="637" t="inlineStr">
        <is>
          <t>GPN_14219</t>
        </is>
      </c>
      <c r="K2379" s="640" t="n">
        <v>1</v>
      </c>
      <c r="L2379" s="640" t="n">
        <v>1</v>
      </c>
      <c r="M2379" s="623" t="n">
        <v>1</v>
      </c>
      <c r="N2379" s="640" t="n"/>
      <c r="O2379" s="640">
        <f>IF(AND(N2379=1,L2379=1),K2379,"")</f>
        <v/>
      </c>
      <c r="P2379" s="642" t="inlineStr">
        <is>
          <t>Нижегородская обл., Дивеевский р-н, транзит Сатис-Дивеево</t>
        </is>
      </c>
      <c r="Q2379" s="640" t="inlineStr">
        <is>
          <t>54.94075</t>
        </is>
      </c>
      <c r="R2379" s="494" t="inlineStr">
        <is>
          <t>43.26188</t>
        </is>
      </c>
      <c r="S2379" s="387" t="n"/>
      <c r="T2379" s="387" t="n"/>
      <c r="U2379" s="436" t="n"/>
      <c r="V2379" s="387" t="n"/>
      <c r="W2379" s="387">
        <f>IF(AND(N2379=1,O2379&lt;&gt;""),C2379,"")</f>
        <v/>
      </c>
      <c r="X2379" s="387" t="n"/>
      <c r="Y2379" s="387" t="n"/>
    </row>
    <row r="2380" hidden="1" ht="35.1" customFormat="1" customHeight="1" s="126">
      <c r="A2380" s="125" t="n">
        <v>3001</v>
      </c>
      <c r="B2380" s="125" t="n"/>
      <c r="C2380" s="416" t="inlineStr">
        <is>
          <t>Приволжье (Нижний Новгород, Казань)</t>
        </is>
      </c>
      <c r="D2380" s="130" t="inlineStr">
        <is>
          <t>Нижегородская обл.</t>
        </is>
      </c>
      <c r="E2380" s="130" t="n"/>
      <c r="F2380" s="130" t="inlineStr">
        <is>
          <t>АЗС</t>
        </is>
      </c>
      <c r="G2380" s="130" t="inlineStr">
        <is>
          <t>Газпромнефть</t>
        </is>
      </c>
      <c r="H2380" s="131" t="n"/>
      <c r="I2380" s="637" t="n">
        <v>14220</v>
      </c>
      <c r="J2380" s="637" t="inlineStr">
        <is>
          <t>GPN_14220</t>
        </is>
      </c>
      <c r="K2380" s="640" t="n">
        <v>1</v>
      </c>
      <c r="L2380" s="640" t="n">
        <v>1</v>
      </c>
      <c r="M2380" s="623" t="n">
        <v>1</v>
      </c>
      <c r="N2380" s="640" t="n"/>
      <c r="O2380" s="640">
        <f>IF(AND(N2380=1,L2380=1),K2380,"")</f>
        <v/>
      </c>
      <c r="P2380" s="642" t="inlineStr">
        <is>
          <t>Нижегородская обл., г.Дзержинск, ул.Красноармейская, 5</t>
        </is>
      </c>
      <c r="Q2380" s="640" t="inlineStr">
        <is>
          <t>56.247346</t>
        </is>
      </c>
      <c r="R2380" s="494" t="inlineStr">
        <is>
          <t>43.393964</t>
        </is>
      </c>
      <c r="S2380" s="387" t="n"/>
      <c r="T2380" s="387" t="n"/>
      <c r="U2380" s="436" t="n"/>
      <c r="V2380" s="387" t="n"/>
      <c r="W2380" s="387">
        <f>IF(AND(N2380=1,O2380&lt;&gt;""),C2380,"")</f>
        <v/>
      </c>
      <c r="X2380" s="387" t="n"/>
      <c r="Y2380" s="387" t="n"/>
    </row>
    <row r="2381" hidden="1" ht="35.1" customFormat="1" customHeight="1" s="126">
      <c r="A2381" s="125" t="n">
        <v>3002</v>
      </c>
      <c r="B2381" s="125" t="n"/>
      <c r="C2381" s="416" t="inlineStr">
        <is>
          <t>Приволжье (Нижний Новгород, Казань)</t>
        </is>
      </c>
      <c r="D2381" s="130" t="inlineStr">
        <is>
          <t>Нижегородская обл.</t>
        </is>
      </c>
      <c r="E2381" s="130" t="n"/>
      <c r="F2381" s="130" t="inlineStr">
        <is>
          <t>АЗС</t>
        </is>
      </c>
      <c r="G2381" s="130" t="inlineStr">
        <is>
          <t>Газпромнефть</t>
        </is>
      </c>
      <c r="H2381" s="131" t="n"/>
      <c r="I2381" s="637" t="n">
        <v>14221</v>
      </c>
      <c r="J2381" s="637" t="inlineStr">
        <is>
          <t>GPN_14221</t>
        </is>
      </c>
      <c r="K2381" s="640" t="n">
        <v>1</v>
      </c>
      <c r="L2381" s="640" t="n">
        <v>1</v>
      </c>
      <c r="M2381" s="623" t="n">
        <v>1</v>
      </c>
      <c r="N2381" s="640" t="n"/>
      <c r="O2381" s="640">
        <f>IF(AND(N2381=1,L2381=1),K2381,"")</f>
        <v/>
      </c>
      <c r="P2381" s="642" t="inlineStr">
        <is>
          <t>Нижегородская обл., г.Дзержинск, Автозаводское ш., д.4/1213</t>
        </is>
      </c>
      <c r="Q2381" s="640" t="inlineStr">
        <is>
          <t>56.249972</t>
        </is>
      </c>
      <c r="R2381" s="494" t="inlineStr">
        <is>
          <t>43.560817</t>
        </is>
      </c>
      <c r="S2381" s="387" t="n"/>
      <c r="T2381" s="387" t="n"/>
      <c r="U2381" s="436" t="n"/>
      <c r="V2381" s="387" t="n"/>
      <c r="W2381" s="387">
        <f>IF(AND(N2381=1,O2381&lt;&gt;""),C2381,"")</f>
        <v/>
      </c>
      <c r="X2381" s="387" t="n"/>
      <c r="Y2381" s="387" t="n"/>
    </row>
    <row r="2382" hidden="1" ht="35.1" customFormat="1" customHeight="1" s="126">
      <c r="A2382" s="125" t="n">
        <v>3003</v>
      </c>
      <c r="B2382" s="125" t="n"/>
      <c r="C2382" s="416" t="inlineStr">
        <is>
          <t>Приволжье (Нижний Новгород, Казань)</t>
        </is>
      </c>
      <c r="D2382" s="130" t="inlineStr">
        <is>
          <t>Нижегородская обл.</t>
        </is>
      </c>
      <c r="E2382" s="130" t="n"/>
      <c r="F2382" s="130" t="inlineStr">
        <is>
          <t>АЗС</t>
        </is>
      </c>
      <c r="G2382" s="130" t="inlineStr">
        <is>
          <t>Газпромнефть</t>
        </is>
      </c>
      <c r="H2382" s="131" t="n"/>
      <c r="I2382" s="637" t="n">
        <v>14222</v>
      </c>
      <c r="J2382" s="637" t="inlineStr">
        <is>
          <t>GPN_14222</t>
        </is>
      </c>
      <c r="K2382" s="640" t="n">
        <v>1</v>
      </c>
      <c r="L2382" s="640" t="n">
        <v>1</v>
      </c>
      <c r="M2382" s="623" t="n">
        <v>1</v>
      </c>
      <c r="N2382" s="640" t="n"/>
      <c r="O2382" s="640">
        <f>IF(AND(N2382=1,L2382=1),K2382,"")</f>
        <v/>
      </c>
      <c r="P2382" s="642" t="inlineStr">
        <is>
          <t>Нижегородская обл., г.Семенов, ул.Заводская, стр.39</t>
        </is>
      </c>
      <c r="Q2382" s="640" t="inlineStr">
        <is>
          <t>56.780536</t>
        </is>
      </c>
      <c r="R2382" s="494" t="inlineStr">
        <is>
          <t>44.453563</t>
        </is>
      </c>
      <c r="S2382" s="387" t="n"/>
      <c r="T2382" s="387" t="n"/>
      <c r="U2382" s="436" t="n"/>
      <c r="V2382" s="387" t="n"/>
      <c r="W2382" s="387">
        <f>IF(AND(N2382=1,O2382&lt;&gt;""),C2382,"")</f>
        <v/>
      </c>
      <c r="X2382" s="387" t="n"/>
      <c r="Y2382" s="387" t="n"/>
    </row>
    <row r="2383" hidden="1" ht="35.1" customFormat="1" customHeight="1" s="126">
      <c r="A2383" s="125" t="n">
        <v>3004</v>
      </c>
      <c r="B2383" s="125" t="n"/>
      <c r="C2383" s="416" t="inlineStr">
        <is>
          <t>Приволжье (Нижний Новгород, Казань)</t>
        </is>
      </c>
      <c r="D2383" s="130" t="inlineStr">
        <is>
          <t>Нижегородская обл.</t>
        </is>
      </c>
      <c r="E2383" s="130" t="n"/>
      <c r="F2383" s="130" t="inlineStr">
        <is>
          <t>АЗС</t>
        </is>
      </c>
      <c r="G2383" s="130" t="inlineStr">
        <is>
          <t>Газпромнефть</t>
        </is>
      </c>
      <c r="H2383" s="131" t="n"/>
      <c r="I2383" s="637" t="n">
        <v>14223</v>
      </c>
      <c r="J2383" s="637" t="inlineStr">
        <is>
          <t>GPN_14223</t>
        </is>
      </c>
      <c r="K2383" s="640" t="n">
        <v>1</v>
      </c>
      <c r="L2383" s="640" t="n">
        <v>1</v>
      </c>
      <c r="M2383" s="623" t="n">
        <v>1</v>
      </c>
      <c r="N2383" s="640" t="n"/>
      <c r="O2383" s="640">
        <f>IF(AND(N2383=1,L2383=1),K2383,"")</f>
        <v/>
      </c>
      <c r="P2383" s="642" t="inlineStr">
        <is>
          <t>Нижегородская обл., г.Богородск, ул.Ленина, 369</t>
        </is>
      </c>
      <c r="Q2383" s="640" t="inlineStr">
        <is>
          <t>56.115615</t>
        </is>
      </c>
      <c r="R2383" s="494" t="inlineStr">
        <is>
          <t>43.538009</t>
        </is>
      </c>
      <c r="S2383" s="387" t="n"/>
      <c r="T2383" s="387" t="n"/>
      <c r="U2383" s="436" t="n"/>
      <c r="V2383" s="387" t="n"/>
      <c r="W2383" s="387">
        <f>IF(AND(N2383=1,O2383&lt;&gt;""),C2383,"")</f>
        <v/>
      </c>
      <c r="X2383" s="387" t="n"/>
      <c r="Y2383" s="387" t="n"/>
    </row>
    <row r="2384" hidden="1" ht="35.1" customFormat="1" customHeight="1" s="126">
      <c r="A2384" s="125" t="n">
        <v>3005</v>
      </c>
      <c r="B2384" s="125" t="n"/>
      <c r="C2384" s="416" t="inlineStr">
        <is>
          <t>Приволжье (Нижний Новгород, Казань)</t>
        </is>
      </c>
      <c r="D2384" s="130" t="inlineStr">
        <is>
          <t>Нижегородская обл.</t>
        </is>
      </c>
      <c r="E2384" s="130" t="n"/>
      <c r="F2384" s="130" t="inlineStr">
        <is>
          <t>АЗС</t>
        </is>
      </c>
      <c r="G2384" s="130" t="inlineStr">
        <is>
          <t>Газпромнефть</t>
        </is>
      </c>
      <c r="H2384" s="131" t="n"/>
      <c r="I2384" s="637" t="n">
        <v>14228</v>
      </c>
      <c r="J2384" s="637" t="inlineStr">
        <is>
          <t>GPN_14228</t>
        </is>
      </c>
      <c r="K2384" s="640" t="n">
        <v>2</v>
      </c>
      <c r="L2384" s="640" t="n">
        <v>1</v>
      </c>
      <c r="M2384" s="623" t="n">
        <v>2</v>
      </c>
      <c r="N2384" s="640" t="n"/>
      <c r="O2384" s="640">
        <f>IF(AND(N2384=1,L2384=1),K2384,"")</f>
        <v/>
      </c>
      <c r="P2384" s="642" t="inlineStr">
        <is>
          <t>Нижегородская обл., г.Арзамас, ул.Калинина, стр.51</t>
        </is>
      </c>
      <c r="Q2384" s="640" t="inlineStr">
        <is>
          <t>55.394234</t>
        </is>
      </c>
      <c r="R2384" s="494" t="inlineStr">
        <is>
          <t>43.847928</t>
        </is>
      </c>
      <c r="S2384" s="387" t="n"/>
      <c r="T2384" s="387" t="n"/>
      <c r="U2384" s="436" t="n"/>
      <c r="V2384" s="387" t="n"/>
      <c r="W2384" s="387">
        <f>IF(AND(N2384=1,O2384&lt;&gt;""),C2384,"")</f>
        <v/>
      </c>
      <c r="X2384" s="387" t="n"/>
      <c r="Y2384" s="387" t="n"/>
    </row>
    <row r="2385" hidden="1" ht="35.1" customFormat="1" customHeight="1" s="126">
      <c r="A2385" s="125" t="n">
        <v>3006</v>
      </c>
      <c r="B2385" s="125" t="n"/>
      <c r="C2385" s="416" t="inlineStr">
        <is>
          <t>Приволжье (Нижний Новгород, Казань)</t>
        </is>
      </c>
      <c r="D2385" s="130" t="inlineStr">
        <is>
          <t>Нижегородская обл.</t>
        </is>
      </c>
      <c r="E2385" s="130" t="n"/>
      <c r="F2385" s="130" t="inlineStr">
        <is>
          <t>АЗС</t>
        </is>
      </c>
      <c r="G2385" s="130" t="inlineStr">
        <is>
          <t>Газпромнефть</t>
        </is>
      </c>
      <c r="H2385" s="131" t="n"/>
      <c r="I2385" s="637" t="n">
        <v>14229</v>
      </c>
      <c r="J2385" s="637" t="inlineStr">
        <is>
          <t>GPN_14229</t>
        </is>
      </c>
      <c r="K2385" s="640" t="n">
        <v>3</v>
      </c>
      <c r="L2385" s="640" t="n">
        <v>1</v>
      </c>
      <c r="M2385" s="623" t="n">
        <v>5</v>
      </c>
      <c r="N2385" s="640" t="n"/>
      <c r="O2385" s="640">
        <f>IF(AND(N2385=1,L2385=1),K2385,"")</f>
        <v/>
      </c>
      <c r="P2385" s="642" t="inlineStr">
        <is>
          <t>Нижегородская обл., Лукояновский р-н, транзит Н.Новгород - Саранск (Лукоянов ул. Чкалова, 54)</t>
        </is>
      </c>
      <c r="Q2385" s="640" t="inlineStr">
        <is>
          <t>55.02268</t>
        </is>
      </c>
      <c r="R2385" s="494" t="inlineStr">
        <is>
          <t>44.50238</t>
        </is>
      </c>
      <c r="S2385" s="387" t="n"/>
      <c r="T2385" s="387" t="n"/>
      <c r="U2385" s="436" t="n"/>
      <c r="V2385" s="387" t="n"/>
      <c r="W2385" s="387">
        <f>IF(AND(N2385=1,O2385&lt;&gt;""),C2385,"")</f>
        <v/>
      </c>
      <c r="X2385" s="387" t="n"/>
      <c r="Y2385" s="387" t="n"/>
    </row>
    <row r="2386" hidden="1" ht="35.1" customFormat="1" customHeight="1" s="126">
      <c r="A2386" s="125" t="n">
        <v>3007</v>
      </c>
      <c r="B2386" s="125" t="n"/>
      <c r="C2386" s="416" t="inlineStr">
        <is>
          <t>Приволжье (Нижний Новгород, Казань)</t>
        </is>
      </c>
      <c r="D2386" s="130" t="inlineStr">
        <is>
          <t>Нижегородская обл.</t>
        </is>
      </c>
      <c r="E2386" s="130" t="n"/>
      <c r="F2386" s="130" t="inlineStr">
        <is>
          <t>АЗС</t>
        </is>
      </c>
      <c r="G2386" s="130" t="inlineStr">
        <is>
          <t>Газпромнефть</t>
        </is>
      </c>
      <c r="H2386" s="131" t="n"/>
      <c r="I2386" s="637" t="n">
        <v>14230</v>
      </c>
      <c r="J2386" s="637" t="inlineStr">
        <is>
          <t>GPN_14230</t>
        </is>
      </c>
      <c r="K2386" s="640" t="n">
        <v>1</v>
      </c>
      <c r="L2386" s="640" t="n">
        <v>1</v>
      </c>
      <c r="M2386" s="623" t="n">
        <v>1</v>
      </c>
      <c r="N2386" s="640" t="n"/>
      <c r="O2386" s="640">
        <f>IF(AND(N2386=1,L2386=1),K2386,"")</f>
        <v/>
      </c>
      <c r="P2386" s="642" t="inlineStr">
        <is>
          <t>Нижегородская обл., Починковский р-н, с.Починки (улица Сидорова, 171)</t>
        </is>
      </c>
      <c r="Q2386" s="640" t="inlineStr">
        <is>
          <t>54.72483</t>
        </is>
      </c>
      <c r="R2386" s="494" t="inlineStr">
        <is>
          <t>44.86347</t>
        </is>
      </c>
      <c r="S2386" s="387" t="n"/>
      <c r="T2386" s="387" t="n"/>
      <c r="U2386" s="436" t="n"/>
      <c r="V2386" s="387" t="n"/>
      <c r="W2386" s="387">
        <f>IF(AND(N2386=1,O2386&lt;&gt;""),C2386,"")</f>
        <v/>
      </c>
      <c r="X2386" s="387" t="n"/>
      <c r="Y2386" s="387" t="n"/>
    </row>
    <row r="2387" hidden="1" ht="35.1" customFormat="1" customHeight="1" s="126">
      <c r="A2387" s="125" t="n">
        <v>3008</v>
      </c>
      <c r="B2387" s="125" t="n"/>
      <c r="C2387" s="416" t="inlineStr">
        <is>
          <t>Приволжье (Нижний Новгород, Казань)</t>
        </is>
      </c>
      <c r="D2387" s="130" t="inlineStr">
        <is>
          <t>Нижегородская обл.</t>
        </is>
      </c>
      <c r="E2387" s="130" t="n"/>
      <c r="F2387" s="130" t="inlineStr">
        <is>
          <t>АЗС</t>
        </is>
      </c>
      <c r="G2387" s="130" t="inlineStr">
        <is>
          <t>Газпромнефть</t>
        </is>
      </c>
      <c r="H2387" s="131" t="n"/>
      <c r="I2387" s="637" t="n">
        <v>14231</v>
      </c>
      <c r="J2387" s="637" t="inlineStr">
        <is>
          <t>GPN_14231</t>
        </is>
      </c>
      <c r="K2387" s="640" t="n">
        <v>1</v>
      </c>
      <c r="L2387" s="640" t="n">
        <v>1</v>
      </c>
      <c r="M2387" s="623" t="n">
        <v>1</v>
      </c>
      <c r="N2387" s="640" t="n"/>
      <c r="O2387" s="640">
        <f>IF(AND(N2387=1,L2387=1),K2387,"")</f>
        <v/>
      </c>
      <c r="P2387" s="642" t="inlineStr">
        <is>
          <t>Нижегородская обл., Сосновский р-н, р-н п.Сосновское (Совхозная улица, 125М)</t>
        </is>
      </c>
      <c r="Q2387" s="640" t="inlineStr">
        <is>
          <t>55.79307</t>
        </is>
      </c>
      <c r="R2387" s="494" t="inlineStr">
        <is>
          <t>43.14927</t>
        </is>
      </c>
      <c r="S2387" s="387" t="n"/>
      <c r="T2387" s="387" t="n"/>
      <c r="U2387" s="436" t="n"/>
      <c r="V2387" s="387" t="n"/>
      <c r="W2387" s="387">
        <f>IF(AND(N2387=1,O2387&lt;&gt;""),C2387,"")</f>
        <v/>
      </c>
      <c r="X2387" s="387" t="n"/>
      <c r="Y2387" s="387" t="n"/>
    </row>
    <row r="2388" hidden="1" ht="35.1" customFormat="1" customHeight="1" s="126">
      <c r="A2388" s="125" t="n">
        <v>3009</v>
      </c>
      <c r="B2388" s="125" t="n"/>
      <c r="C2388" s="416" t="inlineStr">
        <is>
          <t>Приволжье (Нижний Новгород, Казань)</t>
        </is>
      </c>
      <c r="D2388" s="130" t="inlineStr">
        <is>
          <t>Нижегородская обл.</t>
        </is>
      </c>
      <c r="E2388" s="130" t="n"/>
      <c r="F2388" s="130" t="inlineStr">
        <is>
          <t>АЗС</t>
        </is>
      </c>
      <c r="G2388" s="130" t="inlineStr">
        <is>
          <t>Газпромнефть</t>
        </is>
      </c>
      <c r="H2388" s="131" t="n"/>
      <c r="I2388" s="637" t="n">
        <v>14232</v>
      </c>
      <c r="J2388" s="637" t="inlineStr">
        <is>
          <t>GPN_14232</t>
        </is>
      </c>
      <c r="K2388" s="640" t="n">
        <v>3</v>
      </c>
      <c r="L2388" s="640" t="n">
        <v>1</v>
      </c>
      <c r="M2388" s="623" t="n">
        <v>3</v>
      </c>
      <c r="N2388" s="640" t="n"/>
      <c r="O2388" s="640">
        <f>IF(AND(N2388=1,L2388=1),K2388,"")</f>
        <v/>
      </c>
      <c r="P2388" s="642" t="inlineStr">
        <is>
          <t>Нижегородская обл., 443 км федеральной автодороги "Москва - Казань" (М-7 Волга, 443-й километр, 1)</t>
        </is>
      </c>
      <c r="Q2388" s="640" t="inlineStr">
        <is>
          <t>56.12383</t>
        </is>
      </c>
      <c r="R2388" s="494" t="inlineStr">
        <is>
          <t>44.26661</t>
        </is>
      </c>
      <c r="S2388" s="387" t="n"/>
      <c r="T2388" s="387" t="n"/>
      <c r="U2388" s="436" t="n"/>
      <c r="V2388" s="387" t="n"/>
      <c r="W2388" s="387">
        <f>IF(AND(N2388=1,O2388&lt;&gt;""),C2388,"")</f>
        <v/>
      </c>
      <c r="X2388" s="387" t="n"/>
      <c r="Y2388" s="387" t="n"/>
    </row>
    <row r="2389" hidden="1" ht="35.1" customFormat="1" customHeight="1" s="126">
      <c r="A2389" s="125" t="n">
        <v>3010</v>
      </c>
      <c r="B2389" s="125" t="n"/>
      <c r="C2389" s="416" t="inlineStr">
        <is>
          <t>Приволжье (Нижний Новгород, Казань)</t>
        </is>
      </c>
      <c r="D2389" s="130" t="inlineStr">
        <is>
          <t>Нижегородская обл.</t>
        </is>
      </c>
      <c r="E2389" s="130" t="n"/>
      <c r="F2389" s="130" t="inlineStr">
        <is>
          <t>АЗС</t>
        </is>
      </c>
      <c r="G2389" s="130" t="inlineStr">
        <is>
          <t>Газпромнефть</t>
        </is>
      </c>
      <c r="H2389" s="131" t="n"/>
      <c r="I2389" s="637" t="n">
        <v>14233</v>
      </c>
      <c r="J2389" s="637" t="inlineStr">
        <is>
          <t>GPN_14233</t>
        </is>
      </c>
      <c r="K2389" s="640" t="n">
        <v>3</v>
      </c>
      <c r="L2389" s="640" t="n">
        <v>1</v>
      </c>
      <c r="M2389" s="623" t="n">
        <v>5</v>
      </c>
      <c r="N2389" s="640" t="n"/>
      <c r="O2389" s="640">
        <f>IF(AND(N2389=1,L2389=1),K2389,"")</f>
        <v/>
      </c>
      <c r="P2389" s="642" t="inlineStr">
        <is>
          <t>Нижегородская обл., п.Ждановский а/д М7 "Волга" км 428+798 (слева)</t>
        </is>
      </c>
      <c r="Q2389" s="640" t="inlineStr">
        <is>
          <t>56.20656</t>
        </is>
      </c>
      <c r="R2389" s="494" t="inlineStr">
        <is>
          <t>44.09028</t>
        </is>
      </c>
      <c r="S2389" s="387" t="n"/>
      <c r="T2389" s="387" t="n"/>
      <c r="U2389" s="436" t="n"/>
      <c r="V2389" s="387" t="n"/>
      <c r="W2389" s="387">
        <f>IF(AND(N2389=1,O2389&lt;&gt;""),C2389,"")</f>
        <v/>
      </c>
      <c r="X2389" s="387" t="n"/>
      <c r="Y2389" s="387" t="n"/>
    </row>
    <row r="2390" hidden="1" ht="35.1" customFormat="1" customHeight="1" s="126">
      <c r="A2390" s="125" t="n">
        <v>3011</v>
      </c>
      <c r="B2390" s="125" t="n"/>
      <c r="C2390" s="416" t="inlineStr">
        <is>
          <t>Приволжье (Нижний Новгород, Казань)</t>
        </is>
      </c>
      <c r="D2390" s="130" t="inlineStr">
        <is>
          <t>Нижний Новгород</t>
        </is>
      </c>
      <c r="E2390" s="130" t="n"/>
      <c r="F2390" s="130" t="inlineStr">
        <is>
          <t>АЗС</t>
        </is>
      </c>
      <c r="G2390" s="130" t="inlineStr">
        <is>
          <t>Газпромнефть</t>
        </is>
      </c>
      <c r="H2390" s="131" t="n"/>
      <c r="I2390" s="637" t="n">
        <v>14235</v>
      </c>
      <c r="J2390" s="637" t="inlineStr">
        <is>
          <t>GPN_14235</t>
        </is>
      </c>
      <c r="K2390" s="640" t="n">
        <v>1</v>
      </c>
      <c r="L2390" s="640" t="n">
        <v>1</v>
      </c>
      <c r="M2390" s="623" t="n">
        <v>1</v>
      </c>
      <c r="N2390" s="640" t="n"/>
      <c r="O2390" s="640">
        <f>IF(AND(N2390=1,L2390=1),K2390,"")</f>
        <v/>
      </c>
      <c r="P2390" s="642" t="inlineStr">
        <is>
          <t>г.нижний Новгород, ул.Федосеенко, 63 въезд</t>
        </is>
      </c>
      <c r="Q2390" s="640" t="inlineStr">
        <is>
          <t>56.33312</t>
        </is>
      </c>
      <c r="R2390" s="494" t="inlineStr">
        <is>
          <t>43.79435</t>
        </is>
      </c>
      <c r="S2390" s="387" t="n"/>
      <c r="T2390" s="387" t="n"/>
      <c r="U2390" s="436" t="n"/>
      <c r="V2390" s="387" t="n"/>
      <c r="W2390" s="387">
        <f>IF(AND(N2390=1,O2390&lt;&gt;""),C2390,"")</f>
        <v/>
      </c>
      <c r="X2390" s="387" t="n"/>
      <c r="Y2390" s="387" t="n"/>
    </row>
    <row r="2391" hidden="1" ht="35.1" customFormat="1" customHeight="1" s="126">
      <c r="A2391" s="125" t="n">
        <v>3012</v>
      </c>
      <c r="B2391" s="125" t="n"/>
      <c r="C2391" s="416" t="inlineStr">
        <is>
          <t>Приволжье (Нижний Новгород, Казань)</t>
        </is>
      </c>
      <c r="D2391" s="130" t="inlineStr">
        <is>
          <t>Нижний Новгород</t>
        </is>
      </c>
      <c r="E2391" s="130" t="n"/>
      <c r="F2391" s="130" t="inlineStr">
        <is>
          <t>АЗС</t>
        </is>
      </c>
      <c r="G2391" s="130" t="inlineStr">
        <is>
          <t>Газпромнефть</t>
        </is>
      </c>
      <c r="H2391" s="131" t="n"/>
      <c r="I2391" s="637" t="n">
        <v>14236</v>
      </c>
      <c r="J2391" s="637" t="inlineStr">
        <is>
          <t>GPN_14236</t>
        </is>
      </c>
      <c r="K2391" s="640" t="n">
        <v>3</v>
      </c>
      <c r="L2391" s="640" t="n">
        <v>1</v>
      </c>
      <c r="M2391" s="623" t="n">
        <v>3</v>
      </c>
      <c r="N2391" s="640" t="n"/>
      <c r="O2391" s="640">
        <f>IF(AND(N2391=1,L2391=1),K2391,"")</f>
        <v/>
      </c>
      <c r="P2391" s="642" t="inlineStr">
        <is>
          <t>г. Нижний Новгород, ул. Федосеенко, 64б</t>
        </is>
      </c>
      <c r="Q2391" s="640" t="inlineStr">
        <is>
          <t>56.333963</t>
        </is>
      </c>
      <c r="R2391" s="494" t="inlineStr">
        <is>
          <t>43.793355</t>
        </is>
      </c>
      <c r="S2391" s="387" t="n"/>
      <c r="T2391" s="387" t="n"/>
      <c r="U2391" s="436" t="n"/>
      <c r="V2391" s="387" t="n"/>
      <c r="W2391" s="387">
        <f>IF(AND(N2391=1,O2391&lt;&gt;""),C2391,"")</f>
        <v/>
      </c>
      <c r="X2391" s="387" t="n"/>
      <c r="Y2391" s="387" t="n"/>
    </row>
    <row r="2392" hidden="1" ht="35.1" customFormat="1" customHeight="1" s="126">
      <c r="A2392" s="125" t="n">
        <v>3013</v>
      </c>
      <c r="B2392" s="125" t="n"/>
      <c r="C2392" s="416" t="inlineStr">
        <is>
          <t>Приволжье (Нижний Новгород, Казань)</t>
        </is>
      </c>
      <c r="D2392" s="130" t="inlineStr">
        <is>
          <t>Нижний Новгород</t>
        </is>
      </c>
      <c r="E2392" s="130" t="n"/>
      <c r="F2392" s="130" t="inlineStr">
        <is>
          <t>АЗС</t>
        </is>
      </c>
      <c r="G2392" s="130" t="inlineStr">
        <is>
          <t>Газпромнефть</t>
        </is>
      </c>
      <c r="H2392" s="131" t="n"/>
      <c r="I2392" s="637" t="n">
        <v>14237</v>
      </c>
      <c r="J2392" s="637" t="inlineStr">
        <is>
          <t>GPN_14237</t>
        </is>
      </c>
      <c r="K2392" s="640" t="n">
        <v>3</v>
      </c>
      <c r="L2392" s="640" t="n">
        <v>1</v>
      </c>
      <c r="M2392" s="623" t="n">
        <v>3</v>
      </c>
      <c r="N2392" s="640" t="n"/>
      <c r="O2392" s="640">
        <f>IF(AND(N2392=1,L2392=1),K2392,"")</f>
        <v/>
      </c>
      <c r="P2392" s="642" t="inlineStr">
        <is>
          <t>г.Нижний Новгород, ул.Свердлова, 35</t>
        </is>
      </c>
      <c r="Q2392" s="640" t="inlineStr">
        <is>
          <t>56.504993</t>
        </is>
      </c>
      <c r="R2392" s="494" t="inlineStr">
        <is>
          <t>43.591459</t>
        </is>
      </c>
      <c r="S2392" s="387" t="n"/>
      <c r="T2392" s="387" t="n"/>
      <c r="U2392" s="436" t="n"/>
      <c r="V2392" s="387" t="n"/>
      <c r="W2392" s="387">
        <f>IF(AND(N2392=1,O2392&lt;&gt;""),C2392,"")</f>
        <v/>
      </c>
      <c r="X2392" s="387" t="n"/>
      <c r="Y2392" s="387" t="n"/>
    </row>
    <row r="2393" hidden="1" ht="35.1" customFormat="1" customHeight="1" s="126">
      <c r="A2393" s="125" t="n">
        <v>3014</v>
      </c>
      <c r="B2393" s="125" t="n"/>
      <c r="C2393" s="416" t="inlineStr">
        <is>
          <t>Приволжье (Нижний Новгород, Казань)</t>
        </is>
      </c>
      <c r="D2393" s="130" t="inlineStr">
        <is>
          <t>Нижегородская обл.</t>
        </is>
      </c>
      <c r="E2393" s="130" t="n"/>
      <c r="F2393" s="130" t="inlineStr">
        <is>
          <t>АЗС</t>
        </is>
      </c>
      <c r="G2393" s="130" t="inlineStr">
        <is>
          <t>Газпромнефть</t>
        </is>
      </c>
      <c r="H2393" s="131" t="n"/>
      <c r="I2393" s="637" t="n">
        <v>14239</v>
      </c>
      <c r="J2393" s="637" t="inlineStr">
        <is>
          <t>GPN_14239</t>
        </is>
      </c>
      <c r="K2393" s="640" t="n">
        <v>3</v>
      </c>
      <c r="L2393" s="640" t="n">
        <v>1</v>
      </c>
      <c r="M2393" s="623" t="n">
        <v>3</v>
      </c>
      <c r="N2393" s="640" t="n"/>
      <c r="O2393" s="640">
        <f>IF(AND(N2393=1,L2393=1),K2393,"")</f>
        <v/>
      </c>
      <c r="P2393" s="642" t="inlineStr">
        <is>
          <t>Нижегородская область, ФАД М-7 492 км + 200 м (слева)</t>
        </is>
      </c>
      <c r="Q2393" s="640" t="inlineStr">
        <is>
          <t>56.01221</t>
        </is>
      </c>
      <c r="R2393" s="494" t="inlineStr">
        <is>
          <t>44.92477</t>
        </is>
      </c>
      <c r="S2393" s="387" t="n"/>
      <c r="T2393" s="387" t="n"/>
      <c r="U2393" s="436" t="n"/>
      <c r="V2393" s="387" t="n"/>
      <c r="W2393" s="387">
        <f>IF(AND(N2393=1,O2393&lt;&gt;""),C2393,"")</f>
        <v/>
      </c>
      <c r="X2393" s="387" t="n"/>
      <c r="Y2393" s="387" t="n"/>
    </row>
    <row r="2394" hidden="1" ht="35.1" customFormat="1" customHeight="1" s="126">
      <c r="A2394" s="125" t="n">
        <v>3015</v>
      </c>
      <c r="B2394" s="125" t="n"/>
      <c r="C2394" s="416" t="inlineStr">
        <is>
          <t>Приволжье (Нижний Новгород, Казань)</t>
        </is>
      </c>
      <c r="D2394" s="130" t="inlineStr">
        <is>
          <t>Нижегородская обл.</t>
        </is>
      </c>
      <c r="E2394" s="130" t="n"/>
      <c r="F2394" s="130" t="inlineStr">
        <is>
          <t>АЗС</t>
        </is>
      </c>
      <c r="G2394" s="130" t="inlineStr">
        <is>
          <t>Газпромнефть</t>
        </is>
      </c>
      <c r="H2394" s="131" t="n"/>
      <c r="I2394" s="637" t="n">
        <v>14242</v>
      </c>
      <c r="J2394" s="637" t="inlineStr">
        <is>
          <t>GPN_14242</t>
        </is>
      </c>
      <c r="K2394" s="640" t="n">
        <v>3</v>
      </c>
      <c r="L2394" s="640" t="n">
        <v>1</v>
      </c>
      <c r="M2394" s="623" t="n">
        <v>6</v>
      </c>
      <c r="N2394" s="640" t="n"/>
      <c r="O2394" s="640">
        <f>IF(AND(N2394=1,L2394=1),K2394,"")</f>
        <v/>
      </c>
      <c r="P2394" s="642" t="inlineStr">
        <is>
          <t>Нижегородская область, г. Бор, пересечение ул. Тургенева и ул. Нахимова. (Россия, Нижегородская область, Бор, улица Нахимова, напротив д. 71)</t>
        </is>
      </c>
      <c r="Q2394" s="640" t="inlineStr">
        <is>
          <t>56.349155</t>
        </is>
      </c>
      <c r="R2394" s="494" t="inlineStr">
        <is>
          <t>44.092606</t>
        </is>
      </c>
      <c r="S2394" s="387" t="n"/>
      <c r="T2394" s="387" t="n"/>
      <c r="U2394" s="436" t="n"/>
      <c r="V2394" s="387" t="n"/>
      <c r="W2394" s="387">
        <f>IF(AND(N2394=1,O2394&lt;&gt;""),C2394,"")</f>
        <v/>
      </c>
      <c r="X2394" s="387" t="n"/>
      <c r="Y2394" s="387" t="n"/>
    </row>
    <row r="2395" hidden="1" ht="35.1" customFormat="1" customHeight="1" s="126">
      <c r="A2395" s="125" t="n">
        <v>3016</v>
      </c>
      <c r="B2395" s="125" t="n"/>
      <c r="C2395" s="416" t="inlineStr">
        <is>
          <t>Приволжье (Нижний Новгород, Казань)</t>
        </is>
      </c>
      <c r="D2395" s="130" t="inlineStr">
        <is>
          <t>Нижегородская обл.</t>
        </is>
      </c>
      <c r="E2395" s="130" t="n"/>
      <c r="F2395" s="130" t="inlineStr">
        <is>
          <t>АЗС</t>
        </is>
      </c>
      <c r="G2395" s="130" t="inlineStr">
        <is>
          <t>Газпромнефть</t>
        </is>
      </c>
      <c r="H2395" s="131" t="n"/>
      <c r="I2395" s="637" t="n">
        <v>14243</v>
      </c>
      <c r="J2395" s="637" t="inlineStr">
        <is>
          <t>GPN_14243</t>
        </is>
      </c>
      <c r="K2395" s="640" t="n">
        <v>3</v>
      </c>
      <c r="L2395" s="640" t="n">
        <v>1</v>
      </c>
      <c r="M2395" s="623" t="n">
        <v>5</v>
      </c>
      <c r="N2395" s="640" t="n"/>
      <c r="O2395" s="640">
        <f>IF(AND(N2395=1,L2395=1),K2395,"")</f>
        <v/>
      </c>
      <c r="P2395" s="642" t="inlineStr">
        <is>
          <t>Нижегородская область Кстовский р-н, трасса ФАД М-7, 428 км (справа) (Школьная улица, 70Б)</t>
        </is>
      </c>
      <c r="Q2395" s="640" t="inlineStr">
        <is>
          <t>56.20719</t>
        </is>
      </c>
      <c r="R2395" s="494" t="inlineStr">
        <is>
          <t>44.08585</t>
        </is>
      </c>
      <c r="S2395" s="387" t="n"/>
      <c r="T2395" s="387" t="n"/>
      <c r="U2395" s="436" t="n"/>
      <c r="V2395" s="387" t="n"/>
      <c r="W2395" s="387">
        <f>IF(AND(N2395=1,O2395&lt;&gt;""),C2395,"")</f>
        <v/>
      </c>
      <c r="X2395" s="387" t="n"/>
      <c r="Y2395" s="387" t="n"/>
    </row>
    <row r="2396" hidden="1" ht="35.1" customFormat="1" customHeight="1" s="126">
      <c r="A2396" s="125" t="n">
        <v>3017</v>
      </c>
      <c r="B2396" s="125" t="n"/>
      <c r="C2396" s="416" t="inlineStr">
        <is>
          <t>Приволжье (Нижний Новгород, Казань)</t>
        </is>
      </c>
      <c r="D2396" s="130" t="inlineStr">
        <is>
          <t>Нижегородская обл.</t>
        </is>
      </c>
      <c r="E2396" s="130" t="n"/>
      <c r="F2396" s="130" t="inlineStr">
        <is>
          <t>АЗС</t>
        </is>
      </c>
      <c r="G2396" s="130" t="inlineStr">
        <is>
          <t>Газпромнефть</t>
        </is>
      </c>
      <c r="H2396" s="131" t="n"/>
      <c r="I2396" s="637" t="n">
        <v>14245</v>
      </c>
      <c r="J2396" s="637" t="inlineStr">
        <is>
          <t>GPN_14245</t>
        </is>
      </c>
      <c r="K2396" s="640" t="n">
        <v>3</v>
      </c>
      <c r="L2396" s="640" t="n">
        <v>1</v>
      </c>
      <c r="M2396" s="623" t="n">
        <v>6</v>
      </c>
      <c r="N2396" s="640" t="n"/>
      <c r="O2396" s="640">
        <f>IF(AND(N2396=1,L2396=1),K2396,"")</f>
        <v/>
      </c>
      <c r="P2396" s="642" t="inlineStr">
        <is>
          <t>Нижегородская обл., г. Бор, на правой стороне транспортной развязки Бор-Киров (улица Красногорка, 99А)</t>
        </is>
      </c>
      <c r="Q2396" s="640" t="inlineStr">
        <is>
          <t>56.391956</t>
        </is>
      </c>
      <c r="R2396" s="494" t="inlineStr">
        <is>
          <t>44.011314</t>
        </is>
      </c>
      <c r="S2396" s="387" t="n"/>
      <c r="T2396" s="387" t="n"/>
      <c r="U2396" s="436" t="n"/>
      <c r="V2396" s="387" t="n"/>
      <c r="W2396" s="387">
        <f>IF(AND(N2396=1,O2396&lt;&gt;""),C2396,"")</f>
        <v/>
      </c>
      <c r="X2396" s="387" t="n"/>
      <c r="Y2396" s="387" t="n"/>
    </row>
    <row r="2397" hidden="1" ht="35.1" customFormat="1" customHeight="1" s="126">
      <c r="A2397" s="125" t="n">
        <v>3018</v>
      </c>
      <c r="B2397" s="125" t="n"/>
      <c r="C2397" s="416" t="inlineStr">
        <is>
          <t>Приволжье (Нижний Новгород, Казань)</t>
        </is>
      </c>
      <c r="D2397" s="130" t="inlineStr">
        <is>
          <t>Нижегородская обл.</t>
        </is>
      </c>
      <c r="E2397" s="130" t="n"/>
      <c r="F2397" s="130" t="inlineStr">
        <is>
          <t>АЗС</t>
        </is>
      </c>
      <c r="G2397" s="130" t="inlineStr">
        <is>
          <t>Газпромнефть</t>
        </is>
      </c>
      <c r="H2397" s="131" t="n"/>
      <c r="I2397" s="637" t="n">
        <v>14247</v>
      </c>
      <c r="J2397" s="637" t="inlineStr">
        <is>
          <t>GPN_14247</t>
        </is>
      </c>
      <c r="K2397" s="640" t="n">
        <v>3</v>
      </c>
      <c r="L2397" s="640" t="n">
        <v>1</v>
      </c>
      <c r="M2397" s="623" t="n">
        <v>5</v>
      </c>
      <c r="N2397" s="640" t="n"/>
      <c r="O2397" s="640">
        <f>IF(AND(N2397=1,L2397=1),K2397,"")</f>
        <v/>
      </c>
      <c r="P2397" s="642" t="inlineStr">
        <is>
          <t>Нижегородская обл., г. Бор, ул. Кольцова, 24а</t>
        </is>
      </c>
      <c r="Q2397" s="640" t="inlineStr">
        <is>
          <t>56.377582</t>
        </is>
      </c>
      <c r="R2397" s="494" t="inlineStr">
        <is>
          <t>44.055879</t>
        </is>
      </c>
      <c r="S2397" s="387" t="n"/>
      <c r="T2397" s="387" t="n"/>
      <c r="U2397" s="436" t="n"/>
      <c r="V2397" s="387" t="n"/>
      <c r="W2397" s="387">
        <f>IF(AND(N2397=1,O2397&lt;&gt;""),C2397,"")</f>
        <v/>
      </c>
      <c r="X2397" s="387" t="n"/>
      <c r="Y2397" s="387" t="n"/>
    </row>
    <row r="2398" hidden="1" ht="35.1" customFormat="1" customHeight="1" s="126">
      <c r="A2398" s="125" t="n">
        <v>3019</v>
      </c>
      <c r="B2398" s="125" t="n"/>
      <c r="C2398" s="416" t="inlineStr">
        <is>
          <t>Приволжье (Нижний Новгород, Казань)</t>
        </is>
      </c>
      <c r="D2398" s="130" t="inlineStr">
        <is>
          <t>Нижний Новгород</t>
        </is>
      </c>
      <c r="E2398" s="130" t="n"/>
      <c r="F2398" s="130" t="inlineStr">
        <is>
          <t>АЗС</t>
        </is>
      </c>
      <c r="G2398" s="130" t="inlineStr">
        <is>
          <t>Газпромнефть</t>
        </is>
      </c>
      <c r="H2398" s="131" t="n"/>
      <c r="I2398" s="637" t="n">
        <v>14252</v>
      </c>
      <c r="J2398" s="637" t="inlineStr">
        <is>
          <t>GPN_14252</t>
        </is>
      </c>
      <c r="K2398" s="640" t="n">
        <v>3</v>
      </c>
      <c r="L2398" s="640" t="n">
        <v>1</v>
      </c>
      <c r="M2398" s="623" t="n">
        <v>6</v>
      </c>
      <c r="N2398" s="640" t="n"/>
      <c r="O2398" s="640">
        <f>IF(AND(N2398=1,L2398=1),K2398,"")</f>
        <v/>
      </c>
      <c r="P2398" s="642" t="inlineStr">
        <is>
          <t>Нижний Новгород, Академика Сахарова, 8</t>
        </is>
      </c>
      <c r="Q2398" s="640" t="inlineStr">
        <is>
          <t>56.263177</t>
        </is>
      </c>
      <c r="R2398" s="494" t="inlineStr">
        <is>
          <t>44.021976</t>
        </is>
      </c>
      <c r="S2398" s="387" t="n"/>
      <c r="T2398" s="387" t="n"/>
      <c r="U2398" s="436" t="n"/>
      <c r="V2398" s="387" t="n"/>
      <c r="W2398" s="387">
        <f>IF(AND(N2398=1,O2398&lt;&gt;""),C2398,"")</f>
        <v/>
      </c>
      <c r="X2398" s="387" t="n"/>
      <c r="Y2398" s="387" t="n"/>
    </row>
    <row r="2399" hidden="1" ht="35.1" customFormat="1" customHeight="1" s="126">
      <c r="A2399" s="125" t="n">
        <v>3020</v>
      </c>
      <c r="B2399" s="125" t="n"/>
      <c r="C2399" s="416" t="inlineStr">
        <is>
          <t>Приволжье (Нижний Новгород, Казань)</t>
        </is>
      </c>
      <c r="D2399" s="130" t="inlineStr">
        <is>
          <t>Нижний Новгород</t>
        </is>
      </c>
      <c r="E2399" s="130" t="n"/>
      <c r="F2399" s="130" t="inlineStr">
        <is>
          <t>АЗС</t>
        </is>
      </c>
      <c r="G2399" s="130" t="inlineStr">
        <is>
          <t>Газпромнефть</t>
        </is>
      </c>
      <c r="H2399" s="131" t="n"/>
      <c r="I2399" s="637" t="n">
        <v>14253</v>
      </c>
      <c r="J2399" s="637" t="inlineStr">
        <is>
          <t>GPN_14253</t>
        </is>
      </c>
      <c r="K2399" s="640" t="n">
        <v>3</v>
      </c>
      <c r="L2399" s="640" t="n">
        <v>1</v>
      </c>
      <c r="M2399" s="623" t="n">
        <v>6</v>
      </c>
      <c r="N2399" s="640" t="n"/>
      <c r="O2399" s="640">
        <f>IF(AND(N2399=1,L2399=1),K2399,"")</f>
        <v/>
      </c>
      <c r="P2399" s="642" t="inlineStr">
        <is>
          <t>г. Нижний Новгород, Сормовский район, улица Щербакова (г. Нижний Новгород,  улица Щербакова, с 27)</t>
        </is>
      </c>
      <c r="Q2399" s="640" t="inlineStr">
        <is>
          <t>56.350871</t>
        </is>
      </c>
      <c r="R2399" s="494" t="inlineStr">
        <is>
          <t>43.875145</t>
        </is>
      </c>
      <c r="S2399" s="387" t="n"/>
      <c r="T2399" s="387" t="n"/>
      <c r="U2399" s="436" t="n"/>
      <c r="V2399" s="387" t="n"/>
      <c r="W2399" s="387">
        <f>IF(AND(N2399=1,O2399&lt;&gt;""),C2399,"")</f>
        <v/>
      </c>
      <c r="X2399" s="387" t="n"/>
      <c r="Y2399" s="387" t="n"/>
    </row>
    <row r="2400" hidden="1" ht="35.1" customFormat="1" customHeight="1" s="126">
      <c r="A2400" s="125" t="n">
        <v>3021</v>
      </c>
      <c r="B2400" s="125" t="n"/>
      <c r="C2400" s="130" t="inlineStr">
        <is>
          <t>Краснодар</t>
        </is>
      </c>
      <c r="D2400" s="130" t="inlineStr">
        <is>
          <t>Краснодар</t>
        </is>
      </c>
      <c r="E2400" s="130" t="n"/>
      <c r="F2400" s="130" t="inlineStr">
        <is>
          <t>АЗС</t>
        </is>
      </c>
      <c r="G2400" s="130" t="inlineStr">
        <is>
          <t>Газпромнефть</t>
        </is>
      </c>
      <c r="H2400" s="131" t="n"/>
      <c r="I2400" s="637" t="n">
        <v>15001</v>
      </c>
      <c r="J2400" s="637" t="inlineStr">
        <is>
          <t>GPN_15001</t>
        </is>
      </c>
      <c r="K2400" s="640" t="n">
        <v>3</v>
      </c>
      <c r="L2400" s="640" t="n">
        <v>1</v>
      </c>
      <c r="M2400" s="623" t="n">
        <v>5</v>
      </c>
      <c r="N2400" s="640" t="n"/>
      <c r="O2400" s="640">
        <f>IF(AND(N2400=1,L2400=1),K2400,"")</f>
        <v/>
      </c>
      <c r="P2400" s="642" t="inlineStr">
        <is>
          <t>Краснодарский край, г.Краснодар, ул.Селезнева, д. 205</t>
        </is>
      </c>
      <c r="Q2400" s="640" t="inlineStr">
        <is>
          <t>45.01786</t>
        </is>
      </c>
      <c r="R2400" s="494" t="inlineStr">
        <is>
          <t>39.05341</t>
        </is>
      </c>
      <c r="S2400" s="387" t="n"/>
      <c r="T2400" s="387" t="n"/>
      <c r="U2400" s="436" t="n"/>
      <c r="V2400" s="387" t="n"/>
      <c r="W2400" s="387">
        <f>IF(AND(N2400=1,O2400&lt;&gt;""),C2400,"")</f>
        <v/>
      </c>
      <c r="X2400" s="387" t="n"/>
      <c r="Y2400" s="387" t="n"/>
    </row>
    <row r="2401" hidden="1" ht="35.1" customFormat="1" customHeight="1" s="126">
      <c r="A2401" s="125" t="n">
        <v>3022</v>
      </c>
      <c r="B2401" s="125" t="n"/>
      <c r="C2401" s="130" t="inlineStr">
        <is>
          <t>Краснодар</t>
        </is>
      </c>
      <c r="D2401" s="130" t="inlineStr">
        <is>
          <t>Краснодар</t>
        </is>
      </c>
      <c r="E2401" s="130" t="n"/>
      <c r="F2401" s="130" t="inlineStr">
        <is>
          <t>АЗС</t>
        </is>
      </c>
      <c r="G2401" s="130" t="inlineStr">
        <is>
          <t>Газпромнефть</t>
        </is>
      </c>
      <c r="H2401" s="131" t="n"/>
      <c r="I2401" s="637" t="n">
        <v>15002</v>
      </c>
      <c r="J2401" s="637" t="inlineStr">
        <is>
          <t>GPN_15002</t>
        </is>
      </c>
      <c r="K2401" s="640" t="n">
        <v>3</v>
      </c>
      <c r="L2401" s="640" t="n">
        <v>1</v>
      </c>
      <c r="M2401" s="623" t="n">
        <v>4</v>
      </c>
      <c r="N2401" s="640" t="n"/>
      <c r="O2401" s="640">
        <f>IF(AND(N2401=1,L2401=1),K2401,"")</f>
        <v/>
      </c>
      <c r="P2401" s="642" t="inlineStr">
        <is>
          <t>Краснодарский край, г.Краснодар, ул.Уральская, 194/1</t>
        </is>
      </c>
      <c r="Q2401" s="640" t="inlineStr">
        <is>
          <t>45.042935</t>
        </is>
      </c>
      <c r="R2401" s="494" t="inlineStr">
        <is>
          <t>39.108282</t>
        </is>
      </c>
      <c r="S2401" s="387" t="n"/>
      <c r="T2401" s="387" t="n"/>
      <c r="U2401" s="436" t="n"/>
      <c r="V2401" s="387" t="n"/>
      <c r="W2401" s="387">
        <f>IF(AND(N2401=1,O2401&lt;&gt;""),C2401,"")</f>
        <v/>
      </c>
      <c r="X2401" s="387" t="n"/>
      <c r="Y2401" s="387" t="n"/>
    </row>
    <row r="2402" hidden="1" ht="35.1" customFormat="1" customHeight="1" s="126">
      <c r="A2402" s="125" t="n">
        <v>3023</v>
      </c>
      <c r="B2402" s="125" t="n"/>
      <c r="C2402" s="130" t="inlineStr">
        <is>
          <t>Краснодар</t>
        </is>
      </c>
      <c r="D2402" s="130" t="inlineStr">
        <is>
          <t>Краснодар</t>
        </is>
      </c>
      <c r="E2402" s="130" t="n"/>
      <c r="F2402" s="130" t="inlineStr">
        <is>
          <t>АЗС</t>
        </is>
      </c>
      <c r="G2402" s="130" t="inlineStr">
        <is>
          <t>Газпромнефть</t>
        </is>
      </c>
      <c r="H2402" s="131" t="n"/>
      <c r="I2402" s="637" t="n">
        <v>15004</v>
      </c>
      <c r="J2402" s="637" t="inlineStr">
        <is>
          <t>GPN_15004</t>
        </is>
      </c>
      <c r="K2402" s="640" t="n">
        <v>3</v>
      </c>
      <c r="L2402" s="640" t="n">
        <v>1</v>
      </c>
      <c r="M2402" s="623" t="n">
        <v>4</v>
      </c>
      <c r="N2402" s="640" t="n"/>
      <c r="O2402" s="640">
        <f>IF(AND(N2402=1,L2402=1),K2402,"")</f>
        <v/>
      </c>
      <c r="P2402" s="642" t="inlineStr">
        <is>
          <t>Краснодарский край, г.Краснодар, ул.Суворова, 2/1</t>
        </is>
      </c>
      <c r="Q2402" s="640" t="inlineStr">
        <is>
          <t>45.014371</t>
        </is>
      </c>
      <c r="R2402" s="494" t="inlineStr">
        <is>
          <t>38.977514</t>
        </is>
      </c>
      <c r="S2402" s="387" t="n"/>
      <c r="T2402" s="387" t="n"/>
      <c r="U2402" s="436" t="n"/>
      <c r="V2402" s="387" t="n"/>
      <c r="W2402" s="387">
        <f>IF(AND(N2402=1,O2402&lt;&gt;""),C2402,"")</f>
        <v/>
      </c>
      <c r="X2402" s="387" t="n"/>
      <c r="Y2402" s="387" t="n"/>
    </row>
    <row r="2403" hidden="1" ht="16.05" customFormat="1" customHeight="1" s="126">
      <c r="A2403" s="125" t="n">
        <v>3024</v>
      </c>
      <c r="B2403" s="125" t="n"/>
      <c r="C2403" s="130" t="inlineStr">
        <is>
          <t>Краснодар</t>
        </is>
      </c>
      <c r="D2403" s="130" t="inlineStr">
        <is>
          <t>Краснодарский край</t>
        </is>
      </c>
      <c r="E2403" s="130" t="n"/>
      <c r="F2403" s="130" t="inlineStr">
        <is>
          <t>АЗС</t>
        </is>
      </c>
      <c r="G2403" s="130" t="inlineStr">
        <is>
          <t>Газпромнефть</t>
        </is>
      </c>
      <c r="H2403" s="131" t="n"/>
      <c r="I2403" s="637" t="n">
        <v>15005</v>
      </c>
      <c r="J2403" s="637" t="inlineStr">
        <is>
          <t>GPN_15005</t>
        </is>
      </c>
      <c r="K2403" s="640" t="n">
        <v>3</v>
      </c>
      <c r="L2403" s="640" t="n">
        <v>1</v>
      </c>
      <c r="M2403" s="623" t="n">
        <v>3</v>
      </c>
      <c r="N2403" s="640" t="n"/>
      <c r="O2403" s="640">
        <f>IF(AND(N2403=1,L2403=1),K2403,"")</f>
        <v/>
      </c>
      <c r="P2403" s="642" t="inlineStr">
        <is>
          <t>Краснодарский край, Динской район, ст-ца Новотиторовская, транзит Краснодар-Ейск, 15-й км.</t>
        </is>
      </c>
      <c r="Q2403" s="640" t="inlineStr">
        <is>
          <t>45.25501</t>
        </is>
      </c>
      <c r="R2403" s="494" t="inlineStr">
        <is>
          <t>38.99719</t>
        </is>
      </c>
      <c r="S2403" s="387" t="n"/>
      <c r="T2403" s="387" t="n"/>
      <c r="U2403" s="436" t="n"/>
      <c r="V2403" s="387" t="n"/>
      <c r="W2403" s="387">
        <f>IF(AND(N2403=1,O2403&lt;&gt;""),C2403,"")</f>
        <v/>
      </c>
      <c r="X2403" s="387" t="n"/>
      <c r="Y2403" s="387" t="n"/>
    </row>
    <row r="2404" hidden="1" ht="16.05" customFormat="1" customHeight="1" s="126">
      <c r="A2404" s="125" t="n">
        <v>3025</v>
      </c>
      <c r="B2404" s="125" t="n"/>
      <c r="C2404" s="130" t="inlineStr">
        <is>
          <t>Краснодар</t>
        </is>
      </c>
      <c r="D2404" s="130" t="inlineStr">
        <is>
          <t>Краснодарский край</t>
        </is>
      </c>
      <c r="E2404" s="130" t="n"/>
      <c r="F2404" s="130" t="inlineStr">
        <is>
          <t>АЗС</t>
        </is>
      </c>
      <c r="G2404" s="130" t="inlineStr">
        <is>
          <t>Газпромнефть</t>
        </is>
      </c>
      <c r="H2404" s="131" t="n"/>
      <c r="I2404" s="637" t="n">
        <v>15006</v>
      </c>
      <c r="J2404" s="637" t="inlineStr">
        <is>
          <t>GPN_15006</t>
        </is>
      </c>
      <c r="K2404" s="640" t="n">
        <v>3</v>
      </c>
      <c r="L2404" s="640" t="n">
        <v>1</v>
      </c>
      <c r="M2404" s="623" t="n">
        <v>3</v>
      </c>
      <c r="N2404" s="640" t="n"/>
      <c r="O2404" s="640">
        <f>IF(AND(N2404=1,L2404=1),K2404,"")</f>
        <v/>
      </c>
      <c r="P2404" s="642" t="inlineStr">
        <is>
          <t>Краснодарский край, г.Горячий Ключ, а/дор.Краснодар-Джубга, 68 км. слева</t>
        </is>
      </c>
      <c r="Q2404" s="640" t="inlineStr">
        <is>
          <t>44.64117</t>
        </is>
      </c>
      <c r="R2404" s="494" t="inlineStr">
        <is>
          <t>39.11549</t>
        </is>
      </c>
      <c r="S2404" s="387" t="n"/>
      <c r="T2404" s="387" t="n"/>
      <c r="U2404" s="436" t="n"/>
      <c r="V2404" s="387" t="n"/>
      <c r="W2404" s="387">
        <f>IF(AND(N2404=1,O2404&lt;&gt;""),C2404,"")</f>
        <v/>
      </c>
      <c r="X2404" s="387" t="n"/>
      <c r="Y2404" s="387" t="n"/>
    </row>
    <row r="2405" hidden="1" ht="16.05" customFormat="1" customHeight="1" s="126">
      <c r="A2405" s="125" t="n">
        <v>3026</v>
      </c>
      <c r="B2405" s="125" t="n"/>
      <c r="C2405" s="130" t="inlineStr">
        <is>
          <t>Краснодар</t>
        </is>
      </c>
      <c r="D2405" s="130" t="inlineStr">
        <is>
          <t>Краснодарский край</t>
        </is>
      </c>
      <c r="E2405" s="130" t="n"/>
      <c r="F2405" s="130" t="inlineStr">
        <is>
          <t>АЗС</t>
        </is>
      </c>
      <c r="G2405" s="130" t="inlineStr">
        <is>
          <t>Газпромнефть</t>
        </is>
      </c>
      <c r="H2405" s="131" t="n"/>
      <c r="I2405" s="637" t="n">
        <v>15008</v>
      </c>
      <c r="J2405" s="637" t="inlineStr">
        <is>
          <t>GPN_15008</t>
        </is>
      </c>
      <c r="K2405" s="640" t="n">
        <v>3</v>
      </c>
      <c r="L2405" s="640" t="n">
        <v>1</v>
      </c>
      <c r="M2405" s="623" t="n">
        <v>3</v>
      </c>
      <c r="N2405" s="640" t="n"/>
      <c r="O2405" s="640">
        <f>IF(AND(N2405=1,L2405=1),K2405,"")</f>
        <v/>
      </c>
      <c r="P2405" s="642" t="inlineStr">
        <is>
          <t>Краснодарский край, г.Горячий Ключ, ул.Кучерявого, 64</t>
        </is>
      </c>
      <c r="Q2405" s="640" t="inlineStr">
        <is>
          <t>44.637331</t>
        </is>
      </c>
      <c r="R2405" s="494" t="inlineStr">
        <is>
          <t>39.116187</t>
        </is>
      </c>
      <c r="S2405" s="387" t="n"/>
      <c r="T2405" s="387" t="n"/>
      <c r="U2405" s="436" t="n"/>
      <c r="V2405" s="387" t="n"/>
      <c r="W2405" s="387">
        <f>IF(AND(N2405=1,O2405&lt;&gt;""),C2405,"")</f>
        <v/>
      </c>
      <c r="X2405" s="387" t="n"/>
      <c r="Y2405" s="387" t="n"/>
    </row>
    <row r="2406" hidden="1" ht="16.05" customFormat="1" customHeight="1" s="126">
      <c r="A2406" s="125" t="n">
        <v>3027</v>
      </c>
      <c r="B2406" s="125" t="n"/>
      <c r="C2406" s="130" t="inlineStr">
        <is>
          <t>Краснодар</t>
        </is>
      </c>
      <c r="D2406" s="130" t="inlineStr">
        <is>
          <t>Краснодар</t>
        </is>
      </c>
      <c r="E2406" s="130" t="n"/>
      <c r="F2406" s="130" t="inlineStr">
        <is>
          <t>АЗС</t>
        </is>
      </c>
      <c r="G2406" s="130" t="inlineStr">
        <is>
          <t>Газпромнефть</t>
        </is>
      </c>
      <c r="H2406" s="131" t="n"/>
      <c r="I2406" s="637" t="n">
        <v>15010</v>
      </c>
      <c r="J2406" s="637" t="inlineStr">
        <is>
          <t>GPN_15010</t>
        </is>
      </c>
      <c r="K2406" s="640" t="n">
        <v>3</v>
      </c>
      <c r="L2406" s="640" t="n">
        <v>1</v>
      </c>
      <c r="M2406" s="623" t="n">
        <v>6</v>
      </c>
      <c r="N2406" s="640" t="n"/>
      <c r="O2406" s="640">
        <f>IF(AND(N2406=1,L2406=1),K2406,"")</f>
        <v/>
      </c>
      <c r="P2406" s="642" t="inlineStr">
        <is>
          <t>Краснодарский край, г.Краснодар, Карасунский округ Почтовое отделение №27 (г.Краснодар, ул. Селезнёва, 1)</t>
        </is>
      </c>
      <c r="Q2406" s="640" t="inlineStr">
        <is>
          <t>45.028921</t>
        </is>
      </c>
      <c r="R2406" s="494" t="inlineStr">
        <is>
          <t>39.016202</t>
        </is>
      </c>
      <c r="S2406" s="387" t="n"/>
      <c r="T2406" s="387" t="n"/>
      <c r="U2406" s="436" t="n"/>
      <c r="V2406" s="387" t="n"/>
      <c r="W2406" s="387">
        <f>IF(AND(N2406=1,O2406&lt;&gt;""),C2406,"")</f>
        <v/>
      </c>
      <c r="X2406" s="387" t="n"/>
      <c r="Y2406" s="387" t="n"/>
    </row>
    <row r="2407" hidden="1" ht="16.05" customFormat="1" customHeight="1" s="126">
      <c r="A2407" s="125" t="n">
        <v>3028</v>
      </c>
      <c r="B2407" s="125" t="n"/>
      <c r="C2407" s="130" t="inlineStr">
        <is>
          <t>Краснодар</t>
        </is>
      </c>
      <c r="D2407" s="130" t="inlineStr">
        <is>
          <t>Краснодарский край</t>
        </is>
      </c>
      <c r="E2407" s="130" t="n"/>
      <c r="F2407" s="130" t="inlineStr">
        <is>
          <t>АЗС</t>
        </is>
      </c>
      <c r="G2407" s="130" t="inlineStr">
        <is>
          <t>Газпромнефть</t>
        </is>
      </c>
      <c r="H2407" s="131" t="n"/>
      <c r="I2407" s="637" t="n">
        <v>15014</v>
      </c>
      <c r="J2407" s="637" t="inlineStr">
        <is>
          <t>GPN_15014</t>
        </is>
      </c>
      <c r="K2407" s="640" t="n">
        <v>3</v>
      </c>
      <c r="L2407" s="640" t="n">
        <v>1</v>
      </c>
      <c r="M2407" s="623" t="n">
        <v>3</v>
      </c>
      <c r="N2407" s="640" t="n"/>
      <c r="O2407" s="640">
        <f>IF(AND(N2407=1,L2407=1),K2407,"")</f>
        <v/>
      </c>
      <c r="P2407" s="642" t="inlineStr">
        <is>
          <t>Краснодарский край, г.Геленждик, Автомагистраль "Дон", 1511км.+900м. слева</t>
        </is>
      </c>
      <c r="Q2407" s="640" t="inlineStr">
        <is>
          <t>44.58561</t>
        </is>
      </c>
      <c r="R2407" s="494" t="inlineStr">
        <is>
          <t>38.07084</t>
        </is>
      </c>
      <c r="S2407" s="387" t="n"/>
      <c r="T2407" s="387" t="n"/>
      <c r="U2407" s="436" t="n"/>
      <c r="V2407" s="387" t="n"/>
      <c r="W2407" s="387">
        <f>IF(AND(N2407=1,O2407&lt;&gt;""),C2407,"")</f>
        <v/>
      </c>
      <c r="X2407" s="387" t="n"/>
      <c r="Y2407" s="387" t="n"/>
    </row>
    <row r="2408" hidden="1" ht="16.05" customFormat="1" customHeight="1" s="126">
      <c r="A2408" s="125" t="n">
        <v>3029</v>
      </c>
      <c r="B2408" s="125" t="n"/>
      <c r="C2408" s="130" t="inlineStr">
        <is>
          <t>Краснодар</t>
        </is>
      </c>
      <c r="D2408" s="130" t="inlineStr">
        <is>
          <t>Краснодар</t>
        </is>
      </c>
      <c r="E2408" s="130" t="n"/>
      <c r="F2408" s="130" t="inlineStr">
        <is>
          <t>АЗС</t>
        </is>
      </c>
      <c r="G2408" s="130" t="inlineStr">
        <is>
          <t>Газпромнефть</t>
        </is>
      </c>
      <c r="H2408" s="131" t="n"/>
      <c r="I2408" s="637" t="n">
        <v>15019</v>
      </c>
      <c r="J2408" s="637" t="inlineStr">
        <is>
          <t>GPN_15019</t>
        </is>
      </c>
      <c r="K2408" s="640" t="n">
        <v>3</v>
      </c>
      <c r="L2408" s="640" t="n">
        <v>1</v>
      </c>
      <c r="M2408" s="623" t="n">
        <v>3</v>
      </c>
      <c r="N2408" s="640" t="n"/>
      <c r="O2408" s="640">
        <f>IF(AND(N2408=1,L2408=1),K2408,"")</f>
        <v/>
      </c>
      <c r="P2408" s="642" t="inlineStr">
        <is>
          <t>Краснодарский край, г.Краснодар, ул.Ялтинская, 30</t>
        </is>
      </c>
      <c r="Q2408" s="640" t="inlineStr">
        <is>
          <t>45.031311</t>
        </is>
      </c>
      <c r="R2408" s="494" t="inlineStr">
        <is>
          <t>39.028628</t>
        </is>
      </c>
      <c r="S2408" s="387" t="n"/>
      <c r="T2408" s="387" t="n"/>
      <c r="U2408" s="436" t="n"/>
      <c r="V2408" s="387" t="n"/>
      <c r="W2408" s="387">
        <f>IF(AND(N2408=1,O2408&lt;&gt;""),C2408,"")</f>
        <v/>
      </c>
      <c r="X2408" s="387" t="n"/>
      <c r="Y2408" s="387" t="n"/>
    </row>
    <row r="2409" hidden="1" ht="16.05" customFormat="1" customHeight="1" s="126">
      <c r="A2409" s="125" t="n">
        <v>3030</v>
      </c>
      <c r="B2409" s="125" t="n"/>
      <c r="C2409" s="130" t="inlineStr">
        <is>
          <t>Краснодар</t>
        </is>
      </c>
      <c r="D2409" s="130" t="inlineStr">
        <is>
          <t>Краснодар</t>
        </is>
      </c>
      <c r="E2409" s="130" t="n"/>
      <c r="F2409" s="130" t="inlineStr">
        <is>
          <t>АЗС</t>
        </is>
      </c>
      <c r="G2409" s="130" t="inlineStr">
        <is>
          <t>Газпромнефть</t>
        </is>
      </c>
      <c r="H2409" s="131" t="n"/>
      <c r="I2409" s="637" t="n">
        <v>15020</v>
      </c>
      <c r="J2409" s="637" t="inlineStr">
        <is>
          <t>GPN_15020</t>
        </is>
      </c>
      <c r="K2409" s="640" t="n">
        <v>3</v>
      </c>
      <c r="L2409" s="640" t="n">
        <v>1</v>
      </c>
      <c r="M2409" s="623" t="n">
        <v>3</v>
      </c>
      <c r="N2409" s="640" t="n"/>
      <c r="O2409" s="640">
        <f>IF(AND(N2409=1,L2409=1),K2409,"")</f>
        <v/>
      </c>
      <c r="P2409" s="642" t="inlineStr">
        <is>
          <t>Краснодарский край, г.Краснодар, ул. Уральская, 96/3</t>
        </is>
      </c>
      <c r="Q2409" s="640" t="inlineStr">
        <is>
          <t>45.031572</t>
        </is>
      </c>
      <c r="R2409" s="494" t="inlineStr">
        <is>
          <t>39.041402</t>
        </is>
      </c>
      <c r="S2409" s="387" t="n"/>
      <c r="T2409" s="387" t="n"/>
      <c r="U2409" s="436" t="n"/>
      <c r="V2409" s="387" t="n"/>
      <c r="W2409" s="387">
        <f>IF(AND(N2409=1,O2409&lt;&gt;""),C2409,"")</f>
        <v/>
      </c>
      <c r="X2409" s="387" t="n"/>
      <c r="Y2409" s="387" t="n"/>
    </row>
    <row r="2410" hidden="1" ht="16.05" customFormat="1" customHeight="1" s="126">
      <c r="A2410" s="125" t="n">
        <v>3031</v>
      </c>
      <c r="B2410" s="125" t="n"/>
      <c r="C2410" s="130" t="inlineStr">
        <is>
          <t>Краснодар</t>
        </is>
      </c>
      <c r="D2410" s="130" t="inlineStr">
        <is>
          <t>Краснодарский край</t>
        </is>
      </c>
      <c r="E2410" s="130" t="n"/>
      <c r="F2410" s="130" t="inlineStr">
        <is>
          <t>АЗС</t>
        </is>
      </c>
      <c r="G2410" s="130" t="inlineStr">
        <is>
          <t>Газпромнефть</t>
        </is>
      </c>
      <c r="H2410" s="131" t="n"/>
      <c r="I2410" s="637" t="n">
        <v>15036</v>
      </c>
      <c r="J2410" s="637" t="inlineStr">
        <is>
          <t>GPN_15036</t>
        </is>
      </c>
      <c r="K2410" s="640" t="n">
        <v>3</v>
      </c>
      <c r="L2410" s="640" t="n">
        <v>1</v>
      </c>
      <c r="M2410" s="623" t="n">
        <v>5</v>
      </c>
      <c r="N2410" s="640" t="n"/>
      <c r="O2410" s="640">
        <f>IF(AND(N2410=1,L2410=1),K2410,"")</f>
        <v/>
      </c>
      <c r="P2410" s="642" t="inlineStr">
        <is>
          <t>Республика Адыгея, Теучежский район, а/д Краснодар-новороссийск км 12 слева</t>
        </is>
      </c>
      <c r="Q2410" s="640" t="inlineStr">
        <is>
          <t>44.95604</t>
        </is>
      </c>
      <c r="R2410" s="494" t="inlineStr">
        <is>
          <t>38.95913</t>
        </is>
      </c>
      <c r="S2410" s="387" t="n"/>
      <c r="T2410" s="387" t="n"/>
      <c r="U2410" s="436" t="n"/>
      <c r="V2410" s="387" t="n"/>
      <c r="W2410" s="387">
        <f>IF(AND(N2410=1,O2410&lt;&gt;""),C2410,"")</f>
        <v/>
      </c>
      <c r="X2410" s="387" t="n"/>
      <c r="Y2410" s="387" t="n"/>
    </row>
    <row r="2411" hidden="1" ht="16.05" customFormat="1" customHeight="1" s="126">
      <c r="A2411" s="125" t="n">
        <v>3032</v>
      </c>
      <c r="B2411" s="125" t="n"/>
      <c r="C2411" s="130" t="inlineStr">
        <is>
          <t>Краснодар</t>
        </is>
      </c>
      <c r="D2411" s="130" t="inlineStr">
        <is>
          <t>Краснодарский край</t>
        </is>
      </c>
      <c r="E2411" s="130" t="n"/>
      <c r="F2411" s="130" t="inlineStr">
        <is>
          <t>АЗС</t>
        </is>
      </c>
      <c r="G2411" s="130" t="inlineStr">
        <is>
          <t>Газпромнефть</t>
        </is>
      </c>
      <c r="H2411" s="131" t="n"/>
      <c r="I2411" s="637" t="n">
        <v>15040</v>
      </c>
      <c r="J2411" s="637" t="inlineStr">
        <is>
          <t>GPN_15040</t>
        </is>
      </c>
      <c r="K2411" s="640" t="n">
        <v>3</v>
      </c>
      <c r="L2411" s="640" t="n">
        <v>1</v>
      </c>
      <c r="M2411" s="623" t="n">
        <v>3</v>
      </c>
      <c r="N2411" s="640" t="n"/>
      <c r="O2411" s="640">
        <f>IF(AND(N2411=1,L2411=1),K2411,"")</f>
        <v/>
      </c>
      <c r="P2411" s="642" t="inlineStr">
        <is>
          <t>Туапсинский район,пос. Джубга, Новороссийское шоссе, км 3 +750 справа</t>
        </is>
      </c>
      <c r="Q2411" s="640" t="inlineStr">
        <is>
          <t>44.33356</t>
        </is>
      </c>
      <c r="R2411" s="494" t="inlineStr">
        <is>
          <t>38.70127</t>
        </is>
      </c>
      <c r="S2411" s="387" t="n"/>
      <c r="T2411" s="387" t="n"/>
      <c r="U2411" s="436" t="n"/>
      <c r="V2411" s="387" t="n"/>
      <c r="W2411" s="387">
        <f>IF(AND(N2411=1,O2411&lt;&gt;""),C2411,"")</f>
        <v/>
      </c>
      <c r="X2411" s="387" t="n"/>
      <c r="Y2411" s="387" t="n"/>
    </row>
    <row r="2412" hidden="1" ht="16.05" customFormat="1" customHeight="1" s="126">
      <c r="A2412" s="125" t="n">
        <v>3033</v>
      </c>
      <c r="B2412" s="125" t="n"/>
      <c r="C2412" s="130" t="inlineStr">
        <is>
          <t>Краснодар</t>
        </is>
      </c>
      <c r="D2412" s="130" t="inlineStr">
        <is>
          <t>Краснодар</t>
        </is>
      </c>
      <c r="E2412" s="130" t="n"/>
      <c r="F2412" s="130" t="inlineStr">
        <is>
          <t>АЗС</t>
        </is>
      </c>
      <c r="G2412" s="130" t="inlineStr">
        <is>
          <t>Газпромнефть</t>
        </is>
      </c>
      <c r="H2412" s="131" t="n"/>
      <c r="I2412" s="637" t="n">
        <v>15046</v>
      </c>
      <c r="J2412" s="637" t="inlineStr">
        <is>
          <t>GPN_15046</t>
        </is>
      </c>
      <c r="K2412" s="640" t="n">
        <v>3</v>
      </c>
      <c r="L2412" s="640" t="n">
        <v>1</v>
      </c>
      <c r="M2412" s="623" t="n">
        <v>6</v>
      </c>
      <c r="N2412" s="640" t="n"/>
      <c r="O2412" s="640">
        <f>IF(AND(N2412=1,L2412=1),K2412,"")</f>
        <v/>
      </c>
      <c r="P2412" s="642" t="inlineStr">
        <is>
          <t>Краснодарский край, а/д Темрюк - Краснодар - Кропоткин, г. Краснодар (Россия, Краснодарский край, Темрюкский район, хутор Белый, А-290, 80-й километр)</t>
        </is>
      </c>
      <c r="Q2412" s="640" t="inlineStr">
        <is>
          <t>45.174894</t>
        </is>
      </c>
      <c r="R2412" s="494" t="inlineStr">
        <is>
          <t>37.275644</t>
        </is>
      </c>
      <c r="S2412" s="387" t="n"/>
      <c r="T2412" s="387" t="n"/>
      <c r="U2412" s="436" t="n"/>
      <c r="V2412" s="387" t="n"/>
      <c r="W2412" s="387">
        <f>IF(AND(N2412=1,O2412&lt;&gt;""),C2412,"")</f>
        <v/>
      </c>
      <c r="X2412" s="387" t="n"/>
      <c r="Y2412" s="387" t="n"/>
    </row>
    <row r="2413" hidden="1" ht="16.05" customFormat="1" customHeight="1" s="126">
      <c r="A2413" s="125" t="n">
        <v>3034</v>
      </c>
      <c r="B2413" s="125" t="n"/>
      <c r="C2413" s="130" t="inlineStr">
        <is>
          <t>Краснодар</t>
        </is>
      </c>
      <c r="D2413" s="130" t="inlineStr">
        <is>
          <t>Краснодарский край</t>
        </is>
      </c>
      <c r="E2413" s="130" t="n"/>
      <c r="F2413" s="130" t="inlineStr">
        <is>
          <t>АЗС</t>
        </is>
      </c>
      <c r="G2413" s="130" t="inlineStr">
        <is>
          <t>Газпромнефть</t>
        </is>
      </c>
      <c r="H2413" s="131" t="n"/>
      <c r="I2413" s="637" t="n">
        <v>15048</v>
      </c>
      <c r="J2413" s="637" t="inlineStr">
        <is>
          <t>GPN_15048</t>
        </is>
      </c>
      <c r="K2413" s="640" t="n">
        <v>3</v>
      </c>
      <c r="L2413" s="640" t="n">
        <v>1</v>
      </c>
      <c r="M2413" s="623" t="n">
        <v>6</v>
      </c>
      <c r="N2413" s="640" t="n"/>
      <c r="O2413" s="640">
        <f>IF(AND(N2413=1,L2413=1),K2413,"")</f>
        <v/>
      </c>
      <c r="P2413" s="642" t="inlineStr">
        <is>
          <t>Республика Адыгея, Теучежский р-н, а/м М-4 ДОН, км 1358+800</t>
        </is>
      </c>
      <c r="Q2413" s="640" t="inlineStr">
        <is>
          <t>44.90486</t>
        </is>
      </c>
      <c r="R2413" s="494" t="inlineStr">
        <is>
          <t>39.15812</t>
        </is>
      </c>
      <c r="S2413" s="387" t="n"/>
      <c r="T2413" s="387" t="n"/>
      <c r="U2413" s="436" t="n"/>
      <c r="V2413" s="387" t="n"/>
      <c r="W2413" s="387">
        <f>IF(AND(N2413=1,O2413&lt;&gt;""),C2413,"")</f>
        <v/>
      </c>
      <c r="X2413" s="387" t="n"/>
      <c r="Y2413" s="387" t="n"/>
    </row>
    <row r="2414" hidden="1" ht="16.05" customFormat="1" customHeight="1" s="126">
      <c r="A2414" s="125" t="n">
        <v>3035</v>
      </c>
      <c r="B2414" s="125" t="n"/>
      <c r="C2414" s="130" t="inlineStr">
        <is>
          <t>Краснодар</t>
        </is>
      </c>
      <c r="D2414" s="130" t="inlineStr">
        <is>
          <t>Краснодарский край</t>
        </is>
      </c>
      <c r="E2414" s="130" t="n"/>
      <c r="F2414" s="130" t="inlineStr">
        <is>
          <t>АЗС</t>
        </is>
      </c>
      <c r="G2414" s="130" t="inlineStr">
        <is>
          <t>Газпромнефть</t>
        </is>
      </c>
      <c r="H2414" s="131" t="n"/>
      <c r="I2414" s="637" t="n">
        <v>15049</v>
      </c>
      <c r="J2414" s="637" t="inlineStr">
        <is>
          <t>GPN_15049</t>
        </is>
      </c>
      <c r="K2414" s="640" t="n">
        <v>3</v>
      </c>
      <c r="L2414" s="640" t="n">
        <v>1</v>
      </c>
      <c r="M2414" s="623" t="n">
        <v>6</v>
      </c>
      <c r="N2414" s="640" t="n"/>
      <c r="O2414" s="640">
        <f>IF(AND(N2414=1,L2414=1),K2414,"")</f>
        <v/>
      </c>
      <c r="P2414" s="642" t="inlineStr">
        <is>
          <t>Республика Адыгея, Теучежский р-н, а/м М-4 ДОН км 1341+300</t>
        </is>
      </c>
      <c r="Q2414" s="640" t="inlineStr">
        <is>
          <t>44.99411</t>
        </is>
      </c>
      <c r="R2414" s="494" t="inlineStr">
        <is>
          <t>39.11257</t>
        </is>
      </c>
      <c r="S2414" s="387" t="n"/>
      <c r="T2414" s="387" t="n"/>
      <c r="U2414" s="436" t="n"/>
      <c r="V2414" s="387" t="n"/>
      <c r="W2414" s="387">
        <f>IF(AND(N2414=1,O2414&lt;&gt;""),C2414,"")</f>
        <v/>
      </c>
      <c r="X2414" s="387" t="n"/>
      <c r="Y2414" s="387" t="n"/>
    </row>
    <row r="2415" hidden="1" ht="16.05" customFormat="1" customHeight="1" s="126">
      <c r="A2415" s="125" t="n">
        <v>3036</v>
      </c>
      <c r="B2415" s="125" t="n"/>
      <c r="C2415" s="130" t="inlineStr">
        <is>
          <t>Краснодар</t>
        </is>
      </c>
      <c r="D2415" s="130" t="inlineStr">
        <is>
          <t>Краснодарский край</t>
        </is>
      </c>
      <c r="E2415" s="130" t="n"/>
      <c r="F2415" s="130" t="inlineStr">
        <is>
          <t>АЗС</t>
        </is>
      </c>
      <c r="G2415" s="130" t="inlineStr">
        <is>
          <t>Газпромнефть</t>
        </is>
      </c>
      <c r="H2415" s="131" t="n"/>
      <c r="I2415" s="637" t="n">
        <v>15054</v>
      </c>
      <c r="J2415" s="637" t="inlineStr">
        <is>
          <t>GPN_15054</t>
        </is>
      </c>
      <c r="K2415" s="640" t="n">
        <v>3</v>
      </c>
      <c r="L2415" s="640" t="n">
        <v>1</v>
      </c>
      <c r="M2415" s="623" t="n">
        <v>6</v>
      </c>
      <c r="N2415" s="640" t="n"/>
      <c r="O2415" s="640">
        <f>IF(AND(N2415=1,L2415=1),K2415,"")</f>
        <v/>
      </c>
      <c r="P2415" s="642" t="inlineStr">
        <is>
          <t>г. Сочи, Курортный проспект, 101Г</t>
        </is>
      </c>
      <c r="Q2415" s="640" t="inlineStr">
        <is>
          <t>43.552624</t>
        </is>
      </c>
      <c r="R2415" s="494" t="inlineStr">
        <is>
          <t>39.775874</t>
        </is>
      </c>
      <c r="S2415" s="387" t="n"/>
      <c r="T2415" s="387" t="n"/>
      <c r="U2415" s="436" t="n"/>
      <c r="V2415" s="387" t="n"/>
      <c r="W2415" s="387">
        <f>IF(AND(N2415=1,O2415&lt;&gt;""),C2415,"")</f>
        <v/>
      </c>
      <c r="X2415" s="387" t="n"/>
      <c r="Y2415" s="387" t="n"/>
    </row>
    <row r="2416" hidden="1" ht="16.05" customFormat="1" customHeight="1" s="126">
      <c r="A2416" s="125" t="n">
        <v>3037</v>
      </c>
      <c r="B2416" s="125" t="n"/>
      <c r="C2416" s="130" t="inlineStr">
        <is>
          <t>Краснодар</t>
        </is>
      </c>
      <c r="D2416" s="130" t="inlineStr">
        <is>
          <t>Краснодарский край</t>
        </is>
      </c>
      <c r="E2416" s="130" t="n"/>
      <c r="F2416" s="130" t="inlineStr">
        <is>
          <t>АЗС</t>
        </is>
      </c>
      <c r="G2416" s="130" t="inlineStr">
        <is>
          <t>Газпромнефть</t>
        </is>
      </c>
      <c r="H2416" s="131" t="n"/>
      <c r="I2416" s="637" t="n">
        <v>15055</v>
      </c>
      <c r="J2416" s="637" t="inlineStr">
        <is>
          <t>GPN_15055</t>
        </is>
      </c>
      <c r="K2416" s="640" t="n">
        <v>3</v>
      </c>
      <c r="L2416" s="640" t="n">
        <v>1</v>
      </c>
      <c r="M2416" s="623" t="n">
        <v>5</v>
      </c>
      <c r="N2416" s="640" t="n"/>
      <c r="O2416" s="640">
        <f>IF(AND(N2416=1,L2416=1),K2416,"")</f>
        <v/>
      </c>
      <c r="P2416" s="642" t="inlineStr">
        <is>
          <t>353457 Краснодарский край, г. Анапа, Симферопольское шоссе, 80</t>
        </is>
      </c>
      <c r="Q2416" s="640" t="inlineStr">
        <is>
          <t>44.937596</t>
        </is>
      </c>
      <c r="R2416" s="494" t="inlineStr">
        <is>
          <t>37.31935</t>
        </is>
      </c>
      <c r="S2416" s="387" t="n"/>
      <c r="T2416" s="387" t="n"/>
      <c r="U2416" s="436" t="n"/>
      <c r="V2416" s="387" t="n"/>
      <c r="W2416" s="387">
        <f>IF(AND(N2416=1,O2416&lt;&gt;""),C2416,"")</f>
        <v/>
      </c>
      <c r="X2416" s="387" t="n"/>
      <c r="Y2416" s="387" t="n"/>
    </row>
    <row r="2417" hidden="1" ht="16.05" customFormat="1" customHeight="1" s="126">
      <c r="A2417" s="125" t="n">
        <v>3038</v>
      </c>
      <c r="B2417" s="125" t="n"/>
      <c r="C2417" s="130" t="inlineStr">
        <is>
          <t>Краснодар</t>
        </is>
      </c>
      <c r="D2417" s="130" t="inlineStr">
        <is>
          <t>Краснодарский край</t>
        </is>
      </c>
      <c r="E2417" s="130" t="n"/>
      <c r="F2417" s="130" t="inlineStr">
        <is>
          <t>АЗС</t>
        </is>
      </c>
      <c r="G2417" s="130" t="inlineStr">
        <is>
          <t>Газпромнефть</t>
        </is>
      </c>
      <c r="H2417" s="131" t="n"/>
      <c r="I2417" s="637" t="n">
        <v>15061</v>
      </c>
      <c r="J2417" s="637" t="inlineStr">
        <is>
          <t>GPN_15061</t>
        </is>
      </c>
      <c r="K2417" s="640" t="n">
        <v>3</v>
      </c>
      <c r="L2417" s="640" t="n">
        <v>1</v>
      </c>
      <c r="M2417" s="623" t="n">
        <v>5</v>
      </c>
      <c r="N2417" s="640" t="n"/>
      <c r="O2417" s="640">
        <f>IF(AND(N2417=1,L2417=1),K2417,"")</f>
        <v/>
      </c>
      <c r="P2417" s="642" t="inlineStr">
        <is>
          <t>Краснодарский край, г. Армавир, ул Урупская, 17</t>
        </is>
      </c>
      <c r="Q2417" s="640" t="inlineStr">
        <is>
          <t>44.959094</t>
        </is>
      </c>
      <c r="R2417" s="494" t="inlineStr">
        <is>
          <t>41.138564</t>
        </is>
      </c>
      <c r="S2417" s="387" t="n"/>
      <c r="T2417" s="387" t="n"/>
      <c r="U2417" s="436" t="n"/>
      <c r="V2417" s="387" t="n"/>
      <c r="W2417" s="387">
        <f>IF(AND(N2417=1,O2417&lt;&gt;""),C2417,"")</f>
        <v/>
      </c>
      <c r="X2417" s="387" t="n"/>
      <c r="Y2417" s="387" t="n"/>
    </row>
    <row r="2418" hidden="1" ht="16.05" customFormat="1" customHeight="1" s="126">
      <c r="A2418" s="125" t="n">
        <v>3039</v>
      </c>
      <c r="B2418" s="125" t="n"/>
      <c r="C2418" s="130" t="inlineStr">
        <is>
          <t>Екатеринбург</t>
        </is>
      </c>
      <c r="D2418" s="130" t="inlineStr">
        <is>
          <t>Екатеринбург</t>
        </is>
      </c>
      <c r="E2418" s="130" t="n"/>
      <c r="F2418" s="130" t="inlineStr">
        <is>
          <t>АЗС</t>
        </is>
      </c>
      <c r="G2418" s="130" t="inlineStr">
        <is>
          <t>Газпромнефть</t>
        </is>
      </c>
      <c r="H2418" s="131" t="n"/>
      <c r="I2418" s="637" t="n">
        <v>20002</v>
      </c>
      <c r="J2418" s="637" t="inlineStr">
        <is>
          <t>GPN_20002</t>
        </is>
      </c>
      <c r="K2418" s="640" t="n">
        <v>3</v>
      </c>
      <c r="L2418" s="640" t="n">
        <v>1</v>
      </c>
      <c r="M2418" s="623" t="n">
        <v>3</v>
      </c>
      <c r="N2418" s="640" t="n"/>
      <c r="O2418" s="640">
        <f>IF(AND(N2418=1,L2418=1),K2418,"")</f>
        <v/>
      </c>
      <c r="P2418" s="642" t="inlineStr">
        <is>
          <t>г. Екатеринбург, ул. Титова, 37</t>
        </is>
      </c>
      <c r="Q2418" s="640" t="inlineStr">
        <is>
          <t xml:space="preserve">56.769395 </t>
        </is>
      </c>
      <c r="R2418" s="494" t="inlineStr">
        <is>
          <t xml:space="preserve">60.615459 </t>
        </is>
      </c>
      <c r="S2418" s="387" t="n"/>
      <c r="T2418" s="387" t="n"/>
      <c r="U2418" s="436" t="n"/>
      <c r="V2418" s="387" t="n"/>
      <c r="W2418" s="387">
        <f>IF(AND(N2418=1,O2418&lt;&gt;""),C2418,"")</f>
        <v/>
      </c>
      <c r="X2418" s="387" t="n"/>
      <c r="Y2418" s="387" t="n"/>
    </row>
    <row r="2419" hidden="1" ht="16.05" customFormat="1" customHeight="1" s="126">
      <c r="A2419" s="125" t="n">
        <v>3040</v>
      </c>
      <c r="B2419" s="125" t="n"/>
      <c r="C2419" s="130" t="inlineStr">
        <is>
          <t>Екатеринбург</t>
        </is>
      </c>
      <c r="D2419" s="130" t="inlineStr">
        <is>
          <t>Екатеринбург</t>
        </is>
      </c>
      <c r="E2419" s="130" t="n"/>
      <c r="F2419" s="130" t="inlineStr">
        <is>
          <t>АЗС</t>
        </is>
      </c>
      <c r="G2419" s="130" t="inlineStr">
        <is>
          <t>Газпромнефть</t>
        </is>
      </c>
      <c r="H2419" s="131" t="n"/>
      <c r="I2419" s="637" t="n">
        <v>20003</v>
      </c>
      <c r="J2419" s="637" t="inlineStr">
        <is>
          <t>GPN_20003</t>
        </is>
      </c>
      <c r="K2419" s="640" t="n">
        <v>3</v>
      </c>
      <c r="L2419" s="640" t="n">
        <v>1</v>
      </c>
      <c r="M2419" s="623" t="n">
        <v>5</v>
      </c>
      <c r="N2419" s="640" t="n"/>
      <c r="O2419" s="640">
        <f>IF(AND(N2419=1,L2419=1),K2419,"")</f>
        <v/>
      </c>
      <c r="P2419" s="642" t="inlineStr">
        <is>
          <t>г. Екатеринбург, ул.Щербакова, 216</t>
        </is>
      </c>
      <c r="Q2419" s="640" t="inlineStr">
        <is>
          <t xml:space="preserve">56.756849 </t>
        </is>
      </c>
      <c r="R2419" s="494" t="inlineStr">
        <is>
          <t xml:space="preserve">60.673652 </t>
        </is>
      </c>
      <c r="S2419" s="387" t="n"/>
      <c r="T2419" s="387" t="n"/>
      <c r="U2419" s="436" t="n"/>
      <c r="V2419" s="387" t="n"/>
      <c r="W2419" s="387">
        <f>IF(AND(N2419=1,O2419&lt;&gt;""),C2419,"")</f>
        <v/>
      </c>
      <c r="X2419" s="387" t="n"/>
      <c r="Y2419" s="387" t="n"/>
    </row>
    <row r="2420" hidden="1" ht="16.05" customFormat="1" customHeight="1" s="126">
      <c r="A2420" s="125" t="n">
        <v>3041</v>
      </c>
      <c r="B2420" s="125" t="n"/>
      <c r="C2420" s="130" t="inlineStr">
        <is>
          <t>Екатеринбург</t>
        </is>
      </c>
      <c r="D2420" s="130" t="inlineStr">
        <is>
          <t>Екатеринбург</t>
        </is>
      </c>
      <c r="E2420" s="130" t="n"/>
      <c r="F2420" s="130" t="inlineStr">
        <is>
          <t>АЗС</t>
        </is>
      </c>
      <c r="G2420" s="130" t="inlineStr">
        <is>
          <t>Газпромнефть</t>
        </is>
      </c>
      <c r="H2420" s="131" t="n"/>
      <c r="I2420" s="637" t="n">
        <v>20006</v>
      </c>
      <c r="J2420" s="637" t="inlineStr">
        <is>
          <t>GPN_20006</t>
        </is>
      </c>
      <c r="K2420" s="640" t="n">
        <v>3</v>
      </c>
      <c r="L2420" s="640" t="n">
        <v>1</v>
      </c>
      <c r="M2420" s="623" t="n">
        <v>5</v>
      </c>
      <c r="N2420" s="640" t="n"/>
      <c r="O2420" s="640">
        <f>IF(AND(N2420=1,L2420=1),K2420,"")</f>
        <v/>
      </c>
      <c r="P2420" s="642" t="inlineStr">
        <is>
          <t>г.Екатеринбург, пр. Космонавтов, 102</t>
        </is>
      </c>
      <c r="Q2420" s="640" t="inlineStr">
        <is>
          <t>56.912763</t>
        </is>
      </c>
      <c r="R2420" s="494" t="inlineStr">
        <is>
          <t>60.61297</t>
        </is>
      </c>
      <c r="S2420" s="387" t="n"/>
      <c r="T2420" s="387" t="n"/>
      <c r="U2420" s="436" t="n"/>
      <c r="V2420" s="387" t="n"/>
      <c r="W2420" s="387">
        <f>IF(AND(N2420=1,O2420&lt;&gt;""),C2420,"")</f>
        <v/>
      </c>
      <c r="X2420" s="387" t="n"/>
      <c r="Y2420" s="387" t="n"/>
    </row>
    <row r="2421" hidden="1" ht="16.05" customFormat="1" customHeight="1" s="126">
      <c r="A2421" s="125" t="n">
        <v>3042</v>
      </c>
      <c r="B2421" s="125" t="n"/>
      <c r="C2421" s="130" t="inlineStr">
        <is>
          <t>Екатеринбург</t>
        </is>
      </c>
      <c r="D2421" s="130" t="inlineStr">
        <is>
          <t>Свердловская область</t>
        </is>
      </c>
      <c r="E2421" s="130" t="n"/>
      <c r="F2421" s="130" t="inlineStr">
        <is>
          <t>АЗС</t>
        </is>
      </c>
      <c r="G2421" s="130" t="inlineStr">
        <is>
          <t>Газпромнефть</t>
        </is>
      </c>
      <c r="H2421" s="131" t="n"/>
      <c r="I2421" s="637" t="n">
        <v>20013</v>
      </c>
      <c r="J2421" s="637" t="inlineStr">
        <is>
          <t>GPN_20013</t>
        </is>
      </c>
      <c r="K2421" s="640" t="n">
        <v>3</v>
      </c>
      <c r="L2421" s="640" t="n">
        <v>1</v>
      </c>
      <c r="M2421" s="623" t="n">
        <v>3</v>
      </c>
      <c r="N2421" s="640" t="n"/>
      <c r="O2421" s="640">
        <f>IF(AND(N2421=1,L2421=1),K2421,"")</f>
        <v/>
      </c>
      <c r="P2421" s="642" t="inlineStr">
        <is>
          <t>п. Малый Исток, ул. Сибирский тракт, 17 км</t>
        </is>
      </c>
      <c r="Q2421" s="640" t="inlineStr">
        <is>
          <t>56.771793</t>
        </is>
      </c>
      <c r="R2421" s="494" t="inlineStr">
        <is>
          <t>60.866768</t>
        </is>
      </c>
      <c r="S2421" s="387" t="n"/>
      <c r="T2421" s="387" t="n"/>
      <c r="U2421" s="436" t="n"/>
      <c r="V2421" s="387" t="n"/>
      <c r="W2421" s="387">
        <f>IF(AND(N2421=1,O2421&lt;&gt;""),C2421,"")</f>
        <v/>
      </c>
      <c r="X2421" s="387" t="n"/>
      <c r="Y2421" s="387" t="n"/>
    </row>
    <row r="2422" hidden="1" ht="16.05" customFormat="1" customHeight="1" s="126">
      <c r="A2422" s="125" t="n">
        <v>3043</v>
      </c>
      <c r="B2422" s="125" t="n"/>
      <c r="C2422" s="130" t="inlineStr">
        <is>
          <t>Екатеринбург</t>
        </is>
      </c>
      <c r="D2422" s="130" t="inlineStr">
        <is>
          <t>Екатеринбург</t>
        </is>
      </c>
      <c r="E2422" s="130" t="n"/>
      <c r="F2422" s="130" t="inlineStr">
        <is>
          <t>АЗС</t>
        </is>
      </c>
      <c r="G2422" s="130" t="inlineStr">
        <is>
          <t>Газпромнефть</t>
        </is>
      </c>
      <c r="H2422" s="131" t="n"/>
      <c r="I2422" s="637" t="n">
        <v>20014</v>
      </c>
      <c r="J2422" s="637" t="inlineStr">
        <is>
          <t>GPN_20014</t>
        </is>
      </c>
      <c r="K2422" s="640" t="n">
        <v>3</v>
      </c>
      <c r="L2422" s="640" t="n">
        <v>1</v>
      </c>
      <c r="M2422" s="623" t="n">
        <v>3</v>
      </c>
      <c r="N2422" s="640" t="n"/>
      <c r="O2422" s="640">
        <f>IF(AND(N2422=1,L2422=1),K2422,"")</f>
        <v/>
      </c>
      <c r="P2422" s="642" t="inlineStr">
        <is>
          <t>г. Екатеринбург, ул. Монтажников, 16</t>
        </is>
      </c>
      <c r="Q2422" s="640" t="inlineStr">
        <is>
          <t>56.887467</t>
        </is>
      </c>
      <c r="R2422" s="494" t="inlineStr">
        <is>
          <t>60.529113</t>
        </is>
      </c>
      <c r="S2422" s="387" t="n"/>
      <c r="T2422" s="387" t="n"/>
      <c r="U2422" s="436" t="n"/>
      <c r="V2422" s="387" t="n"/>
      <c r="W2422" s="387">
        <f>IF(AND(N2422=1,O2422&lt;&gt;""),C2422,"")</f>
        <v/>
      </c>
      <c r="X2422" s="387" t="n"/>
      <c r="Y2422" s="387" t="n"/>
    </row>
    <row r="2423" hidden="1" ht="16.05" customFormat="1" customHeight="1" s="126">
      <c r="A2423" s="125" t="n">
        <v>3044</v>
      </c>
      <c r="B2423" s="125" t="n"/>
      <c r="C2423" s="130" t="inlineStr">
        <is>
          <t>Екатеринбург</t>
        </is>
      </c>
      <c r="D2423" s="130" t="inlineStr">
        <is>
          <t>Екатеринбург</t>
        </is>
      </c>
      <c r="E2423" s="130" t="n"/>
      <c r="F2423" s="130" t="inlineStr">
        <is>
          <t>АЗС</t>
        </is>
      </c>
      <c r="G2423" s="130" t="inlineStr">
        <is>
          <t>Газпромнефть</t>
        </is>
      </c>
      <c r="H2423" s="131" t="n"/>
      <c r="I2423" s="637" t="n">
        <v>20018</v>
      </c>
      <c r="J2423" s="637" t="inlineStr">
        <is>
          <t>GPN_20018</t>
        </is>
      </c>
      <c r="K2423" s="640" t="n">
        <v>3</v>
      </c>
      <c r="L2423" s="640" t="n">
        <v>1</v>
      </c>
      <c r="M2423" s="623" t="n">
        <v>4</v>
      </c>
      <c r="N2423" s="640" t="n"/>
      <c r="O2423" s="640">
        <f>IF(AND(N2423=1,L2423=1),K2423,"")</f>
        <v/>
      </c>
      <c r="P2423" s="642" t="inlineStr">
        <is>
          <t>г. Екатеринбург, просп. Космонавтов, 1б</t>
        </is>
      </c>
      <c r="Q2423" s="640" t="inlineStr">
        <is>
          <t>56.860255</t>
        </is>
      </c>
      <c r="R2423" s="494" t="inlineStr">
        <is>
          <t>60.611717</t>
        </is>
      </c>
      <c r="S2423" s="387" t="n"/>
      <c r="T2423" s="387" t="n"/>
      <c r="U2423" s="436" t="n"/>
      <c r="V2423" s="387" t="n"/>
      <c r="W2423" s="387">
        <f>IF(AND(N2423=1,O2423&lt;&gt;""),C2423,"")</f>
        <v/>
      </c>
      <c r="X2423" s="387" t="n"/>
      <c r="Y2423" s="387" t="n"/>
    </row>
    <row r="2424" hidden="1" ht="16.05" customFormat="1" customHeight="1" s="126">
      <c r="A2424" s="125" t="n">
        <v>3045</v>
      </c>
      <c r="B2424" s="125" t="n"/>
      <c r="C2424" s="130" t="inlineStr">
        <is>
          <t>Екатеринбург</t>
        </is>
      </c>
      <c r="D2424" s="130" t="inlineStr">
        <is>
          <t>Свердловская область</t>
        </is>
      </c>
      <c r="E2424" s="130" t="n"/>
      <c r="F2424" s="130" t="inlineStr">
        <is>
          <t>АЗС</t>
        </is>
      </c>
      <c r="G2424" s="130" t="inlineStr">
        <is>
          <t>Газпромнефть</t>
        </is>
      </c>
      <c r="H2424" s="131" t="n"/>
      <c r="I2424" s="637" t="n">
        <v>20022</v>
      </c>
      <c r="J2424" s="637" t="inlineStr">
        <is>
          <t>GPN_20022</t>
        </is>
      </c>
      <c r="K2424" s="640" t="n">
        <v>3</v>
      </c>
      <c r="L2424" s="640" t="n">
        <v>1</v>
      </c>
      <c r="M2424" s="623" t="n">
        <v>3</v>
      </c>
      <c r="N2424" s="640" t="n"/>
      <c r="O2424" s="640">
        <f>IF(AND(N2424=1,L2424=1),K2424,"")</f>
        <v/>
      </c>
      <c r="P2424" s="642" t="inlineStr">
        <is>
          <t>г. Березовский, Березовский тракт, 2</t>
        </is>
      </c>
      <c r="Q2424" s="640" t="inlineStr">
        <is>
          <t>56.899144</t>
        </is>
      </c>
      <c r="R2424" s="494" t="inlineStr">
        <is>
          <t>60.768163</t>
        </is>
      </c>
      <c r="S2424" s="387" t="n"/>
      <c r="T2424" s="387" t="n"/>
      <c r="U2424" s="436" t="n"/>
      <c r="V2424" s="387" t="n"/>
      <c r="W2424" s="387">
        <f>IF(AND(N2424=1,O2424&lt;&gt;""),C2424,"")</f>
        <v/>
      </c>
      <c r="X2424" s="387" t="n"/>
      <c r="Y2424" s="387" t="n"/>
    </row>
    <row r="2425" hidden="1" ht="16.05" customFormat="1" customHeight="1" s="126">
      <c r="A2425" s="125" t="n">
        <v>3046</v>
      </c>
      <c r="B2425" s="125" t="n"/>
      <c r="C2425" s="130" t="inlineStr">
        <is>
          <t>Екатеринбург</t>
        </is>
      </c>
      <c r="D2425" s="130" t="inlineStr">
        <is>
          <t>Екатеринбург</t>
        </is>
      </c>
      <c r="E2425" s="130" t="n"/>
      <c r="F2425" s="130" t="inlineStr">
        <is>
          <t>АЗС</t>
        </is>
      </c>
      <c r="G2425" s="130" t="inlineStr">
        <is>
          <t>Газпромнефть</t>
        </is>
      </c>
      <c r="H2425" s="131" t="n"/>
      <c r="I2425" s="637" t="n">
        <v>20025</v>
      </c>
      <c r="J2425" s="637" t="inlineStr">
        <is>
          <t>GPN_20025</t>
        </is>
      </c>
      <c r="K2425" s="640" t="n">
        <v>3</v>
      </c>
      <c r="L2425" s="640" t="n">
        <v>1</v>
      </c>
      <c r="M2425" s="623" t="n">
        <v>3</v>
      </c>
      <c r="N2425" s="640" t="n"/>
      <c r="O2425" s="640">
        <f>IF(AND(N2425=1,L2425=1),K2425,"")</f>
        <v/>
      </c>
      <c r="P2425" s="642" t="inlineStr">
        <is>
          <t>г. Екатеринбург, ул. Димитрова, 120</t>
        </is>
      </c>
      <c r="Q2425" s="640" t="inlineStr">
        <is>
          <t>56.736187</t>
        </is>
      </c>
      <c r="R2425" s="494" t="inlineStr">
        <is>
          <t>60.704383</t>
        </is>
      </c>
      <c r="S2425" s="387" t="n"/>
      <c r="T2425" s="387" t="n"/>
      <c r="U2425" s="436" t="n"/>
      <c r="V2425" s="387" t="n"/>
      <c r="W2425" s="387">
        <f>IF(AND(N2425=1,O2425&lt;&gt;""),C2425,"")</f>
        <v/>
      </c>
      <c r="X2425" s="387" t="n"/>
      <c r="Y2425" s="387" t="n"/>
    </row>
    <row r="2426" hidden="1" ht="16.05" customFormat="1" customHeight="1" s="126">
      <c r="A2426" s="125" t="n">
        <v>3047</v>
      </c>
      <c r="B2426" s="125" t="n"/>
      <c r="C2426" s="130" t="inlineStr">
        <is>
          <t>Екатеринбург</t>
        </is>
      </c>
      <c r="D2426" s="130" t="inlineStr">
        <is>
          <t>Екатеринбург</t>
        </is>
      </c>
      <c r="E2426" s="130" t="n"/>
      <c r="F2426" s="130" t="inlineStr">
        <is>
          <t>АЗС</t>
        </is>
      </c>
      <c r="G2426" s="130" t="inlineStr">
        <is>
          <t>Газпромнефть</t>
        </is>
      </c>
      <c r="H2426" s="131" t="n"/>
      <c r="I2426" s="637" t="n">
        <v>20027</v>
      </c>
      <c r="J2426" s="637" t="inlineStr">
        <is>
          <t>GPN_20027</t>
        </is>
      </c>
      <c r="K2426" s="640" t="n">
        <v>3</v>
      </c>
      <c r="L2426" s="640" t="n">
        <v>1</v>
      </c>
      <c r="M2426" s="623" t="n">
        <v>3</v>
      </c>
      <c r="N2426" s="640" t="n"/>
      <c r="O2426" s="640">
        <f>IF(AND(N2426=1,L2426=1),K2426,"")</f>
        <v/>
      </c>
      <c r="P2426" s="642" t="inlineStr">
        <is>
          <t>г. Екатеринбург, ул.Щербакова, 2а</t>
        </is>
      </c>
      <c r="Q2426" s="640" t="inlineStr">
        <is>
          <t>56.79093</t>
        </is>
      </c>
      <c r="R2426" s="494" t="inlineStr">
        <is>
          <t>60.645588</t>
        </is>
      </c>
      <c r="S2426" s="387" t="n"/>
      <c r="T2426" s="387" t="n"/>
      <c r="U2426" s="436" t="n"/>
      <c r="V2426" s="387" t="n"/>
      <c r="W2426" s="387">
        <f>IF(AND(N2426=1,O2426&lt;&gt;""),C2426,"")</f>
        <v/>
      </c>
      <c r="X2426" s="387" t="n"/>
      <c r="Y2426" s="387" t="n"/>
    </row>
    <row r="2427" hidden="1" ht="16.05" customFormat="1" customHeight="1" s="126">
      <c r="A2427" s="125" t="n">
        <v>3048</v>
      </c>
      <c r="B2427" s="125" t="n"/>
      <c r="C2427" s="130" t="inlineStr">
        <is>
          <t>Екатеринбург</t>
        </is>
      </c>
      <c r="D2427" s="130" t="inlineStr">
        <is>
          <t>Екатеринбург</t>
        </is>
      </c>
      <c r="E2427" s="130" t="n"/>
      <c r="F2427" s="130" t="inlineStr">
        <is>
          <t>АЗС</t>
        </is>
      </c>
      <c r="G2427" s="130" t="inlineStr">
        <is>
          <t>Газпромнефть</t>
        </is>
      </c>
      <c r="H2427" s="131" t="n"/>
      <c r="I2427" s="637" t="n">
        <v>20028</v>
      </c>
      <c r="J2427" s="637" t="inlineStr">
        <is>
          <t>GPN_20028</t>
        </is>
      </c>
      <c r="K2427" s="640" t="n">
        <v>3</v>
      </c>
      <c r="L2427" s="640" t="n">
        <v>1</v>
      </c>
      <c r="M2427" s="623" t="n">
        <v>3</v>
      </c>
      <c r="N2427" s="640" t="n"/>
      <c r="O2427" s="640">
        <f>IF(AND(N2427=1,L2427=1),K2427,"")</f>
        <v/>
      </c>
      <c r="P2427" s="642" t="inlineStr">
        <is>
          <t>г. Екатеринбург, Московский тракт, 10 км (справа)</t>
        </is>
      </c>
      <c r="Q2427" s="640" t="inlineStr">
        <is>
          <t>56.826414</t>
        </is>
      </c>
      <c r="R2427" s="494" t="inlineStr">
        <is>
          <t>60.468336</t>
        </is>
      </c>
      <c r="S2427" s="387" t="n"/>
      <c r="T2427" s="387" t="n"/>
      <c r="U2427" s="436" t="n"/>
      <c r="V2427" s="387" t="n"/>
      <c r="W2427" s="387">
        <f>IF(AND(N2427=1,O2427&lt;&gt;""),C2427,"")</f>
        <v/>
      </c>
      <c r="X2427" s="387" t="n"/>
      <c r="Y2427" s="387" t="n"/>
    </row>
    <row r="2428" hidden="1" ht="16.05" customFormat="1" customHeight="1" s="126">
      <c r="A2428" s="125" t="n">
        <v>3049</v>
      </c>
      <c r="B2428" s="125" t="n"/>
      <c r="C2428" s="130" t="inlineStr">
        <is>
          <t>Екатеринбург</t>
        </is>
      </c>
      <c r="D2428" s="130" t="inlineStr">
        <is>
          <t>Екатеринбург</t>
        </is>
      </c>
      <c r="E2428" s="130" t="n"/>
      <c r="F2428" s="130" t="inlineStr">
        <is>
          <t>АЗС</t>
        </is>
      </c>
      <c r="G2428" s="130" t="inlineStr">
        <is>
          <t>Газпромнефть</t>
        </is>
      </c>
      <c r="H2428" s="131" t="n"/>
      <c r="I2428" s="637" t="n">
        <v>20029</v>
      </c>
      <c r="J2428" s="637" t="inlineStr">
        <is>
          <t>GPN_20029</t>
        </is>
      </c>
      <c r="K2428" s="640" t="n">
        <v>3</v>
      </c>
      <c r="L2428" s="640" t="n">
        <v>1</v>
      </c>
      <c r="M2428" s="623" t="n">
        <v>3</v>
      </c>
      <c r="N2428" s="640" t="n"/>
      <c r="O2428" s="640">
        <f>IF(AND(N2428=1,L2428=1),K2428,"")</f>
        <v/>
      </c>
      <c r="P2428" s="642" t="inlineStr">
        <is>
          <t>г. Екатеринбург, Московский тракт, 10 км (слева)</t>
        </is>
      </c>
      <c r="Q2428" s="640" t="inlineStr">
        <is>
          <t>56.82439</t>
        </is>
      </c>
      <c r="R2428" s="494" t="inlineStr">
        <is>
          <t>60.468185</t>
        </is>
      </c>
      <c r="S2428" s="387" t="n"/>
      <c r="T2428" s="387" t="n"/>
      <c r="U2428" s="436" t="n"/>
      <c r="V2428" s="387" t="n"/>
      <c r="W2428" s="387">
        <f>IF(AND(N2428=1,O2428&lt;&gt;""),C2428,"")</f>
        <v/>
      </c>
      <c r="X2428" s="387" t="n"/>
      <c r="Y2428" s="387" t="n"/>
    </row>
    <row r="2429" hidden="1" ht="16.05" customFormat="1" customHeight="1" s="126">
      <c r="A2429" s="125" t="n">
        <v>3050</v>
      </c>
      <c r="B2429" s="125" t="n"/>
      <c r="C2429" s="130" t="inlineStr">
        <is>
          <t>Екатеринбург</t>
        </is>
      </c>
      <c r="D2429" s="130" t="inlineStr">
        <is>
          <t>Свердловская область</t>
        </is>
      </c>
      <c r="E2429" s="130" t="n"/>
      <c r="F2429" s="130" t="inlineStr">
        <is>
          <t>АЗС</t>
        </is>
      </c>
      <c r="G2429" s="130" t="inlineStr">
        <is>
          <t>Газпромнефть</t>
        </is>
      </c>
      <c r="H2429" s="131" t="n"/>
      <c r="I2429" s="637" t="n">
        <v>20030</v>
      </c>
      <c r="J2429" s="637" t="inlineStr">
        <is>
          <t>GPN_20030</t>
        </is>
      </c>
      <c r="K2429" s="640" t="n">
        <v>2</v>
      </c>
      <c r="L2429" s="640" t="n">
        <v>1</v>
      </c>
      <c r="M2429" s="623" t="n">
        <v>2</v>
      </c>
      <c r="N2429" s="640" t="n"/>
      <c r="O2429" s="640">
        <f>IF(AND(N2429=1,L2429=1),K2429,"")</f>
        <v/>
      </c>
      <c r="P2429" s="642" t="inlineStr">
        <is>
          <t>г. Верхняя Пышма, ул. Петрова, 59в</t>
        </is>
      </c>
      <c r="Q2429" s="640" t="inlineStr">
        <is>
          <t>56.956657</t>
        </is>
      </c>
      <c r="R2429" s="494" t="inlineStr">
        <is>
          <t>60.611767</t>
        </is>
      </c>
      <c r="S2429" s="387" t="n"/>
      <c r="T2429" s="387" t="n"/>
      <c r="U2429" s="436" t="n"/>
      <c r="V2429" s="387" t="n"/>
      <c r="W2429" s="387">
        <f>IF(AND(N2429=1,O2429&lt;&gt;""),C2429,"")</f>
        <v/>
      </c>
      <c r="X2429" s="387" t="n"/>
      <c r="Y2429" s="387" t="n"/>
    </row>
    <row r="2430" hidden="1" ht="16.05" customFormat="1" customHeight="1" s="126">
      <c r="A2430" s="125" t="n">
        <v>3051</v>
      </c>
      <c r="B2430" s="125" t="n"/>
      <c r="C2430" s="130" t="inlineStr">
        <is>
          <t>Екатеринбург</t>
        </is>
      </c>
      <c r="D2430" s="130" t="inlineStr">
        <is>
          <t>Екатеринбург</t>
        </is>
      </c>
      <c r="E2430" s="130" t="n"/>
      <c r="F2430" s="130" t="inlineStr">
        <is>
          <t>АЗС</t>
        </is>
      </c>
      <c r="G2430" s="130" t="inlineStr">
        <is>
          <t>Газпромнефть</t>
        </is>
      </c>
      <c r="H2430" s="131" t="n"/>
      <c r="I2430" s="637" t="n">
        <v>20031</v>
      </c>
      <c r="J2430" s="637" t="inlineStr">
        <is>
          <t>GPN_20031</t>
        </is>
      </c>
      <c r="K2430" s="640" t="n">
        <v>3</v>
      </c>
      <c r="L2430" s="640" t="n">
        <v>1</v>
      </c>
      <c r="M2430" s="623" t="n">
        <v>3</v>
      </c>
      <c r="N2430" s="640" t="n"/>
      <c r="O2430" s="640">
        <f>IF(AND(N2430=1,L2430=1),K2430,"")</f>
        <v/>
      </c>
      <c r="P2430" s="642" t="inlineStr">
        <is>
          <t>г. Екатеринбург, ул.Московская, 283</t>
        </is>
      </c>
      <c r="Q2430" s="640" t="inlineStr">
        <is>
          <t>56.798586</t>
        </is>
      </c>
      <c r="R2430" s="494" t="inlineStr">
        <is>
          <t>60.596396</t>
        </is>
      </c>
      <c r="S2430" s="387" t="n"/>
      <c r="T2430" s="387" t="n"/>
      <c r="U2430" s="436" t="n"/>
      <c r="V2430" s="387" t="n"/>
      <c r="W2430" s="387">
        <f>IF(AND(N2430=1,O2430&lt;&gt;""),C2430,"")</f>
        <v/>
      </c>
      <c r="X2430" s="387" t="n"/>
      <c r="Y2430" s="387" t="n"/>
    </row>
    <row r="2431" hidden="1" ht="16.05" customFormat="1" customHeight="1" s="126">
      <c r="A2431" s="125" t="n">
        <v>3052</v>
      </c>
      <c r="B2431" s="125" t="n"/>
      <c r="C2431" s="130" t="inlineStr">
        <is>
          <t>Екатеринбург</t>
        </is>
      </c>
      <c r="D2431" s="130" t="inlineStr">
        <is>
          <t>Екатеринбург</t>
        </is>
      </c>
      <c r="E2431" s="130" t="n"/>
      <c r="F2431" s="130" t="inlineStr">
        <is>
          <t>АЗС</t>
        </is>
      </c>
      <c r="G2431" s="130" t="inlineStr">
        <is>
          <t>Газпромнефть</t>
        </is>
      </c>
      <c r="H2431" s="131" t="n"/>
      <c r="I2431" s="637" t="n">
        <v>20033</v>
      </c>
      <c r="J2431" s="637" t="inlineStr">
        <is>
          <t>GPN_20033</t>
        </is>
      </c>
      <c r="K2431" s="640" t="n">
        <v>3</v>
      </c>
      <c r="L2431" s="640" t="n">
        <v>1</v>
      </c>
      <c r="M2431" s="623" t="n">
        <v>3</v>
      </c>
      <c r="N2431" s="640" t="n"/>
      <c r="O2431" s="640">
        <f>IF(AND(N2431=1,L2431=1),K2431,"")</f>
        <v/>
      </c>
      <c r="P2431" s="642" t="inlineStr">
        <is>
          <t>г. Екатеринбург, ул. 8 Марта, 271</t>
        </is>
      </c>
      <c r="Q2431" s="640" t="inlineStr">
        <is>
          <t>56.787144</t>
        </is>
      </c>
      <c r="R2431" s="494" t="inlineStr">
        <is>
          <t>60.607158</t>
        </is>
      </c>
      <c r="S2431" s="387" t="n"/>
      <c r="T2431" s="387" t="n"/>
      <c r="U2431" s="436" t="n"/>
      <c r="V2431" s="387" t="n"/>
      <c r="W2431" s="387">
        <f>IF(AND(N2431=1,O2431&lt;&gt;""),C2431,"")</f>
        <v/>
      </c>
      <c r="X2431" s="387" t="n"/>
      <c r="Y2431" s="387" t="n"/>
    </row>
    <row r="2432" hidden="1" ht="16.05" customFormat="1" customHeight="1" s="126">
      <c r="A2432" s="125" t="n">
        <v>3054</v>
      </c>
      <c r="B2432" s="125" t="n"/>
      <c r="C2432" s="130" t="inlineStr">
        <is>
          <t>Екатеринбург</t>
        </is>
      </c>
      <c r="D2432" s="130" t="inlineStr">
        <is>
          <t>Екатеринбург</t>
        </is>
      </c>
      <c r="E2432" s="130" t="n"/>
      <c r="F2432" s="130" t="inlineStr">
        <is>
          <t>АЗС</t>
        </is>
      </c>
      <c r="G2432" s="130" t="inlineStr">
        <is>
          <t>Газпромнефть</t>
        </is>
      </c>
      <c r="H2432" s="131" t="n"/>
      <c r="I2432" s="637" t="n">
        <v>20040</v>
      </c>
      <c r="J2432" s="637" t="inlineStr">
        <is>
          <t>GPN_20040</t>
        </is>
      </c>
      <c r="K2432" s="640" t="n">
        <v>3</v>
      </c>
      <c r="L2432" s="640" t="n">
        <v>1</v>
      </c>
      <c r="M2432" s="623" t="n">
        <v>3</v>
      </c>
      <c r="N2432" s="640" t="n"/>
      <c r="O2432" s="640">
        <f>IF(AND(N2432=1,L2432=1),K2432,"")</f>
        <v/>
      </c>
      <c r="P2432" s="642" t="inlineStr">
        <is>
          <t>г. Екатеринбург, ул.Шейнкмана, 123</t>
        </is>
      </c>
      <c r="Q2432" s="640" t="inlineStr">
        <is>
          <t>56.818232</t>
        </is>
      </c>
      <c r="R2432" s="494" t="inlineStr">
        <is>
          <t>60.593746</t>
        </is>
      </c>
      <c r="S2432" s="387" t="n"/>
      <c r="T2432" s="387" t="n"/>
      <c r="U2432" s="436" t="n"/>
      <c r="V2432" s="387" t="n"/>
      <c r="W2432" s="387">
        <f>IF(AND(N2432=1,O2432&lt;&gt;""),C2432,"")</f>
        <v/>
      </c>
      <c r="X2432" s="387" t="n"/>
      <c r="Y2432" s="387" t="n"/>
    </row>
    <row r="2433" hidden="1" ht="16.05" customFormat="1" customHeight="1" s="126">
      <c r="A2433" s="125" t="n">
        <v>3055</v>
      </c>
      <c r="B2433" s="125" t="n"/>
      <c r="C2433" s="130" t="inlineStr">
        <is>
          <t>Екатеринбург</t>
        </is>
      </c>
      <c r="D2433" s="130" t="inlineStr">
        <is>
          <t>Екатеринбург</t>
        </is>
      </c>
      <c r="E2433" s="130" t="n"/>
      <c r="F2433" s="130" t="inlineStr">
        <is>
          <t>АЗС</t>
        </is>
      </c>
      <c r="G2433" s="130" t="inlineStr">
        <is>
          <t>Газпромнефть</t>
        </is>
      </c>
      <c r="H2433" s="131" t="n"/>
      <c r="I2433" s="637" t="n">
        <v>20041</v>
      </c>
      <c r="J2433" s="637" t="inlineStr">
        <is>
          <t>GPN_20041</t>
        </is>
      </c>
      <c r="K2433" s="640" t="n">
        <v>3</v>
      </c>
      <c r="L2433" s="640" t="n">
        <v>1</v>
      </c>
      <c r="M2433" s="623" t="n">
        <v>3</v>
      </c>
      <c r="N2433" s="640" t="n"/>
      <c r="O2433" s="640">
        <f>IF(AND(N2433=1,L2433=1),K2433,"")</f>
        <v/>
      </c>
      <c r="P2433" s="642" t="inlineStr">
        <is>
          <t>г. Екатеринбург, ул.Фронтовых Бригад, 14а</t>
        </is>
      </c>
      <c r="Q2433" s="640" t="inlineStr">
        <is>
          <t>56.877823</t>
        </is>
      </c>
      <c r="R2433" s="494" t="inlineStr">
        <is>
          <t>60.622789</t>
        </is>
      </c>
      <c r="S2433" s="387" t="n"/>
      <c r="T2433" s="387" t="n"/>
      <c r="U2433" s="436" t="n"/>
      <c r="V2433" s="387" t="n"/>
      <c r="W2433" s="387">
        <f>IF(AND(N2433=1,O2433&lt;&gt;""),C2433,"")</f>
        <v/>
      </c>
      <c r="X2433" s="387" t="n"/>
      <c r="Y2433" s="387" t="n"/>
    </row>
    <row r="2434" hidden="1" ht="16.05" customFormat="1" customHeight="1" s="126">
      <c r="A2434" s="125" t="n">
        <v>3056</v>
      </c>
      <c r="B2434" s="125" t="n"/>
      <c r="C2434" s="130" t="inlineStr">
        <is>
          <t>Екатеринбург</t>
        </is>
      </c>
      <c r="D2434" s="130" t="inlineStr">
        <is>
          <t>Екатеринбург</t>
        </is>
      </c>
      <c r="E2434" s="130" t="n"/>
      <c r="F2434" s="130" t="inlineStr">
        <is>
          <t>АЗС</t>
        </is>
      </c>
      <c r="G2434" s="130" t="inlineStr">
        <is>
          <t>Газпромнефть</t>
        </is>
      </c>
      <c r="H2434" s="131" t="n"/>
      <c r="I2434" s="637" t="n">
        <v>20044</v>
      </c>
      <c r="J2434" s="637" t="inlineStr">
        <is>
          <t>GPN_20044</t>
        </is>
      </c>
      <c r="K2434" s="640" t="n">
        <v>3</v>
      </c>
      <c r="L2434" s="640" t="n">
        <v>1</v>
      </c>
      <c r="M2434" s="623" t="n">
        <v>3</v>
      </c>
      <c r="N2434" s="640" t="n"/>
      <c r="O2434" s="640">
        <f>IF(AND(N2434=1,L2434=1),K2434,"")</f>
        <v/>
      </c>
      <c r="P2434" s="642" t="inlineStr">
        <is>
          <t>г. Екатеринбург, ул. Амундсена-Онуфриева (улица Начдива Онуфриева, 59)</t>
        </is>
      </c>
      <c r="Q2434" s="640" t="inlineStr">
        <is>
          <t>56.791587</t>
        </is>
      </c>
      <c r="R2434" s="494" t="inlineStr">
        <is>
          <t>60.572099</t>
        </is>
      </c>
      <c r="S2434" s="387" t="n"/>
      <c r="T2434" s="387" t="n"/>
      <c r="U2434" s="436" t="n"/>
      <c r="V2434" s="387" t="n"/>
      <c r="W2434" s="387">
        <f>IF(AND(N2434=1,O2434&lt;&gt;""),C2434,"")</f>
        <v/>
      </c>
      <c r="X2434" s="387" t="n"/>
      <c r="Y2434" s="387" t="n"/>
    </row>
    <row r="2435" hidden="1" ht="16.05" customFormat="1" customHeight="1" s="126">
      <c r="A2435" s="125" t="n">
        <v>3053</v>
      </c>
      <c r="B2435" s="125" t="n"/>
      <c r="C2435" s="130" t="inlineStr">
        <is>
          <t>Екатеринбург</t>
        </is>
      </c>
      <c r="D2435" s="130" t="inlineStr">
        <is>
          <t>Свердловская область</t>
        </is>
      </c>
      <c r="E2435" s="130" t="n"/>
      <c r="F2435" s="130" t="inlineStr">
        <is>
          <t>АЗС</t>
        </is>
      </c>
      <c r="G2435" s="130" t="inlineStr">
        <is>
          <t>Газпромнефть</t>
        </is>
      </c>
      <c r="H2435" s="131" t="n"/>
      <c r="I2435" s="637" t="n">
        <v>20035</v>
      </c>
      <c r="J2435" s="402" t="inlineStr">
        <is>
          <t>GPN_20035</t>
        </is>
      </c>
      <c r="K2435" s="640" t="n">
        <v>1</v>
      </c>
      <c r="L2435" s="640" t="n">
        <v>0</v>
      </c>
      <c r="M2435" s="640" t="n">
        <v>1</v>
      </c>
      <c r="N2435" s="640" t="n"/>
      <c r="O2435" s="640">
        <f>IF(AND(N2435=1,L2435=1),K2435,"")</f>
        <v/>
      </c>
      <c r="P2435" s="642" t="inlineStr">
        <is>
          <t>г. Верхняя Пышма, ул. Ленина, 1а</t>
        </is>
      </c>
      <c r="Q2435" s="640" t="n">
        <v>56.962684</v>
      </c>
      <c r="R2435" s="422" t="n">
        <v>60.584808</v>
      </c>
      <c r="S2435" s="387" t="n"/>
      <c r="T2435" s="387" t="n"/>
      <c r="U2435" s="436" t="n"/>
      <c r="V2435" s="387" t="n"/>
      <c r="W2435" s="387">
        <f>IF(AND(N2435=1,O2435&lt;&gt;""),C2435,"")</f>
        <v/>
      </c>
      <c r="X2435" s="387" t="n"/>
      <c r="Y2435" s="1" t="n"/>
    </row>
    <row r="2436" hidden="1" ht="16.05" customFormat="1" customHeight="1" s="126">
      <c r="A2436" s="125" t="n">
        <v>3057</v>
      </c>
      <c r="B2436" s="125" t="n"/>
      <c r="C2436" s="130" t="inlineStr">
        <is>
          <t>Екатеринбург</t>
        </is>
      </c>
      <c r="D2436" s="130" t="inlineStr">
        <is>
          <t>Екатеринбург</t>
        </is>
      </c>
      <c r="E2436" s="130" t="n"/>
      <c r="F2436" s="130" t="inlineStr">
        <is>
          <t>АЗС</t>
        </is>
      </c>
      <c r="G2436" s="130" t="inlineStr">
        <is>
          <t>Газпромнефть</t>
        </is>
      </c>
      <c r="H2436" s="131" t="n"/>
      <c r="I2436" s="637" t="n">
        <v>20073</v>
      </c>
      <c r="J2436" s="637" t="inlineStr">
        <is>
          <t>GPN_20073</t>
        </is>
      </c>
      <c r="K2436" s="640" t="n">
        <v>3</v>
      </c>
      <c r="L2436" s="640" t="n">
        <v>1</v>
      </c>
      <c r="M2436" s="623" t="n">
        <v>5</v>
      </c>
      <c r="N2436" s="640" t="n"/>
      <c r="O2436" s="640">
        <f>IF(AND(N2436=1,L2436=1),K2436,"")</f>
        <v/>
      </c>
      <c r="P2436" s="642" t="inlineStr">
        <is>
          <t>г. Екатеринбург, Серовский тракт, 15 км</t>
        </is>
      </c>
      <c r="Q2436" s="640" t="inlineStr">
        <is>
          <t>56.911786</t>
        </is>
      </c>
      <c r="R2436" s="494" t="inlineStr">
        <is>
          <t>60.510393</t>
        </is>
      </c>
      <c r="S2436" s="387" t="n"/>
      <c r="T2436" s="387" t="n"/>
      <c r="U2436" s="436" t="n"/>
      <c r="V2436" s="387" t="n"/>
      <c r="W2436" s="387">
        <f>IF(AND(N2436=1,O2436&lt;&gt;""),C2436,"")</f>
        <v/>
      </c>
      <c r="X2436" s="387" t="n"/>
      <c r="Y2436" s="387" t="n"/>
    </row>
    <row r="2437" hidden="1" ht="16.05" customFormat="1" customHeight="1" s="126">
      <c r="A2437" s="125" t="n">
        <v>3058</v>
      </c>
      <c r="B2437" s="125" t="n"/>
      <c r="C2437" s="130" t="inlineStr">
        <is>
          <t>Екатеринбург</t>
        </is>
      </c>
      <c r="D2437" s="130" t="inlineStr">
        <is>
          <t>Екатеринбург</t>
        </is>
      </c>
      <c r="E2437" s="130" t="n"/>
      <c r="F2437" s="130" t="inlineStr">
        <is>
          <t>АЗС</t>
        </is>
      </c>
      <c r="G2437" s="130" t="inlineStr">
        <is>
          <t>Газпромнефть</t>
        </is>
      </c>
      <c r="H2437" s="131" t="n"/>
      <c r="I2437" s="637" t="n">
        <v>20114</v>
      </c>
      <c r="J2437" s="637" t="inlineStr">
        <is>
          <t>GPN_20114</t>
        </is>
      </c>
      <c r="K2437" s="640" t="n">
        <v>1</v>
      </c>
      <c r="L2437" s="640" t="n">
        <v>1</v>
      </c>
      <c r="M2437" s="623" t="n">
        <v>1</v>
      </c>
      <c r="N2437" s="640" t="n"/>
      <c r="O2437" s="640">
        <f>IF(AND(N2437=1,L2437=1),K2437,"")</f>
        <v/>
      </c>
      <c r="P2437" s="642" t="inlineStr">
        <is>
          <t>а/д г. Екатеринбург-Кольцово, пикет 51</t>
        </is>
      </c>
      <c r="Q2437" s="640" t="inlineStr">
        <is>
          <t>56.772913</t>
        </is>
      </c>
      <c r="R2437" s="494" t="inlineStr">
        <is>
          <t>60.724468</t>
        </is>
      </c>
      <c r="S2437" s="387" t="n"/>
      <c r="T2437" s="387" t="n"/>
      <c r="U2437" s="436" t="n"/>
      <c r="V2437" s="387" t="n"/>
      <c r="W2437" s="387">
        <f>IF(AND(N2437=1,O2437&lt;&gt;""),C2437,"")</f>
        <v/>
      </c>
      <c r="X2437" s="387" t="n"/>
      <c r="Y2437" s="387" t="n"/>
    </row>
    <row r="2438" hidden="1" ht="16.05" customFormat="1" customHeight="1" s="126">
      <c r="A2438" s="125" t="n">
        <v>3059</v>
      </c>
      <c r="B2438" s="125" t="n"/>
      <c r="C2438" s="130" t="inlineStr">
        <is>
          <t>Екатеринбург</t>
        </is>
      </c>
      <c r="D2438" s="130" t="inlineStr">
        <is>
          <t>Свердловская область</t>
        </is>
      </c>
      <c r="E2438" s="130" t="n"/>
      <c r="F2438" s="130" t="inlineStr">
        <is>
          <t>АЗС</t>
        </is>
      </c>
      <c r="G2438" s="130" t="inlineStr">
        <is>
          <t>Газпромнефть</t>
        </is>
      </c>
      <c r="H2438" s="131" t="n"/>
      <c r="I2438" s="637" t="n">
        <v>20124</v>
      </c>
      <c r="J2438" s="637" t="inlineStr">
        <is>
          <t>GPN_20124</t>
        </is>
      </c>
      <c r="K2438" s="640" t="n">
        <v>2</v>
      </c>
      <c r="L2438" s="640" t="n">
        <v>1</v>
      </c>
      <c r="M2438" s="623" t="n">
        <v>2</v>
      </c>
      <c r="N2438" s="640" t="n"/>
      <c r="O2438" s="640">
        <f>IF(AND(N2438=1,L2438=1),K2438,"")</f>
        <v/>
      </c>
      <c r="P2438" s="642" t="inlineStr">
        <is>
          <t>г. Среднеуральск, ул. Советская, 108</t>
        </is>
      </c>
      <c r="Q2438" s="640" t="inlineStr">
        <is>
          <t>56.986992</t>
        </is>
      </c>
      <c r="R2438" s="494" t="inlineStr">
        <is>
          <t>60.506807</t>
        </is>
      </c>
      <c r="S2438" s="387" t="n"/>
      <c r="T2438" s="387" t="n"/>
      <c r="U2438" s="436" t="n"/>
      <c r="V2438" s="387" t="n"/>
      <c r="W2438" s="387">
        <f>IF(AND(N2438=1,O2438&lt;&gt;""),C2438,"")</f>
        <v/>
      </c>
      <c r="X2438" s="387" t="n"/>
      <c r="Y2438" s="387" t="n"/>
    </row>
    <row r="2439" hidden="1" ht="16.05" customFormat="1" customHeight="1" s="126">
      <c r="A2439" s="125" t="n">
        <v>3060</v>
      </c>
      <c r="B2439" s="125" t="n"/>
      <c r="C2439" s="130" t="inlineStr">
        <is>
          <t>Екатеринбург</t>
        </is>
      </c>
      <c r="D2439" s="130" t="inlineStr">
        <is>
          <t>Екатеринбург</t>
        </is>
      </c>
      <c r="E2439" s="130" t="n"/>
      <c r="F2439" s="130" t="inlineStr">
        <is>
          <t>АЗС</t>
        </is>
      </c>
      <c r="G2439" s="130" t="inlineStr">
        <is>
          <t>Газпромнефть</t>
        </is>
      </c>
      <c r="H2439" s="131" t="n"/>
      <c r="I2439" s="637" t="n">
        <v>20130</v>
      </c>
      <c r="J2439" s="637" t="inlineStr">
        <is>
          <t>GPN_20130</t>
        </is>
      </c>
      <c r="K2439" s="640" t="n">
        <v>3</v>
      </c>
      <c r="L2439" s="640" t="n">
        <v>1</v>
      </c>
      <c r="M2439" s="623" t="n">
        <v>5</v>
      </c>
      <c r="N2439" s="640" t="n"/>
      <c r="O2439" s="640">
        <f>IF(AND(N2439=1,L2439=1),K2439,"")</f>
        <v/>
      </c>
      <c r="P2439" s="642" t="inlineStr">
        <is>
          <t>г. Екатеринбург, ул. Восточная, 7-в</t>
        </is>
      </c>
      <c r="Q2439" s="640" t="inlineStr">
        <is>
          <t>56.835274</t>
        </is>
      </c>
      <c r="R2439" s="494" t="inlineStr">
        <is>
          <t>60.634719</t>
        </is>
      </c>
      <c r="S2439" s="387" t="n"/>
      <c r="T2439" s="387" t="n"/>
      <c r="U2439" s="436" t="n"/>
      <c r="V2439" s="387" t="n"/>
      <c r="W2439" s="387">
        <f>IF(AND(N2439=1,O2439&lt;&gt;""),C2439,"")</f>
        <v/>
      </c>
      <c r="X2439" s="387" t="n"/>
      <c r="Y2439" s="387" t="n"/>
    </row>
    <row r="2440" hidden="1" ht="16.05" customFormat="1" customHeight="1" s="126">
      <c r="A2440" s="125" t="n">
        <v>3061</v>
      </c>
      <c r="B2440" s="125" t="n"/>
      <c r="C2440" s="130" t="inlineStr">
        <is>
          <t>Екатеринбург</t>
        </is>
      </c>
      <c r="D2440" s="130" t="inlineStr">
        <is>
          <t>Екатеринбург</t>
        </is>
      </c>
      <c r="E2440" s="130" t="n"/>
      <c r="F2440" s="130" t="inlineStr">
        <is>
          <t>АЗС</t>
        </is>
      </c>
      <c r="G2440" s="130" t="inlineStr">
        <is>
          <t>Газпромнефть</t>
        </is>
      </c>
      <c r="H2440" s="131" t="n"/>
      <c r="I2440" s="637" t="n">
        <v>20132</v>
      </c>
      <c r="J2440" s="637" t="inlineStr">
        <is>
          <t>GPN_20132</t>
        </is>
      </c>
      <c r="K2440" s="640" t="n">
        <v>3</v>
      </c>
      <c r="L2440" s="640" t="n">
        <v>1</v>
      </c>
      <c r="M2440" s="623" t="n">
        <v>6</v>
      </c>
      <c r="N2440" s="640" t="n"/>
      <c r="O2440" s="640">
        <f>IF(AND(N2440=1,L2440=1),K2440,"")</f>
        <v/>
      </c>
      <c r="P2440" s="642" t="inlineStr">
        <is>
          <t>Свердловская область, г. Екатеринбург, дублер Сибирского тракта 3 км (Сибирский тракт (дублер), 3-й километр, с1)</t>
        </is>
      </c>
      <c r="Q2440" s="640" t="inlineStr">
        <is>
          <t>56.820549</t>
        </is>
      </c>
      <c r="R2440" s="494" t="inlineStr">
        <is>
          <t>60.714326</t>
        </is>
      </c>
      <c r="S2440" s="387" t="n"/>
      <c r="T2440" s="387" t="n"/>
      <c r="U2440" s="436" t="n"/>
      <c r="V2440" s="387" t="n"/>
      <c r="W2440" s="387">
        <f>IF(AND(N2440=1,O2440&lt;&gt;""),C2440,"")</f>
        <v/>
      </c>
      <c r="X2440" s="387" t="n"/>
      <c r="Y2440" s="387" t="n"/>
    </row>
    <row r="2441" hidden="1" ht="16.05" customFormat="1" customHeight="1" s="126">
      <c r="A2441" s="125" t="n">
        <v>3062</v>
      </c>
      <c r="B2441" s="125" t="n"/>
      <c r="C2441" s="130" t="inlineStr">
        <is>
          <t>Екатеринбург</t>
        </is>
      </c>
      <c r="D2441" s="130" t="inlineStr">
        <is>
          <t>Екатеринбург</t>
        </is>
      </c>
      <c r="E2441" s="130" t="n"/>
      <c r="F2441" s="130" t="inlineStr">
        <is>
          <t>АЗС</t>
        </is>
      </c>
      <c r="G2441" s="130" t="inlineStr">
        <is>
          <t>Газпромнефть</t>
        </is>
      </c>
      <c r="H2441" s="131" t="n"/>
      <c r="I2441" s="637" t="n">
        <v>20136</v>
      </c>
      <c r="J2441" s="637" t="inlineStr">
        <is>
          <t>GPN_20136</t>
        </is>
      </c>
      <c r="K2441" s="640" t="n">
        <v>3</v>
      </c>
      <c r="L2441" s="640" t="n">
        <v>1</v>
      </c>
      <c r="M2441" s="623" t="n">
        <v>3</v>
      </c>
      <c r="N2441" s="640" t="n"/>
      <c r="O2441" s="640">
        <f>IF(AND(N2441=1,L2441=1),K2441,"")</f>
        <v/>
      </c>
      <c r="P2441" s="642" t="inlineStr">
        <is>
          <t>г. Екатеринбург, ул. Д.Сибирского тракта, 5км. (Сибирский тракт (дублер), 5-й километр, 1)</t>
        </is>
      </c>
      <c r="Q2441" s="640" t="inlineStr">
        <is>
          <t>56.823588</t>
        </is>
      </c>
      <c r="R2441" s="494" t="inlineStr">
        <is>
          <t>60.704854</t>
        </is>
      </c>
      <c r="S2441" s="387" t="n"/>
      <c r="T2441" s="387" t="n"/>
      <c r="U2441" s="436" t="n"/>
      <c r="V2441" s="387" t="n"/>
      <c r="W2441" s="387">
        <f>IF(AND(N2441=1,O2441&lt;&gt;""),C2441,"")</f>
        <v/>
      </c>
      <c r="X2441" s="387" t="n"/>
      <c r="Y2441" s="387" t="n"/>
    </row>
    <row r="2442" hidden="1" ht="16.05" customFormat="1" customHeight="1" s="126">
      <c r="A2442" s="125" t="n">
        <v>3063</v>
      </c>
      <c r="B2442" s="125" t="n"/>
      <c r="C2442" s="130" t="inlineStr">
        <is>
          <t>Екатеринбург</t>
        </is>
      </c>
      <c r="D2442" s="130" t="inlineStr">
        <is>
          <t>Екатеринбург</t>
        </is>
      </c>
      <c r="E2442" s="130" t="n"/>
      <c r="F2442" s="130" t="inlineStr">
        <is>
          <t>АЗС</t>
        </is>
      </c>
      <c r="G2442" s="130" t="inlineStr">
        <is>
          <t>Газпромнефть</t>
        </is>
      </c>
      <c r="H2442" s="131" t="n"/>
      <c r="I2442" s="637" t="n">
        <v>20138</v>
      </c>
      <c r="J2442" s="637" t="inlineStr">
        <is>
          <t>GPN_20138</t>
        </is>
      </c>
      <c r="K2442" s="640" t="n">
        <v>3</v>
      </c>
      <c r="L2442" s="640" t="n">
        <v>1</v>
      </c>
      <c r="M2442" s="623" t="n">
        <v>3</v>
      </c>
      <c r="N2442" s="640" t="n"/>
      <c r="O2442" s="640">
        <f>IF(AND(N2442=1,L2442=1),K2442,"")</f>
        <v/>
      </c>
      <c r="P2442" s="642" t="inlineStr">
        <is>
          <t>г. Екатеринбург, ул. Крауля, 166а</t>
        </is>
      </c>
      <c r="Q2442" s="640" t="inlineStr">
        <is>
          <t>56.832517</t>
        </is>
      </c>
      <c r="R2442" s="494" t="inlineStr">
        <is>
          <t>60.526709</t>
        </is>
      </c>
      <c r="S2442" s="387" t="n"/>
      <c r="T2442" s="387" t="n"/>
      <c r="U2442" s="436" t="n"/>
      <c r="V2442" s="387" t="n"/>
      <c r="W2442" s="387">
        <f>IF(AND(N2442=1,O2442&lt;&gt;""),C2442,"")</f>
        <v/>
      </c>
      <c r="X2442" s="387" t="n"/>
      <c r="Y2442" s="387" t="n"/>
    </row>
    <row r="2443" hidden="1" ht="16.05" customFormat="1" customHeight="1" s="126">
      <c r="A2443" s="125" t="n">
        <v>3064</v>
      </c>
      <c r="B2443" s="125" t="n"/>
      <c r="C2443" s="130" t="inlineStr">
        <is>
          <t>Екатеринбург</t>
        </is>
      </c>
      <c r="D2443" s="130" t="inlineStr">
        <is>
          <t>Екатеринбург</t>
        </is>
      </c>
      <c r="E2443" s="130" t="n"/>
      <c r="F2443" s="130" t="inlineStr">
        <is>
          <t>АЗС</t>
        </is>
      </c>
      <c r="G2443" s="130" t="inlineStr">
        <is>
          <t>Газпромнефть</t>
        </is>
      </c>
      <c r="H2443" s="131" t="n"/>
      <c r="I2443" s="637" t="n">
        <v>20140</v>
      </c>
      <c r="J2443" s="637" t="inlineStr">
        <is>
          <t>GPN_20140</t>
        </is>
      </c>
      <c r="K2443" s="640" t="n">
        <v>3</v>
      </c>
      <c r="L2443" s="640" t="n">
        <v>1</v>
      </c>
      <c r="M2443" s="623" t="n">
        <v>3</v>
      </c>
      <c r="N2443" s="640" t="n"/>
      <c r="O2443" s="640">
        <f>IF(AND(N2443=1,L2443=1),K2443,"")</f>
        <v/>
      </c>
      <c r="P2443" s="642" t="inlineStr">
        <is>
          <t>г. Екатеринбург, ул. Уфимская, 1</t>
        </is>
      </c>
      <c r="Q2443" s="640" t="inlineStr">
        <is>
          <t>56.805253</t>
        </is>
      </c>
      <c r="R2443" s="494" t="inlineStr">
        <is>
          <t>60.721976</t>
        </is>
      </c>
      <c r="S2443" s="387" t="n"/>
      <c r="T2443" s="387" t="n"/>
      <c r="U2443" s="436" t="n"/>
      <c r="V2443" s="387" t="n"/>
      <c r="W2443" s="387">
        <f>IF(AND(N2443=1,O2443&lt;&gt;""),C2443,"")</f>
        <v/>
      </c>
      <c r="X2443" s="387" t="n"/>
      <c r="Y2443" s="387" t="n"/>
    </row>
    <row r="2444" hidden="1" ht="16.05" customFormat="1" customHeight="1" s="126">
      <c r="A2444" s="125" t="n">
        <v>3065</v>
      </c>
      <c r="B2444" s="125" t="n"/>
      <c r="C2444" s="130" t="inlineStr">
        <is>
          <t>Екатеринбург</t>
        </is>
      </c>
      <c r="D2444" s="130" t="inlineStr">
        <is>
          <t>Екатеринбург</t>
        </is>
      </c>
      <c r="E2444" s="130" t="n"/>
      <c r="F2444" s="130" t="inlineStr">
        <is>
          <t>АЗС</t>
        </is>
      </c>
      <c r="G2444" s="130" t="inlineStr">
        <is>
          <t>Газпромнефть</t>
        </is>
      </c>
      <c r="H2444" s="131" t="n"/>
      <c r="I2444" s="637" t="n">
        <v>20143</v>
      </c>
      <c r="J2444" s="637" t="inlineStr">
        <is>
          <t>GPN_20143</t>
        </is>
      </c>
      <c r="K2444" s="640" t="n">
        <v>3</v>
      </c>
      <c r="L2444" s="640" t="n">
        <v>1</v>
      </c>
      <c r="M2444" s="623" t="n">
        <v>3</v>
      </c>
      <c r="N2444" s="640" t="n"/>
      <c r="O2444" s="640">
        <f>IF(AND(N2444=1,L2444=1),K2444,"")</f>
        <v/>
      </c>
      <c r="P2444" s="642" t="inlineStr">
        <is>
          <t>г. Екатеринбург, ул. Высоцкого, 1а</t>
        </is>
      </c>
      <c r="Q2444" s="640" t="inlineStr">
        <is>
          <t>56.848399</t>
        </is>
      </c>
      <c r="R2444" s="494" t="inlineStr">
        <is>
          <t>60.669771</t>
        </is>
      </c>
      <c r="S2444" s="387" t="n"/>
      <c r="T2444" s="387" t="n"/>
      <c r="U2444" s="436" t="n"/>
      <c r="V2444" s="387" t="n"/>
      <c r="W2444" s="387">
        <f>IF(AND(N2444=1,O2444&lt;&gt;""),C2444,"")</f>
        <v/>
      </c>
      <c r="X2444" s="387" t="n"/>
      <c r="Y2444" s="387" t="n"/>
    </row>
    <row r="2445" hidden="1" ht="16.05" customFormat="1" customHeight="1" s="126">
      <c r="A2445" s="125" t="n">
        <v>3066</v>
      </c>
      <c r="B2445" s="125" t="n"/>
      <c r="C2445" s="130" t="inlineStr">
        <is>
          <t>Екатеринбург</t>
        </is>
      </c>
      <c r="D2445" s="130" t="inlineStr">
        <is>
          <t>Екатеринбург</t>
        </is>
      </c>
      <c r="E2445" s="130" t="n"/>
      <c r="F2445" s="130" t="inlineStr">
        <is>
          <t>АЗС</t>
        </is>
      </c>
      <c r="G2445" s="130" t="inlineStr">
        <is>
          <t>Газпромнефть</t>
        </is>
      </c>
      <c r="H2445" s="131" t="n"/>
      <c r="I2445" s="637" t="n">
        <v>20146</v>
      </c>
      <c r="J2445" s="637" t="inlineStr">
        <is>
          <t>GPN_20146</t>
        </is>
      </c>
      <c r="K2445" s="640" t="n">
        <v>3</v>
      </c>
      <c r="L2445" s="640" t="n">
        <v>1</v>
      </c>
      <c r="M2445" s="623" t="n">
        <v>3</v>
      </c>
      <c r="N2445" s="640" t="n"/>
      <c r="O2445" s="640">
        <f>IF(AND(N2445=1,L2445=1),K2445,"")</f>
        <v/>
      </c>
      <c r="P2445" s="642" t="inlineStr">
        <is>
          <t>г. Екатеринбург, ул. Патриса Лумумбы, 4в</t>
        </is>
      </c>
      <c r="Q2445" s="640" t="inlineStr">
        <is>
          <t>56.772231</t>
        </is>
      </c>
      <c r="R2445" s="494" t="inlineStr">
        <is>
          <t>60.599864</t>
        </is>
      </c>
      <c r="S2445" s="387" t="n"/>
      <c r="T2445" s="387" t="n"/>
      <c r="U2445" s="436" t="n"/>
      <c r="V2445" s="387" t="n"/>
      <c r="W2445" s="387">
        <f>IF(AND(N2445=1,O2445&lt;&gt;""),C2445,"")</f>
        <v/>
      </c>
      <c r="X2445" s="387" t="n"/>
      <c r="Y2445" s="387" t="n"/>
    </row>
    <row r="2446" hidden="1" ht="16.05" customFormat="1" customHeight="1" s="126">
      <c r="A2446" s="125" t="n">
        <v>3067</v>
      </c>
      <c r="B2446" s="125" t="n"/>
      <c r="C2446" s="130" t="inlineStr">
        <is>
          <t>Екатеринбург</t>
        </is>
      </c>
      <c r="D2446" s="130" t="inlineStr">
        <is>
          <t>Екатеринбург</t>
        </is>
      </c>
      <c r="E2446" s="130" t="n"/>
      <c r="F2446" s="130" t="inlineStr">
        <is>
          <t>АЗС</t>
        </is>
      </c>
      <c r="G2446" s="130" t="inlineStr">
        <is>
          <t>Газпромнефть</t>
        </is>
      </c>
      <c r="H2446" s="131" t="n"/>
      <c r="I2446" s="637" t="n">
        <v>20154</v>
      </c>
      <c r="J2446" s="637" t="inlineStr">
        <is>
          <t>GPN_20154</t>
        </is>
      </c>
      <c r="K2446" s="640" t="n">
        <v>3</v>
      </c>
      <c r="L2446" s="640" t="n">
        <v>1</v>
      </c>
      <c r="M2446" s="623" t="n">
        <v>6</v>
      </c>
      <c r="N2446" s="640" t="n"/>
      <c r="O2446" s="640">
        <f>IF(AND(N2446=1,L2446=1),K2446,"")</f>
        <v/>
      </c>
      <c r="P2446" s="642" t="inlineStr">
        <is>
          <t>Свердловская область, г. Екатеринбург, Сибирский тракт 24</t>
        </is>
      </c>
      <c r="Q2446" s="640" t="inlineStr">
        <is>
          <t>56.821518</t>
        </is>
      </c>
      <c r="R2446" s="494" t="inlineStr">
        <is>
          <t>60.657698</t>
        </is>
      </c>
      <c r="S2446" s="387" t="n"/>
      <c r="T2446" s="387" t="n"/>
      <c r="U2446" s="436" t="n"/>
      <c r="V2446" s="387" t="n"/>
      <c r="W2446" s="387">
        <f>IF(AND(N2446=1,O2446&lt;&gt;""),C2446,"")</f>
        <v/>
      </c>
      <c r="X2446" s="387" t="n"/>
      <c r="Y2446" s="387" t="n"/>
    </row>
    <row r="2447" hidden="1" ht="16.05" customFormat="1" customHeight="1" s="126">
      <c r="A2447" s="125" t="n">
        <v>3068</v>
      </c>
      <c r="B2447" s="125" t="n"/>
      <c r="C2447" s="130" t="inlineStr">
        <is>
          <t>Екатеринбург</t>
        </is>
      </c>
      <c r="D2447" s="130" t="inlineStr">
        <is>
          <t>Екатеринбург</t>
        </is>
      </c>
      <c r="E2447" s="130" t="n"/>
      <c r="F2447" s="130" t="inlineStr">
        <is>
          <t>АЗС</t>
        </is>
      </c>
      <c r="G2447" s="130" t="inlineStr">
        <is>
          <t>Газпромнефть</t>
        </is>
      </c>
      <c r="H2447" s="131" t="n"/>
      <c r="I2447" s="637" t="n">
        <v>20158</v>
      </c>
      <c r="J2447" s="637" t="inlineStr">
        <is>
          <t>GPN_20158</t>
        </is>
      </c>
      <c r="K2447" s="640" t="n">
        <v>1</v>
      </c>
      <c r="L2447" s="640" t="n">
        <v>1</v>
      </c>
      <c r="M2447" s="623" t="n">
        <v>1</v>
      </c>
      <c r="N2447" s="640" t="n"/>
      <c r="O2447" s="640">
        <f>IF(AND(N2447=1,L2447=1),K2447,"")</f>
        <v/>
      </c>
      <c r="P2447" s="642" t="inlineStr">
        <is>
          <t>г. Екатеринбург, ул. Бебеля, 31</t>
        </is>
      </c>
      <c r="Q2447" s="640" t="inlineStr">
        <is>
          <t>56.848979</t>
        </is>
      </c>
      <c r="R2447" s="494" t="inlineStr">
        <is>
          <t>60.558175</t>
        </is>
      </c>
      <c r="S2447" s="387" t="n"/>
      <c r="T2447" s="387" t="n"/>
      <c r="U2447" s="436" t="n"/>
      <c r="V2447" s="387" t="n"/>
      <c r="W2447" s="387">
        <f>IF(AND(N2447=1,O2447&lt;&gt;""),C2447,"")</f>
        <v/>
      </c>
      <c r="X2447" s="387" t="n"/>
      <c r="Y2447" s="387" t="n"/>
    </row>
    <row r="2448" hidden="1" ht="16.05" customFormat="1" customHeight="1" s="126">
      <c r="A2448" s="125" t="n">
        <v>3070</v>
      </c>
      <c r="B2448" s="125" t="n"/>
      <c r="C2448" s="130" t="inlineStr">
        <is>
          <t>Тюмень</t>
        </is>
      </c>
      <c r="D2448" s="130" t="inlineStr">
        <is>
          <t xml:space="preserve">Тюмень </t>
        </is>
      </c>
      <c r="E2448" s="130" t="n"/>
      <c r="F2448" s="130" t="inlineStr">
        <is>
          <t>АЗС</t>
        </is>
      </c>
      <c r="G2448" s="130" t="inlineStr">
        <is>
          <t>Газпромнефть</t>
        </is>
      </c>
      <c r="H2448" s="131" t="n"/>
      <c r="I2448" s="637" t="n">
        <v>21302</v>
      </c>
      <c r="J2448" s="637" t="inlineStr">
        <is>
          <t>GPN_21302</t>
        </is>
      </c>
      <c r="K2448" s="640" t="n">
        <v>3</v>
      </c>
      <c r="L2448" s="640" t="n">
        <v>1</v>
      </c>
      <c r="M2448" s="623" t="n">
        <v>3</v>
      </c>
      <c r="N2448" s="640" t="n"/>
      <c r="O2448" s="640">
        <f>IF(AND(N2448=1,L2448=1),K2448,"")</f>
        <v/>
      </c>
      <c r="P2448" s="642" t="inlineStr">
        <is>
          <t>г. Тюмень, ул. Щербакова, дом 113, строение 1,строение 2</t>
        </is>
      </c>
      <c r="Q2448" s="640" t="inlineStr">
        <is>
          <t>57.187015</t>
        </is>
      </c>
      <c r="R2448" s="494" t="inlineStr">
        <is>
          <t>65.561876</t>
        </is>
      </c>
      <c r="S2448" s="387" t="n"/>
      <c r="T2448" s="387" t="n"/>
      <c r="U2448" s="436" t="n"/>
      <c r="V2448" s="387" t="n"/>
      <c r="W2448" s="387">
        <f>IF(AND(N2448=1,O2448&lt;&gt;""),C2448,"")</f>
        <v/>
      </c>
      <c r="X2448" s="387" t="n"/>
      <c r="Y2448" s="387" t="n"/>
    </row>
    <row r="2449" hidden="1" ht="16.05" customFormat="1" customHeight="1" s="126">
      <c r="A2449" s="125" t="n">
        <v>3071</v>
      </c>
      <c r="B2449" s="125" t="n"/>
      <c r="C2449" s="130" t="inlineStr">
        <is>
          <t>Тюмень</t>
        </is>
      </c>
      <c r="D2449" s="130" t="inlineStr">
        <is>
          <t xml:space="preserve">Тюмень </t>
        </is>
      </c>
      <c r="E2449" s="130" t="n"/>
      <c r="F2449" s="130" t="inlineStr">
        <is>
          <t>АЗС</t>
        </is>
      </c>
      <c r="G2449" s="130" t="inlineStr">
        <is>
          <t>Газпромнефть</t>
        </is>
      </c>
      <c r="H2449" s="131" t="n"/>
      <c r="I2449" s="637" t="n">
        <v>21303</v>
      </c>
      <c r="J2449" s="637" t="inlineStr">
        <is>
          <t>GPN_21303</t>
        </is>
      </c>
      <c r="K2449" s="640" t="n">
        <v>3</v>
      </c>
      <c r="L2449" s="640" t="n">
        <v>1</v>
      </c>
      <c r="M2449" s="623" t="n">
        <v>5</v>
      </c>
      <c r="N2449" s="640" t="n"/>
      <c r="O2449" s="640">
        <f>IF(AND(N2449=1,L2449=1),K2449,"")</f>
        <v/>
      </c>
      <c r="P2449" s="642" t="inlineStr">
        <is>
          <t>г. Тюмень, ул. Республики, дом 255, стр. 1</t>
        </is>
      </c>
      <c r="Q2449" s="640" t="inlineStr">
        <is>
          <t>57.11443</t>
        </is>
      </c>
      <c r="R2449" s="494" t="inlineStr">
        <is>
          <t>65.636592</t>
        </is>
      </c>
      <c r="S2449" s="387" t="n"/>
      <c r="T2449" s="387" t="n"/>
      <c r="U2449" s="436" t="n"/>
      <c r="V2449" s="387" t="n"/>
      <c r="W2449" s="387">
        <f>IF(AND(N2449=1,O2449&lt;&gt;""),C2449,"")</f>
        <v/>
      </c>
      <c r="X2449" s="387" t="n"/>
      <c r="Y2449" s="387" t="n"/>
    </row>
    <row r="2450" hidden="1" ht="16.05" customFormat="1" customHeight="1" s="126">
      <c r="A2450" s="125" t="n">
        <v>3072</v>
      </c>
      <c r="B2450" s="125" t="n"/>
      <c r="C2450" s="130" t="inlineStr">
        <is>
          <t>Тюмень</t>
        </is>
      </c>
      <c r="D2450" s="130" t="inlineStr">
        <is>
          <t xml:space="preserve">Тюмень </t>
        </is>
      </c>
      <c r="E2450" s="130" t="n"/>
      <c r="F2450" s="130" t="inlineStr">
        <is>
          <t>АЗС</t>
        </is>
      </c>
      <c r="G2450" s="130" t="inlineStr">
        <is>
          <t>Газпромнефть</t>
        </is>
      </c>
      <c r="H2450" s="131" t="n"/>
      <c r="I2450" s="637" t="n">
        <v>21304</v>
      </c>
      <c r="J2450" s="637" t="inlineStr">
        <is>
          <t>GPN_21304</t>
        </is>
      </c>
      <c r="K2450" s="640" t="n">
        <v>2</v>
      </c>
      <c r="L2450" s="640" t="n">
        <v>1</v>
      </c>
      <c r="M2450" s="623" t="n">
        <v>2</v>
      </c>
      <c r="N2450" s="640" t="n"/>
      <c r="O2450" s="640">
        <f>IF(AND(N2450=1,L2450=1),K2450,"")</f>
        <v/>
      </c>
      <c r="P2450" s="642" t="inlineStr">
        <is>
          <t>г. Тюмень, ул. Авторемонтная, дом 15</t>
        </is>
      </c>
      <c r="Q2450" s="640" t="inlineStr">
        <is>
          <t>57.154786</t>
        </is>
      </c>
      <c r="R2450" s="494" t="inlineStr">
        <is>
          <t>65.468526</t>
        </is>
      </c>
      <c r="S2450" s="387" t="n"/>
      <c r="T2450" s="387" t="n"/>
      <c r="U2450" s="436" t="n"/>
      <c r="V2450" s="387" t="n"/>
      <c r="W2450" s="387">
        <f>IF(AND(N2450=1,O2450&lt;&gt;""),C2450,"")</f>
        <v/>
      </c>
      <c r="X2450" s="387" t="n"/>
      <c r="Y2450" s="387" t="n"/>
    </row>
    <row r="2451" hidden="1" ht="16.05" customFormat="1" customHeight="1" s="126">
      <c r="A2451" s="125" t="n">
        <v>3069</v>
      </c>
      <c r="B2451" s="125" t="n"/>
      <c r="C2451" s="130" t="inlineStr">
        <is>
          <t>Екатеринбург</t>
        </is>
      </c>
      <c r="D2451" s="130" t="inlineStr">
        <is>
          <t>Екатеринбург</t>
        </is>
      </c>
      <c r="E2451" s="130" t="n"/>
      <c r="F2451" s="130" t="inlineStr">
        <is>
          <t>АЗС</t>
        </is>
      </c>
      <c r="G2451" s="130" t="inlineStr">
        <is>
          <t>Газпромнефть</t>
        </is>
      </c>
      <c r="H2451" s="131" t="n"/>
      <c r="I2451" s="637" t="n">
        <v>20198</v>
      </c>
      <c r="J2451" s="402" t="inlineStr">
        <is>
          <t>GPN_20198</t>
        </is>
      </c>
      <c r="K2451" s="640" t="n">
        <v>1</v>
      </c>
      <c r="L2451" s="640" t="n">
        <v>0</v>
      </c>
      <c r="M2451" s="640" t="n">
        <v>1</v>
      </c>
      <c r="N2451" s="640" t="n"/>
      <c r="O2451" s="640">
        <f>IF(AND(N2451=1,L2451=1),K2451,"")</f>
        <v/>
      </c>
      <c r="P2451" s="642" t="inlineStr">
        <is>
          <t>г.Екатеринбург, Промышленный проезд,1</t>
        </is>
      </c>
      <c r="Q2451" s="640" t="n">
        <v>56.872742</v>
      </c>
      <c r="R2451" s="422" t="n">
        <v>60.66563</v>
      </c>
      <c r="S2451" s="387" t="n"/>
      <c r="T2451" s="387" t="n"/>
      <c r="U2451" s="436" t="n"/>
      <c r="V2451" s="387" t="n"/>
      <c r="W2451" s="387">
        <f>IF(AND(N2451=1,O2451&lt;&gt;""),C2451,"")</f>
        <v/>
      </c>
      <c r="X2451" s="387" t="n"/>
      <c r="Y2451" s="1" t="n"/>
    </row>
    <row r="2452" hidden="1" ht="16.05" customFormat="1" customHeight="1" s="126">
      <c r="A2452" s="125" t="n">
        <v>3073</v>
      </c>
      <c r="B2452" s="125" t="n"/>
      <c r="C2452" s="130" t="inlineStr">
        <is>
          <t>Тюмень</t>
        </is>
      </c>
      <c r="D2452" s="130" t="inlineStr">
        <is>
          <t xml:space="preserve">Тюмень </t>
        </is>
      </c>
      <c r="E2452" s="130" t="n"/>
      <c r="F2452" s="130" t="inlineStr">
        <is>
          <t>АЗС</t>
        </is>
      </c>
      <c r="G2452" s="130" t="inlineStr">
        <is>
          <t>Газпромнефть</t>
        </is>
      </c>
      <c r="H2452" s="131" t="n"/>
      <c r="I2452" s="637" t="n">
        <v>21307</v>
      </c>
      <c r="J2452" s="637" t="inlineStr">
        <is>
          <t>GPN_21307</t>
        </is>
      </c>
      <c r="K2452" s="640" t="n">
        <v>3</v>
      </c>
      <c r="L2452" s="640" t="n">
        <v>1</v>
      </c>
      <c r="M2452" s="623" t="n">
        <v>5</v>
      </c>
      <c r="N2452" s="640" t="n"/>
      <c r="O2452" s="640">
        <f>IF(AND(N2452=1,L2452=1),K2452,"")</f>
        <v/>
      </c>
      <c r="P2452" s="642" t="inlineStr">
        <is>
          <t>Тюменская область, г. Тюмень, 7 км Салаирского тракта</t>
        </is>
      </c>
      <c r="Q2452" s="640" t="inlineStr">
        <is>
          <t>57.217781</t>
        </is>
      </c>
      <c r="R2452" s="494" t="inlineStr">
        <is>
          <t>65.484051</t>
        </is>
      </c>
      <c r="S2452" s="387" t="n"/>
      <c r="T2452" s="387" t="n"/>
      <c r="U2452" s="436" t="n"/>
      <c r="V2452" s="387" t="n"/>
      <c r="W2452" s="387">
        <f>IF(AND(N2452=1,O2452&lt;&gt;""),C2452,"")</f>
        <v/>
      </c>
      <c r="X2452" s="387" t="n"/>
      <c r="Y2452" s="387" t="n"/>
    </row>
    <row r="2453" hidden="1" ht="16.05" customFormat="1" customHeight="1" s="126">
      <c r="A2453" s="125" t="n">
        <v>3074</v>
      </c>
      <c r="B2453" s="125" t="n"/>
      <c r="C2453" s="130" t="inlineStr">
        <is>
          <t>Тюмень</t>
        </is>
      </c>
      <c r="D2453" s="130" t="inlineStr">
        <is>
          <t xml:space="preserve">Тюмень </t>
        </is>
      </c>
      <c r="E2453" s="130" t="n"/>
      <c r="F2453" s="130" t="inlineStr">
        <is>
          <t>АЗС</t>
        </is>
      </c>
      <c r="G2453" s="130" t="inlineStr">
        <is>
          <t>Газпромнефть</t>
        </is>
      </c>
      <c r="H2453" s="131" t="n"/>
      <c r="I2453" s="637" t="n">
        <v>21308</v>
      </c>
      <c r="J2453" s="637" t="inlineStr">
        <is>
          <t>GPN_21308</t>
        </is>
      </c>
      <c r="K2453" s="640" t="n">
        <v>2</v>
      </c>
      <c r="L2453" s="640" t="n">
        <v>1</v>
      </c>
      <c r="M2453" s="623" t="n">
        <v>2</v>
      </c>
      <c r="N2453" s="640" t="n"/>
      <c r="O2453" s="640">
        <f>IF(AND(N2453=1,L2453=1),K2453,"")</f>
        <v/>
      </c>
      <c r="P2453" s="642" t="inlineStr">
        <is>
          <t>Тюм. обл., Тюменский р-н, 7 км.Червишевского тракта., стр.1</t>
        </is>
      </c>
      <c r="Q2453" s="640" t="inlineStr">
        <is>
          <t>57.087162</t>
        </is>
      </c>
      <c r="R2453" s="494" t="inlineStr">
        <is>
          <t>65.521827</t>
        </is>
      </c>
      <c r="S2453" s="387" t="n"/>
      <c r="T2453" s="387" t="n"/>
      <c r="U2453" s="436" t="n"/>
      <c r="V2453" s="387" t="n"/>
      <c r="W2453" s="387">
        <f>IF(AND(N2453=1,O2453&lt;&gt;""),C2453,"")</f>
        <v/>
      </c>
      <c r="X2453" s="387" t="n"/>
      <c r="Y2453" s="387" t="n"/>
    </row>
    <row r="2454" hidden="1" ht="16.05" customFormat="1" customHeight="1" s="126">
      <c r="A2454" s="125" t="n">
        <v>3075</v>
      </c>
      <c r="B2454" s="125" t="n"/>
      <c r="C2454" s="130" t="inlineStr">
        <is>
          <t>Тюмень</t>
        </is>
      </c>
      <c r="D2454" s="130" t="inlineStr">
        <is>
          <t xml:space="preserve">Тюмень </t>
        </is>
      </c>
      <c r="E2454" s="130" t="n"/>
      <c r="F2454" s="130" t="inlineStr">
        <is>
          <t>АЗС</t>
        </is>
      </c>
      <c r="G2454" s="130" t="inlineStr">
        <is>
          <t>Газпромнефть</t>
        </is>
      </c>
      <c r="H2454" s="131" t="n"/>
      <c r="I2454" s="637" t="n">
        <v>21310</v>
      </c>
      <c r="J2454" s="637" t="inlineStr">
        <is>
          <t>GPN_21310</t>
        </is>
      </c>
      <c r="K2454" s="640" t="n">
        <v>2</v>
      </c>
      <c r="L2454" s="640" t="n">
        <v>1</v>
      </c>
      <c r="M2454" s="623" t="n">
        <v>2</v>
      </c>
      <c r="N2454" s="640" t="n"/>
      <c r="O2454" s="640">
        <f>IF(AND(N2454=1,L2454=1),K2454,"")</f>
        <v/>
      </c>
      <c r="P2454" s="642" t="inlineStr">
        <is>
          <t>г. Тюмень, ул. Профсоюзная, дом 1</t>
        </is>
      </c>
      <c r="Q2454" s="640" t="inlineStr">
        <is>
          <t>57.15918</t>
        </is>
      </c>
      <c r="R2454" s="494" t="inlineStr">
        <is>
          <t>65.56811</t>
        </is>
      </c>
      <c r="S2454" s="387" t="n"/>
      <c r="T2454" s="387" t="n"/>
      <c r="U2454" s="436" t="n"/>
      <c r="V2454" s="387" t="n"/>
      <c r="W2454" s="387">
        <f>IF(AND(N2454=1,O2454&lt;&gt;""),C2454,"")</f>
        <v/>
      </c>
      <c r="X2454" s="387" t="n"/>
      <c r="Y2454" s="387" t="n"/>
    </row>
    <row r="2455" hidden="1" ht="16.05" customFormat="1" customHeight="1" s="126">
      <c r="A2455" s="125" t="n">
        <v>3076</v>
      </c>
      <c r="B2455" s="125" t="n"/>
      <c r="C2455" s="130" t="inlineStr">
        <is>
          <t>Тюмень</t>
        </is>
      </c>
      <c r="D2455" s="130" t="inlineStr">
        <is>
          <t xml:space="preserve">Тюмень </t>
        </is>
      </c>
      <c r="E2455" s="130" t="n"/>
      <c r="F2455" s="130" t="inlineStr">
        <is>
          <t>АЗС</t>
        </is>
      </c>
      <c r="G2455" s="130" t="inlineStr">
        <is>
          <t>Газпромнефть</t>
        </is>
      </c>
      <c r="H2455" s="131" t="n"/>
      <c r="I2455" s="637" t="n">
        <v>21311</v>
      </c>
      <c r="J2455" s="637" t="inlineStr">
        <is>
          <t>GPN_21311</t>
        </is>
      </c>
      <c r="K2455" s="640" t="n">
        <v>1</v>
      </c>
      <c r="L2455" s="640" t="n">
        <v>1</v>
      </c>
      <c r="M2455" s="623" t="n">
        <v>1</v>
      </c>
      <c r="N2455" s="640" t="n"/>
      <c r="O2455" s="640">
        <f>IF(AND(N2455=1,L2455=1),K2455,"")</f>
        <v/>
      </c>
      <c r="P2455" s="642" t="inlineStr">
        <is>
          <t>г. Тюмень, ул. Широтная, дом 177</t>
        </is>
      </c>
      <c r="Q2455" s="640" t="inlineStr">
        <is>
          <t>57.099105</t>
        </is>
      </c>
      <c r="R2455" s="494" t="inlineStr">
        <is>
          <t>65.615239</t>
        </is>
      </c>
      <c r="S2455" s="387" t="n"/>
      <c r="T2455" s="387" t="n"/>
      <c r="U2455" s="436" t="n"/>
      <c r="V2455" s="387" t="n"/>
      <c r="W2455" s="387">
        <f>IF(AND(N2455=1,O2455&lt;&gt;""),C2455,"")</f>
        <v/>
      </c>
      <c r="X2455" s="387" t="n"/>
      <c r="Y2455" s="387" t="n"/>
    </row>
    <row r="2456" hidden="1" ht="16.05" customFormat="1" customHeight="1" s="126">
      <c r="A2456" s="125" t="n">
        <v>3077</v>
      </c>
      <c r="B2456" s="125" t="n"/>
      <c r="C2456" s="130" t="inlineStr">
        <is>
          <t>Тюмень</t>
        </is>
      </c>
      <c r="D2456" s="130" t="inlineStr">
        <is>
          <t xml:space="preserve">Тюмень </t>
        </is>
      </c>
      <c r="E2456" s="130" t="n"/>
      <c r="F2456" s="130" t="inlineStr">
        <is>
          <t>АЗС</t>
        </is>
      </c>
      <c r="G2456" s="130" t="inlineStr">
        <is>
          <t>Газпромнефть</t>
        </is>
      </c>
      <c r="H2456" s="131" t="n"/>
      <c r="I2456" s="637" t="n">
        <v>21314</v>
      </c>
      <c r="J2456" s="637" t="inlineStr">
        <is>
          <t>GPN_21314</t>
        </is>
      </c>
      <c r="K2456" s="640" t="n">
        <v>2</v>
      </c>
      <c r="L2456" s="640" t="n">
        <v>1</v>
      </c>
      <c r="M2456" s="623" t="n">
        <v>2</v>
      </c>
      <c r="N2456" s="640" t="n"/>
      <c r="O2456" s="640">
        <f>IF(AND(N2456=1,L2456=1),K2456,"")</f>
        <v/>
      </c>
      <c r="P2456" s="642" t="inlineStr">
        <is>
          <t>г. Тюмень, ул. Мельникайте, дом 12</t>
        </is>
      </c>
      <c r="Q2456" s="640" t="inlineStr">
        <is>
          <t>57.16429</t>
        </is>
      </c>
      <c r="R2456" s="494" t="inlineStr">
        <is>
          <t xml:space="preserve">65.599096 </t>
        </is>
      </c>
      <c r="S2456" s="387" t="n"/>
      <c r="T2456" s="387" t="n"/>
      <c r="U2456" s="436" t="n"/>
      <c r="V2456" s="387" t="n"/>
      <c r="W2456" s="387">
        <f>IF(AND(N2456=1,O2456&lt;&gt;""),C2456,"")</f>
        <v/>
      </c>
      <c r="X2456" s="387" t="n"/>
      <c r="Y2456" s="387" t="n"/>
    </row>
    <row r="2457" hidden="1" ht="16.05" customFormat="1" customHeight="1" s="126">
      <c r="A2457" s="125" t="n">
        <v>3078</v>
      </c>
      <c r="B2457" s="125" t="n"/>
      <c r="C2457" s="130" t="inlineStr">
        <is>
          <t>Тюмень</t>
        </is>
      </c>
      <c r="D2457" s="130" t="inlineStr">
        <is>
          <t xml:space="preserve">Тюмень </t>
        </is>
      </c>
      <c r="E2457" s="130" t="n"/>
      <c r="F2457" s="130" t="inlineStr">
        <is>
          <t>АЗС</t>
        </is>
      </c>
      <c r="G2457" s="130" t="inlineStr">
        <is>
          <t>Газпромнефть</t>
        </is>
      </c>
      <c r="H2457" s="131" t="n"/>
      <c r="I2457" s="637" t="n">
        <v>21325</v>
      </c>
      <c r="J2457" s="637" t="inlineStr">
        <is>
          <t>GPN_21325</t>
        </is>
      </c>
      <c r="K2457" s="640" t="n">
        <v>2</v>
      </c>
      <c r="L2457" s="640" t="n">
        <v>1</v>
      </c>
      <c r="M2457" s="623" t="n">
        <v>2</v>
      </c>
      <c r="N2457" s="640" t="n"/>
      <c r="O2457" s="640">
        <f>IF(AND(N2457=1,L2457=1),K2457,"")</f>
        <v/>
      </c>
      <c r="P2457" s="642" t="inlineStr">
        <is>
          <t>г. Тюмень, ул. Щербакова 221</t>
        </is>
      </c>
      <c r="Q2457" s="640" t="inlineStr">
        <is>
          <t xml:space="preserve">57.201008 </t>
        </is>
      </c>
      <c r="R2457" s="494" t="inlineStr">
        <is>
          <t xml:space="preserve">65.599806 </t>
        </is>
      </c>
      <c r="S2457" s="387" t="n"/>
      <c r="T2457" s="387" t="n"/>
      <c r="U2457" s="436" t="n"/>
      <c r="V2457" s="387" t="n"/>
      <c r="W2457" s="387">
        <f>IF(AND(N2457=1,O2457&lt;&gt;""),C2457,"")</f>
        <v/>
      </c>
      <c r="X2457" s="387" t="n"/>
      <c r="Y2457" s="387" t="n"/>
    </row>
    <row r="2458" hidden="1" ht="16.05" customFormat="1" customHeight="1" s="126">
      <c r="A2458" s="125" t="n">
        <v>3079</v>
      </c>
      <c r="B2458" s="125" t="n"/>
      <c r="C2458" s="130" t="inlineStr">
        <is>
          <t>Тюмень</t>
        </is>
      </c>
      <c r="D2458" s="130" t="inlineStr">
        <is>
          <t xml:space="preserve">Тюмень </t>
        </is>
      </c>
      <c r="E2458" s="130" t="n"/>
      <c r="F2458" s="130" t="inlineStr">
        <is>
          <t>АЗС</t>
        </is>
      </c>
      <c r="G2458" s="130" t="inlineStr">
        <is>
          <t>Газпромнефть</t>
        </is>
      </c>
      <c r="H2458" s="131" t="n"/>
      <c r="I2458" s="637" t="n">
        <v>21330</v>
      </c>
      <c r="J2458" s="637" t="inlineStr">
        <is>
          <t>GPN_21330</t>
        </is>
      </c>
      <c r="K2458" s="640" t="n">
        <v>3</v>
      </c>
      <c r="L2458" s="640" t="n">
        <v>1</v>
      </c>
      <c r="M2458" s="623" t="n">
        <v>5</v>
      </c>
      <c r="N2458" s="640" t="n"/>
      <c r="O2458" s="640">
        <f>IF(AND(N2458=1,L2458=1),K2458,"")</f>
        <v/>
      </c>
      <c r="P2458" s="642" t="inlineStr">
        <is>
          <t>г. Тюмень, окружная дорога, д.200</t>
        </is>
      </c>
      <c r="Q2458" s="640" t="inlineStr">
        <is>
          <t>57.133756</t>
        </is>
      </c>
      <c r="R2458" s="494" t="inlineStr">
        <is>
          <t>65.462909</t>
        </is>
      </c>
      <c r="S2458" s="387" t="n"/>
      <c r="T2458" s="387" t="n"/>
      <c r="U2458" s="436" t="n"/>
      <c r="V2458" s="387" t="n"/>
      <c r="W2458" s="387">
        <f>IF(AND(N2458=1,O2458&lt;&gt;""),C2458,"")</f>
        <v/>
      </c>
      <c r="X2458" s="387" t="n"/>
      <c r="Y2458" s="387" t="n"/>
    </row>
    <row r="2459" hidden="1" ht="16.05" customFormat="1" customHeight="1" s="126">
      <c r="A2459" s="125" t="n">
        <v>3080</v>
      </c>
      <c r="B2459" s="125" t="n"/>
      <c r="C2459" s="130" t="inlineStr">
        <is>
          <t>Тюмень</t>
        </is>
      </c>
      <c r="D2459" s="130" t="inlineStr">
        <is>
          <t>Тюменская область</t>
        </is>
      </c>
      <c r="E2459" s="130" t="n"/>
      <c r="F2459" s="130" t="inlineStr">
        <is>
          <t>АЗС</t>
        </is>
      </c>
      <c r="G2459" s="130" t="inlineStr">
        <is>
          <t>Газпромнефть</t>
        </is>
      </c>
      <c r="H2459" s="131" t="n"/>
      <c r="I2459" s="637" t="n">
        <v>21339</v>
      </c>
      <c r="J2459" s="637" t="inlineStr">
        <is>
          <t>GPN_21339</t>
        </is>
      </c>
      <c r="K2459" s="640" t="n">
        <v>2</v>
      </c>
      <c r="L2459" s="640" t="n">
        <v>1</v>
      </c>
      <c r="M2459" s="623" t="n">
        <v>2</v>
      </c>
      <c r="N2459" s="640" t="n"/>
      <c r="O2459" s="640">
        <f>IF(AND(N2459=1,L2459=1),K2459,"")</f>
        <v/>
      </c>
      <c r="P2459" s="642" t="inlineStr">
        <is>
          <t>Тюменский р-н, п.г.т. Богандинский, 36км а/дороги Тюмень - Ишим - Омск</t>
        </is>
      </c>
      <c r="Q2459" s="640" t="inlineStr">
        <is>
          <t>56.906582</t>
        </is>
      </c>
      <c r="R2459" s="494" t="inlineStr">
        <is>
          <t>65.851287</t>
        </is>
      </c>
      <c r="S2459" s="387" t="n"/>
      <c r="T2459" s="387" t="n"/>
      <c r="U2459" s="436" t="n"/>
      <c r="V2459" s="387" t="n"/>
      <c r="W2459" s="387">
        <f>IF(AND(N2459=1,O2459&lt;&gt;""),C2459,"")</f>
        <v/>
      </c>
      <c r="X2459" s="387" t="n"/>
      <c r="Y2459" s="387" t="n"/>
    </row>
    <row r="2460" hidden="1" ht="16.05" customFormat="1" customHeight="1" s="126">
      <c r="A2460" s="125" t="n">
        <v>3081</v>
      </c>
      <c r="B2460" s="125" t="n"/>
      <c r="C2460" s="130" t="inlineStr">
        <is>
          <t>Тюмень</t>
        </is>
      </c>
      <c r="D2460" s="130" t="inlineStr">
        <is>
          <t>Тюменская область</t>
        </is>
      </c>
      <c r="E2460" s="130" t="n"/>
      <c r="F2460" s="130" t="inlineStr">
        <is>
          <t>АЗС</t>
        </is>
      </c>
      <c r="G2460" s="130" t="inlineStr">
        <is>
          <t>Газпромнефть</t>
        </is>
      </c>
      <c r="H2460" s="131" t="n"/>
      <c r="I2460" s="637" t="n">
        <v>21340</v>
      </c>
      <c r="J2460" s="637" t="inlineStr">
        <is>
          <t>GPN_21340</t>
        </is>
      </c>
      <c r="K2460" s="640" t="n">
        <v>3</v>
      </c>
      <c r="L2460" s="640" t="n">
        <v>1</v>
      </c>
      <c r="M2460" s="623" t="n">
        <v>5</v>
      </c>
      <c r="N2460" s="640" t="n"/>
      <c r="O2460" s="640">
        <f>IF(AND(N2460=1,L2460=1),K2460,"")</f>
        <v/>
      </c>
      <c r="P2460" s="642" t="inlineStr">
        <is>
          <t>Тюменская область, а/д Р-351 Тюмень - Екатеринбург, д. Перевалово</t>
        </is>
      </c>
      <c r="Q2460" s="640" t="inlineStr">
        <is>
          <t>57.09686</t>
        </is>
      </c>
      <c r="R2460" s="494" t="inlineStr">
        <is>
          <t>65.20511</t>
        </is>
      </c>
      <c r="S2460" s="387" t="n"/>
      <c r="T2460" s="387" t="n"/>
      <c r="U2460" s="436" t="n"/>
      <c r="V2460" s="387" t="n"/>
      <c r="W2460" s="387">
        <f>IF(AND(N2460=1,O2460&lt;&gt;""),C2460,"")</f>
        <v/>
      </c>
      <c r="X2460" s="387" t="n"/>
      <c r="Y2460" s="387" t="n"/>
    </row>
    <row r="2461" hidden="1" ht="16.05" customFormat="1" customHeight="1" s="126">
      <c r="A2461" s="125" t="n">
        <v>3082</v>
      </c>
      <c r="B2461" s="125" t="n"/>
      <c r="C2461" s="130" t="inlineStr">
        <is>
          <t>Екатеринбург</t>
        </is>
      </c>
      <c r="D2461" s="130" t="inlineStr">
        <is>
          <t>Свердловская область</t>
        </is>
      </c>
      <c r="E2461" s="130" t="n"/>
      <c r="F2461" s="130" t="inlineStr">
        <is>
          <t>АЗС</t>
        </is>
      </c>
      <c r="G2461" s="130" t="inlineStr">
        <is>
          <t>Газпромнефть</t>
        </is>
      </c>
      <c r="H2461" s="131" t="n"/>
      <c r="I2461" s="637" t="n">
        <v>21345</v>
      </c>
      <c r="J2461" s="637" t="inlineStr">
        <is>
          <t>GPN_21345</t>
        </is>
      </c>
      <c r="K2461" s="640" t="n">
        <v>3</v>
      </c>
      <c r="L2461" s="640" t="n">
        <v>1</v>
      </c>
      <c r="M2461" s="623" t="n">
        <v>6</v>
      </c>
      <c r="N2461" s="640" t="n"/>
      <c r="O2461" s="640">
        <f>IF(AND(N2461=1,L2461=1),K2461,"")</f>
        <v/>
      </c>
      <c r="P2461" s="642" t="inlineStr">
        <is>
          <t>Курганская область, Мишкинский район в границах ТОО "8-ое Марта" (Р-254 Иртыш, 1)</t>
        </is>
      </c>
      <c r="Q2461" s="640" t="inlineStr">
        <is>
          <t>55.374966</t>
        </is>
      </c>
      <c r="R2461" s="494" t="inlineStr">
        <is>
          <t>64.091689</t>
        </is>
      </c>
      <c r="S2461" s="387" t="n"/>
      <c r="T2461" s="387" t="n"/>
      <c r="U2461" s="436" t="n"/>
      <c r="V2461" s="387" t="n"/>
      <c r="W2461" s="387">
        <f>IF(AND(N2461=1,O2461&lt;&gt;""),C2461,"")</f>
        <v/>
      </c>
      <c r="X2461" s="387" t="n"/>
      <c r="Y2461" s="387" t="n"/>
    </row>
    <row r="2462" hidden="1" ht="16.05" customFormat="1" customHeight="1" s="126">
      <c r="A2462" s="125" t="n">
        <v>3083</v>
      </c>
      <c r="B2462" s="125" t="n"/>
      <c r="C2462" s="130" t="inlineStr">
        <is>
          <t>Тюмень</t>
        </is>
      </c>
      <c r="D2462" s="130" t="inlineStr">
        <is>
          <t xml:space="preserve">Тюмень </t>
        </is>
      </c>
      <c r="E2462" s="130" t="n"/>
      <c r="F2462" s="130" t="inlineStr">
        <is>
          <t>АЗС</t>
        </is>
      </c>
      <c r="G2462" s="130" t="inlineStr">
        <is>
          <t>Газпромнефть</t>
        </is>
      </c>
      <c r="H2462" s="131" t="n"/>
      <c r="I2462" s="637" t="n">
        <v>21347</v>
      </c>
      <c r="J2462" s="637" t="inlineStr">
        <is>
          <t>GPN_21347</t>
        </is>
      </c>
      <c r="K2462" s="640" t="n">
        <v>3</v>
      </c>
      <c r="L2462" s="640" t="n">
        <v>1</v>
      </c>
      <c r="M2462" s="623" t="n">
        <v>3</v>
      </c>
      <c r="N2462" s="640" t="n"/>
      <c r="O2462" s="640">
        <f>IF(AND(N2462=1,L2462=1),K2462,"")</f>
        <v/>
      </c>
      <c r="P2462" s="642" t="inlineStr">
        <is>
          <t>г. Тюмень, ул. Пермякова, дом 2а, строение 1, строение 2.</t>
        </is>
      </c>
      <c r="Q2462" s="640" t="inlineStr">
        <is>
          <t>57.135505</t>
        </is>
      </c>
      <c r="R2462" s="494" t="inlineStr">
        <is>
          <t>65.604797</t>
        </is>
      </c>
      <c r="S2462" s="387" t="n"/>
      <c r="T2462" s="387" t="n"/>
      <c r="U2462" s="436" t="n"/>
      <c r="V2462" s="387" t="n"/>
      <c r="W2462" s="387">
        <f>IF(AND(N2462=1,O2462&lt;&gt;""),C2462,"")</f>
        <v/>
      </c>
      <c r="X2462" s="387" t="n"/>
      <c r="Y2462" s="387" t="n"/>
    </row>
    <row r="2463" hidden="1" ht="16.05" customFormat="1" customHeight="1" s="126">
      <c r="A2463" s="125" t="n">
        <v>3084</v>
      </c>
      <c r="B2463" s="125" t="n"/>
      <c r="C2463" s="130" t="inlineStr">
        <is>
          <t>Тюмень</t>
        </is>
      </c>
      <c r="D2463" s="130" t="inlineStr">
        <is>
          <t xml:space="preserve">Тюмень </t>
        </is>
      </c>
      <c r="E2463" s="130" t="n"/>
      <c r="F2463" s="130" t="inlineStr">
        <is>
          <t>АЗС</t>
        </is>
      </c>
      <c r="G2463" s="130" t="inlineStr">
        <is>
          <t>Газпромнефть</t>
        </is>
      </c>
      <c r="H2463" s="131" t="n"/>
      <c r="I2463" s="637" t="n">
        <v>21350</v>
      </c>
      <c r="J2463" s="637" t="inlineStr">
        <is>
          <t>GPN_21350</t>
        </is>
      </c>
      <c r="K2463" s="640" t="n">
        <v>3</v>
      </c>
      <c r="L2463" s="640" t="n">
        <v>1</v>
      </c>
      <c r="M2463" s="623" t="n">
        <v>3</v>
      </c>
      <c r="N2463" s="640" t="n"/>
      <c r="O2463" s="640">
        <f>IF(AND(N2463=1,L2463=1),K2463,"")</f>
        <v/>
      </c>
      <c r="P2463" s="642" t="inlineStr">
        <is>
          <t>г. Тюмень, ул. Широтная, дом 6, стр. 1</t>
        </is>
      </c>
      <c r="Q2463" s="640" t="inlineStr">
        <is>
          <t xml:space="preserve">57.119356 </t>
        </is>
      </c>
      <c r="R2463" s="494" t="inlineStr">
        <is>
          <t xml:space="preserve">65.550506 </t>
        </is>
      </c>
      <c r="S2463" s="387" t="n"/>
      <c r="T2463" s="387" t="n"/>
      <c r="U2463" s="436" t="n"/>
      <c r="V2463" s="387" t="n"/>
      <c r="W2463" s="387">
        <f>IF(AND(N2463=1,O2463&lt;&gt;""),C2463,"")</f>
        <v/>
      </c>
      <c r="X2463" s="387" t="n"/>
      <c r="Y2463" s="387" t="n"/>
    </row>
    <row r="2464" hidden="1" ht="16.05" customFormat="1" customHeight="1" s="126">
      <c r="A2464" s="125" t="n">
        <v>3085</v>
      </c>
      <c r="B2464" s="125" t="n"/>
      <c r="C2464" s="130" t="inlineStr">
        <is>
          <t>Тюмень</t>
        </is>
      </c>
      <c r="D2464" s="130" t="inlineStr">
        <is>
          <t>Тюменская область</t>
        </is>
      </c>
      <c r="E2464" s="130" t="n"/>
      <c r="F2464" s="130" t="inlineStr">
        <is>
          <t>АЗС</t>
        </is>
      </c>
      <c r="G2464" s="130" t="inlineStr">
        <is>
          <t>Газпромнефть</t>
        </is>
      </c>
      <c r="H2464" s="131" t="n"/>
      <c r="I2464" s="637" t="n">
        <v>21353</v>
      </c>
      <c r="J2464" s="637" t="inlineStr">
        <is>
          <t>GPN_21353</t>
        </is>
      </c>
      <c r="K2464" s="640" t="n">
        <v>3</v>
      </c>
      <c r="L2464" s="640" t="n">
        <v>1</v>
      </c>
      <c r="M2464" s="623" t="n">
        <v>4</v>
      </c>
      <c r="N2464" s="640" t="n"/>
      <c r="O2464" s="640">
        <f>IF(AND(N2464=1,L2464=1),K2464,"")</f>
        <v/>
      </c>
      <c r="P2464" s="642" t="inlineStr">
        <is>
          <t>Тюм. обл., Тюменский р-он, 26 км.Тобольского тракта</t>
        </is>
      </c>
      <c r="Q2464" s="640" t="inlineStr">
        <is>
          <t>57.175409</t>
        </is>
      </c>
      <c r="R2464" s="494" t="inlineStr">
        <is>
          <t>65.909514</t>
        </is>
      </c>
      <c r="S2464" s="387" t="n"/>
      <c r="T2464" s="387" t="n"/>
      <c r="U2464" s="436" t="n"/>
      <c r="V2464" s="387" t="n"/>
      <c r="W2464" s="387">
        <f>IF(AND(N2464=1,O2464&lt;&gt;""),C2464,"")</f>
        <v/>
      </c>
      <c r="X2464" s="387" t="n"/>
      <c r="Y2464" s="387" t="n"/>
    </row>
    <row r="2465" hidden="1" ht="16.05" customFormat="1" customHeight="1" s="126">
      <c r="A2465" s="125" t="n">
        <v>3086</v>
      </c>
      <c r="B2465" s="125" t="n"/>
      <c r="C2465" s="130" t="inlineStr">
        <is>
          <t>Тюмень</t>
        </is>
      </c>
      <c r="D2465" s="130" t="inlineStr">
        <is>
          <t xml:space="preserve">Тюмень </t>
        </is>
      </c>
      <c r="E2465" s="130" t="n"/>
      <c r="F2465" s="130" t="inlineStr">
        <is>
          <t>АЗС</t>
        </is>
      </c>
      <c r="G2465" s="130" t="inlineStr">
        <is>
          <t>Газпромнефть</t>
        </is>
      </c>
      <c r="H2465" s="131" t="n"/>
      <c r="I2465" s="637" t="n">
        <v>21355</v>
      </c>
      <c r="J2465" s="637" t="inlineStr">
        <is>
          <t>GPN_21355</t>
        </is>
      </c>
      <c r="K2465" s="640" t="n">
        <v>1</v>
      </c>
      <c r="L2465" s="640" t="n">
        <v>1</v>
      </c>
      <c r="M2465" s="623" t="n">
        <v>1</v>
      </c>
      <c r="N2465" s="640" t="n"/>
      <c r="O2465" s="640">
        <f>IF(AND(N2465=1,L2465=1),K2465,"")</f>
        <v/>
      </c>
      <c r="P2465" s="642" t="inlineStr">
        <is>
          <t>г. Тюмень, ул. Барнаульская , 83</t>
        </is>
      </c>
      <c r="Q2465" s="640" t="inlineStr">
        <is>
          <t xml:space="preserve">57.171361 </t>
        </is>
      </c>
      <c r="R2465" s="494" t="inlineStr">
        <is>
          <t xml:space="preserve">65.441783 </t>
        </is>
      </c>
      <c r="S2465" s="387" t="n"/>
      <c r="T2465" s="387" t="n"/>
      <c r="U2465" s="436" t="n"/>
      <c r="V2465" s="387" t="n"/>
      <c r="W2465" s="387">
        <f>IF(AND(N2465=1,O2465&lt;&gt;""),C2465,"")</f>
        <v/>
      </c>
      <c r="X2465" s="387" t="n"/>
      <c r="Y2465" s="387" t="n"/>
    </row>
    <row r="2466" hidden="1" ht="16.05" customFormat="1" customHeight="1" s="126">
      <c r="A2466" s="125" t="n">
        <v>3087</v>
      </c>
      <c r="B2466" s="125" t="n"/>
      <c r="C2466" s="130" t="inlineStr">
        <is>
          <t>Тюмень</t>
        </is>
      </c>
      <c r="D2466" s="130" t="inlineStr">
        <is>
          <t>Тюменская область</t>
        </is>
      </c>
      <c r="E2466" s="130" t="n"/>
      <c r="F2466" s="130" t="inlineStr">
        <is>
          <t>АЗС</t>
        </is>
      </c>
      <c r="G2466" s="130" t="inlineStr">
        <is>
          <t>Газпромнефть</t>
        </is>
      </c>
      <c r="H2466" s="131" t="n"/>
      <c r="I2466" s="637" t="n">
        <v>21356</v>
      </c>
      <c r="J2466" s="637" t="inlineStr">
        <is>
          <t>GPN_21356</t>
        </is>
      </c>
      <c r="K2466" s="640" t="n">
        <v>1</v>
      </c>
      <c r="L2466" s="640" t="n">
        <v>1</v>
      </c>
      <c r="M2466" s="623" t="n">
        <v>1</v>
      </c>
      <c r="N2466" s="640" t="n"/>
      <c r="O2466" s="640">
        <f>IF(AND(N2466=1,L2466=1),K2466,"")</f>
        <v/>
      </c>
      <c r="P2466" s="642" t="inlineStr">
        <is>
          <t>Тюм. обл., Тюменский р-он, 11 км автодороги Тюмень-Тобольск</t>
        </is>
      </c>
      <c r="Q2466" s="640" t="inlineStr">
        <is>
          <t>57.171424</t>
        </is>
      </c>
      <c r="R2466" s="494" t="inlineStr">
        <is>
          <t>65.675212</t>
        </is>
      </c>
      <c r="S2466" s="387" t="n"/>
      <c r="T2466" s="387" t="n"/>
      <c r="U2466" s="436" t="n"/>
      <c r="V2466" s="387" t="n"/>
      <c r="W2466" s="387">
        <f>IF(AND(N2466=1,O2466&lt;&gt;""),C2466,"")</f>
        <v/>
      </c>
      <c r="X2466" s="387" t="n"/>
      <c r="Y2466" s="387" t="n"/>
    </row>
    <row r="2467" hidden="1" ht="16.05" customFormat="1" customHeight="1" s="126">
      <c r="A2467" s="125" t="n">
        <v>3088</v>
      </c>
      <c r="B2467" s="125" t="n"/>
      <c r="C2467" s="130" t="inlineStr">
        <is>
          <t>Тюмень</t>
        </is>
      </c>
      <c r="D2467" s="130" t="inlineStr">
        <is>
          <t xml:space="preserve">Тюмень </t>
        </is>
      </c>
      <c r="E2467" s="130" t="n"/>
      <c r="F2467" s="130" t="inlineStr">
        <is>
          <t>АЗС</t>
        </is>
      </c>
      <c r="G2467" s="130" t="inlineStr">
        <is>
          <t>Газпромнефть</t>
        </is>
      </c>
      <c r="H2467" s="131" t="n"/>
      <c r="I2467" s="637" t="n">
        <v>21358</v>
      </c>
      <c r="J2467" s="637" t="inlineStr">
        <is>
          <t>GPN_21358</t>
        </is>
      </c>
      <c r="K2467" s="640" t="n">
        <v>2</v>
      </c>
      <c r="L2467" s="640" t="n">
        <v>1</v>
      </c>
      <c r="M2467" s="623" t="n">
        <v>2</v>
      </c>
      <c r="N2467" s="640" t="n"/>
      <c r="O2467" s="640">
        <f>IF(AND(N2467=1,L2467=1),K2467,"")</f>
        <v/>
      </c>
      <c r="P2467" s="642" t="inlineStr">
        <is>
          <t>г. Тюмень, ул. Домостроителей 2, корпус 2</t>
        </is>
      </c>
      <c r="Q2467" s="640" t="inlineStr">
        <is>
          <t xml:space="preserve">57.15174 </t>
        </is>
      </c>
      <c r="R2467" s="494" t="inlineStr">
        <is>
          <t xml:space="preserve">65.64456 </t>
        </is>
      </c>
      <c r="S2467" s="387" t="n"/>
      <c r="T2467" s="387" t="n"/>
      <c r="U2467" s="436" t="n"/>
      <c r="V2467" s="387" t="n"/>
      <c r="W2467" s="387">
        <f>IF(AND(N2467=1,O2467&lt;&gt;""),C2467,"")</f>
        <v/>
      </c>
      <c r="X2467" s="387" t="n"/>
      <c r="Y2467" s="387" t="n"/>
    </row>
    <row r="2468" hidden="1" ht="16.05" customFormat="1" customHeight="1" s="126">
      <c r="A2468" s="125" t="n">
        <v>3089</v>
      </c>
      <c r="B2468" s="125" t="n"/>
      <c r="C2468" s="130" t="inlineStr">
        <is>
          <t>Тюмень</t>
        </is>
      </c>
      <c r="D2468" s="130" t="inlineStr">
        <is>
          <t xml:space="preserve">Тюмень </t>
        </is>
      </c>
      <c r="E2468" s="130" t="n"/>
      <c r="F2468" s="130" t="inlineStr">
        <is>
          <t>АЗС</t>
        </is>
      </c>
      <c r="G2468" s="130" t="inlineStr">
        <is>
          <t>Газпромнефть</t>
        </is>
      </c>
      <c r="H2468" s="131" t="n"/>
      <c r="I2468" s="637" t="n">
        <v>21385</v>
      </c>
      <c r="J2468" s="637" t="inlineStr">
        <is>
          <t>GPN_21385</t>
        </is>
      </c>
      <c r="K2468" s="640" t="n">
        <v>2</v>
      </c>
      <c r="L2468" s="640" t="n">
        <v>1</v>
      </c>
      <c r="M2468" s="623" t="n">
        <v>2</v>
      </c>
      <c r="N2468" s="640" t="n"/>
      <c r="O2468" s="640">
        <f>IF(AND(N2468=1,L2468=1),K2468,"")</f>
        <v/>
      </c>
      <c r="P2468" s="642" t="inlineStr">
        <is>
          <t>г. Тюмень, ул. Чекистов, 44</t>
        </is>
      </c>
      <c r="Q2468" s="640" t="inlineStr">
        <is>
          <t>57.139864</t>
        </is>
      </c>
      <c r="R2468" s="494" t="inlineStr">
        <is>
          <t>65.659863</t>
        </is>
      </c>
      <c r="S2468" s="387" t="n"/>
      <c r="T2468" s="387" t="n"/>
      <c r="U2468" s="436" t="n"/>
      <c r="V2468" s="387" t="n"/>
      <c r="W2468" s="387">
        <f>IF(AND(N2468=1,O2468&lt;&gt;""),C2468,"")</f>
        <v/>
      </c>
      <c r="X2468" s="387" t="n"/>
      <c r="Y2468" s="387" t="n"/>
    </row>
    <row r="2469" hidden="1" ht="16.05" customFormat="1" customHeight="1" s="126">
      <c r="A2469" s="125" t="n">
        <v>3090</v>
      </c>
      <c r="B2469" s="125" t="n"/>
      <c r="C2469" s="130" t="inlineStr">
        <is>
          <t>Тюмень</t>
        </is>
      </c>
      <c r="D2469" s="130" t="inlineStr">
        <is>
          <t>Тюменская область</t>
        </is>
      </c>
      <c r="E2469" s="130" t="n"/>
      <c r="F2469" s="130" t="inlineStr">
        <is>
          <t>АЗС</t>
        </is>
      </c>
      <c r="G2469" s="130" t="inlineStr">
        <is>
          <t>Газпромнефть</t>
        </is>
      </c>
      <c r="H2469" s="131" t="n"/>
      <c r="I2469" s="637" t="n">
        <v>21397</v>
      </c>
      <c r="J2469" s="637" t="inlineStr">
        <is>
          <t>GPN_21397</t>
        </is>
      </c>
      <c r="K2469" s="640" t="n">
        <v>3</v>
      </c>
      <c r="L2469" s="640" t="n">
        <v>1</v>
      </c>
      <c r="M2469" s="623" t="n">
        <v>6</v>
      </c>
      <c r="N2469" s="640" t="n"/>
      <c r="O2469" s="640">
        <f>IF(AND(N2469=1,L2469=1),K2469,"")</f>
        <v/>
      </c>
      <c r="P2469" s="642" t="inlineStr">
        <is>
          <t>юменский район, объездная дорога Тюмень-Боровский-Богадинский, п. Винзили</t>
        </is>
      </c>
      <c r="Q2469" s="640" t="inlineStr">
        <is>
          <t>56.958838</t>
        </is>
      </c>
      <c r="R2469" s="494" t="inlineStr">
        <is>
          <t>65.735382</t>
        </is>
      </c>
      <c r="S2469" s="387" t="n"/>
      <c r="T2469" s="387" t="n"/>
      <c r="U2469" s="436" t="n"/>
      <c r="V2469" s="387" t="n"/>
      <c r="W2469" s="387">
        <f>IF(AND(N2469=1,O2469&lt;&gt;""),C2469,"")</f>
        <v/>
      </c>
      <c r="X2469" s="387" t="n"/>
      <c r="Y2469" s="387" t="n"/>
    </row>
    <row r="2470" hidden="1" ht="16.05" customFormat="1" customHeight="1" s="126">
      <c r="A2470" s="125" t="n">
        <v>3091</v>
      </c>
      <c r="B2470" s="125" t="n"/>
      <c r="C2470" s="130" t="inlineStr">
        <is>
          <t>Тюмень</t>
        </is>
      </c>
      <c r="D2470" s="130" t="inlineStr">
        <is>
          <t xml:space="preserve">Тюмень </t>
        </is>
      </c>
      <c r="E2470" s="130" t="n"/>
      <c r="F2470" s="130" t="inlineStr">
        <is>
          <t>АЗС</t>
        </is>
      </c>
      <c r="G2470" s="130" t="inlineStr">
        <is>
          <t>Газпромнефть</t>
        </is>
      </c>
      <c r="H2470" s="131" t="n"/>
      <c r="I2470" s="637" t="n">
        <v>21400</v>
      </c>
      <c r="J2470" s="637" t="inlineStr">
        <is>
          <t>GPN_21400</t>
        </is>
      </c>
      <c r="K2470" s="640" t="n">
        <v>3</v>
      </c>
      <c r="L2470" s="640" t="n">
        <v>0</v>
      </c>
      <c r="M2470" s="623" t="n">
        <v>4</v>
      </c>
      <c r="N2470" s="640" t="n"/>
      <c r="O2470" s="640">
        <f>IF(AND(N2470=1,L2470=1),K2470,"")</f>
        <v/>
      </c>
      <c r="P2470" s="642" t="inlineStr">
        <is>
          <t>г. Тюмень, на пересечении ул. 30 лет Победы-ул. Талинская (г. Тюмень, ул. 30 лет Победы, 31Б)</t>
        </is>
      </c>
      <c r="Q2470" s="640" t="inlineStr">
        <is>
          <t>57.12629</t>
        </is>
      </c>
      <c r="R2470" s="494" t="inlineStr">
        <is>
          <t>65.569327</t>
        </is>
      </c>
      <c r="S2470" s="387" t="n"/>
      <c r="T2470" s="387" t="n"/>
      <c r="U2470" s="436" t="n"/>
      <c r="V2470" s="387" t="n"/>
      <c r="W2470" s="387">
        <f>IF(AND(N2470=1,O2470&lt;&gt;""),C2470,"")</f>
        <v/>
      </c>
      <c r="X2470" s="387" t="n"/>
      <c r="Y2470" s="387" t="n"/>
    </row>
    <row r="2471" hidden="1" ht="16.05" customFormat="1" customHeight="1" s="126">
      <c r="A2471" s="125" t="n">
        <v>3092</v>
      </c>
      <c r="B2471" s="125" t="n"/>
      <c r="C2471" s="130" t="inlineStr">
        <is>
          <t>Тюмень</t>
        </is>
      </c>
      <c r="D2471" s="130" t="inlineStr">
        <is>
          <t xml:space="preserve">Тюмень </t>
        </is>
      </c>
      <c r="E2471" s="130" t="n"/>
      <c r="F2471" s="130" t="inlineStr">
        <is>
          <t>АЗС</t>
        </is>
      </c>
      <c r="G2471" s="130" t="inlineStr">
        <is>
          <t>Газпромнефть</t>
        </is>
      </c>
      <c r="H2471" s="131" t="n"/>
      <c r="I2471" s="637" t="n">
        <v>21404</v>
      </c>
      <c r="J2471" s="637" t="inlineStr">
        <is>
          <t>GPN_21404</t>
        </is>
      </c>
      <c r="K2471" s="640" t="n">
        <v>1</v>
      </c>
      <c r="L2471" s="640" t="n">
        <v>1</v>
      </c>
      <c r="M2471" s="623" t="n">
        <v>1</v>
      </c>
      <c r="N2471" s="640" t="n"/>
      <c r="O2471" s="640">
        <f>IF(AND(N2471=1,L2471=1),K2471,"")</f>
        <v/>
      </c>
      <c r="P2471" s="642" t="inlineStr">
        <is>
          <t>г. Тюмень, ул. Ямская 121</t>
        </is>
      </c>
      <c r="Q2471" s="640" t="inlineStr">
        <is>
          <t xml:space="preserve">57.160766 </t>
        </is>
      </c>
      <c r="R2471" s="494" t="inlineStr">
        <is>
          <t xml:space="preserve">65.453228 </t>
        </is>
      </c>
      <c r="S2471" s="387" t="n"/>
      <c r="T2471" s="387" t="n"/>
      <c r="U2471" s="436" t="n"/>
      <c r="V2471" s="387" t="n"/>
      <c r="W2471" s="387">
        <f>IF(AND(N2471=1,O2471&lt;&gt;""),C2471,"")</f>
        <v/>
      </c>
      <c r="X2471" s="387" t="n"/>
      <c r="Y2471" s="387" t="n"/>
    </row>
    <row r="2472" hidden="1" ht="16.05" customFormat="1" customHeight="1" s="126">
      <c r="A2472" s="125" t="n">
        <v>3093</v>
      </c>
      <c r="B2472" s="125" t="n"/>
      <c r="C2472" s="130" t="inlineStr">
        <is>
          <t>Тюмень</t>
        </is>
      </c>
      <c r="D2472" s="130" t="inlineStr">
        <is>
          <t xml:space="preserve">Тюмень </t>
        </is>
      </c>
      <c r="E2472" s="130" t="n"/>
      <c r="F2472" s="130" t="inlineStr">
        <is>
          <t>АЗС</t>
        </is>
      </c>
      <c r="G2472" s="130" t="inlineStr">
        <is>
          <t>Газпромнефть</t>
        </is>
      </c>
      <c r="H2472" s="131" t="n"/>
      <c r="I2472" s="637" t="n">
        <v>21407</v>
      </c>
      <c r="J2472" s="637" t="inlineStr">
        <is>
          <t>GPN_21407</t>
        </is>
      </c>
      <c r="K2472" s="640" t="n">
        <v>1</v>
      </c>
      <c r="L2472" s="640" t="n">
        <v>1</v>
      </c>
      <c r="M2472" s="623" t="n">
        <v>1</v>
      </c>
      <c r="N2472" s="640" t="n"/>
      <c r="O2472" s="640">
        <f>IF(AND(N2472=1,L2472=1),K2472,"")</f>
        <v/>
      </c>
      <c r="P2472" s="642" t="inlineStr">
        <is>
          <t>г. Тюмень, 2 км Старого Тобольского тракта, 2</t>
        </is>
      </c>
      <c r="Q2472" s="640" t="inlineStr">
        <is>
          <t xml:space="preserve">57.10088 </t>
        </is>
      </c>
      <c r="R2472" s="494" t="inlineStr">
        <is>
          <t xml:space="preserve">65.690931 </t>
        </is>
      </c>
      <c r="S2472" s="387" t="n"/>
      <c r="T2472" s="387" t="n"/>
      <c r="U2472" s="436" t="n"/>
      <c r="V2472" s="387" t="n"/>
      <c r="W2472" s="387">
        <f>IF(AND(N2472=1,O2472&lt;&gt;""),C2472,"")</f>
        <v/>
      </c>
      <c r="X2472" s="387" t="n"/>
      <c r="Y2472" s="387" t="n"/>
    </row>
    <row r="2473" hidden="1" ht="16.05" customFormat="1" customHeight="1" s="126">
      <c r="A2473" s="125" t="n">
        <v>3094</v>
      </c>
      <c r="B2473" s="125" t="n"/>
      <c r="C2473" s="130" t="inlineStr">
        <is>
          <t>Тюмень</t>
        </is>
      </c>
      <c r="D2473" s="130" t="inlineStr">
        <is>
          <t>Тюменская область</t>
        </is>
      </c>
      <c r="E2473" s="130" t="n"/>
      <c r="F2473" s="130" t="inlineStr">
        <is>
          <t>АЗС</t>
        </is>
      </c>
      <c r="G2473" s="130" t="inlineStr">
        <is>
          <t>Газпромнефть</t>
        </is>
      </c>
      <c r="H2473" s="131" t="n"/>
      <c r="I2473" s="637" t="n">
        <v>21408</v>
      </c>
      <c r="J2473" s="637" t="inlineStr">
        <is>
          <t>GPN_21408</t>
        </is>
      </c>
      <c r="K2473" s="640" t="n">
        <v>3</v>
      </c>
      <c r="L2473" s="640" t="n">
        <v>1</v>
      </c>
      <c r="M2473" s="623" t="n">
        <v>4</v>
      </c>
      <c r="N2473" s="640" t="n"/>
      <c r="O2473" s="640">
        <f>IF(AND(N2473=1,L2473=1),K2473,"")</f>
        <v/>
      </c>
      <c r="P2473" s="642" t="inlineStr">
        <is>
          <t>Тюм. обл., Тюменский р-н, п. Боровский, ул. Первомайская, дом 6, корпус 2</t>
        </is>
      </c>
      <c r="Q2473" s="640" t="inlineStr">
        <is>
          <t>57.043113</t>
        </is>
      </c>
      <c r="R2473" s="494" t="inlineStr">
        <is>
          <t>65.726686</t>
        </is>
      </c>
      <c r="S2473" s="387" t="n"/>
      <c r="T2473" s="387" t="n"/>
      <c r="U2473" s="436" t="n"/>
      <c r="V2473" s="387" t="n"/>
      <c r="W2473" s="387">
        <f>IF(AND(N2473=1,O2473&lt;&gt;""),C2473,"")</f>
        <v/>
      </c>
      <c r="X2473" s="387" t="n"/>
      <c r="Y2473" s="387" t="n"/>
    </row>
    <row r="2474" hidden="1" ht="16.05" customFormat="1" customHeight="1" s="126">
      <c r="A2474" s="125" t="n">
        <v>3095</v>
      </c>
      <c r="B2474" s="125" t="n"/>
      <c r="C2474" s="130" t="inlineStr">
        <is>
          <t>Челябинск</t>
        </is>
      </c>
      <c r="D2474" s="130" t="inlineStr">
        <is>
          <t>Челябинск</t>
        </is>
      </c>
      <c r="E2474" s="130" t="n"/>
      <c r="F2474" s="130" t="inlineStr">
        <is>
          <t>АЗС</t>
        </is>
      </c>
      <c r="G2474" s="130" t="inlineStr">
        <is>
          <t>Газпромнефть</t>
        </is>
      </c>
      <c r="H2474" s="131" t="n"/>
      <c r="I2474" s="637" t="n">
        <v>22201</v>
      </c>
      <c r="J2474" s="637" t="inlineStr">
        <is>
          <t>GPN_22201</t>
        </is>
      </c>
      <c r="K2474" s="640" t="n">
        <v>3</v>
      </c>
      <c r="L2474" s="640" t="n">
        <v>1</v>
      </c>
      <c r="M2474" s="623" t="n">
        <v>6</v>
      </c>
      <c r="N2474" s="640" t="n"/>
      <c r="O2474" s="640">
        <f>IF(AND(N2474=1,L2474=1),K2474,"")</f>
        <v/>
      </c>
      <c r="P2474" s="642" t="inlineStr">
        <is>
          <t>г.Челябинск, Курчатовский район, Свердловский тракт, 12-в</t>
        </is>
      </c>
      <c r="Q2474" s="640" t="inlineStr">
        <is>
          <t>55.224341</t>
        </is>
      </c>
      <c r="R2474" s="494" t="inlineStr">
        <is>
          <t>61.374796</t>
        </is>
      </c>
      <c r="S2474" s="387" t="n"/>
      <c r="T2474" s="387" t="n"/>
      <c r="U2474" s="436" t="n"/>
      <c r="V2474" s="387" t="n"/>
      <c r="W2474" s="387">
        <f>IF(AND(N2474=1,O2474&lt;&gt;""),C2474,"")</f>
        <v/>
      </c>
      <c r="X2474" s="387" t="n"/>
      <c r="Y2474" s="387" t="n"/>
    </row>
    <row r="2475" hidden="1" ht="16.05" customFormat="1" customHeight="1" s="126">
      <c r="A2475" s="125" t="n">
        <v>3096</v>
      </c>
      <c r="B2475" s="125" t="n"/>
      <c r="C2475" s="130" t="inlineStr">
        <is>
          <t>Челябинск</t>
        </is>
      </c>
      <c r="D2475" s="130" t="inlineStr">
        <is>
          <t>Челябинская область</t>
        </is>
      </c>
      <c r="E2475" s="130" t="n"/>
      <c r="F2475" s="130" t="inlineStr">
        <is>
          <t>АЗС</t>
        </is>
      </c>
      <c r="G2475" s="130" t="inlineStr">
        <is>
          <t>Газпромнефть</t>
        </is>
      </c>
      <c r="H2475" s="131" t="n"/>
      <c r="I2475" s="637" t="n">
        <v>22216</v>
      </c>
      <c r="J2475" s="637" t="inlineStr">
        <is>
          <t>GPN_22216</t>
        </is>
      </c>
      <c r="K2475" s="640" t="n">
        <v>3</v>
      </c>
      <c r="L2475" s="640" t="n">
        <v>0</v>
      </c>
      <c r="M2475" s="623" t="n">
        <v>3</v>
      </c>
      <c r="N2475" s="640" t="n"/>
      <c r="O2475" s="640">
        <f>IF(AND(N2475=1,L2475=1),K2475,"")</f>
        <v/>
      </c>
      <c r="P2475" s="642" t="inlineStr">
        <is>
          <t>Сосновский район 1868 км. автодороги Москва-Челябинск (западная сторона) (ул. Асфальтная Станция, 1/2)</t>
        </is>
      </c>
      <c r="Q2475" s="640" t="inlineStr">
        <is>
          <t>55.072344</t>
        </is>
      </c>
      <c r="R2475" s="494" t="inlineStr">
        <is>
          <t>61.32481</t>
        </is>
      </c>
      <c r="S2475" s="387" t="n"/>
      <c r="T2475" s="387" t="n"/>
      <c r="U2475" s="436" t="n"/>
      <c r="V2475" s="387" t="n"/>
      <c r="W2475" s="387">
        <f>IF(AND(N2475=1,O2475&lt;&gt;""),C2475,"")</f>
        <v/>
      </c>
      <c r="X2475" s="387" t="n"/>
      <c r="Y2475" s="387" t="n"/>
    </row>
    <row r="2476" hidden="1" ht="16.05" customFormat="1" customHeight="1" s="126">
      <c r="A2476" s="125" t="n">
        <v>3097</v>
      </c>
      <c r="B2476" s="125" t="n"/>
      <c r="C2476" s="130" t="inlineStr">
        <is>
          <t>Челябинск</t>
        </is>
      </c>
      <c r="D2476" s="130" t="inlineStr">
        <is>
          <t>Челябинская область</t>
        </is>
      </c>
      <c r="E2476" s="130" t="n"/>
      <c r="F2476" s="130" t="inlineStr">
        <is>
          <t>АЗС</t>
        </is>
      </c>
      <c r="G2476" s="130" t="inlineStr">
        <is>
          <t>Газпромнефть</t>
        </is>
      </c>
      <c r="H2476" s="131" t="n"/>
      <c r="I2476" s="637" t="n">
        <v>22220</v>
      </c>
      <c r="J2476" s="637" t="inlineStr">
        <is>
          <t>GPN_22220</t>
        </is>
      </c>
      <c r="K2476" s="640" t="n">
        <v>3</v>
      </c>
      <c r="L2476" s="640" t="n">
        <v>1</v>
      </c>
      <c r="M2476" s="623" t="n">
        <v>6</v>
      </c>
      <c r="N2476" s="640" t="n"/>
      <c r="O2476" s="640">
        <f>IF(AND(N2476=1,L2476=1),K2476,"")</f>
        <v/>
      </c>
      <c r="P2476" s="642" t="inlineStr">
        <is>
          <t>Красноармейский район, 38 км. автодороги «Челябинск-Новосибирск» (справа) (Р-254 Иртыш, 35-й километр)</t>
        </is>
      </c>
      <c r="Q2476" s="640" t="inlineStr">
        <is>
          <t>55.2628</t>
        </is>
      </c>
      <c r="R2476" s="494" t="inlineStr">
        <is>
          <t>61.889691666667</t>
        </is>
      </c>
      <c r="S2476" s="387" t="n"/>
      <c r="T2476" s="387" t="n"/>
      <c r="U2476" s="436" t="n"/>
      <c r="V2476" s="387" t="n"/>
      <c r="W2476" s="387">
        <f>IF(AND(N2476=1,O2476&lt;&gt;""),C2476,"")</f>
        <v/>
      </c>
      <c r="X2476" s="387" t="n"/>
      <c r="Y2476" s="387" t="n"/>
    </row>
    <row r="2477" hidden="1" ht="16.05" customFormat="1" customHeight="1" s="126">
      <c r="A2477" s="125" t="n">
        <v>3098</v>
      </c>
      <c r="B2477" s="125" t="n"/>
      <c r="C2477" s="130" t="inlineStr">
        <is>
          <t>Челябинск</t>
        </is>
      </c>
      <c r="D2477" s="130" t="inlineStr">
        <is>
          <t>Челябинская область</t>
        </is>
      </c>
      <c r="E2477" s="130" t="n"/>
      <c r="F2477" s="130" t="inlineStr">
        <is>
          <t>АЗС</t>
        </is>
      </c>
      <c r="G2477" s="130" t="inlineStr">
        <is>
          <t>Газпромнефть</t>
        </is>
      </c>
      <c r="H2477" s="131" t="n"/>
      <c r="I2477" s="637" t="n">
        <v>22221</v>
      </c>
      <c r="J2477" s="637" t="inlineStr">
        <is>
          <t>GPN_22221</t>
        </is>
      </c>
      <c r="K2477" s="640" t="n">
        <v>3</v>
      </c>
      <c r="L2477" s="640" t="n">
        <v>1</v>
      </c>
      <c r="M2477" s="623" t="n">
        <v>3</v>
      </c>
      <c r="N2477" s="640" t="n"/>
      <c r="O2477" s="640">
        <f>IF(AND(N2477=1,L2477=1),K2477,"")</f>
        <v/>
      </c>
      <c r="P2477" s="642" t="inlineStr">
        <is>
          <t>Красноармейский район, 38 км. автодороги «Челябинск-Новосибирск» (слева)</t>
        </is>
      </c>
      <c r="Q2477" s="640" t="inlineStr">
        <is>
          <t>55.263565</t>
        </is>
      </c>
      <c r="R2477" s="494" t="inlineStr">
        <is>
          <t>61.891837</t>
        </is>
      </c>
      <c r="S2477" s="387" t="n"/>
      <c r="T2477" s="387" t="n"/>
      <c r="U2477" s="436" t="n"/>
      <c r="V2477" s="387" t="n"/>
      <c r="W2477" s="387">
        <f>IF(AND(N2477=1,O2477&lt;&gt;""),C2477,"")</f>
        <v/>
      </c>
      <c r="X2477" s="387" t="n"/>
      <c r="Y2477" s="387" t="n"/>
    </row>
    <row r="2478" hidden="1" ht="16.05" customFormat="1" customHeight="1" s="126">
      <c r="A2478" s="125" t="n">
        <v>3099</v>
      </c>
      <c r="B2478" s="125" t="n"/>
      <c r="C2478" s="130" t="inlineStr">
        <is>
          <t>Челябинск</t>
        </is>
      </c>
      <c r="D2478" s="130" t="inlineStr">
        <is>
          <t>Челябинск</t>
        </is>
      </c>
      <c r="E2478" s="130" t="n"/>
      <c r="F2478" s="130" t="inlineStr">
        <is>
          <t>АЗС</t>
        </is>
      </c>
      <c r="G2478" s="130" t="inlineStr">
        <is>
          <t>Газпромнефть</t>
        </is>
      </c>
      <c r="H2478" s="131" t="n"/>
      <c r="I2478" s="637" t="n">
        <v>22224</v>
      </c>
      <c r="J2478" s="637" t="inlineStr">
        <is>
          <t>GPN_22224</t>
        </is>
      </c>
      <c r="K2478" s="640" t="n">
        <v>3</v>
      </c>
      <c r="L2478" s="640" t="n">
        <v>1</v>
      </c>
      <c r="M2478" s="623" t="n">
        <v>3</v>
      </c>
      <c r="N2478" s="640" t="n"/>
      <c r="O2478" s="640">
        <f>IF(AND(N2478=1,L2478=1),K2478,"")</f>
        <v/>
      </c>
      <c r="P2478" s="642" t="inlineStr">
        <is>
          <t>г.Челябинск, Курчатовский район, поселок Шагол, ул.Ямальская, 1-б</t>
        </is>
      </c>
      <c r="Q2478" s="640" t="inlineStr">
        <is>
          <t>55.241437</t>
        </is>
      </c>
      <c r="R2478" s="494" t="inlineStr">
        <is>
          <t>61.318651</t>
        </is>
      </c>
      <c r="S2478" s="387" t="n"/>
      <c r="T2478" s="387" t="n"/>
      <c r="U2478" s="436" t="n"/>
      <c r="V2478" s="387" t="n"/>
      <c r="W2478" s="387">
        <f>IF(AND(N2478=1,O2478&lt;&gt;""),C2478,"")</f>
        <v/>
      </c>
      <c r="X2478" s="387" t="n"/>
      <c r="Y2478" s="387" t="n"/>
    </row>
    <row r="2479" hidden="1" ht="16.05" customFormat="1" customHeight="1" s="126">
      <c r="A2479" s="125" t="n">
        <v>3100</v>
      </c>
      <c r="B2479" s="125" t="n"/>
      <c r="C2479" s="130" t="inlineStr">
        <is>
          <t>Челябинск</t>
        </is>
      </c>
      <c r="D2479" s="130" t="inlineStr">
        <is>
          <t>Челябинск</t>
        </is>
      </c>
      <c r="E2479" s="130" t="n"/>
      <c r="F2479" s="130" t="inlineStr">
        <is>
          <t>АЗС</t>
        </is>
      </c>
      <c r="G2479" s="130" t="inlineStr">
        <is>
          <t>Газпромнефть</t>
        </is>
      </c>
      <c r="H2479" s="131" t="n"/>
      <c r="I2479" s="637" t="n">
        <v>22225</v>
      </c>
      <c r="J2479" s="637" t="inlineStr">
        <is>
          <t>GPN_22225</t>
        </is>
      </c>
      <c r="K2479" s="640" t="n">
        <v>2</v>
      </c>
      <c r="L2479" s="640" t="n">
        <v>1</v>
      </c>
      <c r="M2479" s="623" t="n">
        <v>2</v>
      </c>
      <c r="N2479" s="640" t="n"/>
      <c r="O2479" s="640">
        <f>IF(AND(N2479=1,L2479=1),K2479,"")</f>
        <v/>
      </c>
      <c r="P2479" s="642" t="inlineStr">
        <is>
          <t>г.Челябинск, Советский район, южнее поселка Ново-Синеглазово (Челябинская ул., 38А, посёлок Новосинеглазово)</t>
        </is>
      </c>
      <c r="Q2479" s="640" t="inlineStr">
        <is>
          <t>55.046946</t>
        </is>
      </c>
      <c r="R2479" s="494" t="inlineStr">
        <is>
          <t>61.379364</t>
        </is>
      </c>
      <c r="S2479" s="387" t="n"/>
      <c r="T2479" s="387" t="n"/>
      <c r="U2479" s="436" t="n"/>
      <c r="V2479" s="387" t="n"/>
      <c r="W2479" s="387">
        <f>IF(AND(N2479=1,O2479&lt;&gt;""),C2479,"")</f>
        <v/>
      </c>
      <c r="X2479" s="387" t="n"/>
      <c r="Y2479" s="387" t="n"/>
    </row>
    <row r="2480" hidden="1" ht="16.05" customFormat="1" customHeight="1" s="126">
      <c r="A2480" s="125" t="n">
        <v>3101</v>
      </c>
      <c r="B2480" s="125" t="n"/>
      <c r="C2480" s="130" t="inlineStr">
        <is>
          <t>Челябинск</t>
        </is>
      </c>
      <c r="D2480" s="130" t="inlineStr">
        <is>
          <t>Челябинск</t>
        </is>
      </c>
      <c r="E2480" s="130" t="n"/>
      <c r="F2480" s="130" t="inlineStr">
        <is>
          <t>АЗС</t>
        </is>
      </c>
      <c r="G2480" s="130" t="inlineStr">
        <is>
          <t>Газпромнефть</t>
        </is>
      </c>
      <c r="H2480" s="131" t="n"/>
      <c r="I2480" s="637" t="n">
        <v>22226</v>
      </c>
      <c r="J2480" s="637" t="inlineStr">
        <is>
          <t>GPN_22226</t>
        </is>
      </c>
      <c r="K2480" s="640" t="n">
        <v>3</v>
      </c>
      <c r="L2480" s="640" t="n">
        <v>1</v>
      </c>
      <c r="M2480" s="623" t="n">
        <v>3</v>
      </c>
      <c r="N2480" s="640" t="n"/>
      <c r="O2480" s="640">
        <f>IF(AND(N2480=1,L2480=1),K2480,"")</f>
        <v/>
      </c>
      <c r="P2480" s="642" t="inlineStr">
        <is>
          <t>г.Челябинск, Советский район, Троицкий тракт, 8 км.</t>
        </is>
      </c>
      <c r="Q2480" s="640" t="inlineStr">
        <is>
          <t>55.066389</t>
        </is>
      </c>
      <c r="R2480" s="494" t="inlineStr">
        <is>
          <t>61.396253</t>
        </is>
      </c>
      <c r="S2480" s="387" t="n"/>
      <c r="T2480" s="387" t="n"/>
      <c r="U2480" s="436" t="n"/>
      <c r="V2480" s="387" t="n"/>
      <c r="W2480" s="387">
        <f>IF(AND(N2480=1,O2480&lt;&gt;""),C2480,"")</f>
        <v/>
      </c>
      <c r="X2480" s="387" t="n"/>
      <c r="Y2480" s="387" t="n"/>
    </row>
    <row r="2481" hidden="1" ht="16.05" customFormat="1" customHeight="1" s="126">
      <c r="A2481" s="125" t="n">
        <v>3102</v>
      </c>
      <c r="B2481" s="125" t="n"/>
      <c r="C2481" s="130" t="inlineStr">
        <is>
          <t>Челябинск</t>
        </is>
      </c>
      <c r="D2481" s="130" t="inlineStr">
        <is>
          <t>Челябинская область</t>
        </is>
      </c>
      <c r="E2481" s="130" t="n"/>
      <c r="F2481" s="130" t="inlineStr">
        <is>
          <t>АЗС</t>
        </is>
      </c>
      <c r="G2481" s="130" t="inlineStr">
        <is>
          <t>Газпромнефть</t>
        </is>
      </c>
      <c r="H2481" s="131" t="n"/>
      <c r="I2481" s="637" t="n">
        <v>22230</v>
      </c>
      <c r="J2481" s="637" t="inlineStr">
        <is>
          <t>GPN_22230</t>
        </is>
      </c>
      <c r="K2481" s="640" t="n">
        <v>3</v>
      </c>
      <c r="L2481" s="640" t="n">
        <v>1</v>
      </c>
      <c r="M2481" s="623" t="n">
        <v>5</v>
      </c>
      <c r="N2481" s="640" t="n"/>
      <c r="O2481" s="640">
        <f>IF(AND(N2481=1,L2481=1),K2481,"")</f>
        <v/>
      </c>
      <c r="P2481" s="642" t="inlineStr">
        <is>
          <t>Челябинская обл., 27 км. автодороги Челябинск-Троицк</t>
        </is>
      </c>
      <c r="Q2481" s="640" t="inlineStr">
        <is>
          <t>54.960638</t>
        </is>
      </c>
      <c r="R2481" s="494" t="inlineStr">
        <is>
          <t>61.382823</t>
        </is>
      </c>
      <c r="S2481" s="387" t="n"/>
      <c r="T2481" s="387" t="n"/>
      <c r="U2481" s="436" t="n"/>
      <c r="V2481" s="387" t="n"/>
      <c r="W2481" s="387">
        <f>IF(AND(N2481=1,O2481&lt;&gt;""),C2481,"")</f>
        <v/>
      </c>
      <c r="X2481" s="387" t="n"/>
      <c r="Y2481" s="387" t="n"/>
    </row>
    <row r="2482" hidden="1" ht="16.05" customFormat="1" customHeight="1" s="126">
      <c r="A2482" s="125" t="n">
        <v>3103</v>
      </c>
      <c r="B2482" s="125" t="n"/>
      <c r="C2482" s="130" t="inlineStr">
        <is>
          <t>Челябинск</t>
        </is>
      </c>
      <c r="D2482" s="130" t="inlineStr">
        <is>
          <t>Челябинская область</t>
        </is>
      </c>
      <c r="E2482" s="130" t="n"/>
      <c r="F2482" s="130" t="inlineStr">
        <is>
          <t>АЗС</t>
        </is>
      </c>
      <c r="G2482" s="130" t="inlineStr">
        <is>
          <t>Газпромнефть</t>
        </is>
      </c>
      <c r="H2482" s="131" t="n"/>
      <c r="I2482" s="637" t="n">
        <v>22236</v>
      </c>
      <c r="J2482" s="637" t="inlineStr">
        <is>
          <t>GPN_22236</t>
        </is>
      </c>
      <c r="K2482" s="640" t="n">
        <v>3</v>
      </c>
      <c r="L2482" s="640" t="n">
        <v>1</v>
      </c>
      <c r="M2482" s="623" t="n">
        <v>3</v>
      </c>
      <c r="N2482" s="640" t="n"/>
      <c r="O2482" s="640">
        <f>IF(AND(N2482=1,L2482=1),K2482,"")</f>
        <v/>
      </c>
      <c r="P2482" s="642" t="inlineStr">
        <is>
          <t>Сосновский район, в районе д. Казанцево, 15 км. Автодороги Челябинск-Екатеринбург</t>
        </is>
      </c>
      <c r="Q2482" s="640" t="inlineStr">
        <is>
          <t>55.276539</t>
        </is>
      </c>
      <c r="R2482" s="494" t="inlineStr">
        <is>
          <t>61.341749</t>
        </is>
      </c>
      <c r="S2482" s="387" t="n"/>
      <c r="T2482" s="387" t="n"/>
      <c r="U2482" s="436" t="n"/>
      <c r="V2482" s="387" t="n"/>
      <c r="W2482" s="387">
        <f>IF(AND(N2482=1,O2482&lt;&gt;""),C2482,"")</f>
        <v/>
      </c>
      <c r="X2482" s="387" t="n"/>
      <c r="Y2482" s="387" t="n"/>
    </row>
    <row r="2483" hidden="1" ht="16.05" customFormat="1" customHeight="1" s="126">
      <c r="A2483" s="125" t="n">
        <v>3104</v>
      </c>
      <c r="B2483" s="125" t="n"/>
      <c r="C2483" s="130" t="inlineStr">
        <is>
          <t>Челябинск</t>
        </is>
      </c>
      <c r="D2483" s="130" t="inlineStr">
        <is>
          <t>Челябинская область</t>
        </is>
      </c>
      <c r="E2483" s="130" t="n"/>
      <c r="F2483" s="130" t="inlineStr">
        <is>
          <t>АЗС</t>
        </is>
      </c>
      <c r="G2483" s="130" t="inlineStr">
        <is>
          <t>Газпромнефть</t>
        </is>
      </c>
      <c r="H2483" s="131" t="n"/>
      <c r="I2483" s="637" t="n">
        <v>22237</v>
      </c>
      <c r="J2483" s="637" t="inlineStr">
        <is>
          <t>GPN_22237</t>
        </is>
      </c>
      <c r="K2483" s="640" t="n">
        <v>3</v>
      </c>
      <c r="L2483" s="640" t="n">
        <v>1</v>
      </c>
      <c r="M2483" s="623" t="n">
        <v>3</v>
      </c>
      <c r="N2483" s="640" t="n"/>
      <c r="O2483" s="640">
        <f>IF(AND(N2483=1,L2483=1),K2483,"")</f>
        <v/>
      </c>
      <c r="P2483" s="642" t="inlineStr">
        <is>
          <t>Сосновский район,  27 км. дороги Челябинск-Троицк-граница Казахстана</t>
        </is>
      </c>
      <c r="Q2483" s="640" t="inlineStr">
        <is>
          <t>54.962414</t>
        </is>
      </c>
      <c r="R2483" s="494" t="inlineStr">
        <is>
          <t>61.377415</t>
        </is>
      </c>
      <c r="S2483" s="387" t="n"/>
      <c r="T2483" s="387" t="n"/>
      <c r="U2483" s="436" t="n"/>
      <c r="V2483" s="387" t="n"/>
      <c r="W2483" s="387">
        <f>IF(AND(N2483=1,O2483&lt;&gt;""),C2483,"")</f>
        <v/>
      </c>
      <c r="X2483" s="387" t="n"/>
      <c r="Y2483" s="387" t="n"/>
    </row>
    <row r="2484" hidden="1" ht="16.05" customFormat="1" customHeight="1" s="126">
      <c r="A2484" s="125" t="n">
        <v>3105</v>
      </c>
      <c r="B2484" s="125" t="n"/>
      <c r="C2484" s="130" t="inlineStr">
        <is>
          <t>Челябинск</t>
        </is>
      </c>
      <c r="D2484" s="130" t="inlineStr">
        <is>
          <t>Челябинская область</t>
        </is>
      </c>
      <c r="E2484" s="130" t="n"/>
      <c r="F2484" s="130" t="inlineStr">
        <is>
          <t>АЗС</t>
        </is>
      </c>
      <c r="G2484" s="130" t="inlineStr">
        <is>
          <t>Газпромнефть</t>
        </is>
      </c>
      <c r="H2484" s="131" t="n"/>
      <c r="I2484" s="637" t="n">
        <v>22239</v>
      </c>
      <c r="J2484" s="637" t="inlineStr">
        <is>
          <t>GPN_22239</t>
        </is>
      </c>
      <c r="K2484" s="640" t="n">
        <v>3</v>
      </c>
      <c r="L2484" s="640" t="n">
        <v>1</v>
      </c>
      <c r="M2484" s="623" t="n">
        <v>3</v>
      </c>
      <c r="N2484" s="640" t="n"/>
      <c r="O2484" s="640">
        <f>IF(AND(N2484=1,L2484=1),K2484,"")</f>
        <v/>
      </c>
      <c r="P2484" s="642" t="inlineStr">
        <is>
          <t>Челябинская область, Сосновский район, 2-й км автодороги «Челябинск-Кременкуль» (справа)</t>
        </is>
      </c>
      <c r="Q2484" s="640" t="inlineStr">
        <is>
          <t>55.188489</t>
        </is>
      </c>
      <c r="R2484" s="494" t="inlineStr">
        <is>
          <t>61.236636</t>
        </is>
      </c>
      <c r="S2484" s="387" t="n"/>
      <c r="T2484" s="387" t="n"/>
      <c r="U2484" s="436" t="n"/>
      <c r="V2484" s="387" t="n"/>
      <c r="W2484" s="387">
        <f>IF(AND(N2484=1,O2484&lt;&gt;""),C2484,"")</f>
        <v/>
      </c>
      <c r="X2484" s="387" t="n"/>
      <c r="Y2484" s="387" t="n"/>
    </row>
    <row r="2485" hidden="1" ht="16.05" customFormat="1" customHeight="1" s="126">
      <c r="A2485" s="125" t="n">
        <v>3106</v>
      </c>
      <c r="B2485" s="125" t="n"/>
      <c r="C2485" s="130" t="inlineStr">
        <is>
          <t>Челябинск</t>
        </is>
      </c>
      <c r="D2485" s="130" t="inlineStr">
        <is>
          <t>Челябинск</t>
        </is>
      </c>
      <c r="E2485" s="130" t="n"/>
      <c r="F2485" s="130" t="inlineStr">
        <is>
          <t>АЗС</t>
        </is>
      </c>
      <c r="G2485" s="130" t="inlineStr">
        <is>
          <t>Газпромнефть</t>
        </is>
      </c>
      <c r="H2485" s="131" t="n"/>
      <c r="I2485" s="637" t="n">
        <v>22252</v>
      </c>
      <c r="J2485" s="637" t="inlineStr">
        <is>
          <t>GPN_22252</t>
        </is>
      </c>
      <c r="K2485" s="640" t="n">
        <v>3</v>
      </c>
      <c r="L2485" s="640" t="n">
        <v>1</v>
      </c>
      <c r="M2485" s="623" t="n">
        <v>6</v>
      </c>
      <c r="N2485" s="640" t="n"/>
      <c r="O2485" s="640">
        <f>IF(AND(N2485=1,L2485=1),K2485,"")</f>
        <v/>
      </c>
      <c r="P2485" s="642" t="inlineStr">
        <is>
          <t>г. Челябинск, Калининский р-н, ул. Героев Танкограда (г. Челябинск, ул. Героев Танкограда, 20/1)</t>
        </is>
      </c>
      <c r="Q2485" s="640" t="inlineStr">
        <is>
          <t>55.189359</t>
        </is>
      </c>
      <c r="R2485" s="494" t="inlineStr">
        <is>
          <t>61.439978</t>
        </is>
      </c>
      <c r="S2485" s="387" t="n"/>
      <c r="T2485" s="387" t="n"/>
      <c r="U2485" s="436" t="n"/>
      <c r="V2485" s="387" t="n"/>
      <c r="W2485" s="387">
        <f>IF(AND(N2485=1,O2485&lt;&gt;""),C2485,"")</f>
        <v/>
      </c>
      <c r="X2485" s="387" t="n"/>
      <c r="Y2485" s="387" t="n"/>
    </row>
    <row r="2486" hidden="1" ht="16.05" customFormat="1" customHeight="1" s="126">
      <c r="A2486" s="125" t="n">
        <v>3107</v>
      </c>
      <c r="B2486" s="125" t="n"/>
      <c r="C2486" s="130" t="inlineStr">
        <is>
          <t>Челябинск</t>
        </is>
      </c>
      <c r="D2486" s="130" t="inlineStr">
        <is>
          <t>Челябинск</t>
        </is>
      </c>
      <c r="E2486" s="130" t="n"/>
      <c r="F2486" s="130" t="inlineStr">
        <is>
          <t>АЗС</t>
        </is>
      </c>
      <c r="G2486" s="130" t="inlineStr">
        <is>
          <t>Газпромнефть</t>
        </is>
      </c>
      <c r="H2486" s="131" t="n"/>
      <c r="I2486" s="637" t="n">
        <v>22253</v>
      </c>
      <c r="J2486" s="637" t="inlineStr">
        <is>
          <t>GPN_22253</t>
        </is>
      </c>
      <c r="K2486" s="640" t="n">
        <v>3</v>
      </c>
      <c r="L2486" s="640" t="n">
        <v>1</v>
      </c>
      <c r="M2486" s="623" t="n">
        <v>3</v>
      </c>
      <c r="N2486" s="640" t="n"/>
      <c r="O2486" s="640">
        <f>IF(AND(N2486=1,L2486=1),K2486,"")</f>
        <v/>
      </c>
      <c r="P2486" s="642" t="inlineStr">
        <is>
          <t>г. Челябинск, Победы, 305, к.1</t>
        </is>
      </c>
      <c r="Q2486" s="640" t="inlineStr">
        <is>
          <t>55.220306</t>
        </is>
      </c>
      <c r="R2486" s="494" t="inlineStr">
        <is>
          <t>61.383158</t>
        </is>
      </c>
      <c r="S2486" s="387" t="n"/>
      <c r="T2486" s="387" t="n"/>
      <c r="U2486" s="436" t="n"/>
      <c r="V2486" s="387" t="n"/>
      <c r="W2486" s="387">
        <f>IF(AND(N2486=1,O2486&lt;&gt;""),C2486,"")</f>
        <v/>
      </c>
      <c r="X2486" s="387" t="n"/>
      <c r="Y2486" s="387" t="n"/>
    </row>
    <row r="2487" hidden="1" ht="16.05" customFormat="1" customHeight="1" s="126">
      <c r="A2487" s="125" t="n">
        <v>3108</v>
      </c>
      <c r="B2487" s="125" t="n"/>
      <c r="C2487" s="130" t="inlineStr">
        <is>
          <t>Челябинск</t>
        </is>
      </c>
      <c r="D2487" s="130" t="inlineStr">
        <is>
          <t>Челябинск</t>
        </is>
      </c>
      <c r="E2487" s="130" t="n"/>
      <c r="F2487" s="130" t="inlineStr">
        <is>
          <t>АЗС</t>
        </is>
      </c>
      <c r="G2487" s="130" t="inlineStr">
        <is>
          <t>Газпромнефть</t>
        </is>
      </c>
      <c r="H2487" s="131" t="n"/>
      <c r="I2487" s="637" t="n">
        <v>22263</v>
      </c>
      <c r="J2487" s="637" t="inlineStr">
        <is>
          <t>GPN_22263</t>
        </is>
      </c>
      <c r="K2487" s="640" t="n">
        <v>3</v>
      </c>
      <c r="L2487" s="640" t="n">
        <v>1</v>
      </c>
      <c r="M2487" s="623" t="n">
        <v>4</v>
      </c>
      <c r="N2487" s="640" t="n"/>
      <c r="O2487" s="640">
        <f>IF(AND(N2487=1,L2487=1),K2487,"")</f>
        <v/>
      </c>
      <c r="P2487" s="642" t="inlineStr">
        <is>
          <t>г. Челябинск, ул. Механическая  (г. Челябинск, Механическая улица, 38/1)</t>
        </is>
      </c>
      <c r="Q2487" s="640" t="inlineStr">
        <is>
          <t>55.192521</t>
        </is>
      </c>
      <c r="R2487" s="494" t="inlineStr">
        <is>
          <t>61.42559</t>
        </is>
      </c>
      <c r="S2487" s="387" t="n"/>
      <c r="T2487" s="387" t="n"/>
      <c r="U2487" s="436" t="n"/>
      <c r="V2487" s="387" t="n"/>
      <c r="W2487" s="387">
        <f>IF(AND(N2487=1,O2487&lt;&gt;""),C2487,"")</f>
        <v/>
      </c>
      <c r="X2487" s="387" t="n"/>
      <c r="Y2487" s="387" t="n"/>
    </row>
    <row r="2488" hidden="1" ht="16.05" customFormat="1" customHeight="1" s="126">
      <c r="A2488" s="125" t="n">
        <v>3109</v>
      </c>
      <c r="B2488" s="125" t="n"/>
      <c r="C2488" s="130" t="inlineStr">
        <is>
          <t>Челябинск</t>
        </is>
      </c>
      <c r="D2488" s="130" t="inlineStr">
        <is>
          <t>Челябинск</t>
        </is>
      </c>
      <c r="E2488" s="130" t="n"/>
      <c r="F2488" s="130" t="inlineStr">
        <is>
          <t>АЗС</t>
        </is>
      </c>
      <c r="G2488" s="130" t="inlineStr">
        <is>
          <t>Газпромнефть</t>
        </is>
      </c>
      <c r="H2488" s="131" t="n"/>
      <c r="I2488" s="637" t="n">
        <v>22265</v>
      </c>
      <c r="J2488" s="637" t="inlineStr">
        <is>
          <t>GPN_22265</t>
        </is>
      </c>
      <c r="K2488" s="640" t="n">
        <v>3</v>
      </c>
      <c r="L2488" s="640" t="n">
        <v>0</v>
      </c>
      <c r="M2488" s="623" t="n">
        <v>3</v>
      </c>
      <c r="N2488" s="640" t="n"/>
      <c r="O2488" s="640">
        <f>IF(AND(N2488=1,L2488=1),K2488,"")</f>
        <v/>
      </c>
      <c r="P2488" s="642" t="inlineStr">
        <is>
          <t>г. Челябинск,ул. Бр. Кашириных (г. Челябинск, улица Братьев Кашириных, 75к1)</t>
        </is>
      </c>
      <c r="Q2488" s="640" t="inlineStr">
        <is>
          <t>55.176858</t>
        </is>
      </c>
      <c r="R2488" s="494" t="inlineStr">
        <is>
          <t>61.374768</t>
        </is>
      </c>
      <c r="S2488" s="387" t="n"/>
      <c r="T2488" s="387" t="n"/>
      <c r="U2488" s="436" t="n"/>
      <c r="V2488" s="387" t="n"/>
      <c r="W2488" s="387">
        <f>IF(AND(N2488=1,O2488&lt;&gt;""),C2488,"")</f>
        <v/>
      </c>
      <c r="X2488" s="387" t="n"/>
      <c r="Y2488" s="387" t="n"/>
    </row>
    <row r="2489" hidden="1" ht="16.05" customFormat="1" customHeight="1" s="126">
      <c r="A2489" s="125" t="n">
        <v>3110</v>
      </c>
      <c r="B2489" s="125" t="n"/>
      <c r="C2489" s="130" t="inlineStr">
        <is>
          <t>Челябинск</t>
        </is>
      </c>
      <c r="D2489" s="130" t="inlineStr">
        <is>
          <t>Челябинск</t>
        </is>
      </c>
      <c r="E2489" s="130" t="n"/>
      <c r="F2489" s="130" t="inlineStr">
        <is>
          <t>АЗС</t>
        </is>
      </c>
      <c r="G2489" s="130" t="inlineStr">
        <is>
          <t>Газпромнефть</t>
        </is>
      </c>
      <c r="H2489" s="131" t="n"/>
      <c r="I2489" s="637" t="n">
        <v>22267</v>
      </c>
      <c r="J2489" s="637" t="inlineStr">
        <is>
          <t>GPN_22267</t>
        </is>
      </c>
      <c r="K2489" s="640" t="n">
        <v>3</v>
      </c>
      <c r="L2489" s="640" t="n">
        <v>1</v>
      </c>
      <c r="M2489" s="623" t="n">
        <v>5</v>
      </c>
      <c r="N2489" s="640" t="n"/>
      <c r="O2489" s="640">
        <f>IF(AND(N2489=1,L2489=1),K2489,"")</f>
        <v/>
      </c>
      <c r="P2489" s="642" t="inlineStr">
        <is>
          <t>г. Челябинск, Копейское шоссе, 2И</t>
        </is>
      </c>
      <c r="Q2489" s="640" t="inlineStr">
        <is>
          <t>55.120418</t>
        </is>
      </c>
      <c r="R2489" s="494" t="inlineStr">
        <is>
          <t>61.535885</t>
        </is>
      </c>
      <c r="S2489" s="387" t="n"/>
      <c r="T2489" s="387" t="n"/>
      <c r="U2489" s="436" t="n"/>
      <c r="V2489" s="387" t="n"/>
      <c r="W2489" s="387">
        <f>IF(AND(N2489=1,O2489&lt;&gt;""),C2489,"")</f>
        <v/>
      </c>
      <c r="X2489" s="387" t="n"/>
      <c r="Y2489" s="387" t="n"/>
    </row>
    <row r="2490" hidden="1" ht="16.05" customFormat="1" customHeight="1" s="126">
      <c r="A2490" s="125" t="n">
        <v>3111</v>
      </c>
      <c r="B2490" s="125" t="n"/>
      <c r="C2490" s="130" t="inlineStr">
        <is>
          <t>Челябинск</t>
        </is>
      </c>
      <c r="D2490" s="130" t="inlineStr">
        <is>
          <t>Челябинская область</t>
        </is>
      </c>
      <c r="E2490" s="130" t="n"/>
      <c r="F2490" s="130" t="inlineStr">
        <is>
          <t>АЗС</t>
        </is>
      </c>
      <c r="G2490" s="130" t="inlineStr">
        <is>
          <t>Газпромнефть</t>
        </is>
      </c>
      <c r="H2490" s="131" t="n"/>
      <c r="I2490" s="637" t="n">
        <v>22268</v>
      </c>
      <c r="J2490" s="637" t="inlineStr">
        <is>
          <t>GPN_22268</t>
        </is>
      </c>
      <c r="K2490" s="640" t="n">
        <v>1</v>
      </c>
      <c r="L2490" s="640" t="n">
        <v>1</v>
      </c>
      <c r="M2490" s="623" t="n">
        <v>1</v>
      </c>
      <c r="N2490" s="640" t="n"/>
      <c r="O2490" s="640">
        <f>IF(AND(N2490=1,L2490=1),K2490,"")</f>
        <v/>
      </c>
      <c r="P2490" s="642" t="inlineStr">
        <is>
          <t>г. Челябинск, Советский р-н, п.Новосинеглазово, ул. Челябинская (г. Челябинск, Челябинская ул., 38А, посёлок Новосинеглазово)</t>
        </is>
      </c>
      <c r="Q2490" s="640" t="inlineStr">
        <is>
          <t>55.04693</t>
        </is>
      </c>
      <c r="R2490" s="494" t="inlineStr">
        <is>
          <t>61.379343</t>
        </is>
      </c>
      <c r="S2490" s="387" t="n"/>
      <c r="T2490" s="387" t="n"/>
      <c r="U2490" s="436" t="n"/>
      <c r="V2490" s="387" t="n"/>
      <c r="W2490" s="387">
        <f>IF(AND(N2490=1,O2490&lt;&gt;""),C2490,"")</f>
        <v/>
      </c>
      <c r="X2490" s="387" t="n"/>
      <c r="Y2490" s="387" t="n"/>
    </row>
    <row r="2491" hidden="1" ht="16.05" customFormat="1" customHeight="1" s="126">
      <c r="A2491" s="125" t="n">
        <v>3112</v>
      </c>
      <c r="B2491" s="125" t="n"/>
      <c r="C2491" s="130" t="inlineStr">
        <is>
          <t>Челябинск</t>
        </is>
      </c>
      <c r="D2491" s="130" t="inlineStr">
        <is>
          <t>Челябинск</t>
        </is>
      </c>
      <c r="E2491" s="130" t="n"/>
      <c r="F2491" s="130" t="inlineStr">
        <is>
          <t>АЗС</t>
        </is>
      </c>
      <c r="G2491" s="130" t="inlineStr">
        <is>
          <t>Газпромнефть</t>
        </is>
      </c>
      <c r="H2491" s="131" t="n"/>
      <c r="I2491" s="637" t="n">
        <v>22269</v>
      </c>
      <c r="J2491" s="637" t="inlineStr">
        <is>
          <t>GPN_22269</t>
        </is>
      </c>
      <c r="K2491" s="640" t="n">
        <v>1</v>
      </c>
      <c r="L2491" s="640" t="n">
        <v>1</v>
      </c>
      <c r="M2491" s="623" t="n">
        <v>1</v>
      </c>
      <c r="N2491" s="640" t="n"/>
      <c r="O2491" s="640">
        <f>IF(AND(N2491=1,L2491=1),K2491,"")</f>
        <v/>
      </c>
      <c r="P2491" s="642" t="inlineStr">
        <is>
          <t>г. Челябинск, Советский р-н, 1-я Потребительская улица, 2А</t>
        </is>
      </c>
      <c r="Q2491" s="640" t="inlineStr">
        <is>
          <t>55.106454</t>
        </is>
      </c>
      <c r="R2491" s="494" t="inlineStr">
        <is>
          <t>61.386251</t>
        </is>
      </c>
      <c r="S2491" s="387" t="n"/>
      <c r="T2491" s="387" t="n"/>
      <c r="U2491" s="436" t="n"/>
      <c r="V2491" s="387" t="n"/>
      <c r="W2491" s="387">
        <f>IF(AND(N2491=1,O2491&lt;&gt;""),C2491,"")</f>
        <v/>
      </c>
      <c r="X2491" s="387" t="n"/>
      <c r="Y2491" s="387" t="n"/>
    </row>
    <row r="2492" hidden="1" ht="16.05" customFormat="1" customHeight="1" s="126">
      <c r="A2492" s="125" t="n">
        <v>3113</v>
      </c>
      <c r="B2492" s="125" t="n"/>
      <c r="C2492" s="130" t="inlineStr">
        <is>
          <t>Челябинск</t>
        </is>
      </c>
      <c r="D2492" s="130" t="inlineStr">
        <is>
          <t>Челябинск</t>
        </is>
      </c>
      <c r="E2492" s="130" t="n"/>
      <c r="F2492" s="130" t="inlineStr">
        <is>
          <t>АЗС</t>
        </is>
      </c>
      <c r="G2492" s="130" t="inlineStr">
        <is>
          <t>Газпромнефть</t>
        </is>
      </c>
      <c r="H2492" s="131" t="n"/>
      <c r="I2492" s="637" t="n">
        <v>22271</v>
      </c>
      <c r="J2492" s="637" t="inlineStr">
        <is>
          <t>GPN_22271</t>
        </is>
      </c>
      <c r="K2492" s="640" t="n">
        <v>3</v>
      </c>
      <c r="L2492" s="640" t="n">
        <v>1</v>
      </c>
      <c r="M2492" s="623" t="n">
        <v>4</v>
      </c>
      <c r="N2492" s="640" t="n"/>
      <c r="O2492" s="640">
        <f>IF(AND(N2492=1,L2492=1),K2492,"")</f>
        <v/>
      </c>
      <c r="P2492" s="642" t="inlineStr">
        <is>
          <t>г. Челябинск Чичерина 24/1</t>
        </is>
      </c>
      <c r="Q2492" s="640" t="inlineStr">
        <is>
          <t>55.183991</t>
        </is>
      </c>
      <c r="R2492" s="494" t="inlineStr">
        <is>
          <t>61.289725</t>
        </is>
      </c>
      <c r="S2492" s="387" t="n"/>
      <c r="T2492" s="387" t="n"/>
      <c r="U2492" s="436" t="n"/>
      <c r="V2492" s="387" t="n"/>
      <c r="W2492" s="387">
        <f>IF(AND(N2492=1,O2492&lt;&gt;""),C2492,"")</f>
        <v/>
      </c>
      <c r="X2492" s="387" t="n"/>
      <c r="Y2492" s="387" t="n"/>
    </row>
    <row r="2493" hidden="1" ht="16.05" customFormat="1" customHeight="1" s="126">
      <c r="A2493" s="125" t="n">
        <v>3114</v>
      </c>
      <c r="B2493" s="125" t="n"/>
      <c r="C2493" s="130" t="inlineStr">
        <is>
          <t>Челябинск</t>
        </is>
      </c>
      <c r="D2493" s="130" t="inlineStr">
        <is>
          <t>Челябинск</t>
        </is>
      </c>
      <c r="E2493" s="130" t="n"/>
      <c r="F2493" s="130" t="inlineStr">
        <is>
          <t>АЗС</t>
        </is>
      </c>
      <c r="G2493" s="130" t="inlineStr">
        <is>
          <t>Газпромнефть</t>
        </is>
      </c>
      <c r="H2493" s="131" t="n"/>
      <c r="I2493" s="637" t="n">
        <v>22273</v>
      </c>
      <c r="J2493" s="637" t="inlineStr">
        <is>
          <t>GPN_22273</t>
        </is>
      </c>
      <c r="K2493" s="640" t="n">
        <v>3</v>
      </c>
      <c r="L2493" s="640" t="n">
        <v>1</v>
      </c>
      <c r="M2493" s="623" t="n">
        <v>5</v>
      </c>
      <c r="N2493" s="640" t="n"/>
      <c r="O2493" s="640">
        <f>IF(AND(N2493=1,L2493=1),K2493,"")</f>
        <v/>
      </c>
      <c r="P2493" s="642" t="inlineStr">
        <is>
          <t>г. Челябинск, Курчатовский р-н, ул. Братьев Кашириных, д.75, к.1</t>
        </is>
      </c>
      <c r="Q2493" s="640" t="inlineStr">
        <is>
          <t>55.176923</t>
        </is>
      </c>
      <c r="R2493" s="494" t="inlineStr">
        <is>
          <t>61.374642</t>
        </is>
      </c>
      <c r="S2493" s="387" t="n"/>
      <c r="T2493" s="387" t="n"/>
      <c r="U2493" s="436" t="n"/>
      <c r="V2493" s="387" t="n"/>
      <c r="W2493" s="387">
        <f>IF(AND(N2493=1,O2493&lt;&gt;""),C2493,"")</f>
        <v/>
      </c>
      <c r="X2493" s="387" t="n"/>
      <c r="Y2493" s="387" t="n"/>
    </row>
    <row r="2494" hidden="1" ht="16.05" customFormat="1" customHeight="1" s="126">
      <c r="A2494" s="125" t="n">
        <v>3115</v>
      </c>
      <c r="B2494" s="125" t="n"/>
      <c r="C2494" s="130" t="inlineStr">
        <is>
          <t>Челябинск</t>
        </is>
      </c>
      <c r="D2494" s="130" t="inlineStr">
        <is>
          <t>Челябинск</t>
        </is>
      </c>
      <c r="E2494" s="130" t="n"/>
      <c r="F2494" s="130" t="inlineStr">
        <is>
          <t>АЗС</t>
        </is>
      </c>
      <c r="G2494" s="130" t="inlineStr">
        <is>
          <t>Газпромнефть</t>
        </is>
      </c>
      <c r="H2494" s="131" t="n"/>
      <c r="I2494" s="637" t="n">
        <v>22274</v>
      </c>
      <c r="J2494" s="637" t="inlineStr">
        <is>
          <t>GPN_22274</t>
        </is>
      </c>
      <c r="K2494" s="640" t="n">
        <v>1</v>
      </c>
      <c r="L2494" s="640" t="n">
        <v>1</v>
      </c>
      <c r="M2494" s="623" t="n">
        <v>1</v>
      </c>
      <c r="N2494" s="640" t="n"/>
      <c r="O2494" s="640">
        <f>IF(AND(N2494=1,L2494=1),K2494,"")</f>
        <v/>
      </c>
      <c r="P2494" s="642" t="inlineStr">
        <is>
          <t>г.Челябинск, пер.ул.Блюхера/ул.Кузнецова (г.Челябинск, пер.ул.Блюхера,  92)</t>
        </is>
      </c>
      <c r="Q2494" s="640" t="inlineStr">
        <is>
          <t>55.11886</t>
        </is>
      </c>
      <c r="R2494" s="494" t="inlineStr">
        <is>
          <t>61.361511</t>
        </is>
      </c>
      <c r="S2494" s="387" t="n"/>
      <c r="T2494" s="387" t="n"/>
      <c r="U2494" s="436" t="n"/>
      <c r="V2494" s="387" t="n"/>
      <c r="W2494" s="387">
        <f>IF(AND(N2494=1,O2494&lt;&gt;""),C2494,"")</f>
        <v/>
      </c>
      <c r="X2494" s="387" t="n"/>
      <c r="Y2494" s="387" t="n"/>
    </row>
    <row r="2495" hidden="1" ht="16.05" customFormat="1" customHeight="1" s="126">
      <c r="A2495" s="125" t="n">
        <v>3116</v>
      </c>
      <c r="B2495" s="125" t="n"/>
      <c r="C2495" s="130" t="inlineStr">
        <is>
          <t>Челябинск</t>
        </is>
      </c>
      <c r="D2495" s="130" t="inlineStr">
        <is>
          <t>Челябинская область</t>
        </is>
      </c>
      <c r="E2495" s="130" t="n"/>
      <c r="F2495" s="130" t="inlineStr">
        <is>
          <t>АЗС</t>
        </is>
      </c>
      <c r="G2495" s="130" t="inlineStr">
        <is>
          <t>Газпромнефть</t>
        </is>
      </c>
      <c r="H2495" s="131" t="n"/>
      <c r="I2495" s="637" t="n">
        <v>22280</v>
      </c>
      <c r="J2495" s="637" t="inlineStr">
        <is>
          <t>GPN_22280</t>
        </is>
      </c>
      <c r="K2495" s="640" t="n">
        <v>2</v>
      </c>
      <c r="L2495" s="640" t="n">
        <v>1</v>
      </c>
      <c r="M2495" s="623" t="n">
        <v>2</v>
      </c>
      <c r="N2495" s="640" t="n"/>
      <c r="O2495" s="640">
        <f>IF(AND(N2495=1,L2495=1),K2495,"")</f>
        <v/>
      </c>
      <c r="P2495" s="642" t="inlineStr">
        <is>
          <t>Сосновский р-н, 1868 км а/д "Самара-Уфа-Челябинск" (
ул. Асфальтная Станция, 7/1)</t>
        </is>
      </c>
      <c r="Q2495" s="640" t="inlineStr">
        <is>
          <t>55.073611</t>
        </is>
      </c>
      <c r="R2495" s="494" t="inlineStr">
        <is>
          <t>61.326111</t>
        </is>
      </c>
      <c r="S2495" s="387" t="n"/>
      <c r="T2495" s="387" t="n"/>
      <c r="U2495" s="436" t="n"/>
      <c r="V2495" s="387" t="n"/>
      <c r="W2495" s="387">
        <f>IF(AND(N2495=1,O2495&lt;&gt;""),C2495,"")</f>
        <v/>
      </c>
      <c r="X2495" s="387" t="n"/>
      <c r="Y2495" s="387" t="n"/>
    </row>
    <row r="2496" hidden="1" ht="16.05" customFormat="1" customHeight="1" s="126">
      <c r="A2496" s="125" t="n">
        <v>3117</v>
      </c>
      <c r="B2496" s="125" t="n"/>
      <c r="C2496" s="130" t="inlineStr">
        <is>
          <t>Тюмень</t>
        </is>
      </c>
      <c r="D2496" s="130" t="inlineStr">
        <is>
          <t>Тюменская область</t>
        </is>
      </c>
      <c r="E2496" s="130" t="n"/>
      <c r="F2496" s="130" t="inlineStr">
        <is>
          <t>АЗС</t>
        </is>
      </c>
      <c r="G2496" s="130" t="inlineStr">
        <is>
          <t>Газпромнефть</t>
        </is>
      </c>
      <c r="H2496" s="131" t="n"/>
      <c r="I2496" s="637" t="n">
        <v>24442</v>
      </c>
      <c r="J2496" s="637" t="inlineStr">
        <is>
          <t>GPN_24442</t>
        </is>
      </c>
      <c r="K2496" s="640" t="n">
        <v>3</v>
      </c>
      <c r="L2496" s="640" t="n">
        <v>1</v>
      </c>
      <c r="M2496" s="623" t="n">
        <v>5</v>
      </c>
      <c r="N2496" s="640" t="n"/>
      <c r="O2496" s="640">
        <f>IF(AND(N2496=1,L2496=1),K2496,"")</f>
        <v/>
      </c>
      <c r="P2496" s="642" t="inlineStr">
        <is>
          <t>автомагистраль Сургут-Аэропорт ( участок Р 404) экономическая зона № 11</t>
        </is>
      </c>
      <c r="Q2496" s="640" t="inlineStr">
        <is>
          <t>61.314835</t>
        </is>
      </c>
      <c r="R2496" s="494" t="inlineStr">
        <is>
          <t>73.390255</t>
        </is>
      </c>
      <c r="S2496" s="387" t="n"/>
      <c r="T2496" s="387" t="n"/>
      <c r="U2496" s="436" t="n"/>
      <c r="V2496" s="387" t="n"/>
      <c r="W2496" s="387">
        <f>IF(AND(N2496=1,O2496&lt;&gt;""),C2496,"")</f>
        <v/>
      </c>
      <c r="X2496" s="387" t="n"/>
      <c r="Y2496" s="387" t="n"/>
    </row>
    <row r="2497" hidden="1" ht="16.05" customFormat="1" customHeight="1" s="126">
      <c r="A2497" s="125" t="n">
        <v>3118</v>
      </c>
      <c r="B2497" s="125" t="n"/>
      <c r="C2497" s="130" t="inlineStr">
        <is>
          <t>Новосибирск</t>
        </is>
      </c>
      <c r="D2497" s="130" t="inlineStr">
        <is>
          <t xml:space="preserve">Новосибирск </t>
        </is>
      </c>
      <c r="E2497" s="130" t="n"/>
      <c r="F2497" s="130" t="inlineStr">
        <is>
          <t>АЗС</t>
        </is>
      </c>
      <c r="G2497" s="130" t="inlineStr">
        <is>
          <t>Газпромнефть</t>
        </is>
      </c>
      <c r="H2497" s="131" t="n"/>
      <c r="I2497" s="637" t="n">
        <v>30002</v>
      </c>
      <c r="J2497" s="637" t="inlineStr">
        <is>
          <t>GPN_30002</t>
        </is>
      </c>
      <c r="K2497" s="640" t="n">
        <v>3</v>
      </c>
      <c r="L2497" s="640" t="n">
        <v>1</v>
      </c>
      <c r="M2497" s="623" t="n">
        <v>4</v>
      </c>
      <c r="N2497" s="640" t="n"/>
      <c r="O2497" s="640">
        <f>IF(AND(N2497=1,L2497=1),K2497,"")</f>
        <v/>
      </c>
      <c r="P2497" s="642" t="inlineStr">
        <is>
          <t>г. Новосибирск, ул. Первомайская, 2/1</t>
        </is>
      </c>
      <c r="Q2497" s="640" t="inlineStr">
        <is>
          <t>54.95916</t>
        </is>
      </c>
      <c r="R2497" s="494" t="inlineStr">
        <is>
          <t>83.145035</t>
        </is>
      </c>
      <c r="S2497" s="387" t="n"/>
      <c r="T2497" s="387" t="n"/>
      <c r="U2497" s="436" t="n"/>
      <c r="V2497" s="387" t="n"/>
      <c r="W2497" s="387">
        <f>IF(AND(N2497=1,O2497&lt;&gt;""),C2497,"")</f>
        <v/>
      </c>
      <c r="X2497" s="387" t="n"/>
      <c r="Y2497" s="387" t="n"/>
    </row>
    <row r="2498" hidden="1" ht="16.05" customFormat="1" customHeight="1" s="126">
      <c r="A2498" s="125" t="n">
        <v>3119</v>
      </c>
      <c r="B2498" s="125" t="n"/>
      <c r="C2498" s="130" t="inlineStr">
        <is>
          <t>Новосибирск</t>
        </is>
      </c>
      <c r="D2498" s="130" t="inlineStr">
        <is>
          <t xml:space="preserve">Новосибирск </t>
        </is>
      </c>
      <c r="E2498" s="130" t="n"/>
      <c r="F2498" s="130" t="inlineStr">
        <is>
          <t>АЗС</t>
        </is>
      </c>
      <c r="G2498" s="130" t="inlineStr">
        <is>
          <t>Газпромнефть</t>
        </is>
      </c>
      <c r="H2498" s="131" t="n"/>
      <c r="I2498" s="637" t="n">
        <v>30003</v>
      </c>
      <c r="J2498" s="637" t="inlineStr">
        <is>
          <t>GPN_30003</t>
        </is>
      </c>
      <c r="K2498" s="640" t="n">
        <v>3</v>
      </c>
      <c r="L2498" s="640" t="n">
        <v>1</v>
      </c>
      <c r="M2498" s="623" t="n">
        <v>3</v>
      </c>
      <c r="N2498" s="640" t="n"/>
      <c r="O2498" s="640">
        <f>IF(AND(N2498=1,L2498=1),K2498,"")</f>
        <v/>
      </c>
      <c r="P2498" s="642" t="inlineStr">
        <is>
          <t>г. Новосибирск, ул. Молодости, 44/1</t>
        </is>
      </c>
      <c r="Q2498" s="640" t="inlineStr">
        <is>
          <t>54.860865</t>
        </is>
      </c>
      <c r="R2498" s="494" t="inlineStr">
        <is>
          <t>82.96804</t>
        </is>
      </c>
      <c r="S2498" s="387" t="n"/>
      <c r="T2498" s="387" t="n"/>
      <c r="U2498" s="436" t="n"/>
      <c r="V2498" s="387" t="n"/>
      <c r="W2498" s="387">
        <f>IF(AND(N2498=1,O2498&lt;&gt;""),C2498,"")</f>
        <v/>
      </c>
      <c r="X2498" s="387" t="n"/>
      <c r="Y2498" s="387" t="n"/>
    </row>
    <row r="2499" hidden="1" ht="16.05" customFormat="1" customHeight="1" s="126">
      <c r="A2499" s="125" t="n">
        <v>3120</v>
      </c>
      <c r="B2499" s="125" t="n"/>
      <c r="C2499" s="130" t="inlineStr">
        <is>
          <t>Новосибирск</t>
        </is>
      </c>
      <c r="D2499" s="130" t="inlineStr">
        <is>
          <t xml:space="preserve">Новосибирск </t>
        </is>
      </c>
      <c r="E2499" s="130" t="n"/>
      <c r="F2499" s="130" t="inlineStr">
        <is>
          <t>АЗС</t>
        </is>
      </c>
      <c r="G2499" s="130" t="inlineStr">
        <is>
          <t>Газпромнефть</t>
        </is>
      </c>
      <c r="H2499" s="131" t="n"/>
      <c r="I2499" s="637" t="n">
        <v>30005</v>
      </c>
      <c r="J2499" s="637" t="inlineStr">
        <is>
          <t>GPN_30005</t>
        </is>
      </c>
      <c r="K2499" s="640" t="n">
        <v>3</v>
      </c>
      <c r="L2499" s="640" t="n">
        <v>1</v>
      </c>
      <c r="M2499" s="623" t="n">
        <v>4</v>
      </c>
      <c r="N2499" s="640" t="n"/>
      <c r="O2499" s="640">
        <f>IF(AND(N2499=1,L2499=1),K2499,"")</f>
        <v/>
      </c>
      <c r="P2499" s="642" t="inlineStr">
        <is>
          <t>г. Новосибирск, ул. Тролейная, 83/1</t>
        </is>
      </c>
      <c r="Q2499" s="640" t="inlineStr">
        <is>
          <t>54.964639</t>
        </is>
      </c>
      <c r="R2499" s="494" t="inlineStr">
        <is>
          <t>82.854619</t>
        </is>
      </c>
      <c r="S2499" s="387" t="n"/>
      <c r="T2499" s="387" t="n"/>
      <c r="U2499" s="436" t="n"/>
      <c r="V2499" s="387" t="n"/>
      <c r="W2499" s="387">
        <f>IF(AND(N2499=1,O2499&lt;&gt;""),C2499,"")</f>
        <v/>
      </c>
      <c r="X2499" s="387" t="n"/>
      <c r="Y2499" s="387" t="n"/>
    </row>
    <row r="2500" hidden="1" ht="16.05" customFormat="1" customHeight="1" s="126">
      <c r="A2500" s="125" t="n">
        <v>3121</v>
      </c>
      <c r="B2500" s="125" t="n"/>
      <c r="C2500" s="130" t="inlineStr">
        <is>
          <t>Новосибирск</t>
        </is>
      </c>
      <c r="D2500" s="130" t="inlineStr">
        <is>
          <t xml:space="preserve">Новосибирск </t>
        </is>
      </c>
      <c r="E2500" s="130" t="n"/>
      <c r="F2500" s="130" t="inlineStr">
        <is>
          <t>АЗС</t>
        </is>
      </c>
      <c r="G2500" s="130" t="inlineStr">
        <is>
          <t>Газпромнефть</t>
        </is>
      </c>
      <c r="H2500" s="131" t="n"/>
      <c r="I2500" s="637" t="n">
        <v>30008</v>
      </c>
      <c r="J2500" s="637" t="inlineStr">
        <is>
          <t>GPN_30008</t>
        </is>
      </c>
      <c r="K2500" s="640" t="n">
        <v>3</v>
      </c>
      <c r="L2500" s="640" t="n">
        <v>1</v>
      </c>
      <c r="M2500" s="623" t="n">
        <v>4</v>
      </c>
      <c r="N2500" s="640" t="n"/>
      <c r="O2500" s="640">
        <f>IF(AND(N2500=1,L2500=1),K2500,"")</f>
        <v/>
      </c>
      <c r="P2500" s="642" t="inlineStr">
        <is>
          <t>г. Новосибирск, ул. Объединения, 61</t>
        </is>
      </c>
      <c r="Q2500" s="640" t="inlineStr">
        <is>
          <t>55.09882</t>
        </is>
      </c>
      <c r="R2500" s="494" t="inlineStr">
        <is>
          <t>82.97944</t>
        </is>
      </c>
      <c r="S2500" s="387" t="n"/>
      <c r="T2500" s="387" t="n"/>
      <c r="U2500" s="436" t="n"/>
      <c r="V2500" s="387" t="n"/>
      <c r="W2500" s="387">
        <f>IF(AND(N2500=1,O2500&lt;&gt;""),C2500,"")</f>
        <v/>
      </c>
      <c r="X2500" s="387" t="n"/>
      <c r="Y2500" s="387" t="n"/>
    </row>
    <row r="2501" hidden="1" ht="16.05" customFormat="1" customHeight="1" s="126">
      <c r="A2501" s="125" t="n">
        <v>3123</v>
      </c>
      <c r="B2501" s="125" t="n"/>
      <c r="C2501" s="130" t="inlineStr">
        <is>
          <t>Новосибирск</t>
        </is>
      </c>
      <c r="D2501" s="130" t="inlineStr">
        <is>
          <t xml:space="preserve">Новосибирск </t>
        </is>
      </c>
      <c r="E2501" s="130" t="n"/>
      <c r="F2501" s="130" t="inlineStr">
        <is>
          <t>АЗС</t>
        </is>
      </c>
      <c r="G2501" s="130" t="inlineStr">
        <is>
          <t>Газпромнефть</t>
        </is>
      </c>
      <c r="H2501" s="131" t="n"/>
      <c r="I2501" s="637" t="n">
        <v>30017</v>
      </c>
      <c r="J2501" s="637" t="inlineStr">
        <is>
          <t>GPN_30017</t>
        </is>
      </c>
      <c r="K2501" s="640" t="n">
        <v>3</v>
      </c>
      <c r="L2501" s="640" t="n">
        <v>1</v>
      </c>
      <c r="M2501" s="623" t="n">
        <v>3</v>
      </c>
      <c r="N2501" s="640" t="n"/>
      <c r="O2501" s="640">
        <f>IF(AND(N2501=1,L2501=1),K2501,"")</f>
        <v/>
      </c>
      <c r="P2501" s="642" t="inlineStr">
        <is>
          <t>г. Новосибирск, ул. Фрунзе, 122</t>
        </is>
      </c>
      <c r="Q2501" s="640" t="inlineStr">
        <is>
          <t>55.037851</t>
        </is>
      </c>
      <c r="R2501" s="494" t="inlineStr">
        <is>
          <t>82.93845</t>
        </is>
      </c>
      <c r="S2501" s="387" t="n"/>
      <c r="T2501" s="387" t="n"/>
      <c r="U2501" s="436" t="n"/>
      <c r="V2501" s="387" t="n"/>
      <c r="W2501" s="387">
        <f>IF(AND(N2501=1,O2501&lt;&gt;""),C2501,"")</f>
        <v/>
      </c>
      <c r="X2501" s="387" t="n"/>
      <c r="Y2501" s="387" t="n"/>
    </row>
    <row r="2502" hidden="1" ht="16.05" customFormat="1" customHeight="1" s="126">
      <c r="A2502" s="125" t="n">
        <v>3124</v>
      </c>
      <c r="B2502" s="125" t="n"/>
      <c r="C2502" s="130" t="inlineStr">
        <is>
          <t>Новосибирск</t>
        </is>
      </c>
      <c r="D2502" s="130" t="inlineStr">
        <is>
          <t xml:space="preserve">Новосибирск </t>
        </is>
      </c>
      <c r="E2502" s="130" t="n"/>
      <c r="F2502" s="130" t="inlineStr">
        <is>
          <t>АЗС</t>
        </is>
      </c>
      <c r="G2502" s="130" t="inlineStr">
        <is>
          <t>Газпромнефть</t>
        </is>
      </c>
      <c r="H2502" s="131" t="n"/>
      <c r="I2502" s="637" t="n">
        <v>30018</v>
      </c>
      <c r="J2502" s="637" t="inlineStr">
        <is>
          <t>GPN_30018</t>
        </is>
      </c>
      <c r="K2502" s="640" t="n">
        <v>3</v>
      </c>
      <c r="L2502" s="640" t="n">
        <v>1</v>
      </c>
      <c r="M2502" s="623" t="n">
        <v>6</v>
      </c>
      <c r="N2502" s="640" t="n"/>
      <c r="O2502" s="640">
        <f>IF(AND(N2502=1,L2502=1),K2502,"")</f>
        <v/>
      </c>
      <c r="P2502" s="642" t="inlineStr">
        <is>
          <t>г. Новосибирск, ул. Есенина, 1б</t>
        </is>
      </c>
      <c r="Q2502" s="640" t="inlineStr">
        <is>
          <t>55.051824</t>
        </is>
      </c>
      <c r="R2502" s="494" t="inlineStr">
        <is>
          <t>82.996777</t>
        </is>
      </c>
      <c r="S2502" s="387" t="n"/>
      <c r="T2502" s="387" t="n"/>
      <c r="U2502" s="436" t="n"/>
      <c r="V2502" s="387" t="n"/>
      <c r="W2502" s="387">
        <f>IF(AND(N2502=1,O2502&lt;&gt;""),C2502,"")</f>
        <v/>
      </c>
      <c r="X2502" s="387" t="n"/>
      <c r="Y2502" s="387" t="n"/>
    </row>
    <row r="2503" hidden="1" ht="16.05" customFormat="1" customHeight="1" s="126">
      <c r="A2503" s="125" t="n">
        <v>3125</v>
      </c>
      <c r="B2503" s="125" t="n"/>
      <c r="C2503" s="130" t="inlineStr">
        <is>
          <t>Новосибирск</t>
        </is>
      </c>
      <c r="D2503" s="130" t="inlineStr">
        <is>
          <t xml:space="preserve">Новосибирск </t>
        </is>
      </c>
      <c r="E2503" s="130" t="n"/>
      <c r="F2503" s="130" t="inlineStr">
        <is>
          <t>АЗС</t>
        </is>
      </c>
      <c r="G2503" s="130" t="inlineStr">
        <is>
          <t>Газпромнефть</t>
        </is>
      </c>
      <c r="H2503" s="131" t="n"/>
      <c r="I2503" s="637" t="n">
        <v>30019</v>
      </c>
      <c r="J2503" s="637" t="inlineStr">
        <is>
          <t>GPN_30019</t>
        </is>
      </c>
      <c r="K2503" s="640" t="n">
        <v>3</v>
      </c>
      <c r="L2503" s="640" t="n">
        <v>1</v>
      </c>
      <c r="M2503" s="623" t="n">
        <v>4</v>
      </c>
      <c r="N2503" s="640" t="n"/>
      <c r="O2503" s="640">
        <f>IF(AND(N2503=1,L2503=1),K2503,"")</f>
        <v/>
      </c>
      <c r="P2503" s="642" t="inlineStr">
        <is>
          <t>г. Новосибирск, ул. Бердское шоссе,63</t>
        </is>
      </c>
      <c r="Q2503" s="640" t="inlineStr">
        <is>
          <t>54.956084</t>
        </is>
      </c>
      <c r="R2503" s="494" t="inlineStr">
        <is>
          <t>83.061357</t>
        </is>
      </c>
      <c r="S2503" s="387" t="n"/>
      <c r="T2503" s="387" t="n"/>
      <c r="U2503" s="436" t="n"/>
      <c r="V2503" s="387" t="n"/>
      <c r="W2503" s="387">
        <f>IF(AND(N2503=1,O2503&lt;&gt;""),C2503,"")</f>
        <v/>
      </c>
      <c r="X2503" s="387" t="n"/>
      <c r="Y2503" s="387" t="n"/>
    </row>
    <row r="2504" hidden="1" ht="16.05" customFormat="1" customHeight="1" s="126">
      <c r="A2504" s="125" t="n">
        <v>3122</v>
      </c>
      <c r="B2504" s="125" t="n"/>
      <c r="C2504" s="130" t="inlineStr">
        <is>
          <t>Новосибирск</t>
        </is>
      </c>
      <c r="D2504" s="130" t="inlineStr">
        <is>
          <t xml:space="preserve">Новосибирск </t>
        </is>
      </c>
      <c r="E2504" s="130" t="n"/>
      <c r="F2504" s="130" t="inlineStr">
        <is>
          <t>АЗС</t>
        </is>
      </c>
      <c r="G2504" s="130" t="inlineStr">
        <is>
          <t>Газпромнефть</t>
        </is>
      </c>
      <c r="H2504" s="131" t="n"/>
      <c r="I2504" s="637" t="n">
        <v>30012</v>
      </c>
      <c r="J2504" s="402" t="inlineStr">
        <is>
          <t>GPN_30012</t>
        </is>
      </c>
      <c r="K2504" s="640" t="n">
        <v>2</v>
      </c>
      <c r="L2504" s="640" t="n">
        <v>0</v>
      </c>
      <c r="M2504" s="640" t="n">
        <v>2</v>
      </c>
      <c r="N2504" s="640" t="n"/>
      <c r="O2504" s="640">
        <f>IF(AND(N2504=1,L2504=1),K2504,"")</f>
        <v/>
      </c>
      <c r="P2504" s="642" t="inlineStr">
        <is>
          <t>г. Новосибирск, ул. Станционная, 11</t>
        </is>
      </c>
      <c r="Q2504" s="640" t="n">
        <v>54.997213</v>
      </c>
      <c r="R2504" s="422" t="n">
        <v>82.868058</v>
      </c>
      <c r="S2504" s="387" t="n"/>
      <c r="T2504" s="387" t="n"/>
      <c r="U2504" s="436" t="n"/>
      <c r="V2504" s="387" t="n"/>
      <c r="W2504" s="387">
        <f>IF(AND(N2504=1,O2504&lt;&gt;""),C2504,"")</f>
        <v/>
      </c>
      <c r="X2504" s="387" t="n"/>
      <c r="Y2504" s="1" t="n"/>
    </row>
    <row r="2505" hidden="1" ht="16.05" customFormat="1" customHeight="1" s="126">
      <c r="A2505" s="125" t="n">
        <v>3126</v>
      </c>
      <c r="B2505" s="125" t="n"/>
      <c r="C2505" s="130" t="inlineStr">
        <is>
          <t>Новосибирск</t>
        </is>
      </c>
      <c r="D2505" s="130" t="inlineStr">
        <is>
          <t xml:space="preserve">Новосибирск </t>
        </is>
      </c>
      <c r="E2505" s="130" t="n"/>
      <c r="F2505" s="130" t="inlineStr">
        <is>
          <t>АЗС</t>
        </is>
      </c>
      <c r="G2505" s="130" t="inlineStr">
        <is>
          <t>Газпромнефть</t>
        </is>
      </c>
      <c r="H2505" s="131" t="n"/>
      <c r="I2505" s="637" t="n">
        <v>30021</v>
      </c>
      <c r="J2505" s="637" t="inlineStr">
        <is>
          <t>GPN_30021</t>
        </is>
      </c>
      <c r="K2505" s="640" t="n">
        <v>1</v>
      </c>
      <c r="L2505" s="640" t="n">
        <v>1</v>
      </c>
      <c r="M2505" s="623" t="n">
        <v>1</v>
      </c>
      <c r="N2505" s="640" t="n"/>
      <c r="O2505" s="640">
        <f>IF(AND(N2505=1,L2505=1),K2505,"")</f>
        <v/>
      </c>
      <c r="P2505" s="642" t="inlineStr">
        <is>
          <t>г. Новосибирск, ул. Петухова, 122/4</t>
        </is>
      </c>
      <c r="Q2505" s="640" t="inlineStr">
        <is>
          <t>54.939269</t>
        </is>
      </c>
      <c r="R2505" s="494" t="inlineStr">
        <is>
          <t>82.9312</t>
        </is>
      </c>
      <c r="S2505" s="387" t="n"/>
      <c r="T2505" s="387" t="n"/>
      <c r="U2505" s="436" t="n"/>
      <c r="V2505" s="387" t="n"/>
      <c r="W2505" s="387">
        <f>IF(AND(N2505=1,O2505&lt;&gt;""),C2505,"")</f>
        <v/>
      </c>
      <c r="X2505" s="387" t="n"/>
      <c r="Y2505" s="387" t="n"/>
    </row>
    <row r="2506" hidden="1" ht="16.05" customFormat="1" customHeight="1" s="126">
      <c r="A2506" s="125" t="n">
        <v>3127</v>
      </c>
      <c r="B2506" s="125" t="n"/>
      <c r="C2506" s="130" t="inlineStr">
        <is>
          <t>Новосибирск</t>
        </is>
      </c>
      <c r="D2506" s="130" t="inlineStr">
        <is>
          <t xml:space="preserve">Новосибирск </t>
        </is>
      </c>
      <c r="E2506" s="130" t="n"/>
      <c r="F2506" s="130" t="inlineStr">
        <is>
          <t>АЗС</t>
        </is>
      </c>
      <c r="G2506" s="130" t="inlineStr">
        <is>
          <t>Газпромнефть</t>
        </is>
      </c>
      <c r="H2506" s="131" t="n"/>
      <c r="I2506" s="637" t="n">
        <v>30022</v>
      </c>
      <c r="J2506" s="637" t="inlineStr">
        <is>
          <t>GPN_30022</t>
        </is>
      </c>
      <c r="K2506" s="640" t="n">
        <v>3</v>
      </c>
      <c r="L2506" s="640" t="n">
        <v>1</v>
      </c>
      <c r="M2506" s="623" t="n">
        <v>3</v>
      </c>
      <c r="N2506" s="640" t="n"/>
      <c r="O2506" s="640">
        <f>IF(AND(N2506=1,L2506=1),K2506,"")</f>
        <v/>
      </c>
      <c r="P2506" s="642" t="inlineStr">
        <is>
          <t>г. Новосибирск, ул. Хилокская, 19</t>
        </is>
      </c>
      <c r="Q2506" s="640" t="inlineStr">
        <is>
          <t>54.946395</t>
        </is>
      </c>
      <c r="R2506" s="494" t="inlineStr">
        <is>
          <t>82.831272</t>
        </is>
      </c>
      <c r="S2506" s="387" t="n"/>
      <c r="T2506" s="387" t="n"/>
      <c r="U2506" s="436" t="n"/>
      <c r="V2506" s="387" t="n"/>
      <c r="W2506" s="387">
        <f>IF(AND(N2506=1,O2506&lt;&gt;""),C2506,"")</f>
        <v/>
      </c>
      <c r="X2506" s="387" t="n"/>
      <c r="Y2506" s="387" t="n"/>
    </row>
    <row r="2507" hidden="1" ht="16.05" customFormat="1" customHeight="1" s="126">
      <c r="A2507" s="125" t="n">
        <v>3128</v>
      </c>
      <c r="B2507" s="125" t="n"/>
      <c r="C2507" s="130" t="inlineStr">
        <is>
          <t>Новосибирск</t>
        </is>
      </c>
      <c r="D2507" s="130" t="inlineStr">
        <is>
          <t xml:space="preserve">Новосибирск </t>
        </is>
      </c>
      <c r="E2507" s="130" t="n"/>
      <c r="F2507" s="130" t="inlineStr">
        <is>
          <t>АЗС</t>
        </is>
      </c>
      <c r="G2507" s="130" t="inlineStr">
        <is>
          <t>Газпромнефть</t>
        </is>
      </c>
      <c r="H2507" s="131" t="n"/>
      <c r="I2507" s="637" t="n">
        <v>30025</v>
      </c>
      <c r="J2507" s="637" t="inlineStr">
        <is>
          <t>GPN_30025</t>
        </is>
      </c>
      <c r="K2507" s="640" t="n">
        <v>1</v>
      </c>
      <c r="L2507" s="640" t="n">
        <v>1</v>
      </c>
      <c r="M2507" s="623" t="n">
        <v>1</v>
      </c>
      <c r="N2507" s="640" t="n"/>
      <c r="O2507" s="640">
        <f>IF(AND(N2507=1,L2507=1),K2507,"")</f>
        <v/>
      </c>
      <c r="P2507" s="642" t="inlineStr">
        <is>
          <t>г. Новосибирск, ул. Гусинобродское шоссе, 45</t>
        </is>
      </c>
      <c r="Q2507" s="640" t="inlineStr">
        <is>
          <t>55.042746</t>
        </is>
      </c>
      <c r="R2507" s="494" t="inlineStr">
        <is>
          <t>83.038495</t>
        </is>
      </c>
      <c r="S2507" s="387" t="n"/>
      <c r="T2507" s="387" t="n"/>
      <c r="U2507" s="436" t="n"/>
      <c r="V2507" s="387" t="n"/>
      <c r="W2507" s="387">
        <f>IF(AND(N2507=1,O2507&lt;&gt;""),C2507,"")</f>
        <v/>
      </c>
      <c r="X2507" s="387" t="n"/>
      <c r="Y2507" s="387" t="n"/>
    </row>
    <row r="2508" hidden="1" ht="16.05" customFormat="1" customHeight="1" s="126">
      <c r="A2508" s="125" t="n">
        <v>3129</v>
      </c>
      <c r="B2508" s="125" t="n"/>
      <c r="C2508" s="130" t="inlineStr">
        <is>
          <t>Новосибирск</t>
        </is>
      </c>
      <c r="D2508" s="130" t="inlineStr">
        <is>
          <t>Новосибирская область</t>
        </is>
      </c>
      <c r="E2508" s="130" t="n"/>
      <c r="F2508" s="130" t="inlineStr">
        <is>
          <t>АЗС</t>
        </is>
      </c>
      <c r="G2508" s="130" t="inlineStr">
        <is>
          <t>Газпромнефть</t>
        </is>
      </c>
      <c r="H2508" s="131" t="n"/>
      <c r="I2508" s="637" t="n">
        <v>30028</v>
      </c>
      <c r="J2508" s="637" t="inlineStr">
        <is>
          <t>GPN_30028</t>
        </is>
      </c>
      <c r="K2508" s="640" t="n">
        <v>3</v>
      </c>
      <c r="L2508" s="640" t="n">
        <v>1</v>
      </c>
      <c r="M2508" s="623" t="n">
        <v>4</v>
      </c>
      <c r="N2508" s="640" t="n"/>
      <c r="O2508" s="640">
        <f>IF(AND(N2508=1,L2508=1),K2508,"")</f>
        <v/>
      </c>
      <c r="P2508" s="642" t="inlineStr">
        <is>
          <t>г. Обь, Октябрьская улица, 8к1</t>
        </is>
      </c>
      <c r="Q2508" s="640" t="inlineStr">
        <is>
          <t>54.985416</t>
        </is>
      </c>
      <c r="R2508" s="494" t="inlineStr">
        <is>
          <t>82.695297</t>
        </is>
      </c>
      <c r="S2508" s="387" t="n"/>
      <c r="T2508" s="387" t="n"/>
      <c r="U2508" s="436" t="n"/>
      <c r="V2508" s="387" t="n"/>
      <c r="W2508" s="387">
        <f>IF(AND(N2508=1,O2508&lt;&gt;""),C2508,"")</f>
        <v/>
      </c>
      <c r="X2508" s="387" t="n"/>
      <c r="Y2508" s="387" t="n"/>
    </row>
    <row r="2509" hidden="1" ht="16.05" customFormat="1" customHeight="1" s="126">
      <c r="A2509" s="125" t="n">
        <v>3130</v>
      </c>
      <c r="B2509" s="125" t="n"/>
      <c r="C2509" s="130" t="inlineStr">
        <is>
          <t>Новосибирск</t>
        </is>
      </c>
      <c r="D2509" s="130" t="inlineStr">
        <is>
          <t xml:space="preserve">Новосибирск </t>
        </is>
      </c>
      <c r="E2509" s="130" t="n"/>
      <c r="F2509" s="130" t="inlineStr">
        <is>
          <t>АЗС</t>
        </is>
      </c>
      <c r="G2509" s="130" t="inlineStr">
        <is>
          <t>Газпромнефть</t>
        </is>
      </c>
      <c r="H2509" s="131" t="n"/>
      <c r="I2509" s="637" t="n">
        <v>30030</v>
      </c>
      <c r="J2509" s="637" t="inlineStr">
        <is>
          <t>GPN_30030</t>
        </is>
      </c>
      <c r="K2509" s="640" t="n">
        <v>3</v>
      </c>
      <c r="L2509" s="640" t="n">
        <v>1</v>
      </c>
      <c r="M2509" s="623" t="n">
        <v>3</v>
      </c>
      <c r="N2509" s="640" t="n"/>
      <c r="O2509" s="640">
        <f>IF(AND(N2509=1,L2509=1),K2509,"")</f>
        <v/>
      </c>
      <c r="P2509" s="642" t="inlineStr">
        <is>
          <t>г. Новосибирск, Бердское шоссе, 470</t>
        </is>
      </c>
      <c r="Q2509" s="640" t="inlineStr">
        <is>
          <t>54.875258</t>
        </is>
      </c>
      <c r="R2509" s="494" t="inlineStr">
        <is>
          <t>83.07662</t>
        </is>
      </c>
      <c r="S2509" s="387" t="n"/>
      <c r="T2509" s="387" t="n"/>
      <c r="U2509" s="436" t="n"/>
      <c r="V2509" s="387" t="n"/>
      <c r="W2509" s="387">
        <f>IF(AND(N2509=1,O2509&lt;&gt;""),C2509,"")</f>
        <v/>
      </c>
      <c r="X2509" s="387" t="n"/>
      <c r="Y2509" s="387" t="n"/>
    </row>
    <row r="2510" hidden="1" ht="16.05" customFormat="1" customHeight="1" s="126">
      <c r="A2510" s="125" t="n">
        <v>3132</v>
      </c>
      <c r="B2510" s="125" t="n"/>
      <c r="C2510" s="130" t="inlineStr">
        <is>
          <t>Новосибирск</t>
        </is>
      </c>
      <c r="D2510" s="130" t="inlineStr">
        <is>
          <t xml:space="preserve">Новосибирск </t>
        </is>
      </c>
      <c r="E2510" s="130" t="n"/>
      <c r="F2510" s="130" t="inlineStr">
        <is>
          <t>АЗС</t>
        </is>
      </c>
      <c r="G2510" s="130" t="inlineStr">
        <is>
          <t>Газпромнефть</t>
        </is>
      </c>
      <c r="H2510" s="131" t="n"/>
      <c r="I2510" s="637" t="n">
        <v>30098</v>
      </c>
      <c r="J2510" s="637" t="inlineStr">
        <is>
          <t>GPN_30098</t>
        </is>
      </c>
      <c r="K2510" s="640" t="n">
        <v>2</v>
      </c>
      <c r="L2510" s="640" t="n">
        <v>1</v>
      </c>
      <c r="M2510" s="623" t="n">
        <v>2</v>
      </c>
      <c r="N2510" s="640" t="n"/>
      <c r="O2510" s="640">
        <f>IF(AND(N2510=1,L2510=1),K2510,"")</f>
        <v/>
      </c>
      <c r="P2510" s="642" t="inlineStr">
        <is>
          <t>г. Новосибирск.ул.Никитина 172</t>
        </is>
      </c>
      <c r="Q2510" s="640" t="inlineStr">
        <is>
          <t>55.032134</t>
        </is>
      </c>
      <c r="R2510" s="494" t="inlineStr">
        <is>
          <t>82.994011</t>
        </is>
      </c>
      <c r="S2510" s="387" t="n"/>
      <c r="T2510" s="387" t="n"/>
      <c r="U2510" s="436" t="n"/>
      <c r="V2510" s="387" t="n"/>
      <c r="W2510" s="387">
        <f>IF(AND(N2510=1,O2510&lt;&gt;""),C2510,"")</f>
        <v/>
      </c>
      <c r="X2510" s="387" t="n"/>
      <c r="Y2510" s="387" t="n"/>
    </row>
    <row r="2511" hidden="1" ht="16.05" customFormat="1" customHeight="1" s="126">
      <c r="A2511" s="125" t="n">
        <v>3133</v>
      </c>
      <c r="B2511" s="125" t="n"/>
      <c r="C2511" s="130" t="inlineStr">
        <is>
          <t>Новосибирск</t>
        </is>
      </c>
      <c r="D2511" s="130" t="inlineStr">
        <is>
          <t>Новосибирская область</t>
        </is>
      </c>
      <c r="E2511" s="130" t="n"/>
      <c r="F2511" s="130" t="inlineStr">
        <is>
          <t>АЗС</t>
        </is>
      </c>
      <c r="G2511" s="130" t="inlineStr">
        <is>
          <t>Газпромнефть</t>
        </is>
      </c>
      <c r="H2511" s="131" t="n"/>
      <c r="I2511" s="637" t="n">
        <v>30099</v>
      </c>
      <c r="J2511" s="637" t="inlineStr">
        <is>
          <t>GPN_30099</t>
        </is>
      </c>
      <c r="K2511" s="640" t="n">
        <v>3</v>
      </c>
      <c r="L2511" s="640" t="n">
        <v>1</v>
      </c>
      <c r="M2511" s="623" t="n">
        <v>6</v>
      </c>
      <c r="N2511" s="640" t="n"/>
      <c r="O2511" s="640">
        <f>IF(AND(N2511=1,L2511=1),K2511,"")</f>
        <v/>
      </c>
      <c r="P2511" s="642" t="inlineStr">
        <is>
          <t>г. Болотное, ул. Новосибирское шоссе, 6</t>
        </is>
      </c>
      <c r="Q2511" s="640" t="inlineStr">
        <is>
          <t>55.646233</t>
        </is>
      </c>
      <c r="R2511" s="494" t="inlineStr">
        <is>
          <t>84.357402</t>
        </is>
      </c>
      <c r="S2511" s="387" t="n"/>
      <c r="T2511" s="387" t="n"/>
      <c r="U2511" s="436" t="n"/>
      <c r="V2511" s="387" t="n"/>
      <c r="W2511" s="387">
        <f>IF(AND(N2511=1,O2511&lt;&gt;""),C2511,"")</f>
        <v/>
      </c>
      <c r="X2511" s="387" t="n"/>
      <c r="Y2511" s="387" t="n"/>
    </row>
    <row r="2512" hidden="1" ht="16.05" customFormat="1" customHeight="1" s="126">
      <c r="A2512" s="125" t="n">
        <v>3131</v>
      </c>
      <c r="B2512" s="125" t="n"/>
      <c r="C2512" s="130" t="inlineStr">
        <is>
          <t>Новосибирск</t>
        </is>
      </c>
      <c r="D2512" s="130" t="inlineStr">
        <is>
          <t xml:space="preserve">Новосибирск </t>
        </is>
      </c>
      <c r="E2512" s="130" t="n"/>
      <c r="F2512" s="130" t="inlineStr">
        <is>
          <t>АЗС</t>
        </is>
      </c>
      <c r="G2512" s="130" t="inlineStr">
        <is>
          <t>Газпромнефть</t>
        </is>
      </c>
      <c r="H2512" s="131" t="n"/>
      <c r="I2512" s="637" t="n">
        <v>30091</v>
      </c>
      <c r="J2512" s="637" t="inlineStr">
        <is>
          <t>GPN_30091</t>
        </is>
      </c>
      <c r="K2512" s="640" t="n">
        <v>3</v>
      </c>
      <c r="L2512" s="640" t="n">
        <v>1</v>
      </c>
      <c r="M2512" s="623" t="n">
        <v>4</v>
      </c>
      <c r="N2512" s="640" t="n"/>
      <c r="O2512" s="640">
        <f>IF(AND(N2512=1,L2512=1),K2512,"")</f>
        <v/>
      </c>
      <c r="P2512" s="642" t="inlineStr">
        <is>
          <t>г. Новосибирск, ул. Жуковского, 124</t>
        </is>
      </c>
      <c r="Q2512" s="640" t="inlineStr">
        <is>
          <t>55.069474</t>
        </is>
      </c>
      <c r="R2512" s="494" t="inlineStr">
        <is>
          <t>82.892528</t>
        </is>
      </c>
      <c r="S2512" s="387" t="n"/>
      <c r="T2512" s="387" t="n"/>
      <c r="U2512" s="436" t="n"/>
      <c r="V2512" s="387" t="n"/>
      <c r="W2512" s="387">
        <f>IF(AND(N2512=1,O2512&lt;&gt;""),C2512,"")</f>
        <v/>
      </c>
      <c r="X2512" s="387" t="n"/>
      <c r="Y2512" s="387" t="n"/>
    </row>
    <row r="2513" hidden="1" ht="16.05" customFormat="1" customHeight="1" s="126">
      <c r="A2513" s="125" t="n">
        <v>3134</v>
      </c>
      <c r="B2513" s="125" t="n"/>
      <c r="C2513" s="130" t="inlineStr">
        <is>
          <t>Новосибирск</t>
        </is>
      </c>
      <c r="D2513" s="130" t="inlineStr">
        <is>
          <t xml:space="preserve">Новосибирск </t>
        </is>
      </c>
      <c r="E2513" s="130" t="n"/>
      <c r="F2513" s="130" t="inlineStr">
        <is>
          <t>АЗС</t>
        </is>
      </c>
      <c r="G2513" s="130" t="inlineStr">
        <is>
          <t>Газпромнефть</t>
        </is>
      </c>
      <c r="H2513" s="131" t="n"/>
      <c r="I2513" s="637" t="n">
        <v>30120</v>
      </c>
      <c r="J2513" s="637" t="inlineStr">
        <is>
          <t>GPN_30120</t>
        </is>
      </c>
      <c r="K2513" s="640" t="n">
        <v>3</v>
      </c>
      <c r="L2513" s="640" t="n">
        <v>1</v>
      </c>
      <c r="M2513" s="623" t="n">
        <v>4</v>
      </c>
      <c r="N2513" s="640" t="n"/>
      <c r="O2513" s="640">
        <f>IF(AND(N2513=1,L2513=1),K2513,"")</f>
        <v/>
      </c>
      <c r="P2513" s="642" t="inlineStr">
        <is>
          <t>г. Новосибирск, ул. Аникина, 4</t>
        </is>
      </c>
      <c r="Q2513" s="640" t="inlineStr">
        <is>
          <t>54.960607</t>
        </is>
      </c>
      <c r="R2513" s="494" t="inlineStr">
        <is>
          <t>82.9396</t>
        </is>
      </c>
      <c r="S2513" s="387" t="n"/>
      <c r="T2513" s="387" t="n"/>
      <c r="U2513" s="436" t="n"/>
      <c r="V2513" s="387" t="n"/>
      <c r="W2513" s="387">
        <f>IF(AND(N2513=1,O2513&lt;&gt;""),C2513,"")</f>
        <v/>
      </c>
      <c r="X2513" s="387" t="n"/>
      <c r="Y2513" s="387" t="n"/>
    </row>
    <row r="2514" hidden="1" ht="16.05" customFormat="1" customHeight="1" s="126">
      <c r="A2514" s="125" t="n">
        <v>3135</v>
      </c>
      <c r="B2514" s="125" t="n"/>
      <c r="C2514" s="130" t="inlineStr">
        <is>
          <t>Новосибирск</t>
        </is>
      </c>
      <c r="D2514" s="130" t="inlineStr">
        <is>
          <t xml:space="preserve">Новосибирск </t>
        </is>
      </c>
      <c r="E2514" s="130" t="n"/>
      <c r="F2514" s="130" t="inlineStr">
        <is>
          <t>АЗС</t>
        </is>
      </c>
      <c r="G2514" s="130" t="inlineStr">
        <is>
          <t>Газпромнефть</t>
        </is>
      </c>
      <c r="H2514" s="131" t="n"/>
      <c r="I2514" s="637" t="n">
        <v>30138</v>
      </c>
      <c r="J2514" s="637" t="inlineStr">
        <is>
          <t>GPN_30138</t>
        </is>
      </c>
      <c r="K2514" s="640" t="n">
        <v>2</v>
      </c>
      <c r="L2514" s="640" t="n">
        <v>1</v>
      </c>
      <c r="M2514" s="623" t="n">
        <v>2</v>
      </c>
      <c r="N2514" s="640" t="n"/>
      <c r="O2514" s="640">
        <f>IF(AND(N2514=1,L2514=1),K2514,"")</f>
        <v/>
      </c>
      <c r="P2514" s="642" t="inlineStr">
        <is>
          <t>г. Новосибирск, Покатная, 124</t>
        </is>
      </c>
      <c r="Q2514" s="640" t="inlineStr">
        <is>
          <t>55.025457</t>
        </is>
      </c>
      <c r="R2514" s="494" t="inlineStr">
        <is>
          <t>82.949445</t>
        </is>
      </c>
      <c r="S2514" s="387" t="n"/>
      <c r="T2514" s="387" t="n"/>
      <c r="U2514" s="436" t="n"/>
      <c r="V2514" s="387" t="n"/>
      <c r="W2514" s="387">
        <f>IF(AND(N2514=1,O2514&lt;&gt;""),C2514,"")</f>
        <v/>
      </c>
      <c r="X2514" s="387" t="n"/>
      <c r="Y2514" s="387" t="n"/>
    </row>
    <row r="2515" hidden="1" ht="16.05" customFormat="1" customHeight="1" s="126">
      <c r="A2515" s="125" t="n">
        <v>3136</v>
      </c>
      <c r="B2515" s="125" t="n"/>
      <c r="C2515" s="130" t="inlineStr">
        <is>
          <t>Новосибирск</t>
        </is>
      </c>
      <c r="D2515" s="130" t="inlineStr">
        <is>
          <t xml:space="preserve">Новосибирск </t>
        </is>
      </c>
      <c r="E2515" s="130" t="n"/>
      <c r="F2515" s="130" t="inlineStr">
        <is>
          <t>АЗС</t>
        </is>
      </c>
      <c r="G2515" s="130" t="inlineStr">
        <is>
          <t>Газпромнефть</t>
        </is>
      </c>
      <c r="H2515" s="131" t="n"/>
      <c r="I2515" s="637" t="n">
        <v>30139</v>
      </c>
      <c r="J2515" s="637" t="inlineStr">
        <is>
          <t>GPN_30139</t>
        </is>
      </c>
      <c r="K2515" s="640" t="n">
        <v>3</v>
      </c>
      <c r="L2515" s="640" t="n">
        <v>1</v>
      </c>
      <c r="M2515" s="623" t="n">
        <v>3</v>
      </c>
      <c r="N2515" s="640" t="n"/>
      <c r="O2515" s="640">
        <f>IF(AND(N2515=1,L2515=1),K2515,"")</f>
        <v/>
      </c>
      <c r="P2515" s="642" t="inlineStr">
        <is>
          <t>г. Новосибирск, ул. Петухова, 69/1</t>
        </is>
      </c>
      <c r="Q2515" s="640" t="inlineStr">
        <is>
          <t>54.942077</t>
        </is>
      </c>
      <c r="R2515" s="494" t="inlineStr">
        <is>
          <t>82.9108</t>
        </is>
      </c>
      <c r="S2515" s="387" t="n"/>
      <c r="T2515" s="387" t="n"/>
      <c r="U2515" s="436" t="n"/>
      <c r="V2515" s="387" t="n"/>
      <c r="W2515" s="387">
        <f>IF(AND(N2515=1,O2515&lt;&gt;""),C2515,"")</f>
        <v/>
      </c>
      <c r="X2515" s="387" t="n"/>
      <c r="Y2515" s="387" t="n"/>
    </row>
    <row r="2516" hidden="1" ht="16.05" customFormat="1" customHeight="1" s="126">
      <c r="A2516" s="125" t="n">
        <v>3137</v>
      </c>
      <c r="B2516" s="125" t="n"/>
      <c r="C2516" s="130" t="inlineStr">
        <is>
          <t>Новосибирск</t>
        </is>
      </c>
      <c r="D2516" s="130" t="inlineStr">
        <is>
          <t xml:space="preserve">Новосибирск </t>
        </is>
      </c>
      <c r="E2516" s="130" t="n"/>
      <c r="F2516" s="130" t="inlineStr">
        <is>
          <t>АЗС</t>
        </is>
      </c>
      <c r="G2516" s="130" t="inlineStr">
        <is>
          <t>Газпромнефть</t>
        </is>
      </c>
      <c r="H2516" s="131" t="n"/>
      <c r="I2516" s="637" t="n">
        <v>30143</v>
      </c>
      <c r="J2516" s="637" t="inlineStr">
        <is>
          <t>GPN_30143</t>
        </is>
      </c>
      <c r="K2516" s="640" t="n">
        <v>3</v>
      </c>
      <c r="L2516" s="640" t="n">
        <v>1</v>
      </c>
      <c r="M2516" s="623" t="n">
        <v>4</v>
      </c>
      <c r="N2516" s="640" t="n"/>
      <c r="O2516" s="640">
        <f>IF(AND(N2516=1,L2516=1),K2516,"")</f>
        <v/>
      </c>
      <c r="P2516" s="642" t="inlineStr">
        <is>
          <t>г. Новосибирск, ул. Жуковского, 95а</t>
        </is>
      </c>
      <c r="Q2516" s="640" t="inlineStr">
        <is>
          <t>55.069257</t>
        </is>
      </c>
      <c r="R2516" s="494" t="inlineStr">
        <is>
          <t>82.894208</t>
        </is>
      </c>
      <c r="S2516" s="387" t="n"/>
      <c r="T2516" s="387" t="n"/>
      <c r="U2516" s="436" t="n"/>
      <c r="V2516" s="387" t="n"/>
      <c r="W2516" s="387">
        <f>IF(AND(N2516=1,O2516&lt;&gt;""),C2516,"")</f>
        <v/>
      </c>
      <c r="X2516" s="387" t="n"/>
      <c r="Y2516" s="387" t="n"/>
    </row>
    <row r="2517" hidden="1" ht="16.05" customFormat="1" customHeight="1" s="126">
      <c r="A2517" s="125" t="n">
        <v>3138</v>
      </c>
      <c r="B2517" s="125" t="n"/>
      <c r="C2517" s="130" t="inlineStr">
        <is>
          <t>Новосибирск</t>
        </is>
      </c>
      <c r="D2517" s="130" t="inlineStr">
        <is>
          <t xml:space="preserve">Новосибирск </t>
        </is>
      </c>
      <c r="E2517" s="130" t="n"/>
      <c r="F2517" s="130" t="inlineStr">
        <is>
          <t>АЗС</t>
        </is>
      </c>
      <c r="G2517" s="130" t="inlineStr">
        <is>
          <t>Газпромнефть</t>
        </is>
      </c>
      <c r="H2517" s="131" t="n"/>
      <c r="I2517" s="637" t="n">
        <v>30144</v>
      </c>
      <c r="J2517" s="637" t="inlineStr">
        <is>
          <t>GPN_30144</t>
        </is>
      </c>
      <c r="K2517" s="640" t="n">
        <v>3</v>
      </c>
      <c r="L2517" s="640" t="n">
        <v>1</v>
      </c>
      <c r="M2517" s="623" t="n">
        <v>4</v>
      </c>
      <c r="N2517" s="640" t="n"/>
      <c r="O2517" s="640">
        <f>IF(AND(N2517=1,L2517=1),K2517,"")</f>
        <v/>
      </c>
      <c r="P2517" s="642" t="inlineStr">
        <is>
          <t>г. Новосибирск, ул. Кропоткина, 199</t>
        </is>
      </c>
      <c r="Q2517" s="640" t="inlineStr">
        <is>
          <t>55.056208</t>
        </is>
      </c>
      <c r="R2517" s="494" t="inlineStr">
        <is>
          <t>82.926116</t>
        </is>
      </c>
      <c r="S2517" s="387" t="n"/>
      <c r="T2517" s="387" t="n"/>
      <c r="U2517" s="436" t="n"/>
      <c r="V2517" s="387" t="n"/>
      <c r="W2517" s="387">
        <f>IF(AND(N2517=1,O2517&lt;&gt;""),C2517,"")</f>
        <v/>
      </c>
      <c r="X2517" s="387" t="n"/>
      <c r="Y2517" s="387" t="n"/>
    </row>
    <row r="2518" hidden="1" ht="16.05" customFormat="1" customHeight="1" s="126">
      <c r="A2518" s="125" t="n">
        <v>3139</v>
      </c>
      <c r="B2518" s="125" t="n"/>
      <c r="C2518" s="130" t="inlineStr">
        <is>
          <t>Новосибирск</t>
        </is>
      </c>
      <c r="D2518" s="130" t="inlineStr">
        <is>
          <t xml:space="preserve">Новосибирск </t>
        </is>
      </c>
      <c r="E2518" s="130" t="n"/>
      <c r="F2518" s="130" t="inlineStr">
        <is>
          <t>АЗС</t>
        </is>
      </c>
      <c r="G2518" s="130" t="inlineStr">
        <is>
          <t>Газпромнефть</t>
        </is>
      </c>
      <c r="H2518" s="131" t="n"/>
      <c r="I2518" s="637" t="n">
        <v>30145</v>
      </c>
      <c r="J2518" s="637" t="inlineStr">
        <is>
          <t>GPN_30145</t>
        </is>
      </c>
      <c r="K2518" s="640" t="n">
        <v>3</v>
      </c>
      <c r="L2518" s="640" t="n">
        <v>1</v>
      </c>
      <c r="M2518" s="623" t="n">
        <v>3</v>
      </c>
      <c r="N2518" s="640" t="n"/>
      <c r="O2518" s="640">
        <f>IF(AND(N2518=1,L2518=1),K2518,"")</f>
        <v/>
      </c>
      <c r="P2518" s="642" t="inlineStr">
        <is>
          <t>г. Новосибирск, ул. Энергетиков 8/1</t>
        </is>
      </c>
      <c r="Q2518" s="640" t="inlineStr">
        <is>
          <t>55.012677</t>
        </is>
      </c>
      <c r="R2518" s="494" t="inlineStr">
        <is>
          <t>82.878496</t>
        </is>
      </c>
      <c r="S2518" s="387" t="n"/>
      <c r="T2518" s="387" t="n"/>
      <c r="U2518" s="436" t="n"/>
      <c r="V2518" s="387" t="n"/>
      <c r="W2518" s="387">
        <f>IF(AND(N2518=1,O2518&lt;&gt;""),C2518,"")</f>
        <v/>
      </c>
      <c r="X2518" s="387" t="n"/>
      <c r="Y2518" s="387" t="n"/>
    </row>
    <row r="2519" hidden="1" ht="16.05" customFormat="1" customHeight="1" s="126">
      <c r="A2519" s="125" t="n">
        <v>3140</v>
      </c>
      <c r="B2519" s="125" t="n"/>
      <c r="C2519" s="130" t="inlineStr">
        <is>
          <t>Новосибирск</t>
        </is>
      </c>
      <c r="D2519" s="130" t="inlineStr">
        <is>
          <t>Новосибирская область</t>
        </is>
      </c>
      <c r="E2519" s="130" t="n"/>
      <c r="F2519" s="130" t="inlineStr">
        <is>
          <t>АЗС</t>
        </is>
      </c>
      <c r="G2519" s="130" t="inlineStr">
        <is>
          <t>Газпромнефть</t>
        </is>
      </c>
      <c r="H2519" s="131" t="n"/>
      <c r="I2519" s="637" t="n">
        <v>30146</v>
      </c>
      <c r="J2519" s="637" t="inlineStr">
        <is>
          <t>GPN_30146</t>
        </is>
      </c>
      <c r="K2519" s="640" t="n">
        <v>3</v>
      </c>
      <c r="L2519" s="640" t="n">
        <v>1</v>
      </c>
      <c r="M2519" s="623" t="n">
        <v>3</v>
      </c>
      <c r="N2519" s="640" t="n"/>
      <c r="O2519" s="640">
        <f>IF(AND(N2519=1,L2519=1),K2519,"")</f>
        <v/>
      </c>
      <c r="P2519" s="642" t="inlineStr">
        <is>
          <t>г. Новосибирск, ул. Советское шоссе, 21</t>
        </is>
      </c>
      <c r="Q2519" s="640" t="inlineStr">
        <is>
          <t>54.869223</t>
        </is>
      </c>
      <c r="R2519" s="494" t="inlineStr">
        <is>
          <t>82.989699</t>
        </is>
      </c>
      <c r="S2519" s="387" t="n"/>
      <c r="T2519" s="387" t="n"/>
      <c r="U2519" s="436" t="n"/>
      <c r="V2519" s="387" t="n"/>
      <c r="W2519" s="387">
        <f>IF(AND(N2519=1,O2519&lt;&gt;""),C2519,"")</f>
        <v/>
      </c>
      <c r="X2519" s="387" t="n"/>
      <c r="Y2519" s="387" t="n"/>
    </row>
    <row r="2520" hidden="1" ht="16.05" customFormat="1" customHeight="1" s="126">
      <c r="A2520" s="125" t="n">
        <v>3141</v>
      </c>
      <c r="B2520" s="125" t="n"/>
      <c r="C2520" s="130" t="inlineStr">
        <is>
          <t>Новосибирск</t>
        </is>
      </c>
      <c r="D2520" s="130" t="inlineStr">
        <is>
          <t xml:space="preserve">Новосибирск </t>
        </is>
      </c>
      <c r="E2520" s="130" t="n"/>
      <c r="F2520" s="130" t="inlineStr">
        <is>
          <t>АЗС</t>
        </is>
      </c>
      <c r="G2520" s="130" t="inlineStr">
        <is>
          <t>Газпромнефть</t>
        </is>
      </c>
      <c r="H2520" s="131" t="n"/>
      <c r="I2520" s="637" t="n">
        <v>30147</v>
      </c>
      <c r="J2520" s="637" t="inlineStr">
        <is>
          <t>GPN_30147</t>
        </is>
      </c>
      <c r="K2520" s="640" t="n">
        <v>3</v>
      </c>
      <c r="L2520" s="640" t="n">
        <v>1</v>
      </c>
      <c r="M2520" s="623" t="n">
        <v>3</v>
      </c>
      <c r="N2520" s="640" t="n"/>
      <c r="O2520" s="640">
        <f>IF(AND(N2520=1,L2520=1),K2520,"")</f>
        <v/>
      </c>
      <c r="P2520" s="642" t="inlineStr">
        <is>
          <t>г. Новосибирск, ул. Приморская, 28</t>
        </is>
      </c>
      <c r="Q2520" s="640" t="inlineStr">
        <is>
          <t>54.869461</t>
        </is>
      </c>
      <c r="R2520" s="494" t="inlineStr">
        <is>
          <t>82.991298</t>
        </is>
      </c>
      <c r="S2520" s="387" t="n"/>
      <c r="T2520" s="387" t="n"/>
      <c r="U2520" s="436" t="n"/>
      <c r="V2520" s="387" t="n"/>
      <c r="W2520" s="387">
        <f>IF(AND(N2520=1,O2520&lt;&gt;""),C2520,"")</f>
        <v/>
      </c>
      <c r="X2520" s="387" t="n"/>
      <c r="Y2520" s="387" t="n"/>
    </row>
    <row r="2521" hidden="1" ht="16.05" customFormat="1" customHeight="1" s="126">
      <c r="A2521" s="125" t="n">
        <v>3142</v>
      </c>
      <c r="B2521" s="125" t="n"/>
      <c r="C2521" s="130" t="inlineStr">
        <is>
          <t>Новосибирск</t>
        </is>
      </c>
      <c r="D2521" s="130" t="inlineStr">
        <is>
          <t>Новосибирская область</t>
        </is>
      </c>
      <c r="E2521" s="130" t="n"/>
      <c r="F2521" s="130" t="inlineStr">
        <is>
          <t>АЗС</t>
        </is>
      </c>
      <c r="G2521" s="130" t="inlineStr">
        <is>
          <t>Газпромнефть</t>
        </is>
      </c>
      <c r="H2521" s="131" t="n"/>
      <c r="I2521" s="637" t="n">
        <v>30150</v>
      </c>
      <c r="J2521" s="637" t="inlineStr">
        <is>
          <t>GPN_30150</t>
        </is>
      </c>
      <c r="K2521" s="640" t="n">
        <v>3</v>
      </c>
      <c r="L2521" s="640" t="n">
        <v>1</v>
      </c>
      <c r="M2521" s="623" t="n">
        <v>3</v>
      </c>
      <c r="N2521" s="640" t="n"/>
      <c r="O2521" s="640">
        <f>IF(AND(N2521=1,L2521=1),K2521,"")</f>
        <v/>
      </c>
      <c r="P2521" s="642" t="inlineStr">
        <is>
          <t>Новосибирская область, Омский тракт,8</t>
        </is>
      </c>
      <c r="Q2521" s="640" t="inlineStr">
        <is>
          <t>55.000564</t>
        </is>
      </c>
      <c r="R2521" s="494" t="inlineStr">
        <is>
          <t>82.628657</t>
        </is>
      </c>
      <c r="S2521" s="387" t="n"/>
      <c r="T2521" s="387" t="n"/>
      <c r="U2521" s="436" t="n"/>
      <c r="V2521" s="387" t="n"/>
      <c r="W2521" s="387">
        <f>IF(AND(N2521=1,O2521&lt;&gt;""),C2521,"")</f>
        <v/>
      </c>
      <c r="X2521" s="387" t="n"/>
      <c r="Y2521" s="387" t="n"/>
    </row>
    <row r="2522" hidden="1" ht="16.05" customFormat="1" customHeight="1" s="126">
      <c r="A2522" s="125" t="n">
        <v>3143</v>
      </c>
      <c r="B2522" s="125" t="n"/>
      <c r="C2522" s="130" t="inlineStr">
        <is>
          <t>Новосибирск</t>
        </is>
      </c>
      <c r="D2522" s="130" t="inlineStr">
        <is>
          <t xml:space="preserve">Новосибирск </t>
        </is>
      </c>
      <c r="E2522" s="130" t="n"/>
      <c r="F2522" s="130" t="inlineStr">
        <is>
          <t>АЗС</t>
        </is>
      </c>
      <c r="G2522" s="130" t="inlineStr">
        <is>
          <t>Газпромнефть</t>
        </is>
      </c>
      <c r="H2522" s="131" t="n"/>
      <c r="I2522" s="637" t="n">
        <v>30151</v>
      </c>
      <c r="J2522" s="637" t="inlineStr">
        <is>
          <t>GPN_30151</t>
        </is>
      </c>
      <c r="K2522" s="640" t="n">
        <v>3</v>
      </c>
      <c r="L2522" s="640" t="n">
        <v>1</v>
      </c>
      <c r="M2522" s="623" t="n">
        <v>3</v>
      </c>
      <c r="N2522" s="640" t="n"/>
      <c r="O2522" s="640">
        <f>IF(AND(N2522=1,L2522=1),K2522,"")</f>
        <v/>
      </c>
      <c r="P2522" s="642" t="inlineStr">
        <is>
          <t>г. Новосибирск, ул. Большевитская, 285.</t>
        </is>
      </c>
      <c r="Q2522" s="640" t="inlineStr">
        <is>
          <t>54.978379</t>
        </is>
      </c>
      <c r="R2522" s="494" t="inlineStr">
        <is>
          <t>83.024751</t>
        </is>
      </c>
      <c r="S2522" s="387" t="n"/>
      <c r="T2522" s="387" t="n"/>
      <c r="U2522" s="436" t="n"/>
      <c r="V2522" s="387" t="n"/>
      <c r="W2522" s="387">
        <f>IF(AND(N2522=1,O2522&lt;&gt;""),C2522,"")</f>
        <v/>
      </c>
      <c r="X2522" s="387" t="n"/>
      <c r="Y2522" s="387" t="n"/>
    </row>
    <row r="2523" hidden="1" ht="16.05" customFormat="1" customHeight="1" s="126">
      <c r="A2523" s="125" t="n">
        <v>3144</v>
      </c>
      <c r="B2523" s="125" t="n"/>
      <c r="C2523" s="130" t="inlineStr">
        <is>
          <t>Новосибирск</t>
        </is>
      </c>
      <c r="D2523" s="130" t="inlineStr">
        <is>
          <t xml:space="preserve">Новосибирск </t>
        </is>
      </c>
      <c r="E2523" s="130" t="n"/>
      <c r="F2523" s="130" t="inlineStr">
        <is>
          <t>АЗС</t>
        </is>
      </c>
      <c r="G2523" s="130" t="inlineStr">
        <is>
          <t>Газпромнефть</t>
        </is>
      </c>
      <c r="H2523" s="131" t="n"/>
      <c r="I2523" s="637" t="n">
        <v>30152</v>
      </c>
      <c r="J2523" s="637" t="inlineStr">
        <is>
          <t>GPN_30152</t>
        </is>
      </c>
      <c r="K2523" s="640" t="n">
        <v>3</v>
      </c>
      <c r="L2523" s="640" t="n">
        <v>1</v>
      </c>
      <c r="M2523" s="623" t="n">
        <v>3</v>
      </c>
      <c r="N2523" s="640" t="n"/>
      <c r="O2523" s="640">
        <f>IF(AND(N2523=1,L2523=1),K2523,"")</f>
        <v/>
      </c>
      <c r="P2523" s="642" t="inlineStr">
        <is>
          <t>г. Новосибирск, ул. Свердлова, 18.</t>
        </is>
      </c>
      <c r="Q2523" s="640" t="inlineStr">
        <is>
          <t>55.022174</t>
        </is>
      </c>
      <c r="R2523" s="494" t="inlineStr">
        <is>
          <t>82.930419</t>
        </is>
      </c>
      <c r="S2523" s="387" t="n"/>
      <c r="T2523" s="387" t="n"/>
      <c r="U2523" s="436" t="n"/>
      <c r="V2523" s="387" t="n"/>
      <c r="W2523" s="387">
        <f>IF(AND(N2523=1,O2523&lt;&gt;""),C2523,"")</f>
        <v/>
      </c>
      <c r="X2523" s="387" t="n"/>
      <c r="Y2523" s="387" t="n"/>
    </row>
    <row r="2524" hidden="1" ht="16.05" customFormat="1" customHeight="1" s="126">
      <c r="A2524" s="125" t="n">
        <v>3145</v>
      </c>
      <c r="B2524" s="125" t="n"/>
      <c r="C2524" s="130" t="inlineStr">
        <is>
          <t>Новосибирск</t>
        </is>
      </c>
      <c r="D2524" s="130" t="inlineStr">
        <is>
          <t xml:space="preserve">Новосибирск </t>
        </is>
      </c>
      <c r="E2524" s="130" t="n"/>
      <c r="F2524" s="130" t="inlineStr">
        <is>
          <t>АЗС</t>
        </is>
      </c>
      <c r="G2524" s="130" t="inlineStr">
        <is>
          <t>Газпромнефть</t>
        </is>
      </c>
      <c r="H2524" s="131" t="n"/>
      <c r="I2524" s="637" t="n">
        <v>30153</v>
      </c>
      <c r="J2524" s="637" t="inlineStr">
        <is>
          <t>GPN_30153</t>
        </is>
      </c>
      <c r="K2524" s="640" t="n">
        <v>2</v>
      </c>
      <c r="L2524" s="640" t="n">
        <v>1</v>
      </c>
      <c r="M2524" s="623" t="n">
        <v>2</v>
      </c>
      <c r="N2524" s="640" t="n"/>
      <c r="O2524" s="640">
        <f>IF(AND(N2524=1,L2524=1),K2524,"")</f>
        <v/>
      </c>
      <c r="P2524" s="642" t="inlineStr">
        <is>
          <t>г. Новосибирск, ул. Немировича-Данченко, 136/1.</t>
        </is>
      </c>
      <c r="Q2524" s="640" t="inlineStr">
        <is>
          <t>54.987709</t>
        </is>
      </c>
      <c r="R2524" s="494" t="inlineStr">
        <is>
          <t>82.914887</t>
        </is>
      </c>
      <c r="S2524" s="387" t="n"/>
      <c r="T2524" s="387" t="n"/>
      <c r="U2524" s="436" t="n"/>
      <c r="V2524" s="387" t="n"/>
      <c r="W2524" s="387">
        <f>IF(AND(N2524=1,O2524&lt;&gt;""),C2524,"")</f>
        <v/>
      </c>
      <c r="X2524" s="387" t="n"/>
      <c r="Y2524" s="387" t="n"/>
    </row>
    <row r="2525" hidden="1" ht="16.05" customFormat="1" customHeight="1" s="126">
      <c r="A2525" s="125" t="n">
        <v>3146</v>
      </c>
      <c r="B2525" s="125" t="n"/>
      <c r="C2525" s="130" t="inlineStr">
        <is>
          <t>Новосибирск</t>
        </is>
      </c>
      <c r="D2525" s="130" t="inlineStr">
        <is>
          <t xml:space="preserve">Новосибирск </t>
        </is>
      </c>
      <c r="E2525" s="130" t="n"/>
      <c r="F2525" s="130" t="inlineStr">
        <is>
          <t>АЗС</t>
        </is>
      </c>
      <c r="G2525" s="130" t="inlineStr">
        <is>
          <t>Газпромнефть</t>
        </is>
      </c>
      <c r="H2525" s="131" t="n"/>
      <c r="I2525" s="637" t="n">
        <v>30154</v>
      </c>
      <c r="J2525" s="637" t="inlineStr">
        <is>
          <t>GPN_30154</t>
        </is>
      </c>
      <c r="K2525" s="640" t="n">
        <v>3</v>
      </c>
      <c r="L2525" s="640" t="n">
        <v>1</v>
      </c>
      <c r="M2525" s="623" t="n">
        <v>4</v>
      </c>
      <c r="N2525" s="640" t="n"/>
      <c r="O2525" s="640">
        <f>IF(AND(N2525=1,L2525=1),K2525,"")</f>
        <v/>
      </c>
      <c r="P2525" s="642" t="inlineStr">
        <is>
          <t>г. Новосибирск, ул. Большевитская, 131/1.</t>
        </is>
      </c>
      <c r="Q2525" s="640" t="inlineStr">
        <is>
          <t>55.001478</t>
        </is>
      </c>
      <c r="R2525" s="494" t="inlineStr">
        <is>
          <t>82.958312</t>
        </is>
      </c>
      <c r="S2525" s="387" t="n"/>
      <c r="T2525" s="387" t="n"/>
      <c r="U2525" s="436" t="n"/>
      <c r="V2525" s="387" t="n"/>
      <c r="W2525" s="387">
        <f>IF(AND(N2525=1,O2525&lt;&gt;""),C2525,"")</f>
        <v/>
      </c>
      <c r="X2525" s="387" t="n"/>
      <c r="Y2525" s="387" t="n"/>
    </row>
    <row r="2526" hidden="1" ht="16.05" customFormat="1" customHeight="1" s="126">
      <c r="A2526" s="125" t="n">
        <v>3147</v>
      </c>
      <c r="B2526" s="125" t="n"/>
      <c r="C2526" s="130" t="inlineStr">
        <is>
          <t>Новосибирск</t>
        </is>
      </c>
      <c r="D2526" s="130" t="inlineStr">
        <is>
          <t xml:space="preserve">Новосибирск </t>
        </is>
      </c>
      <c r="E2526" s="130" t="n"/>
      <c r="F2526" s="130" t="inlineStr">
        <is>
          <t>АЗС</t>
        </is>
      </c>
      <c r="G2526" s="130" t="inlineStr">
        <is>
          <t>Газпромнефть</t>
        </is>
      </c>
      <c r="H2526" s="131" t="n"/>
      <c r="I2526" s="637" t="n">
        <v>30157</v>
      </c>
      <c r="J2526" s="637" t="inlineStr">
        <is>
          <t>GPN_30157</t>
        </is>
      </c>
      <c r="K2526" s="640" t="n">
        <v>3</v>
      </c>
      <c r="L2526" s="640" t="n">
        <v>1</v>
      </c>
      <c r="M2526" s="623" t="n">
        <v>4</v>
      </c>
      <c r="N2526" s="640" t="n"/>
      <c r="O2526" s="640">
        <f>IF(AND(N2526=1,L2526=1),K2526,"")</f>
        <v/>
      </c>
      <c r="P2526" s="642" t="inlineStr">
        <is>
          <t>г. Новосибирск, ул. Петухова, 12А.</t>
        </is>
      </c>
      <c r="Q2526" s="640" t="inlineStr">
        <is>
          <t>54.942134</t>
        </is>
      </c>
      <c r="R2526" s="494" t="inlineStr">
        <is>
          <t>82.889159</t>
        </is>
      </c>
      <c r="S2526" s="387" t="n"/>
      <c r="T2526" s="387" t="n"/>
      <c r="U2526" s="436" t="n"/>
      <c r="V2526" s="387" t="n"/>
      <c r="W2526" s="387">
        <f>IF(AND(N2526=1,O2526&lt;&gt;""),C2526,"")</f>
        <v/>
      </c>
      <c r="X2526" s="387" t="n"/>
      <c r="Y2526" s="387" t="n"/>
    </row>
    <row r="2527" hidden="1" ht="16.05" customFormat="1" customHeight="1" s="126">
      <c r="A2527" s="125" t="n">
        <v>3148</v>
      </c>
      <c r="B2527" s="125" t="n"/>
      <c r="C2527" s="130" t="inlineStr">
        <is>
          <t>Новосибирск</t>
        </is>
      </c>
      <c r="D2527" s="130" t="inlineStr">
        <is>
          <t xml:space="preserve">Новосибирск </t>
        </is>
      </c>
      <c r="E2527" s="130" t="n"/>
      <c r="F2527" s="130" t="inlineStr">
        <is>
          <t>АЗС</t>
        </is>
      </c>
      <c r="G2527" s="130" t="inlineStr">
        <is>
          <t>Газпромнефть</t>
        </is>
      </c>
      <c r="H2527" s="131" t="n"/>
      <c r="I2527" s="637" t="n">
        <v>30158</v>
      </c>
      <c r="J2527" s="637" t="inlineStr">
        <is>
          <t>GPN_30158</t>
        </is>
      </c>
      <c r="K2527" s="640" t="n">
        <v>2</v>
      </c>
      <c r="L2527" s="640" t="n">
        <v>1</v>
      </c>
      <c r="M2527" s="623" t="n">
        <v>2</v>
      </c>
      <c r="N2527" s="640" t="n"/>
      <c r="O2527" s="640">
        <f>IF(AND(N2527=1,L2527=1),K2527,"")</f>
        <v/>
      </c>
      <c r="P2527" s="642" t="inlineStr">
        <is>
          <t>г. Новосибирск, ул. Мочищенское шоссе, 25.</t>
        </is>
      </c>
      <c r="Q2527" s="640" t="inlineStr">
        <is>
          <t>55.08339</t>
        </is>
      </c>
      <c r="R2527" s="494" t="inlineStr">
        <is>
          <t>82.895223</t>
        </is>
      </c>
      <c r="S2527" s="387" t="n"/>
      <c r="T2527" s="387" t="n"/>
      <c r="U2527" s="436" t="n"/>
      <c r="V2527" s="387" t="n"/>
      <c r="W2527" s="387">
        <f>IF(AND(N2527=1,O2527&lt;&gt;""),C2527,"")</f>
        <v/>
      </c>
      <c r="X2527" s="387" t="n"/>
      <c r="Y2527" s="387" t="n"/>
    </row>
    <row r="2528" hidden="1" ht="16.05" customFormat="1" customHeight="1" s="126">
      <c r="A2528" s="125" t="n">
        <v>3149</v>
      </c>
      <c r="B2528" s="125" t="n"/>
      <c r="C2528" s="130" t="inlineStr">
        <is>
          <t>Новосибирск</t>
        </is>
      </c>
      <c r="D2528" s="130" t="inlineStr">
        <is>
          <t xml:space="preserve">Новосибирск </t>
        </is>
      </c>
      <c r="E2528" s="130" t="n"/>
      <c r="F2528" s="130" t="inlineStr">
        <is>
          <t>АЗС</t>
        </is>
      </c>
      <c r="G2528" s="130" t="inlineStr">
        <is>
          <t>Газпромнефть</t>
        </is>
      </c>
      <c r="H2528" s="131" t="n"/>
      <c r="I2528" s="637" t="n">
        <v>30160</v>
      </c>
      <c r="J2528" s="637" t="inlineStr">
        <is>
          <t>GPN_30160</t>
        </is>
      </c>
      <c r="K2528" s="640" t="n">
        <v>3</v>
      </c>
      <c r="L2528" s="640" t="n">
        <v>1</v>
      </c>
      <c r="M2528" s="623" t="n">
        <v>4</v>
      </c>
      <c r="N2528" s="640" t="n"/>
      <c r="O2528" s="640">
        <f>IF(AND(N2528=1,L2528=1),K2528,"")</f>
        <v/>
      </c>
      <c r="P2528" s="642" t="inlineStr">
        <is>
          <t>г. Новосибирск, ул. Проезд Энергетиков, 4.</t>
        </is>
      </c>
      <c r="Q2528" s="640" t="inlineStr">
        <is>
          <t>55.003384</t>
        </is>
      </c>
      <c r="R2528" s="494" t="inlineStr">
        <is>
          <t>82.869576</t>
        </is>
      </c>
      <c r="S2528" s="387" t="n"/>
      <c r="T2528" s="387" t="n"/>
      <c r="U2528" s="436" t="n"/>
      <c r="V2528" s="387" t="n"/>
      <c r="W2528" s="387">
        <f>IF(AND(N2528=1,O2528&lt;&gt;""),C2528,"")</f>
        <v/>
      </c>
      <c r="X2528" s="387" t="n"/>
      <c r="Y2528" s="387" t="n"/>
    </row>
    <row r="2529" hidden="1" ht="16.05" customFormat="1" customHeight="1" s="126">
      <c r="A2529" s="125" t="n">
        <v>3150</v>
      </c>
      <c r="B2529" s="125" t="n"/>
      <c r="C2529" s="130" t="inlineStr">
        <is>
          <t>Новосибирск</t>
        </is>
      </c>
      <c r="D2529" s="130" t="inlineStr">
        <is>
          <t xml:space="preserve">Новосибирск </t>
        </is>
      </c>
      <c r="E2529" s="130" t="n"/>
      <c r="F2529" s="130" t="inlineStr">
        <is>
          <t>АЗС</t>
        </is>
      </c>
      <c r="G2529" s="130" t="inlineStr">
        <is>
          <t>Газпромнефть</t>
        </is>
      </c>
      <c r="H2529" s="131" t="n"/>
      <c r="I2529" s="637" t="n">
        <v>30161</v>
      </c>
      <c r="J2529" s="637" t="inlineStr">
        <is>
          <t>GPN_30161</t>
        </is>
      </c>
      <c r="K2529" s="640" t="n">
        <v>3</v>
      </c>
      <c r="L2529" s="640" t="n">
        <v>1</v>
      </c>
      <c r="M2529" s="623" t="n">
        <v>4</v>
      </c>
      <c r="N2529" s="640" t="n"/>
      <c r="O2529" s="640">
        <f>IF(AND(N2529=1,L2529=1),K2529,"")</f>
        <v/>
      </c>
      <c r="P2529" s="642" t="inlineStr">
        <is>
          <t>г. Новосибирск, ул. Доватора, 11/1.</t>
        </is>
      </c>
      <c r="Q2529" s="640" t="inlineStr">
        <is>
          <t>55.046048</t>
        </is>
      </c>
      <c r="R2529" s="494" t="inlineStr">
        <is>
          <t>82.996023</t>
        </is>
      </c>
      <c r="S2529" s="387" t="n"/>
      <c r="T2529" s="387" t="n"/>
      <c r="U2529" s="436" t="n"/>
      <c r="V2529" s="387" t="n"/>
      <c r="W2529" s="387">
        <f>IF(AND(N2529=1,O2529&lt;&gt;""),C2529,"")</f>
        <v/>
      </c>
      <c r="X2529" s="387" t="n"/>
      <c r="Y2529" s="387" t="n"/>
    </row>
    <row r="2530" hidden="1" ht="16.05" customFormat="1" customHeight="1" s="126">
      <c r="A2530" s="125" t="n">
        <v>3151</v>
      </c>
      <c r="B2530" s="125" t="n"/>
      <c r="C2530" s="130" t="inlineStr">
        <is>
          <t>Новосибирск</t>
        </is>
      </c>
      <c r="D2530" s="130" t="inlineStr">
        <is>
          <t xml:space="preserve">Новосибирск </t>
        </is>
      </c>
      <c r="E2530" s="130" t="n"/>
      <c r="F2530" s="130" t="inlineStr">
        <is>
          <t>АЗС</t>
        </is>
      </c>
      <c r="G2530" s="130" t="inlineStr">
        <is>
          <t>Газпромнефть</t>
        </is>
      </c>
      <c r="H2530" s="131" t="n"/>
      <c r="I2530" s="637" t="n">
        <v>30162</v>
      </c>
      <c r="J2530" s="637" t="inlineStr">
        <is>
          <t>GPN_30162</t>
        </is>
      </c>
      <c r="K2530" s="640" t="n">
        <v>3</v>
      </c>
      <c r="L2530" s="640" t="n">
        <v>1</v>
      </c>
      <c r="M2530" s="623" t="n">
        <v>6</v>
      </c>
      <c r="N2530" s="640" t="n"/>
      <c r="O2530" s="640">
        <f>IF(AND(N2530=1,L2530=1),K2530,"")</f>
        <v/>
      </c>
      <c r="P2530" s="642" t="inlineStr">
        <is>
          <t>г. Новосибирск, ул. Троллейная, 152/2</t>
        </is>
      </c>
      <c r="Q2530" s="640" t="inlineStr">
        <is>
          <t>54.960989</t>
        </is>
      </c>
      <c r="R2530" s="494" t="inlineStr">
        <is>
          <t>82.844854</t>
        </is>
      </c>
      <c r="S2530" s="387" t="n"/>
      <c r="T2530" s="387" t="n"/>
      <c r="U2530" s="436" t="n"/>
      <c r="V2530" s="387" t="n"/>
      <c r="W2530" s="387">
        <f>IF(AND(N2530=1,O2530&lt;&gt;""),C2530,"")</f>
        <v/>
      </c>
      <c r="X2530" s="387" t="n"/>
      <c r="Y2530" s="387" t="n"/>
    </row>
    <row r="2531" hidden="1" ht="16.05" customFormat="1" customHeight="1" s="126">
      <c r="A2531" s="125" t="n">
        <v>3152</v>
      </c>
      <c r="B2531" s="125" t="n"/>
      <c r="C2531" s="130" t="inlineStr">
        <is>
          <t>Новосибирск</t>
        </is>
      </c>
      <c r="D2531" s="130" t="inlineStr">
        <is>
          <t xml:space="preserve">Новосибирск </t>
        </is>
      </c>
      <c r="E2531" s="130" t="n"/>
      <c r="F2531" s="130" t="inlineStr">
        <is>
          <t>АЗС</t>
        </is>
      </c>
      <c r="G2531" s="130" t="inlineStr">
        <is>
          <t>Газпромнефть</t>
        </is>
      </c>
      <c r="H2531" s="131" t="n"/>
      <c r="I2531" s="637" t="n">
        <v>30163</v>
      </c>
      <c r="J2531" s="637" t="inlineStr">
        <is>
          <t>GPN_30163</t>
        </is>
      </c>
      <c r="K2531" s="640" t="n">
        <v>2</v>
      </c>
      <c r="L2531" s="640" t="n">
        <v>1</v>
      </c>
      <c r="M2531" s="623" t="n">
        <v>2</v>
      </c>
      <c r="N2531" s="640" t="n"/>
      <c r="O2531" s="640">
        <f>IF(AND(N2531=1,L2531=1),K2531,"")</f>
        <v/>
      </c>
      <c r="P2531" s="642" t="inlineStr">
        <is>
          <t>г. Новосибирск, ул. Сухарная, 1А.</t>
        </is>
      </c>
      <c r="Q2531" s="640" t="inlineStr">
        <is>
          <t>55.046723</t>
        </is>
      </c>
      <c r="R2531" s="494" t="inlineStr">
        <is>
          <t>82.880068</t>
        </is>
      </c>
      <c r="S2531" s="387" t="n"/>
      <c r="T2531" s="387" t="n"/>
      <c r="U2531" s="436" t="n"/>
      <c r="V2531" s="387" t="n"/>
      <c r="W2531" s="387">
        <f>IF(AND(N2531=1,O2531&lt;&gt;""),C2531,"")</f>
        <v/>
      </c>
      <c r="X2531" s="387" t="n"/>
      <c r="Y2531" s="387" t="n"/>
    </row>
    <row r="2532" hidden="1" ht="16.05" customFormat="1" customHeight="1" s="126">
      <c r="A2532" s="125" t="n">
        <v>3153</v>
      </c>
      <c r="B2532" s="125" t="n"/>
      <c r="C2532" s="130" t="inlineStr">
        <is>
          <t>Новосибирск</t>
        </is>
      </c>
      <c r="D2532" s="130" t="inlineStr">
        <is>
          <t xml:space="preserve">Новосибирск </t>
        </is>
      </c>
      <c r="E2532" s="130" t="n"/>
      <c r="F2532" s="130" t="inlineStr">
        <is>
          <t>АЗС</t>
        </is>
      </c>
      <c r="G2532" s="130" t="inlineStr">
        <is>
          <t>Газпромнефть</t>
        </is>
      </c>
      <c r="H2532" s="131" t="n"/>
      <c r="I2532" s="637" t="n">
        <v>30166</v>
      </c>
      <c r="J2532" s="637" t="inlineStr">
        <is>
          <t>GPN_30166</t>
        </is>
      </c>
      <c r="K2532" s="640" t="n">
        <v>3</v>
      </c>
      <c r="L2532" s="640" t="n">
        <v>1</v>
      </c>
      <c r="M2532" s="623" t="n">
        <v>4</v>
      </c>
      <c r="N2532" s="640" t="n"/>
      <c r="O2532" s="640">
        <f>IF(AND(N2532=1,L2532=1),K2532,"")</f>
        <v/>
      </c>
      <c r="P2532" s="642" t="inlineStr">
        <is>
          <t>г.Новосибирск ул.Н. Шипилова 2</t>
        </is>
      </c>
      <c r="Q2532" s="640" t="inlineStr">
        <is>
          <t>55.117911</t>
        </is>
      </c>
      <c r="R2532" s="494" t="inlineStr">
        <is>
          <t>82.914986</t>
        </is>
      </c>
      <c r="S2532" s="387" t="n"/>
      <c r="T2532" s="387" t="n"/>
      <c r="U2532" s="436" t="n"/>
      <c r="V2532" s="387" t="n"/>
      <c r="W2532" s="387">
        <f>IF(AND(N2532=1,O2532&lt;&gt;""),C2532,"")</f>
        <v/>
      </c>
      <c r="X2532" s="387" t="n"/>
      <c r="Y2532" s="387" t="n"/>
    </row>
    <row r="2533" hidden="1" ht="16.05" customFormat="1" customHeight="1" s="126">
      <c r="A2533" s="125" t="n">
        <v>3154</v>
      </c>
      <c r="B2533" s="125" t="n"/>
      <c r="C2533" s="130" t="inlineStr">
        <is>
          <t>Новосибирск</t>
        </is>
      </c>
      <c r="D2533" s="130" t="inlineStr">
        <is>
          <t>Новосибирская область</t>
        </is>
      </c>
      <c r="E2533" s="130" t="n"/>
      <c r="F2533" s="130" t="inlineStr">
        <is>
          <t>АЗС</t>
        </is>
      </c>
      <c r="G2533" s="130" t="inlineStr">
        <is>
          <t>Газпромнефть</t>
        </is>
      </c>
      <c r="H2533" s="131" t="n"/>
      <c r="I2533" s="637" t="n">
        <v>30167</v>
      </c>
      <c r="J2533" s="637" t="inlineStr">
        <is>
          <t>GPN_30167</t>
        </is>
      </c>
      <c r="K2533" s="640" t="n">
        <v>3</v>
      </c>
      <c r="L2533" s="640" t="n">
        <v>1</v>
      </c>
      <c r="M2533" s="623" t="n">
        <v>6</v>
      </c>
      <c r="N2533" s="640" t="n"/>
      <c r="O2533" s="640">
        <f>IF(AND(N2533=1,L2533=1),K2533,"")</f>
        <v/>
      </c>
      <c r="P2533" s="642" t="inlineStr">
        <is>
          <t>НСО, Трасса М-52, 44 км</t>
        </is>
      </c>
      <c r="Q2533" s="640" t="inlineStr">
        <is>
          <t>54.709275</t>
        </is>
      </c>
      <c r="R2533" s="494" t="inlineStr">
        <is>
          <t>83.185872</t>
        </is>
      </c>
      <c r="S2533" s="387" t="n"/>
      <c r="T2533" s="387" t="n"/>
      <c r="U2533" s="436" t="n"/>
      <c r="V2533" s="387" t="n"/>
      <c r="W2533" s="387">
        <f>IF(AND(N2533=1,O2533&lt;&gt;""),C2533,"")</f>
        <v/>
      </c>
      <c r="X2533" s="387" t="n"/>
      <c r="Y2533" s="387" t="n"/>
    </row>
    <row r="2534" hidden="1" ht="16.05" customFormat="1" customHeight="1" s="126">
      <c r="A2534" s="125" t="n">
        <v>3155</v>
      </c>
      <c r="B2534" s="125" t="n"/>
      <c r="C2534" s="130" t="inlineStr">
        <is>
          <t>Новосибирск</t>
        </is>
      </c>
      <c r="D2534" s="130" t="inlineStr">
        <is>
          <t xml:space="preserve">Новосибирск </t>
        </is>
      </c>
      <c r="E2534" s="130" t="n"/>
      <c r="F2534" s="130" t="inlineStr">
        <is>
          <t>АЗС</t>
        </is>
      </c>
      <c r="G2534" s="130" t="inlineStr">
        <is>
          <t>Газпромнефть</t>
        </is>
      </c>
      <c r="H2534" s="131" t="n"/>
      <c r="I2534" s="637" t="n">
        <v>30169</v>
      </c>
      <c r="J2534" s="637" t="inlineStr">
        <is>
          <t>GPN_30169</t>
        </is>
      </c>
      <c r="K2534" s="640" t="n">
        <v>3</v>
      </c>
      <c r="L2534" s="640" t="n">
        <v>1</v>
      </c>
      <c r="M2534" s="623" t="n">
        <v>6</v>
      </c>
      <c r="N2534" s="640" t="n"/>
      <c r="O2534" s="640">
        <f>IF(AND(N2534=1,L2534=1),K2534,"")</f>
        <v/>
      </c>
      <c r="P2534" s="642" t="inlineStr">
        <is>
          <t>г. Новосибирск, ул. Станционная, 98</t>
        </is>
      </c>
      <c r="Q2534" s="640" t="inlineStr">
        <is>
          <t>54.996438</t>
        </is>
      </c>
      <c r="R2534" s="494" t="inlineStr">
        <is>
          <t>82.784523</t>
        </is>
      </c>
      <c r="S2534" s="387" t="n"/>
      <c r="T2534" s="387" t="n"/>
      <c r="U2534" s="436" t="n"/>
      <c r="V2534" s="387" t="n"/>
      <c r="W2534" s="387">
        <f>IF(AND(N2534=1,O2534&lt;&gt;""),C2534,"")</f>
        <v/>
      </c>
      <c r="X2534" s="387" t="n"/>
      <c r="Y2534" s="387" t="n"/>
    </row>
    <row r="2535" hidden="1" ht="16.05" customFormat="1" customHeight="1" s="126">
      <c r="A2535" s="125" t="n">
        <v>3156</v>
      </c>
      <c r="B2535" s="125" t="n"/>
      <c r="C2535" s="130" t="inlineStr">
        <is>
          <t>Новосибирск</t>
        </is>
      </c>
      <c r="D2535" s="130" t="inlineStr">
        <is>
          <t xml:space="preserve">Новосибирск </t>
        </is>
      </c>
      <c r="E2535" s="130" t="n"/>
      <c r="F2535" s="130" t="inlineStr">
        <is>
          <t>АЗС</t>
        </is>
      </c>
      <c r="G2535" s="130" t="inlineStr">
        <is>
          <t>Газпромнефть</t>
        </is>
      </c>
      <c r="H2535" s="131" t="n"/>
      <c r="I2535" s="637" t="n">
        <v>30171</v>
      </c>
      <c r="J2535" s="637" t="inlineStr">
        <is>
          <t>GPN_30171</t>
        </is>
      </c>
      <c r="K2535" s="640" t="n">
        <v>3</v>
      </c>
      <c r="L2535" s="640" t="n">
        <v>1</v>
      </c>
      <c r="M2535" s="623" t="n">
        <v>6</v>
      </c>
      <c r="N2535" s="640" t="n"/>
      <c r="O2535" s="640">
        <f>IF(AND(N2535=1,L2535=1),K2535,"")</f>
        <v/>
      </c>
      <c r="P2535" s="642" t="inlineStr">
        <is>
          <t>г. Новосибирск, Железнодорожный район, ул. Фабричная,18/2</t>
        </is>
      </c>
      <c r="Q2535" s="640" t="inlineStr">
        <is>
          <t>55.026907</t>
        </is>
      </c>
      <c r="R2535" s="494" t="inlineStr">
        <is>
          <t>82.899131</t>
        </is>
      </c>
      <c r="S2535" s="387" t="n"/>
      <c r="T2535" s="387" t="n"/>
      <c r="U2535" s="436" t="n"/>
      <c r="V2535" s="387" t="n"/>
      <c r="W2535" s="387">
        <f>IF(AND(N2535=1,O2535&lt;&gt;""),C2535,"")</f>
        <v/>
      </c>
      <c r="X2535" s="387" t="n"/>
      <c r="Y2535" s="387" t="n"/>
    </row>
    <row r="2536" hidden="1" ht="16.05" customFormat="1" customHeight="1" s="126">
      <c r="A2536" s="125" t="n">
        <v>3157</v>
      </c>
      <c r="B2536" s="125" t="n"/>
      <c r="C2536" s="130" t="inlineStr">
        <is>
          <t>Омск</t>
        </is>
      </c>
      <c r="D2536" s="130" t="inlineStr">
        <is>
          <t>Омск</t>
        </is>
      </c>
      <c r="E2536" s="130" t="n"/>
      <c r="F2536" s="130" t="inlineStr">
        <is>
          <t>АЗС</t>
        </is>
      </c>
      <c r="G2536" s="130" t="inlineStr">
        <is>
          <t>Газпромнефть</t>
        </is>
      </c>
      <c r="H2536" s="131" t="n"/>
      <c r="I2536" s="637" t="n">
        <v>31002</v>
      </c>
      <c r="J2536" s="637" t="inlineStr">
        <is>
          <t>GPN_31002</t>
        </is>
      </c>
      <c r="K2536" s="640" t="n">
        <v>3</v>
      </c>
      <c r="L2536" s="640" t="n">
        <v>1</v>
      </c>
      <c r="M2536" s="623" t="n">
        <v>3</v>
      </c>
      <c r="N2536" s="640" t="n"/>
      <c r="O2536" s="640">
        <f>IF(AND(N2536=1,L2536=1),K2536,"")</f>
        <v/>
      </c>
      <c r="P2536" s="642" t="inlineStr">
        <is>
          <t>г. Омск, ул. 10 лет Октября, 180, корп. 5</t>
        </is>
      </c>
      <c r="Q2536" s="640" t="inlineStr">
        <is>
          <t>54.98852</t>
        </is>
      </c>
      <c r="R2536" s="494" t="inlineStr">
        <is>
          <t>73.448297</t>
        </is>
      </c>
      <c r="S2536" s="387" t="n"/>
      <c r="T2536" s="387" t="n"/>
      <c r="U2536" s="436" t="n"/>
      <c r="V2536" s="387" t="n"/>
      <c r="W2536" s="387">
        <f>IF(AND(N2536=1,O2536&lt;&gt;""),C2536,"")</f>
        <v/>
      </c>
      <c r="X2536" s="387" t="n"/>
      <c r="Y2536" s="387" t="n"/>
    </row>
    <row r="2537" hidden="1" ht="16.05" customFormat="1" customHeight="1" s="126">
      <c r="A2537" s="125" t="n">
        <v>3158</v>
      </c>
      <c r="B2537" s="125" t="n"/>
      <c r="C2537" s="130" t="inlineStr">
        <is>
          <t>Омск</t>
        </is>
      </c>
      <c r="D2537" s="130" t="inlineStr">
        <is>
          <t>Омск</t>
        </is>
      </c>
      <c r="E2537" s="130" t="n"/>
      <c r="F2537" s="130" t="inlineStr">
        <is>
          <t>АЗС</t>
        </is>
      </c>
      <c r="G2537" s="130" t="inlineStr">
        <is>
          <t>Газпромнефть</t>
        </is>
      </c>
      <c r="H2537" s="131" t="n"/>
      <c r="I2537" s="637" t="n">
        <v>31003</v>
      </c>
      <c r="J2537" s="637" t="inlineStr">
        <is>
          <t>GPN_31003</t>
        </is>
      </c>
      <c r="K2537" s="640" t="n">
        <v>1</v>
      </c>
      <c r="L2537" s="640" t="n">
        <v>1</v>
      </c>
      <c r="M2537" s="623" t="n">
        <v>1</v>
      </c>
      <c r="N2537" s="640" t="n"/>
      <c r="O2537" s="640">
        <f>IF(AND(N2537=1,L2537=1),K2537,"")</f>
        <v/>
      </c>
      <c r="P2537" s="642" t="inlineStr">
        <is>
          <t>г.Омск, ул.Бульварная, д. 4, корп.2</t>
        </is>
      </c>
      <c r="Q2537" s="640" t="inlineStr">
        <is>
          <t>54.964664</t>
        </is>
      </c>
      <c r="R2537" s="494" t="inlineStr">
        <is>
          <t>73.398315</t>
        </is>
      </c>
      <c r="S2537" s="387" t="n"/>
      <c r="T2537" s="387" t="n"/>
      <c r="U2537" s="436" t="n"/>
      <c r="V2537" s="387" t="n"/>
      <c r="W2537" s="387">
        <f>IF(AND(N2537=1,O2537&lt;&gt;""),C2537,"")</f>
        <v/>
      </c>
      <c r="X2537" s="387" t="n"/>
      <c r="Y2537" s="387" t="n"/>
    </row>
    <row r="2538" hidden="1" ht="16.05" customFormat="1" customHeight="1" s="126">
      <c r="A2538" s="125" t="n">
        <v>3159</v>
      </c>
      <c r="B2538" s="125" t="n"/>
      <c r="C2538" s="130" t="inlineStr">
        <is>
          <t>Омск</t>
        </is>
      </c>
      <c r="D2538" s="130" t="inlineStr">
        <is>
          <t>Омск</t>
        </is>
      </c>
      <c r="E2538" s="130" t="n"/>
      <c r="F2538" s="130" t="inlineStr">
        <is>
          <t>АЗС</t>
        </is>
      </c>
      <c r="G2538" s="130" t="inlineStr">
        <is>
          <t>Газпромнефть</t>
        </is>
      </c>
      <c r="H2538" s="131" t="n"/>
      <c r="I2538" s="637" t="n">
        <v>31004</v>
      </c>
      <c r="J2538" s="637" t="inlineStr">
        <is>
          <t>GPN_31004</t>
        </is>
      </c>
      <c r="K2538" s="640" t="n">
        <v>3</v>
      </c>
      <c r="L2538" s="640" t="n">
        <v>1</v>
      </c>
      <c r="M2538" s="623" t="n">
        <v>4</v>
      </c>
      <c r="N2538" s="640" t="n"/>
      <c r="O2538" s="640">
        <f>IF(AND(N2538=1,L2538=1),K2538,"")</f>
        <v/>
      </c>
      <c r="P2538" s="642" t="inlineStr">
        <is>
          <t>г. Омск, тракт Сыропятский (г. Омск,, ул. 10 лет Октября, 223)</t>
        </is>
      </c>
      <c r="Q2538" s="640" t="inlineStr">
        <is>
          <t>54.994515</t>
        </is>
      </c>
      <c r="R2538" s="494" t="inlineStr">
        <is>
          <t>73.48668</t>
        </is>
      </c>
      <c r="S2538" s="387" t="n"/>
      <c r="T2538" s="387" t="n"/>
      <c r="U2538" s="436" t="n"/>
      <c r="V2538" s="387" t="n"/>
      <c r="W2538" s="387">
        <f>IF(AND(N2538=1,O2538&lt;&gt;""),C2538,"")</f>
        <v/>
      </c>
      <c r="X2538" s="387" t="n"/>
      <c r="Y2538" s="387" t="n"/>
    </row>
    <row r="2539" hidden="1" ht="16.05" customFormat="1" customHeight="1" s="126">
      <c r="A2539" s="125" t="n">
        <v>3160</v>
      </c>
      <c r="B2539" s="125" t="n"/>
      <c r="C2539" s="130" t="inlineStr">
        <is>
          <t>Омск</t>
        </is>
      </c>
      <c r="D2539" s="130" t="inlineStr">
        <is>
          <t>Омск</t>
        </is>
      </c>
      <c r="E2539" s="130" t="n"/>
      <c r="F2539" s="130" t="inlineStr">
        <is>
          <t>АЗС</t>
        </is>
      </c>
      <c r="G2539" s="130" t="inlineStr">
        <is>
          <t>Газпромнефть</t>
        </is>
      </c>
      <c r="H2539" s="131" t="n"/>
      <c r="I2539" s="637" t="n">
        <v>31005</v>
      </c>
      <c r="J2539" s="637" t="inlineStr">
        <is>
          <t>GPN_31005</t>
        </is>
      </c>
      <c r="K2539" s="640" t="n">
        <v>3</v>
      </c>
      <c r="L2539" s="640" t="n">
        <v>1</v>
      </c>
      <c r="M2539" s="623" t="n">
        <v>6</v>
      </c>
      <c r="N2539" s="640" t="n"/>
      <c r="O2539" s="640">
        <f>IF(AND(N2539=1,L2539=1),K2539,"")</f>
        <v/>
      </c>
      <c r="P2539" s="642" t="inlineStr">
        <is>
          <t>г. Омск, ул. Суворова, 109</t>
        </is>
      </c>
      <c r="Q2539" s="640" t="inlineStr">
        <is>
          <t>54.964391</t>
        </is>
      </c>
      <c r="R2539" s="494" t="inlineStr">
        <is>
          <t>73.347048</t>
        </is>
      </c>
      <c r="S2539" s="387" t="n"/>
      <c r="T2539" s="387" t="n"/>
      <c r="U2539" s="436" t="n"/>
      <c r="V2539" s="387" t="n"/>
      <c r="W2539" s="387">
        <f>IF(AND(N2539=1,O2539&lt;&gt;""),C2539,"")</f>
        <v/>
      </c>
      <c r="X2539" s="387" t="n"/>
      <c r="Y2539" s="387" t="n"/>
    </row>
    <row r="2540" hidden="1" ht="16.05" customFormat="1" customHeight="1" s="126">
      <c r="A2540" s="125" t="n">
        <v>3161</v>
      </c>
      <c r="B2540" s="125" t="n"/>
      <c r="C2540" s="130" t="inlineStr">
        <is>
          <t>Омск</t>
        </is>
      </c>
      <c r="D2540" s="130" t="inlineStr">
        <is>
          <t>Омск</t>
        </is>
      </c>
      <c r="E2540" s="130" t="n"/>
      <c r="F2540" s="130" t="inlineStr">
        <is>
          <t>АЗС</t>
        </is>
      </c>
      <c r="G2540" s="130" t="inlineStr">
        <is>
          <t>Газпромнефть</t>
        </is>
      </c>
      <c r="H2540" s="131" t="n"/>
      <c r="I2540" s="637" t="n">
        <v>31006</v>
      </c>
      <c r="J2540" s="637" t="inlineStr">
        <is>
          <t>GPN_31006</t>
        </is>
      </c>
      <c r="K2540" s="640" t="n">
        <v>3</v>
      </c>
      <c r="L2540" s="640" t="n">
        <v>1</v>
      </c>
      <c r="M2540" s="623" t="n">
        <v>3</v>
      </c>
      <c r="N2540" s="640" t="n"/>
      <c r="O2540" s="640">
        <f>IF(AND(N2540=1,L2540=1),K2540,"")</f>
        <v/>
      </c>
      <c r="P2540" s="642" t="inlineStr">
        <is>
          <t>г.Омск, ул. 3-я Молодежная, 14</t>
        </is>
      </c>
      <c r="Q2540" s="640" t="inlineStr">
        <is>
          <t>54.954626</t>
        </is>
      </c>
      <c r="R2540" s="494" t="inlineStr">
        <is>
          <t>73.455052</t>
        </is>
      </c>
      <c r="S2540" s="387" t="n"/>
      <c r="T2540" s="387" t="n"/>
      <c r="U2540" s="436" t="n"/>
      <c r="V2540" s="387" t="n"/>
      <c r="W2540" s="387">
        <f>IF(AND(N2540=1,O2540&lt;&gt;""),C2540,"")</f>
        <v/>
      </c>
      <c r="X2540" s="387" t="n"/>
      <c r="Y2540" s="387" t="n"/>
    </row>
    <row r="2541" hidden="1" ht="16.05" customFormat="1" customHeight="1" s="126">
      <c r="A2541" s="125" t="n">
        <v>3162</v>
      </c>
      <c r="B2541" s="125" t="n"/>
      <c r="C2541" s="130" t="inlineStr">
        <is>
          <t>Омск</t>
        </is>
      </c>
      <c r="D2541" s="130" t="inlineStr">
        <is>
          <t>Омск</t>
        </is>
      </c>
      <c r="E2541" s="130" t="n"/>
      <c r="F2541" s="130" t="inlineStr">
        <is>
          <t>АЗС</t>
        </is>
      </c>
      <c r="G2541" s="130" t="inlineStr">
        <is>
          <t>Газпромнефть</t>
        </is>
      </c>
      <c r="H2541" s="131" t="n"/>
      <c r="I2541" s="637" t="n">
        <v>31007</v>
      </c>
      <c r="J2541" s="637" t="inlineStr">
        <is>
          <t>GPN_31007</t>
        </is>
      </c>
      <c r="K2541" s="640" t="n">
        <v>3</v>
      </c>
      <c r="L2541" s="640" t="n">
        <v>1</v>
      </c>
      <c r="M2541" s="623" t="n">
        <v>4</v>
      </c>
      <c r="N2541" s="640" t="n"/>
      <c r="O2541" s="640">
        <f>IF(AND(N2541=1,L2541=1),K2541,"")</f>
        <v/>
      </c>
      <c r="P2541" s="642" t="inlineStr">
        <is>
          <t>г. Омск, Красноярский тракт, №22</t>
        </is>
      </c>
      <c r="Q2541" s="640" t="inlineStr">
        <is>
          <t>55.049792</t>
        </is>
      </c>
      <c r="R2541" s="494" t="inlineStr">
        <is>
          <t>73.32883</t>
        </is>
      </c>
      <c r="S2541" s="387" t="n"/>
      <c r="T2541" s="387" t="n"/>
      <c r="U2541" s="436" t="n"/>
      <c r="V2541" s="387" t="n"/>
      <c r="W2541" s="387">
        <f>IF(AND(N2541=1,O2541&lt;&gt;""),C2541,"")</f>
        <v/>
      </c>
      <c r="X2541" s="387" t="n"/>
      <c r="Y2541" s="387" t="n"/>
    </row>
    <row r="2542" hidden="1" ht="16.05" customFormat="1" customHeight="1" s="126">
      <c r="A2542" s="125" t="n">
        <v>3163</v>
      </c>
      <c r="B2542" s="125" t="n"/>
      <c r="C2542" s="130" t="inlineStr">
        <is>
          <t>Омск</t>
        </is>
      </c>
      <c r="D2542" s="130" t="inlineStr">
        <is>
          <t>Омск</t>
        </is>
      </c>
      <c r="E2542" s="130" t="n"/>
      <c r="F2542" s="130" t="inlineStr">
        <is>
          <t>АЗС</t>
        </is>
      </c>
      <c r="G2542" s="130" t="inlineStr">
        <is>
          <t>Газпромнефть</t>
        </is>
      </c>
      <c r="H2542" s="131" t="n"/>
      <c r="I2542" s="637" t="n">
        <v>31008</v>
      </c>
      <c r="J2542" s="637" t="inlineStr">
        <is>
          <t>GPN_31008</t>
        </is>
      </c>
      <c r="K2542" s="640" t="n">
        <v>3</v>
      </c>
      <c r="L2542" s="640" t="n">
        <v>1</v>
      </c>
      <c r="M2542" s="623" t="n">
        <v>4</v>
      </c>
      <c r="N2542" s="640" t="n"/>
      <c r="O2542" s="640">
        <f>IF(AND(N2542=1,L2542=1),K2542,"")</f>
        <v/>
      </c>
      <c r="P2542" s="642" t="inlineStr">
        <is>
          <t>г. Омск ул. Заводская,12</t>
        </is>
      </c>
      <c r="Q2542" s="640" t="inlineStr">
        <is>
          <t>55.049787</t>
        </is>
      </c>
      <c r="R2542" s="494" t="inlineStr">
        <is>
          <t>73.265741</t>
        </is>
      </c>
      <c r="S2542" s="387" t="n"/>
      <c r="T2542" s="387" t="n"/>
      <c r="U2542" s="436" t="n"/>
      <c r="V2542" s="387" t="n"/>
      <c r="W2542" s="387">
        <f>IF(AND(N2542=1,O2542&lt;&gt;""),C2542,"")</f>
        <v/>
      </c>
      <c r="X2542" s="387" t="n"/>
      <c r="Y2542" s="387" t="n"/>
    </row>
    <row r="2543" hidden="1" ht="16.05" customFormat="1" customHeight="1" s="126">
      <c r="A2543" s="125" t="n">
        <v>3164</v>
      </c>
      <c r="B2543" s="125" t="n"/>
      <c r="C2543" s="130" t="inlineStr">
        <is>
          <t>Омск</t>
        </is>
      </c>
      <c r="D2543" s="130" t="inlineStr">
        <is>
          <t>Омск</t>
        </is>
      </c>
      <c r="E2543" s="130" t="n"/>
      <c r="F2543" s="130" t="inlineStr">
        <is>
          <t>АЗС</t>
        </is>
      </c>
      <c r="G2543" s="130" t="inlineStr">
        <is>
          <t>Газпромнефть</t>
        </is>
      </c>
      <c r="H2543" s="131" t="n"/>
      <c r="I2543" s="637" t="n">
        <v>31009</v>
      </c>
      <c r="J2543" s="637" t="inlineStr">
        <is>
          <t>GPN_31009</t>
        </is>
      </c>
      <c r="K2543" s="640" t="n">
        <v>3</v>
      </c>
      <c r="L2543" s="640" t="n">
        <v>1</v>
      </c>
      <c r="M2543" s="623" t="n">
        <v>3</v>
      </c>
      <c r="N2543" s="640" t="n"/>
      <c r="O2543" s="640">
        <f>IF(AND(N2543=1,L2543=1),K2543,"")</f>
        <v/>
      </c>
      <c r="P2543" s="642" t="inlineStr">
        <is>
          <t>г.Омск, ул. Ватутина, д.20</t>
        </is>
      </c>
      <c r="Q2543" s="640" t="inlineStr">
        <is>
          <t>54.979841</t>
        </is>
      </c>
      <c r="R2543" s="494" t="inlineStr">
        <is>
          <t>73.29791</t>
        </is>
      </c>
      <c r="S2543" s="387" t="n"/>
      <c r="T2543" s="387" t="n"/>
      <c r="U2543" s="436" t="n"/>
      <c r="V2543" s="387" t="n"/>
      <c r="W2543" s="387">
        <f>IF(AND(N2543=1,O2543&lt;&gt;""),C2543,"")</f>
        <v/>
      </c>
      <c r="X2543" s="387" t="n"/>
      <c r="Y2543" s="387" t="n"/>
    </row>
    <row r="2544" hidden="1" ht="16.05" customFormat="1" customHeight="1" s="126">
      <c r="A2544" s="125" t="n">
        <v>3165</v>
      </c>
      <c r="B2544" s="125" t="n"/>
      <c r="C2544" s="130" t="inlineStr">
        <is>
          <t>Омск</t>
        </is>
      </c>
      <c r="D2544" s="130" t="inlineStr">
        <is>
          <t>Омск</t>
        </is>
      </c>
      <c r="E2544" s="130" t="n"/>
      <c r="F2544" s="130" t="inlineStr">
        <is>
          <t>АЗС</t>
        </is>
      </c>
      <c r="G2544" s="130" t="inlineStr">
        <is>
          <t>Газпромнефть</t>
        </is>
      </c>
      <c r="H2544" s="131" t="n"/>
      <c r="I2544" s="637" t="n">
        <v>31010</v>
      </c>
      <c r="J2544" s="637" t="inlineStr">
        <is>
          <t>GPN_31010</t>
        </is>
      </c>
      <c r="K2544" s="640" t="n">
        <v>3</v>
      </c>
      <c r="L2544" s="640" t="n">
        <v>1</v>
      </c>
      <c r="M2544" s="623" t="n">
        <v>4</v>
      </c>
      <c r="N2544" s="640" t="n"/>
      <c r="O2544" s="640">
        <f>IF(AND(N2544=1,L2544=1),K2544,"")</f>
        <v/>
      </c>
      <c r="P2544" s="642" t="inlineStr">
        <is>
          <t>г.Омск, ул. 4-я Челюскинцев, д.6в</t>
        </is>
      </c>
      <c r="Q2544" s="640" t="inlineStr">
        <is>
          <t>55.012114</t>
        </is>
      </c>
      <c r="R2544" s="494" t="inlineStr">
        <is>
          <t>73.420269</t>
        </is>
      </c>
      <c r="S2544" s="387" t="n"/>
      <c r="T2544" s="387" t="n"/>
      <c r="U2544" s="436" t="n"/>
      <c r="V2544" s="387" t="n"/>
      <c r="W2544" s="387">
        <f>IF(AND(N2544=1,O2544&lt;&gt;""),C2544,"")</f>
        <v/>
      </c>
      <c r="X2544" s="387" t="n"/>
      <c r="Y2544" s="387" t="n"/>
    </row>
    <row r="2545" hidden="1" ht="16.05" customFormat="1" customHeight="1" s="126">
      <c r="A2545" s="125" t="n">
        <v>3167</v>
      </c>
      <c r="B2545" s="125" t="n"/>
      <c r="C2545" s="130" t="inlineStr">
        <is>
          <t>Омск</t>
        </is>
      </c>
      <c r="D2545" s="130" t="inlineStr">
        <is>
          <t>Омск</t>
        </is>
      </c>
      <c r="E2545" s="130" t="n"/>
      <c r="F2545" s="130" t="inlineStr">
        <is>
          <t>АЗС</t>
        </is>
      </c>
      <c r="G2545" s="130" t="inlineStr">
        <is>
          <t>Газпромнефть</t>
        </is>
      </c>
      <c r="H2545" s="131" t="n"/>
      <c r="I2545" s="637" t="n">
        <v>31013</v>
      </c>
      <c r="J2545" s="637" t="inlineStr">
        <is>
          <t>GPN_31013</t>
        </is>
      </c>
      <c r="K2545" s="640" t="n">
        <v>3</v>
      </c>
      <c r="L2545" s="640" t="n">
        <v>1</v>
      </c>
      <c r="M2545" s="623" t="n">
        <v>3</v>
      </c>
      <c r="N2545" s="640" t="n"/>
      <c r="O2545" s="640">
        <f>IF(AND(N2545=1,L2545=1),K2545,"")</f>
        <v/>
      </c>
      <c r="P2545" s="642" t="inlineStr">
        <is>
          <t>г.Омск, пр. Мира, д.122</t>
        </is>
      </c>
      <c r="Q2545" s="640" t="inlineStr">
        <is>
          <t>55.037386</t>
        </is>
      </c>
      <c r="R2545" s="494" t="inlineStr">
        <is>
          <t>73.213037</t>
        </is>
      </c>
      <c r="S2545" s="387" t="n"/>
      <c r="T2545" s="387" t="n"/>
      <c r="U2545" s="436" t="n"/>
      <c r="V2545" s="387" t="n"/>
      <c r="W2545" s="387">
        <f>IF(AND(N2545=1,O2545&lt;&gt;""),C2545,"")</f>
        <v/>
      </c>
      <c r="X2545" s="387" t="n"/>
      <c r="Y2545" s="387" t="n"/>
    </row>
    <row r="2546" hidden="1" ht="16.05" customFormat="1" customHeight="1" s="126">
      <c r="A2546" s="125" t="n">
        <v>3168</v>
      </c>
      <c r="B2546" s="125" t="n"/>
      <c r="C2546" s="130" t="inlineStr">
        <is>
          <t>Омск</t>
        </is>
      </c>
      <c r="D2546" s="130" t="inlineStr">
        <is>
          <t>Омск</t>
        </is>
      </c>
      <c r="E2546" s="130" t="n"/>
      <c r="F2546" s="130" t="inlineStr">
        <is>
          <t>АЗС</t>
        </is>
      </c>
      <c r="G2546" s="130" t="inlineStr">
        <is>
          <t>Газпромнефть</t>
        </is>
      </c>
      <c r="H2546" s="131" t="n"/>
      <c r="I2546" s="637" t="n">
        <v>31014</v>
      </c>
      <c r="J2546" s="637" t="inlineStr">
        <is>
          <t>GPN_31014</t>
        </is>
      </c>
      <c r="K2546" s="640" t="n">
        <v>3</v>
      </c>
      <c r="L2546" s="640" t="n">
        <v>1</v>
      </c>
      <c r="M2546" s="623" t="n">
        <v>3</v>
      </c>
      <c r="N2546" s="640" t="n"/>
      <c r="O2546" s="640">
        <f>IF(AND(N2546=1,L2546=1),K2546,"")</f>
        <v/>
      </c>
      <c r="P2546" s="642" t="inlineStr">
        <is>
          <t>г.Омск ул.22 Декабря, д.90Б</t>
        </is>
      </c>
      <c r="Q2546" s="640" t="inlineStr">
        <is>
          <t>54.94912</t>
        </is>
      </c>
      <c r="R2546" s="494" t="inlineStr">
        <is>
          <t>73.284004</t>
        </is>
      </c>
      <c r="S2546" s="387" t="n"/>
      <c r="T2546" s="387" t="n"/>
      <c r="U2546" s="436" t="n"/>
      <c r="V2546" s="387" t="n"/>
      <c r="W2546" s="387">
        <f>IF(AND(N2546=1,O2546&lt;&gt;""),C2546,"")</f>
        <v/>
      </c>
      <c r="X2546" s="387" t="n"/>
      <c r="Y2546" s="387" t="n"/>
    </row>
    <row r="2547" hidden="1" ht="16.05" customFormat="1" customHeight="1" s="126">
      <c r="A2547" s="125" t="n">
        <v>3166</v>
      </c>
      <c r="B2547" s="125" t="n"/>
      <c r="C2547" s="130" t="inlineStr">
        <is>
          <t>Омск</t>
        </is>
      </c>
      <c r="D2547" s="130" t="inlineStr">
        <is>
          <t>Омск</t>
        </is>
      </c>
      <c r="E2547" s="130" t="n"/>
      <c r="F2547" s="130" t="inlineStr">
        <is>
          <t>АЗС</t>
        </is>
      </c>
      <c r="G2547" s="130" t="inlineStr">
        <is>
          <t>Газпромнефть</t>
        </is>
      </c>
      <c r="H2547" s="131" t="n"/>
      <c r="I2547" s="637" t="n">
        <v>31011</v>
      </c>
      <c r="J2547" s="637" t="inlineStr">
        <is>
          <t>GPN_31011</t>
        </is>
      </c>
      <c r="K2547" s="640" t="n">
        <v>3</v>
      </c>
      <c r="L2547" s="640" t="n">
        <v>0</v>
      </c>
      <c r="M2547" s="640" t="n">
        <v>3</v>
      </c>
      <c r="N2547" s="640" t="n"/>
      <c r="O2547" s="640">
        <f>IF(AND(N2547=1,L2547=1),K2547,"")</f>
        <v/>
      </c>
      <c r="P2547" s="642" t="inlineStr">
        <is>
          <t>г.Омск, ул. Енисейская, д.3 б</t>
        </is>
      </c>
      <c r="Q2547" s="640" t="inlineStr">
        <is>
          <t>54.976328</t>
        </is>
      </c>
      <c r="R2547" s="422" t="inlineStr">
        <is>
          <t>73.3404</t>
        </is>
      </c>
      <c r="S2547" s="387" t="n"/>
      <c r="T2547" s="387" t="n"/>
      <c r="U2547" s="436" t="n"/>
      <c r="V2547" s="387" t="n"/>
      <c r="W2547" s="387">
        <f>IF(AND(N2547=1,O2547&lt;&gt;""),C2547,"")</f>
        <v/>
      </c>
      <c r="X2547" s="387" t="n"/>
      <c r="Y2547" s="387" t="n"/>
    </row>
    <row r="2548" hidden="1" ht="16.05" customFormat="1" customHeight="1" s="126">
      <c r="A2548" s="125" t="n">
        <v>3169</v>
      </c>
      <c r="B2548" s="125" t="n"/>
      <c r="C2548" s="130" t="inlineStr">
        <is>
          <t>Омск</t>
        </is>
      </c>
      <c r="D2548" s="130" t="inlineStr">
        <is>
          <t>Омск</t>
        </is>
      </c>
      <c r="E2548" s="130" t="n"/>
      <c r="F2548" s="130" t="inlineStr">
        <is>
          <t>АЗС</t>
        </is>
      </c>
      <c r="G2548" s="130" t="inlineStr">
        <is>
          <t>Газпромнефть</t>
        </is>
      </c>
      <c r="H2548" s="131" t="n"/>
      <c r="I2548" s="637" t="n">
        <v>31015</v>
      </c>
      <c r="J2548" s="637" t="inlineStr">
        <is>
          <t>GPN_31015</t>
        </is>
      </c>
      <c r="K2548" s="640" t="n">
        <v>1</v>
      </c>
      <c r="L2548" s="640" t="n">
        <v>1</v>
      </c>
      <c r="M2548" s="623" t="n">
        <v>1</v>
      </c>
      <c r="N2548" s="640" t="n"/>
      <c r="O2548" s="640">
        <f>IF(AND(N2548=1,L2548=1),K2548,"")</f>
        <v/>
      </c>
      <c r="P2548" s="642" t="inlineStr">
        <is>
          <t>г.Омск 10-й км. Пушкинскинского тракта (Пушкинский тракт, 14)</t>
        </is>
      </c>
      <c r="Q2548" s="640" t="inlineStr">
        <is>
          <t>55.058868</t>
        </is>
      </c>
      <c r="R2548" s="494" t="inlineStr">
        <is>
          <t>73.416879</t>
        </is>
      </c>
      <c r="S2548" s="387" t="n"/>
      <c r="T2548" s="387" t="n"/>
      <c r="U2548" s="436" t="n"/>
      <c r="V2548" s="387" t="n"/>
      <c r="W2548" s="387">
        <f>IF(AND(N2548=1,O2548&lt;&gt;""),C2548,"")</f>
        <v/>
      </c>
      <c r="X2548" s="387" t="n"/>
      <c r="Y2548" s="387" t="n"/>
    </row>
    <row r="2549" hidden="1" ht="16.05" customFormat="1" customHeight="1" s="126">
      <c r="A2549" s="125" t="n">
        <v>3170</v>
      </c>
      <c r="B2549" s="125" t="n"/>
      <c r="C2549" s="130" t="inlineStr">
        <is>
          <t>Омск</t>
        </is>
      </c>
      <c r="D2549" s="130" t="inlineStr">
        <is>
          <t>Омск</t>
        </is>
      </c>
      <c r="E2549" s="130" t="n"/>
      <c r="F2549" s="130" t="inlineStr">
        <is>
          <t>АЗС</t>
        </is>
      </c>
      <c r="G2549" s="130" t="inlineStr">
        <is>
          <t>Газпромнефть</t>
        </is>
      </c>
      <c r="H2549" s="131" t="n"/>
      <c r="I2549" s="637" t="n">
        <v>31016</v>
      </c>
      <c r="J2549" s="637" t="inlineStr">
        <is>
          <t>GPN_31016</t>
        </is>
      </c>
      <c r="K2549" s="640" t="n">
        <v>3</v>
      </c>
      <c r="L2549" s="640" t="n">
        <v>1</v>
      </c>
      <c r="M2549" s="623" t="n">
        <v>3</v>
      </c>
      <c r="N2549" s="640" t="n"/>
      <c r="O2549" s="640">
        <f>IF(AND(N2549=1,L2549=1),K2549,"")</f>
        <v/>
      </c>
      <c r="P2549" s="642" t="inlineStr">
        <is>
          <t>г.Омск, ул. Семиреченская, д. 128, корп. 3</t>
        </is>
      </c>
      <c r="Q2549" s="640" t="inlineStr">
        <is>
          <t>54.930382</t>
        </is>
      </c>
      <c r="R2549" s="494" t="inlineStr">
        <is>
          <t>73.286061</t>
        </is>
      </c>
      <c r="S2549" s="387" t="n"/>
      <c r="T2549" s="387" t="n"/>
      <c r="U2549" s="436" t="n"/>
      <c r="V2549" s="387" t="n"/>
      <c r="W2549" s="387">
        <f>IF(AND(N2549=1,O2549&lt;&gt;""),C2549,"")</f>
        <v/>
      </c>
      <c r="X2549" s="387" t="n"/>
      <c r="Y2549" s="387" t="n"/>
    </row>
    <row r="2550" hidden="1" ht="16.05" customFormat="1" customHeight="1" s="126">
      <c r="A2550" s="125" t="n">
        <v>3171</v>
      </c>
      <c r="B2550" s="125" t="n"/>
      <c r="C2550" s="130" t="inlineStr">
        <is>
          <t>Омск</t>
        </is>
      </c>
      <c r="D2550" s="130" t="inlineStr">
        <is>
          <t>Омск</t>
        </is>
      </c>
      <c r="E2550" s="130" t="n"/>
      <c r="F2550" s="130" t="inlineStr">
        <is>
          <t>АЗС</t>
        </is>
      </c>
      <c r="G2550" s="130" t="inlineStr">
        <is>
          <t>Газпромнефть</t>
        </is>
      </c>
      <c r="H2550" s="131" t="n"/>
      <c r="I2550" s="637" t="n">
        <v>31017</v>
      </c>
      <c r="J2550" s="637" t="inlineStr">
        <is>
          <t>GPN_31017</t>
        </is>
      </c>
      <c r="K2550" s="640" t="n">
        <v>3</v>
      </c>
      <c r="L2550" s="640" t="n">
        <v>1</v>
      </c>
      <c r="M2550" s="623" t="n">
        <v>4</v>
      </c>
      <c r="N2550" s="640" t="n"/>
      <c r="O2550" s="640">
        <f>IF(AND(N2550=1,L2550=1),K2550,"")</f>
        <v/>
      </c>
      <c r="P2550" s="642" t="inlineStr">
        <is>
          <t>г.Омск, ул. Химиков, 60 корп. 1</t>
        </is>
      </c>
      <c r="Q2550" s="640" t="inlineStr">
        <is>
          <t>55.057703</t>
        </is>
      </c>
      <c r="R2550" s="494" t="inlineStr">
        <is>
          <t>73.303848</t>
        </is>
      </c>
      <c r="S2550" s="387" t="n"/>
      <c r="T2550" s="387" t="n"/>
      <c r="U2550" s="436" t="n"/>
      <c r="V2550" s="387" t="n"/>
      <c r="W2550" s="387">
        <f>IF(AND(N2550=1,O2550&lt;&gt;""),C2550,"")</f>
        <v/>
      </c>
      <c r="X2550" s="387" t="n"/>
      <c r="Y2550" s="387" t="n"/>
    </row>
    <row r="2551" hidden="1" ht="16.05" customFormat="1" customHeight="1" s="126">
      <c r="A2551" s="125" t="n">
        <v>3172</v>
      </c>
      <c r="B2551" s="125" t="n"/>
      <c r="C2551" s="130" t="inlineStr">
        <is>
          <t>Омск</t>
        </is>
      </c>
      <c r="D2551" s="130" t="inlineStr">
        <is>
          <t>Омск</t>
        </is>
      </c>
      <c r="E2551" s="130" t="n"/>
      <c r="F2551" s="130" t="inlineStr">
        <is>
          <t>АЗС</t>
        </is>
      </c>
      <c r="G2551" s="130" t="inlineStr">
        <is>
          <t>Газпромнефть</t>
        </is>
      </c>
      <c r="H2551" s="131" t="n"/>
      <c r="I2551" s="637" t="n">
        <v>31018</v>
      </c>
      <c r="J2551" s="637" t="inlineStr">
        <is>
          <t>GPN_31018</t>
        </is>
      </c>
      <c r="K2551" s="640" t="n">
        <v>1</v>
      </c>
      <c r="L2551" s="640" t="n">
        <v>1</v>
      </c>
      <c r="M2551" s="623" t="n">
        <v>1</v>
      </c>
      <c r="N2551" s="640" t="n"/>
      <c r="O2551" s="640">
        <f>IF(AND(N2551=1,L2551=1),K2551,"")</f>
        <v/>
      </c>
      <c r="P2551" s="642" t="inlineStr">
        <is>
          <t>г.Омск, ул. 8-я Восточная, д.21-А</t>
        </is>
      </c>
      <c r="Q2551" s="640" t="inlineStr">
        <is>
          <t>55.010018</t>
        </is>
      </c>
      <c r="R2551" s="494" t="inlineStr">
        <is>
          <t>73.407307</t>
        </is>
      </c>
      <c r="S2551" s="387" t="n"/>
      <c r="T2551" s="387" t="n"/>
      <c r="U2551" s="436" t="n"/>
      <c r="V2551" s="387" t="n"/>
      <c r="W2551" s="387">
        <f>IF(AND(N2551=1,O2551&lt;&gt;""),C2551,"")</f>
        <v/>
      </c>
      <c r="X2551" s="387" t="n"/>
      <c r="Y2551" s="387" t="n"/>
    </row>
    <row r="2552" hidden="1" ht="16.05" customFormat="1" customHeight="1" s="126">
      <c r="A2552" s="125" t="n">
        <v>3173</v>
      </c>
      <c r="B2552" s="125" t="n"/>
      <c r="C2552" s="130" t="inlineStr">
        <is>
          <t>Омск</t>
        </is>
      </c>
      <c r="D2552" s="130" t="inlineStr">
        <is>
          <t>Омск</t>
        </is>
      </c>
      <c r="E2552" s="130" t="n"/>
      <c r="F2552" s="130" t="inlineStr">
        <is>
          <t>АЗС</t>
        </is>
      </c>
      <c r="G2552" s="130" t="inlineStr">
        <is>
          <t>Газпромнефть</t>
        </is>
      </c>
      <c r="H2552" s="131" t="n"/>
      <c r="I2552" s="637" t="n">
        <v>31019</v>
      </c>
      <c r="J2552" s="637" t="inlineStr">
        <is>
          <t>GPN_31019</t>
        </is>
      </c>
      <c r="K2552" s="640" t="n">
        <v>3</v>
      </c>
      <c r="L2552" s="640" t="n">
        <v>1</v>
      </c>
      <c r="M2552" s="623" t="n">
        <v>5</v>
      </c>
      <c r="N2552" s="640" t="n"/>
      <c r="O2552" s="640">
        <f>IF(AND(N2552=1,L2552=1),K2552,"")</f>
        <v/>
      </c>
      <c r="P2552" s="642" t="inlineStr">
        <is>
          <t>г.Омск, ул. 1-ой Красной Звезды, 53</t>
        </is>
      </c>
      <c r="Q2552" s="640" t="inlineStr">
        <is>
          <t>54.920273</t>
        </is>
      </c>
      <c r="R2552" s="494" t="inlineStr">
        <is>
          <t>73.378516</t>
        </is>
      </c>
      <c r="S2552" s="387" t="n"/>
      <c r="T2552" s="387" t="n"/>
      <c r="U2552" s="436" t="n"/>
      <c r="V2552" s="387" t="n"/>
      <c r="W2552" s="387">
        <f>IF(AND(N2552=1,O2552&lt;&gt;""),C2552,"")</f>
        <v/>
      </c>
      <c r="X2552" s="387" t="n"/>
      <c r="Y2552" s="387" t="n"/>
    </row>
    <row r="2553" hidden="1" ht="16.05" customFormat="1" customHeight="1" s="126">
      <c r="A2553" s="125" t="n">
        <v>3174</v>
      </c>
      <c r="B2553" s="125" t="n"/>
      <c r="C2553" s="130" t="inlineStr">
        <is>
          <t>Омск</t>
        </is>
      </c>
      <c r="D2553" s="130" t="inlineStr">
        <is>
          <t>Омск</t>
        </is>
      </c>
      <c r="E2553" s="130" t="n"/>
      <c r="F2553" s="130" t="inlineStr">
        <is>
          <t>АЗС</t>
        </is>
      </c>
      <c r="G2553" s="130" t="inlineStr">
        <is>
          <t>Газпромнефть</t>
        </is>
      </c>
      <c r="H2553" s="131" t="n"/>
      <c r="I2553" s="637" t="n">
        <v>31020</v>
      </c>
      <c r="J2553" s="637" t="inlineStr">
        <is>
          <t>GPN_31020</t>
        </is>
      </c>
      <c r="K2553" s="640" t="n">
        <v>3</v>
      </c>
      <c r="L2553" s="640" t="n">
        <v>0</v>
      </c>
      <c r="M2553" s="623" t="n">
        <v>4</v>
      </c>
      <c r="N2553" s="640" t="n"/>
      <c r="O2553" s="640">
        <f>IF(AND(N2553=1,L2553=1),K2553,"")</f>
        <v/>
      </c>
      <c r="P2553" s="642" t="inlineStr">
        <is>
          <t>г.Омск, б-р. Архитекторов, д.18</t>
        </is>
      </c>
      <c r="Q2553" s="640" t="inlineStr">
        <is>
          <t>54.977491</t>
        </is>
      </c>
      <c r="R2553" s="494" t="inlineStr">
        <is>
          <t>73.287247</t>
        </is>
      </c>
      <c r="S2553" s="387" t="n"/>
      <c r="T2553" s="387" t="n"/>
      <c r="U2553" s="436" t="n"/>
      <c r="V2553" s="387" t="n"/>
      <c r="W2553" s="387">
        <f>IF(AND(N2553=1,O2553&lt;&gt;""),C2553,"")</f>
        <v/>
      </c>
      <c r="X2553" s="387" t="n"/>
      <c r="Y2553" s="387" t="n"/>
    </row>
    <row r="2554" hidden="1" ht="16.05" customFormat="1" customHeight="1" s="126">
      <c r="A2554" s="125" t="n">
        <v>3175</v>
      </c>
      <c r="B2554" s="125" t="n"/>
      <c r="C2554" s="130" t="inlineStr">
        <is>
          <t>Омск</t>
        </is>
      </c>
      <c r="D2554" s="130" t="inlineStr">
        <is>
          <t>Омск</t>
        </is>
      </c>
      <c r="E2554" s="130" t="n"/>
      <c r="F2554" s="130" t="inlineStr">
        <is>
          <t>АЗС</t>
        </is>
      </c>
      <c r="G2554" s="130" t="inlineStr">
        <is>
          <t>Газпромнефть</t>
        </is>
      </c>
      <c r="H2554" s="131" t="n"/>
      <c r="I2554" s="637" t="n">
        <v>31031</v>
      </c>
      <c r="J2554" s="637" t="inlineStr">
        <is>
          <t>GPN_31031</t>
        </is>
      </c>
      <c r="K2554" s="640" t="n">
        <v>3</v>
      </c>
      <c r="L2554" s="640" t="n">
        <v>1</v>
      </c>
      <c r="M2554" s="623" t="n">
        <v>4</v>
      </c>
      <c r="N2554" s="640" t="n"/>
      <c r="O2554" s="640">
        <f>IF(AND(N2554=1,L2554=1),K2554,"")</f>
        <v/>
      </c>
      <c r="P2554" s="642" t="inlineStr">
        <is>
          <t>г.Омск, ул. 22 Партсъезда, 104</t>
        </is>
      </c>
      <c r="Q2554" s="640" t="inlineStr">
        <is>
          <t>55.01882</t>
        </is>
      </c>
      <c r="R2554" s="494" t="inlineStr">
        <is>
          <t>73.441946</t>
        </is>
      </c>
      <c r="S2554" s="387" t="n"/>
      <c r="T2554" s="387" t="n"/>
      <c r="U2554" s="436" t="n"/>
      <c r="V2554" s="387" t="n"/>
      <c r="W2554" s="387">
        <f>IF(AND(N2554=1,O2554&lt;&gt;""),C2554,"")</f>
        <v/>
      </c>
      <c r="X2554" s="387" t="n"/>
      <c r="Y2554" s="387" t="n"/>
    </row>
    <row r="2555" hidden="1" ht="16.05" customFormat="1" customHeight="1" s="126">
      <c r="A2555" s="125" t="n">
        <v>3177</v>
      </c>
      <c r="B2555" s="125" t="n"/>
      <c r="C2555" s="130" t="inlineStr">
        <is>
          <t>Омск</t>
        </is>
      </c>
      <c r="D2555" s="130" t="inlineStr">
        <is>
          <t>Омск</t>
        </is>
      </c>
      <c r="E2555" s="130" t="n"/>
      <c r="F2555" s="130" t="inlineStr">
        <is>
          <t>АЗС</t>
        </is>
      </c>
      <c r="G2555" s="130" t="inlineStr">
        <is>
          <t>Газпромнефть</t>
        </is>
      </c>
      <c r="H2555" s="131" t="n"/>
      <c r="I2555" s="637" t="n">
        <v>31034</v>
      </c>
      <c r="J2555" s="637" t="inlineStr">
        <is>
          <t>GPN_31034</t>
        </is>
      </c>
      <c r="K2555" s="640" t="n">
        <v>3</v>
      </c>
      <c r="L2555" s="640" t="n">
        <v>1</v>
      </c>
      <c r="M2555" s="623" t="n">
        <v>3</v>
      </c>
      <c r="N2555" s="640" t="n"/>
      <c r="O2555" s="640">
        <f>IF(AND(N2555=1,L2555=1),K2555,"")</f>
        <v/>
      </c>
      <c r="P2555" s="642" t="inlineStr">
        <is>
          <t>г. Омск, ул. Доковская (г. Омск, ул. Доковская, 29)</t>
        </is>
      </c>
      <c r="Q2555" s="640" t="inlineStr">
        <is>
          <t>55.05833</t>
        </is>
      </c>
      <c r="R2555" s="494" t="inlineStr">
        <is>
          <t>73.203474</t>
        </is>
      </c>
      <c r="S2555" s="387" t="n"/>
      <c r="T2555" s="387" t="n"/>
      <c r="U2555" s="436" t="n"/>
      <c r="V2555" s="387" t="n"/>
      <c r="W2555" s="387">
        <f>IF(AND(N2555=1,O2555&lt;&gt;""),C2555,"")</f>
        <v/>
      </c>
      <c r="X2555" s="387" t="n"/>
      <c r="Y2555" s="387" t="n"/>
    </row>
    <row r="2556" hidden="1" ht="16.05" customFormat="1" customHeight="1" s="126">
      <c r="A2556" s="125" t="n">
        <v>3178</v>
      </c>
      <c r="B2556" s="125" t="n"/>
      <c r="C2556" s="130" t="inlineStr">
        <is>
          <t>Омск</t>
        </is>
      </c>
      <c r="D2556" s="130" t="inlineStr">
        <is>
          <t>Омск</t>
        </is>
      </c>
      <c r="E2556" s="130" t="n"/>
      <c r="F2556" s="130" t="inlineStr">
        <is>
          <t>АЗС</t>
        </is>
      </c>
      <c r="G2556" s="130" t="inlineStr">
        <is>
          <t>Газпромнефть</t>
        </is>
      </c>
      <c r="H2556" s="131" t="n"/>
      <c r="I2556" s="637" t="n">
        <v>31037</v>
      </c>
      <c r="J2556" s="637" t="inlineStr">
        <is>
          <t>GPN_31037</t>
        </is>
      </c>
      <c r="K2556" s="640" t="n">
        <v>2</v>
      </c>
      <c r="L2556" s="640" t="n">
        <v>1</v>
      </c>
      <c r="M2556" s="623" t="n">
        <v>2</v>
      </c>
      <c r="N2556" s="640" t="n"/>
      <c r="O2556" s="640">
        <f>IF(AND(N2556=1,L2556=1),K2556,"")</f>
        <v/>
      </c>
      <c r="P2556" s="642" t="inlineStr">
        <is>
          <t>г.Омск, ул. 3-я Транспортная, 18</t>
        </is>
      </c>
      <c r="Q2556" s="640" t="inlineStr">
        <is>
          <t>54.957614</t>
        </is>
      </c>
      <c r="R2556" s="494" t="inlineStr">
        <is>
          <t>73.431103</t>
        </is>
      </c>
      <c r="S2556" s="387" t="n"/>
      <c r="T2556" s="387" t="n"/>
      <c r="U2556" s="436" t="n"/>
      <c r="V2556" s="387" t="n"/>
      <c r="W2556" s="387">
        <f>IF(AND(N2556=1,O2556&lt;&gt;""),C2556,"")</f>
        <v/>
      </c>
      <c r="X2556" s="387" t="n"/>
      <c r="Y2556" s="387" t="n"/>
    </row>
    <row r="2557" hidden="1" ht="16.05" customFormat="1" customHeight="1" s="126">
      <c r="A2557" s="125" t="n">
        <v>3176</v>
      </c>
      <c r="B2557" s="125" t="n"/>
      <c r="C2557" s="130" t="inlineStr">
        <is>
          <t>Омск</t>
        </is>
      </c>
      <c r="D2557" s="130" t="inlineStr">
        <is>
          <t>Омск</t>
        </is>
      </c>
      <c r="E2557" s="130" t="n"/>
      <c r="F2557" s="130" t="inlineStr">
        <is>
          <t>АЗС</t>
        </is>
      </c>
      <c r="G2557" s="130" t="inlineStr">
        <is>
          <t>Газпромнефть</t>
        </is>
      </c>
      <c r="H2557" s="131" t="n"/>
      <c r="I2557" s="637" t="n">
        <v>31032</v>
      </c>
      <c r="J2557" s="637" t="inlineStr">
        <is>
          <t>GPN_31032</t>
        </is>
      </c>
      <c r="K2557" s="640" t="n">
        <v>3</v>
      </c>
      <c r="L2557" s="640" t="n">
        <v>1</v>
      </c>
      <c r="M2557" s="623" t="n">
        <v>5</v>
      </c>
      <c r="N2557" s="640" t="n"/>
      <c r="O2557" s="640">
        <f>IF(AND(N2557=1,L2557=1),K2557,"")</f>
        <v/>
      </c>
      <c r="P2557" s="642" t="inlineStr">
        <is>
          <t>г. Омск, ул. Волгоградская, 70</t>
        </is>
      </c>
      <c r="Q2557" s="640" t="inlineStr">
        <is>
          <t>54.99194</t>
        </is>
      </c>
      <c r="R2557" s="494" t="inlineStr">
        <is>
          <t>73.229494</t>
        </is>
      </c>
      <c r="S2557" s="387" t="n"/>
      <c r="T2557" s="387" t="n"/>
      <c r="U2557" s="436" t="n"/>
      <c r="V2557" s="387" t="n"/>
      <c r="W2557" s="387">
        <f>IF(AND(N2557=1,O2557&lt;&gt;""),C2557,"")</f>
        <v/>
      </c>
      <c r="X2557" s="387" t="n"/>
      <c r="Y2557" s="387" t="n"/>
    </row>
    <row r="2558" hidden="1" ht="16.05" customFormat="1" customHeight="1" s="126">
      <c r="A2558" s="125" t="n">
        <v>3179</v>
      </c>
      <c r="B2558" s="125" t="n"/>
      <c r="C2558" s="130" t="inlineStr">
        <is>
          <t>Омск</t>
        </is>
      </c>
      <c r="D2558" s="130" t="inlineStr">
        <is>
          <t>Омск</t>
        </is>
      </c>
      <c r="E2558" s="130" t="n"/>
      <c r="F2558" s="130" t="inlineStr">
        <is>
          <t>АЗС</t>
        </is>
      </c>
      <c r="G2558" s="130" t="inlineStr">
        <is>
          <t>Газпромнефть</t>
        </is>
      </c>
      <c r="H2558" s="131" t="n"/>
      <c r="I2558" s="637" t="n">
        <v>31040</v>
      </c>
      <c r="J2558" s="637" t="inlineStr">
        <is>
          <t>GPN_31040</t>
        </is>
      </c>
      <c r="K2558" s="640" t="n">
        <v>3</v>
      </c>
      <c r="L2558" s="640" t="n">
        <v>1</v>
      </c>
      <c r="M2558" s="623" t="n">
        <v>3</v>
      </c>
      <c r="N2558" s="640" t="n"/>
      <c r="O2558" s="640">
        <f>IF(AND(N2558=1,L2558=1),K2558,"")</f>
        <v/>
      </c>
      <c r="P2558" s="642" t="inlineStr">
        <is>
          <t>г.Омск, бульв. Архитекторов, 30</t>
        </is>
      </c>
      <c r="Q2558" s="640" t="inlineStr">
        <is>
          <t>54.96974</t>
        </is>
      </c>
      <c r="R2558" s="494" t="inlineStr">
        <is>
          <t>73.275138</t>
        </is>
      </c>
      <c r="S2558" s="387" t="n"/>
      <c r="T2558" s="387" t="n"/>
      <c r="U2558" s="436" t="n"/>
      <c r="V2558" s="387" t="n"/>
      <c r="W2558" s="387">
        <f>IF(AND(N2558=1,O2558&lt;&gt;""),C2558,"")</f>
        <v/>
      </c>
      <c r="X2558" s="387" t="n"/>
      <c r="Y2558" s="387" t="n"/>
    </row>
    <row r="2559" hidden="1" ht="16.05" customFormat="1" customHeight="1" s="126">
      <c r="A2559" s="125" t="n">
        <v>3180</v>
      </c>
      <c r="B2559" s="125" t="n"/>
      <c r="C2559" s="130" t="inlineStr">
        <is>
          <t>Омск</t>
        </is>
      </c>
      <c r="D2559" s="130" t="inlineStr">
        <is>
          <t>Омск</t>
        </is>
      </c>
      <c r="E2559" s="130" t="n"/>
      <c r="F2559" s="130" t="inlineStr">
        <is>
          <t>АЗС</t>
        </is>
      </c>
      <c r="G2559" s="130" t="inlineStr">
        <is>
          <t>Газпромнефть</t>
        </is>
      </c>
      <c r="H2559" s="131" t="n"/>
      <c r="I2559" s="637" t="n">
        <v>31044</v>
      </c>
      <c r="J2559" s="637" t="inlineStr">
        <is>
          <t>GPN_31044</t>
        </is>
      </c>
      <c r="K2559" s="640" t="n">
        <v>3</v>
      </c>
      <c r="L2559" s="640" t="n">
        <v>1</v>
      </c>
      <c r="M2559" s="623" t="n">
        <v>4</v>
      </c>
      <c r="N2559" s="640" t="n"/>
      <c r="O2559" s="640">
        <f>IF(AND(N2559=1,L2559=1),K2559,"")</f>
        <v/>
      </c>
      <c r="P2559" s="642" t="inlineStr">
        <is>
          <t>г. Омск, просп. Губкина, 21</t>
        </is>
      </c>
      <c r="Q2559" s="640" t="inlineStr">
        <is>
          <t>55.075236</t>
        </is>
      </c>
      <c r="R2559" s="494" t="inlineStr">
        <is>
          <t>73.303812</t>
        </is>
      </c>
      <c r="S2559" s="387" t="n"/>
      <c r="T2559" s="387" t="n"/>
      <c r="U2559" s="436" t="n"/>
      <c r="V2559" s="387" t="n"/>
      <c r="W2559" s="387">
        <f>IF(AND(N2559=1,O2559&lt;&gt;""),C2559,"")</f>
        <v/>
      </c>
      <c r="X2559" s="387" t="n"/>
      <c r="Y2559" s="387" t="n"/>
    </row>
    <row r="2560" hidden="1" ht="16.05" customFormat="1" customHeight="1" s="126">
      <c r="A2560" s="125" t="n">
        <v>3182</v>
      </c>
      <c r="B2560" s="125" t="n"/>
      <c r="C2560" s="130" t="inlineStr">
        <is>
          <t>Омск</t>
        </is>
      </c>
      <c r="D2560" s="130" t="inlineStr">
        <is>
          <t>Омск</t>
        </is>
      </c>
      <c r="E2560" s="130" t="n"/>
      <c r="F2560" s="130" t="inlineStr">
        <is>
          <t>АЗС</t>
        </is>
      </c>
      <c r="G2560" s="130" t="inlineStr">
        <is>
          <t>Газпромнефть</t>
        </is>
      </c>
      <c r="H2560" s="131" t="n"/>
      <c r="I2560" s="637" t="n">
        <v>31047</v>
      </c>
      <c r="J2560" s="637" t="inlineStr">
        <is>
          <t>GPN_31047</t>
        </is>
      </c>
      <c r="K2560" s="640" t="n">
        <v>3</v>
      </c>
      <c r="L2560" s="640" t="n">
        <v>1</v>
      </c>
      <c r="M2560" s="623" t="n">
        <v>3</v>
      </c>
      <c r="N2560" s="640" t="n"/>
      <c r="O2560" s="640">
        <f>IF(AND(N2560=1,L2560=1),K2560,"")</f>
        <v/>
      </c>
      <c r="P2560" s="642" t="inlineStr">
        <is>
          <t>г.Омск, ул. 1-я Путевая, д.110</t>
        </is>
      </c>
      <c r="Q2560" s="640" t="inlineStr">
        <is>
          <t>54.911605</t>
        </is>
      </c>
      <c r="R2560" s="494" t="inlineStr">
        <is>
          <t>73.43484</t>
        </is>
      </c>
      <c r="S2560" s="387" t="n"/>
      <c r="T2560" s="387" t="n"/>
      <c r="U2560" s="436" t="n"/>
      <c r="V2560" s="387" t="n"/>
      <c r="W2560" s="387">
        <f>IF(AND(N2560=1,O2560&lt;&gt;""),C2560,"")</f>
        <v/>
      </c>
      <c r="X2560" s="387" t="n"/>
      <c r="Y2560" s="387" t="n"/>
    </row>
    <row r="2561" hidden="1" ht="16.05" customFormat="1" customHeight="1" s="126">
      <c r="A2561" s="125" t="n">
        <v>3183</v>
      </c>
      <c r="B2561" s="125" t="n"/>
      <c r="C2561" s="130" t="inlineStr">
        <is>
          <t>Омск</t>
        </is>
      </c>
      <c r="D2561" s="130" t="inlineStr">
        <is>
          <t>Омск</t>
        </is>
      </c>
      <c r="E2561" s="130" t="n"/>
      <c r="F2561" s="130" t="inlineStr">
        <is>
          <t>АЗС</t>
        </is>
      </c>
      <c r="G2561" s="130" t="inlineStr">
        <is>
          <t>Газпромнефть</t>
        </is>
      </c>
      <c r="H2561" s="131" t="n"/>
      <c r="I2561" s="637" t="n">
        <v>31049</v>
      </c>
      <c r="J2561" s="637" t="inlineStr">
        <is>
          <t>GPN_31049</t>
        </is>
      </c>
      <c r="K2561" s="640" t="n">
        <v>3</v>
      </c>
      <c r="L2561" s="640" t="n">
        <v>1</v>
      </c>
      <c r="M2561" s="623" t="n">
        <v>5</v>
      </c>
      <c r="N2561" s="640" t="n"/>
      <c r="O2561" s="640">
        <f>IF(AND(N2561=1,L2561=1),K2561,"")</f>
        <v/>
      </c>
      <c r="P2561" s="642" t="inlineStr">
        <is>
          <t>г.Омск, ул. Березовая, д.1, корп.1</t>
        </is>
      </c>
      <c r="Q2561" s="640" t="inlineStr">
        <is>
          <t>55.014355</t>
        </is>
      </c>
      <c r="R2561" s="494" t="inlineStr">
        <is>
          <t>73.335522</t>
        </is>
      </c>
      <c r="S2561" s="387" t="n"/>
      <c r="T2561" s="387" t="n"/>
      <c r="U2561" s="436" t="n"/>
      <c r="V2561" s="387" t="n"/>
      <c r="W2561" s="387">
        <f>IF(AND(N2561=1,O2561&lt;&gt;""),C2561,"")</f>
        <v/>
      </c>
      <c r="X2561" s="387" t="n"/>
      <c r="Y2561" s="387" t="n"/>
    </row>
    <row r="2562" hidden="1" ht="16.05" customFormat="1" customHeight="1" s="126">
      <c r="A2562" s="125" t="n">
        <v>3181</v>
      </c>
      <c r="B2562" s="125" t="n"/>
      <c r="C2562" s="130" t="inlineStr">
        <is>
          <t>Омск</t>
        </is>
      </c>
      <c r="D2562" s="130" t="inlineStr">
        <is>
          <t>Омск</t>
        </is>
      </c>
      <c r="E2562" s="130" t="n"/>
      <c r="F2562" s="130" t="inlineStr">
        <is>
          <t>АЗС</t>
        </is>
      </c>
      <c r="G2562" s="130" t="inlineStr">
        <is>
          <t>Газпромнефть</t>
        </is>
      </c>
      <c r="H2562" s="131" t="n"/>
      <c r="I2562" s="637" t="n">
        <v>31046</v>
      </c>
      <c r="J2562" s="637" t="inlineStr">
        <is>
          <t>GPN_31046</t>
        </is>
      </c>
      <c r="K2562" s="640" t="n">
        <v>1</v>
      </c>
      <c r="L2562" s="640" t="n">
        <v>0</v>
      </c>
      <c r="M2562" s="640" t="n">
        <v>1</v>
      </c>
      <c r="N2562" s="640" t="n"/>
      <c r="O2562" s="640">
        <f>IF(AND(N2562=1,L2562=1),K2562,"")</f>
        <v/>
      </c>
      <c r="P2562" s="642" t="inlineStr">
        <is>
          <t>г. Омск, ул. 12 Декабря, 125</t>
        </is>
      </c>
      <c r="Q2562" s="640" t="inlineStr">
        <is>
          <t>54.956223</t>
        </is>
      </c>
      <c r="R2562" s="422" t="inlineStr">
        <is>
          <t>73.316882</t>
        </is>
      </c>
      <c r="S2562" s="387" t="n"/>
      <c r="T2562" s="387" t="n"/>
      <c r="U2562" s="436" t="n"/>
      <c r="V2562" s="387" t="n"/>
      <c r="W2562" s="387">
        <f>IF(AND(N2562=1,O2562&lt;&gt;""),C2562,"")</f>
        <v/>
      </c>
      <c r="X2562" s="387" t="n"/>
      <c r="Y2562" s="387" t="n"/>
    </row>
    <row r="2563" hidden="1" ht="16.05" customFormat="1" customHeight="1" s="126">
      <c r="A2563" s="125" t="n">
        <v>3184</v>
      </c>
      <c r="B2563" s="125" t="n"/>
      <c r="C2563" s="130" t="inlineStr">
        <is>
          <t>Омск</t>
        </is>
      </c>
      <c r="D2563" s="130" t="inlineStr">
        <is>
          <t>Омск</t>
        </is>
      </c>
      <c r="E2563" s="130" t="n"/>
      <c r="F2563" s="130" t="inlineStr">
        <is>
          <t>АЗС</t>
        </is>
      </c>
      <c r="G2563" s="130" t="inlineStr">
        <is>
          <t>Газпромнефть</t>
        </is>
      </c>
      <c r="H2563" s="131" t="n"/>
      <c r="I2563" s="637" t="n">
        <v>31061</v>
      </c>
      <c r="J2563" s="637" t="inlineStr">
        <is>
          <t>GPN_31061</t>
        </is>
      </c>
      <c r="K2563" s="640" t="n">
        <v>3</v>
      </c>
      <c r="L2563" s="640" t="n">
        <v>1</v>
      </c>
      <c r="M2563" s="623" t="n">
        <v>3</v>
      </c>
      <c r="N2563" s="640" t="n"/>
      <c r="O2563" s="640">
        <f>IF(AND(N2563=1,L2563=1),K2563,"")</f>
        <v/>
      </c>
      <c r="P2563" s="642" t="inlineStr">
        <is>
          <t>г. Омск, ул. Волгоградская, 69</t>
        </is>
      </c>
      <c r="Q2563" s="640" t="inlineStr">
        <is>
          <t>54.996583</t>
        </is>
      </c>
      <c r="R2563" s="494" t="inlineStr">
        <is>
          <t>73.209668</t>
        </is>
      </c>
      <c r="S2563" s="387" t="n"/>
      <c r="T2563" s="387" t="n"/>
      <c r="U2563" s="436" t="n"/>
      <c r="V2563" s="387" t="n"/>
      <c r="W2563" s="387">
        <f>IF(AND(N2563=1,O2563&lt;&gt;""),C2563,"")</f>
        <v/>
      </c>
      <c r="X2563" s="387" t="n"/>
      <c r="Y2563" s="387" t="n"/>
    </row>
    <row r="2564" hidden="1" ht="16.05" customFormat="1" customHeight="1" s="126">
      <c r="A2564" s="125" t="n">
        <v>3185</v>
      </c>
      <c r="B2564" s="125" t="n"/>
      <c r="C2564" s="130" t="inlineStr">
        <is>
          <t>Омск</t>
        </is>
      </c>
      <c r="D2564" s="130" t="inlineStr">
        <is>
          <t>Омск</t>
        </is>
      </c>
      <c r="E2564" s="130" t="n"/>
      <c r="F2564" s="130" t="inlineStr">
        <is>
          <t>АЗС</t>
        </is>
      </c>
      <c r="G2564" s="130" t="inlineStr">
        <is>
          <t>Газпромнефть</t>
        </is>
      </c>
      <c r="H2564" s="131" t="n"/>
      <c r="I2564" s="637" t="n">
        <v>31065</v>
      </c>
      <c r="J2564" s="637" t="inlineStr">
        <is>
          <t>GPN_31065</t>
        </is>
      </c>
      <c r="K2564" s="640" t="n">
        <v>3</v>
      </c>
      <c r="L2564" s="640" t="n">
        <v>1</v>
      </c>
      <c r="M2564" s="623" t="n">
        <v>3</v>
      </c>
      <c r="N2564" s="640" t="n"/>
      <c r="O2564" s="640">
        <f>IF(AND(N2564=1,L2564=1),K2564,"")</f>
        <v/>
      </c>
      <c r="P2564" s="642" t="inlineStr">
        <is>
          <t>г. Омск, просп. Космический, 109, корп.2</t>
        </is>
      </c>
      <c r="Q2564" s="640" t="inlineStr">
        <is>
          <t>54.986702</t>
        </is>
      </c>
      <c r="R2564" s="494" t="inlineStr">
        <is>
          <t>73.481822</t>
        </is>
      </c>
      <c r="S2564" s="387" t="n"/>
      <c r="T2564" s="387" t="n"/>
      <c r="U2564" s="436" t="n"/>
      <c r="V2564" s="387" t="n"/>
      <c r="W2564" s="387">
        <f>IF(AND(N2564=1,O2564&lt;&gt;""),C2564,"")</f>
        <v/>
      </c>
      <c r="X2564" s="387" t="n"/>
      <c r="Y2564" s="387" t="n"/>
    </row>
    <row r="2565" hidden="1" ht="16.05" customFormat="1" customHeight="1" s="126">
      <c r="A2565" s="125" t="n">
        <v>3186</v>
      </c>
      <c r="B2565" s="125" t="n"/>
      <c r="C2565" s="130" t="inlineStr">
        <is>
          <t>Омск</t>
        </is>
      </c>
      <c r="D2565" s="130" t="inlineStr">
        <is>
          <t>Омск</t>
        </is>
      </c>
      <c r="E2565" s="130" t="n"/>
      <c r="F2565" s="130" t="inlineStr">
        <is>
          <t>АЗС</t>
        </is>
      </c>
      <c r="G2565" s="130" t="inlineStr">
        <is>
          <t>Газпромнефть</t>
        </is>
      </c>
      <c r="H2565" s="131" t="n"/>
      <c r="I2565" s="637" t="n">
        <v>31066</v>
      </c>
      <c r="J2565" s="637" t="inlineStr">
        <is>
          <t>GPN_31066</t>
        </is>
      </c>
      <c r="K2565" s="640" t="n">
        <v>3</v>
      </c>
      <c r="L2565" s="640" t="n">
        <v>1</v>
      </c>
      <c r="M2565" s="623" t="n">
        <v>3</v>
      </c>
      <c r="N2565" s="640" t="n"/>
      <c r="O2565" s="640">
        <f>IF(AND(N2565=1,L2565=1),K2565,"")</f>
        <v/>
      </c>
      <c r="P2565" s="642" t="inlineStr">
        <is>
          <t>г. Омск, ул. Мельничная, 85</t>
        </is>
      </c>
      <c r="Q2565" s="640" t="inlineStr">
        <is>
          <t>54.913619</t>
        </is>
      </c>
      <c r="R2565" s="494" t="inlineStr">
        <is>
          <t>73.315364</t>
        </is>
      </c>
      <c r="S2565" s="387" t="n"/>
      <c r="T2565" s="387" t="n"/>
      <c r="U2565" s="436" t="n"/>
      <c r="V2565" s="387" t="n"/>
      <c r="W2565" s="387">
        <f>IF(AND(N2565=1,O2565&lt;&gt;""),C2565,"")</f>
        <v/>
      </c>
      <c r="X2565" s="387" t="n"/>
      <c r="Y2565" s="387" t="n"/>
    </row>
    <row r="2566" hidden="1" ht="16.05" customFormat="1" customHeight="1" s="126">
      <c r="A2566" s="125" t="n">
        <v>3187</v>
      </c>
      <c r="B2566" s="125" t="n"/>
      <c r="C2566" s="130" t="inlineStr">
        <is>
          <t>Омск</t>
        </is>
      </c>
      <c r="D2566" s="130" t="inlineStr">
        <is>
          <t>Омск</t>
        </is>
      </c>
      <c r="E2566" s="130" t="n"/>
      <c r="F2566" s="130" t="inlineStr">
        <is>
          <t>АЗС</t>
        </is>
      </c>
      <c r="G2566" s="130" t="inlineStr">
        <is>
          <t>Газпромнефть</t>
        </is>
      </c>
      <c r="H2566" s="131" t="n"/>
      <c r="I2566" s="637" t="n">
        <v>31068</v>
      </c>
      <c r="J2566" s="637" t="inlineStr">
        <is>
          <t>GPN_31068</t>
        </is>
      </c>
      <c r="K2566" s="640" t="n">
        <v>3</v>
      </c>
      <c r="L2566" s="640" t="n">
        <v>1</v>
      </c>
      <c r="M2566" s="623" t="n">
        <v>6</v>
      </c>
      <c r="N2566" s="640" t="n"/>
      <c r="O2566" s="640">
        <f>IF(AND(N2566=1,L2566=1),K2566,"")</f>
        <v/>
      </c>
      <c r="P2566" s="642" t="inlineStr">
        <is>
          <t>г.Омск, пос. Карьер, 817 км Новосибирского тракта (Челябинск-Новосибирск) (Солнечная улица, 1)</t>
        </is>
      </c>
      <c r="Q2566" s="640" t="inlineStr">
        <is>
          <t>54.881018</t>
        </is>
      </c>
      <c r="R2566" s="494" t="inlineStr">
        <is>
          <t>73.354664</t>
        </is>
      </c>
      <c r="S2566" s="387" t="n"/>
      <c r="T2566" s="387" t="n"/>
      <c r="U2566" s="436" t="n"/>
      <c r="V2566" s="387" t="n"/>
      <c r="W2566" s="387">
        <f>IF(AND(N2566=1,O2566&lt;&gt;""),C2566,"")</f>
        <v/>
      </c>
      <c r="X2566" s="387" t="n"/>
      <c r="Y2566" s="387" t="n"/>
    </row>
    <row r="2567" hidden="1" ht="16.05" customFormat="1" customHeight="1" s="126">
      <c r="A2567" s="125" t="n">
        <v>3188</v>
      </c>
      <c r="B2567" s="125" t="n"/>
      <c r="C2567" s="130" t="inlineStr">
        <is>
          <t>Омск</t>
        </is>
      </c>
      <c r="D2567" s="130" t="inlineStr">
        <is>
          <t>Омск</t>
        </is>
      </c>
      <c r="E2567" s="130" t="n"/>
      <c r="F2567" s="130" t="inlineStr">
        <is>
          <t>АЗС</t>
        </is>
      </c>
      <c r="G2567" s="130" t="inlineStr">
        <is>
          <t>Газпромнефть</t>
        </is>
      </c>
      <c r="H2567" s="131" t="n"/>
      <c r="I2567" s="637" t="n">
        <v>31070</v>
      </c>
      <c r="J2567" s="637" t="inlineStr">
        <is>
          <t>GPN_31070</t>
        </is>
      </c>
      <c r="K2567" s="640" t="n">
        <v>3</v>
      </c>
      <c r="L2567" s="640" t="n">
        <v>1</v>
      </c>
      <c r="M2567" s="623" t="n">
        <v>3</v>
      </c>
      <c r="N2567" s="640" t="n"/>
      <c r="O2567" s="640">
        <f>IF(AND(N2567=1,L2567=1),K2567,"")</f>
        <v/>
      </c>
      <c r="P2567" s="642" t="inlineStr">
        <is>
          <t>г.Омск, ул. 2-я Солнечная, д.40/1</t>
        </is>
      </c>
      <c r="Q2567" s="640" t="inlineStr">
        <is>
          <t>54.998938</t>
        </is>
      </c>
      <c r="R2567" s="494" t="inlineStr">
        <is>
          <t>73.211276</t>
        </is>
      </c>
      <c r="S2567" s="387" t="n"/>
      <c r="T2567" s="387" t="n"/>
      <c r="U2567" s="436" t="n"/>
      <c r="V2567" s="387" t="n"/>
      <c r="W2567" s="387">
        <f>IF(AND(N2567=1,O2567&lt;&gt;""),C2567,"")</f>
        <v/>
      </c>
      <c r="X2567" s="387" t="n"/>
      <c r="Y2567" s="387" t="n"/>
    </row>
    <row r="2568" hidden="1" ht="16.05" customFormat="1" customHeight="1" s="126">
      <c r="A2568" s="125" t="n">
        <v>3189</v>
      </c>
      <c r="B2568" s="125" t="n"/>
      <c r="C2568" s="130" t="inlineStr">
        <is>
          <t>Омск</t>
        </is>
      </c>
      <c r="D2568" s="130" t="inlineStr">
        <is>
          <t>Омск</t>
        </is>
      </c>
      <c r="E2568" s="130" t="n"/>
      <c r="F2568" s="130" t="inlineStr">
        <is>
          <t>АЗС</t>
        </is>
      </c>
      <c r="G2568" s="130" t="inlineStr">
        <is>
          <t>Газпромнефть</t>
        </is>
      </c>
      <c r="H2568" s="131" t="n"/>
      <c r="I2568" s="637" t="n">
        <v>31072</v>
      </c>
      <c r="J2568" s="637" t="inlineStr">
        <is>
          <t>GPN_31072</t>
        </is>
      </c>
      <c r="K2568" s="640" t="n">
        <v>2</v>
      </c>
      <c r="L2568" s="640" t="n">
        <v>1</v>
      </c>
      <c r="M2568" s="623" t="n">
        <v>2</v>
      </c>
      <c r="N2568" s="640" t="n"/>
      <c r="O2568" s="640">
        <f>IF(AND(N2568=1,L2568=1),K2568,"")</f>
        <v/>
      </c>
      <c r="P2568" s="642" t="inlineStr">
        <is>
          <t>г.Омск, ул. Завертяева, д. 22А</t>
        </is>
      </c>
      <c r="Q2568" s="640" t="inlineStr">
        <is>
          <t>55.033589</t>
        </is>
      </c>
      <c r="R2568" s="494" t="inlineStr">
        <is>
          <t>73.439332</t>
        </is>
      </c>
      <c r="S2568" s="387" t="n"/>
      <c r="T2568" s="387" t="n"/>
      <c r="U2568" s="436" t="n"/>
      <c r="V2568" s="387" t="n"/>
      <c r="W2568" s="387">
        <f>IF(AND(N2568=1,O2568&lt;&gt;""),C2568,"")</f>
        <v/>
      </c>
      <c r="X2568" s="387" t="n"/>
      <c r="Y2568" s="387" t="n"/>
    </row>
    <row r="2569" hidden="1" ht="16.05" customFormat="1" customHeight="1" s="126">
      <c r="A2569" s="125" t="n">
        <v>3190</v>
      </c>
      <c r="B2569" s="125" t="n"/>
      <c r="C2569" s="130" t="inlineStr">
        <is>
          <t>Омск</t>
        </is>
      </c>
      <c r="D2569" s="130" t="inlineStr">
        <is>
          <t>Омск</t>
        </is>
      </c>
      <c r="E2569" s="130" t="n"/>
      <c r="F2569" s="130" t="inlineStr">
        <is>
          <t>АЗС</t>
        </is>
      </c>
      <c r="G2569" s="130" t="inlineStr">
        <is>
          <t>Газпромнефть</t>
        </is>
      </c>
      <c r="H2569" s="131" t="n"/>
      <c r="I2569" s="637" t="n">
        <v>31078</v>
      </c>
      <c r="J2569" s="637" t="inlineStr">
        <is>
          <t>GPN_31078</t>
        </is>
      </c>
      <c r="K2569" s="640" t="n">
        <v>3</v>
      </c>
      <c r="L2569" s="640" t="n">
        <v>1</v>
      </c>
      <c r="M2569" s="623" t="n">
        <v>3</v>
      </c>
      <c r="N2569" s="640" t="n"/>
      <c r="O2569" s="640">
        <f>IF(AND(N2569=1,L2569=1),K2569,"")</f>
        <v/>
      </c>
      <c r="P2569" s="642" t="inlineStr">
        <is>
          <t>г.Омск тракт Черлакский д.10</t>
        </is>
      </c>
      <c r="Q2569" s="640" t="inlineStr">
        <is>
          <t>54.880034</t>
        </is>
      </c>
      <c r="R2569" s="494" t="inlineStr">
        <is>
          <t>73.439287</t>
        </is>
      </c>
      <c r="S2569" s="387" t="n"/>
      <c r="T2569" s="387" t="n"/>
      <c r="U2569" s="436" t="n"/>
      <c r="V2569" s="387" t="n"/>
      <c r="W2569" s="387">
        <f>IF(AND(N2569=1,O2569&lt;&gt;""),C2569,"")</f>
        <v/>
      </c>
      <c r="X2569" s="387" t="n"/>
      <c r="Y2569" s="387" t="n"/>
    </row>
    <row r="2570" hidden="1" ht="16.05" customFormat="1" customHeight="1" s="126">
      <c r="A2570" s="125" t="n">
        <v>3191</v>
      </c>
      <c r="B2570" s="125" t="n"/>
      <c r="C2570" s="130" t="inlineStr">
        <is>
          <t>Омск</t>
        </is>
      </c>
      <c r="D2570" s="130" t="inlineStr">
        <is>
          <t>Омск</t>
        </is>
      </c>
      <c r="E2570" s="130" t="n"/>
      <c r="F2570" s="130" t="inlineStr">
        <is>
          <t>АЗС</t>
        </is>
      </c>
      <c r="G2570" s="130" t="inlineStr">
        <is>
          <t>Газпромнефть</t>
        </is>
      </c>
      <c r="H2570" s="131" t="n"/>
      <c r="I2570" s="637" t="n">
        <v>31080</v>
      </c>
      <c r="J2570" s="637" t="inlineStr">
        <is>
          <t>GPN_31080</t>
        </is>
      </c>
      <c r="K2570" s="640" t="n">
        <v>1</v>
      </c>
      <c r="L2570" s="640" t="n">
        <v>1</v>
      </c>
      <c r="M2570" s="623" t="n">
        <v>1</v>
      </c>
      <c r="N2570" s="640" t="n"/>
      <c r="O2570" s="640">
        <f>IF(AND(N2570=1,L2570=1),K2570,"")</f>
        <v/>
      </c>
      <c r="P2570" s="642" t="inlineStr">
        <is>
          <t>Омская область, Омский район , 792 км автодороги М-51 "Байкал"</t>
        </is>
      </c>
      <c r="Q2570" s="640" t="inlineStr">
        <is>
          <t>54.953556</t>
        </is>
      </c>
      <c r="R2570" s="494" t="inlineStr">
        <is>
          <t>73.059994</t>
        </is>
      </c>
      <c r="S2570" s="387" t="n"/>
      <c r="T2570" s="387" t="n"/>
      <c r="U2570" s="436" t="n"/>
      <c r="V2570" s="387" t="n"/>
      <c r="W2570" s="387">
        <f>IF(AND(N2570=1,O2570&lt;&gt;""),C2570,"")</f>
        <v/>
      </c>
      <c r="X2570" s="387" t="n"/>
      <c r="Y2570" s="387" t="n"/>
    </row>
    <row r="2571" hidden="1" ht="16.05" customFormat="1" customHeight="1" s="126">
      <c r="A2571" s="125" t="n">
        <v>3192</v>
      </c>
      <c r="B2571" s="125" t="n"/>
      <c r="C2571" s="130" t="inlineStr">
        <is>
          <t>Омск</t>
        </is>
      </c>
      <c r="D2571" s="130" t="inlineStr">
        <is>
          <t>Омск</t>
        </is>
      </c>
      <c r="E2571" s="130" t="n"/>
      <c r="F2571" s="130" t="inlineStr">
        <is>
          <t>АЗС</t>
        </is>
      </c>
      <c r="G2571" s="130" t="inlineStr">
        <is>
          <t>Газпромнефть</t>
        </is>
      </c>
      <c r="H2571" s="131" t="n"/>
      <c r="I2571" s="637" t="n">
        <v>31090</v>
      </c>
      <c r="J2571" s="637" t="inlineStr">
        <is>
          <t>GPN_31090</t>
        </is>
      </c>
      <c r="K2571" s="640" t="n">
        <v>3</v>
      </c>
      <c r="L2571" s="640" t="n">
        <v>1</v>
      </c>
      <c r="M2571" s="623" t="n">
        <v>4</v>
      </c>
      <c r="N2571" s="640" t="n"/>
      <c r="O2571" s="640">
        <f>IF(AND(N2571=1,L2571=1),K2571,"")</f>
        <v/>
      </c>
      <c r="P2571" s="642" t="inlineStr">
        <is>
          <t>г. Омск, ул. Мельничная, 132</t>
        </is>
      </c>
      <c r="Q2571" s="640" t="inlineStr">
        <is>
          <t>54.900187</t>
        </is>
      </c>
      <c r="R2571" s="494" t="inlineStr">
        <is>
          <t>73.304899</t>
        </is>
      </c>
      <c r="S2571" s="387" t="n"/>
      <c r="T2571" s="387" t="n"/>
      <c r="U2571" s="436" t="n"/>
      <c r="V2571" s="387" t="n"/>
      <c r="W2571" s="387">
        <f>IF(AND(N2571=1,O2571&lt;&gt;""),C2571,"")</f>
        <v/>
      </c>
      <c r="X2571" s="387" t="n"/>
      <c r="Y2571" s="387" t="n"/>
    </row>
    <row r="2572" hidden="1" ht="16.05" customFormat="1" customHeight="1" s="126">
      <c r="A2572" s="125" t="n">
        <v>3193</v>
      </c>
      <c r="B2572" s="125" t="n"/>
      <c r="C2572" s="130" t="inlineStr">
        <is>
          <t>Омск</t>
        </is>
      </c>
      <c r="D2572" s="130" t="inlineStr">
        <is>
          <t>Омск</t>
        </is>
      </c>
      <c r="E2572" s="130" t="n"/>
      <c r="F2572" s="130" t="inlineStr">
        <is>
          <t>АЗС</t>
        </is>
      </c>
      <c r="G2572" s="130" t="inlineStr">
        <is>
          <t>Газпромнефть</t>
        </is>
      </c>
      <c r="H2572" s="131" t="n"/>
      <c r="I2572" s="637" t="n">
        <v>31122</v>
      </c>
      <c r="J2572" s="637" t="inlineStr">
        <is>
          <t>GPN_31122</t>
        </is>
      </c>
      <c r="K2572" s="640" t="n">
        <v>1</v>
      </c>
      <c r="L2572" s="640" t="n">
        <v>1</v>
      </c>
      <c r="M2572" s="623" t="n">
        <v>1</v>
      </c>
      <c r="N2572" s="640" t="n"/>
      <c r="O2572" s="640">
        <f>IF(AND(N2572=1,L2572=1),K2572,"")</f>
        <v/>
      </c>
      <c r="P2572" s="642" t="inlineStr">
        <is>
          <t>г.Омск 34-я Рабочая, 9а</t>
        </is>
      </c>
      <c r="Q2572" s="640" t="inlineStr">
        <is>
          <t>54.9312</t>
        </is>
      </c>
      <c r="R2572" s="494" t="inlineStr">
        <is>
          <t>73.44323</t>
        </is>
      </c>
      <c r="S2572" s="387" t="n"/>
      <c r="T2572" s="387" t="n"/>
      <c r="U2572" s="436" t="n"/>
      <c r="V2572" s="387" t="n"/>
      <c r="W2572" s="387">
        <f>IF(AND(N2572=1,O2572&lt;&gt;""),C2572,"")</f>
        <v/>
      </c>
      <c r="X2572" s="387" t="n"/>
      <c r="Y2572" s="387" t="n"/>
    </row>
    <row r="2573" hidden="1" ht="16.05" customFormat="1" customHeight="1" s="126">
      <c r="A2573" s="125" t="n">
        <v>3194</v>
      </c>
      <c r="B2573" s="125" t="n"/>
      <c r="C2573" s="130" t="inlineStr">
        <is>
          <t>Омск</t>
        </is>
      </c>
      <c r="D2573" s="130" t="inlineStr">
        <is>
          <t>Омск</t>
        </is>
      </c>
      <c r="E2573" s="130" t="n"/>
      <c r="F2573" s="130" t="inlineStr">
        <is>
          <t>АЗС</t>
        </is>
      </c>
      <c r="G2573" s="130" t="inlineStr">
        <is>
          <t>Газпромнефть</t>
        </is>
      </c>
      <c r="H2573" s="131" t="n"/>
      <c r="I2573" s="637" t="n">
        <v>31131</v>
      </c>
      <c r="J2573" s="637" t="inlineStr">
        <is>
          <t>GPN_31131</t>
        </is>
      </c>
      <c r="K2573" s="640" t="n">
        <v>3</v>
      </c>
      <c r="L2573" s="640" t="n">
        <v>1</v>
      </c>
      <c r="M2573" s="623" t="n">
        <v>5</v>
      </c>
      <c r="N2573" s="640" t="n"/>
      <c r="O2573" s="640">
        <f>IF(AND(N2573=1,L2573=1),K2573,"")</f>
        <v/>
      </c>
      <c r="P2573" s="642" t="inlineStr">
        <is>
          <t>г.Омск ,ул.Перелета, д.10</t>
        </is>
      </c>
      <c r="Q2573" s="640" t="inlineStr">
        <is>
          <t>54.995467</t>
        </is>
      </c>
      <c r="R2573" s="494" t="inlineStr">
        <is>
          <t>73.28863</t>
        </is>
      </c>
      <c r="S2573" s="387" t="n"/>
      <c r="T2573" s="387" t="n"/>
      <c r="U2573" s="436" t="n"/>
      <c r="V2573" s="387" t="n"/>
      <c r="W2573" s="387">
        <f>IF(AND(N2573=1,O2573&lt;&gt;""),C2573,"")</f>
        <v/>
      </c>
      <c r="X2573" s="387" t="n"/>
      <c r="Y2573" s="387" t="n"/>
    </row>
    <row r="2574" hidden="1" ht="16.05" customFormat="1" customHeight="1" s="126">
      <c r="A2574" s="125" t="n">
        <v>3195</v>
      </c>
      <c r="B2574" s="125" t="n"/>
      <c r="C2574" s="130" t="inlineStr">
        <is>
          <t>Омск</t>
        </is>
      </c>
      <c r="D2574" s="130" t="inlineStr">
        <is>
          <t>Омск</t>
        </is>
      </c>
      <c r="E2574" s="130" t="n"/>
      <c r="F2574" s="130" t="inlineStr">
        <is>
          <t>АЗС</t>
        </is>
      </c>
      <c r="G2574" s="130" t="inlineStr">
        <is>
          <t>Газпромнефть</t>
        </is>
      </c>
      <c r="H2574" s="131" t="n"/>
      <c r="I2574" s="637" t="n">
        <v>31132</v>
      </c>
      <c r="J2574" s="637" t="inlineStr">
        <is>
          <t>GPN_31132</t>
        </is>
      </c>
      <c r="K2574" s="640" t="n">
        <v>3</v>
      </c>
      <c r="L2574" s="640" t="n">
        <v>1</v>
      </c>
      <c r="M2574" s="623" t="n">
        <v>5</v>
      </c>
      <c r="N2574" s="640" t="n"/>
      <c r="O2574" s="640">
        <f>IF(AND(N2574=1,L2574=1),K2574,"")</f>
        <v/>
      </c>
      <c r="P2574" s="642" t="inlineStr">
        <is>
          <t>г. Омск, ул. 10лет Октября, д. 90, корп.1</t>
        </is>
      </c>
      <c r="Q2574" s="640" t="inlineStr">
        <is>
          <t>54.984625</t>
        </is>
      </c>
      <c r="R2574" s="494" t="inlineStr">
        <is>
          <t>73.400336</t>
        </is>
      </c>
      <c r="S2574" s="387" t="n"/>
      <c r="T2574" s="387" t="n"/>
      <c r="U2574" s="436" t="n"/>
      <c r="V2574" s="387" t="n"/>
      <c r="W2574" s="387">
        <f>IF(AND(N2574=1,O2574&lt;&gt;""),C2574,"")</f>
        <v/>
      </c>
      <c r="X2574" s="387" t="n"/>
      <c r="Y2574" s="387" t="n"/>
    </row>
    <row r="2575" hidden="1" ht="16.05" customFormat="1" customHeight="1" s="126">
      <c r="A2575" s="125" t="n">
        <v>3197</v>
      </c>
      <c r="B2575" s="125" t="n"/>
      <c r="C2575" s="416" t="inlineStr">
        <is>
          <t>Алтайский край</t>
        </is>
      </c>
      <c r="D2575" s="130" t="inlineStr">
        <is>
          <t>Барнаул</t>
        </is>
      </c>
      <c r="E2575" s="130" t="n"/>
      <c r="F2575" s="130" t="inlineStr">
        <is>
          <t>АЗС</t>
        </is>
      </c>
      <c r="G2575" s="130" t="inlineStr">
        <is>
          <t>Газпромнефть</t>
        </is>
      </c>
      <c r="H2575" s="131" t="n"/>
      <c r="I2575" s="637" t="n">
        <v>32202</v>
      </c>
      <c r="J2575" s="637" t="inlineStr">
        <is>
          <t>GPN_32202</t>
        </is>
      </c>
      <c r="K2575" s="640" t="n">
        <v>1</v>
      </c>
      <c r="L2575" s="640" t="n">
        <v>1</v>
      </c>
      <c r="M2575" s="623" t="n">
        <v>1</v>
      </c>
      <c r="N2575" s="640" t="n"/>
      <c r="O2575" s="640">
        <f>IF(AND(N2575=1,L2575=1),K2575,"")</f>
        <v/>
      </c>
      <c r="P2575" s="642" t="inlineStr">
        <is>
          <t>г.Барнаул, ул.Сельскохозяйственная, 1а</t>
        </is>
      </c>
      <c r="Q2575" s="640" t="inlineStr">
        <is>
          <t>53.342645</t>
        </is>
      </c>
      <c r="R2575" s="494" t="inlineStr">
        <is>
          <t>83.71384</t>
        </is>
      </c>
      <c r="S2575" s="387" t="n"/>
      <c r="T2575" s="387" t="n"/>
      <c r="U2575" s="436" t="n"/>
      <c r="V2575" s="387" t="n"/>
      <c r="W2575" s="387">
        <f>IF(AND(N2575=1,O2575&lt;&gt;""),C2575,"")</f>
        <v/>
      </c>
      <c r="X2575" s="387" t="n"/>
      <c r="Y2575" s="387" t="n"/>
    </row>
    <row r="2576" hidden="1" ht="16.05" customFormat="1" customHeight="1" s="126">
      <c r="A2576" s="125" t="n">
        <v>3198</v>
      </c>
      <c r="B2576" s="125" t="n"/>
      <c r="C2576" s="416" t="inlineStr">
        <is>
          <t>Алтайский край</t>
        </is>
      </c>
      <c r="D2576" s="130" t="inlineStr">
        <is>
          <t>Барнаул</t>
        </is>
      </c>
      <c r="E2576" s="130" t="n"/>
      <c r="F2576" s="130" t="inlineStr">
        <is>
          <t>АЗС</t>
        </is>
      </c>
      <c r="G2576" s="130" t="inlineStr">
        <is>
          <t>Газпромнефть</t>
        </is>
      </c>
      <c r="H2576" s="131" t="n"/>
      <c r="I2576" s="637" t="n">
        <v>32205</v>
      </c>
      <c r="J2576" s="637" t="inlineStr">
        <is>
          <t>GPN_32205</t>
        </is>
      </c>
      <c r="K2576" s="640" t="n">
        <v>1</v>
      </c>
      <c r="L2576" s="640" t="n">
        <v>1</v>
      </c>
      <c r="M2576" s="623" t="n">
        <v>1</v>
      </c>
      <c r="N2576" s="640" t="n"/>
      <c r="O2576" s="640">
        <f>IF(AND(N2576=1,L2576=1),K2576,"")</f>
        <v/>
      </c>
      <c r="P2576" s="642" t="inlineStr">
        <is>
          <t>г.Барнаул, пер. Шевченко,177-б</t>
        </is>
      </c>
      <c r="Q2576" s="640" t="inlineStr">
        <is>
          <t>53.336059</t>
        </is>
      </c>
      <c r="R2576" s="494" t="inlineStr">
        <is>
          <t>83.75112</t>
        </is>
      </c>
      <c r="S2576" s="387" t="n"/>
      <c r="T2576" s="387" t="n"/>
      <c r="U2576" s="436" t="n"/>
      <c r="V2576" s="387" t="n"/>
      <c r="W2576" s="387">
        <f>IF(AND(N2576=1,O2576&lt;&gt;""),C2576,"")</f>
        <v/>
      </c>
      <c r="X2576" s="387" t="n"/>
      <c r="Y2576" s="387" t="n"/>
    </row>
    <row r="2577" hidden="1" ht="16.05" customFormat="1" customHeight="1" s="126">
      <c r="A2577" s="125" t="n">
        <v>3196</v>
      </c>
      <c r="B2577" s="125" t="n"/>
      <c r="C2577" s="416" t="inlineStr">
        <is>
          <t>Алтайский край</t>
        </is>
      </c>
      <c r="D2577" s="130" t="inlineStr">
        <is>
          <t>Барнаул</t>
        </is>
      </c>
      <c r="E2577" s="130" t="n"/>
      <c r="F2577" s="130" t="inlineStr">
        <is>
          <t>АЗС</t>
        </is>
      </c>
      <c r="G2577" s="130" t="inlineStr">
        <is>
          <t>Газпромнефть</t>
        </is>
      </c>
      <c r="H2577" s="131" t="n"/>
      <c r="I2577" s="637" t="n">
        <v>32200</v>
      </c>
      <c r="J2577" s="637" t="inlineStr">
        <is>
          <t>GPN_32200</t>
        </is>
      </c>
      <c r="K2577" s="640" t="n">
        <v>3</v>
      </c>
      <c r="L2577" s="640" t="n">
        <v>1</v>
      </c>
      <c r="M2577" s="623" t="n">
        <v>5</v>
      </c>
      <c r="N2577" s="640" t="n"/>
      <c r="O2577" s="640">
        <f>IF(AND(N2577=1,L2577=1),K2577,"")</f>
        <v/>
      </c>
      <c r="P2577" s="642" t="inlineStr">
        <is>
          <t>г.Барнаул,ул.Гоголя,51</t>
        </is>
      </c>
      <c r="Q2577" s="640" t="inlineStr">
        <is>
          <t>53.333338</t>
        </is>
      </c>
      <c r="R2577" s="494" t="inlineStr">
        <is>
          <t xml:space="preserve">83.791391 </t>
        </is>
      </c>
      <c r="S2577" s="387" t="n"/>
      <c r="T2577" s="387" t="n"/>
      <c r="U2577" s="436" t="n"/>
      <c r="V2577" s="387" t="n"/>
      <c r="W2577" s="387">
        <f>IF(AND(N2577=1,O2577&lt;&gt;""),C2577,"")</f>
        <v/>
      </c>
      <c r="X2577" s="387" t="n"/>
      <c r="Y2577" s="387" t="n"/>
    </row>
    <row r="2578" hidden="1" ht="27" customFormat="1" customHeight="1" s="126">
      <c r="A2578" s="125" t="n">
        <v>3199</v>
      </c>
      <c r="B2578" s="125" t="n"/>
      <c r="C2578" s="416" t="inlineStr">
        <is>
          <t>Алтайский край</t>
        </is>
      </c>
      <c r="D2578" s="130" t="inlineStr">
        <is>
          <t>Барнаул</t>
        </is>
      </c>
      <c r="E2578" s="130" t="n"/>
      <c r="F2578" s="130" t="inlineStr">
        <is>
          <t>АЗС</t>
        </is>
      </c>
      <c r="G2578" s="130" t="inlineStr">
        <is>
          <t>Газпромнефть</t>
        </is>
      </c>
      <c r="H2578" s="131" t="n"/>
      <c r="I2578" s="637" t="n">
        <v>32210</v>
      </c>
      <c r="J2578" s="637" t="inlineStr">
        <is>
          <t>GPN_32210</t>
        </is>
      </c>
      <c r="K2578" s="640" t="n">
        <v>1</v>
      </c>
      <c r="L2578" s="640" t="n">
        <v>1</v>
      </c>
      <c r="M2578" s="623" t="n">
        <v>1</v>
      </c>
      <c r="N2578" s="640" t="n"/>
      <c r="O2578" s="640">
        <f>IF(AND(N2578=1,L2578=1),K2578,"")</f>
        <v/>
      </c>
      <c r="P2578" s="642" t="inlineStr">
        <is>
          <t>г.Барнаул, пр.Космонавтов,18а</t>
        </is>
      </c>
      <c r="Q2578" s="640" t="inlineStr">
        <is>
          <t>53.387662</t>
        </is>
      </c>
      <c r="R2578" s="494" t="inlineStr">
        <is>
          <t>83.68256</t>
        </is>
      </c>
      <c r="S2578" s="387" t="n"/>
      <c r="T2578" s="387" t="n"/>
      <c r="U2578" s="436" t="n"/>
      <c r="V2578" s="387" t="n"/>
      <c r="W2578" s="387">
        <f>IF(AND(N2578=1,O2578&lt;&gt;""),C2578,"")</f>
        <v/>
      </c>
      <c r="X2578" s="387" t="n"/>
      <c r="Y2578" s="387" t="n"/>
    </row>
    <row r="2579" hidden="1" ht="27" customFormat="1" customHeight="1" s="126">
      <c r="A2579" s="125" t="n">
        <v>3200</v>
      </c>
      <c r="B2579" s="125" t="n"/>
      <c r="C2579" s="416" t="inlineStr">
        <is>
          <t>Алтайский край</t>
        </is>
      </c>
      <c r="D2579" s="130" t="inlineStr">
        <is>
          <t>Барнаул</t>
        </is>
      </c>
      <c r="E2579" s="130" t="n"/>
      <c r="F2579" s="130" t="inlineStr">
        <is>
          <t>АЗС</t>
        </is>
      </c>
      <c r="G2579" s="130" t="inlineStr">
        <is>
          <t>Газпромнефть</t>
        </is>
      </c>
      <c r="H2579" s="131" t="n"/>
      <c r="I2579" s="637" t="n">
        <v>32213</v>
      </c>
      <c r="J2579" s="637" t="inlineStr">
        <is>
          <t>GPN_32213</t>
        </is>
      </c>
      <c r="K2579" s="640" t="n">
        <v>1</v>
      </c>
      <c r="L2579" s="640" t="n">
        <v>1</v>
      </c>
      <c r="M2579" s="623" t="n">
        <v>1</v>
      </c>
      <c r="N2579" s="640" t="n"/>
      <c r="O2579" s="640">
        <f>IF(AND(N2579=1,L2579=1),K2579,"")</f>
        <v/>
      </c>
      <c r="P2579" s="642" t="inlineStr">
        <is>
          <t>г.Барнаул, ул. Парфенова,21</t>
        </is>
      </c>
      <c r="Q2579" s="640" t="inlineStr">
        <is>
          <t>53.371428</t>
        </is>
      </c>
      <c r="R2579" s="494" t="inlineStr">
        <is>
          <t>83.795732</t>
        </is>
      </c>
      <c r="S2579" s="387" t="n"/>
      <c r="T2579" s="387" t="n"/>
      <c r="U2579" s="436" t="n"/>
      <c r="V2579" s="387" t="n"/>
      <c r="W2579" s="387">
        <f>IF(AND(N2579=1,O2579&lt;&gt;""),C2579,"")</f>
        <v/>
      </c>
      <c r="X2579" s="387" t="n"/>
      <c r="Y2579" s="387" t="n"/>
    </row>
    <row r="2580" hidden="1" ht="27" customFormat="1" customHeight="1" s="126">
      <c r="A2580" s="125" t="n">
        <v>3201</v>
      </c>
      <c r="B2580" s="125" t="n"/>
      <c r="C2580" s="416" t="inlineStr">
        <is>
          <t>Алтайский край</t>
        </is>
      </c>
      <c r="D2580" s="130" t="inlineStr">
        <is>
          <t>Барнаул</t>
        </is>
      </c>
      <c r="E2580" s="130" t="n"/>
      <c r="F2580" s="130" t="inlineStr">
        <is>
          <t>АЗС</t>
        </is>
      </c>
      <c r="G2580" s="130" t="inlineStr">
        <is>
          <t>Газпромнефть</t>
        </is>
      </c>
      <c r="H2580" s="131" t="n"/>
      <c r="I2580" s="637" t="n">
        <v>32218</v>
      </c>
      <c r="J2580" s="637" t="inlineStr">
        <is>
          <t>GPN_32218</t>
        </is>
      </c>
      <c r="K2580" s="640" t="n">
        <v>3</v>
      </c>
      <c r="L2580" s="640" t="n">
        <v>0</v>
      </c>
      <c r="M2580" s="623" t="n">
        <v>3</v>
      </c>
      <c r="N2580" s="640" t="n"/>
      <c r="O2580" s="640">
        <f>IF(AND(N2580=1,L2580=1),K2580,"")</f>
        <v/>
      </c>
      <c r="P2580" s="642" t="inlineStr">
        <is>
          <t>г. Барнаул, пр-т. Калинина, 37А</t>
        </is>
      </c>
      <c r="Q2580" s="640" t="inlineStr">
        <is>
          <t>53.371844</t>
        </is>
      </c>
      <c r="R2580" s="494" t="inlineStr">
        <is>
          <t>83.758755</t>
        </is>
      </c>
      <c r="S2580" s="387" t="n"/>
      <c r="T2580" s="387" t="n"/>
      <c r="U2580" s="436" t="n"/>
      <c r="V2580" s="387" t="n"/>
      <c r="W2580" s="387">
        <f>IF(AND(N2580=1,O2580&lt;&gt;""),C2580,"")</f>
        <v/>
      </c>
      <c r="X2580" s="387" t="n"/>
      <c r="Y2580" s="387" t="n"/>
    </row>
    <row r="2581" hidden="1" ht="27" customFormat="1" customHeight="1" s="126">
      <c r="A2581" s="125" t="n">
        <v>3202</v>
      </c>
      <c r="B2581" s="125" t="n"/>
      <c r="C2581" s="416" t="inlineStr">
        <is>
          <t>Алтайский край</t>
        </is>
      </c>
      <c r="D2581" s="130" t="inlineStr">
        <is>
          <t>Барнаул</t>
        </is>
      </c>
      <c r="E2581" s="130" t="n"/>
      <c r="F2581" s="130" t="inlineStr">
        <is>
          <t>АЗС</t>
        </is>
      </c>
      <c r="G2581" s="130" t="inlineStr">
        <is>
          <t>Газпромнефть</t>
        </is>
      </c>
      <c r="H2581" s="131" t="n"/>
      <c r="I2581" s="637" t="n">
        <v>32219</v>
      </c>
      <c r="J2581" s="637" t="inlineStr">
        <is>
          <t>GPN_32219</t>
        </is>
      </c>
      <c r="K2581" s="640" t="n">
        <v>3</v>
      </c>
      <c r="L2581" s="640" t="n">
        <v>0</v>
      </c>
      <c r="M2581" s="623" t="n">
        <v>3</v>
      </c>
      <c r="N2581" s="640" t="n"/>
      <c r="O2581" s="640">
        <f>IF(AND(N2581=1,L2581=1),K2581,"")</f>
        <v/>
      </c>
      <c r="P2581" s="642" t="inlineStr">
        <is>
          <t>г. Барнаул, ул. Власихинская, 125</t>
        </is>
      </c>
      <c r="Q2581" s="640" t="inlineStr">
        <is>
          <t>53.329074</t>
        </is>
      </c>
      <c r="R2581" s="494" t="inlineStr">
        <is>
          <t>83.668493</t>
        </is>
      </c>
      <c r="S2581" s="387" t="n"/>
      <c r="T2581" s="387" t="n"/>
      <c r="U2581" s="436" t="n"/>
      <c r="V2581" s="387" t="n"/>
      <c r="W2581" s="387">
        <f>IF(AND(N2581=1,O2581&lt;&gt;""),C2581,"")</f>
        <v/>
      </c>
      <c r="X2581" s="387" t="n"/>
      <c r="Y2581" s="387" t="n"/>
    </row>
    <row r="2582" hidden="1" ht="27" customFormat="1" customHeight="1" s="126">
      <c r="A2582" s="125" t="n">
        <v>3203</v>
      </c>
      <c r="B2582" s="125" t="n"/>
      <c r="C2582" s="416" t="inlineStr">
        <is>
          <t>Алтайский край</t>
        </is>
      </c>
      <c r="D2582" s="130" t="inlineStr">
        <is>
          <t>Барнаул</t>
        </is>
      </c>
      <c r="E2582" s="130" t="n"/>
      <c r="F2582" s="130" t="inlineStr">
        <is>
          <t>АЗС</t>
        </is>
      </c>
      <c r="G2582" s="130" t="inlineStr">
        <is>
          <t>Газпромнефть</t>
        </is>
      </c>
      <c r="H2582" s="131" t="n"/>
      <c r="I2582" s="637" t="n">
        <v>32220</v>
      </c>
      <c r="J2582" s="637" t="inlineStr">
        <is>
          <t>GPN_32220</t>
        </is>
      </c>
      <c r="K2582" s="640" t="n">
        <v>3</v>
      </c>
      <c r="L2582" s="640" t="n">
        <v>0</v>
      </c>
      <c r="M2582" s="623" t="n">
        <v>3</v>
      </c>
      <c r="N2582" s="640" t="n"/>
      <c r="O2582" s="640">
        <f>IF(AND(N2582=1,L2582=1),K2582,"")</f>
        <v/>
      </c>
      <c r="P2582" s="642" t="inlineStr">
        <is>
          <t>г. Барнаул, ул. Малахова 107 Д</t>
        </is>
      </c>
      <c r="Q2582" s="640" t="inlineStr">
        <is>
          <t>53.345194</t>
        </is>
      </c>
      <c r="R2582" s="494" t="inlineStr">
        <is>
          <t>83.697203</t>
        </is>
      </c>
      <c r="S2582" s="387" t="n"/>
      <c r="T2582" s="387" t="n"/>
      <c r="U2582" s="436" t="n"/>
      <c r="V2582" s="387" t="n"/>
      <c r="W2582" s="387">
        <f>IF(AND(N2582=1,O2582&lt;&gt;""),C2582,"")</f>
        <v/>
      </c>
      <c r="X2582" s="387" t="n"/>
      <c r="Y2582" s="387" t="n"/>
    </row>
    <row r="2583" hidden="1" ht="27" customFormat="1" customHeight="1" s="126">
      <c r="A2583" s="125" t="n">
        <v>3204</v>
      </c>
      <c r="B2583" s="125" t="n"/>
      <c r="C2583" s="416" t="inlineStr">
        <is>
          <t>Алтайский край</t>
        </is>
      </c>
      <c r="D2583" s="130" t="inlineStr">
        <is>
          <t>Барнаул</t>
        </is>
      </c>
      <c r="E2583" s="130" t="n"/>
      <c r="F2583" s="130" t="inlineStr">
        <is>
          <t>АЗС</t>
        </is>
      </c>
      <c r="G2583" s="130" t="inlineStr">
        <is>
          <t>Газпромнефть</t>
        </is>
      </c>
      <c r="H2583" s="131" t="n"/>
      <c r="I2583" s="637" t="n">
        <v>32221</v>
      </c>
      <c r="J2583" s="637" t="inlineStr">
        <is>
          <t>GPN_32221</t>
        </is>
      </c>
      <c r="K2583" s="640" t="n">
        <v>3</v>
      </c>
      <c r="L2583" s="640" t="n">
        <v>1</v>
      </c>
      <c r="M2583" s="623" t="n">
        <v>5</v>
      </c>
      <c r="N2583" s="640" t="n"/>
      <c r="O2583" s="640">
        <f>IF(AND(N2583=1,L2583=1),K2583,"")</f>
        <v/>
      </c>
      <c r="P2583" s="642" t="inlineStr">
        <is>
          <t>г. Барнаул, ул. Правобережный тракт, поворот на с. Санниково (Барнаульское ш., 16)</t>
        </is>
      </c>
      <c r="Q2583" s="640" t="inlineStr">
        <is>
          <t>53.371977</t>
        </is>
      </c>
      <c r="R2583" s="494" t="inlineStr">
        <is>
          <t>83.969243</t>
        </is>
      </c>
      <c r="S2583" s="387" t="n"/>
      <c r="T2583" s="387" t="n"/>
      <c r="U2583" s="436" t="n"/>
      <c r="V2583" s="387" t="n"/>
      <c r="W2583" s="387">
        <f>IF(AND(N2583=1,O2583&lt;&gt;""),C2583,"")</f>
        <v/>
      </c>
      <c r="X2583" s="387" t="n"/>
      <c r="Y2583" s="387" t="n"/>
    </row>
    <row r="2584" hidden="1" ht="27" customFormat="1" customHeight="1" s="126">
      <c r="A2584" s="125" t="n">
        <v>3205</v>
      </c>
      <c r="B2584" s="125" t="n"/>
      <c r="C2584" s="416" t="inlineStr">
        <is>
          <t>Алтайский край</t>
        </is>
      </c>
      <c r="D2584" s="130" t="inlineStr">
        <is>
          <t>Новоалтайск</t>
        </is>
      </c>
      <c r="E2584" s="130" t="n"/>
      <c r="F2584" s="130" t="inlineStr">
        <is>
          <t>АЗС</t>
        </is>
      </c>
      <c r="G2584" s="130" t="inlineStr">
        <is>
          <t>Газпромнефть</t>
        </is>
      </c>
      <c r="H2584" s="131" t="n"/>
      <c r="I2584" s="637" t="n">
        <v>32222</v>
      </c>
      <c r="J2584" s="637" t="inlineStr">
        <is>
          <t>GPN_32222</t>
        </is>
      </c>
      <c r="K2584" s="640" t="n">
        <v>3</v>
      </c>
      <c r="L2584" s="640" t="n">
        <v>1</v>
      </c>
      <c r="M2584" s="623" t="n">
        <v>5</v>
      </c>
      <c r="N2584" s="640" t="n"/>
      <c r="O2584" s="640">
        <f>IF(AND(N2584=1,L2584=1),K2584,"")</f>
        <v/>
      </c>
      <c r="P2584" s="642" t="inlineStr">
        <is>
          <t>г. Новоалтайск, Барнаульское шоссе, д.16</t>
        </is>
      </c>
      <c r="Q2584" s="640" t="inlineStr">
        <is>
          <t>53.371946</t>
        </is>
      </c>
      <c r="R2584" s="494" t="inlineStr">
        <is>
          <t xml:space="preserve">83.969177 </t>
        </is>
      </c>
      <c r="S2584" s="387" t="n"/>
      <c r="T2584" s="387" t="n"/>
      <c r="U2584" s="436" t="n"/>
      <c r="V2584" s="387" t="n"/>
      <c r="W2584" s="387">
        <f>IF(AND(N2584=1,O2584&lt;&gt;""),C2584,"")</f>
        <v/>
      </c>
      <c r="X2584" s="387" t="n"/>
      <c r="Y2584" s="387" t="n"/>
    </row>
    <row r="2585" hidden="1" ht="27" customFormat="1" customHeight="1" s="126">
      <c r="A2585" s="125" t="n">
        <v>3206</v>
      </c>
      <c r="B2585" s="125" t="n"/>
      <c r="C2585" s="416" t="inlineStr">
        <is>
          <t>Алтайский край</t>
        </is>
      </c>
      <c r="D2585" s="130" t="inlineStr">
        <is>
          <t>Барнаул</t>
        </is>
      </c>
      <c r="E2585" s="130" t="n"/>
      <c r="F2585" s="130" t="inlineStr">
        <is>
          <t>АЗС</t>
        </is>
      </c>
      <c r="G2585" s="130" t="inlineStr">
        <is>
          <t>Газпромнефть</t>
        </is>
      </c>
      <c r="H2585" s="131" t="n"/>
      <c r="I2585" s="637" t="n">
        <v>32224</v>
      </c>
      <c r="J2585" s="637" t="inlineStr">
        <is>
          <t>GPN_32224</t>
        </is>
      </c>
      <c r="K2585" s="640" t="n">
        <v>3</v>
      </c>
      <c r="L2585" s="640" t="n">
        <v>1</v>
      </c>
      <c r="M2585" s="623" t="n">
        <v>5</v>
      </c>
      <c r="N2585" s="640" t="n"/>
      <c r="O2585" s="640">
        <f>IF(AND(N2585=1,L2585=1),K2585,"")</f>
        <v/>
      </c>
      <c r="P2585" s="642" t="inlineStr">
        <is>
          <t>Алтайский край, г.Барнаул, ул. Попова, 5в</t>
        </is>
      </c>
      <c r="Q2585" s="640" t="inlineStr">
        <is>
          <t>53.385578</t>
        </is>
      </c>
      <c r="R2585" s="494" t="inlineStr">
        <is>
          <t>83.685058</t>
        </is>
      </c>
      <c r="S2585" s="387" t="n"/>
      <c r="T2585" s="387" t="n"/>
      <c r="U2585" s="436" t="n"/>
      <c r="V2585" s="387" t="n"/>
      <c r="W2585" s="387">
        <f>IF(AND(N2585=1,O2585&lt;&gt;""),C2585,"")</f>
        <v/>
      </c>
      <c r="X2585" s="387" t="n"/>
      <c r="Y2585" s="387" t="n"/>
    </row>
    <row r="2586" hidden="1" ht="27" customFormat="1" customHeight="1" s="126">
      <c r="A2586" s="125" t="n">
        <v>3207</v>
      </c>
      <c r="B2586" s="125" t="n"/>
      <c r="C2586" s="416" t="inlineStr">
        <is>
          <t>Алтайский край</t>
        </is>
      </c>
      <c r="D2586" s="130" t="inlineStr">
        <is>
          <t>Барнаул</t>
        </is>
      </c>
      <c r="E2586" s="130" t="n"/>
      <c r="F2586" s="130" t="inlineStr">
        <is>
          <t>АЗС</t>
        </is>
      </c>
      <c r="G2586" s="130" t="inlineStr">
        <is>
          <t>Газпромнефть</t>
        </is>
      </c>
      <c r="H2586" s="131" t="n"/>
      <c r="I2586" s="637" t="n">
        <v>32225</v>
      </c>
      <c r="J2586" s="637" t="inlineStr">
        <is>
          <t>GPN_32225</t>
        </is>
      </c>
      <c r="K2586" s="640" t="n">
        <v>3</v>
      </c>
      <c r="L2586" s="640" t="n">
        <v>1</v>
      </c>
      <c r="M2586" s="623" t="n">
        <v>5</v>
      </c>
      <c r="N2586" s="640" t="n"/>
      <c r="O2586" s="640">
        <f>IF(AND(N2586=1,L2586=1),K2586,"")</f>
        <v/>
      </c>
      <c r="P2586" s="642" t="inlineStr">
        <is>
          <t>Алтайский край, г.Барнаул, Павловский тракт, 186</t>
        </is>
      </c>
      <c r="Q2586" s="640" t="inlineStr">
        <is>
          <t>53.34836</t>
        </is>
      </c>
      <c r="R2586" s="494" t="inlineStr">
        <is>
          <t>83.640878</t>
        </is>
      </c>
      <c r="S2586" s="387" t="n"/>
      <c r="T2586" s="387" t="n"/>
      <c r="U2586" s="436" t="n"/>
      <c r="V2586" s="387" t="n"/>
      <c r="W2586" s="387">
        <f>IF(AND(N2586=1,O2586&lt;&gt;""),C2586,"")</f>
        <v/>
      </c>
      <c r="X2586" s="387" t="n"/>
      <c r="Y2586" s="387" t="n"/>
    </row>
    <row r="2587" hidden="1" ht="27" customFormat="1" customHeight="1" s="126">
      <c r="A2587" s="125" t="n">
        <v>3208</v>
      </c>
      <c r="B2587" s="125" t="n"/>
      <c r="C2587" s="416" t="inlineStr">
        <is>
          <t>Алтайский край</t>
        </is>
      </c>
      <c r="D2587" s="130" t="inlineStr">
        <is>
          <t>Кемерово</t>
        </is>
      </c>
      <c r="E2587" s="130" t="n"/>
      <c r="F2587" s="130" t="inlineStr">
        <is>
          <t>АЗС</t>
        </is>
      </c>
      <c r="G2587" s="130" t="inlineStr">
        <is>
          <t>Газпромнефть</t>
        </is>
      </c>
      <c r="H2587" s="131" t="n"/>
      <c r="I2587" s="637" t="n">
        <v>33002</v>
      </c>
      <c r="J2587" s="637" t="inlineStr">
        <is>
          <t>GPN_33002</t>
        </is>
      </c>
      <c r="K2587" s="640" t="n">
        <v>3</v>
      </c>
      <c r="L2587" s="640" t="n">
        <v>1</v>
      </c>
      <c r="M2587" s="623" t="n">
        <v>4</v>
      </c>
      <c r="N2587" s="640" t="n"/>
      <c r="O2587" s="640">
        <f>IF(AND(N2587=1,L2587=1),K2587,"")</f>
        <v/>
      </c>
      <c r="P2587" s="642" t="inlineStr">
        <is>
          <t>г. Кемерово, пр. Кузнецкий,254(мясокомбинат)</t>
        </is>
      </c>
      <c r="Q2587" s="640" t="inlineStr">
        <is>
          <t>55.312293</t>
        </is>
      </c>
      <c r="R2587" s="494" t="inlineStr">
        <is>
          <t>86.034418</t>
        </is>
      </c>
      <c r="S2587" s="387" t="n"/>
      <c r="T2587" s="387" t="n"/>
      <c r="U2587" s="436" t="n"/>
      <c r="V2587" s="387" t="n"/>
      <c r="W2587" s="387">
        <f>IF(AND(N2587=1,O2587&lt;&gt;""),C2587,"")</f>
        <v/>
      </c>
      <c r="X2587" s="387" t="n"/>
      <c r="Y2587" s="387" t="n"/>
    </row>
    <row r="2588" hidden="1" ht="27" customFormat="1" customHeight="1" s="126">
      <c r="A2588" s="125" t="n">
        <v>3209</v>
      </c>
      <c r="B2588" s="125" t="n"/>
      <c r="C2588" s="416" t="inlineStr">
        <is>
          <t>Алтайский край</t>
        </is>
      </c>
      <c r="D2588" s="130" t="inlineStr">
        <is>
          <t>Кемерово</t>
        </is>
      </c>
      <c r="E2588" s="130" t="n"/>
      <c r="F2588" s="130" t="inlineStr">
        <is>
          <t>АЗС</t>
        </is>
      </c>
      <c r="G2588" s="130" t="inlineStr">
        <is>
          <t>Газпромнефть</t>
        </is>
      </c>
      <c r="H2588" s="131" t="n"/>
      <c r="I2588" s="637" t="n">
        <v>33003</v>
      </c>
      <c r="J2588" s="637" t="inlineStr">
        <is>
          <t>GPN_33003</t>
        </is>
      </c>
      <c r="K2588" s="640" t="n">
        <v>3</v>
      </c>
      <c r="L2588" s="640" t="n">
        <v>1</v>
      </c>
      <c r="M2588" s="623" t="n">
        <v>4</v>
      </c>
      <c r="N2588" s="640" t="n"/>
      <c r="O2588" s="640">
        <f>IF(AND(N2588=1,L2588=1),K2588,"")</f>
        <v/>
      </c>
      <c r="P2588" s="642" t="inlineStr">
        <is>
          <t>г. Кемерово, ул. Нахимова, (пост ГАИ на выезде в направлении гг. А-Судженск, Мариинск) (улица Нахимова, 250к2)</t>
        </is>
      </c>
      <c r="Q2588" s="640" t="inlineStr">
        <is>
          <t>55.436724</t>
        </is>
      </c>
      <c r="R2588" s="494" t="inlineStr">
        <is>
          <t>86.137563</t>
        </is>
      </c>
      <c r="S2588" s="387" t="n"/>
      <c r="T2588" s="387" t="n"/>
      <c r="U2588" s="436" t="n"/>
      <c r="V2588" s="387" t="n"/>
      <c r="W2588" s="387">
        <f>IF(AND(N2588=1,O2588&lt;&gt;""),C2588,"")</f>
        <v/>
      </c>
      <c r="X2588" s="387" t="n"/>
      <c r="Y2588" s="387" t="n"/>
    </row>
    <row r="2589" hidden="1" ht="27" customFormat="1" customHeight="1" s="126">
      <c r="A2589" s="125" t="n">
        <v>3210</v>
      </c>
      <c r="B2589" s="125" t="n"/>
      <c r="C2589" s="416" t="inlineStr">
        <is>
          <t>Алтайский край</t>
        </is>
      </c>
      <c r="D2589" s="130" t="inlineStr">
        <is>
          <t>Кемерово</t>
        </is>
      </c>
      <c r="E2589" s="130" t="n"/>
      <c r="F2589" s="130" t="inlineStr">
        <is>
          <t>АЗС</t>
        </is>
      </c>
      <c r="G2589" s="130" t="inlineStr">
        <is>
          <t>Газпромнефть</t>
        </is>
      </c>
      <c r="H2589" s="131" t="n"/>
      <c r="I2589" s="637" t="n">
        <v>33004</v>
      </c>
      <c r="J2589" s="637" t="inlineStr">
        <is>
          <t>GPN_33004</t>
        </is>
      </c>
      <c r="K2589" s="640" t="n">
        <v>3</v>
      </c>
      <c r="L2589" s="640" t="n">
        <v>1</v>
      </c>
      <c r="M2589" s="623" t="n">
        <v>3</v>
      </c>
      <c r="N2589" s="640" t="n"/>
      <c r="O2589" s="640">
        <f>IF(AND(N2589=1,L2589=1),K2589,"")</f>
        <v/>
      </c>
      <c r="P2589" s="642" t="inlineStr">
        <is>
          <t>г. Кемерово, ул. Нахимова 210(Сельская больница,школа46) (улица Нахимова, 210)</t>
        </is>
      </c>
      <c r="Q2589" s="640" t="inlineStr">
        <is>
          <t>55.412119</t>
        </is>
      </c>
      <c r="R2589" s="494" t="inlineStr">
        <is>
          <t>86.116034</t>
        </is>
      </c>
      <c r="S2589" s="387" t="n"/>
      <c r="T2589" s="387" t="n"/>
      <c r="U2589" s="436" t="n"/>
      <c r="V2589" s="387" t="n"/>
      <c r="W2589" s="387">
        <f>IF(AND(N2589=1,O2589&lt;&gt;""),C2589,"")</f>
        <v/>
      </c>
      <c r="X2589" s="387" t="n"/>
      <c r="Y2589" s="387" t="n"/>
    </row>
    <row r="2590" hidden="1" ht="27" customFormat="1" customHeight="1" s="126">
      <c r="A2590" s="125" t="n">
        <v>3211</v>
      </c>
      <c r="B2590" s="125" t="n"/>
      <c r="C2590" s="416" t="inlineStr">
        <is>
          <t>Алтайский край</t>
        </is>
      </c>
      <c r="D2590" s="130" t="inlineStr">
        <is>
          <t>Кемерово</t>
        </is>
      </c>
      <c r="E2590" s="130" t="n"/>
      <c r="F2590" s="130" t="inlineStr">
        <is>
          <t>АЗС</t>
        </is>
      </c>
      <c r="G2590" s="130" t="inlineStr">
        <is>
          <t>Газпромнефть</t>
        </is>
      </c>
      <c r="H2590" s="131" t="n"/>
      <c r="I2590" s="637" t="n">
        <v>33005</v>
      </c>
      <c r="J2590" s="637" t="inlineStr">
        <is>
          <t>GPN_33005</t>
        </is>
      </c>
      <c r="K2590" s="640" t="n">
        <v>3</v>
      </c>
      <c r="L2590" s="640" t="n">
        <v>1</v>
      </c>
      <c r="M2590" s="623" t="n">
        <v>4</v>
      </c>
      <c r="N2590" s="640" t="n"/>
      <c r="O2590" s="640">
        <f>IF(AND(N2590=1,L2590=1),K2590,"")</f>
        <v/>
      </c>
      <c r="P2590" s="642" t="inlineStr">
        <is>
          <t>г. Кемерово, ул. Тухачевского (Губернская) за поворотом на п. Южный в направлении аэропорта (улица Тухачевского, 42к1)</t>
        </is>
      </c>
      <c r="Q2590" s="640" t="inlineStr">
        <is>
          <t>55.321288</t>
        </is>
      </c>
      <c r="R2590" s="494" t="inlineStr">
        <is>
          <t>86.131009</t>
        </is>
      </c>
      <c r="S2590" s="387" t="n"/>
      <c r="T2590" s="387" t="n"/>
      <c r="U2590" s="436" t="n"/>
      <c r="V2590" s="387" t="n"/>
      <c r="W2590" s="387">
        <f>IF(AND(N2590=1,O2590&lt;&gt;""),C2590,"")</f>
        <v/>
      </c>
      <c r="X2590" s="387" t="n"/>
      <c r="Y2590" s="387" t="n"/>
    </row>
    <row r="2591" hidden="1" ht="27" customFormat="1" customHeight="1" s="126">
      <c r="A2591" s="125" t="n">
        <v>3212</v>
      </c>
      <c r="B2591" s="125" t="n"/>
      <c r="C2591" s="416" t="inlineStr">
        <is>
          <t>Алтайский край</t>
        </is>
      </c>
      <c r="D2591" s="130" t="inlineStr">
        <is>
          <t>Кемерово</t>
        </is>
      </c>
      <c r="E2591" s="130" t="n"/>
      <c r="F2591" s="130" t="inlineStr">
        <is>
          <t>АЗС</t>
        </is>
      </c>
      <c r="G2591" s="130" t="inlineStr">
        <is>
          <t>Газпромнефть</t>
        </is>
      </c>
      <c r="H2591" s="131" t="n"/>
      <c r="I2591" s="637" t="n">
        <v>33007</v>
      </c>
      <c r="J2591" s="637" t="inlineStr">
        <is>
          <t>GPN_33007</t>
        </is>
      </c>
      <c r="K2591" s="640" t="n">
        <v>3</v>
      </c>
      <c r="L2591" s="640" t="n">
        <v>1</v>
      </c>
      <c r="M2591" s="623" t="n">
        <v>4</v>
      </c>
      <c r="N2591" s="640" t="n"/>
      <c r="O2591" s="640">
        <f>IF(AND(N2591=1,L2591=1),K2591,"")</f>
        <v/>
      </c>
      <c r="P2591" s="642" t="inlineStr">
        <is>
          <t>г. Кемерово,Кировский р-н, 3-й Особый,выезд на Яшкино, ш. Егорова</t>
        </is>
      </c>
      <c r="Q2591" s="640" t="inlineStr">
        <is>
          <t>55.419751</t>
        </is>
      </c>
      <c r="R2591" s="494" t="inlineStr">
        <is>
          <t>86.043643</t>
        </is>
      </c>
      <c r="S2591" s="387" t="n"/>
      <c r="T2591" s="387" t="n"/>
      <c r="U2591" s="436" t="n"/>
      <c r="V2591" s="387" t="n"/>
      <c r="W2591" s="387">
        <f>IF(AND(N2591=1,O2591&lt;&gt;""),C2591,"")</f>
        <v/>
      </c>
      <c r="X2591" s="387" t="n"/>
      <c r="Y2591" s="387" t="n"/>
    </row>
    <row r="2592" hidden="1" customFormat="1" s="126">
      <c r="A2592" s="125" t="n">
        <v>3213</v>
      </c>
      <c r="B2592" s="125" t="n"/>
      <c r="C2592" s="416" t="inlineStr">
        <is>
          <t>Алтайский край</t>
        </is>
      </c>
      <c r="D2592" s="130" t="inlineStr">
        <is>
          <t>Кемерово</t>
        </is>
      </c>
      <c r="E2592" s="130" t="n"/>
      <c r="F2592" s="130" t="inlineStr">
        <is>
          <t>АЗС</t>
        </is>
      </c>
      <c r="G2592" s="130" t="inlineStr">
        <is>
          <t>Газпромнефть</t>
        </is>
      </c>
      <c r="H2592" s="131" t="n"/>
      <c r="I2592" s="637" t="n">
        <v>33008</v>
      </c>
      <c r="J2592" s="637" t="inlineStr">
        <is>
          <t>GPN_33008</t>
        </is>
      </c>
      <c r="K2592" s="640" t="n">
        <v>3</v>
      </c>
      <c r="L2592" s="640" t="n">
        <v>1</v>
      </c>
      <c r="M2592" s="623" t="n">
        <v>4</v>
      </c>
      <c r="N2592" s="640" t="n"/>
      <c r="O2592" s="640">
        <f>IF(AND(N2592=1,L2592=1),K2592,"")</f>
        <v/>
      </c>
      <c r="P2592" s="642" t="inlineStr">
        <is>
          <t>г. Кемерово, ул. Таврическая, 139 (выезд на Промышленное)</t>
        </is>
      </c>
      <c r="Q2592" s="640" t="inlineStr">
        <is>
          <t>55.299914</t>
        </is>
      </c>
      <c r="R2592" s="494" t="inlineStr">
        <is>
          <t>86.030823</t>
        </is>
      </c>
      <c r="S2592" s="387" t="n"/>
      <c r="T2592" s="387" t="n"/>
      <c r="U2592" s="436" t="n"/>
      <c r="V2592" s="387" t="n"/>
      <c r="W2592" s="387">
        <f>IF(AND(N2592=1,O2592&lt;&gt;""),C2592,"")</f>
        <v/>
      </c>
      <c r="X2592" s="387" t="n"/>
      <c r="Y2592" s="387" t="n"/>
    </row>
    <row r="2593" hidden="1" ht="27" customFormat="1" customHeight="1" s="126">
      <c r="A2593" s="125" t="n">
        <v>3214</v>
      </c>
      <c r="B2593" s="125" t="n"/>
      <c r="C2593" s="416" t="inlineStr">
        <is>
          <t>Алтайский край</t>
        </is>
      </c>
      <c r="D2593" s="130" t="inlineStr">
        <is>
          <t>Кемерово</t>
        </is>
      </c>
      <c r="E2593" s="130" t="n"/>
      <c r="F2593" s="130" t="inlineStr">
        <is>
          <t>АЗС</t>
        </is>
      </c>
      <c r="G2593" s="130" t="inlineStr">
        <is>
          <t>Газпромнефть</t>
        </is>
      </c>
      <c r="H2593" s="131" t="n"/>
      <c r="I2593" s="637" t="n">
        <v>33009</v>
      </c>
      <c r="J2593" s="637" t="inlineStr">
        <is>
          <t>GPN_33009</t>
        </is>
      </c>
      <c r="K2593" s="640" t="n">
        <v>3</v>
      </c>
      <c r="L2593" s="640" t="n">
        <v>1</v>
      </c>
      <c r="M2593" s="623" t="n">
        <v>4</v>
      </c>
      <c r="N2593" s="640" t="n"/>
      <c r="O2593" s="640">
        <f>IF(AND(N2593=1,L2593=1),K2593,"")</f>
        <v/>
      </c>
      <c r="P2593" s="642" t="inlineStr">
        <is>
          <t>г. Кемерово, пос. Пионер (пост ГАИ) выезд из города в направлении гг. Топки, Новосибирск)</t>
        </is>
      </c>
      <c r="Q2593" s="640" t="inlineStr">
        <is>
          <t>55.33043</t>
        </is>
      </c>
      <c r="R2593" s="494" t="inlineStr">
        <is>
          <t>85.931601</t>
        </is>
      </c>
      <c r="S2593" s="387" t="n"/>
      <c r="T2593" s="387" t="n"/>
      <c r="U2593" s="436" t="n"/>
      <c r="V2593" s="387" t="n"/>
      <c r="W2593" s="387">
        <f>IF(AND(N2593=1,O2593&lt;&gt;""),C2593,"")</f>
        <v/>
      </c>
      <c r="X2593" s="387" t="n"/>
      <c r="Y2593" s="387" t="n"/>
    </row>
    <row r="2594" hidden="1" ht="27" customFormat="1" customHeight="1" s="126">
      <c r="A2594" s="125" t="n">
        <v>3215</v>
      </c>
      <c r="B2594" s="125" t="n"/>
      <c r="C2594" s="416" t="inlineStr">
        <is>
          <t>Алтайский край</t>
        </is>
      </c>
      <c r="D2594" s="130" t="inlineStr">
        <is>
          <t>Кемерово</t>
        </is>
      </c>
      <c r="E2594" s="130" t="n"/>
      <c r="F2594" s="130" t="inlineStr">
        <is>
          <t>АЗС</t>
        </is>
      </c>
      <c r="G2594" s="130" t="inlineStr">
        <is>
          <t>Газпромнефть</t>
        </is>
      </c>
      <c r="H2594" s="131" t="n"/>
      <c r="I2594" s="637" t="n">
        <v>33010</v>
      </c>
      <c r="J2594" s="637" t="inlineStr">
        <is>
          <t>GPN_33010</t>
        </is>
      </c>
      <c r="K2594" s="640" t="n">
        <v>3</v>
      </c>
      <c r="L2594" s="640" t="n">
        <v>1</v>
      </c>
      <c r="M2594" s="623" t="n">
        <v>4</v>
      </c>
      <c r="N2594" s="640" t="n"/>
      <c r="O2594" s="640">
        <f>IF(AND(N2594=1,L2594=1),K2594,"")</f>
        <v/>
      </c>
      <c r="P2594" s="642" t="inlineStr">
        <is>
          <t>г. Кемерово, ул. Красноармейская, 50 (Красноармейская-Рабочая)</t>
        </is>
      </c>
      <c r="Q2594" s="640" t="inlineStr">
        <is>
          <t>55.354404</t>
        </is>
      </c>
      <c r="R2594" s="494" t="inlineStr">
        <is>
          <t>86.060041</t>
        </is>
      </c>
      <c r="S2594" s="387" t="n"/>
      <c r="T2594" s="387" t="n"/>
      <c r="U2594" s="436" t="n"/>
      <c r="V2594" s="387" t="n"/>
      <c r="W2594" s="387">
        <f>IF(AND(N2594=1,O2594&lt;&gt;""),C2594,"")</f>
        <v/>
      </c>
      <c r="X2594" s="387" t="n"/>
      <c r="Y2594" s="387" t="n"/>
    </row>
    <row r="2595" hidden="1" ht="27" customFormat="1" customHeight="1" s="126">
      <c r="A2595" s="125" t="n">
        <v>3216</v>
      </c>
      <c r="B2595" s="125" t="n"/>
      <c r="C2595" s="416" t="inlineStr">
        <is>
          <t>Алтайский край</t>
        </is>
      </c>
      <c r="D2595" s="130" t="inlineStr">
        <is>
          <t>Кемерово</t>
        </is>
      </c>
      <c r="E2595" s="130" t="n"/>
      <c r="F2595" s="130" t="inlineStr">
        <is>
          <t>АЗС</t>
        </is>
      </c>
      <c r="G2595" s="130" t="inlineStr">
        <is>
          <t>Газпромнефть</t>
        </is>
      </c>
      <c r="H2595" s="131" t="n"/>
      <c r="I2595" s="637" t="n">
        <v>33011</v>
      </c>
      <c r="J2595" s="637" t="inlineStr">
        <is>
          <t>GPN_33011</t>
        </is>
      </c>
      <c r="K2595" s="640" t="n">
        <v>2</v>
      </c>
      <c r="L2595" s="640" t="n">
        <v>1</v>
      </c>
      <c r="M2595" s="623" t="n">
        <v>2</v>
      </c>
      <c r="N2595" s="640" t="n"/>
      <c r="O2595" s="640">
        <f>IF(AND(N2595=1,L2595=1),K2595,"")</f>
        <v/>
      </c>
      <c r="P2595" s="642" t="inlineStr">
        <is>
          <t>г. Кемерово, ул. Волгоградская, 47 (2 км от пр. Химиков в направлении с-за Суховский)</t>
        </is>
      </c>
      <c r="Q2595" s="640" t="inlineStr">
        <is>
          <t>55.325763</t>
        </is>
      </c>
      <c r="R2595" s="494" t="inlineStr">
        <is>
          <t>86.163374</t>
        </is>
      </c>
      <c r="S2595" s="387" t="n"/>
      <c r="T2595" s="387" t="n"/>
      <c r="U2595" s="436" t="n"/>
      <c r="V2595" s="387" t="n"/>
      <c r="W2595" s="387">
        <f>IF(AND(N2595=1,O2595&lt;&gt;""),C2595,"")</f>
        <v/>
      </c>
      <c r="X2595" s="387" t="n"/>
      <c r="Y2595" s="387" t="n"/>
    </row>
    <row r="2596" hidden="1" ht="27" customFormat="1" customHeight="1" s="126">
      <c r="A2596" s="125" t="n">
        <v>3217</v>
      </c>
      <c r="B2596" s="125" t="n"/>
      <c r="C2596" s="416" t="inlineStr">
        <is>
          <t>Алтайский край</t>
        </is>
      </c>
      <c r="D2596" s="130" t="inlineStr">
        <is>
          <t>Кемерово</t>
        </is>
      </c>
      <c r="E2596" s="130" t="n"/>
      <c r="F2596" s="130" t="inlineStr">
        <is>
          <t>АЗС</t>
        </is>
      </c>
      <c r="G2596" s="130" t="inlineStr">
        <is>
          <t>Газпромнефть</t>
        </is>
      </c>
      <c r="H2596" s="131" t="n"/>
      <c r="I2596" s="637" t="n">
        <v>33042</v>
      </c>
      <c r="J2596" s="637" t="inlineStr">
        <is>
          <t>GPN_33042</t>
        </is>
      </c>
      <c r="K2596" s="640" t="n">
        <v>3</v>
      </c>
      <c r="L2596" s="640" t="n">
        <v>1</v>
      </c>
      <c r="M2596" s="623" t="n">
        <v>4</v>
      </c>
      <c r="N2596" s="640" t="n"/>
      <c r="O2596" s="640">
        <f>IF(AND(N2596=1,L2596=1),K2596,"")</f>
        <v/>
      </c>
      <c r="P2596" s="642" t="inlineStr">
        <is>
          <t>г. Кемерово, ул. Суворова (рудник), Ишимская (улица Суворова, 29к1)</t>
        </is>
      </c>
      <c r="Q2596" s="640" t="inlineStr">
        <is>
          <t>55.384199</t>
        </is>
      </c>
      <c r="R2596" s="494" t="inlineStr">
        <is>
          <t>86.07218</t>
        </is>
      </c>
      <c r="S2596" s="387" t="n"/>
      <c r="T2596" s="387" t="n"/>
      <c r="U2596" s="436" t="n"/>
      <c r="V2596" s="387" t="n"/>
      <c r="W2596" s="387">
        <f>IF(AND(N2596=1,O2596&lt;&gt;""),C2596,"")</f>
        <v/>
      </c>
      <c r="X2596" s="387" t="n"/>
      <c r="Y2596" s="387" t="n"/>
    </row>
    <row r="2597" hidden="1" ht="27" customFormat="1" customHeight="1" s="126">
      <c r="A2597" s="125" t="n">
        <v>3218</v>
      </c>
      <c r="B2597" s="125" t="n"/>
      <c r="C2597" s="416" t="inlineStr">
        <is>
          <t>Алтайский край</t>
        </is>
      </c>
      <c r="D2597" s="130" t="inlineStr">
        <is>
          <t>Кемерово</t>
        </is>
      </c>
      <c r="E2597" s="130" t="n"/>
      <c r="F2597" s="130" t="inlineStr">
        <is>
          <t>АЗС</t>
        </is>
      </c>
      <c r="G2597" s="130" t="inlineStr">
        <is>
          <t>Газпромнефть</t>
        </is>
      </c>
      <c r="H2597" s="131" t="n"/>
      <c r="I2597" s="637" t="n">
        <v>33089</v>
      </c>
      <c r="J2597" s="637" t="inlineStr">
        <is>
          <t>GPN_33089</t>
        </is>
      </c>
      <c r="K2597" s="640" t="n">
        <v>3</v>
      </c>
      <c r="L2597" s="640" t="n">
        <v>1</v>
      </c>
      <c r="M2597" s="623" t="n">
        <v>4</v>
      </c>
      <c r="N2597" s="640" t="n"/>
      <c r="O2597" s="640">
        <f>IF(AND(N2597=1,L2597=1),K2597,"")</f>
        <v/>
      </c>
      <c r="P2597" s="642" t="inlineStr">
        <is>
          <t>г.Кемерово, ул.Терешковой (Кузбасский "новый" мост перед р. Томь)</t>
        </is>
      </c>
      <c r="Q2597" s="640" t="inlineStr">
        <is>
          <t>55.356253</t>
        </is>
      </c>
      <c r="R2597" s="494" t="inlineStr">
        <is>
          <t>86.135382</t>
        </is>
      </c>
      <c r="S2597" s="387" t="n"/>
      <c r="T2597" s="387" t="n"/>
      <c r="U2597" s="436" t="n"/>
      <c r="V2597" s="387" t="n"/>
      <c r="W2597" s="387">
        <f>IF(AND(N2597=1,O2597&lt;&gt;""),C2597,"")</f>
        <v/>
      </c>
      <c r="X2597" s="387" t="n"/>
      <c r="Y2597" s="387" t="n"/>
    </row>
    <row r="2598" hidden="1" ht="27" customFormat="1" customHeight="1" s="126">
      <c r="A2598" s="125" t="n">
        <v>3219</v>
      </c>
      <c r="B2598" s="125" t="n"/>
      <c r="C2598" s="416" t="inlineStr">
        <is>
          <t>Алтайский край</t>
        </is>
      </c>
      <c r="D2598" s="130" t="inlineStr">
        <is>
          <t>Кемерово</t>
        </is>
      </c>
      <c r="E2598" s="130" t="n"/>
      <c r="F2598" s="130" t="inlineStr">
        <is>
          <t>АЗС</t>
        </is>
      </c>
      <c r="G2598" s="130" t="inlineStr">
        <is>
          <t>Газпромнефть</t>
        </is>
      </c>
      <c r="H2598" s="131" t="n"/>
      <c r="I2598" s="637" t="n">
        <v>33090</v>
      </c>
      <c r="J2598" s="637" t="inlineStr">
        <is>
          <t>GPN_33090</t>
        </is>
      </c>
      <c r="K2598" s="640" t="n">
        <v>1</v>
      </c>
      <c r="L2598" s="640" t="n">
        <v>1</v>
      </c>
      <c r="M2598" s="623" t="n">
        <v>1</v>
      </c>
      <c r="N2598" s="640" t="n"/>
      <c r="O2598" s="640">
        <f>IF(AND(N2598=1,L2598=1),K2598,"")</f>
        <v/>
      </c>
      <c r="P2598" s="642" t="inlineStr">
        <is>
          <t>г.Кемерово, ул.Тухачевского - пр-т.Химиков (улица Тухачевского, 40к3)</t>
        </is>
      </c>
      <c r="Q2598" s="640" t="inlineStr">
        <is>
          <t>55.33025</t>
        </is>
      </c>
      <c r="R2598" s="494" t="inlineStr">
        <is>
          <t>86.133817</t>
        </is>
      </c>
      <c r="S2598" s="387" t="n"/>
      <c r="T2598" s="387" t="n"/>
      <c r="U2598" s="436" t="n"/>
      <c r="V2598" s="387" t="n"/>
      <c r="W2598" s="387">
        <f>IF(AND(N2598=1,O2598&lt;&gt;""),C2598,"")</f>
        <v/>
      </c>
      <c r="X2598" s="387" t="n"/>
      <c r="Y2598" s="387" t="n"/>
    </row>
    <row r="2599" hidden="1" ht="27" customFormat="1" customHeight="1" s="126">
      <c r="A2599" s="125" t="n">
        <v>3220</v>
      </c>
      <c r="B2599" s="125" t="n"/>
      <c r="C2599" s="416" t="inlineStr">
        <is>
          <t>Алтайский край</t>
        </is>
      </c>
      <c r="D2599" s="130" t="inlineStr">
        <is>
          <t>Кемерово</t>
        </is>
      </c>
      <c r="E2599" s="130" t="n"/>
      <c r="F2599" s="130" t="inlineStr">
        <is>
          <t>АЗС</t>
        </is>
      </c>
      <c r="G2599" s="130" t="inlineStr">
        <is>
          <t>Газпромнефть</t>
        </is>
      </c>
      <c r="H2599" s="131" t="n"/>
      <c r="I2599" s="637" t="n">
        <v>33098</v>
      </c>
      <c r="J2599" s="637" t="inlineStr">
        <is>
          <t>GPN_33098</t>
        </is>
      </c>
      <c r="K2599" s="640" t="n">
        <v>3</v>
      </c>
      <c r="L2599" s="640" t="n">
        <v>1</v>
      </c>
      <c r="M2599" s="623" t="n">
        <v>5</v>
      </c>
      <c r="N2599" s="640" t="n"/>
      <c r="O2599" s="640">
        <f>IF(AND(N2599=1,L2599=1),K2599,"")</f>
        <v/>
      </c>
      <c r="P2599" s="642" t="inlineStr">
        <is>
          <t>г.Кемерово, ул. Терешковой (улица Терешковой, 22к4)</t>
        </is>
      </c>
      <c r="Q2599" s="640" t="inlineStr">
        <is>
          <t>55.355398</t>
        </is>
      </c>
      <c r="R2599" s="494" t="inlineStr">
        <is>
          <t>86.134383</t>
        </is>
      </c>
      <c r="S2599" s="387" t="n"/>
      <c r="T2599" s="387" t="n"/>
      <c r="U2599" s="436" t="n"/>
      <c r="V2599" s="387" t="n"/>
      <c r="W2599" s="387">
        <f>IF(AND(N2599=1,O2599&lt;&gt;""),C2599,"")</f>
        <v/>
      </c>
      <c r="X2599" s="387" t="n"/>
      <c r="Y2599" s="387" t="n"/>
    </row>
    <row r="2600" hidden="1" ht="27" customFormat="1" customHeight="1" s="126">
      <c r="A2600" s="125" t="n">
        <v>3221</v>
      </c>
      <c r="B2600" s="125" t="n"/>
      <c r="C2600" s="416" t="inlineStr">
        <is>
          <t>Алтайский край</t>
        </is>
      </c>
      <c r="D2600" s="130" t="inlineStr">
        <is>
          <t>Кемерово</t>
        </is>
      </c>
      <c r="E2600" s="130" t="n"/>
      <c r="F2600" s="130" t="inlineStr">
        <is>
          <t>АЗС</t>
        </is>
      </c>
      <c r="G2600" s="130" t="inlineStr">
        <is>
          <t>Газпромнефть</t>
        </is>
      </c>
      <c r="H2600" s="131" t="n"/>
      <c r="I2600" s="637" t="n">
        <v>33127</v>
      </c>
      <c r="J2600" s="637" t="inlineStr">
        <is>
          <t>GPN_33127</t>
        </is>
      </c>
      <c r="K2600" s="640" t="n">
        <v>2</v>
      </c>
      <c r="L2600" s="640" t="n">
        <v>1</v>
      </c>
      <c r="M2600" s="623" t="n">
        <v>2</v>
      </c>
      <c r="N2600" s="640" t="n"/>
      <c r="O2600" s="640">
        <f>IF(AND(N2600=1,L2600=1),K2600,"")</f>
        <v/>
      </c>
      <c r="P2600" s="642" t="inlineStr">
        <is>
          <t>г.Кемерово, пересеч. б-ра Строителей и ул. Марковцева (бульвар Строителей, 56к2)</t>
        </is>
      </c>
      <c r="Q2600" s="640" t="inlineStr">
        <is>
          <t>55.332778</t>
        </is>
      </c>
      <c r="R2600" s="494" t="inlineStr">
        <is>
          <t>86.176436</t>
        </is>
      </c>
      <c r="S2600" s="387" t="n"/>
      <c r="T2600" s="387" t="n"/>
      <c r="U2600" s="436" t="n"/>
      <c r="V2600" s="387" t="n"/>
      <c r="W2600" s="387">
        <f>IF(AND(N2600=1,O2600&lt;&gt;""),C2600,"")</f>
        <v/>
      </c>
      <c r="X2600" s="387" t="n"/>
      <c r="Y2600" s="387" t="n"/>
    </row>
    <row r="2601" hidden="1" ht="27" customFormat="1" customHeight="1" s="126">
      <c r="A2601" s="125" t="n">
        <v>3222</v>
      </c>
      <c r="B2601" s="125" t="n"/>
      <c r="C2601" s="130" t="inlineStr">
        <is>
          <t>Красноярск</t>
        </is>
      </c>
      <c r="D2601" s="130" t="inlineStr">
        <is>
          <t>Красноярск</t>
        </is>
      </c>
      <c r="E2601" s="130" t="n"/>
      <c r="F2601" s="130" t="inlineStr">
        <is>
          <t>АЗС</t>
        </is>
      </c>
      <c r="G2601" s="130" t="inlineStr">
        <is>
          <t>Газпромнефть</t>
        </is>
      </c>
      <c r="H2601" s="131" t="n"/>
      <c r="I2601" s="637" t="n">
        <v>34201</v>
      </c>
      <c r="J2601" s="637" t="inlineStr">
        <is>
          <t>GPN_34201</t>
        </is>
      </c>
      <c r="K2601" s="640" t="n">
        <v>3</v>
      </c>
      <c r="L2601" s="640" t="n">
        <v>1</v>
      </c>
      <c r="M2601" s="623" t="n">
        <v>3</v>
      </c>
      <c r="N2601" s="640" t="n"/>
      <c r="O2601" s="640">
        <f>IF(AND(N2601=1,L2601=1),K2601,"")</f>
        <v/>
      </c>
      <c r="P2601" s="642" t="inlineStr">
        <is>
          <t>г. Красноярск, ул. Мичурина, 30 г</t>
        </is>
      </c>
      <c r="Q2601" s="640" t="inlineStr">
        <is>
          <t>55.995966</t>
        </is>
      </c>
      <c r="R2601" s="494" t="inlineStr">
        <is>
          <t>92.971643</t>
        </is>
      </c>
      <c r="S2601" s="387" t="n"/>
      <c r="T2601" s="387" t="n"/>
      <c r="U2601" s="436" t="n"/>
      <c r="V2601" s="387" t="n"/>
      <c r="W2601" s="387">
        <f>IF(AND(N2601=1,O2601&lt;&gt;""),C2601,"")</f>
        <v/>
      </c>
      <c r="X2601" s="387" t="n"/>
      <c r="Y2601" s="387" t="n"/>
    </row>
    <row r="2602" hidden="1" ht="27" customFormat="1" customHeight="1" s="126">
      <c r="A2602" s="125" t="n">
        <v>3223</v>
      </c>
      <c r="B2602" s="125" t="n"/>
      <c r="C2602" s="130" t="inlineStr">
        <is>
          <t>Красноярск</t>
        </is>
      </c>
      <c r="D2602" s="130" t="inlineStr">
        <is>
          <t>Красноярск</t>
        </is>
      </c>
      <c r="E2602" s="130" t="n"/>
      <c r="F2602" s="130" t="inlineStr">
        <is>
          <t>АЗС</t>
        </is>
      </c>
      <c r="G2602" s="130" t="inlineStr">
        <is>
          <t>Газпромнефть</t>
        </is>
      </c>
      <c r="H2602" s="131" t="n"/>
      <c r="I2602" s="637" t="n">
        <v>34202</v>
      </c>
      <c r="J2602" s="637" t="inlineStr">
        <is>
          <t>GPN_34202</t>
        </is>
      </c>
      <c r="K2602" s="640" t="n">
        <v>3</v>
      </c>
      <c r="L2602" s="640" t="n">
        <v>1</v>
      </c>
      <c r="M2602" s="623" t="n">
        <v>4</v>
      </c>
      <c r="N2602" s="640" t="n"/>
      <c r="O2602" s="640">
        <f>IF(AND(N2602=1,L2602=1),K2602,"")</f>
        <v/>
      </c>
      <c r="P2602" s="642" t="inlineStr">
        <is>
          <t>г. Красноярск, ул. Краснодарская, 44 г</t>
        </is>
      </c>
      <c r="Q2602" s="640" t="inlineStr">
        <is>
          <t>56.05596</t>
        </is>
      </c>
      <c r="R2602" s="494" t="inlineStr">
        <is>
          <t>92.940885</t>
        </is>
      </c>
      <c r="S2602" s="387" t="n"/>
      <c r="T2602" s="387" t="n"/>
      <c r="U2602" s="436" t="n"/>
      <c r="V2602" s="387" t="n"/>
      <c r="W2602" s="387">
        <f>IF(AND(N2602=1,O2602&lt;&gt;""),C2602,"")</f>
        <v/>
      </c>
      <c r="X2602" s="387" t="n"/>
      <c r="Y2602" s="387" t="n"/>
    </row>
    <row r="2603" hidden="1" ht="27" customFormat="1" customHeight="1" s="126">
      <c r="A2603" s="125" t="n">
        <v>3224</v>
      </c>
      <c r="B2603" s="125" t="n"/>
      <c r="C2603" s="130" t="inlineStr">
        <is>
          <t>Красноярск</t>
        </is>
      </c>
      <c r="D2603" s="130" t="inlineStr">
        <is>
          <t>Красноярск</t>
        </is>
      </c>
      <c r="E2603" s="130" t="n"/>
      <c r="F2603" s="130" t="inlineStr">
        <is>
          <t>АЗС</t>
        </is>
      </c>
      <c r="G2603" s="130" t="inlineStr">
        <is>
          <t>Газпромнефть</t>
        </is>
      </c>
      <c r="H2603" s="131" t="n"/>
      <c r="I2603" s="637" t="n">
        <v>34204</v>
      </c>
      <c r="J2603" s="637" t="inlineStr">
        <is>
          <t>GPN_34204</t>
        </is>
      </c>
      <c r="K2603" s="640" t="n">
        <v>3</v>
      </c>
      <c r="L2603" s="640" t="n">
        <v>1</v>
      </c>
      <c r="M2603" s="623" t="n">
        <v>3</v>
      </c>
      <c r="N2603" s="640" t="n"/>
      <c r="O2603" s="640">
        <f>IF(AND(N2603=1,L2603=1),K2603,"")</f>
        <v/>
      </c>
      <c r="P2603" s="642" t="inlineStr">
        <is>
          <t>г. Красноярск, ул. Авиаторов, 2 а</t>
        </is>
      </c>
      <c r="Q2603" s="640" t="inlineStr">
        <is>
          <t>56.046177</t>
        </is>
      </c>
      <c r="R2603" s="494" t="inlineStr">
        <is>
          <t>92.923422</t>
        </is>
      </c>
      <c r="S2603" s="387" t="n"/>
      <c r="T2603" s="387" t="n"/>
      <c r="U2603" s="436" t="n"/>
      <c r="V2603" s="387" t="n"/>
      <c r="W2603" s="387">
        <f>IF(AND(N2603=1,O2603&lt;&gt;""),C2603,"")</f>
        <v/>
      </c>
      <c r="X2603" s="387" t="n"/>
      <c r="Y2603" s="387" t="n"/>
    </row>
    <row r="2604" hidden="1" ht="16.05" customFormat="1" customHeight="1" s="126">
      <c r="A2604" s="125" t="n">
        <v>3225</v>
      </c>
      <c r="B2604" s="125" t="n"/>
      <c r="C2604" s="130" t="inlineStr">
        <is>
          <t>Красноярск</t>
        </is>
      </c>
      <c r="D2604" s="130" t="inlineStr">
        <is>
          <t>Красноярск</t>
        </is>
      </c>
      <c r="E2604" s="130" t="n"/>
      <c r="F2604" s="130" t="inlineStr">
        <is>
          <t>АЗС</t>
        </is>
      </c>
      <c r="G2604" s="130" t="inlineStr">
        <is>
          <t>Газпромнефть</t>
        </is>
      </c>
      <c r="H2604" s="131" t="n"/>
      <c r="I2604" s="637" t="n">
        <v>34205</v>
      </c>
      <c r="J2604" s="637" t="inlineStr">
        <is>
          <t>GPN_34205</t>
        </is>
      </c>
      <c r="K2604" s="640" t="n">
        <v>3</v>
      </c>
      <c r="L2604" s="640" t="n">
        <v>0</v>
      </c>
      <c r="M2604" s="623" t="n">
        <v>3</v>
      </c>
      <c r="N2604" s="640" t="n"/>
      <c r="O2604" s="640">
        <f>IF(AND(N2604=1,L2604=1),K2604,"")</f>
        <v/>
      </c>
      <c r="P2604" s="642" t="inlineStr">
        <is>
          <t>г. Красноярск, ул. Гайдашовка, 8г</t>
        </is>
      </c>
      <c r="Q2604" s="640" t="inlineStr">
        <is>
          <t>56.067057</t>
        </is>
      </c>
      <c r="R2604" s="494" t="inlineStr">
        <is>
          <t>92.952644</t>
        </is>
      </c>
      <c r="S2604" s="387" t="n"/>
      <c r="T2604" s="387" t="n"/>
      <c r="U2604" s="436" t="n"/>
      <c r="V2604" s="387" t="n"/>
      <c r="W2604" s="387">
        <f>IF(AND(N2604=1,O2604&lt;&gt;""),C2604,"")</f>
        <v/>
      </c>
      <c r="X2604" s="387" t="n"/>
      <c r="Y2604" s="387" t="n"/>
    </row>
    <row r="2605" hidden="1" ht="16.05" customFormat="1" customHeight="1" s="126">
      <c r="A2605" s="125" t="n">
        <v>3226</v>
      </c>
      <c r="B2605" s="125" t="n"/>
      <c r="C2605" s="130" t="inlineStr">
        <is>
          <t>Красноярск</t>
        </is>
      </c>
      <c r="D2605" s="130" t="inlineStr">
        <is>
          <t>Красноярск</t>
        </is>
      </c>
      <c r="E2605" s="130" t="n"/>
      <c r="F2605" s="130" t="inlineStr">
        <is>
          <t>АЗС</t>
        </is>
      </c>
      <c r="G2605" s="130" t="inlineStr">
        <is>
          <t>Газпромнефть</t>
        </is>
      </c>
      <c r="H2605" s="131" t="n"/>
      <c r="I2605" s="637" t="n">
        <v>34210</v>
      </c>
      <c r="J2605" s="637" t="inlineStr">
        <is>
          <t>GPN_34210</t>
        </is>
      </c>
      <c r="K2605" s="640" t="n">
        <v>3</v>
      </c>
      <c r="L2605" s="640" t="n">
        <v>0</v>
      </c>
      <c r="M2605" s="623" t="n">
        <v>3</v>
      </c>
      <c r="N2605" s="640" t="n"/>
      <c r="O2605" s="640">
        <f>IF(AND(N2605=1,L2605=1),K2605,"")</f>
        <v/>
      </c>
      <c r="P2605" s="642" t="inlineStr">
        <is>
          <t>г. Красноярск, ул. Гусарова, 12 г</t>
        </is>
      </c>
      <c r="Q2605" s="640" t="inlineStr">
        <is>
          <t>56.027228</t>
        </is>
      </c>
      <c r="R2605" s="494" t="inlineStr">
        <is>
          <t>92.7661</t>
        </is>
      </c>
      <c r="S2605" s="387" t="n"/>
      <c r="T2605" s="387" t="n"/>
      <c r="U2605" s="436" t="n"/>
      <c r="V2605" s="387" t="n"/>
      <c r="W2605" s="387">
        <f>IF(AND(N2605=1,O2605&lt;&gt;""),C2605,"")</f>
        <v/>
      </c>
      <c r="X2605" s="387" t="n"/>
      <c r="Y2605" s="387" t="n"/>
    </row>
    <row r="2606" hidden="1" ht="16.05" customFormat="1" customHeight="1" s="126">
      <c r="A2606" s="125" t="n">
        <v>3227</v>
      </c>
      <c r="B2606" s="125" t="n"/>
      <c r="C2606" s="130" t="inlineStr">
        <is>
          <t>Красноярск</t>
        </is>
      </c>
      <c r="D2606" s="130" t="inlineStr">
        <is>
          <t>Красноярск</t>
        </is>
      </c>
      <c r="E2606" s="130" t="n"/>
      <c r="F2606" s="130" t="inlineStr">
        <is>
          <t>АЗС</t>
        </is>
      </c>
      <c r="G2606" s="130" t="inlineStr">
        <is>
          <t>Газпромнефть</t>
        </is>
      </c>
      <c r="H2606" s="131" t="n"/>
      <c r="I2606" s="637" t="n">
        <v>34211</v>
      </c>
      <c r="J2606" s="637" t="inlineStr">
        <is>
          <t>GPN_34211</t>
        </is>
      </c>
      <c r="K2606" s="640" t="n">
        <v>3</v>
      </c>
      <c r="L2606" s="640" t="n">
        <v>1</v>
      </c>
      <c r="M2606" s="623" t="n">
        <v>4</v>
      </c>
      <c r="N2606" s="640" t="n"/>
      <c r="O2606" s="640">
        <f>IF(AND(N2606=1,L2606=1),K2606,"")</f>
        <v/>
      </c>
      <c r="P2606" s="642" t="inlineStr">
        <is>
          <t>Красноярский край, п. Березовка, ул. Дружбы, 2 в</t>
        </is>
      </c>
      <c r="Q2606" s="640" t="inlineStr">
        <is>
          <t>56.037267</t>
        </is>
      </c>
      <c r="R2606" s="494" t="inlineStr">
        <is>
          <t>93.106319</t>
        </is>
      </c>
      <c r="S2606" s="387" t="n"/>
      <c r="T2606" s="387" t="n"/>
      <c r="U2606" s="436" t="n"/>
      <c r="V2606" s="387" t="n"/>
      <c r="W2606" s="387">
        <f>IF(AND(N2606=1,O2606&lt;&gt;""),C2606,"")</f>
        <v/>
      </c>
      <c r="X2606" s="387" t="n"/>
      <c r="Y2606" s="387" t="n"/>
    </row>
    <row r="2607" hidden="1" ht="16.05" customFormat="1" customHeight="1" s="126">
      <c r="A2607" s="125" t="n">
        <v>3228</v>
      </c>
      <c r="B2607" s="125" t="n"/>
      <c r="C2607" s="130" t="inlineStr">
        <is>
          <t>Красноярск</t>
        </is>
      </c>
      <c r="D2607" s="130" t="inlineStr">
        <is>
          <t>Красноярск</t>
        </is>
      </c>
      <c r="E2607" s="130" t="n"/>
      <c r="F2607" s="130" t="inlineStr">
        <is>
          <t>АЗС</t>
        </is>
      </c>
      <c r="G2607" s="130" t="inlineStr">
        <is>
          <t>Газпромнефть</t>
        </is>
      </c>
      <c r="H2607" s="131" t="n"/>
      <c r="I2607" s="637" t="n">
        <v>34215</v>
      </c>
      <c r="J2607" s="637" t="inlineStr">
        <is>
          <t>GPN_34215</t>
        </is>
      </c>
      <c r="K2607" s="640" t="n">
        <v>3</v>
      </c>
      <c r="L2607" s="640" t="n">
        <v>1</v>
      </c>
      <c r="M2607" s="623" t="n">
        <v>4</v>
      </c>
      <c r="N2607" s="640" t="n"/>
      <c r="O2607" s="640">
        <f>IF(AND(N2607=1,L2607=1),K2607,"")</f>
        <v/>
      </c>
      <c r="P2607" s="642" t="inlineStr">
        <is>
          <t>г. Красноярск, ул. 2 Брянская, 20</t>
        </is>
      </c>
      <c r="Q2607" s="640" t="inlineStr">
        <is>
          <t>56.039892</t>
        </is>
      </c>
      <c r="R2607" s="494" t="inlineStr">
        <is>
          <t>92.852895</t>
        </is>
      </c>
      <c r="S2607" s="387" t="n"/>
      <c r="T2607" s="387" t="n"/>
      <c r="U2607" s="436" t="n"/>
      <c r="V2607" s="387" t="n"/>
      <c r="W2607" s="387">
        <f>IF(AND(N2607=1,O2607&lt;&gt;""),C2607,"")</f>
        <v/>
      </c>
      <c r="X2607" s="387" t="n"/>
      <c r="Y2607" s="387" t="n"/>
    </row>
    <row r="2608" hidden="1" ht="16.05" customFormat="1" customHeight="1" s="126">
      <c r="A2608" s="125" t="n">
        <v>3229</v>
      </c>
      <c r="B2608" s="125" t="n"/>
      <c r="C2608" s="130" t="inlineStr">
        <is>
          <t>Красноярск</t>
        </is>
      </c>
      <c r="D2608" s="130" t="inlineStr">
        <is>
          <t>Красноярск</t>
        </is>
      </c>
      <c r="E2608" s="130" t="n"/>
      <c r="F2608" s="130" t="inlineStr">
        <is>
          <t>АЗС</t>
        </is>
      </c>
      <c r="G2608" s="130" t="inlineStr">
        <is>
          <t>Газпромнефть</t>
        </is>
      </c>
      <c r="H2608" s="131" t="n"/>
      <c r="I2608" s="637" t="n">
        <v>34216</v>
      </c>
      <c r="J2608" s="637" t="inlineStr">
        <is>
          <t>GPN_34216</t>
        </is>
      </c>
      <c r="K2608" s="640" t="n">
        <v>3</v>
      </c>
      <c r="L2608" s="640" t="n">
        <v>1</v>
      </c>
      <c r="M2608" s="623" t="n">
        <v>3</v>
      </c>
      <c r="N2608" s="640" t="n"/>
      <c r="O2608" s="640">
        <f>IF(AND(N2608=1,L2608=1),K2608,"")</f>
        <v/>
      </c>
      <c r="P2608" s="642" t="inlineStr">
        <is>
          <t>г. Красноярск, Северное шоссе, 11 а</t>
        </is>
      </c>
      <c r="Q2608" s="640" t="inlineStr">
        <is>
          <t>56.079693</t>
        </is>
      </c>
      <c r="R2608" s="494" t="inlineStr">
        <is>
          <t>92.934471</t>
        </is>
      </c>
      <c r="S2608" s="387" t="n"/>
      <c r="T2608" s="387" t="n"/>
      <c r="U2608" s="436" t="n"/>
      <c r="V2608" s="387" t="n"/>
      <c r="W2608" s="387">
        <f>IF(AND(N2608=1,O2608&lt;&gt;""),C2608,"")</f>
        <v/>
      </c>
      <c r="X2608" s="387" t="n"/>
      <c r="Y2608" s="387" t="n"/>
    </row>
    <row r="2609" hidden="1" ht="16.05" customFormat="1" customHeight="1" s="126">
      <c r="A2609" s="125" t="n">
        <v>3230</v>
      </c>
      <c r="B2609" s="125" t="n"/>
      <c r="C2609" s="130" t="inlineStr">
        <is>
          <t>Красноярск</t>
        </is>
      </c>
      <c r="D2609" s="130" t="inlineStr">
        <is>
          <t>Красноярск</t>
        </is>
      </c>
      <c r="E2609" s="130" t="n"/>
      <c r="F2609" s="130" t="inlineStr">
        <is>
          <t>АЗС</t>
        </is>
      </c>
      <c r="G2609" s="130" t="inlineStr">
        <is>
          <t>Газпромнефть</t>
        </is>
      </c>
      <c r="H2609" s="131" t="n"/>
      <c r="I2609" s="637" t="n">
        <v>34217</v>
      </c>
      <c r="J2609" s="637" t="inlineStr">
        <is>
          <t>GPN_34217</t>
        </is>
      </c>
      <c r="K2609" s="640" t="n">
        <v>3</v>
      </c>
      <c r="L2609" s="640" t="n">
        <v>1</v>
      </c>
      <c r="M2609" s="623" t="n">
        <v>3</v>
      </c>
      <c r="N2609" s="640" t="n"/>
      <c r="O2609" s="640">
        <f>IF(AND(N2609=1,L2609=1),K2609,"")</f>
        <v/>
      </c>
      <c r="P2609" s="642" t="inlineStr">
        <is>
          <t>г. Красноярск, ул. 9 мая, 4 г</t>
        </is>
      </c>
      <c r="Q2609" s="640" t="inlineStr">
        <is>
          <t>56.068655</t>
        </is>
      </c>
      <c r="R2609" s="494" t="inlineStr">
        <is>
          <t>92.932198</t>
        </is>
      </c>
      <c r="S2609" s="387" t="n"/>
      <c r="T2609" s="387" t="n"/>
      <c r="U2609" s="436" t="n"/>
      <c r="V2609" s="387" t="n"/>
      <c r="W2609" s="387">
        <f>IF(AND(N2609=1,O2609&lt;&gt;""),C2609,"")</f>
        <v/>
      </c>
      <c r="X2609" s="387" t="n"/>
      <c r="Y2609" s="387" t="n"/>
    </row>
    <row r="2610" hidden="1" ht="16.05" customFormat="1" customHeight="1" s="126">
      <c r="A2610" s="125" t="n">
        <v>3231</v>
      </c>
      <c r="B2610" s="125" t="n"/>
      <c r="C2610" s="130" t="inlineStr">
        <is>
          <t>Красноярск</t>
        </is>
      </c>
      <c r="D2610" s="130" t="inlineStr">
        <is>
          <t>Красноярск</t>
        </is>
      </c>
      <c r="E2610" s="130" t="n"/>
      <c r="F2610" s="130" t="inlineStr">
        <is>
          <t>АЗС</t>
        </is>
      </c>
      <c r="G2610" s="130" t="inlineStr">
        <is>
          <t>Газпромнефть</t>
        </is>
      </c>
      <c r="H2610" s="131" t="n"/>
      <c r="I2610" s="637" t="n">
        <v>34220</v>
      </c>
      <c r="J2610" s="637" t="inlineStr">
        <is>
          <t>GPN_34220</t>
        </is>
      </c>
      <c r="K2610" s="640" t="n">
        <v>3</v>
      </c>
      <c r="L2610" s="640" t="n">
        <v>1</v>
      </c>
      <c r="M2610" s="623" t="n">
        <v>4</v>
      </c>
      <c r="N2610" s="640" t="n"/>
      <c r="O2610" s="640">
        <f>IF(AND(N2610=1,L2610=1),K2610,"")</f>
        <v/>
      </c>
      <c r="P2610" s="642" t="inlineStr">
        <is>
          <t>г.Красноярск, ул.Рейдовая, 57 д</t>
        </is>
      </c>
      <c r="Q2610" s="640" t="inlineStr">
        <is>
          <t>56.044397</t>
        </is>
      </c>
      <c r="R2610" s="494" t="inlineStr">
        <is>
          <t>93.021958</t>
        </is>
      </c>
      <c r="S2610" s="387" t="n"/>
      <c r="T2610" s="387" t="n"/>
      <c r="U2610" s="436" t="n"/>
      <c r="V2610" s="387" t="n"/>
      <c r="W2610" s="387">
        <f>IF(AND(N2610=1,O2610&lt;&gt;""),C2610,"")</f>
        <v/>
      </c>
      <c r="X2610" s="387" t="n"/>
      <c r="Y2610" s="387" t="n"/>
    </row>
    <row r="2611" hidden="1" ht="16.05" customFormat="1" customHeight="1" s="126">
      <c r="A2611" s="125" t="n">
        <v>3232</v>
      </c>
      <c r="B2611" s="125" t="n"/>
      <c r="C2611" s="130" t="inlineStr">
        <is>
          <t>Красноярск</t>
        </is>
      </c>
      <c r="D2611" s="130" t="inlineStr">
        <is>
          <t>Красноярский край</t>
        </is>
      </c>
      <c r="E2611" s="130" t="n"/>
      <c r="F2611" s="130" t="inlineStr">
        <is>
          <t>АЗС</t>
        </is>
      </c>
      <c r="G2611" s="130" t="inlineStr">
        <is>
          <t>Газпромнефть</t>
        </is>
      </c>
      <c r="H2611" s="131" t="n"/>
      <c r="I2611" s="637" t="n">
        <v>34225</v>
      </c>
      <c r="J2611" s="637" t="inlineStr">
        <is>
          <t>GPN_34225</t>
        </is>
      </c>
      <c r="K2611" s="640" t="n">
        <v>3</v>
      </c>
      <c r="L2611" s="640" t="n">
        <v>1</v>
      </c>
      <c r="M2611" s="623" t="n">
        <v>6</v>
      </c>
      <c r="N2611" s="640" t="n"/>
      <c r="O2611" s="640">
        <f>IF(AND(N2611=1,L2611=1),K2611,"")</f>
        <v/>
      </c>
      <c r="P2611" s="642" t="inlineStr">
        <is>
          <t>Красноярский край Иланский район 1080км автотрассы Байкал</t>
        </is>
      </c>
      <c r="Q2611" s="640" t="inlineStr">
        <is>
          <t>56.210701</t>
        </is>
      </c>
      <c r="R2611" s="494" t="inlineStr">
        <is>
          <t>96.062164</t>
        </is>
      </c>
      <c r="S2611" s="387" t="n"/>
      <c r="T2611" s="387" t="n"/>
      <c r="U2611" s="436" t="n"/>
      <c r="V2611" s="387" t="n"/>
      <c r="W2611" s="387">
        <f>IF(AND(N2611=1,O2611&lt;&gt;""),C2611,"")</f>
        <v/>
      </c>
      <c r="X2611" s="387" t="n"/>
      <c r="Y2611" s="387" t="n"/>
    </row>
    <row r="2612" hidden="1" ht="16.05" customFormat="1" customHeight="1" s="126">
      <c r="A2612" s="125" t="n">
        <v>3233</v>
      </c>
      <c r="B2612" s="125" t="n"/>
      <c r="C2612" s="130" t="inlineStr">
        <is>
          <t>Красноярск</t>
        </is>
      </c>
      <c r="D2612" s="130" t="inlineStr">
        <is>
          <t>Красноярск</t>
        </is>
      </c>
      <c r="E2612" s="130" t="n"/>
      <c r="F2612" s="130" t="inlineStr">
        <is>
          <t>АЗС</t>
        </is>
      </c>
      <c r="G2612" s="130" t="inlineStr">
        <is>
          <t>Газпромнефть</t>
        </is>
      </c>
      <c r="H2612" s="131" t="n"/>
      <c r="I2612" s="637" t="n">
        <v>34240</v>
      </c>
      <c r="J2612" s="637" t="inlineStr">
        <is>
          <t>GPN_34240</t>
        </is>
      </c>
      <c r="K2612" s="640" t="n">
        <v>3</v>
      </c>
      <c r="L2612" s="640" t="n">
        <v>1</v>
      </c>
      <c r="M2612" s="623" t="n">
        <v>6</v>
      </c>
      <c r="N2612" s="640" t="n"/>
      <c r="O2612" s="640">
        <f>IF(AND(N2612=1,L2612=1),K2612,"")</f>
        <v/>
      </c>
      <c r="P2612" s="642" t="inlineStr">
        <is>
          <t>Красноярский край, Емельяновский р-он, а/д "Глубокий обход" г. Красноярска, 18 км справа</t>
        </is>
      </c>
      <c r="Q2612" s="640" t="inlineStr">
        <is>
          <t>56.150099</t>
        </is>
      </c>
      <c r="R2612" s="494" t="inlineStr">
        <is>
          <t>93.002256</t>
        </is>
      </c>
      <c r="S2612" s="387" t="n"/>
      <c r="T2612" s="387" t="n"/>
      <c r="U2612" s="436" t="n"/>
      <c r="V2612" s="387" t="n"/>
      <c r="W2612" s="387">
        <f>IF(AND(N2612=1,O2612&lt;&gt;""),C2612,"")</f>
        <v/>
      </c>
      <c r="X2612" s="387" t="n"/>
      <c r="Y2612" s="387" t="n"/>
    </row>
    <row r="2613" hidden="1" ht="16.05" customFormat="1" customHeight="1" s="126">
      <c r="A2613" s="125" t="n">
        <v>3234</v>
      </c>
      <c r="B2613" s="125" t="n"/>
      <c r="C2613" s="130" t="inlineStr">
        <is>
          <t>Красноярск</t>
        </is>
      </c>
      <c r="D2613" s="130" t="inlineStr">
        <is>
          <t>Красноярск</t>
        </is>
      </c>
      <c r="E2613" s="130" t="n"/>
      <c r="F2613" s="130" t="inlineStr">
        <is>
          <t>АЗС</t>
        </is>
      </c>
      <c r="G2613" s="130" t="inlineStr">
        <is>
          <t>Газпромнефть</t>
        </is>
      </c>
      <c r="H2613" s="131" t="n"/>
      <c r="I2613" s="637" t="n">
        <v>34265</v>
      </c>
      <c r="J2613" s="637" t="inlineStr">
        <is>
          <t>GPN_34265</t>
        </is>
      </c>
      <c r="K2613" s="640" t="n">
        <v>3</v>
      </c>
      <c r="L2613" s="640" t="n">
        <v>1</v>
      </c>
      <c r="M2613" s="623" t="n">
        <v>5</v>
      </c>
      <c r="N2613" s="640" t="n"/>
      <c r="O2613" s="640">
        <f>IF(AND(N2613=1,L2613=1),K2613,"")</f>
        <v/>
      </c>
      <c r="P2613" s="642" t="inlineStr">
        <is>
          <t>Емельяновский район, Шуваевский сельсовет, 12км(слева) а/д "Глубокий обход"г. Красноярска</t>
        </is>
      </c>
      <c r="Q2613" s="640" t="inlineStr">
        <is>
          <t>56.160144</t>
        </is>
      </c>
      <c r="R2613" s="494" t="inlineStr">
        <is>
          <t>92.931767</t>
        </is>
      </c>
      <c r="S2613" s="387" t="n"/>
      <c r="T2613" s="387" t="n"/>
      <c r="U2613" s="436" t="n"/>
      <c r="V2613" s="387" t="n"/>
      <c r="W2613" s="387">
        <f>IF(AND(N2613=1,O2613&lt;&gt;""),C2613,"")</f>
        <v/>
      </c>
      <c r="X2613" s="387" t="n"/>
      <c r="Y2613" s="387" t="n"/>
    </row>
    <row r="2614" hidden="1" ht="16.05" customFormat="1" customHeight="1" s="126">
      <c r="A2614" s="125" t="n">
        <v>3235</v>
      </c>
      <c r="B2614" s="125" t="n"/>
      <c r="C2614" s="130" t="inlineStr">
        <is>
          <t>Красноярск</t>
        </is>
      </c>
      <c r="D2614" s="130" t="inlineStr">
        <is>
          <t>Красноярск</t>
        </is>
      </c>
      <c r="E2614" s="130" t="n"/>
      <c r="F2614" s="130" t="inlineStr">
        <is>
          <t>АЗС</t>
        </is>
      </c>
      <c r="G2614" s="130" t="inlineStr">
        <is>
          <t>Газпромнефть</t>
        </is>
      </c>
      <c r="H2614" s="131" t="n"/>
      <c r="I2614" s="637" t="n">
        <v>34343</v>
      </c>
      <c r="J2614" s="637" t="inlineStr">
        <is>
          <t>GPN_34343</t>
        </is>
      </c>
      <c r="K2614" s="640" t="n">
        <v>1</v>
      </c>
      <c r="L2614" s="640" t="n">
        <v>1</v>
      </c>
      <c r="M2614" s="623" t="n">
        <v>1</v>
      </c>
      <c r="N2614" s="640" t="n"/>
      <c r="O2614" s="640">
        <f>IF(AND(N2614=1,L2614=1),K2614,"")</f>
        <v/>
      </c>
      <c r="P2614" s="642" t="inlineStr">
        <is>
          <t>г.Красноярск, Северное Шоссе, д.9К</t>
        </is>
      </c>
      <c r="Q2614" s="640" t="inlineStr">
        <is>
          <t>56.080658</t>
        </is>
      </c>
      <c r="R2614" s="494" t="inlineStr">
        <is>
          <t>92.936133</t>
        </is>
      </c>
      <c r="S2614" s="387" t="n"/>
      <c r="T2614" s="387" t="n"/>
      <c r="U2614" s="436" t="n"/>
      <c r="V2614" s="387" t="n"/>
      <c r="W2614" s="387">
        <f>IF(AND(N2614=1,O2614&lt;&gt;""),C2614,"")</f>
        <v/>
      </c>
      <c r="X2614" s="387" t="n"/>
      <c r="Y2614" s="387" t="n"/>
    </row>
    <row r="2615" hidden="1" ht="16.05" customFormat="1" customHeight="1" s="126">
      <c r="A2615" s="125" t="n">
        <v>3236</v>
      </c>
      <c r="B2615" s="125" t="n"/>
      <c r="C2615" s="130" t="inlineStr">
        <is>
          <t>Москва</t>
        </is>
      </c>
      <c r="D2615" s="130" t="inlineStr">
        <is>
          <t>Московская область</t>
        </is>
      </c>
      <c r="E2615" s="130" t="inlineStr">
        <is>
          <t>М2</t>
        </is>
      </c>
      <c r="F2615" s="130" t="inlineStr">
        <is>
          <t>АЗС</t>
        </is>
      </c>
      <c r="G2615" s="130" t="inlineStr">
        <is>
          <t>Газпромнефть</t>
        </is>
      </c>
      <c r="H2615" s="131" t="n"/>
      <c r="I2615" s="637" t="n">
        <v>12197</v>
      </c>
      <c r="J2615" s="637" t="inlineStr">
        <is>
          <t>GPN_12197</t>
        </is>
      </c>
      <c r="K2615" s="640" t="n">
        <v>3</v>
      </c>
      <c r="L2615" s="640" t="n">
        <v>1</v>
      </c>
      <c r="M2615" s="623" t="n">
        <v>6</v>
      </c>
      <c r="N2615" s="640" t="n"/>
      <c r="O2615" s="640">
        <f>IF(AND(N2615=1,L2615=1),K2615,"")</f>
        <v/>
      </c>
      <c r="P2615" s="642" t="inlineStr">
        <is>
          <t>Московская обл., Чеховский р-н, М2 "Крым", 70 км, левая сторона</t>
        </is>
      </c>
      <c r="Q2615" s="640" t="inlineStr">
        <is>
          <t>55.15345</t>
        </is>
      </c>
      <c r="R2615" s="494" t="inlineStr">
        <is>
          <t>37.55002</t>
        </is>
      </c>
      <c r="S2615" s="387" t="n"/>
      <c r="T2615" s="387" t="n"/>
      <c r="U2615" s="436" t="n"/>
      <c r="V2615" s="387" t="n"/>
      <c r="W2615" s="387">
        <f>IF(AND(N2615=1,O2615&lt;&gt;""),C2615,"")</f>
        <v/>
      </c>
      <c r="X2615" s="387" t="n"/>
      <c r="Y2615" s="387" t="n"/>
    </row>
    <row r="2616" hidden="1" ht="16.05" customFormat="1" customHeight="1" s="126">
      <c r="A2616" s="125" t="n">
        <v>3237</v>
      </c>
      <c r="B2616" s="125" t="n"/>
      <c r="C2616" s="130" t="inlineStr">
        <is>
          <t>Москва</t>
        </is>
      </c>
      <c r="D2616" s="130" t="inlineStr">
        <is>
          <t>Московская область</t>
        </is>
      </c>
      <c r="E2616" s="130" t="inlineStr">
        <is>
          <t>М9</t>
        </is>
      </c>
      <c r="F2616" s="130" t="inlineStr">
        <is>
          <t>АЗС</t>
        </is>
      </c>
      <c r="G2616" s="130" t="inlineStr">
        <is>
          <t>Газпромнефть</t>
        </is>
      </c>
      <c r="H2616" s="131" t="n"/>
      <c r="I2616" s="637" t="n">
        <v>12181</v>
      </c>
      <c r="J2616" s="637" t="inlineStr">
        <is>
          <t>GPN_12181</t>
        </is>
      </c>
      <c r="K2616" s="640" t="n">
        <v>3</v>
      </c>
      <c r="L2616" s="640" t="n">
        <v>1</v>
      </c>
      <c r="M2616" s="623" t="n">
        <v>6</v>
      </c>
      <c r="N2616" s="640" t="n"/>
      <c r="O2616" s="640">
        <f>IF(AND(N2616=1,L2616=1),K2616,"")</f>
        <v/>
      </c>
      <c r="P2616" s="642" t="inlineStr">
        <is>
          <t>Московская обл., Шаховской р-н, пос. Шаховская, Рижское ш., 147 км.</t>
        </is>
      </c>
      <c r="Q2616" s="640" t="inlineStr">
        <is>
          <t>56.037353</t>
        </is>
      </c>
      <c r="R2616" s="494" t="inlineStr">
        <is>
          <t>35.492263</t>
        </is>
      </c>
      <c r="S2616" s="387" t="n"/>
      <c r="T2616" s="387" t="n"/>
      <c r="U2616" s="436" t="n"/>
      <c r="V2616" s="387" t="n"/>
      <c r="W2616" s="387">
        <f>IF(AND(N2616=1,O2616&lt;&gt;""),C2616,"")</f>
        <v/>
      </c>
      <c r="X2616" s="387" t="n"/>
      <c r="Y2616" s="387" t="n"/>
    </row>
    <row r="2617" hidden="1" ht="16.05" customFormat="1" customHeight="1" s="126">
      <c r="A2617" s="125" t="n">
        <v>3238</v>
      </c>
      <c r="B2617" s="125" t="n"/>
      <c r="C2617" s="130" t="inlineStr">
        <is>
          <t>Москва</t>
        </is>
      </c>
      <c r="D2617" s="130" t="inlineStr">
        <is>
          <t>Московская область</t>
        </is>
      </c>
      <c r="E2617" s="130" t="inlineStr">
        <is>
          <t>А108</t>
        </is>
      </c>
      <c r="F2617" s="130" t="inlineStr">
        <is>
          <t>АЗС</t>
        </is>
      </c>
      <c r="G2617" s="130" t="inlineStr">
        <is>
          <t>Газпромнефть</t>
        </is>
      </c>
      <c r="H2617" s="131" t="n"/>
      <c r="I2617" s="637" t="n">
        <v>12182</v>
      </c>
      <c r="J2617" s="637" t="inlineStr">
        <is>
          <t>GPN_12182</t>
        </is>
      </c>
      <c r="K2617" s="640" t="n">
        <v>3</v>
      </c>
      <c r="L2617" s="640" t="n">
        <v>1</v>
      </c>
      <c r="M2617" s="623" t="n">
        <v>4</v>
      </c>
      <c r="N2617" s="640" t="n"/>
      <c r="O2617" s="640">
        <f>IF(AND(N2617=1,L2617=1),K2617,"")</f>
        <v/>
      </c>
      <c r="P2617" s="642" t="inlineStr">
        <is>
          <t>Московская обл.,г.Серпухов, ш.Московское стр.1</t>
        </is>
      </c>
      <c r="Q2617" s="640" t="inlineStr">
        <is>
          <t>54.94456</t>
        </is>
      </c>
      <c r="R2617" s="494" t="inlineStr">
        <is>
          <t>37.40824</t>
        </is>
      </c>
      <c r="S2617" s="387" t="n"/>
      <c r="T2617" s="387" t="n"/>
      <c r="U2617" s="436" t="n"/>
      <c r="V2617" s="387" t="n"/>
      <c r="W2617" s="387">
        <f>IF(AND(N2617=1,O2617&lt;&gt;""),C2617,"")</f>
        <v/>
      </c>
      <c r="X2617" s="387" t="n"/>
      <c r="Y2617" s="387" t="n"/>
    </row>
    <row r="2618" hidden="1" ht="16.05" customFormat="1" customHeight="1" s="126">
      <c r="A2618" s="125" t="n">
        <v>3239</v>
      </c>
      <c r="B2618" s="125" t="n"/>
      <c r="C2618" s="130" t="inlineStr">
        <is>
          <t>Москва</t>
        </is>
      </c>
      <c r="D2618" s="130" t="inlineStr">
        <is>
          <t>Московская область</t>
        </is>
      </c>
      <c r="E2618" s="130" t="inlineStr">
        <is>
          <t>М2</t>
        </is>
      </c>
      <c r="F2618" s="130" t="inlineStr">
        <is>
          <t>АЗС</t>
        </is>
      </c>
      <c r="G2618" s="130" t="inlineStr">
        <is>
          <t>Газпромнефть</t>
        </is>
      </c>
      <c r="H2618" s="131" t="n"/>
      <c r="I2618" s="637" t="n">
        <v>11196</v>
      </c>
      <c r="J2618" s="637" t="inlineStr">
        <is>
          <t>GPN_11196</t>
        </is>
      </c>
      <c r="K2618" s="640" t="n">
        <v>3</v>
      </c>
      <c r="L2618" s="640" t="n">
        <v>1</v>
      </c>
      <c r="M2618" s="623" t="n">
        <v>6</v>
      </c>
      <c r="N2618" s="640" t="n"/>
      <c r="O2618" s="640">
        <f>IF(AND(N2618=1,L2618=1),K2618,"")</f>
        <v/>
      </c>
      <c r="P2618" s="642" t="inlineStr">
        <is>
          <t>Московская область М-2 38 км лево</t>
        </is>
      </c>
      <c r="Q2618" s="640" t="inlineStr">
        <is>
          <t>55.42601</t>
        </is>
      </c>
      <c r="R2618" s="494" t="inlineStr">
        <is>
          <t>37.61377</t>
        </is>
      </c>
      <c r="S2618" s="387" t="n"/>
      <c r="T2618" s="387" t="n"/>
      <c r="U2618" s="436" t="n"/>
      <c r="V2618" s="387" t="n"/>
      <c r="W2618" s="387">
        <f>IF(AND(N2618=1,O2618&lt;&gt;""),C2618,"")</f>
        <v/>
      </c>
      <c r="X2618" s="387" t="n"/>
      <c r="Y2618" s="387" t="n"/>
    </row>
    <row r="2619" hidden="1" ht="16.05" customFormat="1" customHeight="1" s="126">
      <c r="A2619" s="125" t="n">
        <v>3240</v>
      </c>
      <c r="B2619" s="125" t="n"/>
      <c r="C2619" s="130" t="inlineStr">
        <is>
          <t>Москва</t>
        </is>
      </c>
      <c r="D2619" s="130" t="inlineStr">
        <is>
          <t>Московская область</t>
        </is>
      </c>
      <c r="E2619" s="130" t="inlineStr">
        <is>
          <t>А108</t>
        </is>
      </c>
      <c r="F2619" s="130" t="inlineStr">
        <is>
          <t>АЗС</t>
        </is>
      </c>
      <c r="G2619" s="130" t="inlineStr">
        <is>
          <t>Газпромнефть</t>
        </is>
      </c>
      <c r="H2619" s="131" t="n"/>
      <c r="I2619" s="637" t="n">
        <v>12269</v>
      </c>
      <c r="J2619" s="637" t="inlineStr">
        <is>
          <t>GPN_12269</t>
        </is>
      </c>
      <c r="K2619" s="640" t="n">
        <v>3</v>
      </c>
      <c r="L2619" s="640" t="n">
        <v>1</v>
      </c>
      <c r="M2619" s="623" t="n">
        <v>6</v>
      </c>
      <c r="N2619" s="640" t="n"/>
      <c r="O2619" s="640">
        <f>IF(AND(N2619=1,L2619=1),K2619,"")</f>
        <v/>
      </c>
      <c r="P2619" s="642" t="inlineStr">
        <is>
          <t>Московская область, г. Орехово-Зуево, ул. Северная, 56</t>
        </is>
      </c>
      <c r="Q2619" s="640" t="inlineStr">
        <is>
          <t>55.83052</t>
        </is>
      </c>
      <c r="R2619" s="494" t="inlineStr">
        <is>
          <t>38.97844</t>
        </is>
      </c>
      <c r="S2619" s="387" t="n"/>
      <c r="T2619" s="387" t="n"/>
      <c r="U2619" s="436" t="n"/>
      <c r="V2619" s="387" t="n"/>
      <c r="W2619" s="387">
        <f>IF(AND(N2619=1,O2619&lt;&gt;""),C2619,"")</f>
        <v/>
      </c>
      <c r="X2619" s="387" t="n"/>
      <c r="Y2619" s="387" t="n"/>
    </row>
    <row r="2620" hidden="1" ht="16.05" customFormat="1" customHeight="1" s="126">
      <c r="A2620" s="125" t="n">
        <v>3241</v>
      </c>
      <c r="B2620" s="125" t="n"/>
      <c r="C2620" s="130" t="inlineStr">
        <is>
          <t>Москва</t>
        </is>
      </c>
      <c r="D2620" s="130" t="inlineStr">
        <is>
          <t>Московская область</t>
        </is>
      </c>
      <c r="E2620" s="130" t="inlineStr">
        <is>
          <t>М2</t>
        </is>
      </c>
      <c r="F2620" s="130" t="inlineStr">
        <is>
          <t>АЗС</t>
        </is>
      </c>
      <c r="G2620" s="130" t="inlineStr">
        <is>
          <t>Газпромнефть</t>
        </is>
      </c>
      <c r="H2620" s="131" t="n"/>
      <c r="I2620" s="637" t="n">
        <v>11281</v>
      </c>
      <c r="J2620" s="637" t="inlineStr">
        <is>
          <t>GPN_11281</t>
        </is>
      </c>
      <c r="K2620" s="640" t="n">
        <v>3</v>
      </c>
      <c r="L2620" s="640" t="n">
        <v>1</v>
      </c>
      <c r="M2620" s="623" t="n">
        <v>5</v>
      </c>
      <c r="N2620" s="640" t="n"/>
      <c r="O2620" s="640">
        <f>IF(AND(N2620=1,L2620=1),K2620,"")</f>
        <v/>
      </c>
      <c r="P2620" s="642" t="inlineStr">
        <is>
          <t>Московская область, М-2, 31 км, слева (Подольский район, вблизи пос. Быково)</t>
        </is>
      </c>
      <c r="Q2620" s="640" t="inlineStr">
        <is>
          <t>55.486618</t>
        </is>
      </c>
      <c r="R2620" s="494" t="inlineStr">
        <is>
          <t>37.613773</t>
        </is>
      </c>
      <c r="S2620" s="387" t="n"/>
      <c r="T2620" s="387" t="n"/>
      <c r="U2620" s="436" t="n"/>
      <c r="V2620" s="387" t="n"/>
      <c r="W2620" s="387">
        <f>IF(AND(N2620=1,O2620&lt;&gt;""),C2620,"")</f>
        <v/>
      </c>
      <c r="X2620" s="387" t="n"/>
      <c r="Y2620" s="387" t="n"/>
    </row>
    <row r="2621" hidden="1" ht="16.05" customFormat="1" customHeight="1" s="126">
      <c r="A2621" s="125" t="n">
        <v>3242</v>
      </c>
      <c r="B2621" s="125" t="n"/>
      <c r="C2621" s="130" t="inlineStr">
        <is>
          <t>Москва</t>
        </is>
      </c>
      <c r="D2621" s="130" t="inlineStr">
        <is>
          <t>Московская область</t>
        </is>
      </c>
      <c r="E2621" s="130" t="inlineStr">
        <is>
          <t>М1</t>
        </is>
      </c>
      <c r="F2621" s="130" t="inlineStr">
        <is>
          <t>АЗС</t>
        </is>
      </c>
      <c r="G2621" s="130" t="inlineStr">
        <is>
          <t>Газпромнефть</t>
        </is>
      </c>
      <c r="H2621" s="131" t="n"/>
      <c r="I2621" s="637" t="n">
        <v>12277</v>
      </c>
      <c r="J2621" s="637" t="inlineStr">
        <is>
          <t>GPN_12277</t>
        </is>
      </c>
      <c r="K2621" s="640" t="n">
        <v>3</v>
      </c>
      <c r="L2621" s="640" t="n">
        <v>1</v>
      </c>
      <c r="M2621" s="623" t="n">
        <v>6</v>
      </c>
      <c r="N2621" s="640" t="n"/>
      <c r="O2621" s="640">
        <f>IF(AND(N2621=1,L2621=1),K2621,"")</f>
        <v/>
      </c>
      <c r="P2621" s="642" t="inlineStr">
        <is>
          <t>Русь справа 97км М1</t>
        </is>
      </c>
      <c r="Q2621" s="640" t="inlineStr">
        <is>
          <t>55.4985</t>
        </is>
      </c>
      <c r="R2621" s="494" t="inlineStr">
        <is>
          <t>36.1909</t>
        </is>
      </c>
      <c r="S2621" s="387" t="n"/>
      <c r="T2621" s="387" t="n"/>
      <c r="U2621" s="436" t="n"/>
      <c r="V2621" s="387" t="n"/>
      <c r="W2621" s="387">
        <f>IF(AND(N2621=1,O2621&lt;&gt;""),C2621,"")</f>
        <v/>
      </c>
      <c r="X2621" s="387" t="n"/>
      <c r="Y2621" s="387" t="n"/>
    </row>
    <row r="2622" hidden="1" ht="16.05" customFormat="1" customHeight="1" s="126">
      <c r="A2622" s="125" t="n">
        <v>3243</v>
      </c>
      <c r="B2622" s="125" t="n"/>
      <c r="C2622" s="416" t="inlineStr">
        <is>
          <t>ЦФО (Калуга, Тула, Тверь, Рязань,Смоленск,Владимир,Воронеж, Ярославль)</t>
        </is>
      </c>
      <c r="D2622" s="130" t="inlineStr">
        <is>
          <t>Рязанская область</t>
        </is>
      </c>
      <c r="E2622" s="130" t="n"/>
      <c r="F2622" s="130" t="inlineStr">
        <is>
          <t>АЗС</t>
        </is>
      </c>
      <c r="G2622" s="130" t="inlineStr">
        <is>
          <t>Газпромнефть</t>
        </is>
      </c>
      <c r="H2622" s="131" t="n"/>
      <c r="I2622" s="637" t="n">
        <v>12280</v>
      </c>
      <c r="J2622" s="637" t="inlineStr">
        <is>
          <t>GPN_12280</t>
        </is>
      </c>
      <c r="K2622" s="640" t="n">
        <v>3</v>
      </c>
      <c r="L2622" s="640" t="n">
        <v>1</v>
      </c>
      <c r="M2622" s="623" t="n">
        <v>6</v>
      </c>
      <c r="N2622" s="640" t="n"/>
      <c r="O2622" s="640">
        <f>IF(AND(N2622=1,L2622=1),K2622,"")</f>
        <v/>
      </c>
      <c r="P2622" s="642" t="inlineStr">
        <is>
          <t>Рязанская обл.,  ФАД М-5, 231 км, слева</t>
        </is>
      </c>
      <c r="Q2622" s="640" t="inlineStr">
        <is>
          <t>54.39403</t>
        </is>
      </c>
      <c r="R2622" s="494" t="inlineStr">
        <is>
          <t>40.10517</t>
        </is>
      </c>
      <c r="S2622" s="387" t="n"/>
      <c r="T2622" s="387" t="n"/>
      <c r="U2622" s="436" t="n"/>
      <c r="V2622" s="387" t="n"/>
      <c r="W2622" s="387">
        <f>IF(AND(N2622=1,O2622&lt;&gt;""),C2622,"")</f>
        <v/>
      </c>
      <c r="X2622" s="387" t="n"/>
      <c r="Y2622" s="387" t="n"/>
    </row>
    <row r="2623" hidden="1" ht="16.05" customFormat="1" customHeight="1" s="126">
      <c r="A2623" s="125" t="n">
        <v>3244</v>
      </c>
      <c r="B2623" s="125" t="n"/>
      <c r="C2623" s="130" t="inlineStr">
        <is>
          <t>Москва</t>
        </is>
      </c>
      <c r="D2623" s="130" t="inlineStr">
        <is>
          <t>Московская область</t>
        </is>
      </c>
      <c r="E2623" s="130" t="inlineStr">
        <is>
          <t>М4</t>
        </is>
      </c>
      <c r="F2623" s="130" t="inlineStr">
        <is>
          <t>АЗС</t>
        </is>
      </c>
      <c r="G2623" s="130" t="inlineStr">
        <is>
          <t>Газпромнефть</t>
        </is>
      </c>
      <c r="H2623" s="131" t="n"/>
      <c r="I2623" s="637" t="n">
        <v>12259</v>
      </c>
      <c r="J2623" s="637" t="inlineStr">
        <is>
          <t>GPN_12259</t>
        </is>
      </c>
      <c r="K2623" s="640" t="n">
        <v>2</v>
      </c>
      <c r="L2623" s="640" t="n">
        <v>1</v>
      </c>
      <c r="M2623" s="623" t="n">
        <v>2</v>
      </c>
      <c r="N2623" s="640" t="n"/>
      <c r="O2623" s="640">
        <f>IF(AND(N2623=1,L2623=1),K2623,"")</f>
        <v/>
      </c>
      <c r="P2623" s="642" t="inlineStr">
        <is>
          <t>Ступино, Староситненское шоссе 34 (1 км Ступино-Малино)</t>
        </is>
      </c>
      <c r="Q2623" s="640" t="inlineStr">
        <is>
          <t>54.90706</t>
        </is>
      </c>
      <c r="R2623" s="494" t="inlineStr">
        <is>
          <t>38.08978</t>
        </is>
      </c>
      <c r="S2623" s="387" t="n"/>
      <c r="T2623" s="387" t="n"/>
      <c r="U2623" s="436" t="n"/>
      <c r="V2623" s="387" t="n"/>
      <c r="W2623" s="387">
        <f>IF(AND(N2623=1,O2623&lt;&gt;""),C2623,"")</f>
        <v/>
      </c>
      <c r="X2623" s="387" t="n"/>
      <c r="Y2623" s="387" t="n"/>
    </row>
    <row r="2624" hidden="1" ht="16.05" customFormat="1" customHeight="1" s="126">
      <c r="A2624" s="125" t="n">
        <v>3249</v>
      </c>
      <c r="B2624" s="125" t="n"/>
      <c r="C2624" s="130" t="inlineStr">
        <is>
          <t>Москва</t>
        </is>
      </c>
      <c r="D2624" s="130" t="inlineStr">
        <is>
          <t>Московская область</t>
        </is>
      </c>
      <c r="E2624" s="130" t="n"/>
      <c r="F2624" s="130" t="inlineStr">
        <is>
          <t>АЗС</t>
        </is>
      </c>
      <c r="G2624" s="130" t="inlineStr">
        <is>
          <t>Газпромнефть</t>
        </is>
      </c>
      <c r="H2624" s="131" t="n"/>
      <c r="I2624" s="637" t="n">
        <v>12002</v>
      </c>
      <c r="J2624" s="637" t="inlineStr">
        <is>
          <t>GPN_12002</t>
        </is>
      </c>
      <c r="K2624" s="640" t="n">
        <v>3</v>
      </c>
      <c r="L2624" s="640" t="n">
        <v>1</v>
      </c>
      <c r="M2624" s="623" t="n">
        <v>5</v>
      </c>
      <c r="N2624" s="640" t="n"/>
      <c r="O2624" s="640">
        <f>IF(AND(N2624=1,L2624=1),K2624,"")</f>
        <v/>
      </c>
      <c r="P2624" s="642" t="inlineStr">
        <is>
          <t>МО, Ногинск 3-го Интернационала 238</t>
        </is>
      </c>
      <c r="Q2624" s="640" t="inlineStr">
        <is>
          <t>55.841898</t>
        </is>
      </c>
      <c r="R2624" s="494" t="inlineStr">
        <is>
          <t>38.400724</t>
        </is>
      </c>
      <c r="S2624" s="387" t="n"/>
      <c r="T2624" s="387" t="n"/>
      <c r="U2624" s="436" t="n"/>
      <c r="V2624" s="387" t="n"/>
      <c r="W2624" s="387">
        <f>IF(AND(N2624=1,O2624&lt;&gt;""),C2624,"")</f>
        <v/>
      </c>
      <c r="X2624" s="387" t="n"/>
      <c r="Y2624" s="387" t="n"/>
    </row>
    <row r="2625" hidden="1" ht="55.05" customFormat="1" customHeight="1" s="126">
      <c r="A2625" s="125" t="n">
        <v>3253</v>
      </c>
      <c r="B2625" s="125" t="n"/>
      <c r="C2625" s="130" t="inlineStr">
        <is>
          <t>Москва</t>
        </is>
      </c>
      <c r="D2625" s="130" t="inlineStr">
        <is>
          <t>Московская область</t>
        </is>
      </c>
      <c r="E2625" s="130" t="n"/>
      <c r="F2625" s="130" t="inlineStr">
        <is>
          <t>АЗС</t>
        </is>
      </c>
      <c r="G2625" s="130" t="inlineStr">
        <is>
          <t>Газпромнефть</t>
        </is>
      </c>
      <c r="H2625" s="131" t="n"/>
      <c r="I2625" s="637" t="n">
        <v>12010</v>
      </c>
      <c r="J2625" s="637" t="inlineStr">
        <is>
          <t>GPN_12010</t>
        </is>
      </c>
      <c r="K2625" s="640" t="n">
        <v>3</v>
      </c>
      <c r="L2625" s="640" t="n">
        <v>1</v>
      </c>
      <c r="M2625" s="623" t="n">
        <v>6</v>
      </c>
      <c r="N2625" s="640" t="n"/>
      <c r="O2625" s="640">
        <f>IF(AND(N2625=1,L2625=1),K2625,"")</f>
        <v/>
      </c>
      <c r="P2625" s="642" t="inlineStr">
        <is>
          <t>Ногинский р-н, северная часть, д. Черново</t>
        </is>
      </c>
      <c r="Q2625" s="640" t="inlineStr">
        <is>
          <t>56.05822</t>
        </is>
      </c>
      <c r="R2625" s="494" t="inlineStr">
        <is>
          <t>38.551914</t>
        </is>
      </c>
      <c r="S2625" s="387" t="n"/>
      <c r="T2625" s="387" t="n"/>
      <c r="U2625" s="436" t="n"/>
      <c r="V2625" s="387" t="n"/>
      <c r="W2625" s="387">
        <f>IF(AND(N2625=1,O2625&lt;&gt;""),C2625,"")</f>
        <v/>
      </c>
      <c r="X2625" s="387" t="n"/>
      <c r="Y2625" s="387" t="n"/>
    </row>
    <row r="2626" hidden="1" ht="16.05" customFormat="1" customHeight="1" s="126">
      <c r="A2626" s="125" t="n">
        <v>3255</v>
      </c>
      <c r="B2626" s="125" t="n"/>
      <c r="C2626" s="130" t="inlineStr">
        <is>
          <t>Москва</t>
        </is>
      </c>
      <c r="D2626" s="130" t="inlineStr">
        <is>
          <t>Московская область</t>
        </is>
      </c>
      <c r="E2626" s="130" t="n"/>
      <c r="F2626" s="130" t="inlineStr">
        <is>
          <t>АЗС</t>
        </is>
      </c>
      <c r="G2626" s="130" t="inlineStr">
        <is>
          <t>Газпромнефть</t>
        </is>
      </c>
      <c r="H2626" s="131" t="n"/>
      <c r="I2626" s="637" t="n">
        <v>12402</v>
      </c>
      <c r="J2626" s="637" t="inlineStr">
        <is>
          <t>GPN_12402</t>
        </is>
      </c>
      <c r="K2626" s="640" t="n">
        <v>3</v>
      </c>
      <c r="L2626" s="640" t="n">
        <v>1</v>
      </c>
      <c r="M2626" s="623" t="n">
        <v>5</v>
      </c>
      <c r="N2626" s="640" t="n"/>
      <c r="O2626" s="640">
        <f>IF(AND(N2626=1,L2626=1),K2626,"")</f>
        <v/>
      </c>
      <c r="P2626" s="642" t="inlineStr">
        <is>
          <t>Павловский Посад, Ленинградский, 1</t>
        </is>
      </c>
      <c r="Q2626" s="640" t="inlineStr">
        <is>
          <t>55.79268</t>
        </is>
      </c>
      <c r="R2626" s="494" t="inlineStr">
        <is>
          <t>38.651174</t>
        </is>
      </c>
      <c r="S2626" s="387" t="n"/>
      <c r="T2626" s="387" t="n"/>
      <c r="U2626" s="436" t="n"/>
      <c r="V2626" s="387" t="n"/>
      <c r="W2626" s="387">
        <f>IF(AND(N2626=1,O2626&lt;&gt;""),C2626,"")</f>
        <v/>
      </c>
      <c r="X2626" s="387" t="n"/>
      <c r="Y2626" s="387" t="n"/>
    </row>
    <row r="2627" hidden="1" ht="16.05" customFormat="1" customHeight="1" s="126">
      <c r="A2627" s="125" t="n">
        <v>3245</v>
      </c>
      <c r="B2627" s="125" t="n"/>
      <c r="C2627" s="130" t="inlineStr">
        <is>
          <t>Екатеринбург</t>
        </is>
      </c>
      <c r="D2627" s="130" t="inlineStr">
        <is>
          <t>Свердловская область</t>
        </is>
      </c>
      <c r="E2627" s="130" t="n"/>
      <c r="F2627" s="130" t="inlineStr">
        <is>
          <t>АЗС</t>
        </is>
      </c>
      <c r="G2627" s="130" t="inlineStr">
        <is>
          <t>Газпромнефть</t>
        </is>
      </c>
      <c r="H2627" s="131" t="n"/>
      <c r="I2627" s="637" t="n">
        <v>23072</v>
      </c>
      <c r="J2627" s="402" t="inlineStr">
        <is>
          <t>GPN_23072</t>
        </is>
      </c>
      <c r="K2627" s="640" t="n">
        <v>3</v>
      </c>
      <c r="L2627" s="640" t="n">
        <v>0</v>
      </c>
      <c r="M2627" s="640" t="n">
        <v>6</v>
      </c>
      <c r="N2627" s="640" t="n"/>
      <c r="O2627" s="640">
        <f>IF(AND(N2627=1,L2627=1),K2627,"")</f>
        <v/>
      </c>
      <c r="P2627" s="642" t="inlineStr">
        <is>
          <t>Свердловская обл., п. Ильяты, трасса Екатеринбург-Пермь, 161км</t>
        </is>
      </c>
      <c r="Q2627" s="640" t="n">
        <v>56.763916</v>
      </c>
      <c r="R2627" s="422" t="n">
        <v>58.14932</v>
      </c>
      <c r="S2627" s="387" t="n"/>
      <c r="T2627" s="387" t="n"/>
      <c r="U2627" s="436" t="n"/>
      <c r="V2627" s="387" t="n"/>
      <c r="W2627" s="387">
        <f>IF(AND(N2627=1,O2627&lt;&gt;""),C2627,"")</f>
        <v/>
      </c>
      <c r="X2627" s="387" t="n"/>
      <c r="Y2627" s="1" t="n"/>
    </row>
    <row r="2628" hidden="1" ht="16.05" customFormat="1" customHeight="1" s="126">
      <c r="A2628" s="125" t="n">
        <v>3246</v>
      </c>
      <c r="B2628" s="125" t="n"/>
      <c r="C2628" s="130" t="inlineStr">
        <is>
          <t>Екатеринбург</t>
        </is>
      </c>
      <c r="D2628" s="130" t="inlineStr">
        <is>
          <t>Свердловская область</t>
        </is>
      </c>
      <c r="E2628" s="130" t="n"/>
      <c r="F2628" s="130" t="inlineStr">
        <is>
          <t>АЗС</t>
        </is>
      </c>
      <c r="G2628" s="130" t="inlineStr">
        <is>
          <t>Газпромнефть</t>
        </is>
      </c>
      <c r="H2628" s="131" t="n"/>
      <c r="I2628" s="637" t="n">
        <v>23080</v>
      </c>
      <c r="J2628" s="402" t="inlineStr">
        <is>
          <t>GPN_23080</t>
        </is>
      </c>
      <c r="K2628" s="640" t="n">
        <v>3</v>
      </c>
      <c r="L2628" s="640" t="n">
        <v>0</v>
      </c>
      <c r="M2628" s="640" t="n">
        <v>4</v>
      </c>
      <c r="N2628" s="640" t="n"/>
      <c r="O2628" s="640">
        <f>IF(AND(N2628=1,L2628=1),K2628,"")</f>
        <v/>
      </c>
      <c r="P2628" s="642" t="inlineStr">
        <is>
          <t>а/д г. Екатеринбург-Серов, 86км</t>
        </is>
      </c>
      <c r="Q2628" s="640" t="n">
        <v>57.497767</v>
      </c>
      <c r="R2628" s="422" t="n">
        <v>60.173722</v>
      </c>
      <c r="S2628" s="387" t="n"/>
      <c r="T2628" s="387" t="n"/>
      <c r="U2628" s="436" t="n"/>
      <c r="V2628" s="387" t="n"/>
      <c r="W2628" s="387">
        <f>IF(AND(N2628=1,O2628&lt;&gt;""),C2628,"")</f>
        <v/>
      </c>
      <c r="X2628" s="387" t="n"/>
      <c r="Y2628" s="1" t="n"/>
    </row>
    <row r="2629" hidden="1" ht="16.05" customFormat="1" customHeight="1" s="126">
      <c r="A2629" s="125" t="n">
        <v>3247</v>
      </c>
      <c r="B2629" s="125" t="n"/>
      <c r="C2629" s="130" t="inlineStr">
        <is>
          <t>Екатеринбург</t>
        </is>
      </c>
      <c r="D2629" s="130" t="inlineStr">
        <is>
          <t>Свердловская область</t>
        </is>
      </c>
      <c r="E2629" s="130" t="n"/>
      <c r="F2629" s="130" t="inlineStr">
        <is>
          <t>АЗС</t>
        </is>
      </c>
      <c r="G2629" s="130" t="inlineStr">
        <is>
          <t>Газпромнефть</t>
        </is>
      </c>
      <c r="H2629" s="131" t="n"/>
      <c r="I2629" s="637" t="n">
        <v>23164</v>
      </c>
      <c r="J2629" s="402" t="inlineStr">
        <is>
          <t>GPN_23164</t>
        </is>
      </c>
      <c r="K2629" s="640" t="n">
        <v>3</v>
      </c>
      <c r="L2629" s="640" t="n">
        <v>0</v>
      </c>
      <c r="M2629" s="640" t="n">
        <v>6</v>
      </c>
      <c r="N2629" s="640" t="n"/>
      <c r="O2629" s="640">
        <f>IF(AND(N2629=1,L2629=1),K2629,"")</f>
        <v/>
      </c>
      <c r="P2629" s="642" t="inlineStr">
        <is>
          <t>а/д г. Екатеринбург-Серов, 150км</t>
        </is>
      </c>
      <c r="Q2629" s="640" t="n">
        <v>57.992175</v>
      </c>
      <c r="R2629" s="422" t="n">
        <v>59.85628</v>
      </c>
      <c r="S2629" s="387" t="n"/>
      <c r="T2629" s="387" t="n"/>
      <c r="U2629" s="436" t="n"/>
      <c r="V2629" s="387" t="n"/>
      <c r="W2629" s="387">
        <f>IF(AND(N2629=1,O2629&lt;&gt;""),C2629,"")</f>
        <v/>
      </c>
      <c r="X2629" s="387" t="n"/>
      <c r="Y2629" s="1" t="n"/>
    </row>
    <row r="2630" hidden="1" ht="16.05" customFormat="1" customHeight="1" s="126">
      <c r="A2630" s="125" t="n">
        <v>3248</v>
      </c>
      <c r="B2630" s="125" t="n"/>
      <c r="C2630" s="130" t="inlineStr">
        <is>
          <t>Санкт-Петербург</t>
        </is>
      </c>
      <c r="D2630" s="130" t="inlineStr">
        <is>
          <t xml:space="preserve">Санкт-Петербург </t>
        </is>
      </c>
      <c r="E2630" s="130" t="n"/>
      <c r="F2630" s="130" t="n"/>
      <c r="G2630" s="130" t="inlineStr">
        <is>
          <t>Газпромнефть</t>
        </is>
      </c>
      <c r="H2630" s="131" t="n"/>
      <c r="I2630" s="637" t="inlineStr">
        <is>
          <t>Зал прилета</t>
        </is>
      </c>
      <c r="J2630" s="402" t="inlineStr">
        <is>
          <t>GPN_Зал прилета</t>
        </is>
      </c>
      <c r="K2630" s="640" t="n">
        <v>3</v>
      </c>
      <c r="L2630" s="640" t="n">
        <v>0</v>
      </c>
      <c r="M2630" s="640" t="n">
        <v>5</v>
      </c>
      <c r="N2630" s="640" t="n"/>
      <c r="O2630" s="640">
        <f>IF(AND(N2630=1,L2630=1),K2630,"")</f>
        <v/>
      </c>
      <c r="P2630" s="642" t="inlineStr">
        <is>
          <t>Аэропорт Пулково   ( Пулковское ш., 41, лит.ЗА, Санкт-Петербург )</t>
        </is>
      </c>
      <c r="Q2630" s="640" t="n"/>
      <c r="R2630" s="422" t="n"/>
      <c r="S2630" s="387" t="n"/>
      <c r="T2630" s="387" t="n"/>
      <c r="U2630" s="436" t="n"/>
      <c r="V2630" s="387" t="n"/>
      <c r="W2630" s="387">
        <f>IF(AND(N2630=1,O2630&lt;&gt;""),C2630,"")</f>
        <v/>
      </c>
      <c r="X2630" s="387" t="n"/>
      <c r="Y2630" s="1" t="n"/>
    </row>
    <row r="2631" hidden="1" ht="16.05" customFormat="1" customHeight="1" s="126">
      <c r="A2631" s="125" t="n">
        <v>3256</v>
      </c>
      <c r="B2631" s="125" t="n"/>
      <c r="C2631" s="130" t="inlineStr">
        <is>
          <t>Москва</t>
        </is>
      </c>
      <c r="D2631" s="130" t="inlineStr">
        <is>
          <t>Московская область</t>
        </is>
      </c>
      <c r="E2631" s="130" t="n"/>
      <c r="F2631" s="130" t="inlineStr">
        <is>
          <t>АЗС</t>
        </is>
      </c>
      <c r="G2631" s="130" t="inlineStr">
        <is>
          <t>Газпромнефть</t>
        </is>
      </c>
      <c r="H2631" s="131" t="n"/>
      <c r="I2631" s="637" t="n">
        <v>12403</v>
      </c>
      <c r="J2631" s="637" t="inlineStr">
        <is>
          <t>GPN_12403</t>
        </is>
      </c>
      <c r="K2631" s="640" t="n">
        <v>3</v>
      </c>
      <c r="L2631" s="640" t="n">
        <v>1</v>
      </c>
      <c r="M2631" s="623" t="n">
        <v>5</v>
      </c>
      <c r="N2631" s="640" t="n"/>
      <c r="O2631" s="640">
        <f>IF(AND(N2631=1,L2631=1),K2631,"")</f>
        <v/>
      </c>
      <c r="P2631" s="642" t="inlineStr">
        <is>
          <t>Ногинск, Индустриальная, 36</t>
        </is>
      </c>
      <c r="Q2631" s="640" t="inlineStr">
        <is>
          <t>55.872592</t>
        </is>
      </c>
      <c r="R2631" s="494" t="inlineStr">
        <is>
          <t>38.450589</t>
        </is>
      </c>
      <c r="S2631" s="387" t="n"/>
      <c r="T2631" s="387" t="n"/>
      <c r="U2631" s="436" t="n"/>
      <c r="V2631" s="387" t="n"/>
      <c r="W2631" s="387">
        <f>IF(AND(N2631=1,O2631&lt;&gt;""),C2631,"")</f>
        <v/>
      </c>
      <c r="X2631" s="387" t="n"/>
      <c r="Y2631" s="387" t="n"/>
    </row>
    <row r="2632" hidden="1" ht="16.05" customFormat="1" customHeight="1" s="126">
      <c r="A2632" s="125" t="n">
        <v>3250</v>
      </c>
      <c r="B2632" s="125" t="n"/>
      <c r="C2632" s="130" t="inlineStr">
        <is>
          <t>Москва</t>
        </is>
      </c>
      <c r="D2632" s="130" t="inlineStr">
        <is>
          <t>Московская область</t>
        </is>
      </c>
      <c r="E2632" s="130" t="n"/>
      <c r="F2632" s="130" t="n"/>
      <c r="G2632" s="130" t="inlineStr">
        <is>
          <t>Газпромнефть</t>
        </is>
      </c>
      <c r="H2632" s="131" t="n"/>
      <c r="I2632" s="637" t="n"/>
      <c r="J2632" s="402" t="n"/>
      <c r="K2632" s="640" t="n">
        <v>3</v>
      </c>
      <c r="L2632" s="640" t="n">
        <v>0</v>
      </c>
      <c r="M2632" s="640" t="n">
        <v>5</v>
      </c>
      <c r="N2632" s="640" t="n"/>
      <c r="O2632" s="640">
        <f>IF(AND(N2632=1,L2632=1),K2632,"")</f>
        <v/>
      </c>
      <c r="P2632" s="642" t="inlineStr">
        <is>
          <t>Горького, Мамонтова</t>
        </is>
      </c>
      <c r="Q2632" s="640" t="n">
        <v>55.947933</v>
      </c>
      <c r="R2632" s="422" t="n">
        <v>38.553413</v>
      </c>
      <c r="S2632" s="387" t="n"/>
      <c r="T2632" s="387" t="n"/>
      <c r="U2632" s="436" t="n"/>
      <c r="V2632" s="387" t="n"/>
      <c r="W2632" s="387">
        <f>IF(AND(N2632=1,O2632&lt;&gt;""),C2632,"")</f>
        <v/>
      </c>
      <c r="X2632" s="387" t="n"/>
      <c r="Y2632" s="1" t="n"/>
    </row>
    <row r="2633" hidden="1" ht="16.05" customFormat="1" customHeight="1" s="126">
      <c r="A2633" s="125" t="n">
        <v>3251</v>
      </c>
      <c r="B2633" s="125" t="n"/>
      <c r="C2633" s="130" t="inlineStr">
        <is>
          <t>Москва</t>
        </is>
      </c>
      <c r="D2633" s="130" t="inlineStr">
        <is>
          <t>Московская область</t>
        </is>
      </c>
      <c r="E2633" s="130" t="n"/>
      <c r="F2633" s="130" t="n"/>
      <c r="G2633" s="130" t="inlineStr">
        <is>
          <t>Газпромнефть</t>
        </is>
      </c>
      <c r="H2633" s="131" t="n"/>
      <c r="I2633" s="637" t="n">
        <v>12008</v>
      </c>
      <c r="J2633" s="402" t="inlineStr">
        <is>
          <t>GPN_12008</t>
        </is>
      </c>
      <c r="K2633" s="640" t="n">
        <v>3</v>
      </c>
      <c r="L2633" s="640" t="n">
        <v>0</v>
      </c>
      <c r="M2633" s="640" t="n">
        <v>6</v>
      </c>
      <c r="N2633" s="640" t="n"/>
      <c r="O2633" s="640">
        <f>IF(AND(N2633=1,L2633=1),K2633,"")</f>
        <v/>
      </c>
      <c r="P2633" s="642" t="inlineStr">
        <is>
          <t>Сергиев Посад, Ярославское шоссе (уч. 24)</t>
        </is>
      </c>
      <c r="Q2633" s="640" t="n">
        <v>56.343016</v>
      </c>
      <c r="R2633" s="422" t="n">
        <v>38.169515</v>
      </c>
      <c r="S2633" s="387" t="n"/>
      <c r="T2633" s="387" t="n"/>
      <c r="U2633" s="436" t="n"/>
      <c r="V2633" s="387" t="n"/>
      <c r="W2633" s="387">
        <f>IF(AND(N2633=1,O2633&lt;&gt;""),C2633,"")</f>
        <v/>
      </c>
      <c r="X2633" s="387" t="n"/>
      <c r="Y2633" s="1" t="n"/>
    </row>
    <row r="2634" hidden="1" ht="16.05" customFormat="1" customHeight="1" s="126">
      <c r="A2634" s="125" t="n">
        <v>3252</v>
      </c>
      <c r="B2634" s="125" t="n"/>
      <c r="C2634" s="130" t="inlineStr">
        <is>
          <t>Москва</t>
        </is>
      </c>
      <c r="D2634" s="130" t="inlineStr">
        <is>
          <t>Московская область</t>
        </is>
      </c>
      <c r="E2634" s="130" t="n"/>
      <c r="F2634" s="130" t="n"/>
      <c r="G2634" s="130" t="inlineStr">
        <is>
          <t>Газпромнефть</t>
        </is>
      </c>
      <c r="H2634" s="131" t="n"/>
      <c r="I2634" s="637" t="n">
        <v>12009</v>
      </c>
      <c r="J2634" s="402" t="inlineStr">
        <is>
          <t>GPN_12009</t>
        </is>
      </c>
      <c r="K2634" s="640" t="n">
        <v>3</v>
      </c>
      <c r="L2634" s="640" t="n">
        <v>0</v>
      </c>
      <c r="M2634" s="640" t="n">
        <v>6</v>
      </c>
      <c r="N2634" s="640" t="n"/>
      <c r="O2634" s="640">
        <f>IF(AND(N2634=1,L2634=1),K2634,"")</f>
        <v/>
      </c>
      <c r="P2634" s="642" t="inlineStr">
        <is>
          <t>Московская обл, Сергиево-Посадский район, д.Хомяково Дмитровская 19, стр. 1</t>
        </is>
      </c>
      <c r="Q2634" s="640" t="n">
        <v>56.41529</v>
      </c>
      <c r="R2634" s="422" t="n">
        <v>37.989098</v>
      </c>
      <c r="S2634" s="387" t="n"/>
      <c r="T2634" s="387" t="n"/>
      <c r="U2634" s="436" t="n"/>
      <c r="V2634" s="387" t="n"/>
      <c r="W2634" s="387">
        <f>IF(AND(N2634=1,O2634&lt;&gt;""),C2634,"")</f>
        <v/>
      </c>
      <c r="X2634" s="387" t="n"/>
      <c r="Y2634" s="1" t="n"/>
    </row>
    <row r="2635" hidden="1" ht="16.05" customFormat="1" customHeight="1" s="126">
      <c r="A2635" s="125" t="n">
        <v>3259</v>
      </c>
      <c r="B2635" s="125" t="n"/>
      <c r="C2635" s="130" t="inlineStr">
        <is>
          <t>Ярославль</t>
        </is>
      </c>
      <c r="D2635" s="130" t="inlineStr">
        <is>
          <t>Ярославская область</t>
        </is>
      </c>
      <c r="E2635" s="130" t="n"/>
      <c r="F2635" s="130" t="inlineStr">
        <is>
          <t>АЗС</t>
        </is>
      </c>
      <c r="G2635" s="130" t="inlineStr">
        <is>
          <t>Газпромнефть</t>
        </is>
      </c>
      <c r="H2635" s="131" t="n"/>
      <c r="I2635" s="637" t="n">
        <v>13034</v>
      </c>
      <c r="J2635" s="637" t="inlineStr">
        <is>
          <t>GPN_13034</t>
        </is>
      </c>
      <c r="K2635" s="640" t="n">
        <v>3</v>
      </c>
      <c r="L2635" s="640" t="n">
        <v>1</v>
      </c>
      <c r="M2635" s="623" t="n">
        <v>5</v>
      </c>
      <c r="N2635" s="640" t="n"/>
      <c r="O2635" s="640">
        <f>IF(AND(N2635=1,L2635=1),K2635,"")</f>
        <v/>
      </c>
      <c r="P2635" s="642" t="inlineStr">
        <is>
          <t>Вологодская область, п. Майский, 10 км ФАД А-119, справа</t>
        </is>
      </c>
      <c r="Q2635" s="640" t="inlineStr">
        <is>
          <t>59.208282</t>
        </is>
      </c>
      <c r="R2635" s="494" t="inlineStr">
        <is>
          <t>39.811849</t>
        </is>
      </c>
      <c r="S2635" s="387" t="n"/>
      <c r="T2635" s="387" t="n"/>
      <c r="U2635" s="436" t="n"/>
      <c r="V2635" s="387" t="n"/>
      <c r="W2635" s="387">
        <f>IF(AND(N2635=1,O2635&lt;&gt;""),C2635,"")</f>
        <v/>
      </c>
      <c r="X2635" s="387" t="n"/>
      <c r="Y2635" s="387" t="n"/>
    </row>
    <row r="2636" hidden="1" ht="16.05" customFormat="1" customHeight="1" s="126">
      <c r="A2636" s="125" t="n">
        <v>3254</v>
      </c>
      <c r="B2636" s="125" t="n"/>
      <c r="C2636" s="130" t="inlineStr">
        <is>
          <t>ЦФО</t>
        </is>
      </c>
      <c r="D2636" s="130" t="inlineStr">
        <is>
          <t>Владимирская область</t>
        </is>
      </c>
      <c r="E2636" s="130" t="n"/>
      <c r="F2636" s="130" t="n"/>
      <c r="G2636" s="130" t="inlineStr">
        <is>
          <t>Газпромнефть</t>
        </is>
      </c>
      <c r="H2636" s="131" t="n"/>
      <c r="I2636" s="637" t="n">
        <v>12355</v>
      </c>
      <c r="J2636" s="402" t="inlineStr">
        <is>
          <t>GPN_12355</t>
        </is>
      </c>
      <c r="K2636" s="640" t="n">
        <v>3</v>
      </c>
      <c r="L2636" s="640" t="n">
        <v>0</v>
      </c>
      <c r="M2636" s="640" t="n">
        <v>6</v>
      </c>
      <c r="N2636" s="640" t="n"/>
      <c r="O2636" s="640">
        <f>IF(AND(N2636=1,L2636=1),K2636,"")</f>
        <v/>
      </c>
      <c r="P2636" s="642" t="inlineStr">
        <is>
          <t>г.Киржач, ул.Шелковиков д.40</t>
        </is>
      </c>
      <c r="Q2636" s="640" t="n">
        <v>56.143348</v>
      </c>
      <c r="R2636" s="422" t="n">
        <v>38.847375</v>
      </c>
      <c r="S2636" s="387" t="n"/>
      <c r="T2636" s="387" t="n"/>
      <c r="U2636" s="436" t="n"/>
      <c r="V2636" s="387" t="n"/>
      <c r="W2636" s="387">
        <f>IF(AND(N2636=1,O2636&lt;&gt;""),C2636,"")</f>
        <v/>
      </c>
      <c r="X2636" s="387" t="n"/>
      <c r="Y2636" s="1" t="n"/>
    </row>
    <row r="2637" hidden="1" ht="16.05" customFormat="1" customHeight="1" s="126">
      <c r="A2637" s="125" t="n">
        <v>3262</v>
      </c>
      <c r="B2637" s="125" t="n"/>
      <c r="C2637" s="130" t="inlineStr">
        <is>
          <t>Тула</t>
        </is>
      </c>
      <c r="D2637" s="130" t="inlineStr">
        <is>
          <t>Новомосковск</t>
        </is>
      </c>
      <c r="E2637" s="130" t="n"/>
      <c r="F2637" s="130" t="inlineStr">
        <is>
          <t>АЗС</t>
        </is>
      </c>
      <c r="G2637" s="130" t="inlineStr">
        <is>
          <t>Роснефть</t>
        </is>
      </c>
      <c r="H2637" s="131" t="n"/>
      <c r="I2637" s="637" t="n">
        <v>16</v>
      </c>
      <c r="J2637" s="637" t="inlineStr">
        <is>
          <t>TUL_RN_016</t>
        </is>
      </c>
      <c r="K2637" s="640" t="n">
        <v>1</v>
      </c>
      <c r="L2637" s="640" t="n">
        <v>1</v>
      </c>
      <c r="M2637" s="623" t="inlineStr">
        <is>
          <t>Samsung 32" вертикальный</t>
        </is>
      </c>
      <c r="N2637" s="640" t="n"/>
      <c r="O2637" s="640">
        <f>IF(AND(N2637=1,L2637=1),K2637,"")</f>
        <v/>
      </c>
      <c r="P2637" s="642" t="inlineStr">
        <is>
          <t>Тульская обл., г. Новомосковск, ул. Космонавтов, 37б</t>
        </is>
      </c>
      <c r="Q2637" s="640" t="inlineStr">
        <is>
          <t>54.006125</t>
        </is>
      </c>
      <c r="R2637" s="494" t="inlineStr">
        <is>
          <t>38.250184</t>
        </is>
      </c>
      <c r="S2637" s="387" t="n"/>
      <c r="T2637" s="387" t="n"/>
      <c r="U2637" s="436" t="n"/>
      <c r="V2637" s="387" t="n"/>
      <c r="W2637" s="387">
        <f>IF(AND(N2637=1,O2637&lt;&gt;""),C2637,"")</f>
        <v/>
      </c>
      <c r="X2637" s="387" t="n"/>
      <c r="Y2637" s="387" t="n"/>
    </row>
    <row r="2638" hidden="1" ht="16.05" customFormat="1" customHeight="1" s="126">
      <c r="A2638" s="125" t="n">
        <v>3263</v>
      </c>
      <c r="B2638" s="125" t="n"/>
      <c r="C2638" s="130" t="inlineStr">
        <is>
          <t>Тула</t>
        </is>
      </c>
      <c r="D2638" s="130" t="inlineStr">
        <is>
          <t>Новомосковск</t>
        </is>
      </c>
      <c r="E2638" s="130" t="n"/>
      <c r="F2638" s="130" t="inlineStr">
        <is>
          <t>АЗС</t>
        </is>
      </c>
      <c r="G2638" s="130" t="inlineStr">
        <is>
          <t>Роснефть</t>
        </is>
      </c>
      <c r="H2638" s="131" t="n"/>
      <c r="I2638" s="637" t="n">
        <v>47</v>
      </c>
      <c r="J2638" s="637" t="inlineStr">
        <is>
          <t>TUL_RN_047</t>
        </is>
      </c>
      <c r="K2638" s="640" t="n">
        <v>1</v>
      </c>
      <c r="L2638" s="640" t="n">
        <v>1</v>
      </c>
      <c r="M2638" s="623" t="inlineStr">
        <is>
          <t>Samsung 32" вертикальный</t>
        </is>
      </c>
      <c r="N2638" s="640" t="n"/>
      <c r="O2638" s="640">
        <f>IF(AND(N2638=1,L2638=1),K2638,"")</f>
        <v/>
      </c>
      <c r="P2638" s="642" t="inlineStr">
        <is>
          <t>Тульская обл., Узловский р-н, г. Узловая, а/д Р140 (Тула - Узловая - Новомосковск), 46 км, справа.</t>
        </is>
      </c>
      <c r="Q2638" s="640" t="inlineStr">
        <is>
          <t>54.003696</t>
        </is>
      </c>
      <c r="R2638" s="494" t="inlineStr">
        <is>
          <t>38.163089</t>
        </is>
      </c>
      <c r="S2638" s="387" t="n"/>
      <c r="T2638" s="387" t="n"/>
      <c r="U2638" s="436" t="n"/>
      <c r="V2638" s="387" t="n"/>
      <c r="W2638" s="387">
        <f>IF(AND(N2638=1,O2638&lt;&gt;""),C2638,"")</f>
        <v/>
      </c>
      <c r="X2638" s="387" t="n"/>
      <c r="Y2638" s="387" t="n"/>
    </row>
    <row r="2639" hidden="1" ht="16.05" customFormat="1" customHeight="1" s="126">
      <c r="A2639" s="125" t="n">
        <v>3257</v>
      </c>
      <c r="B2639" s="125" t="n"/>
      <c r="C2639" s="130" t="inlineStr">
        <is>
          <t>Москва</t>
        </is>
      </c>
      <c r="D2639" s="130" t="inlineStr">
        <is>
          <t>Московская область</t>
        </is>
      </c>
      <c r="E2639" s="130" t="n"/>
      <c r="F2639" s="130" t="n"/>
      <c r="G2639" s="130" t="inlineStr">
        <is>
          <t>Газпромнефть</t>
        </is>
      </c>
      <c r="H2639" s="131" t="n"/>
      <c r="I2639" s="637" t="n">
        <v>5002</v>
      </c>
      <c r="J2639" s="402" t="inlineStr">
        <is>
          <t>GPN_5002</t>
        </is>
      </c>
      <c r="K2639" s="640" t="n">
        <v>3</v>
      </c>
      <c r="L2639" s="640" t="n">
        <v>0</v>
      </c>
      <c r="M2639" s="640" t="n">
        <v>5</v>
      </c>
      <c r="N2639" s="640" t="n"/>
      <c r="O2639" s="640">
        <f>IF(AND(N2639=1,L2639=1),K2639,"")</f>
        <v/>
      </c>
      <c r="P2639" s="642" t="inlineStr">
        <is>
          <t>с. Стромынь, Ногинский район</t>
        </is>
      </c>
      <c r="Q2639" s="640" t="n">
        <v>56.048982</v>
      </c>
      <c r="R2639" s="422" t="n">
        <v>38.520986</v>
      </c>
      <c r="S2639" s="387" t="n"/>
      <c r="T2639" s="387" t="n"/>
      <c r="U2639" s="436" t="n"/>
      <c r="V2639" s="387" t="n"/>
      <c r="W2639" s="387">
        <f>IF(AND(N2639=1,O2639&lt;&gt;""),C2639,"")</f>
        <v/>
      </c>
      <c r="X2639" s="387" t="n"/>
      <c r="Y2639" s="1" t="n"/>
    </row>
    <row r="2640" hidden="1" ht="16.05" customFormat="1" customHeight="1" s="126">
      <c r="A2640" s="125" t="n">
        <v>3258</v>
      </c>
      <c r="B2640" s="125" t="n"/>
      <c r="C2640" s="130" t="inlineStr">
        <is>
          <t>Приволжье</t>
        </is>
      </c>
      <c r="D2640" s="130" t="inlineStr">
        <is>
          <t>Нижний Новгород</t>
        </is>
      </c>
      <c r="E2640" s="130" t="n"/>
      <c r="F2640" s="130" t="inlineStr">
        <is>
          <t>АЗС</t>
        </is>
      </c>
      <c r="G2640" s="130" t="inlineStr">
        <is>
          <t>Газпромнефть</t>
        </is>
      </c>
      <c r="H2640" s="131" t="n"/>
      <c r="I2640" s="637" t="n">
        <v>14348</v>
      </c>
      <c r="J2640" s="637" t="inlineStr">
        <is>
          <t>GPN_14348</t>
        </is>
      </c>
      <c r="K2640" s="640" t="n">
        <v>3</v>
      </c>
      <c r="L2640" s="640" t="n">
        <v>0</v>
      </c>
      <c r="M2640" s="640" t="n">
        <v>5</v>
      </c>
      <c r="N2640" s="640" t="n"/>
      <c r="O2640" s="640">
        <f>IF(AND(N2640=1,L2640=1),K2640,"")</f>
        <v/>
      </c>
      <c r="P2640" s="642" t="inlineStr">
        <is>
          <t>Нижегородская обл., Кстовский район, с. Вязовка, ул. Радужная, 49 (17 км. трассы Р158 Н.Новгород - Арзамас)</t>
        </is>
      </c>
      <c r="Q2640" s="640" t="n">
        <v>56.127076</v>
      </c>
      <c r="R2640" s="422" t="n">
        <v>43.916685</v>
      </c>
      <c r="S2640" s="387" t="n"/>
      <c r="T2640" s="387" t="n"/>
      <c r="U2640" s="436" t="n"/>
      <c r="V2640" s="387" t="n"/>
      <c r="W2640" s="387">
        <f>IF(AND(N2640=1,O2640&lt;&gt;""),C2640,"")</f>
        <v/>
      </c>
      <c r="X2640" s="387" t="n"/>
      <c r="Y2640" s="1" t="n"/>
    </row>
    <row r="2641" hidden="1" ht="16.05" customFormat="1" customHeight="1" s="126">
      <c r="A2641" s="125" t="n">
        <v>3264</v>
      </c>
      <c r="B2641" s="125" t="n"/>
      <c r="C2641" s="130" t="inlineStr">
        <is>
          <t>Тула</t>
        </is>
      </c>
      <c r="D2641" s="130" t="inlineStr">
        <is>
          <t>Новомосковск</t>
        </is>
      </c>
      <c r="E2641" s="130" t="n"/>
      <c r="F2641" s="130" t="inlineStr">
        <is>
          <t>АЗС</t>
        </is>
      </c>
      <c r="G2641" s="130" t="inlineStr">
        <is>
          <t>Роснефть</t>
        </is>
      </c>
      <c r="H2641" s="131" t="n"/>
      <c r="I2641" s="637" t="n">
        <v>75</v>
      </c>
      <c r="J2641" s="637" t="inlineStr">
        <is>
          <t>TUL_RN_075</t>
        </is>
      </c>
      <c r="K2641" s="640" t="n">
        <v>1</v>
      </c>
      <c r="L2641" s="640" t="n">
        <v>1</v>
      </c>
      <c r="M2641" s="623" t="inlineStr">
        <is>
          <t>Samsung 32" вертикальный</t>
        </is>
      </c>
      <c r="N2641" s="640" t="n"/>
      <c r="O2641" s="640">
        <f>IF(AND(N2641=1,L2641=1),K2641,"")</f>
        <v/>
      </c>
      <c r="P2641" s="642" t="inlineStr">
        <is>
          <t>Тульская обл., г.Новомосковск, Рязанское шоссе, 4</t>
        </is>
      </c>
      <c r="Q2641" s="640" t="inlineStr">
        <is>
          <t>54.02652</t>
        </is>
      </c>
      <c r="R2641" s="494" t="inlineStr">
        <is>
          <t>38.325076</t>
        </is>
      </c>
      <c r="S2641" s="387" t="n"/>
      <c r="T2641" s="387" t="n"/>
      <c r="U2641" s="436" t="n"/>
      <c r="V2641" s="387" t="n"/>
      <c r="W2641" s="387" t="n"/>
      <c r="X2641" s="387" t="n"/>
      <c r="Y2641" s="387" t="n"/>
    </row>
    <row r="2642" hidden="1" ht="16.05" customFormat="1" customHeight="1" s="126">
      <c r="A2642" s="125" t="n">
        <v>3260</v>
      </c>
      <c r="B2642" s="125">
        <f>IF(OR(M2642="Sam 32",M2642="Sam 40"),"s",IF(M2642="AMS","a","v"))</f>
        <v/>
      </c>
      <c r="C2642" s="130" t="n"/>
      <c r="D2642" s="130" t="n"/>
      <c r="E2642" s="130" t="n"/>
      <c r="F2642" s="130" t="n"/>
      <c r="G2642" s="130" t="inlineStr">
        <is>
          <t>Газпромнефть</t>
        </is>
      </c>
      <c r="H2642" s="131" t="n"/>
      <c r="I2642" s="637" t="n"/>
      <c r="J2642" s="402" t="inlineStr">
        <is>
          <t>GPN_11109_1</t>
        </is>
      </c>
      <c r="K2642" s="640" t="n"/>
      <c r="L2642" s="640" t="n">
        <v>0</v>
      </c>
      <c r="M2642" s="640" t="n"/>
      <c r="N2642" s="640" t="n"/>
      <c r="O2642" s="640">
        <f>IF(AND(N2642=1,L2642=1),K2642,"")</f>
        <v/>
      </c>
      <c r="P2642" s="642" t="n"/>
      <c r="Q2642" s="640" t="n"/>
      <c r="R2642" s="422" t="n"/>
      <c r="S2642" s="387" t="n"/>
      <c r="T2642" s="387" t="n"/>
      <c r="U2642" s="436" t="n"/>
      <c r="V2642" s="387" t="n"/>
      <c r="W2642" s="387">
        <f>IF(AND(N2642=1,O2642&lt;&gt;""),C2642,"")</f>
        <v/>
      </c>
      <c r="X2642" s="387" t="n"/>
      <c r="Y2642" s="1" t="n"/>
    </row>
    <row r="2643" hidden="1" ht="16.05" customFormat="1" customHeight="1" s="126">
      <c r="A2643" s="125" t="n">
        <v>3261</v>
      </c>
      <c r="B2643" s="125">
        <f>IF(OR(M2643="Sam 32",M2643="Sam 40"),"s",IF(M2643="AMS","a","v"))</f>
        <v/>
      </c>
      <c r="C2643" s="130" t="n"/>
      <c r="D2643" s="130" t="n"/>
      <c r="E2643" s="130" t="n"/>
      <c r="F2643" s="130" t="n"/>
      <c r="G2643" s="130" t="inlineStr">
        <is>
          <t>Газпромнефть</t>
        </is>
      </c>
      <c r="H2643" s="131" t="n"/>
      <c r="I2643" s="637" t="n"/>
      <c r="J2643" s="402" t="inlineStr">
        <is>
          <t>GPN_11120_1</t>
        </is>
      </c>
      <c r="K2643" s="640" t="n"/>
      <c r="L2643" s="640" t="n">
        <v>0</v>
      </c>
      <c r="M2643" s="640" t="n"/>
      <c r="N2643" s="640" t="n"/>
      <c r="O2643" s="640">
        <f>IF(AND(N2643=1,L2643=1),K2643,"")</f>
        <v/>
      </c>
      <c r="P2643" s="642" t="n"/>
      <c r="Q2643" s="640" t="n"/>
      <c r="R2643" s="422" t="n"/>
      <c r="S2643" s="387" t="n"/>
      <c r="T2643" s="387" t="n"/>
      <c r="U2643" s="436" t="n"/>
      <c r="V2643" s="387" t="n"/>
      <c r="W2643" s="387">
        <f>IF(AND(N2643=1,O2643&lt;&gt;""),C2643,"")</f>
        <v/>
      </c>
      <c r="X2643" s="387" t="n"/>
      <c r="Y2643" s="1" t="n"/>
    </row>
    <row r="2644" hidden="1" ht="16.05" customFormat="1" customHeight="1" s="126">
      <c r="A2644" s="125" t="n">
        <v>3265</v>
      </c>
      <c r="B2644" s="125" t="n"/>
      <c r="C2644" s="130" t="inlineStr">
        <is>
          <t>Тула</t>
        </is>
      </c>
      <c r="D2644" s="130" t="inlineStr">
        <is>
          <t>Новомосковск</t>
        </is>
      </c>
      <c r="E2644" s="130" t="n"/>
      <c r="F2644" s="130" t="inlineStr">
        <is>
          <t>АЗС</t>
        </is>
      </c>
      <c r="G2644" s="130" t="inlineStr">
        <is>
          <t>Роснефть</t>
        </is>
      </c>
      <c r="H2644" s="131" t="n"/>
      <c r="I2644" s="637" t="n">
        <v>41</v>
      </c>
      <c r="J2644" s="637" t="inlineStr">
        <is>
          <t>TUL_RN_041</t>
        </is>
      </c>
      <c r="K2644" s="640" t="n">
        <v>1</v>
      </c>
      <c r="L2644" s="640" t="n">
        <v>1</v>
      </c>
      <c r="M2644" s="623" t="inlineStr">
        <is>
          <t>Samsung 32" вертикальный</t>
        </is>
      </c>
      <c r="N2644" s="640" t="n"/>
      <c r="O2644" s="640">
        <f>IF(AND(N2644=1,L2644=1),K2644,"")</f>
        <v/>
      </c>
      <c r="P2644" s="642" t="inlineStr">
        <is>
          <t>Тульская обл., г. Донской, Железнодорожный проезд, 17</t>
        </is>
      </c>
      <c r="Q2644" s="640" t="inlineStr">
        <is>
          <t>53.958028</t>
        </is>
      </c>
      <c r="R2644" s="494" t="inlineStr">
        <is>
          <t>38.294947</t>
        </is>
      </c>
      <c r="S2644" s="387" t="n"/>
      <c r="T2644" s="387" t="n"/>
      <c r="U2644" s="436" t="n"/>
      <c r="V2644" s="387" t="n"/>
      <c r="W2644" s="387" t="n"/>
      <c r="X2644" s="387" t="n"/>
      <c r="Y2644" s="387" t="n"/>
    </row>
    <row r="2645" hidden="1" ht="16.05" customFormat="1" customHeight="1" s="126">
      <c r="A2645" s="125" t="n">
        <v>3266</v>
      </c>
      <c r="B2645" s="125" t="n"/>
      <c r="C2645" s="130" t="inlineStr">
        <is>
          <t>Белгород</t>
        </is>
      </c>
      <c r="D2645" s="130" t="inlineStr">
        <is>
          <t>Белгород</t>
        </is>
      </c>
      <c r="E2645" s="130" t="n"/>
      <c r="F2645" s="130" t="inlineStr">
        <is>
          <t>АЗС</t>
        </is>
      </c>
      <c r="G2645" s="130" t="inlineStr">
        <is>
          <t>Роснефть</t>
        </is>
      </c>
      <c r="H2645" s="131" t="n"/>
      <c r="I2645" s="637" t="n">
        <v>201</v>
      </c>
      <c r="J2645" s="637" t="inlineStr">
        <is>
          <t>BGD_RN_001</t>
        </is>
      </c>
      <c r="K2645" s="640" t="n">
        <v>1</v>
      </c>
      <c r="L2645" s="640" t="n">
        <v>1</v>
      </c>
      <c r="M2645" s="623" t="inlineStr">
        <is>
          <t>Samsung 32" вертикальный</t>
        </is>
      </c>
      <c r="N2645" s="640" t="n"/>
      <c r="O2645" s="640">
        <f>IF(AND(N2645=1,L2645=1),K2645,"")</f>
        <v/>
      </c>
      <c r="P2645" s="642" t="inlineStr">
        <is>
          <t>г. Белгород ул. Красноармейская, 6</t>
        </is>
      </c>
      <c r="Q2645" s="640" t="inlineStr">
        <is>
          <t>50.588529</t>
        </is>
      </c>
      <c r="R2645" s="494" t="inlineStr">
        <is>
          <t>36.563381</t>
        </is>
      </c>
      <c r="S2645" s="387" t="n"/>
      <c r="T2645" s="387" t="n"/>
      <c r="U2645" s="436" t="n"/>
      <c r="V2645" s="387" t="n"/>
      <c r="W2645" s="387" t="n"/>
      <c r="X2645" s="387" t="n"/>
      <c r="Y2645" s="387" t="n"/>
    </row>
    <row r="2646" hidden="1" ht="16.05" customFormat="1" customHeight="1" s="126">
      <c r="A2646" s="125" t="n">
        <v>3267</v>
      </c>
      <c r="B2646" s="125" t="n"/>
      <c r="C2646" s="130" t="inlineStr">
        <is>
          <t>Белгород</t>
        </is>
      </c>
      <c r="D2646" s="130" t="inlineStr">
        <is>
          <t>Белгород</t>
        </is>
      </c>
      <c r="E2646" s="130" t="n"/>
      <c r="F2646" s="130" t="inlineStr">
        <is>
          <t>АЗС</t>
        </is>
      </c>
      <c r="G2646" s="130" t="inlineStr">
        <is>
          <t>Роснефть</t>
        </is>
      </c>
      <c r="H2646" s="131" t="n"/>
      <c r="I2646" s="637" t="n">
        <v>202</v>
      </c>
      <c r="J2646" s="637" t="inlineStr">
        <is>
          <t>BGD_RN_002</t>
        </is>
      </c>
      <c r="K2646" s="640" t="n">
        <v>1</v>
      </c>
      <c r="L2646" s="640" t="n">
        <v>1</v>
      </c>
      <c r="M2646" s="623" t="inlineStr">
        <is>
          <t>Samsung 32" вертикальный</t>
        </is>
      </c>
      <c r="N2646" s="640" t="n"/>
      <c r="O2646" s="640">
        <f>IF(AND(N2646=1,L2646=1),K2646,"")</f>
        <v/>
      </c>
      <c r="P2646" s="642" t="inlineStr">
        <is>
          <t>г. Белгород пр-кт Б. Хмельницкого, 199-в</t>
        </is>
      </c>
      <c r="Q2646" s="640" t="inlineStr">
        <is>
          <t>50.648584</t>
        </is>
      </c>
      <c r="R2646" s="422" t="inlineStr">
        <is>
          <t>36.566651</t>
        </is>
      </c>
      <c r="S2646" s="387" t="n"/>
      <c r="T2646" s="387" t="n"/>
      <c r="U2646" s="436" t="n"/>
      <c r="V2646" s="387" t="n"/>
      <c r="W2646" s="387" t="n"/>
      <c r="X2646" s="387" t="n"/>
      <c r="Y2646" s="387" t="n"/>
    </row>
    <row r="2647" hidden="1" ht="16.05" customFormat="1" customHeight="1" s="126">
      <c r="A2647" s="125" t="n">
        <v>3268</v>
      </c>
      <c r="B2647" s="125" t="n"/>
      <c r="C2647" s="130" t="inlineStr">
        <is>
          <t>Белгород</t>
        </is>
      </c>
      <c r="D2647" s="130" t="inlineStr">
        <is>
          <t>Белгород</t>
        </is>
      </c>
      <c r="E2647" s="130" t="n"/>
      <c r="F2647" s="130" t="inlineStr">
        <is>
          <t>АЗС</t>
        </is>
      </c>
      <c r="G2647" s="130" t="inlineStr">
        <is>
          <t>Роснефть</t>
        </is>
      </c>
      <c r="H2647" s="131" t="n"/>
      <c r="I2647" s="637" t="n">
        <v>203</v>
      </c>
      <c r="J2647" s="637" t="inlineStr">
        <is>
          <t>BGD_RN_003</t>
        </is>
      </c>
      <c r="K2647" s="640" t="n">
        <v>1</v>
      </c>
      <c r="L2647" s="640" t="n">
        <v>1</v>
      </c>
      <c r="M2647" s="623" t="inlineStr">
        <is>
          <t>Samsung 32" вертикальный</t>
        </is>
      </c>
      <c r="N2647" s="640" t="n"/>
      <c r="O2647" s="640">
        <f>IF(AND(N2647=1,L2647=1),K2647,"")</f>
        <v/>
      </c>
      <c r="P2647" s="642" t="inlineStr">
        <is>
          <t>г. Белгород ул. К. Заслонова, 54-а</t>
        </is>
      </c>
      <c r="Q2647" s="640" t="inlineStr">
        <is>
          <t>50.593825</t>
        </is>
      </c>
      <c r="R2647" s="494" t="inlineStr">
        <is>
          <t>36.651111</t>
        </is>
      </c>
      <c r="S2647" s="387" t="n"/>
      <c r="T2647" s="387" t="n"/>
      <c r="U2647" s="436" t="n"/>
      <c r="V2647" s="387" t="n"/>
      <c r="W2647" s="387" t="n"/>
      <c r="X2647" s="387" t="n"/>
      <c r="Y2647" s="387" t="n"/>
    </row>
    <row r="2648" hidden="1" ht="16.05" customFormat="1" customHeight="1" s="126">
      <c r="A2648" s="125" t="n">
        <v>3270</v>
      </c>
      <c r="B2648" s="125" t="n"/>
      <c r="C2648" s="130" t="inlineStr">
        <is>
          <t>Белгород</t>
        </is>
      </c>
      <c r="D2648" s="130" t="inlineStr">
        <is>
          <t>Белгород</t>
        </is>
      </c>
      <c r="E2648" s="130" t="n"/>
      <c r="F2648" s="130" t="inlineStr">
        <is>
          <t>АЗС</t>
        </is>
      </c>
      <c r="G2648" s="130" t="inlineStr">
        <is>
          <t>Роснефть</t>
        </is>
      </c>
      <c r="H2648" s="131" t="n"/>
      <c r="I2648" s="648" t="n">
        <v>248</v>
      </c>
      <c r="J2648" s="637" t="inlineStr">
        <is>
          <t>BGD_RN_048</t>
        </is>
      </c>
      <c r="K2648" s="640" t="n">
        <v>1</v>
      </c>
      <c r="L2648" s="640" t="n">
        <v>0</v>
      </c>
      <c r="M2648" s="623" t="inlineStr">
        <is>
          <t>Samsung 32" вертикальный</t>
        </is>
      </c>
      <c r="N2648" s="640" t="n"/>
      <c r="O2648" s="640">
        <f>IF(AND(N2648=1,L2648=1),K2648,"")</f>
        <v/>
      </c>
      <c r="P2648" s="642" t="inlineStr">
        <is>
          <t>г. Белгород ул. Чичерина, 74</t>
        </is>
      </c>
      <c r="Q2648" s="640" t="inlineStr">
        <is>
          <t>50.625132</t>
        </is>
      </c>
      <c r="R2648" s="422" t="inlineStr">
        <is>
          <t>36.54493</t>
        </is>
      </c>
      <c r="S2648" s="387" t="n"/>
      <c r="T2648" s="387" t="n"/>
      <c r="U2648" s="436" t="n"/>
      <c r="V2648" s="387" t="n"/>
      <c r="W2648" s="387" t="n"/>
      <c r="X2648" s="387" t="n"/>
      <c r="Y2648" s="387" t="n"/>
    </row>
    <row r="2649" hidden="1" ht="16.05" customFormat="1" customHeight="1" s="126">
      <c r="A2649" s="125" t="n">
        <v>3271</v>
      </c>
      <c r="B2649" s="125" t="n"/>
      <c r="C2649" s="130" t="inlineStr">
        <is>
          <t>Белгород</t>
        </is>
      </c>
      <c r="D2649" s="130" t="inlineStr">
        <is>
          <t>Белгород</t>
        </is>
      </c>
      <c r="E2649" s="130" t="n"/>
      <c r="F2649" s="130" t="inlineStr">
        <is>
          <t>АЗС</t>
        </is>
      </c>
      <c r="G2649" s="130" t="inlineStr">
        <is>
          <t>Роснефть</t>
        </is>
      </c>
      <c r="H2649" s="131" t="n"/>
      <c r="I2649" s="637" t="n">
        <v>250</v>
      </c>
      <c r="J2649" s="637" t="inlineStr">
        <is>
          <t>BGD_RN_050</t>
        </is>
      </c>
      <c r="K2649" s="640" t="n">
        <v>1</v>
      </c>
      <c r="L2649" s="640" t="n">
        <v>1</v>
      </c>
      <c r="M2649" s="623" t="inlineStr">
        <is>
          <t>Samsung 32" вертикальный</t>
        </is>
      </c>
      <c r="N2649" s="640" t="n"/>
      <c r="O2649" s="640">
        <f>IF(AND(N2649=1,L2649=1),K2649,"")</f>
        <v/>
      </c>
      <c r="P2649" s="642" t="inlineStr">
        <is>
          <t>г. Белгород ул. Губкина, 5</t>
        </is>
      </c>
      <c r="Q2649" s="640" t="inlineStr">
        <is>
          <t>50.572514</t>
        </is>
      </c>
      <c r="R2649" s="494" t="inlineStr">
        <is>
          <t>36.593134</t>
        </is>
      </c>
      <c r="S2649" s="387" t="n"/>
      <c r="T2649" s="387" t="n"/>
      <c r="U2649" s="436" t="n"/>
      <c r="V2649" s="387" t="n"/>
      <c r="W2649" s="387" t="n"/>
      <c r="X2649" s="387" t="n"/>
      <c r="Y2649" s="387" t="n"/>
    </row>
    <row r="2650" hidden="1" ht="16.05" customFormat="1" customHeight="1" s="126">
      <c r="A2650" s="125" t="n">
        <v>3273</v>
      </c>
      <c r="B2650" s="125" t="n"/>
      <c r="C2650" s="130" t="inlineStr">
        <is>
          <t>Ставрополь</t>
        </is>
      </c>
      <c r="D2650" s="130" t="inlineStr">
        <is>
          <t>Ставрополь</t>
        </is>
      </c>
      <c r="E2650" s="130" t="n"/>
      <c r="F2650" s="130" t="inlineStr">
        <is>
          <t>АЗС</t>
        </is>
      </c>
      <c r="G2650" s="130" t="inlineStr">
        <is>
          <t>Роснефть</t>
        </is>
      </c>
      <c r="H2650" s="131" t="n"/>
      <c r="I2650" s="637" t="n">
        <v>15</v>
      </c>
      <c r="J2650" s="637" t="inlineStr">
        <is>
          <t>STW_RN_015</t>
        </is>
      </c>
      <c r="K2650" s="640" t="n">
        <v>1</v>
      </c>
      <c r="L2650" s="640" t="n">
        <v>1</v>
      </c>
      <c r="M2650" s="623" t="inlineStr">
        <is>
          <t>Samsung 32" вертикальный</t>
        </is>
      </c>
      <c r="N2650" s="640" t="n"/>
      <c r="O2650" s="640">
        <f>IF(AND(N2650=1,L2650=1),K2650,"")</f>
        <v/>
      </c>
      <c r="P2650" s="642" t="inlineStr">
        <is>
          <t>г. Ставрополь, ул. Достоевского, 39</t>
        </is>
      </c>
      <c r="Q2650" s="640" t="inlineStr">
        <is>
          <t>45.038999</t>
        </is>
      </c>
      <c r="R2650" s="494" t="inlineStr">
        <is>
          <t>42.002231</t>
        </is>
      </c>
      <c r="S2650" s="387" t="n"/>
      <c r="T2650" s="387" t="n"/>
      <c r="U2650" s="436" t="n"/>
      <c r="V2650" s="387" t="n"/>
      <c r="W2650" s="387" t="n"/>
      <c r="X2650" s="387" t="n"/>
      <c r="Y2650" s="387" t="n"/>
    </row>
    <row r="2651" hidden="1" ht="16.05" customFormat="1" customHeight="1" s="126">
      <c r="A2651" s="125" t="n">
        <v>3269</v>
      </c>
      <c r="B2651" s="125" t="n"/>
      <c r="C2651" s="130" t="inlineStr">
        <is>
          <t>Белгород</t>
        </is>
      </c>
      <c r="D2651" s="130" t="inlineStr">
        <is>
          <t>Белгород</t>
        </is>
      </c>
      <c r="E2651" s="130" t="n"/>
      <c r="F2651" s="130" t="inlineStr">
        <is>
          <t>АЗС</t>
        </is>
      </c>
      <c r="G2651" s="130" t="inlineStr">
        <is>
          <t>Роснефть</t>
        </is>
      </c>
      <c r="H2651" s="131" t="n"/>
      <c r="I2651" s="648" t="n">
        <v>219</v>
      </c>
      <c r="J2651" s="637" t="inlineStr">
        <is>
          <t>BGD_RN_019</t>
        </is>
      </c>
      <c r="K2651" s="640" t="n">
        <v>1</v>
      </c>
      <c r="L2651" s="640" t="n">
        <v>0</v>
      </c>
      <c r="M2651" s="640" t="inlineStr">
        <is>
          <t>Samsung 32" вертикальный</t>
        </is>
      </c>
      <c r="N2651" s="640" t="n"/>
      <c r="O2651" s="640">
        <f>IF(AND(N2651=1,L2651=1),K2651,"")</f>
        <v/>
      </c>
      <c r="P2651" s="642" t="inlineStr">
        <is>
          <t>г. Белгород ул. Михайловское шоссе, 3</t>
        </is>
      </c>
      <c r="Q2651" s="640" t="inlineStr">
        <is>
          <t>50.578252</t>
        </is>
      </c>
      <c r="R2651" s="422" t="inlineStr">
        <is>
          <t>36.624602</t>
        </is>
      </c>
      <c r="S2651" s="387" t="n"/>
      <c r="T2651" s="387" t="n"/>
      <c r="U2651" s="436" t="n"/>
      <c r="V2651" s="387" t="n"/>
      <c r="W2651" s="387" t="n"/>
      <c r="X2651" s="387" t="n"/>
      <c r="Y2651" s="387" t="n"/>
    </row>
    <row r="2652" hidden="1" ht="16.05" customFormat="1" customHeight="1" s="126">
      <c r="A2652" s="125" t="n">
        <v>3274</v>
      </c>
      <c r="B2652" s="125" t="n"/>
      <c r="C2652" s="130" t="inlineStr">
        <is>
          <t>Ставрополь</t>
        </is>
      </c>
      <c r="D2652" s="130" t="inlineStr">
        <is>
          <t>Ставрополь</t>
        </is>
      </c>
      <c r="E2652" s="130" t="n"/>
      <c r="F2652" s="130" t="inlineStr">
        <is>
          <t>АЗС</t>
        </is>
      </c>
      <c r="G2652" s="130" t="inlineStr">
        <is>
          <t>Роснефть</t>
        </is>
      </c>
      <c r="H2652" s="131" t="n"/>
      <c r="I2652" s="637" t="n">
        <v>19</v>
      </c>
      <c r="J2652" s="637" t="inlineStr">
        <is>
          <t>STW_RN_019</t>
        </is>
      </c>
      <c r="K2652" s="640" t="n">
        <v>1</v>
      </c>
      <c r="L2652" s="640" t="n">
        <v>1</v>
      </c>
      <c r="M2652" s="623" t="inlineStr">
        <is>
          <t>Samsung 32" вертикальный</t>
        </is>
      </c>
      <c r="N2652" s="640" t="n"/>
      <c r="O2652" s="640">
        <f>IF(AND(N2652=1,L2652=1),K2652,"")</f>
        <v/>
      </c>
      <c r="P2652" s="642" t="inlineStr">
        <is>
          <t>г. Ставрополь, ул. Ленина, 431А</t>
        </is>
      </c>
      <c r="Q2652" s="640" t="inlineStr">
        <is>
          <t>45.040139</t>
        </is>
      </c>
      <c r="R2652" s="494" t="inlineStr">
        <is>
          <t>41.909507</t>
        </is>
      </c>
      <c r="S2652" s="387" t="n"/>
      <c r="T2652" s="387" t="n"/>
      <c r="U2652" s="436" t="n"/>
      <c r="V2652" s="387" t="n"/>
      <c r="W2652" s="387" t="n"/>
      <c r="X2652" s="387" t="n"/>
      <c r="Y2652" s="387" t="n"/>
    </row>
    <row r="2653" hidden="1" ht="16.05" customFormat="1" customHeight="1" s="126">
      <c r="A2653" s="125" t="n">
        <v>3272</v>
      </c>
      <c r="B2653" s="125" t="n"/>
      <c r="C2653" s="130" t="inlineStr">
        <is>
          <t>Белгород</t>
        </is>
      </c>
      <c r="D2653" s="130" t="inlineStr">
        <is>
          <t>Белгород</t>
        </is>
      </c>
      <c r="E2653" s="130" t="n"/>
      <c r="F2653" s="130" t="inlineStr">
        <is>
          <t>АЗС</t>
        </is>
      </c>
      <c r="G2653" s="130" t="inlineStr">
        <is>
          <t>Роснефть</t>
        </is>
      </c>
      <c r="H2653" s="131" t="n"/>
      <c r="I2653" s="637" t="n">
        <v>180</v>
      </c>
      <c r="J2653" s="637" t="inlineStr">
        <is>
          <t>BGD_RN_180</t>
        </is>
      </c>
      <c r="K2653" s="640" t="n">
        <v>1</v>
      </c>
      <c r="L2653" s="640" t="n">
        <v>0</v>
      </c>
      <c r="M2653" s="640" t="inlineStr">
        <is>
          <t>Samsung 32" вертикальный</t>
        </is>
      </c>
      <c r="N2653" s="640" t="n"/>
      <c r="O2653" s="640">
        <f>IF(AND(N2653=1,L2653=1),K2653,"")</f>
        <v/>
      </c>
      <c r="P2653" s="642" t="inlineStr">
        <is>
          <t>г. Белгород ул. Корочанская, 46</t>
        </is>
      </c>
      <c r="Q2653" s="640" t="inlineStr">
        <is>
          <t>50.587391</t>
        </is>
      </c>
      <c r="R2653" s="422" t="inlineStr">
        <is>
          <t>36.619616</t>
        </is>
      </c>
      <c r="S2653" s="387" t="n"/>
      <c r="T2653" s="387" t="n"/>
      <c r="U2653" s="436" t="n"/>
      <c r="V2653" s="387" t="n"/>
      <c r="W2653" s="387" t="n"/>
      <c r="X2653" s="387" t="n"/>
      <c r="Y2653" s="387" t="n"/>
    </row>
    <row r="2654" hidden="1" ht="16.05" customFormat="1" customHeight="1" s="126">
      <c r="A2654" s="125" t="n">
        <v>3275</v>
      </c>
      <c r="B2654" s="125" t="n"/>
      <c r="C2654" s="130" t="inlineStr">
        <is>
          <t>Ставрополь</t>
        </is>
      </c>
      <c r="D2654" s="130" t="inlineStr">
        <is>
          <t>Ставрополь</t>
        </is>
      </c>
      <c r="E2654" s="130" t="n"/>
      <c r="F2654" s="130" t="inlineStr">
        <is>
          <t>АЗС</t>
        </is>
      </c>
      <c r="G2654" s="130" t="inlineStr">
        <is>
          <t>Роснефть</t>
        </is>
      </c>
      <c r="H2654" s="131" t="n"/>
      <c r="I2654" s="637" t="n">
        <v>23</v>
      </c>
      <c r="J2654" s="637" t="inlineStr">
        <is>
          <t>STW_RN_023</t>
        </is>
      </c>
      <c r="K2654" s="640" t="n">
        <v>1</v>
      </c>
      <c r="L2654" s="640" t="n">
        <v>1</v>
      </c>
      <c r="M2654" s="623" t="inlineStr">
        <is>
          <t>Samsung 32" вертикальный</t>
        </is>
      </c>
      <c r="N2654" s="640" t="n"/>
      <c r="O2654" s="640">
        <f>IF(AND(N2654=1,L2654=1),K2654,"")</f>
        <v/>
      </c>
      <c r="P2654" s="642" t="inlineStr">
        <is>
          <t>г. Ставрополь, ул. Объездная, 23</t>
        </is>
      </c>
      <c r="Q2654" s="640" t="inlineStr">
        <is>
          <t>45.049462</t>
        </is>
      </c>
      <c r="R2654" s="494" t="inlineStr">
        <is>
          <t>42.019982</t>
        </is>
      </c>
      <c r="S2654" s="387" t="n"/>
      <c r="T2654" s="387" t="n"/>
      <c r="U2654" s="436" t="n"/>
      <c r="V2654" s="387" t="n"/>
      <c r="W2654" s="387" t="n"/>
      <c r="X2654" s="387" t="n"/>
      <c r="Y2654" s="387" t="n"/>
    </row>
    <row r="2655" hidden="1" ht="16.05" customFormat="1" customHeight="1" s="126">
      <c r="A2655" s="125" t="n">
        <v>3276</v>
      </c>
      <c r="B2655" s="125" t="n"/>
      <c r="C2655" s="130" t="inlineStr">
        <is>
          <t>Ставрополь</t>
        </is>
      </c>
      <c r="D2655" s="130" t="inlineStr">
        <is>
          <t>Ставрополь</t>
        </is>
      </c>
      <c r="E2655" s="130" t="n"/>
      <c r="F2655" s="130" t="inlineStr">
        <is>
          <t>АЗС</t>
        </is>
      </c>
      <c r="G2655" s="130" t="inlineStr">
        <is>
          <t>Роснефть</t>
        </is>
      </c>
      <c r="H2655" s="131" t="n"/>
      <c r="I2655" s="637" t="n">
        <v>26</v>
      </c>
      <c r="J2655" s="637" t="inlineStr">
        <is>
          <t>STW_RN_026</t>
        </is>
      </c>
      <c r="K2655" s="640" t="n">
        <v>1</v>
      </c>
      <c r="L2655" s="640" t="n">
        <v>1</v>
      </c>
      <c r="M2655" s="623" t="inlineStr">
        <is>
          <t>Samsung 32" вертикальный</t>
        </is>
      </c>
      <c r="N2655" s="640" t="n"/>
      <c r="O2655" s="640">
        <f>IF(AND(N2655=1,L2655=1),K2655,"")</f>
        <v/>
      </c>
      <c r="P2655" s="642" t="inlineStr">
        <is>
          <t>г. Ставрополь, ул. Октябрьская, 182 В</t>
        </is>
      </c>
      <c r="Q2655" s="640" t="inlineStr">
        <is>
          <t>45.069219</t>
        </is>
      </c>
      <c r="R2655" s="494" t="inlineStr">
        <is>
          <t>41.941523</t>
        </is>
      </c>
      <c r="S2655" s="387" t="n"/>
      <c r="T2655" s="387" t="n"/>
      <c r="U2655" s="436" t="n"/>
      <c r="V2655" s="387" t="n"/>
      <c r="W2655" s="387" t="n"/>
      <c r="X2655" s="387" t="n"/>
      <c r="Y2655" s="387" t="n"/>
    </row>
    <row r="2656" hidden="1" ht="16.05" customFormat="1" customHeight="1" s="126">
      <c r="A2656" s="125" t="n">
        <v>3277</v>
      </c>
      <c r="B2656" s="125" t="n"/>
      <c r="C2656" s="130" t="inlineStr">
        <is>
          <t>Ставрополь</t>
        </is>
      </c>
      <c r="D2656" s="130" t="inlineStr">
        <is>
          <t>Ставрополь</t>
        </is>
      </c>
      <c r="E2656" s="130" t="n"/>
      <c r="F2656" s="130" t="inlineStr">
        <is>
          <t>АЗС</t>
        </is>
      </c>
      <c r="G2656" s="130" t="inlineStr">
        <is>
          <t>Роснефть</t>
        </is>
      </c>
      <c r="H2656" s="131" t="n"/>
      <c r="I2656" s="637" t="n">
        <v>33</v>
      </c>
      <c r="J2656" s="637" t="inlineStr">
        <is>
          <t>STW_RN_033</t>
        </is>
      </c>
      <c r="K2656" s="640" t="n">
        <v>1</v>
      </c>
      <c r="L2656" s="640" t="n">
        <v>1</v>
      </c>
      <c r="M2656" s="623" t="inlineStr">
        <is>
          <t>Samsung 32" вертикальный</t>
        </is>
      </c>
      <c r="N2656" s="640" t="n"/>
      <c r="O2656" s="640">
        <f>IF(AND(N2656=1,L2656=1),K2656,"")</f>
        <v/>
      </c>
      <c r="P2656" s="642" t="inlineStr">
        <is>
          <t>г. Ставрополь, пр. Кулакова, 29/3 А</t>
        </is>
      </c>
      <c r="Q2656" s="640" t="inlineStr">
        <is>
          <t>45.063992</t>
        </is>
      </c>
      <c r="R2656" s="494" t="inlineStr">
        <is>
          <t>41.925848</t>
        </is>
      </c>
      <c r="S2656" s="387" t="n"/>
      <c r="T2656" s="387" t="n"/>
      <c r="U2656" s="436" t="n"/>
      <c r="V2656" s="387" t="n"/>
      <c r="W2656" s="387" t="n"/>
      <c r="X2656" s="387" t="n"/>
      <c r="Y2656" s="387" t="n"/>
    </row>
    <row r="2657" hidden="1" ht="16.05" customFormat="1" customHeight="1" s="126">
      <c r="A2657" s="125" t="n">
        <v>3278</v>
      </c>
      <c r="B2657" s="125" t="n"/>
      <c r="C2657" s="130" t="inlineStr">
        <is>
          <t>Ставрополь</t>
        </is>
      </c>
      <c r="D2657" s="130" t="inlineStr">
        <is>
          <t>Ставрополь</t>
        </is>
      </c>
      <c r="E2657" s="130" t="n"/>
      <c r="F2657" s="130" t="inlineStr">
        <is>
          <t>АЗС</t>
        </is>
      </c>
      <c r="G2657" s="130" t="inlineStr">
        <is>
          <t>Роснефть</t>
        </is>
      </c>
      <c r="H2657" s="131" t="n"/>
      <c r="I2657" s="637" t="n">
        <v>35</v>
      </c>
      <c r="J2657" s="637" t="inlineStr">
        <is>
          <t>STW_RN_035</t>
        </is>
      </c>
      <c r="K2657" s="640" t="n">
        <v>1</v>
      </c>
      <c r="L2657" s="640" t="n">
        <v>1</v>
      </c>
      <c r="M2657" s="623" t="inlineStr">
        <is>
          <t>Samsung 32" вертикальный</t>
        </is>
      </c>
      <c r="N2657" s="640" t="n"/>
      <c r="O2657" s="640">
        <f>IF(AND(N2657=1,L2657=1),K2657,"")</f>
        <v/>
      </c>
      <c r="P2657" s="642" t="inlineStr">
        <is>
          <t>г. Ставрополь, ул. Пирогова, 529 квартал</t>
        </is>
      </c>
      <c r="Q2657" s="640" t="inlineStr">
        <is>
          <t>45.005887</t>
        </is>
      </c>
      <c r="R2657" s="494" t="inlineStr">
        <is>
          <t>41.912027</t>
        </is>
      </c>
      <c r="S2657" s="387" t="n"/>
      <c r="T2657" s="387" t="n"/>
      <c r="U2657" s="436" t="n"/>
      <c r="V2657" s="387" t="n"/>
      <c r="W2657" s="387" t="n"/>
      <c r="X2657" s="387" t="n"/>
      <c r="Y2657" s="387" t="n"/>
    </row>
    <row r="2658" hidden="1" ht="16.05" customFormat="1" customHeight="1" s="126">
      <c r="A2658" s="125" t="n">
        <v>3279</v>
      </c>
      <c r="B2658" s="125" t="n"/>
      <c r="C2658" s="130" t="inlineStr">
        <is>
          <t>Ставрополь</t>
        </is>
      </c>
      <c r="D2658" s="130" t="inlineStr">
        <is>
          <t>Ставрополь</t>
        </is>
      </c>
      <c r="E2658" s="130" t="n"/>
      <c r="F2658" s="130" t="inlineStr">
        <is>
          <t>АЗС</t>
        </is>
      </c>
      <c r="G2658" s="130" t="inlineStr">
        <is>
          <t>Роснефть</t>
        </is>
      </c>
      <c r="H2658" s="131" t="n"/>
      <c r="I2658" s="637" t="n">
        <v>36</v>
      </c>
      <c r="J2658" s="637" t="inlineStr">
        <is>
          <t>STW_RN_036</t>
        </is>
      </c>
      <c r="K2658" s="640" t="n">
        <v>1</v>
      </c>
      <c r="L2658" s="640" t="n">
        <v>0</v>
      </c>
      <c r="M2658" s="623" t="inlineStr">
        <is>
          <t>Samsung 32" вертикальный</t>
        </is>
      </c>
      <c r="N2658" s="640" t="n"/>
      <c r="O2658" s="640">
        <f>IF(AND(N2658=1,L2658=1),K2658,"")</f>
        <v/>
      </c>
      <c r="P2658" s="642" t="inlineStr">
        <is>
          <t>Шпаковский р-н,  автодорога Подъезд к г. Ставрополю от М-29 Кавказ 9км+700м</t>
        </is>
      </c>
      <c r="Q2658" s="640" t="inlineStr">
        <is>
          <t>45.061893</t>
        </is>
      </c>
      <c r="R2658" s="494" t="inlineStr">
        <is>
          <t>42.122803</t>
        </is>
      </c>
      <c r="S2658" s="387" t="n"/>
      <c r="T2658" s="387" t="n"/>
      <c r="U2658" s="436" t="n"/>
      <c r="V2658" s="387" t="n"/>
      <c r="W2658" s="387" t="n"/>
      <c r="X2658" s="387" t="n"/>
      <c r="Y2658" s="387" t="n"/>
    </row>
    <row r="2659" ht="16.05" customFormat="1" customHeight="1" s="126">
      <c r="A2659" s="125" t="n">
        <v>3281</v>
      </c>
      <c r="B2659" s="125" t="inlineStr">
        <is>
          <t>WF</t>
        </is>
      </c>
      <c r="C2659" s="130" t="inlineStr">
        <is>
          <t>Москва</t>
        </is>
      </c>
      <c r="D2659" s="130" t="inlineStr">
        <is>
          <t>Москва</t>
        </is>
      </c>
      <c r="E2659" s="130" t="n"/>
      <c r="F2659" s="130" t="inlineStr">
        <is>
          <t>Супермаркет</t>
        </is>
      </c>
      <c r="G2659" s="130" t="inlineStr">
        <is>
          <t>Азбука Вкуса</t>
        </is>
      </c>
      <c r="H2659" s="131" t="n"/>
      <c r="I2659" s="637" t="inlineStr">
        <is>
          <t>156_Daily</t>
        </is>
      </c>
      <c r="J2659" s="637" t="inlineStr">
        <is>
          <t>MSK_D_156</t>
        </is>
      </c>
      <c r="K2659" s="640" t="n">
        <v>2</v>
      </c>
      <c r="L2659" s="640" t="n">
        <v>1</v>
      </c>
      <c r="M2659" s="623" t="inlineStr">
        <is>
          <t>Samsung 43" вертикальный</t>
        </is>
      </c>
      <c r="N2659" s="640" t="n">
        <v>1</v>
      </c>
      <c r="O2659" s="640">
        <f>IF(AND(N2659=1,L2659=1),K2659,"")</f>
        <v/>
      </c>
      <c r="P2659" s="642" t="inlineStr">
        <is>
          <t>Москва, Мичуринский проспект, 3</t>
        </is>
      </c>
      <c r="Q2659" s="640" t="inlineStr">
        <is>
          <t>55.704429</t>
        </is>
      </c>
      <c r="R2659" s="494" t="inlineStr">
        <is>
          <t>37.51269</t>
        </is>
      </c>
      <c r="S2659" s="387" t="n">
        <v>24</v>
      </c>
      <c r="T2659" s="436">
        <f>IF(N2659=1,O2659*S2659,"")</f>
        <v/>
      </c>
      <c r="U2659" s="436" t="n"/>
      <c r="V2659" s="387" t="n"/>
      <c r="W2659" s="387" t="n"/>
      <c r="X2659" s="387" t="n"/>
      <c r="Y2659" s="387" t="n"/>
    </row>
    <row r="2660" hidden="1" ht="16.05" customFormat="1" customHeight="1" s="126">
      <c r="A2660" s="125" t="n">
        <v>3282</v>
      </c>
      <c r="B2660" s="125" t="n"/>
      <c r="C2660" s="130" t="inlineStr">
        <is>
          <t>Тверь</t>
        </is>
      </c>
      <c r="D2660" s="130" t="inlineStr">
        <is>
          <t>Тверская область</t>
        </is>
      </c>
      <c r="E2660" s="130" t="n"/>
      <c r="F2660" s="130" t="inlineStr">
        <is>
          <t>АЗС</t>
        </is>
      </c>
      <c r="G2660" s="130" t="inlineStr">
        <is>
          <t>Роснефть</t>
        </is>
      </c>
      <c r="H2660" s="131" t="n"/>
      <c r="I2660" s="637" t="n">
        <v>23</v>
      </c>
      <c r="J2660" s="637" t="inlineStr">
        <is>
          <t>TVE_RN_0023</t>
        </is>
      </c>
      <c r="K2660" s="640" t="n">
        <v>2</v>
      </c>
      <c r="L2660" s="640" t="n">
        <v>1</v>
      </c>
      <c r="M2660" s="623" t="inlineStr">
        <is>
          <t>Samsung 32" вертикальный</t>
        </is>
      </c>
      <c r="N2660" s="640" t="n"/>
      <c r="O2660" s="640">
        <f>IF(AND(N2660=1,L2660=1),K2660,"")</f>
        <v/>
      </c>
      <c r="P2660" s="642" t="inlineStr">
        <is>
          <t>Тверская обл., Торжокский р-н, Будовское с/п, 258 км а/д М-11 Москва-Санкт-Петербург, уч. 1576</t>
        </is>
      </c>
      <c r="Q2660" s="640" t="inlineStr">
        <is>
          <t>57.238385</t>
        </is>
      </c>
      <c r="R2660" s="494" t="inlineStr">
        <is>
          <t>34.898119</t>
        </is>
      </c>
      <c r="S2660" s="387" t="n"/>
      <c r="T2660" s="387" t="n"/>
      <c r="U2660" s="436" t="n"/>
      <c r="V2660" s="387" t="n"/>
      <c r="W2660" s="387" t="n"/>
      <c r="X2660" s="387" t="n"/>
      <c r="Y2660" s="387" t="n"/>
    </row>
    <row r="2661" hidden="1" ht="16.05" customFormat="1" customHeight="1" s="126">
      <c r="A2661" s="125" t="n">
        <v>3283</v>
      </c>
      <c r="B2661" s="125" t="n"/>
      <c r="C2661" s="130" t="inlineStr">
        <is>
          <t>Тверь</t>
        </is>
      </c>
      <c r="D2661" s="130" t="inlineStr">
        <is>
          <t>Тверская область</t>
        </is>
      </c>
      <c r="E2661" s="130" t="n"/>
      <c r="F2661" s="130" t="inlineStr">
        <is>
          <t>АЗС</t>
        </is>
      </c>
      <c r="G2661" s="130" t="inlineStr">
        <is>
          <t>Роснефть</t>
        </is>
      </c>
      <c r="H2661" s="131" t="n"/>
      <c r="I2661" s="637" t="n">
        <v>24</v>
      </c>
      <c r="J2661" s="637" t="inlineStr">
        <is>
          <t>TVE_RN_0024</t>
        </is>
      </c>
      <c r="K2661" s="640" t="n">
        <v>2</v>
      </c>
      <c r="L2661" s="640" t="n">
        <v>1</v>
      </c>
      <c r="M2661" s="623" t="inlineStr">
        <is>
          <t>Samsung 32" вертикальный</t>
        </is>
      </c>
      <c r="N2661" s="640" t="n"/>
      <c r="O2661" s="640">
        <f>IF(AND(N2661=1,L2661=1),K2661,"")</f>
        <v/>
      </c>
      <c r="P2661" s="642" t="inlineStr">
        <is>
          <t>Тверская обл., Торжокский р-н, Будовское с/п, 258 км а/д М-11 Москва-Санкт-Петербург, уч. 1574</t>
        </is>
      </c>
      <c r="Q2661" s="640" t="inlineStr">
        <is>
          <t>57.238908</t>
        </is>
      </c>
      <c r="R2661" s="494" t="inlineStr">
        <is>
          <t>34.900122</t>
        </is>
      </c>
      <c r="S2661" s="387" t="n"/>
      <c r="T2661" s="387" t="n"/>
      <c r="U2661" s="436" t="n"/>
      <c r="V2661" s="387" t="n"/>
      <c r="W2661" s="387" t="n"/>
      <c r="X2661" s="387" t="n"/>
      <c r="Y2661" s="387" t="n"/>
    </row>
    <row r="2662" hidden="1" ht="16.05" customFormat="1" customHeight="1" s="126">
      <c r="A2662" s="125" t="n">
        <v>3280</v>
      </c>
      <c r="B2662" s="125" t="n"/>
      <c r="C2662" s="130" t="inlineStr">
        <is>
          <t>Краснодар</t>
        </is>
      </c>
      <c r="D2662" s="130" t="inlineStr">
        <is>
          <t>Краснодар</t>
        </is>
      </c>
      <c r="E2662" s="130" t="n"/>
      <c r="F2662" s="130" t="inlineStr">
        <is>
          <t>АЗС</t>
        </is>
      </c>
      <c r="G2662" s="130" t="inlineStr">
        <is>
          <t>Лукойл</t>
        </is>
      </c>
      <c r="H2662" s="131" t="n"/>
      <c r="I2662" s="637" t="n">
        <v>23200</v>
      </c>
      <c r="J2662" s="637" t="inlineStr">
        <is>
          <t>KDR_LUK_23200</t>
        </is>
      </c>
      <c r="K2662" s="640" t="n">
        <v>1</v>
      </c>
      <c r="L2662" s="640" t="n">
        <v>0</v>
      </c>
      <c r="M2662" s="640" t="inlineStr">
        <is>
          <t>Samsung 32" вертикальный</t>
        </is>
      </c>
      <c r="N2662" s="640" t="n"/>
      <c r="O2662" s="640">
        <f>IF(AND(N2662=1,L2662=1),K2662,"")</f>
        <v/>
      </c>
      <c r="P2662" s="642" t="inlineStr">
        <is>
          <t>г. Краснодар, ул. Российская, 101</t>
        </is>
      </c>
      <c r="Q2662" s="640" t="inlineStr">
        <is>
          <t>45.07172</t>
        </is>
      </c>
      <c r="R2662" s="422" t="inlineStr">
        <is>
          <t>39.01448</t>
        </is>
      </c>
      <c r="S2662" s="387" t="n"/>
      <c r="T2662" s="387" t="n"/>
      <c r="U2662" s="436" t="n"/>
      <c r="V2662" s="387" t="n"/>
      <c r="W2662" s="387" t="n"/>
      <c r="X2662" s="1" t="n"/>
      <c r="Y2662" s="1" t="n"/>
    </row>
    <row r="2663" hidden="1" ht="16.05" customHeight="1">
      <c r="A2663" s="125" t="n">
        <v>3284</v>
      </c>
      <c r="B2663" s="125" t="inlineStr">
        <is>
          <t>WF</t>
        </is>
      </c>
      <c r="C2663" s="130" t="inlineStr">
        <is>
          <t>Санкт-Петербург</t>
        </is>
      </c>
      <c r="D2663" s="130" t="inlineStr">
        <is>
          <t>Санкт-Петербург</t>
        </is>
      </c>
      <c r="E2663" s="130" t="n"/>
      <c r="F2663" s="130" t="inlineStr">
        <is>
          <t>Супермаркет</t>
        </is>
      </c>
      <c r="G2663" s="130" t="inlineStr">
        <is>
          <t>Азбука Вкуса</t>
        </is>
      </c>
      <c r="H2663" s="131" t="inlineStr">
        <is>
          <t>Daily</t>
        </is>
      </c>
      <c r="I2663" s="637" t="inlineStr">
        <is>
          <t>SPB_013</t>
        </is>
      </c>
      <c r="J2663" s="637" t="inlineStr">
        <is>
          <t>SPB_A_013</t>
        </is>
      </c>
      <c r="K2663" s="640" t="n">
        <v>2</v>
      </c>
      <c r="L2663" s="640" t="n">
        <v>1</v>
      </c>
      <c r="M2663" s="623" t="inlineStr">
        <is>
          <t>Samsung 43" вертикальный</t>
        </is>
      </c>
      <c r="N2663" s="640" t="n"/>
      <c r="O2663" s="640">
        <f>IF(AND(N2663=1,L2663=1),K2663,"")</f>
        <v/>
      </c>
      <c r="P2663" s="642" t="inlineStr">
        <is>
          <t>Санкт-Петербург ул. Вязовая д.10</t>
        </is>
      </c>
      <c r="Q2663" s="640" t="inlineStr">
        <is>
          <t>59.967796</t>
        </is>
      </c>
      <c r="R2663" s="494" t="inlineStr">
        <is>
          <t>30.275172</t>
        </is>
      </c>
      <c r="S2663" s="387" t="n">
        <v>24</v>
      </c>
      <c r="T2663" s="436">
        <f>IF(N2663=1,O2663*S2663,"")</f>
        <v/>
      </c>
      <c r="U2663" s="436" t="n">
        <v>1</v>
      </c>
      <c r="V2663" s="438">
        <f>IF(AND(N2663=1,U2663=1),C2663,"")</f>
        <v/>
      </c>
      <c r="Z2663" s="1" t="n"/>
    </row>
    <row r="2664" hidden="1" ht="16.05" customHeight="1">
      <c r="A2664" s="125" t="n">
        <v>3285</v>
      </c>
      <c r="B2664" s="125" t="inlineStr">
        <is>
          <t>WF</t>
        </is>
      </c>
      <c r="C2664" s="130" t="inlineStr">
        <is>
          <t>Москва</t>
        </is>
      </c>
      <c r="D2664" s="130" t="inlineStr">
        <is>
          <t>Москва</t>
        </is>
      </c>
      <c r="E2664" s="130" t="n"/>
      <c r="F2664" s="130" t="inlineStr">
        <is>
          <t>Супермаркет</t>
        </is>
      </c>
      <c r="G2664" s="130" t="inlineStr">
        <is>
          <t>Азбука Вкуса</t>
        </is>
      </c>
      <c r="H2664" s="131" t="n"/>
      <c r="I2664" s="637" t="n">
        <v>157</v>
      </c>
      <c r="J2664" s="637" t="inlineStr">
        <is>
          <t>MSK_A_157</t>
        </is>
      </c>
      <c r="K2664" s="640" t="n">
        <v>2</v>
      </c>
      <c r="L2664" s="640" t="n">
        <v>1</v>
      </c>
      <c r="M2664" s="623" t="inlineStr">
        <is>
          <t>Samsung 43" вертикальный</t>
        </is>
      </c>
      <c r="N2664" s="640" t="n"/>
      <c r="O2664" s="640">
        <f>IF(AND(N2664=1,L2664=1),K2664,"")</f>
        <v/>
      </c>
      <c r="P2664" s="642" t="inlineStr">
        <is>
          <t>Москва, Сергея Макеева д.9</t>
        </is>
      </c>
      <c r="Q2664" s="640" t="inlineStr">
        <is>
          <t>55.76195</t>
        </is>
      </c>
      <c r="R2664" s="494" t="inlineStr">
        <is>
          <t>37.551091</t>
        </is>
      </c>
      <c r="S2664" s="387" t="n">
        <v>24</v>
      </c>
      <c r="T2664" s="436">
        <f>IF(N2664=1,O2664*S2664,"")</f>
        <v/>
      </c>
      <c r="U2664" s="436" t="n"/>
      <c r="Z2664" s="1" t="n"/>
    </row>
    <row r="2665" hidden="1" ht="16.05" customHeight="1">
      <c r="A2665" s="125" t="n">
        <v>3295</v>
      </c>
      <c r="B2665" s="125" t="n"/>
      <c r="C2665" s="130" t="inlineStr">
        <is>
          <t>Санкт-Петербург</t>
        </is>
      </c>
      <c r="D2665" s="130" t="inlineStr">
        <is>
          <t>Санкт-Петербург</t>
        </is>
      </c>
      <c r="E2665" s="130" t="n"/>
      <c r="F2665" s="130" t="inlineStr">
        <is>
          <t>АЗС</t>
        </is>
      </c>
      <c r="G2665" s="130" t="inlineStr">
        <is>
          <t>Татнефть</t>
        </is>
      </c>
      <c r="H2665" s="131" t="n"/>
      <c r="I2665" s="637" t="n">
        <v>218</v>
      </c>
      <c r="J2665" s="637" t="inlineStr">
        <is>
          <t>TATN_218</t>
        </is>
      </c>
      <c r="K2665" s="640" t="n">
        <v>2</v>
      </c>
      <c r="L2665" s="640" t="n">
        <v>0</v>
      </c>
      <c r="M2665" s="623" t="inlineStr">
        <is>
          <t>Экран 55" вертикальный</t>
        </is>
      </c>
      <c r="N2665" s="640" t="n"/>
      <c r="O2665" s="640">
        <f>IF(AND(N2665=1,L2665=1),K2665,"")</f>
        <v/>
      </c>
      <c r="P2665" s="642" t="inlineStr">
        <is>
          <t xml:space="preserve">Санкт-Петербург, пр. Стачек, д.115, лит. А  </t>
        </is>
      </c>
      <c r="Q2665" s="640" t="n">
        <v>59.84866</v>
      </c>
      <c r="R2665" s="494" t="n">
        <v>30.226351</v>
      </c>
      <c r="U2665" s="436" t="n"/>
      <c r="Z2665" s="1" t="n"/>
    </row>
    <row r="2666" hidden="1" ht="16.05" customHeight="1">
      <c r="A2666" s="125" t="n">
        <v>3296</v>
      </c>
      <c r="B2666" s="125" t="n"/>
      <c r="C2666" s="130" t="inlineStr">
        <is>
          <t>Санкт-Петербург</t>
        </is>
      </c>
      <c r="D2666" s="130" t="inlineStr">
        <is>
          <t>Санкт-Петербург</t>
        </is>
      </c>
      <c r="E2666" s="130" t="n"/>
      <c r="F2666" s="130" t="inlineStr">
        <is>
          <t>АЗС</t>
        </is>
      </c>
      <c r="G2666" s="130" t="inlineStr">
        <is>
          <t>Татнефть</t>
        </is>
      </c>
      <c r="H2666" s="131" t="n"/>
      <c r="I2666" s="637" t="n">
        <v>237</v>
      </c>
      <c r="J2666" s="637" t="inlineStr">
        <is>
          <t>TATN_237</t>
        </is>
      </c>
      <c r="K2666" s="640" t="n">
        <v>3</v>
      </c>
      <c r="L2666" s="640" t="n">
        <v>0</v>
      </c>
      <c r="M2666" s="623" t="inlineStr">
        <is>
          <t>Экран 43" горизонтальный</t>
        </is>
      </c>
      <c r="N2666" s="640" t="n"/>
      <c r="O2666" s="640">
        <f>IF(AND(N2666=1,L2666=1),K2666,"")</f>
        <v/>
      </c>
      <c r="P2666" s="642" t="inlineStr">
        <is>
          <t>Санкт-Петербург, пр.Народного ополчения, д. 201 А</t>
        </is>
      </c>
      <c r="Q2666" s="640" t="inlineStr">
        <is>
          <t>59.824466</t>
        </is>
      </c>
      <c r="R2666" s="494" t="inlineStr">
        <is>
          <t>30.189242</t>
        </is>
      </c>
      <c r="U2666" s="436" t="n">
        <v>1</v>
      </c>
      <c r="V2666" s="438">
        <f>IF(AND(N2666=1,U2666=1),C2666,"")</f>
        <v/>
      </c>
      <c r="Z2666" s="1" t="n"/>
    </row>
    <row r="2667" hidden="1" ht="16.05" customHeight="1">
      <c r="A2667" s="125" t="n">
        <v>3297</v>
      </c>
      <c r="B2667" s="125" t="n"/>
      <c r="C2667" s="130" t="inlineStr">
        <is>
          <t>Санкт-Петербург</t>
        </is>
      </c>
      <c r="D2667" s="130" t="inlineStr">
        <is>
          <t>Санкт-Петербург</t>
        </is>
      </c>
      <c r="E2667" s="130" t="n"/>
      <c r="F2667" s="130" t="inlineStr">
        <is>
          <t>АЗС</t>
        </is>
      </c>
      <c r="G2667" s="130" t="inlineStr">
        <is>
          <t>Татнефть</t>
        </is>
      </c>
      <c r="H2667" s="131" t="n"/>
      <c r="I2667" s="637" t="n">
        <v>283</v>
      </c>
      <c r="J2667" s="637" t="inlineStr">
        <is>
          <t>TATN_283</t>
        </is>
      </c>
      <c r="K2667" s="640" t="n">
        <v>2</v>
      </c>
      <c r="L2667" s="640" t="n">
        <v>0</v>
      </c>
      <c r="M2667" s="623" t="inlineStr">
        <is>
          <t>Экран 55" вертикальный</t>
        </is>
      </c>
      <c r="N2667" s="640" t="n"/>
      <c r="O2667" s="640">
        <f>IF(AND(N2667=1,L2667=1),K2667,"")</f>
        <v/>
      </c>
      <c r="P2667" s="642" t="inlineStr">
        <is>
          <t>Санкт-Петербург, ул.Кузнецовская, д. 35, лит.А</t>
        </is>
      </c>
      <c r="Q2667" s="640" t="n">
        <v>59.871843</v>
      </c>
      <c r="R2667" s="494" t="n">
        <v>30.345638</v>
      </c>
      <c r="U2667" s="436" t="n">
        <v>1</v>
      </c>
      <c r="V2667" s="438">
        <f>IF(AND(N2667=1,U2667=1),C2667,"")</f>
        <v/>
      </c>
      <c r="Z2667" s="1" t="n"/>
    </row>
    <row r="2668" hidden="1" ht="16.05" customHeight="1">
      <c r="A2668" s="125" t="n">
        <v>3286</v>
      </c>
      <c r="B2668" s="125" t="n"/>
      <c r="C2668" s="130" t="inlineStr">
        <is>
          <t>Москва</t>
        </is>
      </c>
      <c r="D2668" s="130" t="inlineStr">
        <is>
          <t>Москва</t>
        </is>
      </c>
      <c r="E2668" s="130" t="inlineStr">
        <is>
          <t>ЮАО</t>
        </is>
      </c>
      <c r="F2668" s="130" t="inlineStr">
        <is>
          <t>АЗС</t>
        </is>
      </c>
      <c r="G2668" s="130" t="inlineStr">
        <is>
          <t>Татнефть</t>
        </is>
      </c>
      <c r="H2668" s="131" t="n"/>
      <c r="I2668" s="637" t="inlineStr">
        <is>
          <t>51 (HOR)</t>
        </is>
      </c>
      <c r="J2668" s="637" t="inlineStr">
        <is>
          <t>TATN_051</t>
        </is>
      </c>
      <c r="K2668" s="640" t="n">
        <v>1</v>
      </c>
      <c r="L2668" s="640" t="n">
        <v>0</v>
      </c>
      <c r="M2668" s="640" t="inlineStr">
        <is>
          <t>Samsung 43" горизонтальный</t>
        </is>
      </c>
      <c r="N2668" s="640" t="n"/>
      <c r="O2668" s="640">
        <f>IF(AND(N2668=1,L2668=1),K2668,"")</f>
        <v/>
      </c>
      <c r="P2668" s="642" t="inlineStr">
        <is>
          <t>г. Москва, ул. Мусы Джалиля, д. 9, корп. 7</t>
        </is>
      </c>
      <c r="Q2668" s="640" t="inlineStr">
        <is>
          <t>55.627692</t>
        </is>
      </c>
      <c r="R2668" s="422" t="inlineStr">
        <is>
          <t>37.750864</t>
        </is>
      </c>
      <c r="U2668" s="436" t="n"/>
      <c r="X2668" s="1" t="n"/>
      <c r="Y2668" s="1" t="n"/>
      <c r="Z2668" s="1" t="n"/>
    </row>
    <row r="2669" hidden="1" ht="16.05" customHeight="1">
      <c r="A2669" s="125" t="n">
        <v>3287</v>
      </c>
      <c r="B2669" s="125" t="n"/>
      <c r="C2669" s="130" t="inlineStr">
        <is>
          <t>Москва</t>
        </is>
      </c>
      <c r="D2669" s="130" t="inlineStr">
        <is>
          <t>Московская область</t>
        </is>
      </c>
      <c r="E2669" s="130" t="inlineStr">
        <is>
          <t>М4</t>
        </is>
      </c>
      <c r="F2669" s="130" t="inlineStr">
        <is>
          <t>АЗС</t>
        </is>
      </c>
      <c r="G2669" s="130" t="inlineStr">
        <is>
          <t>Татнефть</t>
        </is>
      </c>
      <c r="H2669" s="131" t="n"/>
      <c r="I2669" s="637" t="inlineStr">
        <is>
          <t>137 (HOR)</t>
        </is>
      </c>
      <c r="J2669" s="637" t="inlineStr">
        <is>
          <t>TATN_137</t>
        </is>
      </c>
      <c r="K2669" s="640" t="n">
        <v>1</v>
      </c>
      <c r="L2669" s="640" t="n">
        <v>0</v>
      </c>
      <c r="M2669" s="640" t="inlineStr">
        <is>
          <t>Samsung 43" горизонтальный</t>
        </is>
      </c>
      <c r="N2669" s="640" t="n"/>
      <c r="O2669" s="640">
        <f>IF(AND(N2669=1,L2669=1),K2669,"")</f>
        <v/>
      </c>
      <c r="P2669" s="642" t="inlineStr">
        <is>
          <t>Московская область, Подолольский р-н, д.Чириково, 50-й км а/д "Москва–Рославль"</t>
        </is>
      </c>
      <c r="Q2669" s="640" t="inlineStr">
        <is>
          <t>55.396441</t>
        </is>
      </c>
      <c r="R2669" s="422" t="inlineStr">
        <is>
          <t>37.236329</t>
        </is>
      </c>
      <c r="U2669" s="436" t="n"/>
      <c r="X2669" s="1" t="n"/>
      <c r="Y2669" s="1" t="n"/>
      <c r="Z2669" s="1" t="n"/>
    </row>
    <row r="2670" hidden="1" ht="16.05" customHeight="1">
      <c r="A2670" s="125" t="n">
        <v>3288</v>
      </c>
      <c r="B2670" s="125" t="n"/>
      <c r="C2670" s="130" t="inlineStr">
        <is>
          <t>Москва</t>
        </is>
      </c>
      <c r="D2670" s="130" t="inlineStr">
        <is>
          <t>Московская область</t>
        </is>
      </c>
      <c r="E2670" s="130" t="inlineStr">
        <is>
          <t>М4</t>
        </is>
      </c>
      <c r="F2670" s="130" t="inlineStr">
        <is>
          <t>АЗС</t>
        </is>
      </c>
      <c r="G2670" s="130" t="inlineStr">
        <is>
          <t>Татнефть</t>
        </is>
      </c>
      <c r="H2670" s="131" t="n"/>
      <c r="I2670" s="637" t="inlineStr">
        <is>
          <t>171 (HOR)</t>
        </is>
      </c>
      <c r="J2670" s="637" t="inlineStr">
        <is>
          <t>TATN_171</t>
        </is>
      </c>
      <c r="K2670" s="640" t="n">
        <v>2</v>
      </c>
      <c r="L2670" s="640" t="n">
        <v>0</v>
      </c>
      <c r="M2670" s="640" t="inlineStr">
        <is>
          <t>Samsung 43" горизонтальный</t>
        </is>
      </c>
      <c r="N2670" s="640" t="n"/>
      <c r="O2670" s="640">
        <f>IF(AND(N2670=1,L2670=1),K2670,"")</f>
        <v/>
      </c>
      <c r="P2670" s="642" t="inlineStr">
        <is>
          <t>МО, Домодедовский р-он, Ново - Каширское ш., 36 км а/д "Дон", левая сторона</t>
        </is>
      </c>
      <c r="Q2670" s="640" t="inlineStr">
        <is>
          <t>55.454675</t>
        </is>
      </c>
      <c r="R2670" s="422" t="inlineStr">
        <is>
          <t>37.782561</t>
        </is>
      </c>
      <c r="U2670" s="436" t="n"/>
      <c r="X2670" s="1" t="n"/>
      <c r="Y2670" s="1" t="n"/>
      <c r="Z2670" s="1" t="n"/>
    </row>
    <row r="2671" hidden="1" ht="16.05" customHeight="1">
      <c r="A2671" s="125" t="n">
        <v>3289</v>
      </c>
      <c r="B2671" s="125" t="n"/>
      <c r="C2671" s="130" t="inlineStr">
        <is>
          <t>Москва</t>
        </is>
      </c>
      <c r="D2671" s="130" t="inlineStr">
        <is>
          <t>Московская область</t>
        </is>
      </c>
      <c r="E2671" s="130" t="inlineStr">
        <is>
          <t>М5</t>
        </is>
      </c>
      <c r="F2671" s="130" t="inlineStr">
        <is>
          <t>АЗС</t>
        </is>
      </c>
      <c r="G2671" s="130" t="inlineStr">
        <is>
          <t>Татнефть</t>
        </is>
      </c>
      <c r="H2671" s="131" t="n"/>
      <c r="I2671" s="637" t="inlineStr">
        <is>
          <t>207 (HOR)</t>
        </is>
      </c>
      <c r="J2671" s="637" t="inlineStr">
        <is>
          <t>TATN_207</t>
        </is>
      </c>
      <c r="K2671" s="640" t="n">
        <v>2</v>
      </c>
      <c r="L2671" s="640" t="n">
        <v>0</v>
      </c>
      <c r="M2671" s="640" t="inlineStr">
        <is>
          <t>Samsung 43" горизонтальный</t>
        </is>
      </c>
      <c r="N2671" s="640" t="n"/>
      <c r="O2671" s="640">
        <f>IF(AND(N2671=1,L2671=1),K2671,"")</f>
        <v/>
      </c>
      <c r="P2671" s="642" t="inlineStr">
        <is>
          <t>Люберецкий р-н, Новорязанское шоссе, 23км, пос. Томилино</t>
        </is>
      </c>
      <c r="Q2671" s="640" t="inlineStr">
        <is>
          <t>55.645575</t>
        </is>
      </c>
      <c r="R2671" s="422" t="inlineStr">
        <is>
          <t>37.914824</t>
        </is>
      </c>
      <c r="U2671" s="436" t="n"/>
      <c r="X2671" s="1" t="n"/>
      <c r="Y2671" s="1" t="n"/>
      <c r="Z2671" s="1" t="n"/>
    </row>
    <row r="2672" hidden="1" ht="16.05" customHeight="1">
      <c r="A2672" s="125" t="n">
        <v>3290</v>
      </c>
      <c r="B2672" s="125" t="n"/>
      <c r="C2672" s="130" t="inlineStr">
        <is>
          <t>Москва</t>
        </is>
      </c>
      <c r="D2672" s="130" t="inlineStr">
        <is>
          <t>Московская область</t>
        </is>
      </c>
      <c r="E2672" s="130" t="inlineStr">
        <is>
          <t>М10</t>
        </is>
      </c>
      <c r="F2672" s="130" t="inlineStr">
        <is>
          <t>АЗС</t>
        </is>
      </c>
      <c r="G2672" s="130" t="inlineStr">
        <is>
          <t>Татнефть</t>
        </is>
      </c>
      <c r="H2672" s="131" t="n"/>
      <c r="I2672" s="637" t="inlineStr">
        <is>
          <t>40 (HOR)</t>
        </is>
      </c>
      <c r="J2672" s="637" t="inlineStr">
        <is>
          <t>TATN_040</t>
        </is>
      </c>
      <c r="K2672" s="640" t="n">
        <v>2</v>
      </c>
      <c r="L2672" s="640" t="n">
        <v>0</v>
      </c>
      <c r="M2672" s="640" t="inlineStr">
        <is>
          <t>Samsung 43" горизонтальный</t>
        </is>
      </c>
      <c r="N2672" s="640" t="n"/>
      <c r="O2672" s="640">
        <f>IF(AND(N2672=1,L2672=1),K2672,"")</f>
        <v/>
      </c>
      <c r="P2672" s="642" t="inlineStr">
        <is>
          <t>Клинский район, 80 км. а/д Москва-С.Петербург</t>
        </is>
      </c>
      <c r="Q2672" s="640" t="inlineStr">
        <is>
          <t>56.2994</t>
        </is>
      </c>
      <c r="R2672" s="422" t="inlineStr">
        <is>
          <t>36.79565</t>
        </is>
      </c>
      <c r="U2672" s="436" t="n"/>
      <c r="X2672" s="1" t="n"/>
      <c r="Y2672" s="1" t="n"/>
      <c r="Z2672" s="1" t="n"/>
    </row>
    <row r="2673" hidden="1" ht="16.05" customHeight="1">
      <c r="A2673" s="125" t="n">
        <v>3291</v>
      </c>
      <c r="B2673" s="125" t="n"/>
      <c r="C2673" s="130" t="inlineStr">
        <is>
          <t>Москва</t>
        </is>
      </c>
      <c r="D2673" s="130" t="inlineStr">
        <is>
          <t>Московская область</t>
        </is>
      </c>
      <c r="E2673" s="130" t="inlineStr">
        <is>
          <t>М5</t>
        </is>
      </c>
      <c r="F2673" s="130" t="inlineStr">
        <is>
          <t>АЗС</t>
        </is>
      </c>
      <c r="G2673" s="130" t="inlineStr">
        <is>
          <t>Татнефть</t>
        </is>
      </c>
      <c r="H2673" s="131" t="n"/>
      <c r="I2673" s="637" t="inlineStr">
        <is>
          <t>328 (HOR)</t>
        </is>
      </c>
      <c r="J2673" s="637" t="inlineStr">
        <is>
          <t>TATN_328</t>
        </is>
      </c>
      <c r="K2673" s="640" t="n">
        <v>2</v>
      </c>
      <c r="L2673" s="640" t="n">
        <v>0</v>
      </c>
      <c r="M2673" s="640" t="inlineStr">
        <is>
          <t>Samsung 43" горизонтальный</t>
        </is>
      </c>
      <c r="N2673" s="640" t="n"/>
      <c r="O2673" s="640">
        <f>IF(AND(N2673=1,L2673=1),K2673,"")</f>
        <v/>
      </c>
      <c r="P2673" s="642" t="inlineStr">
        <is>
          <t>МО, Раменский р-он, с. Софьино, 47 км а/д "Урал", правая сторона</t>
        </is>
      </c>
      <c r="Q2673" s="640" t="inlineStr">
        <is>
          <t>55.48998</t>
        </is>
      </c>
      <c r="R2673" s="422" t="inlineStr">
        <is>
          <t>38.15632</t>
        </is>
      </c>
      <c r="U2673" s="436" t="n"/>
      <c r="X2673" s="1" t="n"/>
      <c r="Y2673" s="1" t="n"/>
      <c r="Z2673" s="1" t="n"/>
    </row>
    <row r="2674" hidden="1" ht="16.05" customHeight="1">
      <c r="A2674" s="125" t="n">
        <v>3292</v>
      </c>
      <c r="B2674" s="125" t="n"/>
      <c r="C2674" s="130" t="inlineStr">
        <is>
          <t>Москва</t>
        </is>
      </c>
      <c r="D2674" s="130" t="inlineStr">
        <is>
          <t>Московская область</t>
        </is>
      </c>
      <c r="E2674" s="130" t="inlineStr">
        <is>
          <t>М10</t>
        </is>
      </c>
      <c r="F2674" s="130" t="inlineStr">
        <is>
          <t>АЗС</t>
        </is>
      </c>
      <c r="G2674" s="130" t="inlineStr">
        <is>
          <t>Татнефть</t>
        </is>
      </c>
      <c r="H2674" s="131" t="n"/>
      <c r="I2674" s="637" t="inlineStr">
        <is>
          <t>61 (HOR)</t>
        </is>
      </c>
      <c r="J2674" s="637" t="inlineStr">
        <is>
          <t>TATN_061</t>
        </is>
      </c>
      <c r="K2674" s="640" t="n">
        <v>2</v>
      </c>
      <c r="L2674" s="640" t="n">
        <v>0</v>
      </c>
      <c r="M2674" s="640" t="inlineStr">
        <is>
          <t>Samsung 43" горизонтальный</t>
        </is>
      </c>
      <c r="N2674" s="640" t="n"/>
      <c r="O2674" s="640">
        <f>IF(AND(N2674=1,L2674=1),K2674,"")</f>
        <v/>
      </c>
      <c r="P2674" s="642" t="inlineStr">
        <is>
          <t>МО, Солнечногорский район, д. Дубинино, 59км а/д Москва-Санкт-Петербург, правая сторона</t>
        </is>
      </c>
      <c r="Q2674" s="640" t="inlineStr">
        <is>
          <t>56.1554</t>
        </is>
      </c>
      <c r="R2674" s="422" t="inlineStr">
        <is>
          <t>37.02972</t>
        </is>
      </c>
      <c r="U2674" s="436" t="n"/>
      <c r="X2674" s="1" t="n"/>
      <c r="Y2674" s="1" t="n"/>
      <c r="Z2674" s="1" t="n"/>
    </row>
    <row r="2675" hidden="1" ht="16.05" customHeight="1">
      <c r="A2675" s="125" t="n">
        <v>3293</v>
      </c>
      <c r="B2675" s="125" t="n"/>
      <c r="C2675" s="130" t="inlineStr">
        <is>
          <t>Москва</t>
        </is>
      </c>
      <c r="D2675" s="130" t="inlineStr">
        <is>
          <t>Московская область</t>
        </is>
      </c>
      <c r="E2675" s="130" t="inlineStr">
        <is>
          <t>М3</t>
        </is>
      </c>
      <c r="F2675" s="130" t="inlineStr">
        <is>
          <t>АЗС</t>
        </is>
      </c>
      <c r="G2675" s="130" t="inlineStr">
        <is>
          <t>Татнефть</t>
        </is>
      </c>
      <c r="H2675" s="131" t="n"/>
      <c r="I2675" s="637" t="inlineStr">
        <is>
          <t>269 (HOR)</t>
        </is>
      </c>
      <c r="J2675" s="637" t="inlineStr">
        <is>
          <t>TATN_269</t>
        </is>
      </c>
      <c r="K2675" s="640" t="n">
        <v>3</v>
      </c>
      <c r="L2675" s="640" t="n">
        <v>0</v>
      </c>
      <c r="M2675" s="640" t="inlineStr">
        <is>
          <t>Samsung 43" горизонтальный</t>
        </is>
      </c>
      <c r="N2675" s="640" t="n"/>
      <c r="O2675" s="640">
        <f>IF(AND(N2675=1,L2675=1),K2675,"")</f>
        <v/>
      </c>
      <c r="P2675" s="642" t="inlineStr">
        <is>
          <t>МО, Наро-Фоминский р-н, 52км а/м трассы Москва-Украина (левая сторона)</t>
        </is>
      </c>
      <c r="Q2675" s="640" t="inlineStr">
        <is>
          <t>55.5115</t>
        </is>
      </c>
      <c r="R2675" s="422" t="inlineStr">
        <is>
          <t>36.98881</t>
        </is>
      </c>
      <c r="U2675" s="436" t="n"/>
      <c r="X2675" s="1" t="n"/>
      <c r="Y2675" s="1" t="n"/>
      <c r="Z2675" s="1" t="n"/>
    </row>
    <row r="2676" hidden="1" ht="16.05" customHeight="1">
      <c r="A2676" s="125" t="n">
        <v>3294</v>
      </c>
      <c r="B2676" s="125" t="n"/>
      <c r="C2676" s="130" t="inlineStr">
        <is>
          <t>Москва</t>
        </is>
      </c>
      <c r="D2676" s="130" t="inlineStr">
        <is>
          <t>Московская область</t>
        </is>
      </c>
      <c r="E2676" s="130" t="inlineStr">
        <is>
          <t>М7</t>
        </is>
      </c>
      <c r="F2676" s="130" t="inlineStr">
        <is>
          <t>АЗС</t>
        </is>
      </c>
      <c r="G2676" s="130" t="inlineStr">
        <is>
          <t>Татнефть</t>
        </is>
      </c>
      <c r="H2676" s="131" t="n"/>
      <c r="I2676" s="637" t="inlineStr">
        <is>
          <t>92 (HOR)</t>
        </is>
      </c>
      <c r="J2676" s="637" t="inlineStr">
        <is>
          <t>TATN_092</t>
        </is>
      </c>
      <c r="K2676" s="640" t="n">
        <v>3</v>
      </c>
      <c r="L2676" s="640" t="n">
        <v>0</v>
      </c>
      <c r="M2676" s="640" t="inlineStr">
        <is>
          <t>Samsung 43" горизонтальный</t>
        </is>
      </c>
      <c r="N2676" s="640" t="n"/>
      <c r="O2676" s="640">
        <f>IF(AND(N2676=1,L2676=1),K2676,"")</f>
        <v/>
      </c>
      <c r="P2676" s="642" t="inlineStr">
        <is>
          <t>МО, Балашихинский р-н, 30 км автодороги Москва-Нижний-Новгород, правая сторона, вл.4</t>
        </is>
      </c>
      <c r="Q2676" s="640" t="inlineStr">
        <is>
          <t>55.807303</t>
        </is>
      </c>
      <c r="R2676" s="422" t="inlineStr">
        <is>
          <t>38.064482</t>
        </is>
      </c>
      <c r="U2676" s="436" t="n"/>
      <c r="X2676" s="1" t="n"/>
      <c r="Y2676" s="1" t="n"/>
      <c r="Z2676" s="1" t="n"/>
    </row>
    <row r="2677" hidden="1" ht="16.05" customHeight="1">
      <c r="A2677" s="125" t="n">
        <v>3298</v>
      </c>
      <c r="B2677" s="125" t="n"/>
      <c r="C2677" s="130" t="inlineStr">
        <is>
          <t>Санкт-Петербург</t>
        </is>
      </c>
      <c r="D2677" s="130" t="inlineStr">
        <is>
          <t>Санкт-Петербург</t>
        </is>
      </c>
      <c r="E2677" s="130" t="n"/>
      <c r="F2677" s="130" t="inlineStr">
        <is>
          <t>АЗС</t>
        </is>
      </c>
      <c r="G2677" s="130" t="inlineStr">
        <is>
          <t>Татнефть</t>
        </is>
      </c>
      <c r="H2677" s="131" t="n"/>
      <c r="I2677" s="637" t="n">
        <v>318</v>
      </c>
      <c r="J2677" s="637" t="inlineStr">
        <is>
          <t>TATN_318</t>
        </is>
      </c>
      <c r="K2677" s="640" t="n">
        <v>2</v>
      </c>
      <c r="L2677" s="640" t="n">
        <v>0</v>
      </c>
      <c r="M2677" s="623" t="inlineStr">
        <is>
          <t>Экран 55" вертикальный</t>
        </is>
      </c>
      <c r="N2677" s="640" t="n"/>
      <c r="O2677" s="640">
        <f>IF(AND(N2677=1,L2677=1),K2677,"")</f>
        <v/>
      </c>
      <c r="P2677" s="642" t="inlineStr">
        <is>
          <t>Санкт-Петербург, п. Парголово (Осиновая Роща), Горское шоссе, д.1 лит.А</t>
        </is>
      </c>
      <c r="Q2677" s="640" t="n">
        <v>60.106397</v>
      </c>
      <c r="R2677" s="494" t="n">
        <v>30.244308</v>
      </c>
      <c r="U2677" s="436" t="n"/>
      <c r="Z2677" s="1" t="n"/>
    </row>
    <row r="2678" hidden="1" ht="16.05" customHeight="1">
      <c r="A2678" s="125" t="n">
        <v>3299</v>
      </c>
      <c r="B2678" s="125" t="n"/>
      <c r="C2678" s="130" t="inlineStr">
        <is>
          <t>Санкт-Петербург</t>
        </is>
      </c>
      <c r="D2678" s="130" t="inlineStr">
        <is>
          <t>Санкт-Петербург</t>
        </is>
      </c>
      <c r="E2678" s="130" t="n"/>
      <c r="F2678" s="130" t="inlineStr">
        <is>
          <t>АЗС</t>
        </is>
      </c>
      <c r="G2678" s="130" t="inlineStr">
        <is>
          <t>Татнефть</t>
        </is>
      </c>
      <c r="H2678" s="131" t="n"/>
      <c r="I2678" s="637" t="n">
        <v>494</v>
      </c>
      <c r="J2678" s="637" t="inlineStr">
        <is>
          <t>TATN_494</t>
        </is>
      </c>
      <c r="K2678" s="640" t="n">
        <v>2</v>
      </c>
      <c r="L2678" s="640" t="n">
        <v>0</v>
      </c>
      <c r="M2678" s="623" t="inlineStr">
        <is>
          <t>Экран 55" вертикальный</t>
        </is>
      </c>
      <c r="N2678" s="640" t="n"/>
      <c r="O2678" s="640">
        <f>IF(AND(N2678=1,L2678=1),K2678,"")</f>
        <v/>
      </c>
      <c r="P2678" s="642" t="inlineStr">
        <is>
          <t>Ленинградская область, Лужский муниципальный район, Скребловское с.п., 158 а/д, С.Петербург-Псков</t>
        </is>
      </c>
      <c r="Q2678" s="640" t="inlineStr">
        <is>
          <t>58.61528</t>
        </is>
      </c>
      <c r="R2678" s="494" t="inlineStr">
        <is>
          <t>29.829211</t>
        </is>
      </c>
      <c r="U2678" s="436" t="n"/>
      <c r="Z2678" s="1" t="n"/>
    </row>
    <row r="2679" hidden="1" ht="16.05" customHeight="1">
      <c r="A2679" s="125" t="n">
        <v>3300</v>
      </c>
      <c r="B2679" s="125" t="n"/>
      <c r="C2679" s="130" t="inlineStr">
        <is>
          <t>Санкт-Петербург</t>
        </is>
      </c>
      <c r="D2679" s="130" t="inlineStr">
        <is>
          <t>Санкт-Петербург</t>
        </is>
      </c>
      <c r="E2679" s="130" t="n"/>
      <c r="F2679" s="130" t="inlineStr">
        <is>
          <t>АЗС</t>
        </is>
      </c>
      <c r="G2679" s="130" t="inlineStr">
        <is>
          <t>Татнефть</t>
        </is>
      </c>
      <c r="H2679" s="131" t="n"/>
      <c r="I2679" s="637" t="n">
        <v>726</v>
      </c>
      <c r="J2679" s="637" t="inlineStr">
        <is>
          <t>TATN_526</t>
        </is>
      </c>
      <c r="K2679" s="640" t="n">
        <v>3</v>
      </c>
      <c r="L2679" s="640" t="n">
        <v>0</v>
      </c>
      <c r="M2679" s="623" t="inlineStr">
        <is>
          <t>Экран 43" вертикальный</t>
        </is>
      </c>
      <c r="N2679" s="640" t="n"/>
      <c r="O2679" s="640">
        <f>IF(AND(N2679=1,L2679=1),K2679,"")</f>
        <v/>
      </c>
      <c r="P2679" s="642" t="inlineStr">
        <is>
          <t>Санкт-Петербург, п. Шушары, Московское шомме 50</t>
        </is>
      </c>
      <c r="Q2679" s="640" t="inlineStr">
        <is>
          <t>59.790652</t>
        </is>
      </c>
      <c r="R2679" s="494" t="inlineStr">
        <is>
          <t>30.417459</t>
        </is>
      </c>
      <c r="U2679" s="436" t="n"/>
      <c r="Z2679" s="1" t="n"/>
    </row>
    <row r="2680" hidden="1" ht="16.05" customHeight="1">
      <c r="A2680" s="125" t="n">
        <v>3301</v>
      </c>
      <c r="B2680" s="125" t="n"/>
      <c r="C2680" s="130" t="inlineStr">
        <is>
          <t>Санкт-Петербург</t>
        </is>
      </c>
      <c r="D2680" s="130" t="inlineStr">
        <is>
          <t>Санкт-Петербург</t>
        </is>
      </c>
      <c r="E2680" s="130" t="n"/>
      <c r="F2680" s="130" t="inlineStr">
        <is>
          <t>АЗС</t>
        </is>
      </c>
      <c r="G2680" s="130" t="inlineStr">
        <is>
          <t>Татнефть</t>
        </is>
      </c>
      <c r="H2680" s="131" t="n"/>
      <c r="I2680" s="637" t="n">
        <v>287</v>
      </c>
      <c r="J2680" s="637" t="inlineStr">
        <is>
          <t>TATN_287</t>
        </is>
      </c>
      <c r="K2680" s="640" t="n">
        <v>2</v>
      </c>
      <c r="L2680" s="640" t="n">
        <v>0</v>
      </c>
      <c r="M2680" s="623" t="inlineStr">
        <is>
          <t>Экран 55" вертикальный</t>
        </is>
      </c>
      <c r="N2680" s="640" t="n"/>
      <c r="O2680" s="640">
        <f>IF(AND(N2680=1,L2680=1),K2680,"")</f>
        <v/>
      </c>
      <c r="P2680" s="642" t="inlineStr">
        <is>
          <t>Ленинградская область, Тосненский район,  пос. Бабино II (Московское шоссе, 1Б)</t>
        </is>
      </c>
      <c r="Q2680" s="640" t="inlineStr">
        <is>
          <t>59.217862</t>
        </is>
      </c>
      <c r="R2680" s="494" t="inlineStr">
        <is>
          <t>31.477407</t>
        </is>
      </c>
      <c r="U2680" s="436" t="n"/>
      <c r="Z2680" s="1" t="n"/>
    </row>
    <row r="2681" hidden="1" ht="16.05" customHeight="1">
      <c r="A2681" s="125" t="n">
        <v>3302</v>
      </c>
      <c r="B2681" s="125" t="n"/>
      <c r="C2681" s="130" t="inlineStr">
        <is>
          <t>Санкт-Петербург</t>
        </is>
      </c>
      <c r="D2681" s="130" t="inlineStr">
        <is>
          <t>Санкт-Петербург</t>
        </is>
      </c>
      <c r="E2681" s="130" t="n"/>
      <c r="F2681" s="130" t="inlineStr">
        <is>
          <t>АЗС</t>
        </is>
      </c>
      <c r="G2681" s="130" t="inlineStr">
        <is>
          <t>Татнефть</t>
        </is>
      </c>
      <c r="H2681" s="131" t="n"/>
      <c r="I2681" s="637" t="n">
        <v>336</v>
      </c>
      <c r="J2681" s="637" t="inlineStr">
        <is>
          <t>TATN_336</t>
        </is>
      </c>
      <c r="K2681" s="640" t="n">
        <v>2</v>
      </c>
      <c r="L2681" s="640" t="n">
        <v>0</v>
      </c>
      <c r="M2681" s="623" t="inlineStr">
        <is>
          <t>Экран 55" вертикальный</t>
        </is>
      </c>
      <c r="N2681" s="640" t="n"/>
      <c r="O2681" s="640">
        <f>IF(AND(N2681=1,L2681=1),K2681,"")</f>
        <v/>
      </c>
      <c r="P2681" s="642" t="inlineStr">
        <is>
          <t>Ленинградская область, Тосненский район,  пос. Бабино II,  Московское шоссе, д. 4</t>
        </is>
      </c>
      <c r="Q2681" s="640" t="inlineStr">
        <is>
          <t>59.218638</t>
        </is>
      </c>
      <c r="R2681" s="494" t="inlineStr">
        <is>
          <t>31.479741</t>
        </is>
      </c>
      <c r="U2681" s="436" t="n"/>
      <c r="Z2681" s="1" t="n"/>
    </row>
    <row r="2682" hidden="1" ht="16.05" customHeight="1">
      <c r="A2682" s="125" t="n">
        <v>3303</v>
      </c>
      <c r="B2682" s="125" t="n"/>
      <c r="C2682" s="130" t="inlineStr">
        <is>
          <t>Санкт-Петербург</t>
        </is>
      </c>
      <c r="D2682" s="130" t="inlineStr">
        <is>
          <t>Санкт-Петербург</t>
        </is>
      </c>
      <c r="E2682" s="130" t="n"/>
      <c r="F2682" s="130" t="inlineStr">
        <is>
          <t>АЗС</t>
        </is>
      </c>
      <c r="G2682" s="130" t="inlineStr">
        <is>
          <t>Татнефть</t>
        </is>
      </c>
      <c r="H2682" s="131" t="n"/>
      <c r="I2682" s="637" t="n">
        <v>737</v>
      </c>
      <c r="J2682" s="637" t="inlineStr">
        <is>
          <t>TATN_537</t>
        </is>
      </c>
      <c r="K2682" s="640" t="n">
        <v>1</v>
      </c>
      <c r="L2682" s="640" t="n">
        <v>0</v>
      </c>
      <c r="M2682" s="623" t="inlineStr">
        <is>
          <t>Экран 43" вертикальный</t>
        </is>
      </c>
      <c r="N2682" s="640" t="n"/>
      <c r="O2682" s="640">
        <f>IF(AND(N2682=1,L2682=1),K2682,"")</f>
        <v/>
      </c>
      <c r="P2682" s="642" t="inlineStr">
        <is>
          <t>Санкт-Петербург, Октябрьская набережная, 56</t>
        </is>
      </c>
      <c r="Q2682" s="640" t="n">
        <v>59.882979</v>
      </c>
      <c r="R2682" s="494" t="n">
        <v>30.451891</v>
      </c>
      <c r="U2682" s="436" t="n"/>
      <c r="Z2682" s="1" t="n"/>
    </row>
    <row r="2683" hidden="1" ht="16.05" customHeight="1">
      <c r="A2683" s="125" t="n">
        <v>3307</v>
      </c>
      <c r="B2683" s="125" t="inlineStr">
        <is>
          <t>WF</t>
        </is>
      </c>
      <c r="C2683" s="130" t="inlineStr">
        <is>
          <t>Москва</t>
        </is>
      </c>
      <c r="D2683" s="130" t="inlineStr">
        <is>
          <t>Москва</t>
        </is>
      </c>
      <c r="E2683" s="130" t="n"/>
      <c r="F2683" s="130" t="inlineStr">
        <is>
          <t>Супермаркет</t>
        </is>
      </c>
      <c r="G2683" s="130" t="inlineStr">
        <is>
          <t>Азбука Вкуса</t>
        </is>
      </c>
      <c r="H2683" s="131" t="n"/>
      <c r="I2683" s="637" t="n">
        <v>158</v>
      </c>
      <c r="J2683" s="637" t="inlineStr">
        <is>
          <t>MSK_A_158</t>
        </is>
      </c>
      <c r="K2683" s="640" t="n">
        <v>2</v>
      </c>
      <c r="L2683" s="640" t="n">
        <v>1</v>
      </c>
      <c r="M2683" s="623" t="inlineStr">
        <is>
          <t>Samsung 43" вертикальный</t>
        </is>
      </c>
      <c r="N2683" s="640" t="n"/>
      <c r="O2683" s="640">
        <f>IF(AND(N2683=1,L2683=1),K2683,"")</f>
        <v/>
      </c>
      <c r="P2683" s="642" t="inlineStr">
        <is>
          <t>Moсковская область, городской округ Истра, деревня Покровское, улица Центральная, здание 33</t>
        </is>
      </c>
      <c r="Q2683" s="640" t="inlineStr">
        <is>
          <t>55.8101477</t>
        </is>
      </c>
      <c r="R2683" s="494" t="inlineStr">
        <is>
          <t>37.0226163</t>
        </is>
      </c>
      <c r="S2683" s="387" t="n">
        <v>24</v>
      </c>
      <c r="T2683" s="436">
        <f>IF(N2683=1,O2683*S2683,"")</f>
        <v/>
      </c>
      <c r="U2683" s="436" t="n"/>
      <c r="Z2683" s="1" t="n"/>
    </row>
    <row r="2684" hidden="1" ht="16.05" customHeight="1">
      <c r="A2684" s="125" t="n">
        <v>3308</v>
      </c>
      <c r="B2684" s="791" t="n"/>
      <c r="C2684" s="130" t="inlineStr">
        <is>
          <t>Москва</t>
        </is>
      </c>
      <c r="D2684" s="130" t="inlineStr">
        <is>
          <t>Московская область</t>
        </is>
      </c>
      <c r="E2684" s="130" t="n"/>
      <c r="F2684" s="130" t="inlineStr">
        <is>
          <t>АЗС</t>
        </is>
      </c>
      <c r="G2684" s="130" t="inlineStr">
        <is>
          <t>Роснефть</t>
        </is>
      </c>
      <c r="H2684" s="131" t="inlineStr">
        <is>
          <t>MJ232</t>
        </is>
      </c>
      <c r="I2684" s="637" t="inlineStr">
        <is>
          <t>Посадская</t>
        </is>
      </c>
      <c r="J2684" s="637" t="inlineStr">
        <is>
          <t>MSK_BP_Posadskaya</t>
        </is>
      </c>
      <c r="K2684" s="640" t="n">
        <v>2</v>
      </c>
      <c r="L2684" s="640" t="n">
        <v>1</v>
      </c>
      <c r="M2684" s="623" t="inlineStr">
        <is>
          <t>Samsung 32" вертикальный</t>
        </is>
      </c>
      <c r="N2684" s="640" t="n"/>
      <c r="O2684" s="640">
        <f>IF(AND(N2684=1,L2684=1),K2684,"")</f>
        <v/>
      </c>
      <c r="P2684" s="642" t="inlineStr">
        <is>
          <t>Московская обл., Сергиево-Посадский р-н, Смена дер., 78-й км</t>
        </is>
      </c>
      <c r="Q2684" s="640" t="inlineStr">
        <is>
          <t>56.320574</t>
        </is>
      </c>
      <c r="R2684" s="494" t="inlineStr">
        <is>
          <t>38.248401</t>
        </is>
      </c>
      <c r="S2684" s="438" t="n"/>
      <c r="U2684" s="436" t="n"/>
      <c r="Z2684" s="1" t="n"/>
    </row>
    <row r="2685" hidden="1" ht="16.05" customHeight="1">
      <c r="A2685" s="125" t="n">
        <v>3313</v>
      </c>
      <c r="B2685" s="791" t="n"/>
      <c r="C2685" s="130" t="inlineStr">
        <is>
          <t>Санкт-Петербург</t>
        </is>
      </c>
      <c r="D2685" s="130" t="inlineStr">
        <is>
          <t>Санкт-Петербург</t>
        </is>
      </c>
      <c r="E2685" s="130" t="n"/>
      <c r="F2685" s="130" t="inlineStr">
        <is>
          <t>АЗС</t>
        </is>
      </c>
      <c r="G2685" s="130" t="inlineStr">
        <is>
          <t>Татнефть</t>
        </is>
      </c>
      <c r="H2685" s="131" t="n"/>
      <c r="I2685" s="637" t="n">
        <v>331</v>
      </c>
      <c r="J2685" s="637" t="inlineStr">
        <is>
          <t>TATN_331</t>
        </is>
      </c>
      <c r="K2685" s="640" t="n">
        <v>1</v>
      </c>
      <c r="L2685" s="640" t="n">
        <v>0</v>
      </c>
      <c r="M2685" s="623" t="inlineStr">
        <is>
          <t>Экран 43" горизонтальный</t>
        </is>
      </c>
      <c r="N2685" s="640" t="n"/>
      <c r="O2685" s="640">
        <f>IF(AND(N2685=1,L2685=1),K2685,"")</f>
        <v/>
      </c>
      <c r="P2685" s="642" t="inlineStr">
        <is>
          <t>г. Санкт-Петербург, ул. Вербная 23</t>
        </is>
      </c>
      <c r="Q2685" s="640" t="inlineStr">
        <is>
          <t>60.023259</t>
        </is>
      </c>
      <c r="R2685" s="494" t="inlineStr">
        <is>
          <t>30.294901</t>
        </is>
      </c>
      <c r="U2685" s="436" t="n"/>
      <c r="Z2685" s="1" t="n"/>
    </row>
    <row r="2686" hidden="1" ht="16.05" customHeight="1">
      <c r="A2686" s="125" t="n">
        <v>3304</v>
      </c>
      <c r="B2686" s="125" t="n"/>
      <c r="C2686" s="130" t="inlineStr">
        <is>
          <t>Ярославль</t>
        </is>
      </c>
      <c r="D2686" s="130" t="inlineStr">
        <is>
          <t>Ярославская область</t>
        </is>
      </c>
      <c r="E2686" s="130" t="n"/>
      <c r="F2686" s="130" t="inlineStr">
        <is>
          <t>АЗС</t>
        </is>
      </c>
      <c r="G2686" s="130" t="inlineStr">
        <is>
          <t>Татнефть</t>
        </is>
      </c>
      <c r="H2686" s="131" t="n"/>
      <c r="I2686" s="637" t="inlineStr">
        <is>
          <t>570 (HOR)</t>
        </is>
      </c>
      <c r="J2686" s="637" t="inlineStr">
        <is>
          <t>TATN_570</t>
        </is>
      </c>
      <c r="K2686" s="640" t="n">
        <v>2</v>
      </c>
      <c r="L2686" s="640" t="n">
        <v>0</v>
      </c>
      <c r="M2686" s="640" t="inlineStr">
        <is>
          <t>Samsung 43" горизонтальный</t>
        </is>
      </c>
      <c r="N2686" s="640" t="n"/>
      <c r="O2686" s="640">
        <f>IF(AND(N2686=1,L2686=1),K2686,"")</f>
        <v/>
      </c>
      <c r="P2686" s="642" t="inlineStr">
        <is>
          <t>Ярославль, Ярославская область, Ивняковское с/п, п. Ивняки, Юго-западная окружная а/д, стр., 47</t>
        </is>
      </c>
      <c r="Q2686" s="640" t="inlineStr">
        <is>
          <t>57.65752816</t>
        </is>
      </c>
      <c r="R2686" s="422" t="inlineStr">
        <is>
          <t>39.754011</t>
        </is>
      </c>
      <c r="U2686" s="436" t="n"/>
      <c r="X2686" s="1" t="n"/>
      <c r="Y2686" s="1" t="n"/>
      <c r="Z2686" s="1" t="n"/>
    </row>
    <row r="2687" hidden="1" ht="16.05" customHeight="1">
      <c r="A2687" s="125" t="n">
        <v>3305</v>
      </c>
      <c r="B2687" s="125" t="n"/>
      <c r="C2687" s="130" t="inlineStr">
        <is>
          <t>Краснодар</t>
        </is>
      </c>
      <c r="D2687" s="130" t="inlineStr">
        <is>
          <t>Краснодарский край</t>
        </is>
      </c>
      <c r="E2687" s="130" t="n"/>
      <c r="F2687" s="130" t="inlineStr">
        <is>
          <t>АЗС</t>
        </is>
      </c>
      <c r="G2687" s="130" t="inlineStr">
        <is>
          <t>Татнефть</t>
        </is>
      </c>
      <c r="H2687" s="131" t="n"/>
      <c r="I2687" s="637" t="inlineStr">
        <is>
          <t>568 (HOR)</t>
        </is>
      </c>
      <c r="J2687" s="637" t="inlineStr">
        <is>
          <t>TATN_568</t>
        </is>
      </c>
      <c r="K2687" s="640" t="n">
        <v>1</v>
      </c>
      <c r="L2687" s="640" t="n">
        <v>0</v>
      </c>
      <c r="M2687" s="640" t="inlineStr">
        <is>
          <t>Samsung 43" горизонтальный</t>
        </is>
      </c>
      <c r="N2687" s="640" t="n"/>
      <c r="O2687" s="640">
        <f>IF(AND(N2687=1,L2687=1),K2687,"")</f>
        <v/>
      </c>
      <c r="P2687" s="642" t="inlineStr">
        <is>
          <t>Краснодарский край, Кущевский р-н, ст. Кущевская, ул.Транспортная, 1д</t>
        </is>
      </c>
      <c r="Q2687" s="640" t="inlineStr">
        <is>
          <t>46.57702</t>
        </is>
      </c>
      <c r="R2687" s="422" t="inlineStr">
        <is>
          <t>39.671867</t>
        </is>
      </c>
      <c r="U2687" s="436" t="n"/>
      <c r="X2687" s="1" t="n"/>
      <c r="Y2687" s="1" t="n"/>
      <c r="Z2687" s="1" t="n"/>
    </row>
    <row r="2688" hidden="1" ht="16.05" customHeight="1">
      <c r="A2688" s="125" t="n">
        <v>3306</v>
      </c>
      <c r="B2688" s="125" t="n"/>
      <c r="C2688" s="130" t="inlineStr">
        <is>
          <t>Ростов-на-Дону</t>
        </is>
      </c>
      <c r="D2688" s="130" t="inlineStr">
        <is>
          <t>Ростовская область</t>
        </is>
      </c>
      <c r="E2688" s="130" t="n"/>
      <c r="F2688" s="130" t="inlineStr">
        <is>
          <t>АЗС</t>
        </is>
      </c>
      <c r="G2688" s="130" t="inlineStr">
        <is>
          <t>Татнефть</t>
        </is>
      </c>
      <c r="H2688" s="131" t="n"/>
      <c r="I2688" s="637" t="inlineStr">
        <is>
          <t>569 (HOR)</t>
        </is>
      </c>
      <c r="J2688" s="637" t="inlineStr">
        <is>
          <t>TATN_569</t>
        </is>
      </c>
      <c r="K2688" s="640" t="n">
        <v>1</v>
      </c>
      <c r="L2688" s="640" t="n">
        <v>0</v>
      </c>
      <c r="M2688" s="640" t="inlineStr">
        <is>
          <t>Samsung 43" горизонтальный</t>
        </is>
      </c>
      <c r="N2688" s="640" t="n"/>
      <c r="O2688" s="640">
        <f>IF(AND(N2688=1,L2688=1),K2688,"")</f>
        <v/>
      </c>
      <c r="P2688" s="642" t="inlineStr">
        <is>
          <t>Ростовская область, М4, 995 км, слева, Красносулинский р-н, п. Аютинский</t>
        </is>
      </c>
      <c r="Q2688" s="640" t="inlineStr">
        <is>
          <t>47.7545</t>
        </is>
      </c>
      <c r="R2688" s="422" t="inlineStr">
        <is>
          <t xml:space="preserve">40.143813 </t>
        </is>
      </c>
      <c r="U2688" s="436" t="n"/>
      <c r="X2688" s="1" t="n"/>
      <c r="Y2688" s="1" t="n"/>
      <c r="Z2688" s="1" t="n"/>
    </row>
    <row r="2689" hidden="1" ht="16.05" customHeight="1">
      <c r="A2689" s="125" t="n">
        <v>3332</v>
      </c>
      <c r="B2689" s="125" t="inlineStr">
        <is>
          <t>WF</t>
        </is>
      </c>
      <c r="C2689" s="130" t="inlineStr">
        <is>
          <t>Москва</t>
        </is>
      </c>
      <c r="D2689" s="130" t="inlineStr">
        <is>
          <t>Москва</t>
        </is>
      </c>
      <c r="E2689" s="130" t="n"/>
      <c r="F2689" s="130" t="inlineStr">
        <is>
          <t>Супермаркет</t>
        </is>
      </c>
      <c r="G2689" s="130" t="inlineStr">
        <is>
          <t>Азбука Вкуса</t>
        </is>
      </c>
      <c r="H2689" s="131" t="n"/>
      <c r="I2689" s="637" t="n">
        <v>159</v>
      </c>
      <c r="J2689" s="637" t="inlineStr">
        <is>
          <t>MSK_A_159</t>
        </is>
      </c>
      <c r="K2689" s="640" t="n">
        <v>2</v>
      </c>
      <c r="L2689" s="640" t="n">
        <v>1</v>
      </c>
      <c r="M2689" s="623" t="inlineStr">
        <is>
          <t>Samsung 43" вертикальный</t>
        </is>
      </c>
      <c r="N2689" s="640" t="n"/>
      <c r="O2689" s="640">
        <f>IF(AND(N2689=1,L2689=1),K2689,"")</f>
        <v/>
      </c>
      <c r="P2689" s="642" t="inlineStr">
        <is>
          <t>Моска ул. Удальцова д.1</t>
        </is>
      </c>
      <c r="Q2689" s="640" t="inlineStr">
        <is>
          <t>55.671326</t>
        </is>
      </c>
      <c r="R2689" s="494" t="inlineStr">
        <is>
          <t>37.517033</t>
        </is>
      </c>
      <c r="S2689" s="387" t="n">
        <v>24</v>
      </c>
      <c r="T2689" s="436">
        <f>IF(N2689=1,O2689*S2689,"")</f>
        <v/>
      </c>
      <c r="U2689" s="436" t="n">
        <v>1</v>
      </c>
      <c r="V2689" s="438">
        <f>IF(AND(N2689=1,U2689=1),C2689,"")</f>
        <v/>
      </c>
      <c r="Z2689" s="1" t="n"/>
    </row>
    <row r="2690" hidden="1" ht="16.05" customHeight="1">
      <c r="A2690" s="125" t="n">
        <v>3334</v>
      </c>
      <c r="B2690" s="791" t="n"/>
      <c r="C2690" s="130" t="inlineStr">
        <is>
          <t>Ставрополь</t>
        </is>
      </c>
      <c r="D2690" s="130" t="inlineStr">
        <is>
          <t>Ставропольский край</t>
        </is>
      </c>
      <c r="E2690" s="130" t="n"/>
      <c r="F2690" s="130" t="inlineStr">
        <is>
          <t>АЗС</t>
        </is>
      </c>
      <c r="G2690" s="130" t="inlineStr">
        <is>
          <t>Роснефть</t>
        </is>
      </c>
      <c r="H2690" s="131" t="n"/>
      <c r="I2690" s="637" t="n">
        <v>41</v>
      </c>
      <c r="J2690" s="637" t="inlineStr">
        <is>
          <t>STW_RN_041</t>
        </is>
      </c>
      <c r="K2690" s="640" t="n">
        <v>1</v>
      </c>
      <c r="L2690" s="640" t="n">
        <v>0</v>
      </c>
      <c r="M2690" s="623" t="inlineStr">
        <is>
          <t>Samsung 32" вертикальный</t>
        </is>
      </c>
      <c r="N2690" s="640" t="n"/>
      <c r="O2690" s="640">
        <f>IF(AND(N2690=1,L2690=1),K2690,"")</f>
        <v/>
      </c>
      <c r="P2690" s="642" t="inlineStr">
        <is>
          <t>Cтавропольский край,Кочубеевский р-н, 359+800 Федеральной автодороги  «Кавказ»</t>
        </is>
      </c>
      <c r="Q2690" s="640" t="inlineStr">
        <is>
          <t>44.713683</t>
        </is>
      </c>
      <c r="R2690" s="494" t="inlineStr">
        <is>
          <t>41.845711</t>
        </is>
      </c>
      <c r="Z2690" s="1" t="n"/>
      <c r="AA2690" s="126" t="n"/>
    </row>
    <row r="2691" hidden="1" ht="16.05" customHeight="1">
      <c r="A2691" s="125" t="n">
        <v>3309</v>
      </c>
      <c r="B2691" s="791" t="n"/>
      <c r="C2691" s="130" t="inlineStr">
        <is>
          <t>Татарстан</t>
        </is>
      </c>
      <c r="D2691" s="130" t="inlineStr">
        <is>
          <t>Альметьевск</t>
        </is>
      </c>
      <c r="E2691" s="130" t="n"/>
      <c r="F2691" s="130" t="inlineStr">
        <is>
          <t>АЗС</t>
        </is>
      </c>
      <c r="G2691" s="130" t="inlineStr">
        <is>
          <t>Татнефть</t>
        </is>
      </c>
      <c r="H2691" s="131" t="n"/>
      <c r="I2691" s="637" t="inlineStr">
        <is>
          <t>329 (HOR)</t>
        </is>
      </c>
      <c r="J2691" s="637" t="inlineStr">
        <is>
          <t>TATN_329</t>
        </is>
      </c>
      <c r="K2691" s="640" t="n">
        <v>2</v>
      </c>
      <c r="L2691" s="640" t="n">
        <v>0</v>
      </c>
      <c r="M2691" s="640" t="inlineStr">
        <is>
          <t>Samsung 43" горизонтальный</t>
        </is>
      </c>
      <c r="N2691" s="640" t="n"/>
      <c r="O2691" s="640">
        <f>IF(AND(N2691=1,L2691=1),K2691,"")</f>
        <v/>
      </c>
      <c r="P2691" s="642" t="inlineStr">
        <is>
          <t>г. Альметьевск, ул. Шевченко возле гипермаркета «Магнит» (улица Шевченко, 47Б)</t>
        </is>
      </c>
      <c r="Q2691" s="640" t="inlineStr">
        <is>
          <t>54.895521</t>
        </is>
      </c>
      <c r="R2691" s="422" t="inlineStr">
        <is>
          <t>52.261116</t>
        </is>
      </c>
      <c r="X2691" s="1" t="n"/>
      <c r="Y2691" s="1" t="n"/>
      <c r="Z2691" s="1" t="n"/>
    </row>
    <row r="2692" hidden="1" ht="16.05" customHeight="1">
      <c r="A2692" s="125" t="n">
        <v>3310</v>
      </c>
      <c r="B2692" s="791" t="n"/>
      <c r="C2692" s="130" t="inlineStr">
        <is>
          <t>Татарстан</t>
        </is>
      </c>
      <c r="D2692" s="130" t="inlineStr">
        <is>
          <t>Альметьевск</t>
        </is>
      </c>
      <c r="E2692" s="130" t="n"/>
      <c r="F2692" s="130" t="inlineStr">
        <is>
          <t>АЗС</t>
        </is>
      </c>
      <c r="G2692" s="130" t="inlineStr">
        <is>
          <t>Татнефть</t>
        </is>
      </c>
      <c r="H2692" s="131" t="n"/>
      <c r="I2692" s="637" t="inlineStr">
        <is>
          <t>330 (HOR)</t>
        </is>
      </c>
      <c r="J2692" s="637" t="inlineStr">
        <is>
          <t>TATN_330</t>
        </is>
      </c>
      <c r="K2692" s="640" t="n">
        <v>2</v>
      </c>
      <c r="L2692" s="640" t="n">
        <v>0</v>
      </c>
      <c r="M2692" s="640" t="inlineStr">
        <is>
          <t>Samsung 43" горизонтальный</t>
        </is>
      </c>
      <c r="N2692" s="640" t="n"/>
      <c r="O2692" s="640">
        <f>IF(AND(N2692=1,L2692=1),K2692,"")</f>
        <v/>
      </c>
      <c r="P2692" s="642" t="inlineStr">
        <is>
          <t>г. Альметьевск, ул. Ризы Фахретдина возле гипермаркета «Эссен» (улица Ризы Фахретдина, 7А)</t>
        </is>
      </c>
      <c r="Q2692" s="640" t="inlineStr">
        <is>
          <t>54.909985</t>
        </is>
      </c>
      <c r="R2692" s="422" t="inlineStr">
        <is>
          <t>52.317427</t>
        </is>
      </c>
      <c r="X2692" s="1" t="n"/>
      <c r="Y2692" s="1" t="n"/>
      <c r="Z2692" s="1" t="n"/>
    </row>
    <row r="2693" hidden="1" ht="16.05" customHeight="1">
      <c r="A2693" s="125" t="n">
        <v>3311</v>
      </c>
      <c r="B2693" s="791" t="n"/>
      <c r="C2693" s="130" t="inlineStr">
        <is>
          <t>Татарстан</t>
        </is>
      </c>
      <c r="D2693" s="130" t="inlineStr">
        <is>
          <t>Альметьевск</t>
        </is>
      </c>
      <c r="E2693" s="130" t="n"/>
      <c r="F2693" s="130" t="inlineStr">
        <is>
          <t>АЗС</t>
        </is>
      </c>
      <c r="G2693" s="130" t="inlineStr">
        <is>
          <t>Татнефть</t>
        </is>
      </c>
      <c r="H2693" s="131" t="n"/>
      <c r="I2693" s="637" t="inlineStr">
        <is>
          <t>124 (HOR)</t>
        </is>
      </c>
      <c r="J2693" s="637" t="inlineStr">
        <is>
          <t>TATN_124</t>
        </is>
      </c>
      <c r="K2693" s="640" t="n">
        <v>2</v>
      </c>
      <c r="L2693" s="640" t="n">
        <v>0</v>
      </c>
      <c r="M2693" s="640" t="inlineStr">
        <is>
          <t>Samsung 43" горизонтальный</t>
        </is>
      </c>
      <c r="N2693" s="640" t="n"/>
      <c r="O2693" s="640">
        <f>IF(AND(N2693=1,L2693=1),K2693,"")</f>
        <v/>
      </c>
      <c r="P2693" s="642" t="inlineStr">
        <is>
          <t>г. Альметьевск, ул. Геофизическая, РТС</t>
        </is>
      </c>
      <c r="Q2693" s="640" t="inlineStr">
        <is>
          <t>54.894099</t>
        </is>
      </c>
      <c r="R2693" s="422" t="inlineStr">
        <is>
          <t>52.32974</t>
        </is>
      </c>
      <c r="X2693" s="1" t="n"/>
      <c r="Y2693" s="1" t="n"/>
      <c r="Z2693" s="1" t="n"/>
    </row>
    <row r="2694" hidden="1" ht="16.05" customHeight="1">
      <c r="A2694" s="125" t="n">
        <v>3312</v>
      </c>
      <c r="B2694" s="791" t="n"/>
      <c r="C2694" s="130" t="inlineStr">
        <is>
          <t>Казань</t>
        </is>
      </c>
      <c r="D2694" s="130" t="inlineStr">
        <is>
          <t>Альметьевск</t>
        </is>
      </c>
      <c r="E2694" s="130" t="n"/>
      <c r="F2694" s="130" t="inlineStr">
        <is>
          <t>АЗС</t>
        </is>
      </c>
      <c r="G2694" s="130" t="inlineStr">
        <is>
          <t>Татнефть</t>
        </is>
      </c>
      <c r="H2694" s="131" t="n"/>
      <c r="I2694" s="637" t="inlineStr">
        <is>
          <t>3 (HOR)</t>
        </is>
      </c>
      <c r="J2694" s="402" t="inlineStr">
        <is>
          <t>TATN_003</t>
        </is>
      </c>
      <c r="K2694" s="640" t="n">
        <v>2</v>
      </c>
      <c r="L2694" s="640" t="n">
        <v>0</v>
      </c>
      <c r="M2694" s="640" t="inlineStr">
        <is>
          <t>Samsung 43" горизонтальный</t>
        </is>
      </c>
      <c r="N2694" s="640" t="n"/>
      <c r="O2694" s="640">
        <f>IF(AND(N2694=1,L2694=1),K2694,"")</f>
        <v/>
      </c>
      <c r="P2694" s="642" t="inlineStr">
        <is>
          <t>г. Альметьевск, кольцо пр.Строителей</t>
        </is>
      </c>
      <c r="Q2694" s="640" t="n">
        <v>54.909992</v>
      </c>
      <c r="R2694" s="422" t="n">
        <v>52.272108</v>
      </c>
      <c r="X2694" s="1" t="n"/>
      <c r="Y2694" s="1" t="n"/>
      <c r="Z2694" s="1" t="n"/>
    </row>
    <row r="2695" hidden="1" ht="16.05" customHeight="1">
      <c r="A2695" s="125" t="n">
        <v>3335</v>
      </c>
      <c r="B2695" s="791" t="n"/>
      <c r="C2695" s="130" t="inlineStr">
        <is>
          <t>Ставрополь</t>
        </is>
      </c>
      <c r="D2695" s="130" t="inlineStr">
        <is>
          <t>Ставропольский край</t>
        </is>
      </c>
      <c r="E2695" s="130" t="n"/>
      <c r="F2695" s="130" t="inlineStr">
        <is>
          <t>АЗС</t>
        </is>
      </c>
      <c r="G2695" s="130" t="inlineStr">
        <is>
          <t>Роснефть</t>
        </is>
      </c>
      <c r="H2695" s="131" t="n"/>
      <c r="I2695" s="637" t="n">
        <v>32</v>
      </c>
      <c r="J2695" s="637" t="inlineStr">
        <is>
          <t>STW_RN_032</t>
        </is>
      </c>
      <c r="K2695" s="640" t="n">
        <v>2</v>
      </c>
      <c r="L2695" s="640" t="n">
        <v>1</v>
      </c>
      <c r="M2695" s="623" t="inlineStr">
        <is>
          <t>Samsung 32" вертикальный</t>
        </is>
      </c>
      <c r="N2695" s="640" t="n"/>
      <c r="O2695" s="640">
        <f>IF(AND(N2695=1,L2695=1),K2695,"")</f>
        <v/>
      </c>
      <c r="P2695" s="642" t="inlineStr">
        <is>
          <t>Ставропольский край, Кочубеевский район, 231 км + 300 м автодороги "Кавказ"</t>
        </is>
      </c>
      <c r="Q2695" s="640" t="inlineStr">
        <is>
          <t>44.7123</t>
        </is>
      </c>
      <c r="R2695" s="494" t="inlineStr">
        <is>
          <t>41.853391</t>
        </is>
      </c>
      <c r="Z2695" s="1" t="n"/>
    </row>
    <row r="2696" hidden="1" ht="16.05" customHeight="1">
      <c r="A2696" s="125" t="n">
        <v>3314</v>
      </c>
      <c r="B2696" s="791" t="n"/>
      <c r="C2696" s="130" t="inlineStr">
        <is>
          <t>Воронеж</t>
        </is>
      </c>
      <c r="D2696" s="130" t="inlineStr">
        <is>
          <t>Воронежская область</t>
        </is>
      </c>
      <c r="E2696" s="130" t="n"/>
      <c r="F2696" s="130" t="inlineStr">
        <is>
          <t>АЗС</t>
        </is>
      </c>
      <c r="G2696" s="130" t="inlineStr">
        <is>
          <t>Татнефть</t>
        </is>
      </c>
      <c r="H2696" s="131" t="n"/>
      <c r="I2696" s="637" t="inlineStr">
        <is>
          <t>497 (HOR)</t>
        </is>
      </c>
      <c r="J2696" s="402" t="inlineStr">
        <is>
          <t>TATN_497</t>
        </is>
      </c>
      <c r="K2696" s="640" t="n">
        <v>1</v>
      </c>
      <c r="L2696" s="640" t="n">
        <v>0</v>
      </c>
      <c r="M2696" s="640" t="inlineStr">
        <is>
          <t>Samsung 43" горизонтальный</t>
        </is>
      </c>
      <c r="N2696" s="640" t="n"/>
      <c r="O2696" s="640">
        <f>IF(AND(N2696=1,L2696=1),K2696,"")</f>
        <v/>
      </c>
      <c r="P2696" s="642" t="inlineStr">
        <is>
          <t>Воронежская область, Новоусманский район, 534 км а/д М-4 «Дон» (справа)</t>
        </is>
      </c>
      <c r="Q2696" s="640" t="n">
        <v>51.554654</v>
      </c>
      <c r="R2696" s="422" t="inlineStr">
        <is>
          <t xml:space="preserve">39.489404 </t>
        </is>
      </c>
      <c r="X2696" s="1" t="n"/>
      <c r="Y2696" s="1" t="n"/>
      <c r="Z2696" s="1" t="n"/>
    </row>
    <row r="2697" hidden="1" ht="16.05" customHeight="1">
      <c r="A2697" s="125" t="n">
        <v>3315</v>
      </c>
      <c r="B2697" s="791" t="n"/>
      <c r="C2697" s="130" t="inlineStr">
        <is>
          <t>Воронеж</t>
        </is>
      </c>
      <c r="D2697" s="130" t="inlineStr">
        <is>
          <t>Воронежская область</t>
        </is>
      </c>
      <c r="E2697" s="130" t="n"/>
      <c r="F2697" s="130" t="inlineStr">
        <is>
          <t>АЗС</t>
        </is>
      </c>
      <c r="G2697" s="130" t="inlineStr">
        <is>
          <t>Татнефть</t>
        </is>
      </c>
      <c r="H2697" s="131" t="n"/>
      <c r="I2697" s="637" t="inlineStr">
        <is>
          <t>512 (HOR)</t>
        </is>
      </c>
      <c r="J2697" s="637" t="inlineStr">
        <is>
          <t>TATN_512</t>
        </is>
      </c>
      <c r="K2697" s="640" t="n">
        <v>2</v>
      </c>
      <c r="L2697" s="640" t="n">
        <v>0</v>
      </c>
      <c r="M2697" s="640" t="inlineStr">
        <is>
          <t>Samsung 43" горизонтальный</t>
        </is>
      </c>
      <c r="N2697" s="640" t="n"/>
      <c r="O2697" s="640">
        <f>IF(AND(N2697=1,L2697=1),K2697,"")</f>
        <v/>
      </c>
      <c r="P2697" s="642" t="inlineStr">
        <is>
          <t>Воронежская область, Богучарский район, х. Дядин, 749 км а/д М4-Дон (слева)</t>
        </is>
      </c>
      <c r="Q2697" s="640" t="inlineStr">
        <is>
          <t>49.836321</t>
        </is>
      </c>
      <c r="R2697" s="422" t="inlineStr">
        <is>
          <t xml:space="preserve">40.525069 </t>
        </is>
      </c>
      <c r="X2697" s="1" t="n"/>
      <c r="Y2697" s="1" t="n"/>
      <c r="Z2697" s="1" t="n"/>
    </row>
    <row r="2698" hidden="1" ht="16.05" customHeight="1">
      <c r="A2698" s="125" t="n">
        <v>3316</v>
      </c>
      <c r="B2698" s="791" t="n"/>
      <c r="C2698" s="130" t="inlineStr">
        <is>
          <t>Воронеж</t>
        </is>
      </c>
      <c r="D2698" s="130" t="inlineStr">
        <is>
          <t>Воронежская область</t>
        </is>
      </c>
      <c r="E2698" s="130" t="n"/>
      <c r="F2698" s="130" t="inlineStr">
        <is>
          <t>АЗС</t>
        </is>
      </c>
      <c r="G2698" s="130" t="inlineStr">
        <is>
          <t>Татнефть</t>
        </is>
      </c>
      <c r="H2698" s="131" t="n"/>
      <c r="I2698" s="637" t="inlineStr">
        <is>
          <t>520 (HOR)</t>
        </is>
      </c>
      <c r="J2698" s="637" t="inlineStr">
        <is>
          <t>TATN_520</t>
        </is>
      </c>
      <c r="K2698" s="640" t="n">
        <v>2</v>
      </c>
      <c r="L2698" s="640" t="n">
        <v>0</v>
      </c>
      <c r="M2698" s="640" t="inlineStr">
        <is>
          <t>Samsung 43" горизонтальный</t>
        </is>
      </c>
      <c r="N2698" s="640" t="n"/>
      <c r="O2698" s="640">
        <f>IF(AND(N2698=1,L2698=1),K2698,"")</f>
        <v/>
      </c>
      <c r="P2698" s="642" t="inlineStr">
        <is>
          <t>Воронежская область, Богучарский район, х. Дядин, 749 км а/д М4-Дон (справа)</t>
        </is>
      </c>
      <c r="Q2698" s="640" t="inlineStr">
        <is>
          <t>49.83457</t>
        </is>
      </c>
      <c r="R2698" s="422" t="inlineStr">
        <is>
          <t xml:space="preserve">40.523567 </t>
        </is>
      </c>
      <c r="X2698" s="1" t="n"/>
      <c r="Y2698" s="1" t="n"/>
      <c r="Z2698" s="1" t="n"/>
    </row>
    <row r="2699" hidden="1" ht="16.05" customHeight="1">
      <c r="A2699" s="125" t="n">
        <v>3317</v>
      </c>
      <c r="B2699" s="791" t="n"/>
      <c r="C2699" s="130" t="inlineStr">
        <is>
          <t>Москва</t>
        </is>
      </c>
      <c r="D2699" s="130" t="inlineStr">
        <is>
          <t>Москва</t>
        </is>
      </c>
      <c r="E2699" s="130" t="inlineStr">
        <is>
          <t>ЗАО</t>
        </is>
      </c>
      <c r="F2699" s="130" t="inlineStr">
        <is>
          <t>АЗС</t>
        </is>
      </c>
      <c r="G2699" s="130" t="inlineStr">
        <is>
          <t>Татнефть</t>
        </is>
      </c>
      <c r="H2699" s="131" t="n"/>
      <c r="I2699" s="637" t="inlineStr">
        <is>
          <t>28 (HOR)</t>
        </is>
      </c>
      <c r="J2699" s="637" t="inlineStr">
        <is>
          <t>TATN_028</t>
        </is>
      </c>
      <c r="K2699" s="640" t="n">
        <v>2</v>
      </c>
      <c r="L2699" s="640" t="n">
        <v>0</v>
      </c>
      <c r="M2699" s="640" t="inlineStr">
        <is>
          <t>Samsung 43" горизонтальный</t>
        </is>
      </c>
      <c r="N2699" s="640" t="n"/>
      <c r="O2699" s="640">
        <f>IF(AND(N2699=1,L2699=1),K2699,"")</f>
        <v/>
      </c>
      <c r="P2699" s="642" t="inlineStr">
        <is>
          <t>г. Москва, ул.Рябиновая, д.12</t>
        </is>
      </c>
      <c r="Q2699" s="640" t="inlineStr">
        <is>
          <t>55.714663</t>
        </is>
      </c>
      <c r="R2699" s="422" t="inlineStr">
        <is>
          <t>37.422315</t>
        </is>
      </c>
      <c r="X2699" s="1" t="n"/>
      <c r="Y2699" s="1" t="n"/>
      <c r="Z2699" s="1" t="n"/>
    </row>
    <row r="2700" hidden="1" ht="16.05" customHeight="1">
      <c r="A2700" s="125" t="n">
        <v>3318</v>
      </c>
      <c r="B2700" s="791" t="n"/>
      <c r="C2700" s="130" t="inlineStr">
        <is>
          <t>Москва</t>
        </is>
      </c>
      <c r="D2700" s="130" t="inlineStr">
        <is>
          <t>Московская область</t>
        </is>
      </c>
      <c r="E2700" s="130" t="inlineStr">
        <is>
          <t>М1</t>
        </is>
      </c>
      <c r="F2700" s="130" t="inlineStr">
        <is>
          <t>АЗС</t>
        </is>
      </c>
      <c r="G2700" s="130" t="inlineStr">
        <is>
          <t>Татнефть</t>
        </is>
      </c>
      <c r="H2700" s="131" t="n"/>
      <c r="I2700" s="637" t="inlineStr">
        <is>
          <t>32 (HOR)</t>
        </is>
      </c>
      <c r="J2700" s="637" t="inlineStr">
        <is>
          <t>TATN_032</t>
        </is>
      </c>
      <c r="K2700" s="640" t="n">
        <v>2</v>
      </c>
      <c r="L2700" s="640" t="n">
        <v>0</v>
      </c>
      <c r="M2700" s="640" t="inlineStr">
        <is>
          <t>Samsung 43" горизонтальный</t>
        </is>
      </c>
      <c r="N2700" s="640" t="n"/>
      <c r="O2700" s="640">
        <f>IF(AND(N2700=1,L2700=1),K2700,"")</f>
        <v/>
      </c>
      <c r="P2700" s="642" t="inlineStr">
        <is>
          <t>МО, Одинцовский р-н, 53км Минского шоссе</t>
        </is>
      </c>
      <c r="Q2700" s="640" t="inlineStr">
        <is>
          <t>55.589405</t>
        </is>
      </c>
      <c r="R2700" s="422" t="inlineStr">
        <is>
          <t>36.873905</t>
        </is>
      </c>
      <c r="X2700" s="1" t="n"/>
      <c r="Y2700" s="1" t="n"/>
      <c r="Z2700" s="1" t="n"/>
    </row>
    <row r="2701" hidden="1" ht="16.05" customHeight="1">
      <c r="A2701" s="125" t="n">
        <v>3319</v>
      </c>
      <c r="B2701" s="791" t="n"/>
      <c r="C2701" s="130" t="inlineStr">
        <is>
          <t>Москва</t>
        </is>
      </c>
      <c r="D2701" s="130" t="inlineStr">
        <is>
          <t>Московская область</t>
        </is>
      </c>
      <c r="E2701" s="130" t="inlineStr">
        <is>
          <t>46к</t>
        </is>
      </c>
      <c r="F2701" s="130" t="inlineStr">
        <is>
          <t>АЗС</t>
        </is>
      </c>
      <c r="G2701" s="130" t="inlineStr">
        <is>
          <t>Татнефть</t>
        </is>
      </c>
      <c r="H2701" s="131" t="n"/>
      <c r="I2701" s="637" t="inlineStr">
        <is>
          <t>39 (HOR)</t>
        </is>
      </c>
      <c r="J2701" s="637" t="inlineStr">
        <is>
          <t>TATN_039</t>
        </is>
      </c>
      <c r="K2701" s="640" t="n">
        <v>2</v>
      </c>
      <c r="L2701" s="640" t="n">
        <v>0</v>
      </c>
      <c r="M2701" s="640" t="inlineStr">
        <is>
          <t>Samsung 43" горизонтальный</t>
        </is>
      </c>
      <c r="N2701" s="640" t="n"/>
      <c r="O2701" s="640">
        <f>IF(AND(N2701=1,L2701=1),K2701,"")</f>
        <v/>
      </c>
      <c r="P2701" s="642" t="inlineStr">
        <is>
          <t>МО, Реутовский р-н, Носовихинское шоссе, вл. 31"в"</t>
        </is>
      </c>
      <c r="Q2701" s="640" t="inlineStr">
        <is>
          <t>55.749177</t>
        </is>
      </c>
      <c r="R2701" s="422" t="inlineStr">
        <is>
          <t>37.88068</t>
        </is>
      </c>
      <c r="X2701" s="1" t="n"/>
      <c r="Y2701" s="1" t="n"/>
      <c r="Z2701" s="1" t="n"/>
    </row>
    <row r="2702" hidden="1" ht="16.05" customHeight="1">
      <c r="A2702" s="125" t="n">
        <v>3320</v>
      </c>
      <c r="B2702" s="791" t="n"/>
      <c r="C2702" s="130" t="inlineStr">
        <is>
          <t>Москва</t>
        </is>
      </c>
      <c r="D2702" s="130" t="inlineStr">
        <is>
          <t>Московская область</t>
        </is>
      </c>
      <c r="E2702" s="130" t="inlineStr">
        <is>
          <t>М1</t>
        </is>
      </c>
      <c r="F2702" s="130" t="inlineStr">
        <is>
          <t>АЗС</t>
        </is>
      </c>
      <c r="G2702" s="130" t="inlineStr">
        <is>
          <t>Татнефть</t>
        </is>
      </c>
      <c r="H2702" s="131" t="n"/>
      <c r="I2702" s="637" t="inlineStr">
        <is>
          <t>89 (HOR)</t>
        </is>
      </c>
      <c r="J2702" s="637" t="inlineStr">
        <is>
          <t>TATN_089</t>
        </is>
      </c>
      <c r="K2702" s="640" t="n">
        <v>2</v>
      </c>
      <c r="L2702" s="640" t="n">
        <v>0</v>
      </c>
      <c r="M2702" s="640" t="inlineStr">
        <is>
          <t>Samsung 43" горизонтальный</t>
        </is>
      </c>
      <c r="N2702" s="640" t="n"/>
      <c r="O2702" s="640">
        <f>IF(AND(N2702=1,L2702=1),K2702,"")</f>
        <v/>
      </c>
      <c r="P2702" s="642" t="inlineStr">
        <is>
          <t>МО, Одинцовский р-н, 30км Минское шоссе</t>
        </is>
      </c>
      <c r="Q2702" s="640" t="inlineStr">
        <is>
          <t>55.647532</t>
        </is>
      </c>
      <c r="R2702" s="422" t="inlineStr">
        <is>
          <t>37.251454</t>
        </is>
      </c>
      <c r="X2702" s="1" t="n"/>
      <c r="Y2702" s="1" t="n"/>
      <c r="Z2702" s="1" t="n"/>
    </row>
    <row r="2703" hidden="1" ht="16.05" customHeight="1">
      <c r="A2703" s="125" t="n">
        <v>3321</v>
      </c>
      <c r="B2703" s="791" t="n"/>
      <c r="C2703" s="130" t="inlineStr">
        <is>
          <t>Москва</t>
        </is>
      </c>
      <c r="D2703" s="130" t="inlineStr">
        <is>
          <t>Москва</t>
        </is>
      </c>
      <c r="E2703" s="130" t="inlineStr">
        <is>
          <t>МКАД</t>
        </is>
      </c>
      <c r="F2703" s="130" t="inlineStr">
        <is>
          <t>АЗС</t>
        </is>
      </c>
      <c r="G2703" s="130" t="inlineStr">
        <is>
          <t>Татнефть</t>
        </is>
      </c>
      <c r="H2703" s="131" t="n"/>
      <c r="I2703" s="637" t="inlineStr">
        <is>
          <t>189 (HOR)</t>
        </is>
      </c>
      <c r="J2703" s="637" t="inlineStr">
        <is>
          <t>TATN_189</t>
        </is>
      </c>
      <c r="K2703" s="640" t="n">
        <v>2</v>
      </c>
      <c r="L2703" s="640" t="n">
        <v>0</v>
      </c>
      <c r="M2703" s="640" t="inlineStr">
        <is>
          <t>Samsung 43" горизонтальный</t>
        </is>
      </c>
      <c r="N2703" s="640" t="n"/>
      <c r="O2703" s="640">
        <f>IF(AND(N2703=1,L2703=1),K2703,"")</f>
        <v/>
      </c>
      <c r="P2703" s="642" t="inlineStr">
        <is>
          <t>МКАД, 39-й км внутреннее кольцо</t>
        </is>
      </c>
      <c r="Q2703" s="640" t="inlineStr">
        <is>
          <t>55.597869</t>
        </is>
      </c>
      <c r="R2703" s="422" t="inlineStr">
        <is>
          <t>37.509931</t>
        </is>
      </c>
      <c r="X2703" s="1" t="n"/>
      <c r="Y2703" s="1" t="n"/>
      <c r="Z2703" s="1" t="n"/>
    </row>
    <row r="2704" hidden="1" ht="16.05" customHeight="1">
      <c r="A2704" s="125" t="n">
        <v>3322</v>
      </c>
      <c r="B2704" s="791" t="n"/>
      <c r="C2704" s="130" t="inlineStr">
        <is>
          <t>Москва</t>
        </is>
      </c>
      <c r="D2704" s="130" t="inlineStr">
        <is>
          <t>Московская область</t>
        </is>
      </c>
      <c r="E2704" s="130" t="inlineStr">
        <is>
          <t>М3</t>
        </is>
      </c>
      <c r="F2704" s="130" t="inlineStr">
        <is>
          <t>АЗС</t>
        </is>
      </c>
      <c r="G2704" s="130" t="inlineStr">
        <is>
          <t>Татнефть</t>
        </is>
      </c>
      <c r="H2704" s="131" t="n"/>
      <c r="I2704" s="637" t="inlineStr">
        <is>
          <t>268 (HOR)</t>
        </is>
      </c>
      <c r="J2704" s="637" t="inlineStr">
        <is>
          <t>TATN_268</t>
        </is>
      </c>
      <c r="K2704" s="640" t="n">
        <v>2</v>
      </c>
      <c r="L2704" s="640" t="n">
        <v>0</v>
      </c>
      <c r="M2704" s="640" t="inlineStr">
        <is>
          <t>Samsung 43" горизонтальный</t>
        </is>
      </c>
      <c r="N2704" s="640" t="n"/>
      <c r="O2704" s="640">
        <f>IF(AND(N2704=1,L2704=1),K2704,"")</f>
        <v/>
      </c>
      <c r="P2704" s="642" t="inlineStr">
        <is>
          <t>МО, Наро-Фоминский р-н,16 км Боровского шоссе</t>
        </is>
      </c>
      <c r="Q2704" s="640" t="inlineStr">
        <is>
          <t>55.59321</t>
        </is>
      </c>
      <c r="R2704" s="422" t="inlineStr">
        <is>
          <t>37.236893</t>
        </is>
      </c>
      <c r="X2704" s="1" t="n"/>
      <c r="Y2704" s="1" t="n"/>
      <c r="Z2704" s="1" t="n"/>
    </row>
    <row r="2705" hidden="1" ht="16.05" customHeight="1">
      <c r="A2705" s="125" t="n">
        <v>3323</v>
      </c>
      <c r="B2705" s="791" t="n"/>
      <c r="C2705" s="130" t="inlineStr">
        <is>
          <t>Москва</t>
        </is>
      </c>
      <c r="D2705" s="130" t="inlineStr">
        <is>
          <t>Московская область</t>
        </is>
      </c>
      <c r="E2705" s="130" t="inlineStr">
        <is>
          <t>М2</t>
        </is>
      </c>
      <c r="F2705" s="130" t="inlineStr">
        <is>
          <t>АЗС</t>
        </is>
      </c>
      <c r="G2705" s="130" t="inlineStr">
        <is>
          <t>Татнефть</t>
        </is>
      </c>
      <c r="H2705" s="131" t="n"/>
      <c r="I2705" s="637" t="inlineStr">
        <is>
          <t>29 (HOR)</t>
        </is>
      </c>
      <c r="J2705" s="637" t="inlineStr">
        <is>
          <t>TATN_029</t>
        </is>
      </c>
      <c r="K2705" s="640" t="n">
        <v>1</v>
      </c>
      <c r="L2705" s="640" t="n">
        <v>0</v>
      </c>
      <c r="M2705" s="640" t="inlineStr">
        <is>
          <t>Samsung 43" горизонтальный</t>
        </is>
      </c>
      <c r="N2705" s="640" t="n"/>
      <c r="O2705" s="640">
        <f>IF(AND(N2705=1,L2705=1),K2705,"")</f>
        <v/>
      </c>
      <c r="P2705" s="642" t="inlineStr">
        <is>
          <t>МО, Ленинский р-н, 21км Варшавского шоссе</t>
        </is>
      </c>
      <c r="Q2705" s="640" t="inlineStr">
        <is>
          <t>55.57217</t>
        </is>
      </c>
      <c r="R2705" s="422" t="inlineStr">
        <is>
          <t>37.599739</t>
        </is>
      </c>
      <c r="X2705" s="1" t="n"/>
      <c r="Y2705" s="1" t="n"/>
      <c r="Z2705" s="1" t="n"/>
    </row>
    <row r="2706" hidden="1" ht="16.05" customHeight="1">
      <c r="A2706" s="125" t="n">
        <v>3324</v>
      </c>
      <c r="B2706" s="791" t="n"/>
      <c r="C2706" s="130" t="inlineStr">
        <is>
          <t>Москва</t>
        </is>
      </c>
      <c r="D2706" s="130" t="inlineStr">
        <is>
          <t>Московская область</t>
        </is>
      </c>
      <c r="E2706" s="130" t="inlineStr">
        <is>
          <t>М8</t>
        </is>
      </c>
      <c r="F2706" s="130" t="inlineStr">
        <is>
          <t>АЗС</t>
        </is>
      </c>
      <c r="G2706" s="130" t="inlineStr">
        <is>
          <t>Татнефть</t>
        </is>
      </c>
      <c r="H2706" s="131" t="n"/>
      <c r="I2706" s="637" t="inlineStr">
        <is>
          <t>37 (HOR)</t>
        </is>
      </c>
      <c r="J2706" s="637" t="inlineStr">
        <is>
          <t>TATN_037</t>
        </is>
      </c>
      <c r="K2706" s="640" t="n">
        <v>1</v>
      </c>
      <c r="L2706" s="640" t="n">
        <v>0</v>
      </c>
      <c r="M2706" s="640" t="inlineStr">
        <is>
          <t>Samsung 43" горизонтальный</t>
        </is>
      </c>
      <c r="N2706" s="640" t="n"/>
      <c r="O2706" s="640">
        <f>IF(AND(N2706=1,L2706=1),K2706,"")</f>
        <v/>
      </c>
      <c r="P2706" s="642" t="inlineStr">
        <is>
          <t>МО, Пушкинский р-н, 35км Ярославского шоссе</t>
        </is>
      </c>
      <c r="Q2706" s="640" t="inlineStr">
        <is>
          <t>55.994074</t>
        </is>
      </c>
      <c r="R2706" s="422" t="inlineStr">
        <is>
          <t>37.876045</t>
        </is>
      </c>
      <c r="X2706" s="1" t="n"/>
      <c r="Y2706" s="1" t="n"/>
      <c r="Z2706" s="1" t="n"/>
    </row>
    <row r="2707" hidden="1" ht="16.05" customHeight="1">
      <c r="A2707" s="125" t="n">
        <v>3325</v>
      </c>
      <c r="B2707" s="791" t="n"/>
      <c r="C2707" s="130" t="inlineStr">
        <is>
          <t>Москва</t>
        </is>
      </c>
      <c r="D2707" s="130" t="inlineStr">
        <is>
          <t>Московская область</t>
        </is>
      </c>
      <c r="E2707" s="130" t="inlineStr">
        <is>
          <t>А105</t>
        </is>
      </c>
      <c r="F2707" s="130" t="inlineStr">
        <is>
          <t>АЗС</t>
        </is>
      </c>
      <c r="G2707" s="130" t="inlineStr">
        <is>
          <t>Татнефть</t>
        </is>
      </c>
      <c r="H2707" s="131" t="n"/>
      <c r="I2707" s="637" t="inlineStr">
        <is>
          <t>63 (HOR)</t>
        </is>
      </c>
      <c r="J2707" s="637" t="inlineStr">
        <is>
          <t>TATN_063</t>
        </is>
      </c>
      <c r="K2707" s="640" t="n">
        <v>1</v>
      </c>
      <c r="L2707" s="640" t="n">
        <v>0</v>
      </c>
      <c r="M2707" s="640" t="inlineStr">
        <is>
          <t>Samsung 43" горизонтальный</t>
        </is>
      </c>
      <c r="N2707" s="640" t="n"/>
      <c r="O2707" s="640">
        <f>IF(AND(N2707=1,L2707=1),K2707,"")</f>
        <v/>
      </c>
      <c r="P2707" s="642" t="inlineStr">
        <is>
          <t>МО, Домодедовский р-н, 39км трассы Москва-Домодедово</t>
        </is>
      </c>
      <c r="Q2707" s="640" t="inlineStr">
        <is>
          <t>55.453602</t>
        </is>
      </c>
      <c r="R2707" s="422" t="inlineStr">
        <is>
          <t>37.858084</t>
        </is>
      </c>
      <c r="X2707" s="1" t="n"/>
      <c r="Y2707" s="1" t="n"/>
      <c r="Z2707" s="1" t="n"/>
    </row>
    <row r="2708" hidden="1" ht="16.05" customHeight="1">
      <c r="A2708" s="125" t="n">
        <v>3326</v>
      </c>
      <c r="B2708" s="791" t="n"/>
      <c r="C2708" s="130" t="inlineStr">
        <is>
          <t>Москва</t>
        </is>
      </c>
      <c r="D2708" s="130" t="inlineStr">
        <is>
          <t>Московская область</t>
        </is>
      </c>
      <c r="E2708" s="130" t="inlineStr">
        <is>
          <t>А105</t>
        </is>
      </c>
      <c r="F2708" s="130" t="inlineStr">
        <is>
          <t>АЗС</t>
        </is>
      </c>
      <c r="G2708" s="130" t="inlineStr">
        <is>
          <t>Татнефть</t>
        </is>
      </c>
      <c r="H2708" s="131" t="n"/>
      <c r="I2708" s="637" t="inlineStr">
        <is>
          <t>81 (HOR)</t>
        </is>
      </c>
      <c r="J2708" s="637" t="inlineStr">
        <is>
          <t>TATN_081</t>
        </is>
      </c>
      <c r="K2708" s="640" t="n">
        <v>1</v>
      </c>
      <c r="L2708" s="640" t="n">
        <v>0</v>
      </c>
      <c r="M2708" s="640" t="inlineStr">
        <is>
          <t>Samsung 43" горизонтальный</t>
        </is>
      </c>
      <c r="N2708" s="640" t="n"/>
      <c r="O2708" s="640">
        <f>IF(AND(N2708=1,L2708=1),K2708,"")</f>
        <v/>
      </c>
      <c r="P2708" s="642" t="inlineStr">
        <is>
          <t>МО, Ленинский р-н,  Каширское шоссе, 23км</t>
        </is>
      </c>
      <c r="Q2708" s="640" t="inlineStr">
        <is>
          <t>55.582744</t>
        </is>
      </c>
      <c r="R2708" s="422" t="inlineStr">
        <is>
          <t>37.744417</t>
        </is>
      </c>
      <c r="X2708" s="1" t="n"/>
      <c r="Y2708" s="1" t="n"/>
      <c r="Z2708" s="1" t="n"/>
    </row>
    <row r="2709" hidden="1" ht="16.05" customHeight="1">
      <c r="A2709" s="125" t="n">
        <v>3327</v>
      </c>
      <c r="B2709" s="791" t="n"/>
      <c r="C2709" s="130" t="inlineStr">
        <is>
          <t>Москва</t>
        </is>
      </c>
      <c r="D2709" s="130" t="inlineStr">
        <is>
          <t>Московская область</t>
        </is>
      </c>
      <c r="E2709" s="130" t="inlineStr">
        <is>
          <t>Р104</t>
        </is>
      </c>
      <c r="F2709" s="130" t="inlineStr">
        <is>
          <t>АЗС</t>
        </is>
      </c>
      <c r="G2709" s="130" t="inlineStr">
        <is>
          <t>Татнефть</t>
        </is>
      </c>
      <c r="H2709" s="131" t="n"/>
      <c r="I2709" s="637" t="inlineStr">
        <is>
          <t>145 (HOR)</t>
        </is>
      </c>
      <c r="J2709" s="637" t="inlineStr">
        <is>
          <t>TATN_145</t>
        </is>
      </c>
      <c r="K2709" s="640" t="n">
        <v>1</v>
      </c>
      <c r="L2709" s="640" t="n">
        <v>0</v>
      </c>
      <c r="M2709" s="640" t="inlineStr">
        <is>
          <t>Samsung 43" горизонтальный</t>
        </is>
      </c>
      <c r="N2709" s="640" t="n"/>
      <c r="O2709" s="640">
        <f>IF(AND(N2709=1,L2709=1),K2709,"")</f>
        <v/>
      </c>
      <c r="P2709" s="642" t="inlineStr">
        <is>
          <t>МО, Сергиево-Посадский р-н, Ново-Углическое ш., д.Селково, 31км</t>
        </is>
      </c>
      <c r="Q2709" s="640" t="inlineStr">
        <is>
          <t>56.576716</t>
        </is>
      </c>
      <c r="R2709" s="422" t="inlineStr">
        <is>
          <t>38.149154</t>
        </is>
      </c>
      <c r="X2709" s="1" t="n"/>
      <c r="Y2709" s="1" t="n"/>
      <c r="Z2709" s="1" t="n"/>
    </row>
    <row r="2710" hidden="1" ht="16.05" customHeight="1">
      <c r="A2710" s="125" t="n">
        <v>3328</v>
      </c>
      <c r="B2710" s="791" t="n"/>
      <c r="C2710" s="130" t="inlineStr">
        <is>
          <t>Москва</t>
        </is>
      </c>
      <c r="D2710" s="130" t="inlineStr">
        <is>
          <t>Московская область</t>
        </is>
      </c>
      <c r="E2710" s="130" t="inlineStr">
        <is>
          <t>М2</t>
        </is>
      </c>
      <c r="F2710" s="130" t="inlineStr">
        <is>
          <t>АЗС</t>
        </is>
      </c>
      <c r="G2710" s="130" t="inlineStr">
        <is>
          <t>Татнефть</t>
        </is>
      </c>
      <c r="H2710" s="131" t="n"/>
      <c r="I2710" s="637" t="inlineStr">
        <is>
          <t>158 (HOR)</t>
        </is>
      </c>
      <c r="J2710" s="637" t="inlineStr">
        <is>
          <t>TATN_158</t>
        </is>
      </c>
      <c r="K2710" s="640" t="n">
        <v>3</v>
      </c>
      <c r="L2710" s="640" t="n">
        <v>0</v>
      </c>
      <c r="M2710" s="640" t="inlineStr">
        <is>
          <t>Samsung 43" горизонтальный</t>
        </is>
      </c>
      <c r="N2710" s="640" t="n"/>
      <c r="O2710" s="640">
        <f>IF(AND(N2710=1,L2710=1),K2710,"")</f>
        <v/>
      </c>
      <c r="P2710" s="642" t="inlineStr">
        <is>
          <t>МО, Подольский р-н,Стрелковский с.о.,вблизи д.Спирово, 29 км. а/д"Москва-Крым" (справа)</t>
        </is>
      </c>
      <c r="Q2710" s="640" t="inlineStr">
        <is>
          <t>55.501302</t>
        </is>
      </c>
      <c r="R2710" s="422" t="inlineStr">
        <is>
          <t>37.609224</t>
        </is>
      </c>
      <c r="X2710" s="1" t="n"/>
      <c r="Y2710" s="1" t="n"/>
      <c r="Z2710" s="1" t="n"/>
    </row>
    <row r="2711" hidden="1" ht="16.05" customHeight="1">
      <c r="A2711" s="125" t="n">
        <v>3329</v>
      </c>
      <c r="B2711" s="791" t="n"/>
      <c r="C2711" s="130" t="inlineStr">
        <is>
          <t>Москва</t>
        </is>
      </c>
      <c r="D2711" s="130" t="inlineStr">
        <is>
          <t>Московская область</t>
        </is>
      </c>
      <c r="E2711" s="130" t="inlineStr">
        <is>
          <t>М4</t>
        </is>
      </c>
      <c r="F2711" s="130" t="inlineStr">
        <is>
          <t>АЗС</t>
        </is>
      </c>
      <c r="G2711" s="130" t="inlineStr">
        <is>
          <t>Татнефть</t>
        </is>
      </c>
      <c r="H2711" s="131" t="n"/>
      <c r="I2711" s="637" t="inlineStr">
        <is>
          <t>170 (HOR)</t>
        </is>
      </c>
      <c r="J2711" s="637" t="inlineStr">
        <is>
          <t>TATN_170</t>
        </is>
      </c>
      <c r="K2711" s="640" t="n">
        <v>1</v>
      </c>
      <c r="L2711" s="640" t="n">
        <v>0</v>
      </c>
      <c r="M2711" s="640" t="inlineStr">
        <is>
          <t>Samsung 43" горизонтальный</t>
        </is>
      </c>
      <c r="N2711" s="640" t="n"/>
      <c r="O2711" s="640">
        <f>IF(AND(N2711=1,L2711=1),K2711,"")</f>
        <v/>
      </c>
      <c r="P2711" s="642" t="inlineStr">
        <is>
          <t>МО, г.Домодедово, Объездное шоссе, д.1 (а/д Москва-Дон, 36км)</t>
        </is>
      </c>
      <c r="Q2711" s="640" t="inlineStr">
        <is>
          <t>55.453548</t>
        </is>
      </c>
      <c r="R2711" s="422" t="inlineStr">
        <is>
          <t>37.7811</t>
        </is>
      </c>
      <c r="X2711" s="1" t="n"/>
      <c r="Y2711" s="1" t="n"/>
      <c r="Z2711" s="1" t="n"/>
    </row>
    <row r="2712" hidden="1" ht="16.05" customHeight="1">
      <c r="A2712" s="125" t="n">
        <v>3330</v>
      </c>
      <c r="B2712" s="791" t="n"/>
      <c r="C2712" s="130" t="inlineStr">
        <is>
          <t>Москва</t>
        </is>
      </c>
      <c r="D2712" s="130" t="inlineStr">
        <is>
          <t>Москва</t>
        </is>
      </c>
      <c r="E2712" s="130" t="inlineStr">
        <is>
          <t>ЗАО</t>
        </is>
      </c>
      <c r="F2712" s="130" t="inlineStr">
        <is>
          <t>АЗС</t>
        </is>
      </c>
      <c r="G2712" s="130" t="inlineStr">
        <is>
          <t>Татнефть</t>
        </is>
      </c>
      <c r="H2712" s="131" t="n"/>
      <c r="I2712" s="637" t="inlineStr">
        <is>
          <t>235 (HOR)</t>
        </is>
      </c>
      <c r="J2712" s="637" t="inlineStr">
        <is>
          <t>TATN_235</t>
        </is>
      </c>
      <c r="K2712" s="640" t="n">
        <v>1</v>
      </c>
      <c r="L2712" s="640" t="n">
        <v>0</v>
      </c>
      <c r="M2712" s="640" t="inlineStr">
        <is>
          <t>Samsung 43" горизонтальный</t>
        </is>
      </c>
      <c r="N2712" s="640" t="n"/>
      <c r="O2712" s="640">
        <f>IF(AND(N2712=1,L2712=1),K2712,"")</f>
        <v/>
      </c>
      <c r="P2712" s="642" t="inlineStr">
        <is>
          <t>г. Москва, Кутузовский проспект, владение 72</t>
        </is>
      </c>
      <c r="Q2712" s="640" t="inlineStr">
        <is>
          <t>55.727364</t>
        </is>
      </c>
      <c r="R2712" s="422" t="inlineStr">
        <is>
          <t>37.462236</t>
        </is>
      </c>
      <c r="X2712" s="1" t="n"/>
      <c r="Y2712" s="1" t="n"/>
      <c r="Z2712" s="1" t="n"/>
    </row>
    <row r="2713" hidden="1" ht="16.05" customHeight="1">
      <c r="A2713" s="125" t="n">
        <v>3331</v>
      </c>
      <c r="B2713" s="791" t="n"/>
      <c r="C2713" s="130" t="inlineStr">
        <is>
          <t>Москва</t>
        </is>
      </c>
      <c r="D2713" s="130" t="inlineStr">
        <is>
          <t>Московская область</t>
        </is>
      </c>
      <c r="E2713" s="130" t="inlineStr">
        <is>
          <t>М1</t>
        </is>
      </c>
      <c r="F2713" s="130" t="inlineStr">
        <is>
          <t>АЗС</t>
        </is>
      </c>
      <c r="G2713" s="130" t="inlineStr">
        <is>
          <t>Татнефть</t>
        </is>
      </c>
      <c r="H2713" s="131" t="n"/>
      <c r="I2713" s="637" t="inlineStr">
        <is>
          <t>368 (HOR)</t>
        </is>
      </c>
      <c r="J2713" s="637" t="inlineStr">
        <is>
          <t>TATN_368</t>
        </is>
      </c>
      <c r="K2713" s="640" t="n">
        <v>1</v>
      </c>
      <c r="L2713" s="640" t="n">
        <v>0</v>
      </c>
      <c r="M2713" s="640" t="inlineStr">
        <is>
          <t>Samsung 43" горизонтальный</t>
        </is>
      </c>
      <c r="N2713" s="640" t="n"/>
      <c r="O2713" s="640">
        <f>IF(AND(N2713=1,L2713=1),K2713,"")</f>
        <v/>
      </c>
      <c r="P2713" s="642" t="inlineStr">
        <is>
          <t xml:space="preserve">МО, Минское ш 141 км </t>
        </is>
      </c>
      <c r="Q2713" s="640" t="inlineStr">
        <is>
          <t>55.469562</t>
        </is>
      </c>
      <c r="R2713" s="422" t="inlineStr">
        <is>
          <t>35.525958</t>
        </is>
      </c>
      <c r="X2713" s="1" t="n"/>
      <c r="Y2713" s="1" t="n"/>
      <c r="Z2713" s="1" t="n"/>
    </row>
    <row r="2714" hidden="1" ht="16.05" customHeight="1">
      <c r="A2714" s="125" t="n">
        <v>3336</v>
      </c>
      <c r="B2714" s="791" t="n"/>
      <c r="C2714" s="130" t="inlineStr">
        <is>
          <t>Ставрополь</t>
        </is>
      </c>
      <c r="D2714" s="130" t="inlineStr">
        <is>
          <t>Невинномысск</t>
        </is>
      </c>
      <c r="E2714" s="130" t="n"/>
      <c r="F2714" s="130" t="inlineStr">
        <is>
          <t>АЗС</t>
        </is>
      </c>
      <c r="G2714" s="130" t="inlineStr">
        <is>
          <t>Роснефть</t>
        </is>
      </c>
      <c r="H2714" s="131" t="n"/>
      <c r="I2714" s="637" t="n">
        <v>44</v>
      </c>
      <c r="J2714" s="637" t="inlineStr">
        <is>
          <t>STW_RN_044</t>
        </is>
      </c>
      <c r="K2714" s="640" t="n">
        <v>1</v>
      </c>
      <c r="L2714" s="640" t="n">
        <v>1</v>
      </c>
      <c r="M2714" s="623" t="inlineStr">
        <is>
          <t>Samsung 32" вертикальный</t>
        </is>
      </c>
      <c r="N2714" s="640" t="n"/>
      <c r="O2714" s="640">
        <f>IF(AND(N2714=1,L2714=1),K2714,"")</f>
        <v/>
      </c>
      <c r="P2714" s="642" t="inlineStr">
        <is>
          <t>г. Невинномысск, ул. Менделеева, на 239 км федеральной автодороги «Краснодар-Баку»</t>
        </is>
      </c>
      <c r="Q2714" s="640" t="inlineStr">
        <is>
          <t>44.657988</t>
        </is>
      </c>
      <c r="R2714" s="494" t="inlineStr">
        <is>
          <t>41.914502</t>
        </is>
      </c>
      <c r="U2714" s="436" t="n">
        <v>1</v>
      </c>
      <c r="V2714" s="438">
        <f>IF(AND(N2714=1,U2714=1),C2714,"")</f>
        <v/>
      </c>
      <c r="Z2714" s="1" t="n"/>
    </row>
    <row r="2715" hidden="1" ht="16.05" customHeight="1">
      <c r="A2715" s="125" t="n">
        <v>3333</v>
      </c>
      <c r="B2715" s="791" t="n"/>
      <c r="C2715" s="130" t="inlineStr">
        <is>
          <t>Ростов-на-Дону</t>
        </is>
      </c>
      <c r="D2715" s="130" t="inlineStr">
        <is>
          <t>Ростовская область</t>
        </is>
      </c>
      <c r="E2715" s="130" t="n"/>
      <c r="F2715" s="130" t="inlineStr">
        <is>
          <t>АЗС</t>
        </is>
      </c>
      <c r="G2715" s="130" t="inlineStr">
        <is>
          <t>Татнефть</t>
        </is>
      </c>
      <c r="H2715" s="131" t="n"/>
      <c r="I2715" s="637" t="inlineStr">
        <is>
          <t>579 (HOR)</t>
        </is>
      </c>
      <c r="J2715" s="637" t="inlineStr">
        <is>
          <t>TATN_579</t>
        </is>
      </c>
      <c r="K2715" s="640" t="n">
        <v>1</v>
      </c>
      <c r="L2715" s="640" t="n">
        <v>0</v>
      </c>
      <c r="M2715" s="640" t="inlineStr">
        <is>
          <t>Samsung 43" горизонтальный</t>
        </is>
      </c>
      <c r="N2715" s="640" t="n"/>
      <c r="O2715" s="640">
        <f>IF(AND(N2715=1,L2715=1),K2715,"")</f>
        <v/>
      </c>
      <c r="P2715" s="642" t="inlineStr">
        <is>
          <t>Ростовская область, М4, 987 км, справа, Красносулинский р-н, х. Пушкин</t>
        </is>
      </c>
      <c r="Q2715" s="640" t="inlineStr">
        <is>
          <t>47.823519</t>
        </is>
      </c>
      <c r="R2715" s="422" t="inlineStr">
        <is>
          <t xml:space="preserve">40.176540 </t>
        </is>
      </c>
      <c r="X2715" s="1" t="n"/>
      <c r="Y2715" s="1" t="n"/>
      <c r="Z2715" s="1" t="n"/>
    </row>
    <row r="2716" hidden="1" ht="16.05" customHeight="1">
      <c r="A2716" s="125" t="n">
        <v>3337</v>
      </c>
      <c r="B2716" s="791" t="n"/>
      <c r="C2716" s="130" t="inlineStr">
        <is>
          <t>Ставрополь</t>
        </is>
      </c>
      <c r="D2716" s="130" t="inlineStr">
        <is>
          <t>Невинномысск</t>
        </is>
      </c>
      <c r="E2716" s="130" t="n"/>
      <c r="F2716" s="130" t="inlineStr">
        <is>
          <t>АЗС</t>
        </is>
      </c>
      <c r="G2716" s="130" t="inlineStr">
        <is>
          <t>Роснефть</t>
        </is>
      </c>
      <c r="H2716" s="131" t="n"/>
      <c r="I2716" s="637" t="n">
        <v>45</v>
      </c>
      <c r="J2716" s="637" t="inlineStr">
        <is>
          <t>STW_RN_045</t>
        </is>
      </c>
      <c r="K2716" s="640" t="n">
        <v>1</v>
      </c>
      <c r="L2716" s="640" t="n">
        <v>0</v>
      </c>
      <c r="M2716" s="623" t="inlineStr">
        <is>
          <t>Samsung 32" вертикальный</t>
        </is>
      </c>
      <c r="N2716" s="640" t="n"/>
      <c r="O2716" s="640">
        <f>IF(AND(N2716=1,L2716=1),K2716,"")</f>
        <v/>
      </c>
      <c r="P2716" s="642" t="inlineStr">
        <is>
          <t>г. Невинномысск, ул. Гагарина, район федеральной дороги Кавказ</t>
        </is>
      </c>
      <c r="Q2716" s="640" t="inlineStr">
        <is>
          <t>44.647668</t>
        </is>
      </c>
      <c r="R2716" s="494" t="inlineStr">
        <is>
          <t>41.937605</t>
        </is>
      </c>
      <c r="Z2716" s="1" t="n"/>
    </row>
    <row r="2717" hidden="1" ht="16.05" customHeight="1">
      <c r="A2717" s="125" t="n">
        <v>3338</v>
      </c>
      <c r="B2717" s="791" t="n"/>
      <c r="C2717" s="130" t="inlineStr">
        <is>
          <t>Ставрополь</t>
        </is>
      </c>
      <c r="D2717" s="130" t="inlineStr">
        <is>
          <t>Ставропольский край</t>
        </is>
      </c>
      <c r="E2717" s="130" t="n"/>
      <c r="F2717" s="130" t="inlineStr">
        <is>
          <t>АЗС</t>
        </is>
      </c>
      <c r="G2717" s="130" t="inlineStr">
        <is>
          <t>Роснефть</t>
        </is>
      </c>
      <c r="H2717" s="131" t="n"/>
      <c r="I2717" s="637" t="n">
        <v>46</v>
      </c>
      <c r="J2717" s="637" t="inlineStr">
        <is>
          <t>STW_RN_046</t>
        </is>
      </c>
      <c r="K2717" s="640" t="n">
        <v>1</v>
      </c>
      <c r="L2717" s="640" t="n">
        <v>1</v>
      </c>
      <c r="M2717" s="623" t="inlineStr">
        <is>
          <t>Samsung 32" вертикальный</t>
        </is>
      </c>
      <c r="N2717" s="640" t="n"/>
      <c r="O2717" s="640">
        <f>IF(AND(N2717=1,L2717=1),K2717,"")</f>
        <v/>
      </c>
      <c r="P2717" s="642" t="inlineStr">
        <is>
          <t>Ставропольский край,Андроповский р-н, федеральная дорога Кавказ, 418+600 км</t>
        </is>
      </c>
      <c r="Q2717" s="640" t="inlineStr">
        <is>
          <t>44.488425</t>
        </is>
      </c>
      <c r="R2717" s="494" t="inlineStr">
        <is>
          <t>42.50282</t>
        </is>
      </c>
      <c r="Z2717" s="1" t="n"/>
    </row>
    <row r="2718" hidden="1" ht="16.05" customHeight="1">
      <c r="A2718" s="125" t="n">
        <v>3339</v>
      </c>
      <c r="B2718" s="791" t="n"/>
      <c r="C2718" s="130" t="inlineStr">
        <is>
          <t>Ставрополь</t>
        </is>
      </c>
      <c r="D2718" s="130" t="inlineStr">
        <is>
          <t>Ставропольский край</t>
        </is>
      </c>
      <c r="E2718" s="130" t="n"/>
      <c r="F2718" s="130" t="inlineStr">
        <is>
          <t>АЗС</t>
        </is>
      </c>
      <c r="G2718" s="130" t="inlineStr">
        <is>
          <t>Роснефть</t>
        </is>
      </c>
      <c r="H2718" s="131" t="n"/>
      <c r="I2718" s="637" t="n">
        <v>47</v>
      </c>
      <c r="J2718" s="637" t="inlineStr">
        <is>
          <t>STW_RN_047</t>
        </is>
      </c>
      <c r="K2718" s="640" t="n">
        <v>1</v>
      </c>
      <c r="L2718" s="640" t="n">
        <v>0</v>
      </c>
      <c r="M2718" s="623" t="inlineStr">
        <is>
          <t>Samsung 32" вертикальный</t>
        </is>
      </c>
      <c r="N2718" s="640" t="n"/>
      <c r="O2718" s="640">
        <f>IF(AND(N2718=1,L2718=1),K2718,"")</f>
        <v/>
      </c>
      <c r="P2718" s="642" t="inlineStr">
        <is>
          <t>Ставропольский край, Андроповский р-н, с. Курсавка, а/д М29 'Кавказ' (Ростов-Баку), 289 км, слева</t>
        </is>
      </c>
      <c r="Q2718" s="640" t="inlineStr">
        <is>
          <t>44.489197</t>
        </is>
      </c>
      <c r="R2718" s="494" t="inlineStr">
        <is>
          <t>42.503449</t>
        </is>
      </c>
      <c r="Z2718" s="1" t="n"/>
    </row>
    <row r="2719" hidden="1" ht="16.05" customHeight="1">
      <c r="A2719" s="125" t="n">
        <v>3340</v>
      </c>
      <c r="B2719" s="791" t="n"/>
      <c r="C2719" s="130" t="inlineStr">
        <is>
          <t>Ставрополь</t>
        </is>
      </c>
      <c r="D2719" s="130" t="inlineStr">
        <is>
          <t>Невинномысск</t>
        </is>
      </c>
      <c r="E2719" s="130" t="n"/>
      <c r="F2719" s="130" t="inlineStr">
        <is>
          <t>АЗС</t>
        </is>
      </c>
      <c r="G2719" s="130" t="inlineStr">
        <is>
          <t>Роснефть</t>
        </is>
      </c>
      <c r="H2719" s="131" t="n"/>
      <c r="I2719" s="637" t="n">
        <v>40</v>
      </c>
      <c r="J2719" s="637" t="inlineStr">
        <is>
          <t>STW_RN_040</t>
        </is>
      </c>
      <c r="K2719" s="640" t="n">
        <v>1</v>
      </c>
      <c r="L2719" s="640" t="n">
        <v>1</v>
      </c>
      <c r="M2719" s="623" t="inlineStr">
        <is>
          <t>Samsung 32" вертикальный</t>
        </is>
      </c>
      <c r="N2719" s="640" t="n"/>
      <c r="O2719" s="640">
        <f>IF(AND(N2719=1,L2719=1),K2719,"")</f>
        <v/>
      </c>
      <c r="P2719" s="642" t="inlineStr">
        <is>
          <t>г. Невинномысск,  371 км федеральной автодороги «Кавказ»</t>
        </is>
      </c>
      <c r="Q2719" s="640" t="inlineStr">
        <is>
          <t>44.644238</t>
        </is>
      </c>
      <c r="R2719" s="494" t="inlineStr">
        <is>
          <t>41.949253</t>
        </is>
      </c>
      <c r="Z2719" s="1" t="n"/>
    </row>
    <row r="2720" hidden="1" ht="16.05" customHeight="1">
      <c r="A2720" s="125" t="n">
        <v>3341</v>
      </c>
      <c r="B2720" s="791" t="n"/>
      <c r="C2720" s="130" t="inlineStr">
        <is>
          <t>Ставрополь</t>
        </is>
      </c>
      <c r="D2720" s="130" t="inlineStr">
        <is>
          <t>Ставропольский край</t>
        </is>
      </c>
      <c r="E2720" s="130" t="n"/>
      <c r="F2720" s="130" t="inlineStr">
        <is>
          <t>АЗС</t>
        </is>
      </c>
      <c r="G2720" s="130" t="inlineStr">
        <is>
          <t>Роснефть</t>
        </is>
      </c>
      <c r="H2720" s="131" t="n"/>
      <c r="I2720" s="637" t="n">
        <v>20</v>
      </c>
      <c r="J2720" s="637" t="inlineStr">
        <is>
          <t>STW_RN_020</t>
        </is>
      </c>
      <c r="K2720" s="640" t="n">
        <v>1</v>
      </c>
      <c r="L2720" s="640" t="n">
        <v>0</v>
      </c>
      <c r="M2720" s="623" t="inlineStr">
        <is>
          <t>Samsung 32" вертикальный</t>
        </is>
      </c>
      <c r="N2720" s="640" t="n"/>
      <c r="O2720" s="640">
        <f>IF(AND(N2720=1,L2720=1),K2720,"")</f>
        <v/>
      </c>
      <c r="P2720" s="642" t="inlineStr">
        <is>
          <t>Ставропольский край,Кочубеевский р-н, с. Кочубеевское, ул. Ленина, 272а</t>
        </is>
      </c>
      <c r="Q2720" s="640" t="inlineStr">
        <is>
          <t>44.703896</t>
        </is>
      </c>
      <c r="R2720" s="494" t="inlineStr">
        <is>
          <t>41.812562</t>
        </is>
      </c>
      <c r="Z2720" s="1" t="n"/>
    </row>
    <row r="2721" hidden="1" ht="16.05" customHeight="1">
      <c r="A2721" s="125" t="n">
        <v>3342</v>
      </c>
      <c r="B2721" s="791" t="n"/>
      <c r="C2721" s="130" t="inlineStr">
        <is>
          <t>Краснодар</t>
        </is>
      </c>
      <c r="D2721" s="130" t="inlineStr">
        <is>
          <t>Краснодарский край</t>
        </is>
      </c>
      <c r="E2721" s="130" t="n"/>
      <c r="F2721" s="130" t="inlineStr">
        <is>
          <t>АЗС</t>
        </is>
      </c>
      <c r="G2721" s="130" t="inlineStr">
        <is>
          <t>Роснефть</t>
        </is>
      </c>
      <c r="H2721" s="131" t="n"/>
      <c r="I2721" s="637" t="inlineStr">
        <is>
          <t>RN_11</t>
        </is>
      </c>
      <c r="J2721" s="637" t="inlineStr">
        <is>
          <t>KDR_RN_0011</t>
        </is>
      </c>
      <c r="K2721" s="640" t="n">
        <v>1</v>
      </c>
      <c r="L2721" s="640" t="n">
        <v>1</v>
      </c>
      <c r="M2721" s="623" t="inlineStr">
        <is>
          <t>Samsung 32" вертикальный</t>
        </is>
      </c>
      <c r="N2721" s="640" t="n"/>
      <c r="O2721" s="640">
        <f>IF(AND(N2721=1,L2721=1),K2721,"")</f>
        <v/>
      </c>
      <c r="P2721" s="642" t="inlineStr">
        <is>
          <t>Краснодарский край, Ст. Динская, ул. Железнодорожная, 121-а</t>
        </is>
      </c>
      <c r="Q2721" s="640" t="inlineStr">
        <is>
          <t>45.202154</t>
        </is>
      </c>
      <c r="R2721" s="494" t="inlineStr">
        <is>
          <t>39.237025</t>
        </is>
      </c>
      <c r="Z2721" s="1" t="n"/>
    </row>
    <row r="2722" hidden="1" ht="16.05" customHeight="1">
      <c r="A2722" s="125" t="n">
        <v>3343</v>
      </c>
      <c r="B2722" s="791" t="n"/>
      <c r="C2722" s="130" t="inlineStr">
        <is>
          <t>Краснодар</t>
        </is>
      </c>
      <c r="D2722" s="130" t="inlineStr">
        <is>
          <t>Краснодарский край</t>
        </is>
      </c>
      <c r="E2722" s="130" t="n"/>
      <c r="F2722" s="130" t="inlineStr">
        <is>
          <t>АЗС</t>
        </is>
      </c>
      <c r="G2722" s="130" t="inlineStr">
        <is>
          <t>Роснефть</t>
        </is>
      </c>
      <c r="H2722" s="131" t="n"/>
      <c r="I2722" s="637" t="inlineStr">
        <is>
          <t>RN_74</t>
        </is>
      </c>
      <c r="J2722" s="637" t="inlineStr">
        <is>
          <t>KDR_RN_0074</t>
        </is>
      </c>
      <c r="K2722" s="640" t="n">
        <v>2</v>
      </c>
      <c r="L2722" s="640" t="n">
        <v>1</v>
      </c>
      <c r="M2722" s="623" t="inlineStr">
        <is>
          <t>Samsung 32" вертикальный</t>
        </is>
      </c>
      <c r="N2722" s="640" t="n"/>
      <c r="O2722" s="640">
        <f>IF(AND(N2722=1,L2722=1),K2722,"")</f>
        <v/>
      </c>
      <c r="P2722" s="642" t="inlineStr">
        <is>
          <t>Краснодарский край, Автодорога «Дон»1301км + 600 м справа, ст. Пластуновская</t>
        </is>
      </c>
      <c r="Q2722" s="640" t="inlineStr">
        <is>
          <t>45.307484</t>
        </is>
      </c>
      <c r="R2722" s="494" t="inlineStr">
        <is>
          <t>39.235157</t>
        </is>
      </c>
      <c r="Z2722" s="1" t="n"/>
    </row>
    <row r="2723" hidden="1" ht="16.05" customHeight="1">
      <c r="A2723" s="125" t="n">
        <v>1033</v>
      </c>
      <c r="B2723" s="125" t="n"/>
      <c r="C2723" s="130" t="inlineStr">
        <is>
          <t>Краснодар</t>
        </is>
      </c>
      <c r="D2723" s="130" t="inlineStr">
        <is>
          <t>Краснодар</t>
        </is>
      </c>
      <c r="E2723" s="130" t="n"/>
      <c r="F2723" s="130" t="inlineStr">
        <is>
          <t>АЗС</t>
        </is>
      </c>
      <c r="G2723" s="130" t="inlineStr">
        <is>
          <t>Роснефть</t>
        </is>
      </c>
      <c r="H2723" s="131" t="inlineStr">
        <is>
          <t>143/1</t>
        </is>
      </c>
      <c r="I2723" s="637" t="inlineStr">
        <is>
          <t>RN_143/1</t>
        </is>
      </c>
      <c r="J2723" s="637" t="inlineStr">
        <is>
          <t>KDR_RN_0143_1</t>
        </is>
      </c>
      <c r="K2723" s="640" t="n">
        <v>1</v>
      </c>
      <c r="L2723" s="640" t="n">
        <v>0</v>
      </c>
      <c r="M2723" s="640" t="inlineStr">
        <is>
          <t>Samsung 32" вертикальный</t>
        </is>
      </c>
      <c r="N2723" s="640" t="n"/>
      <c r="O2723" s="640">
        <f>IF(AND(N2723=1,L2723=1),K2723,"")</f>
        <v/>
      </c>
      <c r="P2723" s="642" t="inlineStr">
        <is>
          <t>Краснодар, Карасунский внутригородской округ,  Уральская 214/2</t>
        </is>
      </c>
      <c r="Q2723" s="640" t="inlineStr">
        <is>
          <t>45.042657</t>
        </is>
      </c>
      <c r="R2723" s="422" t="inlineStr">
        <is>
          <t>39.124221</t>
        </is>
      </c>
      <c r="S2723" s="436" t="n"/>
      <c r="T2723" s="436" t="n"/>
      <c r="Z2723" s="1" t="n"/>
    </row>
    <row r="2724" hidden="1" ht="16.05" customHeight="1">
      <c r="A2724" s="125" t="n">
        <v>3344</v>
      </c>
      <c r="B2724" s="791" t="n"/>
      <c r="C2724" s="130" t="inlineStr">
        <is>
          <t>Краснодар</t>
        </is>
      </c>
      <c r="D2724" s="130" t="inlineStr">
        <is>
          <t>Анапа</t>
        </is>
      </c>
      <c r="E2724" s="130" t="n"/>
      <c r="F2724" s="130" t="inlineStr">
        <is>
          <t>АЗС</t>
        </is>
      </c>
      <c r="G2724" s="130" t="inlineStr">
        <is>
          <t>Роснефть</t>
        </is>
      </c>
      <c r="H2724" s="131" t="n"/>
      <c r="I2724" s="637" t="inlineStr">
        <is>
          <t>RN_117</t>
        </is>
      </c>
      <c r="J2724" s="637" t="inlineStr">
        <is>
          <t>KDR_RN_0117</t>
        </is>
      </c>
      <c r="K2724" s="640" t="n">
        <v>2</v>
      </c>
      <c r="L2724" s="640" t="n">
        <v>1</v>
      </c>
      <c r="M2724" s="623" t="inlineStr">
        <is>
          <t>Samsung 32" вертикальный</t>
        </is>
      </c>
      <c r="N2724" s="640" t="n"/>
      <c r="O2724" s="640">
        <f>IF(AND(N2724=1,L2724=1),K2724,"")</f>
        <v/>
      </c>
      <c r="P2724" s="642" t="inlineStr">
        <is>
          <t>г. Анапа, ст. Гостагаевская, ул. Советская, 28, а/д "Андреева Гора-Варениковская-Анапа", км 31+340 (слева)</t>
        </is>
      </c>
      <c r="Q2724" s="640" t="inlineStr">
        <is>
          <t>45.025183</t>
        </is>
      </c>
      <c r="R2724" s="494" t="inlineStr">
        <is>
          <t>37.474894</t>
        </is>
      </c>
      <c r="Z2724" s="1" t="n"/>
    </row>
    <row r="2725" hidden="1" ht="16.05" customHeight="1">
      <c r="A2725" s="125" t="n">
        <v>3345</v>
      </c>
      <c r="B2725" s="791" t="n"/>
      <c r="C2725" s="130" t="inlineStr">
        <is>
          <t>Краснодар</t>
        </is>
      </c>
      <c r="D2725" s="130" t="inlineStr">
        <is>
          <t>Анапа</t>
        </is>
      </c>
      <c r="E2725" s="130" t="n"/>
      <c r="F2725" s="130" t="inlineStr">
        <is>
          <t>АЗС</t>
        </is>
      </c>
      <c r="G2725" s="130" t="inlineStr">
        <is>
          <t>Роснефть</t>
        </is>
      </c>
      <c r="H2725" s="131" t="n"/>
      <c r="I2725" s="637" t="inlineStr">
        <is>
          <t>RN_270</t>
        </is>
      </c>
      <c r="J2725" s="637" t="inlineStr">
        <is>
          <t>KDR_RN_0270</t>
        </is>
      </c>
      <c r="K2725" s="640" t="n">
        <v>1</v>
      </c>
      <c r="L2725" s="640" t="n">
        <v>1</v>
      </c>
      <c r="M2725" s="623" t="inlineStr">
        <is>
          <t>Samsung 32" вертикальный</t>
        </is>
      </c>
      <c r="N2725" s="640" t="n"/>
      <c r="O2725" s="640">
        <f>IF(AND(N2725=1,L2725=1),K2725,"")</f>
        <v/>
      </c>
      <c r="P2725" s="642" t="inlineStr">
        <is>
          <t>г.Анапа, ш.Симферопольское, 33</t>
        </is>
      </c>
      <c r="Q2725" s="640" t="inlineStr">
        <is>
          <t>44.948218</t>
        </is>
      </c>
      <c r="R2725" s="494" t="inlineStr">
        <is>
          <t>37.318074</t>
        </is>
      </c>
      <c r="Z2725" s="1" t="n"/>
    </row>
    <row r="2726" hidden="1" ht="16.05" customHeight="1">
      <c r="A2726" s="125" t="n">
        <v>3346</v>
      </c>
      <c r="B2726" s="791" t="n"/>
      <c r="C2726" s="130" t="inlineStr">
        <is>
          <t>Краснодар</t>
        </is>
      </c>
      <c r="D2726" s="130" t="inlineStr">
        <is>
          <t>Анапа</t>
        </is>
      </c>
      <c r="E2726" s="130" t="n"/>
      <c r="F2726" s="130" t="inlineStr">
        <is>
          <t>АЗС</t>
        </is>
      </c>
      <c r="G2726" s="130" t="inlineStr">
        <is>
          <t>Роснефть</t>
        </is>
      </c>
      <c r="H2726" s="131" t="n"/>
      <c r="I2726" s="637" t="inlineStr">
        <is>
          <t>RN_236</t>
        </is>
      </c>
      <c r="J2726" s="637" t="inlineStr">
        <is>
          <t>KDR_RN_0236</t>
        </is>
      </c>
      <c r="K2726" s="640" t="n">
        <v>1</v>
      </c>
      <c r="L2726" s="640" t="n">
        <v>1</v>
      </c>
      <c r="M2726" s="623" t="inlineStr">
        <is>
          <t>Samsung 32" вертикальный</t>
        </is>
      </c>
      <c r="N2726" s="640" t="n"/>
      <c r="O2726" s="640">
        <f>IF(AND(N2726=1,L2726=1),K2726,"")</f>
        <v/>
      </c>
      <c r="P2726" s="642" t="inlineStr">
        <is>
          <t>г.Анапа, п.Витязево (Черноморская улица, 1)</t>
        </is>
      </c>
      <c r="Q2726" s="640" t="inlineStr">
        <is>
          <t>45.001435</t>
        </is>
      </c>
      <c r="R2726" s="494" t="inlineStr">
        <is>
          <t>37.2924</t>
        </is>
      </c>
      <c r="Z2726" s="1" t="n"/>
    </row>
    <row r="2727" hidden="1" ht="16.05" customHeight="1">
      <c r="A2727" s="125" t="n">
        <v>3347</v>
      </c>
      <c r="B2727" s="791" t="n"/>
      <c r="C2727" s="130" t="inlineStr">
        <is>
          <t>Краснодар</t>
        </is>
      </c>
      <c r="D2727" s="130" t="inlineStr">
        <is>
          <t>Анапа</t>
        </is>
      </c>
      <c r="E2727" s="130" t="n"/>
      <c r="F2727" s="130" t="inlineStr">
        <is>
          <t>АЗС</t>
        </is>
      </c>
      <c r="G2727" s="130" t="inlineStr">
        <is>
          <t>Роснефть</t>
        </is>
      </c>
      <c r="H2727" s="131" t="n"/>
      <c r="I2727" s="637" t="inlineStr">
        <is>
          <t>RN_40</t>
        </is>
      </c>
      <c r="J2727" s="637" t="inlineStr">
        <is>
          <t>KDR_RN_0040</t>
        </is>
      </c>
      <c r="K2727" s="640" t="n">
        <v>1</v>
      </c>
      <c r="L2727" s="640" t="n">
        <v>0</v>
      </c>
      <c r="M2727" s="623" t="inlineStr">
        <is>
          <t>Samsung 32" вертикальный</t>
        </is>
      </c>
      <c r="N2727" s="640" t="n"/>
      <c r="O2727" s="640">
        <f>IF(AND(N2727=1,L2727=1),K2727,"")</f>
        <v/>
      </c>
      <c r="P2727" s="642" t="inlineStr">
        <is>
          <t>г. Анапа, Су-Псехское шоссе, 4 (а/д "Симферополь-Новороссийск", км 315), а/д "Анапа-Сукко", км 0+800 (справа)</t>
        </is>
      </c>
      <c r="Q2727" s="640" t="inlineStr">
        <is>
          <t>44.879814</t>
        </is>
      </c>
      <c r="R2727" s="494" t="inlineStr">
        <is>
          <t>37.336871</t>
        </is>
      </c>
      <c r="Z2727" s="1" t="n"/>
    </row>
    <row r="2728" hidden="1" ht="16.05" customHeight="1">
      <c r="A2728" s="125" t="n">
        <v>3348</v>
      </c>
      <c r="B2728" s="791" t="n"/>
      <c r="C2728" s="130" t="inlineStr">
        <is>
          <t>Краснодар</t>
        </is>
      </c>
      <c r="D2728" s="130" t="inlineStr">
        <is>
          <t>Анапа</t>
        </is>
      </c>
      <c r="E2728" s="130" t="n"/>
      <c r="F2728" s="130" t="inlineStr">
        <is>
          <t>АЗС</t>
        </is>
      </c>
      <c r="G2728" s="130" t="inlineStr">
        <is>
          <t>Роснефть</t>
        </is>
      </c>
      <c r="H2728" s="131" t="n"/>
      <c r="I2728" s="637" t="inlineStr">
        <is>
          <t>RN_58</t>
        </is>
      </c>
      <c r="J2728" s="637" t="inlineStr">
        <is>
          <t>KDR_RN_0058</t>
        </is>
      </c>
      <c r="K2728" s="640" t="n">
        <v>1</v>
      </c>
      <c r="L2728" s="640" t="n">
        <v>1</v>
      </c>
      <c r="M2728" s="623" t="inlineStr">
        <is>
          <t>Samsung 32" вертикальный</t>
        </is>
      </c>
      <c r="N2728" s="640" t="n"/>
      <c r="O2728" s="640">
        <f>IF(AND(N2728=1,L2728=1),K2728,"")</f>
        <v/>
      </c>
      <c r="P2728" s="642" t="inlineStr">
        <is>
          <t>г.Анапа, Анапское шоссе, 2</t>
        </is>
      </c>
      <c r="Q2728" s="640" t="inlineStr">
        <is>
          <t>44.898643</t>
        </is>
      </c>
      <c r="R2728" s="494" t="inlineStr">
        <is>
          <t>37.344431</t>
        </is>
      </c>
      <c r="Z2728" s="1" t="n"/>
    </row>
    <row r="2729" hidden="1" ht="16.05" customHeight="1">
      <c r="A2729" s="125" t="n">
        <v>3349</v>
      </c>
      <c r="B2729" s="791" t="n"/>
      <c r="C2729" s="130" t="inlineStr">
        <is>
          <t>Краснодар</t>
        </is>
      </c>
      <c r="D2729" s="130" t="inlineStr">
        <is>
          <t>Геленджик</t>
        </is>
      </c>
      <c r="E2729" s="130" t="n"/>
      <c r="F2729" s="130" t="inlineStr">
        <is>
          <t>АЗС</t>
        </is>
      </c>
      <c r="G2729" s="130" t="inlineStr">
        <is>
          <t>Роснефть</t>
        </is>
      </c>
      <c r="H2729" s="131" t="n"/>
      <c r="I2729" s="637" t="inlineStr">
        <is>
          <t>RN_150</t>
        </is>
      </c>
      <c r="J2729" s="637" t="inlineStr">
        <is>
          <t>KDR_RN_0150</t>
        </is>
      </c>
      <c r="K2729" s="640" t="n">
        <v>1</v>
      </c>
      <c r="L2729" s="640" t="n">
        <v>1</v>
      </c>
      <c r="M2729" s="623" t="inlineStr">
        <is>
          <t>Samsung 32" вертикальный</t>
        </is>
      </c>
      <c r="N2729" s="640" t="n"/>
      <c r="O2729" s="640">
        <f>IF(AND(N2729=1,L2729=1),K2729,"")</f>
        <v/>
      </c>
      <c r="P2729" s="642" t="inlineStr">
        <is>
          <t xml:space="preserve">г.Геленджик ФАД М-4 «Дон» 1513км+850м (справа) </t>
        </is>
      </c>
      <c r="Q2729" s="640" t="inlineStr">
        <is>
          <t>44.598757</t>
        </is>
      </c>
      <c r="R2729" s="494" t="inlineStr">
        <is>
          <t>38.041681</t>
        </is>
      </c>
      <c r="Z2729" s="1" t="n"/>
    </row>
    <row r="2730" hidden="1" ht="16.05" customHeight="1">
      <c r="A2730" s="125" t="n">
        <v>3350</v>
      </c>
      <c r="B2730" s="791" t="n"/>
      <c r="C2730" s="130" t="inlineStr">
        <is>
          <t>Краснодар</t>
        </is>
      </c>
      <c r="D2730" s="130" t="inlineStr">
        <is>
          <t>Краснодарский край</t>
        </is>
      </c>
      <c r="E2730" s="130" t="n"/>
      <c r="F2730" s="130" t="inlineStr">
        <is>
          <t>АЗС</t>
        </is>
      </c>
      <c r="G2730" s="130" t="inlineStr">
        <is>
          <t>Роснефть</t>
        </is>
      </c>
      <c r="H2730" s="131" t="n"/>
      <c r="I2730" s="637" t="inlineStr">
        <is>
          <t>RN_4</t>
        </is>
      </c>
      <c r="J2730" s="637" t="inlineStr">
        <is>
          <t>KDR_RN_0004</t>
        </is>
      </c>
      <c r="K2730" s="640" t="n">
        <v>1</v>
      </c>
      <c r="L2730" s="640" t="n">
        <v>1</v>
      </c>
      <c r="M2730" s="623" t="inlineStr">
        <is>
          <t>Samsung 32" вертикальный</t>
        </is>
      </c>
      <c r="N2730" s="640" t="n"/>
      <c r="O2730" s="640">
        <f>IF(AND(N2730=1,L2730=1),K2730,"")</f>
        <v/>
      </c>
      <c r="P2730" s="642" t="inlineStr">
        <is>
          <t>Краснодарский край,Туапсинский район пгт.Новомихайловский, ул. Мира, 1/2</t>
        </is>
      </c>
      <c r="Q2730" s="640" t="inlineStr">
        <is>
          <t>44.256574</t>
        </is>
      </c>
      <c r="R2730" s="494" t="inlineStr">
        <is>
          <t>38.867937</t>
        </is>
      </c>
      <c r="Z2730" s="1" t="n"/>
    </row>
    <row r="2731" hidden="1" ht="16.05" customHeight="1">
      <c r="A2731" s="125" t="n">
        <v>3351</v>
      </c>
      <c r="B2731" s="791" t="n"/>
      <c r="C2731" s="130" t="inlineStr">
        <is>
          <t>Краснодар</t>
        </is>
      </c>
      <c r="D2731" s="130" t="inlineStr">
        <is>
          <t>Сочи</t>
        </is>
      </c>
      <c r="E2731" s="130" t="n"/>
      <c r="F2731" s="130" t="inlineStr">
        <is>
          <t>АЗС</t>
        </is>
      </c>
      <c r="G2731" s="130" t="inlineStr">
        <is>
          <t>Роснефть</t>
        </is>
      </c>
      <c r="H2731" s="131" t="n"/>
      <c r="I2731" s="637" t="inlineStr">
        <is>
          <t>RN_148</t>
        </is>
      </c>
      <c r="J2731" s="637" t="inlineStr">
        <is>
          <t>KDR_RN_0148</t>
        </is>
      </c>
      <c r="K2731" s="640" t="n">
        <v>1</v>
      </c>
      <c r="L2731" s="640" t="n">
        <v>1</v>
      </c>
      <c r="M2731" s="623" t="inlineStr">
        <is>
          <t>Samsung 32" вертикальный</t>
        </is>
      </c>
      <c r="N2731" s="640" t="n"/>
      <c r="O2731" s="640">
        <f>IF(AND(N2731=1,L2731=1),K2731,"")</f>
        <v/>
      </c>
      <c r="P2731" s="642" t="inlineStr">
        <is>
          <t>г.Сочи, Хостинский р-н, ул.Тепличная (Транспортная улица, 69А)</t>
        </is>
      </c>
      <c r="Q2731" s="640" t="inlineStr">
        <is>
          <t>43.600756</t>
        </is>
      </c>
      <c r="R2731" s="494" t="inlineStr">
        <is>
          <t>39.760316</t>
        </is>
      </c>
      <c r="Z2731" s="1" t="n"/>
    </row>
    <row r="2732" hidden="1" ht="16.05" customHeight="1">
      <c r="A2732" s="125" t="n">
        <v>1045</v>
      </c>
      <c r="B2732" s="125" t="n"/>
      <c r="C2732" s="130" t="inlineStr">
        <is>
          <t>Краснодар</t>
        </is>
      </c>
      <c r="D2732" s="130" t="inlineStr">
        <is>
          <t>Сочи</t>
        </is>
      </c>
      <c r="E2732" s="130" t="n"/>
      <c r="F2732" s="130" t="inlineStr">
        <is>
          <t>АЗС</t>
        </is>
      </c>
      <c r="G2732" s="130" t="inlineStr">
        <is>
          <t>Роснефть</t>
        </is>
      </c>
      <c r="H2732" s="131" t="n">
        <v>155</v>
      </c>
      <c r="I2732" s="637" t="inlineStr">
        <is>
          <t>RN_155</t>
        </is>
      </c>
      <c r="J2732" s="637" t="inlineStr">
        <is>
          <t>KDR_RN_0155</t>
        </is>
      </c>
      <c r="K2732" s="640" t="n">
        <v>2</v>
      </c>
      <c r="L2732" s="640" t="n">
        <v>0</v>
      </c>
      <c r="M2732" s="640" t="inlineStr">
        <is>
          <t>Samsung 32" вертикальный</t>
        </is>
      </c>
      <c r="N2732" s="640" t="n"/>
      <c r="O2732" s="640">
        <f>IF(AND(N2732=1,L2732=1),K2732,"")</f>
        <v/>
      </c>
      <c r="P2732" s="642" t="inlineStr">
        <is>
          <t>Краснодарский край, г. Сочи, а/д Адлер - Красная поляна</t>
        </is>
      </c>
      <c r="Q2732" s="640" t="inlineStr">
        <is>
          <t>43.433238</t>
        </is>
      </c>
      <c r="R2732" s="422" t="inlineStr">
        <is>
          <t>39.951791</t>
        </is>
      </c>
      <c r="S2732" s="436" t="n"/>
      <c r="T2732" s="436" t="n"/>
      <c r="Z2732" s="1" t="n"/>
    </row>
    <row r="2733" hidden="1" ht="16.05" customHeight="1">
      <c r="A2733" s="125" t="n">
        <v>3352</v>
      </c>
      <c r="B2733" s="791" t="n"/>
      <c r="C2733" s="130" t="inlineStr">
        <is>
          <t>Краснодар</t>
        </is>
      </c>
      <c r="D2733" s="130" t="inlineStr">
        <is>
          <t>Сочи</t>
        </is>
      </c>
      <c r="E2733" s="130" t="n"/>
      <c r="F2733" s="130" t="inlineStr">
        <is>
          <t>АЗС</t>
        </is>
      </c>
      <c r="G2733" s="130" t="inlineStr">
        <is>
          <t>Роснефть</t>
        </is>
      </c>
      <c r="H2733" s="131" t="n"/>
      <c r="I2733" s="637" t="inlineStr">
        <is>
          <t>RN_157</t>
        </is>
      </c>
      <c r="J2733" s="637" t="inlineStr">
        <is>
          <t>KDR_RN_0157</t>
        </is>
      </c>
      <c r="K2733" s="640" t="n">
        <v>2</v>
      </c>
      <c r="L2733" s="640" t="n">
        <v>1</v>
      </c>
      <c r="M2733" s="640" t="inlineStr">
        <is>
          <t>Samsung 32" вертикальный</t>
        </is>
      </c>
      <c r="N2733" s="640" t="n"/>
      <c r="O2733" s="640">
        <f>IF(AND(N2733=1,L2733=1),K2733,"")</f>
        <v/>
      </c>
      <c r="P2733" s="642" t="inlineStr">
        <is>
          <t>г. Сочи, Адлерский р-н, ул Урожайная, д. 71Г</t>
        </is>
      </c>
      <c r="Q2733" s="640" t="inlineStr">
        <is>
          <t>43.400888</t>
        </is>
      </c>
      <c r="R2733" s="422" t="inlineStr">
        <is>
          <t>39.998575</t>
        </is>
      </c>
      <c r="Z2733" s="1" t="n"/>
    </row>
    <row r="2734" hidden="1" ht="16.05" customHeight="1">
      <c r="A2734" s="125" t="n">
        <v>3353</v>
      </c>
      <c r="B2734" s="125" t="inlineStr">
        <is>
          <t>WF</t>
        </is>
      </c>
      <c r="C2734" s="130" t="inlineStr">
        <is>
          <t>Москва</t>
        </is>
      </c>
      <c r="D2734" s="130" t="inlineStr">
        <is>
          <t>Москва</t>
        </is>
      </c>
      <c r="E2734" s="130" t="n"/>
      <c r="F2734" s="130" t="inlineStr">
        <is>
          <t>Супермаркет</t>
        </is>
      </c>
      <c r="G2734" s="130" t="inlineStr">
        <is>
          <t>Азбука Вкуса</t>
        </is>
      </c>
      <c r="H2734" s="131" t="n"/>
      <c r="I2734" s="637" t="inlineStr">
        <is>
          <t>160_Daily</t>
        </is>
      </c>
      <c r="J2734" s="637" t="inlineStr">
        <is>
          <t>MSK_D_160</t>
        </is>
      </c>
      <c r="K2734" s="640" t="n">
        <v>1</v>
      </c>
      <c r="L2734" s="640" t="n">
        <v>1</v>
      </c>
      <c r="M2734" s="623" t="inlineStr">
        <is>
          <t>Samsung 43" вертикальный</t>
        </is>
      </c>
      <c r="N2734" s="640" t="n"/>
      <c r="O2734" s="640">
        <f>IF(AND(N2734=1,L2734=1),K2734,"")</f>
        <v/>
      </c>
      <c r="P2734" s="642" t="inlineStr">
        <is>
          <t>г. Москва ул. Верхняя д. 20 корп.1</t>
        </is>
      </c>
      <c r="Q2734" s="640" t="inlineStr">
        <is>
          <t>55.77919</t>
        </is>
      </c>
      <c r="R2734" s="494" t="inlineStr">
        <is>
          <t>37.574309</t>
        </is>
      </c>
      <c r="S2734" s="387" t="n">
        <v>24</v>
      </c>
      <c r="T2734" s="436">
        <f>IF(N2734=1,O2734*S2734,"")</f>
        <v/>
      </c>
      <c r="Z2734" s="1" t="n"/>
    </row>
    <row r="2735" hidden="1" ht="16.05" customHeight="1">
      <c r="A2735" s="125" t="n">
        <v>3354</v>
      </c>
      <c r="B2735" s="791" t="n"/>
      <c r="C2735" s="130" t="inlineStr">
        <is>
          <t>Москва</t>
        </is>
      </c>
      <c r="D2735" s="130" t="inlineStr">
        <is>
          <t>Москва</t>
        </is>
      </c>
      <c r="E2735" s="130" t="inlineStr">
        <is>
          <t>СЗАО</t>
        </is>
      </c>
      <c r="F2735" s="130" t="inlineStr">
        <is>
          <t>АЗС</t>
        </is>
      </c>
      <c r="G2735" s="130" t="inlineStr">
        <is>
          <t>Роснефть</t>
        </is>
      </c>
      <c r="H2735" s="131" t="inlineStr">
        <is>
          <t>MJ104</t>
        </is>
      </c>
      <c r="I2735" s="637" t="inlineStr">
        <is>
          <t>Трикотажная</t>
        </is>
      </c>
      <c r="J2735" s="637" t="inlineStr">
        <is>
          <t>MSK_TNK_Trikotajnaya</t>
        </is>
      </c>
      <c r="K2735" s="640" t="n">
        <v>1</v>
      </c>
      <c r="L2735" s="640" t="n">
        <v>1</v>
      </c>
      <c r="M2735" s="623" t="inlineStr">
        <is>
          <t>Samsung 32" вертикальный</t>
        </is>
      </c>
      <c r="N2735" s="640" t="n"/>
      <c r="O2735" s="640">
        <f>IF(AND(N2735=1,L2735=1),K2735,"")</f>
        <v/>
      </c>
      <c r="P2735" s="642" t="inlineStr">
        <is>
          <t>Трикотажный пр-д, д.3, трасса мкад, 68 км, внутренняя сторона</t>
        </is>
      </c>
      <c r="Q2735" s="640" t="inlineStr">
        <is>
          <t>55.835722</t>
        </is>
      </c>
      <c r="R2735" s="494" t="inlineStr">
        <is>
          <t>37.397037</t>
        </is>
      </c>
      <c r="U2735" s="436" t="n">
        <v>1</v>
      </c>
      <c r="V2735" s="438">
        <f>IF(AND(N2735=1,U2735=1),C2735,"")</f>
        <v/>
      </c>
      <c r="Z2735" s="1" t="n"/>
    </row>
    <row r="2736" hidden="1" ht="16.05" customHeight="1">
      <c r="A2736" s="125" t="n">
        <v>3360</v>
      </c>
      <c r="B2736" s="791" t="n"/>
      <c r="C2736" s="130" t="inlineStr">
        <is>
          <t>Москва</t>
        </is>
      </c>
      <c r="D2736" s="130" t="inlineStr">
        <is>
          <t>Московская область</t>
        </is>
      </c>
      <c r="E2736" s="130" t="inlineStr">
        <is>
          <t>МКАД</t>
        </is>
      </c>
      <c r="F2736" s="130" t="inlineStr">
        <is>
          <t>АЗС</t>
        </is>
      </c>
      <c r="G2736" s="130" t="inlineStr">
        <is>
          <t>Газпромнефть</t>
        </is>
      </c>
      <c r="H2736" s="131" t="n"/>
      <c r="I2736" s="637" t="n">
        <v>11091</v>
      </c>
      <c r="J2736" s="637" t="inlineStr">
        <is>
          <t>GPN_11091</t>
        </is>
      </c>
      <c r="K2736" s="640" t="n">
        <v>3</v>
      </c>
      <c r="L2736" s="640" t="n">
        <v>1</v>
      </c>
      <c r="M2736" s="623" t="n">
        <v>6</v>
      </c>
      <c r="N2736" s="640" t="n"/>
      <c r="O2736" s="640">
        <f>IF(AND(N2736=1,L2736=1),K2736,"")</f>
        <v/>
      </c>
      <c r="P2736" s="642" t="inlineStr">
        <is>
          <t>МО, г. Дзержинский, ул. Алексеевская, д.10</t>
        </is>
      </c>
      <c r="Q2736" s="640" t="inlineStr">
        <is>
          <t>55.626406</t>
        </is>
      </c>
      <c r="R2736" s="494" t="inlineStr">
        <is>
          <t>37.800281</t>
        </is>
      </c>
      <c r="W2736" s="387">
        <f>IF(AND(N2736=1,O2736&lt;&gt;""),C2736,"")</f>
        <v/>
      </c>
      <c r="Z2736" s="1" t="n"/>
    </row>
    <row r="2737" hidden="1" ht="16.05" customHeight="1">
      <c r="A2737" s="125" t="n">
        <v>3355</v>
      </c>
      <c r="B2737" s="160" t="inlineStr">
        <is>
          <t>WF</t>
        </is>
      </c>
      <c r="C2737" s="130" t="inlineStr">
        <is>
          <t>Москва</t>
        </is>
      </c>
      <c r="D2737" s="130" t="inlineStr">
        <is>
          <t>Москва</t>
        </is>
      </c>
      <c r="E2737" s="130" t="n"/>
      <c r="F2737" s="130" t="n"/>
      <c r="G2737" s="130" t="inlineStr">
        <is>
          <t>Metro C&amp;C</t>
        </is>
      </c>
      <c r="H2737" s="131" t="n"/>
      <c r="I2737" s="637" t="n">
        <v>10</v>
      </c>
      <c r="J2737" s="402" t="n">
        <v>10</v>
      </c>
      <c r="K2737" s="640" t="n">
        <v>6</v>
      </c>
      <c r="L2737" s="640" t="n">
        <v>0</v>
      </c>
      <c r="M2737" s="640" t="inlineStr">
        <is>
          <t>Sam 32</t>
        </is>
      </c>
      <c r="N2737" s="640" t="n"/>
      <c r="O2737" s="640">
        <f>IF(AND(N2737=1,L2737=1),K2737,"")</f>
        <v/>
      </c>
      <c r="P2737" s="642" t="inlineStr">
        <is>
          <t xml:space="preserve">г. Москва, Ленинградское шоссе 71 Г </t>
        </is>
      </c>
      <c r="Q2737" s="640" t="n">
        <v>55.875646</v>
      </c>
      <c r="R2737" s="422" t="n">
        <v>37.447225</v>
      </c>
      <c r="T2737" s="387">
        <f>IF(AND(N2737=1,U2737&lt;&gt;1),C2737,"")</f>
        <v/>
      </c>
      <c r="X2737" s="1" t="n"/>
      <c r="Y2737" s="1" t="n"/>
      <c r="Z2737" s="1" t="n"/>
    </row>
    <row r="2738" hidden="1" ht="16.05" customHeight="1">
      <c r="A2738" s="125" t="n">
        <v>3356</v>
      </c>
      <c r="B2738" s="160" t="inlineStr">
        <is>
          <t>WF</t>
        </is>
      </c>
      <c r="C2738" s="130" t="inlineStr">
        <is>
          <t>Москва</t>
        </is>
      </c>
      <c r="D2738" s="130" t="inlineStr">
        <is>
          <t>Москва</t>
        </is>
      </c>
      <c r="E2738" s="130" t="n"/>
      <c r="F2738" s="130" t="n"/>
      <c r="G2738" s="130" t="inlineStr">
        <is>
          <t>Metro C&amp;C</t>
        </is>
      </c>
      <c r="H2738" s="131" t="n"/>
      <c r="I2738" s="637" t="n">
        <v>17</v>
      </c>
      <c r="J2738" s="402" t="n">
        <v>17</v>
      </c>
      <c r="K2738" s="640" t="n">
        <v>15</v>
      </c>
      <c r="L2738" s="640" t="n">
        <v>0</v>
      </c>
      <c r="M2738" s="640" t="inlineStr">
        <is>
          <t>Sam 32</t>
        </is>
      </c>
      <c r="N2738" s="640" t="n"/>
      <c r="O2738" s="640">
        <f>IF(AND(N2738=1,L2738=1),K2738,"")</f>
        <v/>
      </c>
      <c r="P2738" s="642" t="inlineStr">
        <is>
          <t xml:space="preserve">г. Москва, ул. Маршала Прошлякова 14 </t>
        </is>
      </c>
      <c r="Q2738" s="640" t="n">
        <v>55.791127</v>
      </c>
      <c r="R2738" s="422" t="n">
        <v>37.388967</v>
      </c>
      <c r="T2738" s="387">
        <f>IF(AND(N2738=1,U2738&lt;&gt;1),C2738,"")</f>
        <v/>
      </c>
      <c r="X2738" s="1" t="n"/>
      <c r="Y2738" s="1" t="n"/>
      <c r="Z2738" s="1" t="n"/>
    </row>
    <row r="2739" hidden="1" ht="16.05" customHeight="1">
      <c r="A2739" s="125" t="n">
        <v>3357</v>
      </c>
      <c r="B2739" s="791" t="n"/>
      <c r="C2739" s="130" t="inlineStr">
        <is>
          <t>Москва</t>
        </is>
      </c>
      <c r="D2739" s="130" t="inlineStr">
        <is>
          <t>Московская область</t>
        </is>
      </c>
      <c r="E2739" s="130" t="n"/>
      <c r="F2739" s="130" t="n"/>
      <c r="G2739" s="130" t="inlineStr">
        <is>
          <t>Metro C&amp;C</t>
        </is>
      </c>
      <c r="H2739" s="131" t="n"/>
      <c r="I2739" s="637" t="n">
        <v>77</v>
      </c>
      <c r="J2739" s="402" t="n">
        <v>77</v>
      </c>
      <c r="K2739" s="640" t="n">
        <v>15</v>
      </c>
      <c r="L2739" s="640" t="n">
        <v>0</v>
      </c>
      <c r="M2739" s="640" t="inlineStr">
        <is>
          <t>Sam 32</t>
        </is>
      </c>
      <c r="N2739" s="640" t="n"/>
      <c r="O2739" s="640">
        <f>IF(AND(N2739=1,L2739=1),K2739,"")</f>
        <v/>
      </c>
      <c r="P2739" s="642" t="inlineStr">
        <is>
          <t xml:space="preserve">МО, Одинцовский район, Жаворонковское поселение, деревня Ликино, 35 км Минского шоссе </t>
        </is>
      </c>
      <c r="Q2739" s="640" t="n">
        <v>55.624382</v>
      </c>
      <c r="R2739" s="422" t="n">
        <v>37.143841</v>
      </c>
      <c r="T2739" s="387">
        <f>IF(AND(N2739=1,U2739&lt;&gt;1),C2739,"")</f>
        <v/>
      </c>
      <c r="X2739" s="1" t="n"/>
      <c r="Y2739" s="1" t="n"/>
      <c r="Z2739" s="1" t="n"/>
    </row>
    <row r="2740" hidden="1" ht="16.05" customHeight="1">
      <c r="A2740" s="125" t="n">
        <v>3358</v>
      </c>
      <c r="B2740" s="125" t="inlineStr">
        <is>
          <t>WF</t>
        </is>
      </c>
      <c r="C2740" s="130" t="inlineStr">
        <is>
          <t>Москва</t>
        </is>
      </c>
      <c r="D2740" s="130" t="inlineStr">
        <is>
          <t>Москва</t>
        </is>
      </c>
      <c r="E2740" s="130" t="n"/>
      <c r="F2740" s="130" t="inlineStr">
        <is>
          <t>АЗС</t>
        </is>
      </c>
      <c r="G2740" s="130" t="inlineStr">
        <is>
          <t>Лукойл</t>
        </is>
      </c>
      <c r="H2740" s="131" t="n"/>
      <c r="I2740" s="637" t="n">
        <v>77631</v>
      </c>
      <c r="J2740" s="402" t="inlineStr">
        <is>
          <t>MSK_LUK_0631</t>
        </is>
      </c>
      <c r="K2740" s="640" t="n">
        <v>1</v>
      </c>
      <c r="L2740" s="640" t="n">
        <v>0</v>
      </c>
      <c r="M2740" s="640" t="inlineStr">
        <is>
          <t>1 октября</t>
        </is>
      </c>
      <c r="N2740" s="640" t="n"/>
      <c r="O2740" s="640">
        <f>IF(AND(N2740=1,L2740=1),K2740,"")</f>
        <v/>
      </c>
      <c r="P2740" s="642" t="inlineStr">
        <is>
          <t>г. Москва, ул. Косинская Большая, д. 8</t>
        </is>
      </c>
      <c r="Q2740" s="640" t="inlineStr">
        <is>
          <t>55.707573</t>
        </is>
      </c>
      <c r="R2740" s="422" t="inlineStr">
        <is>
          <t>37.853380</t>
        </is>
      </c>
      <c r="S2740" s="438" t="n"/>
      <c r="X2740" s="1" t="n"/>
      <c r="Y2740" s="1" t="n"/>
      <c r="Z2740" s="1" t="n"/>
    </row>
    <row r="2741" hidden="1" ht="16.05" customHeight="1">
      <c r="A2741" s="125" t="n">
        <v>3359</v>
      </c>
      <c r="B2741" s="125" t="inlineStr">
        <is>
          <t>WF</t>
        </is>
      </c>
      <c r="C2741" s="130" t="inlineStr">
        <is>
          <t>Москва</t>
        </is>
      </c>
      <c r="D2741" s="130" t="inlineStr">
        <is>
          <t>Московская область</t>
        </is>
      </c>
      <c r="E2741" s="130" t="inlineStr">
        <is>
          <t>СЗАО</t>
        </is>
      </c>
      <c r="F2741" s="130" t="inlineStr">
        <is>
          <t>АЗС</t>
        </is>
      </c>
      <c r="G2741" s="130" t="inlineStr">
        <is>
          <t>Лукойл</t>
        </is>
      </c>
      <c r="H2741" s="131" t="n"/>
      <c r="I2741" s="637" t="n">
        <v>50266</v>
      </c>
      <c r="J2741" s="402" t="inlineStr">
        <is>
          <t>MSK_LUK_0266</t>
        </is>
      </c>
      <c r="K2741" s="640" t="n">
        <v>1</v>
      </c>
      <c r="L2741" s="640" t="n">
        <v>0</v>
      </c>
      <c r="M2741" s="640" t="inlineStr">
        <is>
          <t>1 октября</t>
        </is>
      </c>
      <c r="N2741" s="640" t="n"/>
      <c r="O2741" s="640">
        <f>IF(AND(N2741=1,L2741=1),K2741,"")</f>
        <v/>
      </c>
      <c r="P2741" s="642" t="inlineStr">
        <is>
          <t>Московская область, Сергиево-Посадский муниципальный район, городское поселение Краснозаводск, д. Рогачево</t>
        </is>
      </c>
      <c r="Q2741" s="640" t="inlineStr">
        <is>
          <t>56.401978</t>
        </is>
      </c>
      <c r="R2741" s="422" t="inlineStr">
        <is>
          <t>38.236621</t>
        </is>
      </c>
      <c r="S2741" s="438" t="n"/>
      <c r="X2741" s="1" t="n"/>
      <c r="Y2741" s="1" t="n"/>
      <c r="Z2741" s="1" t="n"/>
    </row>
    <row r="2742" hidden="1" ht="16.05" customHeight="1">
      <c r="A2742" s="125" t="n">
        <v>3361</v>
      </c>
      <c r="B2742" s="791" t="n"/>
      <c r="C2742" s="130" t="inlineStr">
        <is>
          <t>Москва</t>
        </is>
      </c>
      <c r="D2742" s="130" t="inlineStr">
        <is>
          <t>Московская область</t>
        </is>
      </c>
      <c r="E2742" s="130" t="inlineStr">
        <is>
          <t>МКАД</t>
        </is>
      </c>
      <c r="F2742" s="130" t="inlineStr">
        <is>
          <t>АЗС</t>
        </is>
      </c>
      <c r="G2742" s="130" t="inlineStr">
        <is>
          <t>Газпромнефть</t>
        </is>
      </c>
      <c r="H2742" s="131" t="n"/>
      <c r="I2742" s="637" t="n">
        <v>11092</v>
      </c>
      <c r="J2742" s="637" t="inlineStr">
        <is>
          <t>GPN_11092</t>
        </is>
      </c>
      <c r="K2742" s="640" t="n">
        <v>3</v>
      </c>
      <c r="L2742" s="640" t="n">
        <v>1</v>
      </c>
      <c r="M2742" s="623" t="n">
        <v>6</v>
      </c>
      <c r="N2742" s="640" t="n"/>
      <c r="O2742" s="640">
        <f>IF(AND(N2742=1,L2742=1),K2742,"")</f>
        <v/>
      </c>
      <c r="P2742" s="642" t="inlineStr">
        <is>
          <t>МО, Одинцовский р-н, 64 км. Московской кольцевой автодороги</t>
        </is>
      </c>
      <c r="Q2742" s="640" t="inlineStr">
        <is>
          <t>55.80134</t>
        </is>
      </c>
      <c r="R2742" s="494" t="inlineStr">
        <is>
          <t>37.38289</t>
        </is>
      </c>
      <c r="W2742" s="387">
        <f>IF(AND(N2742=1,O2742&lt;&gt;""),C2742,"")</f>
        <v/>
      </c>
      <c r="Z2742" s="126" t="n"/>
    </row>
    <row r="2743" hidden="1" ht="16.05" customHeight="1">
      <c r="A2743" s="125" t="n">
        <v>3362</v>
      </c>
      <c r="B2743" s="791" t="n"/>
      <c r="C2743" s="130" t="inlineStr">
        <is>
          <t>Москва</t>
        </is>
      </c>
      <c r="D2743" s="130" t="inlineStr">
        <is>
          <t>Москва</t>
        </is>
      </c>
      <c r="E2743" s="130" t="inlineStr">
        <is>
          <t>САО</t>
        </is>
      </c>
      <c r="F2743" s="130" t="inlineStr">
        <is>
          <t>АЗС</t>
        </is>
      </c>
      <c r="G2743" s="130" t="inlineStr">
        <is>
          <t>Газпромнефть</t>
        </is>
      </c>
      <c r="H2743" s="131" t="n"/>
      <c r="I2743" s="637" t="n">
        <v>11109</v>
      </c>
      <c r="J2743" s="637" t="inlineStr">
        <is>
          <t>GPN_11109</t>
        </is>
      </c>
      <c r="K2743" s="640" t="n">
        <v>3</v>
      </c>
      <c r="L2743" s="640" t="n">
        <v>1</v>
      </c>
      <c r="M2743" s="623" t="n">
        <v>6</v>
      </c>
      <c r="N2743" s="640" t="n"/>
      <c r="O2743" s="640">
        <f>IF(AND(N2743=1,L2743=1),K2743,"")</f>
        <v/>
      </c>
      <c r="P2743" s="642" t="inlineStr">
        <is>
          <t>г. Москва, Сущевский вал 15</t>
        </is>
      </c>
      <c r="Q2743" s="640" t="inlineStr">
        <is>
          <t>55.792665</t>
        </is>
      </c>
      <c r="R2743" s="494" t="inlineStr">
        <is>
          <t>37.597199</t>
        </is>
      </c>
      <c r="W2743" s="387">
        <f>IF(AND(N2743=1,O2743&lt;&gt;""),C2743,"")</f>
        <v/>
      </c>
      <c r="Z2743" s="126" t="n"/>
    </row>
    <row r="2744" hidden="1" ht="16.05" customHeight="1">
      <c r="A2744" s="125" t="n">
        <v>3363</v>
      </c>
      <c r="B2744" s="791" t="n"/>
      <c r="C2744" s="130" t="inlineStr">
        <is>
          <t>Москва</t>
        </is>
      </c>
      <c r="D2744" s="130" t="inlineStr">
        <is>
          <t>Москва</t>
        </is>
      </c>
      <c r="E2744" s="130" t="inlineStr">
        <is>
          <t>МКАД</t>
        </is>
      </c>
      <c r="F2744" s="130" t="inlineStr">
        <is>
          <t>АЗС</t>
        </is>
      </c>
      <c r="G2744" s="130" t="inlineStr">
        <is>
          <t>Газпромнефть</t>
        </is>
      </c>
      <c r="H2744" s="131" t="n"/>
      <c r="I2744" s="637" t="n">
        <v>11120</v>
      </c>
      <c r="J2744" s="637" t="inlineStr">
        <is>
          <t>GPN_11120</t>
        </is>
      </c>
      <c r="K2744" s="640" t="n">
        <v>3</v>
      </c>
      <c r="L2744" s="640" t="n">
        <v>1</v>
      </c>
      <c r="M2744" s="623" t="n">
        <v>6</v>
      </c>
      <c r="N2744" s="640" t="n"/>
      <c r="O2744" s="640">
        <f>IF(AND(N2744=1,L2744=1),K2744,"")</f>
        <v/>
      </c>
      <c r="P2744" s="642" t="inlineStr">
        <is>
          <t>Г.Москва,МКАД 43км вл.12Б,стр1.</t>
        </is>
      </c>
      <c r="Q2744" s="640" t="inlineStr">
        <is>
          <t>55.632291</t>
        </is>
      </c>
      <c r="R2744" s="494" t="inlineStr">
        <is>
          <t>37.468533</t>
        </is>
      </c>
      <c r="W2744" s="387">
        <f>IF(AND(N2744=1,O2744&lt;&gt;""),C2744,"")</f>
        <v/>
      </c>
      <c r="Z2744" s="126" t="n"/>
    </row>
    <row r="2745" hidden="1" ht="16.05" customHeight="1">
      <c r="A2745" s="125" t="n">
        <v>3364</v>
      </c>
      <c r="B2745" s="791" t="n"/>
      <c r="C2745" s="130" t="inlineStr">
        <is>
          <t>Москва</t>
        </is>
      </c>
      <c r="D2745" s="130" t="inlineStr">
        <is>
          <t>Москва</t>
        </is>
      </c>
      <c r="E2745" s="130" t="inlineStr">
        <is>
          <t>МКАД</t>
        </is>
      </c>
      <c r="F2745" s="130" t="inlineStr">
        <is>
          <t>АЗС</t>
        </is>
      </c>
      <c r="G2745" s="130" t="inlineStr">
        <is>
          <t>Газпромнефть</t>
        </is>
      </c>
      <c r="H2745" s="131" t="n"/>
      <c r="I2745" s="637" t="n">
        <v>11126</v>
      </c>
      <c r="J2745" s="637" t="inlineStr">
        <is>
          <t>GPN_11126</t>
        </is>
      </c>
      <c r="K2745" s="640" t="n">
        <v>3</v>
      </c>
      <c r="L2745" s="640" t="n">
        <v>1</v>
      </c>
      <c r="M2745" s="623" t="n">
        <v>6</v>
      </c>
      <c r="N2745" s="640" t="n"/>
      <c r="O2745" s="640">
        <f>IF(AND(N2745=1,L2745=1),K2745,"")</f>
        <v/>
      </c>
      <c r="P2745" s="642" t="inlineStr">
        <is>
          <t>г.Москва,МКАД 90км</t>
        </is>
      </c>
      <c r="Q2745" s="640" t="inlineStr">
        <is>
          <t>55.89625</t>
        </is>
      </c>
      <c r="R2745" s="494" t="inlineStr">
        <is>
          <t>37.66177</t>
        </is>
      </c>
      <c r="W2745" s="387">
        <f>IF(AND(N2745=1,O2745&lt;&gt;""),C2745,"")</f>
        <v/>
      </c>
      <c r="Z2745" s="126" t="n"/>
    </row>
    <row r="2746" hidden="1" ht="16.05" customHeight="1">
      <c r="A2746" s="125" t="n">
        <v>3365</v>
      </c>
      <c r="B2746" s="791" t="n"/>
      <c r="C2746" s="130" t="inlineStr">
        <is>
          <t>Москва</t>
        </is>
      </c>
      <c r="D2746" s="130" t="inlineStr">
        <is>
          <t>Москва</t>
        </is>
      </c>
      <c r="E2746" s="130" t="inlineStr">
        <is>
          <t>ЮАО</t>
        </is>
      </c>
      <c r="F2746" s="130" t="inlineStr">
        <is>
          <t>АЗС</t>
        </is>
      </c>
      <c r="G2746" s="130" t="inlineStr">
        <is>
          <t>Газпромнефть</t>
        </is>
      </c>
      <c r="H2746" s="131" t="n"/>
      <c r="I2746" s="637" t="n">
        <v>11135</v>
      </c>
      <c r="J2746" s="637" t="inlineStr">
        <is>
          <t>GPN_11135</t>
        </is>
      </c>
      <c r="K2746" s="640" t="n">
        <v>3</v>
      </c>
      <c r="L2746" s="640" t="n">
        <v>1</v>
      </c>
      <c r="M2746" s="623" t="n">
        <v>6</v>
      </c>
      <c r="N2746" s="640" t="n"/>
      <c r="O2746" s="640">
        <f>IF(AND(N2746=1,L2746=1),K2746,"")</f>
        <v/>
      </c>
      <c r="P2746" s="642" t="inlineStr">
        <is>
          <t>Г.Москва,Варшавское ш.,вл.141Б</t>
        </is>
      </c>
      <c r="Q2746" s="640" t="inlineStr">
        <is>
          <t>55.585169</t>
        </is>
      </c>
      <c r="R2746" s="494" t="inlineStr">
        <is>
          <t>37.599732</t>
        </is>
      </c>
      <c r="W2746" s="387">
        <f>IF(AND(N2746=1,O2746&lt;&gt;""),C2746,"")</f>
        <v/>
      </c>
      <c r="Z2746" s="126" t="n"/>
    </row>
    <row r="2747" hidden="1" ht="16.05" customHeight="1">
      <c r="A2747" s="125" t="n">
        <v>3366</v>
      </c>
      <c r="B2747" s="791" t="n"/>
      <c r="C2747" s="130" t="inlineStr">
        <is>
          <t>Москва</t>
        </is>
      </c>
      <c r="D2747" s="130" t="inlineStr">
        <is>
          <t>Москва</t>
        </is>
      </c>
      <c r="E2747" s="130" t="inlineStr">
        <is>
          <t>М10</t>
        </is>
      </c>
      <c r="F2747" s="130" t="inlineStr">
        <is>
          <t>АЗС</t>
        </is>
      </c>
      <c r="G2747" s="130" t="inlineStr">
        <is>
          <t>Газпромнефть</t>
        </is>
      </c>
      <c r="H2747" s="131" t="n"/>
      <c r="I2747" s="637" t="n">
        <v>12019</v>
      </c>
      <c r="J2747" s="637" t="inlineStr">
        <is>
          <t>GPN_12019</t>
        </is>
      </c>
      <c r="K2747" s="640" t="n">
        <v>3</v>
      </c>
      <c r="L2747" s="640" t="n">
        <v>1</v>
      </c>
      <c r="M2747" s="623" t="n">
        <v>5</v>
      </c>
      <c r="N2747" s="640" t="n"/>
      <c r="O2747" s="640">
        <f>IF(AND(N2747=1,L2747=1),K2747,"")</f>
        <v/>
      </c>
      <c r="P2747" s="642" t="inlineStr">
        <is>
          <t>г.Москва.перечечение Проектируемой маг.№4 и городской магистрали "Район Куркино ул.Свободы".</t>
        </is>
      </c>
      <c r="Q2747" s="640" t="inlineStr">
        <is>
          <t>55.89748</t>
        </is>
      </c>
      <c r="R2747" s="494" t="inlineStr">
        <is>
          <t>37.40067</t>
        </is>
      </c>
      <c r="W2747" s="387">
        <f>IF(AND(N2747=1,O2747&lt;&gt;""),C2747,"")</f>
        <v/>
      </c>
      <c r="Z2747" s="126" t="n"/>
    </row>
    <row r="2748" hidden="1" ht="16.05" customHeight="1">
      <c r="A2748" s="125" t="n">
        <v>3367</v>
      </c>
      <c r="B2748" s="791" t="n"/>
      <c r="C2748" s="130" t="inlineStr">
        <is>
          <t>Москва</t>
        </is>
      </c>
      <c r="D2748" s="130" t="inlineStr">
        <is>
          <t>Московская область</t>
        </is>
      </c>
      <c r="E2748" s="130" t="inlineStr">
        <is>
          <t>М7</t>
        </is>
      </c>
      <c r="F2748" s="130" t="inlineStr">
        <is>
          <t>АЗС</t>
        </is>
      </c>
      <c r="G2748" s="130" t="inlineStr">
        <is>
          <t>Газпромнефть</t>
        </is>
      </c>
      <c r="H2748" s="131" t="n"/>
      <c r="I2748" s="637" t="n">
        <v>12086</v>
      </c>
      <c r="J2748" s="637" t="inlineStr">
        <is>
          <t>GPN_12086</t>
        </is>
      </c>
      <c r="K2748" s="640" t="n">
        <v>3</v>
      </c>
      <c r="L2748" s="640" t="n">
        <v>1</v>
      </c>
      <c r="M2748" s="623" t="n">
        <v>6</v>
      </c>
      <c r="N2748" s="640" t="n"/>
      <c r="O2748" s="640">
        <f>IF(AND(N2748=1,L2748=1),K2748,"")</f>
        <v/>
      </c>
      <c r="P2748" s="642" t="inlineStr">
        <is>
          <t>Ногин.р-он,47км а/д"Москва-НН"</t>
        </is>
      </c>
      <c r="Q2748" s="640" t="inlineStr">
        <is>
          <t>55.83365</t>
        </is>
      </c>
      <c r="R2748" s="422" t="inlineStr">
        <is>
          <t>38.34788</t>
        </is>
      </c>
      <c r="W2748" s="387">
        <f>IF(AND(N2748=1,O2748&lt;&gt;""),C2748,"")</f>
        <v/>
      </c>
      <c r="Z2748" s="126" t="n"/>
    </row>
    <row r="2749" hidden="1" ht="16.05" customHeight="1">
      <c r="A2749" s="125" t="n">
        <v>3368</v>
      </c>
      <c r="B2749" s="791" t="n"/>
      <c r="C2749" s="130" t="inlineStr">
        <is>
          <t>Тюмень</t>
        </is>
      </c>
      <c r="D2749" s="130" t="inlineStr">
        <is>
          <t xml:space="preserve">Тюмень </t>
        </is>
      </c>
      <c r="E2749" s="130" t="n"/>
      <c r="F2749" s="130" t="inlineStr">
        <is>
          <t>АЗС</t>
        </is>
      </c>
      <c r="G2749" s="130" t="inlineStr">
        <is>
          <t>Газпромнефть</t>
        </is>
      </c>
      <c r="H2749" s="131" t="n"/>
      <c r="I2749" s="637" t="n">
        <v>21324</v>
      </c>
      <c r="J2749" s="637" t="inlineStr">
        <is>
          <t>GPN_21324</t>
        </is>
      </c>
      <c r="K2749" s="640" t="n">
        <v>3</v>
      </c>
      <c r="L2749" s="640" t="n">
        <v>1</v>
      </c>
      <c r="M2749" s="623" t="n">
        <v>5</v>
      </c>
      <c r="N2749" s="640" t="n"/>
      <c r="O2749" s="640">
        <f>IF(AND(N2749=1,L2749=1),K2749,"")</f>
        <v/>
      </c>
      <c r="P2749" s="642" t="inlineStr">
        <is>
          <t>Тюм. обл., Тюменский р-он, 14 км а/д Тюмень-Рощино</t>
        </is>
      </c>
      <c r="Q2749" s="640" t="inlineStr">
        <is>
          <t>57.186973</t>
        </is>
      </c>
      <c r="R2749" s="494" t="inlineStr">
        <is>
          <t>65.360869</t>
        </is>
      </c>
      <c r="W2749" s="387">
        <f>IF(AND(N2749=1,O2749&lt;&gt;""),C2749,"")</f>
        <v/>
      </c>
      <c r="Z2749" s="126" t="n"/>
    </row>
    <row r="2750" hidden="1" ht="16.05" customHeight="1">
      <c r="A2750" s="125" t="n">
        <v>3369</v>
      </c>
      <c r="B2750" s="791" t="n"/>
      <c r="C2750" s="130" t="inlineStr">
        <is>
          <t>Санкт-Петербург</t>
        </is>
      </c>
      <c r="D2750" s="130" t="inlineStr">
        <is>
          <t xml:space="preserve">Санкт-Петербург </t>
        </is>
      </c>
      <c r="E2750" s="130" t="n"/>
      <c r="F2750" s="130" t="inlineStr">
        <is>
          <t>АЗС</t>
        </is>
      </c>
      <c r="G2750" s="130" t="inlineStr">
        <is>
          <t>Газпромнефть</t>
        </is>
      </c>
      <c r="H2750" s="131" t="n"/>
      <c r="I2750" s="637" t="n">
        <v>10002</v>
      </c>
      <c r="J2750" s="637" t="inlineStr">
        <is>
          <t>GPN_10002</t>
        </is>
      </c>
      <c r="K2750" s="640" t="n">
        <v>3</v>
      </c>
      <c r="L2750" s="640" t="n">
        <v>1</v>
      </c>
      <c r="M2750" s="623" t="n">
        <v>6</v>
      </c>
      <c r="N2750" s="640" t="n"/>
      <c r="O2750" s="640">
        <f>IF(AND(N2750=1,L2750=1),K2750,"")</f>
        <v/>
      </c>
      <c r="P2750" s="642" t="inlineStr">
        <is>
          <t>Кушелевская дорога, 8</t>
        </is>
      </c>
      <c r="Q2750" s="640" t="inlineStr">
        <is>
          <t>59.988572</t>
        </is>
      </c>
      <c r="R2750" s="494" t="inlineStr">
        <is>
          <t>30.367952</t>
        </is>
      </c>
      <c r="W2750" s="387">
        <f>IF(AND(N2750=1,O2750&lt;&gt;""),C2750,"")</f>
        <v/>
      </c>
      <c r="Z2750" s="126" t="n"/>
    </row>
    <row r="2751" hidden="1" ht="16.05" customHeight="1">
      <c r="A2751" s="125" t="n">
        <v>3370</v>
      </c>
      <c r="B2751" s="791" t="n"/>
      <c r="C2751" s="130" t="inlineStr">
        <is>
          <t>Санкт-Петербург</t>
        </is>
      </c>
      <c r="D2751" s="130" t="inlineStr">
        <is>
          <t xml:space="preserve">Санкт-Петербург </t>
        </is>
      </c>
      <c r="E2751" s="130" t="n"/>
      <c r="F2751" s="130" t="inlineStr">
        <is>
          <t>АЗС</t>
        </is>
      </c>
      <c r="G2751" s="130" t="inlineStr">
        <is>
          <t>Газпромнефть</t>
        </is>
      </c>
      <c r="H2751" s="131" t="n"/>
      <c r="I2751" s="637" t="n">
        <v>10004</v>
      </c>
      <c r="J2751" s="637" t="inlineStr">
        <is>
          <t>GPN_10004</t>
        </is>
      </c>
      <c r="K2751" s="640" t="n">
        <v>3</v>
      </c>
      <c r="L2751" s="640" t="n">
        <v>1</v>
      </c>
      <c r="M2751" s="623" t="n">
        <v>6</v>
      </c>
      <c r="N2751" s="640" t="n"/>
      <c r="O2751" s="640">
        <f>IF(AND(N2751=1,L2751=1),K2751,"")</f>
        <v/>
      </c>
      <c r="P2751" s="642" t="inlineStr">
        <is>
          <t>Лахтинский пр., 149</t>
        </is>
      </c>
      <c r="Q2751" s="640" t="inlineStr">
        <is>
          <t>59.995282</t>
        </is>
      </c>
      <c r="R2751" s="494" t="inlineStr">
        <is>
          <t>30.12397</t>
        </is>
      </c>
      <c r="W2751" s="387">
        <f>IF(AND(N2751=1,O2751&lt;&gt;""),C2751,"")</f>
        <v/>
      </c>
      <c r="Z2751" s="126" t="n"/>
    </row>
    <row r="2752" hidden="1" ht="16.05" customHeight="1">
      <c r="A2752" s="125" t="n">
        <v>3371</v>
      </c>
      <c r="B2752" s="791" t="n"/>
      <c r="C2752" s="130" t="inlineStr">
        <is>
          <t>Санкт-Петербург</t>
        </is>
      </c>
      <c r="D2752" s="130" t="inlineStr">
        <is>
          <t xml:space="preserve">Санкт-Петербург </t>
        </is>
      </c>
      <c r="E2752" s="130" t="n"/>
      <c r="F2752" s="130" t="inlineStr">
        <is>
          <t>АЗС</t>
        </is>
      </c>
      <c r="G2752" s="130" t="inlineStr">
        <is>
          <t>Газпромнефть</t>
        </is>
      </c>
      <c r="H2752" s="131" t="n"/>
      <c r="I2752" s="637" t="n">
        <v>10005</v>
      </c>
      <c r="J2752" s="637" t="inlineStr">
        <is>
          <t>GPN_10005</t>
        </is>
      </c>
      <c r="K2752" s="640" t="n">
        <v>3</v>
      </c>
      <c r="L2752" s="640" t="n">
        <v>1</v>
      </c>
      <c r="M2752" s="623" t="n">
        <v>6</v>
      </c>
      <c r="N2752" s="640" t="n"/>
      <c r="O2752" s="640">
        <f>IF(AND(N2752=1,L2752=1),K2752,"")</f>
        <v/>
      </c>
      <c r="P2752" s="642" t="inlineStr">
        <is>
          <t>Пулковское шоссе, 42</t>
        </is>
      </c>
      <c r="Q2752" s="640" t="inlineStr">
        <is>
          <t>59.816518</t>
        </is>
      </c>
      <c r="R2752" s="494" t="inlineStr">
        <is>
          <t>30.325669</t>
        </is>
      </c>
      <c r="W2752" s="387">
        <f>IF(AND(N2752=1,O2752&lt;&gt;""),C2752,"")</f>
        <v/>
      </c>
      <c r="Z2752" s="126" t="n"/>
    </row>
    <row r="2753" hidden="1" ht="16.05" customHeight="1">
      <c r="A2753" s="125" t="n">
        <v>3372</v>
      </c>
      <c r="B2753" s="791" t="n"/>
      <c r="C2753" s="130" t="inlineStr">
        <is>
          <t>Санкт-Петербург</t>
        </is>
      </c>
      <c r="D2753" s="130" t="inlineStr">
        <is>
          <t xml:space="preserve">Санкт-Петербург </t>
        </is>
      </c>
      <c r="E2753" s="130" t="n"/>
      <c r="F2753" s="130" t="inlineStr">
        <is>
          <t>АЗС</t>
        </is>
      </c>
      <c r="G2753" s="130" t="inlineStr">
        <is>
          <t>Газпромнефть</t>
        </is>
      </c>
      <c r="H2753" s="131" t="n"/>
      <c r="I2753" s="637" t="n">
        <v>10043</v>
      </c>
      <c r="J2753" s="637" t="inlineStr">
        <is>
          <t>GPN_10043</t>
        </is>
      </c>
      <c r="K2753" s="640" t="n">
        <v>3</v>
      </c>
      <c r="L2753" s="640" t="n">
        <v>1</v>
      </c>
      <c r="M2753" s="623" t="n">
        <v>4</v>
      </c>
      <c r="N2753" s="640" t="n"/>
      <c r="O2753" s="640">
        <f>IF(AND(N2753=1,L2753=1),K2753,"")</f>
        <v/>
      </c>
      <c r="P2753" s="642" t="inlineStr">
        <is>
          <t xml:space="preserve">пр.Энгельса, д 173 </t>
        </is>
      </c>
      <c r="Q2753" s="640" t="inlineStr">
        <is>
          <t>60.082777</t>
        </is>
      </c>
      <c r="R2753" s="494" t="inlineStr">
        <is>
          <t>30.360038</t>
        </is>
      </c>
      <c r="W2753" s="387">
        <f>IF(AND(N2753=1,O2753&lt;&gt;""),C2753,"")</f>
        <v/>
      </c>
      <c r="Z2753" s="126" t="n"/>
    </row>
    <row r="2754" hidden="1" ht="16.05" customHeight="1">
      <c r="A2754" s="125" t="n">
        <v>3373</v>
      </c>
      <c r="B2754" s="791" t="n"/>
      <c r="C2754" s="416" t="inlineStr">
        <is>
          <t>Приволжье (Нижний Новгород, Казань)</t>
        </is>
      </c>
      <c r="D2754" s="130" t="inlineStr">
        <is>
          <t>Казань</t>
        </is>
      </c>
      <c r="E2754" s="130" t="n"/>
      <c r="F2754" s="130" t="inlineStr">
        <is>
          <t>АЗС</t>
        </is>
      </c>
      <c r="G2754" s="130" t="inlineStr">
        <is>
          <t>Газпромнефть</t>
        </is>
      </c>
      <c r="H2754" s="131" t="n"/>
      <c r="I2754" s="637" t="n">
        <v>20603</v>
      </c>
      <c r="J2754" s="637" t="inlineStr">
        <is>
          <t>GPN_20603</t>
        </is>
      </c>
      <c r="K2754" s="640" t="n">
        <v>1</v>
      </c>
      <c r="L2754" s="640" t="n">
        <v>1</v>
      </c>
      <c r="M2754" s="623" t="n">
        <v>1</v>
      </c>
      <c r="N2754" s="640" t="n"/>
      <c r="O2754" s="640">
        <f>IF(AND(N2754=1,L2754=1),K2754,"")</f>
        <v/>
      </c>
      <c r="P2754" s="642" t="inlineStr">
        <is>
          <t>Республика Татарстан, Казань, ул. Закиева 12а</t>
        </is>
      </c>
      <c r="Q2754" s="640" t="inlineStr">
        <is>
          <t>55.77572</t>
        </is>
      </c>
      <c r="R2754" s="494" t="inlineStr">
        <is>
          <t>49.23092</t>
        </is>
      </c>
      <c r="W2754" s="387">
        <f>IF(AND(N2754=1,O2754&lt;&gt;""),C2754,"")</f>
        <v/>
      </c>
      <c r="Z2754" s="126" t="n"/>
    </row>
    <row r="2755" hidden="1" ht="35.1" customHeight="1">
      <c r="A2755" s="125" t="n">
        <v>3374</v>
      </c>
      <c r="B2755" s="791" t="n"/>
      <c r="C2755" s="416" t="inlineStr">
        <is>
          <t>Приволжье (Нижний Новгород, Казань)</t>
        </is>
      </c>
      <c r="D2755" s="130" t="inlineStr">
        <is>
          <t>Казань</t>
        </is>
      </c>
      <c r="E2755" s="130" t="n"/>
      <c r="F2755" s="130" t="inlineStr">
        <is>
          <t>АЗС</t>
        </is>
      </c>
      <c r="G2755" s="130" t="inlineStr">
        <is>
          <t>Газпромнефть</t>
        </is>
      </c>
      <c r="H2755" s="131" t="n"/>
      <c r="I2755" s="637" t="n">
        <v>20604</v>
      </c>
      <c r="J2755" s="637" t="inlineStr">
        <is>
          <t>GPN_20604</t>
        </is>
      </c>
      <c r="K2755" s="640" t="n">
        <v>3</v>
      </c>
      <c r="L2755" s="640" t="n">
        <v>1</v>
      </c>
      <c r="M2755" s="623" t="n">
        <v>4</v>
      </c>
      <c r="N2755" s="640" t="n"/>
      <c r="O2755" s="640">
        <f>IF(AND(N2755=1,L2755=1),K2755,"")</f>
        <v/>
      </c>
      <c r="P2755" s="642" t="inlineStr">
        <is>
          <t>Республика Татарстан, г. Казань, ул. Минская 1а</t>
        </is>
      </c>
      <c r="Q2755" s="640" t="inlineStr">
        <is>
          <t>55.77357</t>
        </is>
      </c>
      <c r="R2755" s="494" t="inlineStr">
        <is>
          <t>49.22126</t>
        </is>
      </c>
      <c r="W2755" s="387">
        <f>IF(AND(N2755=1,O2755&lt;&gt;""),C2755,"")</f>
        <v/>
      </c>
      <c r="Z2755" s="126" t="n"/>
    </row>
    <row r="2756" hidden="1" ht="35.1" customHeight="1">
      <c r="A2756" s="125" t="n">
        <v>3375</v>
      </c>
      <c r="B2756" s="791" t="n"/>
      <c r="C2756" s="416" t="inlineStr">
        <is>
          <t>Приволжье (Нижний Новгород, Казань)</t>
        </is>
      </c>
      <c r="D2756" s="130" t="inlineStr">
        <is>
          <t xml:space="preserve">Казань </t>
        </is>
      </c>
      <c r="E2756" s="130" t="n"/>
      <c r="F2756" s="130" t="inlineStr">
        <is>
          <t>АЗС</t>
        </is>
      </c>
      <c r="G2756" s="130" t="inlineStr">
        <is>
          <t>Газпромнефть</t>
        </is>
      </c>
      <c r="H2756" s="131" t="n"/>
      <c r="I2756" s="637" t="n">
        <v>20605</v>
      </c>
      <c r="J2756" s="637" t="inlineStr">
        <is>
          <t>GPN_20605</t>
        </is>
      </c>
      <c r="K2756" s="640" t="n">
        <v>3</v>
      </c>
      <c r="L2756" s="640" t="n">
        <v>1</v>
      </c>
      <c r="M2756" s="623" t="n">
        <v>3</v>
      </c>
      <c r="N2756" s="640" t="n"/>
      <c r="O2756" s="640">
        <f>IF(AND(N2756=1,L2756=1),K2756,"")</f>
        <v/>
      </c>
      <c r="P2756" s="642" t="inlineStr">
        <is>
          <t>Республика Татарстан, г. Казань, ул. Краснококшайская (Краснококшайская улица, 142)</t>
        </is>
      </c>
      <c r="Q2756" s="640" t="inlineStr">
        <is>
          <t>55.81708</t>
        </is>
      </c>
      <c r="R2756" s="494" t="inlineStr">
        <is>
          <t>49.06591</t>
        </is>
      </c>
      <c r="W2756" s="387">
        <f>IF(AND(N2756=1,O2756&lt;&gt;""),C2756,"")</f>
        <v/>
      </c>
      <c r="Z2756" s="126" t="n"/>
    </row>
    <row r="2757" hidden="1" ht="35.1" customHeight="1">
      <c r="A2757" s="125" t="n">
        <v>3376</v>
      </c>
      <c r="B2757" s="791" t="n"/>
      <c r="C2757" s="130" t="inlineStr">
        <is>
          <t>Нижний Новгород</t>
        </is>
      </c>
      <c r="D2757" s="130" t="inlineStr">
        <is>
          <t>Нижегородская обл.</t>
        </is>
      </c>
      <c r="E2757" s="130" t="n"/>
      <c r="F2757" s="130" t="inlineStr">
        <is>
          <t>АЗС</t>
        </is>
      </c>
      <c r="G2757" s="130" t="inlineStr">
        <is>
          <t>Роснефть</t>
        </is>
      </c>
      <c r="H2757" s="131" t="n"/>
      <c r="I2757" s="637" t="n">
        <v>52001</v>
      </c>
      <c r="J2757" s="637" t="inlineStr">
        <is>
          <t>NN_RN_52001</t>
        </is>
      </c>
      <c r="K2757" s="640" t="n">
        <v>1</v>
      </c>
      <c r="L2757" s="640" t="n">
        <v>1</v>
      </c>
      <c r="M2757" s="623" t="inlineStr">
        <is>
          <t>Samsung 32" вертикальный</t>
        </is>
      </c>
      <c r="N2757" s="640" t="n"/>
      <c r="O2757" s="640">
        <f>IF(AND(N2757=1,L2757=1),K2757,"")</f>
        <v/>
      </c>
      <c r="P2757" s="642" t="inlineStr">
        <is>
          <t>Нижегородская обл.Володарский муниципальный район, сельское поселение Ильинский сельсовет, Объезд деревня, автодорога федеральной трассы М-7, 346-й км., сооружение № 2</t>
        </is>
      </c>
      <c r="Q2757" s="640" t="inlineStr">
        <is>
          <t>56.243965</t>
        </is>
      </c>
      <c r="R2757" s="494" t="inlineStr">
        <is>
          <t>42.856912</t>
        </is>
      </c>
      <c r="Z2757" s="126" t="n"/>
    </row>
    <row r="2758" hidden="1" ht="16.05" customHeight="1">
      <c r="A2758" s="125" t="n">
        <v>3377</v>
      </c>
      <c r="B2758" s="791" t="n"/>
      <c r="C2758" s="130" t="inlineStr">
        <is>
          <t>Нижний Новгород</t>
        </is>
      </c>
      <c r="D2758" s="130" t="inlineStr">
        <is>
          <t>Нижегородская обл.</t>
        </is>
      </c>
      <c r="E2758" s="130" t="n"/>
      <c r="F2758" s="130" t="inlineStr">
        <is>
          <t>АЗС</t>
        </is>
      </c>
      <c r="G2758" s="130" t="inlineStr">
        <is>
          <t>Роснефть</t>
        </is>
      </c>
      <c r="H2758" s="131" t="n"/>
      <c r="I2758" s="637" t="n">
        <v>52002</v>
      </c>
      <c r="J2758" s="637" t="inlineStr">
        <is>
          <t>NN_RN_52002</t>
        </is>
      </c>
      <c r="K2758" s="640" t="n">
        <v>1</v>
      </c>
      <c r="L2758" s="640" t="n">
        <v>1</v>
      </c>
      <c r="M2758" s="623" t="inlineStr">
        <is>
          <t>Samsung 32" вертикальный</t>
        </is>
      </c>
      <c r="N2758" s="640" t="n"/>
      <c r="O2758" s="640">
        <f>IF(AND(N2758=1,L2758=1),K2758,"")</f>
        <v/>
      </c>
      <c r="P2758" s="642" t="inlineStr">
        <is>
          <t>Нижегородская обл.Володарский муниципальный район, сельское поселение Ильинский сельсовет, Объезд деревня, автодорога федеральной трассы М-7, 346-й км., сооружение № 1</t>
        </is>
      </c>
      <c r="Q2758" s="640" t="inlineStr">
        <is>
          <t>56.245257</t>
        </is>
      </c>
      <c r="R2758" s="494" t="inlineStr">
        <is>
          <t>42.855667</t>
        </is>
      </c>
      <c r="Z2758" s="1" t="n"/>
    </row>
    <row r="2759" hidden="1" ht="16.05" customHeight="1">
      <c r="A2759" s="125" t="n">
        <v>3378</v>
      </c>
      <c r="B2759" s="791" t="n"/>
      <c r="C2759" s="130" t="inlineStr">
        <is>
          <t>Владимир</t>
        </is>
      </c>
      <c r="D2759" s="130" t="inlineStr">
        <is>
          <t>Владимирская область</t>
        </is>
      </c>
      <c r="E2759" s="130" t="n"/>
      <c r="F2759" s="130" t="inlineStr">
        <is>
          <t>АЗС</t>
        </is>
      </c>
      <c r="G2759" s="130" t="inlineStr">
        <is>
          <t>Роснефть</t>
        </is>
      </c>
      <c r="H2759" s="131" t="n"/>
      <c r="I2759" s="637" t="n">
        <v>33001</v>
      </c>
      <c r="J2759" s="637" t="inlineStr">
        <is>
          <t>VLA_RN_33001</t>
        </is>
      </c>
      <c r="K2759" s="640" t="n">
        <v>1</v>
      </c>
      <c r="L2759" s="640" t="n">
        <v>1</v>
      </c>
      <c r="M2759" s="623" t="inlineStr">
        <is>
          <t>Samsung 32" вертикальный</t>
        </is>
      </c>
      <c r="N2759" s="640" t="n"/>
      <c r="O2759" s="640">
        <f>IF(AND(N2759=1,L2759=1),K2759,"")</f>
        <v/>
      </c>
      <c r="P2759" s="642" t="inlineStr">
        <is>
          <t>Владимирская обл. Собинский муниципальный район, сельское поселение Куриловское, д. Демидово, строение 54а</t>
        </is>
      </c>
      <c r="Q2759" s="640" t="inlineStr">
        <is>
          <t>56.033508</t>
        </is>
      </c>
      <c r="R2759" s="494" t="inlineStr">
        <is>
          <t>40.024268</t>
        </is>
      </c>
      <c r="Z2759" s="1" t="n"/>
    </row>
    <row r="2760" hidden="1" ht="16.05" customHeight="1">
      <c r="A2760" s="125" t="n">
        <v>3379</v>
      </c>
      <c r="B2760" s="791" t="n"/>
      <c r="C2760" s="130" t="inlineStr">
        <is>
          <t>Владимир</t>
        </is>
      </c>
      <c r="D2760" s="130" t="inlineStr">
        <is>
          <t>Владимирская область</t>
        </is>
      </c>
      <c r="E2760" s="130" t="n"/>
      <c r="F2760" s="130" t="inlineStr">
        <is>
          <t>АЗС</t>
        </is>
      </c>
      <c r="G2760" s="130" t="inlineStr">
        <is>
          <t>Роснефть</t>
        </is>
      </c>
      <c r="H2760" s="131" t="n"/>
      <c r="I2760" s="637" t="n">
        <v>33002</v>
      </c>
      <c r="J2760" s="637" t="inlineStr">
        <is>
          <t>VLA_RN_33002</t>
        </is>
      </c>
      <c r="K2760" s="640" t="n">
        <v>1</v>
      </c>
      <c r="L2760" s="640" t="n">
        <v>1</v>
      </c>
      <c r="M2760" s="623" t="inlineStr">
        <is>
          <t>Samsung 32" вертикальный</t>
        </is>
      </c>
      <c r="N2760" s="640" t="n"/>
      <c r="O2760" s="640">
        <f>IF(AND(N2760=1,L2760=1),K2760,"")</f>
        <v/>
      </c>
      <c r="P2760" s="642" t="inlineStr">
        <is>
          <t>Владимирская обл. Собинский муниципальный район, сельское поселение Куриловское, д. Демидово, строение 83</t>
        </is>
      </c>
      <c r="Q2760" s="640" t="inlineStr">
        <is>
          <t>56.034501</t>
        </is>
      </c>
      <c r="R2760" s="494" t="inlineStr">
        <is>
          <t>40.023845</t>
        </is>
      </c>
      <c r="Z2760" s="1" t="n"/>
    </row>
    <row r="2761" hidden="1" ht="16.05" customHeight="1">
      <c r="A2761" s="125" t="n">
        <v>3387</v>
      </c>
      <c r="B2761" s="125" t="inlineStr">
        <is>
          <t>WF</t>
        </is>
      </c>
      <c r="C2761" s="130" t="inlineStr">
        <is>
          <t>Москва</t>
        </is>
      </c>
      <c r="D2761" s="130" t="inlineStr">
        <is>
          <t>Москва</t>
        </is>
      </c>
      <c r="E2761" s="130" t="n"/>
      <c r="F2761" s="130" t="inlineStr">
        <is>
          <t>Супермаркет</t>
        </is>
      </c>
      <c r="G2761" s="130" t="inlineStr">
        <is>
          <t>Азбука Вкуса</t>
        </is>
      </c>
      <c r="H2761" s="131" t="n"/>
      <c r="I2761" s="637" t="inlineStr">
        <is>
          <t>161_Daily</t>
        </is>
      </c>
      <c r="J2761" s="637" t="inlineStr">
        <is>
          <t>MSK_D_161</t>
        </is>
      </c>
      <c r="K2761" s="640" t="n">
        <v>3</v>
      </c>
      <c r="L2761" s="640" t="n">
        <v>1</v>
      </c>
      <c r="M2761" s="623" t="inlineStr">
        <is>
          <t>Samsung 43" вертикальный</t>
        </is>
      </c>
      <c r="N2761" s="640" t="n"/>
      <c r="O2761" s="640">
        <f>IF(AND(N2761=1,L2761=1),K2761,"")</f>
        <v/>
      </c>
      <c r="P2761" s="642" t="inlineStr">
        <is>
          <t>г. Москва Коттеджный поселок Антоновка,пос. Сосенское дер. Зименки аллея Садовая д.1 к.3</t>
        </is>
      </c>
      <c r="Q2761" s="640" t="inlineStr">
        <is>
          <t>55.573139</t>
        </is>
      </c>
      <c r="R2761" s="494" t="inlineStr">
        <is>
          <t>37.391884</t>
        </is>
      </c>
      <c r="S2761" s="387" t="n">
        <v>24</v>
      </c>
      <c r="T2761" s="436">
        <f>IF(N2761=1,O2761*S2761,"")</f>
        <v/>
      </c>
      <c r="Z2761" s="1" t="n"/>
    </row>
    <row r="2762" hidden="1" ht="16.05" customHeight="1">
      <c r="A2762" s="125" t="n">
        <v>3380</v>
      </c>
      <c r="B2762" s="791" t="n"/>
      <c r="C2762" s="130" t="inlineStr">
        <is>
          <t>Рязань</t>
        </is>
      </c>
      <c r="D2762" s="130" t="inlineStr">
        <is>
          <t>Рязанская область</t>
        </is>
      </c>
      <c r="E2762" s="130" t="n"/>
      <c r="F2762" s="130" t="inlineStr">
        <is>
          <t>АЗС</t>
        </is>
      </c>
      <c r="G2762" s="130" t="inlineStr">
        <is>
          <t>Татнефть</t>
        </is>
      </c>
      <c r="H2762" s="131" t="n"/>
      <c r="I2762" s="637" t="inlineStr">
        <is>
          <t>539 (HOR)</t>
        </is>
      </c>
      <c r="J2762" s="637" t="inlineStr">
        <is>
          <t>TATN_539</t>
        </is>
      </c>
      <c r="K2762" s="640" t="n">
        <v>1</v>
      </c>
      <c r="L2762" s="640" t="n">
        <v>0</v>
      </c>
      <c r="M2762" s="640" t="inlineStr">
        <is>
          <t>Samsung 32" вертикальный</t>
        </is>
      </c>
      <c r="N2762" s="640" t="n"/>
      <c r="O2762" s="640">
        <f>IF(AND(N2762=1,L2762=1),K2762,"")</f>
        <v/>
      </c>
      <c r="P2762" s="642" t="inlineStr">
        <is>
          <t>Рязанская область, 306 км М-5, справа</t>
        </is>
      </c>
      <c r="Q2762" s="640" t="inlineStr">
        <is>
          <t>54.193928</t>
        </is>
      </c>
      <c r="R2762" s="422" t="inlineStr">
        <is>
          <t>41.07376</t>
        </is>
      </c>
      <c r="X2762" s="1" t="n"/>
      <c r="Y2762" s="1" t="n"/>
      <c r="Z2762" s="1" t="n"/>
    </row>
    <row r="2763" hidden="1" ht="16.05" customHeight="1">
      <c r="A2763" s="125" t="n">
        <v>3381</v>
      </c>
      <c r="B2763" s="791" t="n"/>
      <c r="C2763" s="130" t="inlineStr">
        <is>
          <t>Тверь</t>
        </is>
      </c>
      <c r="D2763" s="130" t="inlineStr">
        <is>
          <t>Тверь</t>
        </is>
      </c>
      <c r="E2763" s="130" t="inlineStr">
        <is>
          <t>Тверь</t>
        </is>
      </c>
      <c r="F2763" s="130" t="inlineStr">
        <is>
          <t>АЗС</t>
        </is>
      </c>
      <c r="G2763" s="130" t="inlineStr">
        <is>
          <t>Лукойл</t>
        </is>
      </c>
      <c r="H2763" s="131" t="n"/>
      <c r="I2763" s="637" t="n">
        <v>69075</v>
      </c>
      <c r="J2763" s="402" t="inlineStr">
        <is>
          <t>TVE_LUK_69075</t>
        </is>
      </c>
      <c r="K2763" s="640" t="n">
        <v>2</v>
      </c>
      <c r="L2763" s="640" t="n">
        <v>0</v>
      </c>
      <c r="M2763" s="640" t="inlineStr">
        <is>
          <t>Sam 43</t>
        </is>
      </c>
      <c r="N2763" s="640" t="n"/>
      <c r="O2763" s="640">
        <f>IF(AND(N2763=1,L2763=1),K2763,"")</f>
        <v/>
      </c>
      <c r="P2763" s="642" t="inlineStr">
        <is>
          <t>Тверская область, Ржевский район, С\п Хорошево 228 км а\д Москва-балтия справо</t>
        </is>
      </c>
      <c r="Q2763" s="640" t="n">
        <v>56.217945</v>
      </c>
      <c r="R2763" s="422" t="n">
        <v>34.265498</v>
      </c>
      <c r="X2763" s="1" t="n"/>
      <c r="Y2763" s="1" t="n"/>
      <c r="Z2763" s="1" t="n"/>
    </row>
    <row r="2764" hidden="1" ht="16.05" customHeight="1">
      <c r="A2764" s="125" t="n">
        <v>3382</v>
      </c>
      <c r="B2764" s="791" t="n"/>
      <c r="C2764" s="130" t="inlineStr">
        <is>
          <t>ЦФО</t>
        </is>
      </c>
      <c r="D2764" s="130" t="inlineStr">
        <is>
          <t>Владимирская область</t>
        </is>
      </c>
      <c r="E2764" s="130" t="n"/>
      <c r="F2764" s="130" t="inlineStr">
        <is>
          <t>АЗС</t>
        </is>
      </c>
      <c r="G2764" s="130" t="inlineStr">
        <is>
          <t>Газпромнефть</t>
        </is>
      </c>
      <c r="H2764" s="131" t="n"/>
      <c r="I2764" s="637" t="n">
        <v>13343</v>
      </c>
      <c r="J2764" s="637" t="inlineStr">
        <is>
          <t>GPN_13343</t>
        </is>
      </c>
      <c r="K2764" s="640" t="n">
        <v>2</v>
      </c>
      <c r="L2764" s="640" t="n">
        <v>0</v>
      </c>
      <c r="M2764" s="640" t="n">
        <v>5</v>
      </c>
      <c r="N2764" s="640" t="n"/>
      <c r="O2764" s="640">
        <f>IF(AND(N2764=1,L2764=1),K2764,"")</f>
        <v/>
      </c>
      <c r="P2764" s="642" t="inlineStr">
        <is>
          <t>Владимирская область, ФАД М7, 332 км, слева, г. Гороховец</t>
        </is>
      </c>
      <c r="Q2764" s="640" t="n">
        <v>56.17921</v>
      </c>
      <c r="R2764" s="422" t="n">
        <v>42.658735</v>
      </c>
      <c r="W2764" s="387">
        <f>IF(AND(N2764=1,O2764&lt;&gt;""),C2764,"")</f>
        <v/>
      </c>
      <c r="Y2764" s="1" t="n"/>
      <c r="Z2764" s="1" t="n"/>
    </row>
    <row r="2765" hidden="1" ht="16.05" customHeight="1">
      <c r="A2765" s="125" t="n">
        <v>3383</v>
      </c>
      <c r="B2765" s="791" t="n"/>
      <c r="C2765" s="130" t="inlineStr">
        <is>
          <t>ЦФО</t>
        </is>
      </c>
      <c r="D2765" s="130" t="inlineStr">
        <is>
          <t>Владимирская область</t>
        </is>
      </c>
      <c r="E2765" s="130" t="n"/>
      <c r="F2765" s="130" t="inlineStr">
        <is>
          <t>АЗС</t>
        </is>
      </c>
      <c r="G2765" s="130" t="inlineStr">
        <is>
          <t>Газпромнефть</t>
        </is>
      </c>
      <c r="H2765" s="131" t="n"/>
      <c r="I2765" s="637" t="n">
        <v>13344</v>
      </c>
      <c r="J2765" s="637" t="inlineStr">
        <is>
          <t>GPN_13344</t>
        </is>
      </c>
      <c r="K2765" s="640" t="n">
        <v>2</v>
      </c>
      <c r="L2765" s="640" t="n">
        <v>0</v>
      </c>
      <c r="M2765" s="640" t="n">
        <v>6</v>
      </c>
      <c r="N2765" s="640" t="n"/>
      <c r="O2765" s="640">
        <f>IF(AND(N2765=1,L2765=1),K2765,"")</f>
        <v/>
      </c>
      <c r="P2765" s="642" t="inlineStr">
        <is>
          <t>Владимирская область, ФАД М7, 332 км, справаа, г. Гороховец</t>
        </is>
      </c>
      <c r="Q2765" s="640" t="n">
        <v>56.175503</v>
      </c>
      <c r="R2765" s="422" t="n">
        <v>42.654165</v>
      </c>
      <c r="W2765" s="387">
        <f>IF(AND(N2765=1,O2765&lt;&gt;""),C2765,"")</f>
        <v/>
      </c>
      <c r="Y2765" s="1" t="n"/>
      <c r="Z2765" s="1" t="n"/>
    </row>
    <row r="2766" hidden="1" ht="16.05" customHeight="1">
      <c r="A2766" s="125" t="n">
        <v>3384</v>
      </c>
      <c r="B2766" s="791" t="n"/>
      <c r="C2766" s="130" t="inlineStr">
        <is>
          <t>Приволжье</t>
        </is>
      </c>
      <c r="D2766" s="130" t="inlineStr">
        <is>
          <t>Нижегородская область</t>
        </is>
      </c>
      <c r="E2766" s="130" t="n"/>
      <c r="F2766" s="130" t="inlineStr">
        <is>
          <t>АЗС</t>
        </is>
      </c>
      <c r="G2766" s="130" t="inlineStr">
        <is>
          <t>Газпромнефть</t>
        </is>
      </c>
      <c r="H2766" s="131" t="n"/>
      <c r="I2766" s="637" t="n">
        <v>14345</v>
      </c>
      <c r="J2766" s="637" t="inlineStr">
        <is>
          <t>GPN_14345</t>
        </is>
      </c>
      <c r="K2766" s="640" t="n">
        <v>3</v>
      </c>
      <c r="L2766" s="640" t="n">
        <v>0</v>
      </c>
      <c r="M2766" s="640" t="n">
        <v>5</v>
      </c>
      <c r="N2766" s="640" t="n"/>
      <c r="O2766" s="640">
        <f>IF(AND(N2766=1,L2766=1),K2766,"")</f>
        <v/>
      </c>
      <c r="P2766" s="642" t="inlineStr">
        <is>
          <t>Нижегородская область, Арзамасский
район, д. Новинки, 101 - й км трассы Р158</t>
        </is>
      </c>
      <c r="Q2766" s="640" t="n">
        <v>55.479235</v>
      </c>
      <c r="R2766" s="422" t="n">
        <v>43.883322</v>
      </c>
      <c r="W2766" s="387">
        <f>IF(AND(N2766=1,O2766&lt;&gt;""),C2766,"")</f>
        <v/>
      </c>
      <c r="Y2766" s="1" t="n"/>
      <c r="Z2766" s="1" t="n"/>
    </row>
    <row r="2767" hidden="1" ht="16.05" customHeight="1">
      <c r="A2767" s="125" t="n">
        <v>3385</v>
      </c>
      <c r="B2767" s="791" t="n"/>
      <c r="C2767" s="130" t="inlineStr">
        <is>
          <t>Приволжье</t>
        </is>
      </c>
      <c r="D2767" s="130" t="inlineStr">
        <is>
          <t>Нижний Новгород</t>
        </is>
      </c>
      <c r="E2767" s="130" t="n"/>
      <c r="F2767" s="130" t="inlineStr">
        <is>
          <t>АЗС</t>
        </is>
      </c>
      <c r="G2767" s="130" t="inlineStr">
        <is>
          <t>Газпромнефть</t>
        </is>
      </c>
      <c r="H2767" s="131" t="n"/>
      <c r="I2767" s="637" t="n">
        <v>14346</v>
      </c>
      <c r="J2767" s="637" t="inlineStr">
        <is>
          <t>GPN_14346</t>
        </is>
      </c>
      <c r="K2767" s="640" t="n">
        <v>3</v>
      </c>
      <c r="L2767" s="640" t="n">
        <v>0</v>
      </c>
      <c r="M2767" s="640" t="n">
        <v>5</v>
      </c>
      <c r="N2767" s="640" t="n"/>
      <c r="O2767" s="640">
        <f>IF(AND(N2767=1,L2767=1),K2767,"")</f>
        <v/>
      </c>
      <c r="P2767" s="642" t="inlineStr">
        <is>
          <t>Нижегородская область, г. Нижний Новгород, ул. Героя Попова, д. 38</t>
        </is>
      </c>
      <c r="Q2767" s="640" t="n">
        <v>56.255027</v>
      </c>
      <c r="R2767" s="422" t="n">
        <v>43.927977</v>
      </c>
      <c r="W2767" s="387">
        <f>IF(AND(N2767=1,O2767&lt;&gt;""),C2767,"")</f>
        <v/>
      </c>
      <c r="Y2767" s="1" t="n"/>
      <c r="Z2767" s="1" t="n"/>
    </row>
    <row r="2768" hidden="1" ht="16.05" customHeight="1">
      <c r="A2768" s="125" t="n">
        <v>3386</v>
      </c>
      <c r="B2768" s="791" t="n"/>
      <c r="C2768" s="130" t="inlineStr">
        <is>
          <t>Рязань</t>
        </is>
      </c>
      <c r="D2768" s="130" t="inlineStr">
        <is>
          <t>Рязанская область</t>
        </is>
      </c>
      <c r="E2768" s="130" t="n"/>
      <c r="F2768" s="130" t="inlineStr">
        <is>
          <t>АЗС</t>
        </is>
      </c>
      <c r="G2768" s="130" t="inlineStr">
        <is>
          <t>Татнефть</t>
        </is>
      </c>
      <c r="H2768" s="131" t="n"/>
      <c r="I2768" s="637" t="inlineStr">
        <is>
          <t>538 (HOR)</t>
        </is>
      </c>
      <c r="J2768" s="637" t="inlineStr">
        <is>
          <t>TATN_538</t>
        </is>
      </c>
      <c r="K2768" s="640" t="n">
        <v>1</v>
      </c>
      <c r="L2768" s="640" t="n">
        <v>0</v>
      </c>
      <c r="M2768" s="640" t="inlineStr">
        <is>
          <t>Samsung 43" горизонтальный</t>
        </is>
      </c>
      <c r="N2768" s="640" t="n"/>
      <c r="O2768" s="640">
        <f>IF(AND(N2768=1,L2768=1),K2768,"")</f>
        <v/>
      </c>
      <c r="P2768" s="642" t="inlineStr">
        <is>
          <t>Рязанская область, 306 км М-5, слева</t>
        </is>
      </c>
      <c r="Q2768" s="640" t="inlineStr">
        <is>
          <t>54.193099</t>
        </is>
      </c>
      <c r="R2768" s="422" t="inlineStr">
        <is>
          <t>41.073224</t>
        </is>
      </c>
      <c r="X2768" s="1" t="n"/>
      <c r="Y2768" s="1" t="n"/>
      <c r="Z2768" s="1" t="n"/>
    </row>
    <row r="2769" hidden="1" ht="16.05" customHeight="1">
      <c r="A2769" s="125" t="n">
        <v>3388</v>
      </c>
      <c r="B2769" s="125" t="inlineStr">
        <is>
          <t>WF</t>
        </is>
      </c>
      <c r="C2769" s="130" t="inlineStr">
        <is>
          <t>Москва</t>
        </is>
      </c>
      <c r="D2769" s="130" t="inlineStr">
        <is>
          <t>Московская область</t>
        </is>
      </c>
      <c r="E2769" s="130" t="n"/>
      <c r="F2769" s="130" t="inlineStr">
        <is>
          <t>Супермаркет</t>
        </is>
      </c>
      <c r="G2769" s="130" t="inlineStr">
        <is>
          <t>Азбука Вкуса</t>
        </is>
      </c>
      <c r="H2769" s="131" t="n"/>
      <c r="I2769" s="637" t="n">
        <v>162</v>
      </c>
      <c r="J2769" s="637" t="inlineStr">
        <is>
          <t>MSK_M_162</t>
        </is>
      </c>
      <c r="K2769" s="640" t="n">
        <v>3</v>
      </c>
      <c r="L2769" s="640" t="n">
        <v>1</v>
      </c>
      <c r="M2769" s="623" t="inlineStr">
        <is>
          <t>Samsung 43" вертикальный</t>
        </is>
      </c>
      <c r="N2769" s="640" t="n"/>
      <c r="O2769" s="640">
        <f>IF(AND(N2769=1,L2769=1),K2769,"")</f>
        <v/>
      </c>
      <c r="P2769" s="642" t="inlineStr">
        <is>
          <t>Московская область г. Жуковскй ул. Дзержинского д.3</t>
        </is>
      </c>
      <c r="Q2769" s="640" t="inlineStr">
        <is>
          <t>55.597467</t>
        </is>
      </c>
      <c r="R2769" s="494" t="inlineStr">
        <is>
          <t>38.133423</t>
        </is>
      </c>
      <c r="S2769" s="387" t="n">
        <v>24</v>
      </c>
      <c r="T2769" s="436">
        <f>IF(N2769=1,O2769*S2769,"")</f>
        <v/>
      </c>
      <c r="U2769" s="436" t="n">
        <v>1</v>
      </c>
      <c r="V2769" s="438">
        <f>IF(AND(N2769=1,U2769=1),C2769,"")</f>
        <v/>
      </c>
      <c r="Z2769" s="1" t="n"/>
    </row>
    <row r="2770" hidden="1" ht="16.05" customHeight="1">
      <c r="A2770" s="125" t="n">
        <v>3389</v>
      </c>
      <c r="B2770" s="791" t="n"/>
      <c r="C2770" s="130" t="inlineStr">
        <is>
          <t>Санкт-Петербург</t>
        </is>
      </c>
      <c r="D2770" s="130" t="inlineStr">
        <is>
          <t>Санкт-Петербург</t>
        </is>
      </c>
      <c r="E2770" s="130" t="n"/>
      <c r="F2770" s="130" t="inlineStr">
        <is>
          <t>АЗС</t>
        </is>
      </c>
      <c r="G2770" s="130" t="inlineStr">
        <is>
          <t>Роснефть</t>
        </is>
      </c>
      <c r="H2770" s="131" t="n">
        <v>323</v>
      </c>
      <c r="I2770" s="637" t="inlineStr">
        <is>
          <t>323 Благодатная</t>
        </is>
      </c>
      <c r="J2770" s="637" t="inlineStr">
        <is>
          <t>SPB_RN_P_323</t>
        </is>
      </c>
      <c r="K2770" s="640" t="n">
        <v>1</v>
      </c>
      <c r="L2770" s="640" t="n">
        <v>1</v>
      </c>
      <c r="M2770" s="623" t="inlineStr">
        <is>
          <t>Samsung 32" вертикальный</t>
        </is>
      </c>
      <c r="N2770" s="640" t="n"/>
      <c r="O2770" s="640">
        <f>IF(AND(N2770=1,L2770=1),K2770,"")</f>
        <v/>
      </c>
      <c r="P2770" s="642" t="inlineStr">
        <is>
          <t>г. Санкт-Петербург, ул. Благодатная, 48А</t>
        </is>
      </c>
      <c r="Q2770" s="640" t="inlineStr">
        <is>
          <t>59.876694</t>
        </is>
      </c>
      <c r="R2770" s="494" t="inlineStr">
        <is>
          <t>30.337028</t>
        </is>
      </c>
      <c r="U2770" s="436" t="n">
        <v>1</v>
      </c>
      <c r="V2770" s="438">
        <f>IF(AND(N2770=1,U2770=1),C2770,"")</f>
        <v/>
      </c>
      <c r="Z2770" s="1" t="n"/>
    </row>
    <row r="2771" hidden="1" ht="16.05" customHeight="1">
      <c r="A2771" s="125" t="n">
        <v>3390</v>
      </c>
      <c r="B2771" s="791" t="n"/>
      <c r="C2771" s="130" t="inlineStr">
        <is>
          <t>Санкт-Петербург</t>
        </is>
      </c>
      <c r="D2771" s="130" t="inlineStr">
        <is>
          <t>Санкт-Петербург</t>
        </is>
      </c>
      <c r="E2771" s="130" t="n"/>
      <c r="F2771" s="130" t="inlineStr">
        <is>
          <t>АЗС</t>
        </is>
      </c>
      <c r="G2771" s="130" t="inlineStr">
        <is>
          <t>Роснефть</t>
        </is>
      </c>
      <c r="H2771" s="131" t="n">
        <v>337</v>
      </c>
      <c r="I2771" s="637" t="inlineStr">
        <is>
          <t>337 Нахимова</t>
        </is>
      </c>
      <c r="J2771" s="637" t="inlineStr">
        <is>
          <t>SPB_RN_P_337</t>
        </is>
      </c>
      <c r="K2771" s="640" t="n">
        <v>1</v>
      </c>
      <c r="L2771" s="640" t="n">
        <v>1</v>
      </c>
      <c r="M2771" s="623" t="inlineStr">
        <is>
          <t>Samsung 32" вертикальный</t>
        </is>
      </c>
      <c r="N2771" s="640" t="n"/>
      <c r="O2771" s="640">
        <f>IF(AND(N2771=1,L2771=1),K2771,"")</f>
        <v/>
      </c>
      <c r="P2771" s="642" t="inlineStr">
        <is>
          <t>г. Санкт-Петербург, ул. Нахимова, 18</t>
        </is>
      </c>
      <c r="Q2771" s="640" t="inlineStr">
        <is>
          <t>59.940835</t>
        </is>
      </c>
      <c r="R2771" s="494" t="inlineStr">
        <is>
          <t>30.226603</t>
        </is>
      </c>
      <c r="Z2771" s="1" t="n"/>
    </row>
    <row r="2772" hidden="1" ht="16.05" customHeight="1">
      <c r="A2772" s="125" t="n">
        <v>3391</v>
      </c>
      <c r="B2772" s="791" t="n"/>
      <c r="C2772" s="130" t="inlineStr">
        <is>
          <t>Санкт-Петербург</t>
        </is>
      </c>
      <c r="D2772" s="130" t="inlineStr">
        <is>
          <t>Ленинградская область</t>
        </is>
      </c>
      <c r="E2772" s="130" t="n"/>
      <c r="F2772" s="130" t="inlineStr">
        <is>
          <t>АЗС</t>
        </is>
      </c>
      <c r="G2772" s="130" t="inlineStr">
        <is>
          <t>Роснефть</t>
        </is>
      </c>
      <c r="H2772" s="131" t="n">
        <v>370</v>
      </c>
      <c r="I2772" s="637" t="inlineStr">
        <is>
          <t>370 Пушкин</t>
        </is>
      </c>
      <c r="J2772" s="637" t="inlineStr">
        <is>
          <t>SPB_RN_P_370</t>
        </is>
      </c>
      <c r="K2772" s="640" t="n">
        <v>1</v>
      </c>
      <c r="L2772" s="640" t="n">
        <v>1</v>
      </c>
      <c r="M2772" s="623" t="inlineStr">
        <is>
          <t>Samsung 32" вертикальный</t>
        </is>
      </c>
      <c r="N2772" s="640" t="n"/>
      <c r="O2772" s="640">
        <f>IF(AND(N2772=1,L2772=1),K2772,"")</f>
        <v/>
      </c>
      <c r="P2772" s="642" t="inlineStr">
        <is>
          <t>Ленинградская область, г. Пушкин, шоссе Петербургское, д.31А</t>
        </is>
      </c>
      <c r="Q2772" s="640" t="inlineStr">
        <is>
          <t>59.743655</t>
        </is>
      </c>
      <c r="R2772" s="494" t="inlineStr">
        <is>
          <t>30.395063</t>
        </is>
      </c>
      <c r="Z2772" s="1" t="n"/>
    </row>
    <row r="2773" hidden="1" ht="16.05" customHeight="1">
      <c r="A2773" s="125" t="n">
        <v>3392</v>
      </c>
      <c r="B2773" s="791" t="n"/>
      <c r="C2773" s="130" t="inlineStr">
        <is>
          <t>Санкт-Петербург</t>
        </is>
      </c>
      <c r="D2773" s="130" t="inlineStr">
        <is>
          <t>Санкт-Петербург</t>
        </is>
      </c>
      <c r="E2773" s="130" t="n"/>
      <c r="F2773" s="130" t="inlineStr">
        <is>
          <t>АЗС</t>
        </is>
      </c>
      <c r="G2773" s="130" t="inlineStr">
        <is>
          <t>Роснефть</t>
        </is>
      </c>
      <c r="H2773" s="131" t="n">
        <v>382</v>
      </c>
      <c r="I2773" s="637" t="inlineStr">
        <is>
          <t>382 Уткина заводь</t>
        </is>
      </c>
      <c r="J2773" s="637" t="inlineStr">
        <is>
          <t>SPB_RN_P_382</t>
        </is>
      </c>
      <c r="K2773" s="640" t="n">
        <v>1</v>
      </c>
      <c r="L2773" s="640" t="n">
        <v>1</v>
      </c>
      <c r="M2773" s="623" t="inlineStr">
        <is>
          <t>Samsung 32" вертикальный</t>
        </is>
      </c>
      <c r="N2773" s="640" t="n"/>
      <c r="O2773" s="640">
        <f>IF(AND(N2773=1,L2773=1),K2773,"")</f>
        <v/>
      </c>
      <c r="P2773" s="642" t="inlineStr">
        <is>
          <t>г. Санкт-Петербург, Октябрьская наб., д. 112А, корп. 4</t>
        </is>
      </c>
      <c r="Q2773" s="640" t="inlineStr">
        <is>
          <t>59.864688</t>
        </is>
      </c>
      <c r="R2773" s="494" t="inlineStr">
        <is>
          <t>30.492057</t>
        </is>
      </c>
      <c r="Z2773" s="1" t="n"/>
    </row>
    <row r="2774" hidden="1" ht="16.05" customHeight="1">
      <c r="A2774" s="125" t="n">
        <v>3393</v>
      </c>
      <c r="B2774" s="791" t="n"/>
      <c r="C2774" s="130" t="inlineStr">
        <is>
          <t>Санкт-Петербург</t>
        </is>
      </c>
      <c r="D2774" s="130" t="inlineStr">
        <is>
          <t>Санкт-Петербург</t>
        </is>
      </c>
      <c r="E2774" s="130" t="n"/>
      <c r="F2774" s="130" t="inlineStr">
        <is>
          <t>АЗС</t>
        </is>
      </c>
      <c r="G2774" s="130" t="inlineStr">
        <is>
          <t>Роснефть</t>
        </is>
      </c>
      <c r="H2774" s="131" t="n">
        <v>384</v>
      </c>
      <c r="I2774" s="637" t="inlineStr">
        <is>
          <t>384 Руставели-1</t>
        </is>
      </c>
      <c r="J2774" s="637" t="inlineStr">
        <is>
          <t>SPB_RN_P_384</t>
        </is>
      </c>
      <c r="K2774" s="640" t="n">
        <v>1</v>
      </c>
      <c r="L2774" s="640" t="n">
        <v>1</v>
      </c>
      <c r="M2774" s="623" t="inlineStr">
        <is>
          <t>Samsung 32" вертикальный</t>
        </is>
      </c>
      <c r="N2774" s="640" t="n"/>
      <c r="O2774" s="640">
        <f>IF(AND(N2774=1,L2774=1),K2774,"")</f>
        <v/>
      </c>
      <c r="P2774" s="642" t="inlineStr">
        <is>
          <t>г. Санкт-Петербург, ул. Руставели, 25А</t>
        </is>
      </c>
      <c r="Q2774" s="640" t="inlineStr">
        <is>
          <t>60.005558</t>
        </is>
      </c>
      <c r="R2774" s="494" t="inlineStr">
        <is>
          <t>30.436665</t>
        </is>
      </c>
      <c r="Z2774" s="1" t="n"/>
    </row>
    <row r="2775" hidden="1" ht="16.05" customHeight="1">
      <c r="A2775" s="125" t="n">
        <v>3394</v>
      </c>
      <c r="B2775" s="791" t="n"/>
      <c r="C2775" s="130" t="inlineStr">
        <is>
          <t>Санкт-Петербург</t>
        </is>
      </c>
      <c r="D2775" s="130" t="inlineStr">
        <is>
          <t>Санкт-Петербург</t>
        </is>
      </c>
      <c r="E2775" s="130" t="n"/>
      <c r="F2775" s="130" t="inlineStr">
        <is>
          <t>АЗС</t>
        </is>
      </c>
      <c r="G2775" s="130" t="inlineStr">
        <is>
          <t>Роснефть</t>
        </is>
      </c>
      <c r="H2775" s="131" t="n">
        <v>389</v>
      </c>
      <c r="I2775" s="637" t="inlineStr">
        <is>
          <t>389 Запорожская</t>
        </is>
      </c>
      <c r="J2775" s="637" t="inlineStr">
        <is>
          <t>SPB_RN_P_389</t>
        </is>
      </c>
      <c r="K2775" s="640" t="n">
        <v>1</v>
      </c>
      <c r="L2775" s="640" t="n">
        <v>1</v>
      </c>
      <c r="M2775" s="623" t="inlineStr">
        <is>
          <t>Samsung 32" вертикальный</t>
        </is>
      </c>
      <c r="N2775" s="640" t="n"/>
      <c r="O2775" s="640">
        <f>IF(AND(N2775=1,L2775=1),K2775,"")</f>
        <v/>
      </c>
      <c r="P2775" s="642" t="inlineStr">
        <is>
          <t>г. Санкт-Петербург, ул. Запорожская, 33А</t>
        </is>
      </c>
      <c r="Q2775" s="640" t="inlineStr">
        <is>
          <t>59.849522</t>
        </is>
      </c>
      <c r="R2775" s="494" t="inlineStr">
        <is>
          <t>30.463006</t>
        </is>
      </c>
      <c r="Z2775" s="1" t="n"/>
    </row>
    <row r="2776" hidden="1" ht="16.05" customHeight="1">
      <c r="A2776" s="125" t="n">
        <v>3395</v>
      </c>
      <c r="B2776" s="791" t="n"/>
      <c r="C2776" s="130" t="inlineStr">
        <is>
          <t>Санкт-Петербург</t>
        </is>
      </c>
      <c r="D2776" s="130" t="inlineStr">
        <is>
          <t>Санкт-Петербург</t>
        </is>
      </c>
      <c r="E2776" s="130" t="n"/>
      <c r="F2776" s="130" t="inlineStr">
        <is>
          <t>АЗС</t>
        </is>
      </c>
      <c r="G2776" s="130" t="inlineStr">
        <is>
          <t>Роснефть</t>
        </is>
      </c>
      <c r="H2776" s="131" t="n">
        <v>392</v>
      </c>
      <c r="I2776" s="637" t="inlineStr">
        <is>
          <t>392 Пулково-1</t>
        </is>
      </c>
      <c r="J2776" s="637" t="inlineStr">
        <is>
          <t>SPB_RN_P_392</t>
        </is>
      </c>
      <c r="K2776" s="640" t="n">
        <v>1</v>
      </c>
      <c r="L2776" s="640" t="n">
        <v>1</v>
      </c>
      <c r="M2776" s="623" t="inlineStr">
        <is>
          <t>Samsung 32" вертикальный</t>
        </is>
      </c>
      <c r="N2776" s="640" t="n"/>
      <c r="O2776" s="640">
        <f>IF(AND(N2776=1,L2776=1),K2776,"")</f>
        <v/>
      </c>
      <c r="P2776" s="642" t="inlineStr">
        <is>
          <t>г. Санкт-Петербург, Пулковское шоссе, 27А</t>
        </is>
      </c>
      <c r="Q2776" s="640" t="inlineStr">
        <is>
          <t>59.815137</t>
        </is>
      </c>
      <c r="R2776" s="494" t="inlineStr">
        <is>
          <t>30.321637</t>
        </is>
      </c>
      <c r="Z2776" s="1" t="n"/>
    </row>
    <row r="2777" hidden="1" ht="16.05" customHeight="1">
      <c r="A2777" s="125" t="n">
        <v>3396</v>
      </c>
      <c r="B2777" s="791" t="n"/>
      <c r="C2777" s="130" t="inlineStr">
        <is>
          <t>Санкт-Петербург</t>
        </is>
      </c>
      <c r="D2777" s="130" t="inlineStr">
        <is>
          <t>Ленинградская область</t>
        </is>
      </c>
      <c r="E2777" s="130" t="n"/>
      <c r="F2777" s="130" t="inlineStr">
        <is>
          <t>АЗС</t>
        </is>
      </c>
      <c r="G2777" s="130" t="inlineStr">
        <is>
          <t>Роснефть</t>
        </is>
      </c>
      <c r="H2777" s="131" t="n">
        <v>398</v>
      </c>
      <c r="I2777" s="637" t="inlineStr">
        <is>
          <t>398 Фрунзе-1</t>
        </is>
      </c>
      <c r="J2777" s="637" t="inlineStr">
        <is>
          <t>SPB_RN_P_398</t>
        </is>
      </c>
      <c r="K2777" s="640" t="n">
        <v>1</v>
      </c>
      <c r="L2777" s="640" t="n">
        <v>1</v>
      </c>
      <c r="M2777" s="623" t="inlineStr">
        <is>
          <t>Samsung 32" вертикальный</t>
        </is>
      </c>
      <c r="N2777" s="640" t="n"/>
      <c r="O2777" s="640">
        <f>IF(AND(N2777=1,L2777=1),K2777,"")</f>
        <v/>
      </c>
      <c r="P2777" s="642" t="inlineStr">
        <is>
          <t>Ленинградская область, г. Петродворец, ул. Фрунзе, 2 А (справа)</t>
        </is>
      </c>
      <c r="Q2777" s="640" t="inlineStr">
        <is>
          <t>59.87052</t>
        </is>
      </c>
      <c r="R2777" s="494" t="inlineStr">
        <is>
          <t>29.972396</t>
        </is>
      </c>
      <c r="Z2777" s="1" t="n"/>
    </row>
    <row r="2778" hidden="1" ht="16.05" customHeight="1">
      <c r="A2778" s="125" t="n">
        <v>3397</v>
      </c>
      <c r="B2778" s="791" t="n"/>
      <c r="C2778" s="130" t="inlineStr">
        <is>
          <t>Санкт-Петербург</t>
        </is>
      </c>
      <c r="D2778" s="130" t="inlineStr">
        <is>
          <t>Санкт-Петербург</t>
        </is>
      </c>
      <c r="E2778" s="130" t="n"/>
      <c r="F2778" s="130" t="inlineStr">
        <is>
          <t>АЗС</t>
        </is>
      </c>
      <c r="G2778" s="130" t="inlineStr">
        <is>
          <t>Роснефть</t>
        </is>
      </c>
      <c r="H2778" s="131" t="n">
        <v>402</v>
      </c>
      <c r="I2778" s="637" t="inlineStr">
        <is>
          <t>402 Придорожная</t>
        </is>
      </c>
      <c r="J2778" s="637" t="inlineStr">
        <is>
          <t>SPB_RN_P_402</t>
        </is>
      </c>
      <c r="K2778" s="640" t="n">
        <v>1</v>
      </c>
      <c r="L2778" s="640" t="n">
        <v>1</v>
      </c>
      <c r="M2778" s="623" t="inlineStr">
        <is>
          <t>Samsung 32" вертикальный</t>
        </is>
      </c>
      <c r="N2778" s="640" t="n"/>
      <c r="O2778" s="640">
        <f>IF(AND(N2778=1,L2778=1),K2778,"")</f>
        <v/>
      </c>
      <c r="P2778" s="642" t="inlineStr">
        <is>
          <t>г. Санкт-Петербург, Придорожная аллея, 24А</t>
        </is>
      </c>
      <c r="Q2778" s="640" t="inlineStr">
        <is>
          <t>60.053758</t>
        </is>
      </c>
      <c r="R2778" s="494" t="inlineStr">
        <is>
          <t>30.371119</t>
        </is>
      </c>
      <c r="Z2778" s="1" t="n"/>
    </row>
    <row r="2779" hidden="1" ht="16.05" customHeight="1">
      <c r="A2779" s="125" t="n">
        <v>3398</v>
      </c>
      <c r="B2779" s="791" t="n"/>
      <c r="C2779" s="130" t="inlineStr">
        <is>
          <t>Санкт-Петербург</t>
        </is>
      </c>
      <c r="D2779" s="130" t="inlineStr">
        <is>
          <t>Ленинградская область</t>
        </is>
      </c>
      <c r="E2779" s="130" t="n"/>
      <c r="F2779" s="130" t="inlineStr">
        <is>
          <t>АЗС</t>
        </is>
      </c>
      <c r="G2779" s="130" t="inlineStr">
        <is>
          <t>Роснефть</t>
        </is>
      </c>
      <c r="H2779" s="131" t="n">
        <v>411</v>
      </c>
      <c r="I2779" s="637" t="inlineStr">
        <is>
          <t>411 Колпино</t>
        </is>
      </c>
      <c r="J2779" s="637" t="inlineStr">
        <is>
          <t>SPB_RN_P_411</t>
        </is>
      </c>
      <c r="K2779" s="640" t="n">
        <v>1</v>
      </c>
      <c r="L2779" s="640" t="n">
        <v>1</v>
      </c>
      <c r="M2779" s="623" t="inlineStr">
        <is>
          <t>Samsung 32" вертикальный</t>
        </is>
      </c>
      <c r="N2779" s="640" t="n"/>
      <c r="O2779" s="640">
        <f>IF(AND(N2779=1,L2779=1),K2779,"")</f>
        <v/>
      </c>
      <c r="P2779" s="642" t="inlineStr">
        <is>
          <t>Ленинградская область, г. Колпино, Заводской пр., 19А</t>
        </is>
      </c>
      <c r="Q2779" s="640" t="inlineStr">
        <is>
          <t>59.72969</t>
        </is>
      </c>
      <c r="R2779" s="494" t="inlineStr">
        <is>
          <t>30.583336</t>
        </is>
      </c>
      <c r="Z2779" s="1" t="n"/>
    </row>
    <row r="2780" hidden="1" ht="16.05" customHeight="1">
      <c r="A2780" s="125" t="n">
        <v>3399</v>
      </c>
      <c r="B2780" s="791" t="n"/>
      <c r="C2780" s="130" t="inlineStr">
        <is>
          <t>Санкт-Петербург</t>
        </is>
      </c>
      <c r="D2780" s="130" t="inlineStr">
        <is>
          <t>Ленинградская область</t>
        </is>
      </c>
      <c r="E2780" s="130" t="n"/>
      <c r="F2780" s="130" t="inlineStr">
        <is>
          <t>АЗС</t>
        </is>
      </c>
      <c r="G2780" s="130" t="inlineStr">
        <is>
          <t>Роснефть</t>
        </is>
      </c>
      <c r="H2780" s="131" t="n">
        <v>424</v>
      </c>
      <c r="I2780" s="637" t="inlineStr">
        <is>
          <t>424 Бугры</t>
        </is>
      </c>
      <c r="J2780" s="637" t="inlineStr">
        <is>
          <t>SPB_RN_P_424</t>
        </is>
      </c>
      <c r="K2780" s="640" t="n">
        <v>1</v>
      </c>
      <c r="L2780" s="640" t="n">
        <v>1</v>
      </c>
      <c r="M2780" s="623" t="inlineStr">
        <is>
          <t>Samsung 32" вертикальный</t>
        </is>
      </c>
      <c r="N2780" s="640" t="n"/>
      <c r="O2780" s="640">
        <f>IF(AND(N2780=1,L2780=1),K2780,"")</f>
        <v/>
      </c>
      <c r="P2780" s="642" t="inlineStr">
        <is>
          <t>Ленинградская область, Всеволожский район, п. Бугры, ул. Шоссейная, д.56</t>
        </is>
      </c>
      <c r="Q2780" s="640" t="inlineStr">
        <is>
          <t>60.080621</t>
        </is>
      </c>
      <c r="R2780" s="494" t="inlineStr">
        <is>
          <t>30.395043</t>
        </is>
      </c>
      <c r="Z2780" s="1" t="n"/>
    </row>
    <row r="2781" hidden="1" ht="16.05" customHeight="1">
      <c r="A2781" s="125" t="n">
        <v>3400</v>
      </c>
      <c r="B2781" s="791" t="n"/>
      <c r="C2781" s="130" t="inlineStr">
        <is>
          <t>Санкт-Петербург</t>
        </is>
      </c>
      <c r="D2781" s="130" t="inlineStr">
        <is>
          <t>Ленинградская область</t>
        </is>
      </c>
      <c r="E2781" s="130" t="n"/>
      <c r="F2781" s="130" t="inlineStr">
        <is>
          <t>АЗС</t>
        </is>
      </c>
      <c r="G2781" s="130" t="inlineStr">
        <is>
          <t>Роснефть</t>
        </is>
      </c>
      <c r="H2781" s="131" t="n">
        <v>443</v>
      </c>
      <c r="I2781" s="637" t="inlineStr">
        <is>
          <t>443 Киевское шоссе</t>
        </is>
      </c>
      <c r="J2781" s="637" t="inlineStr">
        <is>
          <t>SPB_RN_P_443</t>
        </is>
      </c>
      <c r="K2781" s="640" t="n">
        <v>1</v>
      </c>
      <c r="L2781" s="640" t="n">
        <v>1</v>
      </c>
      <c r="M2781" s="623" t="inlineStr">
        <is>
          <t>Samsung 32" вертикальный</t>
        </is>
      </c>
      <c r="N2781" s="640" t="n"/>
      <c r="O2781" s="640">
        <f>IF(AND(N2781=1,L2781=1),K2781,"")</f>
        <v/>
      </c>
      <c r="P2781" s="642" t="inlineStr">
        <is>
          <t>Ленинградская область, Гатчинский район, с. Новосветское, шоссе Киевское (Р23, 44 км, слева)</t>
        </is>
      </c>
      <c r="Q2781" s="640" t="inlineStr">
        <is>
          <t>59.57282</t>
        </is>
      </c>
      <c r="R2781" s="494" t="inlineStr">
        <is>
          <t>30.171616</t>
        </is>
      </c>
      <c r="Z2781" s="1" t="n"/>
    </row>
    <row r="2782" hidden="1" ht="16.05" customHeight="1">
      <c r="A2782" s="125" t="n">
        <v>3401</v>
      </c>
      <c r="B2782" s="791" t="n"/>
      <c r="C2782" s="130" t="inlineStr">
        <is>
          <t>Санкт-Петербург</t>
        </is>
      </c>
      <c r="D2782" s="130" t="inlineStr">
        <is>
          <t>Ленинградская область</t>
        </is>
      </c>
      <c r="E2782" s="130" t="n"/>
      <c r="F2782" s="130" t="inlineStr">
        <is>
          <t>АЗС</t>
        </is>
      </c>
      <c r="G2782" s="130" t="inlineStr">
        <is>
          <t>Роснефть</t>
        </is>
      </c>
      <c r="H2782" s="131" t="n">
        <v>447</v>
      </c>
      <c r="I2782" s="637" t="inlineStr">
        <is>
          <t>447 Стеклянный</t>
        </is>
      </c>
      <c r="J2782" s="637" t="inlineStr">
        <is>
          <t>SPB_RN_P_447</t>
        </is>
      </c>
      <c r="K2782" s="640" t="n">
        <v>1</v>
      </c>
      <c r="L2782" s="640" t="n">
        <v>1</v>
      </c>
      <c r="M2782" s="623" t="inlineStr">
        <is>
          <t>Samsung 32" вертикальный</t>
        </is>
      </c>
      <c r="N2782" s="640" t="n"/>
      <c r="O2782" s="640">
        <f>IF(AND(N2782=1,L2782=1),K2782,"")</f>
        <v/>
      </c>
      <c r="P2782" s="642" t="inlineStr">
        <is>
          <t>Ленинградская область, пос. Стеклянный, а/д Санкт-Петербург-Сортавала, 37-й км</t>
        </is>
      </c>
      <c r="Q2782" s="640" t="inlineStr">
        <is>
          <t>60.374472</t>
        </is>
      </c>
      <c r="R2782" s="494" t="inlineStr">
        <is>
          <t>30.276443</t>
        </is>
      </c>
      <c r="Z2782" s="1" t="n"/>
    </row>
    <row r="2783" hidden="1" ht="16.05" customHeight="1">
      <c r="A2783" s="125" t="n">
        <v>3402</v>
      </c>
      <c r="B2783" s="791" t="n"/>
      <c r="C2783" s="130" t="inlineStr">
        <is>
          <t>Санкт-Петербург</t>
        </is>
      </c>
      <c r="D2783" s="130" t="inlineStr">
        <is>
          <t>Ленинградская область</t>
        </is>
      </c>
      <c r="E2783" s="130" t="n"/>
      <c r="F2783" s="130" t="inlineStr">
        <is>
          <t>АЗС</t>
        </is>
      </c>
      <c r="G2783" s="130" t="inlineStr">
        <is>
          <t>Роснефть</t>
        </is>
      </c>
      <c r="H2783" s="131" t="n">
        <v>451</v>
      </c>
      <c r="I2783" s="637" t="inlineStr">
        <is>
          <t>451 Дорога жизни-2</t>
        </is>
      </c>
      <c r="J2783" s="637" t="inlineStr">
        <is>
          <t>SPB_RN_P_451</t>
        </is>
      </c>
      <c r="K2783" s="640" t="n">
        <v>1</v>
      </c>
      <c r="L2783" s="640" t="n">
        <v>1</v>
      </c>
      <c r="M2783" s="623" t="inlineStr">
        <is>
          <t>Samsung 32" вертикальный</t>
        </is>
      </c>
      <c r="N2783" s="640" t="n"/>
      <c r="O2783" s="640">
        <f>IF(AND(N2783=1,L2783=1),K2783,"")</f>
        <v/>
      </c>
      <c r="P2783" s="642" t="inlineStr">
        <is>
          <t>Ленинградская область, г. Всеволожск, шоссе Дорога Жизни, д.16</t>
        </is>
      </c>
      <c r="Q2783" s="640" t="inlineStr">
        <is>
          <t>60.026159</t>
        </is>
      </c>
      <c r="R2783" s="494" t="inlineStr">
        <is>
          <t>30.615815</t>
        </is>
      </c>
      <c r="Z2783" s="1" t="n"/>
    </row>
    <row r="2784" hidden="1" ht="16.05" customHeight="1">
      <c r="A2784" s="125" t="n">
        <v>3403</v>
      </c>
      <c r="B2784" s="791" t="n"/>
      <c r="C2784" s="130" t="inlineStr">
        <is>
          <t>Санкт-Петербург</t>
        </is>
      </c>
      <c r="D2784" s="130" t="inlineStr">
        <is>
          <t>Ленинградская область</t>
        </is>
      </c>
      <c r="E2784" s="130" t="n"/>
      <c r="F2784" s="130" t="inlineStr">
        <is>
          <t>АЗС</t>
        </is>
      </c>
      <c r="G2784" s="130" t="inlineStr">
        <is>
          <t>Роснефть</t>
        </is>
      </c>
      <c r="H2784" s="131" t="n">
        <v>454</v>
      </c>
      <c r="I2784" s="637" t="inlineStr">
        <is>
          <t>454 Кола-1</t>
        </is>
      </c>
      <c r="J2784" s="637" t="inlineStr">
        <is>
          <t>SPB_RN_P_454</t>
        </is>
      </c>
      <c r="K2784" s="640" t="n">
        <v>1</v>
      </c>
      <c r="L2784" s="640" t="n">
        <v>1</v>
      </c>
      <c r="M2784" s="623" t="inlineStr">
        <is>
          <t>Samsung 32" вертикальный</t>
        </is>
      </c>
      <c r="N2784" s="640" t="n"/>
      <c r="O2784" s="640">
        <f>IF(AND(N2784=1,L2784=1),K2784,"")</f>
        <v/>
      </c>
      <c r="P2784" s="642" t="inlineStr">
        <is>
          <t>Ленинградская область, Всеволожский район, д. Кола-2, Мурманское шоссе, 17-й км. (справа по ходу движения из Мурманска в Санкт-Петербург)</t>
        </is>
      </c>
      <c r="Q2784" s="640" t="inlineStr">
        <is>
          <t>59.889236</t>
        </is>
      </c>
      <c r="R2784" s="494" t="inlineStr">
        <is>
          <t>30.588927</t>
        </is>
      </c>
      <c r="Z2784" s="1" t="n"/>
    </row>
    <row r="2785" hidden="1" ht="16.05" customHeight="1">
      <c r="A2785" s="125" t="n">
        <v>3404</v>
      </c>
      <c r="B2785" s="791" t="n"/>
      <c r="C2785" s="130" t="inlineStr">
        <is>
          <t>Санкт-Петербург</t>
        </is>
      </c>
      <c r="D2785" s="130" t="inlineStr">
        <is>
          <t>Ленинградская область</t>
        </is>
      </c>
      <c r="E2785" s="130" t="n"/>
      <c r="F2785" s="130" t="inlineStr">
        <is>
          <t>АЗС</t>
        </is>
      </c>
      <c r="G2785" s="130" t="inlineStr">
        <is>
          <t>Роснефть</t>
        </is>
      </c>
      <c r="H2785" s="131" t="n">
        <v>455</v>
      </c>
      <c r="I2785" s="637" t="inlineStr">
        <is>
          <t>455 Кола-2</t>
        </is>
      </c>
      <c r="J2785" s="637" t="inlineStr">
        <is>
          <t>SPB_RN_P_455</t>
        </is>
      </c>
      <c r="K2785" s="640" t="n">
        <v>2</v>
      </c>
      <c r="L2785" s="640" t="n">
        <v>1</v>
      </c>
      <c r="M2785" s="623" t="inlineStr">
        <is>
          <t>Samsung 32" вертикальный</t>
        </is>
      </c>
      <c r="N2785" s="640" t="n"/>
      <c r="O2785" s="640">
        <f>IF(AND(N2785=1,L2785=1),K2785,"")</f>
        <v/>
      </c>
      <c r="P2785" s="642" t="inlineStr">
        <is>
          <t>Ленинградская область, Всеволожский район, д. Кола-2, Мурманское шоссе, 17-й км. (справа по ходу движения из Санкт-Петербург в Мурманск)</t>
        </is>
      </c>
      <c r="Q2785" s="640" t="inlineStr">
        <is>
          <t>59.888032</t>
        </is>
      </c>
      <c r="R2785" s="494" t="inlineStr">
        <is>
          <t>30.587757</t>
        </is>
      </c>
      <c r="Z2785" s="1" t="n"/>
    </row>
    <row r="2786" hidden="1" ht="16.05" customHeight="1">
      <c r="A2786" s="125" t="n">
        <v>3405</v>
      </c>
      <c r="B2786" s="791" t="n"/>
      <c r="C2786" s="130" t="inlineStr">
        <is>
          <t>Санкт-Петербург</t>
        </is>
      </c>
      <c r="D2786" s="130" t="inlineStr">
        <is>
          <t>Санкт-Петербург</t>
        </is>
      </c>
      <c r="E2786" s="130" t="n"/>
      <c r="F2786" s="130" t="inlineStr">
        <is>
          <t>АЗС</t>
        </is>
      </c>
      <c r="G2786" s="130" t="inlineStr">
        <is>
          <t>Роснефть</t>
        </is>
      </c>
      <c r="H2786" s="131" t="n">
        <v>471</v>
      </c>
      <c r="I2786" s="637" t="inlineStr">
        <is>
          <t>471 Пулково-2</t>
        </is>
      </c>
      <c r="J2786" s="637" t="inlineStr">
        <is>
          <t>SPB_RN_P_471</t>
        </is>
      </c>
      <c r="K2786" s="640" t="n">
        <v>1</v>
      </c>
      <c r="L2786" s="640" t="n">
        <v>1</v>
      </c>
      <c r="M2786" s="623" t="inlineStr">
        <is>
          <t>Samsung 32" вертикальный</t>
        </is>
      </c>
      <c r="N2786" s="640" t="n"/>
      <c r="O2786" s="640">
        <f>IF(AND(N2786=1,L2786=1),K2786,"")</f>
        <v/>
      </c>
      <c r="P2786" s="642" t="inlineStr">
        <is>
          <t>г. Санкт-Петербург, Пулковское шоссе, 55</t>
        </is>
      </c>
      <c r="Q2786" s="640" t="inlineStr">
        <is>
          <t>59.777786</t>
        </is>
      </c>
      <c r="R2786" s="494" t="inlineStr">
        <is>
          <t>30.323774</t>
        </is>
      </c>
      <c r="Z2786" s="1" t="n"/>
    </row>
    <row r="2787" hidden="1" ht="16.05" customHeight="1">
      <c r="A2787" s="125" t="n">
        <v>3406</v>
      </c>
      <c r="B2787" s="791" t="n"/>
      <c r="C2787" s="130" t="inlineStr">
        <is>
          <t>Санкт-Петербург</t>
        </is>
      </c>
      <c r="D2787" s="130" t="inlineStr">
        <is>
          <t>Санкт-Петербург</t>
        </is>
      </c>
      <c r="E2787" s="130" t="n"/>
      <c r="F2787" s="130" t="inlineStr">
        <is>
          <t>АЗС</t>
        </is>
      </c>
      <c r="G2787" s="130" t="inlineStr">
        <is>
          <t>Роснефть</t>
        </is>
      </c>
      <c r="H2787" s="131" t="n">
        <v>472</v>
      </c>
      <c r="I2787" s="637" t="inlineStr">
        <is>
          <t>472 Большевиков-2</t>
        </is>
      </c>
      <c r="J2787" s="637" t="inlineStr">
        <is>
          <t>SPB_RN_P_472</t>
        </is>
      </c>
      <c r="K2787" s="640" t="n">
        <v>1</v>
      </c>
      <c r="L2787" s="640" t="n">
        <v>1</v>
      </c>
      <c r="M2787" s="623" t="inlineStr">
        <is>
          <t>Samsung 32" вертикальный</t>
        </is>
      </c>
      <c r="N2787" s="640" t="n"/>
      <c r="O2787" s="640">
        <f>IF(AND(N2787=1,L2787=1),K2787,"")</f>
        <v/>
      </c>
      <c r="P2787" s="642" t="inlineStr">
        <is>
          <t>г. Санкт-Петербург, пр-т Большевиков, д.44</t>
        </is>
      </c>
      <c r="Q2787" s="640" t="inlineStr">
        <is>
          <t>59.887842</t>
        </is>
      </c>
      <c r="R2787" s="494" t="inlineStr">
        <is>
          <t>30.490992</t>
        </is>
      </c>
      <c r="Z2787" s="1" t="n"/>
    </row>
    <row r="2788" hidden="1" ht="16.05" customHeight="1">
      <c r="A2788" s="125" t="n">
        <v>3409</v>
      </c>
      <c r="B2788" s="791" t="n"/>
      <c r="C2788" s="130" t="inlineStr">
        <is>
          <t>Москва</t>
        </is>
      </c>
      <c r="D2788" s="130" t="inlineStr">
        <is>
          <t>Москва</t>
        </is>
      </c>
      <c r="E2788" s="130" t="n"/>
      <c r="F2788" s="130" t="inlineStr">
        <is>
          <t>Супермаркет</t>
        </is>
      </c>
      <c r="G2788" s="130" t="inlineStr">
        <is>
          <t>Энотека АВ</t>
        </is>
      </c>
      <c r="H2788" s="131" t="n"/>
      <c r="I2788" s="637" t="n">
        <v>3</v>
      </c>
      <c r="J2788" s="637" t="inlineStr">
        <is>
          <t>MSK_E_003</t>
        </is>
      </c>
      <c r="K2788" s="640" t="n">
        <v>1</v>
      </c>
      <c r="L2788" s="640" t="n">
        <v>1</v>
      </c>
      <c r="M2788" s="623" t="inlineStr">
        <is>
          <t>Samsung 43" вертикальный</t>
        </is>
      </c>
      <c r="N2788" s="640" t="n"/>
      <c r="O2788" s="640">
        <f>IF(AND(N2788=1,L2788=1),K2788,"")</f>
        <v/>
      </c>
      <c r="P2788" s="642" t="inlineStr">
        <is>
          <t>г. Москва, Покрышкина, дом 4</t>
        </is>
      </c>
      <c r="Q2788" s="640" t="inlineStr">
        <is>
          <t>55.665061</t>
        </is>
      </c>
      <c r="R2788" s="494" t="inlineStr">
        <is>
          <t>37.481487</t>
        </is>
      </c>
      <c r="S2788" s="387" t="n">
        <v>15</v>
      </c>
      <c r="T2788" s="529">
        <f>S2788*O2788</f>
        <v/>
      </c>
      <c r="Z2788" s="1" t="n"/>
    </row>
    <row r="2789" hidden="1" ht="16.05" customHeight="1">
      <c r="A2789" s="125" t="n">
        <v>3407</v>
      </c>
      <c r="B2789" s="791" t="n"/>
      <c r="C2789" s="130" t="inlineStr">
        <is>
          <t>Москва</t>
        </is>
      </c>
      <c r="D2789" s="130" t="inlineStr">
        <is>
          <t>Москва</t>
        </is>
      </c>
      <c r="E2789" s="130" t="n"/>
      <c r="F2789" s="130" t="inlineStr">
        <is>
          <t>Супермаркет</t>
        </is>
      </c>
      <c r="G2789" s="130" t="inlineStr">
        <is>
          <t>Энотека АВ</t>
        </is>
      </c>
      <c r="H2789" s="131" t="n"/>
      <c r="I2789" s="637" t="n">
        <v>1</v>
      </c>
      <c r="J2789" s="402" t="inlineStr">
        <is>
          <t>MSK_001_E</t>
        </is>
      </c>
      <c r="K2789" s="640" t="n">
        <v>1</v>
      </c>
      <c r="L2789" s="640" t="n">
        <v>0</v>
      </c>
      <c r="M2789" s="640" t="inlineStr">
        <is>
          <t>Sam 43</t>
        </is>
      </c>
      <c r="N2789" s="640" t="n"/>
      <c r="O2789" s="640">
        <f>IF(AND(N2789=1,L2789=1),K2789,"")</f>
        <v/>
      </c>
      <c r="P2789" s="642" t="inlineStr">
        <is>
          <t>г. Москва, Комсомольский проспект, д.4</t>
        </is>
      </c>
      <c r="Q2789" s="640" t="n">
        <v>55.733092</v>
      </c>
      <c r="R2789" s="422" t="n">
        <v>37.592285</v>
      </c>
      <c r="S2789" s="387" t="n">
        <v>24</v>
      </c>
      <c r="T2789" s="529">
        <f>S2789*O2789</f>
        <v/>
      </c>
      <c r="U2789" s="436" t="n">
        <v>1</v>
      </c>
      <c r="V2789" s="438">
        <f>IF(AND(N2789=1,U2789=1),C2789,"")</f>
        <v/>
      </c>
      <c r="X2789" s="1" t="n"/>
      <c r="Y2789" s="1" t="n"/>
      <c r="Z2789" s="1" t="n"/>
    </row>
    <row r="2790" hidden="1" ht="16.05" customHeight="1">
      <c r="A2790" s="125" t="n">
        <v>3408</v>
      </c>
      <c r="B2790" s="791" t="n"/>
      <c r="C2790" s="130" t="inlineStr">
        <is>
          <t>Москва</t>
        </is>
      </c>
      <c r="D2790" s="130" t="inlineStr">
        <is>
          <t>Москва</t>
        </is>
      </c>
      <c r="E2790" s="130" t="n"/>
      <c r="F2790" s="130" t="inlineStr">
        <is>
          <t>Супермаркет</t>
        </is>
      </c>
      <c r="G2790" s="130" t="inlineStr">
        <is>
          <t>Энотека АВ</t>
        </is>
      </c>
      <c r="H2790" s="131" t="n"/>
      <c r="I2790" s="637" t="n">
        <v>2</v>
      </c>
      <c r="J2790" s="402" t="inlineStr">
        <is>
          <t>MSK_002_E</t>
        </is>
      </c>
      <c r="K2790" s="640" t="n">
        <v>1</v>
      </c>
      <c r="L2790" s="640" t="n">
        <v>0</v>
      </c>
      <c r="M2790" s="640" t="inlineStr">
        <is>
          <t>Sam 43</t>
        </is>
      </c>
      <c r="N2790" s="640" t="n"/>
      <c r="O2790" s="640">
        <f>IF(AND(N2790=1,L2790=1),K2790,"")</f>
        <v/>
      </c>
      <c r="P2790" s="642" t="inlineStr">
        <is>
          <t>г.Москва, Мичуринский проспект, д.22, корп.1</t>
        </is>
      </c>
      <c r="Q2790" s="640" t="n">
        <v>55.701298</v>
      </c>
      <c r="R2790" s="422" t="n">
        <v>37.503837</v>
      </c>
      <c r="S2790" s="387" t="n">
        <v>24</v>
      </c>
      <c r="T2790" s="529">
        <f>S2790*O2790</f>
        <v/>
      </c>
      <c r="U2790" s="436" t="n">
        <v>1</v>
      </c>
      <c r="V2790" s="438">
        <f>IF(AND(N2790=1,U2790=1),C2790,"")</f>
        <v/>
      </c>
      <c r="X2790" s="1" t="n"/>
      <c r="Y2790" s="1" t="n"/>
      <c r="Z2790" s="1" t="n"/>
    </row>
    <row r="2791" hidden="1" ht="16.05" customHeight="1">
      <c r="A2791" s="125" t="n">
        <v>3412</v>
      </c>
      <c r="B2791" s="791" t="n"/>
      <c r="C2791" s="130" t="inlineStr">
        <is>
          <t>Москва</t>
        </is>
      </c>
      <c r="D2791" s="130" t="inlineStr">
        <is>
          <t>Москва</t>
        </is>
      </c>
      <c r="E2791" s="130" t="n"/>
      <c r="F2791" s="130" t="inlineStr">
        <is>
          <t>Супермаркет</t>
        </is>
      </c>
      <c r="G2791" s="130" t="inlineStr">
        <is>
          <t>Энотека АВ</t>
        </is>
      </c>
      <c r="H2791" s="131" t="n"/>
      <c r="I2791" s="637" t="n">
        <v>6</v>
      </c>
      <c r="J2791" s="637" t="inlineStr">
        <is>
          <t>MSK_E_006</t>
        </is>
      </c>
      <c r="K2791" s="640" t="n">
        <v>1</v>
      </c>
      <c r="L2791" s="640" t="n">
        <v>1</v>
      </c>
      <c r="M2791" s="623" t="inlineStr">
        <is>
          <t>Samsung 43" вертикальный</t>
        </is>
      </c>
      <c r="N2791" s="640" t="n"/>
      <c r="O2791" s="640">
        <f>IF(AND(N2791=1,L2791=1),K2791,"")</f>
        <v/>
      </c>
      <c r="P2791" s="642" t="inlineStr">
        <is>
          <t>г. Москва, Можайское ш., д.32</t>
        </is>
      </c>
      <c r="Q2791" s="640" t="inlineStr">
        <is>
          <t>55.719622</t>
        </is>
      </c>
      <c r="R2791" s="494" t="inlineStr">
        <is>
          <t>37.418506</t>
        </is>
      </c>
      <c r="S2791" s="387" t="n">
        <v>24</v>
      </c>
      <c r="T2791" s="529">
        <f>S2791*O2791</f>
        <v/>
      </c>
      <c r="U2791" s="436" t="n">
        <v>1</v>
      </c>
      <c r="V2791" s="438">
        <f>IF(AND(N2791=1,U2791=1),C2791,"")</f>
        <v/>
      </c>
      <c r="Z2791" s="1" t="n"/>
    </row>
    <row r="2792" hidden="1" ht="16.05" customHeight="1">
      <c r="A2792" s="125" t="n">
        <v>3410</v>
      </c>
      <c r="B2792" s="791" t="n"/>
      <c r="C2792" s="130" t="inlineStr">
        <is>
          <t>Москва</t>
        </is>
      </c>
      <c r="D2792" s="130" t="inlineStr">
        <is>
          <t>Москва</t>
        </is>
      </c>
      <c r="E2792" s="130" t="n"/>
      <c r="F2792" s="130" t="inlineStr">
        <is>
          <t>Супермаркет</t>
        </is>
      </c>
      <c r="G2792" s="130" t="inlineStr">
        <is>
          <t>Энотека АВ</t>
        </is>
      </c>
      <c r="H2792" s="131" t="n"/>
      <c r="I2792" s="637" t="n">
        <v>4</v>
      </c>
      <c r="J2792" s="402" t="inlineStr">
        <is>
          <t>MSK_004_E</t>
        </is>
      </c>
      <c r="K2792" s="640" t="n">
        <v>1</v>
      </c>
      <c r="L2792" s="640" t="n">
        <v>0</v>
      </c>
      <c r="M2792" s="640" t="inlineStr">
        <is>
          <t>Sam 43</t>
        </is>
      </c>
      <c r="N2792" s="640" t="n"/>
      <c r="O2792" s="640">
        <f>IF(AND(N2792=1,L2792=1),K2792,"")</f>
        <v/>
      </c>
      <c r="P2792" s="642" t="inlineStr">
        <is>
          <t>г. Москва, Комсомольский проспект, д.34 стр.1</t>
        </is>
      </c>
      <c r="Q2792" s="640" t="n">
        <v>55.724287</v>
      </c>
      <c r="R2792" s="422" t="n">
        <v>37.577265</v>
      </c>
      <c r="S2792" s="387" t="n">
        <v>24</v>
      </c>
      <c r="T2792" s="529">
        <f>S2792*O2792</f>
        <v/>
      </c>
      <c r="U2792" s="436" t="n">
        <v>1</v>
      </c>
      <c r="V2792" s="438">
        <f>IF(AND(N2792=1,U2792=1),C2792,"")</f>
        <v/>
      </c>
      <c r="X2792" s="1" t="n"/>
      <c r="Y2792" s="1" t="n"/>
      <c r="Z2792" s="1" t="n"/>
    </row>
    <row r="2793" hidden="1" ht="16.05" customHeight="1">
      <c r="A2793" s="125" t="n">
        <v>3411</v>
      </c>
      <c r="B2793" s="791" t="n"/>
      <c r="C2793" s="130" t="inlineStr">
        <is>
          <t>Москва</t>
        </is>
      </c>
      <c r="D2793" s="130" t="inlineStr">
        <is>
          <t>Москва</t>
        </is>
      </c>
      <c r="E2793" s="130" t="n"/>
      <c r="F2793" s="130" t="inlineStr">
        <is>
          <t>Супермаркет</t>
        </is>
      </c>
      <c r="G2793" s="130" t="inlineStr">
        <is>
          <t>Энотека АВ</t>
        </is>
      </c>
      <c r="H2793" s="131" t="n"/>
      <c r="I2793" s="637" t="n">
        <v>5</v>
      </c>
      <c r="J2793" s="402" t="inlineStr">
        <is>
          <t>MSK_005_E</t>
        </is>
      </c>
      <c r="K2793" s="640" t="n">
        <v>2</v>
      </c>
      <c r="L2793" s="640" t="n">
        <v>0</v>
      </c>
      <c r="M2793" s="640" t="inlineStr">
        <is>
          <t>Sam 43</t>
        </is>
      </c>
      <c r="N2793" s="640" t="n"/>
      <c r="O2793" s="640">
        <f>IF(AND(N2793=1,L2793=1),K2793,"")</f>
        <v/>
      </c>
      <c r="P2793" s="642" t="inlineStr">
        <is>
          <t>г.Москва, Проспект Вернадского, д. 14А</t>
        </is>
      </c>
      <c r="Q2793" s="640" t="n">
        <v>55.677965</v>
      </c>
      <c r="R2793" s="422" t="n">
        <v>37.507526</v>
      </c>
      <c r="S2793" s="387" t="n">
        <v>24</v>
      </c>
      <c r="T2793" s="529">
        <f>S2793*O2793</f>
        <v/>
      </c>
      <c r="U2793" s="436" t="n">
        <v>1</v>
      </c>
      <c r="V2793" s="438">
        <f>IF(AND(N2793=1,U2793=1),C2793,"")</f>
        <v/>
      </c>
      <c r="X2793" s="1" t="n"/>
      <c r="Y2793" s="1" t="n"/>
      <c r="Z2793" s="1" t="n"/>
    </row>
    <row r="2794" hidden="1" ht="16.05" customHeight="1">
      <c r="A2794" s="125" t="n">
        <v>3422</v>
      </c>
      <c r="B2794" s="791" t="n"/>
      <c r="C2794" s="130" t="inlineStr">
        <is>
          <t>Москва</t>
        </is>
      </c>
      <c r="D2794" s="130" t="inlineStr">
        <is>
          <t>Москва</t>
        </is>
      </c>
      <c r="E2794" s="130" t="n"/>
      <c r="F2794" s="130" t="inlineStr">
        <is>
          <t>Супермаркет</t>
        </is>
      </c>
      <c r="G2794" s="130" t="inlineStr">
        <is>
          <t>Энотека АВ</t>
        </is>
      </c>
      <c r="H2794" s="131" t="n"/>
      <c r="I2794" s="637" t="n">
        <v>21</v>
      </c>
      <c r="J2794" s="637" t="inlineStr">
        <is>
          <t>MSK_E_021</t>
        </is>
      </c>
      <c r="K2794" s="640" t="n">
        <v>1</v>
      </c>
      <c r="L2794" s="640" t="n">
        <v>1</v>
      </c>
      <c r="M2794" s="623" t="inlineStr">
        <is>
          <t>Samsung 43" вертикальный</t>
        </is>
      </c>
      <c r="N2794" s="640" t="n"/>
      <c r="O2794" s="640">
        <f>IF(AND(N2794=1,L2794=1),K2794,"")</f>
        <v/>
      </c>
      <c r="P2794" s="642" t="inlineStr">
        <is>
          <t>г. Москва, Большая Якиманка, д.32</t>
        </is>
      </c>
      <c r="Q2794" s="640" t="inlineStr">
        <is>
          <t>55.7353</t>
        </is>
      </c>
      <c r="R2794" s="494" t="inlineStr">
        <is>
          <t>37.612729</t>
        </is>
      </c>
      <c r="S2794" s="387" t="n">
        <v>24</v>
      </c>
      <c r="T2794" s="529">
        <f>S2794*O2794</f>
        <v/>
      </c>
      <c r="U2794" s="436" t="n">
        <v>1</v>
      </c>
      <c r="V2794" s="438">
        <f>IF(AND(N2794=1,U2794=1),C2794,"")</f>
        <v/>
      </c>
      <c r="Z2794" s="1" t="n"/>
    </row>
    <row r="2795" hidden="1" ht="16.05" customHeight="1">
      <c r="A2795" s="125" t="n">
        <v>3413</v>
      </c>
      <c r="B2795" s="791" t="n"/>
      <c r="C2795" s="130" t="inlineStr">
        <is>
          <t>Москва</t>
        </is>
      </c>
      <c r="D2795" s="130" t="inlineStr">
        <is>
          <t>Москва</t>
        </is>
      </c>
      <c r="E2795" s="130" t="n"/>
      <c r="F2795" s="130" t="inlineStr">
        <is>
          <t>Супермаркет</t>
        </is>
      </c>
      <c r="G2795" s="130" t="inlineStr">
        <is>
          <t>Энотека АВ</t>
        </is>
      </c>
      <c r="H2795" s="131" t="n"/>
      <c r="I2795" s="637" t="n">
        <v>7</v>
      </c>
      <c r="J2795" s="402" t="inlineStr">
        <is>
          <t>MSK_007_Е</t>
        </is>
      </c>
      <c r="K2795" s="640" t="n">
        <v>1</v>
      </c>
      <c r="L2795" s="640" t="n">
        <v>0</v>
      </c>
      <c r="M2795" s="640" t="inlineStr">
        <is>
          <t>Sam 43</t>
        </is>
      </c>
      <c r="N2795" s="640" t="n"/>
      <c r="O2795" s="640">
        <f>IF(AND(N2795=1,L2795=1),K2795,"")</f>
        <v/>
      </c>
      <c r="P2795" s="642" t="inlineStr">
        <is>
          <t>г.Москва, ул. Островитянова, д.2</t>
        </is>
      </c>
      <c r="Q2795" s="640" t="n">
        <v>55.645929</v>
      </c>
      <c r="R2795" s="422" t="n">
        <v>37.486159</v>
      </c>
      <c r="S2795" s="387" t="n">
        <v>24</v>
      </c>
      <c r="T2795" s="529">
        <f>S2795*O2795</f>
        <v/>
      </c>
      <c r="U2795" s="436" t="n">
        <v>1</v>
      </c>
      <c r="V2795" s="438">
        <f>IF(AND(N2795=1,U2795=1),C2795,"")</f>
        <v/>
      </c>
      <c r="X2795" s="1" t="n"/>
      <c r="Y2795" s="1" t="n"/>
      <c r="Z2795" s="1" t="n"/>
    </row>
    <row r="2796" hidden="1" ht="16.05" customHeight="1">
      <c r="A2796" s="125" t="n">
        <v>3414</v>
      </c>
      <c r="B2796" s="791" t="n"/>
      <c r="C2796" s="130" t="inlineStr">
        <is>
          <t>Москва</t>
        </is>
      </c>
      <c r="D2796" s="130" t="inlineStr">
        <is>
          <t>Москва</t>
        </is>
      </c>
      <c r="E2796" s="130" t="n"/>
      <c r="F2796" s="130" t="inlineStr">
        <is>
          <t>Супермаркет</t>
        </is>
      </c>
      <c r="G2796" s="130" t="inlineStr">
        <is>
          <t>Энотека АВ</t>
        </is>
      </c>
      <c r="H2796" s="131" t="n"/>
      <c r="I2796" s="637" t="n">
        <v>8</v>
      </c>
      <c r="J2796" s="402" t="inlineStr">
        <is>
          <t>MSK_008_Е</t>
        </is>
      </c>
      <c r="K2796" s="640" t="n">
        <v>1</v>
      </c>
      <c r="L2796" s="640" t="n">
        <v>0</v>
      </c>
      <c r="M2796" s="640" t="inlineStr">
        <is>
          <t>Sam 43</t>
        </is>
      </c>
      <c r="N2796" s="640" t="n"/>
      <c r="O2796" s="640">
        <f>IF(AND(N2796=1,L2796=1),K2796,"")</f>
        <v/>
      </c>
      <c r="P2796" s="642" t="inlineStr">
        <is>
          <t>г. Москва, Мичуринский проспект, д. 58, стр.1</t>
        </is>
      </c>
      <c r="Q2796" s="640" t="n">
        <v>55.691306</v>
      </c>
      <c r="R2796" s="422" t="n">
        <v>37.486471</v>
      </c>
      <c r="S2796" s="387" t="n">
        <v>15</v>
      </c>
      <c r="T2796" s="529">
        <f>S2796*O2796</f>
        <v/>
      </c>
      <c r="U2796" s="436" t="n">
        <v>1</v>
      </c>
      <c r="V2796" s="438">
        <f>IF(AND(N2796=1,U2796=1),C2796,"")</f>
        <v/>
      </c>
      <c r="X2796" s="1" t="n"/>
      <c r="Y2796" s="1" t="n"/>
      <c r="Z2796" s="1" t="n"/>
    </row>
    <row r="2797" hidden="1" ht="16.05" customHeight="1">
      <c r="A2797" s="125" t="n">
        <v>3415</v>
      </c>
      <c r="B2797" s="791" t="n"/>
      <c r="C2797" s="130" t="inlineStr">
        <is>
          <t>Москва</t>
        </is>
      </c>
      <c r="D2797" s="130" t="inlineStr">
        <is>
          <t>Москва</t>
        </is>
      </c>
      <c r="E2797" s="130" t="n"/>
      <c r="F2797" s="130" t="inlineStr">
        <is>
          <t>Супермаркет</t>
        </is>
      </c>
      <c r="G2797" s="130" t="inlineStr">
        <is>
          <t>Энотека АВ</t>
        </is>
      </c>
      <c r="H2797" s="131" t="n"/>
      <c r="I2797" s="637" t="n">
        <v>9</v>
      </c>
      <c r="J2797" s="402" t="inlineStr">
        <is>
          <t>MSK_009_Е</t>
        </is>
      </c>
      <c r="K2797" s="640" t="n">
        <v>1</v>
      </c>
      <c r="L2797" s="640" t="n">
        <v>0</v>
      </c>
      <c r="M2797" s="640" t="inlineStr">
        <is>
          <t>Sam 43</t>
        </is>
      </c>
      <c r="N2797" s="640" t="n"/>
      <c r="O2797" s="640">
        <f>IF(AND(N2797=1,L2797=1),K2797,"")</f>
        <v/>
      </c>
      <c r="P2797" s="642" t="inlineStr">
        <is>
          <t>г. Москва, Трубная площадь, д. 2</t>
        </is>
      </c>
      <c r="Q2797" s="640" t="n">
        <v>55.766038</v>
      </c>
      <c r="R2797" s="422" t="n">
        <v>37.621239</v>
      </c>
      <c r="S2797" s="387" t="n">
        <v>24</v>
      </c>
      <c r="T2797" s="529">
        <f>S2797*O2797</f>
        <v/>
      </c>
      <c r="U2797" s="436" t="n">
        <v>1</v>
      </c>
      <c r="V2797" s="438">
        <f>IF(AND(N2797=1,U2797=1),C2797,"")</f>
        <v/>
      </c>
      <c r="X2797" s="1" t="n"/>
      <c r="Y2797" s="1" t="n"/>
      <c r="Z2797" s="1" t="n"/>
    </row>
    <row r="2798" hidden="1" ht="16.05" customHeight="1">
      <c r="A2798" s="125" t="n">
        <v>3416</v>
      </c>
      <c r="B2798" s="791" t="n"/>
      <c r="C2798" s="130" t="inlineStr">
        <is>
          <t>Москва</t>
        </is>
      </c>
      <c r="D2798" s="130" t="inlineStr">
        <is>
          <t>Москва</t>
        </is>
      </c>
      <c r="E2798" s="130" t="n"/>
      <c r="F2798" s="130" t="inlineStr">
        <is>
          <t>Супермаркет</t>
        </is>
      </c>
      <c r="G2798" s="130" t="inlineStr">
        <is>
          <t>Энотека АВ</t>
        </is>
      </c>
      <c r="H2798" s="131" t="n"/>
      <c r="I2798" s="637" t="n">
        <v>10</v>
      </c>
      <c r="J2798" s="402" t="inlineStr">
        <is>
          <t>MSK_010_Е</t>
        </is>
      </c>
      <c r="K2798" s="640" t="n">
        <v>1</v>
      </c>
      <c r="L2798" s="640" t="n">
        <v>0</v>
      </c>
      <c r="M2798" s="640" t="inlineStr">
        <is>
          <t>Sam 43</t>
        </is>
      </c>
      <c r="N2798" s="640" t="n"/>
      <c r="O2798" s="640">
        <f>IF(AND(N2798=1,L2798=1),K2798,"")</f>
        <v/>
      </c>
      <c r="P2798" s="642" t="inlineStr">
        <is>
          <t>г. Москва, Проспект Мира, д.97</t>
        </is>
      </c>
      <c r="Q2798" s="640" t="n">
        <v>55.809231</v>
      </c>
      <c r="R2798" s="422" t="n">
        <v>37.636392</v>
      </c>
      <c r="S2798" s="387" t="n">
        <v>24</v>
      </c>
      <c r="T2798" s="529">
        <f>S2798*O2798</f>
        <v/>
      </c>
      <c r="U2798" s="436" t="n">
        <v>1</v>
      </c>
      <c r="V2798" s="438">
        <f>IF(AND(N2798=1,U2798=1),C2798,"")</f>
        <v/>
      </c>
      <c r="X2798" s="1" t="n"/>
      <c r="Y2798" s="1" t="n"/>
      <c r="Z2798" s="1" t="n"/>
    </row>
    <row r="2799" hidden="1" ht="16.05" customHeight="1">
      <c r="A2799" s="125" t="n">
        <v>3417</v>
      </c>
      <c r="B2799" s="791" t="n"/>
      <c r="C2799" s="130" t="inlineStr">
        <is>
          <t>Москва</t>
        </is>
      </c>
      <c r="D2799" s="130" t="inlineStr">
        <is>
          <t>Москва</t>
        </is>
      </c>
      <c r="E2799" s="130" t="n"/>
      <c r="F2799" s="130" t="inlineStr">
        <is>
          <t>Супермаркет</t>
        </is>
      </c>
      <c r="G2799" s="130" t="inlineStr">
        <is>
          <t>Энотека АВ</t>
        </is>
      </c>
      <c r="H2799" s="131" t="n"/>
      <c r="I2799" s="637" t="n">
        <v>15</v>
      </c>
      <c r="J2799" s="637" t="inlineStr">
        <is>
          <t>MSK_E_015</t>
        </is>
      </c>
      <c r="K2799" s="640" t="n">
        <v>1</v>
      </c>
      <c r="L2799" s="640" t="n">
        <v>0</v>
      </c>
      <c r="M2799" s="640" t="inlineStr">
        <is>
          <t>Samsung 43" вертикальный</t>
        </is>
      </c>
      <c r="N2799" s="640" t="n"/>
      <c r="O2799" s="640">
        <f>IF(AND(N2799=1,L2799=1),K2799,"")</f>
        <v/>
      </c>
      <c r="P2799" s="642" t="inlineStr">
        <is>
          <t>г. Москва, Ярославское шоссе, дом 12. корпус 2</t>
        </is>
      </c>
      <c r="Q2799" s="640" t="inlineStr">
        <is>
          <t>55.85474</t>
        </is>
      </c>
      <c r="R2799" s="422" t="inlineStr">
        <is>
          <t>37.683183</t>
        </is>
      </c>
      <c r="S2799" s="387" t="n">
        <v>15</v>
      </c>
      <c r="T2799" s="529">
        <f>S2799*O2799</f>
        <v/>
      </c>
      <c r="U2799" s="436" t="n">
        <v>1</v>
      </c>
      <c r="V2799" s="438">
        <f>IF(AND(N2799=1,U2799=1),C2799,"")</f>
        <v/>
      </c>
      <c r="X2799" s="1" t="n"/>
      <c r="Y2799" s="1" t="n"/>
      <c r="Z2799" s="1" t="n"/>
    </row>
    <row r="2800" hidden="1" ht="16.05" customHeight="1">
      <c r="A2800" s="125" t="n">
        <v>3418</v>
      </c>
      <c r="B2800" s="791" t="n"/>
      <c r="C2800" s="130" t="inlineStr">
        <is>
          <t>Москва</t>
        </is>
      </c>
      <c r="D2800" s="130" t="inlineStr">
        <is>
          <t>Москва</t>
        </is>
      </c>
      <c r="E2800" s="130" t="n"/>
      <c r="F2800" s="130" t="inlineStr">
        <is>
          <t>Супермаркет</t>
        </is>
      </c>
      <c r="G2800" s="130" t="inlineStr">
        <is>
          <t>Энотека АВ</t>
        </is>
      </c>
      <c r="H2800" s="131" t="n"/>
      <c r="I2800" s="637" t="n">
        <v>16</v>
      </c>
      <c r="J2800" s="402" t="inlineStr">
        <is>
          <t>MSK_016_Е</t>
        </is>
      </c>
      <c r="K2800" s="640" t="n">
        <v>1</v>
      </c>
      <c r="L2800" s="640" t="n">
        <v>0</v>
      </c>
      <c r="M2800" s="640" t="inlineStr">
        <is>
          <t>Sam 43</t>
        </is>
      </c>
      <c r="N2800" s="640" t="n"/>
      <c r="O2800" s="640">
        <f>IF(AND(N2800=1,L2800=1),K2800,"")</f>
        <v/>
      </c>
      <c r="P2800" s="642" t="inlineStr">
        <is>
          <t>г. Москва, Нижегородская ул, д. 16</t>
        </is>
      </c>
      <c r="Q2800" s="640" t="n">
        <v>55.737561</v>
      </c>
      <c r="R2800" s="422" t="n">
        <v>37.683374</v>
      </c>
      <c r="S2800" s="387" t="n">
        <v>15</v>
      </c>
      <c r="T2800" s="529">
        <f>S2800*O2800</f>
        <v/>
      </c>
      <c r="U2800" s="436" t="n">
        <v>1</v>
      </c>
      <c r="V2800" s="438">
        <f>IF(AND(N2800=1,U2800=1),C2800,"")</f>
        <v/>
      </c>
      <c r="X2800" s="1" t="n"/>
      <c r="Y2800" s="1" t="n"/>
      <c r="Z2800" s="1" t="n"/>
    </row>
    <row r="2801" hidden="1" ht="16.05" customHeight="1">
      <c r="A2801" s="125" t="n">
        <v>3419</v>
      </c>
      <c r="B2801" s="791" t="n"/>
      <c r="C2801" s="130" t="inlineStr">
        <is>
          <t>Москва</t>
        </is>
      </c>
      <c r="D2801" s="130" t="inlineStr">
        <is>
          <t>Москва</t>
        </is>
      </c>
      <c r="E2801" s="130" t="n"/>
      <c r="F2801" s="130" t="inlineStr">
        <is>
          <t>Супермаркет</t>
        </is>
      </c>
      <c r="G2801" s="130" t="inlineStr">
        <is>
          <t>Энотека АВ</t>
        </is>
      </c>
      <c r="H2801" s="131" t="n"/>
      <c r="I2801" s="637" t="n">
        <v>17</v>
      </c>
      <c r="J2801" s="402" t="inlineStr">
        <is>
          <t>MSK_017_Е</t>
        </is>
      </c>
      <c r="K2801" s="640" t="n">
        <v>1</v>
      </c>
      <c r="L2801" s="640" t="n">
        <v>0</v>
      </c>
      <c r="M2801" s="640" t="inlineStr">
        <is>
          <t>Sam 43</t>
        </is>
      </c>
      <c r="N2801" s="640" t="n"/>
      <c r="O2801" s="640">
        <f>IF(AND(N2801=1,L2801=1),K2801,"")</f>
        <v/>
      </c>
      <c r="P2801" s="642" t="inlineStr">
        <is>
          <t>г. Москва, Большая Тульская д. 13</t>
        </is>
      </c>
      <c r="Q2801" s="640" t="n">
        <v>55.708351</v>
      </c>
      <c r="R2801" s="422" t="n">
        <v>37.621994</v>
      </c>
      <c r="S2801" s="387" t="n">
        <v>24</v>
      </c>
      <c r="T2801" s="529">
        <f>S2801*O2801</f>
        <v/>
      </c>
      <c r="U2801" s="436" t="n">
        <v>1</v>
      </c>
      <c r="V2801" s="438">
        <f>IF(AND(N2801=1,U2801=1),C2801,"")</f>
        <v/>
      </c>
      <c r="X2801" s="1" t="n"/>
      <c r="Y2801" s="1" t="n"/>
      <c r="Z2801" s="1" t="n"/>
    </row>
    <row r="2802" hidden="1" ht="16.05" customHeight="1">
      <c r="A2802" s="125" t="n">
        <v>3420</v>
      </c>
      <c r="B2802" s="791" t="n"/>
      <c r="C2802" s="130" t="inlineStr">
        <is>
          <t>Москва</t>
        </is>
      </c>
      <c r="D2802" s="130" t="inlineStr">
        <is>
          <t>Москва</t>
        </is>
      </c>
      <c r="E2802" s="130" t="n"/>
      <c r="F2802" s="130" t="inlineStr">
        <is>
          <t>Супермаркет</t>
        </is>
      </c>
      <c r="G2802" s="130" t="inlineStr">
        <is>
          <t>Энотека АВ</t>
        </is>
      </c>
      <c r="H2802" s="131" t="n"/>
      <c r="I2802" s="637" t="n">
        <v>19</v>
      </c>
      <c r="J2802" s="402" t="inlineStr">
        <is>
          <t>MSK_019_Е</t>
        </is>
      </c>
      <c r="K2802" s="640" t="n">
        <v>2</v>
      </c>
      <c r="L2802" s="640" t="n">
        <v>0</v>
      </c>
      <c r="M2802" s="640" t="inlineStr">
        <is>
          <t>Sam 43</t>
        </is>
      </c>
      <c r="N2802" s="640" t="n"/>
      <c r="O2802" s="640">
        <f>IF(AND(N2802=1,L2802=1),K2802,"")</f>
        <v/>
      </c>
      <c r="P2802" s="642" t="inlineStr">
        <is>
          <t>г. Москва, Люсиновская, д.60</t>
        </is>
      </c>
      <c r="Q2802" s="640" t="n">
        <v>55.718171</v>
      </c>
      <c r="R2802" s="422" t="n">
        <v>37.621913</v>
      </c>
      <c r="S2802" s="387" t="n">
        <v>24</v>
      </c>
      <c r="T2802" s="529">
        <f>S2802*O2802</f>
        <v/>
      </c>
      <c r="U2802" s="436" t="n">
        <v>1</v>
      </c>
      <c r="V2802" s="438">
        <f>IF(AND(N2802=1,U2802=1),C2802,"")</f>
        <v/>
      </c>
      <c r="X2802" s="1" t="n"/>
      <c r="Y2802" s="1" t="n"/>
      <c r="Z2802" s="1" t="n"/>
    </row>
    <row r="2803" hidden="1" ht="16.05" customHeight="1">
      <c r="A2803" s="125" t="n">
        <v>3421</v>
      </c>
      <c r="B2803" s="791" t="n"/>
      <c r="C2803" s="130" t="inlineStr">
        <is>
          <t>Москва</t>
        </is>
      </c>
      <c r="D2803" s="130" t="inlineStr">
        <is>
          <t>Москва</t>
        </is>
      </c>
      <c r="E2803" s="130" t="n"/>
      <c r="F2803" s="130" t="inlineStr">
        <is>
          <t>Супермаркет</t>
        </is>
      </c>
      <c r="G2803" s="130" t="inlineStr">
        <is>
          <t>Энотека АВ</t>
        </is>
      </c>
      <c r="H2803" s="131" t="n"/>
      <c r="I2803" s="637" t="n">
        <v>20</v>
      </c>
      <c r="J2803" s="402" t="inlineStr">
        <is>
          <t>MSK_020_Е</t>
        </is>
      </c>
      <c r="K2803" s="640" t="n">
        <v>1</v>
      </c>
      <c r="L2803" s="640" t="n">
        <v>0</v>
      </c>
      <c r="M2803" s="640" t="inlineStr">
        <is>
          <t>Sam 43</t>
        </is>
      </c>
      <c r="N2803" s="640" t="n"/>
      <c r="O2803" s="640">
        <f>IF(AND(N2803=1,L2803=1),K2803,"")</f>
        <v/>
      </c>
      <c r="P2803" s="642" t="inlineStr">
        <is>
          <t>г. Москва, Кутузовский проспект, д.8</t>
        </is>
      </c>
      <c r="Q2803" s="640" t="n">
        <v>55.749103</v>
      </c>
      <c r="R2803" s="422" t="n">
        <v>37.56034</v>
      </c>
      <c r="S2803" s="387" t="n">
        <v>24</v>
      </c>
      <c r="T2803" s="529">
        <f>S2803*O2803</f>
        <v/>
      </c>
      <c r="U2803" s="436" t="n">
        <v>1</v>
      </c>
      <c r="V2803" s="438">
        <f>IF(AND(N2803=1,U2803=1),C2803,"")</f>
        <v/>
      </c>
      <c r="X2803" s="1" t="n"/>
      <c r="Y2803" s="1" t="n"/>
      <c r="Z2803" s="1" t="n"/>
    </row>
    <row r="2804" hidden="1" ht="16.05" customHeight="1">
      <c r="A2804" s="125" t="n">
        <v>3423</v>
      </c>
      <c r="B2804" s="791" t="n"/>
      <c r="C2804" s="130" t="inlineStr">
        <is>
          <t>Москва</t>
        </is>
      </c>
      <c r="D2804" s="130" t="inlineStr">
        <is>
          <t>Москва</t>
        </is>
      </c>
      <c r="E2804" s="130" t="n"/>
      <c r="F2804" s="130" t="inlineStr">
        <is>
          <t>Супермаркет</t>
        </is>
      </c>
      <c r="G2804" s="130" t="inlineStr">
        <is>
          <t>Энотека АВ</t>
        </is>
      </c>
      <c r="H2804" s="131" t="n"/>
      <c r="I2804" s="637" t="n">
        <v>22</v>
      </c>
      <c r="J2804" s="637" t="inlineStr">
        <is>
          <t>MSK_E_022</t>
        </is>
      </c>
      <c r="K2804" s="640" t="n">
        <v>1</v>
      </c>
      <c r="L2804" s="640" t="n">
        <v>1</v>
      </c>
      <c r="M2804" s="623" t="inlineStr">
        <is>
          <t>Samsung 43" вертикальный</t>
        </is>
      </c>
      <c r="N2804" s="640" t="n"/>
      <c r="O2804" s="640">
        <f>IF(AND(N2804=1,L2804=1),K2804,"")</f>
        <v/>
      </c>
      <c r="P2804" s="642" t="inlineStr">
        <is>
          <t>г. Москва, Варшавское шоссе, д.34</t>
        </is>
      </c>
      <c r="Q2804" s="640" t="inlineStr">
        <is>
          <t>55.680232</t>
        </is>
      </c>
      <c r="R2804" s="494" t="inlineStr">
        <is>
          <t>37.62358</t>
        </is>
      </c>
      <c r="S2804" s="387" t="n">
        <v>15</v>
      </c>
      <c r="T2804" s="529">
        <f>S2804*O2804</f>
        <v/>
      </c>
      <c r="U2804" s="436" t="n">
        <v>1</v>
      </c>
      <c r="V2804" s="438">
        <f>IF(AND(N2804=1,U2804=1),C2804,"")</f>
        <v/>
      </c>
      <c r="Z2804" s="1" t="n"/>
    </row>
    <row r="2805" hidden="1" ht="16.05" customHeight="1">
      <c r="A2805" s="125" t="n">
        <v>3424</v>
      </c>
      <c r="B2805" s="791" t="n"/>
      <c r="C2805" s="130" t="inlineStr">
        <is>
          <t>Москва</t>
        </is>
      </c>
      <c r="D2805" s="130" t="inlineStr">
        <is>
          <t>Москва</t>
        </is>
      </c>
      <c r="E2805" s="130" t="n"/>
      <c r="F2805" s="130" t="inlineStr">
        <is>
          <t>Супермаркет</t>
        </is>
      </c>
      <c r="G2805" s="130" t="inlineStr">
        <is>
          <t>Энотека АВ</t>
        </is>
      </c>
      <c r="H2805" s="131" t="n"/>
      <c r="I2805" s="637" t="n">
        <v>23</v>
      </c>
      <c r="J2805" s="637" t="inlineStr">
        <is>
          <t>MSK_E_023</t>
        </is>
      </c>
      <c r="K2805" s="640" t="n">
        <v>1</v>
      </c>
      <c r="L2805" s="640" t="n">
        <v>1</v>
      </c>
      <c r="M2805" s="623" t="inlineStr">
        <is>
          <t>Samsung 43" вертикальный</t>
        </is>
      </c>
      <c r="N2805" s="640" t="n"/>
      <c r="O2805" s="640">
        <f>IF(AND(N2805=1,L2805=1),K2805,"")</f>
        <v/>
      </c>
      <c r="P2805" s="642" t="inlineStr">
        <is>
          <t>г. Москва, Ленинский проспект, д 21</t>
        </is>
      </c>
      <c r="Q2805" s="640" t="inlineStr">
        <is>
          <t>55.718123</t>
        </is>
      </c>
      <c r="R2805" s="494" t="inlineStr">
        <is>
          <t>37.596258</t>
        </is>
      </c>
      <c r="S2805" s="387" t="n">
        <v>24</v>
      </c>
      <c r="T2805" s="529">
        <f>S2805*O2805</f>
        <v/>
      </c>
      <c r="U2805" s="436" t="n">
        <v>1</v>
      </c>
      <c r="V2805" s="438">
        <f>IF(AND(N2805=1,U2805=1),C2805,"")</f>
        <v/>
      </c>
      <c r="Z2805" s="1" t="n"/>
    </row>
    <row r="2806" hidden="1" ht="16.05" customHeight="1">
      <c r="A2806" s="125" t="n">
        <v>3427</v>
      </c>
      <c r="B2806" s="791" t="n"/>
      <c r="C2806" s="130" t="inlineStr">
        <is>
          <t>Москва</t>
        </is>
      </c>
      <c r="D2806" s="130" t="inlineStr">
        <is>
          <t>Москва</t>
        </is>
      </c>
      <c r="E2806" s="130" t="n"/>
      <c r="F2806" s="130" t="inlineStr">
        <is>
          <t>Супермаркет</t>
        </is>
      </c>
      <c r="G2806" s="130" t="inlineStr">
        <is>
          <t>Энотека АВ</t>
        </is>
      </c>
      <c r="H2806" s="131" t="n"/>
      <c r="I2806" s="637" t="n">
        <v>26</v>
      </c>
      <c r="J2806" s="637" t="inlineStr">
        <is>
          <t>MSK_E_026</t>
        </is>
      </c>
      <c r="K2806" s="640" t="n">
        <v>2</v>
      </c>
      <c r="L2806" s="640" t="n">
        <v>1</v>
      </c>
      <c r="M2806" s="623" t="inlineStr">
        <is>
          <t>Samsung 43" вертикальный</t>
        </is>
      </c>
      <c r="N2806" s="640" t="n"/>
      <c r="O2806" s="640">
        <f>IF(AND(N2806=1,L2806=1),K2806,"")</f>
        <v/>
      </c>
      <c r="P2806" s="642" t="inlineStr">
        <is>
          <t>г. Москва, Дорогомиловская Большая, д.16</t>
        </is>
      </c>
      <c r="Q2806" s="640" t="inlineStr">
        <is>
          <t>55.746695</t>
        </is>
      </c>
      <c r="R2806" s="494" t="inlineStr">
        <is>
          <t>37.557293</t>
        </is>
      </c>
      <c r="S2806" s="387" t="n">
        <v>24</v>
      </c>
      <c r="T2806" s="529">
        <f>S2806*O2806</f>
        <v/>
      </c>
      <c r="U2806" s="436" t="n">
        <v>1</v>
      </c>
      <c r="V2806" s="438">
        <f>IF(AND(N2806=1,U2806=1),C2806,"")</f>
        <v/>
      </c>
      <c r="Z2806" s="1" t="n"/>
    </row>
    <row r="2807" hidden="1" ht="16.05" customHeight="1">
      <c r="A2807" s="125" t="n">
        <v>3425</v>
      </c>
      <c r="B2807" s="791" t="n"/>
      <c r="C2807" s="130" t="inlineStr">
        <is>
          <t>Москва</t>
        </is>
      </c>
      <c r="D2807" s="130" t="inlineStr">
        <is>
          <t>Москва</t>
        </is>
      </c>
      <c r="E2807" s="130" t="n"/>
      <c r="F2807" s="130" t="inlineStr">
        <is>
          <t>Супермаркет</t>
        </is>
      </c>
      <c r="G2807" s="130" t="inlineStr">
        <is>
          <t>Энотека АВ</t>
        </is>
      </c>
      <c r="H2807" s="131" t="n"/>
      <c r="I2807" s="637" t="n">
        <v>24</v>
      </c>
      <c r="J2807" s="402" t="inlineStr">
        <is>
          <t>MSK_024_Е</t>
        </is>
      </c>
      <c r="K2807" s="640" t="n">
        <v>2</v>
      </c>
      <c r="L2807" s="640" t="n">
        <v>0</v>
      </c>
      <c r="M2807" s="640" t="inlineStr">
        <is>
          <t>Sam 43</t>
        </is>
      </c>
      <c r="N2807" s="640" t="n"/>
      <c r="O2807" s="640">
        <f>IF(AND(N2807=1,L2807=1),K2807,"")</f>
        <v/>
      </c>
      <c r="P2807" s="642" t="inlineStr">
        <is>
          <t>г. Москва, Каширское шоссе, д.78, корп.1А</t>
        </is>
      </c>
      <c r="Q2807" s="640" t="n">
        <v>55.641042</v>
      </c>
      <c r="R2807" s="422" t="n">
        <v>37.682611</v>
      </c>
      <c r="S2807" s="387" t="n">
        <v>24</v>
      </c>
      <c r="T2807" s="529">
        <f>S2807*O2807</f>
        <v/>
      </c>
      <c r="U2807" s="436" t="n">
        <v>1</v>
      </c>
      <c r="V2807" s="438">
        <f>IF(AND(N2807=1,U2807=1),C2807,"")</f>
        <v/>
      </c>
      <c r="X2807" s="1" t="n"/>
      <c r="Y2807" s="1" t="n"/>
      <c r="Z2807" s="1" t="n"/>
    </row>
    <row r="2808" hidden="1" ht="16.05" customHeight="1">
      <c r="A2808" s="125" t="n">
        <v>3426</v>
      </c>
      <c r="B2808" s="791" t="n"/>
      <c r="C2808" s="130" t="inlineStr">
        <is>
          <t>Москва</t>
        </is>
      </c>
      <c r="D2808" s="130" t="inlineStr">
        <is>
          <t>Москва</t>
        </is>
      </c>
      <c r="E2808" s="130" t="n"/>
      <c r="F2808" s="130" t="inlineStr">
        <is>
          <t>Супермаркет</t>
        </is>
      </c>
      <c r="G2808" s="130" t="inlineStr">
        <is>
          <t>Энотека АВ</t>
        </is>
      </c>
      <c r="H2808" s="131" t="n"/>
      <c r="I2808" s="637" t="n">
        <v>25</v>
      </c>
      <c r="J2808" s="402" t="inlineStr">
        <is>
          <t>MSK_025_Е</t>
        </is>
      </c>
      <c r="K2808" s="640" t="n">
        <v>1</v>
      </c>
      <c r="L2808" s="640" t="n">
        <v>0</v>
      </c>
      <c r="M2808" s="640" t="inlineStr">
        <is>
          <t>Sam 43</t>
        </is>
      </c>
      <c r="N2808" s="640" t="n"/>
      <c r="O2808" s="640">
        <f>IF(AND(N2808=1,L2808=1),K2808,"")</f>
        <v/>
      </c>
      <c r="P2808" s="642" t="inlineStr">
        <is>
          <t>г. Москва, Новинский бульвар, д. 8</t>
        </is>
      </c>
      <c r="Q2808" s="640" t="n">
        <v>55.751325</v>
      </c>
      <c r="R2808" s="422" t="n">
        <v>37.583702</v>
      </c>
      <c r="S2808" s="387" t="n">
        <v>15</v>
      </c>
      <c r="T2808" s="529">
        <f>S2808*O2808</f>
        <v/>
      </c>
      <c r="U2808" s="436" t="n">
        <v>1</v>
      </c>
      <c r="V2808" s="438">
        <f>IF(AND(N2808=1,U2808=1),C2808,"")</f>
        <v/>
      </c>
      <c r="X2808" s="1" t="n"/>
      <c r="Y2808" s="1" t="n"/>
      <c r="Z2808" s="1" t="n"/>
    </row>
    <row r="2809" hidden="1" ht="16.05" customHeight="1">
      <c r="A2809" s="125" t="n">
        <v>3428</v>
      </c>
      <c r="B2809" s="791" t="n"/>
      <c r="C2809" s="130" t="inlineStr">
        <is>
          <t>Москва</t>
        </is>
      </c>
      <c r="D2809" s="130" t="inlineStr">
        <is>
          <t>Москва</t>
        </is>
      </c>
      <c r="E2809" s="130" t="n"/>
      <c r="F2809" s="130" t="inlineStr">
        <is>
          <t>Супермаркет</t>
        </is>
      </c>
      <c r="G2809" s="130" t="inlineStr">
        <is>
          <t>Энотека АВ</t>
        </is>
      </c>
      <c r="H2809" s="131" t="n"/>
      <c r="I2809" s="637" t="n">
        <v>27</v>
      </c>
      <c r="J2809" s="637" t="inlineStr">
        <is>
          <t>MSK_E_027</t>
        </is>
      </c>
      <c r="K2809" s="640" t="n">
        <v>1</v>
      </c>
      <c r="L2809" s="640" t="n">
        <v>1</v>
      </c>
      <c r="M2809" s="623" t="inlineStr">
        <is>
          <t>Samsung 43" вертикальный</t>
        </is>
      </c>
      <c r="N2809" s="640" t="n"/>
      <c r="O2809" s="640">
        <f>IF(AND(N2809=1,L2809=1),K2809,"")</f>
        <v/>
      </c>
      <c r="P2809" s="642" t="inlineStr">
        <is>
          <t>г. Москва, Алабяна, д.7</t>
        </is>
      </c>
      <c r="Q2809" s="640" t="inlineStr">
        <is>
          <t>55.801874</t>
        </is>
      </c>
      <c r="R2809" s="494" t="inlineStr">
        <is>
          <t>37.508029</t>
        </is>
      </c>
      <c r="S2809" s="387" t="n">
        <v>24</v>
      </c>
      <c r="T2809" s="529">
        <f>S2809*O2809</f>
        <v/>
      </c>
      <c r="U2809" s="436" t="n">
        <v>1</v>
      </c>
      <c r="V2809" s="438">
        <f>IF(AND(N2809=1,U2809=1),C2809,"")</f>
        <v/>
      </c>
      <c r="Z2809" s="1" t="n"/>
    </row>
    <row r="2810" hidden="1" ht="16.05" customHeight="1">
      <c r="A2810" s="125" t="n">
        <v>3429</v>
      </c>
      <c r="B2810" s="791" t="n"/>
      <c r="C2810" s="130" t="inlineStr">
        <is>
          <t>Москва</t>
        </is>
      </c>
      <c r="D2810" s="130" t="inlineStr">
        <is>
          <t>Москва</t>
        </is>
      </c>
      <c r="E2810" s="130" t="n"/>
      <c r="F2810" s="130" t="inlineStr">
        <is>
          <t>Супермаркет</t>
        </is>
      </c>
      <c r="G2810" s="130" t="inlineStr">
        <is>
          <t>Энотека АВ</t>
        </is>
      </c>
      <c r="H2810" s="131" t="n"/>
      <c r="I2810" s="637" t="n">
        <v>28</v>
      </c>
      <c r="J2810" s="637" t="inlineStr">
        <is>
          <t>MSK_E_028</t>
        </is>
      </c>
      <c r="K2810" s="640" t="n">
        <v>1</v>
      </c>
      <c r="L2810" s="640" t="n">
        <v>1</v>
      </c>
      <c r="M2810" s="623" t="inlineStr">
        <is>
          <t>Samsung 43" вертикальный</t>
        </is>
      </c>
      <c r="N2810" s="640" t="n"/>
      <c r="O2810" s="640">
        <f>IF(AND(N2810=1,L2810=1),K2810,"")</f>
        <v/>
      </c>
      <c r="P2810" s="642" t="inlineStr">
        <is>
          <t>г. Москва,  Гризодубовой, д.1а</t>
        </is>
      </c>
      <c r="Q2810" s="640" t="inlineStr">
        <is>
          <t>55.781896</t>
        </is>
      </c>
      <c r="R2810" s="494" t="inlineStr">
        <is>
          <t>37.534404</t>
        </is>
      </c>
      <c r="S2810" s="387" t="n">
        <v>24</v>
      </c>
      <c r="T2810" s="529">
        <f>S2810*O2810</f>
        <v/>
      </c>
      <c r="U2810" s="436" t="n">
        <v>1</v>
      </c>
      <c r="V2810" s="438">
        <f>IF(AND(N2810=1,U2810=1),C2810,"")</f>
        <v/>
      </c>
      <c r="Z2810" s="1" t="n"/>
    </row>
    <row r="2811" hidden="1" ht="16.05" customHeight="1">
      <c r="A2811" s="125" t="n">
        <v>3430</v>
      </c>
      <c r="B2811" s="791" t="n"/>
      <c r="C2811" s="130" t="inlineStr">
        <is>
          <t>Москва</t>
        </is>
      </c>
      <c r="D2811" s="130" t="inlineStr">
        <is>
          <t>Москва</t>
        </is>
      </c>
      <c r="E2811" s="130" t="n"/>
      <c r="F2811" s="130" t="inlineStr">
        <is>
          <t>Супермаркет</t>
        </is>
      </c>
      <c r="G2811" s="130" t="inlineStr">
        <is>
          <t>Энотека АВ</t>
        </is>
      </c>
      <c r="H2811" s="131" t="n"/>
      <c r="I2811" s="637" t="n">
        <v>30</v>
      </c>
      <c r="J2811" s="637" t="inlineStr">
        <is>
          <t>MSK_E_030</t>
        </is>
      </c>
      <c r="K2811" s="640" t="n">
        <v>1</v>
      </c>
      <c r="L2811" s="640" t="n">
        <v>1</v>
      </c>
      <c r="M2811" s="623" t="inlineStr">
        <is>
          <t>Samsung 43" вертикальный</t>
        </is>
      </c>
      <c r="N2811" s="640" t="n"/>
      <c r="O2811" s="640">
        <f>IF(AND(N2811=1,L2811=1),K2811,"")</f>
        <v/>
      </c>
      <c r="P2811" s="642" t="inlineStr">
        <is>
          <t>г. Москва, Проточный переулок, д.11</t>
        </is>
      </c>
      <c r="Q2811" s="640" t="inlineStr">
        <is>
          <t>55.749987</t>
        </is>
      </c>
      <c r="R2811" s="494" t="inlineStr">
        <is>
          <t>37.578544</t>
        </is>
      </c>
      <c r="S2811" s="387" t="n">
        <v>24</v>
      </c>
      <c r="T2811" s="529">
        <f>S2811*O2811</f>
        <v/>
      </c>
      <c r="U2811" s="436" t="n">
        <v>1</v>
      </c>
      <c r="V2811" s="438">
        <f>IF(AND(N2811=1,U2811=1),C2811,"")</f>
        <v/>
      </c>
      <c r="Z2811" s="1" t="n"/>
    </row>
    <row r="2812" hidden="1" ht="16.05" customHeight="1">
      <c r="A2812" s="125" t="n">
        <v>3431</v>
      </c>
      <c r="B2812" s="791" t="n"/>
      <c r="C2812" s="130" t="inlineStr">
        <is>
          <t>Москва</t>
        </is>
      </c>
      <c r="D2812" s="130" t="inlineStr">
        <is>
          <t>Москва</t>
        </is>
      </c>
      <c r="E2812" s="130" t="n"/>
      <c r="F2812" s="130" t="inlineStr">
        <is>
          <t>Супермаркет</t>
        </is>
      </c>
      <c r="G2812" s="130" t="inlineStr">
        <is>
          <t>Энотека АВ</t>
        </is>
      </c>
      <c r="H2812" s="131" t="n"/>
      <c r="I2812" s="637" t="n">
        <v>31</v>
      </c>
      <c r="J2812" s="637" t="inlineStr">
        <is>
          <t>MSK_E_031</t>
        </is>
      </c>
      <c r="K2812" s="640" t="n">
        <v>1</v>
      </c>
      <c r="L2812" s="640" t="n">
        <v>1</v>
      </c>
      <c r="M2812" s="623" t="inlineStr">
        <is>
          <t>Samsung 43" вертикальный</t>
        </is>
      </c>
      <c r="N2812" s="640" t="n"/>
      <c r="O2812" s="640">
        <f>IF(AND(N2812=1,L2812=1),K2812,"")</f>
        <v/>
      </c>
      <c r="P2812" s="642" t="inlineStr">
        <is>
          <t>г. Москва, Красная пресня, д .14</t>
        </is>
      </c>
      <c r="Q2812" s="640" t="inlineStr">
        <is>
          <t>55.761699</t>
        </is>
      </c>
      <c r="R2812" s="494" t="inlineStr">
        <is>
          <t>37.572242</t>
        </is>
      </c>
      <c r="S2812" s="387" t="n">
        <v>24</v>
      </c>
      <c r="T2812" s="529">
        <f>S2812*O2812</f>
        <v/>
      </c>
      <c r="U2812" s="436" t="n">
        <v>1</v>
      </c>
      <c r="V2812" s="438">
        <f>IF(AND(N2812=1,U2812=1),C2812,"")</f>
        <v/>
      </c>
      <c r="Z2812" s="1" t="n"/>
    </row>
    <row r="2813" hidden="1" ht="16.05" customHeight="1">
      <c r="A2813" s="125" t="n">
        <v>3432</v>
      </c>
      <c r="B2813" s="791" t="n"/>
      <c r="C2813" s="130" t="inlineStr">
        <is>
          <t>Москва</t>
        </is>
      </c>
      <c r="D2813" s="130" t="inlineStr">
        <is>
          <t>Москва</t>
        </is>
      </c>
      <c r="E2813" s="130" t="n"/>
      <c r="F2813" s="130" t="inlineStr">
        <is>
          <t>Супермаркет</t>
        </is>
      </c>
      <c r="G2813" s="130" t="inlineStr">
        <is>
          <t>Энотека АВ</t>
        </is>
      </c>
      <c r="H2813" s="131" t="n"/>
      <c r="I2813" s="637" t="n">
        <v>32</v>
      </c>
      <c r="J2813" s="637" t="inlineStr">
        <is>
          <t>MSK_E_032</t>
        </is>
      </c>
      <c r="K2813" s="640" t="n">
        <v>1</v>
      </c>
      <c r="L2813" s="640" t="n">
        <v>1</v>
      </c>
      <c r="M2813" s="623" t="inlineStr">
        <is>
          <t>Samsung 43" вертикальный</t>
        </is>
      </c>
      <c r="N2813" s="640" t="n"/>
      <c r="O2813" s="640">
        <f>IF(AND(N2813=1,L2813=1),K2813,"")</f>
        <v/>
      </c>
      <c r="P2813" s="642" t="inlineStr">
        <is>
          <t>г. Москва, Нахимовский проспект., д.61</t>
        </is>
      </c>
      <c r="Q2813" s="640" t="inlineStr">
        <is>
          <t>55.679017</t>
        </is>
      </c>
      <c r="R2813" s="494" t="inlineStr">
        <is>
          <t>37.559831</t>
        </is>
      </c>
      <c r="S2813" s="387" t="n">
        <v>24</v>
      </c>
      <c r="T2813" s="529">
        <f>S2813*O2813</f>
        <v/>
      </c>
      <c r="U2813" s="436" t="n">
        <v>1</v>
      </c>
      <c r="V2813" s="438">
        <f>IF(AND(N2813=1,U2813=1),C2813,"")</f>
        <v/>
      </c>
      <c r="Z2813" s="1" t="n"/>
    </row>
    <row r="2814" hidden="1" ht="16.05" customHeight="1">
      <c r="A2814" s="125" t="n">
        <v>3438</v>
      </c>
      <c r="B2814" s="791" t="n"/>
      <c r="C2814" s="130" t="inlineStr">
        <is>
          <t>Москва</t>
        </is>
      </c>
      <c r="D2814" s="130" t="inlineStr">
        <is>
          <t>Москва</t>
        </is>
      </c>
      <c r="E2814" s="130" t="n"/>
      <c r="F2814" s="130" t="inlineStr">
        <is>
          <t>Супермаркет</t>
        </is>
      </c>
      <c r="G2814" s="130" t="inlineStr">
        <is>
          <t>Энотека АВ</t>
        </is>
      </c>
      <c r="H2814" s="131" t="n"/>
      <c r="I2814" s="637" t="n">
        <v>38</v>
      </c>
      <c r="J2814" s="637" t="inlineStr">
        <is>
          <t>MSK_E_038</t>
        </is>
      </c>
      <c r="K2814" s="640" t="n">
        <v>1</v>
      </c>
      <c r="L2814" s="640" t="n">
        <v>1</v>
      </c>
      <c r="M2814" s="623" t="inlineStr">
        <is>
          <t>Samsung 43" вертикальный</t>
        </is>
      </c>
      <c r="N2814" s="640" t="n"/>
      <c r="O2814" s="640">
        <f>IF(AND(N2814=1,L2814=1),K2814,"")</f>
        <v/>
      </c>
      <c r="P2814" s="642" t="inlineStr">
        <is>
          <t>г. Москва, Ленинский проспект, д.64/2</t>
        </is>
      </c>
      <c r="Q2814" s="640" t="inlineStr">
        <is>
          <t>55.692319</t>
        </is>
      </c>
      <c r="R2814" s="494" t="inlineStr">
        <is>
          <t>37.551457</t>
        </is>
      </c>
      <c r="S2814" s="387" t="n">
        <v>24</v>
      </c>
      <c r="T2814" s="529">
        <f>S2814*O2814</f>
        <v/>
      </c>
      <c r="U2814" s="436" t="n">
        <v>1</v>
      </c>
      <c r="V2814" s="438">
        <f>IF(AND(N2814=1,U2814=1),C2814,"")</f>
        <v/>
      </c>
      <c r="Z2814" s="1" t="n"/>
    </row>
    <row r="2815" hidden="1" ht="16.05" customHeight="1">
      <c r="A2815" s="125" t="n">
        <v>3433</v>
      </c>
      <c r="B2815" s="791" t="n"/>
      <c r="C2815" s="130" t="inlineStr">
        <is>
          <t>Москва</t>
        </is>
      </c>
      <c r="D2815" s="130" t="inlineStr">
        <is>
          <t>Москва</t>
        </is>
      </c>
      <c r="E2815" s="130" t="n"/>
      <c r="F2815" s="130" t="inlineStr">
        <is>
          <t>Супермаркет</t>
        </is>
      </c>
      <c r="G2815" s="130" t="inlineStr">
        <is>
          <t>Энотека АВ</t>
        </is>
      </c>
      <c r="H2815" s="131" t="n"/>
      <c r="I2815" s="637" t="n">
        <v>33</v>
      </c>
      <c r="J2815" s="402" t="inlineStr">
        <is>
          <t>MSK_033_Е</t>
        </is>
      </c>
      <c r="K2815" s="640" t="n">
        <v>1</v>
      </c>
      <c r="L2815" s="640" t="n">
        <v>0</v>
      </c>
      <c r="M2815" s="640" t="inlineStr">
        <is>
          <t>Sam 43</t>
        </is>
      </c>
      <c r="N2815" s="640" t="n"/>
      <c r="O2815" s="640">
        <f>IF(AND(N2815=1,L2815=1),K2815,"")</f>
        <v/>
      </c>
      <c r="P2815" s="642" t="inlineStr">
        <is>
          <t>г. Москва, Профсоюзная, д.16/10</t>
        </is>
      </c>
      <c r="Q2815" s="640" t="n">
        <v>55.684112</v>
      </c>
      <c r="R2815" s="422" t="n">
        <v>37.568727</v>
      </c>
      <c r="S2815" s="387" t="n">
        <v>24</v>
      </c>
      <c r="T2815" s="529">
        <f>S2815*O2815</f>
        <v/>
      </c>
      <c r="U2815" s="436" t="n">
        <v>1</v>
      </c>
      <c r="V2815" s="438">
        <f>IF(AND(N2815=1,U2815=1),C2815,"")</f>
        <v/>
      </c>
      <c r="X2815" s="1" t="n"/>
      <c r="Y2815" s="1" t="n"/>
      <c r="Z2815" s="1" t="n"/>
    </row>
    <row r="2816" hidden="1" ht="16.05" customHeight="1">
      <c r="A2816" s="125" t="n">
        <v>3434</v>
      </c>
      <c r="B2816" s="791" t="n"/>
      <c r="C2816" s="130" t="inlineStr">
        <is>
          <t>Москва</t>
        </is>
      </c>
      <c r="D2816" s="130" t="inlineStr">
        <is>
          <t>Москва</t>
        </is>
      </c>
      <c r="E2816" s="130" t="n"/>
      <c r="F2816" s="130" t="inlineStr">
        <is>
          <t>Супермаркет</t>
        </is>
      </c>
      <c r="G2816" s="130" t="inlineStr">
        <is>
          <t>Энотека АВ</t>
        </is>
      </c>
      <c r="H2816" s="131" t="n"/>
      <c r="I2816" s="637" t="n">
        <v>34</v>
      </c>
      <c r="J2816" s="402" t="inlineStr">
        <is>
          <t>MSK_034_Е</t>
        </is>
      </c>
      <c r="K2816" s="640" t="n">
        <v>1</v>
      </c>
      <c r="L2816" s="640" t="n">
        <v>0</v>
      </c>
      <c r="M2816" s="640" t="inlineStr">
        <is>
          <t>Sam 43</t>
        </is>
      </c>
      <c r="N2816" s="640" t="n"/>
      <c r="O2816" s="640">
        <f>IF(AND(N2816=1,L2816=1),K2816,"")</f>
        <v/>
      </c>
      <c r="P2816" s="642" t="inlineStr">
        <is>
          <t>г. Москва, Симферопольский бульвар, д. 22 корп.3</t>
        </is>
      </c>
      <c r="Q2816" s="640" t="n">
        <v>55.646908</v>
      </c>
      <c r="R2816" s="422" t="n">
        <v>37.604816</v>
      </c>
      <c r="S2816" s="387" t="n">
        <v>24</v>
      </c>
      <c r="T2816" s="529">
        <f>S2816*O2816</f>
        <v/>
      </c>
      <c r="U2816" s="436" t="n">
        <v>1</v>
      </c>
      <c r="V2816" s="438">
        <f>IF(AND(N2816=1,U2816=1),C2816,"")</f>
        <v/>
      </c>
      <c r="X2816" s="1" t="n"/>
      <c r="Y2816" s="1" t="n"/>
      <c r="Z2816" s="1" t="n"/>
    </row>
    <row r="2817" hidden="1" ht="16.05" customHeight="1">
      <c r="A2817" s="125" t="n">
        <v>3435</v>
      </c>
      <c r="B2817" s="791" t="n"/>
      <c r="C2817" s="130" t="inlineStr">
        <is>
          <t>Москва</t>
        </is>
      </c>
      <c r="D2817" s="130" t="inlineStr">
        <is>
          <t>Москва</t>
        </is>
      </c>
      <c r="E2817" s="130" t="n"/>
      <c r="F2817" s="130" t="inlineStr">
        <is>
          <t>Супермаркет</t>
        </is>
      </c>
      <c r="G2817" s="130" t="inlineStr">
        <is>
          <t>Энотека АВ</t>
        </is>
      </c>
      <c r="H2817" s="131" t="n"/>
      <c r="I2817" s="637" t="n">
        <v>35</v>
      </c>
      <c r="J2817" s="402" t="inlineStr">
        <is>
          <t>MSK_035_Е</t>
        </is>
      </c>
      <c r="K2817" s="640" t="n">
        <v>2</v>
      </c>
      <c r="L2817" s="640" t="n">
        <v>0</v>
      </c>
      <c r="M2817" s="640" t="inlineStr">
        <is>
          <t>Sam 43</t>
        </is>
      </c>
      <c r="N2817" s="640" t="n"/>
      <c r="O2817" s="640">
        <f>IF(AND(N2817=1,L2817=1),K2817,"")</f>
        <v/>
      </c>
      <c r="P2817" s="642" t="inlineStr">
        <is>
          <t>г. Москва, Николоямский переулок, д.2</t>
        </is>
      </c>
      <c r="Q2817" s="640" t="n">
        <v>55.749215</v>
      </c>
      <c r="R2817" s="422" t="n">
        <v>37.662118</v>
      </c>
      <c r="S2817" s="387" t="n">
        <v>24</v>
      </c>
      <c r="T2817" s="529">
        <f>S2817*O2817</f>
        <v/>
      </c>
      <c r="U2817" s="436" t="n">
        <v>1</v>
      </c>
      <c r="V2817" s="438">
        <f>IF(AND(N2817=1,U2817=1),C2817,"")</f>
        <v/>
      </c>
      <c r="X2817" s="1" t="n"/>
      <c r="Y2817" s="1" t="n"/>
      <c r="Z2817" s="1" t="n"/>
    </row>
    <row r="2818" hidden="1" ht="16.05" customHeight="1">
      <c r="A2818" s="125" t="n">
        <v>3436</v>
      </c>
      <c r="B2818" s="791" t="n"/>
      <c r="C2818" s="130" t="inlineStr">
        <is>
          <t>Москва</t>
        </is>
      </c>
      <c r="D2818" s="130" t="inlineStr">
        <is>
          <t>Москва</t>
        </is>
      </c>
      <c r="E2818" s="130" t="n"/>
      <c r="F2818" s="130" t="inlineStr">
        <is>
          <t>Супермаркет</t>
        </is>
      </c>
      <c r="G2818" s="130" t="inlineStr">
        <is>
          <t>Энотека АВ</t>
        </is>
      </c>
      <c r="H2818" s="131" t="n"/>
      <c r="I2818" s="637" t="n">
        <v>36</v>
      </c>
      <c r="J2818" s="402" t="inlineStr">
        <is>
          <t>MSK_036_Е</t>
        </is>
      </c>
      <c r="K2818" s="640" t="n">
        <v>1</v>
      </c>
      <c r="L2818" s="640" t="n">
        <v>0</v>
      </c>
      <c r="M2818" s="640" t="inlineStr">
        <is>
          <t>Sam 43</t>
        </is>
      </c>
      <c r="N2818" s="640" t="n"/>
      <c r="O2818" s="640">
        <f>IF(AND(N2818=1,L2818=1),K2818,"")</f>
        <v/>
      </c>
      <c r="P2818" s="642" t="inlineStr">
        <is>
          <t>г. Москва, Таганская площадь, д.12/4, строение 5</t>
        </is>
      </c>
      <c r="Q2818" s="640" t="n">
        <v>55.740215</v>
      </c>
      <c r="R2818" s="422" t="n">
        <v>37.654003</v>
      </c>
      <c r="S2818" s="387" t="n">
        <v>24</v>
      </c>
      <c r="T2818" s="529">
        <f>S2818*O2818</f>
        <v/>
      </c>
      <c r="U2818" s="436" t="n">
        <v>1</v>
      </c>
      <c r="V2818" s="438">
        <f>IF(AND(N2818=1,U2818=1),C2818,"")</f>
        <v/>
      </c>
      <c r="X2818" s="1" t="n"/>
      <c r="Y2818" s="1" t="n"/>
      <c r="Z2818" s="1" t="n"/>
    </row>
    <row r="2819" hidden="1" ht="16.05" customHeight="1">
      <c r="A2819" s="125" t="n">
        <v>3437</v>
      </c>
      <c r="B2819" s="791" t="n"/>
      <c r="C2819" s="130" t="inlineStr">
        <is>
          <t>Москва</t>
        </is>
      </c>
      <c r="D2819" s="130" t="inlineStr">
        <is>
          <t>Москва</t>
        </is>
      </c>
      <c r="E2819" s="130" t="n"/>
      <c r="F2819" s="130" t="inlineStr">
        <is>
          <t>Супермаркет</t>
        </is>
      </c>
      <c r="G2819" s="130" t="inlineStr">
        <is>
          <t>Энотека АВ</t>
        </is>
      </c>
      <c r="H2819" s="131" t="n"/>
      <c r="I2819" s="637" t="n">
        <v>37</v>
      </c>
      <c r="J2819" s="402" t="inlineStr">
        <is>
          <t>MSK_037_Е</t>
        </is>
      </c>
      <c r="K2819" s="640" t="n">
        <v>1</v>
      </c>
      <c r="L2819" s="640" t="n">
        <v>0</v>
      </c>
      <c r="M2819" s="640" t="inlineStr">
        <is>
          <t>Sam 43</t>
        </is>
      </c>
      <c r="N2819" s="640" t="n"/>
      <c r="O2819" s="640">
        <f>IF(AND(N2819=1,L2819=1),K2819,"")</f>
        <v/>
      </c>
      <c r="P2819" s="642" t="inlineStr">
        <is>
          <t>г. Москва, Ленинский проспект, д.34/1</t>
        </is>
      </c>
      <c r="Q2819" s="640" t="n">
        <v>55.707072</v>
      </c>
      <c r="R2819" s="422" t="n">
        <v>37.577887</v>
      </c>
      <c r="S2819" s="387" t="n">
        <v>24</v>
      </c>
      <c r="T2819" s="529">
        <f>S2819*O2819</f>
        <v/>
      </c>
      <c r="U2819" s="436" t="n">
        <v>1</v>
      </c>
      <c r="V2819" s="438">
        <f>IF(AND(N2819=1,U2819=1),C2819,"")</f>
        <v/>
      </c>
      <c r="X2819" s="1" t="n"/>
      <c r="Y2819" s="1" t="n"/>
      <c r="Z2819" s="1" t="n"/>
    </row>
    <row r="2820" hidden="1" ht="16.05" customHeight="1">
      <c r="A2820" s="125" t="n">
        <v>3439</v>
      </c>
      <c r="B2820" s="791" t="n"/>
      <c r="C2820" s="130" t="inlineStr">
        <is>
          <t>Москва</t>
        </is>
      </c>
      <c r="D2820" s="130" t="inlineStr">
        <is>
          <t>Москва</t>
        </is>
      </c>
      <c r="E2820" s="130" t="n"/>
      <c r="F2820" s="130" t="inlineStr">
        <is>
          <t>Супермаркет</t>
        </is>
      </c>
      <c r="G2820" s="130" t="inlineStr">
        <is>
          <t>Энотека АВ</t>
        </is>
      </c>
      <c r="H2820" s="131" t="n"/>
      <c r="I2820" s="637" t="n">
        <v>39</v>
      </c>
      <c r="J2820" s="637" t="inlineStr">
        <is>
          <t>MSK_E_039</t>
        </is>
      </c>
      <c r="K2820" s="640" t="n">
        <v>1</v>
      </c>
      <c r="L2820" s="640" t="n">
        <v>1</v>
      </c>
      <c r="M2820" s="623" t="inlineStr">
        <is>
          <t>Samsung 43" вертикальный</t>
        </is>
      </c>
      <c r="N2820" s="640" t="n"/>
      <c r="O2820" s="640">
        <f>IF(AND(N2820=1,L2820=1),K2820,"")</f>
        <v/>
      </c>
      <c r="P2820" s="642" t="inlineStr">
        <is>
          <t>г. Москва, Профсоюзная, д. 64, корпус 2</t>
        </is>
      </c>
      <c r="Q2820" s="640" t="inlineStr">
        <is>
          <t>55.665713</t>
        </is>
      </c>
      <c r="R2820" s="494" t="inlineStr">
        <is>
          <t>37.548722</t>
        </is>
      </c>
      <c r="S2820" s="387" t="n">
        <v>15</v>
      </c>
      <c r="T2820" s="529">
        <f>S2820*O2820</f>
        <v/>
      </c>
      <c r="U2820" s="436" t="n">
        <v>1</v>
      </c>
      <c r="V2820" s="438">
        <f>IF(AND(N2820=1,U2820=1),C2820,"")</f>
        <v/>
      </c>
      <c r="Z2820" s="1" t="n"/>
    </row>
    <row r="2821" hidden="1" ht="16.05" customHeight="1">
      <c r="A2821" s="125" t="n">
        <v>3440</v>
      </c>
      <c r="B2821" s="791" t="n"/>
      <c r="C2821" s="130" t="inlineStr">
        <is>
          <t>Москва</t>
        </is>
      </c>
      <c r="D2821" s="130" t="inlineStr">
        <is>
          <t>Москва</t>
        </is>
      </c>
      <c r="E2821" s="130" t="n"/>
      <c r="F2821" s="130" t="inlineStr">
        <is>
          <t>Супермаркет</t>
        </is>
      </c>
      <c r="G2821" s="130" t="inlineStr">
        <is>
          <t>Энотека АВ</t>
        </is>
      </c>
      <c r="H2821" s="131" t="n"/>
      <c r="I2821" s="637" t="n">
        <v>40</v>
      </c>
      <c r="J2821" s="637" t="inlineStr">
        <is>
          <t>MSK_E_040</t>
        </is>
      </c>
      <c r="K2821" s="640" t="n">
        <v>1</v>
      </c>
      <c r="L2821" s="640" t="n">
        <v>1</v>
      </c>
      <c r="M2821" s="623" t="inlineStr">
        <is>
          <t>Samsung 43" вертикальный</t>
        </is>
      </c>
      <c r="N2821" s="640" t="n"/>
      <c r="O2821" s="640">
        <f>IF(AND(N2821=1,L2821=1),K2821,"")</f>
        <v/>
      </c>
      <c r="P2821" s="642" t="inlineStr">
        <is>
          <t>г. Москва, Ленинский проспект, д. 54</t>
        </is>
      </c>
      <c r="Q2821" s="640" t="inlineStr">
        <is>
          <t>55.697861</t>
        </is>
      </c>
      <c r="R2821" s="494" t="inlineStr">
        <is>
          <t>37.560443</t>
        </is>
      </c>
      <c r="S2821" s="387" t="n">
        <v>24</v>
      </c>
      <c r="T2821" s="529">
        <f>S2821*O2821</f>
        <v/>
      </c>
      <c r="U2821" s="436" t="n">
        <v>1</v>
      </c>
      <c r="V2821" s="438">
        <f>IF(AND(N2821=1,U2821=1),C2821,"")</f>
        <v/>
      </c>
      <c r="Z2821" s="1" t="n"/>
    </row>
    <row r="2822" hidden="1" ht="16.05" customHeight="1">
      <c r="A2822" s="125" t="n">
        <v>3443</v>
      </c>
      <c r="B2822" s="791" t="n"/>
      <c r="C2822" s="130" t="inlineStr">
        <is>
          <t>Москва</t>
        </is>
      </c>
      <c r="D2822" s="130" t="inlineStr">
        <is>
          <t>Москва</t>
        </is>
      </c>
      <c r="E2822" s="130" t="n"/>
      <c r="F2822" s="130" t="inlineStr">
        <is>
          <t>Супермаркет</t>
        </is>
      </c>
      <c r="G2822" s="130" t="inlineStr">
        <is>
          <t>Энотека АВ</t>
        </is>
      </c>
      <c r="H2822" s="131" t="n"/>
      <c r="I2822" s="637" t="n">
        <v>43</v>
      </c>
      <c r="J2822" s="637" t="inlineStr">
        <is>
          <t>MSK_E_043</t>
        </is>
      </c>
      <c r="K2822" s="640" t="n">
        <v>1</v>
      </c>
      <c r="L2822" s="640" t="n">
        <v>1</v>
      </c>
      <c r="M2822" s="623" t="inlineStr">
        <is>
          <t>Samsung 43" вертикальный</t>
        </is>
      </c>
      <c r="N2822" s="640" t="n"/>
      <c r="O2822" s="640">
        <f>IF(AND(N2822=1,L2822=1),K2822,"")</f>
        <v/>
      </c>
      <c r="P2822" s="642" t="inlineStr">
        <is>
          <t>МО, Одинцовский район, с/п Горское, поселок Горки-2, дом 11</t>
        </is>
      </c>
      <c r="Q2822" s="640" t="inlineStr">
        <is>
          <t>55.724592</t>
        </is>
      </c>
      <c r="R2822" s="494" t="inlineStr">
        <is>
          <t>37.158949</t>
        </is>
      </c>
      <c r="S2822" s="387" t="n">
        <v>24</v>
      </c>
      <c r="T2822" s="529">
        <f>S2822*O2822</f>
        <v/>
      </c>
      <c r="U2822" s="436" t="n">
        <v>1</v>
      </c>
      <c r="V2822" s="438">
        <f>IF(AND(N2822=1,U2822=1),C2822,"")</f>
        <v/>
      </c>
      <c r="Z2822" s="1" t="n"/>
    </row>
    <row r="2823" hidden="1" ht="16.05" customHeight="1">
      <c r="A2823" s="125" t="n">
        <v>3441</v>
      </c>
      <c r="B2823" s="791" t="n"/>
      <c r="C2823" s="130" t="inlineStr">
        <is>
          <t>Москва</t>
        </is>
      </c>
      <c r="D2823" s="130" t="inlineStr">
        <is>
          <t>Москва</t>
        </is>
      </c>
      <c r="E2823" s="130" t="n"/>
      <c r="F2823" s="130" t="inlineStr">
        <is>
          <t>Супермаркет</t>
        </is>
      </c>
      <c r="G2823" s="130" t="inlineStr">
        <is>
          <t>Энотека АВ</t>
        </is>
      </c>
      <c r="H2823" s="131" t="n"/>
      <c r="I2823" s="637" t="n">
        <v>41</v>
      </c>
      <c r="J2823" s="402" t="inlineStr">
        <is>
          <t>MSK_041_Е</t>
        </is>
      </c>
      <c r="K2823" s="640" t="n">
        <v>2</v>
      </c>
      <c r="L2823" s="640" t="n">
        <v>0</v>
      </c>
      <c r="M2823" s="640" t="inlineStr">
        <is>
          <t>Sam 43</t>
        </is>
      </c>
      <c r="N2823" s="640" t="n"/>
      <c r="O2823" s="640">
        <f>IF(AND(N2823=1,L2823=1),K2823,"")</f>
        <v/>
      </c>
      <c r="P2823" s="642" t="inlineStr">
        <is>
          <t>Московская область, Новорижское шоссе, 6-й км, ТК «ЮНИМОЛЛ»</t>
        </is>
      </c>
      <c r="Q2823" s="640" t="n">
        <v>55.799743</v>
      </c>
      <c r="R2823" s="422" t="n">
        <v>37.279909</v>
      </c>
      <c r="S2823" s="387" t="n">
        <v>24</v>
      </c>
      <c r="T2823" s="529">
        <f>S2823*O2823</f>
        <v/>
      </c>
      <c r="U2823" s="436" t="n">
        <v>1</v>
      </c>
      <c r="V2823" s="438">
        <f>IF(AND(N2823=1,U2823=1),C2823,"")</f>
        <v/>
      </c>
      <c r="X2823" s="1" t="n"/>
      <c r="Y2823" s="1" t="n"/>
      <c r="Z2823" s="1" t="n"/>
    </row>
    <row r="2824" hidden="1" ht="16.05" customHeight="1">
      <c r="A2824" s="125" t="n">
        <v>3442</v>
      </c>
      <c r="B2824" s="791" t="n"/>
      <c r="C2824" s="130" t="inlineStr">
        <is>
          <t>Москва</t>
        </is>
      </c>
      <c r="D2824" s="130" t="inlineStr">
        <is>
          <t>Москва</t>
        </is>
      </c>
      <c r="E2824" s="130" t="n"/>
      <c r="F2824" s="130" t="inlineStr">
        <is>
          <t>Супермаркет</t>
        </is>
      </c>
      <c r="G2824" s="130" t="inlineStr">
        <is>
          <t>Энотека АВ</t>
        </is>
      </c>
      <c r="H2824" s="131" t="n"/>
      <c r="I2824" s="637" t="n">
        <v>42</v>
      </c>
      <c r="J2824" s="637" t="inlineStr">
        <is>
          <t>MSK_E_042</t>
        </is>
      </c>
      <c r="K2824" s="640" t="n">
        <v>1</v>
      </c>
      <c r="L2824" s="640" t="n">
        <v>0</v>
      </c>
      <c r="M2824" s="640" t="inlineStr">
        <is>
          <t>Samsung 43" вертикальный</t>
        </is>
      </c>
      <c r="N2824" s="640" t="n"/>
      <c r="O2824" s="640">
        <f>IF(AND(N2824=1,L2824=1),K2824,"")</f>
        <v/>
      </c>
      <c r="P2824" s="642" t="inlineStr">
        <is>
          <t>Московская область, п.Барвиха, Рублево-Успенское ш, д. 85/1, ТЦ DreamHouse</t>
        </is>
      </c>
      <c r="Q2824" s="640" t="inlineStr">
        <is>
          <t>55.738854</t>
        </is>
      </c>
      <c r="R2824" s="422" t="inlineStr">
        <is>
          <t>37.27029</t>
        </is>
      </c>
      <c r="S2824" s="387" t="n">
        <v>14</v>
      </c>
      <c r="T2824" s="529">
        <f>S2824*O2824</f>
        <v/>
      </c>
      <c r="U2824" s="436" t="n">
        <v>1</v>
      </c>
      <c r="V2824" s="438">
        <f>IF(AND(N2824=1,U2824=1),C2824,"")</f>
        <v/>
      </c>
      <c r="Z2824" s="1" t="n"/>
    </row>
    <row r="2825" hidden="1" ht="16.05" customHeight="1">
      <c r="A2825" s="125" t="n">
        <v>3444</v>
      </c>
      <c r="B2825" s="791" t="n"/>
      <c r="C2825" s="130" t="inlineStr">
        <is>
          <t>Москва</t>
        </is>
      </c>
      <c r="D2825" s="130" t="inlineStr">
        <is>
          <t>Москва</t>
        </is>
      </c>
      <c r="E2825" s="130" t="n"/>
      <c r="F2825" s="130" t="inlineStr">
        <is>
          <t>Супермаркет</t>
        </is>
      </c>
      <c r="G2825" s="130" t="inlineStr">
        <is>
          <t>Энотека АВ</t>
        </is>
      </c>
      <c r="H2825" s="131" t="n"/>
      <c r="I2825" s="637" t="n">
        <v>44</v>
      </c>
      <c r="J2825" s="637" t="inlineStr">
        <is>
          <t>MSK_E_044</t>
        </is>
      </c>
      <c r="K2825" s="640" t="n">
        <v>1</v>
      </c>
      <c r="L2825" s="640" t="n">
        <v>1</v>
      </c>
      <c r="M2825" s="623" t="inlineStr">
        <is>
          <t>Samsung 43" вертикальный</t>
        </is>
      </c>
      <c r="N2825" s="640" t="n"/>
      <c r="O2825" s="640">
        <f>IF(AND(N2825=1,L2825=1),K2825,"")</f>
        <v/>
      </c>
      <c r="P2825" s="642" t="inlineStr">
        <is>
          <t>МО, г.Красногорск, Ленина, д.35а</t>
        </is>
      </c>
      <c r="Q2825" s="640" t="inlineStr">
        <is>
          <t>55.829501</t>
        </is>
      </c>
      <c r="R2825" s="494" t="inlineStr">
        <is>
          <t>37.308142</t>
        </is>
      </c>
      <c r="S2825" s="387" t="n">
        <v>24</v>
      </c>
      <c r="T2825" s="529">
        <f>S2825*O2825</f>
        <v/>
      </c>
      <c r="U2825" s="436" t="n">
        <v>1</v>
      </c>
      <c r="V2825" s="438">
        <f>IF(AND(N2825=1,U2825=1),C2825,"")</f>
        <v/>
      </c>
      <c r="Z2825" s="1" t="n"/>
    </row>
    <row r="2826" hidden="1" ht="16.05" customHeight="1">
      <c r="A2826" s="125" t="n">
        <v>3447</v>
      </c>
      <c r="B2826" s="791" t="n"/>
      <c r="C2826" s="130" t="inlineStr">
        <is>
          <t>Москва</t>
        </is>
      </c>
      <c r="D2826" s="130" t="inlineStr">
        <is>
          <t>Москва</t>
        </is>
      </c>
      <c r="E2826" s="130" t="n"/>
      <c r="F2826" s="130" t="inlineStr">
        <is>
          <t>Супермаркет</t>
        </is>
      </c>
      <c r="G2826" s="130" t="inlineStr">
        <is>
          <t>Энотека АВ</t>
        </is>
      </c>
      <c r="H2826" s="131" t="n"/>
      <c r="I2826" s="637" t="n">
        <v>47</v>
      </c>
      <c r="J2826" s="637" t="inlineStr">
        <is>
          <t>MSK_E_047</t>
        </is>
      </c>
      <c r="K2826" s="640" t="n">
        <v>1</v>
      </c>
      <c r="L2826" s="640" t="n">
        <v>1</v>
      </c>
      <c r="M2826" s="623" t="inlineStr">
        <is>
          <t>Samsung 43" вертикальный</t>
        </is>
      </c>
      <c r="N2826" s="640" t="n"/>
      <c r="O2826" s="640">
        <f>IF(AND(N2826=1,L2826=1),K2826,"")</f>
        <v/>
      </c>
      <c r="P2826" s="642" t="inlineStr">
        <is>
          <t>Московская область, Пятницкое шоссе, 8 км от МКАД, Марьино-Знаменское</t>
        </is>
      </c>
      <c r="Q2826" s="640" t="inlineStr">
        <is>
          <t>55.890507</t>
        </is>
      </c>
      <c r="R2826" s="494" t="inlineStr">
        <is>
          <t>37.30076</t>
        </is>
      </c>
      <c r="S2826" s="387" t="n">
        <v>24</v>
      </c>
      <c r="T2826" s="529">
        <f>S2826*O2826</f>
        <v/>
      </c>
      <c r="U2826" s="436" t="n">
        <v>1</v>
      </c>
      <c r="V2826" s="438">
        <f>IF(AND(N2826=1,U2826=1),C2826,"")</f>
        <v/>
      </c>
      <c r="Z2826" s="1" t="n"/>
    </row>
    <row r="2827" hidden="1" ht="16.05" customHeight="1">
      <c r="A2827" s="125" t="n">
        <v>3445</v>
      </c>
      <c r="B2827" s="791" t="n"/>
      <c r="C2827" s="130" t="inlineStr">
        <is>
          <t>Москва</t>
        </is>
      </c>
      <c r="D2827" s="130" t="inlineStr">
        <is>
          <t>Москва</t>
        </is>
      </c>
      <c r="E2827" s="130" t="n"/>
      <c r="F2827" s="130" t="inlineStr">
        <is>
          <t>Супермаркет</t>
        </is>
      </c>
      <c r="G2827" s="130" t="inlineStr">
        <is>
          <t>Энотека АВ</t>
        </is>
      </c>
      <c r="H2827" s="131" t="n"/>
      <c r="I2827" s="637" t="n">
        <v>45</v>
      </c>
      <c r="J2827" s="402" t="inlineStr">
        <is>
          <t>MSK_045_Е</t>
        </is>
      </c>
      <c r="K2827" s="640" t="n">
        <v>1</v>
      </c>
      <c r="L2827" s="640" t="n">
        <v>0</v>
      </c>
      <c r="M2827" s="640" t="inlineStr">
        <is>
          <t>Sam 43</t>
        </is>
      </c>
      <c r="N2827" s="640" t="n"/>
      <c r="O2827" s="640">
        <f>IF(AND(N2827=1,L2827=1),K2827,"")</f>
        <v/>
      </c>
      <c r="P2827" s="642" t="inlineStr">
        <is>
          <t>г. Москва, проспект Маршала Жукова, д.41, корп. 1</t>
        </is>
      </c>
      <c r="Q2827" s="640" t="n">
        <v>55.775459</v>
      </c>
      <c r="R2827" s="422" t="n">
        <v>37.469844</v>
      </c>
      <c r="S2827" s="387" t="n">
        <v>24</v>
      </c>
      <c r="T2827" s="529">
        <f>S2827*O2827</f>
        <v/>
      </c>
      <c r="U2827" s="436" t="n">
        <v>1</v>
      </c>
      <c r="V2827" s="438">
        <f>IF(AND(N2827=1,U2827=1),C2827,"")</f>
        <v/>
      </c>
      <c r="X2827" s="1" t="n"/>
      <c r="Y2827" s="1" t="n"/>
      <c r="Z2827" s="1" t="n"/>
    </row>
    <row r="2828" hidden="1" ht="16.05" customHeight="1">
      <c r="A2828" s="125" t="n">
        <v>3446</v>
      </c>
      <c r="B2828" s="791" t="n"/>
      <c r="C2828" s="130" t="inlineStr">
        <is>
          <t>Москва</t>
        </is>
      </c>
      <c r="D2828" s="130" t="inlineStr">
        <is>
          <t>Москва</t>
        </is>
      </c>
      <c r="E2828" s="130" t="n"/>
      <c r="F2828" s="130" t="inlineStr">
        <is>
          <t>Супермаркет</t>
        </is>
      </c>
      <c r="G2828" s="130" t="inlineStr">
        <is>
          <t>Энотека АВ</t>
        </is>
      </c>
      <c r="H2828" s="131" t="n"/>
      <c r="I2828" s="637" t="n">
        <v>46</v>
      </c>
      <c r="J2828" s="402" t="inlineStr">
        <is>
          <t>MSK_046_Е</t>
        </is>
      </c>
      <c r="K2828" s="640" t="n">
        <v>1</v>
      </c>
      <c r="L2828" s="640" t="n">
        <v>0</v>
      </c>
      <c r="M2828" s="640" t="inlineStr">
        <is>
          <t>Sam 43</t>
        </is>
      </c>
      <c r="N2828" s="640" t="n"/>
      <c r="O2828" s="640">
        <f>IF(AND(N2828=1,L2828=1),K2828,"")</f>
        <v/>
      </c>
      <c r="P2828" s="642" t="inlineStr">
        <is>
          <t>г.Москва, Пятницкое шоссе, д.14</t>
        </is>
      </c>
      <c r="Q2828" s="640" t="n">
        <v>55.841673</v>
      </c>
      <c r="R2828" s="422" t="n">
        <v>37.3857</v>
      </c>
      <c r="S2828" s="387" t="n">
        <v>24</v>
      </c>
      <c r="T2828" s="529">
        <f>S2828*O2828</f>
        <v/>
      </c>
      <c r="U2828" s="436" t="n">
        <v>1</v>
      </c>
      <c r="V2828" s="438">
        <f>IF(AND(N2828=1,U2828=1),C2828,"")</f>
        <v/>
      </c>
      <c r="X2828" s="1" t="n"/>
      <c r="Y2828" s="1" t="n"/>
      <c r="Z2828" s="1" t="n"/>
    </row>
    <row r="2829" hidden="1" ht="16.05" customHeight="1">
      <c r="A2829" s="125" t="n">
        <v>3448</v>
      </c>
      <c r="B2829" s="791" t="n"/>
      <c r="C2829" s="130" t="inlineStr">
        <is>
          <t>Москва</t>
        </is>
      </c>
      <c r="D2829" s="130" t="inlineStr">
        <is>
          <t>Москва</t>
        </is>
      </c>
      <c r="E2829" s="130" t="n"/>
      <c r="F2829" s="130" t="inlineStr">
        <is>
          <t>Супермаркет</t>
        </is>
      </c>
      <c r="G2829" s="130" t="inlineStr">
        <is>
          <t>Энотека АВ</t>
        </is>
      </c>
      <c r="H2829" s="131" t="n"/>
      <c r="I2829" s="637" t="n">
        <v>48</v>
      </c>
      <c r="J2829" s="637" t="inlineStr">
        <is>
          <t>MSK_E_048</t>
        </is>
      </c>
      <c r="K2829" s="640" t="n">
        <v>1</v>
      </c>
      <c r="L2829" s="640" t="n">
        <v>1</v>
      </c>
      <c r="M2829" s="623" t="inlineStr">
        <is>
          <t>Samsung 43" вертикальный</t>
        </is>
      </c>
      <c r="N2829" s="640" t="n"/>
      <c r="O2829" s="640">
        <f>IF(AND(N2829=1,L2829=1),K2829,"")</f>
        <v/>
      </c>
      <c r="P2829" s="642" t="inlineStr">
        <is>
          <t>г. Москва, Рублевское ш.42, корп.1 (ТЦ «ЗАР»)</t>
        </is>
      </c>
      <c r="Q2829" s="640" t="inlineStr">
        <is>
          <t>55.750764</t>
        </is>
      </c>
      <c r="R2829" s="494" t="inlineStr">
        <is>
          <t>37.412503</t>
        </is>
      </c>
      <c r="S2829" s="387" t="n">
        <v>24</v>
      </c>
      <c r="T2829" s="529">
        <f>S2829*O2829</f>
        <v/>
      </c>
      <c r="U2829" s="436" t="n">
        <v>1</v>
      </c>
      <c r="V2829" s="438">
        <f>IF(AND(N2829=1,U2829=1),C2829,"")</f>
        <v/>
      </c>
      <c r="Z2829" s="1" t="n"/>
    </row>
    <row r="2830" hidden="1" ht="16.05" customHeight="1">
      <c r="A2830" s="125" t="n">
        <v>3449</v>
      </c>
      <c r="B2830" s="791" t="n"/>
      <c r="C2830" s="130" t="inlineStr">
        <is>
          <t>Москва</t>
        </is>
      </c>
      <c r="D2830" s="130" t="inlineStr">
        <is>
          <t>Москва</t>
        </is>
      </c>
      <c r="E2830" s="130" t="n"/>
      <c r="F2830" s="130" t="inlineStr">
        <is>
          <t>Супермаркет</t>
        </is>
      </c>
      <c r="G2830" s="130" t="inlineStr">
        <is>
          <t>Энотека АВ</t>
        </is>
      </c>
      <c r="H2830" s="131" t="n"/>
      <c r="I2830" s="637" t="n">
        <v>49</v>
      </c>
      <c r="J2830" s="637" t="inlineStr">
        <is>
          <t>MSK_E_049</t>
        </is>
      </c>
      <c r="K2830" s="640" t="n">
        <v>1</v>
      </c>
      <c r="L2830" s="640" t="n">
        <v>1</v>
      </c>
      <c r="M2830" s="623" t="inlineStr">
        <is>
          <t>Samsung 43" вертикальный</t>
        </is>
      </c>
      <c r="N2830" s="640" t="n"/>
      <c r="O2830" s="640">
        <f>IF(AND(N2830=1,L2830=1),K2830,"")</f>
        <v/>
      </c>
      <c r="P2830" s="642" t="inlineStr">
        <is>
          <t>МО, Одинцовский район, с.п. Барвихинское, д. Жуковка, Рублево-Успенское шоссе, д. 201</t>
        </is>
      </c>
      <c r="Q2830" s="640" t="inlineStr">
        <is>
          <t>55.737475</t>
        </is>
      </c>
      <c r="R2830" s="494" t="inlineStr">
        <is>
          <t>37.247118</t>
        </is>
      </c>
      <c r="S2830" s="387" t="n">
        <v>24</v>
      </c>
      <c r="T2830" s="529">
        <f>S2830*O2830</f>
        <v/>
      </c>
      <c r="U2830" s="436" t="n">
        <v>1</v>
      </c>
      <c r="V2830" s="438">
        <f>IF(AND(N2830=1,U2830=1),C2830,"")</f>
        <v/>
      </c>
      <c r="Z2830" s="1" t="n"/>
    </row>
    <row r="2831" hidden="1" ht="16.05" customHeight="1">
      <c r="A2831" s="125" t="n">
        <v>3450</v>
      </c>
      <c r="B2831" s="791" t="n"/>
      <c r="C2831" s="130" t="inlineStr">
        <is>
          <t>Москва</t>
        </is>
      </c>
      <c r="D2831" s="130" t="inlineStr">
        <is>
          <t>Москва</t>
        </is>
      </c>
      <c r="E2831" s="130" t="n"/>
      <c r="F2831" s="130" t="inlineStr">
        <is>
          <t>Супермаркет</t>
        </is>
      </c>
      <c r="G2831" s="130" t="inlineStr">
        <is>
          <t>Энотека АВ</t>
        </is>
      </c>
      <c r="H2831" s="131" t="n"/>
      <c r="I2831" s="637" t="n">
        <v>50</v>
      </c>
      <c r="J2831" s="637" t="inlineStr">
        <is>
          <t>MSK_E_050</t>
        </is>
      </c>
      <c r="K2831" s="640" t="n">
        <v>1</v>
      </c>
      <c r="L2831" s="640" t="n">
        <v>1</v>
      </c>
      <c r="M2831" s="623" t="inlineStr">
        <is>
          <t>Samsung 43" вертикальный</t>
        </is>
      </c>
      <c r="N2831" s="640" t="n"/>
      <c r="O2831" s="640">
        <f>IF(AND(N2831=1,L2831=1),K2831,"")</f>
        <v/>
      </c>
      <c r="P2831" s="642" t="inlineStr">
        <is>
          <t>г.Москва, ул. Исаковского, д.33 ТЦ IBIZA</t>
        </is>
      </c>
      <c r="Q2831" s="640" t="inlineStr">
        <is>
          <t>55.804976</t>
        </is>
      </c>
      <c r="R2831" s="494" t="inlineStr">
        <is>
          <t>37.419336</t>
        </is>
      </c>
      <c r="S2831" s="387" t="n">
        <v>15</v>
      </c>
      <c r="T2831" s="529">
        <f>S2831*O2831</f>
        <v/>
      </c>
      <c r="U2831" s="436" t="n">
        <v>1</v>
      </c>
      <c r="V2831" s="438">
        <f>IF(AND(N2831=1,U2831=1),C2831,"")</f>
        <v/>
      </c>
      <c r="Z2831" s="1" t="n"/>
    </row>
    <row r="2832" hidden="1" ht="16.05" customHeight="1">
      <c r="A2832" s="125" t="n">
        <v>3451</v>
      </c>
      <c r="B2832" s="791" t="n"/>
      <c r="C2832" s="130" t="inlineStr">
        <is>
          <t>Москва</t>
        </is>
      </c>
      <c r="D2832" s="130" t="inlineStr">
        <is>
          <t>Москва</t>
        </is>
      </c>
      <c r="E2832" s="130" t="n"/>
      <c r="F2832" s="130" t="inlineStr">
        <is>
          <t>Супермаркет</t>
        </is>
      </c>
      <c r="G2832" s="130" t="inlineStr">
        <is>
          <t>Энотека АВ</t>
        </is>
      </c>
      <c r="H2832" s="131" t="n"/>
      <c r="I2832" s="637" t="n">
        <v>51</v>
      </c>
      <c r="J2832" s="637" t="inlineStr">
        <is>
          <t>MSK_E_051</t>
        </is>
      </c>
      <c r="K2832" s="640" t="n">
        <v>1</v>
      </c>
      <c r="L2832" s="640" t="n">
        <v>1</v>
      </c>
      <c r="M2832" s="623" t="inlineStr">
        <is>
          <t>Samsung 43" вертикальный</t>
        </is>
      </c>
      <c r="N2832" s="640" t="n"/>
      <c r="O2832" s="640">
        <f>IF(AND(N2832=1,L2832=1),K2832,"")</f>
        <v/>
      </c>
      <c r="P2832" s="642" t="inlineStr">
        <is>
          <t>г. Москва, Ленинградское шоссе, д.46</t>
        </is>
      </c>
      <c r="Q2832" s="640" t="inlineStr">
        <is>
          <t>55.833547</t>
        </is>
      </c>
      <c r="R2832" s="494" t="inlineStr">
        <is>
          <t>37.486604</t>
        </is>
      </c>
      <c r="S2832" s="387" t="n">
        <v>24</v>
      </c>
      <c r="T2832" s="529">
        <f>S2832*O2832</f>
        <v/>
      </c>
      <c r="U2832" s="436" t="n">
        <v>1</v>
      </c>
      <c r="V2832" s="438">
        <f>IF(AND(N2832=1,U2832=1),C2832,"")</f>
        <v/>
      </c>
      <c r="Z2832" s="1" t="n"/>
    </row>
    <row r="2833" hidden="1" ht="16.05" customHeight="1">
      <c r="A2833" s="125" t="n">
        <v>3452</v>
      </c>
      <c r="B2833" s="791" t="n"/>
      <c r="C2833" s="130" t="inlineStr">
        <is>
          <t>Москва</t>
        </is>
      </c>
      <c r="D2833" s="130" t="inlineStr">
        <is>
          <t>Москва</t>
        </is>
      </c>
      <c r="E2833" s="130" t="n"/>
      <c r="F2833" s="130" t="inlineStr">
        <is>
          <t>Супермаркет</t>
        </is>
      </c>
      <c r="G2833" s="130" t="inlineStr">
        <is>
          <t>Энотека АВ</t>
        </is>
      </c>
      <c r="H2833" s="131" t="n"/>
      <c r="I2833" s="637" t="n">
        <v>52</v>
      </c>
      <c r="J2833" s="637" t="inlineStr">
        <is>
          <t>MSK_E_052</t>
        </is>
      </c>
      <c r="K2833" s="640" t="n">
        <v>1</v>
      </c>
      <c r="L2833" s="640" t="n">
        <v>1</v>
      </c>
      <c r="M2833" s="623" t="inlineStr">
        <is>
          <t>Samsung 43" вертикальный</t>
        </is>
      </c>
      <c r="N2833" s="640" t="n"/>
      <c r="O2833" s="640">
        <f>IF(AND(N2833=1,L2833=1),K2833,"")</f>
        <v/>
      </c>
      <c r="P2833" s="642" t="inlineStr">
        <is>
          <t>МО, г.Химки, Ленинградская, д.16б</t>
        </is>
      </c>
      <c r="Q2833" s="640" t="inlineStr">
        <is>
          <t>55.888081</t>
        </is>
      </c>
      <c r="R2833" s="494" t="inlineStr">
        <is>
          <t>37.438498</t>
        </is>
      </c>
      <c r="S2833" s="387" t="n">
        <v>24</v>
      </c>
      <c r="T2833" s="529">
        <f>S2833*O2833</f>
        <v/>
      </c>
      <c r="U2833" s="436" t="n">
        <v>1</v>
      </c>
      <c r="V2833" s="438">
        <f>IF(AND(N2833=1,U2833=1),C2833,"")</f>
        <v/>
      </c>
      <c r="Z2833" s="1" t="n"/>
    </row>
    <row r="2834" hidden="1" ht="16.05" customHeight="1">
      <c r="A2834" s="125" t="n">
        <v>3453</v>
      </c>
      <c r="B2834" s="791" t="n"/>
      <c r="C2834" s="130" t="inlineStr">
        <is>
          <t>Москва</t>
        </is>
      </c>
      <c r="D2834" s="130" t="inlineStr">
        <is>
          <t>Москва</t>
        </is>
      </c>
      <c r="E2834" s="130" t="n"/>
      <c r="F2834" s="130" t="inlineStr">
        <is>
          <t>Супермаркет</t>
        </is>
      </c>
      <c r="G2834" s="130" t="inlineStr">
        <is>
          <t>Энотека АВ</t>
        </is>
      </c>
      <c r="H2834" s="131" t="n"/>
      <c r="I2834" s="637" t="n">
        <v>53</v>
      </c>
      <c r="J2834" s="637" t="inlineStr">
        <is>
          <t>MSK_E_053</t>
        </is>
      </c>
      <c r="K2834" s="640" t="n">
        <v>1</v>
      </c>
      <c r="L2834" s="640" t="n">
        <v>1</v>
      </c>
      <c r="M2834" s="623" t="inlineStr">
        <is>
          <t>Samsung 43" вертикальный</t>
        </is>
      </c>
      <c r="N2834" s="640" t="n"/>
      <c r="O2834" s="640">
        <f>IF(AND(N2834=1,L2834=1),K2834,"")</f>
        <v/>
      </c>
      <c r="P2834" s="642" t="inlineStr">
        <is>
          <t>г. Москва, Дмитровское шоссе, д.108 Б, стр.1</t>
        </is>
      </c>
      <c r="Q2834" s="640" t="inlineStr">
        <is>
          <t>55.886527</t>
        </is>
      </c>
      <c r="R2834" s="494" t="inlineStr">
        <is>
          <t>37.543712</t>
        </is>
      </c>
      <c r="S2834" s="387" t="n">
        <v>24</v>
      </c>
      <c r="T2834" s="529">
        <f>S2834*O2834</f>
        <v/>
      </c>
      <c r="U2834" s="436" t="n">
        <v>1</v>
      </c>
      <c r="V2834" s="438">
        <f>IF(AND(N2834=1,U2834=1),C2834,"")</f>
        <v/>
      </c>
      <c r="Z2834" s="1" t="n"/>
    </row>
    <row r="2835" hidden="1" ht="16.05" customHeight="1">
      <c r="A2835" s="125" t="n">
        <v>3454</v>
      </c>
      <c r="B2835" s="791" t="n"/>
      <c r="C2835" s="130" t="inlineStr">
        <is>
          <t>Москва</t>
        </is>
      </c>
      <c r="D2835" s="130" t="inlineStr">
        <is>
          <t>Москва</t>
        </is>
      </c>
      <c r="E2835" s="130" t="n"/>
      <c r="F2835" s="130" t="inlineStr">
        <is>
          <t>Супермаркет</t>
        </is>
      </c>
      <c r="G2835" s="130" t="inlineStr">
        <is>
          <t>Энотека АВ</t>
        </is>
      </c>
      <c r="H2835" s="131" t="n"/>
      <c r="I2835" s="637" t="n">
        <v>54</v>
      </c>
      <c r="J2835" s="637" t="inlineStr">
        <is>
          <t>MSK_E_054</t>
        </is>
      </c>
      <c r="K2835" s="640" t="n">
        <v>1</v>
      </c>
      <c r="L2835" s="640" t="n">
        <v>1</v>
      </c>
      <c r="M2835" s="623" t="inlineStr">
        <is>
          <t>Samsung 43" вертикальный</t>
        </is>
      </c>
      <c r="N2835" s="640" t="n"/>
      <c r="O2835" s="640">
        <f>IF(AND(N2835=1,L2835=1),K2835,"")</f>
        <v/>
      </c>
      <c r="P2835" s="642" t="inlineStr">
        <is>
          <t>Московская область, Мытищинский район, с/п Федоскинское, д. Шолохово, Дмитровское шоссе, владение 2Б, стр.1</t>
        </is>
      </c>
      <c r="Q2835" s="640" t="inlineStr">
        <is>
          <t>56.056213</t>
        </is>
      </c>
      <c r="R2835" s="494" t="inlineStr">
        <is>
          <t>37.530973</t>
        </is>
      </c>
      <c r="S2835" s="387" t="n">
        <v>24</v>
      </c>
      <c r="T2835" s="529">
        <f>S2835*O2835</f>
        <v/>
      </c>
      <c r="U2835" s="436" t="n">
        <v>1</v>
      </c>
      <c r="V2835" s="438">
        <f>IF(AND(N2835=1,U2835=1),C2835,"")</f>
        <v/>
      </c>
      <c r="Z2835" s="1" t="n"/>
    </row>
    <row r="2836" hidden="1" ht="16.05" customHeight="1">
      <c r="A2836" s="125" t="n">
        <v>3455</v>
      </c>
      <c r="B2836" s="791" t="n"/>
      <c r="C2836" s="130" t="inlineStr">
        <is>
          <t>Москва</t>
        </is>
      </c>
      <c r="D2836" s="130" t="inlineStr">
        <is>
          <t>Москва</t>
        </is>
      </c>
      <c r="E2836" s="130" t="n"/>
      <c r="F2836" s="130" t="inlineStr">
        <is>
          <t>Супермаркет</t>
        </is>
      </c>
      <c r="G2836" s="130" t="inlineStr">
        <is>
          <t>Энотека АВ</t>
        </is>
      </c>
      <c r="H2836" s="131" t="n"/>
      <c r="I2836" s="637" t="n">
        <v>56</v>
      </c>
      <c r="J2836" s="637" t="inlineStr">
        <is>
          <t>MSK_E_056</t>
        </is>
      </c>
      <c r="K2836" s="640" t="n">
        <v>1</v>
      </c>
      <c r="L2836" s="640" t="n">
        <v>1</v>
      </c>
      <c r="M2836" s="623" t="inlineStr">
        <is>
          <t>Samsung 43" вертикальный</t>
        </is>
      </c>
      <c r="N2836" s="640" t="n"/>
      <c r="O2836" s="640">
        <f>IF(AND(N2836=1,L2836=1),K2836,"")</f>
        <v/>
      </c>
      <c r="P2836" s="642" t="inlineStr">
        <is>
          <t>МО, гор. округ Мытищи, д. Бородино, Осташковское шоссе, строен. 57</t>
        </is>
      </c>
      <c r="Q2836" s="640" t="inlineStr">
        <is>
          <t>55.921476</t>
        </is>
      </c>
      <c r="R2836" s="494" t="inlineStr">
        <is>
          <t>37.664986</t>
        </is>
      </c>
      <c r="S2836" s="387" t="n">
        <v>24</v>
      </c>
      <c r="T2836" s="529">
        <f>S2836*O2836</f>
        <v/>
      </c>
      <c r="U2836" s="436" t="n">
        <v>1</v>
      </c>
      <c r="V2836" s="438">
        <f>IF(AND(N2836=1,U2836=1),C2836,"")</f>
        <v/>
      </c>
      <c r="Z2836" s="1" t="n"/>
    </row>
    <row r="2837" hidden="1" ht="16.05" customHeight="1">
      <c r="A2837" s="125" t="n">
        <v>3456</v>
      </c>
      <c r="B2837" s="791" t="n"/>
      <c r="C2837" s="130" t="inlineStr">
        <is>
          <t>Москва</t>
        </is>
      </c>
      <c r="D2837" s="130" t="inlineStr">
        <is>
          <t>Москва</t>
        </is>
      </c>
      <c r="E2837" s="130" t="n"/>
      <c r="F2837" s="130" t="inlineStr">
        <is>
          <t>Супермаркет</t>
        </is>
      </c>
      <c r="G2837" s="130" t="inlineStr">
        <is>
          <t>Энотека АВ</t>
        </is>
      </c>
      <c r="H2837" s="131" t="n"/>
      <c r="I2837" s="637" t="n">
        <v>57</v>
      </c>
      <c r="J2837" s="637" t="inlineStr">
        <is>
          <t>MSK_E_057</t>
        </is>
      </c>
      <c r="K2837" s="640" t="n">
        <v>1</v>
      </c>
      <c r="L2837" s="640" t="n">
        <v>1</v>
      </c>
      <c r="M2837" s="623" t="inlineStr">
        <is>
          <t>Samsung 43" вертикальный</t>
        </is>
      </c>
      <c r="N2837" s="640" t="n"/>
      <c r="O2837" s="640">
        <f>IF(AND(N2837=1,L2837=1),K2837,"")</f>
        <v/>
      </c>
      <c r="P2837" s="642" t="inlineStr">
        <is>
          <t>МО, г.Королев, пр-т Космонавтов, д.4в</t>
        </is>
      </c>
      <c r="Q2837" s="640" t="inlineStr">
        <is>
          <t>55.920541</t>
        </is>
      </c>
      <c r="R2837" s="494" t="inlineStr">
        <is>
          <t>37.867837</t>
        </is>
      </c>
      <c r="S2837" s="387" t="n">
        <v>24</v>
      </c>
      <c r="T2837" s="529">
        <f>S2837*O2837</f>
        <v/>
      </c>
      <c r="U2837" s="436" t="n">
        <v>1</v>
      </c>
      <c r="V2837" s="438">
        <f>IF(AND(N2837=1,U2837=1),C2837,"")</f>
        <v/>
      </c>
      <c r="Z2837" s="1" t="n"/>
    </row>
    <row r="2838" hidden="1" ht="16.05" customHeight="1">
      <c r="A2838" s="125" t="n">
        <v>3457</v>
      </c>
      <c r="B2838" s="791" t="n"/>
      <c r="C2838" s="130" t="inlineStr">
        <is>
          <t>Москва</t>
        </is>
      </c>
      <c r="D2838" s="130" t="inlineStr">
        <is>
          <t>Москва</t>
        </is>
      </c>
      <c r="E2838" s="130" t="n"/>
      <c r="F2838" s="130" t="inlineStr">
        <is>
          <t>Супермаркет</t>
        </is>
      </c>
      <c r="G2838" s="130" t="inlineStr">
        <is>
          <t>Энотека АВ</t>
        </is>
      </c>
      <c r="H2838" s="131" t="n"/>
      <c r="I2838" s="637" t="n">
        <v>58</v>
      </c>
      <c r="J2838" s="637" t="inlineStr">
        <is>
          <t>MSK_E_058</t>
        </is>
      </c>
      <c r="K2838" s="640" t="n">
        <v>1</v>
      </c>
      <c r="L2838" s="640" t="n">
        <v>1</v>
      </c>
      <c r="M2838" s="623" t="inlineStr">
        <is>
          <t>Samsung 43" вертикальный</t>
        </is>
      </c>
      <c r="N2838" s="640" t="n"/>
      <c r="O2838" s="640">
        <f>IF(AND(N2838=1,L2838=1),K2838,"")</f>
        <v/>
      </c>
      <c r="P2838" s="642" t="inlineStr">
        <is>
          <t>г. Москва, Зеленоград, корп. 514, стр.1</t>
        </is>
      </c>
      <c r="Q2838" s="640" t="inlineStr">
        <is>
          <t>55.9975</t>
        </is>
      </c>
      <c r="R2838" s="494" t="inlineStr">
        <is>
          <t>37.236372</t>
        </is>
      </c>
      <c r="S2838" s="387" t="n">
        <v>24</v>
      </c>
      <c r="T2838" s="529">
        <f>S2838*O2838</f>
        <v/>
      </c>
      <c r="U2838" s="436" t="n">
        <v>1</v>
      </c>
      <c r="V2838" s="438">
        <f>IF(AND(N2838=1,U2838=1),C2838,"")</f>
        <v/>
      </c>
      <c r="Z2838" s="1" t="n"/>
    </row>
    <row r="2839" hidden="1" ht="16.05" customHeight="1">
      <c r="A2839" s="125" t="n">
        <v>3460</v>
      </c>
      <c r="B2839" s="791" t="n"/>
      <c r="C2839" s="130" t="inlineStr">
        <is>
          <t>Москва</t>
        </is>
      </c>
      <c r="D2839" s="130" t="inlineStr">
        <is>
          <t>Москва</t>
        </is>
      </c>
      <c r="E2839" s="130" t="n"/>
      <c r="F2839" s="130" t="inlineStr">
        <is>
          <t>Супермаркет</t>
        </is>
      </c>
      <c r="G2839" s="130" t="inlineStr">
        <is>
          <t>Энотека АВ</t>
        </is>
      </c>
      <c r="H2839" s="131" t="n"/>
      <c r="I2839" s="637" t="n">
        <v>61</v>
      </c>
      <c r="J2839" s="637" t="inlineStr">
        <is>
          <t>MSK_E_061</t>
        </is>
      </c>
      <c r="K2839" s="640" t="n">
        <v>1</v>
      </c>
      <c r="L2839" s="640" t="n">
        <v>1</v>
      </c>
      <c r="M2839" s="623" t="inlineStr">
        <is>
          <t>Samsung 43" вертикальный</t>
        </is>
      </c>
      <c r="N2839" s="640" t="n"/>
      <c r="O2839" s="640">
        <f>IF(AND(N2839=1,L2839=1),K2839,"")</f>
        <v/>
      </c>
      <c r="P2839" s="642" t="inlineStr">
        <is>
          <t>г. Москва, Русаковская, д.22</t>
        </is>
      </c>
      <c r="Q2839" s="640" t="inlineStr">
        <is>
          <t>55.786378</t>
        </is>
      </c>
      <c r="R2839" s="494" t="inlineStr">
        <is>
          <t>37.678609</t>
        </is>
      </c>
      <c r="S2839" s="387" t="n">
        <v>24</v>
      </c>
      <c r="T2839" s="529">
        <f>S2839*O2839</f>
        <v/>
      </c>
      <c r="U2839" s="436" t="n">
        <v>1</v>
      </c>
      <c r="V2839" s="438">
        <f>IF(AND(N2839=1,U2839=1),C2839,"")</f>
        <v/>
      </c>
      <c r="Z2839" s="1" t="n"/>
    </row>
    <row r="2840" hidden="1" ht="16.05" customHeight="1">
      <c r="A2840" s="125" t="n">
        <v>3458</v>
      </c>
      <c r="B2840" s="791" t="n"/>
      <c r="C2840" s="130" t="inlineStr">
        <is>
          <t>Москва</t>
        </is>
      </c>
      <c r="D2840" s="130" t="inlineStr">
        <is>
          <t>Москва</t>
        </is>
      </c>
      <c r="E2840" s="130" t="n"/>
      <c r="F2840" s="130" t="inlineStr">
        <is>
          <t>Супермаркет</t>
        </is>
      </c>
      <c r="G2840" s="130" t="inlineStr">
        <is>
          <t>Энотека АВ</t>
        </is>
      </c>
      <c r="H2840" s="131" t="n"/>
      <c r="I2840" s="637" t="n">
        <v>59</v>
      </c>
      <c r="J2840" s="402" t="inlineStr">
        <is>
          <t>MSK_059_Е</t>
        </is>
      </c>
      <c r="K2840" s="640" t="n">
        <v>1</v>
      </c>
      <c r="L2840" s="640" t="n">
        <v>0</v>
      </c>
      <c r="M2840" s="640" t="inlineStr">
        <is>
          <t>Sam 43</t>
        </is>
      </c>
      <c r="N2840" s="640" t="n"/>
      <c r="O2840" s="640">
        <f>IF(AND(N2840=1,L2840=1),K2840,"")</f>
        <v/>
      </c>
      <c r="P2840" s="642" t="inlineStr">
        <is>
          <t>г. Москва, Свободы, д.42</t>
        </is>
      </c>
      <c r="Q2840" s="640" t="n">
        <v>55.845218</v>
      </c>
      <c r="R2840" s="422" t="n">
        <v>37.455389</v>
      </c>
      <c r="S2840" s="387" t="n">
        <v>24</v>
      </c>
      <c r="T2840" s="529">
        <f>S2840*O2840</f>
        <v/>
      </c>
      <c r="U2840" s="436" t="n">
        <v>1</v>
      </c>
      <c r="V2840" s="438">
        <f>IF(AND(N2840=1,U2840=1),C2840,"")</f>
        <v/>
      </c>
      <c r="X2840" s="1" t="n"/>
      <c r="Y2840" s="1" t="n"/>
      <c r="Z2840" s="1" t="n"/>
    </row>
    <row r="2841" hidden="1" ht="16.05" customHeight="1">
      <c r="A2841" s="125" t="n">
        <v>3459</v>
      </c>
      <c r="B2841" s="791" t="n"/>
      <c r="C2841" s="130" t="inlineStr">
        <is>
          <t>Москва</t>
        </is>
      </c>
      <c r="D2841" s="130" t="inlineStr">
        <is>
          <t>Москва</t>
        </is>
      </c>
      <c r="E2841" s="130" t="n"/>
      <c r="F2841" s="130" t="inlineStr">
        <is>
          <t>Супермаркет</t>
        </is>
      </c>
      <c r="G2841" s="130" t="inlineStr">
        <is>
          <t>Энотека АВ</t>
        </is>
      </c>
      <c r="H2841" s="131" t="n"/>
      <c r="I2841" s="637" t="n">
        <v>60</v>
      </c>
      <c r="J2841" s="402" t="inlineStr">
        <is>
          <t>MSK_060_Е</t>
        </is>
      </c>
      <c r="K2841" s="640" t="n">
        <v>1</v>
      </c>
      <c r="L2841" s="640" t="n">
        <v>0</v>
      </c>
      <c r="M2841" s="640" t="inlineStr">
        <is>
          <t>Sam 43</t>
        </is>
      </c>
      <c r="N2841" s="640" t="n"/>
      <c r="O2841" s="640">
        <f>IF(AND(N2841=1,L2841=1),K2841,"")</f>
        <v/>
      </c>
      <c r="P2841" s="642" t="inlineStr">
        <is>
          <t>МО, г. Химки, Молодежная, стрен.6А</t>
        </is>
      </c>
      <c r="Q2841" s="640" t="n">
        <v>55.881265</v>
      </c>
      <c r="R2841" s="422" t="n">
        <v>37.419119</v>
      </c>
      <c r="S2841" s="387" t="n">
        <v>24</v>
      </c>
      <c r="T2841" s="529">
        <f>S2841*O2841</f>
        <v/>
      </c>
      <c r="U2841" s="436" t="n">
        <v>1</v>
      </c>
      <c r="V2841" s="438">
        <f>IF(AND(N2841=1,U2841=1),C2841,"")</f>
        <v/>
      </c>
      <c r="X2841" s="1" t="n"/>
      <c r="Y2841" s="1" t="n"/>
      <c r="Z2841" s="1" t="n"/>
    </row>
    <row r="2842" hidden="1" ht="16.05" customHeight="1">
      <c r="A2842" s="125" t="n">
        <v>3461</v>
      </c>
      <c r="B2842" s="791" t="n"/>
      <c r="C2842" s="130" t="inlineStr">
        <is>
          <t>Москва</t>
        </is>
      </c>
      <c r="D2842" s="130" t="inlineStr">
        <is>
          <t>Москва</t>
        </is>
      </c>
      <c r="E2842" s="130" t="n"/>
      <c r="F2842" s="130" t="inlineStr">
        <is>
          <t>Супермаркет</t>
        </is>
      </c>
      <c r="G2842" s="130" t="inlineStr">
        <is>
          <t>Энотека АВ</t>
        </is>
      </c>
      <c r="H2842" s="131" t="n"/>
      <c r="I2842" s="637" t="n">
        <v>62</v>
      </c>
      <c r="J2842" s="637" t="inlineStr">
        <is>
          <t>MSK_E_062</t>
        </is>
      </c>
      <c r="K2842" s="640" t="n">
        <v>1</v>
      </c>
      <c r="L2842" s="640" t="n">
        <v>1</v>
      </c>
      <c r="M2842" s="623" t="inlineStr">
        <is>
          <t>Samsung 43" вертикальный</t>
        </is>
      </c>
      <c r="N2842" s="640" t="n"/>
      <c r="O2842" s="640">
        <f>IF(AND(N2842=1,L2842=1),K2842,"")</f>
        <v/>
      </c>
      <c r="P2842" s="642" t="inlineStr">
        <is>
          <t>г. Москва, Садовая-Черногрязская, д.13/3, стр1</t>
        </is>
      </c>
      <c r="Q2842" s="640" t="inlineStr">
        <is>
          <t>55.7647</t>
        </is>
      </c>
      <c r="R2842" s="494" t="inlineStr">
        <is>
          <t>37.656123</t>
        </is>
      </c>
      <c r="S2842" s="387" t="n">
        <v>24</v>
      </c>
      <c r="T2842" s="529">
        <f>S2842*O2842</f>
        <v/>
      </c>
      <c r="U2842" s="436" t="n">
        <v>1</v>
      </c>
      <c r="V2842" s="438">
        <f>IF(AND(N2842=1,U2842=1),C2842,"")</f>
        <v/>
      </c>
      <c r="Z2842" s="1" t="n"/>
    </row>
    <row r="2843" hidden="1" ht="16.05" customHeight="1">
      <c r="A2843" s="125" t="n">
        <v>3464</v>
      </c>
      <c r="B2843" s="791" t="n"/>
      <c r="C2843" s="130" t="inlineStr">
        <is>
          <t>Москва</t>
        </is>
      </c>
      <c r="D2843" s="130" t="inlineStr">
        <is>
          <t>Москва</t>
        </is>
      </c>
      <c r="E2843" s="130" t="n"/>
      <c r="F2843" s="130" t="inlineStr">
        <is>
          <t>Супермаркет</t>
        </is>
      </c>
      <c r="G2843" s="130" t="inlineStr">
        <is>
          <t>Энотека АВ</t>
        </is>
      </c>
      <c r="H2843" s="131" t="n"/>
      <c r="I2843" s="637" t="n">
        <v>66</v>
      </c>
      <c r="J2843" s="637" t="inlineStr">
        <is>
          <t>MSK_E_066</t>
        </is>
      </c>
      <c r="K2843" s="640" t="n">
        <v>1</v>
      </c>
      <c r="L2843" s="640" t="n">
        <v>1</v>
      </c>
      <c r="M2843" s="623" t="inlineStr">
        <is>
          <t>Samsung 43" вертикальный</t>
        </is>
      </c>
      <c r="N2843" s="640" t="n"/>
      <c r="O2843" s="640">
        <f>IF(AND(N2843=1,L2843=1),K2843,"")</f>
        <v/>
      </c>
      <c r="P2843" s="642" t="inlineStr">
        <is>
          <t>г. Москва, ул. Чаянова, дом 14</t>
        </is>
      </c>
      <c r="Q2843" s="640" t="inlineStr">
        <is>
          <t>55.77624</t>
        </is>
      </c>
      <c r="R2843" s="494" t="inlineStr">
        <is>
          <t>37.596339</t>
        </is>
      </c>
      <c r="S2843" s="387" t="n">
        <v>24</v>
      </c>
      <c r="T2843" s="529">
        <f>S2843*O2843</f>
        <v/>
      </c>
      <c r="U2843" s="436" t="n">
        <v>1</v>
      </c>
      <c r="V2843" s="438">
        <f>IF(AND(N2843=1,U2843=1),C2843,"")</f>
        <v/>
      </c>
      <c r="Z2843" s="1" t="n"/>
    </row>
    <row r="2844" hidden="1" ht="16.05" customHeight="1">
      <c r="A2844" s="125" t="n">
        <v>3462</v>
      </c>
      <c r="B2844" s="791" t="n"/>
      <c r="C2844" s="130" t="inlineStr">
        <is>
          <t>Москва</t>
        </is>
      </c>
      <c r="D2844" s="130" t="inlineStr">
        <is>
          <t>Москва</t>
        </is>
      </c>
      <c r="E2844" s="130" t="n"/>
      <c r="F2844" s="130" t="inlineStr">
        <is>
          <t>Супермаркет</t>
        </is>
      </c>
      <c r="G2844" s="130" t="inlineStr">
        <is>
          <t>Энотека АВ</t>
        </is>
      </c>
      <c r="H2844" s="131" t="n"/>
      <c r="I2844" s="637" t="n">
        <v>63</v>
      </c>
      <c r="J2844" s="402" t="inlineStr">
        <is>
          <t>MSK_063_Е</t>
        </is>
      </c>
      <c r="K2844" s="640" t="n">
        <v>1</v>
      </c>
      <c r="L2844" s="640" t="n">
        <v>0</v>
      </c>
      <c r="M2844" s="640" t="inlineStr">
        <is>
          <t>Sam 43</t>
        </is>
      </c>
      <c r="N2844" s="640" t="n"/>
      <c r="O2844" s="640">
        <f>IF(AND(N2844=1,L2844=1),K2844,"")</f>
        <v/>
      </c>
      <c r="P2844" s="642" t="inlineStr">
        <is>
          <t>г. Москва, Старая Басманная, д. 28/2</t>
        </is>
      </c>
      <c r="Q2844" s="640" t="n">
        <v>55.768127</v>
      </c>
      <c r="R2844" s="422" t="n">
        <v>37.667656</v>
      </c>
      <c r="S2844" s="387" t="n">
        <v>24</v>
      </c>
      <c r="T2844" s="529">
        <f>S2844*O2844</f>
        <v/>
      </c>
      <c r="U2844" s="436" t="n">
        <v>1</v>
      </c>
      <c r="V2844" s="438">
        <f>IF(AND(N2844=1,U2844=1),C2844,"")</f>
        <v/>
      </c>
      <c r="X2844" s="1" t="n"/>
      <c r="Y2844" s="1" t="n"/>
      <c r="Z2844" s="1" t="n"/>
    </row>
    <row r="2845" hidden="1" ht="16.05" customHeight="1">
      <c r="A2845" s="125" t="n">
        <v>3463</v>
      </c>
      <c r="B2845" s="791" t="n"/>
      <c r="C2845" s="130" t="inlineStr">
        <is>
          <t>Москва</t>
        </is>
      </c>
      <c r="D2845" s="130" t="inlineStr">
        <is>
          <t>Москва</t>
        </is>
      </c>
      <c r="E2845" s="130" t="n"/>
      <c r="F2845" s="130" t="inlineStr">
        <is>
          <t>Супермаркет</t>
        </is>
      </c>
      <c r="G2845" s="130" t="inlineStr">
        <is>
          <t>Энотека АВ</t>
        </is>
      </c>
      <c r="H2845" s="131" t="n"/>
      <c r="I2845" s="637" t="n">
        <v>65</v>
      </c>
      <c r="J2845" s="402" t="inlineStr">
        <is>
          <t>MSK_065_Е</t>
        </is>
      </c>
      <c r="K2845" s="640" t="n">
        <v>2</v>
      </c>
      <c r="L2845" s="640" t="n">
        <v>0</v>
      </c>
      <c r="M2845" s="640" t="inlineStr">
        <is>
          <t>Sam 43</t>
        </is>
      </c>
      <c r="N2845" s="640" t="n"/>
      <c r="O2845" s="640">
        <f>IF(AND(N2845=1,L2845=1),K2845,"")</f>
        <v/>
      </c>
      <c r="P2845" s="642" t="inlineStr">
        <is>
          <t>г. Москва, Большая Грузинская, д.42</t>
        </is>
      </c>
      <c r="Q2845" s="640" t="n">
        <v>55.768767</v>
      </c>
      <c r="R2845" s="422" t="n">
        <v>37.581002</v>
      </c>
      <c r="S2845" s="387" t="n">
        <v>24</v>
      </c>
      <c r="T2845" s="529">
        <f>S2845*O2845</f>
        <v/>
      </c>
      <c r="U2845" s="436" t="n">
        <v>1</v>
      </c>
      <c r="V2845" s="438">
        <f>IF(AND(N2845=1,U2845=1),C2845,"")</f>
        <v/>
      </c>
      <c r="X2845" s="1" t="n"/>
      <c r="Y2845" s="1" t="n"/>
      <c r="Z2845" s="1" t="n"/>
    </row>
    <row r="2846" hidden="1" ht="16.05" customHeight="1">
      <c r="A2846" s="125" t="n">
        <v>3465</v>
      </c>
      <c r="B2846" s="791" t="n"/>
      <c r="C2846" s="130" t="inlineStr">
        <is>
          <t>Москва</t>
        </is>
      </c>
      <c r="D2846" s="130" t="inlineStr">
        <is>
          <t>Москва</t>
        </is>
      </c>
      <c r="E2846" s="130" t="n"/>
      <c r="F2846" s="130" t="inlineStr">
        <is>
          <t>Супермаркет</t>
        </is>
      </c>
      <c r="G2846" s="130" t="inlineStr">
        <is>
          <t>Энотека АВ</t>
        </is>
      </c>
      <c r="H2846" s="131" t="n"/>
      <c r="I2846" s="637" t="n">
        <v>67</v>
      </c>
      <c r="J2846" s="637" t="inlineStr">
        <is>
          <t>MSK_E_067</t>
        </is>
      </c>
      <c r="K2846" s="640" t="n">
        <v>1</v>
      </c>
      <c r="L2846" s="640" t="n">
        <v>1</v>
      </c>
      <c r="M2846" s="623" t="inlineStr">
        <is>
          <t>Samsung 43" вертикальный</t>
        </is>
      </c>
      <c r="N2846" s="640" t="n"/>
      <c r="O2846" s="640">
        <f>IF(AND(N2846=1,L2846=1),K2846,"")</f>
        <v/>
      </c>
      <c r="P2846" s="642" t="inlineStr">
        <is>
          <t>г.Москва, уд. Бакунинская, д. 26-30, стр.1</t>
        </is>
      </c>
      <c r="Q2846" s="640" t="inlineStr">
        <is>
          <t>55.775008</t>
        </is>
      </c>
      <c r="R2846" s="494" t="inlineStr">
        <is>
          <t>37.684915</t>
        </is>
      </c>
      <c r="S2846" s="387" t="n">
        <v>24</v>
      </c>
      <c r="T2846" s="529">
        <f>S2846*O2846</f>
        <v/>
      </c>
      <c r="U2846" s="436" t="n">
        <v>1</v>
      </c>
      <c r="V2846" s="438">
        <f>IF(AND(N2846=1,U2846=1),C2846,"")</f>
        <v/>
      </c>
      <c r="Z2846" s="1" t="n"/>
    </row>
    <row r="2847" hidden="1" ht="16.05" customHeight="1">
      <c r="A2847" s="125" t="n">
        <v>3466</v>
      </c>
      <c r="B2847" s="791" t="n"/>
      <c r="C2847" s="130" t="inlineStr">
        <is>
          <t>Москва</t>
        </is>
      </c>
      <c r="D2847" s="130" t="inlineStr">
        <is>
          <t>Москва</t>
        </is>
      </c>
      <c r="E2847" s="130" t="n"/>
      <c r="F2847" s="130" t="inlineStr">
        <is>
          <t>Супермаркет</t>
        </is>
      </c>
      <c r="G2847" s="130" t="inlineStr">
        <is>
          <t>Энотека АВ</t>
        </is>
      </c>
      <c r="H2847" s="131" t="n"/>
      <c r="I2847" s="637" t="n">
        <v>68</v>
      </c>
      <c r="J2847" s="637" t="inlineStr">
        <is>
          <t>MSK_E_068</t>
        </is>
      </c>
      <c r="K2847" s="640" t="n">
        <v>1</v>
      </c>
      <c r="L2847" s="640" t="n">
        <v>1</v>
      </c>
      <c r="M2847" s="623" t="inlineStr">
        <is>
          <t>Samsung 43" вертикальный</t>
        </is>
      </c>
      <c r="N2847" s="640" t="n"/>
      <c r="O2847" s="640">
        <f>IF(AND(N2847=1,L2847=1),K2847,"")</f>
        <v/>
      </c>
      <c r="P2847" s="642" t="inlineStr">
        <is>
          <t>г. Москва, деревня Мамыри, участок3</t>
        </is>
      </c>
      <c r="Q2847" s="640" t="inlineStr">
        <is>
          <t>55.601624</t>
        </is>
      </c>
      <c r="R2847" s="494" t="inlineStr">
        <is>
          <t>37.482867</t>
        </is>
      </c>
      <c r="S2847" s="387" t="n">
        <v>24</v>
      </c>
      <c r="T2847" s="529">
        <f>S2847*O2847</f>
        <v/>
      </c>
      <c r="U2847" s="436" t="n">
        <v>1</v>
      </c>
      <c r="V2847" s="438">
        <f>IF(AND(N2847=1,U2847=1),C2847,"")</f>
        <v/>
      </c>
      <c r="Z2847" s="1" t="n"/>
    </row>
    <row r="2848" hidden="1" ht="16.05" customHeight="1">
      <c r="A2848" s="125" t="n">
        <v>3468</v>
      </c>
      <c r="B2848" s="791" t="n"/>
      <c r="C2848" s="130" t="inlineStr">
        <is>
          <t>Москва</t>
        </is>
      </c>
      <c r="D2848" s="130" t="inlineStr">
        <is>
          <t>Москва</t>
        </is>
      </c>
      <c r="E2848" s="130" t="n"/>
      <c r="F2848" s="130" t="inlineStr">
        <is>
          <t>Супермаркет</t>
        </is>
      </c>
      <c r="G2848" s="130" t="inlineStr">
        <is>
          <t>Энотека АВ</t>
        </is>
      </c>
      <c r="H2848" s="131" t="n"/>
      <c r="I2848" s="637" t="n">
        <v>70</v>
      </c>
      <c r="J2848" s="637" t="inlineStr">
        <is>
          <t>MSK_E_070</t>
        </is>
      </c>
      <c r="K2848" s="640" t="n">
        <v>1</v>
      </c>
      <c r="L2848" s="640" t="n">
        <v>1</v>
      </c>
      <c r="M2848" s="623" t="inlineStr">
        <is>
          <t>Samsung 43" вертикальный</t>
        </is>
      </c>
      <c r="N2848" s="640" t="n"/>
      <c r="O2848" s="640">
        <f>IF(AND(N2848=1,L2848=1),K2848,"")</f>
        <v/>
      </c>
      <c r="P2848" s="642" t="inlineStr">
        <is>
          <t>МО, Одинцовский район, р.п. Новоивановское, ул. Западная, д.12, (ТВЦ «Сквер»)</t>
        </is>
      </c>
      <c r="Q2848" s="640" t="inlineStr">
        <is>
          <t>55.708952</t>
        </is>
      </c>
      <c r="R2848" s="494" t="inlineStr">
        <is>
          <t>37.361524</t>
        </is>
      </c>
      <c r="S2848" s="387" t="n">
        <v>15</v>
      </c>
      <c r="T2848" s="529">
        <f>S2848*O2848</f>
        <v/>
      </c>
      <c r="U2848" s="436" t="n">
        <v>1</v>
      </c>
      <c r="V2848" s="438">
        <f>IF(AND(N2848=1,U2848=1),C2848,"")</f>
        <v/>
      </c>
      <c r="Z2848" s="1" t="n"/>
    </row>
    <row r="2849" hidden="1" ht="16.05" customHeight="1">
      <c r="A2849" s="125" t="n">
        <v>3467</v>
      </c>
      <c r="B2849" s="791" t="n"/>
      <c r="C2849" s="130" t="inlineStr">
        <is>
          <t>Москва</t>
        </is>
      </c>
      <c r="D2849" s="130" t="inlineStr">
        <is>
          <t>Москва</t>
        </is>
      </c>
      <c r="E2849" s="130" t="n"/>
      <c r="F2849" s="130" t="inlineStr">
        <is>
          <t>Супермаркет</t>
        </is>
      </c>
      <c r="G2849" s="130" t="inlineStr">
        <is>
          <t>Энотека АВ</t>
        </is>
      </c>
      <c r="H2849" s="131" t="n"/>
      <c r="I2849" s="637" t="n">
        <v>69</v>
      </c>
      <c r="J2849" s="637" t="inlineStr">
        <is>
          <t>MSK_E_069</t>
        </is>
      </c>
      <c r="K2849" s="640" t="n">
        <v>1</v>
      </c>
      <c r="L2849" s="640" t="n">
        <v>0</v>
      </c>
      <c r="M2849" s="640" t="inlineStr">
        <is>
          <t>Samsung 43" вертикальный</t>
        </is>
      </c>
      <c r="N2849" s="640" t="n"/>
      <c r="O2849" s="640">
        <f>IF(AND(N2849=1,L2849=1),K2849,"")</f>
        <v/>
      </c>
      <c r="P2849" s="642" t="inlineStr">
        <is>
          <t>МО, г. Одинцово, Можайское ш, д.133А</t>
        </is>
      </c>
      <c r="Q2849" s="640" t="inlineStr">
        <is>
          <t>55.684397</t>
        </is>
      </c>
      <c r="R2849" s="422" t="inlineStr">
        <is>
          <t>37.295892</t>
        </is>
      </c>
      <c r="S2849" s="387" t="n">
        <v>15</v>
      </c>
      <c r="T2849" s="529">
        <f>S2849*O2849</f>
        <v/>
      </c>
      <c r="U2849" s="436" t="n">
        <v>1</v>
      </c>
      <c r="V2849" s="438">
        <f>IF(AND(N2849=1,U2849=1),C2849,"")</f>
        <v/>
      </c>
      <c r="Z2849" s="1" t="n"/>
    </row>
    <row r="2850" hidden="1" ht="16.05" customHeight="1">
      <c r="A2850" s="125" t="n">
        <v>3473</v>
      </c>
      <c r="B2850" s="791" t="n"/>
      <c r="C2850" s="130" t="inlineStr">
        <is>
          <t>Москва</t>
        </is>
      </c>
      <c r="D2850" s="130" t="inlineStr">
        <is>
          <t>Москва</t>
        </is>
      </c>
      <c r="E2850" s="130" t="n"/>
      <c r="F2850" s="130" t="inlineStr">
        <is>
          <t>Супермаркет</t>
        </is>
      </c>
      <c r="G2850" s="130" t="inlineStr">
        <is>
          <t>Энотека АВ</t>
        </is>
      </c>
      <c r="H2850" s="131" t="n"/>
      <c r="I2850" s="637" t="n">
        <v>102</v>
      </c>
      <c r="J2850" s="637" t="inlineStr">
        <is>
          <t>MSK_E_102</t>
        </is>
      </c>
      <c r="K2850" s="640" t="n">
        <v>1</v>
      </c>
      <c r="L2850" s="640" t="n">
        <v>1</v>
      </c>
      <c r="M2850" s="623" t="inlineStr">
        <is>
          <t>Samsung 43" вертикальный</t>
        </is>
      </c>
      <c r="N2850" s="640" t="n"/>
      <c r="O2850" s="640">
        <f>IF(AND(N2850=1,L2850=1),K2850,"")</f>
        <v/>
      </c>
      <c r="P2850" s="642" t="inlineStr">
        <is>
          <t>г.Москва, Генерала Глаголева, 14</t>
        </is>
      </c>
      <c r="Q2850" s="640" t="inlineStr">
        <is>
          <t>55.7822658</t>
        </is>
      </c>
      <c r="R2850" s="494" t="inlineStr">
        <is>
          <t>37.4626333</t>
        </is>
      </c>
      <c r="S2850" s="387" t="n">
        <v>24</v>
      </c>
      <c r="T2850" s="529">
        <f>S2850*O2850</f>
        <v/>
      </c>
      <c r="U2850" s="436" t="n">
        <v>1</v>
      </c>
      <c r="V2850" s="438">
        <f>IF(AND(N2850=1,U2850=1),C2850,"")</f>
        <v/>
      </c>
      <c r="Z2850" s="1" t="n"/>
    </row>
    <row r="2851" hidden="1" ht="16.05" customHeight="1">
      <c r="A2851" s="125" t="n">
        <v>3469</v>
      </c>
      <c r="B2851" s="791" t="n"/>
      <c r="C2851" s="130" t="inlineStr">
        <is>
          <t>Москва</t>
        </is>
      </c>
      <c r="D2851" s="130" t="inlineStr">
        <is>
          <t>Москва</t>
        </is>
      </c>
      <c r="E2851" s="130" t="n"/>
      <c r="F2851" s="130" t="inlineStr">
        <is>
          <t>Супермаркет</t>
        </is>
      </c>
      <c r="G2851" s="130" t="inlineStr">
        <is>
          <t>Энотека АВ</t>
        </is>
      </c>
      <c r="H2851" s="131" t="n"/>
      <c r="I2851" s="637" t="n">
        <v>71</v>
      </c>
      <c r="J2851" s="402" t="inlineStr">
        <is>
          <t>MSK_071_Е</t>
        </is>
      </c>
      <c r="K2851" s="640" t="n">
        <v>1</v>
      </c>
      <c r="L2851" s="640" t="n">
        <v>0</v>
      </c>
      <c r="M2851" s="640" t="inlineStr">
        <is>
          <t>Sam 43</t>
        </is>
      </c>
      <c r="N2851" s="640" t="n"/>
      <c r="O2851" s="640">
        <f>IF(AND(N2851=1,L2851=1),K2851,"")</f>
        <v/>
      </c>
      <c r="P2851" s="642" t="inlineStr">
        <is>
          <t>г. Москва, пос. Московский, дер. Лапшинка, владение 8., корп.20</t>
        </is>
      </c>
      <c r="Q2851" s="640" t="n">
        <v>55.609052</v>
      </c>
      <c r="R2851" s="422" t="n">
        <v>37.332451</v>
      </c>
      <c r="S2851" s="387" t="n">
        <v>24</v>
      </c>
      <c r="T2851" s="529">
        <f>S2851*O2851</f>
        <v/>
      </c>
      <c r="U2851" s="436" t="n">
        <v>1</v>
      </c>
      <c r="V2851" s="438">
        <f>IF(AND(N2851=1,U2851=1),C2851,"")</f>
        <v/>
      </c>
      <c r="X2851" s="1" t="n"/>
      <c r="Y2851" s="1" t="n"/>
      <c r="Z2851" s="1" t="n"/>
    </row>
    <row r="2852" hidden="1" ht="16.05" customHeight="1">
      <c r="A2852" s="125" t="n">
        <v>3470</v>
      </c>
      <c r="B2852" s="791" t="n"/>
      <c r="C2852" s="130" t="inlineStr">
        <is>
          <t>Москва</t>
        </is>
      </c>
      <c r="D2852" s="130" t="inlineStr">
        <is>
          <t>Москва</t>
        </is>
      </c>
      <c r="E2852" s="130" t="n"/>
      <c r="F2852" s="130" t="inlineStr">
        <is>
          <t>Супермаркет</t>
        </is>
      </c>
      <c r="G2852" s="130" t="inlineStr">
        <is>
          <t>Энотека АВ</t>
        </is>
      </c>
      <c r="H2852" s="131" t="n"/>
      <c r="I2852" s="637" t="n">
        <v>74</v>
      </c>
      <c r="J2852" s="402" t="inlineStr">
        <is>
          <t>MSK_074_Е</t>
        </is>
      </c>
      <c r="K2852" s="640" t="n">
        <v>1</v>
      </c>
      <c r="L2852" s="640" t="n">
        <v>0</v>
      </c>
      <c r="M2852" s="640" t="inlineStr">
        <is>
          <t>Sam 43</t>
        </is>
      </c>
      <c r="N2852" s="640" t="n"/>
      <c r="O2852" s="640">
        <f>IF(AND(N2852=1,L2852=1),K2852,"")</f>
        <v/>
      </c>
      <c r="P2852" s="642" t="inlineStr">
        <is>
          <t>МО Одинцовский район, раб. пос. Заречье, д.2</t>
        </is>
      </c>
      <c r="Q2852" s="640" t="n">
        <v>55.688528</v>
      </c>
      <c r="R2852" s="422" t="n">
        <v>37.394547</v>
      </c>
      <c r="S2852" s="387" t="n">
        <v>24</v>
      </c>
      <c r="T2852" s="529">
        <f>S2852*O2852</f>
        <v/>
      </c>
      <c r="U2852" s="436" t="n">
        <v>1</v>
      </c>
      <c r="V2852" s="438">
        <f>IF(AND(N2852=1,U2852=1),C2852,"")</f>
        <v/>
      </c>
      <c r="X2852" s="1" t="n"/>
      <c r="Y2852" s="1" t="n"/>
      <c r="Z2852" s="1" t="n"/>
    </row>
    <row r="2853" hidden="1" ht="16.05" customHeight="1">
      <c r="A2853" s="125" t="n">
        <v>3471</v>
      </c>
      <c r="B2853" s="791" t="n"/>
      <c r="C2853" s="130" t="inlineStr">
        <is>
          <t>Москва</t>
        </is>
      </c>
      <c r="D2853" s="130" t="inlineStr">
        <is>
          <t>Москва</t>
        </is>
      </c>
      <c r="E2853" s="130" t="n"/>
      <c r="F2853" s="130" t="inlineStr">
        <is>
          <t>Супермаркет</t>
        </is>
      </c>
      <c r="G2853" s="130" t="inlineStr">
        <is>
          <t>Энотека АВ</t>
        </is>
      </c>
      <c r="H2853" s="131" t="n"/>
      <c r="I2853" s="637" t="n">
        <v>100</v>
      </c>
      <c r="J2853" s="402" t="inlineStr">
        <is>
          <t>MSK_100_Е</t>
        </is>
      </c>
      <c r="K2853" s="640" t="n">
        <v>1</v>
      </c>
      <c r="L2853" s="640" t="n">
        <v>0</v>
      </c>
      <c r="M2853" s="640" t="inlineStr">
        <is>
          <t>Sam 43</t>
        </is>
      </c>
      <c r="N2853" s="640" t="n"/>
      <c r="O2853" s="640">
        <f>IF(AND(N2853=1,L2853=1),K2853,"")</f>
        <v/>
      </c>
      <c r="P2853" s="642" t="inlineStr">
        <is>
          <t>Г. Москва, ул. Марксистская, д. 38</t>
        </is>
      </c>
      <c r="Q2853" s="640" t="n">
        <v>55.7338401</v>
      </c>
      <c r="R2853" s="422" t="n">
        <v>37.6671946</v>
      </c>
      <c r="S2853" s="387" t="n">
        <v>24</v>
      </c>
      <c r="T2853" s="529">
        <f>S2853*O2853</f>
        <v/>
      </c>
      <c r="U2853" s="436" t="n">
        <v>1</v>
      </c>
      <c r="V2853" s="438">
        <f>IF(AND(N2853=1,U2853=1),C2853,"")</f>
        <v/>
      </c>
      <c r="X2853" s="1" t="n"/>
      <c r="Y2853" s="1" t="n"/>
      <c r="Z2853" s="1" t="n"/>
    </row>
    <row r="2854" hidden="1" ht="16.05" customHeight="1">
      <c r="A2854" s="125" t="n">
        <v>3472</v>
      </c>
      <c r="B2854" s="791" t="n"/>
      <c r="C2854" s="130" t="inlineStr">
        <is>
          <t>Москва</t>
        </is>
      </c>
      <c r="D2854" s="130" t="inlineStr">
        <is>
          <t>Москва</t>
        </is>
      </c>
      <c r="E2854" s="130" t="n"/>
      <c r="F2854" s="130" t="inlineStr">
        <is>
          <t>Супермаркет</t>
        </is>
      </c>
      <c r="G2854" s="130" t="inlineStr">
        <is>
          <t>Энотека АВ</t>
        </is>
      </c>
      <c r="H2854" s="131" t="n"/>
      <c r="I2854" s="637" t="n">
        <v>101</v>
      </c>
      <c r="J2854" s="402" t="inlineStr">
        <is>
          <t>MSK_101_Е</t>
        </is>
      </c>
      <c r="K2854" s="640" t="n">
        <v>1</v>
      </c>
      <c r="L2854" s="640" t="n">
        <v>0</v>
      </c>
      <c r="M2854" s="640" t="inlineStr">
        <is>
          <t>Sam 43</t>
        </is>
      </c>
      <c r="N2854" s="640" t="n"/>
      <c r="O2854" s="640">
        <f>IF(AND(N2854=1,L2854=1),K2854,"")</f>
        <v/>
      </c>
      <c r="P2854" s="642" t="inlineStr">
        <is>
          <t>МО, Истринский городской округ, с/пос. Павло-Слободское, д. Борзые, ул. Невская, д. 704 (ТЦ Княжий двор)</t>
        </is>
      </c>
      <c r="Q2854" s="640" t="n">
        <v>55.8122305</v>
      </c>
      <c r="R2854" s="422" t="n">
        <v>37.0420468</v>
      </c>
      <c r="S2854" s="387" t="n">
        <v>24</v>
      </c>
      <c r="T2854" s="529">
        <f>S2854*O2854</f>
        <v/>
      </c>
      <c r="U2854" s="436" t="n">
        <v>1</v>
      </c>
      <c r="V2854" s="438">
        <f>IF(AND(N2854=1,U2854=1),C2854,"")</f>
        <v/>
      </c>
      <c r="X2854" s="1" t="n"/>
      <c r="Y2854" s="1" t="n"/>
      <c r="Z2854" s="1" t="n"/>
    </row>
    <row r="2855" hidden="1" ht="16.05" customHeight="1">
      <c r="A2855" s="125" t="n">
        <v>3474</v>
      </c>
      <c r="B2855" s="791" t="n"/>
      <c r="C2855" s="130" t="inlineStr">
        <is>
          <t>Москва</t>
        </is>
      </c>
      <c r="D2855" s="130" t="inlineStr">
        <is>
          <t>Москва</t>
        </is>
      </c>
      <c r="E2855" s="130" t="n"/>
      <c r="F2855" s="130" t="inlineStr">
        <is>
          <t>Супермаркет</t>
        </is>
      </c>
      <c r="G2855" s="130" t="inlineStr">
        <is>
          <t>Энотека АВ</t>
        </is>
      </c>
      <c r="H2855" s="131" t="n"/>
      <c r="I2855" s="637" t="n">
        <v>103</v>
      </c>
      <c r="J2855" s="637" t="inlineStr">
        <is>
          <t>MSK_E_103</t>
        </is>
      </c>
      <c r="K2855" s="640" t="n">
        <v>1</v>
      </c>
      <c r="L2855" s="640" t="n">
        <v>1</v>
      </c>
      <c r="M2855" s="623" t="inlineStr">
        <is>
          <t>Samsung 43" вертикальный</t>
        </is>
      </c>
      <c r="N2855" s="640" t="n"/>
      <c r="O2855" s="640">
        <f>IF(AND(N2855=1,L2855=1),K2855,"")</f>
        <v/>
      </c>
      <c r="P2855" s="642" t="inlineStr">
        <is>
          <t>г.Москва, ул. Люблинская, д. 96</t>
        </is>
      </c>
      <c r="Q2855" s="640" t="inlineStr">
        <is>
          <t>55.6572923</t>
        </is>
      </c>
      <c r="R2855" s="494" t="inlineStr">
        <is>
          <t>37.739633</t>
        </is>
      </c>
      <c r="S2855" s="387" t="n">
        <v>24</v>
      </c>
      <c r="T2855" s="529">
        <f>S2855*O2855</f>
        <v/>
      </c>
      <c r="U2855" s="436" t="n">
        <v>1</v>
      </c>
      <c r="V2855" s="438">
        <f>IF(AND(N2855=1,U2855=1),C2855,"")</f>
        <v/>
      </c>
      <c r="Z2855" s="1" t="n"/>
    </row>
    <row r="2856" hidden="1" ht="16.05" customHeight="1">
      <c r="A2856" s="125" t="n">
        <v>3475</v>
      </c>
      <c r="B2856" s="791" t="n"/>
      <c r="C2856" s="130" t="inlineStr">
        <is>
          <t>Москва</t>
        </is>
      </c>
      <c r="D2856" s="130" t="inlineStr">
        <is>
          <t>Москва</t>
        </is>
      </c>
      <c r="E2856" s="130" t="n"/>
      <c r="F2856" s="130" t="inlineStr">
        <is>
          <t>Супермаркет</t>
        </is>
      </c>
      <c r="G2856" s="130" t="inlineStr">
        <is>
          <t>Энотека АВ</t>
        </is>
      </c>
      <c r="H2856" s="131" t="n"/>
      <c r="I2856" s="637" t="n">
        <v>124</v>
      </c>
      <c r="J2856" s="637" t="inlineStr">
        <is>
          <t>MSK_E_124</t>
        </is>
      </c>
      <c r="K2856" s="640" t="n">
        <v>1</v>
      </c>
      <c r="L2856" s="640" t="n">
        <v>1</v>
      </c>
      <c r="M2856" s="623" t="inlineStr">
        <is>
          <t>Samsung 43" вертикальный</t>
        </is>
      </c>
      <c r="N2856" s="640" t="n"/>
      <c r="O2856" s="640">
        <f>IF(AND(N2856=1,L2856=1),K2856,"")</f>
        <v/>
      </c>
      <c r="P2856" s="642" t="inlineStr">
        <is>
          <t>г.Москва, Осенний бульвар, д.8, корп.1</t>
        </is>
      </c>
      <c r="Q2856" s="640" t="inlineStr">
        <is>
          <t>55.755642</t>
        </is>
      </c>
      <c r="R2856" s="494" t="inlineStr">
        <is>
          <t>37.40946</t>
        </is>
      </c>
      <c r="S2856" s="387" t="n">
        <v>24</v>
      </c>
      <c r="T2856" s="529">
        <f>S2856*O2856</f>
        <v/>
      </c>
      <c r="U2856" s="436" t="n">
        <v>1</v>
      </c>
      <c r="V2856" s="438">
        <f>IF(AND(N2856=1,U2856=1),C2856,"")</f>
        <v/>
      </c>
      <c r="Z2856" s="1" t="n"/>
    </row>
    <row r="2857" hidden="1" ht="16.05" customHeight="1">
      <c r="A2857" s="125" t="n">
        <v>3476</v>
      </c>
      <c r="B2857" s="791" t="n"/>
      <c r="C2857" s="130" t="inlineStr">
        <is>
          <t>Москва</t>
        </is>
      </c>
      <c r="D2857" s="130" t="inlineStr">
        <is>
          <t>Москва</t>
        </is>
      </c>
      <c r="E2857" s="130" t="n"/>
      <c r="F2857" s="130" t="inlineStr">
        <is>
          <t>Супермаркет</t>
        </is>
      </c>
      <c r="G2857" s="130" t="inlineStr">
        <is>
          <t>Энотека АВ</t>
        </is>
      </c>
      <c r="H2857" s="131" t="n"/>
      <c r="I2857" s="637" t="n">
        <v>125</v>
      </c>
      <c r="J2857" s="637" t="inlineStr">
        <is>
          <t>MSK_E_125</t>
        </is>
      </c>
      <c r="K2857" s="640" t="n">
        <v>1</v>
      </c>
      <c r="L2857" s="640" t="n">
        <v>1</v>
      </c>
      <c r="M2857" s="623" t="inlineStr">
        <is>
          <t>Samsung 43" вертикальный</t>
        </is>
      </c>
      <c r="N2857" s="640" t="n"/>
      <c r="O2857" s="640">
        <f>IF(AND(N2857=1,L2857=1),K2857,"")</f>
        <v/>
      </c>
      <c r="P2857" s="642" t="inlineStr">
        <is>
          <t>г.Москва, ул.Делегатская, д.9, cтр.1</t>
        </is>
      </c>
      <c r="Q2857" s="640" t="inlineStr">
        <is>
          <t>55.775889</t>
        </is>
      </c>
      <c r="R2857" s="494" t="inlineStr">
        <is>
          <t>37.613629</t>
        </is>
      </c>
      <c r="S2857" s="387" t="n">
        <v>15</v>
      </c>
      <c r="T2857" s="529">
        <f>S2857*O2857</f>
        <v/>
      </c>
      <c r="U2857" s="436" t="n">
        <v>1</v>
      </c>
      <c r="V2857" s="438">
        <f>IF(AND(N2857=1,U2857=1),C2857,"")</f>
        <v/>
      </c>
      <c r="Z2857" s="1" t="n"/>
    </row>
    <row r="2858" hidden="1" ht="16.05" customHeight="1">
      <c r="A2858" s="125" t="n">
        <v>3477</v>
      </c>
      <c r="B2858" s="791" t="n"/>
      <c r="C2858" s="130" t="inlineStr">
        <is>
          <t>Москва</t>
        </is>
      </c>
      <c r="D2858" s="130" t="inlineStr">
        <is>
          <t>Москва</t>
        </is>
      </c>
      <c r="E2858" s="130" t="n"/>
      <c r="F2858" s="130" t="inlineStr">
        <is>
          <t>Супермаркет</t>
        </is>
      </c>
      <c r="G2858" s="130" t="inlineStr">
        <is>
          <t>Энотека АВ</t>
        </is>
      </c>
      <c r="H2858" s="131" t="n"/>
      <c r="I2858" s="637" t="n">
        <v>127</v>
      </c>
      <c r="J2858" s="637" t="inlineStr">
        <is>
          <t>MSK_E_127</t>
        </is>
      </c>
      <c r="K2858" s="640" t="n">
        <v>1</v>
      </c>
      <c r="L2858" s="640" t="n">
        <v>1</v>
      </c>
      <c r="M2858" s="623" t="inlineStr">
        <is>
          <t>Samsung 43" вертикальный</t>
        </is>
      </c>
      <c r="N2858" s="640" t="n"/>
      <c r="O2858" s="640">
        <f>IF(AND(N2858=1,L2858=1),K2858,"")</f>
        <v/>
      </c>
      <c r="P2858" s="642" t="inlineStr">
        <is>
          <t>г.Москва, Симоновский Вал улица, дом 12, корпус 2</t>
        </is>
      </c>
      <c r="Q2858" s="640" t="inlineStr">
        <is>
          <t>55.724743</t>
        </is>
      </c>
      <c r="R2858" s="494" t="inlineStr">
        <is>
          <t>37.662874</t>
        </is>
      </c>
      <c r="S2858" s="387" t="n">
        <v>24</v>
      </c>
      <c r="T2858" s="529">
        <f>S2858*O2858</f>
        <v/>
      </c>
      <c r="U2858" s="436" t="n">
        <v>1</v>
      </c>
      <c r="V2858" s="438">
        <f>IF(AND(N2858=1,U2858=1),C2858,"")</f>
        <v/>
      </c>
      <c r="Z2858" s="1" t="n"/>
    </row>
    <row r="2859" hidden="1" ht="16.05" customHeight="1">
      <c r="A2859" s="125" t="n">
        <v>3478</v>
      </c>
      <c r="B2859" s="791" t="n"/>
      <c r="C2859" s="130" t="inlineStr">
        <is>
          <t>Москва</t>
        </is>
      </c>
      <c r="D2859" s="130" t="inlineStr">
        <is>
          <t>Москва</t>
        </is>
      </c>
      <c r="E2859" s="130" t="n"/>
      <c r="F2859" s="130" t="inlineStr">
        <is>
          <t>Супермаркет</t>
        </is>
      </c>
      <c r="G2859" s="130" t="inlineStr">
        <is>
          <t>Энотека АВ</t>
        </is>
      </c>
      <c r="H2859" s="131" t="n"/>
      <c r="I2859" s="637" t="n">
        <v>128</v>
      </c>
      <c r="J2859" s="637" t="inlineStr">
        <is>
          <t>MSK_E_128</t>
        </is>
      </c>
      <c r="K2859" s="640" t="n">
        <v>1</v>
      </c>
      <c r="L2859" s="640" t="n">
        <v>1</v>
      </c>
      <c r="M2859" s="623" t="inlineStr">
        <is>
          <t>Samsung 43" вертикальный</t>
        </is>
      </c>
      <c r="N2859" s="640" t="n"/>
      <c r="O2859" s="640">
        <f>IF(AND(N2859=1,L2859=1),K2859,"")</f>
        <v/>
      </c>
      <c r="P2859" s="642" t="inlineStr">
        <is>
          <t>г.Москва, Ленинградское шоссе, д. 112/1, к.1, к. 2</t>
        </is>
      </c>
      <c r="Q2859" s="640" t="inlineStr">
        <is>
          <t>55.863762</t>
        </is>
      </c>
      <c r="R2859" s="494" t="inlineStr">
        <is>
          <t>37.46555</t>
        </is>
      </c>
      <c r="S2859" s="387" t="n">
        <v>24</v>
      </c>
      <c r="T2859" s="529">
        <f>S2859*O2859</f>
        <v/>
      </c>
      <c r="U2859" s="436" t="n">
        <v>1</v>
      </c>
      <c r="V2859" s="438">
        <f>IF(AND(N2859=1,U2859=1),C2859,"")</f>
        <v/>
      </c>
      <c r="Z2859" s="1" t="n"/>
    </row>
    <row r="2860" hidden="1" ht="16.05" customHeight="1">
      <c r="A2860" s="125" t="n">
        <v>3479</v>
      </c>
      <c r="B2860" s="791" t="n"/>
      <c r="C2860" s="130" t="inlineStr">
        <is>
          <t>Москва</t>
        </is>
      </c>
      <c r="D2860" s="130" t="inlineStr">
        <is>
          <t>Москва</t>
        </is>
      </c>
      <c r="E2860" s="130" t="n"/>
      <c r="F2860" s="130" t="inlineStr">
        <is>
          <t>Супермаркет</t>
        </is>
      </c>
      <c r="G2860" s="130" t="inlineStr">
        <is>
          <t>Энотека АВ</t>
        </is>
      </c>
      <c r="H2860" s="131" t="n"/>
      <c r="I2860" s="637" t="n">
        <v>130</v>
      </c>
      <c r="J2860" s="637" t="inlineStr">
        <is>
          <t>MSK_E_130</t>
        </is>
      </c>
      <c r="K2860" s="640" t="n">
        <v>1</v>
      </c>
      <c r="L2860" s="640" t="n">
        <v>1</v>
      </c>
      <c r="M2860" s="623" t="inlineStr">
        <is>
          <t>Samsung 43" вертикальный</t>
        </is>
      </c>
      <c r="N2860" s="640" t="n"/>
      <c r="O2860" s="640">
        <f>IF(AND(N2860=1,L2860=1),K2860,"")</f>
        <v/>
      </c>
      <c r="P2860" s="642" t="inlineStr">
        <is>
          <t>г.Москва, Удальцова улица, дом 32, строение 2</t>
        </is>
      </c>
      <c r="Q2860" s="640" t="inlineStr">
        <is>
          <t>55.681854</t>
        </is>
      </c>
      <c r="R2860" s="494" t="inlineStr">
        <is>
          <t>37.493228</t>
        </is>
      </c>
      <c r="S2860" s="387" t="n">
        <v>24</v>
      </c>
      <c r="T2860" s="529">
        <f>S2860*O2860</f>
        <v/>
      </c>
      <c r="U2860" s="436" t="n">
        <v>1</v>
      </c>
      <c r="V2860" s="438">
        <f>IF(AND(N2860=1,U2860=1),C2860,"")</f>
        <v/>
      </c>
      <c r="Z2860" s="1" t="n"/>
    </row>
    <row r="2861" hidden="1" ht="16.05" customHeight="1">
      <c r="A2861" s="125" t="n">
        <v>3481</v>
      </c>
      <c r="B2861" s="791" t="n"/>
      <c r="C2861" s="130" t="inlineStr">
        <is>
          <t>Москва</t>
        </is>
      </c>
      <c r="D2861" s="130" t="inlineStr">
        <is>
          <t>Москва</t>
        </is>
      </c>
      <c r="E2861" s="130" t="n"/>
      <c r="F2861" s="130" t="inlineStr">
        <is>
          <t>Супермаркет</t>
        </is>
      </c>
      <c r="G2861" s="130" t="inlineStr">
        <is>
          <t>Энотека АВ</t>
        </is>
      </c>
      <c r="H2861" s="131" t="n"/>
      <c r="I2861" s="637" t="n">
        <v>132</v>
      </c>
      <c r="J2861" s="637" t="inlineStr">
        <is>
          <t>MSK_E_132</t>
        </is>
      </c>
      <c r="K2861" s="640" t="n">
        <v>1</v>
      </c>
      <c r="L2861" s="640" t="n">
        <v>1</v>
      </c>
      <c r="M2861" s="623" t="inlineStr">
        <is>
          <t>Samsung 43" вертикальный</t>
        </is>
      </c>
      <c r="N2861" s="640" t="n"/>
      <c r="O2861" s="640">
        <f>IF(AND(N2861=1,L2861=1),K2861,"")</f>
        <v/>
      </c>
      <c r="P2861" s="642" t="inlineStr">
        <is>
          <t>г.Москва, Чапаевский переулок, д.18/1</t>
        </is>
      </c>
      <c r="Q2861" s="640" t="inlineStr">
        <is>
          <t>55.796334</t>
        </is>
      </c>
      <c r="R2861" s="494" t="inlineStr">
        <is>
          <t>37.518048</t>
        </is>
      </c>
      <c r="S2861" s="387" t="n">
        <v>24</v>
      </c>
      <c r="T2861" s="529">
        <f>S2861*O2861</f>
        <v/>
      </c>
      <c r="U2861" s="436" t="n">
        <v>1</v>
      </c>
      <c r="V2861" s="438">
        <f>IF(AND(N2861=1,U2861=1),C2861,"")</f>
        <v/>
      </c>
      <c r="Z2861" s="1" t="n"/>
    </row>
    <row r="2862" hidden="1" ht="16.05" customHeight="1">
      <c r="A2862" s="125" t="n">
        <v>3480</v>
      </c>
      <c r="B2862" s="791" t="n"/>
      <c r="C2862" s="130" t="inlineStr">
        <is>
          <t>Москва</t>
        </is>
      </c>
      <c r="D2862" s="130" t="inlineStr">
        <is>
          <t>Москва</t>
        </is>
      </c>
      <c r="E2862" s="130" t="n"/>
      <c r="F2862" s="130" t="inlineStr">
        <is>
          <t>Супермаркет</t>
        </is>
      </c>
      <c r="G2862" s="130" t="inlineStr">
        <is>
          <t>Энотека АВ</t>
        </is>
      </c>
      <c r="H2862" s="131" t="n"/>
      <c r="I2862" s="637" t="n">
        <v>131</v>
      </c>
      <c r="J2862" s="402" t="inlineStr">
        <is>
          <t>MSK_131_E</t>
        </is>
      </c>
      <c r="K2862" s="640" t="n">
        <v>1</v>
      </c>
      <c r="L2862" s="640" t="n">
        <v>0</v>
      </c>
      <c r="M2862" s="640" t="inlineStr">
        <is>
          <t>Sam 43</t>
        </is>
      </c>
      <c r="N2862" s="640" t="n"/>
      <c r="O2862" s="640">
        <f>IF(AND(N2862=1,L2862=1),K2862,"")</f>
        <v/>
      </c>
      <c r="P2862" s="642" t="inlineStr">
        <is>
          <t>г.Москва, Хорошевское шоссе, д.52, корп.1</t>
        </is>
      </c>
      <c r="Q2862" s="640" t="n">
        <v>55.776836</v>
      </c>
      <c r="R2862" s="422" t="n">
        <v>37.532807</v>
      </c>
      <c r="S2862" s="387" t="n">
        <v>24</v>
      </c>
      <c r="T2862" s="529">
        <f>S2862*O2862</f>
        <v/>
      </c>
      <c r="U2862" s="436" t="n">
        <v>1</v>
      </c>
      <c r="V2862" s="438">
        <f>IF(AND(N2862=1,U2862=1),C2862,"")</f>
        <v/>
      </c>
      <c r="X2862" s="1" t="n"/>
      <c r="Y2862" s="1" t="n"/>
      <c r="Z2862" s="1" t="n"/>
    </row>
    <row r="2863" hidden="1" ht="16.05" customHeight="1">
      <c r="A2863" s="125" t="n">
        <v>3486</v>
      </c>
      <c r="B2863" s="791" t="n"/>
      <c r="C2863" s="130" t="inlineStr">
        <is>
          <t>Москва</t>
        </is>
      </c>
      <c r="D2863" s="130" t="inlineStr">
        <is>
          <t>Москва</t>
        </is>
      </c>
      <c r="E2863" s="130" t="n"/>
      <c r="F2863" s="130" t="inlineStr">
        <is>
          <t>Супермаркет</t>
        </is>
      </c>
      <c r="G2863" s="130" t="inlineStr">
        <is>
          <t>Энотека АВ</t>
        </is>
      </c>
      <c r="H2863" s="131" t="n"/>
      <c r="I2863" s="637" t="n">
        <v>147</v>
      </c>
      <c r="J2863" s="637" t="inlineStr">
        <is>
          <t>MSK_E_147</t>
        </is>
      </c>
      <c r="K2863" s="640" t="n">
        <v>1</v>
      </c>
      <c r="L2863" s="640" t="n">
        <v>1</v>
      </c>
      <c r="M2863" s="623" t="inlineStr">
        <is>
          <t>Samsung 43" вертикальный</t>
        </is>
      </c>
      <c r="N2863" s="640" t="n"/>
      <c r="O2863" s="640">
        <f>IF(AND(N2863=1,L2863=1),K2863,"")</f>
        <v/>
      </c>
      <c r="P2863" s="642" t="inlineStr">
        <is>
          <t>г.Москва, ул. Арбат, д. 54/2, стр.1</t>
        </is>
      </c>
      <c r="Q2863" s="640" t="inlineStr">
        <is>
          <t>55.7471187</t>
        </is>
      </c>
      <c r="R2863" s="494" t="inlineStr">
        <is>
          <t>37.5831549</t>
        </is>
      </c>
      <c r="S2863" s="387" t="n">
        <v>24</v>
      </c>
      <c r="T2863" s="529">
        <f>S2863*O2863</f>
        <v/>
      </c>
      <c r="U2863" s="436" t="n">
        <v>1</v>
      </c>
      <c r="V2863" s="438">
        <f>IF(AND(N2863=1,U2863=1),C2863,"")</f>
        <v/>
      </c>
      <c r="Z2863" s="1" t="n"/>
    </row>
    <row r="2864" hidden="1" ht="16.05" customHeight="1">
      <c r="A2864" s="125" t="n">
        <v>3482</v>
      </c>
      <c r="B2864" s="791" t="n"/>
      <c r="C2864" s="130" t="inlineStr">
        <is>
          <t>Москва</t>
        </is>
      </c>
      <c r="D2864" s="130" t="inlineStr">
        <is>
          <t>Москва</t>
        </is>
      </c>
      <c r="E2864" s="130" t="n"/>
      <c r="F2864" s="130" t="inlineStr">
        <is>
          <t>Супермаркет</t>
        </is>
      </c>
      <c r="G2864" s="130" t="inlineStr">
        <is>
          <t>Энотека АВ</t>
        </is>
      </c>
      <c r="H2864" s="131" t="n"/>
      <c r="I2864" s="637" t="n">
        <v>136</v>
      </c>
      <c r="J2864" s="402" t="inlineStr">
        <is>
          <t>MSK_136_Е</t>
        </is>
      </c>
      <c r="K2864" s="640" t="n">
        <v>1</v>
      </c>
      <c r="L2864" s="640" t="n">
        <v>0</v>
      </c>
      <c r="M2864" s="640" t="inlineStr">
        <is>
          <t>Sam 43</t>
        </is>
      </c>
      <c r="N2864" s="640" t="n"/>
      <c r="O2864" s="640">
        <f>IF(AND(N2864=1,L2864=1),K2864,"")</f>
        <v/>
      </c>
      <c r="P2864" s="642" t="inlineStr">
        <is>
          <t>г.Москва, ул.Космонавтов, д.4</t>
        </is>
      </c>
      <c r="Q2864" s="640" t="n">
        <v>55.820809</v>
      </c>
      <c r="R2864" s="422" t="n">
        <v>37.646193</v>
      </c>
      <c r="S2864" s="387" t="n">
        <v>24</v>
      </c>
      <c r="T2864" s="529">
        <f>S2864*O2864</f>
        <v/>
      </c>
      <c r="U2864" s="436" t="n">
        <v>1</v>
      </c>
      <c r="V2864" s="438">
        <f>IF(AND(N2864=1,U2864=1),C2864,"")</f>
        <v/>
      </c>
      <c r="X2864" s="1" t="n"/>
      <c r="Y2864" s="1" t="n"/>
      <c r="Z2864" s="1" t="n"/>
    </row>
    <row r="2865" hidden="1" ht="16.05" customHeight="1">
      <c r="A2865" s="125" t="n">
        <v>3483</v>
      </c>
      <c r="B2865" s="791" t="n"/>
      <c r="C2865" s="130" t="inlineStr">
        <is>
          <t>Москва</t>
        </is>
      </c>
      <c r="D2865" s="130" t="inlineStr">
        <is>
          <t>Москва</t>
        </is>
      </c>
      <c r="E2865" s="130" t="n"/>
      <c r="F2865" s="130" t="inlineStr">
        <is>
          <t>Супермаркет</t>
        </is>
      </c>
      <c r="G2865" s="130" t="inlineStr">
        <is>
          <t>Энотека АВ</t>
        </is>
      </c>
      <c r="H2865" s="131" t="n"/>
      <c r="I2865" s="637" t="n">
        <v>139</v>
      </c>
      <c r="J2865" s="402" t="inlineStr">
        <is>
          <t>MSK_139_Е</t>
        </is>
      </c>
      <c r="K2865" s="640" t="n">
        <v>2</v>
      </c>
      <c r="L2865" s="640" t="n">
        <v>0</v>
      </c>
      <c r="M2865" s="640" t="inlineStr">
        <is>
          <t>Sam 43</t>
        </is>
      </c>
      <c r="N2865" s="640" t="n"/>
      <c r="O2865" s="640">
        <f>IF(AND(N2865=1,L2865=1),K2865,"")</f>
        <v/>
      </c>
      <c r="P2865" s="642" t="inlineStr">
        <is>
          <t>г.Москва, Ленинградское шоссе, д.68</t>
        </is>
      </c>
      <c r="Q2865" s="640" t="n">
        <v>55.845784</v>
      </c>
      <c r="R2865" s="422" t="n">
        <v>37.477633</v>
      </c>
      <c r="S2865" s="387" t="n">
        <v>24</v>
      </c>
      <c r="T2865" s="529">
        <f>S2865*O2865</f>
        <v/>
      </c>
      <c r="U2865" s="436" t="n">
        <v>1</v>
      </c>
      <c r="V2865" s="438">
        <f>IF(AND(N2865=1,U2865=1),C2865,"")</f>
        <v/>
      </c>
      <c r="X2865" s="1" t="n"/>
      <c r="Y2865" s="1" t="n"/>
      <c r="Z2865" s="1" t="n"/>
    </row>
    <row r="2866" hidden="1" ht="16.05" customHeight="1">
      <c r="A2866" s="125" t="n">
        <v>3484</v>
      </c>
      <c r="B2866" s="791" t="n"/>
      <c r="C2866" s="130" t="inlineStr">
        <is>
          <t>Москва</t>
        </is>
      </c>
      <c r="D2866" s="130" t="inlineStr">
        <is>
          <t>Москва</t>
        </is>
      </c>
      <c r="E2866" s="130" t="n"/>
      <c r="F2866" s="130" t="inlineStr">
        <is>
          <t>Супермаркет</t>
        </is>
      </c>
      <c r="G2866" s="130" t="inlineStr">
        <is>
          <t>Энотека АВ</t>
        </is>
      </c>
      <c r="H2866" s="131" t="n"/>
      <c r="I2866" s="637" t="n">
        <v>141</v>
      </c>
      <c r="J2866" s="402" t="inlineStr">
        <is>
          <t>MSK_141_Е</t>
        </is>
      </c>
      <c r="K2866" s="640" t="n">
        <v>1</v>
      </c>
      <c r="L2866" s="640" t="n">
        <v>0</v>
      </c>
      <c r="M2866" s="640" t="inlineStr">
        <is>
          <t>Sam 43</t>
        </is>
      </c>
      <c r="N2866" s="640" t="n"/>
      <c r="O2866" s="640">
        <f>IF(AND(N2866=1,L2866=1),K2866,"")</f>
        <v/>
      </c>
      <c r="P2866" s="642" t="inlineStr">
        <is>
          <t>г.Москва, Щелковское шоссе, д. 8</t>
        </is>
      </c>
      <c r="Q2866" s="640" t="n">
        <v>55.804137</v>
      </c>
      <c r="R2866" s="422" t="n">
        <v>37.761321</v>
      </c>
      <c r="S2866" s="387" t="n">
        <v>24</v>
      </c>
      <c r="T2866" s="529">
        <f>S2866*O2866</f>
        <v/>
      </c>
      <c r="U2866" s="436" t="n">
        <v>1</v>
      </c>
      <c r="V2866" s="438">
        <f>IF(AND(N2866=1,U2866=1),C2866,"")</f>
        <v/>
      </c>
      <c r="X2866" s="1" t="n"/>
      <c r="Y2866" s="1" t="n"/>
      <c r="Z2866" s="1" t="n"/>
    </row>
    <row r="2867" hidden="1" ht="16.05" customHeight="1">
      <c r="A2867" s="125" t="n">
        <v>3485</v>
      </c>
      <c r="B2867" s="791" t="n"/>
      <c r="C2867" s="130" t="inlineStr">
        <is>
          <t>Москва</t>
        </is>
      </c>
      <c r="D2867" s="130" t="inlineStr">
        <is>
          <t>Москва</t>
        </is>
      </c>
      <c r="E2867" s="130" t="n"/>
      <c r="F2867" s="130" t="inlineStr">
        <is>
          <t>Супермаркет</t>
        </is>
      </c>
      <c r="G2867" s="130" t="inlineStr">
        <is>
          <t>Энотека АВ</t>
        </is>
      </c>
      <c r="H2867" s="131" t="n"/>
      <c r="I2867" s="637" t="n">
        <v>145</v>
      </c>
      <c r="J2867" s="402" t="inlineStr">
        <is>
          <t>MSK_145_Е</t>
        </is>
      </c>
      <c r="K2867" s="640" t="n">
        <v>1</v>
      </c>
      <c r="L2867" s="640" t="n">
        <v>0</v>
      </c>
      <c r="M2867" s="640" t="inlineStr">
        <is>
          <t>Sam 43</t>
        </is>
      </c>
      <c r="N2867" s="640" t="n"/>
      <c r="O2867" s="640">
        <f>IF(AND(N2867=1,L2867=1),K2867,"")</f>
        <v/>
      </c>
      <c r="P2867" s="642" t="inlineStr">
        <is>
          <t>г.Москва, Мосфильмовская улица, дом 88, корпус 2</t>
        </is>
      </c>
      <c r="Q2867" s="640" t="n">
        <v>55.704267</v>
      </c>
      <c r="R2867" s="422" t="n">
        <v>37.4932921</v>
      </c>
      <c r="S2867" s="387" t="n">
        <v>24</v>
      </c>
      <c r="T2867" s="529">
        <f>S2867*O2867</f>
        <v/>
      </c>
      <c r="U2867" s="436" t="n">
        <v>1</v>
      </c>
      <c r="V2867" s="438">
        <f>IF(AND(N2867=1,U2867=1),C2867,"")</f>
        <v/>
      </c>
      <c r="X2867" s="1" t="n"/>
      <c r="Y2867" s="1" t="n"/>
      <c r="Z2867" s="1" t="n"/>
    </row>
    <row r="2868" ht="16.05" customHeight="1">
      <c r="A2868" s="125" t="n">
        <v>3487</v>
      </c>
      <c r="B2868" s="791" t="n"/>
      <c r="C2868" s="130" t="inlineStr">
        <is>
          <t>Москва</t>
        </is>
      </c>
      <c r="D2868" s="130" t="inlineStr">
        <is>
          <t>Москва</t>
        </is>
      </c>
      <c r="E2868" s="130" t="n"/>
      <c r="F2868" s="130" t="inlineStr">
        <is>
          <t>Супермаркет</t>
        </is>
      </c>
      <c r="G2868" s="130" t="inlineStr">
        <is>
          <t>Энотека АВ</t>
        </is>
      </c>
      <c r="H2868" s="131" t="n"/>
      <c r="I2868" s="637" t="n">
        <v>149</v>
      </c>
      <c r="J2868" s="637" t="inlineStr">
        <is>
          <t>MSK_E_149</t>
        </is>
      </c>
      <c r="K2868" s="640" t="n">
        <v>1</v>
      </c>
      <c r="L2868" s="640" t="n">
        <v>1</v>
      </c>
      <c r="M2868" s="623" t="inlineStr">
        <is>
          <t>Samsung 43" вертикальный</t>
        </is>
      </c>
      <c r="N2868" s="640" t="n">
        <v>1</v>
      </c>
      <c r="O2868" s="640">
        <f>IF(AND(N2868=1,L2868=1),K2868,"")</f>
        <v/>
      </c>
      <c r="P2868" s="642" t="inlineStr">
        <is>
          <t>г.Москва, ул. Пырьева, д. 8</t>
        </is>
      </c>
      <c r="Q2868" s="640" t="inlineStr">
        <is>
          <t>55.7259747</t>
        </is>
      </c>
      <c r="R2868" s="494" t="inlineStr">
        <is>
          <t>37.5271377</t>
        </is>
      </c>
      <c r="S2868" s="387" t="n">
        <v>24</v>
      </c>
      <c r="T2868" s="529">
        <f>S2868*O2868</f>
        <v/>
      </c>
      <c r="U2868" s="436" t="n">
        <v>1</v>
      </c>
      <c r="V2868" s="438">
        <f>IF(AND(N2868=1,U2868=1),C2868,"")</f>
        <v/>
      </c>
      <c r="Z2868" s="1" t="n"/>
    </row>
    <row r="2869" hidden="1" ht="16.05" customHeight="1">
      <c r="A2869" s="125" t="n">
        <v>3489</v>
      </c>
      <c r="B2869" s="791" t="n"/>
      <c r="C2869" s="130" t="inlineStr">
        <is>
          <t>Москва</t>
        </is>
      </c>
      <c r="D2869" s="130" t="inlineStr">
        <is>
          <t>Москва</t>
        </is>
      </c>
      <c r="E2869" s="130" t="n"/>
      <c r="F2869" s="130" t="inlineStr">
        <is>
          <t>Супермаркет</t>
        </is>
      </c>
      <c r="G2869" s="130" t="inlineStr">
        <is>
          <t>Энотека АВ</t>
        </is>
      </c>
      <c r="H2869" s="131" t="n"/>
      <c r="I2869" s="637" t="n">
        <v>153</v>
      </c>
      <c r="J2869" s="637" t="inlineStr">
        <is>
          <t>MSK_E_153</t>
        </is>
      </c>
      <c r="K2869" s="640" t="n">
        <v>1</v>
      </c>
      <c r="L2869" s="640" t="n">
        <v>1</v>
      </c>
      <c r="M2869" s="623" t="inlineStr">
        <is>
          <t>Samsung 43" вертикальный</t>
        </is>
      </c>
      <c r="N2869" s="640" t="n"/>
      <c r="O2869" s="640">
        <f>IF(AND(N2869=1,L2869=1),K2869,"")</f>
        <v/>
      </c>
      <c r="P2869" s="642" t="inlineStr">
        <is>
          <t>Московская область, Одинцовский р-н, д. Лапино, мкр. Радуга, строен. 70.</t>
        </is>
      </c>
      <c r="Q2869" s="640" t="inlineStr">
        <is>
          <t>55.684238</t>
        </is>
      </c>
      <c r="R2869" s="494" t="inlineStr">
        <is>
          <t>37.136318</t>
        </is>
      </c>
      <c r="S2869" s="387" t="n">
        <v>24</v>
      </c>
      <c r="T2869" s="529">
        <f>S2869*O2869</f>
        <v/>
      </c>
      <c r="U2869" s="436" t="n">
        <v>1</v>
      </c>
      <c r="V2869" s="438">
        <f>IF(AND(N2869=1,U2869=1),C2869,"")</f>
        <v/>
      </c>
      <c r="Z2869" s="1" t="n"/>
    </row>
    <row r="2870" hidden="1" ht="16.05" customHeight="1">
      <c r="A2870" s="125" t="n">
        <v>3488</v>
      </c>
      <c r="B2870" s="791" t="n"/>
      <c r="C2870" s="130" t="inlineStr">
        <is>
          <t>Москва</t>
        </is>
      </c>
      <c r="D2870" s="130" t="inlineStr">
        <is>
          <t>Москва</t>
        </is>
      </c>
      <c r="E2870" s="130" t="n"/>
      <c r="F2870" s="130" t="inlineStr">
        <is>
          <t>Супермаркет</t>
        </is>
      </c>
      <c r="G2870" s="130" t="inlineStr">
        <is>
          <t>Энотека АВ</t>
        </is>
      </c>
      <c r="H2870" s="131" t="n"/>
      <c r="I2870" s="637" t="n">
        <v>152</v>
      </c>
      <c r="J2870" s="402" t="inlineStr">
        <is>
          <t>MSK_152_Е</t>
        </is>
      </c>
      <c r="K2870" s="640" t="n">
        <v>1</v>
      </c>
      <c r="L2870" s="640" t="n">
        <v>0</v>
      </c>
      <c r="M2870" s="640" t="inlineStr">
        <is>
          <t>Sam 43</t>
        </is>
      </c>
      <c r="N2870" s="640" t="n"/>
      <c r="O2870" s="640">
        <f>IF(AND(N2870=1,L2870=1),K2870,"")</f>
        <v/>
      </c>
      <c r="P2870" s="642" t="inlineStr">
        <is>
          <t>г.Москва, Пресненская набережная, д. 12</t>
        </is>
      </c>
      <c r="Q2870" s="640" t="n">
        <v>55.747467</v>
      </c>
      <c r="R2870" s="422" t="n">
        <v>37.5411425</v>
      </c>
      <c r="S2870" s="387" t="n">
        <v>24</v>
      </c>
      <c r="T2870" s="529">
        <f>S2870*O2870</f>
        <v/>
      </c>
      <c r="U2870" s="436" t="n">
        <v>1</v>
      </c>
      <c r="V2870" s="438">
        <f>IF(AND(N2870=1,U2870=1),C2870,"")</f>
        <v/>
      </c>
      <c r="X2870" s="1" t="n"/>
      <c r="Y2870" s="1" t="n"/>
      <c r="Z2870" s="1" t="n"/>
    </row>
    <row r="2871" hidden="1" ht="16.05" customHeight="1">
      <c r="A2871" s="125" t="n">
        <v>3490</v>
      </c>
      <c r="B2871" s="791" t="n"/>
      <c r="C2871" s="130" t="inlineStr">
        <is>
          <t>Москва</t>
        </is>
      </c>
      <c r="D2871" s="130" t="inlineStr">
        <is>
          <t>Москва</t>
        </is>
      </c>
      <c r="E2871" s="130" t="n"/>
      <c r="F2871" s="130" t="inlineStr">
        <is>
          <t>Супермаркет</t>
        </is>
      </c>
      <c r="G2871" s="130" t="inlineStr">
        <is>
          <t>Энотека АВ</t>
        </is>
      </c>
      <c r="H2871" s="131" t="n"/>
      <c r="I2871" s="637" t="n">
        <v>126</v>
      </c>
      <c r="J2871" s="637" t="inlineStr">
        <is>
          <t>MSK_E_126</t>
        </is>
      </c>
      <c r="K2871" s="640" t="n">
        <v>1</v>
      </c>
      <c r="L2871" s="640" t="n">
        <v>1</v>
      </c>
      <c r="M2871" s="623" t="inlineStr">
        <is>
          <t>Samsung 43" вертикальный</t>
        </is>
      </c>
      <c r="N2871" s="640" t="n"/>
      <c r="O2871" s="640">
        <f>IF(AND(N2871=1,L2871=1),K2871,"")</f>
        <v/>
      </c>
      <c r="P2871" s="642" t="inlineStr">
        <is>
          <t>г. Москва, ул. Серафимовича, д.2</t>
        </is>
      </c>
      <c r="Q2871" s="640" t="inlineStr">
        <is>
          <t>55.74446</t>
        </is>
      </c>
      <c r="R2871" s="494" t="inlineStr">
        <is>
          <t xml:space="preserve"> 37.613018</t>
        </is>
      </c>
      <c r="S2871" s="387" t="n">
        <v>24</v>
      </c>
      <c r="T2871" s="529">
        <f>S2871*O2871</f>
        <v/>
      </c>
      <c r="U2871" s="436" t="n">
        <v>1</v>
      </c>
      <c r="V2871" s="438">
        <f>IF(AND(N2871=1,U2871=1),C2871,"")</f>
        <v/>
      </c>
      <c r="Z2871" s="1" t="n"/>
    </row>
    <row r="2872" hidden="1" ht="16.05" customHeight="1">
      <c r="A2872" s="125" t="n">
        <v>3492</v>
      </c>
      <c r="B2872" s="791" t="n"/>
      <c r="C2872" s="130" t="inlineStr">
        <is>
          <t>Санкт-Петербург</t>
        </is>
      </c>
      <c r="D2872" s="130" t="inlineStr">
        <is>
          <t>Санкт-Петербург</t>
        </is>
      </c>
      <c r="E2872" s="130" t="n"/>
      <c r="F2872" s="130" t="inlineStr">
        <is>
          <t>Супермаркет</t>
        </is>
      </c>
      <c r="G2872" s="130" t="inlineStr">
        <is>
          <t>Энотека АВ</t>
        </is>
      </c>
      <c r="H2872" s="131" t="n"/>
      <c r="I2872" s="637" t="inlineStr">
        <is>
          <t>SPB_001</t>
        </is>
      </c>
      <c r="J2872" s="637" t="inlineStr">
        <is>
          <t>SPB_E_001</t>
        </is>
      </c>
      <c r="K2872" s="640" t="n">
        <v>1</v>
      </c>
      <c r="L2872" s="640" t="n">
        <v>1</v>
      </c>
      <c r="M2872" s="623" t="inlineStr">
        <is>
          <t>Samsung 43" вертикальный</t>
        </is>
      </c>
      <c r="N2872" s="640" t="n"/>
      <c r="O2872" s="640">
        <f>IF(AND(N2872=1,L2872=1),K2872,"")</f>
        <v/>
      </c>
      <c r="P2872" s="642" t="inlineStr">
        <is>
          <t>г. Санкт-Петербург, проспект Большой П.С., д. 58, лит. А</t>
        </is>
      </c>
      <c r="Q2872" s="640" t="inlineStr">
        <is>
          <t>59.961135</t>
        </is>
      </c>
      <c r="R2872" s="494" t="inlineStr">
        <is>
          <t>30.303601</t>
        </is>
      </c>
      <c r="S2872" s="387" t="n">
        <v>15</v>
      </c>
      <c r="T2872" s="529">
        <f>S2872*O2872</f>
        <v/>
      </c>
      <c r="U2872" s="436" t="n">
        <v>1</v>
      </c>
      <c r="V2872" s="438">
        <f>IF(AND(N2872=1,U2872=1),C2872,"")</f>
        <v/>
      </c>
      <c r="Z2872" s="1" t="n"/>
    </row>
    <row r="2873" hidden="1" ht="16.05" customHeight="1">
      <c r="A2873" s="125" t="n">
        <v>3494</v>
      </c>
      <c r="B2873" s="791" t="n"/>
      <c r="C2873" s="130" t="inlineStr">
        <is>
          <t>Санкт-Петербург</t>
        </is>
      </c>
      <c r="D2873" s="130" t="inlineStr">
        <is>
          <t>Санкт-Петербург</t>
        </is>
      </c>
      <c r="E2873" s="130" t="n"/>
      <c r="F2873" s="130" t="inlineStr">
        <is>
          <t>Супермаркет</t>
        </is>
      </c>
      <c r="G2873" s="130" t="inlineStr">
        <is>
          <t>Энотека АВ</t>
        </is>
      </c>
      <c r="H2873" s="131" t="n"/>
      <c r="I2873" s="637" t="inlineStr">
        <is>
          <t>SPB_003</t>
        </is>
      </c>
      <c r="J2873" s="637" t="inlineStr">
        <is>
          <t>SPB_E_003</t>
        </is>
      </c>
      <c r="K2873" s="640" t="n">
        <v>1</v>
      </c>
      <c r="L2873" s="640" t="n">
        <v>1</v>
      </c>
      <c r="M2873" s="623" t="inlineStr">
        <is>
          <t>Samsung 43" вертикальный</t>
        </is>
      </c>
      <c r="N2873" s="640" t="n"/>
      <c r="O2873" s="640">
        <f>IF(AND(N2873=1,L2873=1),K2873,"")</f>
        <v/>
      </c>
      <c r="P2873" s="642" t="inlineStr">
        <is>
          <t>г. Санкт-Петербург, Литейный проспект, д.26, лит. А</t>
        </is>
      </c>
      <c r="Q2873" s="640" t="inlineStr">
        <is>
          <t>59.941845</t>
        </is>
      </c>
      <c r="R2873" s="494" t="inlineStr">
        <is>
          <t>30.348794</t>
        </is>
      </c>
      <c r="S2873" s="387" t="n">
        <v>24</v>
      </c>
      <c r="T2873" s="529">
        <f>S2873*O2873</f>
        <v/>
      </c>
      <c r="U2873" s="436" t="n">
        <v>1</v>
      </c>
      <c r="V2873" s="438">
        <f>IF(AND(N2873=1,U2873=1),C2873,"")</f>
        <v/>
      </c>
      <c r="Z2873" s="1" t="n"/>
    </row>
    <row r="2874" hidden="1" ht="16.05" customHeight="1">
      <c r="A2874" s="125" t="n">
        <v>3493</v>
      </c>
      <c r="B2874" s="791" t="n"/>
      <c r="C2874" s="130" t="inlineStr">
        <is>
          <t>Санкт-Петербург</t>
        </is>
      </c>
      <c r="D2874" s="130" t="inlineStr">
        <is>
          <t>Санкт-Петербург</t>
        </is>
      </c>
      <c r="E2874" s="130" t="n"/>
      <c r="F2874" s="130" t="inlineStr">
        <is>
          <t>Супермаркет</t>
        </is>
      </c>
      <c r="G2874" s="130" t="inlineStr">
        <is>
          <t>Энотека АВ</t>
        </is>
      </c>
      <c r="H2874" s="131" t="n"/>
      <c r="I2874" s="637" t="inlineStr">
        <is>
          <t>SPB_002</t>
        </is>
      </c>
      <c r="J2874" s="402" t="inlineStr">
        <is>
          <t>SPB_002_Е</t>
        </is>
      </c>
      <c r="K2874" s="640" t="n">
        <v>1</v>
      </c>
      <c r="L2874" s="640" t="n">
        <v>0</v>
      </c>
      <c r="M2874" s="640" t="inlineStr">
        <is>
          <t>Sam 43</t>
        </is>
      </c>
      <c r="N2874" s="640" t="n"/>
      <c r="O2874" s="640">
        <f>IF(AND(N2874=1,L2874=1),K2874,"")</f>
        <v/>
      </c>
      <c r="P2874" s="642" t="inlineStr">
        <is>
          <t>г. Санкт-Петербург, Выборгское шоссе, д. 13, лит. А</t>
        </is>
      </c>
      <c r="Q2874" s="640" t="n">
        <v>60.0484</v>
      </c>
      <c r="R2874" s="422" t="n">
        <v>30.314022</v>
      </c>
      <c r="S2874" s="387" t="n">
        <v>24</v>
      </c>
      <c r="T2874" s="529">
        <f>S2874*O2874</f>
        <v/>
      </c>
      <c r="U2874" s="436" t="n">
        <v>1</v>
      </c>
      <c r="V2874" s="438">
        <f>IF(AND(N2874=1,U2874=1),C2874,"")</f>
        <v/>
      </c>
      <c r="X2874" s="1" t="n"/>
      <c r="Y2874" s="1" t="n"/>
      <c r="Z2874" s="1" t="n"/>
    </row>
    <row r="2875" hidden="1" ht="16.05" customHeight="1">
      <c r="A2875" s="125" t="n">
        <v>3496</v>
      </c>
      <c r="B2875" s="791" t="n"/>
      <c r="C2875" s="130" t="inlineStr">
        <is>
          <t>Санкт-Петербург</t>
        </is>
      </c>
      <c r="D2875" s="130" t="inlineStr">
        <is>
          <t>Санкт-Петербург</t>
        </is>
      </c>
      <c r="E2875" s="130" t="n"/>
      <c r="F2875" s="130" t="inlineStr">
        <is>
          <t>Супермаркет</t>
        </is>
      </c>
      <c r="G2875" s="130" t="inlineStr">
        <is>
          <t>Энотека АВ</t>
        </is>
      </c>
      <c r="H2875" s="131" t="n"/>
      <c r="I2875" s="637" t="inlineStr">
        <is>
          <t>SPB_005</t>
        </is>
      </c>
      <c r="J2875" s="637" t="inlineStr">
        <is>
          <t>SPB_E_005</t>
        </is>
      </c>
      <c r="K2875" s="640" t="n">
        <v>1</v>
      </c>
      <c r="L2875" s="640" t="n">
        <v>1</v>
      </c>
      <c r="M2875" s="623" t="inlineStr">
        <is>
          <t>Samsung 43" вертикальный</t>
        </is>
      </c>
      <c r="N2875" s="640" t="n"/>
      <c r="O2875" s="640">
        <f>IF(AND(N2875=1,L2875=1),K2875,"")</f>
        <v/>
      </c>
      <c r="P2875" s="642" t="inlineStr">
        <is>
          <t>г.Санкт-Петербург, ул. Нахимова, д. 5, корп. 1, лит. А</t>
        </is>
      </c>
      <c r="Q2875" s="640" t="inlineStr">
        <is>
          <t>59.941989</t>
        </is>
      </c>
      <c r="R2875" s="494" t="inlineStr">
        <is>
          <t>30.224638</t>
        </is>
      </c>
      <c r="S2875" s="387" t="n">
        <v>24</v>
      </c>
      <c r="T2875" s="529">
        <f>S2875*O2875</f>
        <v/>
      </c>
      <c r="U2875" s="436" t="n">
        <v>1</v>
      </c>
      <c r="V2875" s="438">
        <f>IF(AND(N2875=1,U2875=1),C2875,"")</f>
        <v/>
      </c>
      <c r="Z2875" s="1" t="n"/>
    </row>
    <row r="2876" hidden="1" ht="16.05" customHeight="1">
      <c r="A2876" s="125" t="n">
        <v>3495</v>
      </c>
      <c r="B2876" s="791" t="n"/>
      <c r="C2876" s="130" t="inlineStr">
        <is>
          <t>Санкт-Петербург</t>
        </is>
      </c>
      <c r="D2876" s="130" t="inlineStr">
        <is>
          <t>Санкт-Петербург</t>
        </is>
      </c>
      <c r="E2876" s="130" t="n"/>
      <c r="F2876" s="130" t="inlineStr">
        <is>
          <t>Супермаркет</t>
        </is>
      </c>
      <c r="G2876" s="130" t="inlineStr">
        <is>
          <t>Энотека АВ</t>
        </is>
      </c>
      <c r="H2876" s="131" t="n"/>
      <c r="I2876" s="637" t="inlineStr">
        <is>
          <t>SPB_004</t>
        </is>
      </c>
      <c r="J2876" s="402" t="inlineStr">
        <is>
          <t>SPB_004_Е</t>
        </is>
      </c>
      <c r="K2876" s="640" t="n">
        <v>1</v>
      </c>
      <c r="L2876" s="640" t="n">
        <v>0</v>
      </c>
      <c r="M2876" s="640" t="inlineStr">
        <is>
          <t>Sam 43</t>
        </is>
      </c>
      <c r="N2876" s="640" t="n"/>
      <c r="O2876" s="640">
        <f>IF(AND(N2876=1,L2876=1),K2876,"")</f>
        <v/>
      </c>
      <c r="P2876" s="642" t="inlineStr">
        <is>
          <t>г. Санкт-Петербург, Московский проспект, 111, лит. А (пом. 3Н и 9Н)</t>
        </is>
      </c>
      <c r="Q2876" s="640" t="n">
        <v>59.888967</v>
      </c>
      <c r="R2876" s="422" t="n">
        <v>30.318766</v>
      </c>
      <c r="S2876" s="387" t="n">
        <v>24</v>
      </c>
      <c r="T2876" s="529">
        <f>S2876*O2876</f>
        <v/>
      </c>
      <c r="U2876" s="436" t="n">
        <v>1</v>
      </c>
      <c r="V2876" s="438">
        <f>IF(AND(N2876=1,U2876=1),C2876,"")</f>
        <v/>
      </c>
      <c r="X2876" s="1" t="n"/>
      <c r="Y2876" s="1" t="n"/>
      <c r="Z2876" s="1" t="n"/>
    </row>
    <row r="2877" hidden="1" ht="16.05" customHeight="1">
      <c r="A2877" s="125" t="n">
        <v>3499</v>
      </c>
      <c r="B2877" s="791" t="n"/>
      <c r="C2877" s="130" t="inlineStr">
        <is>
          <t>Владикавказ</t>
        </is>
      </c>
      <c r="D2877" s="130" t="inlineStr">
        <is>
          <t>Владикавказ</t>
        </is>
      </c>
      <c r="E2877" s="130" t="n"/>
      <c r="F2877" s="130" t="inlineStr">
        <is>
          <t>АЗС</t>
        </is>
      </c>
      <c r="G2877" s="130" t="inlineStr">
        <is>
          <t>Лукойл</t>
        </is>
      </c>
      <c r="H2877" s="131" t="n"/>
      <c r="I2877" s="637" t="n">
        <v>362035</v>
      </c>
      <c r="J2877" s="637" t="inlineStr">
        <is>
          <t>VLAD_LUK_362035</t>
        </is>
      </c>
      <c r="K2877" s="640" t="n">
        <v>1</v>
      </c>
      <c r="L2877" s="640" t="n">
        <v>1</v>
      </c>
      <c r="M2877" s="623" t="inlineStr">
        <is>
          <t>Samsung 32" вертикальный</t>
        </is>
      </c>
      <c r="N2877" s="640" t="n"/>
      <c r="O2877" s="640">
        <f>IF(AND(N2877=1,L2877=1),K2877,"")</f>
        <v/>
      </c>
      <c r="P2877" s="642" t="inlineStr">
        <is>
          <t>Владикавказ, Московская ул., 16 "б</t>
        </is>
      </c>
      <c r="Q2877" s="640" t="inlineStr">
        <is>
          <t>43.05713</t>
        </is>
      </c>
      <c r="R2877" s="494" t="inlineStr">
        <is>
          <t>44.64144</t>
        </is>
      </c>
      <c r="U2877" s="436" t="n">
        <v>1</v>
      </c>
      <c r="V2877" s="438">
        <f>IF(AND(N2877=1,U2877=1),C2877,"")</f>
        <v/>
      </c>
      <c r="Z2877" s="1" t="n"/>
    </row>
    <row r="2878" hidden="1" ht="16.05" customHeight="1">
      <c r="A2878" s="125" t="n">
        <v>3497</v>
      </c>
      <c r="B2878" s="791" t="n"/>
      <c r="C2878" s="130" t="inlineStr">
        <is>
          <t>Москва</t>
        </is>
      </c>
      <c r="D2878" s="130" t="inlineStr">
        <is>
          <t>Москва</t>
        </is>
      </c>
      <c r="E2878" s="130" t="n"/>
      <c r="F2878" s="130" t="inlineStr">
        <is>
          <t>Супермаркет</t>
        </is>
      </c>
      <c r="G2878" s="130" t="inlineStr">
        <is>
          <t>Энотека АВ</t>
        </is>
      </c>
      <c r="H2878" s="131" t="n"/>
      <c r="I2878" s="637" t="inlineStr">
        <is>
          <t>117_D</t>
        </is>
      </c>
      <c r="J2878" s="402" t="inlineStr">
        <is>
          <t>MSK_117_Е</t>
        </is>
      </c>
      <c r="K2878" s="640" t="n">
        <v>2</v>
      </c>
      <c r="L2878" s="640" t="n">
        <v>0</v>
      </c>
      <c r="M2878" s="640" t="inlineStr">
        <is>
          <t>Sam 43</t>
        </is>
      </c>
      <c r="N2878" s="640" t="n"/>
      <c r="O2878" s="640">
        <f>IF(AND(N2878=1,L2878=1),K2878,"")</f>
        <v/>
      </c>
      <c r="P2878" s="642" t="inlineStr">
        <is>
          <t>г. Москва, Кутузовский проспект, д. 18</t>
        </is>
      </c>
      <c r="Q2878" s="640" t="n">
        <v>55.746785</v>
      </c>
      <c r="R2878" s="422" t="n">
        <v>37.552184</v>
      </c>
      <c r="S2878" s="387" t="n">
        <v>24</v>
      </c>
      <c r="T2878" s="529">
        <f>S2878*O2878</f>
        <v/>
      </c>
      <c r="U2878" s="436" t="n">
        <v>1</v>
      </c>
      <c r="V2878" s="438">
        <f>IF(AND(N2878=1,U2878=1),C2878,"")</f>
        <v/>
      </c>
      <c r="X2878" s="1" t="n"/>
      <c r="Y2878" s="1" t="n"/>
      <c r="Z2878" s="1" t="n"/>
    </row>
    <row r="2879" hidden="1" ht="16.05" customHeight="1">
      <c r="A2879" s="125" t="n">
        <v>3498</v>
      </c>
      <c r="B2879" s="791" t="n"/>
      <c r="C2879" s="130" t="inlineStr">
        <is>
          <t>Москва</t>
        </is>
      </c>
      <c r="D2879" s="130" t="inlineStr">
        <is>
          <t>Московская область</t>
        </is>
      </c>
      <c r="E2879" s="130" t="n"/>
      <c r="F2879" s="130" t="n"/>
      <c r="G2879" s="130" t="inlineStr">
        <is>
          <t>Азбука Вкуса</t>
        </is>
      </c>
      <c r="H2879" s="131" t="n"/>
      <c r="I2879" s="637" t="n">
        <v>163</v>
      </c>
      <c r="J2879" s="402" t="inlineStr">
        <is>
          <t>MSK_M_163</t>
        </is>
      </c>
      <c r="K2879" s="640" t="n">
        <v>1</v>
      </c>
      <c r="L2879" s="640" t="n">
        <v>0</v>
      </c>
      <c r="M2879" s="640" t="inlineStr">
        <is>
          <t>Sam 43</t>
        </is>
      </c>
      <c r="N2879" s="640" t="n"/>
      <c r="O2879" s="640">
        <f>IF(AND(N2879=1,L2879=1),K2879,"")</f>
        <v/>
      </c>
      <c r="P2879" s="642" t="inlineStr">
        <is>
          <t>Московская область, Дмитровский район, г. Дмитров, ул. Профессиональная, д. 7</t>
        </is>
      </c>
      <c r="Q2879" s="640" t="n">
        <v>56.352567</v>
      </c>
      <c r="R2879" s="422" t="n">
        <v>37.520518</v>
      </c>
      <c r="S2879" s="387" t="n">
        <v>24</v>
      </c>
      <c r="T2879" s="436">
        <f>S2879*O2879</f>
        <v/>
      </c>
      <c r="U2879" s="436" t="n">
        <v>1</v>
      </c>
      <c r="V2879" s="438">
        <f>IF(AND(N2879=1,U2879=1),C2879,"")</f>
        <v/>
      </c>
      <c r="Z2879" s="1" t="n"/>
    </row>
    <row r="2880" hidden="1" ht="16.05" customHeight="1">
      <c r="A2880" s="125" t="n">
        <v>3500</v>
      </c>
      <c r="B2880" s="791" t="n"/>
      <c r="C2880" s="130" t="inlineStr">
        <is>
          <t>Владикавказ</t>
        </is>
      </c>
      <c r="D2880" s="130" t="inlineStr">
        <is>
          <t>Владикавказ</t>
        </is>
      </c>
      <c r="E2880" s="130" t="n"/>
      <c r="F2880" s="130" t="inlineStr">
        <is>
          <t>АЗС</t>
        </is>
      </c>
      <c r="G2880" s="130" t="inlineStr">
        <is>
          <t>Лукойл</t>
        </is>
      </c>
      <c r="H2880" s="131" t="n"/>
      <c r="I2880" s="637" t="n">
        <v>362027</v>
      </c>
      <c r="J2880" s="637" t="inlineStr">
        <is>
          <t>VLAD_LUK_362027</t>
        </is>
      </c>
      <c r="K2880" s="640" t="n">
        <v>1</v>
      </c>
      <c r="L2880" s="640" t="n">
        <v>1</v>
      </c>
      <c r="M2880" s="623" t="inlineStr">
        <is>
          <t>Samsung 32" вертикальный</t>
        </is>
      </c>
      <c r="N2880" s="640" t="n"/>
      <c r="O2880" s="640">
        <f>IF(AND(N2880=1,L2880=1),K2880,"")</f>
        <v/>
      </c>
      <c r="P2880" s="642" t="inlineStr">
        <is>
          <t>Владикавказ, ул. Ватутина, 101</t>
        </is>
      </c>
      <c r="Q2880" s="640" t="inlineStr">
        <is>
          <t>43.04156</t>
        </is>
      </c>
      <c r="R2880" s="494" t="inlineStr">
        <is>
          <t>44.69354</t>
        </is>
      </c>
      <c r="Z2880" s="1" t="n"/>
    </row>
    <row r="2881" hidden="1" ht="16.05" customHeight="1">
      <c r="A2881" s="125" t="n">
        <v>3501</v>
      </c>
      <c r="B2881" s="791" t="n"/>
      <c r="C2881" s="130" t="inlineStr">
        <is>
          <t>Владикавказ</t>
        </is>
      </c>
      <c r="D2881" s="130" t="inlineStr">
        <is>
          <t>Алагирский р-он</t>
        </is>
      </c>
      <c r="E2881" s="130" t="n"/>
      <c r="F2881" s="130" t="inlineStr">
        <is>
          <t>АЗС</t>
        </is>
      </c>
      <c r="G2881" s="130" t="inlineStr">
        <is>
          <t>Лукойл</t>
        </is>
      </c>
      <c r="H2881" s="131" t="n"/>
      <c r="I2881" s="637" t="n">
        <v>363241</v>
      </c>
      <c r="J2881" s="637" t="inlineStr">
        <is>
          <t>VLAD_LUK_362241</t>
        </is>
      </c>
      <c r="K2881" s="640" t="n">
        <v>1</v>
      </c>
      <c r="L2881" s="640" t="n">
        <v>1</v>
      </c>
      <c r="M2881" s="623" t="inlineStr">
        <is>
          <t>Samsung 32" вертикальный</t>
        </is>
      </c>
      <c r="N2881" s="640" t="n"/>
      <c r="O2881" s="640">
        <f>IF(AND(N2881=1,L2881=1),K2881,"")</f>
        <v/>
      </c>
      <c r="P2881" s="642" t="inlineStr">
        <is>
          <t>Алагирский р-он  с. Нижний Бирагзанг</t>
        </is>
      </c>
      <c r="Q2881" s="640" t="inlineStr">
        <is>
          <t>43.02688</t>
        </is>
      </c>
      <c r="R2881" s="494" t="inlineStr">
        <is>
          <t>44.23828</t>
        </is>
      </c>
      <c r="Z2881" s="1" t="n"/>
    </row>
    <row r="2882" hidden="1" ht="16.05" customHeight="1">
      <c r="A2882" s="125" t="n">
        <v>3502</v>
      </c>
      <c r="B2882" s="791" t="n"/>
      <c r="C2882" s="130" t="inlineStr">
        <is>
          <t>Орел</t>
        </is>
      </c>
      <c r="D2882" s="130" t="inlineStr">
        <is>
          <t>Орловская область</t>
        </is>
      </c>
      <c r="E2882" s="130" t="n"/>
      <c r="F2882" s="130" t="inlineStr">
        <is>
          <t>АЗС</t>
        </is>
      </c>
      <c r="G2882" s="130" t="inlineStr">
        <is>
          <t>Роснефть</t>
        </is>
      </c>
      <c r="H2882" s="131" t="n"/>
      <c r="I2882" s="637" t="inlineStr">
        <is>
          <t>RN_15</t>
        </is>
      </c>
      <c r="J2882" s="637" t="inlineStr">
        <is>
          <t>ORL_RN_0015</t>
        </is>
      </c>
      <c r="K2882" s="640" t="n">
        <v>1</v>
      </c>
      <c r="L2882" s="640" t="n">
        <v>1</v>
      </c>
      <c r="M2882" s="623" t="inlineStr">
        <is>
          <t>Samsung 32" вертикальный</t>
        </is>
      </c>
      <c r="N2882" s="640" t="n"/>
      <c r="O2882" s="640">
        <f>IF(AND(N2882=1,L2882=1),K2882,"")</f>
        <v/>
      </c>
      <c r="P2882" s="642" t="inlineStr">
        <is>
          <t>Орловская область, Урицкий р-н, п. Нарышкино, ул. Ленина, д.5</t>
        </is>
      </c>
      <c r="Q2882" s="640" t="inlineStr">
        <is>
          <t>52.963537</t>
        </is>
      </c>
      <c r="R2882" s="494" t="inlineStr">
        <is>
          <t>35.756556</t>
        </is>
      </c>
      <c r="Z2882" s="1" t="n"/>
    </row>
    <row r="2883" hidden="1" ht="16.05" customHeight="1">
      <c r="A2883" s="125" t="n">
        <v>3503</v>
      </c>
      <c r="B2883" s="791" t="n"/>
      <c r="C2883" s="130" t="inlineStr">
        <is>
          <t>Орел</t>
        </is>
      </c>
      <c r="D2883" s="130" t="inlineStr">
        <is>
          <t>Орловская область</t>
        </is>
      </c>
      <c r="E2883" s="130" t="n"/>
      <c r="F2883" s="130" t="inlineStr">
        <is>
          <t>АЗС</t>
        </is>
      </c>
      <c r="G2883" s="130" t="inlineStr">
        <is>
          <t>Роснефть</t>
        </is>
      </c>
      <c r="H2883" s="131" t="n"/>
      <c r="I2883" s="637" t="inlineStr">
        <is>
          <t>RN_26</t>
        </is>
      </c>
      <c r="J2883" s="637" t="inlineStr">
        <is>
          <t>ORL_RN_0026</t>
        </is>
      </c>
      <c r="K2883" s="640" t="n">
        <v>1</v>
      </c>
      <c r="L2883" s="640" t="n">
        <v>1</v>
      </c>
      <c r="M2883" s="623" t="inlineStr">
        <is>
          <t>Samsung 32" вертикальный</t>
        </is>
      </c>
      <c r="N2883" s="640" t="n"/>
      <c r="O2883" s="640">
        <f>IF(AND(N2883=1,L2883=1),K2883,"")</f>
        <v/>
      </c>
      <c r="P2883" s="642" t="inlineStr">
        <is>
          <t>Орловская область, Орловский р-н, пос. Знаменка  (Орловский р-н, пос. Знаменка, вблизи Автодорожная улица, 19Б)</t>
        </is>
      </c>
      <c r="Q2883" s="640" t="inlineStr">
        <is>
          <t>52.886153</t>
        </is>
      </c>
      <c r="R2883" s="494" t="inlineStr">
        <is>
          <t>35.965317</t>
        </is>
      </c>
      <c r="Z2883" s="1" t="n"/>
    </row>
    <row r="2884" hidden="1" ht="16.05" customHeight="1">
      <c r="A2884" s="125" t="n">
        <v>3504</v>
      </c>
      <c r="B2884" s="791" t="n"/>
      <c r="C2884" s="130" t="inlineStr">
        <is>
          <t>Брянск</t>
        </is>
      </c>
      <c r="D2884" s="130" t="inlineStr">
        <is>
          <t>Брянская область</t>
        </is>
      </c>
      <c r="E2884" s="130" t="n"/>
      <c r="F2884" s="130" t="inlineStr">
        <is>
          <t>АЗС</t>
        </is>
      </c>
      <c r="G2884" s="130" t="inlineStr">
        <is>
          <t>Роснефть</t>
        </is>
      </c>
      <c r="H2884" s="131" t="n"/>
      <c r="I2884" s="637" t="inlineStr">
        <is>
          <t>RN_45</t>
        </is>
      </c>
      <c r="J2884" s="637" t="inlineStr">
        <is>
          <t>BRN_RN_0045</t>
        </is>
      </c>
      <c r="K2884" s="640" t="n">
        <v>1</v>
      </c>
      <c r="L2884" s="640" t="n">
        <v>1</v>
      </c>
      <c r="M2884" s="623" t="inlineStr">
        <is>
          <t>Samsung 32" вертикальный</t>
        </is>
      </c>
      <c r="N2884" s="640" t="n"/>
      <c r="O2884" s="640">
        <f>IF(AND(N2884=1,L2884=1),K2884,"")</f>
        <v/>
      </c>
      <c r="P2884" s="642" t="inlineStr">
        <is>
          <t xml:space="preserve">Брянская область, с. Малое Полпино, 355 км "М-3"         </t>
        </is>
      </c>
      <c r="Q2884" s="640" t="inlineStr">
        <is>
          <t>53.274327</t>
        </is>
      </c>
      <c r="R2884" s="494" t="inlineStr">
        <is>
          <t>34.634042</t>
        </is>
      </c>
      <c r="Z2884" s="1" t="n"/>
    </row>
    <row r="2885" hidden="1" ht="16.05" customHeight="1">
      <c r="A2885" s="125" t="n">
        <v>3505</v>
      </c>
      <c r="B2885" s="791" t="n"/>
      <c r="C2885" s="130" t="inlineStr">
        <is>
          <t>Брянск</t>
        </is>
      </c>
      <c r="D2885" s="130" t="inlineStr">
        <is>
          <t>Брянская область</t>
        </is>
      </c>
      <c r="E2885" s="130" t="n"/>
      <c r="F2885" s="130" t="inlineStr">
        <is>
          <t>АЗС</t>
        </is>
      </c>
      <c r="G2885" s="130" t="inlineStr">
        <is>
          <t>Роснефть</t>
        </is>
      </c>
      <c r="H2885" s="131" t="n"/>
      <c r="I2885" s="637" t="inlineStr">
        <is>
          <t>RN_7</t>
        </is>
      </c>
      <c r="J2885" s="637" t="inlineStr">
        <is>
          <t>BRN_RN_0007</t>
        </is>
      </c>
      <c r="K2885" s="640" t="n">
        <v>1</v>
      </c>
      <c r="L2885" s="640" t="n">
        <v>1</v>
      </c>
      <c r="M2885" s="623" t="inlineStr">
        <is>
          <t>Samsung 32" вертикальный</t>
        </is>
      </c>
      <c r="N2885" s="640" t="n"/>
      <c r="O2885" s="640">
        <f>IF(AND(N2885=1,L2885=1),K2885,"")</f>
        <v/>
      </c>
      <c r="P2885" s="642" t="inlineStr">
        <is>
          <t xml:space="preserve">Брянская область, п. Ивановка, ул. Ленина, 39      </t>
        </is>
      </c>
      <c r="Q2885" s="640" t="inlineStr">
        <is>
          <t>53.347591</t>
        </is>
      </c>
      <c r="R2885" s="422" t="inlineStr">
        <is>
          <t>34.211838</t>
        </is>
      </c>
      <c r="Z2885" s="1" t="n"/>
    </row>
    <row r="2886" hidden="1" ht="16.05" customHeight="1">
      <c r="A2886" s="125" t="n">
        <v>3506</v>
      </c>
      <c r="B2886" s="791" t="n"/>
      <c r="C2886" s="130" t="inlineStr">
        <is>
          <t>Санкт-Петербург</t>
        </is>
      </c>
      <c r="D2886" s="130" t="inlineStr">
        <is>
          <t>Санкт-Петербург</t>
        </is>
      </c>
      <c r="E2886" s="130" t="n"/>
      <c r="F2886" s="130" t="inlineStr">
        <is>
          <t>АЗС</t>
        </is>
      </c>
      <c r="G2886" s="130" t="inlineStr">
        <is>
          <t>Роснефть</t>
        </is>
      </c>
      <c r="H2886" s="131" t="n">
        <v>387</v>
      </c>
      <c r="I2886" s="637" t="inlineStr">
        <is>
          <t>387 Гагарина</t>
        </is>
      </c>
      <c r="J2886" s="637" t="inlineStr">
        <is>
          <t>SPB_BP_387</t>
        </is>
      </c>
      <c r="K2886" s="640" t="n">
        <v>2</v>
      </c>
      <c r="L2886" s="640" t="n">
        <v>1</v>
      </c>
      <c r="M2886" s="623" t="inlineStr">
        <is>
          <t>Samsung 32" вертикальный</t>
        </is>
      </c>
      <c r="N2886" s="640" t="n"/>
      <c r="O2886" s="640">
        <f>IF(AND(N2886=1,L2886=1),K2886,"")</f>
        <v/>
      </c>
      <c r="P2886" s="642" t="inlineStr">
        <is>
          <t>г. Санкт-Петербург, пр-т Юрия Гагарина, 32В</t>
        </is>
      </c>
      <c r="Q2886" s="640" t="inlineStr">
        <is>
          <t>59.851624</t>
        </is>
      </c>
      <c r="R2886" s="494" t="inlineStr">
        <is>
          <t>30.339369</t>
        </is>
      </c>
      <c r="Z2886" s="1" t="n"/>
    </row>
    <row r="2887" hidden="1" ht="16.05" customHeight="1">
      <c r="A2887" s="125" t="n">
        <v>3507</v>
      </c>
      <c r="B2887" s="791" t="n"/>
      <c r="C2887" s="130" t="inlineStr">
        <is>
          <t>Санкт-Петербург</t>
        </is>
      </c>
      <c r="D2887" s="130" t="inlineStr">
        <is>
          <t>Санкт-Петербург</t>
        </is>
      </c>
      <c r="E2887" s="130" t="n"/>
      <c r="F2887" s="130" t="inlineStr">
        <is>
          <t>АЗС</t>
        </is>
      </c>
      <c r="G2887" s="130" t="inlineStr">
        <is>
          <t>Роснефть</t>
        </is>
      </c>
      <c r="H2887" s="131" t="n">
        <v>473</v>
      </c>
      <c r="I2887" s="637" t="inlineStr">
        <is>
          <t>473 Маршала Говорова</t>
        </is>
      </c>
      <c r="J2887" s="637" t="inlineStr">
        <is>
          <t>SPB_BP_473</t>
        </is>
      </c>
      <c r="K2887" s="640" t="n">
        <v>2</v>
      </c>
      <c r="L2887" s="640" t="n">
        <v>1</v>
      </c>
      <c r="M2887" s="623" t="inlineStr">
        <is>
          <t>Samsung 32" вертикальный</t>
        </is>
      </c>
      <c r="N2887" s="640" t="n"/>
      <c r="O2887" s="640">
        <f>IF(AND(N2887=1,L2887=1),K2887,"")</f>
        <v/>
      </c>
      <c r="P2887" s="642" t="inlineStr">
        <is>
          <t>г. Санкт-Петербург, ул. Маршала Говорова, 35, корп. 3</t>
        </is>
      </c>
      <c r="Q2887" s="640" t="inlineStr">
        <is>
          <t>59.890709</t>
        </is>
      </c>
      <c r="R2887" s="494" t="inlineStr">
        <is>
          <t>30.280042</t>
        </is>
      </c>
      <c r="Z2887" s="1" t="n"/>
    </row>
    <row r="2888" hidden="1" ht="16.05" customHeight="1">
      <c r="A2888" s="125" t="n">
        <v>3508</v>
      </c>
      <c r="B2888" s="791" t="n"/>
      <c r="C2888" s="130" t="inlineStr">
        <is>
          <t>Томск</t>
        </is>
      </c>
      <c r="D2888" s="130" t="inlineStr">
        <is>
          <t>Томск</t>
        </is>
      </c>
      <c r="E2888" s="130" t="n"/>
      <c r="F2888" s="130" t="inlineStr">
        <is>
          <t>АЗС</t>
        </is>
      </c>
      <c r="G2888" s="130" t="inlineStr">
        <is>
          <t>Роснефть</t>
        </is>
      </c>
      <c r="H2888" s="131" t="n"/>
      <c r="I2888" s="637" t="inlineStr">
        <is>
          <t>RN_3</t>
        </is>
      </c>
      <c r="J2888" s="637" t="inlineStr">
        <is>
          <t>TMS_RN_003</t>
        </is>
      </c>
      <c r="K2888" s="640" t="n">
        <v>1</v>
      </c>
      <c r="L2888" s="640" t="n">
        <v>1</v>
      </c>
      <c r="M2888" s="623" t="inlineStr">
        <is>
          <t>Samsung 32" вертикальный</t>
        </is>
      </c>
      <c r="N2888" s="640" t="n"/>
      <c r="O2888" s="640">
        <f>IF(AND(N2888=1,L2888=1),K2888,"")</f>
        <v/>
      </c>
      <c r="P2888" s="642" t="inlineStr">
        <is>
          <t xml:space="preserve">г.Томск,ул Герцена,74а  </t>
        </is>
      </c>
      <c r="Q2888" s="640" t="inlineStr">
        <is>
          <t>56.474141</t>
        </is>
      </c>
      <c r="R2888" s="494" t="inlineStr">
        <is>
          <t>84.988405</t>
        </is>
      </c>
      <c r="Z2888" s="1" t="n"/>
    </row>
    <row r="2889" hidden="1" ht="16.05" customHeight="1">
      <c r="A2889" s="125" t="n">
        <v>3509</v>
      </c>
      <c r="B2889" s="791" t="n"/>
      <c r="C2889" s="130" t="inlineStr">
        <is>
          <t>Томск</t>
        </is>
      </c>
      <c r="D2889" s="130" t="inlineStr">
        <is>
          <t>Томск</t>
        </is>
      </c>
      <c r="E2889" s="130" t="n"/>
      <c r="F2889" s="130" t="inlineStr">
        <is>
          <t>АЗС</t>
        </is>
      </c>
      <c r="G2889" s="130" t="inlineStr">
        <is>
          <t>Роснефть</t>
        </is>
      </c>
      <c r="H2889" s="131" t="n"/>
      <c r="I2889" s="637" t="inlineStr">
        <is>
          <t>RN_4</t>
        </is>
      </c>
      <c r="J2889" s="637" t="inlineStr">
        <is>
          <t>TMS_RN_004</t>
        </is>
      </c>
      <c r="K2889" s="640" t="n">
        <v>1</v>
      </c>
      <c r="L2889" s="640" t="n">
        <v>0</v>
      </c>
      <c r="M2889" s="623" t="inlineStr">
        <is>
          <t>Samsung 32" вертикальный</t>
        </is>
      </c>
      <c r="N2889" s="640" t="n"/>
      <c r="O2889" s="640">
        <f>IF(AND(N2889=1,L2889=1),K2889,"")</f>
        <v/>
      </c>
      <c r="P2889" s="642" t="inlineStr">
        <is>
          <t xml:space="preserve">г.Томск, ул.Смирнова,45  </t>
        </is>
      </c>
      <c r="Q2889" s="640" t="inlineStr">
        <is>
          <t>56.53145</t>
        </is>
      </c>
      <c r="R2889" s="494" t="inlineStr">
        <is>
          <t>84.969086</t>
        </is>
      </c>
      <c r="Z2889" s="1" t="n"/>
    </row>
    <row r="2890" hidden="1" ht="16.05" customHeight="1">
      <c r="A2890" s="125" t="n">
        <v>3510</v>
      </c>
      <c r="B2890" s="791" t="n"/>
      <c r="C2890" s="130" t="inlineStr">
        <is>
          <t>Томск</t>
        </is>
      </c>
      <c r="D2890" s="130" t="inlineStr">
        <is>
          <t>Томск</t>
        </is>
      </c>
      <c r="E2890" s="130" t="n"/>
      <c r="F2890" s="130" t="inlineStr">
        <is>
          <t>АЗС</t>
        </is>
      </c>
      <c r="G2890" s="130" t="inlineStr">
        <is>
          <t>Роснефть</t>
        </is>
      </c>
      <c r="H2890" s="131" t="n"/>
      <c r="I2890" s="637" t="inlineStr">
        <is>
          <t>RN_5</t>
        </is>
      </c>
      <c r="J2890" s="637" t="inlineStr">
        <is>
          <t>TMS_RN_005</t>
        </is>
      </c>
      <c r="K2890" s="640" t="n">
        <v>1</v>
      </c>
      <c r="L2890" s="640" t="n">
        <v>1</v>
      </c>
      <c r="M2890" s="623" t="inlineStr">
        <is>
          <t>Samsung 32" вертикальный</t>
        </is>
      </c>
      <c r="N2890" s="640" t="n"/>
      <c r="O2890" s="640">
        <f>IF(AND(N2890=1,L2890=1),K2890,"")</f>
        <v/>
      </c>
      <c r="P2890" s="642" t="inlineStr">
        <is>
          <t xml:space="preserve">г.Томск,ул.Парковая,32   </t>
        </is>
      </c>
      <c r="Q2890" s="640" t="inlineStr">
        <is>
          <t>56.522176</t>
        </is>
      </c>
      <c r="R2890" s="422" t="inlineStr">
        <is>
          <t>85.030114</t>
        </is>
      </c>
      <c r="Z2890" s="1" t="n"/>
    </row>
    <row r="2891" hidden="1" ht="16.05" customHeight="1">
      <c r="A2891" s="125" t="n">
        <v>3511</v>
      </c>
      <c r="B2891" s="791" t="n"/>
      <c r="C2891" s="130" t="inlineStr">
        <is>
          <t>Томск</t>
        </is>
      </c>
      <c r="D2891" s="130" t="inlineStr">
        <is>
          <t>Томск</t>
        </is>
      </c>
      <c r="E2891" s="130" t="n"/>
      <c r="F2891" s="130" t="inlineStr">
        <is>
          <t>АЗС</t>
        </is>
      </c>
      <c r="G2891" s="130" t="inlineStr">
        <is>
          <t>Роснефть</t>
        </is>
      </c>
      <c r="H2891" s="131" t="n"/>
      <c r="I2891" s="637" t="inlineStr">
        <is>
          <t>RN_6</t>
        </is>
      </c>
      <c r="J2891" s="637" t="inlineStr">
        <is>
          <t>TMS_RN_006</t>
        </is>
      </c>
      <c r="K2891" s="640" t="n">
        <v>1</v>
      </c>
      <c r="L2891" s="640" t="n">
        <v>0</v>
      </c>
      <c r="M2891" s="640" t="inlineStr">
        <is>
          <t>Samsung 32" вертикальный</t>
        </is>
      </c>
      <c r="N2891" s="640" t="n"/>
      <c r="O2891" s="640">
        <f>IF(AND(N2891=1,L2891=1),K2891,"")</f>
        <v/>
      </c>
      <c r="P2891" s="642" t="inlineStr">
        <is>
          <t>г.Томск,ул. Осенняя, 1</t>
        </is>
      </c>
      <c r="Q2891" s="640" t="inlineStr">
        <is>
          <t>56.484019</t>
        </is>
      </c>
      <c r="R2891" s="422" t="inlineStr">
        <is>
          <t>85.037128</t>
        </is>
      </c>
      <c r="Z2891" s="1" t="n"/>
    </row>
    <row r="2892" hidden="1" ht="16.05" customHeight="1">
      <c r="A2892" s="125" t="n">
        <v>3512</v>
      </c>
      <c r="B2892" s="791" t="n"/>
      <c r="C2892" s="130" t="inlineStr">
        <is>
          <t>Томск</t>
        </is>
      </c>
      <c r="D2892" s="130" t="inlineStr">
        <is>
          <t>Томск</t>
        </is>
      </c>
      <c r="E2892" s="130" t="n"/>
      <c r="F2892" s="130" t="inlineStr">
        <is>
          <t>АЗС</t>
        </is>
      </c>
      <c r="G2892" s="130" t="inlineStr">
        <is>
          <t>Роснефть</t>
        </is>
      </c>
      <c r="H2892" s="131" t="n"/>
      <c r="I2892" s="637" t="inlineStr">
        <is>
          <t>RN_21</t>
        </is>
      </c>
      <c r="J2892" s="637" t="inlineStr">
        <is>
          <t>TMS_RN_021</t>
        </is>
      </c>
      <c r="K2892" s="640" t="n">
        <v>1</v>
      </c>
      <c r="L2892" s="640" t="n">
        <v>0</v>
      </c>
      <c r="M2892" s="623" t="inlineStr">
        <is>
          <t>Samsung 32" вертикальный</t>
        </is>
      </c>
      <c r="N2892" s="640" t="n"/>
      <c r="O2892" s="640">
        <f>IF(AND(N2892=1,L2892=1),K2892,"")</f>
        <v/>
      </c>
      <c r="P2892" s="642" t="inlineStr">
        <is>
          <t xml:space="preserve">г.Томск,ул.Сенная Курья,5   </t>
        </is>
      </c>
      <c r="Q2892" s="640" t="inlineStr">
        <is>
          <t>56.453426</t>
        </is>
      </c>
      <c r="R2892" s="494" t="inlineStr">
        <is>
          <t>84.920501</t>
        </is>
      </c>
      <c r="Z2892" s="1" t="n"/>
    </row>
    <row r="2893" hidden="1" ht="16.05" customHeight="1">
      <c r="A2893" s="125" t="n">
        <v>3513</v>
      </c>
      <c r="B2893" s="791" t="n"/>
      <c r="C2893" s="130" t="inlineStr">
        <is>
          <t>Томск</t>
        </is>
      </c>
      <c r="D2893" s="130" t="inlineStr">
        <is>
          <t>Томск</t>
        </is>
      </c>
      <c r="E2893" s="130" t="n"/>
      <c r="F2893" s="130" t="inlineStr">
        <is>
          <t>АЗС</t>
        </is>
      </c>
      <c r="G2893" s="130" t="inlineStr">
        <is>
          <t>Роснефть</t>
        </is>
      </c>
      <c r="H2893" s="131" t="n"/>
      <c r="I2893" s="637" t="inlineStr">
        <is>
          <t>RN_24</t>
        </is>
      </c>
      <c r="J2893" s="637" t="inlineStr">
        <is>
          <t>TMS_RN_024</t>
        </is>
      </c>
      <c r="K2893" s="640" t="n">
        <v>1</v>
      </c>
      <c r="L2893" s="640" t="n">
        <v>1</v>
      </c>
      <c r="M2893" s="623" t="inlineStr">
        <is>
          <t>Samsung 32" вертикальный</t>
        </is>
      </c>
      <c r="N2893" s="640" t="n"/>
      <c r="O2893" s="640">
        <f>IF(AND(N2893=1,L2893=1),K2893,"")</f>
        <v/>
      </c>
      <c r="P2893" s="642" t="inlineStr">
        <is>
          <t xml:space="preserve">г.Томск, Иркутский тракт,75 </t>
        </is>
      </c>
      <c r="Q2893" s="640" t="inlineStr">
        <is>
          <t>56.508654</t>
        </is>
      </c>
      <c r="R2893" s="494" t="inlineStr">
        <is>
          <t>85.030881</t>
        </is>
      </c>
      <c r="Z2893" s="1" t="n"/>
    </row>
    <row r="2894" hidden="1" ht="16.05" customHeight="1">
      <c r="A2894" s="125" t="n">
        <v>3514</v>
      </c>
      <c r="B2894" s="791" t="n"/>
      <c r="C2894" s="130" t="inlineStr">
        <is>
          <t>Томск</t>
        </is>
      </c>
      <c r="D2894" s="130" t="inlineStr">
        <is>
          <t>Томск</t>
        </is>
      </c>
      <c r="E2894" s="130" t="n"/>
      <c r="F2894" s="130" t="inlineStr">
        <is>
          <t>АЗС</t>
        </is>
      </c>
      <c r="G2894" s="130" t="inlineStr">
        <is>
          <t>Роснефть</t>
        </is>
      </c>
      <c r="H2894" s="131" t="n"/>
      <c r="I2894" s="637" t="inlineStr">
        <is>
          <t>RN_50</t>
        </is>
      </c>
      <c r="J2894" s="637" t="inlineStr">
        <is>
          <t>TMS_RN_050</t>
        </is>
      </c>
      <c r="K2894" s="640" t="n">
        <v>1</v>
      </c>
      <c r="L2894" s="640" t="n">
        <v>0</v>
      </c>
      <c r="M2894" s="623" t="inlineStr">
        <is>
          <t>Samsung 32" вертикальный</t>
        </is>
      </c>
      <c r="N2894" s="640" t="n"/>
      <c r="O2894" s="640">
        <f>IF(AND(N2894=1,L2894=1),K2894,"")</f>
        <v/>
      </c>
      <c r="P2894" s="642" t="inlineStr">
        <is>
          <t>г.Томск, Комсомольский проспект,11</t>
        </is>
      </c>
      <c r="Q2894" s="640" t="n">
        <v>56.494618</v>
      </c>
      <c r="R2894" s="494" t="n">
        <v>84.981684</v>
      </c>
      <c r="Z2894" s="1" t="n"/>
    </row>
    <row r="2895" hidden="1" ht="16.05" customHeight="1">
      <c r="A2895" s="125" t="n">
        <v>3515</v>
      </c>
      <c r="B2895" s="791" t="n"/>
      <c r="C2895" s="130" t="inlineStr">
        <is>
          <t>Томск</t>
        </is>
      </c>
      <c r="D2895" s="130" t="inlineStr">
        <is>
          <t>Томск</t>
        </is>
      </c>
      <c r="E2895" s="130" t="n"/>
      <c r="F2895" s="130" t="inlineStr">
        <is>
          <t>АЗС</t>
        </is>
      </c>
      <c r="G2895" s="130" t="inlineStr">
        <is>
          <t>Роснефть</t>
        </is>
      </c>
      <c r="H2895" s="131" t="n"/>
      <c r="I2895" s="637" t="inlineStr">
        <is>
          <t>RN_52</t>
        </is>
      </c>
      <c r="J2895" s="637" t="inlineStr">
        <is>
          <t>TMS_RN_052</t>
        </is>
      </c>
      <c r="K2895" s="640" t="n">
        <v>1</v>
      </c>
      <c r="L2895" s="640" t="n">
        <v>1</v>
      </c>
      <c r="M2895" s="623" t="inlineStr">
        <is>
          <t>Samsung 32" вертикальный</t>
        </is>
      </c>
      <c r="N2895" s="640" t="n"/>
      <c r="O2895" s="640">
        <f>IF(AND(N2895=1,L2895=1),K2895,"")</f>
        <v/>
      </c>
      <c r="P2895" s="642" t="inlineStr">
        <is>
          <t xml:space="preserve">г.Томск,ул.Елизаровых, 58        </t>
        </is>
      </c>
      <c r="Q2895" s="640" t="inlineStr">
        <is>
          <t>56.46722</t>
        </is>
      </c>
      <c r="R2895" s="494" t="inlineStr">
        <is>
          <t>84.997856</t>
        </is>
      </c>
      <c r="Z2895" s="1" t="n"/>
    </row>
    <row r="2896" hidden="1" ht="16.05" customHeight="1">
      <c r="A2896" s="125" t="n">
        <v>3516</v>
      </c>
      <c r="B2896" s="791" t="n"/>
      <c r="C2896" s="130" t="inlineStr">
        <is>
          <t>Томск</t>
        </is>
      </c>
      <c r="D2896" s="130" t="inlineStr">
        <is>
          <t>Томская область</t>
        </is>
      </c>
      <c r="E2896" s="130" t="n"/>
      <c r="F2896" s="130" t="inlineStr">
        <is>
          <t>АЗС</t>
        </is>
      </c>
      <c r="G2896" s="130" t="inlineStr">
        <is>
          <t>Роснефть</t>
        </is>
      </c>
      <c r="H2896" s="131" t="n"/>
      <c r="I2896" s="637" t="inlineStr">
        <is>
          <t>RN_53</t>
        </is>
      </c>
      <c r="J2896" s="637" t="inlineStr">
        <is>
          <t>TMS_RN_053</t>
        </is>
      </c>
      <c r="K2896" s="640" t="n">
        <v>1</v>
      </c>
      <c r="L2896" s="640" t="n">
        <v>1</v>
      </c>
      <c r="M2896" s="623" t="inlineStr">
        <is>
          <t>Samsung 32" вертикальный</t>
        </is>
      </c>
      <c r="N2896" s="640" t="n"/>
      <c r="O2896" s="640">
        <f>IF(AND(N2896=1,L2896=1),K2896,"")</f>
        <v/>
      </c>
      <c r="P2896" s="642" t="inlineStr">
        <is>
          <t>Томская область, ЗАТО Северск, г.Северск, пр.Коммунистический, 167</t>
        </is>
      </c>
      <c r="Q2896" s="640" t="inlineStr">
        <is>
          <t>56.583579</t>
        </is>
      </c>
      <c r="R2896" s="494" t="inlineStr">
        <is>
          <t>84.92999</t>
        </is>
      </c>
      <c r="Z2896" s="1" t="n"/>
    </row>
    <row r="2897" hidden="1" ht="16.05" customHeight="1">
      <c r="A2897" s="125" t="n">
        <v>3517</v>
      </c>
      <c r="B2897" s="791" t="n"/>
      <c r="C2897" s="130" t="inlineStr">
        <is>
          <t>Томск</t>
        </is>
      </c>
      <c r="D2897" s="130" t="inlineStr">
        <is>
          <t>Томск</t>
        </is>
      </c>
      <c r="E2897" s="130" t="n"/>
      <c r="F2897" s="130" t="inlineStr">
        <is>
          <t>АЗС</t>
        </is>
      </c>
      <c r="G2897" s="130" t="inlineStr">
        <is>
          <t>Роснефть</t>
        </is>
      </c>
      <c r="H2897" s="131" t="n"/>
      <c r="I2897" s="637" t="inlineStr">
        <is>
          <t>RN_60</t>
        </is>
      </c>
      <c r="J2897" s="637" t="inlineStr">
        <is>
          <t>TMS_RN_060</t>
        </is>
      </c>
      <c r="K2897" s="640" t="n">
        <v>1</v>
      </c>
      <c r="L2897" s="640" t="n">
        <v>1</v>
      </c>
      <c r="M2897" s="623" t="inlineStr">
        <is>
          <t>Samsung 32" вертикальный</t>
        </is>
      </c>
      <c r="N2897" s="640" t="n"/>
      <c r="O2897" s="640">
        <f>IF(AND(N2897=1,L2897=1),K2897,"")</f>
        <v/>
      </c>
      <c r="P2897" s="642" t="inlineStr">
        <is>
          <t xml:space="preserve">г.Томск, Московский тракт,123          </t>
        </is>
      </c>
      <c r="Q2897" s="640" t="inlineStr">
        <is>
          <t>56.442861</t>
        </is>
      </c>
      <c r="R2897" s="494" t="inlineStr">
        <is>
          <t>84.925486</t>
        </is>
      </c>
      <c r="Z2897" s="1" t="n"/>
    </row>
    <row r="2898" hidden="1" ht="16.05" customHeight="1">
      <c r="A2898" s="125" t="n">
        <v>3518</v>
      </c>
      <c r="B2898" s="791" t="n"/>
      <c r="C2898" s="130" t="inlineStr">
        <is>
          <t>Санкт-Петербург</t>
        </is>
      </c>
      <c r="D2898" s="130" t="inlineStr">
        <is>
          <t>Псковская область</t>
        </is>
      </c>
      <c r="E2898" s="130" t="n"/>
      <c r="F2898" s="130" t="inlineStr">
        <is>
          <t>АЗС</t>
        </is>
      </c>
      <c r="G2898" s="130" t="inlineStr">
        <is>
          <t>Газпромнефть</t>
        </is>
      </c>
      <c r="H2898" s="131" t="n"/>
      <c r="I2898" s="637" t="n">
        <v>10042</v>
      </c>
      <c r="J2898" s="637" t="inlineStr">
        <is>
          <t>GPN_10042</t>
        </is>
      </c>
      <c r="K2898" s="640" t="n">
        <v>3</v>
      </c>
      <c r="L2898" s="640" t="n">
        <v>1</v>
      </c>
      <c r="M2898" s="623" t="n">
        <v>6</v>
      </c>
      <c r="N2898" s="640" t="n"/>
      <c r="O2898" s="640">
        <f>IF(AND(N2898=1,L2898=1),K2898,"")</f>
        <v/>
      </c>
      <c r="P2898" s="642" t="inlineStr">
        <is>
          <t>г. Псков Рижский пр. 96</t>
        </is>
      </c>
      <c r="Q2898" s="640" t="inlineStr">
        <is>
          <t>57.806017</t>
        </is>
      </c>
      <c r="R2898" s="494" t="inlineStr">
        <is>
          <t>28.266829</t>
        </is>
      </c>
      <c r="W2898" s="387">
        <f>IF(AND(N2898=1,O2898&lt;&gt;""),C2898,"")</f>
        <v/>
      </c>
      <c r="Z2898" s="1" t="n"/>
    </row>
    <row r="2899" hidden="1" ht="16.05" customHeight="1">
      <c r="A2899" s="125" t="n">
        <v>3519</v>
      </c>
      <c r="B2899" s="791" t="n"/>
      <c r="C2899" s="130" t="inlineStr">
        <is>
          <t>Санкт-Петербург</t>
        </is>
      </c>
      <c r="D2899" s="130" t="inlineStr">
        <is>
          <t>Новгородская область</t>
        </is>
      </c>
      <c r="E2899" s="130" t="n"/>
      <c r="F2899" s="130" t="inlineStr">
        <is>
          <t>АЗС</t>
        </is>
      </c>
      <c r="G2899" s="130" t="inlineStr">
        <is>
          <t>Газпромнефть</t>
        </is>
      </c>
      <c r="H2899" s="131" t="n"/>
      <c r="I2899" s="637" t="n">
        <v>10050</v>
      </c>
      <c r="J2899" s="637" t="inlineStr">
        <is>
          <t>GPN_10050</t>
        </is>
      </c>
      <c r="K2899" s="640" t="n">
        <v>3</v>
      </c>
      <c r="L2899" s="640" t="n">
        <v>1</v>
      </c>
      <c r="M2899" s="623" t="n">
        <v>5</v>
      </c>
      <c r="N2899" s="640" t="n"/>
      <c r="O2899" s="640">
        <f>IF(AND(N2899=1,L2899=1),K2899,"")</f>
        <v/>
      </c>
      <c r="P2899" s="642" t="inlineStr">
        <is>
          <t>Новгородская обл., Спасская Полисть, М10, 555 км., (в сторону СПБ)</t>
        </is>
      </c>
      <c r="Q2899" s="640" t="inlineStr">
        <is>
          <t>58.90751</t>
        </is>
      </c>
      <c r="R2899" s="494" t="inlineStr">
        <is>
          <t>31.50398</t>
        </is>
      </c>
      <c r="W2899" s="387">
        <f>IF(AND(N2899=1,O2899&lt;&gt;""),C2899,"")</f>
        <v/>
      </c>
      <c r="Z2899" s="126" t="n"/>
    </row>
    <row r="2900" hidden="1" ht="16.05" customHeight="1">
      <c r="A2900" s="125" t="n">
        <v>3520</v>
      </c>
      <c r="B2900" s="791" t="n"/>
      <c r="C2900" s="130" t="inlineStr">
        <is>
          <t>Санкт-Петербург</t>
        </is>
      </c>
      <c r="D2900" s="130" t="inlineStr">
        <is>
          <t>Новгородская область</t>
        </is>
      </c>
      <c r="E2900" s="130" t="n"/>
      <c r="F2900" s="130" t="inlineStr">
        <is>
          <t>АЗС</t>
        </is>
      </c>
      <c r="G2900" s="130" t="inlineStr">
        <is>
          <t>Газпромнефть</t>
        </is>
      </c>
      <c r="H2900" s="131" t="n"/>
      <c r="I2900" s="637" t="n">
        <v>10051</v>
      </c>
      <c r="J2900" s="637" t="inlineStr">
        <is>
          <t>GPN_10051</t>
        </is>
      </c>
      <c r="K2900" s="640" t="n">
        <v>3</v>
      </c>
      <c r="L2900" s="640" t="n">
        <v>1</v>
      </c>
      <c r="M2900" s="623" t="n">
        <v>5</v>
      </c>
      <c r="N2900" s="640" t="n"/>
      <c r="O2900" s="640">
        <f>IF(AND(N2900=1,L2900=1),K2900,"")</f>
        <v/>
      </c>
      <c r="P2900" s="642" t="inlineStr">
        <is>
          <t>Новгородская обл., Спасская Полисть, М10, 556 км., (в сторону Москвы)</t>
        </is>
      </c>
      <c r="Q2900" s="640" t="inlineStr">
        <is>
          <t>58.9141</t>
        </is>
      </c>
      <c r="R2900" s="494" t="inlineStr">
        <is>
          <t>31.50614</t>
        </is>
      </c>
      <c r="W2900" s="387">
        <f>IF(AND(N2900=1,O2900&lt;&gt;""),C2900,"")</f>
        <v/>
      </c>
      <c r="Z2900" s="126" t="n"/>
    </row>
    <row r="2901" hidden="1" ht="16.05" customHeight="1">
      <c r="A2901" s="125" t="n">
        <v>3521</v>
      </c>
      <c r="B2901" s="791" t="n"/>
      <c r="C2901" s="130" t="inlineStr">
        <is>
          <t>Москва</t>
        </is>
      </c>
      <c r="D2901" s="130" t="inlineStr">
        <is>
          <t>Московская область</t>
        </is>
      </c>
      <c r="E2901" s="130" t="inlineStr">
        <is>
          <t>Р115</t>
        </is>
      </c>
      <c r="F2901" s="130" t="inlineStr">
        <is>
          <t>АЗС</t>
        </is>
      </c>
      <c r="G2901" s="130" t="inlineStr">
        <is>
          <t>Газпромнефть</t>
        </is>
      </c>
      <c r="H2901" s="131" t="n"/>
      <c r="I2901" s="637" t="n">
        <v>12044</v>
      </c>
      <c r="J2901" s="637" t="inlineStr">
        <is>
          <t>GPN_12044</t>
        </is>
      </c>
      <c r="K2901" s="640" t="n">
        <v>3</v>
      </c>
      <c r="L2901" s="640" t="n">
        <v>1</v>
      </c>
      <c r="M2901" s="623" t="n">
        <v>3</v>
      </c>
      <c r="N2901" s="640" t="n"/>
      <c r="O2901" s="640">
        <f>IF(AND(N2901=1,L2901=1),K2901,"")</f>
        <v/>
      </c>
      <c r="P2901" s="642" t="inlineStr">
        <is>
          <t>Московская обл.,  г. Егорьевск, Коломенское ш., д.3</t>
        </is>
      </c>
      <c r="Q2901" s="640" t="inlineStr">
        <is>
          <t>55.362572</t>
        </is>
      </c>
      <c r="R2901" s="494" t="inlineStr">
        <is>
          <t>39.069906</t>
        </is>
      </c>
      <c r="W2901" s="387">
        <f>IF(AND(N2901=1,O2901&lt;&gt;""),C2901,"")</f>
        <v/>
      </c>
      <c r="Z2901" s="126" t="n"/>
    </row>
    <row r="2902" hidden="1" ht="16.05" customHeight="1">
      <c r="A2902" s="125" t="n">
        <v>3523</v>
      </c>
      <c r="B2902" s="791" t="n"/>
      <c r="C2902" s="416" t="inlineStr">
        <is>
          <t>ЦФО (Калуга, Тула, Тверь, Рязань,Смоленск,Владимир,Воронеж, Ярославль)</t>
        </is>
      </c>
      <c r="D2902" s="130" t="inlineStr">
        <is>
          <t>Калуга</t>
        </is>
      </c>
      <c r="E2902" s="130" t="n"/>
      <c r="F2902" s="130" t="inlineStr">
        <is>
          <t>АЗС</t>
        </is>
      </c>
      <c r="G2902" s="130" t="inlineStr">
        <is>
          <t>Газпромнефть</t>
        </is>
      </c>
      <c r="H2902" s="131" t="n"/>
      <c r="I2902" s="637" t="n">
        <v>12075</v>
      </c>
      <c r="J2902" s="637" t="inlineStr">
        <is>
          <t>GPN_12075</t>
        </is>
      </c>
      <c r="K2902" s="640" t="n">
        <v>3</v>
      </c>
      <c r="L2902" s="640" t="n">
        <v>1</v>
      </c>
      <c r="M2902" s="623" t="n">
        <v>4</v>
      </c>
      <c r="N2902" s="640" t="n"/>
      <c r="O2902" s="640">
        <f>IF(AND(N2902=1,L2902=1),K2902,"")</f>
        <v/>
      </c>
      <c r="P2902" s="642" t="inlineStr">
        <is>
          <t>г. Калуга, на автодороге «Объездная г.Калуги» район д.Лихун, д.б/н (г. Калуга, д.Лихун, Молодёжная улица, 1)</t>
        </is>
      </c>
      <c r="Q2902" s="640" t="inlineStr">
        <is>
          <t>54.627269</t>
        </is>
      </c>
      <c r="R2902" s="494" t="inlineStr">
        <is>
          <t>36.287951</t>
        </is>
      </c>
      <c r="W2902" s="387">
        <f>IF(AND(N2902=1,O2902&lt;&gt;""),C2902,"")</f>
        <v/>
      </c>
      <c r="Z2902" s="126" t="n"/>
    </row>
    <row r="2903" hidden="1" ht="16.05" customHeight="1">
      <c r="A2903" s="125" t="n">
        <v>3522</v>
      </c>
      <c r="B2903" s="791" t="n"/>
      <c r="C2903" s="130" t="inlineStr">
        <is>
          <t>Москва</t>
        </is>
      </c>
      <c r="D2903" s="130" t="inlineStr">
        <is>
          <t>Московская область</t>
        </is>
      </c>
      <c r="E2903" s="130" t="n"/>
      <c r="F2903" s="130" t="n"/>
      <c r="G2903" s="130" t="inlineStr">
        <is>
          <t>Газпромнефть</t>
        </is>
      </c>
      <c r="H2903" s="131" t="n"/>
      <c r="I2903" s="637" t="n">
        <v>12050</v>
      </c>
      <c r="J2903" s="402" t="inlineStr">
        <is>
          <t>GPN_12050_1</t>
        </is>
      </c>
      <c r="K2903" s="640" t="n">
        <v>3</v>
      </c>
      <c r="L2903" s="640" t="n">
        <v>0</v>
      </c>
      <c r="M2903" s="640" t="n">
        <v>3</v>
      </c>
      <c r="N2903" s="640" t="n"/>
      <c r="O2903" s="640">
        <f>IF(AND(N2903=1,L2903=1),K2903,"")</f>
        <v/>
      </c>
      <c r="P2903" s="642" t="inlineStr">
        <is>
          <t>Московская обл., 4 км а/д "Клин-Дмитров"</t>
        </is>
      </c>
      <c r="Q2903" s="640" t="n">
        <v>56.35374</v>
      </c>
      <c r="R2903" s="422" t="n">
        <v>36.74772</v>
      </c>
      <c r="W2903" s="387">
        <f>IF(AND(N2903=1,O2903&lt;&gt;""),C2903,"")</f>
        <v/>
      </c>
      <c r="Y2903" s="1" t="n"/>
      <c r="Z2903" s="126" t="n"/>
    </row>
    <row r="2904" hidden="1" ht="55.05" customHeight="1">
      <c r="A2904" s="125" t="n">
        <v>3525</v>
      </c>
      <c r="B2904" s="791" t="n"/>
      <c r="C2904" s="416" t="inlineStr">
        <is>
          <t>ЦФО (Калуга, Тула, Тверь, Рязань,Смоленск,Владимир,Воронеж, Ярославль)</t>
        </is>
      </c>
      <c r="D2904" s="130" t="inlineStr">
        <is>
          <t>Рязанская область</t>
        </is>
      </c>
      <c r="E2904" s="130" t="n"/>
      <c r="F2904" s="130" t="inlineStr">
        <is>
          <t>АЗС</t>
        </is>
      </c>
      <c r="G2904" s="130" t="inlineStr">
        <is>
          <t>Газпромнефть</t>
        </is>
      </c>
      <c r="H2904" s="131" t="n"/>
      <c r="I2904" s="637" t="n">
        <v>12248</v>
      </c>
      <c r="J2904" s="637" t="inlineStr">
        <is>
          <t>GPN_12248</t>
        </is>
      </c>
      <c r="K2904" s="640" t="n">
        <v>3</v>
      </c>
      <c r="L2904" s="640" t="n">
        <v>1</v>
      </c>
      <c r="M2904" s="623" t="n">
        <v>5</v>
      </c>
      <c r="N2904" s="640" t="n"/>
      <c r="O2904" s="640">
        <f>IF(AND(N2904=1,L2904=1),K2904,"")</f>
        <v/>
      </c>
      <c r="P2904" s="642" t="inlineStr">
        <is>
          <t>Рязанская обл., п.Листвянка,212 км. М 5</t>
        </is>
      </c>
      <c r="Q2904" s="640" t="inlineStr">
        <is>
          <t>54.503818</t>
        </is>
      </c>
      <c r="R2904" s="494" t="inlineStr">
        <is>
          <t>39.930598</t>
        </is>
      </c>
      <c r="W2904" s="387">
        <f>IF(AND(N2904=1,O2904&lt;&gt;""),C2904,"")</f>
        <v/>
      </c>
      <c r="Z2904" s="126" t="n"/>
    </row>
    <row r="2905" hidden="1" ht="16.05" customHeight="1">
      <c r="A2905" s="125" t="n">
        <v>3524</v>
      </c>
      <c r="B2905" s="791" t="n"/>
      <c r="C2905" s="130" t="inlineStr">
        <is>
          <t>Москва</t>
        </is>
      </c>
      <c r="D2905" s="130" t="inlineStr">
        <is>
          <t>Московская область</t>
        </is>
      </c>
      <c r="E2905" s="130" t="n"/>
      <c r="F2905" s="130" t="n"/>
      <c r="G2905" s="130" t="inlineStr">
        <is>
          <t>Газпромнефть</t>
        </is>
      </c>
      <c r="H2905" s="131" t="n"/>
      <c r="I2905" s="637" t="n">
        <v>12247</v>
      </c>
      <c r="J2905" s="402" t="inlineStr">
        <is>
          <t>GPN_12247_1</t>
        </is>
      </c>
      <c r="K2905" s="640" t="n">
        <v>3</v>
      </c>
      <c r="L2905" s="640" t="n">
        <v>0</v>
      </c>
      <c r="M2905" s="640" t="n">
        <v>3</v>
      </c>
      <c r="N2905" s="640" t="n"/>
      <c r="O2905" s="640">
        <f>IF(AND(N2905=1,L2905=1),K2905,"")</f>
        <v/>
      </c>
      <c r="P2905" s="642" t="inlineStr">
        <is>
          <t>Московская обл., Коломенский район, с. Чанки, 108 км трассы М-5 "Урал", ул. Центральная, д. 150</t>
        </is>
      </c>
      <c r="Q2905" s="640" t="n">
        <v>55.123924</v>
      </c>
      <c r="R2905" s="422" t="n">
        <v>38.808297</v>
      </c>
      <c r="W2905" s="387">
        <f>IF(AND(N2905=1,O2905&lt;&gt;""),C2905,"")</f>
        <v/>
      </c>
      <c r="Y2905" s="1" t="n"/>
      <c r="Z2905" s="126" t="n"/>
    </row>
    <row r="2906" hidden="1" ht="55.05" customHeight="1">
      <c r="A2906" s="125" t="n">
        <v>3526</v>
      </c>
      <c r="B2906" s="791" t="n"/>
      <c r="C2906" s="416" t="inlineStr">
        <is>
          <t>ЦФО (Калуга, Тула, Тверь, Рязань,Смоленск,Владимир,Воронеж, Ярославль)</t>
        </is>
      </c>
      <c r="D2906" s="130" t="inlineStr">
        <is>
          <t>Рязанская область</t>
        </is>
      </c>
      <c r="E2906" s="130" t="n"/>
      <c r="F2906" s="130" t="inlineStr">
        <is>
          <t>АЗС</t>
        </is>
      </c>
      <c r="G2906" s="130" t="inlineStr">
        <is>
          <t>Газпромнефть</t>
        </is>
      </c>
      <c r="H2906" s="131" t="n"/>
      <c r="I2906" s="637" t="n">
        <v>12249</v>
      </c>
      <c r="J2906" s="637" t="inlineStr">
        <is>
          <t>GPN_12249</t>
        </is>
      </c>
      <c r="K2906" s="640" t="n">
        <v>3</v>
      </c>
      <c r="L2906" s="640" t="n">
        <v>1</v>
      </c>
      <c r="M2906" s="623" t="n">
        <v>5</v>
      </c>
      <c r="N2906" s="640" t="n"/>
      <c r="O2906" s="640">
        <f>IF(AND(N2906=1,L2906=1),K2906,"")</f>
        <v/>
      </c>
      <c r="P2906" s="642" t="inlineStr">
        <is>
          <t>Рязанская обл., г.Рыбное, 170 км. М5</t>
        </is>
      </c>
      <c r="Q2906" s="640" t="inlineStr">
        <is>
          <t>54.724745</t>
        </is>
      </c>
      <c r="R2906" s="494" t="inlineStr">
        <is>
          <t>39.476836</t>
        </is>
      </c>
      <c r="W2906" s="387">
        <f>IF(AND(N2906=1,O2906&lt;&gt;""),C2906,"")</f>
        <v/>
      </c>
      <c r="Z2906" s="126" t="n"/>
    </row>
    <row r="2907" hidden="1" ht="55.05" customHeight="1">
      <c r="A2907" s="125" t="n">
        <v>3527</v>
      </c>
      <c r="B2907" s="791" t="n"/>
      <c r="C2907" s="416" t="inlineStr">
        <is>
          <t>ЦФО (Калуга, Тула, Тверь, Рязань,Смоленск,Владимир,Воронеж, Ярославль)</t>
        </is>
      </c>
      <c r="D2907" s="130" t="inlineStr">
        <is>
          <t>Воронежская область</t>
        </is>
      </c>
      <c r="E2907" s="130" t="n"/>
      <c r="F2907" s="130" t="inlineStr">
        <is>
          <t>АЗС</t>
        </is>
      </c>
      <c r="G2907" s="130" t="inlineStr">
        <is>
          <t>Газпромнефть</t>
        </is>
      </c>
      <c r="H2907" s="131" t="n"/>
      <c r="I2907" s="637" t="n">
        <v>12350</v>
      </c>
      <c r="J2907" s="637" t="inlineStr">
        <is>
          <t>GPN_12350</t>
        </is>
      </c>
      <c r="K2907" s="640" t="n">
        <v>3</v>
      </c>
      <c r="L2907" s="640" t="n">
        <v>1</v>
      </c>
      <c r="M2907" s="623" t="n">
        <v>5</v>
      </c>
      <c r="N2907" s="640" t="n"/>
      <c r="O2907" s="640">
        <f>IF(AND(N2907=1,L2907=1),K2907,"")</f>
        <v/>
      </c>
      <c r="P2907" s="642" t="inlineStr">
        <is>
          <t>Воронежская обл., Лиски  М-4 Дон, 571 км</t>
        </is>
      </c>
      <c r="Q2907" s="640" t="inlineStr">
        <is>
          <t>51.2478</t>
        </is>
      </c>
      <c r="R2907" s="494" t="inlineStr">
        <is>
          <t>39.6543</t>
        </is>
      </c>
      <c r="W2907" s="387">
        <f>IF(AND(N2907=1,O2907&lt;&gt;""),C2907,"")</f>
        <v/>
      </c>
      <c r="Z2907" s="126" t="n"/>
    </row>
    <row r="2908" hidden="1">
      <c r="A2908" s="125" t="n">
        <v>3528</v>
      </c>
      <c r="B2908" s="791" t="n"/>
      <c r="C2908" s="130" t="inlineStr">
        <is>
          <t>Ярославль</t>
        </is>
      </c>
      <c r="D2908" s="130" t="inlineStr">
        <is>
          <t>Ярославская область</t>
        </is>
      </c>
      <c r="E2908" s="130" t="n"/>
      <c r="F2908" s="130" t="inlineStr">
        <is>
          <t>АЗС</t>
        </is>
      </c>
      <c r="G2908" s="130" t="inlineStr">
        <is>
          <t>Газпромнефть</t>
        </is>
      </c>
      <c r="H2908" s="131" t="n"/>
      <c r="I2908" s="637" t="n">
        <v>13024</v>
      </c>
      <c r="J2908" s="637" t="inlineStr">
        <is>
          <t>GPN_13024</t>
        </is>
      </c>
      <c r="K2908" s="640" t="n">
        <v>3</v>
      </c>
      <c r="L2908" s="640" t="n">
        <v>1</v>
      </c>
      <c r="M2908" s="623" t="n">
        <v>5</v>
      </c>
      <c r="N2908" s="640" t="n"/>
      <c r="O2908" s="640">
        <f>IF(AND(N2908=1,L2908=1),K2908,"")</f>
        <v/>
      </c>
      <c r="P2908" s="642" t="inlineStr">
        <is>
          <t>Ярославская обл., Рыбинск, ул. Б. Тогоыщинская д. 34</t>
        </is>
      </c>
      <c r="Q2908" s="640" t="inlineStr">
        <is>
          <t>58.065911</t>
        </is>
      </c>
      <c r="R2908" s="494" t="inlineStr">
        <is>
          <t>38.786074</t>
        </is>
      </c>
      <c r="W2908" s="387">
        <f>IF(AND(N2908=1,O2908&lt;&gt;""),C2908,"")</f>
        <v/>
      </c>
      <c r="Z2908" s="126" t="n"/>
    </row>
    <row r="2909" hidden="1" ht="55.05" customHeight="1">
      <c r="A2909" s="125" t="n">
        <v>3530</v>
      </c>
      <c r="B2909" s="791" t="n"/>
      <c r="C2909" s="130" t="inlineStr">
        <is>
          <t>Краснодар</t>
        </is>
      </c>
      <c r="D2909" s="130" t="inlineStr">
        <is>
          <t>Краснодарский край</t>
        </is>
      </c>
      <c r="E2909" s="130" t="n"/>
      <c r="F2909" s="130" t="inlineStr">
        <is>
          <t>АЗС</t>
        </is>
      </c>
      <c r="G2909" s="130" t="inlineStr">
        <is>
          <t>Газпромнефть</t>
        </is>
      </c>
      <c r="H2909" s="131" t="n"/>
      <c r="I2909" s="637" t="n">
        <v>15007</v>
      </c>
      <c r="J2909" s="637" t="inlineStr">
        <is>
          <t>GPN_15007</t>
        </is>
      </c>
      <c r="K2909" s="640" t="n">
        <v>3</v>
      </c>
      <c r="L2909" s="640" t="n">
        <v>1</v>
      </c>
      <c r="M2909" s="623" t="n">
        <v>3</v>
      </c>
      <c r="N2909" s="640" t="n"/>
      <c r="O2909" s="640">
        <f>IF(AND(N2909=1,L2909=1),K2909,"")</f>
        <v/>
      </c>
      <c r="P2909" s="642" t="inlineStr">
        <is>
          <t>Краснодарский край, Красноармейский район, ст-ца Ивановская, ул. Рыночная, д.1А</t>
        </is>
      </c>
      <c r="Q2909" s="640" t="inlineStr">
        <is>
          <t>45.27468</t>
        </is>
      </c>
      <c r="R2909" s="494" t="inlineStr">
        <is>
          <t>38.43227</t>
        </is>
      </c>
      <c r="W2909" s="387">
        <f>IF(AND(N2909=1,O2909&lt;&gt;""),C2909,"")</f>
        <v/>
      </c>
      <c r="Z2909" s="126" t="n"/>
    </row>
    <row r="2910" hidden="1" ht="16.05" customHeight="1">
      <c r="A2910" s="125" t="n">
        <v>3529</v>
      </c>
      <c r="B2910" s="791" t="n"/>
      <c r="C2910" s="130" t="inlineStr">
        <is>
          <t>Краснодар</t>
        </is>
      </c>
      <c r="D2910" s="130" t="inlineStr">
        <is>
          <t>Краснодарский край</t>
        </is>
      </c>
      <c r="E2910" s="130" t="n"/>
      <c r="F2910" s="130" t="n"/>
      <c r="G2910" s="130" t="inlineStr">
        <is>
          <t>Газпромнефть</t>
        </is>
      </c>
      <c r="H2910" s="131" t="n"/>
      <c r="I2910" s="637" t="n">
        <v>15006</v>
      </c>
      <c r="J2910" s="402" t="inlineStr">
        <is>
          <t>GPN_15006_1</t>
        </is>
      </c>
      <c r="K2910" s="640" t="n">
        <v>3</v>
      </c>
      <c r="L2910" s="640" t="n">
        <v>0</v>
      </c>
      <c r="M2910" s="640" t="n">
        <v>3</v>
      </c>
      <c r="N2910" s="640" t="n"/>
      <c r="O2910" s="640">
        <f>IF(AND(N2910=1,L2910=1),K2910,"")</f>
        <v/>
      </c>
      <c r="P2910" s="642" t="inlineStr">
        <is>
          <t>Краснодарский край, г.Горячий Ключ, а/дор.Краснодар-Джубга, 68 км. слева</t>
        </is>
      </c>
      <c r="Q2910" s="640" t="n">
        <v>44.64107</v>
      </c>
      <c r="R2910" s="422" t="n">
        <v>39.11561</v>
      </c>
      <c r="W2910" s="387">
        <f>IF(AND(N2910=1,O2910&lt;&gt;""),C2910,"")</f>
        <v/>
      </c>
      <c r="Y2910" s="1" t="n"/>
      <c r="Z2910" s="126" t="n"/>
    </row>
    <row r="2911" hidden="1" ht="16.05" customHeight="1">
      <c r="A2911" s="125" t="n">
        <v>3531</v>
      </c>
      <c r="B2911" s="791" t="n"/>
      <c r="C2911" s="130" t="inlineStr">
        <is>
          <t>Екатеринбург</t>
        </is>
      </c>
      <c r="D2911" s="130" t="inlineStr">
        <is>
          <t>Свердловская область</t>
        </is>
      </c>
      <c r="E2911" s="130" t="n"/>
      <c r="F2911" s="130" t="inlineStr">
        <is>
          <t>АЗС</t>
        </is>
      </c>
      <c r="G2911" s="130" t="inlineStr">
        <is>
          <t>Газпромнефть</t>
        </is>
      </c>
      <c r="H2911" s="131" t="n"/>
      <c r="I2911" s="637" t="n">
        <v>20149</v>
      </c>
      <c r="J2911" s="637" t="inlineStr">
        <is>
          <t>GPN_20149</t>
        </is>
      </c>
      <c r="K2911" s="640" t="n">
        <v>3</v>
      </c>
      <c r="L2911" s="640" t="n">
        <v>1</v>
      </c>
      <c r="M2911" s="623" t="n">
        <v>4</v>
      </c>
      <c r="N2911" s="640" t="n"/>
      <c r="O2911" s="640">
        <f>IF(AND(N2911=1,L2911=1),K2911,"")</f>
        <v/>
      </c>
      <c r="P2911" s="642" t="inlineStr">
        <is>
          <t>Свердловская обл., г. Екатеринбург, Челябинский тракт (18 км, слева) (Челябинский тракт, 18-й километр, 1)</t>
        </is>
      </c>
      <c r="Q2911" s="640" t="inlineStr">
        <is>
          <t>56.70638</t>
        </is>
      </c>
      <c r="R2911" s="494" t="inlineStr">
        <is>
          <t>60.74507</t>
        </is>
      </c>
      <c r="W2911" s="387">
        <f>IF(AND(N2911=1,O2911&lt;&gt;""),C2911,"")</f>
        <v/>
      </c>
      <c r="Z2911" s="126" t="n"/>
    </row>
    <row r="2912" hidden="1" ht="16.05" customHeight="1">
      <c r="A2912" s="125" t="n">
        <v>3533</v>
      </c>
      <c r="B2912" s="791" t="n"/>
      <c r="C2912" s="130" t="inlineStr">
        <is>
          <t>Тюмень</t>
        </is>
      </c>
      <c r="D2912" s="130" t="inlineStr">
        <is>
          <t>Тюменская область</t>
        </is>
      </c>
      <c r="E2912" s="130" t="n"/>
      <c r="F2912" s="130" t="inlineStr">
        <is>
          <t>АЗС</t>
        </is>
      </c>
      <c r="G2912" s="130" t="inlineStr">
        <is>
          <t>Газпромнефть</t>
        </is>
      </c>
      <c r="H2912" s="131" t="n"/>
      <c r="I2912" s="637" t="n">
        <v>21372</v>
      </c>
      <c r="J2912" s="637" t="inlineStr">
        <is>
          <t>GPN_21372</t>
        </is>
      </c>
      <c r="K2912" s="640" t="n">
        <v>3</v>
      </c>
      <c r="L2912" s="640" t="n">
        <v>1</v>
      </c>
      <c r="M2912" s="623" t="n">
        <v>5</v>
      </c>
      <c r="N2912" s="640" t="n"/>
      <c r="O2912" s="640">
        <f>IF(AND(N2912=1,L2912=1),K2912,"")</f>
        <v/>
      </c>
      <c r="P2912" s="642" t="inlineStr">
        <is>
          <t>Тюменская обл., г. Тюмень, ул. Старый Тобольский тракт 1-й км,  д.348, внутренняя сторона</t>
        </is>
      </c>
      <c r="Q2912" s="640" t="inlineStr">
        <is>
          <t>57.11077</t>
        </is>
      </c>
      <c r="R2912" s="494" t="inlineStr">
        <is>
          <t>65.67712</t>
        </is>
      </c>
      <c r="W2912" s="387">
        <f>IF(AND(N2912=1,O2912&lt;&gt;""),C2912,"")</f>
        <v/>
      </c>
      <c r="Z2912" s="126" t="n"/>
    </row>
    <row r="2913" hidden="1" ht="16.05" customHeight="1">
      <c r="A2913" s="125" t="n">
        <v>3532</v>
      </c>
      <c r="B2913" s="791" t="n"/>
      <c r="C2913" s="130" t="inlineStr">
        <is>
          <t>Приволжье</t>
        </is>
      </c>
      <c r="D2913" s="130" t="inlineStr">
        <is>
          <t>Казань</t>
        </is>
      </c>
      <c r="E2913" s="130" t="n"/>
      <c r="F2913" s="130" t="n"/>
      <c r="G2913" s="130" t="inlineStr">
        <is>
          <t>Газпромнефть</t>
        </is>
      </c>
      <c r="H2913" s="131" t="n"/>
      <c r="I2913" s="637" t="n">
        <v>20603</v>
      </c>
      <c r="J2913" s="402" t="inlineStr">
        <is>
          <t>GPN_20603_1</t>
        </is>
      </c>
      <c r="K2913" s="640" t="n">
        <v>1</v>
      </c>
      <c r="L2913" s="640" t="n">
        <v>0</v>
      </c>
      <c r="M2913" s="640" t="n">
        <v>1</v>
      </c>
      <c r="N2913" s="640" t="n"/>
      <c r="O2913" s="640">
        <f>IF(AND(N2913=1,L2913=1),K2913,"")</f>
        <v/>
      </c>
      <c r="P2913" s="642" t="inlineStr">
        <is>
          <t>Республика Татарстан, Казань, ул. Закиева, д.12А</t>
        </is>
      </c>
      <c r="Q2913" s="640" t="n">
        <v>55.77572</v>
      </c>
      <c r="R2913" s="422" t="n">
        <v>49.23092</v>
      </c>
      <c r="W2913" s="387">
        <f>IF(AND(N2913=1,O2913&lt;&gt;""),C2913,"")</f>
        <v/>
      </c>
      <c r="Y2913" s="1" t="n"/>
      <c r="Z2913" s="126" t="n"/>
    </row>
    <row r="2914" hidden="1" ht="16.05" customHeight="1">
      <c r="A2914" s="125" t="n">
        <v>3534</v>
      </c>
      <c r="B2914" s="791" t="n"/>
      <c r="C2914" s="130" t="inlineStr">
        <is>
          <t>Тюмень</t>
        </is>
      </c>
      <c r="D2914" s="130" t="inlineStr">
        <is>
          <t>Тюменская область</t>
        </is>
      </c>
      <c r="E2914" s="130" t="n"/>
      <c r="F2914" s="130" t="inlineStr">
        <is>
          <t>АЗС</t>
        </is>
      </c>
      <c r="G2914" s="130" t="inlineStr">
        <is>
          <t>Газпромнефть</t>
        </is>
      </c>
      <c r="H2914" s="131" t="n"/>
      <c r="I2914" s="637" t="n">
        <v>21373</v>
      </c>
      <c r="J2914" s="637" t="inlineStr">
        <is>
          <t>GPN_21373</t>
        </is>
      </c>
      <c r="K2914" s="640" t="n">
        <v>3</v>
      </c>
      <c r="L2914" s="640" t="n">
        <v>1</v>
      </c>
      <c r="M2914" s="623" t="n">
        <v>5</v>
      </c>
      <c r="N2914" s="640" t="n"/>
      <c r="O2914" s="640">
        <f>IF(AND(N2914=1,L2914=1),K2914,"")</f>
        <v/>
      </c>
      <c r="P2914" s="642" t="inlineStr">
        <is>
          <t>Тюменская обл., г. Тюмень, ул. Старый Тобольский тракт 1-й км, д.352, внешняя сторона</t>
        </is>
      </c>
      <c r="Q2914" s="640" t="inlineStr">
        <is>
          <t>57.1102</t>
        </is>
      </c>
      <c r="R2914" s="494" t="inlineStr">
        <is>
          <t>65.67867</t>
        </is>
      </c>
      <c r="W2914" s="387">
        <f>IF(AND(N2914=1,O2914&lt;&gt;""),C2914,"")</f>
        <v/>
      </c>
      <c r="Z2914" s="126" t="n"/>
    </row>
    <row r="2915" hidden="1" ht="16.05" customHeight="1">
      <c r="A2915" s="125" t="n">
        <v>3535</v>
      </c>
      <c r="B2915" s="791" t="n"/>
      <c r="C2915" s="130" t="inlineStr">
        <is>
          <t>Челябинск</t>
        </is>
      </c>
      <c r="D2915" s="130" t="inlineStr">
        <is>
          <t>Челябинская область</t>
        </is>
      </c>
      <c r="E2915" s="130" t="n"/>
      <c r="F2915" s="130" t="inlineStr">
        <is>
          <t>АЗС</t>
        </is>
      </c>
      <c r="G2915" s="130" t="inlineStr">
        <is>
          <t>Газпромнефть</t>
        </is>
      </c>
      <c r="H2915" s="131" t="n"/>
      <c r="I2915" s="637" t="n">
        <v>22211</v>
      </c>
      <c r="J2915" s="637" t="inlineStr">
        <is>
          <t>GPN_22211</t>
        </is>
      </c>
      <c r="K2915" s="640" t="n">
        <v>3</v>
      </c>
      <c r="L2915" s="640" t="n">
        <v>1</v>
      </c>
      <c r="M2915" s="623" t="n">
        <v>3</v>
      </c>
      <c r="N2915" s="640" t="n"/>
      <c r="O2915" s="640">
        <f>IF(AND(N2915=1,L2915=1),K2915,"")</f>
        <v/>
      </c>
      <c r="P2915" s="642" t="inlineStr">
        <is>
          <t>Челябинская обл., Каслинский район, д. Аллаки, М5 (102 км, 1, справа, вблизи д.Аллаки)</t>
        </is>
      </c>
      <c r="Q2915" s="640" t="inlineStr">
        <is>
          <t>55.98487</t>
        </is>
      </c>
      <c r="R2915" s="494" t="inlineStr">
        <is>
          <t>61.02289</t>
        </is>
      </c>
      <c r="W2915" s="387">
        <f>IF(AND(N2915=1,O2915&lt;&gt;""),C2915,"")</f>
        <v/>
      </c>
      <c r="Z2915" s="126" t="n"/>
    </row>
    <row r="2916" hidden="1" ht="16.05" customHeight="1">
      <c r="A2916" s="125" t="n">
        <v>3536</v>
      </c>
      <c r="B2916" s="791" t="n"/>
      <c r="C2916" s="130" t="inlineStr">
        <is>
          <t>Челябинск</t>
        </is>
      </c>
      <c r="D2916" s="130" t="inlineStr">
        <is>
          <t>Челябинская область</t>
        </is>
      </c>
      <c r="E2916" s="130" t="n"/>
      <c r="F2916" s="130" t="inlineStr">
        <is>
          <t>АЗС</t>
        </is>
      </c>
      <c r="G2916" s="130" t="inlineStr">
        <is>
          <t>Газпромнефть</t>
        </is>
      </c>
      <c r="H2916" s="131" t="n"/>
      <c r="I2916" s="637" t="n">
        <v>22234</v>
      </c>
      <c r="J2916" s="637" t="inlineStr">
        <is>
          <t>GPN_22234</t>
        </is>
      </c>
      <c r="K2916" s="640" t="n">
        <v>3</v>
      </c>
      <c r="L2916" s="640" t="n">
        <v>0</v>
      </c>
      <c r="M2916" s="623" t="n">
        <v>3</v>
      </c>
      <c r="N2916" s="640" t="n"/>
      <c r="O2916" s="640">
        <f>IF(AND(N2916=1,L2916=1),K2916,"")</f>
        <v/>
      </c>
      <c r="P2916" s="642" t="inlineStr">
        <is>
          <t>Челябинская обл., Сосновский р-он, д. Султаево, М5 (41 км, 1, справа)</t>
        </is>
      </c>
      <c r="Q2916" s="640" t="inlineStr">
        <is>
          <t>55.47809</t>
        </is>
      </c>
      <c r="R2916" s="494" t="inlineStr">
        <is>
          <t>61.33763</t>
        </is>
      </c>
      <c r="W2916" s="387">
        <f>IF(AND(N2916=1,O2916&lt;&gt;""),C2916,"")</f>
        <v/>
      </c>
      <c r="Z2916" s="126" t="n"/>
    </row>
    <row r="2917" hidden="1" ht="16.05" customHeight="1">
      <c r="A2917" s="125" t="n">
        <v>3537</v>
      </c>
      <c r="B2917" s="791" t="n"/>
      <c r="C2917" s="130" t="inlineStr">
        <is>
          <t>Челябинск</t>
        </is>
      </c>
      <c r="D2917" s="130" t="inlineStr">
        <is>
          <t>Челябинская область</t>
        </is>
      </c>
      <c r="E2917" s="130" t="n"/>
      <c r="F2917" s="130" t="inlineStr">
        <is>
          <t>АЗС</t>
        </is>
      </c>
      <c r="G2917" s="130" t="inlineStr">
        <is>
          <t>Газпромнефть</t>
        </is>
      </c>
      <c r="H2917" s="131" t="n"/>
      <c r="I2917" s="637" t="n">
        <v>22238</v>
      </c>
      <c r="J2917" s="637" t="inlineStr">
        <is>
          <t>GPN_22238</t>
        </is>
      </c>
      <c r="K2917" s="640" t="n">
        <v>3</v>
      </c>
      <c r="L2917" s="640" t="n">
        <v>1</v>
      </c>
      <c r="M2917" s="623" t="n">
        <v>3</v>
      </c>
      <c r="N2917" s="640" t="n"/>
      <c r="O2917" s="640">
        <f>IF(AND(N2917=1,L2917=1),K2917,"")</f>
        <v/>
      </c>
      <c r="P2917" s="642" t="inlineStr">
        <is>
          <t>Челябинская обл., Сосновский р-он, д. Султаево, М5 (41 км, 2, слева)</t>
        </is>
      </c>
      <c r="Q2917" s="640" t="inlineStr">
        <is>
          <t>55.47462</t>
        </is>
      </c>
      <c r="R2917" s="494" t="inlineStr">
        <is>
          <t>61.33764</t>
        </is>
      </c>
      <c r="W2917" s="387">
        <f>IF(AND(N2917=1,O2917&lt;&gt;""),C2917,"")</f>
        <v/>
      </c>
      <c r="Z2917" s="126" t="n"/>
    </row>
    <row r="2918" hidden="1" ht="16.05" customHeight="1">
      <c r="A2918" s="125" t="n">
        <v>3538</v>
      </c>
      <c r="B2918" s="791" t="n"/>
      <c r="C2918" s="130" t="inlineStr">
        <is>
          <t>Челябинск</t>
        </is>
      </c>
      <c r="D2918" s="130" t="inlineStr">
        <is>
          <t>Челябинская область</t>
        </is>
      </c>
      <c r="E2918" s="130" t="n"/>
      <c r="F2918" s="130" t="inlineStr">
        <is>
          <t>АЗС</t>
        </is>
      </c>
      <c r="G2918" s="130" t="inlineStr">
        <is>
          <t>Газпромнефть</t>
        </is>
      </c>
      <c r="H2918" s="131" t="n"/>
      <c r="I2918" s="637" t="n">
        <v>22290</v>
      </c>
      <c r="J2918" s="637" t="inlineStr">
        <is>
          <t>GPN_22290</t>
        </is>
      </c>
      <c r="K2918" s="640" t="n">
        <v>3</v>
      </c>
      <c r="L2918" s="640" t="n">
        <v>1</v>
      </c>
      <c r="M2918" s="623" t="n">
        <v>6</v>
      </c>
      <c r="N2918" s="640" t="n"/>
      <c r="O2918" s="640">
        <f>IF(AND(N2918=1,L2918=1),K2918,"")</f>
        <v/>
      </c>
      <c r="P2918" s="642" t="inlineStr">
        <is>
          <t>Челябинская обл., Чебаркульский р-н, п.Тимирязевский, М5 (1832 км, слева)</t>
        </is>
      </c>
      <c r="Q2918" s="640" t="inlineStr">
        <is>
          <t>54.95164</t>
        </is>
      </c>
      <c r="R2918" s="494" t="inlineStr">
        <is>
          <t>60.86841</t>
        </is>
      </c>
      <c r="W2918" s="387">
        <f>IF(AND(N2918=1,O2918&lt;&gt;""),C2918,"")</f>
        <v/>
      </c>
      <c r="Z2918" s="126" t="n"/>
    </row>
    <row r="2919" hidden="1" ht="16.05" customHeight="1">
      <c r="A2919" s="125" t="n">
        <v>3539</v>
      </c>
      <c r="B2919" s="791" t="n"/>
      <c r="C2919" s="130" t="inlineStr">
        <is>
          <t>Челябинск</t>
        </is>
      </c>
      <c r="D2919" s="130" t="inlineStr">
        <is>
          <t>Челябинская область</t>
        </is>
      </c>
      <c r="E2919" s="130" t="n"/>
      <c r="F2919" s="130" t="inlineStr">
        <is>
          <t>АЗС</t>
        </is>
      </c>
      <c r="G2919" s="130" t="inlineStr">
        <is>
          <t>Газпромнефть</t>
        </is>
      </c>
      <c r="H2919" s="131" t="n"/>
      <c r="I2919" s="637" t="n">
        <v>22291</v>
      </c>
      <c r="J2919" s="637" t="inlineStr">
        <is>
          <t>GPN_22291</t>
        </is>
      </c>
      <c r="K2919" s="640" t="n">
        <v>3</v>
      </c>
      <c r="L2919" s="640" t="n">
        <v>1</v>
      </c>
      <c r="M2919" s="623" t="n">
        <v>6</v>
      </c>
      <c r="N2919" s="640" t="n"/>
      <c r="O2919" s="640">
        <f>IF(AND(N2919=1,L2919=1),K2919,"")</f>
        <v/>
      </c>
      <c r="P2919" s="642" t="inlineStr">
        <is>
          <t>Челябинская обл., Чебаркульский р-н, п.Тимирязевский, М5 (1832 км, справа)</t>
        </is>
      </c>
      <c r="Q2919" s="640" t="inlineStr">
        <is>
          <t>54.95066</t>
        </is>
      </c>
      <c r="R2919" s="494" t="inlineStr">
        <is>
          <t>60.86904</t>
        </is>
      </c>
      <c r="W2919" s="387">
        <f>IF(AND(N2919=1,O2919&lt;&gt;""),C2919,"")</f>
        <v/>
      </c>
      <c r="Z2919" s="126" t="n"/>
    </row>
    <row r="2920" hidden="1" ht="16.05" customHeight="1">
      <c r="A2920" s="125" t="n">
        <v>3540</v>
      </c>
      <c r="B2920" s="791" t="n"/>
      <c r="C2920" s="130" t="inlineStr">
        <is>
          <t>Тюмень</t>
        </is>
      </c>
      <c r="D2920" s="130" t="inlineStr">
        <is>
          <t>Сургут</t>
        </is>
      </c>
      <c r="E2920" s="130" t="n"/>
      <c r="F2920" s="130" t="inlineStr">
        <is>
          <t>АЗС</t>
        </is>
      </c>
      <c r="G2920" s="130" t="inlineStr">
        <is>
          <t>Газпромнефть</t>
        </is>
      </c>
      <c r="H2920" s="131" t="n"/>
      <c r="I2920" s="637" t="n">
        <v>24440</v>
      </c>
      <c r="J2920" s="637" t="inlineStr">
        <is>
          <t>GPN_24440</t>
        </is>
      </c>
      <c r="K2920" s="640" t="n">
        <v>3</v>
      </c>
      <c r="L2920" s="640" t="n">
        <v>1</v>
      </c>
      <c r="M2920" s="623" t="n">
        <v>3</v>
      </c>
      <c r="N2920" s="640" t="n"/>
      <c r="O2920" s="640">
        <f>IF(AND(N2920=1,L2920=1),K2920,"")</f>
        <v/>
      </c>
      <c r="P2920" s="642" t="inlineStr">
        <is>
          <t>ХМАО-Югра, Тюменской обл. г. Сургут, Югорский тракт, д.42</t>
        </is>
      </c>
      <c r="Q2920" s="640" t="inlineStr">
        <is>
          <t>61.23394</t>
        </is>
      </c>
      <c r="R2920" s="494" t="inlineStr">
        <is>
          <t>73.39331</t>
        </is>
      </c>
      <c r="W2920" s="387">
        <f>IF(AND(N2920=1,O2920&lt;&gt;""),C2920,"")</f>
        <v/>
      </c>
      <c r="Z2920" s="126" t="n"/>
    </row>
    <row r="2921" hidden="1" ht="16.05" customHeight="1">
      <c r="A2921" s="125" t="n">
        <v>3541</v>
      </c>
      <c r="B2921" s="791" t="n"/>
      <c r="C2921" s="130" t="inlineStr">
        <is>
          <t>Тюмень</t>
        </is>
      </c>
      <c r="D2921" s="130" t="inlineStr">
        <is>
          <t>Сургут</t>
        </is>
      </c>
      <c r="E2921" s="130" t="n"/>
      <c r="F2921" s="130" t="inlineStr">
        <is>
          <t>АЗС</t>
        </is>
      </c>
      <c r="G2921" s="130" t="inlineStr">
        <is>
          <t>Газпромнефть</t>
        </is>
      </c>
      <c r="H2921" s="131" t="n"/>
      <c r="I2921" s="637" t="n">
        <v>24441</v>
      </c>
      <c r="J2921" s="637" t="inlineStr">
        <is>
          <t>GPN_24441</t>
        </is>
      </c>
      <c r="K2921" s="640" t="n">
        <v>3</v>
      </c>
      <c r="L2921" s="640" t="n">
        <v>1</v>
      </c>
      <c r="M2921" s="623" t="n">
        <v>3</v>
      </c>
      <c r="N2921" s="640" t="n"/>
      <c r="O2921" s="640">
        <f>IF(AND(N2921=1,L2921=1),K2921,"")</f>
        <v/>
      </c>
      <c r="P2921" s="642" t="inlineStr">
        <is>
          <t>ХМАО-Югра, Тюменской обл. г. Сургут, 31 км фед а/д Сургут-Нижневартовск</t>
        </is>
      </c>
      <c r="Q2921" s="640" t="inlineStr">
        <is>
          <t>61.35594</t>
        </is>
      </c>
      <c r="R2921" s="494" t="inlineStr">
        <is>
          <t>73.65501</t>
        </is>
      </c>
      <c r="W2921" s="387">
        <f>IF(AND(N2921=1,O2921&lt;&gt;""),C2921,"")</f>
        <v/>
      </c>
      <c r="Z2921" s="126" t="n"/>
    </row>
    <row r="2922" hidden="1" ht="16.05" customHeight="1">
      <c r="A2922" s="125" t="n">
        <v>3542</v>
      </c>
      <c r="B2922" s="791" t="n"/>
      <c r="C2922" s="130" t="inlineStr">
        <is>
          <t>Екатеринбург</t>
        </is>
      </c>
      <c r="D2922" s="130" t="inlineStr">
        <is>
          <t>Свердловская область</t>
        </is>
      </c>
      <c r="E2922" s="130" t="n"/>
      <c r="F2922" s="130" t="inlineStr">
        <is>
          <t>АЗС</t>
        </is>
      </c>
      <c r="G2922" s="130" t="inlineStr">
        <is>
          <t>Газпромнефть</t>
        </is>
      </c>
      <c r="H2922" s="131" t="n"/>
      <c r="I2922" s="637" t="n">
        <v>25051</v>
      </c>
      <c r="J2922" s="637" t="inlineStr">
        <is>
          <t>GPN_25051</t>
        </is>
      </c>
      <c r="K2922" s="640" t="n">
        <v>3</v>
      </c>
      <c r="L2922" s="640" t="n">
        <v>1</v>
      </c>
      <c r="M2922" s="623" t="n">
        <v>4</v>
      </c>
      <c r="N2922" s="640" t="n"/>
      <c r="O2922" s="640">
        <f>IF(AND(N2922=1,L2922=1),K2922,"")</f>
        <v/>
      </c>
      <c r="P2922" s="642" t="inlineStr">
        <is>
          <t>Свердловская обл.,  п. Рефтинский, ул. Гагарина, д.35</t>
        </is>
      </c>
      <c r="Q2922" s="640" t="inlineStr">
        <is>
          <t>57.09429</t>
        </is>
      </c>
      <c r="R2922" s="494" t="inlineStr">
        <is>
          <t>61.67167</t>
        </is>
      </c>
      <c r="W2922" s="387">
        <f>IF(AND(N2922=1,O2922&lt;&gt;""),C2922,"")</f>
        <v/>
      </c>
      <c r="Z2922" s="126" t="n"/>
    </row>
    <row r="2923" hidden="1" ht="16.05" customHeight="1">
      <c r="A2923" s="125" t="n">
        <v>3543</v>
      </c>
      <c r="B2923" s="791" t="n"/>
      <c r="C2923" s="130" t="inlineStr">
        <is>
          <t>Екатеринбург</t>
        </is>
      </c>
      <c r="D2923" s="130" t="inlineStr">
        <is>
          <t>Свердловская область</t>
        </is>
      </c>
      <c r="E2923" s="130" t="n"/>
      <c r="F2923" s="130" t="inlineStr">
        <is>
          <t>АЗС</t>
        </is>
      </c>
      <c r="G2923" s="130" t="inlineStr">
        <is>
          <t>Газпромнефть</t>
        </is>
      </c>
      <c r="H2923" s="131" t="n"/>
      <c r="I2923" s="637" t="n">
        <v>25068</v>
      </c>
      <c r="J2923" s="637" t="inlineStr">
        <is>
          <t>GPN_25068</t>
        </is>
      </c>
      <c r="K2923" s="640" t="n">
        <v>3</v>
      </c>
      <c r="L2923" s="640" t="n">
        <v>1</v>
      </c>
      <c r="M2923" s="623" t="n">
        <v>5</v>
      </c>
      <c r="N2923" s="640" t="n"/>
      <c r="O2923" s="640">
        <f>IF(AND(N2923=1,L2923=1),K2923,"")</f>
        <v/>
      </c>
      <c r="P2923" s="642" t="inlineStr">
        <is>
          <t>Свердловская обл., с.Покровское, ул.Ленина, д.2В</t>
        </is>
      </c>
      <c r="Q2923" s="640" t="inlineStr">
        <is>
          <t>56.47242</t>
        </is>
      </c>
      <c r="R2923" s="494" t="inlineStr">
        <is>
          <t>61.58826</t>
        </is>
      </c>
      <c r="W2923" s="387">
        <f>IF(AND(N2923=1,O2923&lt;&gt;""),C2923,"")</f>
        <v/>
      </c>
      <c r="Z2923" s="126" t="n"/>
    </row>
    <row r="2924" hidden="1" ht="16.05" customHeight="1">
      <c r="A2924" s="125" t="n">
        <v>3544</v>
      </c>
      <c r="B2924" s="791" t="n"/>
      <c r="C2924" s="130" t="inlineStr">
        <is>
          <t>Новосибирск</t>
        </is>
      </c>
      <c r="D2924" s="130" t="inlineStr">
        <is>
          <t>Новосибирская область</t>
        </is>
      </c>
      <c r="E2924" s="130" t="n"/>
      <c r="F2924" s="130" t="inlineStr">
        <is>
          <t>АЗС</t>
        </is>
      </c>
      <c r="G2924" s="130" t="inlineStr">
        <is>
          <t>Газпромнефть</t>
        </is>
      </c>
      <c r="H2924" s="131" t="n"/>
      <c r="I2924" s="637" t="n">
        <v>30095</v>
      </c>
      <c r="J2924" s="637" t="inlineStr">
        <is>
          <t>GPN_30095</t>
        </is>
      </c>
      <c r="K2924" s="640" t="n">
        <v>3</v>
      </c>
      <c r="L2924" s="640" t="n">
        <v>1</v>
      </c>
      <c r="M2924" s="623" t="n">
        <v>4</v>
      </c>
      <c r="N2924" s="640" t="n"/>
      <c r="O2924" s="640">
        <f>IF(AND(N2924=1,L2924=1),K2924,"")</f>
        <v/>
      </c>
      <c r="P2924" s="642" t="inlineStr">
        <is>
          <t>Новосибирская обл., г. Бердск, м/р-н Северный, д.20Б</t>
        </is>
      </c>
      <c r="Q2924" s="640" t="inlineStr">
        <is>
          <t>54.77132</t>
        </is>
      </c>
      <c r="R2924" s="494" t="inlineStr">
        <is>
          <t>83.101314</t>
        </is>
      </c>
      <c r="W2924" s="387">
        <f>IF(AND(N2924=1,O2924&lt;&gt;""),C2924,"")</f>
        <v/>
      </c>
      <c r="Z2924" s="126" t="n"/>
    </row>
    <row r="2925" hidden="1" ht="16.05" customHeight="1">
      <c r="A2925" s="125" t="n">
        <v>3545</v>
      </c>
      <c r="B2925" s="791" t="n"/>
      <c r="C2925" s="130" t="inlineStr">
        <is>
          <t>Омск</t>
        </is>
      </c>
      <c r="D2925" s="130" t="inlineStr">
        <is>
          <t>Омская область</t>
        </is>
      </c>
      <c r="E2925" s="130" t="n"/>
      <c r="F2925" s="130" t="inlineStr">
        <is>
          <t>АЗС</t>
        </is>
      </c>
      <c r="G2925" s="130" t="inlineStr">
        <is>
          <t>Газпромнефть</t>
        </is>
      </c>
      <c r="H2925" s="131" t="n"/>
      <c r="I2925" s="637" t="n">
        <v>31026</v>
      </c>
      <c r="J2925" s="637" t="inlineStr">
        <is>
          <t>GPN_31026</t>
        </is>
      </c>
      <c r="K2925" s="640" t="n">
        <v>3</v>
      </c>
      <c r="L2925" s="640" t="n">
        <v>1</v>
      </c>
      <c r="M2925" s="623" t="n">
        <v>4</v>
      </c>
      <c r="N2925" s="640" t="n"/>
      <c r="O2925" s="640">
        <f>IF(AND(N2925=1,L2925=1),K2925,"")</f>
        <v/>
      </c>
      <c r="P2925" s="642" t="inlineStr">
        <is>
          <t>Омская обл., д.Зеленое поле, а/д Р402 (вблизи д.Зеленое Поле)   (Омская обл., д.Зеленое поле, 36)</t>
        </is>
      </c>
      <c r="Q2925" s="640" t="inlineStr">
        <is>
          <t>54.934091</t>
        </is>
      </c>
      <c r="R2925" s="494" t="inlineStr">
        <is>
          <t>73.20886</t>
        </is>
      </c>
      <c r="W2925" s="387">
        <f>IF(AND(N2925=1,O2925&lt;&gt;""),C2925,"")</f>
        <v/>
      </c>
      <c r="Z2925" s="126" t="n"/>
    </row>
    <row r="2926" hidden="1" ht="16.05" customHeight="1">
      <c r="A2926" s="125" t="n">
        <v>3546</v>
      </c>
      <c r="B2926" s="791" t="n"/>
      <c r="C2926" s="130" t="inlineStr">
        <is>
          <t>Омск</t>
        </is>
      </c>
      <c r="D2926" s="130" t="inlineStr">
        <is>
          <t>Омская область</t>
        </is>
      </c>
      <c r="E2926" s="130" t="n"/>
      <c r="F2926" s="130" t="inlineStr">
        <is>
          <t>АЗС</t>
        </is>
      </c>
      <c r="G2926" s="130" t="inlineStr">
        <is>
          <t>Газпромнефть</t>
        </is>
      </c>
      <c r="H2926" s="131" t="n"/>
      <c r="I2926" s="637" t="n">
        <v>31064</v>
      </c>
      <c r="J2926" s="637" t="inlineStr">
        <is>
          <t>GPN_31064</t>
        </is>
      </c>
      <c r="K2926" s="640" t="n">
        <v>3</v>
      </c>
      <c r="L2926" s="640" t="n">
        <v>1</v>
      </c>
      <c r="M2926" s="623" t="n">
        <v>4</v>
      </c>
      <c r="N2926" s="640" t="n"/>
      <c r="O2926" s="640">
        <f>IF(AND(N2926=1,L2926=1),K2926,"")</f>
        <v/>
      </c>
      <c r="P2926" s="642" t="inlineStr">
        <is>
          <t>Омская обл., с.Ачаир, а/д А320 (52 км, слева, вблизи с. Ачаир)</t>
        </is>
      </c>
      <c r="Q2926" s="640" t="inlineStr">
        <is>
          <t>54.66448</t>
        </is>
      </c>
      <c r="R2926" s="494" t="inlineStr">
        <is>
          <t>73.87297</t>
        </is>
      </c>
      <c r="W2926" s="387">
        <f>IF(AND(N2926=1,O2926&lt;&gt;""),C2926,"")</f>
        <v/>
      </c>
      <c r="Z2926" s="126" t="n"/>
    </row>
    <row r="2927" hidden="1" ht="16.05" customHeight="1">
      <c r="A2927" s="125" t="n">
        <v>3547</v>
      </c>
      <c r="B2927" s="791" t="n"/>
      <c r="C2927" s="130" t="inlineStr">
        <is>
          <t>Омск</t>
        </is>
      </c>
      <c r="D2927" s="130" t="inlineStr">
        <is>
          <t>Омская область</t>
        </is>
      </c>
      <c r="E2927" s="130" t="n"/>
      <c r="F2927" s="130" t="inlineStr">
        <is>
          <t>АЗС</t>
        </is>
      </c>
      <c r="G2927" s="130" t="inlineStr">
        <is>
          <t>Газпромнефть</t>
        </is>
      </c>
      <c r="H2927" s="131" t="n"/>
      <c r="I2927" s="637" t="n">
        <v>31137</v>
      </c>
      <c r="J2927" s="637" t="inlineStr">
        <is>
          <t>GPN_31137</t>
        </is>
      </c>
      <c r="K2927" s="640" t="n">
        <v>3</v>
      </c>
      <c r="L2927" s="640" t="n">
        <v>1</v>
      </c>
      <c r="M2927" s="623" t="n">
        <v>3</v>
      </c>
      <c r="N2927" s="640" t="n"/>
      <c r="O2927" s="640">
        <f>IF(AND(N2927=1,L2927=1),K2927,"")</f>
        <v/>
      </c>
      <c r="P2927" s="642" t="inlineStr">
        <is>
          <t>Омская обл., Любинский р-н, р.п. Красный Яр, ул. Дорожная, д.9А</t>
        </is>
      </c>
      <c r="Q2927" s="640" t="inlineStr">
        <is>
          <t>55.22465</t>
        </is>
      </c>
      <c r="R2927" s="494" t="inlineStr">
        <is>
          <t>72.91478</t>
        </is>
      </c>
      <c r="W2927" s="387">
        <f>IF(AND(N2927=1,O2927&lt;&gt;""),C2927,"")</f>
        <v/>
      </c>
      <c r="Z2927" s="126" t="n"/>
    </row>
    <row r="2928" hidden="1" ht="16.05" customHeight="1">
      <c r="A2928" s="125" t="n">
        <v>3548</v>
      </c>
      <c r="B2928" s="791" t="n"/>
      <c r="C2928" s="130" t="inlineStr">
        <is>
          <t>Красноярск</t>
        </is>
      </c>
      <c r="D2928" s="130" t="inlineStr">
        <is>
          <t>Красноярск</t>
        </is>
      </c>
      <c r="E2928" s="130" t="n"/>
      <c r="F2928" s="130" t="inlineStr">
        <is>
          <t>АЗС</t>
        </is>
      </c>
      <c r="G2928" s="130" t="inlineStr">
        <is>
          <t>Газпромнефть</t>
        </is>
      </c>
      <c r="H2928" s="131" t="n"/>
      <c r="I2928" s="637" t="n">
        <v>34365</v>
      </c>
      <c r="J2928" s="637" t="inlineStr">
        <is>
          <t>GPN_34365</t>
        </is>
      </c>
      <c r="K2928" s="640" t="n">
        <v>3</v>
      </c>
      <c r="L2928" s="640" t="n">
        <v>1</v>
      </c>
      <c r="M2928" s="623" t="n">
        <v>3</v>
      </c>
      <c r="N2928" s="640" t="n"/>
      <c r="O2928" s="640">
        <f>IF(AND(N2928=1,L2928=1),K2928,"")</f>
        <v/>
      </c>
      <c r="P2928" s="642" t="inlineStr">
        <is>
          <t>Красноярский край, г.Красноярск, пр. Свободный, д.77</t>
        </is>
      </c>
      <c r="Q2928" s="640" t="inlineStr">
        <is>
          <t>56.012531</t>
        </is>
      </c>
      <c r="R2928" s="494" t="inlineStr">
        <is>
          <t>92.784291</t>
        </is>
      </c>
      <c r="W2928" s="387">
        <f>IF(AND(N2928=1,O2928&lt;&gt;""),C2928,"")</f>
        <v/>
      </c>
      <c r="Z2928" s="126" t="n"/>
    </row>
    <row r="2929" hidden="1" ht="16.05" customHeight="1">
      <c r="A2929" s="125" t="n">
        <v>3549</v>
      </c>
      <c r="B2929" s="791" t="n"/>
      <c r="C2929" s="130" t="inlineStr">
        <is>
          <t>Новосибирск</t>
        </is>
      </c>
      <c r="D2929" s="130" t="inlineStr">
        <is>
          <t>Новосибирск</t>
        </is>
      </c>
      <c r="E2929" s="130" t="n"/>
      <c r="F2929" s="130" t="inlineStr">
        <is>
          <t>АЗС</t>
        </is>
      </c>
      <c r="G2929" s="130" t="inlineStr">
        <is>
          <t>Газпромнефть</t>
        </is>
      </c>
      <c r="H2929" s="131" t="n"/>
      <c r="I2929" s="637" t="inlineStr">
        <is>
          <t>30090 (32090)</t>
        </is>
      </c>
      <c r="J2929" s="637" t="inlineStr">
        <is>
          <t>GPN_30090</t>
        </is>
      </c>
      <c r="K2929" s="640" t="n">
        <v>3</v>
      </c>
      <c r="L2929" s="640" t="n">
        <v>1</v>
      </c>
      <c r="M2929" s="623" t="n">
        <v>3</v>
      </c>
      <c r="N2929" s="640" t="n"/>
      <c r="O2929" s="640">
        <f>IF(AND(N2929=1,L2929=1),K2929,"")</f>
        <v/>
      </c>
      <c r="P2929" s="642" t="inlineStr">
        <is>
          <t>г. Новосибирск, Искитимский район, п. Керамкомбинат, а/д Р256 ("Новосибирск-Ташанта", 77км, справа)</t>
        </is>
      </c>
      <c r="Q2929" s="640" t="inlineStr">
        <is>
          <t>54.44194</t>
        </is>
      </c>
      <c r="R2929" s="494" t="inlineStr">
        <is>
          <t>83.34598</t>
        </is>
      </c>
      <c r="W2929" s="387">
        <f>IF(AND(N2929=1,O2929&lt;&gt;""),C2929,"")</f>
        <v/>
      </c>
      <c r="Z2929" s="126" t="n"/>
    </row>
    <row r="2930" hidden="1" ht="16.05" customHeight="1">
      <c r="A2930" s="125" t="n">
        <v>3554</v>
      </c>
      <c r="B2930" s="791" t="n"/>
      <c r="C2930" s="130" t="inlineStr">
        <is>
          <t>Санкт-Петербург</t>
        </is>
      </c>
      <c r="D2930" s="130" t="inlineStr">
        <is>
          <t>Всеволожский</t>
        </is>
      </c>
      <c r="E2930" s="130" t="n"/>
      <c r="F2930" s="130" t="inlineStr">
        <is>
          <t>АЗС</t>
        </is>
      </c>
      <c r="G2930" s="130" t="inlineStr">
        <is>
          <t>Neste</t>
        </is>
      </c>
      <c r="H2930" s="131" t="inlineStr">
        <is>
          <t>АЗС № 550</t>
        </is>
      </c>
      <c r="I2930" s="637" t="n">
        <v>550</v>
      </c>
      <c r="J2930" s="637" t="inlineStr">
        <is>
          <t>SPB_Neste_550</t>
        </is>
      </c>
      <c r="K2930" s="640" t="n">
        <v>1</v>
      </c>
      <c r="L2930" s="640" t="n">
        <v>0</v>
      </c>
      <c r="M2930" s="623" t="inlineStr">
        <is>
          <t>Экран 55" вертикальный</t>
        </is>
      </c>
      <c r="N2930" s="640" t="n"/>
      <c r="O2930" s="640">
        <f>IF(AND(N2930=1,L2930=1),K2930,"")</f>
        <v/>
      </c>
      <c r="P2930" s="642" t="inlineStr">
        <is>
          <t>Средневыборгское шоссе 34 км, справа, Елизаветинка</t>
        </is>
      </c>
      <c r="Q2930" s="640" t="inlineStr">
        <is>
          <t>60.180374</t>
        </is>
      </c>
      <c r="R2930" s="494" t="inlineStr">
        <is>
          <t>30.138661</t>
        </is>
      </c>
      <c r="Z2930" s="126" t="n"/>
    </row>
    <row r="2931" hidden="1" ht="16.05" customHeight="1">
      <c r="A2931" s="125" t="n">
        <v>3550</v>
      </c>
      <c r="B2931" s="125" t="inlineStr">
        <is>
          <t>WF</t>
        </is>
      </c>
      <c r="C2931" s="130" t="inlineStr">
        <is>
          <t>Москва</t>
        </is>
      </c>
      <c r="D2931" s="130" t="inlineStr">
        <is>
          <t>Московская область</t>
        </is>
      </c>
      <c r="E2931" s="130" t="n"/>
      <c r="F2931" s="130" t="inlineStr">
        <is>
          <t>АЗС</t>
        </is>
      </c>
      <c r="G2931" s="130" t="inlineStr">
        <is>
          <t>Лукойл</t>
        </is>
      </c>
      <c r="H2931" s="131" t="n"/>
      <c r="I2931" s="637" t="n">
        <v>50268</v>
      </c>
      <c r="J2931" s="402" t="inlineStr">
        <is>
          <t>MSK_LUK_0268</t>
        </is>
      </c>
      <c r="K2931" s="640" t="n">
        <v>2</v>
      </c>
      <c r="L2931" s="640" t="n">
        <v>0</v>
      </c>
      <c r="M2931" s="640" t="inlineStr">
        <is>
          <t>1 октября</t>
        </is>
      </c>
      <c r="N2931" s="640" t="n"/>
      <c r="O2931" s="640">
        <f>IF(AND(N2931=1,L2931=1),K2931,"")</f>
        <v/>
      </c>
      <c r="P2931" s="642" t="inlineStr">
        <is>
          <t>Московская область, г.Долгопрудный Лихачевское шоссе</t>
        </is>
      </c>
      <c r="Q2931" s="640" t="n">
        <v>55.907068</v>
      </c>
      <c r="R2931" s="422" t="n">
        <v>37.492686</v>
      </c>
      <c r="S2931" s="438" t="n"/>
      <c r="X2931" s="1" t="n"/>
      <c r="Y2931" s="1" t="n"/>
      <c r="Z2931" s="1" t="n"/>
    </row>
    <row r="2932" hidden="1" ht="16.05" customHeight="1">
      <c r="A2932" s="125" t="n">
        <v>3551</v>
      </c>
      <c r="B2932" s="125" t="inlineStr">
        <is>
          <t>WF</t>
        </is>
      </c>
      <c r="C2932" s="130" t="inlineStr">
        <is>
          <t>Москва</t>
        </is>
      </c>
      <c r="D2932" s="130" t="inlineStr">
        <is>
          <t>Московская область</t>
        </is>
      </c>
      <c r="E2932" s="130" t="n"/>
      <c r="F2932" s="130" t="inlineStr">
        <is>
          <t>АЗС</t>
        </is>
      </c>
      <c r="G2932" s="130" t="inlineStr">
        <is>
          <t>Лукойл</t>
        </is>
      </c>
      <c r="H2932" s="131" t="n"/>
      <c r="I2932" s="637" t="n">
        <v>50218</v>
      </c>
      <c r="J2932" s="402" t="inlineStr">
        <is>
          <t>MSK_LUK_0218</t>
        </is>
      </c>
      <c r="K2932" s="640" t="n">
        <v>1</v>
      </c>
      <c r="L2932" s="640" t="n">
        <v>0</v>
      </c>
      <c r="M2932" s="640" t="inlineStr">
        <is>
          <t>1 октября</t>
        </is>
      </c>
      <c r="N2932" s="640" t="n"/>
      <c r="O2932" s="640">
        <f>IF(AND(N2932=1,L2932=1),K2932,"")</f>
        <v/>
      </c>
      <c r="P2932" s="642" t="inlineStr">
        <is>
          <t>Московская область, Раменский район, Вялковский с.о., дер. Хрипань, 16-й км Егорьевского шоссе, АЗС</t>
        </is>
      </c>
      <c r="Q2932" s="640" t="n">
        <v>55.63959</v>
      </c>
      <c r="R2932" s="422" t="n">
        <v>38.17523</v>
      </c>
      <c r="S2932" s="438" t="n"/>
      <c r="X2932" s="1" t="n"/>
      <c r="Y2932" s="1" t="n"/>
      <c r="Z2932" s="1" t="n"/>
    </row>
    <row r="2933" hidden="1" ht="16.05" customHeight="1">
      <c r="A2933" s="125" t="n">
        <v>3552</v>
      </c>
      <c r="B2933" s="125" t="inlineStr">
        <is>
          <t>WF</t>
        </is>
      </c>
      <c r="C2933" s="130" t="inlineStr">
        <is>
          <t>Москва</t>
        </is>
      </c>
      <c r="D2933" s="130" t="inlineStr">
        <is>
          <t>Москва</t>
        </is>
      </c>
      <c r="E2933" s="130" t="n"/>
      <c r="F2933" s="130" t="inlineStr">
        <is>
          <t>АЗС</t>
        </is>
      </c>
      <c r="G2933" s="130" t="inlineStr">
        <is>
          <t>Лукойл</t>
        </is>
      </c>
      <c r="H2933" s="131" t="n"/>
      <c r="I2933" s="637" t="n">
        <v>77503</v>
      </c>
      <c r="J2933" s="402" t="inlineStr">
        <is>
          <t>MSK_LUK_0503</t>
        </is>
      </c>
      <c r="K2933" s="640" t="n">
        <v>1</v>
      </c>
      <c r="L2933" s="640" t="n">
        <v>0</v>
      </c>
      <c r="M2933" s="640" t="inlineStr">
        <is>
          <t>1 октября</t>
        </is>
      </c>
      <c r="N2933" s="640" t="n"/>
      <c r="O2933" s="640">
        <f>IF(AND(N2933=1,L2933=1),K2933,"")</f>
        <v/>
      </c>
      <c r="P2933" s="642" t="inlineStr">
        <is>
          <t>г. Москва, ул. Рочдельская, д. 14</t>
        </is>
      </c>
      <c r="Q2933" s="640" t="n">
        <v>55.75724</v>
      </c>
      <c r="R2933" s="422" t="n">
        <v>37.5676</v>
      </c>
      <c r="S2933" s="438" t="n"/>
      <c r="X2933" s="1" t="n"/>
      <c r="Y2933" s="1" t="n"/>
      <c r="Z2933" s="1" t="n"/>
    </row>
    <row r="2934" hidden="1" ht="16.05" customHeight="1">
      <c r="A2934" s="125" t="n">
        <v>3553</v>
      </c>
      <c r="B2934" s="125" t="inlineStr">
        <is>
          <t>WF</t>
        </is>
      </c>
      <c r="C2934" s="130" t="inlineStr">
        <is>
          <t>Москва</t>
        </is>
      </c>
      <c r="D2934" s="130" t="inlineStr">
        <is>
          <t>Москва</t>
        </is>
      </c>
      <c r="E2934" s="130" t="n"/>
      <c r="F2934" s="130" t="inlineStr">
        <is>
          <t>АЗС</t>
        </is>
      </c>
      <c r="G2934" s="130" t="inlineStr">
        <is>
          <t>Лукойл</t>
        </is>
      </c>
      <c r="H2934" s="131" t="n"/>
      <c r="I2934" s="637" t="n">
        <v>77524</v>
      </c>
      <c r="J2934" s="402" t="inlineStr">
        <is>
          <t>MSK_LUK_0524</t>
        </is>
      </c>
      <c r="K2934" s="640" t="n">
        <v>1</v>
      </c>
      <c r="L2934" s="640" t="n">
        <v>0</v>
      </c>
      <c r="M2934" s="640" t="inlineStr">
        <is>
          <t>1 октября</t>
        </is>
      </c>
      <c r="N2934" s="640" t="n"/>
      <c r="O2934" s="640">
        <f>IF(AND(N2934=1,L2934=1),K2934,"")</f>
        <v/>
      </c>
      <c r="P2934" s="642" t="inlineStr">
        <is>
          <t>г. Москва, Госпитальная набережная, вл. 2, сооруж. 1</t>
        </is>
      </c>
      <c r="Q2934" s="640" t="n">
        <v>55.770963</v>
      </c>
      <c r="R2934" s="422" t="n">
        <v>37.694998</v>
      </c>
      <c r="S2934" s="438" t="n"/>
      <c r="X2934" s="1" t="n"/>
      <c r="Y2934" s="1" t="n"/>
      <c r="Z2934" s="1" t="n"/>
    </row>
    <row r="2935" hidden="1" ht="16.05" customHeight="1">
      <c r="A2935" s="125" t="n">
        <v>3562</v>
      </c>
      <c r="B2935" s="265" t="n"/>
      <c r="C2935" s="130" t="inlineStr">
        <is>
          <t>Москва</t>
        </is>
      </c>
      <c r="D2935" s="130" t="inlineStr">
        <is>
          <t>Москва</t>
        </is>
      </c>
      <c r="E2935" s="130" t="inlineStr">
        <is>
          <t>UPPER PREMIUM</t>
        </is>
      </c>
      <c r="F2935" s="130" t="inlineStr">
        <is>
          <t>Фитнес</t>
        </is>
      </c>
      <c r="G2935" s="130" t="inlineStr">
        <is>
          <t>FIRST&amp;ONLY</t>
        </is>
      </c>
      <c r="H2935" s="131" t="n">
        <v>10500</v>
      </c>
      <c r="I2935" s="637" t="inlineStr">
        <is>
          <t>FIRST&amp;ONLY</t>
        </is>
      </c>
      <c r="J2935" s="637" t="inlineStr">
        <is>
          <t>MSC_FC68_TV01</t>
        </is>
      </c>
      <c r="K2935" s="640" t="n">
        <v>2</v>
      </c>
      <c r="L2935" s="640" t="n">
        <v>1</v>
      </c>
      <c r="M2935" s="623" t="inlineStr">
        <is>
          <t>ФОТО</t>
        </is>
      </c>
      <c r="N2935" s="640" t="n"/>
      <c r="O2935" s="640">
        <f>IF(AND(N2935=1,L2935=1),K2935,"")</f>
        <v/>
      </c>
      <c r="P2935" s="642" t="inlineStr">
        <is>
          <t>Москва, парк Покровское-Стрешнево, Иваньковское ш., д.5</t>
        </is>
      </c>
      <c r="Q2935" s="640" t="inlineStr">
        <is>
          <t>55.82023</t>
        </is>
      </c>
      <c r="R2935" s="494" t="inlineStr">
        <is>
          <t>37.465902</t>
        </is>
      </c>
      <c r="S2935" s="387">
        <f>'Цены|Скидки'!$E$18</f>
        <v/>
      </c>
      <c r="T2935" s="387">
        <f>IF(N2935=1,S2935*O2935,0)</f>
        <v/>
      </c>
      <c r="Z2935" s="1" t="n"/>
    </row>
    <row r="2936" hidden="1" ht="16.05" customHeight="1">
      <c r="A2936" s="125" t="n">
        <v>3555</v>
      </c>
      <c r="B2936" s="125" t="inlineStr">
        <is>
          <t>WF</t>
        </is>
      </c>
      <c r="C2936" s="130" t="inlineStr">
        <is>
          <t>Москва</t>
        </is>
      </c>
      <c r="D2936" s="130" t="inlineStr">
        <is>
          <t>Московская область</t>
        </is>
      </c>
      <c r="E2936" s="130" t="n"/>
      <c r="F2936" s="130" t="inlineStr">
        <is>
          <t>АЗС</t>
        </is>
      </c>
      <c r="G2936" s="130" t="inlineStr">
        <is>
          <t>Лукойл</t>
        </is>
      </c>
      <c r="H2936" s="131" t="n"/>
      <c r="I2936" s="637" t="n">
        <v>50208</v>
      </c>
      <c r="J2936" s="402" t="inlineStr">
        <is>
          <t>MSK_LUK_0208</t>
        </is>
      </c>
      <c r="K2936" s="640" t="n">
        <v>1</v>
      </c>
      <c r="L2936" s="640" t="n">
        <v>0</v>
      </c>
      <c r="M2936" s="640" t="inlineStr">
        <is>
          <t>1 октября</t>
        </is>
      </c>
      <c r="N2936" s="640" t="n"/>
      <c r="O2936" s="640">
        <f>IF(AND(N2936=1,L2936=1),K2936,"")</f>
        <v/>
      </c>
      <c r="P2936" s="642" t="inlineStr">
        <is>
          <t>Московская область, Чеховский район, Баранцевский с.о., 82 км, а/д "Москва-Крым" (правая сторона)</t>
        </is>
      </c>
      <c r="Q2936" s="640" t="n">
        <v>55.049422</v>
      </c>
      <c r="R2936" s="422" t="n">
        <v>37.559011</v>
      </c>
      <c r="S2936" s="438" t="n"/>
      <c r="X2936" s="1" t="n"/>
      <c r="Y2936" s="1" t="n"/>
      <c r="Z2936" s="1" t="n"/>
    </row>
    <row r="2937" hidden="1" ht="16.05" customHeight="1">
      <c r="A2937" s="125" t="n">
        <v>3556</v>
      </c>
      <c r="B2937" s="125" t="inlineStr">
        <is>
          <t>WF</t>
        </is>
      </c>
      <c r="C2937" s="130" t="inlineStr">
        <is>
          <t>Москва</t>
        </is>
      </c>
      <c r="D2937" s="130" t="inlineStr">
        <is>
          <t>Московская область</t>
        </is>
      </c>
      <c r="E2937" s="130" t="n"/>
      <c r="F2937" s="130" t="inlineStr">
        <is>
          <t>АЗС</t>
        </is>
      </c>
      <c r="G2937" s="130" t="inlineStr">
        <is>
          <t>Лукойл</t>
        </is>
      </c>
      <c r="H2937" s="131" t="n"/>
      <c r="I2937" s="637" t="n">
        <v>50209</v>
      </c>
      <c r="J2937" s="402" t="inlineStr">
        <is>
          <t>MSK_LUK_0209</t>
        </is>
      </c>
      <c r="K2937" s="640" t="n">
        <v>1</v>
      </c>
      <c r="L2937" s="640" t="n">
        <v>0</v>
      </c>
      <c r="M2937" s="640" t="inlineStr">
        <is>
          <t>1 октября</t>
        </is>
      </c>
      <c r="N2937" s="640" t="n"/>
      <c r="O2937" s="640">
        <f>IF(AND(N2937=1,L2937=1),K2937,"")</f>
        <v/>
      </c>
      <c r="P2937" s="642" t="inlineStr">
        <is>
          <t>Московская область, Чеховский район, 82 км, а/д "Москва-Крым" (левая сторона)</t>
        </is>
      </c>
      <c r="Q2937" s="640" t="n">
        <v>55.04622</v>
      </c>
      <c r="R2937" s="422" t="n">
        <v>37.56002</v>
      </c>
      <c r="S2937" s="438" t="n"/>
      <c r="X2937" s="1" t="n"/>
      <c r="Y2937" s="1" t="n"/>
      <c r="Z2937" s="1" t="n"/>
    </row>
    <row r="2938" hidden="1" ht="16.05" customHeight="1">
      <c r="A2938" s="125" t="n">
        <v>3557</v>
      </c>
      <c r="B2938" s="265" t="n"/>
      <c r="C2938" s="130" t="inlineStr">
        <is>
          <t>Москва</t>
        </is>
      </c>
      <c r="D2938" s="130" t="inlineStr">
        <is>
          <t>Москва</t>
        </is>
      </c>
      <c r="E2938" s="130" t="inlineStr">
        <is>
          <t>BUSINESS</t>
        </is>
      </c>
      <c r="F2938" s="130" t="inlineStr">
        <is>
          <t>Фитнес</t>
        </is>
      </c>
      <c r="G2938" s="130" t="inlineStr">
        <is>
          <t>CityFitness</t>
        </is>
      </c>
      <c r="H2938" s="131" t="n">
        <v>9000</v>
      </c>
      <c r="I2938" s="637" t="inlineStr">
        <is>
          <t>CityFitness Добрынинский</t>
        </is>
      </c>
      <c r="J2938" s="402" t="inlineStr">
        <is>
          <t>MSC_FC59_TV01</t>
        </is>
      </c>
      <c r="K2938" s="640" t="n">
        <v>2</v>
      </c>
      <c r="L2938" s="640" t="n">
        <v>0</v>
      </c>
      <c r="M2938" s="640" t="inlineStr">
        <is>
          <t>ФОТО</t>
        </is>
      </c>
      <c r="N2938" s="640" t="n"/>
      <c r="O2938" s="640">
        <f>IF(AND(N2938=1,L2938=1),K2938,"")</f>
        <v/>
      </c>
      <c r="P2938" s="642" t="inlineStr">
        <is>
          <t>4-ый Добрынинский переулок, д. 8/10</t>
        </is>
      </c>
      <c r="Q2938" s="640" t="n">
        <v>55.727546</v>
      </c>
      <c r="R2938" s="422" t="n">
        <v>37.616756</v>
      </c>
      <c r="S2938" s="387" t="n">
        <v>375</v>
      </c>
      <c r="T2938" s="387">
        <f>IF(N2938=1,S2938*O2938,0)</f>
        <v/>
      </c>
      <c r="X2938" s="1" t="n"/>
      <c r="Y2938" s="1" t="n"/>
      <c r="Z2938" s="1" t="n"/>
    </row>
    <row r="2939" hidden="1" ht="16.05" customHeight="1">
      <c r="A2939" s="125" t="n">
        <v>3560</v>
      </c>
      <c r="B2939" s="265" t="n"/>
      <c r="C2939" s="130" t="inlineStr">
        <is>
          <t>Москва</t>
        </is>
      </c>
      <c r="D2939" s="130" t="inlineStr">
        <is>
          <t>Московская обл.</t>
        </is>
      </c>
      <c r="E2939" s="130" t="inlineStr">
        <is>
          <t>BUSINESS</t>
        </is>
      </c>
      <c r="F2939" s="130" t="inlineStr">
        <is>
          <t>Фитнес</t>
        </is>
      </c>
      <c r="G2939" s="130" t="inlineStr">
        <is>
          <t>CityFitness</t>
        </is>
      </c>
      <c r="H2939" s="131" t="n">
        <v>7000</v>
      </c>
      <c r="I2939" s="637" t="inlineStr">
        <is>
          <t>CityFitness Одинцово</t>
        </is>
      </c>
      <c r="J2939" s="402" t="inlineStr">
        <is>
          <t>MO_FC19_TV01</t>
        </is>
      </c>
      <c r="K2939" s="640" t="n">
        <v>2</v>
      </c>
      <c r="L2939" s="640" t="n">
        <v>0</v>
      </c>
      <c r="M2939" s="640" t="inlineStr">
        <is>
          <t>ФОТО</t>
        </is>
      </c>
      <c r="N2939" s="640" t="n"/>
      <c r="O2939" s="640">
        <f>IF(AND(N2939=1,L2939=1),K2939,"")</f>
        <v/>
      </c>
      <c r="P2939" s="642" t="inlineStr">
        <is>
          <t>г. Одинцово, ул. Молодежная, д. 48</t>
        </is>
      </c>
      <c r="Q2939" s="640" t="n">
        <v>55.677739</v>
      </c>
      <c r="R2939" s="422" t="n">
        <v>37.272696</v>
      </c>
      <c r="S2939" s="387" t="n">
        <v>375</v>
      </c>
      <c r="T2939" s="387">
        <f>IF(N2939=1,S2939*O2939,0)</f>
        <v/>
      </c>
      <c r="X2939" s="1" t="n"/>
      <c r="Y2939" s="1" t="n"/>
      <c r="Z2939" s="1" t="n"/>
    </row>
    <row r="2940" hidden="1" ht="16.05" customHeight="1">
      <c r="A2940" s="125" t="n">
        <v>3561</v>
      </c>
      <c r="B2940" s="265" t="n"/>
      <c r="C2940" s="130" t="inlineStr">
        <is>
          <t>Москва</t>
        </is>
      </c>
      <c r="D2940" s="130" t="inlineStr">
        <is>
          <t>Москва</t>
        </is>
      </c>
      <c r="E2940" s="130" t="inlineStr">
        <is>
          <t>BUSINESS</t>
        </is>
      </c>
      <c r="F2940" s="130" t="inlineStr">
        <is>
          <t>Фитнес</t>
        </is>
      </c>
      <c r="G2940" s="130" t="inlineStr">
        <is>
          <t>CityFitness</t>
        </is>
      </c>
      <c r="H2940" s="131" t="n">
        <v>9000</v>
      </c>
      <c r="I2940" s="637" t="inlineStr">
        <is>
          <t>CityFitness Речной Вокзал</t>
        </is>
      </c>
      <c r="J2940" s="402" t="inlineStr">
        <is>
          <t>MSC_FC58_TV01</t>
        </is>
      </c>
      <c r="K2940" s="640" t="n">
        <v>3</v>
      </c>
      <c r="L2940" s="640" t="n">
        <v>0</v>
      </c>
      <c r="M2940" s="640" t="inlineStr">
        <is>
          <t>ФОТО</t>
        </is>
      </c>
      <c r="N2940" s="640" t="n"/>
      <c r="O2940" s="640">
        <f>IF(AND(N2940=1,L2940=1),K2940,"")</f>
        <v/>
      </c>
      <c r="P2940" s="642" t="inlineStr">
        <is>
          <t>Лавочкина ул., 32 (Дворец спорта Динамо)</t>
        </is>
      </c>
      <c r="Q2940" s="640" t="n">
        <v>55.855634</v>
      </c>
      <c r="R2940" s="422" t="n">
        <v>37.495513</v>
      </c>
      <c r="S2940" s="387" t="n">
        <v>375</v>
      </c>
      <c r="T2940" s="387">
        <f>IF(N2940=1,S2940*O2940,0)</f>
        <v/>
      </c>
      <c r="X2940" s="1" t="n"/>
      <c r="Y2940" s="1" t="n"/>
      <c r="Z2940" s="1" t="n"/>
    </row>
    <row r="2941" hidden="1" ht="16.05" customHeight="1">
      <c r="A2941" s="125" t="n">
        <v>3565</v>
      </c>
      <c r="B2941" s="265" t="n"/>
      <c r="C2941" s="130" t="inlineStr">
        <is>
          <t>Москва</t>
        </is>
      </c>
      <c r="D2941" s="130" t="inlineStr">
        <is>
          <t>Москва</t>
        </is>
      </c>
      <c r="E2941" s="130" t="inlineStr">
        <is>
          <t>PREMIUM</t>
        </is>
      </c>
      <c r="F2941" s="130" t="inlineStr">
        <is>
          <t>Фитнес</t>
        </is>
      </c>
      <c r="G2941" s="130" t="inlineStr">
        <is>
          <t>Fit Остров</t>
        </is>
      </c>
      <c r="H2941" s="131" t="n">
        <v>12000</v>
      </c>
      <c r="I2941" s="637" t="inlineStr">
        <is>
          <t>Fit Остров Дмитровское</t>
        </is>
      </c>
      <c r="J2941" s="637" t="inlineStr">
        <is>
          <t>MSC_FC37_TV01</t>
        </is>
      </c>
      <c r="K2941" s="640" t="n">
        <v>2</v>
      </c>
      <c r="L2941" s="640" t="n">
        <v>1</v>
      </c>
      <c r="M2941" s="623" t="inlineStr">
        <is>
          <t>ФОТО</t>
        </is>
      </c>
      <c r="N2941" s="640" t="n"/>
      <c r="O2941" s="640">
        <f>IF(AND(N2941=1,L2941=1),K2941,"")</f>
        <v/>
      </c>
      <c r="P2941" s="642" t="inlineStr">
        <is>
          <t>Москва, Дмитровское шоссе, д.60А</t>
        </is>
      </c>
      <c r="Q2941" s="640" t="inlineStr">
        <is>
          <t>55.853504</t>
        </is>
      </c>
      <c r="R2941" s="494" t="inlineStr">
        <is>
          <t>37.568628</t>
        </is>
      </c>
      <c r="S2941" s="387">
        <f>'Цены|Скидки'!$G$18</f>
        <v/>
      </c>
      <c r="T2941" s="387">
        <f>IF(N2941=1,S2941*O2941,0)</f>
        <v/>
      </c>
      <c r="Z2941" s="1" t="n"/>
    </row>
    <row r="2942" hidden="1" ht="16.05" customHeight="1">
      <c r="A2942" s="125" t="n">
        <v>3566</v>
      </c>
      <c r="B2942" s="265" t="n"/>
      <c r="C2942" s="130" t="inlineStr">
        <is>
          <t>Москва</t>
        </is>
      </c>
      <c r="D2942" s="130" t="inlineStr">
        <is>
          <t>Московская область</t>
        </is>
      </c>
      <c r="E2942" s="130" t="inlineStr">
        <is>
          <t>PREMIUM</t>
        </is>
      </c>
      <c r="F2942" s="130" t="inlineStr">
        <is>
          <t>Фитнес</t>
        </is>
      </c>
      <c r="G2942" s="130" t="inlineStr">
        <is>
          <t>Fit Остров</t>
        </is>
      </c>
      <c r="H2942" s="131" t="n">
        <v>18000</v>
      </c>
      <c r="I2942" s="637" t="inlineStr">
        <is>
          <t>Fit Остров Люберцы</t>
        </is>
      </c>
      <c r="J2942" s="637" t="inlineStr">
        <is>
          <t>MO_FC09_TV01</t>
        </is>
      </c>
      <c r="K2942" s="640" t="n">
        <v>1</v>
      </c>
      <c r="L2942" s="640" t="n">
        <v>1</v>
      </c>
      <c r="M2942" s="623" t="inlineStr">
        <is>
          <t>ФОТО</t>
        </is>
      </c>
      <c r="N2942" s="640" t="n"/>
      <c r="O2942" s="640">
        <f>IF(AND(N2942=1,L2942=1),K2942,"")</f>
        <v/>
      </c>
      <c r="P2942" s="642" t="inlineStr">
        <is>
          <t>Московская область, г. Люберцы, пос. Калинина, д. 49</t>
        </is>
      </c>
      <c r="Q2942" s="640" t="inlineStr">
        <is>
          <t>55.689644</t>
        </is>
      </c>
      <c r="R2942" s="494" t="inlineStr">
        <is>
          <t>37.875865</t>
        </is>
      </c>
      <c r="S2942" s="387">
        <f>'Цены|Скидки'!$G$18</f>
        <v/>
      </c>
      <c r="T2942" s="387">
        <f>IF(N2942=1,S2942*O2942,0)</f>
        <v/>
      </c>
      <c r="Z2942" s="1" t="n"/>
    </row>
    <row r="2943" hidden="1" ht="16.05" customHeight="1">
      <c r="A2943" s="125" t="n">
        <v>3567</v>
      </c>
      <c r="B2943" s="265" t="n"/>
      <c r="C2943" s="130" t="inlineStr">
        <is>
          <t>Москва</t>
        </is>
      </c>
      <c r="D2943" s="130" t="inlineStr">
        <is>
          <t>Московская область</t>
        </is>
      </c>
      <c r="E2943" s="130" t="inlineStr">
        <is>
          <t>PREMIUM</t>
        </is>
      </c>
      <c r="F2943" s="130" t="inlineStr">
        <is>
          <t>Фитнес</t>
        </is>
      </c>
      <c r="G2943" s="130" t="inlineStr">
        <is>
          <t>FITNESS ONE</t>
        </is>
      </c>
      <c r="H2943" s="131" t="n">
        <v>12000</v>
      </c>
      <c r="I2943" s="637" t="inlineStr">
        <is>
          <t>FITNESS ONE Истра Мелоди</t>
        </is>
      </c>
      <c r="J2943" s="637" t="inlineStr">
        <is>
          <t>MO_FC16_TV01</t>
        </is>
      </c>
      <c r="K2943" s="640" t="n">
        <v>1</v>
      </c>
      <c r="L2943" s="640" t="n">
        <v>1</v>
      </c>
      <c r="M2943" s="623" t="inlineStr">
        <is>
          <t>ФОТО</t>
        </is>
      </c>
      <c r="N2943" s="640" t="n"/>
      <c r="O2943" s="640">
        <f>IF(AND(N2943=1,L2943=1),K2943,"")</f>
        <v/>
      </c>
      <c r="P2943" s="642" t="inlineStr">
        <is>
          <t>Московская область, Истринский р-н, дер. Крючково, ул. Радости, Коттеджный поселок "Мелоди"</t>
        </is>
      </c>
      <c r="Q2943" s="640" t="inlineStr">
        <is>
          <t>55.877507</t>
        </is>
      </c>
      <c r="R2943" s="494" t="inlineStr">
        <is>
          <t>36.79693</t>
        </is>
      </c>
      <c r="S2943" s="387">
        <f>'Цены|Скидки'!$G$18</f>
        <v/>
      </c>
      <c r="T2943" s="387">
        <f>IF(N2943=1,S2943*O2943,0)</f>
        <v/>
      </c>
      <c r="Z2943" s="1" t="n"/>
    </row>
    <row r="2944" hidden="1" ht="16.05" customHeight="1">
      <c r="A2944" s="125" t="n">
        <v>3569</v>
      </c>
      <c r="B2944" s="265" t="n"/>
      <c r="C2944" s="130" t="inlineStr">
        <is>
          <t>Москва</t>
        </is>
      </c>
      <c r="D2944" s="130" t="inlineStr">
        <is>
          <t>Московская область</t>
        </is>
      </c>
      <c r="E2944" s="130" t="inlineStr">
        <is>
          <t>PREMIUM</t>
        </is>
      </c>
      <c r="F2944" s="130" t="inlineStr">
        <is>
          <t>Фитнес</t>
        </is>
      </c>
      <c r="G2944" s="130" t="inlineStr">
        <is>
          <t>FITNESS ONE</t>
        </is>
      </c>
      <c r="H2944" s="131" t="n">
        <v>9000</v>
      </c>
      <c r="I2944" s="637" t="inlineStr">
        <is>
          <t>FITNESS ONE Истра Центр</t>
        </is>
      </c>
      <c r="J2944" s="637" t="inlineStr">
        <is>
          <t>MO_FC13_TV01</t>
        </is>
      </c>
      <c r="K2944" s="640" t="n">
        <v>2</v>
      </c>
      <c r="L2944" s="640" t="n">
        <v>1</v>
      </c>
      <c r="M2944" s="623" t="inlineStr">
        <is>
          <t>ФОТО</t>
        </is>
      </c>
      <c r="N2944" s="640" t="n"/>
      <c r="O2944" s="640">
        <f>IF(AND(N2944=1,L2944=1),K2944,"")</f>
        <v/>
      </c>
      <c r="P2944" s="642" t="inlineStr">
        <is>
          <t>Московская область, г. Истра,  Площадь Революции, д.6</t>
        </is>
      </c>
      <c r="Q2944" s="640" t="inlineStr">
        <is>
          <t>55.915189</t>
        </is>
      </c>
      <c r="R2944" s="494" t="inlineStr">
        <is>
          <t>36.857631</t>
        </is>
      </c>
      <c r="S2944" s="387">
        <f>'Цены|Скидки'!$G$18</f>
        <v/>
      </c>
      <c r="T2944" s="387">
        <f>IF(N2944=1,S2944*O2944,0)</f>
        <v/>
      </c>
      <c r="Z2944" s="1" t="n"/>
    </row>
    <row r="2945" hidden="1" ht="16.05" customHeight="1">
      <c r="A2945" s="125" t="n">
        <v>3570</v>
      </c>
      <c r="B2945" s="265" t="n"/>
      <c r="C2945" s="130" t="inlineStr">
        <is>
          <t>Москва</t>
        </is>
      </c>
      <c r="D2945" s="130" t="inlineStr">
        <is>
          <t>Московская область</t>
        </is>
      </c>
      <c r="E2945" s="130" t="inlineStr">
        <is>
          <t>PREMIUM</t>
        </is>
      </c>
      <c r="F2945" s="130" t="inlineStr">
        <is>
          <t>Фитнес</t>
        </is>
      </c>
      <c r="G2945" s="130" t="inlineStr">
        <is>
          <t>FITNESS ONE</t>
        </is>
      </c>
      <c r="H2945" s="131" t="n">
        <v>9000</v>
      </c>
      <c r="I2945" s="637" t="inlineStr">
        <is>
          <t>FITNESS ONE Минское шоссе</t>
        </is>
      </c>
      <c r="J2945" s="637" t="inlineStr">
        <is>
          <t>MO_FC15_TV01</t>
        </is>
      </c>
      <c r="K2945" s="640" t="n">
        <v>2</v>
      </c>
      <c r="L2945" s="640" t="n">
        <v>1</v>
      </c>
      <c r="M2945" s="623" t="inlineStr">
        <is>
          <t>ФОТО</t>
        </is>
      </c>
      <c r="N2945" s="640" t="n"/>
      <c r="O2945" s="640">
        <f>IF(AND(N2945=1,L2945=1),K2945,"")</f>
        <v/>
      </c>
      <c r="P2945" s="642" t="inlineStr">
        <is>
          <t>Московская область, Одинцовский р-н, поселок Лесной городок, ул. Грибовская, д.8</t>
        </is>
      </c>
      <c r="Q2945" s="640" t="inlineStr">
        <is>
          <t>55.639511</t>
        </is>
      </c>
      <c r="R2945" s="494" t="inlineStr">
        <is>
          <t>37.216853</t>
        </is>
      </c>
      <c r="S2945" s="387">
        <f>'Цены|Скидки'!$G$18</f>
        <v/>
      </c>
      <c r="T2945" s="387">
        <f>IF(N2945=1,S2945*O2945,0)</f>
        <v/>
      </c>
      <c r="Z2945" s="1" t="n"/>
    </row>
    <row r="2946" hidden="1" ht="16.05" customHeight="1">
      <c r="A2946" s="125" t="n">
        <v>3572</v>
      </c>
      <c r="B2946" s="265" t="n"/>
      <c r="C2946" s="130" t="inlineStr">
        <is>
          <t>Москва</t>
        </is>
      </c>
      <c r="D2946" s="130" t="inlineStr">
        <is>
          <t>Московская область</t>
        </is>
      </c>
      <c r="E2946" s="130" t="inlineStr">
        <is>
          <t>UPPER PREMIUM</t>
        </is>
      </c>
      <c r="F2946" s="130" t="inlineStr">
        <is>
          <t>Фитнес</t>
        </is>
      </c>
      <c r="G2946" s="130" t="inlineStr">
        <is>
          <t>FITNESS ONE</t>
        </is>
      </c>
      <c r="H2946" s="131" t="n">
        <v>9000</v>
      </c>
      <c r="I2946" s="637" t="inlineStr">
        <is>
          <t>FITNESS ONE Новая Рига</t>
        </is>
      </c>
      <c r="J2946" s="637" t="inlineStr">
        <is>
          <t>MO_FC12_TV01</t>
        </is>
      </c>
      <c r="K2946" s="640" t="n">
        <v>1</v>
      </c>
      <c r="L2946" s="640" t="n">
        <v>1</v>
      </c>
      <c r="M2946" s="623" t="inlineStr">
        <is>
          <t>ФОТО</t>
        </is>
      </c>
      <c r="N2946" s="640" t="n"/>
      <c r="O2946" s="640">
        <f>IF(AND(N2946=1,L2946=1),K2946,"")</f>
        <v/>
      </c>
      <c r="P2946" s="642" t="inlineStr">
        <is>
          <t>Московская область, Новорижского шоссе, 18 км, КП Резиденции Бенилюкс</t>
        </is>
      </c>
      <c r="Q2946" s="640" t="inlineStr">
        <is>
          <t>55.773931</t>
        </is>
      </c>
      <c r="R2946" s="494" t="inlineStr">
        <is>
          <t>37.037063</t>
        </is>
      </c>
      <c r="S2946" s="387">
        <f>'Цены|Скидки'!$E$18</f>
        <v/>
      </c>
      <c r="T2946" s="387">
        <f>IF(N2946=1,S2946*O2946,0)</f>
        <v/>
      </c>
      <c r="Z2946" s="1" t="n"/>
    </row>
    <row r="2947" hidden="1" ht="16.05" customHeight="1">
      <c r="A2947" s="125" t="n">
        <v>3576</v>
      </c>
      <c r="B2947" s="265" t="n"/>
      <c r="C2947" s="130" t="inlineStr">
        <is>
          <t>Москва</t>
        </is>
      </c>
      <c r="D2947" s="130" t="inlineStr">
        <is>
          <t>Московская область</t>
        </is>
      </c>
      <c r="E2947" s="130" t="inlineStr">
        <is>
          <t>PREMIUM</t>
        </is>
      </c>
      <c r="F2947" s="130" t="inlineStr">
        <is>
          <t>Фитнес</t>
        </is>
      </c>
      <c r="G2947" s="130" t="inlineStr">
        <is>
          <t>Ideal Fitness</t>
        </is>
      </c>
      <c r="H2947" s="131" t="n">
        <v>6000</v>
      </c>
      <c r="I2947" s="637" t="inlineStr">
        <is>
          <t>Ideal Fitness Новое Лапино</t>
        </is>
      </c>
      <c r="J2947" s="637" t="inlineStr">
        <is>
          <t>MO_FC17_TV01</t>
        </is>
      </c>
      <c r="K2947" s="640" t="n">
        <v>2</v>
      </c>
      <c r="L2947" s="640" t="n">
        <v>1</v>
      </c>
      <c r="M2947" s="623" t="inlineStr">
        <is>
          <t>ФОТО</t>
        </is>
      </c>
      <c r="N2947" s="640" t="n"/>
      <c r="O2947" s="640">
        <f>IF(AND(N2947=1,L2947=1),K2947,"")</f>
        <v/>
      </c>
      <c r="P2947" s="642" t="inlineStr">
        <is>
          <t>Московская область, пос. Новое Лапино, 1-е Успенское ш., д. 33</t>
        </is>
      </c>
      <c r="Q2947" s="640" t="inlineStr">
        <is>
          <t>55.682413</t>
        </is>
      </c>
      <c r="R2947" s="494" t="inlineStr">
        <is>
          <t>37.136858</t>
        </is>
      </c>
      <c r="S2947" s="387">
        <f>'Цены|Скидки'!$G$18</f>
        <v/>
      </c>
      <c r="T2947" s="387">
        <f>IF(N2947=1,S2947*O2947,0)</f>
        <v/>
      </c>
      <c r="Z2947" s="1" t="n"/>
    </row>
    <row r="2948" hidden="1" ht="16.05" customHeight="1">
      <c r="A2948" s="125" t="n">
        <v>3573</v>
      </c>
      <c r="B2948" s="265" t="n"/>
      <c r="C2948" s="130" t="inlineStr">
        <is>
          <t>Москва</t>
        </is>
      </c>
      <c r="D2948" s="130" t="inlineStr">
        <is>
          <t>Москва</t>
        </is>
      </c>
      <c r="E2948" s="130" t="inlineStr">
        <is>
          <t>UPPER PREMIUM</t>
        </is>
      </c>
      <c r="F2948" s="130" t="inlineStr">
        <is>
          <t>Фитнес</t>
        </is>
      </c>
      <c r="G2948" s="130" t="inlineStr">
        <is>
          <t>MOSFITNESS</t>
        </is>
      </c>
      <c r="H2948" s="131" t="n">
        <v>9000</v>
      </c>
      <c r="I2948" s="637" t="inlineStr">
        <is>
          <t>MOSFITNESS</t>
        </is>
      </c>
      <c r="J2948" s="402" t="inlineStr">
        <is>
          <t>MSC_FC48_TV01</t>
        </is>
      </c>
      <c r="K2948" s="640" t="n">
        <v>1</v>
      </c>
      <c r="L2948" s="640" t="n">
        <v>0</v>
      </c>
      <c r="M2948" s="640" t="inlineStr">
        <is>
          <t>ФОТО</t>
        </is>
      </c>
      <c r="N2948" s="640" t="n"/>
      <c r="O2948" s="640">
        <f>IF(AND(N2948=1,L2948=1),K2948,"")</f>
        <v/>
      </c>
      <c r="P2948" s="642" t="inlineStr">
        <is>
          <t>Никольская, 10БЦ Nikolskaya Plaza</t>
        </is>
      </c>
      <c r="Q2948" s="640" t="n">
        <v>55.758064</v>
      </c>
      <c r="R2948" s="422" t="n">
        <v>37.624428</v>
      </c>
      <c r="S2948" s="387" t="n">
        <v>802.5</v>
      </c>
      <c r="T2948" s="387">
        <f>IF(N2948=1,S2948*O2948,0)</f>
        <v/>
      </c>
      <c r="X2948" s="1" t="n"/>
      <c r="Y2948" s="1" t="n"/>
      <c r="Z2948" s="1" t="n"/>
    </row>
    <row r="2949" hidden="1" ht="16.05" customHeight="1">
      <c r="A2949" s="125" t="n">
        <v>3574</v>
      </c>
      <c r="B2949" s="265" t="n"/>
      <c r="C2949" s="130" t="inlineStr">
        <is>
          <t>Москва</t>
        </is>
      </c>
      <c r="D2949" s="130" t="inlineStr">
        <is>
          <t>Московская обл.</t>
        </is>
      </c>
      <c r="E2949" s="130" t="inlineStr">
        <is>
          <t>PREMIUM</t>
        </is>
      </c>
      <c r="F2949" s="130" t="inlineStr">
        <is>
          <t>Фитнес</t>
        </is>
      </c>
      <c r="G2949" s="130" t="inlineStr">
        <is>
          <t>N-ERGO</t>
        </is>
      </c>
      <c r="H2949" s="131" t="n">
        <v>9000</v>
      </c>
      <c r="I2949" s="637" t="inlineStr">
        <is>
          <t>N-ERGO Красногорск</t>
        </is>
      </c>
      <c r="J2949" s="402" t="inlineStr">
        <is>
          <t>MO_FC18_TV01</t>
        </is>
      </c>
      <c r="K2949" s="640" t="n">
        <v>1</v>
      </c>
      <c r="L2949" s="640" t="n">
        <v>0</v>
      </c>
      <c r="M2949" s="640" t="inlineStr">
        <is>
          <t>ФОТО</t>
        </is>
      </c>
      <c r="N2949" s="640" t="n"/>
      <c r="O2949" s="640">
        <f>IF(AND(N2949=1,L2949=1),K2949,"")</f>
        <v/>
      </c>
      <c r="P2949" s="642" t="inlineStr">
        <is>
          <t>Красногорский район, микрорайон Новая Опалиха, 16</t>
        </is>
      </c>
      <c r="Q2949" s="640" t="n">
        <v>55.834251</v>
      </c>
      <c r="R2949" s="422" t="n">
        <v>37.262937</v>
      </c>
      <c r="S2949" s="387" t="n">
        <v>402</v>
      </c>
      <c r="T2949" s="387">
        <f>IF(N2949=1,S2949*O2949,0)</f>
        <v/>
      </c>
      <c r="X2949" s="1" t="n"/>
      <c r="Y2949" s="1" t="n"/>
      <c r="Z2949" s="1" t="n"/>
    </row>
    <row r="2950" hidden="1" ht="16.05" customHeight="1">
      <c r="A2950" s="125" t="n">
        <v>3575</v>
      </c>
      <c r="B2950" s="265" t="n"/>
      <c r="C2950" s="130" t="inlineStr">
        <is>
          <t>Москва</t>
        </is>
      </c>
      <c r="D2950" s="130" t="inlineStr">
        <is>
          <t>Москва</t>
        </is>
      </c>
      <c r="E2950" s="130" t="inlineStr">
        <is>
          <t>PREMIUM</t>
        </is>
      </c>
      <c r="F2950" s="130" t="inlineStr">
        <is>
          <t>Фитнес</t>
        </is>
      </c>
      <c r="G2950" s="130" t="inlineStr">
        <is>
          <t>N-ERGO</t>
        </is>
      </c>
      <c r="H2950" s="131" t="n">
        <v>9000</v>
      </c>
      <c r="I2950" s="637" t="inlineStr">
        <is>
          <t>N-ERGO Можайское ш.</t>
        </is>
      </c>
      <c r="J2950" s="402" t="inlineStr">
        <is>
          <t>MSC_FC54_TV01</t>
        </is>
      </c>
      <c r="K2950" s="640" t="n">
        <v>1</v>
      </c>
      <c r="L2950" s="640" t="n">
        <v>0</v>
      </c>
      <c r="M2950" s="640" t="inlineStr">
        <is>
          <t>ФОТО</t>
        </is>
      </c>
      <c r="N2950" s="640" t="n"/>
      <c r="O2950" s="640">
        <f>IF(AND(N2950=1,L2950=1),K2950,"")</f>
        <v/>
      </c>
      <c r="P2950" s="642" t="inlineStr">
        <is>
          <t>Можайское ш. дом 2 (жилой комплекс «Кунцево»)</t>
        </is>
      </c>
      <c r="Q2950" s="640" t="n">
        <v>55.725759</v>
      </c>
      <c r="R2950" s="422" t="n">
        <v>37.446293</v>
      </c>
      <c r="S2950" s="387" t="n">
        <v>402</v>
      </c>
      <c r="T2950" s="387">
        <f>IF(N2950=1,S2950*O2950,0)</f>
        <v/>
      </c>
      <c r="X2950" s="1" t="n"/>
      <c r="Y2950" s="1" t="n"/>
      <c r="Z2950" s="1" t="n"/>
    </row>
    <row r="2951" hidden="1" ht="16.05" customHeight="1">
      <c r="A2951" s="125" t="n">
        <v>3578</v>
      </c>
      <c r="B2951" s="265" t="n"/>
      <c r="C2951" s="130" t="inlineStr">
        <is>
          <t>Москва</t>
        </is>
      </c>
      <c r="D2951" s="130" t="inlineStr">
        <is>
          <t>Москва</t>
        </is>
      </c>
      <c r="E2951" s="130" t="inlineStr">
        <is>
          <t>PREMIUM</t>
        </is>
      </c>
      <c r="F2951" s="130" t="inlineStr">
        <is>
          <t>Фитнес</t>
        </is>
      </c>
      <c r="G2951" s="130" t="inlineStr">
        <is>
          <t>Ideal Fitness</t>
        </is>
      </c>
      <c r="H2951" s="131" t="n">
        <v>6000</v>
      </c>
      <c r="I2951" s="637" t="inlineStr">
        <is>
          <t>Ideal Fitness Павелецкая</t>
        </is>
      </c>
      <c r="J2951" s="637" t="inlineStr">
        <is>
          <t>MSC_FC51_TV01</t>
        </is>
      </c>
      <c r="K2951" s="640" t="n">
        <v>2</v>
      </c>
      <c r="L2951" s="640" t="n">
        <v>1</v>
      </c>
      <c r="M2951" s="623" t="inlineStr">
        <is>
          <t>ФОТО</t>
        </is>
      </c>
      <c r="N2951" s="640" t="n"/>
      <c r="O2951" s="640">
        <f>IF(AND(N2951=1,L2951=1),K2951,"")</f>
        <v/>
      </c>
      <c r="P2951" s="642" t="inlineStr">
        <is>
          <t>Москва, Летниковская ул., д. 10 стр. 5</t>
        </is>
      </c>
      <c r="Q2951" s="640" t="inlineStr">
        <is>
          <t>55.724206</t>
        </is>
      </c>
      <c r="R2951" s="494" t="inlineStr">
        <is>
          <t>37.642777</t>
        </is>
      </c>
      <c r="S2951" s="387">
        <f>'Цены|Скидки'!$F$18</f>
        <v/>
      </c>
      <c r="T2951" s="387">
        <f>IF(N2951=1,S2951*O2951,0)</f>
        <v/>
      </c>
      <c r="Z2951" s="1" t="n"/>
    </row>
    <row r="2952" hidden="1" ht="16.05" customHeight="1">
      <c r="A2952" s="125" t="n">
        <v>3580</v>
      </c>
      <c r="B2952" s="265" t="n"/>
      <c r="C2952" s="130" t="inlineStr">
        <is>
          <t>Москва</t>
        </is>
      </c>
      <c r="D2952" s="130" t="inlineStr">
        <is>
          <t>Москва</t>
        </is>
      </c>
      <c r="E2952" s="130" t="inlineStr">
        <is>
          <t>PREMIUM</t>
        </is>
      </c>
      <c r="F2952" s="130" t="inlineStr">
        <is>
          <t>Фитнес</t>
        </is>
      </c>
      <c r="G2952" s="130" t="inlineStr">
        <is>
          <t>Ideal Fitness</t>
        </is>
      </c>
      <c r="H2952" s="131" t="n">
        <v>7500</v>
      </c>
      <c r="I2952" s="637" t="inlineStr">
        <is>
          <t>Ideal Fitness Сокольники</t>
        </is>
      </c>
      <c r="J2952" s="637" t="inlineStr">
        <is>
          <t>MSC_FC50_TV01</t>
        </is>
      </c>
      <c r="K2952" s="640" t="n">
        <v>2</v>
      </c>
      <c r="L2952" s="640" t="n">
        <v>1</v>
      </c>
      <c r="M2952" s="623" t="inlineStr">
        <is>
          <t>ФОТО</t>
        </is>
      </c>
      <c r="N2952" s="640" t="n"/>
      <c r="O2952" s="640">
        <f>IF(AND(N2952=1,L2952=1),K2952,"")</f>
        <v/>
      </c>
      <c r="P2952" s="642" t="inlineStr">
        <is>
          <t>Москва, Русаковская, 24 (Holiday Inn Сокольники)</t>
        </is>
      </c>
      <c r="Q2952" s="640" t="inlineStr">
        <is>
          <t>55.787282</t>
        </is>
      </c>
      <c r="R2952" s="494" t="inlineStr">
        <is>
          <t>37.681138</t>
        </is>
      </c>
      <c r="S2952" s="387">
        <f>'Цены|Скидки'!$G$18</f>
        <v/>
      </c>
      <c r="T2952" s="387">
        <f>IF(N2952=1,S2952*O2952,0)</f>
        <v/>
      </c>
      <c r="Z2952" s="1" t="n"/>
    </row>
    <row r="2953" hidden="1" ht="16.05" customHeight="1">
      <c r="A2953" s="125" t="n">
        <v>3587</v>
      </c>
      <c r="B2953" s="265" t="n"/>
      <c r="C2953" s="130" t="inlineStr">
        <is>
          <t>Москва</t>
        </is>
      </c>
      <c r="D2953" s="130" t="inlineStr">
        <is>
          <t>Москва</t>
        </is>
      </c>
      <c r="E2953" s="130" t="inlineStr">
        <is>
          <t>UPPER PREMIUM</t>
        </is>
      </c>
      <c r="F2953" s="130" t="inlineStr">
        <is>
          <t>Фитнес</t>
        </is>
      </c>
      <c r="G2953" s="130" t="inlineStr">
        <is>
          <t>World Class</t>
        </is>
      </c>
      <c r="H2953" s="131" t="n">
        <v>13000</v>
      </c>
      <c r="I2953" s="637" t="inlineStr">
        <is>
          <t>World Class Red Side</t>
        </is>
      </c>
      <c r="J2953" s="637" t="inlineStr">
        <is>
          <t>MSC_WC35_TV01</t>
        </is>
      </c>
      <c r="K2953" s="640" t="n">
        <v>2</v>
      </c>
      <c r="L2953" s="640" t="n">
        <v>1</v>
      </c>
      <c r="M2953" s="623" t="inlineStr">
        <is>
          <t>ФОТО</t>
        </is>
      </c>
      <c r="N2953" s="640" t="n"/>
      <c r="O2953" s="640">
        <f>IF(AND(N2953=1,L2953=1),K2953,"")</f>
        <v/>
      </c>
      <c r="P2953" s="642" t="inlineStr">
        <is>
          <t>Москва, ул. Сергея Макеева, 9, стр. 5</t>
        </is>
      </c>
      <c r="Q2953" s="640" t="inlineStr">
        <is>
          <t>55.762173</t>
        </is>
      </c>
      <c r="R2953" s="494" t="inlineStr">
        <is>
          <t>37.551116</t>
        </is>
      </c>
      <c r="S2953" s="387">
        <f>'Цены|Скидки'!$E$18</f>
        <v/>
      </c>
      <c r="T2953" s="387">
        <f>IF(N2953=1,S2953*O2953,0)</f>
        <v/>
      </c>
      <c r="Z2953" s="1" t="n"/>
    </row>
    <row r="2954" hidden="1" ht="16.05" customHeight="1">
      <c r="A2954" s="125" t="n">
        <v>3582</v>
      </c>
      <c r="B2954" s="265" t="n"/>
      <c r="C2954" s="130" t="inlineStr">
        <is>
          <t>Москва</t>
        </is>
      </c>
      <c r="D2954" s="130" t="inlineStr">
        <is>
          <t>Москва</t>
        </is>
      </c>
      <c r="E2954" s="130" t="inlineStr">
        <is>
          <t>PREMIUM</t>
        </is>
      </c>
      <c r="F2954" s="130" t="inlineStr">
        <is>
          <t>Фитнес</t>
        </is>
      </c>
      <c r="G2954" s="130" t="inlineStr">
        <is>
          <t>Republíka</t>
        </is>
      </c>
      <c r="H2954" s="131" t="n">
        <v>18000</v>
      </c>
      <c r="I2954" s="637" t="inlineStr">
        <is>
          <t>Republíka Валовая</t>
        </is>
      </c>
      <c r="J2954" s="402" t="inlineStr">
        <is>
          <t>MSC_FC46_TV01</t>
        </is>
      </c>
      <c r="K2954" s="640" t="n">
        <v>1</v>
      </c>
      <c r="L2954" s="640" t="n">
        <v>0</v>
      </c>
      <c r="M2954" s="640" t="inlineStr">
        <is>
          <t>ФОТО</t>
        </is>
      </c>
      <c r="N2954" s="640" t="n"/>
      <c r="O2954" s="640">
        <f>IF(AND(N2954=1,L2954=1),K2954,"")</f>
        <v/>
      </c>
      <c r="P2954" s="642" t="inlineStr">
        <is>
          <t>Валовая ул., д.26, БЦ «Lighthouse»</t>
        </is>
      </c>
      <c r="Q2954" s="640" t="n">
        <v>55.730755</v>
      </c>
      <c r="R2954" s="422" t="n">
        <v>37.628279</v>
      </c>
      <c r="S2954" s="387" t="n">
        <v>402</v>
      </c>
      <c r="T2954" s="387">
        <f>IF(N2954=1,S2954*O2954,0)</f>
        <v/>
      </c>
      <c r="X2954" s="1" t="n"/>
      <c r="Y2954" s="1" t="n"/>
      <c r="Z2954" s="1" t="n"/>
    </row>
    <row r="2955" hidden="1" ht="16.05" customHeight="1">
      <c r="A2955" s="125" t="n">
        <v>3584</v>
      </c>
      <c r="B2955" s="265" t="n"/>
      <c r="C2955" s="130" t="inlineStr">
        <is>
          <t>Москва</t>
        </is>
      </c>
      <c r="D2955" s="130" t="inlineStr">
        <is>
          <t>Московская обл.</t>
        </is>
      </c>
      <c r="E2955" s="130" t="inlineStr">
        <is>
          <t>UPPER PREMIUM</t>
        </is>
      </c>
      <c r="F2955" s="130" t="inlineStr">
        <is>
          <t>Фитнес</t>
        </is>
      </c>
      <c r="G2955" s="130" t="inlineStr">
        <is>
          <t>Republíka</t>
        </is>
      </c>
      <c r="H2955" s="131" t="n">
        <v>13500</v>
      </c>
      <c r="I2955" s="637" t="inlineStr">
        <is>
          <t>Republíka Новогорск</t>
        </is>
      </c>
      <c r="J2955" s="402" t="inlineStr">
        <is>
          <t>MSC_FC49_TV01</t>
        </is>
      </c>
      <c r="K2955" s="640" t="n">
        <v>2</v>
      </c>
      <c r="L2955" s="640" t="n">
        <v>0</v>
      </c>
      <c r="M2955" s="640" t="inlineStr">
        <is>
          <t>ФОТО</t>
        </is>
      </c>
      <c r="N2955" s="640" t="n"/>
      <c r="O2955" s="640">
        <f>IF(AND(N2955=1,L2955=1),K2955,"")</f>
        <v/>
      </c>
      <c r="P2955" s="642" t="inlineStr">
        <is>
          <t>Химки, мкр. Новогорск, Олимпийская ул. 28</t>
        </is>
      </c>
      <c r="Q2955" s="640" t="n">
        <v>55.903115</v>
      </c>
      <c r="R2955" s="422" t="n">
        <v>37.359724</v>
      </c>
      <c r="S2955" s="387" t="n">
        <v>802.5</v>
      </c>
      <c r="T2955" s="387">
        <f>IF(N2955=1,S2955*O2955,0)</f>
        <v/>
      </c>
      <c r="X2955" s="1" t="n"/>
      <c r="Y2955" s="1" t="n"/>
      <c r="Z2955" s="1" t="n"/>
    </row>
    <row r="2956" hidden="1" ht="16.05" customHeight="1">
      <c r="A2956" s="125" t="n">
        <v>3589</v>
      </c>
      <c r="B2956" s="265" t="n"/>
      <c r="C2956" s="130" t="inlineStr">
        <is>
          <t>Санкт-Петербург</t>
        </is>
      </c>
      <c r="D2956" s="130" t="inlineStr">
        <is>
          <t>Санкт-Петербург</t>
        </is>
      </c>
      <c r="E2956" s="130" t="inlineStr">
        <is>
          <t>PREMIUM</t>
        </is>
      </c>
      <c r="F2956" s="130" t="inlineStr">
        <is>
          <t>Фитнес</t>
        </is>
      </c>
      <c r="G2956" s="130" t="inlineStr">
        <is>
          <t>World Class</t>
        </is>
      </c>
      <c r="H2956" s="131" t="n">
        <v>32330</v>
      </c>
      <c r="I2956" s="637" t="inlineStr">
        <is>
          <t>World Class Атлантик</t>
        </is>
      </c>
      <c r="J2956" s="637" t="inlineStr">
        <is>
          <t>SPB_WC01_TV01</t>
        </is>
      </c>
      <c r="K2956" s="640" t="n">
        <v>1</v>
      </c>
      <c r="L2956" s="640" t="n">
        <v>0</v>
      </c>
      <c r="M2956" s="640" t="inlineStr">
        <is>
          <t>ФОТО</t>
        </is>
      </c>
      <c r="N2956" s="640" t="n"/>
      <c r="O2956" s="640">
        <f>IF(AND(N2956=1,L2956=1),K2956,"")</f>
        <v/>
      </c>
      <c r="P2956" s="642" t="inlineStr">
        <is>
          <t>Савушкина ул., д. 126, лит. А</t>
        </is>
      </c>
      <c r="Q2956" s="640" t="inlineStr">
        <is>
          <t>59.987222</t>
        </is>
      </c>
      <c r="R2956" s="494" t="inlineStr">
        <is>
          <t>30.204256</t>
        </is>
      </c>
      <c r="S2956" s="387">
        <f>'Цены|Скидки'!$F$18</f>
        <v/>
      </c>
      <c r="T2956" s="387">
        <f>IF(N2956=1,S2956*O2956,0)</f>
        <v/>
      </c>
      <c r="Z2956" s="1" t="n"/>
    </row>
    <row r="2957" hidden="1" ht="16.05" customHeight="1">
      <c r="A2957" s="125" t="n">
        <v>3594</v>
      </c>
      <c r="B2957" s="265" t="n"/>
      <c r="C2957" s="130" t="inlineStr">
        <is>
          <t>Москва</t>
        </is>
      </c>
      <c r="D2957" s="130" t="inlineStr">
        <is>
          <t>Москва</t>
        </is>
      </c>
      <c r="E2957" s="130" t="inlineStr">
        <is>
          <t>BUSINESS</t>
        </is>
      </c>
      <c r="F2957" s="130" t="inlineStr">
        <is>
          <t>Фитнес</t>
        </is>
      </c>
      <c r="G2957" s="130" t="inlineStr">
        <is>
          <t>World Class</t>
        </is>
      </c>
      <c r="H2957" s="131" t="n">
        <v>21000</v>
      </c>
      <c r="I2957" s="637" t="inlineStr">
        <is>
          <t>World Class Воробьевы горы</t>
        </is>
      </c>
      <c r="J2957" s="637" t="inlineStr">
        <is>
          <t>MSC_WCLT24_TV01</t>
        </is>
      </c>
      <c r="K2957" s="640" t="n">
        <v>2</v>
      </c>
      <c r="L2957" s="640" t="n">
        <v>0</v>
      </c>
      <c r="M2957" s="640" t="inlineStr">
        <is>
          <t>ФОТО</t>
        </is>
      </c>
      <c r="N2957" s="640" t="n"/>
      <c r="O2957" s="640">
        <f>IF(AND(N2957=1,L2957=1),K2957,"")</f>
        <v/>
      </c>
      <c r="P2957" s="642" t="inlineStr">
        <is>
          <t>Мосфильмовская ул., д. 70</t>
        </is>
      </c>
      <c r="Q2957" s="640" t="inlineStr">
        <is>
          <t>55.714896</t>
        </is>
      </c>
      <c r="R2957" s="422" t="inlineStr">
        <is>
          <t>37.504674</t>
        </is>
      </c>
      <c r="S2957" s="387" t="n">
        <v>402</v>
      </c>
      <c r="T2957" s="387">
        <f>IF(N2957=1,S2957*O2957,0)</f>
        <v/>
      </c>
      <c r="X2957" s="1" t="n"/>
      <c r="Y2957" s="1" t="n"/>
      <c r="Z2957" s="1" t="n"/>
    </row>
    <row r="2958" hidden="1" ht="16.05" customHeight="1">
      <c r="A2958" s="125" t="n">
        <v>3591</v>
      </c>
      <c r="B2958" s="265" t="n"/>
      <c r="C2958" s="130" t="inlineStr">
        <is>
          <t>Москва</t>
        </is>
      </c>
      <c r="D2958" s="130" t="inlineStr">
        <is>
          <t>Москва</t>
        </is>
      </c>
      <c r="E2958" s="130" t="inlineStr">
        <is>
          <t>BUSINESS</t>
        </is>
      </c>
      <c r="F2958" s="130" t="inlineStr">
        <is>
          <t>Фитнес</t>
        </is>
      </c>
      <c r="G2958" s="130" t="inlineStr">
        <is>
          <t>World Class</t>
        </is>
      </c>
      <c r="H2958" s="131" t="n">
        <v>33000</v>
      </c>
      <c r="I2958" s="637" t="inlineStr">
        <is>
          <t>World Class Варшавка</t>
        </is>
      </c>
      <c r="J2958" s="637" t="inlineStr">
        <is>
          <t>MSC_WCLT23_TV01</t>
        </is>
      </c>
      <c r="K2958" s="640" t="n">
        <v>2</v>
      </c>
      <c r="L2958" s="640" t="n">
        <v>1</v>
      </c>
      <c r="M2958" s="623" t="inlineStr">
        <is>
          <t>ФОТО</t>
        </is>
      </c>
      <c r="N2958" s="640" t="n"/>
      <c r="O2958" s="640">
        <f>IF(AND(N2958=1,L2958=1),K2958,"")</f>
        <v/>
      </c>
      <c r="P2958" s="642" t="inlineStr">
        <is>
          <t>Москва, Варшавское ш., д. 122А</t>
        </is>
      </c>
      <c r="Q2958" s="640" t="inlineStr">
        <is>
          <t>55.629541</t>
        </is>
      </c>
      <c r="R2958" s="494" t="inlineStr">
        <is>
          <t>37.616634</t>
        </is>
      </c>
      <c r="S2958" s="387">
        <f>'Цены|Скидки'!$H$18</f>
        <v/>
      </c>
      <c r="T2958" s="387">
        <f>IF(N2958=1,S2958*O2958,0)</f>
        <v/>
      </c>
      <c r="Z2958" s="1" t="n"/>
    </row>
    <row r="2959" hidden="1" ht="16.05" customHeight="1">
      <c r="A2959" s="125" t="n">
        <v>3592</v>
      </c>
      <c r="B2959" s="265" t="n"/>
      <c r="C2959" s="130" t="inlineStr">
        <is>
          <t>Москва</t>
        </is>
      </c>
      <c r="D2959" s="130" t="inlineStr">
        <is>
          <t>Москва</t>
        </is>
      </c>
      <c r="E2959" s="130" t="inlineStr">
        <is>
          <t>UPPER PREMIUM</t>
        </is>
      </c>
      <c r="F2959" s="130" t="inlineStr">
        <is>
          <t>Фитнес</t>
        </is>
      </c>
      <c r="G2959" s="130" t="inlineStr">
        <is>
          <t>World Class</t>
        </is>
      </c>
      <c r="H2959" s="131" t="n">
        <v>13500</v>
      </c>
      <c r="I2959" s="637" t="inlineStr">
        <is>
          <t>World Class Власова</t>
        </is>
      </c>
      <c r="J2959" s="637" t="inlineStr">
        <is>
          <t>MSC_WC04_TV01</t>
        </is>
      </c>
      <c r="K2959" s="640" t="n">
        <v>1</v>
      </c>
      <c r="L2959" s="640" t="n">
        <v>1</v>
      </c>
      <c r="M2959" s="623" t="inlineStr">
        <is>
          <t>ФОТО</t>
        </is>
      </c>
      <c r="N2959" s="640" t="n"/>
      <c r="O2959" s="640">
        <f>IF(AND(N2959=1,L2959=1),K2959,"")</f>
        <v/>
      </c>
      <c r="P2959" s="642" t="inlineStr">
        <is>
          <t>Москва, Архитектора Власова ул., д. 22</t>
        </is>
      </c>
      <c r="Q2959" s="640" t="inlineStr">
        <is>
          <t>55.669999</t>
        </is>
      </c>
      <c r="R2959" s="494" t="inlineStr">
        <is>
          <t>37.542589</t>
        </is>
      </c>
      <c r="S2959" s="387">
        <f>'Цены|Скидки'!$E$18</f>
        <v/>
      </c>
      <c r="T2959" s="387">
        <f>IF(N2959=1,S2959*O2959,0)</f>
        <v/>
      </c>
      <c r="Z2959" s="1" t="n"/>
    </row>
    <row r="2960" hidden="1" ht="16.05" customHeight="1">
      <c r="A2960" s="125" t="n">
        <v>3596</v>
      </c>
      <c r="B2960" s="265" t="n"/>
      <c r="C2960" s="130" t="inlineStr">
        <is>
          <t>Москва</t>
        </is>
      </c>
      <c r="D2960" s="130" t="inlineStr">
        <is>
          <t>Москва</t>
        </is>
      </c>
      <c r="E2960" s="130" t="inlineStr">
        <is>
          <t>UPPER PREMIUM</t>
        </is>
      </c>
      <c r="F2960" s="130" t="inlineStr">
        <is>
          <t>Фитнес</t>
        </is>
      </c>
      <c r="G2960" s="130" t="inlineStr">
        <is>
          <t>World Class</t>
        </is>
      </c>
      <c r="H2960" s="131" t="n">
        <v>18000</v>
      </c>
      <c r="I2960" s="637" t="inlineStr">
        <is>
          <t>World Class Город Столиц</t>
        </is>
      </c>
      <c r="J2960" s="637" t="inlineStr">
        <is>
          <t>MSC_WC05_TV01</t>
        </is>
      </c>
      <c r="K2960" s="640" t="n">
        <v>2</v>
      </c>
      <c r="L2960" s="640" t="n">
        <v>1</v>
      </c>
      <c r="M2960" s="623" t="inlineStr">
        <is>
          <t>ФОТО</t>
        </is>
      </c>
      <c r="N2960" s="640" t="n"/>
      <c r="O2960" s="640">
        <f>IF(AND(N2960=1,L2960=1),K2960,"")</f>
        <v/>
      </c>
      <c r="P2960" s="642" t="inlineStr">
        <is>
          <t>Москва, Пресненская наб., д. 8, стр. 1</t>
        </is>
      </c>
      <c r="Q2960" s="640" t="inlineStr">
        <is>
          <t>55.746796</t>
        </is>
      </c>
      <c r="R2960" s="494" t="inlineStr">
        <is>
          <t>37.539271</t>
        </is>
      </c>
      <c r="S2960" s="387">
        <f>'Цены|Скидки'!$E$18</f>
        <v/>
      </c>
      <c r="T2960" s="387">
        <f>IF(N2960=1,S2960*O2960,0)</f>
        <v/>
      </c>
      <c r="Z2960" s="1" t="n"/>
    </row>
    <row r="2961" hidden="1" ht="16.05" customHeight="1">
      <c r="A2961" s="125" t="n">
        <v>3597</v>
      </c>
      <c r="B2961" s="265" t="n"/>
      <c r="C2961" s="130" t="inlineStr">
        <is>
          <t>Москва</t>
        </is>
      </c>
      <c r="D2961" s="130" t="inlineStr">
        <is>
          <t>Москва</t>
        </is>
      </c>
      <c r="E2961" s="130" t="inlineStr">
        <is>
          <t>UPPER PREMIUM</t>
        </is>
      </c>
      <c r="F2961" s="130" t="inlineStr">
        <is>
          <t>Фитнес</t>
        </is>
      </c>
      <c r="G2961" s="130" t="inlineStr">
        <is>
          <t>World Class</t>
        </is>
      </c>
      <c r="H2961" s="131" t="n">
        <v>13500</v>
      </c>
      <c r="I2961" s="637" t="inlineStr">
        <is>
          <t>World Class Житная</t>
        </is>
      </c>
      <c r="J2961" s="637" t="inlineStr">
        <is>
          <t>MSC_WC06_TV01</t>
        </is>
      </c>
      <c r="K2961" s="640" t="n">
        <v>2</v>
      </c>
      <c r="L2961" s="640" t="n">
        <v>1</v>
      </c>
      <c r="M2961" s="623" t="inlineStr">
        <is>
          <t>ФОТО</t>
        </is>
      </c>
      <c r="N2961" s="640" t="n"/>
      <c r="O2961" s="640">
        <f>IF(AND(N2961=1,L2961=1),K2961,"")</f>
        <v/>
      </c>
      <c r="P2961" s="642" t="inlineStr">
        <is>
          <t>Москва, Житная ул., д. 14, стр. 2</t>
        </is>
      </c>
      <c r="Q2961" s="640" t="inlineStr">
        <is>
          <t>55.731587</t>
        </is>
      </c>
      <c r="R2961" s="494" t="inlineStr">
        <is>
          <t>37.61591</t>
        </is>
      </c>
      <c r="S2961" s="387">
        <f>'Цены|Скидки'!$E$18</f>
        <v/>
      </c>
      <c r="T2961" s="387">
        <f>IF(N2961=1,S2961*O2961,0)</f>
        <v/>
      </c>
      <c r="Z2961" s="1" t="n"/>
    </row>
    <row r="2962" hidden="1" ht="16.05" customHeight="1">
      <c r="A2962" s="125" t="n">
        <v>3599</v>
      </c>
      <c r="B2962" s="265" t="n"/>
      <c r="C2962" s="130" t="inlineStr">
        <is>
          <t>Москва</t>
        </is>
      </c>
      <c r="D2962" s="130" t="inlineStr">
        <is>
          <t>Московская область</t>
        </is>
      </c>
      <c r="E2962" s="130" t="inlineStr">
        <is>
          <t>UPPER PREMIUM</t>
        </is>
      </c>
      <c r="F2962" s="130" t="inlineStr">
        <is>
          <t>Фитнес</t>
        </is>
      </c>
      <c r="G2962" s="130" t="inlineStr">
        <is>
          <t>World Class</t>
        </is>
      </c>
      <c r="H2962" s="131" t="n">
        <v>15000</v>
      </c>
      <c r="I2962" s="637" t="inlineStr">
        <is>
          <t>World Class Жуковский</t>
        </is>
      </c>
      <c r="J2962" s="637" t="inlineStr">
        <is>
          <t>ZIA_WC01_TV01</t>
        </is>
      </c>
      <c r="K2962" s="640" t="n">
        <v>1</v>
      </c>
      <c r="L2962" s="640" t="n">
        <v>1</v>
      </c>
      <c r="M2962" s="623" t="inlineStr">
        <is>
          <t>ФОТО</t>
        </is>
      </c>
      <c r="N2962" s="640" t="n"/>
      <c r="O2962" s="640">
        <f>IF(AND(N2962=1,L2962=1),K2962,"")</f>
        <v/>
      </c>
      <c r="P2962" s="642" t="inlineStr">
        <is>
          <t>Московская область, г. Жуковский, Туполевское шоссе, д.5</t>
        </is>
      </c>
      <c r="Q2962" s="640" t="inlineStr">
        <is>
          <t>55.587049</t>
        </is>
      </c>
      <c r="R2962" s="494" t="inlineStr">
        <is>
          <t>38.121675</t>
        </is>
      </c>
      <c r="S2962" s="387">
        <f>'Цены|Скидки'!D18</f>
        <v/>
      </c>
      <c r="T2962" s="387">
        <f>IF(N2962=1,S2962*O2962,0)</f>
        <v/>
      </c>
      <c r="Z2962" s="1" t="n"/>
    </row>
    <row r="2963" hidden="1" ht="16.05" customHeight="1">
      <c r="A2963" s="125" t="n">
        <v>3586</v>
      </c>
      <c r="B2963" s="265" t="n"/>
      <c r="C2963" s="130" t="inlineStr">
        <is>
          <t>Москва</t>
        </is>
      </c>
      <c r="D2963" s="130" t="inlineStr">
        <is>
          <t>Москва</t>
        </is>
      </c>
      <c r="E2963" s="130" t="inlineStr">
        <is>
          <t>PREMIUM</t>
        </is>
      </c>
      <c r="F2963" s="130" t="inlineStr">
        <is>
          <t>Фитнес</t>
        </is>
      </c>
      <c r="G2963" s="130" t="inlineStr">
        <is>
          <t>World Class</t>
        </is>
      </c>
      <c r="H2963" s="131" t="n">
        <v>13500</v>
      </c>
      <c r="I2963" s="637" t="inlineStr">
        <is>
          <t>World Class Lady's (женский клуб)</t>
        </is>
      </c>
      <c r="J2963" s="637" t="inlineStr">
        <is>
          <t>MSC_WC03_TV01</t>
        </is>
      </c>
      <c r="K2963" s="640" t="n">
        <v>2</v>
      </c>
      <c r="L2963" s="640" t="n">
        <v>0</v>
      </c>
      <c r="M2963" s="640" t="inlineStr">
        <is>
          <t>ФОТО</t>
        </is>
      </c>
      <c r="N2963" s="640" t="n"/>
      <c r="O2963" s="640">
        <f>IF(AND(N2963=1,L2963=1),K2963,"")</f>
        <v/>
      </c>
      <c r="P2963" s="642" t="inlineStr">
        <is>
          <t>Профсоюзная ул., д. 31, стр. 5</t>
        </is>
      </c>
      <c r="Q2963" s="640" t="inlineStr">
        <is>
          <t>55.672301</t>
        </is>
      </c>
      <c r="R2963" s="422" t="inlineStr">
        <is>
          <t>37.559523</t>
        </is>
      </c>
      <c r="S2963" s="387" t="n">
        <v>465</v>
      </c>
      <c r="T2963" s="387">
        <f>IF(N2963=1,S2963*O2963,0)</f>
        <v/>
      </c>
      <c r="X2963" s="1" t="n"/>
      <c r="Y2963" s="1" t="n"/>
      <c r="Z2963" s="1" t="n"/>
    </row>
    <row r="2964" hidden="1" ht="16.05" customHeight="1">
      <c r="A2964" s="125" t="n">
        <v>3603</v>
      </c>
      <c r="B2964" s="265" t="n"/>
      <c r="C2964" s="130" t="inlineStr">
        <is>
          <t>Москва</t>
        </is>
      </c>
      <c r="D2964" s="130" t="inlineStr">
        <is>
          <t>Москва</t>
        </is>
      </c>
      <c r="E2964" s="130" t="inlineStr">
        <is>
          <t>UPPER PREMIUM</t>
        </is>
      </c>
      <c r="F2964" s="130" t="inlineStr">
        <is>
          <t>Фитнес</t>
        </is>
      </c>
      <c r="G2964" s="130" t="inlineStr">
        <is>
          <t>World Class</t>
        </is>
      </c>
      <c r="H2964" s="131" t="n">
        <v>13500</v>
      </c>
      <c r="I2964" s="637" t="inlineStr">
        <is>
          <t>World Class Капитолий</t>
        </is>
      </c>
      <c r="J2964" s="637" t="inlineStr">
        <is>
          <t>MSC_WC08_TV01</t>
        </is>
      </c>
      <c r="K2964" s="640" t="n">
        <v>2</v>
      </c>
      <c r="L2964" s="640" t="n">
        <v>1</v>
      </c>
      <c r="M2964" s="623" t="inlineStr">
        <is>
          <t>ФОТО</t>
        </is>
      </c>
      <c r="N2964" s="640" t="n"/>
      <c r="O2964" s="640">
        <f>IF(AND(N2964=1,L2964=1),K2964,"")</f>
        <v/>
      </c>
      <c r="P2964" s="642" t="inlineStr">
        <is>
          <t>Москва, Вернадского пр-т, д. 6</t>
        </is>
      </c>
      <c r="Q2964" s="640" t="inlineStr">
        <is>
          <t>55.692064</t>
        </is>
      </c>
      <c r="R2964" s="494" t="inlineStr">
        <is>
          <t>37.527865</t>
        </is>
      </c>
      <c r="S2964" s="387">
        <f>'Цены|Скидки'!$E$18</f>
        <v/>
      </c>
      <c r="T2964" s="387">
        <f>IF(N2964=1,S2964*O2964,0)</f>
        <v/>
      </c>
      <c r="Z2964" s="1" t="n"/>
    </row>
    <row r="2965" hidden="1" ht="16.05" customHeight="1">
      <c r="A2965" s="125" t="n">
        <v>3601</v>
      </c>
      <c r="B2965" s="265" t="n"/>
      <c r="C2965" s="130" t="inlineStr">
        <is>
          <t>Москва</t>
        </is>
      </c>
      <c r="D2965" s="130" t="inlineStr">
        <is>
          <t>Москва</t>
        </is>
      </c>
      <c r="E2965" s="130" t="inlineStr">
        <is>
          <t>UPPER PREMIUM</t>
        </is>
      </c>
      <c r="F2965" s="130" t="inlineStr">
        <is>
          <t>Фитнес</t>
        </is>
      </c>
      <c r="G2965" s="130" t="inlineStr">
        <is>
          <t>World Class</t>
        </is>
      </c>
      <c r="H2965" s="131" t="n">
        <v>15000</v>
      </c>
      <c r="I2965" s="637" t="inlineStr">
        <is>
          <t>World Class Земляной вал</t>
        </is>
      </c>
      <c r="J2965" s="402" t="inlineStr">
        <is>
          <t>MSC_WC07_TV01</t>
        </is>
      </c>
      <c r="K2965" s="640" t="n">
        <v>2</v>
      </c>
      <c r="L2965" s="640" t="n">
        <v>0</v>
      </c>
      <c r="M2965" s="640" t="inlineStr">
        <is>
          <t>ФОТО</t>
        </is>
      </c>
      <c r="N2965" s="640" t="n"/>
      <c r="O2965" s="640">
        <f>IF(AND(N2965=1,L2965=1),K2965,"")</f>
        <v/>
      </c>
      <c r="P2965" s="642" t="inlineStr">
        <is>
          <t>Земляной Вал ул., д. 9</t>
        </is>
      </c>
      <c r="Q2965" s="640" t="n">
        <v>55.761793</v>
      </c>
      <c r="R2965" s="422" t="n">
        <v>37.65854</v>
      </c>
      <c r="S2965" s="387" t="n">
        <v>802.5</v>
      </c>
      <c r="T2965" s="387">
        <f>IF(N2965=1,S2965*O2965,0)</f>
        <v/>
      </c>
      <c r="X2965" s="1" t="n"/>
      <c r="Y2965" s="1" t="n"/>
      <c r="Z2965" s="1" t="n"/>
    </row>
    <row r="2966" hidden="1" ht="16.05" customHeight="1">
      <c r="A2966" s="125" t="n">
        <v>3604</v>
      </c>
      <c r="B2966" s="265" t="n"/>
      <c r="C2966" s="130" t="inlineStr">
        <is>
          <t>Москва</t>
        </is>
      </c>
      <c r="D2966" s="130" t="inlineStr">
        <is>
          <t>Москва</t>
        </is>
      </c>
      <c r="E2966" s="130" t="inlineStr">
        <is>
          <t>PREMIUM</t>
        </is>
      </c>
      <c r="F2966" s="130" t="inlineStr">
        <is>
          <t>Фитнес</t>
        </is>
      </c>
      <c r="G2966" s="130" t="inlineStr">
        <is>
          <t>World Class</t>
        </is>
      </c>
      <c r="H2966" s="131" t="n">
        <v>15000</v>
      </c>
      <c r="I2966" s="637" t="inlineStr">
        <is>
          <t>World Class Каширский</t>
        </is>
      </c>
      <c r="J2966" s="637" t="inlineStr">
        <is>
          <t>MSC_WC34_TV01</t>
        </is>
      </c>
      <c r="K2966" s="640" t="n">
        <v>2</v>
      </c>
      <c r="L2966" s="640" t="n">
        <v>1</v>
      </c>
      <c r="M2966" s="623" t="inlineStr">
        <is>
          <t>ФОТО</t>
        </is>
      </c>
      <c r="N2966" s="640" t="n"/>
      <c r="O2966" s="640">
        <f>IF(AND(N2966=1,L2966=1),K2966,"")</f>
        <v/>
      </c>
      <c r="P2966" s="642" t="inlineStr">
        <is>
          <t>Москва, Каширское шоссе, 61c2</t>
        </is>
      </c>
      <c r="Q2966" s="640" t="inlineStr">
        <is>
          <t>55.621404</t>
        </is>
      </c>
      <c r="R2966" s="494" t="inlineStr">
        <is>
          <t>37.713996</t>
        </is>
      </c>
      <c r="S2966" s="387">
        <f>'Цены|Скидки'!$F$18</f>
        <v/>
      </c>
      <c r="T2966" s="387">
        <f>IF(N2966=1,S2966*O2966,0)</f>
        <v/>
      </c>
      <c r="Z2966" s="1" t="n"/>
    </row>
    <row r="2967" hidden="1" ht="16.05" customHeight="1">
      <c r="A2967" s="125" t="n">
        <v>3606</v>
      </c>
      <c r="B2967" s="265" t="n"/>
      <c r="C2967" s="130" t="inlineStr">
        <is>
          <t>Санкт-Петербург</t>
        </is>
      </c>
      <c r="D2967" s="130" t="inlineStr">
        <is>
          <t>Санкт-Петербург</t>
        </is>
      </c>
      <c r="E2967" s="130" t="inlineStr">
        <is>
          <t>EXCLUSIVE</t>
        </is>
      </c>
      <c r="F2967" s="130" t="inlineStr">
        <is>
          <t>Фитнес</t>
        </is>
      </c>
      <c r="G2967" s="130" t="inlineStr">
        <is>
          <t>World Class</t>
        </is>
      </c>
      <c r="H2967" s="131" t="n">
        <v>18000</v>
      </c>
      <c r="I2967" s="637" t="inlineStr">
        <is>
          <t>World Class Крестовский</t>
        </is>
      </c>
      <c r="J2967" s="637" t="inlineStr">
        <is>
          <t>SPB_WC02_TV01</t>
        </is>
      </c>
      <c r="K2967" s="640" t="n">
        <v>1</v>
      </c>
      <c r="L2967" s="640" t="n">
        <v>1</v>
      </c>
      <c r="M2967" s="623" t="inlineStr">
        <is>
          <t>ФОТО</t>
        </is>
      </c>
      <c r="N2967" s="640" t="n"/>
      <c r="O2967" s="640">
        <f>IF(AND(N2967=1,L2967=1),K2967,"")</f>
        <v/>
      </c>
      <c r="P2967" s="642" t="inlineStr">
        <is>
          <t>Санкт-Петербург, Мартынова наб., д. 38, лит. А</t>
        </is>
      </c>
      <c r="Q2967" s="640" t="inlineStr">
        <is>
          <t>59.974219</t>
        </is>
      </c>
      <c r="R2967" s="494" t="inlineStr">
        <is>
          <t>30.254265</t>
        </is>
      </c>
      <c r="S2967" s="387">
        <f>'Цены|Скидки'!$D$18</f>
        <v/>
      </c>
      <c r="T2967" s="387">
        <f>IF(N2967=1,S2967*O2967,0)</f>
        <v/>
      </c>
      <c r="Z2967" s="1" t="n"/>
    </row>
    <row r="2968" hidden="1" ht="16.05" customHeight="1">
      <c r="A2968" s="125" t="n">
        <v>3610</v>
      </c>
      <c r="B2968" s="265" t="n"/>
      <c r="C2968" s="130" t="inlineStr">
        <is>
          <t>Москва</t>
        </is>
      </c>
      <c r="D2968" s="130" t="inlineStr">
        <is>
          <t>Москва</t>
        </is>
      </c>
      <c r="E2968" s="130" t="inlineStr">
        <is>
          <t>UPPER PREMIUM</t>
        </is>
      </c>
      <c r="F2968" s="130" t="inlineStr">
        <is>
          <t>Фитнес</t>
        </is>
      </c>
      <c r="G2968" s="130" t="inlineStr">
        <is>
          <t>World Class</t>
        </is>
      </c>
      <c r="H2968" s="131" t="n">
        <v>18000</v>
      </c>
      <c r="I2968" s="637" t="inlineStr">
        <is>
          <t>World Class Кунцево</t>
        </is>
      </c>
      <c r="J2968" s="637" t="inlineStr">
        <is>
          <t>MSC_WC09_TV01</t>
        </is>
      </c>
      <c r="K2968" s="640" t="n">
        <v>3</v>
      </c>
      <c r="L2968" s="640" t="n">
        <v>1</v>
      </c>
      <c r="M2968" s="623" t="inlineStr">
        <is>
          <t>ФОТО</t>
        </is>
      </c>
      <c r="N2968" s="640" t="n"/>
      <c r="O2968" s="640">
        <f>IF(AND(N2968=1,L2968=1),K2968,"")</f>
        <v/>
      </c>
      <c r="P2968" s="642" t="inlineStr">
        <is>
          <t>Москва, Ивана Франко ул., д. 16</t>
        </is>
      </c>
      <c r="Q2968" s="640" t="inlineStr">
        <is>
          <t>55.728293</t>
        </is>
      </c>
      <c r="R2968" s="494" t="inlineStr">
        <is>
          <t>37.438876</t>
        </is>
      </c>
      <c r="S2968" s="387">
        <f>'Цены|Скидки'!$E$18</f>
        <v/>
      </c>
      <c r="T2968" s="387">
        <f>IF(N2968=1,S2968*O2968,0)</f>
        <v/>
      </c>
      <c r="Z2968" s="1" t="n"/>
    </row>
    <row r="2969" hidden="1" ht="16.05" customHeight="1">
      <c r="A2969" s="125" t="n">
        <v>3632</v>
      </c>
      <c r="B2969" s="265" t="n"/>
      <c r="C2969" s="130" t="inlineStr">
        <is>
          <t>Москва</t>
        </is>
      </c>
      <c r="D2969" s="130" t="inlineStr">
        <is>
          <t>Москва</t>
        </is>
      </c>
      <c r="E2969" s="130" t="inlineStr">
        <is>
          <t>PREMIUM</t>
        </is>
      </c>
      <c r="F2969" s="130" t="inlineStr">
        <is>
          <t>Фитнес</t>
        </is>
      </c>
      <c r="G2969" s="130" t="inlineStr">
        <is>
          <t>World Class</t>
        </is>
      </c>
      <c r="H2969" s="131" t="n">
        <v>12000</v>
      </c>
      <c r="I2969" s="637" t="inlineStr">
        <is>
          <t>World Class Смоленский пассаж</t>
        </is>
      </c>
      <c r="J2969" s="637" t="inlineStr">
        <is>
          <t>MSC_WC15_TV01</t>
        </is>
      </c>
      <c r="K2969" s="640" t="n">
        <v>2</v>
      </c>
      <c r="L2969" s="640" t="n">
        <v>0</v>
      </c>
      <c r="M2969" s="640" t="inlineStr">
        <is>
          <t>ФОТО</t>
        </is>
      </c>
      <c r="N2969" s="640" t="n"/>
      <c r="O2969" s="640">
        <f>IF(AND(N2969=1,L2969=1),K2969,"")</f>
        <v/>
      </c>
      <c r="P2969" s="642" t="inlineStr">
        <is>
          <t>Смоленская пл., д. 3</t>
        </is>
      </c>
      <c r="Q2969" s="640" t="inlineStr">
        <is>
          <t>55.747536</t>
        </is>
      </c>
      <c r="R2969" s="422" t="inlineStr">
        <is>
          <t>37.581864</t>
        </is>
      </c>
      <c r="S2969" s="387" t="n">
        <v>465</v>
      </c>
      <c r="T2969" s="387">
        <f>IF(N2969=1,S2969*O2969,0)</f>
        <v/>
      </c>
      <c r="X2969" s="1" t="n"/>
      <c r="Y2969" s="1" t="n"/>
      <c r="Z2969" s="1" t="n"/>
    </row>
    <row r="2970" hidden="1" ht="16.05" customHeight="1">
      <c r="A2970" s="125" t="n">
        <v>3611</v>
      </c>
      <c r="B2970" s="265" t="n"/>
      <c r="C2970" s="130" t="inlineStr">
        <is>
          <t>Москва</t>
        </is>
      </c>
      <c r="D2970" s="130" t="inlineStr">
        <is>
          <t>Москва</t>
        </is>
      </c>
      <c r="E2970" s="130" t="inlineStr">
        <is>
          <t>PREMIUM</t>
        </is>
      </c>
      <c r="F2970" s="130" t="inlineStr">
        <is>
          <t>Фитнес</t>
        </is>
      </c>
      <c r="G2970" s="130" t="inlineStr">
        <is>
          <t>World Class</t>
        </is>
      </c>
      <c r="H2970" s="131" t="n">
        <v>31000</v>
      </c>
      <c r="I2970" s="637" t="inlineStr">
        <is>
          <t>World Class Ленинский</t>
        </is>
      </c>
      <c r="J2970" s="637" t="inlineStr">
        <is>
          <t>MSC_WC32_TV01</t>
        </is>
      </c>
      <c r="K2970" s="640" t="n">
        <v>1</v>
      </c>
      <c r="L2970" s="640" t="n">
        <v>1</v>
      </c>
      <c r="M2970" s="623" t="inlineStr">
        <is>
          <t>ФОТО</t>
        </is>
      </c>
      <c r="N2970" s="640" t="n"/>
      <c r="O2970" s="640">
        <f>IF(AND(N2970=1,L2970=1),K2970,"")</f>
        <v/>
      </c>
      <c r="P2970" s="642" t="inlineStr">
        <is>
          <t>Москва, Ленинский проспект, д.109 (ТРЦ "Рио" )</t>
        </is>
      </c>
      <c r="Q2970" s="640" t="inlineStr">
        <is>
          <t>55.663925</t>
        </is>
      </c>
      <c r="R2970" s="494" t="inlineStr">
        <is>
          <t>37.511148</t>
        </is>
      </c>
      <c r="S2970" s="387">
        <f>'Цены|Скидки'!$F$18</f>
        <v/>
      </c>
      <c r="T2970" s="387">
        <f>IF(N2970=1,S2970*O2970,0)</f>
        <v/>
      </c>
      <c r="Z2970" s="1" t="n"/>
    </row>
    <row r="2971" hidden="1" ht="16.05" customHeight="1">
      <c r="A2971" s="125" t="n">
        <v>3612</v>
      </c>
      <c r="B2971" s="265" t="n"/>
      <c r="C2971" s="130" t="inlineStr">
        <is>
          <t>Москва</t>
        </is>
      </c>
      <c r="D2971" s="130" t="inlineStr">
        <is>
          <t>Москва</t>
        </is>
      </c>
      <c r="E2971" s="130" t="inlineStr">
        <is>
          <t>BUSINESS</t>
        </is>
      </c>
      <c r="F2971" s="130" t="inlineStr">
        <is>
          <t>Фитнес</t>
        </is>
      </c>
      <c r="G2971" s="130" t="inlineStr">
        <is>
          <t>World Class</t>
        </is>
      </c>
      <c r="H2971" s="131" t="n">
        <v>27000</v>
      </c>
      <c r="I2971" s="637" t="inlineStr">
        <is>
          <t>World Class Лодочная</t>
        </is>
      </c>
      <c r="J2971" s="637" t="inlineStr">
        <is>
          <t>MSC_WCLT25_TV01</t>
        </is>
      </c>
      <c r="K2971" s="640" t="n">
        <v>1</v>
      </c>
      <c r="L2971" s="640" t="n">
        <v>0</v>
      </c>
      <c r="M2971" s="623" t="inlineStr">
        <is>
          <t>ФОТО</t>
        </is>
      </c>
      <c r="N2971" s="640" t="n"/>
      <c r="O2971" s="640">
        <f>IF(AND(N2971=1,L2971=1),K2971,"")</f>
        <v/>
      </c>
      <c r="P2971" s="642" t="inlineStr">
        <is>
          <t>Москва, Лодочная ул., д. 43</t>
        </is>
      </c>
      <c r="Q2971" s="640" t="inlineStr">
        <is>
          <t>55.842237</t>
        </is>
      </c>
      <c r="R2971" s="494" t="inlineStr">
        <is>
          <t>37.460758</t>
        </is>
      </c>
      <c r="S2971" s="387">
        <f>'Цены|Скидки'!$H$18</f>
        <v/>
      </c>
      <c r="T2971" s="387">
        <f>IF(N2971=1,S2971*O2971,0)</f>
        <v/>
      </c>
      <c r="Z2971" s="1" t="n"/>
    </row>
    <row r="2972" hidden="1" ht="16.05" customHeight="1">
      <c r="A2972" s="125" t="n">
        <v>3615</v>
      </c>
      <c r="B2972" s="265" t="n"/>
      <c r="C2972" s="130" t="inlineStr">
        <is>
          <t>Москва</t>
        </is>
      </c>
      <c r="D2972" s="130" t="inlineStr">
        <is>
          <t>Москва</t>
        </is>
      </c>
      <c r="E2972" s="130" t="inlineStr">
        <is>
          <t>UPPER PREMIUM</t>
        </is>
      </c>
      <c r="F2972" s="130" t="inlineStr">
        <is>
          <t>Фитнес</t>
        </is>
      </c>
      <c r="G2972" s="130" t="inlineStr">
        <is>
          <t>World Class</t>
        </is>
      </c>
      <c r="H2972" s="131" t="n">
        <v>15000</v>
      </c>
      <c r="I2972" s="637" t="inlineStr">
        <is>
          <t>World Class Метрополис</t>
        </is>
      </c>
      <c r="J2972" s="637" t="inlineStr">
        <is>
          <t>MSC_WC29_TV01</t>
        </is>
      </c>
      <c r="K2972" s="640" t="n">
        <v>2</v>
      </c>
      <c r="L2972" s="640" t="n">
        <v>1</v>
      </c>
      <c r="M2972" s="623" t="inlineStr">
        <is>
          <t>ФОТО</t>
        </is>
      </c>
      <c r="N2972" s="640" t="n"/>
      <c r="O2972" s="640">
        <f>IF(AND(N2972=1,L2972=1),K2972,"")</f>
        <v/>
      </c>
      <c r="P2972" s="642" t="inlineStr">
        <is>
          <t>Москва, Ленинградское шоссе, д. 16А, стр. 8</t>
        </is>
      </c>
      <c r="Q2972" s="640" t="inlineStr">
        <is>
          <t>55.824023</t>
        </is>
      </c>
      <c r="R2972" s="494" t="inlineStr">
        <is>
          <t>37.4955</t>
        </is>
      </c>
      <c r="S2972" s="387">
        <f>'Цены|Скидки'!$E$18</f>
        <v/>
      </c>
      <c r="T2972" s="387">
        <f>IF(N2972=1,S2972*O2972,0)</f>
        <v/>
      </c>
      <c r="Z2972" s="1" t="n"/>
    </row>
    <row r="2973" hidden="1" ht="16.05" customHeight="1">
      <c r="A2973" s="125" t="n">
        <v>3616</v>
      </c>
      <c r="B2973" s="265" t="n"/>
      <c r="C2973" s="130" t="inlineStr">
        <is>
          <t>Москва</t>
        </is>
      </c>
      <c r="D2973" s="130" t="inlineStr">
        <is>
          <t>Москва</t>
        </is>
      </c>
      <c r="E2973" s="130" t="inlineStr">
        <is>
          <t>BUSINESS</t>
        </is>
      </c>
      <c r="F2973" s="130" t="inlineStr">
        <is>
          <t>Фитнес</t>
        </is>
      </c>
      <c r="G2973" s="130" t="inlineStr">
        <is>
          <t>World Class</t>
        </is>
      </c>
      <c r="H2973" s="131" t="n">
        <v>30000</v>
      </c>
      <c r="I2973" s="637" t="inlineStr">
        <is>
          <t>World Class Митино</t>
        </is>
      </c>
      <c r="J2973" s="637" t="inlineStr">
        <is>
          <t>MSC_WCLT26_TV01</t>
        </is>
      </c>
      <c r="K2973" s="640" t="n">
        <v>1</v>
      </c>
      <c r="L2973" s="640" t="n">
        <v>1</v>
      </c>
      <c r="M2973" s="623" t="inlineStr">
        <is>
          <t>ФОТО</t>
        </is>
      </c>
      <c r="N2973" s="640" t="n"/>
      <c r="O2973" s="640">
        <f>IF(AND(N2973=1,L2973=1),K2973,"")</f>
        <v/>
      </c>
      <c r="P2973" s="642" t="inlineStr">
        <is>
          <t>Москва, Пятницкое ш., д. 29, корп. 5</t>
        </is>
      </c>
      <c r="Q2973" s="640" t="inlineStr">
        <is>
          <t>55.850848</t>
        </is>
      </c>
      <c r="R2973" s="494" t="inlineStr">
        <is>
          <t>37.359327</t>
        </is>
      </c>
      <c r="S2973" s="387">
        <f>'Цены|Скидки'!$H$18</f>
        <v/>
      </c>
      <c r="T2973" s="387">
        <f>IF(N2973=1,S2973*O2973,0)</f>
        <v/>
      </c>
      <c r="Z2973" s="1" t="n"/>
    </row>
    <row r="2974" hidden="1" ht="16.05" customHeight="1">
      <c r="A2974" s="125" t="n">
        <v>3618</v>
      </c>
      <c r="B2974" s="265" t="n"/>
      <c r="C2974" s="130" t="inlineStr">
        <is>
          <t>Москва</t>
        </is>
      </c>
      <c r="D2974" s="130" t="inlineStr">
        <is>
          <t>Москва</t>
        </is>
      </c>
      <c r="E2974" s="130" t="inlineStr">
        <is>
          <t>UPPER PREMIUM</t>
        </is>
      </c>
      <c r="F2974" s="130" t="inlineStr">
        <is>
          <t>Фитнес</t>
        </is>
      </c>
      <c r="G2974" s="130" t="inlineStr">
        <is>
          <t>World Class</t>
        </is>
      </c>
      <c r="H2974" s="131" t="n">
        <v>18000</v>
      </c>
      <c r="I2974" s="637" t="inlineStr">
        <is>
          <t>World Class Наметкина</t>
        </is>
      </c>
      <c r="J2974" s="637" t="inlineStr">
        <is>
          <t>MSC_WC10_TV01</t>
        </is>
      </c>
      <c r="K2974" s="640" t="n">
        <v>2</v>
      </c>
      <c r="L2974" s="640" t="n">
        <v>1</v>
      </c>
      <c r="M2974" s="623" t="inlineStr">
        <is>
          <t>ФОТО</t>
        </is>
      </c>
      <c r="N2974" s="640" t="n"/>
      <c r="O2974" s="640">
        <f>IF(AND(N2974=1,L2974=1),K2974,"")</f>
        <v/>
      </c>
      <c r="P2974" s="642" t="inlineStr">
        <is>
          <t>Москва, Намёткина ул., д. 6, к. 1</t>
        </is>
      </c>
      <c r="Q2974" s="640" t="inlineStr">
        <is>
          <t>55.663537</t>
        </is>
      </c>
      <c r="R2974" s="494" t="inlineStr">
        <is>
          <t>37.549752</t>
        </is>
      </c>
      <c r="S2974" s="387">
        <f>'Цены|Скидки'!$E$18</f>
        <v/>
      </c>
      <c r="T2974" s="387">
        <f>IF(N2974=1,S2974*O2974,0)</f>
        <v/>
      </c>
      <c r="Z2974" s="1" t="n"/>
    </row>
    <row r="2975" hidden="1" ht="16.05" customHeight="1">
      <c r="A2975" s="125" t="n">
        <v>3620</v>
      </c>
      <c r="B2975" s="265" t="n"/>
      <c r="C2975" s="130" t="inlineStr">
        <is>
          <t>Москва</t>
        </is>
      </c>
      <c r="D2975" s="130" t="inlineStr">
        <is>
          <t>Москва</t>
        </is>
      </c>
      <c r="E2975" s="130" t="inlineStr">
        <is>
          <t>UPPER PREMIUM</t>
        </is>
      </c>
      <c r="F2975" s="130" t="inlineStr">
        <is>
          <t>Фитнес</t>
        </is>
      </c>
      <c r="G2975" s="130" t="inlineStr">
        <is>
          <t>World Class</t>
        </is>
      </c>
      <c r="H2975" s="131" t="n">
        <v>12000</v>
      </c>
      <c r="I2975" s="637" t="inlineStr">
        <is>
          <t>World Class Оружейный</t>
        </is>
      </c>
      <c r="J2975" s="637" t="inlineStr">
        <is>
          <t>MSC_WC30_TV01</t>
        </is>
      </c>
      <c r="K2975" s="640" t="n">
        <v>2</v>
      </c>
      <c r="L2975" s="640" t="n">
        <v>1</v>
      </c>
      <c r="M2975" s="623" t="inlineStr">
        <is>
          <t>ФОТО</t>
        </is>
      </c>
      <c r="N2975" s="640" t="n"/>
      <c r="O2975" s="640">
        <f>IF(AND(N2975=1,L2975=1),K2975,"")</f>
        <v/>
      </c>
      <c r="P2975" s="642" t="inlineStr">
        <is>
          <t>Москва, Оружейный пер., д. 41</t>
        </is>
      </c>
      <c r="Q2975" s="640" t="inlineStr">
        <is>
          <t>55.773702</t>
        </is>
      </c>
      <c r="R2975" s="494" t="inlineStr">
        <is>
          <t>37.606194</t>
        </is>
      </c>
      <c r="S2975" s="387">
        <f>'Цены|Скидки'!$E$18</f>
        <v/>
      </c>
      <c r="T2975" s="387">
        <f>IF(N2975=1,S2975*O2975,0)</f>
        <v/>
      </c>
      <c r="Z2975" s="1" t="n"/>
    </row>
    <row r="2976" hidden="1" ht="16.05" customHeight="1">
      <c r="A2976" s="125" t="n">
        <v>3621</v>
      </c>
      <c r="B2976" s="265" t="n"/>
      <c r="C2976" s="130" t="inlineStr">
        <is>
          <t>Москва</t>
        </is>
      </c>
      <c r="D2976" s="130" t="inlineStr">
        <is>
          <t>Московская область</t>
        </is>
      </c>
      <c r="E2976" s="130" t="inlineStr">
        <is>
          <t>EXCLUSIVE</t>
        </is>
      </c>
      <c r="F2976" s="130" t="inlineStr">
        <is>
          <t>Фитнес</t>
        </is>
      </c>
      <c r="G2976" s="130" t="inlineStr">
        <is>
          <t>World Class</t>
        </is>
      </c>
      <c r="H2976" s="131" t="n">
        <v>15000</v>
      </c>
      <c r="I2976" s="637" t="inlineStr">
        <is>
          <t>World Class Павлово</t>
        </is>
      </c>
      <c r="J2976" s="637" t="inlineStr">
        <is>
          <t>MSC_WC12_TV01</t>
        </is>
      </c>
      <c r="K2976" s="640" t="n">
        <v>2</v>
      </c>
      <c r="L2976" s="640" t="n">
        <v>1</v>
      </c>
      <c r="M2976" s="623" t="inlineStr">
        <is>
          <t>ФОТО</t>
        </is>
      </c>
      <c r="N2976" s="640" t="n"/>
      <c r="O2976" s="640">
        <f>IF(AND(N2976=1,L2976=1),K2976,"")</f>
        <v/>
      </c>
      <c r="P2976" s="642" t="inlineStr">
        <is>
          <t>Московская область, Московская обл., Истринский район, сельское поселение Павло-Слободское, деревня Новинки, д. 115, стр. 9</t>
        </is>
      </c>
      <c r="Q2976" s="640" t="inlineStr">
        <is>
          <t>55.80919</t>
        </is>
      </c>
      <c r="R2976" s="494" t="inlineStr">
        <is>
          <t>37.12673</t>
        </is>
      </c>
      <c r="S2976" s="387">
        <f>'Цены|Скидки'!$D$18</f>
        <v/>
      </c>
      <c r="T2976" s="387">
        <f>IF(N2976=1,S2976*O2976,0)</f>
        <v/>
      </c>
      <c r="Z2976" s="1" t="n"/>
    </row>
    <row r="2977" hidden="1" ht="16.05" customHeight="1">
      <c r="A2977" s="125" t="n">
        <v>3623</v>
      </c>
      <c r="B2977" s="265" t="n"/>
      <c r="C2977" s="130" t="inlineStr">
        <is>
          <t>Москва</t>
        </is>
      </c>
      <c r="D2977" s="130" t="inlineStr">
        <is>
          <t>Москва</t>
        </is>
      </c>
      <c r="E2977" s="130" t="inlineStr">
        <is>
          <t>BUSINESS</t>
        </is>
      </c>
      <c r="F2977" s="130" t="inlineStr">
        <is>
          <t>Фитнес</t>
        </is>
      </c>
      <c r="G2977" s="130" t="inlineStr">
        <is>
          <t>World Class</t>
        </is>
      </c>
      <c r="H2977" s="131" t="n">
        <v>21000</v>
      </c>
      <c r="I2977" s="637" t="inlineStr">
        <is>
          <t>World Class Полежаевская</t>
        </is>
      </c>
      <c r="J2977" s="637" t="inlineStr">
        <is>
          <t>MSC_WCLT27_TV01</t>
        </is>
      </c>
      <c r="K2977" s="640" t="n">
        <v>2</v>
      </c>
      <c r="L2977" s="640" t="n">
        <v>0</v>
      </c>
      <c r="M2977" s="623" t="inlineStr">
        <is>
          <t>ФОТО</t>
        </is>
      </c>
      <c r="N2977" s="640" t="n"/>
      <c r="O2977" s="640">
        <f>IF(AND(N2977=1,L2977=1),K2977,"")</f>
        <v/>
      </c>
      <c r="P2977" s="642" t="inlineStr">
        <is>
          <t>Москва, Д. Бедного ул., д. 4, корп. 2</t>
        </is>
      </c>
      <c r="Q2977" s="640" t="inlineStr">
        <is>
          <t>55.770112</t>
        </is>
      </c>
      <c r="R2977" s="494" t="inlineStr">
        <is>
          <t>37.489982</t>
        </is>
      </c>
      <c r="S2977" s="387">
        <f>'Цены|Скидки'!$H$18</f>
        <v/>
      </c>
      <c r="T2977" s="387">
        <f>IF(N2977=1,S2977*O2977,0)</f>
        <v/>
      </c>
      <c r="Z2977" s="1" t="n"/>
    </row>
    <row r="2978" hidden="1" ht="16.05" customHeight="1">
      <c r="A2978" s="125" t="n">
        <v>3627</v>
      </c>
      <c r="B2978" s="265" t="n"/>
      <c r="C2978" s="130" t="inlineStr">
        <is>
          <t>Москва</t>
        </is>
      </c>
      <c r="D2978" s="130" t="inlineStr">
        <is>
          <t>Москва</t>
        </is>
      </c>
      <c r="E2978" s="130" t="inlineStr">
        <is>
          <t>EXCLUSIVE</t>
        </is>
      </c>
      <c r="F2978" s="130" t="inlineStr">
        <is>
          <t>Фитнес</t>
        </is>
      </c>
      <c r="G2978" s="130" t="inlineStr">
        <is>
          <t>World Class</t>
        </is>
      </c>
      <c r="H2978" s="131" t="n">
        <v>13500</v>
      </c>
      <c r="I2978" s="637" t="inlineStr">
        <is>
          <t>World Class Романов</t>
        </is>
      </c>
      <c r="J2978" s="637" t="inlineStr">
        <is>
          <t>MSC_WC02_TV01</t>
        </is>
      </c>
      <c r="K2978" s="640" t="n">
        <v>2</v>
      </c>
      <c r="L2978" s="640" t="n">
        <v>1</v>
      </c>
      <c r="M2978" s="623" t="inlineStr">
        <is>
          <t>ФОТО</t>
        </is>
      </c>
      <c r="N2978" s="640" t="n"/>
      <c r="O2978" s="640">
        <f>IF(AND(N2978=1,L2978=1),K2978,"")</f>
        <v/>
      </c>
      <c r="P2978" s="642" t="inlineStr">
        <is>
          <t>Москва, Романов пер., д. 4, стр. 2</t>
        </is>
      </c>
      <c r="Q2978" s="640" t="inlineStr">
        <is>
          <t>55.754581</t>
        </is>
      </c>
      <c r="R2978" s="494" t="inlineStr">
        <is>
          <t>37.609704</t>
        </is>
      </c>
      <c r="S2978" s="387">
        <f>'Цены|Скидки'!$D$18</f>
        <v/>
      </c>
      <c r="T2978" s="387">
        <f>IF(N2978=1,S2978*O2978,0)</f>
        <v/>
      </c>
      <c r="Z2978" s="1" t="n"/>
    </row>
    <row r="2979" hidden="1" ht="16.05" customHeight="1">
      <c r="A2979" s="125" t="n">
        <v>3628</v>
      </c>
      <c r="B2979" s="265" t="n"/>
      <c r="C2979" s="130" t="inlineStr">
        <is>
          <t>Москва</t>
        </is>
      </c>
      <c r="D2979" s="130" t="inlineStr">
        <is>
          <t>Москва</t>
        </is>
      </c>
      <c r="E2979" s="130" t="inlineStr">
        <is>
          <t>BUSINESS</t>
        </is>
      </c>
      <c r="F2979" s="130" t="inlineStr">
        <is>
          <t>Фитнес</t>
        </is>
      </c>
      <c r="G2979" s="130" t="inlineStr">
        <is>
          <t>World Class</t>
        </is>
      </c>
      <c r="H2979" s="131" t="n">
        <v>24000</v>
      </c>
      <c r="I2979" s="637" t="inlineStr">
        <is>
          <t>World Class Севастопольский</t>
        </is>
      </c>
      <c r="J2979" s="637" t="inlineStr">
        <is>
          <t>MSC_WCLT28_TV01</t>
        </is>
      </c>
      <c r="K2979" s="640" t="n">
        <v>2</v>
      </c>
      <c r="L2979" s="640" t="n">
        <v>1</v>
      </c>
      <c r="M2979" s="623" t="inlineStr">
        <is>
          <t>ФОТО</t>
        </is>
      </c>
      <c r="N2979" s="640" t="n"/>
      <c r="O2979" s="640">
        <f>IF(AND(N2979=1,L2979=1),K2979,"")</f>
        <v/>
      </c>
      <c r="P2979" s="642" t="inlineStr">
        <is>
          <t>Москва, Севастопольский пр-т, д. 28Г</t>
        </is>
      </c>
      <c r="Q2979" s="640" t="inlineStr">
        <is>
          <t>55.664142</t>
        </is>
      </c>
      <c r="R2979" s="494" t="inlineStr">
        <is>
          <t>37.576983</t>
        </is>
      </c>
      <c r="S2979" s="387">
        <f>'Цены|Скидки'!$H$18</f>
        <v/>
      </c>
      <c r="T2979" s="387">
        <f>IF(N2979=1,S2979*O2979,0)</f>
        <v/>
      </c>
      <c r="Z2979" s="1" t="n"/>
    </row>
    <row r="2980" hidden="1" ht="16.05" customHeight="1">
      <c r="A2980" s="125" t="n">
        <v>3630</v>
      </c>
      <c r="B2980" s="265" t="n"/>
      <c r="C2980" s="130" t="inlineStr">
        <is>
          <t>Санкт-Петербург</t>
        </is>
      </c>
      <c r="D2980" s="130" t="inlineStr">
        <is>
          <t>Санкт-Петербург</t>
        </is>
      </c>
      <c r="E2980" s="130" t="inlineStr">
        <is>
          <t>PREMIUM</t>
        </is>
      </c>
      <c r="F2980" s="130" t="inlineStr">
        <is>
          <t>Фитнес</t>
        </is>
      </c>
      <c r="G2980" s="130" t="inlineStr">
        <is>
          <t>World Class</t>
        </is>
      </c>
      <c r="H2980" s="131" t="n">
        <v>18000</v>
      </c>
      <c r="I2980" s="637" t="inlineStr">
        <is>
          <t>World Class Сенная</t>
        </is>
      </c>
      <c r="J2980" s="637" t="inlineStr">
        <is>
          <t>SPB_WC03_TV01</t>
        </is>
      </c>
      <c r="K2980" s="640" t="n">
        <v>1</v>
      </c>
      <c r="L2980" s="640" t="n">
        <v>1</v>
      </c>
      <c r="M2980" s="623" t="inlineStr">
        <is>
          <t>ФОТО</t>
        </is>
      </c>
      <c r="N2980" s="640" t="n"/>
      <c r="O2980" s="640">
        <f>IF(AND(N2980=1,L2980=1),K2980,"")</f>
        <v/>
      </c>
      <c r="P2980" s="642" t="inlineStr">
        <is>
          <t>Санкт-Петербург, Ефимова ул., д. 4А, лит. А</t>
        </is>
      </c>
      <c r="Q2980" s="640" t="inlineStr">
        <is>
          <t>59.925001</t>
        </is>
      </c>
      <c r="R2980" s="494" t="inlineStr">
        <is>
          <t>30.322454</t>
        </is>
      </c>
      <c r="S2980" s="387">
        <f>'Цены|Скидки'!$F$18</f>
        <v/>
      </c>
      <c r="T2980" s="387">
        <f>IF(N2980=1,S2980*O2980,0)</f>
        <v/>
      </c>
      <c r="Z2980" s="1" t="n"/>
    </row>
    <row r="2981" hidden="1" ht="16.05" customHeight="1">
      <c r="A2981" s="125" t="n">
        <v>3634</v>
      </c>
      <c r="B2981" s="265" t="n"/>
      <c r="C2981" s="130" t="inlineStr">
        <is>
          <t>Санкт-Петербург</t>
        </is>
      </c>
      <c r="D2981" s="130" t="inlineStr">
        <is>
          <t>Санкт-Петербург</t>
        </is>
      </c>
      <c r="E2981" s="130" t="inlineStr">
        <is>
          <t>BUSINESS</t>
        </is>
      </c>
      <c r="F2981" s="130" t="inlineStr">
        <is>
          <t>Фитнес</t>
        </is>
      </c>
      <c r="G2981" s="130" t="inlineStr">
        <is>
          <t>World Class</t>
        </is>
      </c>
      <c r="H2981" s="131" t="n">
        <v>28500</v>
      </c>
      <c r="I2981" s="637" t="inlineStr">
        <is>
          <t>World Class Стачек</t>
        </is>
      </c>
      <c r="J2981" s="637" t="inlineStr">
        <is>
          <t>SPB_WCLT05_TV01</t>
        </is>
      </c>
      <c r="K2981" s="640" t="n">
        <v>1</v>
      </c>
      <c r="L2981" s="640" t="n">
        <v>1</v>
      </c>
      <c r="M2981" s="623" t="inlineStr">
        <is>
          <t>ФОТО</t>
        </is>
      </c>
      <c r="N2981" s="640" t="n"/>
      <c r="O2981" s="640">
        <f>IF(AND(N2981=1,L2981=1),K2981,"")</f>
        <v/>
      </c>
      <c r="P2981" s="642" t="inlineStr">
        <is>
          <t>Санкт-Петербург, Стачек пр-т, д. 99, лит. А</t>
        </is>
      </c>
      <c r="Q2981" s="640" t="inlineStr">
        <is>
          <t>59.858865</t>
        </is>
      </c>
      <c r="R2981" s="494" t="inlineStr">
        <is>
          <t>30.248154</t>
        </is>
      </c>
      <c r="S2981" s="387">
        <f>'Цены|Скидки'!$H$18</f>
        <v/>
      </c>
      <c r="T2981" s="387">
        <f>IF(N2981=1,S2981*O2981,0)</f>
        <v/>
      </c>
      <c r="Z2981" s="1" t="n"/>
    </row>
    <row r="2982" hidden="1" ht="16.05" customHeight="1">
      <c r="A2982" s="125" t="n">
        <v>3635</v>
      </c>
      <c r="B2982" s="265" t="n"/>
      <c r="C2982" s="130" t="inlineStr">
        <is>
          <t>Москва</t>
        </is>
      </c>
      <c r="D2982" s="130" t="inlineStr">
        <is>
          <t>Москва</t>
        </is>
      </c>
      <c r="E2982" s="130" t="inlineStr">
        <is>
          <t>UPPER PREMIUM</t>
        </is>
      </c>
      <c r="F2982" s="130" t="inlineStr">
        <is>
          <t>Фитнес</t>
        </is>
      </c>
      <c r="G2982" s="130" t="inlineStr">
        <is>
          <t>World Class</t>
        </is>
      </c>
      <c r="H2982" s="131" t="n">
        <v>15000</v>
      </c>
      <c r="I2982" s="637" t="inlineStr">
        <is>
          <t>World Class Строгино</t>
        </is>
      </c>
      <c r="J2982" s="637" t="inlineStr">
        <is>
          <t>MSC_WC16_TV01</t>
        </is>
      </c>
      <c r="K2982" s="640" t="n">
        <v>2</v>
      </c>
      <c r="L2982" s="640" t="n">
        <v>1</v>
      </c>
      <c r="M2982" s="623" t="inlineStr">
        <is>
          <t>ФОТО</t>
        </is>
      </c>
      <c r="N2982" s="640" t="n"/>
      <c r="O2982" s="640">
        <f>IF(AND(N2982=1,L2982=1),K2982,"")</f>
        <v/>
      </c>
      <c r="P2982" s="642" t="inlineStr">
        <is>
          <t>Москва, Кулакова ул., д. 20</t>
        </is>
      </c>
      <c r="Q2982" s="640" t="inlineStr">
        <is>
          <t>55.805053</t>
        </is>
      </c>
      <c r="R2982" s="494" t="inlineStr">
        <is>
          <t>37.392887</t>
        </is>
      </c>
      <c r="S2982" s="387">
        <f>'Цены|Скидки'!$E$18</f>
        <v/>
      </c>
      <c r="T2982" s="387">
        <f>IF(N2982=1,S2982*O2982,0)</f>
        <v/>
      </c>
      <c r="Z2982" s="1" t="n"/>
    </row>
    <row r="2983" hidden="1" ht="16.05" customHeight="1">
      <c r="A2983" s="125" t="n">
        <v>3637</v>
      </c>
      <c r="B2983" s="265" t="n"/>
      <c r="C2983" s="130" t="inlineStr">
        <is>
          <t>Москва</t>
        </is>
      </c>
      <c r="D2983" s="130" t="inlineStr">
        <is>
          <t>Москва</t>
        </is>
      </c>
      <c r="E2983" s="130" t="inlineStr">
        <is>
          <t>PREMIUM</t>
        </is>
      </c>
      <c r="F2983" s="130" t="inlineStr">
        <is>
          <t>Фитнес</t>
        </is>
      </c>
      <c r="G2983" s="130" t="inlineStr">
        <is>
          <t>World Class</t>
        </is>
      </c>
      <c r="H2983" s="131" t="n">
        <v>12000</v>
      </c>
      <c r="I2983" s="637" t="inlineStr">
        <is>
          <t>World Class Таганский</t>
        </is>
      </c>
      <c r="J2983" s="637" t="inlineStr">
        <is>
          <t>MSC_WC31_TV01</t>
        </is>
      </c>
      <c r="K2983" s="640" t="n">
        <v>1</v>
      </c>
      <c r="L2983" s="640" t="n">
        <v>0</v>
      </c>
      <c r="M2983" s="623" t="inlineStr">
        <is>
          <t>ФОТО</t>
        </is>
      </c>
      <c r="N2983" s="640" t="n"/>
      <c r="O2983" s="640">
        <f>IF(AND(N2983=1,L2983=1),K2983,"")</f>
        <v/>
      </c>
      <c r="P2983" s="642" t="inlineStr">
        <is>
          <t>Николоямская ул., д.36с1</t>
        </is>
      </c>
      <c r="Q2983" s="640" t="inlineStr">
        <is>
          <t>55.747029</t>
        </is>
      </c>
      <c r="R2983" s="494" t="inlineStr">
        <is>
          <t>37.657562</t>
        </is>
      </c>
      <c r="S2983" s="387">
        <f>'Цены|Скидки'!$F$18</f>
        <v/>
      </c>
      <c r="T2983" s="387">
        <f>IF(N2983=1,S2983*O2983,0)</f>
        <v/>
      </c>
      <c r="Z2983" s="1" t="n"/>
    </row>
    <row r="2984" hidden="1" ht="16.05" customHeight="1">
      <c r="A2984" s="125" t="n">
        <v>3638</v>
      </c>
      <c r="B2984" s="265" t="n"/>
      <c r="C2984" s="130" t="inlineStr">
        <is>
          <t>Москва</t>
        </is>
      </c>
      <c r="D2984" s="130" t="inlineStr">
        <is>
          <t>Москва</t>
        </is>
      </c>
      <c r="E2984" s="130" t="inlineStr">
        <is>
          <t>UPPER PREMIUM</t>
        </is>
      </c>
      <c r="F2984" s="130" t="inlineStr">
        <is>
          <t>Фитнес</t>
        </is>
      </c>
      <c r="G2984" s="130" t="inlineStr">
        <is>
          <t>World Class</t>
        </is>
      </c>
      <c r="H2984" s="131" t="n">
        <v>13500</v>
      </c>
      <c r="I2984" s="637" t="inlineStr">
        <is>
          <t>World Class Тверская</t>
        </is>
      </c>
      <c r="J2984" s="637" t="inlineStr">
        <is>
          <t>MSC_WC17_TV01</t>
        </is>
      </c>
      <c r="K2984" s="640" t="n">
        <v>3</v>
      </c>
      <c r="L2984" s="640" t="n">
        <v>0</v>
      </c>
      <c r="M2984" s="640" t="inlineStr">
        <is>
          <t>ФОТО</t>
        </is>
      </c>
      <c r="N2984" s="640" t="n"/>
      <c r="O2984" s="640">
        <f>IF(AND(N2984=1,L2984=1),K2984,"")</f>
        <v/>
      </c>
      <c r="P2984" s="642" t="inlineStr">
        <is>
          <t>Большая Грузинская ул., д. 69</t>
        </is>
      </c>
      <c r="Q2984" s="640" t="inlineStr">
        <is>
          <t>55.774304</t>
        </is>
      </c>
      <c r="R2984" s="422" t="inlineStr">
        <is>
          <t>37.586207</t>
        </is>
      </c>
      <c r="S2984" s="387">
        <f>'Цены|Скидки'!$E$18</f>
        <v/>
      </c>
      <c r="T2984" s="387">
        <f>IF(N2984=1,S2984*O2984,0)</f>
        <v/>
      </c>
      <c r="Z2984" s="1" t="n"/>
    </row>
    <row r="2985" hidden="1" ht="16.05" customHeight="1">
      <c r="A2985" s="125" t="n">
        <v>3641</v>
      </c>
      <c r="B2985" s="265" t="n"/>
      <c r="C2985" s="130" t="inlineStr">
        <is>
          <t>Москва</t>
        </is>
      </c>
      <c r="D2985" s="130" t="inlineStr">
        <is>
          <t>Москва</t>
        </is>
      </c>
      <c r="E2985" s="130" t="inlineStr">
        <is>
          <t>PREMIUM</t>
        </is>
      </c>
      <c r="F2985" s="130" t="inlineStr">
        <is>
          <t>Фитнес</t>
        </is>
      </c>
      <c r="G2985" s="130" t="inlineStr">
        <is>
          <t>World Class</t>
        </is>
      </c>
      <c r="H2985" s="131" t="n">
        <v>4200</v>
      </c>
      <c r="I2985" s="637" t="inlineStr">
        <is>
          <t>World Class Триколор</t>
        </is>
      </c>
      <c r="J2985" s="637" t="inlineStr">
        <is>
          <t>MSC_WC33_TV01</t>
        </is>
      </c>
      <c r="K2985" s="640" t="n">
        <v>1</v>
      </c>
      <c r="L2985" s="640" t="n">
        <v>1</v>
      </c>
      <c r="M2985" s="623" t="inlineStr">
        <is>
          <t>ФОТО</t>
        </is>
      </c>
      <c r="N2985" s="640" t="n"/>
      <c r="O2985" s="640">
        <f>IF(AND(N2985=1,L2985=1),K2985,"")</f>
        <v/>
      </c>
      <c r="P2985" s="642" t="inlineStr">
        <is>
          <t>Москва, проспект Мира ул., д. 188б, к2</t>
        </is>
      </c>
      <c r="Q2985" s="640" t="inlineStr">
        <is>
          <t>55.834983</t>
        </is>
      </c>
      <c r="R2985" s="494" t="inlineStr">
        <is>
          <t>37.658248</t>
        </is>
      </c>
      <c r="S2985" s="387">
        <f>'Цены|Скидки'!$F$18</f>
        <v/>
      </c>
      <c r="T2985" s="387">
        <f>IF(N2985=1,S2985*O2985,0)</f>
        <v/>
      </c>
      <c r="Z2985" s="1" t="n"/>
    </row>
    <row r="2986" hidden="1" ht="16.05" customHeight="1">
      <c r="A2986" s="125" t="n">
        <v>3642</v>
      </c>
      <c r="B2986" s="265" t="n"/>
      <c r="C2986" s="130" t="inlineStr">
        <is>
          <t>Москва</t>
        </is>
      </c>
      <c r="D2986" s="130" t="inlineStr">
        <is>
          <t>Москва</t>
        </is>
      </c>
      <c r="E2986" s="130" t="inlineStr">
        <is>
          <t>UPPER PREMIUM</t>
        </is>
      </c>
      <c r="F2986" s="130" t="inlineStr">
        <is>
          <t>Фитнес</t>
        </is>
      </c>
      <c r="G2986" s="130" t="inlineStr">
        <is>
          <t>World Class</t>
        </is>
      </c>
      <c r="H2986" s="131" t="n">
        <v>13500</v>
      </c>
      <c r="I2986" s="637" t="inlineStr">
        <is>
          <t>World Class Триумф палас</t>
        </is>
      </c>
      <c r="J2986" s="637" t="inlineStr">
        <is>
          <t>MSC_WC18_TV01</t>
        </is>
      </c>
      <c r="K2986" s="640" t="n">
        <v>1</v>
      </c>
      <c r="L2986" s="640" t="n">
        <v>0</v>
      </c>
      <c r="M2986" s="640" t="inlineStr">
        <is>
          <t>ФОТО</t>
        </is>
      </c>
      <c r="N2986" s="640" t="n"/>
      <c r="O2986" s="640">
        <f>IF(AND(N2986=1,L2986=1),K2986,"")</f>
        <v/>
      </c>
      <c r="P2986" s="642" t="inlineStr">
        <is>
          <t>Чапаевский пер., вл. 3</t>
        </is>
      </c>
      <c r="Q2986" s="640" t="inlineStr">
        <is>
          <t>55.797862</t>
        </is>
      </c>
      <c r="R2986" s="422" t="inlineStr">
        <is>
          <t>37.519756</t>
        </is>
      </c>
      <c r="S2986" s="387" t="n">
        <v>802.5</v>
      </c>
      <c r="T2986" s="387">
        <f>IF(N2986=1,S2986*O2986,0)</f>
        <v/>
      </c>
      <c r="Z2986" s="1" t="n"/>
    </row>
    <row r="2987" hidden="1" ht="16.05" customHeight="1">
      <c r="A2987" s="125" t="n">
        <v>3643</v>
      </c>
      <c r="B2987" s="265" t="n"/>
      <c r="C2987" s="130" t="inlineStr">
        <is>
          <t>Москва</t>
        </is>
      </c>
      <c r="D2987" s="130" t="inlineStr">
        <is>
          <t>Москва</t>
        </is>
      </c>
      <c r="E2987" s="130" t="inlineStr">
        <is>
          <t>PREMIUM</t>
        </is>
      </c>
      <c r="F2987" s="130" t="inlineStr">
        <is>
          <t>Фитнес</t>
        </is>
      </c>
      <c r="G2987" s="130" t="inlineStr">
        <is>
          <t>World Class</t>
        </is>
      </c>
      <c r="H2987" s="131" t="n">
        <v>15000</v>
      </c>
      <c r="I2987" s="637" t="inlineStr">
        <is>
          <t>World Class Тульская</t>
        </is>
      </c>
      <c r="J2987" s="637" t="inlineStr">
        <is>
          <t>MSC_WC19_TV01</t>
        </is>
      </c>
      <c r="K2987" s="640" t="n">
        <v>3</v>
      </c>
      <c r="L2987" s="640" t="n">
        <v>1</v>
      </c>
      <c r="M2987" s="623" t="inlineStr">
        <is>
          <t>ФОТО</t>
        </is>
      </c>
      <c r="N2987" s="640" t="n"/>
      <c r="O2987" s="640">
        <f>IF(AND(N2987=1,L2987=1),K2987,"")</f>
        <v/>
      </c>
      <c r="P2987" s="642" t="inlineStr">
        <is>
          <t>Москва, Варшавское ш., д. 12а</t>
        </is>
      </c>
      <c r="Q2987" s="640" t="inlineStr">
        <is>
          <t>55.697172</t>
        </is>
      </c>
      <c r="R2987" s="494" t="inlineStr">
        <is>
          <t>37.61832</t>
        </is>
      </c>
      <c r="S2987" s="387">
        <f>'Цены|Скидки'!$F$18</f>
        <v/>
      </c>
      <c r="T2987" s="387">
        <f>IF(N2987=1,S2987*O2987,0)</f>
        <v/>
      </c>
      <c r="Z2987" s="1" t="n"/>
    </row>
    <row r="2988" hidden="1" ht="16.05" customHeight="1">
      <c r="A2988" s="125" t="n">
        <v>3646</v>
      </c>
      <c r="B2988" s="265" t="n"/>
      <c r="C2988" s="130" t="inlineStr">
        <is>
          <t>Уфа</t>
        </is>
      </c>
      <c r="D2988" s="130" t="inlineStr">
        <is>
          <t>Уфа</t>
        </is>
      </c>
      <c r="E2988" s="130" t="inlineStr">
        <is>
          <t>PREMIUM</t>
        </is>
      </c>
      <c r="F2988" s="130" t="inlineStr">
        <is>
          <t>Фитнес</t>
        </is>
      </c>
      <c r="G2988" s="130" t="inlineStr">
        <is>
          <t>World Class</t>
        </is>
      </c>
      <c r="H2988" s="131" t="n">
        <v>12000</v>
      </c>
      <c r="I2988" s="637" t="inlineStr">
        <is>
          <t>World Class Уфа</t>
        </is>
      </c>
      <c r="J2988" s="637" t="inlineStr">
        <is>
          <t>UFA_WC01_TV01</t>
        </is>
      </c>
      <c r="K2988" s="640" t="n">
        <v>1</v>
      </c>
      <c r="L2988" s="640" t="n">
        <v>1</v>
      </c>
      <c r="M2988" s="623" t="inlineStr">
        <is>
          <t>ФОТО</t>
        </is>
      </c>
      <c r="N2988" s="640" t="n"/>
      <c r="O2988" s="640">
        <f>IF(AND(N2988=1,L2988=1),K2988,"")</f>
        <v/>
      </c>
      <c r="P2988" s="642" t="inlineStr">
        <is>
          <t>Уфа, Революционная ул.,39/2</t>
        </is>
      </c>
      <c r="Q2988" s="640" t="inlineStr">
        <is>
          <t>54.737233</t>
        </is>
      </c>
      <c r="R2988" s="494" t="inlineStr">
        <is>
          <t>55.947933</t>
        </is>
      </c>
      <c r="S2988" s="387">
        <f>'Цены|Скидки'!$F$18</f>
        <v/>
      </c>
      <c r="T2988" s="387">
        <f>IF(N2988=1,S2988*O2988,0)</f>
        <v/>
      </c>
      <c r="Z2988" s="1" t="n"/>
    </row>
    <row r="2989" hidden="1" ht="16.05" customHeight="1">
      <c r="A2989" s="125" t="n">
        <v>3647</v>
      </c>
      <c r="B2989" s="265" t="n"/>
      <c r="C2989" s="130" t="inlineStr">
        <is>
          <t>Екатеринбург</t>
        </is>
      </c>
      <c r="D2989" s="130" t="inlineStr">
        <is>
          <t>Екатеринбург</t>
        </is>
      </c>
      <c r="E2989" s="130" t="inlineStr">
        <is>
          <t>PREMIUM</t>
        </is>
      </c>
      <c r="F2989" s="130" t="inlineStr">
        <is>
          <t>Фитнес</t>
        </is>
      </c>
      <c r="G2989" s="130" t="inlineStr">
        <is>
          <t>World Class</t>
        </is>
      </c>
      <c r="H2989" s="131" t="n">
        <v>18000</v>
      </c>
      <c r="I2989" s="637" t="inlineStr">
        <is>
          <t>World Class Центр</t>
        </is>
      </c>
      <c r="J2989" s="637" t="inlineStr">
        <is>
          <t>EKT_WC01_TV01</t>
        </is>
      </c>
      <c r="K2989" s="640" t="n">
        <v>1</v>
      </c>
      <c r="L2989" s="640" t="n">
        <v>0</v>
      </c>
      <c r="M2989" s="623" t="inlineStr">
        <is>
          <t>ФОТО</t>
        </is>
      </c>
      <c r="N2989" s="640" t="n"/>
      <c r="O2989" s="640">
        <f>IF(AND(N2989=1,L2989=1),K2989,"")</f>
        <v/>
      </c>
      <c r="P2989" s="642" t="inlineStr">
        <is>
          <t>Красноармейская ул., д. 64</t>
        </is>
      </c>
      <c r="Q2989" s="640" t="inlineStr">
        <is>
          <t>56.83237</t>
        </is>
      </c>
      <c r="R2989" s="494" t="inlineStr">
        <is>
          <t>60.617487</t>
        </is>
      </c>
      <c r="S2989" s="387">
        <f>'Цены|Скидки'!$F$18</f>
        <v/>
      </c>
      <c r="T2989" s="387">
        <f>IF(N2989=1,S2989*O2989,0)</f>
        <v/>
      </c>
      <c r="Z2989" s="1" t="n"/>
    </row>
    <row r="2990" hidden="1" ht="16.05" customHeight="1">
      <c r="A2990" s="125" t="n">
        <v>3648</v>
      </c>
      <c r="B2990" s="265" t="n"/>
      <c r="C2990" s="130" t="inlineStr">
        <is>
          <t>Москва</t>
        </is>
      </c>
      <c r="D2990" s="130" t="inlineStr">
        <is>
          <t>Москва</t>
        </is>
      </c>
      <c r="E2990" s="130" t="inlineStr">
        <is>
          <t>PREMIUM</t>
        </is>
      </c>
      <c r="F2990" s="130" t="inlineStr">
        <is>
          <t>Фитнес</t>
        </is>
      </c>
      <c r="G2990" s="130" t="inlineStr">
        <is>
          <t>World Class</t>
        </is>
      </c>
      <c r="H2990" s="131" t="n">
        <v>15000</v>
      </c>
      <c r="I2990" s="637" t="inlineStr">
        <is>
          <t>World Class Шереметьевская</t>
        </is>
      </c>
      <c r="J2990" s="637" t="inlineStr">
        <is>
          <t>MSC_WC20_TV01</t>
        </is>
      </c>
      <c r="K2990" s="640" t="n">
        <v>1</v>
      </c>
      <c r="L2990" s="640" t="n">
        <v>1</v>
      </c>
      <c r="M2990" s="623" t="inlineStr">
        <is>
          <t>ФОТО</t>
        </is>
      </c>
      <c r="N2990" s="640" t="n"/>
      <c r="O2990" s="640">
        <f>IF(AND(N2990=1,L2990=1),K2990,"")</f>
        <v/>
      </c>
      <c r="P2990" s="642" t="inlineStr">
        <is>
          <t>Москва, 12-й проезд Марьиной Рощи, вл. 9, стр. 2</t>
        </is>
      </c>
      <c r="Q2990" s="640" t="inlineStr">
        <is>
          <t>55.80444</t>
        </is>
      </c>
      <c r="R2990" s="494" t="inlineStr">
        <is>
          <t>37.617886</t>
        </is>
      </c>
      <c r="S2990" s="387">
        <f>'Цены|Скидки'!$F$18</f>
        <v/>
      </c>
      <c r="T2990" s="387">
        <f>IF(N2990=1,S2990*O2990,0)</f>
        <v/>
      </c>
      <c r="Z2990" s="1" t="n"/>
    </row>
    <row r="2991" hidden="1" ht="16.05" customHeight="1">
      <c r="A2991" s="125" t="n">
        <v>3649</v>
      </c>
      <c r="B2991" s="265" t="n"/>
      <c r="C2991" s="130" t="inlineStr">
        <is>
          <t>Москва</t>
        </is>
      </c>
      <c r="D2991" s="130" t="inlineStr">
        <is>
          <t>Москва</t>
        </is>
      </c>
      <c r="E2991" s="130" t="inlineStr">
        <is>
          <t>UPPER PREMIUM</t>
        </is>
      </c>
      <c r="F2991" s="130" t="inlineStr">
        <is>
          <t>Фитнес</t>
        </is>
      </c>
      <c r="G2991" s="130" t="inlineStr">
        <is>
          <t>World Class</t>
        </is>
      </c>
      <c r="H2991" s="131" t="n">
        <v>13500</v>
      </c>
      <c r="I2991" s="637" t="inlineStr">
        <is>
          <t>World Class Ярцевская</t>
        </is>
      </c>
      <c r="J2991" s="637" t="inlineStr">
        <is>
          <t>MSC_WC22_TV01</t>
        </is>
      </c>
      <c r="K2991" s="640" t="n">
        <v>2</v>
      </c>
      <c r="L2991" s="640" t="n">
        <v>1</v>
      </c>
      <c r="M2991" s="623" t="inlineStr">
        <is>
          <t>ФОТО</t>
        </is>
      </c>
      <c r="N2991" s="640" t="n"/>
      <c r="O2991" s="640">
        <f>IF(AND(N2991=1,L2991=1),K2991,"")</f>
        <v/>
      </c>
      <c r="P2991" s="642" t="inlineStr">
        <is>
          <t>Москва, Ярцевская ул., вл. 19</t>
        </is>
      </c>
      <c r="Q2991" s="640" t="inlineStr">
        <is>
          <t>55.738651</t>
        </is>
      </c>
      <c r="R2991" s="494" t="inlineStr">
        <is>
          <t>37.410917</t>
        </is>
      </c>
      <c r="S2991" s="387">
        <f>'Цены|Скидки'!$E$18</f>
        <v/>
      </c>
      <c r="T2991" s="387">
        <f>IF(N2991=1,S2991*O2991,0)</f>
        <v/>
      </c>
      <c r="Z2991" s="1" t="n"/>
    </row>
    <row r="2992" hidden="1" ht="16.05" customHeight="1">
      <c r="A2992" s="125" t="n">
        <v>3668</v>
      </c>
      <c r="B2992" s="265" t="n"/>
      <c r="C2992" s="130" t="inlineStr">
        <is>
          <t>Москва</t>
        </is>
      </c>
      <c r="D2992" s="130" t="inlineStr">
        <is>
          <t>Москва</t>
        </is>
      </c>
      <c r="E2992" s="130" t="inlineStr">
        <is>
          <t>PREMIUM</t>
        </is>
      </c>
      <c r="F2992" s="130" t="inlineStr">
        <is>
          <t>Фитнес</t>
        </is>
      </c>
      <c r="G2992" s="130" t="inlineStr">
        <is>
          <t>С.С.С.Р</t>
        </is>
      </c>
      <c r="H2992" s="131" t="n">
        <v>13500</v>
      </c>
      <c r="I2992" s="637" t="inlineStr">
        <is>
          <t>СССР Алексеевская</t>
        </is>
      </c>
      <c r="J2992" s="637" t="inlineStr">
        <is>
          <t>MSC_FC33_TV01</t>
        </is>
      </c>
      <c r="K2992" s="640" t="n">
        <v>1</v>
      </c>
      <c r="L2992" s="640" t="n">
        <v>1</v>
      </c>
      <c r="M2992" s="623" t="inlineStr">
        <is>
          <t>ФОТО</t>
        </is>
      </c>
      <c r="N2992" s="640" t="n"/>
      <c r="O2992" s="640">
        <f>IF(AND(N2992=1,L2992=1),K2992,"")</f>
        <v/>
      </c>
      <c r="P2992" s="642" t="inlineStr">
        <is>
          <t>Москва, Новоалексеевская ул., д.25</t>
        </is>
      </c>
      <c r="Q2992" s="640" t="inlineStr">
        <is>
          <t>55.810995</t>
        </is>
      </c>
      <c r="R2992" s="494" t="inlineStr">
        <is>
          <t>37.651234</t>
        </is>
      </c>
      <c r="S2992" s="387">
        <f>'Цены|Скидки'!$G$18</f>
        <v/>
      </c>
      <c r="T2992" s="387">
        <f>IF(N2992=1,S2992*O2992,0)</f>
        <v/>
      </c>
      <c r="Z2992" s="1" t="n"/>
    </row>
    <row r="2993" hidden="1" ht="16.05" customHeight="1">
      <c r="A2993" s="125" t="n">
        <v>3652</v>
      </c>
      <c r="B2993" s="265" t="n"/>
      <c r="C2993" s="130" t="inlineStr">
        <is>
          <t>Москва</t>
        </is>
      </c>
      <c r="D2993" s="130" t="inlineStr">
        <is>
          <t>Москва</t>
        </is>
      </c>
      <c r="E2993" s="130" t="inlineStr">
        <is>
          <t>PREMIUM</t>
        </is>
      </c>
      <c r="F2993" s="130" t="inlineStr">
        <is>
          <t>Фитнес</t>
        </is>
      </c>
      <c r="G2993" s="130" t="inlineStr">
        <is>
          <t>Фитнес-центр</t>
        </is>
      </c>
      <c r="H2993" s="131" t="n">
        <v>12000</v>
      </c>
      <c r="I2993" s="637" t="inlineStr">
        <is>
          <t>Амазония</t>
        </is>
      </c>
      <c r="J2993" s="402" t="inlineStr">
        <is>
          <t>MSC_FC10_TV01</t>
        </is>
      </c>
      <c r="K2993" s="640" t="n">
        <v>2</v>
      </c>
      <c r="L2993" s="640" t="n">
        <v>0</v>
      </c>
      <c r="M2993" s="640" t="inlineStr">
        <is>
          <t>ФОТО</t>
        </is>
      </c>
      <c r="N2993" s="640" t="n"/>
      <c r="O2993" s="640">
        <f>IF(AND(N2993=1,L2993=1),K2993,"")</f>
        <v/>
      </c>
      <c r="P2993" s="642" t="inlineStr">
        <is>
          <t>Азовская, д. 24/3</t>
        </is>
      </c>
      <c r="Q2993" s="640" t="n">
        <v>55.647556</v>
      </c>
      <c r="R2993" s="422" t="n">
        <v>37.595534</v>
      </c>
      <c r="S2993" s="387" t="n">
        <v>402</v>
      </c>
      <c r="T2993" s="387">
        <f>IF(N2993=1,S2993*O2993,0)</f>
        <v/>
      </c>
      <c r="X2993" s="1" t="n"/>
      <c r="Y2993" s="1" t="n"/>
      <c r="Z2993" s="1" t="n"/>
    </row>
    <row r="2994" hidden="1" ht="16.05" customHeight="1">
      <c r="A2994" s="125" t="n">
        <v>3654</v>
      </c>
      <c r="B2994" s="265" t="n"/>
      <c r="C2994" s="130" t="inlineStr">
        <is>
          <t>Москва</t>
        </is>
      </c>
      <c r="D2994" s="130" t="inlineStr">
        <is>
          <t>Москва</t>
        </is>
      </c>
      <c r="E2994" s="130" t="inlineStr">
        <is>
          <t>PREMIUM</t>
        </is>
      </c>
      <c r="F2994" s="130" t="inlineStr">
        <is>
          <t>Фитнес</t>
        </is>
      </c>
      <c r="G2994" s="130" t="inlineStr">
        <is>
          <t>Зебра</t>
        </is>
      </c>
      <c r="H2994" s="131" t="n">
        <v>9000</v>
      </c>
      <c r="I2994" s="637" t="inlineStr">
        <is>
          <t>Зебра Автозаводская</t>
        </is>
      </c>
      <c r="J2994" s="402" t="inlineStr">
        <is>
          <t>MSC_FC01_TV01</t>
        </is>
      </c>
      <c r="K2994" s="640" t="n">
        <v>2</v>
      </c>
      <c r="L2994" s="640" t="n">
        <v>0</v>
      </c>
      <c r="M2994" s="640" t="inlineStr">
        <is>
          <t>ФОТО</t>
        </is>
      </c>
      <c r="N2994" s="640" t="n"/>
      <c r="O2994" s="640">
        <f>IF(AND(N2994=1,L2994=1),K2994,"")</f>
        <v/>
      </c>
      <c r="P2994" s="642" t="inlineStr">
        <is>
          <t>Ленинская Слобода, д. 19</t>
        </is>
      </c>
      <c r="Q2994" s="640" t="n">
        <v>55.708348</v>
      </c>
      <c r="R2994" s="422" t="n">
        <v>37.652636</v>
      </c>
      <c r="S2994" s="387" t="n">
        <v>402</v>
      </c>
      <c r="T2994" s="387">
        <f>IF(N2994=1,S2994*O2994,0)</f>
        <v/>
      </c>
      <c r="X2994" s="1" t="n"/>
      <c r="Y2994" s="1" t="n"/>
      <c r="Z2994" s="1" t="n"/>
    </row>
    <row r="2995" hidden="1" ht="16.05" customHeight="1">
      <c r="A2995" s="125" t="n">
        <v>3655</v>
      </c>
      <c r="B2995" s="265" t="n"/>
      <c r="C2995" s="130" t="inlineStr">
        <is>
          <t>Москва</t>
        </is>
      </c>
      <c r="D2995" s="130" t="inlineStr">
        <is>
          <t>Москва</t>
        </is>
      </c>
      <c r="E2995" s="130" t="inlineStr">
        <is>
          <t>PREMIUM</t>
        </is>
      </c>
      <c r="F2995" s="130" t="inlineStr">
        <is>
          <t>Фитнес</t>
        </is>
      </c>
      <c r="G2995" s="130" t="inlineStr">
        <is>
          <t>Зебра</t>
        </is>
      </c>
      <c r="H2995" s="131" t="n">
        <v>9000</v>
      </c>
      <c r="I2995" s="637" t="inlineStr">
        <is>
          <t>Зебра Алтуфьево</t>
        </is>
      </c>
      <c r="J2995" s="402" t="inlineStr">
        <is>
          <t>MSC_FC16_TV01</t>
        </is>
      </c>
      <c r="K2995" s="640" t="n">
        <v>1</v>
      </c>
      <c r="L2995" s="640" t="n">
        <v>0</v>
      </c>
      <c r="M2995" s="640" t="inlineStr">
        <is>
          <t>ФОТО</t>
        </is>
      </c>
      <c r="N2995" s="640" t="n"/>
      <c r="O2995" s="640">
        <f>IF(AND(N2995=1,L2995=1),K2995,"")</f>
        <v/>
      </c>
      <c r="P2995" s="642" t="inlineStr">
        <is>
          <t>Алтуфьевское шоссе, 18а</t>
        </is>
      </c>
      <c r="Q2995" s="640" t="n">
        <v>55.858138</v>
      </c>
      <c r="R2995" s="422" t="n">
        <v>37.585613</v>
      </c>
      <c r="S2995" s="387" t="n">
        <v>402</v>
      </c>
      <c r="T2995" s="387">
        <f>IF(N2995=1,S2995*O2995,0)</f>
        <v/>
      </c>
      <c r="X2995" s="1" t="n"/>
      <c r="Y2995" s="1" t="n"/>
      <c r="Z2995" s="1" t="n"/>
    </row>
    <row r="2996" hidden="1" ht="16.05" customHeight="1">
      <c r="A2996" s="125" t="n">
        <v>3656</v>
      </c>
      <c r="B2996" s="265" t="n"/>
      <c r="C2996" s="130" t="inlineStr">
        <is>
          <t>Москва</t>
        </is>
      </c>
      <c r="D2996" s="130" t="inlineStr">
        <is>
          <t>Москва</t>
        </is>
      </c>
      <c r="E2996" s="130" t="inlineStr">
        <is>
          <t>PREMIUM</t>
        </is>
      </c>
      <c r="F2996" s="130" t="inlineStr">
        <is>
          <t>Фитнес</t>
        </is>
      </c>
      <c r="G2996" s="130" t="inlineStr">
        <is>
          <t>Зебра</t>
        </is>
      </c>
      <c r="H2996" s="131" t="n">
        <v>12000</v>
      </c>
      <c r="I2996" s="637" t="inlineStr">
        <is>
          <t>Зебра Бульвар Адмирала Ушакова</t>
        </is>
      </c>
      <c r="J2996" s="402" t="inlineStr">
        <is>
          <t>MSC_FC02_TV01</t>
        </is>
      </c>
      <c r="K2996" s="640" t="n">
        <v>1</v>
      </c>
      <c r="L2996" s="640" t="n">
        <v>0</v>
      </c>
      <c r="M2996" s="640" t="inlineStr">
        <is>
          <t>ФОТО</t>
        </is>
      </c>
      <c r="N2996" s="640" t="n"/>
      <c r="O2996" s="640">
        <f>IF(AND(N2996=1,L2996=1),K2996,"")</f>
        <v/>
      </c>
      <c r="P2996" s="642" t="inlineStr">
        <is>
          <t>Южное Бутово, ул. Веневская, д. 6, ТРК "Витте Молл"</t>
        </is>
      </c>
      <c r="Q2996" s="640" t="n">
        <v>55.548009</v>
      </c>
      <c r="R2996" s="422" t="n">
        <v>37.543171</v>
      </c>
      <c r="S2996" s="387" t="n">
        <v>402</v>
      </c>
      <c r="T2996" s="387">
        <f>IF(N2996=1,S2996*O2996,0)</f>
        <v/>
      </c>
      <c r="X2996" s="1" t="n"/>
      <c r="Y2996" s="1" t="n"/>
      <c r="Z2996" s="1" t="n"/>
    </row>
    <row r="2997" hidden="1" ht="16.05" customHeight="1">
      <c r="A2997" s="125" t="n">
        <v>3657</v>
      </c>
      <c r="B2997" s="265" t="n"/>
      <c r="C2997" s="130" t="inlineStr">
        <is>
          <t>Москва</t>
        </is>
      </c>
      <c r="D2997" s="130" t="inlineStr">
        <is>
          <t>Москва</t>
        </is>
      </c>
      <c r="E2997" s="130" t="inlineStr">
        <is>
          <t>PREMIUM</t>
        </is>
      </c>
      <c r="F2997" s="130" t="inlineStr">
        <is>
          <t>Фитнес</t>
        </is>
      </c>
      <c r="G2997" s="130" t="inlineStr">
        <is>
          <t>Зебра</t>
        </is>
      </c>
      <c r="H2997" s="131" t="n">
        <v>10500</v>
      </c>
      <c r="I2997" s="637" t="inlineStr">
        <is>
          <t>Зебра Дубровка</t>
        </is>
      </c>
      <c r="J2997" s="402" t="inlineStr">
        <is>
          <t>MSC_FC08_TV01</t>
        </is>
      </c>
      <c r="K2997" s="640" t="n">
        <v>2</v>
      </c>
      <c r="L2997" s="640" t="n">
        <v>0</v>
      </c>
      <c r="M2997" s="640" t="inlineStr">
        <is>
          <t>ФОТО</t>
        </is>
      </c>
      <c r="N2997" s="640" t="n"/>
      <c r="O2997" s="640">
        <f>IF(AND(N2997=1,L2997=1),K2997,"")</f>
        <v/>
      </c>
      <c r="P2997" s="642" t="inlineStr">
        <is>
          <t>1-я ул. Машиностроения, 10</t>
        </is>
      </c>
      <c r="Q2997" s="640" t="n">
        <v>55.714301</v>
      </c>
      <c r="R2997" s="422" t="n">
        <v>37.670172</v>
      </c>
      <c r="S2997" s="387" t="n">
        <v>402</v>
      </c>
      <c r="T2997" s="387">
        <f>IF(N2997=1,S2997*O2997,0)</f>
        <v/>
      </c>
      <c r="X2997" s="1" t="n"/>
      <c r="Y2997" s="1" t="n"/>
      <c r="Z2997" s="1" t="n"/>
    </row>
    <row r="2998" hidden="1" ht="16.05" customHeight="1">
      <c r="A2998" s="125" t="n">
        <v>3660</v>
      </c>
      <c r="B2998" s="265" t="n"/>
      <c r="C2998" s="130" t="inlineStr">
        <is>
          <t>Москва</t>
        </is>
      </c>
      <c r="D2998" s="130" t="inlineStr">
        <is>
          <t>Москва</t>
        </is>
      </c>
      <c r="E2998" s="130" t="inlineStr">
        <is>
          <t>PREMIUM</t>
        </is>
      </c>
      <c r="F2998" s="130" t="inlineStr">
        <is>
          <t>Фитнес</t>
        </is>
      </c>
      <c r="G2998" s="130" t="inlineStr">
        <is>
          <t>Зебра</t>
        </is>
      </c>
      <c r="H2998" s="131" t="n">
        <v>10500</v>
      </c>
      <c r="I2998" s="637" t="inlineStr">
        <is>
          <t>Зебра Ленинский проспект</t>
        </is>
      </c>
      <c r="J2998" s="402" t="inlineStr">
        <is>
          <t>MSC_FC18_TV01</t>
        </is>
      </c>
      <c r="K2998" s="640" t="n">
        <v>2</v>
      </c>
      <c r="L2998" s="640" t="n">
        <v>0</v>
      </c>
      <c r="M2998" s="640" t="inlineStr">
        <is>
          <t>ФОТО</t>
        </is>
      </c>
      <c r="N2998" s="640" t="n"/>
      <c r="O2998" s="640">
        <f>IF(AND(N2998=1,L2998=1),K2998,"")</f>
        <v/>
      </c>
      <c r="P2998" s="642" t="inlineStr">
        <is>
          <t>Орджоникидзе, д. 10а</t>
        </is>
      </c>
      <c r="Q2998" s="640" t="n">
        <v>55.711062</v>
      </c>
      <c r="R2998" s="422" t="n">
        <v>37.591722</v>
      </c>
      <c r="S2998" s="387" t="n">
        <v>402</v>
      </c>
      <c r="T2998" s="387">
        <f>IF(N2998=1,S2998*O2998,0)</f>
        <v/>
      </c>
      <c r="X2998" s="1" t="n"/>
      <c r="Y2998" s="1" t="n"/>
      <c r="Z2998" s="1" t="n"/>
    </row>
    <row r="2999" hidden="1" ht="16.05" customHeight="1">
      <c r="A2999" s="125" t="n">
        <v>3661</v>
      </c>
      <c r="B2999" s="265" t="n"/>
      <c r="C2999" s="130" t="inlineStr">
        <is>
          <t>Москва</t>
        </is>
      </c>
      <c r="D2999" s="130" t="inlineStr">
        <is>
          <t>Московская обл.</t>
        </is>
      </c>
      <c r="E2999" s="130" t="inlineStr">
        <is>
          <t>PREMIUM</t>
        </is>
      </c>
      <c r="F2999" s="130" t="inlineStr">
        <is>
          <t>Фитнес</t>
        </is>
      </c>
      <c r="G2999" s="130" t="inlineStr">
        <is>
          <t>Зебра</t>
        </is>
      </c>
      <c r="H2999" s="131" t="n">
        <v>12000</v>
      </c>
      <c r="I2999" s="637" t="inlineStr">
        <is>
          <t>Зебра Мытищи Олимпийский</t>
        </is>
      </c>
      <c r="J2999" s="402" t="inlineStr">
        <is>
          <t>MO_FC01_TV01</t>
        </is>
      </c>
      <c r="K2999" s="640" t="n">
        <v>1</v>
      </c>
      <c r="L2999" s="640" t="n">
        <v>0</v>
      </c>
      <c r="M2999" s="640" t="inlineStr">
        <is>
          <t>ФОТО</t>
        </is>
      </c>
      <c r="N2999" s="640" t="n"/>
      <c r="O2999" s="640">
        <f>IF(AND(N2999=1,L2999=1),K2999,"")</f>
        <v/>
      </c>
      <c r="P2999" s="642" t="inlineStr">
        <is>
          <t>г. Мытищи, Олимпийский проспект, 29-С2</t>
        </is>
      </c>
      <c r="Q2999" s="640" t="n">
        <v>55.913538</v>
      </c>
      <c r="R2999" s="422" t="n">
        <v>37.776039</v>
      </c>
      <c r="S2999" s="387" t="n">
        <v>402</v>
      </c>
      <c r="T2999" s="387">
        <f>IF(N2999=1,S2999*O2999,0)</f>
        <v/>
      </c>
      <c r="X2999" s="1" t="n"/>
      <c r="Y2999" s="1" t="n"/>
      <c r="Z2999" s="1" t="n"/>
    </row>
    <row r="3000" hidden="1" ht="16.05" customHeight="1">
      <c r="A3000" s="125" t="n">
        <v>3662</v>
      </c>
      <c r="B3000" s="265" t="n"/>
      <c r="C3000" s="130" t="inlineStr">
        <is>
          <t>Москва</t>
        </is>
      </c>
      <c r="D3000" s="130" t="inlineStr">
        <is>
          <t>Москва</t>
        </is>
      </c>
      <c r="E3000" s="130" t="inlineStr">
        <is>
          <t>PREMIUM</t>
        </is>
      </c>
      <c r="F3000" s="130" t="inlineStr">
        <is>
          <t>Фитнес</t>
        </is>
      </c>
      <c r="G3000" s="130" t="inlineStr">
        <is>
          <t>Зебра</t>
        </is>
      </c>
      <c r="H3000" s="131" t="n">
        <v>10500</v>
      </c>
      <c r="I3000" s="637" t="inlineStr">
        <is>
          <t>Зебра Нижегородская</t>
        </is>
      </c>
      <c r="J3000" s="402" t="inlineStr">
        <is>
          <t>MSC_FC03_TV01</t>
        </is>
      </c>
      <c r="K3000" s="640" t="n">
        <v>1</v>
      </c>
      <c r="L3000" s="640" t="n">
        <v>0</v>
      </c>
      <c r="M3000" s="640" t="inlineStr">
        <is>
          <t>ФОТО</t>
        </is>
      </c>
      <c r="N3000" s="640" t="n"/>
      <c r="O3000" s="640">
        <f>IF(AND(N3000=1,L3000=1),K3000,"")</f>
        <v/>
      </c>
      <c r="P3000" s="642" t="inlineStr">
        <is>
          <t>Рязанский пр-т, д.2</t>
        </is>
      </c>
      <c r="Q3000" s="640" t="n">
        <v>55.730373</v>
      </c>
      <c r="R3000" s="422" t="n">
        <v>37.737936</v>
      </c>
      <c r="S3000" s="387" t="n">
        <v>402</v>
      </c>
      <c r="T3000" s="387">
        <f>IF(N3000=1,S3000*O3000,0)</f>
        <v/>
      </c>
      <c r="X3000" s="1" t="n"/>
      <c r="Y3000" s="1" t="n"/>
      <c r="Z3000" s="1" t="n"/>
    </row>
    <row r="3001" hidden="1" ht="16.05" customHeight="1">
      <c r="A3001" s="125" t="n">
        <v>3663</v>
      </c>
      <c r="B3001" s="265" t="n"/>
      <c r="C3001" s="130" t="inlineStr">
        <is>
          <t>Москва</t>
        </is>
      </c>
      <c r="D3001" s="130" t="inlineStr">
        <is>
          <t>Москва</t>
        </is>
      </c>
      <c r="E3001" s="130" t="inlineStr">
        <is>
          <t>PREMIUM</t>
        </is>
      </c>
      <c r="F3001" s="130" t="inlineStr">
        <is>
          <t>Фитнес</t>
        </is>
      </c>
      <c r="G3001" s="130" t="inlineStr">
        <is>
          <t>Зебра</t>
        </is>
      </c>
      <c r="H3001" s="131" t="n">
        <v>7500</v>
      </c>
      <c r="I3001" s="637" t="inlineStr">
        <is>
          <t>Зебра Петровско-Разумовская</t>
        </is>
      </c>
      <c r="J3001" s="402" t="inlineStr">
        <is>
          <t>MSC_FC17_TV01</t>
        </is>
      </c>
      <c r="K3001" s="640" t="n">
        <v>1</v>
      </c>
      <c r="L3001" s="640" t="n">
        <v>0</v>
      </c>
      <c r="M3001" s="640" t="inlineStr">
        <is>
          <t>ФОТО</t>
        </is>
      </c>
      <c r="N3001" s="640" t="n"/>
      <c r="O3001" s="640">
        <f>IF(AND(N3001=1,L3001=1),K3001,"")</f>
        <v/>
      </c>
      <c r="P3001" s="642" t="inlineStr">
        <is>
          <t>3-й Нижнелихоборский проезд, д. 1, стр. 16</t>
        </is>
      </c>
      <c r="Q3001" s="640" t="n">
        <v>55.847834</v>
      </c>
      <c r="R3001" s="422" t="n">
        <v>37.564497</v>
      </c>
      <c r="S3001" s="387" t="n">
        <v>465</v>
      </c>
      <c r="T3001" s="387">
        <f>IF(N3001=1,S3001*O3001,0)</f>
        <v/>
      </c>
      <c r="X3001" s="1" t="n"/>
      <c r="Y3001" s="1" t="n"/>
      <c r="Z3001" s="1" t="n"/>
    </row>
    <row r="3002" hidden="1" ht="16.05" customHeight="1">
      <c r="A3002" s="125" t="n">
        <v>3665</v>
      </c>
      <c r="B3002" s="265" t="n"/>
      <c r="C3002" s="130" t="inlineStr">
        <is>
          <t>Москва</t>
        </is>
      </c>
      <c r="D3002" s="130" t="inlineStr">
        <is>
          <t>Москва</t>
        </is>
      </c>
      <c r="E3002" s="130" t="inlineStr">
        <is>
          <t>PREMIUM</t>
        </is>
      </c>
      <c r="F3002" s="130" t="inlineStr">
        <is>
          <t>Фитнес</t>
        </is>
      </c>
      <c r="G3002" s="130" t="inlineStr">
        <is>
          <t>Зебра</t>
        </is>
      </c>
      <c r="H3002" s="131" t="n">
        <v>9000</v>
      </c>
      <c r="I3002" s="637" t="inlineStr">
        <is>
          <t>Зебра Речной вокзал</t>
        </is>
      </c>
      <c r="J3002" s="402" t="inlineStr">
        <is>
          <t>MSC_FC04_TV01</t>
        </is>
      </c>
      <c r="K3002" s="640" t="n">
        <v>2</v>
      </c>
      <c r="L3002" s="640" t="n">
        <v>0</v>
      </c>
      <c r="M3002" s="640" t="inlineStr">
        <is>
          <t>ФОТО</t>
        </is>
      </c>
      <c r="N3002" s="640" t="n"/>
      <c r="O3002" s="640">
        <f>IF(AND(N3002=1,L3002=1),K3002,"")</f>
        <v/>
      </c>
      <c r="P3002" s="642" t="inlineStr">
        <is>
          <t>Ленинградское шоссе, д. 47А</t>
        </is>
      </c>
      <c r="Q3002" s="640" t="n">
        <v>55.844796</v>
      </c>
      <c r="R3002" s="422" t="n">
        <v>37.47626</v>
      </c>
      <c r="S3002" s="387" t="n">
        <v>402</v>
      </c>
      <c r="T3002" s="387">
        <f>IF(N3002=1,S3002*O3002,0)</f>
        <v/>
      </c>
      <c r="X3002" s="1" t="n"/>
      <c r="Y3002" s="1" t="n"/>
      <c r="Z3002" s="1" t="n"/>
    </row>
    <row r="3003" hidden="1" ht="16.05" customHeight="1">
      <c r="A3003" s="125" t="n">
        <v>3667</v>
      </c>
      <c r="B3003" s="265" t="n"/>
      <c r="C3003" s="130" t="inlineStr">
        <is>
          <t>Москва</t>
        </is>
      </c>
      <c r="D3003" s="130" t="inlineStr">
        <is>
          <t>Московская обл.</t>
        </is>
      </c>
      <c r="E3003" s="130" t="inlineStr">
        <is>
          <t>PREMIUM</t>
        </is>
      </c>
      <c r="F3003" s="130" t="inlineStr">
        <is>
          <t>Фитнес</t>
        </is>
      </c>
      <c r="G3003" s="130" t="inlineStr">
        <is>
          <t>Спорт Квартал</t>
        </is>
      </c>
      <c r="H3003" s="131" t="n">
        <v>10500</v>
      </c>
      <c r="I3003" s="637" t="inlineStr">
        <is>
          <t>Спорт Квартал Щелково</t>
        </is>
      </c>
      <c r="J3003" s="402" t="inlineStr">
        <is>
          <t>MO_FC02_TV01</t>
        </is>
      </c>
      <c r="K3003" s="640" t="n">
        <v>2</v>
      </c>
      <c r="L3003" s="640" t="n">
        <v>0</v>
      </c>
      <c r="M3003" s="640" t="inlineStr">
        <is>
          <t>ФОТО</t>
        </is>
      </c>
      <c r="N3003" s="640" t="n"/>
      <c r="O3003" s="640">
        <f>IF(AND(N3003=1,L3003=1),K3003,"")</f>
        <v/>
      </c>
      <c r="P3003" s="642" t="inlineStr">
        <is>
          <t>г. Щелково, ул. Талсинская д.9</t>
        </is>
      </c>
      <c r="Q3003" s="640" t="n">
        <v>55.925562</v>
      </c>
      <c r="R3003" s="422" t="n">
        <v>37.99071</v>
      </c>
      <c r="S3003" s="387" t="n">
        <v>402</v>
      </c>
      <c r="T3003" s="387">
        <f>IF(N3003=1,S3003*O3003,0)</f>
        <v/>
      </c>
      <c r="X3003" s="1" t="n"/>
      <c r="Y3003" s="1" t="n"/>
      <c r="Z3003" s="1" t="n"/>
    </row>
    <row r="3004" hidden="1" ht="16.05" customHeight="1">
      <c r="A3004" s="125" t="n">
        <v>3669</v>
      </c>
      <c r="B3004" s="265" t="n"/>
      <c r="C3004" s="130" t="inlineStr">
        <is>
          <t>Москва</t>
        </is>
      </c>
      <c r="D3004" s="130" t="inlineStr">
        <is>
          <t>Московская область</t>
        </is>
      </c>
      <c r="E3004" s="130" t="inlineStr">
        <is>
          <t>PREMIUM</t>
        </is>
      </c>
      <c r="F3004" s="130" t="inlineStr">
        <is>
          <t>Фитнес</t>
        </is>
      </c>
      <c r="G3004" s="130" t="inlineStr">
        <is>
          <t>С.С.С.Р</t>
        </is>
      </c>
      <c r="H3004" s="131" t="n">
        <v>30000</v>
      </c>
      <c r="I3004" s="637" t="inlineStr">
        <is>
          <t>СССР Балашиха</t>
        </is>
      </c>
      <c r="J3004" s="637" t="inlineStr">
        <is>
          <t>MO_FC07_TV01</t>
        </is>
      </c>
      <c r="K3004" s="640" t="n">
        <v>1</v>
      </c>
      <c r="L3004" s="640" t="n">
        <v>1</v>
      </c>
      <c r="M3004" s="623" t="inlineStr">
        <is>
          <t>ФОТО</t>
        </is>
      </c>
      <c r="N3004" s="640" t="n"/>
      <c r="O3004" s="640">
        <f>IF(AND(N3004=1,L3004=1),K3004,"")</f>
        <v/>
      </c>
      <c r="P3004" s="642" t="inlineStr">
        <is>
          <t>Московская область, г. Балашиха, Проспект Ленина, д.82 корпус 3</t>
        </is>
      </c>
      <c r="Q3004" s="640" t="inlineStr">
        <is>
          <t>55.800666</t>
        </is>
      </c>
      <c r="R3004" s="494" t="inlineStr">
        <is>
          <t>37.987305</t>
        </is>
      </c>
      <c r="S3004" s="387">
        <f>'Цены|Скидки'!$G$18</f>
        <v/>
      </c>
      <c r="T3004" s="387">
        <f>IF(N3004=1,S3004*O3004,0)</f>
        <v/>
      </c>
      <c r="Z3004" s="1" t="n"/>
    </row>
    <row r="3005" hidden="1" ht="16.05" customHeight="1">
      <c r="A3005" s="125" t="n">
        <v>3670</v>
      </c>
      <c r="B3005" s="265" t="n"/>
      <c r="C3005" s="130" t="inlineStr">
        <is>
          <t>Москва</t>
        </is>
      </c>
      <c r="D3005" s="130" t="inlineStr">
        <is>
          <t>Москва</t>
        </is>
      </c>
      <c r="E3005" s="130" t="inlineStr">
        <is>
          <t>PREMIUM</t>
        </is>
      </c>
      <c r="F3005" s="130" t="inlineStr">
        <is>
          <t>Фитнес</t>
        </is>
      </c>
      <c r="G3005" s="130" t="inlineStr">
        <is>
          <t>С.С.С.Р</t>
        </is>
      </c>
      <c r="H3005" s="131" t="n">
        <v>9000</v>
      </c>
      <c r="I3005" s="637" t="inlineStr">
        <is>
          <t>СССР Бутово Молл</t>
        </is>
      </c>
      <c r="J3005" s="637" t="inlineStr">
        <is>
          <t>MSC_FC74_TV01</t>
        </is>
      </c>
      <c r="K3005" s="640" t="n">
        <v>1</v>
      </c>
      <c r="L3005" s="640" t="n">
        <v>1</v>
      </c>
      <c r="M3005" s="623" t="inlineStr">
        <is>
          <t>ФОТО</t>
        </is>
      </c>
      <c r="N3005" s="640" t="n"/>
      <c r="O3005" s="640">
        <f>IF(AND(N3005=1,L3005=1),K3005,"")</f>
        <v/>
      </c>
      <c r="P3005" s="642" t="inlineStr">
        <is>
          <t>Москва, Чечёрский проезд, д 51 (ТЦ Бутово Молл)</t>
        </is>
      </c>
      <c r="Q3005" s="640" t="inlineStr">
        <is>
          <t>55.524081</t>
        </is>
      </c>
      <c r="R3005" s="494" t="inlineStr">
        <is>
          <t>37.516833</t>
        </is>
      </c>
      <c r="S3005" s="387">
        <f>'Цены|Скидки'!$G$18</f>
        <v/>
      </c>
      <c r="T3005" s="387">
        <f>IF(N3005=1,S3005*O3005,0)</f>
        <v/>
      </c>
      <c r="Z3005" s="1" t="n"/>
    </row>
    <row r="3006" hidden="1" ht="16.05" customHeight="1">
      <c r="A3006" s="125" t="n">
        <v>3672</v>
      </c>
      <c r="B3006" s="265" t="n"/>
      <c r="C3006" s="130" t="inlineStr">
        <is>
          <t>Москва</t>
        </is>
      </c>
      <c r="D3006" s="130" t="inlineStr">
        <is>
          <t>Москва</t>
        </is>
      </c>
      <c r="E3006" s="130" t="inlineStr">
        <is>
          <t>PREMIUM</t>
        </is>
      </c>
      <c r="F3006" s="130" t="inlineStr">
        <is>
          <t>Фитнес</t>
        </is>
      </c>
      <c r="G3006" s="130" t="inlineStr">
        <is>
          <t>С.С.С.Р</t>
        </is>
      </c>
      <c r="H3006" s="131" t="n">
        <v>9000</v>
      </c>
      <c r="I3006" s="637" t="inlineStr">
        <is>
          <t>СССР Бутово Парк</t>
        </is>
      </c>
      <c r="J3006" s="637" t="inlineStr">
        <is>
          <t>MSC_FC72_TV01</t>
        </is>
      </c>
      <c r="K3006" s="640" t="n">
        <v>2</v>
      </c>
      <c r="L3006" s="640" t="n">
        <v>1</v>
      </c>
      <c r="M3006" s="623" t="inlineStr">
        <is>
          <t>ФОТО</t>
        </is>
      </c>
      <c r="N3006" s="640" t="n"/>
      <c r="O3006" s="640">
        <f>IF(AND(N3006=1,L3006=1),K3006,"")</f>
        <v/>
      </c>
      <c r="P3006" s="642" t="inlineStr">
        <is>
          <t>Москва, Жилой Комплекс Бутово- Парк, д. 22</t>
        </is>
      </c>
      <c r="Q3006" s="640" t="inlineStr">
        <is>
          <t>55.545027</t>
        </is>
      </c>
      <c r="R3006" s="494" t="inlineStr">
        <is>
          <t>37.585998</t>
        </is>
      </c>
      <c r="S3006" s="387">
        <f>'Цены|Скидки'!$G$18</f>
        <v/>
      </c>
      <c r="T3006" s="387">
        <f>IF(N3006=1,S3006*O3006,0)</f>
        <v/>
      </c>
      <c r="Z3006" s="1" t="n"/>
    </row>
    <row r="3007" hidden="1" ht="16.05" customHeight="1">
      <c r="A3007" s="125" t="n">
        <v>3673</v>
      </c>
      <c r="B3007" s="265" t="n"/>
      <c r="C3007" s="130" t="inlineStr">
        <is>
          <t>Москва</t>
        </is>
      </c>
      <c r="D3007" s="130" t="inlineStr">
        <is>
          <t>Москва</t>
        </is>
      </c>
      <c r="E3007" s="130" t="inlineStr">
        <is>
          <t>UPPER PREMIUM</t>
        </is>
      </c>
      <c r="F3007" s="130" t="inlineStr">
        <is>
          <t>Фитнес</t>
        </is>
      </c>
      <c r="G3007" s="130" t="inlineStr">
        <is>
          <t>С.С.С.Р</t>
        </is>
      </c>
      <c r="H3007" s="131" t="n">
        <v>12000</v>
      </c>
      <c r="I3007" s="637" t="inlineStr">
        <is>
          <t>СССР Верейская</t>
        </is>
      </c>
      <c r="J3007" s="637" t="inlineStr">
        <is>
          <t>MSC_FC31_TV01</t>
        </is>
      </c>
      <c r="K3007" s="640" t="n">
        <v>1</v>
      </c>
      <c r="L3007" s="640" t="n">
        <v>1</v>
      </c>
      <c r="M3007" s="623" t="inlineStr">
        <is>
          <t>ФОТО</t>
        </is>
      </c>
      <c r="N3007" s="640" t="n"/>
      <c r="O3007" s="640">
        <f>IF(AND(N3007=1,L3007=1),K3007,"")</f>
        <v/>
      </c>
      <c r="P3007" s="642" t="inlineStr">
        <is>
          <t>Москва, Верейская ул., д.29, стр134, БЦ Верейская Плаза</t>
        </is>
      </c>
      <c r="Q3007" s="640" t="inlineStr">
        <is>
          <t>55.710661</t>
        </is>
      </c>
      <c r="R3007" s="494" t="inlineStr">
        <is>
          <t>37.443793</t>
        </is>
      </c>
      <c r="S3007" s="387">
        <f>'Цены|Скидки'!$E$18</f>
        <v/>
      </c>
      <c r="T3007" s="387">
        <f>IF(N3007=1,S3007*O3007,0)</f>
        <v/>
      </c>
      <c r="Z3007" s="1" t="n"/>
    </row>
    <row r="3008" hidden="1" ht="16.05" customHeight="1">
      <c r="A3008" s="125" t="n">
        <v>3675</v>
      </c>
      <c r="B3008" s="265" t="n"/>
      <c r="C3008" s="130" t="inlineStr">
        <is>
          <t>Москва</t>
        </is>
      </c>
      <c r="D3008" s="130" t="inlineStr">
        <is>
          <t>Москва</t>
        </is>
      </c>
      <c r="E3008" s="130" t="inlineStr">
        <is>
          <t>PREMIUM</t>
        </is>
      </c>
      <c r="F3008" s="130" t="inlineStr">
        <is>
          <t>Фитнес</t>
        </is>
      </c>
      <c r="G3008" s="130" t="inlineStr">
        <is>
          <t>С.С.С.Р</t>
        </is>
      </c>
      <c r="H3008" s="131" t="n">
        <v>12000</v>
      </c>
      <c r="I3008" s="637" t="inlineStr">
        <is>
          <t>СССР Волгоградский проспект</t>
        </is>
      </c>
      <c r="J3008" s="637" t="inlineStr">
        <is>
          <t>MSC_FC32_TV01</t>
        </is>
      </c>
      <c r="K3008" s="640" t="n">
        <v>2</v>
      </c>
      <c r="L3008" s="640" t="n">
        <v>1</v>
      </c>
      <c r="M3008" s="623" t="inlineStr">
        <is>
          <t>ФОТО</t>
        </is>
      </c>
      <c r="N3008" s="640" t="n"/>
      <c r="O3008" s="640">
        <f>IF(AND(N3008=1,L3008=1),K3008,"")</f>
        <v/>
      </c>
      <c r="P3008" s="642" t="inlineStr">
        <is>
          <t>Москва, Михайловский проезд, д.1,  стр.1</t>
        </is>
      </c>
      <c r="Q3008" s="640" t="inlineStr">
        <is>
          <t>55.731907</t>
        </is>
      </c>
      <c r="R3008" s="494" t="inlineStr">
        <is>
          <t>37.686714</t>
        </is>
      </c>
      <c r="S3008" s="387">
        <f>'Цены|Скидки'!$G$18</f>
        <v/>
      </c>
      <c r="T3008" s="387">
        <f>IF(N3008=1,S3008*O3008,0)</f>
        <v/>
      </c>
      <c r="Z3008" s="1" t="n"/>
    </row>
    <row r="3009" hidden="1" ht="16.05" customHeight="1">
      <c r="A3009" s="125" t="n">
        <v>3677</v>
      </c>
      <c r="B3009" s="265" t="n"/>
      <c r="C3009" s="130" t="inlineStr">
        <is>
          <t>Москва</t>
        </is>
      </c>
      <c r="D3009" s="130" t="inlineStr">
        <is>
          <t>Московская область</t>
        </is>
      </c>
      <c r="E3009" s="130" t="inlineStr">
        <is>
          <t>PREMIUM</t>
        </is>
      </c>
      <c r="F3009" s="130" t="inlineStr">
        <is>
          <t>Фитнес</t>
        </is>
      </c>
      <c r="G3009" s="130" t="inlineStr">
        <is>
          <t>С.С.С.Р</t>
        </is>
      </c>
      <c r="H3009" s="131" t="n">
        <v>30000</v>
      </c>
      <c r="I3009" s="637" t="inlineStr">
        <is>
          <t>СССР Дзержинский</t>
        </is>
      </c>
      <c r="J3009" s="637" t="inlineStr">
        <is>
          <t>MO_FC06_TV01</t>
        </is>
      </c>
      <c r="K3009" s="640" t="n">
        <v>2</v>
      </c>
      <c r="L3009" s="640" t="n">
        <v>1</v>
      </c>
      <c r="M3009" s="623" t="inlineStr">
        <is>
          <t>ФОТО</t>
        </is>
      </c>
      <c r="N3009" s="640" t="n"/>
      <c r="O3009" s="640">
        <f>IF(AND(N3009=1,L3009=1),K3009,"")</f>
        <v/>
      </c>
      <c r="P3009" s="642" t="inlineStr">
        <is>
          <t>Московская область, г. Дзержинский, Дзержинское шоссе, д. 3</t>
        </is>
      </c>
      <c r="Q3009" s="640" t="inlineStr">
        <is>
          <t>55.640441</t>
        </is>
      </c>
      <c r="R3009" s="494" t="inlineStr">
        <is>
          <t>37.83988</t>
        </is>
      </c>
      <c r="S3009" s="387">
        <f>'Цены|Скидки'!$G$18</f>
        <v/>
      </c>
      <c r="T3009" s="387">
        <f>IF(N3009=1,S3009*O3009,0)</f>
        <v/>
      </c>
      <c r="Z3009" s="1" t="n"/>
    </row>
    <row r="3010" hidden="1" ht="16.05" customHeight="1">
      <c r="A3010" s="125" t="n">
        <v>3679</v>
      </c>
      <c r="B3010" s="265" t="n"/>
      <c r="C3010" s="130" t="inlineStr">
        <is>
          <t>Москва</t>
        </is>
      </c>
      <c r="D3010" s="130" t="inlineStr">
        <is>
          <t>Московская область</t>
        </is>
      </c>
      <c r="E3010" s="130" t="inlineStr">
        <is>
          <t>PREMIUM</t>
        </is>
      </c>
      <c r="F3010" s="130" t="inlineStr">
        <is>
          <t>Фитнес</t>
        </is>
      </c>
      <c r="G3010" s="130" t="inlineStr">
        <is>
          <t>С.С.С.Р</t>
        </is>
      </c>
      <c r="H3010" s="131" t="n">
        <v>13000</v>
      </c>
      <c r="I3010" s="637" t="inlineStr">
        <is>
          <t>СССР Долгопрудный</t>
        </is>
      </c>
      <c r="J3010" s="637" t="inlineStr">
        <is>
          <t>MO_FC21_TV01</t>
        </is>
      </c>
      <c r="K3010" s="640" t="n">
        <v>2</v>
      </c>
      <c r="L3010" s="640" t="n">
        <v>1</v>
      </c>
      <c r="M3010" s="623" t="inlineStr">
        <is>
          <t>ФОТО</t>
        </is>
      </c>
      <c r="N3010" s="640" t="n"/>
      <c r="O3010" s="640">
        <f>IF(AND(N3010=1,L3010=1),K3010,"")</f>
        <v/>
      </c>
      <c r="P3010" s="642" t="inlineStr">
        <is>
          <t>Московская область, г. Долгопрудный, просп. Пацаева, 7, корп. 11</t>
        </is>
      </c>
      <c r="Q3010" s="640" t="inlineStr">
        <is>
          <t>55.946212</t>
        </is>
      </c>
      <c r="R3010" s="494" t="inlineStr">
        <is>
          <t>37.499771</t>
        </is>
      </c>
      <c r="S3010" s="387">
        <f>'Цены|Скидки'!$G$18</f>
        <v/>
      </c>
      <c r="T3010" s="387">
        <f>IF(N3010=1,S3010*O3010,0)</f>
        <v/>
      </c>
      <c r="Z3010" s="1" t="n"/>
    </row>
    <row r="3011" hidden="1" ht="16.05" customHeight="1">
      <c r="A3011" s="125" t="n">
        <v>3680</v>
      </c>
      <c r="B3011" s="265" t="n"/>
      <c r="C3011" s="130" t="inlineStr">
        <is>
          <t>Москва</t>
        </is>
      </c>
      <c r="D3011" s="130" t="inlineStr">
        <is>
          <t>Московская область</t>
        </is>
      </c>
      <c r="E3011" s="130" t="inlineStr">
        <is>
          <t>PREMIUM</t>
        </is>
      </c>
      <c r="F3011" s="130" t="inlineStr">
        <is>
          <t>Фитнес</t>
        </is>
      </c>
      <c r="G3011" s="130" t="inlineStr">
        <is>
          <t>С.С.С.Р</t>
        </is>
      </c>
      <c r="H3011" s="131" t="n">
        <v>9000</v>
      </c>
      <c r="I3011" s="637" t="inlineStr">
        <is>
          <t>СССР Жулебино</t>
        </is>
      </c>
      <c r="J3011" s="637" t="inlineStr">
        <is>
          <t>MO_FC04_TV01</t>
        </is>
      </c>
      <c r="K3011" s="640" t="n">
        <v>1</v>
      </c>
      <c r="L3011" s="640" t="n">
        <v>1</v>
      </c>
      <c r="M3011" s="623" t="inlineStr">
        <is>
          <t>ФОТО</t>
        </is>
      </c>
      <c r="N3011" s="640" t="n"/>
      <c r="O3011" s="640">
        <f>IF(AND(N3011=1,L3011=1),K3011,"")</f>
        <v/>
      </c>
      <c r="P3011" s="642" t="inlineStr">
        <is>
          <t>Московская область, г. Люберцы, Кирова ул., владение 12-а</t>
        </is>
      </c>
      <c r="Q3011" s="640" t="inlineStr">
        <is>
          <t>55.689852</t>
        </is>
      </c>
      <c r="R3011" s="494" t="inlineStr">
        <is>
          <t>37.863479</t>
        </is>
      </c>
      <c r="S3011" s="387">
        <f>'Цены|Скидки'!$G$18</f>
        <v/>
      </c>
      <c r="T3011" s="387">
        <f>IF(N3011=1,S3011*O3011,0)</f>
        <v/>
      </c>
      <c r="Z3011" s="1" t="n"/>
    </row>
    <row r="3012" hidden="1" ht="16.05" customHeight="1">
      <c r="A3012" s="125" t="n">
        <v>3681</v>
      </c>
      <c r="B3012" s="265" t="n"/>
      <c r="C3012" s="130" t="inlineStr">
        <is>
          <t>Москва</t>
        </is>
      </c>
      <c r="D3012" s="130" t="inlineStr">
        <is>
          <t>Москва</t>
        </is>
      </c>
      <c r="E3012" s="130" t="inlineStr">
        <is>
          <t>PREMIUM</t>
        </is>
      </c>
      <c r="F3012" s="130" t="inlineStr">
        <is>
          <t>Фитнес</t>
        </is>
      </c>
      <c r="G3012" s="130" t="inlineStr">
        <is>
          <t>С.С.С.Р</t>
        </is>
      </c>
      <c r="H3012" s="131" t="n">
        <v>9000</v>
      </c>
      <c r="I3012" s="637" t="inlineStr">
        <is>
          <t>СССР Кожуховская</t>
        </is>
      </c>
      <c r="J3012" s="637" t="inlineStr">
        <is>
          <t>MSC_FC39_TV01</t>
        </is>
      </c>
      <c r="K3012" s="640" t="n">
        <v>1</v>
      </c>
      <c r="L3012" s="640" t="n">
        <v>0</v>
      </c>
      <c r="M3012" s="640" t="inlineStr">
        <is>
          <t>ФОТО</t>
        </is>
      </c>
      <c r="N3012" s="640" t="n"/>
      <c r="O3012" s="640">
        <f>IF(AND(N3012=1,L3012=1),K3012,"")</f>
        <v/>
      </c>
      <c r="P3012" s="642" t="inlineStr">
        <is>
          <t>Южнопортовая ул., д. 5, стр.1</t>
        </is>
      </c>
      <c r="Q3012" s="640" t="inlineStr">
        <is>
          <t>55.70783</t>
        </is>
      </c>
      <c r="R3012" s="422" t="inlineStr">
        <is>
          <t>37.688419</t>
        </is>
      </c>
      <c r="S3012" s="387">
        <f>'Цены|Скидки'!$G$18</f>
        <v/>
      </c>
      <c r="T3012" s="387">
        <f>IF(N3012=1,S3012*O3012,0)</f>
        <v/>
      </c>
      <c r="Z3012" s="1" t="n"/>
    </row>
    <row r="3013" hidden="1" ht="16.05" customHeight="1">
      <c r="A3013" s="125" t="n">
        <v>3682</v>
      </c>
      <c r="B3013" s="265" t="n"/>
      <c r="C3013" s="130" t="inlineStr">
        <is>
          <t>Москва</t>
        </is>
      </c>
      <c r="D3013" s="130" t="inlineStr">
        <is>
          <t>Москва</t>
        </is>
      </c>
      <c r="E3013" s="130" t="inlineStr">
        <is>
          <t>PREMIUM</t>
        </is>
      </c>
      <c r="F3013" s="130" t="inlineStr">
        <is>
          <t>Фитнес</t>
        </is>
      </c>
      <c r="G3013" s="130" t="inlineStr">
        <is>
          <t>С.С.С.Р</t>
        </is>
      </c>
      <c r="H3013" s="131" t="n">
        <v>21000</v>
      </c>
      <c r="I3013" s="637" t="inlineStr">
        <is>
          <t>СССР Краснобогатырская-Перестройка</t>
        </is>
      </c>
      <c r="J3013" s="637" t="inlineStr">
        <is>
          <t>MSC_FC38_TV01</t>
        </is>
      </c>
      <c r="K3013" s="640" t="n">
        <v>2</v>
      </c>
      <c r="L3013" s="640" t="n">
        <v>0</v>
      </c>
      <c r="M3013" s="623" t="inlineStr">
        <is>
          <t>ФОТО</t>
        </is>
      </c>
      <c r="N3013" s="640" t="n"/>
      <c r="O3013" s="640">
        <f>IF(AND(N3013=1,L3013=1),K3013,"")</f>
        <v/>
      </c>
      <c r="P3013" s="642" t="inlineStr">
        <is>
          <t>Москва, Краснобогатырская ул., д. 2, стр. 1</t>
        </is>
      </c>
      <c r="Q3013" s="640" t="inlineStr">
        <is>
          <t>55.814593</t>
        </is>
      </c>
      <c r="R3013" s="494" t="inlineStr">
        <is>
          <t>37.693877</t>
        </is>
      </c>
      <c r="S3013" s="387">
        <f>'Цены|Скидки'!$G$18</f>
        <v/>
      </c>
      <c r="T3013" s="387">
        <f>IF(N3013=1,S3013*O3013,0)</f>
        <v/>
      </c>
      <c r="Z3013" s="1" t="n"/>
    </row>
    <row r="3014" hidden="1" ht="16.05" customHeight="1">
      <c r="A3014" s="125" t="n">
        <v>3684</v>
      </c>
      <c r="B3014" s="265" t="n"/>
      <c r="C3014" s="130" t="inlineStr">
        <is>
          <t>Москва</t>
        </is>
      </c>
      <c r="D3014" s="130" t="inlineStr">
        <is>
          <t>Москва</t>
        </is>
      </c>
      <c r="E3014" s="130" t="inlineStr">
        <is>
          <t>PREMIUM</t>
        </is>
      </c>
      <c r="F3014" s="130" t="inlineStr">
        <is>
          <t>Фитнес</t>
        </is>
      </c>
      <c r="G3014" s="130" t="inlineStr">
        <is>
          <t>С.С.С.Р</t>
        </is>
      </c>
      <c r="H3014" s="131" t="n">
        <v>15000</v>
      </c>
      <c r="I3014" s="637" t="inlineStr">
        <is>
          <t>СССР Красносельская</t>
        </is>
      </c>
      <c r="J3014" s="637" t="inlineStr">
        <is>
          <t>MSC_FC23_TV01</t>
        </is>
      </c>
      <c r="K3014" s="640" t="n">
        <v>2</v>
      </c>
      <c r="L3014" s="640" t="n">
        <v>1</v>
      </c>
      <c r="M3014" s="623" t="inlineStr">
        <is>
          <t>ФОТО</t>
        </is>
      </c>
      <c r="N3014" s="640" t="n"/>
      <c r="O3014" s="640">
        <f>IF(AND(N3014=1,L3014=1),K3014,"")</f>
        <v/>
      </c>
      <c r="P3014" s="642" t="inlineStr">
        <is>
          <t>Москва, Верхняя Красносельская ул., д. 19А</t>
        </is>
      </c>
      <c r="Q3014" s="640" t="inlineStr">
        <is>
          <t>55.78152</t>
        </is>
      </c>
      <c r="R3014" s="494" t="inlineStr">
        <is>
          <t>37.664445</t>
        </is>
      </c>
      <c r="S3014" s="387">
        <f>'Цены|Скидки'!$G$18</f>
        <v/>
      </c>
      <c r="T3014" s="387">
        <f>IF(N3014=1,S3014*O3014,0)</f>
        <v/>
      </c>
      <c r="Z3014" s="1" t="n"/>
    </row>
    <row r="3015" hidden="1" ht="16.05" customHeight="1">
      <c r="A3015" s="125" t="n">
        <v>3686</v>
      </c>
      <c r="B3015" s="265" t="n"/>
      <c r="C3015" s="130" t="inlineStr">
        <is>
          <t>Москва</t>
        </is>
      </c>
      <c r="D3015" s="130" t="inlineStr">
        <is>
          <t>Москва</t>
        </is>
      </c>
      <c r="E3015" s="130" t="inlineStr">
        <is>
          <t>PREMIUM</t>
        </is>
      </c>
      <c r="F3015" s="130" t="inlineStr">
        <is>
          <t>Фитнес</t>
        </is>
      </c>
      <c r="G3015" s="130" t="inlineStr">
        <is>
          <t>С.С.С.Р</t>
        </is>
      </c>
      <c r="H3015" s="131" t="n">
        <v>11000</v>
      </c>
      <c r="I3015" s="637" t="inlineStr">
        <is>
          <t>СССР Марьино</t>
        </is>
      </c>
      <c r="J3015" s="637" t="inlineStr">
        <is>
          <t>MSC_FC73_TV01</t>
        </is>
      </c>
      <c r="K3015" s="640" t="n">
        <v>2</v>
      </c>
      <c r="L3015" s="640" t="n">
        <v>1</v>
      </c>
      <c r="M3015" s="623" t="inlineStr">
        <is>
          <t>ФОТО</t>
        </is>
      </c>
      <c r="N3015" s="640" t="n"/>
      <c r="O3015" s="640">
        <f>IF(AND(N3015=1,L3015=1),K3015,"")</f>
        <v/>
      </c>
      <c r="P3015" s="642" t="inlineStr">
        <is>
          <t>Москва, Люблинская ул., 100, корп. 2</t>
        </is>
      </c>
      <c r="Q3015" s="640" t="inlineStr">
        <is>
          <t>55.654787</t>
        </is>
      </c>
      <c r="R3015" s="494" t="inlineStr">
        <is>
          <t>37.739651</t>
        </is>
      </c>
      <c r="S3015" s="387">
        <f>'Цены|Скидки'!$G$18</f>
        <v/>
      </c>
      <c r="T3015" s="387">
        <f>IF(N3015=1,S3015*O3015,0)</f>
        <v/>
      </c>
      <c r="Z3015" s="1" t="n"/>
    </row>
    <row r="3016" hidden="1" ht="16.05" customHeight="1">
      <c r="A3016" s="125" t="n">
        <v>3688</v>
      </c>
      <c r="B3016" s="265" t="n"/>
      <c r="C3016" s="130" t="inlineStr">
        <is>
          <t>Москва</t>
        </is>
      </c>
      <c r="D3016" s="130" t="inlineStr">
        <is>
          <t>Москва</t>
        </is>
      </c>
      <c r="E3016" s="130" t="inlineStr">
        <is>
          <t>PREMIUM</t>
        </is>
      </c>
      <c r="F3016" s="130" t="inlineStr">
        <is>
          <t>Фитнес</t>
        </is>
      </c>
      <c r="G3016" s="130" t="inlineStr">
        <is>
          <t>С.С.С.Р</t>
        </is>
      </c>
      <c r="H3016" s="131" t="n">
        <v>9000</v>
      </c>
      <c r="I3016" s="637" t="inlineStr">
        <is>
          <t>СССР Можайское ш.</t>
        </is>
      </c>
      <c r="J3016" s="637" t="inlineStr">
        <is>
          <t>MSC_FC25_TV01</t>
        </is>
      </c>
      <c r="K3016" s="640" t="n">
        <v>1</v>
      </c>
      <c r="L3016" s="640" t="n">
        <v>1</v>
      </c>
      <c r="M3016" s="623" t="inlineStr">
        <is>
          <t>ФОТО</t>
        </is>
      </c>
      <c r="N3016" s="640" t="n"/>
      <c r="O3016" s="640">
        <f>IF(AND(N3016=1,L3016=1),K3016,"")</f>
        <v/>
      </c>
      <c r="P3016" s="642" t="inlineStr">
        <is>
          <t>Москва, Можайское ш, строение 166Б</t>
        </is>
      </c>
      <c r="Q3016" s="640" t="inlineStr">
        <is>
          <t>55.709269</t>
        </is>
      </c>
      <c r="R3016" s="494" t="inlineStr">
        <is>
          <t>37.380784</t>
        </is>
      </c>
      <c r="S3016" s="387">
        <f>'Цены|Скидки'!$G$18</f>
        <v/>
      </c>
      <c r="T3016" s="387">
        <f>IF(N3016=1,S3016*O3016,0)</f>
        <v/>
      </c>
      <c r="Z3016" s="1" t="n"/>
    </row>
    <row r="3017" hidden="1" ht="16.05" customHeight="1">
      <c r="A3017" s="125" t="n">
        <v>3689</v>
      </c>
      <c r="B3017" s="265" t="n"/>
      <c r="C3017" s="130" t="inlineStr">
        <is>
          <t>Москва</t>
        </is>
      </c>
      <c r="D3017" s="130" t="inlineStr">
        <is>
          <t>Москва</t>
        </is>
      </c>
      <c r="E3017" s="130" t="inlineStr">
        <is>
          <t>PREMIUM</t>
        </is>
      </c>
      <c r="F3017" s="130" t="inlineStr">
        <is>
          <t>Фитнес</t>
        </is>
      </c>
      <c r="G3017" s="130" t="inlineStr">
        <is>
          <t>С.С.С.Р</t>
        </is>
      </c>
      <c r="H3017" s="131" t="n">
        <v>10500</v>
      </c>
      <c r="I3017" s="637" t="inlineStr">
        <is>
          <t>СССР Нагатинская</t>
        </is>
      </c>
      <c r="J3017" s="637" t="inlineStr">
        <is>
          <t>MSC_FC24_TV01</t>
        </is>
      </c>
      <c r="K3017" s="640" t="n">
        <v>1</v>
      </c>
      <c r="L3017" s="640" t="n">
        <v>1</v>
      </c>
      <c r="M3017" s="623" t="inlineStr">
        <is>
          <t>ФОТО</t>
        </is>
      </c>
      <c r="N3017" s="640" t="n"/>
      <c r="O3017" s="640">
        <f>IF(AND(N3017=1,L3017=1),K3017,"")</f>
        <v/>
      </c>
      <c r="P3017" s="642" t="inlineStr">
        <is>
          <t>Москва, Хлебозаводский пр-д, д.7, стр. 10</t>
        </is>
      </c>
      <c r="Q3017" s="640" t="inlineStr">
        <is>
          <t>55.670478</t>
        </is>
      </c>
      <c r="R3017" s="494" t="inlineStr">
        <is>
          <t>37.633736</t>
        </is>
      </c>
      <c r="S3017" s="387">
        <f>'Цены|Скидки'!$G$18</f>
        <v/>
      </c>
      <c r="T3017" s="387">
        <f>IF(N3017=1,S3017*O3017,0)</f>
        <v/>
      </c>
      <c r="Z3017" s="1" t="n"/>
    </row>
    <row r="3018" hidden="1" ht="16.05" customHeight="1">
      <c r="A3018" s="125" t="n">
        <v>3691</v>
      </c>
      <c r="B3018" s="265" t="n"/>
      <c r="C3018" s="130" t="inlineStr">
        <is>
          <t>Калуга</t>
        </is>
      </c>
      <c r="D3018" s="130" t="inlineStr">
        <is>
          <t>Обнинск</t>
        </is>
      </c>
      <c r="E3018" s="130" t="inlineStr">
        <is>
          <t>PREMIUM</t>
        </is>
      </c>
      <c r="F3018" s="130" t="inlineStr">
        <is>
          <t>Фитнес</t>
        </is>
      </c>
      <c r="G3018" s="130" t="inlineStr">
        <is>
          <t>С.С.С.Р</t>
        </is>
      </c>
      <c r="H3018" s="131" t="n">
        <v>30000</v>
      </c>
      <c r="I3018" s="637" t="inlineStr">
        <is>
          <t>СССР Обнинск</t>
        </is>
      </c>
      <c r="J3018" s="637" t="inlineStr">
        <is>
          <t>MSC_FC28_TV01</t>
        </is>
      </c>
      <c r="K3018" s="640" t="n">
        <v>2</v>
      </c>
      <c r="L3018" s="640" t="n">
        <v>0</v>
      </c>
      <c r="M3018" s="623" t="inlineStr">
        <is>
          <t>ФОТО</t>
        </is>
      </c>
      <c r="N3018" s="640" t="n"/>
      <c r="O3018" s="640">
        <f>IF(AND(N3018=1,L3018=1),K3018,"")</f>
        <v/>
      </c>
      <c r="P3018" s="642" t="inlineStr">
        <is>
          <t>Обнинск, г. Обнинск, Пр-т Маркса, д.45 ТЦ Триумф Плаза</t>
        </is>
      </c>
      <c r="Q3018" s="640" t="inlineStr">
        <is>
          <t>55.116997</t>
        </is>
      </c>
      <c r="R3018" s="494" t="inlineStr">
        <is>
          <t>36.593435</t>
        </is>
      </c>
      <c r="S3018" s="387">
        <f>'Цены|Скидки'!$G$18</f>
        <v/>
      </c>
      <c r="T3018" s="387">
        <f>IF(N3018=1,S3018*O3018,0)</f>
        <v/>
      </c>
      <c r="Z3018" s="1" t="n"/>
    </row>
    <row r="3019" hidden="1" ht="16.05" customHeight="1">
      <c r="A3019" s="125" t="n">
        <v>3692</v>
      </c>
      <c r="B3019" s="265" t="n"/>
      <c r="C3019" s="130" t="inlineStr">
        <is>
          <t>Москва</t>
        </is>
      </c>
      <c r="D3019" s="130" t="inlineStr">
        <is>
          <t>Москва</t>
        </is>
      </c>
      <c r="E3019" s="130" t="inlineStr">
        <is>
          <t>PREMIUM</t>
        </is>
      </c>
      <c r="F3019" s="130" t="inlineStr">
        <is>
          <t>Фитнес</t>
        </is>
      </c>
      <c r="G3019" s="130" t="inlineStr">
        <is>
          <t>С.С.С.Р</t>
        </is>
      </c>
      <c r="H3019" s="131" t="n">
        <v>10500</v>
      </c>
      <c r="I3019" s="637" t="inlineStr">
        <is>
          <t>СССР Реутовская</t>
        </is>
      </c>
      <c r="J3019" s="637" t="inlineStr">
        <is>
          <t>MSC_FC30_TV01</t>
        </is>
      </c>
      <c r="K3019" s="640" t="n">
        <v>1</v>
      </c>
      <c r="L3019" s="640" t="n">
        <v>1</v>
      </c>
      <c r="M3019" s="623" t="inlineStr">
        <is>
          <t>ФОТО</t>
        </is>
      </c>
      <c r="N3019" s="640" t="n"/>
      <c r="O3019" s="640">
        <f>IF(AND(N3019=1,L3019=1),K3019,"")</f>
        <v/>
      </c>
      <c r="P3019" s="642" t="inlineStr">
        <is>
          <t>Москва, Реутовская ул., д.3</t>
        </is>
      </c>
      <c r="Q3019" s="640" t="inlineStr">
        <is>
          <t>55.742465</t>
        </is>
      </c>
      <c r="R3019" s="494" t="inlineStr">
        <is>
          <t>37.834949</t>
        </is>
      </c>
      <c r="S3019" s="387">
        <f>'Цены|Скидки'!$G$18</f>
        <v/>
      </c>
      <c r="T3019" s="387">
        <f>IF(N3019=1,S3019*O3019,0)</f>
        <v/>
      </c>
      <c r="Z3019" s="1" t="n"/>
    </row>
    <row r="3020" hidden="1" ht="16.05" customHeight="1">
      <c r="A3020" s="125" t="n">
        <v>3695</v>
      </c>
      <c r="B3020" s="265" t="n"/>
      <c r="C3020" s="130" t="inlineStr">
        <is>
          <t>Москва</t>
        </is>
      </c>
      <c r="D3020" s="130" t="inlineStr">
        <is>
          <t>Москва</t>
        </is>
      </c>
      <c r="E3020" s="130" t="inlineStr">
        <is>
          <t>PREMIUM</t>
        </is>
      </c>
      <c r="F3020" s="130" t="inlineStr">
        <is>
          <t>Фитнес</t>
        </is>
      </c>
      <c r="G3020" s="130" t="inlineStr">
        <is>
          <t>С.С.С.Р</t>
        </is>
      </c>
      <c r="H3020" s="131" t="n">
        <v>21000</v>
      </c>
      <c r="I3020" s="637" t="inlineStr">
        <is>
          <t>СССР Солнцево</t>
        </is>
      </c>
      <c r="J3020" s="637" t="inlineStr">
        <is>
          <t>MSC_FC34_TV01</t>
        </is>
      </c>
      <c r="K3020" s="640" t="n">
        <v>1</v>
      </c>
      <c r="L3020" s="640" t="n">
        <v>1</v>
      </c>
      <c r="M3020" s="623" t="inlineStr">
        <is>
          <t>ФОТО</t>
        </is>
      </c>
      <c r="N3020" s="640" t="n"/>
      <c r="O3020" s="640">
        <f>IF(AND(N3020=1,L3020=1),K3020,"")</f>
        <v/>
      </c>
      <c r="P3020" s="642" t="inlineStr">
        <is>
          <t>Москва, Солнцево, Производственная ул., д.2</t>
        </is>
      </c>
      <c r="Q3020" s="640" t="inlineStr">
        <is>
          <t>55.650449</t>
        </is>
      </c>
      <c r="R3020" s="494" t="inlineStr">
        <is>
          <t>37.388225</t>
        </is>
      </c>
      <c r="S3020" s="387">
        <f>'Цены|Скидки'!$G$18</f>
        <v/>
      </c>
      <c r="T3020" s="387">
        <f>IF(N3020=1,S3020*O3020,0)</f>
        <v/>
      </c>
      <c r="Z3020" s="1" t="n"/>
    </row>
    <row r="3021" hidden="1" ht="16.05" customHeight="1">
      <c r="A3021" s="125" t="n">
        <v>3694</v>
      </c>
      <c r="B3021" s="265" t="n"/>
      <c r="C3021" s="130" t="inlineStr">
        <is>
          <t>Москва</t>
        </is>
      </c>
      <c r="D3021" s="130" t="inlineStr">
        <is>
          <t>Москва</t>
        </is>
      </c>
      <c r="E3021" s="130" t="inlineStr">
        <is>
          <t>PREMIUM</t>
        </is>
      </c>
      <c r="F3021" s="130" t="inlineStr">
        <is>
          <t>Фитнес</t>
        </is>
      </c>
      <c r="G3021" s="130" t="inlineStr">
        <is>
          <t>С.С.С.Р</t>
        </is>
      </c>
      <c r="H3021" s="131" t="n">
        <v>9000</v>
      </c>
      <c r="I3021" s="637" t="inlineStr">
        <is>
          <t>СССР Сокольники</t>
        </is>
      </c>
      <c r="J3021" s="637" t="inlineStr">
        <is>
          <t>MSC_FC22_TV01</t>
        </is>
      </c>
      <c r="K3021" s="640" t="n">
        <v>2</v>
      </c>
      <c r="L3021" s="640" t="n">
        <v>0</v>
      </c>
      <c r="M3021" s="640" t="inlineStr">
        <is>
          <t>ФОТО</t>
        </is>
      </c>
      <c r="N3021" s="640" t="n"/>
      <c r="O3021" s="640">
        <f>IF(AND(N3021=1,L3021=1),K3021,"")</f>
        <v/>
      </c>
      <c r="P3021" s="642" t="inlineStr">
        <is>
          <t>Стромынский пер., д. 6</t>
        </is>
      </c>
      <c r="Q3021" s="640" t="inlineStr">
        <is>
          <t>55.792283</t>
        </is>
      </c>
      <c r="R3021" s="422" t="inlineStr">
        <is>
          <t>37.694178</t>
        </is>
      </c>
      <c r="S3021" s="387" t="n">
        <v>402</v>
      </c>
      <c r="T3021" s="387">
        <f>IF(N3021=1,S3021*O3021,0)</f>
        <v/>
      </c>
      <c r="Z3021" s="1" t="n"/>
    </row>
    <row r="3022" hidden="1" ht="16.05" customHeight="1">
      <c r="A3022" s="125" t="n">
        <v>3698</v>
      </c>
      <c r="B3022" s="265" t="n"/>
      <c r="C3022" s="130" t="inlineStr">
        <is>
          <t>Москва</t>
        </is>
      </c>
      <c r="D3022" s="130" t="inlineStr">
        <is>
          <t>Москва</t>
        </is>
      </c>
      <c r="E3022" s="130" t="inlineStr">
        <is>
          <t>PREMIUM</t>
        </is>
      </c>
      <c r="F3022" s="130" t="inlineStr">
        <is>
          <t>Фитнес</t>
        </is>
      </c>
      <c r="G3022" s="130" t="inlineStr">
        <is>
          <t>С.С.С.Р</t>
        </is>
      </c>
      <c r="H3022" s="131" t="n">
        <v>27000</v>
      </c>
      <c r="I3022" s="637" t="inlineStr">
        <is>
          <t>СССР Ткацкая</t>
        </is>
      </c>
      <c r="J3022" s="637" t="inlineStr">
        <is>
          <t>MSC_FC29_TV01</t>
        </is>
      </c>
      <c r="K3022" s="640" t="n">
        <v>2</v>
      </c>
      <c r="L3022" s="640" t="n">
        <v>1</v>
      </c>
      <c r="M3022" s="623" t="inlineStr">
        <is>
          <t>ФОТО</t>
        </is>
      </c>
      <c r="N3022" s="640" t="n"/>
      <c r="O3022" s="640">
        <f>IF(AND(N3022=1,L3022=1),K3022,"")</f>
        <v/>
      </c>
      <c r="P3022" s="642" t="inlineStr">
        <is>
          <t>Москва, Ткацкая ул., д.5, стр.2</t>
        </is>
      </c>
      <c r="Q3022" s="640" t="inlineStr">
        <is>
          <t>55.786348</t>
        </is>
      </c>
      <c r="R3022" s="494" t="inlineStr">
        <is>
          <t>37.723901</t>
        </is>
      </c>
      <c r="S3022" s="387">
        <f>'Цены|Скидки'!$G$18</f>
        <v/>
      </c>
      <c r="T3022" s="387">
        <f>IF(N3022=1,S3022*O3022,0)</f>
        <v/>
      </c>
      <c r="Z3022" s="1" t="n"/>
    </row>
    <row r="3023" hidden="1" ht="16.05" customHeight="1">
      <c r="A3023" s="125" t="n">
        <v>3696</v>
      </c>
      <c r="B3023" s="265" t="n"/>
      <c r="C3023" s="130" t="inlineStr">
        <is>
          <t>Москва</t>
        </is>
      </c>
      <c r="D3023" s="130" t="inlineStr">
        <is>
          <t>Москва</t>
        </is>
      </c>
      <c r="E3023" s="130" t="inlineStr">
        <is>
          <t>PREMIUM</t>
        </is>
      </c>
      <c r="F3023" s="130" t="inlineStr">
        <is>
          <t>Фитнес</t>
        </is>
      </c>
      <c r="G3023" s="130" t="inlineStr">
        <is>
          <t>С.С.С.Р</t>
        </is>
      </c>
      <c r="H3023" s="131" t="n">
        <v>9000</v>
      </c>
      <c r="I3023" s="637" t="inlineStr">
        <is>
          <t>СССР Таганская</t>
        </is>
      </c>
      <c r="J3023" s="402" t="inlineStr">
        <is>
          <t>MSC_FC27_TV01</t>
        </is>
      </c>
      <c r="K3023" s="640" t="n">
        <v>1</v>
      </c>
      <c r="L3023" s="640" t="n">
        <v>0</v>
      </c>
      <c r="M3023" s="640" t="inlineStr">
        <is>
          <t>ФОТО</t>
        </is>
      </c>
      <c r="N3023" s="640" t="n"/>
      <c r="O3023" s="640">
        <f>IF(AND(N3023=1,L3023=1),K3023,"")</f>
        <v/>
      </c>
      <c r="P3023" s="642" t="inlineStr">
        <is>
          <t>Средняя Калитниковская ул., 26/27 стр.1</t>
        </is>
      </c>
      <c r="Q3023" s="640" t="n">
        <v>55.733271</v>
      </c>
      <c r="R3023" s="422" t="n">
        <v>37.697158</v>
      </c>
      <c r="S3023" s="387" t="n">
        <v>402</v>
      </c>
      <c r="T3023" s="387">
        <f>IF(N3023=1,S3023*O3023,0)</f>
        <v/>
      </c>
      <c r="X3023" s="1" t="n"/>
      <c r="Y3023" s="1" t="n"/>
      <c r="Z3023" s="1" t="n"/>
    </row>
    <row r="3024" hidden="1" ht="16.05" customHeight="1">
      <c r="A3024" s="125" t="n">
        <v>3699</v>
      </c>
      <c r="B3024" s="265" t="n"/>
      <c r="C3024" s="130" t="inlineStr">
        <is>
          <t>Москва</t>
        </is>
      </c>
      <c r="D3024" s="130" t="inlineStr">
        <is>
          <t>Московская область</t>
        </is>
      </c>
      <c r="E3024" s="130" t="inlineStr">
        <is>
          <t>PREMIUM</t>
        </is>
      </c>
      <c r="F3024" s="130" t="inlineStr">
        <is>
          <t>Фитнес</t>
        </is>
      </c>
      <c r="G3024" s="130" t="inlineStr">
        <is>
          <t>С.С.С.Р</t>
        </is>
      </c>
      <c r="H3024" s="131" t="n">
        <v>6000</v>
      </c>
      <c r="I3024" s="637" t="inlineStr">
        <is>
          <t>СССР Химки</t>
        </is>
      </c>
      <c r="J3024" s="637" t="inlineStr">
        <is>
          <t>MO_FC05_TV01</t>
        </is>
      </c>
      <c r="K3024" s="640" t="n">
        <v>2</v>
      </c>
      <c r="L3024" s="640" t="n">
        <v>1</v>
      </c>
      <c r="M3024" s="623" t="inlineStr">
        <is>
          <t>ФОТО</t>
        </is>
      </c>
      <c r="N3024" s="640" t="n"/>
      <c r="O3024" s="640">
        <f>IF(AND(N3024=1,L3024=1),K3024,"")</f>
        <v/>
      </c>
      <c r="P3024" s="642" t="inlineStr">
        <is>
          <t>Московская область, г. Химки, Калинина ул., д.7-1, ЖК «12 квартал»</t>
        </is>
      </c>
      <c r="Q3024" s="640" t="inlineStr">
        <is>
          <t>55.886986</t>
        </is>
      </c>
      <c r="R3024" s="494" t="inlineStr">
        <is>
          <t>37.447643</t>
        </is>
      </c>
      <c r="S3024" s="387">
        <f>'Цены|Скидки'!$G$18</f>
        <v/>
      </c>
      <c r="T3024" s="387">
        <f>IF(N3024=1,S3024*O3024,0)</f>
        <v/>
      </c>
      <c r="Z3024" s="1" t="n"/>
    </row>
    <row r="3025" hidden="1" ht="16.05" customHeight="1">
      <c r="A3025" s="125" t="n">
        <v>3702</v>
      </c>
      <c r="B3025" s="265" t="n"/>
      <c r="C3025" s="130" t="inlineStr">
        <is>
          <t>Москва</t>
        </is>
      </c>
      <c r="D3025" s="130" t="inlineStr">
        <is>
          <t>Московская область</t>
        </is>
      </c>
      <c r="E3025" s="130" t="inlineStr">
        <is>
          <t>PREMIUM</t>
        </is>
      </c>
      <c r="F3025" s="130" t="inlineStr">
        <is>
          <t>Фитнес</t>
        </is>
      </c>
      <c r="G3025" s="130" t="inlineStr">
        <is>
          <t>С.С.С.Р</t>
        </is>
      </c>
      <c r="H3025" s="131" t="n">
        <v>10500</v>
      </c>
      <c r="I3025" s="637" t="inlineStr">
        <is>
          <t>СССР Химки-Перестройка</t>
        </is>
      </c>
      <c r="J3025" s="637" t="inlineStr">
        <is>
          <t>MO_FC10_TV01</t>
        </is>
      </c>
      <c r="K3025" s="640" t="n">
        <v>2</v>
      </c>
      <c r="L3025" s="640" t="n">
        <v>1</v>
      </c>
      <c r="M3025" s="623" t="inlineStr">
        <is>
          <t>ФОТО</t>
        </is>
      </c>
      <c r="N3025" s="640" t="n"/>
      <c r="O3025" s="640">
        <f>IF(AND(N3025=1,L3025=1),K3025,"")</f>
        <v/>
      </c>
      <c r="P3025" s="642" t="inlineStr">
        <is>
          <t>Московская область, г. Химки, ул. Кирова, д.24А, стадион "Арена Химки"</t>
        </is>
      </c>
      <c r="Q3025" s="640" t="inlineStr">
        <is>
          <t>55.885581</t>
        </is>
      </c>
      <c r="R3025" s="494" t="inlineStr">
        <is>
          <t>37.453435</t>
        </is>
      </c>
      <c r="S3025" s="387">
        <f>'Цены|Скидки'!$G$18</f>
        <v/>
      </c>
      <c r="T3025" s="387">
        <f>IF(N3025=1,S3025*O3025,0)</f>
        <v/>
      </c>
      <c r="Z3025" s="1" t="n"/>
    </row>
    <row r="3026" hidden="1" ht="16.05" customHeight="1">
      <c r="A3026" s="125" t="n">
        <v>3703</v>
      </c>
      <c r="B3026" s="265" t="n"/>
      <c r="C3026" s="130" t="inlineStr">
        <is>
          <t>Москва</t>
        </is>
      </c>
      <c r="D3026" s="130" t="inlineStr">
        <is>
          <t>Москва</t>
        </is>
      </c>
      <c r="E3026" s="130" t="inlineStr">
        <is>
          <t>PREMIUM</t>
        </is>
      </c>
      <c r="F3026" s="130" t="inlineStr">
        <is>
          <t>Фитнес</t>
        </is>
      </c>
      <c r="G3026" s="130" t="inlineStr">
        <is>
          <t>С.С.С.Р</t>
        </is>
      </c>
      <c r="H3026" s="131" t="n">
        <v>11000</v>
      </c>
      <c r="I3026" s="637" t="inlineStr">
        <is>
          <t>СССР Царицыно</t>
        </is>
      </c>
      <c r="J3026" s="637" t="inlineStr">
        <is>
          <t>MSC_FC71_TV01</t>
        </is>
      </c>
      <c r="K3026" s="640" t="n">
        <v>2</v>
      </c>
      <c r="L3026" s="640" t="n">
        <v>1</v>
      </c>
      <c r="M3026" s="623" t="inlineStr">
        <is>
          <t>ФОТО</t>
        </is>
      </c>
      <c r="N3026" s="640" t="n"/>
      <c r="O3026" s="640">
        <f>IF(AND(N3026=1,L3026=1),K3026,"")</f>
        <v/>
      </c>
      <c r="P3026" s="642" t="inlineStr">
        <is>
          <t>Москва, Медиков ул., д. 8А</t>
        </is>
      </c>
      <c r="Q3026" s="640" t="inlineStr">
        <is>
          <t>55.633065</t>
        </is>
      </c>
      <c r="R3026" s="494" t="inlineStr">
        <is>
          <t>37.674365</t>
        </is>
      </c>
      <c r="S3026" s="387">
        <f>'Цены|Скидки'!$G$18</f>
        <v/>
      </c>
      <c r="T3026" s="387">
        <f>IF(N3026=1,S3026*O3026,0)</f>
        <v/>
      </c>
      <c r="Z3026" s="1" t="n"/>
    </row>
    <row r="3027" hidden="1" ht="16.05" customHeight="1">
      <c r="A3027" s="125" t="n">
        <v>3705</v>
      </c>
      <c r="B3027" s="265" t="n"/>
      <c r="C3027" s="130" t="inlineStr">
        <is>
          <t>Москва</t>
        </is>
      </c>
      <c r="D3027" s="130" t="inlineStr">
        <is>
          <t>Москва</t>
        </is>
      </c>
      <c r="E3027" s="130" t="inlineStr">
        <is>
          <t>PREMIUM</t>
        </is>
      </c>
      <c r="F3027" s="130" t="inlineStr">
        <is>
          <t>Фитнес</t>
        </is>
      </c>
      <c r="G3027" s="130" t="inlineStr">
        <is>
          <t>С.С.С.Р</t>
        </is>
      </c>
      <c r="H3027" s="131" t="n">
        <v>12000</v>
      </c>
      <c r="I3027" s="637" t="inlineStr">
        <is>
          <t>СССР Шмитовский</t>
        </is>
      </c>
      <c r="J3027" s="637" t="inlineStr">
        <is>
          <t>MSC_FC35_TV01</t>
        </is>
      </c>
      <c r="K3027" s="640" t="n">
        <v>1</v>
      </c>
      <c r="L3027" s="640" t="n">
        <v>0</v>
      </c>
      <c r="M3027" s="623" t="inlineStr">
        <is>
          <t>ФОТО</t>
        </is>
      </c>
      <c r="N3027" s="640" t="n"/>
      <c r="O3027" s="640">
        <f>IF(AND(N3027=1,L3027=1),K3027,"")</f>
        <v/>
      </c>
      <c r="P3027" s="642" t="inlineStr">
        <is>
          <t>Шмитовский пр-д, д. 16, к.2</t>
        </is>
      </c>
      <c r="Q3027" s="640" t="inlineStr">
        <is>
          <t>55.758682</t>
        </is>
      </c>
      <c r="R3027" s="494" t="inlineStr">
        <is>
          <t>37.546148</t>
        </is>
      </c>
      <c r="S3027" s="387">
        <f>'Цены|Скидки'!$G$18</f>
        <v/>
      </c>
      <c r="T3027" s="387">
        <f>IF(N3027=1,S3027*O3027,0)</f>
        <v/>
      </c>
      <c r="Z3027" s="1" t="n"/>
    </row>
    <row r="3028" hidden="1" ht="16.05" customHeight="1">
      <c r="A3028" s="125" t="n">
        <v>3706</v>
      </c>
      <c r="B3028" s="265" t="n"/>
      <c r="C3028" s="130" t="inlineStr">
        <is>
          <t>Москва</t>
        </is>
      </c>
      <c r="D3028" s="130" t="inlineStr">
        <is>
          <t>Московская область</t>
        </is>
      </c>
      <c r="E3028" s="130" t="inlineStr">
        <is>
          <t>PREMIUM</t>
        </is>
      </c>
      <c r="F3028" s="130" t="inlineStr">
        <is>
          <t>Фитнес</t>
        </is>
      </c>
      <c r="G3028" s="130" t="inlineStr">
        <is>
          <t>С.С.С.Р</t>
        </is>
      </c>
      <c r="H3028" s="131" t="n">
        <v>15000</v>
      </c>
      <c r="I3028" s="637" t="inlineStr">
        <is>
          <t>СССР Электросталь</t>
        </is>
      </c>
      <c r="J3028" s="637" t="inlineStr">
        <is>
          <t>MO_FC08_TV01</t>
        </is>
      </c>
      <c r="K3028" s="640" t="n">
        <v>1</v>
      </c>
      <c r="L3028" s="640" t="n">
        <v>1</v>
      </c>
      <c r="M3028" s="623" t="inlineStr">
        <is>
          <t>ФОТО</t>
        </is>
      </c>
      <c r="N3028" s="640" t="n"/>
      <c r="O3028" s="640">
        <f>IF(AND(N3028=1,L3028=1),K3028,"")</f>
        <v/>
      </c>
      <c r="P3028" s="642" t="inlineStr">
        <is>
          <t>Московская область, г. Электросталь, Ялагина ул., д.3 АОЦ «Дельта» (центральный вход, цокольный этаж)</t>
        </is>
      </c>
      <c r="Q3028" s="640" t="inlineStr">
        <is>
          <t>55.767734</t>
        </is>
      </c>
      <c r="R3028" s="494" t="inlineStr">
        <is>
          <t>38.432941</t>
        </is>
      </c>
      <c r="S3028" s="387">
        <f>'Цены|Скидки'!$G$18</f>
        <v/>
      </c>
      <c r="T3028" s="387">
        <f>IF(N3028=1,S3028*O3028,0)</f>
        <v/>
      </c>
      <c r="Z3028" s="1" t="n"/>
    </row>
    <row r="3029" hidden="1" ht="16.05" customHeight="1">
      <c r="A3029" s="125" t="n">
        <v>3707</v>
      </c>
      <c r="B3029" s="265" t="n"/>
      <c r="C3029" s="130" t="inlineStr">
        <is>
          <t>Москва</t>
        </is>
      </c>
      <c r="D3029" s="130" t="inlineStr">
        <is>
          <t>Москва</t>
        </is>
      </c>
      <c r="E3029" s="130" t="inlineStr">
        <is>
          <t>PREMIUM</t>
        </is>
      </c>
      <c r="F3029" s="130" t="inlineStr">
        <is>
          <t>Фитнес</t>
        </is>
      </c>
      <c r="G3029" s="130" t="inlineStr">
        <is>
          <t>С.С.С.Р</t>
        </is>
      </c>
      <c r="H3029" s="131" t="n">
        <v>6000</v>
      </c>
      <c r="I3029" s="637" t="inlineStr">
        <is>
          <t>СССР Юго-Западная</t>
        </is>
      </c>
      <c r="J3029" s="637" t="inlineStr">
        <is>
          <t>MSC_FC26_TV01</t>
        </is>
      </c>
      <c r="K3029" s="640" t="n">
        <v>1</v>
      </c>
      <c r="L3029" s="640" t="n">
        <v>1</v>
      </c>
      <c r="M3029" s="623" t="inlineStr">
        <is>
          <t>ФОТО</t>
        </is>
      </c>
      <c r="N3029" s="640" t="n"/>
      <c r="O3029" s="640">
        <f>IF(AND(N3029=1,L3029=1),K3029,"")</f>
        <v/>
      </c>
      <c r="P3029" s="642" t="inlineStr">
        <is>
          <t>Москва, Ленинский проспект, д. 158</t>
        </is>
      </c>
      <c r="Q3029" s="640" t="inlineStr">
        <is>
          <t>55.650796</t>
        </is>
      </c>
      <c r="R3029" s="494" t="inlineStr">
        <is>
          <t>37.482508</t>
        </is>
      </c>
      <c r="S3029" s="387">
        <f>'Цены|Скидки'!$G$18</f>
        <v/>
      </c>
      <c r="T3029" s="387">
        <f>IF(N3029=1,S3029*O3029,0)</f>
        <v/>
      </c>
      <c r="Z3029" s="1" t="n"/>
    </row>
    <row r="3030" hidden="1" ht="16.05" customHeight="1">
      <c r="A3030" s="125" t="n">
        <v>3708</v>
      </c>
      <c r="B3030" s="125" t="inlineStr">
        <is>
          <t>WF</t>
        </is>
      </c>
      <c r="C3030" s="130" t="inlineStr">
        <is>
          <t>Москва</t>
        </is>
      </c>
      <c r="D3030" s="130" t="inlineStr">
        <is>
          <t>Москва</t>
        </is>
      </c>
      <c r="E3030" s="130" t="inlineStr">
        <is>
          <t>A+</t>
        </is>
      </c>
      <c r="F3030" s="130" t="inlineStr">
        <is>
          <t>Бизнес центр</t>
        </is>
      </c>
      <c r="G3030" s="130" t="inlineStr">
        <is>
          <t>Бизнес центр</t>
        </is>
      </c>
      <c r="H3030" s="131" t="n">
        <v>50222</v>
      </c>
      <c r="I3030" s="637" t="inlineStr">
        <is>
          <t>Golden Gate</t>
        </is>
      </c>
      <c r="J3030" s="637" t="inlineStr">
        <is>
          <t>MSK_BC_Golden_Gate</t>
        </is>
      </c>
      <c r="K3030" s="640" t="n">
        <v>6</v>
      </c>
      <c r="L3030" s="640" t="n">
        <v>1</v>
      </c>
      <c r="M3030" s="623" t="inlineStr">
        <is>
          <t>Samsung 32" вертикальный</t>
        </is>
      </c>
      <c r="N3030" s="640" t="n"/>
      <c r="O3030" s="640">
        <f>IF(AND(N3030=1,L3030=1),K3030,"")</f>
        <v/>
      </c>
      <c r="P3030" s="642" t="inlineStr">
        <is>
          <t>Москва, Энтузиастов бульвар, д.2</t>
        </is>
      </c>
      <c r="Q3030" s="640" t="inlineStr">
        <is>
          <t>55.746405</t>
        </is>
      </c>
      <c r="R3030" s="494" t="inlineStr">
        <is>
          <t>37.682592</t>
        </is>
      </c>
      <c r="S3030" s="387">
        <f>'Цены|Скидки'!$D$25</f>
        <v/>
      </c>
      <c r="T3030" s="387">
        <f>IF(N3030=1,S3030*O3030,0)</f>
        <v/>
      </c>
      <c r="Z3030" s="1" t="n"/>
    </row>
    <row r="3031" hidden="1" ht="16.05" customHeight="1">
      <c r="A3031" s="125" t="n">
        <v>3709</v>
      </c>
      <c r="B3031" s="125" t="inlineStr">
        <is>
          <t>WF</t>
        </is>
      </c>
      <c r="C3031" s="130" t="inlineStr">
        <is>
          <t>Москва</t>
        </is>
      </c>
      <c r="D3031" s="130" t="inlineStr">
        <is>
          <t>Москва</t>
        </is>
      </c>
      <c r="E3031" s="130" t="inlineStr">
        <is>
          <t>A</t>
        </is>
      </c>
      <c r="F3031" s="130" t="inlineStr">
        <is>
          <t>Бизнес центр</t>
        </is>
      </c>
      <c r="G3031" s="130" t="inlineStr">
        <is>
          <t>Бизнес центр</t>
        </is>
      </c>
      <c r="H3031" s="131" t="n">
        <v>42931</v>
      </c>
      <c r="I3031" s="637" t="inlineStr">
        <is>
          <t>Алексеевская Башня</t>
        </is>
      </c>
      <c r="J3031" s="637" t="inlineStr">
        <is>
          <t>MSK_BC_Alekseevskaya_Bashnya</t>
        </is>
      </c>
      <c r="K3031" s="640" t="n">
        <v>3</v>
      </c>
      <c r="L3031" s="640" t="n">
        <v>1</v>
      </c>
      <c r="M3031" s="623" t="inlineStr">
        <is>
          <t>Samsung 32" вертикальный</t>
        </is>
      </c>
      <c r="N3031" s="640" t="n"/>
      <c r="O3031" s="640">
        <f>IF(AND(N3031=1,L3031=1),K3031,"")</f>
        <v/>
      </c>
      <c r="P3031" s="642" t="inlineStr">
        <is>
          <t>Москва, Ракетный бульвар, д. 16</t>
        </is>
      </c>
      <c r="Q3031" s="640" t="inlineStr">
        <is>
          <t>55.817466</t>
        </is>
      </c>
      <c r="R3031" s="494" t="inlineStr">
        <is>
          <t>37.655679</t>
        </is>
      </c>
      <c r="S3031" s="387">
        <f>'Цены|Скидки'!$D$25</f>
        <v/>
      </c>
      <c r="T3031" s="387">
        <f>IF(N3031=1,S3031*O3031,0)</f>
        <v/>
      </c>
      <c r="Z3031" s="1" t="n"/>
    </row>
    <row r="3032" hidden="1" ht="16.05" customHeight="1">
      <c r="A3032" s="125" t="n">
        <v>3710</v>
      </c>
      <c r="B3032" s="125" t="inlineStr">
        <is>
          <t>WF</t>
        </is>
      </c>
      <c r="C3032" s="130" t="inlineStr">
        <is>
          <t>Москва</t>
        </is>
      </c>
      <c r="D3032" s="130" t="inlineStr">
        <is>
          <t>Москва</t>
        </is>
      </c>
      <c r="E3032" s="130" t="inlineStr">
        <is>
          <t>B+</t>
        </is>
      </c>
      <c r="F3032" s="130" t="inlineStr">
        <is>
          <t>Бизнес центр</t>
        </is>
      </c>
      <c r="G3032" s="130" t="inlineStr">
        <is>
          <t>Бизнес центр</t>
        </is>
      </c>
      <c r="H3032" s="131" t="n">
        <v>14233</v>
      </c>
      <c r="I3032" s="637" t="inlineStr">
        <is>
          <t>Аэропорт</t>
        </is>
      </c>
      <c r="J3032" s="637" t="inlineStr">
        <is>
          <t>MSK_BC_Aeroport</t>
        </is>
      </c>
      <c r="K3032" s="640" t="n">
        <v>1</v>
      </c>
      <c r="L3032" s="640" t="n">
        <v>1</v>
      </c>
      <c r="M3032" s="623" t="inlineStr">
        <is>
          <t>Samsung 32" вертикальный</t>
        </is>
      </c>
      <c r="N3032" s="640" t="n"/>
      <c r="O3032" s="640">
        <f>IF(AND(N3032=1,L3032=1),K3032,"")</f>
        <v/>
      </c>
      <c r="P3032" s="642" t="inlineStr">
        <is>
          <t>Москва, 4-я ул. 8 Марта, д.6А</t>
        </is>
      </c>
      <c r="Q3032" s="640" t="inlineStr">
        <is>
          <t>55.803611</t>
        </is>
      </c>
      <c r="R3032" s="494" t="inlineStr">
        <is>
          <t>37.550226</t>
        </is>
      </c>
      <c r="S3032" s="387">
        <f>'Цены|Скидки'!$D$25</f>
        <v/>
      </c>
      <c r="T3032" s="387">
        <f>IF(N3032=1,S3032*O3032,0)</f>
        <v/>
      </c>
      <c r="Z3032" s="1" t="n"/>
    </row>
    <row r="3033" hidden="1" ht="16.05" customHeight="1">
      <c r="A3033" s="125" t="n">
        <v>3711</v>
      </c>
      <c r="B3033" s="125" t="inlineStr">
        <is>
          <t>WF</t>
        </is>
      </c>
      <c r="C3033" s="130" t="inlineStr">
        <is>
          <t>Москва</t>
        </is>
      </c>
      <c r="D3033" s="130" t="inlineStr">
        <is>
          <t>Москва</t>
        </is>
      </c>
      <c r="E3033" s="130" t="inlineStr">
        <is>
          <t>A</t>
        </is>
      </c>
      <c r="F3033" s="130" t="inlineStr">
        <is>
          <t>Бизнес центр</t>
        </is>
      </c>
      <c r="G3033" s="130" t="inlineStr">
        <is>
          <t>Бизнес центр</t>
        </is>
      </c>
      <c r="H3033" s="131" t="n">
        <v>19017</v>
      </c>
      <c r="I3033" s="637" t="inlineStr">
        <is>
          <t>Бета  Центр</t>
        </is>
      </c>
      <c r="J3033" s="637" t="inlineStr">
        <is>
          <t>MSK_BC_Beta__Tsentr</t>
        </is>
      </c>
      <c r="K3033" s="640" t="n">
        <v>2</v>
      </c>
      <c r="L3033" s="640" t="n">
        <v>1</v>
      </c>
      <c r="M3033" s="623" t="inlineStr">
        <is>
          <t>Samsung 32" вертикальный</t>
        </is>
      </c>
      <c r="N3033" s="640" t="n"/>
      <c r="O3033" s="640">
        <f>IF(AND(N3033=1,L3033=1),K3033,"")</f>
        <v/>
      </c>
      <c r="P3033" s="642" t="inlineStr">
        <is>
          <t>Москва, Алтуфьевское ш., д. 1</t>
        </is>
      </c>
      <c r="Q3033" s="640" t="inlineStr">
        <is>
          <t>55.848513</t>
        </is>
      </c>
      <c r="R3033" s="494" t="inlineStr">
        <is>
          <t>37.581855</t>
        </is>
      </c>
      <c r="S3033" s="387">
        <f>'Цены|Скидки'!$D$25</f>
        <v/>
      </c>
      <c r="T3033" s="387">
        <f>IF(N3033=1,S3033*O3033,0)</f>
        <v/>
      </c>
      <c r="Z3033" s="1" t="n"/>
    </row>
    <row r="3034" hidden="1" ht="16.05" customHeight="1">
      <c r="A3034" s="125" t="n">
        <v>3712</v>
      </c>
      <c r="B3034" s="125" t="inlineStr">
        <is>
          <t>WF</t>
        </is>
      </c>
      <c r="C3034" s="130" t="inlineStr">
        <is>
          <t>Москва</t>
        </is>
      </c>
      <c r="D3034" s="130" t="inlineStr">
        <is>
          <t>Москва</t>
        </is>
      </c>
      <c r="E3034" s="130" t="inlineStr">
        <is>
          <t>A</t>
        </is>
      </c>
      <c r="F3034" s="130" t="inlineStr">
        <is>
          <t>Бизнес центр</t>
        </is>
      </c>
      <c r="G3034" s="130" t="inlineStr">
        <is>
          <t>Бизнес центр</t>
        </is>
      </c>
      <c r="H3034" s="131" t="n">
        <v>17212</v>
      </c>
      <c r="I3034" s="637" t="inlineStr">
        <is>
          <t>Брент Сити</t>
        </is>
      </c>
      <c r="J3034" s="637" t="inlineStr">
        <is>
          <t>MSK_BC_Brent_Siti</t>
        </is>
      </c>
      <c r="K3034" s="640" t="n">
        <v>1</v>
      </c>
      <c r="L3034" s="640" t="n">
        <v>1</v>
      </c>
      <c r="M3034" s="623" t="inlineStr">
        <is>
          <t>Samsung 32" вертикальный</t>
        </is>
      </c>
      <c r="N3034" s="640" t="n"/>
      <c r="O3034" s="640">
        <f>IF(AND(N3034=1,L3034=1),K3034,"")</f>
        <v/>
      </c>
      <c r="P3034" s="642" t="inlineStr">
        <is>
          <t>Москва, Дубининская ул., д. 57 стр. 1</t>
        </is>
      </c>
      <c r="Q3034" s="640" t="inlineStr">
        <is>
          <t>55.72056</t>
        </is>
      </c>
      <c r="R3034" s="494" t="inlineStr">
        <is>
          <t>37.635422</t>
        </is>
      </c>
      <c r="S3034" s="387">
        <f>'Цены|Скидки'!$D$25</f>
        <v/>
      </c>
      <c r="T3034" s="387">
        <f>IF(N3034=1,S3034*O3034,0)</f>
        <v/>
      </c>
      <c r="Z3034" s="1" t="n"/>
    </row>
    <row r="3035" hidden="1" ht="16.05" customHeight="1">
      <c r="A3035" s="125" t="n">
        <v>3714</v>
      </c>
      <c r="B3035" s="125" t="inlineStr">
        <is>
          <t>WF</t>
        </is>
      </c>
      <c r="C3035" s="130" t="inlineStr">
        <is>
          <t>Москва</t>
        </is>
      </c>
      <c r="D3035" s="130" t="inlineStr">
        <is>
          <t>Москва</t>
        </is>
      </c>
      <c r="E3035" s="130" t="inlineStr">
        <is>
          <t>A</t>
        </is>
      </c>
      <c r="F3035" s="130" t="inlineStr">
        <is>
          <t>Бизнес центр</t>
        </is>
      </c>
      <c r="G3035" s="130" t="inlineStr">
        <is>
          <t>Бизнес центр</t>
        </is>
      </c>
      <c r="H3035" s="131" t="n">
        <v>31775</v>
      </c>
      <c r="I3035" s="637" t="inlineStr">
        <is>
          <t>Виктори Плаза</t>
        </is>
      </c>
      <c r="J3035" s="637" t="inlineStr">
        <is>
          <t>MSK_BC_Viktori_Plaza</t>
        </is>
      </c>
      <c r="K3035" s="640" t="n">
        <v>2</v>
      </c>
      <c r="L3035" s="640" t="n">
        <v>1</v>
      </c>
      <c r="M3035" s="623" t="inlineStr">
        <is>
          <t>Samsung 32" вертикальный</t>
        </is>
      </c>
      <c r="N3035" s="640" t="n"/>
      <c r="O3035" s="640">
        <f>IF(AND(N3035=1,L3035=1),K3035,"")</f>
        <v/>
      </c>
      <c r="P3035" s="642" t="inlineStr">
        <is>
          <t>Москва, Викторенко ул., д.5</t>
        </is>
      </c>
      <c r="Q3035" s="640" t="inlineStr">
        <is>
          <t>55.799077</t>
        </is>
      </c>
      <c r="R3035" s="494" t="inlineStr">
        <is>
          <t>37.529825</t>
        </is>
      </c>
      <c r="S3035" s="387">
        <f>'Цены|Скидки'!$D$25</f>
        <v/>
      </c>
      <c r="T3035" s="387">
        <f>IF(N3035=1,S3035*O3035,0)</f>
        <v/>
      </c>
      <c r="Z3035" s="1" t="n"/>
    </row>
    <row r="3036" hidden="1" ht="16.05" customHeight="1">
      <c r="A3036" s="125" t="n">
        <v>3713</v>
      </c>
      <c r="B3036" s="125" t="inlineStr">
        <is>
          <t>WF</t>
        </is>
      </c>
      <c r="C3036" s="130" t="inlineStr">
        <is>
          <t>Москва</t>
        </is>
      </c>
      <c r="D3036" s="130" t="inlineStr">
        <is>
          <t>Москва</t>
        </is>
      </c>
      <c r="E3036" s="130" t="inlineStr">
        <is>
          <t>A</t>
        </is>
      </c>
      <c r="F3036" s="130" t="inlineStr">
        <is>
          <t>Бизнес центр</t>
        </is>
      </c>
      <c r="G3036" s="130" t="inlineStr">
        <is>
          <t>Бизнес центр</t>
        </is>
      </c>
      <c r="H3036" s="131" t="n">
        <v>8525</v>
      </c>
      <c r="I3036" s="637" t="inlineStr">
        <is>
          <t>Бригантина</t>
        </is>
      </c>
      <c r="J3036" s="402" t="inlineStr">
        <is>
          <t>MSK_BC_Brigantina</t>
        </is>
      </c>
      <c r="K3036" s="640" t="n">
        <v>2</v>
      </c>
      <c r="L3036" s="640" t="n">
        <v>0</v>
      </c>
      <c r="M3036" s="640" t="inlineStr">
        <is>
          <t>ФОТО</t>
        </is>
      </c>
      <c r="N3036" s="640" t="n"/>
      <c r="O3036" s="640">
        <f>IF(AND(N3036=1,L3036=1),K3036,"")</f>
        <v/>
      </c>
      <c r="P3036" s="642" t="inlineStr">
        <is>
          <t>Новолесная ул., д. 2</t>
        </is>
      </c>
      <c r="Q3036" s="640" t="n">
        <v>55.781737</v>
      </c>
      <c r="R3036" s="422" t="n">
        <v>37.592375</v>
      </c>
      <c r="S3036" s="387">
        <f>'Цены|Скидки'!$D$25</f>
        <v/>
      </c>
      <c r="T3036" s="387">
        <f>IF(N3036=1,S3036*O3036,0)</f>
        <v/>
      </c>
      <c r="X3036" s="1" t="n"/>
      <c r="Y3036" s="1" t="n"/>
      <c r="Z3036" s="1" t="n"/>
    </row>
    <row r="3037" hidden="1" ht="16.05" customHeight="1">
      <c r="A3037" s="125" t="n">
        <v>3715</v>
      </c>
      <c r="B3037" s="125" t="inlineStr">
        <is>
          <t>WF</t>
        </is>
      </c>
      <c r="C3037" s="130" t="inlineStr">
        <is>
          <t>Москва</t>
        </is>
      </c>
      <c r="D3037" s="130" t="inlineStr">
        <is>
          <t>Москва</t>
        </is>
      </c>
      <c r="E3037" s="130" t="inlineStr">
        <is>
          <t>B+</t>
        </is>
      </c>
      <c r="F3037" s="130" t="inlineStr">
        <is>
          <t>Бизнес центр</t>
        </is>
      </c>
      <c r="G3037" s="130" t="inlineStr">
        <is>
          <t>Бизнес центр</t>
        </is>
      </c>
      <c r="H3037" s="131" t="n">
        <v>10606</v>
      </c>
      <c r="I3037" s="637" t="inlineStr">
        <is>
          <t>Вольт центр</t>
        </is>
      </c>
      <c r="J3037" s="637" t="inlineStr">
        <is>
          <t>MSK_BC_Volt_tsentr</t>
        </is>
      </c>
      <c r="K3037" s="640" t="n">
        <v>1</v>
      </c>
      <c r="L3037" s="640" t="n">
        <v>1</v>
      </c>
      <c r="M3037" s="623" t="inlineStr">
        <is>
          <t>Samsung 32" вертикальный</t>
        </is>
      </c>
      <c r="N3037" s="640" t="n"/>
      <c r="O3037" s="640">
        <f>IF(AND(N3037=1,L3037=1),K3037,"")</f>
        <v/>
      </c>
      <c r="P3037" s="642" t="inlineStr">
        <is>
          <t>Москва, Высоковольтный проезд, д. 1, стр.49</t>
        </is>
      </c>
      <c r="Q3037" s="640" t="inlineStr">
        <is>
          <t>55.87589</t>
        </is>
      </c>
      <c r="R3037" s="494" t="inlineStr">
        <is>
          <t>37.595016</t>
        </is>
      </c>
      <c r="S3037" s="387">
        <f>'Цены|Скидки'!$D$25</f>
        <v/>
      </c>
      <c r="T3037" s="387">
        <f>IF(N3037=1,S3037*O3037,0)</f>
        <v/>
      </c>
      <c r="Z3037" s="1" t="n"/>
    </row>
    <row r="3038" hidden="1" ht="16.05" customHeight="1">
      <c r="A3038" s="125" t="n">
        <v>3716</v>
      </c>
      <c r="B3038" s="125" t="inlineStr">
        <is>
          <t>WF</t>
        </is>
      </c>
      <c r="C3038" s="130" t="inlineStr">
        <is>
          <t>Москва</t>
        </is>
      </c>
      <c r="D3038" s="130" t="inlineStr">
        <is>
          <t>Москва</t>
        </is>
      </c>
      <c r="E3038" s="130" t="inlineStr">
        <is>
          <t>A</t>
        </is>
      </c>
      <c r="F3038" s="130" t="inlineStr">
        <is>
          <t>Бизнес центр</t>
        </is>
      </c>
      <c r="G3038" s="130" t="inlineStr">
        <is>
          <t>Бизнес центр</t>
        </is>
      </c>
      <c r="H3038" s="131" t="n">
        <v>40385</v>
      </c>
      <c r="I3038" s="637" t="inlineStr">
        <is>
          <t>Данилов Плаза</t>
        </is>
      </c>
      <c r="J3038" s="637" t="inlineStr">
        <is>
          <t>MSK_BC_Danilov_Plaza</t>
        </is>
      </c>
      <c r="K3038" s="640" t="n">
        <v>2</v>
      </c>
      <c r="L3038" s="640" t="n">
        <v>1</v>
      </c>
      <c r="M3038" s="623" t="inlineStr">
        <is>
          <t>Samsung 32" вертикальный</t>
        </is>
      </c>
      <c r="N3038" s="640" t="n"/>
      <c r="O3038" s="640">
        <f>IF(AND(N3038=1,L3038=1),K3038,"")</f>
        <v/>
      </c>
      <c r="P3038" s="642" t="inlineStr">
        <is>
          <t>Москва, Новоданиловская набережная, д.6</t>
        </is>
      </c>
      <c r="Q3038" s="640" t="inlineStr">
        <is>
          <t>55.698011</t>
        </is>
      </c>
      <c r="R3038" s="494" t="inlineStr">
        <is>
          <t>37.624974</t>
        </is>
      </c>
      <c r="S3038" s="387">
        <f>'Цены|Скидки'!$D$25</f>
        <v/>
      </c>
      <c r="T3038" s="387">
        <f>IF(N3038=1,S3038*O3038,0)</f>
        <v/>
      </c>
      <c r="Z3038" s="1" t="n"/>
    </row>
    <row r="3039" hidden="1" ht="16.05" customHeight="1">
      <c r="A3039" s="125" t="n">
        <v>3718</v>
      </c>
      <c r="B3039" s="125" t="inlineStr">
        <is>
          <t>WF</t>
        </is>
      </c>
      <c r="C3039" s="130" t="inlineStr">
        <is>
          <t>Москва</t>
        </is>
      </c>
      <c r="D3039" s="130" t="inlineStr">
        <is>
          <t>Москва</t>
        </is>
      </c>
      <c r="E3039" s="130" t="inlineStr">
        <is>
          <t>A</t>
        </is>
      </c>
      <c r="F3039" s="130" t="inlineStr">
        <is>
          <t>Бизнес центр</t>
        </is>
      </c>
      <c r="G3039" s="130" t="inlineStr">
        <is>
          <t>Бизнес центр</t>
        </is>
      </c>
      <c r="H3039" s="131" t="n">
        <v>53354</v>
      </c>
      <c r="I3039" s="637" t="inlineStr">
        <is>
          <t>Краснопресненский</t>
        </is>
      </c>
      <c r="J3039" s="637" t="inlineStr">
        <is>
          <t>MSK_BC_Krasnopresnenskiy</t>
        </is>
      </c>
      <c r="K3039" s="640" t="n">
        <v>5</v>
      </c>
      <c r="L3039" s="640" t="n">
        <v>1</v>
      </c>
      <c r="M3039" s="623" t="inlineStr">
        <is>
          <t>Samsung 32" вертикальный</t>
        </is>
      </c>
      <c r="N3039" s="640" t="n"/>
      <c r="O3039" s="640">
        <f>IF(AND(N3039=1,L3039=1),K3039,"")</f>
        <v/>
      </c>
      <c r="P3039" s="642" t="inlineStr">
        <is>
          <t>Москва, 2-ая Звенигородская ул., д. 13, стр. 41</t>
        </is>
      </c>
      <c r="Q3039" s="640" t="inlineStr">
        <is>
          <t>55.76018</t>
        </is>
      </c>
      <c r="R3039" s="494" t="inlineStr">
        <is>
          <t>37.554897</t>
        </is>
      </c>
      <c r="S3039" s="387">
        <f>'Цены|Скидки'!$D$25</f>
        <v/>
      </c>
      <c r="T3039" s="387">
        <f>IF(N3039=1,S3039*O3039,0)</f>
        <v/>
      </c>
      <c r="Z3039" s="1" t="n"/>
    </row>
    <row r="3040" hidden="1" ht="16.05" customHeight="1">
      <c r="A3040" s="125" t="n">
        <v>3717</v>
      </c>
      <c r="B3040" s="125" t="inlineStr">
        <is>
          <t>WF</t>
        </is>
      </c>
      <c r="C3040" s="130" t="inlineStr">
        <is>
          <t>Москва</t>
        </is>
      </c>
      <c r="D3040" s="130" t="inlineStr">
        <is>
          <t>Москва</t>
        </is>
      </c>
      <c r="E3040" s="130" t="inlineStr">
        <is>
          <t>A</t>
        </is>
      </c>
      <c r="F3040" s="130" t="inlineStr">
        <is>
          <t>Бизнес центр</t>
        </is>
      </c>
      <c r="G3040" s="130" t="inlineStr">
        <is>
          <t>Бизнес центр</t>
        </is>
      </c>
      <c r="H3040" s="131" t="n">
        <v>32550</v>
      </c>
      <c r="I3040" s="637" t="inlineStr">
        <is>
          <t>Даниловский форт</t>
        </is>
      </c>
      <c r="J3040" s="402" t="inlineStr">
        <is>
          <t>MSK_BC_Danilovskiy_fort</t>
        </is>
      </c>
      <c r="K3040" s="640" t="n">
        <v>5</v>
      </c>
      <c r="L3040" s="640" t="n">
        <v>0</v>
      </c>
      <c r="M3040" s="640" t="inlineStr">
        <is>
          <t>ФОТО</t>
        </is>
      </c>
      <c r="N3040" s="640" t="n"/>
      <c r="O3040" s="640">
        <f>IF(AND(N3040=1,L3040=1),K3040,"")</f>
        <v/>
      </c>
      <c r="P3040" s="642" t="inlineStr">
        <is>
          <t>Новоданиловская набережная, д.10</t>
        </is>
      </c>
      <c r="Q3040" s="640" t="n">
        <v>55.695905</v>
      </c>
      <c r="R3040" s="422" t="n">
        <v>37.625361</v>
      </c>
      <c r="S3040" s="387">
        <f>'Цены|Скидки'!$D$25</f>
        <v/>
      </c>
      <c r="T3040" s="387">
        <f>IF(N3040=1,S3040*O3040,0)</f>
        <v/>
      </c>
      <c r="X3040" s="1" t="n"/>
      <c r="Y3040" s="1" t="n"/>
      <c r="Z3040" s="1" t="n"/>
    </row>
    <row r="3041" hidden="1" ht="16.05" customHeight="1">
      <c r="A3041" s="125" t="n">
        <v>3719</v>
      </c>
      <c r="B3041" s="125" t="inlineStr">
        <is>
          <t>WF</t>
        </is>
      </c>
      <c r="C3041" s="130" t="inlineStr">
        <is>
          <t>Москва</t>
        </is>
      </c>
      <c r="D3041" s="130" t="inlineStr">
        <is>
          <t>Москва</t>
        </is>
      </c>
      <c r="E3041" s="130" t="inlineStr">
        <is>
          <t>A+</t>
        </is>
      </c>
      <c r="F3041" s="130" t="inlineStr">
        <is>
          <t>Бизнес центр</t>
        </is>
      </c>
      <c r="G3041" s="130" t="inlineStr">
        <is>
          <t>Бизнес центр</t>
        </is>
      </c>
      <c r="H3041" s="131" t="n">
        <v>12787</v>
      </c>
      <c r="I3041" s="637" t="inlineStr">
        <is>
          <t>Капитал</t>
        </is>
      </c>
      <c r="J3041" s="637" t="inlineStr">
        <is>
          <t>MSK_BC_IFD_KAPITAL</t>
        </is>
      </c>
      <c r="K3041" s="640" t="n">
        <v>5</v>
      </c>
      <c r="L3041" s="640" t="n">
        <v>1</v>
      </c>
      <c r="M3041" s="623" t="inlineStr">
        <is>
          <t>Samsung 32" + 43" вертикальный</t>
        </is>
      </c>
      <c r="N3041" s="640" t="n"/>
      <c r="O3041" s="640">
        <f>IF(AND(N3041=1,L3041=1),K3041,"")</f>
        <v/>
      </c>
      <c r="P3041" s="642" t="inlineStr">
        <is>
          <t>Москва, Краснопресненская набережная, д. 6</t>
        </is>
      </c>
      <c r="Q3041" s="640" t="inlineStr">
        <is>
          <t>55.754922</t>
        </is>
      </c>
      <c r="R3041" s="494" t="inlineStr">
        <is>
          <t>37.566548</t>
        </is>
      </c>
      <c r="S3041" s="387">
        <f>'Цены|Скидки'!$D$25</f>
        <v/>
      </c>
      <c r="T3041" s="387">
        <f>IF(N3041=1,S3041*O3041,0)</f>
        <v/>
      </c>
      <c r="Z3041" s="1" t="n"/>
    </row>
    <row r="3042" hidden="1" ht="16.05" customHeight="1">
      <c r="A3042" s="125" t="n">
        <v>3720</v>
      </c>
      <c r="B3042" s="125" t="inlineStr">
        <is>
          <t>WF</t>
        </is>
      </c>
      <c r="C3042" s="130" t="inlineStr">
        <is>
          <t>Москва</t>
        </is>
      </c>
      <c r="D3042" s="130" t="inlineStr">
        <is>
          <t>Москва</t>
        </is>
      </c>
      <c r="E3042" s="130" t="inlineStr">
        <is>
          <t>A</t>
        </is>
      </c>
      <c r="F3042" s="130" t="inlineStr">
        <is>
          <t>Бизнес центр</t>
        </is>
      </c>
      <c r="G3042" s="130" t="inlineStr">
        <is>
          <t>Бизнес центр</t>
        </is>
      </c>
      <c r="H3042" s="131" t="n">
        <v>10230</v>
      </c>
      <c r="I3042" s="637" t="inlineStr">
        <is>
          <t>Калейдоскоп</t>
        </is>
      </c>
      <c r="J3042" s="637" t="inlineStr">
        <is>
          <t>MSK_BC_Kaleydoskop</t>
        </is>
      </c>
      <c r="K3042" s="640" t="n">
        <v>2</v>
      </c>
      <c r="L3042" s="640" t="n">
        <v>1</v>
      </c>
      <c r="M3042" s="623" t="inlineStr">
        <is>
          <t>Samsung 32" вертикальный</t>
        </is>
      </c>
      <c r="N3042" s="640" t="n"/>
      <c r="O3042" s="640">
        <f>IF(AND(N3042=1,L3042=1),K3042,"")</f>
        <v/>
      </c>
      <c r="P3042" s="642" t="inlineStr">
        <is>
          <t>Москва, Хлебозаводский проезд, дом 7</t>
        </is>
      </c>
      <c r="Q3042" s="640" t="inlineStr">
        <is>
          <t>55.669336</t>
        </is>
      </c>
      <c r="R3042" s="494" t="inlineStr">
        <is>
          <t>37.631622</t>
        </is>
      </c>
      <c r="S3042" s="387">
        <f>'Цены|Скидки'!$D$25</f>
        <v/>
      </c>
      <c r="T3042" s="387">
        <f>IF(N3042=1,S3042*O3042,0)</f>
        <v/>
      </c>
      <c r="Z3042" s="1" t="n"/>
    </row>
    <row r="3043" hidden="1" ht="16.05" customHeight="1">
      <c r="A3043" s="125" t="n">
        <v>3722</v>
      </c>
      <c r="B3043" s="125" t="inlineStr">
        <is>
          <t>WF</t>
        </is>
      </c>
      <c r="C3043" s="130" t="inlineStr">
        <is>
          <t>Москва</t>
        </is>
      </c>
      <c r="D3043" s="130" t="inlineStr">
        <is>
          <t>Москва</t>
        </is>
      </c>
      <c r="E3043" s="130" t="inlineStr">
        <is>
          <t>B+</t>
        </is>
      </c>
      <c r="F3043" s="130" t="inlineStr">
        <is>
          <t>Бизнес центр</t>
        </is>
      </c>
      <c r="G3043" s="130" t="inlineStr">
        <is>
          <t>Бизнес центр</t>
        </is>
      </c>
      <c r="H3043" s="131" t="n">
        <v>23250</v>
      </c>
      <c r="I3043" s="637" t="inlineStr">
        <is>
          <t>Квартал Сити</t>
        </is>
      </c>
      <c r="J3043" s="637" t="inlineStr">
        <is>
          <t>MSK_BC_Kvartal_Siti</t>
        </is>
      </c>
      <c r="K3043" s="640" t="n">
        <v>2</v>
      </c>
      <c r="L3043" s="640" t="n">
        <v>1</v>
      </c>
      <c r="M3043" s="623" t="inlineStr">
        <is>
          <t>Samsung 32" вертикальный</t>
        </is>
      </c>
      <c r="N3043" s="640" t="n"/>
      <c r="O3043" s="640">
        <f>IF(AND(N3043=1,L3043=1),K3043,"")</f>
        <v/>
      </c>
      <c r="P3043" s="642" t="inlineStr">
        <is>
          <t>Москва, Дубининская улица, 53, стр. 5</t>
        </is>
      </c>
      <c r="Q3043" s="640" t="inlineStr">
        <is>
          <t>55.721843</t>
        </is>
      </c>
      <c r="R3043" s="494" t="inlineStr">
        <is>
          <t>37.638674</t>
        </is>
      </c>
      <c r="S3043" s="387">
        <f>'Цены|Скидки'!$D$25</f>
        <v/>
      </c>
      <c r="T3043" s="387">
        <f>IF(N3043=1,S3043*O3043,0)</f>
        <v/>
      </c>
      <c r="Z3043" s="1" t="n"/>
    </row>
    <row r="3044" hidden="1" ht="16.05" customHeight="1">
      <c r="A3044" s="125" t="n">
        <v>3721</v>
      </c>
      <c r="B3044" s="125" t="inlineStr">
        <is>
          <t>WF</t>
        </is>
      </c>
      <c r="C3044" s="130" t="inlineStr">
        <is>
          <t>Москва</t>
        </is>
      </c>
      <c r="D3044" s="130" t="inlineStr">
        <is>
          <t>Москва</t>
        </is>
      </c>
      <c r="E3044" s="130" t="inlineStr">
        <is>
          <t>A</t>
        </is>
      </c>
      <c r="F3044" s="130" t="inlineStr">
        <is>
          <t>Бизнес центр</t>
        </is>
      </c>
      <c r="G3044" s="130" t="inlineStr">
        <is>
          <t>Бизнес центр</t>
        </is>
      </c>
      <c r="H3044" s="131" t="n">
        <v>4340</v>
      </c>
      <c r="I3044" s="637" t="inlineStr">
        <is>
          <t>Каракорум Плаза</t>
        </is>
      </c>
      <c r="J3044" s="637" t="inlineStr">
        <is>
          <t>MSK_BC_Karakorum_Plaza</t>
        </is>
      </c>
      <c r="K3044" s="640" t="n">
        <v>2</v>
      </c>
      <c r="L3044" s="640" t="n">
        <v>0</v>
      </c>
      <c r="M3044" s="640" t="inlineStr">
        <is>
          <t>Samsung 32" вертикальный</t>
        </is>
      </c>
      <c r="N3044" s="640" t="n"/>
      <c r="O3044" s="640">
        <f>IF(AND(N3044=1,L3044=1),K3044,"")</f>
        <v/>
      </c>
      <c r="P3044" s="642" t="inlineStr">
        <is>
          <t>Спасопесковский пер., д.7/1</t>
        </is>
      </c>
      <c r="Q3044" s="640" t="inlineStr">
        <is>
          <t>55.750048</t>
        </is>
      </c>
      <c r="R3044" s="422" t="inlineStr">
        <is>
          <t>37.586922</t>
        </is>
      </c>
      <c r="S3044" s="387">
        <f>'Цены|Скидки'!$D$25</f>
        <v/>
      </c>
      <c r="T3044" s="387">
        <f>IF(N3044=1,S3044*O3044,0)</f>
        <v/>
      </c>
      <c r="Z3044" s="1" t="n"/>
    </row>
    <row r="3045" hidden="1" ht="16.05" customHeight="1">
      <c r="A3045" s="125" t="n">
        <v>3723</v>
      </c>
      <c r="B3045" s="125" t="inlineStr">
        <is>
          <t>WF</t>
        </is>
      </c>
      <c r="C3045" s="130" t="inlineStr">
        <is>
          <t>Москва</t>
        </is>
      </c>
      <c r="D3045" s="130" t="inlineStr">
        <is>
          <t>Москва</t>
        </is>
      </c>
      <c r="E3045" s="130" t="inlineStr">
        <is>
          <t>A</t>
        </is>
      </c>
      <c r="F3045" s="130" t="inlineStr">
        <is>
          <t>Бизнес центр</t>
        </is>
      </c>
      <c r="G3045" s="130" t="inlineStr">
        <is>
          <t>Бизнес центр</t>
        </is>
      </c>
      <c r="H3045" s="131" t="n">
        <v>18375</v>
      </c>
      <c r="I3045" s="637" t="inlineStr">
        <is>
          <t>Китай город</t>
        </is>
      </c>
      <c r="J3045" s="637" t="inlineStr">
        <is>
          <t>MSK_BC_Kitay_gorod</t>
        </is>
      </c>
      <c r="K3045" s="640" t="n">
        <v>3</v>
      </c>
      <c r="L3045" s="640" t="n">
        <v>1</v>
      </c>
      <c r="M3045" s="623" t="inlineStr">
        <is>
          <t>Samsung 32" + 43" вертикальный</t>
        </is>
      </c>
      <c r="N3045" s="640" t="n"/>
      <c r="O3045" s="640">
        <f>IF(AND(N3045=1,L3045=1),K3045,"")</f>
        <v/>
      </c>
      <c r="P3045" s="642" t="inlineStr">
        <is>
          <t>Москва, Лубянский проезд, д. 27/1, стр. 1</t>
        </is>
      </c>
      <c r="Q3045" s="640" t="inlineStr">
        <is>
          <t>55.754223</t>
        </is>
      </c>
      <c r="R3045" s="494" t="inlineStr">
        <is>
          <t>37.635125</t>
        </is>
      </c>
      <c r="S3045" s="387">
        <f>'Цены|Скидки'!$D$25</f>
        <v/>
      </c>
      <c r="T3045" s="387">
        <f>IF(N3045=1,S3045*O3045,0)</f>
        <v/>
      </c>
      <c r="Z3045" s="1" t="n"/>
    </row>
    <row r="3046" hidden="1" ht="16.05" customHeight="1">
      <c r="A3046" s="125" t="n">
        <v>3724</v>
      </c>
      <c r="B3046" s="125" t="inlineStr">
        <is>
          <t>WF</t>
        </is>
      </c>
      <c r="C3046" s="130" t="inlineStr">
        <is>
          <t>Москва</t>
        </is>
      </c>
      <c r="D3046" s="130" t="inlineStr">
        <is>
          <t>Москва</t>
        </is>
      </c>
      <c r="E3046" s="130" t="inlineStr">
        <is>
          <t>B+</t>
        </is>
      </c>
      <c r="F3046" s="130" t="inlineStr">
        <is>
          <t>Бизнес центр</t>
        </is>
      </c>
      <c r="G3046" s="130" t="inlineStr">
        <is>
          <t>Бизнес центр</t>
        </is>
      </c>
      <c r="H3046" s="131" t="n">
        <v>3733</v>
      </c>
      <c r="I3046" s="637" t="inlineStr">
        <is>
          <t>Крутицкий</t>
        </is>
      </c>
      <c r="J3046" s="637" t="inlineStr">
        <is>
          <t>MSK_BC_Krutitskiy</t>
        </is>
      </c>
      <c r="K3046" s="640" t="n">
        <v>4</v>
      </c>
      <c r="L3046" s="640" t="n">
        <v>1</v>
      </c>
      <c r="M3046" s="623" t="inlineStr">
        <is>
          <t>Samsung 32" вертикальный</t>
        </is>
      </c>
      <c r="N3046" s="640" t="n"/>
      <c r="O3046" s="640">
        <f>IF(AND(N3046=1,L3046=1),K3046,"")</f>
        <v/>
      </c>
      <c r="P3046" s="642" t="inlineStr">
        <is>
          <t>Москва, Крутицкий вал, д. 14</t>
        </is>
      </c>
      <c r="Q3046" s="640" t="inlineStr">
        <is>
          <t>55.7296</t>
        </is>
      </c>
      <c r="R3046" s="494" t="inlineStr">
        <is>
          <t>37.663881</t>
        </is>
      </c>
      <c r="S3046" s="387">
        <f>'Цены|Скидки'!$D$25</f>
        <v/>
      </c>
      <c r="T3046" s="387">
        <f>IF(N3046=1,S3046*O3046,0)</f>
        <v/>
      </c>
      <c r="Z3046" s="1" t="n"/>
    </row>
    <row r="3047" hidden="1" ht="16.05" customHeight="1">
      <c r="A3047" s="125" t="n">
        <v>3725</v>
      </c>
      <c r="B3047" s="125" t="inlineStr">
        <is>
          <t>WF</t>
        </is>
      </c>
      <c r="C3047" s="130" t="inlineStr">
        <is>
          <t>Москва</t>
        </is>
      </c>
      <c r="D3047" s="130" t="inlineStr">
        <is>
          <t>Москва</t>
        </is>
      </c>
      <c r="E3047" s="130" t="inlineStr">
        <is>
          <t>A</t>
        </is>
      </c>
      <c r="F3047" s="130" t="inlineStr">
        <is>
          <t>Бизнес центр</t>
        </is>
      </c>
      <c r="G3047" s="130" t="inlineStr">
        <is>
          <t>Бизнес центр</t>
        </is>
      </c>
      <c r="H3047" s="131" t="n">
        <v>14580</v>
      </c>
      <c r="I3047" s="637" t="inlineStr">
        <is>
          <t>Крымский Вал</t>
        </is>
      </c>
      <c r="J3047" s="637" t="inlineStr">
        <is>
          <t>MSK_BC_Krymskiy_Val</t>
        </is>
      </c>
      <c r="K3047" s="640" t="n">
        <v>2</v>
      </c>
      <c r="L3047" s="640" t="n">
        <v>1</v>
      </c>
      <c r="M3047" s="623" t="inlineStr">
        <is>
          <t>Samsung 55" вертикальный</t>
        </is>
      </c>
      <c r="N3047" s="640" t="n"/>
      <c r="O3047" s="640">
        <f>IF(AND(N3047=1,L3047=1),K3047,"")</f>
        <v/>
      </c>
      <c r="P3047" s="642" t="inlineStr">
        <is>
          <t>Москва, Крымский вал, д. 3, стр. 2</t>
        </is>
      </c>
      <c r="Q3047" s="640" t="inlineStr">
        <is>
          <t>55.729321</t>
        </is>
      </c>
      <c r="R3047" s="494" t="inlineStr">
        <is>
          <t>37.60911</t>
        </is>
      </c>
      <c r="S3047" s="387">
        <f>'Цены|Скидки'!$D$25</f>
        <v/>
      </c>
      <c r="T3047" s="387">
        <f>IF(N3047=1,S3047*O3047,0)</f>
        <v/>
      </c>
      <c r="Z3047" s="1" t="n"/>
    </row>
    <row r="3048" hidden="1" ht="16.05" customHeight="1">
      <c r="A3048" s="125" t="n">
        <v>3726</v>
      </c>
      <c r="B3048" s="125" t="inlineStr">
        <is>
          <t>WF</t>
        </is>
      </c>
      <c r="C3048" s="130" t="inlineStr">
        <is>
          <t>Москва</t>
        </is>
      </c>
      <c r="D3048" s="130" t="inlineStr">
        <is>
          <t>Москва</t>
        </is>
      </c>
      <c r="E3048" s="130" t="inlineStr">
        <is>
          <t>B+</t>
        </is>
      </c>
      <c r="F3048" s="130" t="inlineStr">
        <is>
          <t>Бизнес центр</t>
        </is>
      </c>
      <c r="G3048" s="130" t="inlineStr">
        <is>
          <t>Бизнес центр</t>
        </is>
      </c>
      <c r="H3048" s="131" t="n">
        <v>9353</v>
      </c>
      <c r="I3048" s="637" t="inlineStr">
        <is>
          <t>На Аргуновской</t>
        </is>
      </c>
      <c r="J3048" s="637" t="inlineStr">
        <is>
          <t>MSK_BC_Na_Argunovskoy</t>
        </is>
      </c>
      <c r="K3048" s="640" t="n">
        <v>1</v>
      </c>
      <c r="L3048" s="640" t="n">
        <v>1</v>
      </c>
      <c r="M3048" s="623" t="inlineStr">
        <is>
          <t>Samsung 32" вертикальный</t>
        </is>
      </c>
      <c r="N3048" s="640" t="n"/>
      <c r="O3048" s="640">
        <f>IF(AND(N3048=1,L3048=1),K3048,"")</f>
        <v/>
      </c>
      <c r="P3048" s="642" t="inlineStr">
        <is>
          <t>Москва, Аргуновская ул., д.3, корп.1</t>
        </is>
      </c>
      <c r="Q3048" s="640" t="inlineStr">
        <is>
          <t>55.815782</t>
        </is>
      </c>
      <c r="R3048" s="494" t="inlineStr">
        <is>
          <t>37.619486</t>
        </is>
      </c>
      <c r="S3048" s="387">
        <f>'Цены|Скидки'!$D$25</f>
        <v/>
      </c>
      <c r="T3048" s="387">
        <f>IF(N3048=1,S3048*O3048,0)</f>
        <v/>
      </c>
      <c r="Z3048" s="1" t="n"/>
    </row>
    <row r="3049" hidden="1" ht="16.05" customHeight="1">
      <c r="A3049" s="125" t="n">
        <v>3727</v>
      </c>
      <c r="B3049" s="125" t="inlineStr">
        <is>
          <t>WF</t>
        </is>
      </c>
      <c r="C3049" s="130" t="inlineStr">
        <is>
          <t>Москва</t>
        </is>
      </c>
      <c r="D3049" s="130" t="inlineStr">
        <is>
          <t>Москва</t>
        </is>
      </c>
      <c r="E3049" s="130" t="inlineStr">
        <is>
          <t>B</t>
        </is>
      </c>
      <c r="F3049" s="130" t="inlineStr">
        <is>
          <t>Бизнес центр</t>
        </is>
      </c>
      <c r="G3049" s="130" t="inlineStr">
        <is>
          <t>Бизнес центр</t>
        </is>
      </c>
      <c r="H3049" s="131" t="n">
        <v>5242</v>
      </c>
      <c r="I3049" s="637" t="inlineStr">
        <is>
          <t>На Цветном</t>
        </is>
      </c>
      <c r="J3049" s="637" t="inlineStr">
        <is>
          <t>MSK_BC_Na_Tsvetnom</t>
        </is>
      </c>
      <c r="K3049" s="640" t="n">
        <v>2</v>
      </c>
      <c r="L3049" s="640" t="n">
        <v>1</v>
      </c>
      <c r="M3049" s="623" t="inlineStr">
        <is>
          <t>Samsung 32" вертикальный</t>
        </is>
      </c>
      <c r="N3049" s="640" t="n"/>
      <c r="O3049" s="640">
        <f>IF(AND(N3049=1,L3049=1),K3049,"")</f>
        <v/>
      </c>
      <c r="P3049" s="642" t="inlineStr">
        <is>
          <t>Москва, Цветной бульвар, д. 11</t>
        </is>
      </c>
      <c r="Q3049" s="640" t="inlineStr">
        <is>
          <t>55.770071</t>
        </is>
      </c>
      <c r="R3049" s="494" t="inlineStr">
        <is>
          <t>37.620429</t>
        </is>
      </c>
      <c r="S3049" s="387">
        <f>'Цены|Скидки'!$D$25</f>
        <v/>
      </c>
      <c r="T3049" s="387">
        <f>IF(N3049=1,S3049*O3049,0)</f>
        <v/>
      </c>
      <c r="Z3049" s="1" t="n"/>
    </row>
    <row r="3050" hidden="1" ht="16.05" customHeight="1">
      <c r="A3050" s="125" t="n">
        <v>3729</v>
      </c>
      <c r="B3050" s="125" t="inlineStr">
        <is>
          <t>WF</t>
        </is>
      </c>
      <c r="C3050" s="130" t="inlineStr">
        <is>
          <t>Москва</t>
        </is>
      </c>
      <c r="D3050" s="130" t="inlineStr">
        <is>
          <t>Москва</t>
        </is>
      </c>
      <c r="E3050" s="130" t="inlineStr">
        <is>
          <t>B+</t>
        </is>
      </c>
      <c r="F3050" s="130" t="inlineStr">
        <is>
          <t>Бизнес центр</t>
        </is>
      </c>
      <c r="G3050" s="130" t="inlineStr">
        <is>
          <t>Бизнес центр</t>
        </is>
      </c>
      <c r="H3050" s="131" t="n">
        <v>57600</v>
      </c>
      <c r="I3050" s="637" t="inlineStr">
        <is>
          <t>Деловой квартал Красный Пролетарий</t>
        </is>
      </c>
      <c r="J3050" s="637" t="inlineStr">
        <is>
          <t>MSK_BC_Novoslobodskiy</t>
        </is>
      </c>
      <c r="K3050" s="640" t="n">
        <v>4</v>
      </c>
      <c r="L3050" s="640" t="n">
        <v>1</v>
      </c>
      <c r="M3050" s="623" t="inlineStr">
        <is>
          <t>Samsung 32" вертикальный</t>
        </is>
      </c>
      <c r="N3050" s="640" t="n"/>
      <c r="O3050" s="640">
        <f>IF(AND(N3050=1,L3050=1),K3050,"")</f>
        <v/>
      </c>
      <c r="P3050" s="642" t="inlineStr">
        <is>
          <t>Москва, Краснопролетарская ул., д. 16</t>
        </is>
      </c>
      <c r="Q3050" s="640" t="inlineStr">
        <is>
          <t>55.777191</t>
        </is>
      </c>
      <c r="R3050" s="494" t="inlineStr">
        <is>
          <t>37.607098</t>
        </is>
      </c>
      <c r="S3050" s="387">
        <f>'Цены|Скидки'!$D$25</f>
        <v/>
      </c>
      <c r="T3050" s="387">
        <f>IF(N3050=1,S3050*O3050,0)</f>
        <v/>
      </c>
      <c r="Z3050" s="1" t="n"/>
    </row>
    <row r="3051" hidden="1" ht="16.05" customHeight="1">
      <c r="A3051" s="125" t="n">
        <v>3728</v>
      </c>
      <c r="B3051" s="125" t="inlineStr">
        <is>
          <t>WF</t>
        </is>
      </c>
      <c r="C3051" s="130" t="inlineStr">
        <is>
          <t>Москва</t>
        </is>
      </c>
      <c r="D3051" s="130" t="inlineStr">
        <is>
          <t>Москва</t>
        </is>
      </c>
      <c r="E3051" s="130" t="inlineStr">
        <is>
          <t>B</t>
        </is>
      </c>
      <c r="F3051" s="130" t="inlineStr">
        <is>
          <t>Бизнес центр</t>
        </is>
      </c>
      <c r="G3051" s="130" t="inlineStr">
        <is>
          <t>Бизнес центр</t>
        </is>
      </c>
      <c r="H3051" s="131" t="n">
        <v>17248</v>
      </c>
      <c r="I3051" s="637" t="inlineStr">
        <is>
          <t>На Широкой</t>
        </is>
      </c>
      <c r="J3051" s="637" t="inlineStr">
        <is>
          <t>MSK_BC_Na_Shirokoy</t>
        </is>
      </c>
      <c r="K3051" s="640" t="n">
        <v>1</v>
      </c>
      <c r="L3051" s="640" t="n">
        <v>0</v>
      </c>
      <c r="M3051" s="640" t="inlineStr">
        <is>
          <t>Samsung 32" вертикальный</t>
        </is>
      </c>
      <c r="N3051" s="640" t="n"/>
      <c r="O3051" s="640">
        <f>IF(AND(N3051=1,L3051=1),K3051,"")</f>
        <v/>
      </c>
      <c r="P3051" s="642" t="inlineStr">
        <is>
          <t>Чермянский проезд, д. 7, стр. 1</t>
        </is>
      </c>
      <c r="Q3051" s="640" t="inlineStr">
        <is>
          <t>55.888786</t>
        </is>
      </c>
      <c r="R3051" s="422" t="inlineStr">
        <is>
          <t>37.632664</t>
        </is>
      </c>
      <c r="S3051" s="387">
        <f>'Цены|Скидки'!$D$25</f>
        <v/>
      </c>
      <c r="T3051" s="387">
        <f>IF(N3051=1,S3051*O3051,0)</f>
        <v/>
      </c>
      <c r="X3051" s="1" t="n"/>
      <c r="Y3051" s="1" t="n"/>
      <c r="Z3051" s="1" t="n"/>
    </row>
    <row r="3052" hidden="1" ht="16.05" customHeight="1">
      <c r="A3052" s="125" t="n">
        <v>3730</v>
      </c>
      <c r="B3052" s="125" t="inlineStr">
        <is>
          <t>WF</t>
        </is>
      </c>
      <c r="C3052" s="130" t="inlineStr">
        <is>
          <t>Москва</t>
        </is>
      </c>
      <c r="D3052" s="130" t="inlineStr">
        <is>
          <t>Москва</t>
        </is>
      </c>
      <c r="E3052" s="130" t="inlineStr">
        <is>
          <t>B+</t>
        </is>
      </c>
      <c r="F3052" s="130" t="inlineStr">
        <is>
          <t>Бизнес центр</t>
        </is>
      </c>
      <c r="G3052" s="130" t="inlineStr">
        <is>
          <t>Бизнес центр</t>
        </is>
      </c>
      <c r="H3052" s="131" t="n">
        <v>41112</v>
      </c>
      <c r="I3052" s="637" t="inlineStr">
        <is>
          <t>Новосущевский</t>
        </is>
      </c>
      <c r="J3052" s="637" t="inlineStr">
        <is>
          <t>MSK_BC_Novosuschevskiy</t>
        </is>
      </c>
      <c r="K3052" s="640" t="n">
        <v>3</v>
      </c>
      <c r="L3052" s="640" t="n">
        <v>0</v>
      </c>
      <c r="M3052" s="640" t="inlineStr">
        <is>
          <t>Samsung 32" + 43" вертикальный</t>
        </is>
      </c>
      <c r="N3052" s="640" t="n"/>
      <c r="O3052" s="640">
        <f>IF(AND(N3052=1,L3052=1),K3052,"")</f>
        <v/>
      </c>
      <c r="P3052" s="642" t="inlineStr">
        <is>
          <t>Сущевский вал ул., д. 18</t>
        </is>
      </c>
      <c r="Q3052" s="640" t="inlineStr">
        <is>
          <t>55.792185</t>
        </is>
      </c>
      <c r="R3052" s="422" t="inlineStr">
        <is>
          <t>37.603242</t>
        </is>
      </c>
      <c r="S3052" s="387">
        <f>'Цены|Скидки'!$D$25</f>
        <v/>
      </c>
      <c r="T3052" s="387">
        <f>IF(N3052=1,S3052*O3052,0)</f>
        <v/>
      </c>
      <c r="Z3052" s="1" t="n"/>
    </row>
    <row r="3053" hidden="1" ht="16.05" customHeight="1">
      <c r="A3053" s="125" t="n">
        <v>3731</v>
      </c>
      <c r="B3053" s="125" t="inlineStr">
        <is>
          <t>WF</t>
        </is>
      </c>
      <c r="C3053" s="130" t="inlineStr">
        <is>
          <t>Москва</t>
        </is>
      </c>
      <c r="D3053" s="130" t="inlineStr">
        <is>
          <t>Москва</t>
        </is>
      </c>
      <c r="E3053" s="130" t="inlineStr">
        <is>
          <t>A</t>
        </is>
      </c>
      <c r="F3053" s="130" t="inlineStr">
        <is>
          <t>Бизнес центр</t>
        </is>
      </c>
      <c r="G3053" s="130" t="inlineStr">
        <is>
          <t>Бизнес центр</t>
        </is>
      </c>
      <c r="H3053" s="131" t="n">
        <v>15887</v>
      </c>
      <c r="I3053" s="637" t="inlineStr">
        <is>
          <t>Офисно-общественный центр</t>
        </is>
      </c>
      <c r="J3053" s="637" t="inlineStr">
        <is>
          <t>MSK_BC_Ofisno_obschestvennyy_tsentr</t>
        </is>
      </c>
      <c r="K3053" s="640" t="n">
        <v>1</v>
      </c>
      <c r="L3053" s="640" t="n">
        <v>1</v>
      </c>
      <c r="M3053" s="623" t="inlineStr">
        <is>
          <t>Samsung 32" вертикальный</t>
        </is>
      </c>
      <c r="N3053" s="640" t="n"/>
      <c r="O3053" s="640">
        <f>IF(AND(N3053=1,L3053=1),K3053,"")</f>
        <v/>
      </c>
      <c r="P3053" s="642" t="inlineStr">
        <is>
          <t>Москва, Измайловское ш., вл. 71, стр. 8</t>
        </is>
      </c>
      <c r="Q3053" s="640" t="inlineStr">
        <is>
          <t>55.790433</t>
        </is>
      </c>
      <c r="R3053" s="494" t="inlineStr">
        <is>
          <t>37.748331</t>
        </is>
      </c>
      <c r="S3053" s="387">
        <f>'Цены|Скидки'!$D$25</f>
        <v/>
      </c>
      <c r="T3053" s="387">
        <f>IF(N3053=1,S3053*O3053,0)</f>
        <v/>
      </c>
      <c r="Z3053" s="1" t="n"/>
    </row>
    <row r="3054" hidden="1" ht="16.05" customHeight="1">
      <c r="A3054" s="125" t="n">
        <v>3732</v>
      </c>
      <c r="B3054" s="125" t="inlineStr">
        <is>
          <t>WF</t>
        </is>
      </c>
      <c r="C3054" s="130" t="inlineStr">
        <is>
          <t>Москва</t>
        </is>
      </c>
      <c r="D3054" s="130" t="inlineStr">
        <is>
          <t>Москва</t>
        </is>
      </c>
      <c r="E3054" s="130" t="inlineStr">
        <is>
          <t>A+</t>
        </is>
      </c>
      <c r="F3054" s="130" t="inlineStr">
        <is>
          <t>Бизнес центр</t>
        </is>
      </c>
      <c r="G3054" s="130" t="inlineStr">
        <is>
          <t>Бизнес центр</t>
        </is>
      </c>
      <c r="H3054" s="131" t="n">
        <v>24080</v>
      </c>
      <c r="I3054" s="637" t="inlineStr">
        <is>
          <t>Резиденция на Рублевке</t>
        </is>
      </c>
      <c r="J3054" s="637" t="inlineStr">
        <is>
          <t>MSK_BC_Rezidentsiya_na_Rublevke</t>
        </is>
      </c>
      <c r="K3054" s="640" t="n">
        <v>6</v>
      </c>
      <c r="L3054" s="640" t="n">
        <v>1</v>
      </c>
      <c r="M3054" s="623" t="inlineStr">
        <is>
          <t>Samsung 32" вертикальный</t>
        </is>
      </c>
      <c r="N3054" s="640" t="n"/>
      <c r="O3054" s="640">
        <f>IF(AND(N3054=1,L3054=1),K3054,"")</f>
        <v/>
      </c>
      <c r="P3054" s="642" t="inlineStr">
        <is>
          <t>Москва, с. Усово, стр.100, Рублевское ш., Московская обл.</t>
        </is>
      </c>
      <c r="Q3054" s="640" t="inlineStr">
        <is>
          <t>55.731571</t>
        </is>
      </c>
      <c r="R3054" s="494" t="inlineStr">
        <is>
          <t>37.219394</t>
        </is>
      </c>
      <c r="S3054" s="387">
        <f>'Цены|Скидки'!$D$25</f>
        <v/>
      </c>
      <c r="T3054" s="387">
        <f>IF(N3054=1,S3054*O3054,0)</f>
        <v/>
      </c>
      <c r="Z3054" s="1" t="n"/>
    </row>
    <row r="3055" hidden="1" ht="16.05" customHeight="1">
      <c r="A3055" s="125" t="n">
        <v>3733</v>
      </c>
      <c r="B3055" s="125" t="inlineStr">
        <is>
          <t>WF</t>
        </is>
      </c>
      <c r="C3055" s="130" t="inlineStr">
        <is>
          <t>Москва</t>
        </is>
      </c>
      <c r="D3055" s="130" t="inlineStr">
        <is>
          <t>Москва</t>
        </is>
      </c>
      <c r="E3055" s="130" t="inlineStr">
        <is>
          <t>A</t>
        </is>
      </c>
      <c r="F3055" s="130" t="inlineStr">
        <is>
          <t>Бизнес центр</t>
        </is>
      </c>
      <c r="G3055" s="130" t="inlineStr">
        <is>
          <t>Бизнес центр</t>
        </is>
      </c>
      <c r="H3055" s="131" t="n">
        <v>8461</v>
      </c>
      <c r="I3055" s="637" t="inlineStr">
        <is>
          <t>САФА</t>
        </is>
      </c>
      <c r="J3055" s="637" t="inlineStr">
        <is>
          <t>MSK_BC_SAFA</t>
        </is>
      </c>
      <c r="K3055" s="640" t="n">
        <v>2</v>
      </c>
      <c r="L3055" s="640" t="n">
        <v>1</v>
      </c>
      <c r="M3055" s="623" t="inlineStr">
        <is>
          <t>Samsung 32" вертикальный</t>
        </is>
      </c>
      <c r="N3055" s="640" t="n"/>
      <c r="O3055" s="640">
        <f>IF(AND(N3055=1,L3055=1),K3055,"")</f>
        <v/>
      </c>
      <c r="P3055" s="642" t="inlineStr">
        <is>
          <t>Москва, Новослободская ул., д.3, стр.3</t>
        </is>
      </c>
      <c r="Q3055" s="640" t="inlineStr">
        <is>
          <t>55.779039</t>
        </is>
      </c>
      <c r="R3055" s="494" t="inlineStr">
        <is>
          <t>37.599669</t>
        </is>
      </c>
      <c r="S3055" s="387">
        <f>'Цены|Скидки'!$D$25</f>
        <v/>
      </c>
      <c r="T3055" s="387">
        <f>IF(N3055=1,S3055*O3055,0)</f>
        <v/>
      </c>
      <c r="Z3055" s="1" t="n"/>
    </row>
    <row r="3056" hidden="1" ht="16.05" customHeight="1">
      <c r="A3056" s="125" t="n">
        <v>3734</v>
      </c>
      <c r="B3056" s="125" t="inlineStr">
        <is>
          <t>WF</t>
        </is>
      </c>
      <c r="C3056" s="130" t="inlineStr">
        <is>
          <t>Москва</t>
        </is>
      </c>
      <c r="D3056" s="130" t="inlineStr">
        <is>
          <t>Москва</t>
        </is>
      </c>
      <c r="E3056" s="130" t="inlineStr">
        <is>
          <t>B+</t>
        </is>
      </c>
      <c r="F3056" s="130" t="inlineStr">
        <is>
          <t>Бизнес центр</t>
        </is>
      </c>
      <c r="G3056" s="130" t="inlineStr">
        <is>
          <t>Бизнес центр</t>
        </is>
      </c>
      <c r="H3056" s="131" t="n">
        <v>18426</v>
      </c>
      <c r="I3056" s="637" t="inlineStr">
        <is>
          <t>Станция</t>
        </is>
      </c>
      <c r="J3056" s="637" t="inlineStr">
        <is>
          <t>MSK_BC_Stantsiya</t>
        </is>
      </c>
      <c r="K3056" s="640" t="n">
        <v>3</v>
      </c>
      <c r="L3056" s="640" t="n">
        <v>1</v>
      </c>
      <c r="M3056" s="623" t="inlineStr">
        <is>
          <t>Samsung 32" вертикальный</t>
        </is>
      </c>
      <c r="N3056" s="640" t="n"/>
      <c r="O3056" s="640">
        <f>IF(AND(N3056=1,L3056=1),K3056,"")</f>
        <v/>
      </c>
      <c r="P3056" s="642" t="inlineStr">
        <is>
          <t>Москва, Переведеновский пер., д.13с16</t>
        </is>
      </c>
      <c r="Q3056" s="640" t="inlineStr">
        <is>
          <t>55.780142</t>
        </is>
      </c>
      <c r="R3056" s="494" t="inlineStr">
        <is>
          <t>37.687991</t>
        </is>
      </c>
      <c r="S3056" s="387">
        <f>'Цены|Скидки'!$D$25</f>
        <v/>
      </c>
      <c r="T3056" s="387">
        <f>IF(N3056=1,S3056*O3056,0)</f>
        <v/>
      </c>
      <c r="Z3056" s="1" t="n"/>
    </row>
    <row r="3057" hidden="1" ht="16.05" customHeight="1">
      <c r="A3057" s="125" t="n">
        <v>3735</v>
      </c>
      <c r="B3057" s="125" t="inlineStr">
        <is>
          <t>WF</t>
        </is>
      </c>
      <c r="C3057" s="130" t="inlineStr">
        <is>
          <t>Москва</t>
        </is>
      </c>
      <c r="D3057" s="130" t="inlineStr">
        <is>
          <t>Москва</t>
        </is>
      </c>
      <c r="E3057" s="130" t="inlineStr">
        <is>
          <t>A</t>
        </is>
      </c>
      <c r="F3057" s="130" t="inlineStr">
        <is>
          <t>Бизнес центр</t>
        </is>
      </c>
      <c r="G3057" s="130" t="inlineStr">
        <is>
          <t>Бизнес центр</t>
        </is>
      </c>
      <c r="H3057" s="131" t="n">
        <v>53586</v>
      </c>
      <c r="I3057" s="637" t="inlineStr">
        <is>
          <t>Трио</t>
        </is>
      </c>
      <c r="J3057" s="637" t="inlineStr">
        <is>
          <t>MSK_BC_Trio</t>
        </is>
      </c>
      <c r="K3057" s="640" t="n">
        <v>6</v>
      </c>
      <c r="L3057" s="640" t="n">
        <v>1</v>
      </c>
      <c r="M3057" s="623" t="inlineStr">
        <is>
          <t>Samsung 32" вертикальный</t>
        </is>
      </c>
      <c r="N3057" s="640" t="n"/>
      <c r="O3057" s="640">
        <f>IF(AND(N3057=1,L3057=1),K3057,"")</f>
        <v/>
      </c>
      <c r="P3057" s="642" t="inlineStr">
        <is>
          <t>Москва, 8 Марта ул., д.1 стр. 12</t>
        </is>
      </c>
      <c r="Q3057" s="640" t="inlineStr">
        <is>
          <t>55.799269</t>
        </is>
      </c>
      <c r="R3057" s="494" t="inlineStr">
        <is>
          <t>37.555795</t>
        </is>
      </c>
      <c r="S3057" s="387">
        <f>'Цены|Скидки'!$D$25</f>
        <v/>
      </c>
      <c r="T3057" s="387">
        <f>IF(N3057=1,S3057*O3057,0)</f>
        <v/>
      </c>
      <c r="Z3057" s="1" t="n"/>
    </row>
    <row r="3058" hidden="1" ht="16.05" customHeight="1">
      <c r="A3058" s="125" t="n">
        <v>3736</v>
      </c>
      <c r="B3058" s="125" t="inlineStr">
        <is>
          <t>WF</t>
        </is>
      </c>
      <c r="C3058" s="130" t="inlineStr">
        <is>
          <t>Москва</t>
        </is>
      </c>
      <c r="D3058" s="130" t="inlineStr">
        <is>
          <t>Москва</t>
        </is>
      </c>
      <c r="E3058" s="130" t="inlineStr">
        <is>
          <t>A</t>
        </is>
      </c>
      <c r="F3058" s="130" t="inlineStr">
        <is>
          <t>Бизнес центр</t>
        </is>
      </c>
      <c r="G3058" s="130" t="inlineStr">
        <is>
          <t>Бизнес центр</t>
        </is>
      </c>
      <c r="H3058" s="131" t="n">
        <v>172000</v>
      </c>
      <c r="I3058" s="637" t="inlineStr">
        <is>
          <t>Cherry Tower</t>
        </is>
      </c>
      <c r="J3058" s="637" t="inlineStr">
        <is>
          <t>MSK_BC_Cherry_Tower</t>
        </is>
      </c>
      <c r="K3058" s="640" t="n">
        <v>6</v>
      </c>
      <c r="L3058" s="640" t="n">
        <v>1</v>
      </c>
      <c r="M3058" s="623" t="inlineStr">
        <is>
          <t>Samsung 32" вертикальный</t>
        </is>
      </c>
      <c r="N3058" s="640" t="n"/>
      <c r="O3058" s="640">
        <f>IF(AND(N3058=1,L3058=1),K3058,"")</f>
        <v/>
      </c>
      <c r="P3058" s="642" t="inlineStr">
        <is>
          <t>Москва, Москва, Профсоюзная ул., д. 56</t>
        </is>
      </c>
      <c r="Q3058" s="640" t="inlineStr">
        <is>
          <t>55.670021</t>
        </is>
      </c>
      <c r="R3058" s="494" t="inlineStr">
        <is>
          <t>37.55248</t>
        </is>
      </c>
      <c r="S3058" s="387">
        <f>'Цены|Скидки'!$D$25</f>
        <v/>
      </c>
      <c r="T3058" s="387">
        <f>IF(N3058=1,S3058*O3058,0)</f>
        <v/>
      </c>
      <c r="Z3058" s="1" t="n"/>
    </row>
    <row r="3059" hidden="1" ht="16.05" customHeight="1">
      <c r="A3059" s="125" t="n">
        <v>3737</v>
      </c>
      <c r="B3059" s="125" t="inlineStr">
        <is>
          <t>WF</t>
        </is>
      </c>
      <c r="C3059" s="130" t="inlineStr">
        <is>
          <t>Москва</t>
        </is>
      </c>
      <c r="D3059" s="130" t="inlineStr">
        <is>
          <t>Москва</t>
        </is>
      </c>
      <c r="E3059" s="130" t="inlineStr">
        <is>
          <t>A+</t>
        </is>
      </c>
      <c r="F3059" s="130" t="inlineStr">
        <is>
          <t>Бизнес центр</t>
        </is>
      </c>
      <c r="G3059" s="130" t="inlineStr">
        <is>
          <t>Бизнес центр</t>
        </is>
      </c>
      <c r="H3059" s="131" t="n">
        <v>51250</v>
      </c>
      <c r="I3059" s="637" t="inlineStr">
        <is>
          <t>Легенда Цветного</t>
        </is>
      </c>
      <c r="J3059" s="637" t="inlineStr">
        <is>
          <t>MSK_BC_Legenda_Tsvetnogo</t>
        </is>
      </c>
      <c r="K3059" s="640" t="n">
        <v>2</v>
      </c>
      <c r="L3059" s="640" t="n">
        <v>1</v>
      </c>
      <c r="M3059" s="623" t="inlineStr">
        <is>
          <t>Samsung 32" вертикальный</t>
        </is>
      </c>
      <c r="N3059" s="640" t="n"/>
      <c r="O3059" s="640">
        <f>IF(AND(N3059=1,L3059=1),K3059,"")</f>
        <v/>
      </c>
      <c r="P3059" s="642" t="inlineStr">
        <is>
          <t>Москва, Цветной бульвар д. 2</t>
        </is>
      </c>
      <c r="Q3059" s="640" t="inlineStr">
        <is>
          <t>55.768025</t>
        </is>
      </c>
      <c r="R3059" s="494" t="inlineStr">
        <is>
          <t>37.623483</t>
        </is>
      </c>
      <c r="S3059" s="387">
        <f>'Цены|Скидки'!$D$25</f>
        <v/>
      </c>
      <c r="T3059" s="387">
        <f>IF(N3059=1,S3059*O3059,0)</f>
        <v/>
      </c>
      <c r="Z3059" s="1" t="n"/>
    </row>
    <row r="3060" hidden="1" ht="16.05" customHeight="1">
      <c r="A3060" s="125" t="n">
        <v>3738</v>
      </c>
      <c r="B3060" s="125" t="inlineStr">
        <is>
          <t>WF</t>
        </is>
      </c>
      <c r="C3060" s="130" t="inlineStr">
        <is>
          <t>Москва</t>
        </is>
      </c>
      <c r="D3060" s="130" t="inlineStr">
        <is>
          <t>Москва</t>
        </is>
      </c>
      <c r="E3060" s="130" t="inlineStr">
        <is>
          <t>A</t>
        </is>
      </c>
      <c r="F3060" s="130" t="inlineStr">
        <is>
          <t>Бизнес центр</t>
        </is>
      </c>
      <c r="G3060" s="130" t="inlineStr">
        <is>
          <t>Бизнес центр</t>
        </is>
      </c>
      <c r="H3060" s="131" t="n">
        <v>14175</v>
      </c>
      <c r="I3060" s="637" t="inlineStr">
        <is>
          <t>Путейский</t>
        </is>
      </c>
      <c r="J3060" s="637" t="inlineStr">
        <is>
          <t>MSK_BC_Puteyskiy</t>
        </is>
      </c>
      <c r="K3060" s="640" t="n">
        <v>1</v>
      </c>
      <c r="L3060" s="640" t="n">
        <v>1</v>
      </c>
      <c r="M3060" s="623" t="inlineStr">
        <is>
          <t>Samsung 32" вертикальный</t>
        </is>
      </c>
      <c r="N3060" s="640" t="n"/>
      <c r="O3060" s="640">
        <f>IF(AND(N3060=1,L3060=1),K3060,"")</f>
        <v/>
      </c>
      <c r="P3060" s="642" t="inlineStr">
        <is>
          <t>Москва, Путейский тупик, д. 6</t>
        </is>
      </c>
      <c r="Q3060" s="640" t="inlineStr">
        <is>
          <t>55.761254</t>
        </is>
      </c>
      <c r="R3060" s="494" t="inlineStr">
        <is>
          <t>37.659712</t>
        </is>
      </c>
      <c r="S3060" s="387">
        <f>'Цены|Скидки'!$D$25</f>
        <v/>
      </c>
      <c r="T3060" s="387">
        <f>IF(N3060=1,S3060*O3060,0)</f>
        <v/>
      </c>
      <c r="Z3060" s="1" t="n"/>
    </row>
    <row r="3061" hidden="1" ht="16.05" customHeight="1">
      <c r="A3061" s="125" t="n">
        <v>3739</v>
      </c>
      <c r="B3061" s="125" t="inlineStr">
        <is>
          <t>WF</t>
        </is>
      </c>
      <c r="C3061" s="130" t="inlineStr">
        <is>
          <t>Москва</t>
        </is>
      </c>
      <c r="D3061" s="130" t="inlineStr">
        <is>
          <t>Москва</t>
        </is>
      </c>
      <c r="E3061" s="130" t="inlineStr">
        <is>
          <t>B+</t>
        </is>
      </c>
      <c r="F3061" s="130" t="inlineStr">
        <is>
          <t>Бизнес центр</t>
        </is>
      </c>
      <c r="G3061" s="130" t="inlineStr">
        <is>
          <t>Бизнес центр</t>
        </is>
      </c>
      <c r="H3061" s="131" t="n">
        <v>6716</v>
      </c>
      <c r="I3061" s="637" t="inlineStr">
        <is>
          <t>River Place</t>
        </is>
      </c>
      <c r="J3061" s="637" t="inlineStr">
        <is>
          <t>MSK_BC_River_Place</t>
        </is>
      </c>
      <c r="K3061" s="640" t="n">
        <v>2</v>
      </c>
      <c r="L3061" s="640" t="n">
        <v>1</v>
      </c>
      <c r="M3061" s="623" t="inlineStr">
        <is>
          <t>Samsung 32" вертикальный</t>
        </is>
      </c>
      <c r="N3061" s="640" t="n"/>
      <c r="O3061" s="640">
        <f>IF(AND(N3061=1,L3061=1),K3061,"")</f>
        <v/>
      </c>
      <c r="P3061" s="642" t="inlineStr">
        <is>
          <t>Москва, Кожевнический пр., д.1</t>
        </is>
      </c>
      <c r="Q3061" s="640" t="inlineStr">
        <is>
          <t>55.731348</t>
        </is>
      </c>
      <c r="R3061" s="494" t="inlineStr">
        <is>
          <t>37.645753</t>
        </is>
      </c>
      <c r="S3061" s="387">
        <f>'Цены|Скидки'!$D$25</f>
        <v/>
      </c>
      <c r="T3061" s="387">
        <f>IF(N3061=1,S3061*O3061,0)</f>
        <v/>
      </c>
      <c r="Z3061" s="1" t="n"/>
    </row>
    <row r="3062" hidden="1" ht="16.05" customHeight="1">
      <c r="A3062" s="125" t="n">
        <v>3741</v>
      </c>
      <c r="B3062" s="125" t="inlineStr">
        <is>
          <t>WF</t>
        </is>
      </c>
      <c r="C3062" s="130" t="inlineStr">
        <is>
          <t>Москва</t>
        </is>
      </c>
      <c r="D3062" s="130" t="inlineStr">
        <is>
          <t>Москва</t>
        </is>
      </c>
      <c r="E3062" s="130" t="inlineStr">
        <is>
          <t>A+</t>
        </is>
      </c>
      <c r="F3062" s="130" t="inlineStr">
        <is>
          <t>Бизнес центр</t>
        </is>
      </c>
      <c r="G3062" s="130" t="inlineStr">
        <is>
          <t>Бизнес центр</t>
        </is>
      </c>
      <c r="H3062" s="131" t="n">
        <v>33600</v>
      </c>
      <c r="I3062" s="637" t="inlineStr">
        <is>
          <t>Святогор 4</t>
        </is>
      </c>
      <c r="J3062" s="637" t="inlineStr">
        <is>
          <t>MSK_BC_Svyatogor_4</t>
        </is>
      </c>
      <c r="K3062" s="640" t="n">
        <v>4</v>
      </c>
      <c r="L3062" s="640" t="n">
        <v>1</v>
      </c>
      <c r="M3062" s="623" t="inlineStr">
        <is>
          <t>Samsung 32" вертикальный</t>
        </is>
      </c>
      <c r="N3062" s="640" t="n"/>
      <c r="O3062" s="640">
        <f>IF(AND(N3062=1,L3062=1),K3062,"")</f>
        <v/>
      </c>
      <c r="P3062" s="642" t="inlineStr">
        <is>
          <t xml:space="preserve">Москва, Летниковская ул., д.10, стр.4 </t>
        </is>
      </c>
      <c r="Q3062" s="640" t="inlineStr">
        <is>
          <t>55.724824</t>
        </is>
      </c>
      <c r="R3062" s="494" t="inlineStr">
        <is>
          <t>37.642626</t>
        </is>
      </c>
      <c r="S3062" s="387">
        <f>'Цены|Скидки'!$D$25</f>
        <v/>
      </c>
      <c r="T3062" s="387">
        <f>IF(N3062=1,S3062*O3062,0)</f>
        <v/>
      </c>
      <c r="Z3062" s="1" t="n"/>
    </row>
    <row r="3063" hidden="1" ht="16.05" customHeight="1">
      <c r="A3063" s="125" t="n">
        <v>3740</v>
      </c>
      <c r="B3063" s="125" t="inlineStr">
        <is>
          <t>WF</t>
        </is>
      </c>
      <c r="C3063" s="130" t="inlineStr">
        <is>
          <t>Москва</t>
        </is>
      </c>
      <c r="D3063" s="130" t="inlineStr">
        <is>
          <t>Москва</t>
        </is>
      </c>
      <c r="E3063" s="130" t="inlineStr">
        <is>
          <t>B</t>
        </is>
      </c>
      <c r="F3063" s="130" t="inlineStr">
        <is>
          <t>Бизнес центр</t>
        </is>
      </c>
      <c r="G3063" s="130" t="inlineStr">
        <is>
          <t>Бизнес центр</t>
        </is>
      </c>
      <c r="H3063" s="131" t="n">
        <v>4650</v>
      </c>
      <c r="I3063" s="637" t="inlineStr">
        <is>
          <t>Кожевнический</t>
        </is>
      </c>
      <c r="J3063" s="637" t="inlineStr">
        <is>
          <t>MSK_BC_Kozhevnicheskiy</t>
        </is>
      </c>
      <c r="K3063" s="640" t="n">
        <v>2</v>
      </c>
      <c r="L3063" s="640" t="n">
        <v>0</v>
      </c>
      <c r="M3063" s="640" t="inlineStr">
        <is>
          <t>Samsung 32" вертикальный</t>
        </is>
      </c>
      <c r="N3063" s="640" t="n"/>
      <c r="O3063" s="640">
        <f>IF(AND(N3063=1,L3063=1),K3063,"")</f>
        <v/>
      </c>
      <c r="P3063" s="642" t="inlineStr">
        <is>
          <t>Кожевническая ул., д.1, стр.1</t>
        </is>
      </c>
      <c r="Q3063" s="640" t="inlineStr">
        <is>
          <t>55.730801</t>
        </is>
      </c>
      <c r="R3063" s="422" t="inlineStr">
        <is>
          <t>37.641845</t>
        </is>
      </c>
      <c r="S3063" s="387">
        <f>'Цены|Скидки'!$D$25</f>
        <v/>
      </c>
      <c r="T3063" s="387">
        <f>IF(N3063=1,S3063*O3063,0)</f>
        <v/>
      </c>
      <c r="Z3063" s="1" t="n"/>
    </row>
    <row r="3064" hidden="1" ht="16.05" customHeight="1">
      <c r="A3064" s="125" t="n">
        <v>3743</v>
      </c>
      <c r="B3064" s="125" t="inlineStr">
        <is>
          <t>WF</t>
        </is>
      </c>
      <c r="C3064" s="130" t="inlineStr">
        <is>
          <t>Москва</t>
        </is>
      </c>
      <c r="D3064" s="130" t="inlineStr">
        <is>
          <t>Москва</t>
        </is>
      </c>
      <c r="E3064" s="130" t="inlineStr">
        <is>
          <t>A</t>
        </is>
      </c>
      <c r="F3064" s="130" t="inlineStr">
        <is>
          <t>Бизнес центр</t>
        </is>
      </c>
      <c r="G3064" s="130" t="inlineStr">
        <is>
          <t>Бизнес центр</t>
        </is>
      </c>
      <c r="H3064" s="131" t="n">
        <v>17425</v>
      </c>
      <c r="I3064" s="637" t="inlineStr">
        <is>
          <t>Дежнев плаза</t>
        </is>
      </c>
      <c r="J3064" s="637" t="inlineStr">
        <is>
          <t>MSK_BC_Dezhnev_plaza</t>
        </is>
      </c>
      <c r="K3064" s="640" t="n">
        <v>2</v>
      </c>
      <c r="L3064" s="640" t="n">
        <v>1</v>
      </c>
      <c r="M3064" s="623" t="inlineStr">
        <is>
          <t>Samsung 43" вертикальный</t>
        </is>
      </c>
      <c r="N3064" s="640" t="n"/>
      <c r="O3064" s="640">
        <f>IF(AND(N3064=1,L3064=1),K3064,"")</f>
        <v/>
      </c>
      <c r="P3064" s="642" t="inlineStr">
        <is>
          <t>Москва, проезд Дежнева, д. 1</t>
        </is>
      </c>
      <c r="Q3064" s="640" t="inlineStr">
        <is>
          <t>55.871183</t>
        </is>
      </c>
      <c r="R3064" s="494" t="inlineStr">
        <is>
          <t>37.649759</t>
        </is>
      </c>
      <c r="S3064" s="387">
        <f>'Цены|Скидки'!$D$25</f>
        <v/>
      </c>
      <c r="T3064" s="387">
        <f>IF(N3064=1,S3064*O3064,0)</f>
        <v/>
      </c>
      <c r="Z3064" s="1" t="n"/>
    </row>
    <row r="3065" hidden="1" ht="16.05" customHeight="1">
      <c r="A3065" s="125" t="n">
        <v>3742</v>
      </c>
      <c r="B3065" s="125" t="inlineStr">
        <is>
          <t>WF</t>
        </is>
      </c>
      <c r="C3065" s="130" t="inlineStr">
        <is>
          <t>Москва</t>
        </is>
      </c>
      <c r="D3065" s="130" t="inlineStr">
        <is>
          <t>Москва</t>
        </is>
      </c>
      <c r="E3065" s="130" t="inlineStr">
        <is>
          <t>B+</t>
        </is>
      </c>
      <c r="F3065" s="130" t="inlineStr">
        <is>
          <t>Бизнес центр</t>
        </is>
      </c>
      <c r="G3065" s="130" t="inlineStr">
        <is>
          <t>Бизнес центр</t>
        </is>
      </c>
      <c r="H3065" s="131" t="n">
        <v>2717</v>
      </c>
      <c r="I3065" s="637" t="inlineStr">
        <is>
          <t>Сокол Плаза</t>
        </is>
      </c>
      <c r="J3065" s="637" t="inlineStr">
        <is>
          <t>MSK_BC_Sokol_Plaza</t>
        </is>
      </c>
      <c r="K3065" s="640" t="n">
        <v>2</v>
      </c>
      <c r="L3065" s="640" t="n">
        <v>0</v>
      </c>
      <c r="M3065" s="640" t="inlineStr">
        <is>
          <t>Samsung 32" вертикальный</t>
        </is>
      </c>
      <c r="N3065" s="640" t="n"/>
      <c r="O3065" s="640">
        <f>IF(AND(N3065=1,L3065=1),K3065,"")</f>
        <v/>
      </c>
      <c r="P3065" s="642" t="inlineStr">
        <is>
          <t>Усиевича ул., д.20, к. 1</t>
        </is>
      </c>
      <c r="Q3065" s="640" t="inlineStr">
        <is>
          <t>55.807815</t>
        </is>
      </c>
      <c r="R3065" s="422" t="inlineStr">
        <is>
          <t>37.520734</t>
        </is>
      </c>
      <c r="S3065" s="387">
        <f>'Цены|Скидки'!$D$25</f>
        <v/>
      </c>
      <c r="T3065" s="387">
        <f>IF(N3065=1,S3065*O3065,0)</f>
        <v/>
      </c>
      <c r="X3065" s="1" t="n"/>
      <c r="Y3065" s="1" t="n"/>
      <c r="Z3065" s="1" t="n"/>
    </row>
    <row r="3066" hidden="1" ht="16.05" customHeight="1">
      <c r="A3066" s="125" t="n">
        <v>3744</v>
      </c>
      <c r="B3066" s="125" t="inlineStr">
        <is>
          <t>WF</t>
        </is>
      </c>
      <c r="C3066" s="130" t="inlineStr">
        <is>
          <t>Москва</t>
        </is>
      </c>
      <c r="D3066" s="130" t="inlineStr">
        <is>
          <t>Москва</t>
        </is>
      </c>
      <c r="E3066" s="130" t="inlineStr">
        <is>
          <t>A</t>
        </is>
      </c>
      <c r="F3066" s="130" t="inlineStr">
        <is>
          <t>Бизнес центр</t>
        </is>
      </c>
      <c r="G3066" s="130" t="inlineStr">
        <is>
          <t>Бизнес центр</t>
        </is>
      </c>
      <c r="H3066" s="131" t="n">
        <v>64575</v>
      </c>
      <c r="I3066" s="637" t="inlineStr">
        <is>
          <t>Diamond Hall</t>
        </is>
      </c>
      <c r="J3066" s="637" t="inlineStr">
        <is>
          <t>MSK_BC_Diamond_Hall</t>
        </is>
      </c>
      <c r="K3066" s="640" t="n">
        <v>4</v>
      </c>
      <c r="L3066" s="640" t="n">
        <v>0</v>
      </c>
      <c r="M3066" s="640" t="inlineStr">
        <is>
          <t>Samsung 43" вертикальный</t>
        </is>
      </c>
      <c r="N3066" s="640" t="n"/>
      <c r="O3066" s="640">
        <f>IF(AND(N3066=1,L3066=1),K3066,"")</f>
        <v/>
      </c>
      <c r="P3066" s="642" t="inlineStr">
        <is>
          <t>Олимпийский проспект, 14</t>
        </is>
      </c>
      <c r="Q3066" s="640" t="inlineStr">
        <is>
          <t>55.77835</t>
        </is>
      </c>
      <c r="R3066" s="422" t="inlineStr">
        <is>
          <t>37.623375</t>
        </is>
      </c>
      <c r="S3066" s="387">
        <f>'Цены|Скидки'!$D$25</f>
        <v/>
      </c>
      <c r="T3066" s="387">
        <f>IF(N3066=1,S3066*O3066,0)</f>
        <v/>
      </c>
      <c r="Z3066" s="1" t="n"/>
    </row>
    <row r="3067" hidden="1" ht="16.05" customHeight="1">
      <c r="A3067" s="125" t="n">
        <v>3745</v>
      </c>
      <c r="B3067" s="125" t="inlineStr">
        <is>
          <t>WF</t>
        </is>
      </c>
      <c r="C3067" s="130" t="inlineStr">
        <is>
          <t>Москва</t>
        </is>
      </c>
      <c r="D3067" s="130" t="inlineStr">
        <is>
          <t>Москва</t>
        </is>
      </c>
      <c r="E3067" s="130" t="inlineStr">
        <is>
          <t>A</t>
        </is>
      </c>
      <c r="F3067" s="130" t="inlineStr">
        <is>
          <t>Бизнес центр</t>
        </is>
      </c>
      <c r="G3067" s="130" t="inlineStr">
        <is>
          <t>Бизнес центр</t>
        </is>
      </c>
      <c r="H3067" s="131" t="n">
        <v>17096</v>
      </c>
      <c r="I3067" s="637" t="inlineStr">
        <is>
          <t>Академический</t>
        </is>
      </c>
      <c r="J3067" s="637" t="inlineStr">
        <is>
          <t>MSK_BC_Akademicheskiy</t>
        </is>
      </c>
      <c r="K3067" s="640" t="n">
        <v>4</v>
      </c>
      <c r="L3067" s="640" t="n">
        <v>1</v>
      </c>
      <c r="M3067" s="623" t="inlineStr">
        <is>
          <t>Samsung 32" вертикальный</t>
        </is>
      </c>
      <c r="N3067" s="640" t="n"/>
      <c r="O3067" s="640">
        <f>IF(AND(N3067=1,L3067=1),K3067,"")</f>
        <v/>
      </c>
      <c r="P3067" s="642" t="inlineStr">
        <is>
          <t>Москва, просп. 60 летия Октября, д.9, стр.2</t>
        </is>
      </c>
      <c r="Q3067" s="640" t="inlineStr">
        <is>
          <t>55.6986</t>
        </is>
      </c>
      <c r="R3067" s="494" t="inlineStr">
        <is>
          <t>37.580034</t>
        </is>
      </c>
      <c r="S3067" s="387">
        <f>'Цены|Скидки'!$D$25</f>
        <v/>
      </c>
      <c r="T3067" s="387">
        <f>IF(N3067=1,S3067*O3067,0)</f>
        <v/>
      </c>
      <c r="Z3067" s="1" t="n"/>
    </row>
    <row r="3068" hidden="1" ht="16.05" customHeight="1">
      <c r="A3068" s="125" t="n">
        <v>3746</v>
      </c>
      <c r="B3068" s="125" t="inlineStr">
        <is>
          <t>WF</t>
        </is>
      </c>
      <c r="C3068" s="130" t="inlineStr">
        <is>
          <t>Москва</t>
        </is>
      </c>
      <c r="D3068" s="130" t="inlineStr">
        <is>
          <t>Москва</t>
        </is>
      </c>
      <c r="E3068" s="130" t="inlineStr">
        <is>
          <t>A+</t>
        </is>
      </c>
      <c r="F3068" s="130" t="inlineStr">
        <is>
          <t>Бизнес центр</t>
        </is>
      </c>
      <c r="G3068" s="130" t="inlineStr">
        <is>
          <t>Бизнес центр</t>
        </is>
      </c>
      <c r="H3068" s="131" t="n">
        <v>121900</v>
      </c>
      <c r="I3068" s="637" t="inlineStr">
        <is>
          <t>Калибр</t>
        </is>
      </c>
      <c r="J3068" s="637" t="inlineStr">
        <is>
          <t>MSK_BC_Kalibr</t>
        </is>
      </c>
      <c r="K3068" s="640" t="n">
        <v>5</v>
      </c>
      <c r="L3068" s="640" t="n">
        <v>1</v>
      </c>
      <c r="M3068" s="623" t="inlineStr">
        <is>
          <t>Samsung 43" вертикальный</t>
        </is>
      </c>
      <c r="N3068" s="640" t="n"/>
      <c r="O3068" s="640">
        <f>IF(AND(N3068=1,L3068=1),K3068,"")</f>
        <v/>
      </c>
      <c r="P3068" s="642" t="inlineStr">
        <is>
          <t xml:space="preserve">Москва, Годовикова, 9 </t>
        </is>
      </c>
      <c r="Q3068" s="640" t="inlineStr">
        <is>
          <t>55.806808</t>
        </is>
      </c>
      <c r="R3068" s="494" t="inlineStr">
        <is>
          <t>37.625612</t>
        </is>
      </c>
      <c r="S3068" s="387">
        <f>'Цены|Скидки'!$D$25</f>
        <v/>
      </c>
      <c r="T3068" s="387">
        <f>IF(N3068=1,S3068*O3068,0)</f>
        <v/>
      </c>
      <c r="Z3068" s="1" t="n"/>
    </row>
    <row r="3069" hidden="1" ht="16.05" customHeight="1">
      <c r="A3069" s="125" t="n">
        <v>3748</v>
      </c>
      <c r="B3069" s="125" t="inlineStr">
        <is>
          <t>WF</t>
        </is>
      </c>
      <c r="C3069" s="130" t="inlineStr">
        <is>
          <t>Москва</t>
        </is>
      </c>
      <c r="D3069" s="130" t="inlineStr">
        <is>
          <t>Москва</t>
        </is>
      </c>
      <c r="E3069" s="130" t="inlineStr">
        <is>
          <t>B+</t>
        </is>
      </c>
      <c r="F3069" s="130" t="inlineStr">
        <is>
          <t>Бизнес центр</t>
        </is>
      </c>
      <c r="G3069" s="130" t="inlineStr">
        <is>
          <t>Бизнес центр</t>
        </is>
      </c>
      <c r="H3069" s="131" t="n">
        <v>38130</v>
      </c>
      <c r="I3069" s="637" t="inlineStr">
        <is>
          <t>Рубин</t>
        </is>
      </c>
      <c r="J3069" s="637" t="inlineStr">
        <is>
          <t>MSK_BC_Rubin</t>
        </is>
      </c>
      <c r="K3069" s="640" t="n">
        <v>2</v>
      </c>
      <c r="L3069" s="640" t="n">
        <v>1</v>
      </c>
      <c r="M3069" s="623" t="inlineStr">
        <is>
          <t>Samsung 32" вертикальный</t>
        </is>
      </c>
      <c r="N3069" s="640" t="n"/>
      <c r="O3069" s="640">
        <f>IF(AND(N3069=1,L3069=1),K3069,"")</f>
        <v/>
      </c>
      <c r="P3069" s="642" t="inlineStr">
        <is>
          <t>Москва, Багратионовский пр-д, д.7</t>
        </is>
      </c>
      <c r="Q3069" s="640" t="inlineStr">
        <is>
          <t>55.741955</t>
        </is>
      </c>
      <c r="R3069" s="494" t="inlineStr">
        <is>
          <t>37.500858</t>
        </is>
      </c>
      <c r="S3069" s="387">
        <f>'Цены|Скидки'!$D$25</f>
        <v/>
      </c>
      <c r="T3069" s="387">
        <f>IF(N3069=1,S3069*O3069,0)</f>
        <v/>
      </c>
      <c r="Z3069" s="1" t="n"/>
    </row>
    <row r="3070" hidden="1" ht="16.05" customHeight="1">
      <c r="A3070" s="125" t="n">
        <v>3747</v>
      </c>
      <c r="B3070" s="125" t="inlineStr">
        <is>
          <t>WF</t>
        </is>
      </c>
      <c r="C3070" s="130" t="inlineStr">
        <is>
          <t>Москва</t>
        </is>
      </c>
      <c r="D3070" s="130" t="inlineStr">
        <is>
          <t>Москва</t>
        </is>
      </c>
      <c r="E3070" s="130" t="inlineStr">
        <is>
          <t>B+</t>
        </is>
      </c>
      <c r="F3070" s="130" t="inlineStr">
        <is>
          <t>Бизнес центр</t>
        </is>
      </c>
      <c r="G3070" s="130" t="inlineStr">
        <is>
          <t>Бизнес центр</t>
        </is>
      </c>
      <c r="H3070" s="131" t="n">
        <v>6895</v>
      </c>
      <c r="I3070" s="637" t="inlineStr">
        <is>
          <t>Неверовского</t>
        </is>
      </c>
      <c r="J3070" s="637" t="inlineStr">
        <is>
          <t>MSK_BC_Neverovskogo</t>
        </is>
      </c>
      <c r="K3070" s="640" t="n">
        <v>2</v>
      </c>
      <c r="L3070" s="640" t="n">
        <v>0</v>
      </c>
      <c r="M3070" s="640" t="inlineStr">
        <is>
          <t>Samsung 32" вертикальный</t>
        </is>
      </c>
      <c r="N3070" s="640" t="n"/>
      <c r="O3070" s="640">
        <f>IF(AND(N3070=1,L3070=1),K3070,"")</f>
        <v/>
      </c>
      <c r="P3070" s="642" t="inlineStr">
        <is>
          <t>Неверовского ул, д.9</t>
        </is>
      </c>
      <c r="Q3070" s="640" t="inlineStr">
        <is>
          <t>55.738101</t>
        </is>
      </c>
      <c r="R3070" s="422" t="inlineStr">
        <is>
          <t>37.51036</t>
        </is>
      </c>
      <c r="S3070" s="387">
        <f>'Цены|Скидки'!$D$25</f>
        <v/>
      </c>
      <c r="T3070" s="387">
        <f>IF(N3070=1,S3070*O3070,0)</f>
        <v/>
      </c>
      <c r="X3070" s="1" t="n"/>
      <c r="Y3070" s="1" t="n"/>
      <c r="Z3070" s="1" t="n"/>
    </row>
    <row r="3071" hidden="1" ht="16.05" customHeight="1">
      <c r="A3071" s="125" t="n">
        <v>3749</v>
      </c>
      <c r="B3071" s="125" t="inlineStr">
        <is>
          <t>WF</t>
        </is>
      </c>
      <c r="C3071" s="130" t="inlineStr">
        <is>
          <t>Москва</t>
        </is>
      </c>
      <c r="D3071" s="130" t="inlineStr">
        <is>
          <t>Москва</t>
        </is>
      </c>
      <c r="E3071" s="130" t="inlineStr">
        <is>
          <t>A</t>
        </is>
      </c>
      <c r="F3071" s="130" t="inlineStr">
        <is>
          <t>Бизнес центр</t>
        </is>
      </c>
      <c r="G3071" s="130" t="inlineStr">
        <is>
          <t>Бизнес центр</t>
        </is>
      </c>
      <c r="H3071" s="131" t="n">
        <v>15209</v>
      </c>
      <c r="I3071" s="637" t="inlineStr">
        <is>
          <t>Capital Tower</t>
        </is>
      </c>
      <c r="J3071" s="637" t="inlineStr">
        <is>
          <t>MSK_BC_Capital_Tower</t>
        </is>
      </c>
      <c r="K3071" s="640" t="n">
        <v>3</v>
      </c>
      <c r="L3071" s="640" t="n">
        <v>1</v>
      </c>
      <c r="M3071" s="623" t="inlineStr">
        <is>
          <t>Samsung 43" вертикальный</t>
        </is>
      </c>
      <c r="N3071" s="640" t="n"/>
      <c r="O3071" s="640">
        <f>IF(AND(N3071=1,L3071=1),K3071,"")</f>
        <v/>
      </c>
      <c r="P3071" s="642" t="inlineStr">
        <is>
          <t>Москва, 1-я Брестская, д.29</t>
        </is>
      </c>
      <c r="Q3071" s="640" t="inlineStr">
        <is>
          <t>55.771644</t>
        </is>
      </c>
      <c r="R3071" s="494" t="inlineStr">
        <is>
          <t>37.590853</t>
        </is>
      </c>
      <c r="S3071" s="387">
        <f>'Цены|Скидки'!$D$25</f>
        <v/>
      </c>
      <c r="T3071" s="387">
        <f>IF(N3071=1,S3071*O3071,0)</f>
        <v/>
      </c>
      <c r="Z3071" s="1" t="n"/>
    </row>
    <row r="3072" hidden="1" ht="16.05" customHeight="1">
      <c r="A3072" s="125" t="n">
        <v>3750</v>
      </c>
      <c r="B3072" s="125" t="inlineStr">
        <is>
          <t>WF</t>
        </is>
      </c>
      <c r="C3072" s="130" t="inlineStr">
        <is>
          <t>Москва</t>
        </is>
      </c>
      <c r="D3072" s="130" t="inlineStr">
        <is>
          <t>Москва</t>
        </is>
      </c>
      <c r="E3072" s="130" t="inlineStr">
        <is>
          <t>A</t>
        </is>
      </c>
      <c r="F3072" s="130" t="inlineStr">
        <is>
          <t>Бизнес центр</t>
        </is>
      </c>
      <c r="G3072" s="130" t="inlineStr">
        <is>
          <t>Бизнес центр</t>
        </is>
      </c>
      <c r="H3072" s="131" t="n">
        <v>39010</v>
      </c>
      <c r="I3072" s="637" t="inlineStr">
        <is>
          <t>Мидланд Плаза</t>
        </is>
      </c>
      <c r="J3072" s="637" t="inlineStr">
        <is>
          <t>MSK_BC_Midland_Plaza</t>
        </is>
      </c>
      <c r="K3072" s="640" t="n">
        <v>3</v>
      </c>
      <c r="L3072" s="640" t="n">
        <v>1</v>
      </c>
      <c r="M3072" s="623" t="inlineStr">
        <is>
          <t>Samsung 32" вертикальный</t>
        </is>
      </c>
      <c r="N3072" s="640" t="n"/>
      <c r="O3072" s="640">
        <f>IF(AND(N3072=1,L3072=1),K3072,"")</f>
        <v/>
      </c>
      <c r="P3072" s="642" t="inlineStr">
        <is>
          <t>Москва, Арбат ул, 10</t>
        </is>
      </c>
      <c r="Q3072" s="640" t="inlineStr">
        <is>
          <t>55.751381</t>
        </is>
      </c>
      <c r="R3072" s="494" t="inlineStr">
        <is>
          <t>37.596669</t>
        </is>
      </c>
      <c r="S3072" s="387">
        <f>'Цены|Скидки'!$D$25</f>
        <v/>
      </c>
      <c r="T3072" s="387">
        <f>IF(N3072=1,S3072*O3072,0)</f>
        <v/>
      </c>
      <c r="Z3072" s="1" t="n"/>
    </row>
    <row r="3073" hidden="1" ht="16.05" customHeight="1">
      <c r="A3073" s="125" t="n">
        <v>3751</v>
      </c>
      <c r="B3073" s="125" t="inlineStr">
        <is>
          <t>WF</t>
        </is>
      </c>
      <c r="C3073" s="130" t="inlineStr">
        <is>
          <t>Москва</t>
        </is>
      </c>
      <c r="D3073" s="130" t="inlineStr">
        <is>
          <t>Москва</t>
        </is>
      </c>
      <c r="E3073" s="130" t="inlineStr">
        <is>
          <t>B+</t>
        </is>
      </c>
      <c r="F3073" s="130" t="inlineStr">
        <is>
          <t>Бизнес центр</t>
        </is>
      </c>
      <c r="G3073" s="130" t="inlineStr">
        <is>
          <t>Бизнес центр</t>
        </is>
      </c>
      <c r="H3073" s="131" t="n">
        <v>19950</v>
      </c>
      <c r="I3073" s="637" t="inlineStr">
        <is>
          <t>Центр развития успешных проектов</t>
        </is>
      </c>
      <c r="J3073" s="637" t="inlineStr">
        <is>
          <t>MSK_BC_Tsentr_razvitiya_uspeshnykh_proektov</t>
        </is>
      </c>
      <c r="K3073" s="640" t="n">
        <v>3</v>
      </c>
      <c r="L3073" s="640" t="n">
        <v>1</v>
      </c>
      <c r="M3073" s="623" t="inlineStr">
        <is>
          <t>Samsung 43" вертикальный</t>
        </is>
      </c>
      <c r="N3073" s="640" t="n"/>
      <c r="O3073" s="640">
        <f>IF(AND(N3073=1,L3073=1),K3073,"")</f>
        <v/>
      </c>
      <c r="P3073" s="642" t="inlineStr">
        <is>
          <t>Москва, Кржижановского, д. 29, корпус 1,5</t>
        </is>
      </c>
      <c r="Q3073" s="640" t="inlineStr">
        <is>
          <t>55.675352</t>
        </is>
      </c>
      <c r="R3073" s="494" t="inlineStr">
        <is>
          <t>37.580957</t>
        </is>
      </c>
      <c r="S3073" s="387">
        <f>'Цены|Скидки'!$D$25</f>
        <v/>
      </c>
      <c r="T3073" s="387">
        <f>IF(N3073=1,S3073*O3073,0)</f>
        <v/>
      </c>
      <c r="Z3073" s="1" t="n"/>
    </row>
    <row r="3074" hidden="1" ht="16.05" customHeight="1">
      <c r="A3074" s="125" t="n">
        <v>3752</v>
      </c>
      <c r="B3074" s="125" t="inlineStr">
        <is>
          <t>WF</t>
        </is>
      </c>
      <c r="C3074" s="130" t="inlineStr">
        <is>
          <t>Москва</t>
        </is>
      </c>
      <c r="D3074" s="130" t="inlineStr">
        <is>
          <t>Москва</t>
        </is>
      </c>
      <c r="E3074" s="130" t="inlineStr">
        <is>
          <t>B</t>
        </is>
      </c>
      <c r="F3074" s="130" t="inlineStr">
        <is>
          <t>Бизнес центр</t>
        </is>
      </c>
      <c r="G3074" s="130" t="inlineStr">
        <is>
          <t>Бизнес центр</t>
        </is>
      </c>
      <c r="H3074" s="131" t="n">
        <v>11710</v>
      </c>
      <c r="I3074" s="637" t="inlineStr">
        <is>
          <t>Линия</t>
        </is>
      </c>
      <c r="J3074" s="637" t="inlineStr">
        <is>
          <t>MSK_BC_Liniya</t>
        </is>
      </c>
      <c r="K3074" s="640" t="n">
        <v>2</v>
      </c>
      <c r="L3074" s="640" t="n">
        <v>1</v>
      </c>
      <c r="M3074" s="623" t="inlineStr">
        <is>
          <t>Samsung 43" вертикальный</t>
        </is>
      </c>
      <c r="N3074" s="640" t="n"/>
      <c r="O3074" s="640">
        <f>IF(AND(N3074=1,L3074=1),K3074,"")</f>
        <v/>
      </c>
      <c r="P3074" s="642" t="inlineStr">
        <is>
          <t>Москва, Искры ул., д. 17а</t>
        </is>
      </c>
      <c r="Q3074" s="640" t="inlineStr">
        <is>
          <t>55.862424</t>
        </is>
      </c>
      <c r="R3074" s="494" t="inlineStr">
        <is>
          <t>37.658272</t>
        </is>
      </c>
      <c r="S3074" s="387">
        <f>'Цены|Скидки'!$D$25</f>
        <v/>
      </c>
      <c r="T3074" s="387">
        <f>IF(N3074=1,S3074*O3074,0)</f>
        <v/>
      </c>
      <c r="Z3074" s="1" t="n"/>
    </row>
    <row r="3075" hidden="1" ht="16.05" customHeight="1">
      <c r="A3075" s="125" t="n">
        <v>3753</v>
      </c>
      <c r="B3075" s="125" t="inlineStr">
        <is>
          <t>WF</t>
        </is>
      </c>
      <c r="C3075" s="130" t="inlineStr">
        <is>
          <t>Москва</t>
        </is>
      </c>
      <c r="D3075" s="130" t="inlineStr">
        <is>
          <t>Москва</t>
        </is>
      </c>
      <c r="E3075" s="130" t="inlineStr">
        <is>
          <t>A</t>
        </is>
      </c>
      <c r="F3075" s="130" t="inlineStr">
        <is>
          <t>Бизнес центр</t>
        </is>
      </c>
      <c r="G3075" s="130" t="inlineStr">
        <is>
          <t>Бизнес центр</t>
        </is>
      </c>
      <c r="H3075" s="131" t="n">
        <v>9015</v>
      </c>
      <c r="I3075" s="637" t="inlineStr">
        <is>
          <t>РТС Свиблово</t>
        </is>
      </c>
      <c r="J3075" s="637" t="inlineStr">
        <is>
          <t>MSK_BC_RTS_Sviblovo</t>
        </is>
      </c>
      <c r="K3075" s="640" t="n">
        <v>2</v>
      </c>
      <c r="L3075" s="640" t="n">
        <v>1</v>
      </c>
      <c r="M3075" s="623" t="inlineStr">
        <is>
          <t>Samsung 43" вертикальный</t>
        </is>
      </c>
      <c r="N3075" s="640" t="n"/>
      <c r="O3075" s="640">
        <f>IF(AND(N3075=1,L3075=1),K3075,"")</f>
        <v/>
      </c>
      <c r="P3075" s="642" t="inlineStr">
        <is>
          <t>Москва, Кольская ул., д. 2, к. 4</t>
        </is>
      </c>
      <c r="Q3075" s="640" t="inlineStr">
        <is>
          <t>55.858326</t>
        </is>
      </c>
      <c r="R3075" s="494" t="inlineStr">
        <is>
          <t>37.655116</t>
        </is>
      </c>
      <c r="S3075" s="387">
        <f>'Цены|Скидки'!$D$25</f>
        <v/>
      </c>
      <c r="T3075" s="387">
        <f>IF(N3075=1,S3075*O3075,0)</f>
        <v/>
      </c>
      <c r="Z3075" s="1" t="n"/>
    </row>
    <row r="3076" hidden="1" ht="16.05" customHeight="1">
      <c r="A3076" s="125" t="n">
        <v>3754</v>
      </c>
      <c r="B3076" s="125" t="inlineStr">
        <is>
          <t>WF</t>
        </is>
      </c>
      <c r="C3076" s="130" t="inlineStr">
        <is>
          <t>Москва</t>
        </is>
      </c>
      <c r="D3076" s="130" t="inlineStr">
        <is>
          <t>Москва</t>
        </is>
      </c>
      <c r="E3076" s="130" t="inlineStr">
        <is>
          <t>A</t>
        </is>
      </c>
      <c r="F3076" s="130" t="inlineStr">
        <is>
          <t>Бизнес центр</t>
        </is>
      </c>
      <c r="G3076" s="130" t="inlineStr">
        <is>
          <t>Бизнес центр</t>
        </is>
      </c>
      <c r="H3076" s="131" t="n">
        <v>16800</v>
      </c>
      <c r="I3076" s="637" t="inlineStr">
        <is>
          <t>РТС Таганский</t>
        </is>
      </c>
      <c r="J3076" s="637" t="inlineStr">
        <is>
          <t>MSK_BC_RTS_Taganskiy</t>
        </is>
      </c>
      <c r="K3076" s="640" t="n">
        <v>3</v>
      </c>
      <c r="L3076" s="640" t="n">
        <v>1</v>
      </c>
      <c r="M3076" s="623" t="inlineStr">
        <is>
          <t>Samsung 32" вертикальный</t>
        </is>
      </c>
      <c r="N3076" s="640" t="n"/>
      <c r="O3076" s="640">
        <f>IF(AND(N3076=1,L3076=1),K3076,"")</f>
        <v/>
      </c>
      <c r="P3076" s="642" t="inlineStr">
        <is>
          <t>Москва, Калитниковская Средняя ул., д. 26/27 стр. 1</t>
        </is>
      </c>
      <c r="Q3076" s="640" t="inlineStr">
        <is>
          <t>55.733256</t>
        </is>
      </c>
      <c r="R3076" s="494" t="inlineStr">
        <is>
          <t>37.697464</t>
        </is>
      </c>
      <c r="S3076" s="387">
        <f>'Цены|Скидки'!$D$25</f>
        <v/>
      </c>
      <c r="T3076" s="387">
        <f>IF(N3076=1,S3076*O3076,0)</f>
        <v/>
      </c>
      <c r="Z3076" s="1" t="n"/>
    </row>
    <row r="3077" hidden="1" ht="16.05" customHeight="1">
      <c r="A3077" s="125" t="n">
        <v>3755</v>
      </c>
      <c r="B3077" s="125" t="inlineStr">
        <is>
          <t>WF</t>
        </is>
      </c>
      <c r="C3077" s="130" t="inlineStr">
        <is>
          <t>Москва</t>
        </is>
      </c>
      <c r="D3077" s="130" t="inlineStr">
        <is>
          <t>Москва</t>
        </is>
      </c>
      <c r="E3077" s="130" t="inlineStr">
        <is>
          <t>A</t>
        </is>
      </c>
      <c r="F3077" s="130" t="inlineStr">
        <is>
          <t>Бизнес центр</t>
        </is>
      </c>
      <c r="G3077" s="130" t="inlineStr">
        <is>
          <t>Бизнес центр</t>
        </is>
      </c>
      <c r="H3077" s="131" t="n">
        <v>26062</v>
      </c>
      <c r="I3077" s="637" t="inlineStr">
        <is>
          <t>РТС Варшавский</t>
        </is>
      </c>
      <c r="J3077" s="637" t="inlineStr">
        <is>
          <t>MSK_BC_RTS_Varshavskiy</t>
        </is>
      </c>
      <c r="K3077" s="640" t="n">
        <v>3</v>
      </c>
      <c r="L3077" s="640" t="n">
        <v>1</v>
      </c>
      <c r="M3077" s="623" t="inlineStr">
        <is>
          <t>Samsung 32" вертикальный</t>
        </is>
      </c>
      <c r="N3077" s="640" t="n"/>
      <c r="O3077" s="640">
        <f>IF(AND(N3077=1,L3077=1),K3077,"")</f>
        <v/>
      </c>
      <c r="P3077" s="642" t="inlineStr">
        <is>
          <t>Москва, Варшавское шоссе, д.148</t>
        </is>
      </c>
      <c r="Q3077" s="640" t="inlineStr">
        <is>
          <t>55.60102</t>
        </is>
      </c>
      <c r="R3077" s="494" t="inlineStr">
        <is>
          <t>37.602526</t>
        </is>
      </c>
      <c r="S3077" s="387">
        <f>'Цены|Скидки'!$D$25</f>
        <v/>
      </c>
      <c r="T3077" s="387">
        <f>IF(N3077=1,S3077*O3077,0)</f>
        <v/>
      </c>
      <c r="Z3077" s="1" t="n"/>
    </row>
    <row r="3078" hidden="1" ht="16.05" customHeight="1">
      <c r="A3078" s="125" t="n">
        <v>3756</v>
      </c>
      <c r="B3078" s="125" t="inlineStr">
        <is>
          <t>WF</t>
        </is>
      </c>
      <c r="C3078" s="130" t="inlineStr">
        <is>
          <t>Москва</t>
        </is>
      </c>
      <c r="D3078" s="130" t="inlineStr">
        <is>
          <t>Москва</t>
        </is>
      </c>
      <c r="E3078" s="130" t="inlineStr">
        <is>
          <t>A</t>
        </is>
      </c>
      <c r="F3078" s="130" t="inlineStr">
        <is>
          <t>Бизнес центр</t>
        </is>
      </c>
      <c r="G3078" s="130" t="inlineStr">
        <is>
          <t>Бизнес центр</t>
        </is>
      </c>
      <c r="H3078" s="131" t="n">
        <v>34767</v>
      </c>
      <c r="I3078" s="637" t="inlineStr">
        <is>
          <t>РТС Нагатинский</t>
        </is>
      </c>
      <c r="J3078" s="637" t="inlineStr">
        <is>
          <t>MSK_BC_RTS_Nagatinskiy</t>
        </is>
      </c>
      <c r="K3078" s="640" t="n">
        <v>3</v>
      </c>
      <c r="L3078" s="640" t="n">
        <v>0</v>
      </c>
      <c r="M3078" s="623" t="inlineStr">
        <is>
          <t>Samsung 32" вертикальный</t>
        </is>
      </c>
      <c r="N3078" s="640" t="n"/>
      <c r="O3078" s="640">
        <f>IF(AND(N3078=1,L3078=1),K3078,"")</f>
        <v/>
      </c>
      <c r="P3078" s="642" t="inlineStr">
        <is>
          <t>Хлебозаводский проезд, дом 7, стр.10</t>
        </is>
      </c>
      <c r="Q3078" s="640" t="inlineStr">
        <is>
          <t>55.670542</t>
        </is>
      </c>
      <c r="R3078" s="494" t="inlineStr">
        <is>
          <t>37.633656</t>
        </is>
      </c>
      <c r="S3078" s="387">
        <f>'Цены|Скидки'!$D$25</f>
        <v/>
      </c>
      <c r="T3078" s="387">
        <f>IF(N3078=1,S3078*O3078,0)</f>
        <v/>
      </c>
      <c r="Z3078" s="1" t="n"/>
    </row>
    <row r="3079" hidden="1" ht="16.05" customHeight="1">
      <c r="A3079" s="125" t="n">
        <v>3757</v>
      </c>
      <c r="B3079" s="125" t="inlineStr">
        <is>
          <t>WF</t>
        </is>
      </c>
      <c r="C3079" s="130" t="inlineStr">
        <is>
          <t>Москва</t>
        </is>
      </c>
      <c r="D3079" s="130" t="inlineStr">
        <is>
          <t>Москва</t>
        </is>
      </c>
      <c r="E3079" s="130" t="inlineStr">
        <is>
          <t>B</t>
        </is>
      </c>
      <c r="F3079" s="130" t="inlineStr">
        <is>
          <t>Бизнес центр</t>
        </is>
      </c>
      <c r="G3079" s="130" t="inlineStr">
        <is>
          <t>Бизнес центр</t>
        </is>
      </c>
      <c r="H3079" s="131" t="n">
        <v>7646</v>
      </c>
      <c r="I3079" s="637" t="inlineStr">
        <is>
          <t>Савёловград</t>
        </is>
      </c>
      <c r="J3079" s="637" t="inlineStr">
        <is>
          <t>MSK_BC_Savelovgrad</t>
        </is>
      </c>
      <c r="K3079" s="640" t="n">
        <v>2</v>
      </c>
      <c r="L3079" s="640" t="n">
        <v>1</v>
      </c>
      <c r="M3079" s="623" t="inlineStr">
        <is>
          <t>Samsung 43" вертикальный</t>
        </is>
      </c>
      <c r="N3079" s="640" t="n"/>
      <c r="O3079" s="640">
        <f>IF(AND(N3079=1,L3079=1),K3079,"")</f>
        <v/>
      </c>
      <c r="P3079" s="642" t="inlineStr">
        <is>
          <t>Москва, Складочная ул., д.1, стр. 15</t>
        </is>
      </c>
      <c r="Q3079" s="640" t="inlineStr">
        <is>
          <t>55.798623</t>
        </is>
      </c>
      <c r="R3079" s="494" t="inlineStr">
        <is>
          <t>37.594431</t>
        </is>
      </c>
      <c r="S3079" s="387">
        <f>'Цены|Скидки'!$D$25</f>
        <v/>
      </c>
      <c r="T3079" s="387">
        <f>IF(N3079=1,S3079*O3079,0)</f>
        <v/>
      </c>
      <c r="Z3079" s="1" t="n"/>
    </row>
    <row r="3080" hidden="1" ht="16.05" customHeight="1">
      <c r="A3080" s="125" t="n">
        <v>3758</v>
      </c>
      <c r="B3080" s="125" t="inlineStr">
        <is>
          <t>WF</t>
        </is>
      </c>
      <c r="C3080" s="130" t="inlineStr">
        <is>
          <t>Москва</t>
        </is>
      </c>
      <c r="D3080" s="130" t="inlineStr">
        <is>
          <t>Москва</t>
        </is>
      </c>
      <c r="E3080" s="130" t="inlineStr">
        <is>
          <t>A</t>
        </is>
      </c>
      <c r="F3080" s="130" t="inlineStr">
        <is>
          <t>Бизнес центр</t>
        </is>
      </c>
      <c r="G3080" s="130" t="inlineStr">
        <is>
          <t>Бизнес центр</t>
        </is>
      </c>
      <c r="H3080" s="131" t="n">
        <v>12629</v>
      </c>
      <c r="I3080" s="637" t="inlineStr">
        <is>
          <t>РТС Земляной Вал</t>
        </is>
      </c>
      <c r="J3080" s="637" t="inlineStr">
        <is>
          <t>MSK_BC_RTS_Zemlyanoy_Val</t>
        </is>
      </c>
      <c r="K3080" s="640" t="n">
        <v>2</v>
      </c>
      <c r="L3080" s="640" t="n">
        <v>1</v>
      </c>
      <c r="M3080" s="623" t="inlineStr">
        <is>
          <t>Samsung 32" вертикальный</t>
        </is>
      </c>
      <c r="N3080" s="640" t="n"/>
      <c r="O3080" s="640">
        <f>IF(AND(N3080=1,L3080=1),K3080,"")</f>
        <v/>
      </c>
      <c r="P3080" s="642" t="inlineStr">
        <is>
          <t xml:space="preserve">Москва, Земляной Вал ул., д. 50A, стр. 3 </t>
        </is>
      </c>
      <c r="Q3080" s="640" t="inlineStr">
        <is>
          <t>55.75114</t>
        </is>
      </c>
      <c r="R3080" s="494" t="inlineStr">
        <is>
          <t>37.655253</t>
        </is>
      </c>
      <c r="S3080" s="387">
        <f>'Цены|Скидки'!$D$25</f>
        <v/>
      </c>
      <c r="T3080" s="387">
        <f>IF(N3080=1,S3080*O3080,0)</f>
        <v/>
      </c>
      <c r="Z3080" s="1" t="n"/>
    </row>
    <row r="3081" hidden="1" ht="16.05" customHeight="1">
      <c r="A3081" s="125" t="n">
        <v>3759</v>
      </c>
      <c r="B3081" s="125" t="inlineStr">
        <is>
          <t>WF</t>
        </is>
      </c>
      <c r="C3081" s="130" t="inlineStr">
        <is>
          <t>Москва</t>
        </is>
      </c>
      <c r="D3081" s="130" t="inlineStr">
        <is>
          <t>Москва</t>
        </is>
      </c>
      <c r="E3081" s="130" t="inlineStr">
        <is>
          <t>A</t>
        </is>
      </c>
      <c r="F3081" s="130" t="inlineStr">
        <is>
          <t>Бизнес центр</t>
        </is>
      </c>
      <c r="G3081" s="130" t="inlineStr">
        <is>
          <t>Бизнес центр</t>
        </is>
      </c>
      <c r="H3081" s="131" t="n">
        <v>31433</v>
      </c>
      <c r="I3081" s="637" t="inlineStr">
        <is>
          <t>Ферро Плаза</t>
        </is>
      </c>
      <c r="J3081" s="637" t="inlineStr">
        <is>
          <t>MSK_BC_Ferro_Plaza</t>
        </is>
      </c>
      <c r="K3081" s="640" t="n">
        <v>2</v>
      </c>
      <c r="L3081" s="640" t="n">
        <v>1</v>
      </c>
      <c r="M3081" s="623" t="inlineStr">
        <is>
          <t>Samsung 32" вертикальный</t>
        </is>
      </c>
      <c r="N3081" s="640" t="n"/>
      <c r="O3081" s="640">
        <f>IF(AND(N3081=1,L3081=1),K3081,"")</f>
        <v/>
      </c>
      <c r="P3081" s="642" t="inlineStr">
        <is>
          <t>Москва, Кржижановского ул., д.14, кор.3</t>
        </is>
      </c>
      <c r="Q3081" s="640" t="inlineStr">
        <is>
          <t>55.679842</t>
        </is>
      </c>
      <c r="R3081" s="494" t="inlineStr">
        <is>
          <t>37.56679</t>
        </is>
      </c>
      <c r="S3081" s="387">
        <f>'Цены|Скидки'!$D$25</f>
        <v/>
      </c>
      <c r="T3081" s="387">
        <f>IF(N3081=1,S3081*O3081,0)</f>
        <v/>
      </c>
      <c r="Z3081" s="1" t="n"/>
    </row>
    <row r="3082" hidden="1" ht="16.05" customHeight="1">
      <c r="A3082" s="125" t="n">
        <v>3760</v>
      </c>
      <c r="B3082" s="125" t="inlineStr">
        <is>
          <t>WF</t>
        </is>
      </c>
      <c r="C3082" s="130" t="inlineStr">
        <is>
          <t>Москва</t>
        </is>
      </c>
      <c r="D3082" s="130" t="inlineStr">
        <is>
          <t>Москва</t>
        </is>
      </c>
      <c r="E3082" s="130" t="inlineStr">
        <is>
          <t>A</t>
        </is>
      </c>
      <c r="F3082" s="130" t="inlineStr">
        <is>
          <t>Бизнес центр</t>
        </is>
      </c>
      <c r="G3082" s="130" t="inlineStr">
        <is>
          <t>Бизнес центр</t>
        </is>
      </c>
      <c r="H3082" s="131" t="n">
        <v>16694</v>
      </c>
      <c r="I3082" s="637" t="inlineStr">
        <is>
          <t>Gas Field</t>
        </is>
      </c>
      <c r="J3082" s="637" t="inlineStr">
        <is>
          <t>MSK_BC_Gas_Field</t>
        </is>
      </c>
      <c r="K3082" s="640" t="n">
        <v>1</v>
      </c>
      <c r="L3082" s="640" t="n">
        <v>1</v>
      </c>
      <c r="M3082" s="623" t="inlineStr">
        <is>
          <t>Samsung 32" вертикальный</t>
        </is>
      </c>
      <c r="N3082" s="640" t="n"/>
      <c r="O3082" s="640">
        <f>IF(AND(N3082=1,L3082=1),K3082,"")</f>
        <v/>
      </c>
      <c r="P3082" s="642" t="inlineStr">
        <is>
          <t>Москва, Обручева ул., д.23, к.3</t>
        </is>
      </c>
      <c r="Q3082" s="640" t="inlineStr">
        <is>
          <t>55.657597</t>
        </is>
      </c>
      <c r="R3082" s="494" t="inlineStr">
        <is>
          <t>37.529355</t>
        </is>
      </c>
      <c r="S3082" s="387">
        <f>'Цены|Скидки'!$D$25</f>
        <v/>
      </c>
      <c r="T3082" s="387">
        <f>IF(N3082=1,S3082*O3082,0)</f>
        <v/>
      </c>
      <c r="Z3082" s="1" t="n"/>
    </row>
    <row r="3083" hidden="1" ht="16.05" customHeight="1">
      <c r="A3083" s="125" t="n">
        <v>3761</v>
      </c>
      <c r="B3083" s="125" t="inlineStr">
        <is>
          <t>WF</t>
        </is>
      </c>
      <c r="C3083" s="130" t="inlineStr">
        <is>
          <t>Москва</t>
        </is>
      </c>
      <c r="D3083" s="130" t="inlineStr">
        <is>
          <t>Москва</t>
        </is>
      </c>
      <c r="E3083" s="130" t="inlineStr">
        <is>
          <t>B+</t>
        </is>
      </c>
      <c r="F3083" s="130" t="inlineStr">
        <is>
          <t>Бизнес центр</t>
        </is>
      </c>
      <c r="G3083" s="130" t="inlineStr">
        <is>
          <t>Бизнес центр</t>
        </is>
      </c>
      <c r="H3083" s="131" t="n">
        <v>6200</v>
      </c>
      <c r="I3083" s="637" t="inlineStr">
        <is>
          <t>А1</t>
        </is>
      </c>
      <c r="J3083" s="637" t="inlineStr">
        <is>
          <t>MSK_BC_A1</t>
        </is>
      </c>
      <c r="K3083" s="640" t="n">
        <v>2</v>
      </c>
      <c r="L3083" s="640" t="n">
        <v>1</v>
      </c>
      <c r="M3083" s="623" t="inlineStr">
        <is>
          <t>Samsung 32" вертикальный</t>
        </is>
      </c>
      <c r="N3083" s="640" t="n"/>
      <c r="O3083" s="640">
        <f>IF(AND(N3083=1,L3083=1),K3083,"")</f>
        <v/>
      </c>
      <c r="P3083" s="642" t="inlineStr">
        <is>
          <t>Москва, Переведеновский пер., д.13, стр.4</t>
        </is>
      </c>
      <c r="Q3083" s="640" t="inlineStr">
        <is>
          <t>55.780247</t>
        </is>
      </c>
      <c r="R3083" s="494" t="inlineStr">
        <is>
          <t>37.690267</t>
        </is>
      </c>
      <c r="S3083" s="387">
        <f>'Цены|Скидки'!$D$25</f>
        <v/>
      </c>
      <c r="T3083" s="387">
        <f>IF(N3083=1,S3083*O3083,0)</f>
        <v/>
      </c>
      <c r="Z3083" s="1" t="n"/>
    </row>
    <row r="3084" hidden="1" ht="16.05" customHeight="1">
      <c r="A3084" s="125" t="n">
        <v>3762</v>
      </c>
      <c r="B3084" s="125" t="inlineStr">
        <is>
          <t>WF</t>
        </is>
      </c>
      <c r="C3084" s="130" t="inlineStr">
        <is>
          <t>Москва</t>
        </is>
      </c>
      <c r="D3084" s="130" t="inlineStr">
        <is>
          <t>Москва</t>
        </is>
      </c>
      <c r="E3084" s="130" t="inlineStr">
        <is>
          <t>B+</t>
        </is>
      </c>
      <c r="F3084" s="130" t="inlineStr">
        <is>
          <t>Бизнес центр</t>
        </is>
      </c>
      <c r="G3084" s="130" t="inlineStr">
        <is>
          <t>Бизнес центр</t>
        </is>
      </c>
      <c r="H3084" s="131" t="n">
        <v>6750</v>
      </c>
      <c r="I3084" s="637" t="inlineStr">
        <is>
          <t>Святогор 1</t>
        </is>
      </c>
      <c r="J3084" s="637" t="inlineStr">
        <is>
          <t>MSK_BC_Svyatogor_1</t>
        </is>
      </c>
      <c r="K3084" s="640" t="n">
        <v>1</v>
      </c>
      <c r="L3084" s="640" t="n">
        <v>1</v>
      </c>
      <c r="M3084" s="623" t="inlineStr">
        <is>
          <t>Samsung 55" вертикальный</t>
        </is>
      </c>
      <c r="N3084" s="640" t="n"/>
      <c r="O3084" s="640">
        <f>IF(AND(N3084=1,L3084=1),K3084,"")</f>
        <v/>
      </c>
      <c r="P3084" s="642" t="inlineStr">
        <is>
          <t>Москва, Летниковская ул., д.10, стр.1</t>
        </is>
      </c>
      <c r="Q3084" s="640" t="inlineStr">
        <is>
          <t>55.724803</t>
        </is>
      </c>
      <c r="R3084" s="494" t="inlineStr">
        <is>
          <t>37.643988</t>
        </is>
      </c>
      <c r="S3084" s="387">
        <f>'Цены|Скидки'!$D$25</f>
        <v/>
      </c>
      <c r="T3084" s="387">
        <f>IF(N3084=1,S3084*O3084,0)</f>
        <v/>
      </c>
      <c r="Z3084" s="1" t="n"/>
    </row>
    <row r="3085" hidden="1" ht="16.05" customHeight="1">
      <c r="A3085" s="125" t="n">
        <v>3763</v>
      </c>
      <c r="B3085" s="125" t="inlineStr">
        <is>
          <t>WF</t>
        </is>
      </c>
      <c r="C3085" s="130" t="inlineStr">
        <is>
          <t>Москва</t>
        </is>
      </c>
      <c r="D3085" s="130" t="inlineStr">
        <is>
          <t>Москва</t>
        </is>
      </c>
      <c r="E3085" s="130" t="inlineStr">
        <is>
          <t>B+</t>
        </is>
      </c>
      <c r="F3085" s="130" t="inlineStr">
        <is>
          <t>Бизнес центр</t>
        </is>
      </c>
      <c r="G3085" s="130" t="inlineStr">
        <is>
          <t>Бизнес центр</t>
        </is>
      </c>
      <c r="H3085" s="131" t="n">
        <v>15908</v>
      </c>
      <c r="I3085" s="637" t="inlineStr">
        <is>
          <t>Святогор 2</t>
        </is>
      </c>
      <c r="J3085" s="637" t="inlineStr">
        <is>
          <t>MSK_BC_Svyatogor_2</t>
        </is>
      </c>
      <c r="K3085" s="640" t="n">
        <v>3</v>
      </c>
      <c r="L3085" s="640" t="n">
        <v>1</v>
      </c>
      <c r="M3085" s="623" t="inlineStr">
        <is>
          <t>Samsung 32" + 43" вертикальный</t>
        </is>
      </c>
      <c r="N3085" s="640" t="n"/>
      <c r="O3085" s="640">
        <f>IF(AND(N3085=1,L3085=1),K3085,"")</f>
        <v/>
      </c>
      <c r="P3085" s="642" t="inlineStr">
        <is>
          <t>Москва, Летниковская ул., д.10, стр.2</t>
        </is>
      </c>
      <c r="Q3085" s="640" t="inlineStr">
        <is>
          <t>55.725626</t>
        </is>
      </c>
      <c r="R3085" s="494" t="inlineStr">
        <is>
          <t>37.643059</t>
        </is>
      </c>
      <c r="S3085" s="387">
        <f>'Цены|Скидки'!$D$25</f>
        <v/>
      </c>
      <c r="T3085" s="387">
        <f>IF(N3085=1,S3085*O3085,0)</f>
        <v/>
      </c>
      <c r="Z3085" s="1" t="n"/>
    </row>
    <row r="3086" hidden="1" ht="16.05" customHeight="1">
      <c r="A3086" s="125" t="n">
        <v>3764</v>
      </c>
      <c r="B3086" s="125" t="inlineStr">
        <is>
          <t>WF</t>
        </is>
      </c>
      <c r="C3086" s="130" t="inlineStr">
        <is>
          <t>Москва</t>
        </is>
      </c>
      <c r="D3086" s="130" t="inlineStr">
        <is>
          <t>Москва</t>
        </is>
      </c>
      <c r="E3086" s="130" t="inlineStr">
        <is>
          <t>B</t>
        </is>
      </c>
      <c r="F3086" s="130" t="inlineStr">
        <is>
          <t>Бизнес центр</t>
        </is>
      </c>
      <c r="G3086" s="130" t="inlineStr">
        <is>
          <t>Бизнес центр</t>
        </is>
      </c>
      <c r="H3086" s="131" t="n">
        <v>15696</v>
      </c>
      <c r="I3086" s="637" t="inlineStr">
        <is>
          <t>Каскад- Мебель</t>
        </is>
      </c>
      <c r="J3086" s="637" t="inlineStr">
        <is>
          <t>MSK_BC_Kaskad__Mebel</t>
        </is>
      </c>
      <c r="K3086" s="640" t="n">
        <v>2</v>
      </c>
      <c r="L3086" s="640" t="n">
        <v>1</v>
      </c>
      <c r="M3086" s="623" t="inlineStr">
        <is>
          <t>Samsung 32" + 43" вертикальный</t>
        </is>
      </c>
      <c r="N3086" s="640" t="n"/>
      <c r="O3086" s="640">
        <f>IF(AND(N3086=1,L3086=1),K3086,"")</f>
        <v/>
      </c>
      <c r="P3086" s="642" t="inlineStr">
        <is>
          <t>Москва, Сущевский Вал ул., д. 9, стр 1</t>
        </is>
      </c>
      <c r="Q3086" s="640" t="inlineStr">
        <is>
          <t>55.792834</t>
        </is>
      </c>
      <c r="R3086" s="494" t="inlineStr">
        <is>
          <t>37.592994</t>
        </is>
      </c>
      <c r="S3086" s="387">
        <f>'Цены|Скидки'!$D$25</f>
        <v/>
      </c>
      <c r="T3086" s="387">
        <f>IF(N3086=1,S3086*O3086,0)</f>
        <v/>
      </c>
      <c r="Z3086" s="1" t="n"/>
    </row>
    <row r="3087" hidden="1" ht="16.05" customHeight="1">
      <c r="A3087" s="125" t="n">
        <v>3765</v>
      </c>
      <c r="B3087" s="125" t="inlineStr">
        <is>
          <t>WF</t>
        </is>
      </c>
      <c r="C3087" s="130" t="inlineStr">
        <is>
          <t>Москва</t>
        </is>
      </c>
      <c r="D3087" s="130" t="inlineStr">
        <is>
          <t>Москва</t>
        </is>
      </c>
      <c r="E3087" s="130" t="inlineStr">
        <is>
          <t>B+</t>
        </is>
      </c>
      <c r="F3087" s="130" t="inlineStr">
        <is>
          <t>Бизнес центр</t>
        </is>
      </c>
      <c r="G3087" s="130" t="inlineStr">
        <is>
          <t>Бизнес центр</t>
        </is>
      </c>
      <c r="H3087" s="131" t="n">
        <v>76930</v>
      </c>
      <c r="I3087" s="637" t="inlineStr">
        <is>
          <t>Полларс</t>
        </is>
      </c>
      <c r="J3087" s="637" t="inlineStr">
        <is>
          <t>MSK_BC_Pollars</t>
        </is>
      </c>
      <c r="K3087" s="640" t="n">
        <v>4</v>
      </c>
      <c r="L3087" s="640" t="n">
        <v>1</v>
      </c>
      <c r="M3087" s="623" t="inlineStr">
        <is>
          <t>Samsung 32" + 55" вертикальный</t>
        </is>
      </c>
      <c r="N3087" s="640" t="n"/>
      <c r="O3087" s="640">
        <f>IF(AND(N3087=1,L3087=1),K3087,"")</f>
        <v/>
      </c>
      <c r="P3087" s="642" t="inlineStr">
        <is>
          <t>Москва, Дербеневская набережная, д. 11</t>
        </is>
      </c>
      <c r="Q3087" s="640" t="inlineStr">
        <is>
          <t>55.720912</t>
        </is>
      </c>
      <c r="R3087" s="494" t="inlineStr">
        <is>
          <t>37.651206</t>
        </is>
      </c>
      <c r="S3087" s="387">
        <f>'Цены|Скидки'!$D$25</f>
        <v/>
      </c>
      <c r="T3087" s="387">
        <f>IF(N3087=1,S3087*O3087,0)</f>
        <v/>
      </c>
      <c r="Z3087" s="1" t="n"/>
    </row>
    <row r="3088" hidden="1" ht="16.05" customHeight="1">
      <c r="A3088" s="125" t="n">
        <v>3766</v>
      </c>
      <c r="B3088" s="125" t="inlineStr">
        <is>
          <t>WF</t>
        </is>
      </c>
      <c r="C3088" s="130" t="inlineStr">
        <is>
          <t>Москва</t>
        </is>
      </c>
      <c r="D3088" s="130" t="inlineStr">
        <is>
          <t>Москва</t>
        </is>
      </c>
      <c r="E3088" s="130" t="inlineStr">
        <is>
          <t>B+</t>
        </is>
      </c>
      <c r="F3088" s="130" t="inlineStr">
        <is>
          <t>Бизнес центр</t>
        </is>
      </c>
      <c r="G3088" s="130" t="inlineStr">
        <is>
          <t>Бизнес центр</t>
        </is>
      </c>
      <c r="H3088" s="131" t="n">
        <v>7274</v>
      </c>
      <c r="I3088" s="637" t="inlineStr">
        <is>
          <t>Норд Плаза</t>
        </is>
      </c>
      <c r="J3088" s="637" t="inlineStr">
        <is>
          <t>MSK_BC_Nord_Plaza</t>
        </is>
      </c>
      <c r="K3088" s="640" t="n">
        <v>2</v>
      </c>
      <c r="L3088" s="640" t="n">
        <v>1</v>
      </c>
      <c r="M3088" s="623" t="inlineStr">
        <is>
          <t>Samsung 32" вертикальный</t>
        </is>
      </c>
      <c r="N3088" s="640" t="n"/>
      <c r="O3088" s="640">
        <f>IF(AND(N3088=1,L3088=1),K3088,"")</f>
        <v/>
      </c>
      <c r="P3088" s="642" t="inlineStr">
        <is>
          <t xml:space="preserve">Москва,  г. Химки, ул. Репина, 2/27, </t>
        </is>
      </c>
      <c r="Q3088" s="640" t="inlineStr">
        <is>
          <t>55.90101</t>
        </is>
      </c>
      <c r="R3088" s="494" t="inlineStr">
        <is>
          <t>37.42192</t>
        </is>
      </c>
      <c r="S3088" s="387">
        <f>'Цены|Скидки'!$D$25</f>
        <v/>
      </c>
      <c r="T3088" s="387">
        <f>IF(N3088=1,S3088*O3088,0)</f>
        <v/>
      </c>
      <c r="Z3088" s="1" t="n"/>
    </row>
    <row r="3089" hidden="1" ht="16.05" customHeight="1">
      <c r="A3089" s="125" t="n">
        <v>3767</v>
      </c>
      <c r="B3089" s="125" t="inlineStr">
        <is>
          <t>WF</t>
        </is>
      </c>
      <c r="C3089" s="130" t="inlineStr">
        <is>
          <t>Москва</t>
        </is>
      </c>
      <c r="D3089" s="130" t="inlineStr">
        <is>
          <t>Москва</t>
        </is>
      </c>
      <c r="E3089" s="130" t="inlineStr">
        <is>
          <t>A</t>
        </is>
      </c>
      <c r="F3089" s="130" t="inlineStr">
        <is>
          <t>Бизнес центр</t>
        </is>
      </c>
      <c r="G3089" s="130" t="inlineStr">
        <is>
          <t>Бизнес центр</t>
        </is>
      </c>
      <c r="H3089" s="131" t="n">
        <v>15926</v>
      </c>
      <c r="I3089" s="637" t="inlineStr">
        <is>
          <t>Паллау-НК</t>
        </is>
      </c>
      <c r="J3089" s="637" t="inlineStr">
        <is>
          <t>MSK_BC_Pallau_NK</t>
        </is>
      </c>
      <c r="K3089" s="640" t="n">
        <v>1</v>
      </c>
      <c r="L3089" s="640" t="n">
        <v>1</v>
      </c>
      <c r="M3089" s="623" t="inlineStr">
        <is>
          <t>Samsung 32" вертикальный</t>
        </is>
      </c>
      <c r="N3089" s="640" t="n"/>
      <c r="O3089" s="640">
        <f>IF(AND(N3089=1,L3089=1),K3089,"")</f>
        <v/>
      </c>
      <c r="P3089" s="642" t="inlineStr">
        <is>
          <t>Москва, Нижняя Красносельская ул., д. 39</t>
        </is>
      </c>
      <c r="Q3089" s="640" t="inlineStr">
        <is>
          <t>55.774385</t>
        </is>
      </c>
      <c r="R3089" s="494" t="inlineStr">
        <is>
          <t>37.674391</t>
        </is>
      </c>
      <c r="S3089" s="387">
        <f>'Цены|Скидки'!$D$25</f>
        <v/>
      </c>
      <c r="T3089" s="387">
        <f>IF(N3089=1,S3089*O3089,0)</f>
        <v/>
      </c>
      <c r="Z3089" s="1" t="n"/>
    </row>
    <row r="3090" hidden="1" ht="16.05" customHeight="1">
      <c r="A3090" s="125" t="n">
        <v>3768</v>
      </c>
      <c r="B3090" s="125" t="inlineStr">
        <is>
          <t>WF</t>
        </is>
      </c>
      <c r="C3090" s="130" t="inlineStr">
        <is>
          <t>Москва</t>
        </is>
      </c>
      <c r="D3090" s="130" t="inlineStr">
        <is>
          <t>Москва</t>
        </is>
      </c>
      <c r="E3090" s="130" t="inlineStr">
        <is>
          <t>A</t>
        </is>
      </c>
      <c r="F3090" s="130" t="inlineStr">
        <is>
          <t>Бизнес центр</t>
        </is>
      </c>
      <c r="G3090" s="130" t="inlineStr">
        <is>
          <t>Бизнес центр</t>
        </is>
      </c>
      <c r="H3090" s="131" t="n">
        <v>9420</v>
      </c>
      <c r="I3090" s="637" t="inlineStr">
        <is>
          <t>Сибирский Альянс</t>
        </is>
      </c>
      <c r="J3090" s="637" t="inlineStr">
        <is>
          <t>MSK_BC_Sibirskiy_Alyans</t>
        </is>
      </c>
      <c r="K3090" s="640" t="n">
        <v>2</v>
      </c>
      <c r="L3090" s="640" t="n">
        <v>1</v>
      </c>
      <c r="M3090" s="623" t="inlineStr">
        <is>
          <t>Samsung 32" + 43" вертикальный</t>
        </is>
      </c>
      <c r="N3090" s="640" t="n"/>
      <c r="O3090" s="640">
        <f>IF(AND(N3090=1,L3090=1),K3090,"")</f>
        <v/>
      </c>
      <c r="P3090" s="642" t="inlineStr">
        <is>
          <t>Москва, Летниковская ул., д. 16</t>
        </is>
      </c>
      <c r="Q3090" s="640" t="inlineStr">
        <is>
          <t>55.724288</t>
        </is>
      </c>
      <c r="R3090" s="494" t="inlineStr">
        <is>
          <t>37.643743</t>
        </is>
      </c>
      <c r="S3090" s="387">
        <f>'Цены|Скидки'!$D$25</f>
        <v/>
      </c>
      <c r="T3090" s="387">
        <f>IF(N3090=1,S3090*O3090,0)</f>
        <v/>
      </c>
      <c r="Z3090" s="1" t="n"/>
    </row>
    <row r="3091" hidden="1" ht="16.05" customHeight="1">
      <c r="A3091" s="125" t="n">
        <v>3769</v>
      </c>
      <c r="B3091" s="125" t="inlineStr">
        <is>
          <t>WF</t>
        </is>
      </c>
      <c r="C3091" s="130" t="inlineStr">
        <is>
          <t>Москва</t>
        </is>
      </c>
      <c r="D3091" s="130" t="inlineStr">
        <is>
          <t>Москва</t>
        </is>
      </c>
      <c r="E3091" s="130" t="inlineStr">
        <is>
          <t>A</t>
        </is>
      </c>
      <c r="F3091" s="130" t="inlineStr">
        <is>
          <t>Бизнес центр</t>
        </is>
      </c>
      <c r="G3091" s="130" t="inlineStr">
        <is>
          <t>Бизнес центр</t>
        </is>
      </c>
      <c r="H3091" s="131" t="n">
        <v>40411</v>
      </c>
      <c r="I3091" s="637" t="inlineStr">
        <is>
          <t>Дербеневская Плаза</t>
        </is>
      </c>
      <c r="J3091" s="637" t="inlineStr">
        <is>
          <t>MSK_BC_Derbenevskaya_Plaza</t>
        </is>
      </c>
      <c r="K3091" s="640" t="n">
        <v>5</v>
      </c>
      <c r="L3091" s="640" t="n">
        <v>1</v>
      </c>
      <c r="M3091" s="623" t="inlineStr">
        <is>
          <t>Samsung 32" вертикальный</t>
        </is>
      </c>
      <c r="N3091" s="640" t="n"/>
      <c r="O3091" s="640">
        <f>IF(AND(N3091=1,L3091=1),K3091,"")</f>
        <v/>
      </c>
      <c r="P3091" s="642" t="inlineStr">
        <is>
          <t>Москва, 1-й Дербеневский переулок, д.5</t>
        </is>
      </c>
      <c r="Q3091" s="640" t="inlineStr">
        <is>
          <t>55.723937</t>
        </is>
      </c>
      <c r="R3091" s="494" t="inlineStr">
        <is>
          <t>37.654183</t>
        </is>
      </c>
      <c r="S3091" s="387">
        <f>'Цены|Скидки'!$D$25</f>
        <v/>
      </c>
      <c r="T3091" s="387">
        <f>IF(N3091=1,S3091*O3091,0)</f>
        <v/>
      </c>
      <c r="Z3091" s="1" t="n"/>
    </row>
    <row r="3092" hidden="1" ht="16.05" customHeight="1">
      <c r="A3092" s="125" t="n">
        <v>3770</v>
      </c>
      <c r="B3092" s="125" t="inlineStr">
        <is>
          <t>WF</t>
        </is>
      </c>
      <c r="C3092" s="130" t="inlineStr">
        <is>
          <t>Москва</t>
        </is>
      </c>
      <c r="D3092" s="130" t="inlineStr">
        <is>
          <t>Москва</t>
        </is>
      </c>
      <c r="E3092" s="130" t="inlineStr">
        <is>
          <t>A</t>
        </is>
      </c>
      <c r="F3092" s="130" t="inlineStr">
        <is>
          <t>Бизнес центр</t>
        </is>
      </c>
      <c r="G3092" s="130" t="inlineStr">
        <is>
          <t>Бизнес центр</t>
        </is>
      </c>
      <c r="H3092" s="131" t="n">
        <v>27083</v>
      </c>
      <c r="I3092" s="637" t="inlineStr">
        <is>
          <t>На Бакунинской</t>
        </is>
      </c>
      <c r="J3092" s="637" t="inlineStr">
        <is>
          <t>MSK_BC_Na_Bakuninskoy</t>
        </is>
      </c>
      <c r="K3092" s="640" t="n">
        <v>4</v>
      </c>
      <c r="L3092" s="640" t="n">
        <v>1</v>
      </c>
      <c r="M3092" s="623" t="inlineStr">
        <is>
          <t>Samsung 32" вертикальный</t>
        </is>
      </c>
      <c r="N3092" s="640" t="n"/>
      <c r="O3092" s="640">
        <f>IF(AND(N3092=1,L3092=1),K3092,"")</f>
        <v/>
      </c>
      <c r="P3092" s="642" t="inlineStr">
        <is>
          <t>Москва, Бакунинская ул, д. 71</t>
        </is>
      </c>
      <c r="Q3092" s="640" t="inlineStr">
        <is>
          <t>55.779887</t>
        </is>
      </c>
      <c r="R3092" s="494" t="inlineStr">
        <is>
          <t>37.6912</t>
        </is>
      </c>
      <c r="S3092" s="387">
        <f>'Цены|Скидки'!$D$25</f>
        <v/>
      </c>
      <c r="T3092" s="387">
        <f>IF(N3092=1,S3092*O3092,0)</f>
        <v/>
      </c>
      <c r="Z3092" s="1" t="n"/>
    </row>
    <row r="3093" hidden="1" ht="16.05" customHeight="1">
      <c r="A3093" s="125" t="n">
        <v>3771</v>
      </c>
      <c r="B3093" s="125" t="inlineStr">
        <is>
          <t>WF</t>
        </is>
      </c>
      <c r="C3093" s="130" t="inlineStr">
        <is>
          <t>Москва</t>
        </is>
      </c>
      <c r="D3093" s="130" t="inlineStr">
        <is>
          <t>Москва</t>
        </is>
      </c>
      <c r="E3093" s="130" t="inlineStr">
        <is>
          <t>A</t>
        </is>
      </c>
      <c r="F3093" s="130" t="inlineStr">
        <is>
          <t>Бизнес центр</t>
        </is>
      </c>
      <c r="G3093" s="130" t="inlineStr">
        <is>
          <t>Бизнес центр</t>
        </is>
      </c>
      <c r="H3093" s="131" t="n">
        <v>19133</v>
      </c>
      <c r="I3093" s="637" t="inlineStr">
        <is>
          <t>На Кожевнической</t>
        </is>
      </c>
      <c r="J3093" s="637" t="inlineStr">
        <is>
          <t>MSK_BC_Na_Kozhevnicheskoy</t>
        </is>
      </c>
      <c r="K3093" s="640" t="n">
        <v>2</v>
      </c>
      <c r="L3093" s="640" t="n">
        <v>1</v>
      </c>
      <c r="M3093" s="623" t="inlineStr">
        <is>
          <t>Samsung 32" вертикальный</t>
        </is>
      </c>
      <c r="N3093" s="640" t="n"/>
      <c r="O3093" s="640">
        <f>IF(AND(N3093=1,L3093=1),K3093,"")</f>
        <v/>
      </c>
      <c r="P3093" s="642" t="inlineStr">
        <is>
          <t>Москва, Кожевническая ул., д. 14</t>
        </is>
      </c>
      <c r="Q3093" s="640" t="inlineStr">
        <is>
          <t>55.728067</t>
        </is>
      </c>
      <c r="R3093" s="494" t="inlineStr">
        <is>
          <t>37.645256</t>
        </is>
      </c>
      <c r="S3093" s="387">
        <f>'Цены|Скидки'!$D$25</f>
        <v/>
      </c>
      <c r="T3093" s="387">
        <f>IF(N3093=1,S3093*O3093,0)</f>
        <v/>
      </c>
      <c r="Z3093" s="1" t="n"/>
    </row>
    <row r="3094" hidden="1" ht="16.05" customHeight="1">
      <c r="A3094" s="125" t="n">
        <v>3773</v>
      </c>
      <c r="B3094" s="125" t="inlineStr">
        <is>
          <t>WF</t>
        </is>
      </c>
      <c r="C3094" s="130" t="inlineStr">
        <is>
          <t>Москва</t>
        </is>
      </c>
      <c r="D3094" s="130" t="inlineStr">
        <is>
          <t>Москва</t>
        </is>
      </c>
      <c r="E3094" s="130" t="inlineStr">
        <is>
          <t>B+</t>
        </is>
      </c>
      <c r="F3094" s="130" t="inlineStr">
        <is>
          <t>Бизнес центр</t>
        </is>
      </c>
      <c r="G3094" s="130" t="inlineStr">
        <is>
          <t>Бизнес центр</t>
        </is>
      </c>
      <c r="H3094" s="131" t="n">
        <v>11753</v>
      </c>
      <c r="I3094" s="637" t="inlineStr">
        <is>
          <t>Сити Ресурс</t>
        </is>
      </c>
      <c r="J3094" s="637" t="inlineStr">
        <is>
          <t>MSK_BC_Siti_Resurs</t>
        </is>
      </c>
      <c r="K3094" s="640" t="n">
        <v>2</v>
      </c>
      <c r="L3094" s="640" t="n">
        <v>0</v>
      </c>
      <c r="M3094" s="640" t="inlineStr">
        <is>
          <t>Samsung 32" + 43" вертикальный</t>
        </is>
      </c>
      <c r="N3094" s="640" t="n"/>
      <c r="O3094" s="640">
        <f>IF(AND(N3094=1,L3094=1),K3094,"")</f>
        <v/>
      </c>
      <c r="P3094" s="642" t="inlineStr">
        <is>
          <t>Старопетровский пр-д, д. 7А стр. 6</t>
        </is>
      </c>
      <c r="Q3094" s="640" t="inlineStr">
        <is>
          <t>55.824615</t>
        </is>
      </c>
      <c r="R3094" s="422" t="inlineStr">
        <is>
          <t>37.501244</t>
        </is>
      </c>
      <c r="S3094" s="387">
        <f>'Цены|Скидки'!$D$25</f>
        <v/>
      </c>
      <c r="T3094" s="387">
        <f>IF(N3094=1,S3094*O3094,0)</f>
        <v/>
      </c>
      <c r="Z3094" s="1" t="n"/>
    </row>
    <row r="3095" hidden="1" ht="16.05" customHeight="1">
      <c r="A3095" s="125" t="n">
        <v>3772</v>
      </c>
      <c r="B3095" s="125" t="inlineStr">
        <is>
          <t>WF</t>
        </is>
      </c>
      <c r="C3095" s="130" t="inlineStr">
        <is>
          <t>Москва</t>
        </is>
      </c>
      <c r="D3095" s="130" t="inlineStr">
        <is>
          <t>Москва</t>
        </is>
      </c>
      <c r="E3095" s="130" t="inlineStr">
        <is>
          <t>B+</t>
        </is>
      </c>
      <c r="F3095" s="130" t="inlineStr">
        <is>
          <t>Бизнес центр</t>
        </is>
      </c>
      <c r="G3095" s="130" t="inlineStr">
        <is>
          <t>Бизнес центр</t>
        </is>
      </c>
      <c r="H3095" s="131" t="n">
        <v>14486</v>
      </c>
      <c r="I3095" s="637" t="inlineStr">
        <is>
          <t>ВЭРОНД</t>
        </is>
      </c>
      <c r="J3095" s="637" t="inlineStr">
        <is>
          <t>MSK_BC_VEROND</t>
        </is>
      </c>
      <c r="K3095" s="640" t="n">
        <v>4</v>
      </c>
      <c r="L3095" s="640" t="n">
        <v>0</v>
      </c>
      <c r="M3095" s="640" t="inlineStr">
        <is>
          <t>Samsung 32" + 43" вертикальный</t>
        </is>
      </c>
      <c r="N3095" s="640" t="n"/>
      <c r="O3095" s="640">
        <f>IF(AND(N3095=1,L3095=1),K3095,"")</f>
        <v/>
      </c>
      <c r="P3095" s="642" t="inlineStr">
        <is>
          <t>Семеновская площадь, д. 7</t>
        </is>
      </c>
      <c r="Q3095" s="640" t="inlineStr">
        <is>
          <t>55.783431</t>
        </is>
      </c>
      <c r="R3095" s="422" t="inlineStr">
        <is>
          <t>37.720117</t>
        </is>
      </c>
      <c r="S3095" s="387">
        <f>'Цены|Скидки'!$D$25</f>
        <v/>
      </c>
      <c r="T3095" s="387">
        <f>IF(N3095=1,S3095*O3095,0)</f>
        <v/>
      </c>
      <c r="Z3095" s="1" t="n"/>
    </row>
    <row r="3096" hidden="1" ht="16.05" customHeight="1">
      <c r="A3096" s="125" t="n">
        <v>3774</v>
      </c>
      <c r="B3096" s="125" t="inlineStr">
        <is>
          <t>WF</t>
        </is>
      </c>
      <c r="C3096" s="130" t="inlineStr">
        <is>
          <t>Москва</t>
        </is>
      </c>
      <c r="D3096" s="130" t="inlineStr">
        <is>
          <t>Москва</t>
        </is>
      </c>
      <c r="E3096" s="130" t="inlineStr">
        <is>
          <t>B+</t>
        </is>
      </c>
      <c r="F3096" s="130" t="inlineStr">
        <is>
          <t>Бизнес центр</t>
        </is>
      </c>
      <c r="G3096" s="130" t="inlineStr">
        <is>
          <t>Бизнес центр</t>
        </is>
      </c>
      <c r="H3096" s="131" t="n">
        <v>6100</v>
      </c>
      <c r="I3096" s="637" t="inlineStr">
        <is>
          <t>Теплый Стан</t>
        </is>
      </c>
      <c r="J3096" s="637" t="inlineStr">
        <is>
          <t>MSK_BC_Teplyy_Stan</t>
        </is>
      </c>
      <c r="K3096" s="640" t="n">
        <v>1</v>
      </c>
      <c r="L3096" s="640" t="n">
        <v>1</v>
      </c>
      <c r="M3096" s="623" t="inlineStr">
        <is>
          <t>Samsung 32" вертикальный</t>
        </is>
      </c>
      <c r="N3096" s="640" t="n"/>
      <c r="O3096" s="640">
        <f>IF(AND(N3096=1,L3096=1),K3096,"")</f>
        <v/>
      </c>
      <c r="P3096" s="642" t="inlineStr">
        <is>
          <t>Москва, Генерала Тюленева ул., 4А, стр. 3</t>
        </is>
      </c>
      <c r="Q3096" s="640" t="inlineStr">
        <is>
          <t>55.625411</t>
        </is>
      </c>
      <c r="R3096" s="494" t="inlineStr">
        <is>
          <t>37.483833</t>
        </is>
      </c>
      <c r="S3096" s="387">
        <f>'Цены|Скидки'!$D$25</f>
        <v/>
      </c>
      <c r="T3096" s="387">
        <f>IF(N3096=1,S3096*O3096,0)</f>
        <v/>
      </c>
      <c r="Z3096" s="1" t="n"/>
    </row>
    <row r="3097" hidden="1" ht="16.05" customHeight="1">
      <c r="A3097" s="125" t="n">
        <v>3775</v>
      </c>
      <c r="B3097" s="125" t="inlineStr">
        <is>
          <t>WF</t>
        </is>
      </c>
      <c r="C3097" s="130" t="inlineStr">
        <is>
          <t>Москва</t>
        </is>
      </c>
      <c r="D3097" s="130" t="inlineStr">
        <is>
          <t>Москва</t>
        </is>
      </c>
      <c r="E3097" s="130" t="inlineStr">
        <is>
          <t>B+</t>
        </is>
      </c>
      <c r="F3097" s="130" t="inlineStr">
        <is>
          <t>Бизнес центр</t>
        </is>
      </c>
      <c r="G3097" s="130" t="inlineStr">
        <is>
          <t>Бизнес центр</t>
        </is>
      </c>
      <c r="H3097" s="131" t="n">
        <v>5083</v>
      </c>
      <c r="I3097" s="637" t="inlineStr">
        <is>
          <t>Монд Плаза</t>
        </is>
      </c>
      <c r="J3097" s="637" t="inlineStr">
        <is>
          <t>MSK_BC_Mond_Plaza</t>
        </is>
      </c>
      <c r="K3097" s="640" t="n">
        <v>1</v>
      </c>
      <c r="L3097" s="640" t="n">
        <v>1</v>
      </c>
      <c r="M3097" s="623" t="inlineStr">
        <is>
          <t>Samsung 32" вертикальный</t>
        </is>
      </c>
      <c r="N3097" s="640" t="n"/>
      <c r="O3097" s="640">
        <f>IF(AND(N3097=1,L3097=1),K3097,"")</f>
        <v/>
      </c>
      <c r="P3097" s="642" t="inlineStr">
        <is>
          <t>Москва, Проспект Мира ул., д. 42</t>
        </is>
      </c>
      <c r="Q3097" s="640" t="inlineStr">
        <is>
          <t>55.781395</t>
        </is>
      </c>
      <c r="R3097" s="494" t="inlineStr">
        <is>
          <t>37.633094</t>
        </is>
      </c>
      <c r="S3097" s="387">
        <f>'Цены|Скидки'!$D$25</f>
        <v/>
      </c>
      <c r="T3097" s="387">
        <f>IF(N3097=1,S3097*O3097,0)</f>
        <v/>
      </c>
      <c r="Z3097" s="1" t="n"/>
    </row>
    <row r="3098" hidden="1" ht="16.05" customHeight="1">
      <c r="A3098" s="125" t="n">
        <v>3776</v>
      </c>
      <c r="B3098" s="125" t="inlineStr">
        <is>
          <t>WF</t>
        </is>
      </c>
      <c r="C3098" s="130" t="inlineStr">
        <is>
          <t>Москва</t>
        </is>
      </c>
      <c r="D3098" s="130" t="inlineStr">
        <is>
          <t>Москва</t>
        </is>
      </c>
      <c r="E3098" s="130" t="inlineStr">
        <is>
          <t>B+</t>
        </is>
      </c>
      <c r="F3098" s="130" t="inlineStr">
        <is>
          <t>Бизнес центр</t>
        </is>
      </c>
      <c r="G3098" s="130" t="inlineStr">
        <is>
          <t>Бизнес центр</t>
        </is>
      </c>
      <c r="H3098" s="131" t="n">
        <v>55696</v>
      </c>
      <c r="I3098" s="637" t="inlineStr">
        <is>
          <t>Красный богатырь</t>
        </is>
      </c>
      <c r="J3098" s="637" t="inlineStr">
        <is>
          <t>MSK_BC_Krasnyy_bogatyr</t>
        </is>
      </c>
      <c r="K3098" s="640" t="n">
        <v>2</v>
      </c>
      <c r="L3098" s="640" t="n">
        <v>1</v>
      </c>
      <c r="M3098" s="623" t="inlineStr">
        <is>
          <t>Samsung 32" вертикальный</t>
        </is>
      </c>
      <c r="N3098" s="640" t="n"/>
      <c r="O3098" s="640">
        <f>IF(AND(N3098=1,L3098=1),K3098,"")</f>
        <v/>
      </c>
      <c r="P3098" s="642" t="inlineStr">
        <is>
          <t>Москва, Краснобогатырская ул., д. 2</t>
        </is>
      </c>
      <c r="Q3098" s="640" t="inlineStr">
        <is>
          <t>55.81453</t>
        </is>
      </c>
      <c r="R3098" s="494" t="inlineStr">
        <is>
          <t>37.693958</t>
        </is>
      </c>
      <c r="S3098" s="387">
        <f>'Цены|Скидки'!$D$25</f>
        <v/>
      </c>
      <c r="T3098" s="387">
        <f>IF(N3098=1,S3098*O3098,0)</f>
        <v/>
      </c>
      <c r="Z3098" s="1" t="n"/>
    </row>
    <row r="3099" hidden="1" ht="16.05" customHeight="1">
      <c r="A3099" s="125" t="n">
        <v>3777</v>
      </c>
      <c r="B3099" s="125" t="inlineStr">
        <is>
          <t>WF</t>
        </is>
      </c>
      <c r="C3099" s="130" t="inlineStr">
        <is>
          <t>Москва</t>
        </is>
      </c>
      <c r="D3099" s="130" t="inlineStr">
        <is>
          <t>Москва</t>
        </is>
      </c>
      <c r="E3099" s="130" t="inlineStr">
        <is>
          <t>B+</t>
        </is>
      </c>
      <c r="F3099" s="130" t="inlineStr">
        <is>
          <t>Бизнес центр</t>
        </is>
      </c>
      <c r="G3099" s="130" t="inlineStr">
        <is>
          <t>Бизнес центр</t>
        </is>
      </c>
      <c r="H3099" s="131" t="n">
        <v>7750</v>
      </c>
      <c r="I3099" s="637" t="inlineStr">
        <is>
          <t>Искры 31</t>
        </is>
      </c>
      <c r="J3099" s="637" t="inlineStr">
        <is>
          <t>MSK_BC_Iskry_31</t>
        </is>
      </c>
      <c r="K3099" s="640" t="n">
        <v>2</v>
      </c>
      <c r="L3099" s="640" t="n">
        <v>1</v>
      </c>
      <c r="M3099" s="623" t="inlineStr">
        <is>
          <t>Samsung 43" вертикальный</t>
        </is>
      </c>
      <c r="N3099" s="640" t="n"/>
      <c r="O3099" s="640">
        <f>IF(AND(N3099=1,L3099=1),K3099,"")</f>
        <v/>
      </c>
      <c r="P3099" s="642" t="inlineStr">
        <is>
          <t>Москва, Искры ул. , д. 31.</t>
        </is>
      </c>
      <c r="Q3099" s="640" t="inlineStr">
        <is>
          <t>55.864267</t>
        </is>
      </c>
      <c r="R3099" s="494" t="inlineStr">
        <is>
          <t>37.650759</t>
        </is>
      </c>
      <c r="S3099" s="387">
        <f>'Цены|Скидки'!$D$25</f>
        <v/>
      </c>
      <c r="T3099" s="387">
        <f>IF(N3099=1,S3099*O3099,0)</f>
        <v/>
      </c>
      <c r="Z3099" s="1" t="n"/>
    </row>
    <row r="3100" hidden="1" ht="16.05" customHeight="1">
      <c r="A3100" s="125" t="n">
        <v>3778</v>
      </c>
      <c r="B3100" s="125" t="inlineStr">
        <is>
          <t>WF</t>
        </is>
      </c>
      <c r="C3100" s="130" t="inlineStr">
        <is>
          <t>Москва</t>
        </is>
      </c>
      <c r="D3100" s="130" t="inlineStr">
        <is>
          <t>Москва</t>
        </is>
      </c>
      <c r="E3100" s="130" t="inlineStr">
        <is>
          <t>B+</t>
        </is>
      </c>
      <c r="F3100" s="130" t="inlineStr">
        <is>
          <t>Бизнес центр</t>
        </is>
      </c>
      <c r="G3100" s="130" t="inlineStr">
        <is>
          <t>Бизнес центр</t>
        </is>
      </c>
      <c r="H3100" s="131" t="n">
        <v>15706</v>
      </c>
      <c r="I3100" s="637" t="inlineStr">
        <is>
          <t>ДЦ Искра</t>
        </is>
      </c>
      <c r="J3100" s="637" t="inlineStr">
        <is>
          <t>MSK_BC_DTs_Iskra</t>
        </is>
      </c>
      <c r="K3100" s="640" t="n">
        <v>2</v>
      </c>
      <c r="L3100" s="640" t="n">
        <v>1</v>
      </c>
      <c r="M3100" s="623" t="inlineStr">
        <is>
          <t>Samsung 43" вертикальный</t>
        </is>
      </c>
      <c r="N3100" s="640" t="n"/>
      <c r="O3100" s="640">
        <f>IF(AND(N3100=1,L3100=1),K3100,"")</f>
        <v/>
      </c>
      <c r="P3100" s="642" t="inlineStr">
        <is>
          <t>Москва, Искры ул. , д. 31. стр 1</t>
        </is>
      </c>
      <c r="Q3100" s="640" t="inlineStr">
        <is>
          <t>55.864107</t>
        </is>
      </c>
      <c r="R3100" s="494" t="inlineStr">
        <is>
          <t>37.65201</t>
        </is>
      </c>
      <c r="S3100" s="387">
        <f>'Цены|Скидки'!$D$25</f>
        <v/>
      </c>
      <c r="T3100" s="387">
        <f>IF(N3100=1,S3100*O3100,0)</f>
        <v/>
      </c>
      <c r="Z3100" s="1" t="n"/>
    </row>
    <row r="3101" hidden="1" ht="16.05" customHeight="1">
      <c r="A3101" s="125" t="n">
        <v>3779</v>
      </c>
      <c r="B3101" s="125" t="inlineStr">
        <is>
          <t>WF</t>
        </is>
      </c>
      <c r="C3101" s="130" t="inlineStr">
        <is>
          <t>Москва</t>
        </is>
      </c>
      <c r="D3101" s="130" t="inlineStr">
        <is>
          <t>Москва</t>
        </is>
      </c>
      <c r="E3101" s="130" t="inlineStr">
        <is>
          <t>A</t>
        </is>
      </c>
      <c r="F3101" s="130" t="inlineStr">
        <is>
          <t>Бизнес центр</t>
        </is>
      </c>
      <c r="G3101" s="130" t="inlineStr">
        <is>
          <t>Бизнес центр</t>
        </is>
      </c>
      <c r="H3101" s="131" t="n">
        <v>36900</v>
      </c>
      <c r="I3101" s="637" t="inlineStr">
        <is>
          <t>Атмосфера</t>
        </is>
      </c>
      <c r="J3101" s="637" t="inlineStr">
        <is>
          <t>MSK_BC_Atmosfera</t>
        </is>
      </c>
      <c r="K3101" s="640" t="n">
        <v>2</v>
      </c>
      <c r="L3101" s="640" t="n">
        <v>1</v>
      </c>
      <c r="M3101" s="623" t="inlineStr">
        <is>
          <t>Samsung 32" + 43" вертикальный</t>
        </is>
      </c>
      <c r="N3101" s="640" t="n"/>
      <c r="O3101" s="640">
        <f>IF(AND(N3101=1,L3101=1),K3101,"")</f>
        <v/>
      </c>
      <c r="P3101" s="642" t="inlineStr">
        <is>
          <t xml:space="preserve">Москва, Сущёвская ул., д. 25, стр. 1 </t>
        </is>
      </c>
      <c r="Q3101" s="640" t="inlineStr">
        <is>
          <t>55.782443</t>
        </is>
      </c>
      <c r="R3101" s="494" t="inlineStr">
        <is>
          <t>37.600376</t>
        </is>
      </c>
      <c r="S3101" s="387">
        <f>'Цены|Скидки'!$D$25</f>
        <v/>
      </c>
      <c r="T3101" s="387">
        <f>IF(N3101=1,S3101*O3101,0)</f>
        <v/>
      </c>
      <c r="Z3101" s="1" t="n"/>
    </row>
    <row r="3102" hidden="1" ht="16.05" customHeight="1">
      <c r="A3102" s="125" t="n">
        <v>3780</v>
      </c>
      <c r="B3102" s="125" t="inlineStr">
        <is>
          <t>WF</t>
        </is>
      </c>
      <c r="C3102" s="130" t="inlineStr">
        <is>
          <t>Москва</t>
        </is>
      </c>
      <c r="D3102" s="130" t="inlineStr">
        <is>
          <t>Москва</t>
        </is>
      </c>
      <c r="E3102" s="130" t="inlineStr">
        <is>
          <t>B+</t>
        </is>
      </c>
      <c r="F3102" s="130" t="inlineStr">
        <is>
          <t>Бизнес центр</t>
        </is>
      </c>
      <c r="G3102" s="130" t="inlineStr">
        <is>
          <t>Бизнес центр</t>
        </is>
      </c>
      <c r="H3102" s="131" t="n">
        <v>12565</v>
      </c>
      <c r="I3102" s="637" t="inlineStr">
        <is>
          <t>Велка</t>
        </is>
      </c>
      <c r="J3102" s="637" t="inlineStr">
        <is>
          <t>MSK_BC_Velka</t>
        </is>
      </c>
      <c r="K3102" s="640" t="n">
        <v>2</v>
      </c>
      <c r="L3102" s="640" t="n">
        <v>1</v>
      </c>
      <c r="M3102" s="623" t="inlineStr">
        <is>
          <t>Samsung 32" вертикальный</t>
        </is>
      </c>
      <c r="N3102" s="640" t="n"/>
      <c r="O3102" s="640">
        <f>IF(AND(N3102=1,L3102=1),K3102,"")</f>
        <v/>
      </c>
      <c r="P3102" s="642" t="inlineStr">
        <is>
          <t>Москва,  Большой Строченовский переулок, д. 7</t>
        </is>
      </c>
      <c r="Q3102" s="640" t="inlineStr">
        <is>
          <t>55.729159</t>
        </is>
      </c>
      <c r="R3102" s="494" t="inlineStr">
        <is>
          <t>37.631048</t>
        </is>
      </c>
      <c r="S3102" s="387">
        <f>'Цены|Скидки'!$D$25</f>
        <v/>
      </c>
      <c r="T3102" s="387">
        <f>IF(N3102=1,S3102*O3102,0)</f>
        <v/>
      </c>
      <c r="Z3102" s="1" t="n"/>
    </row>
    <row r="3103" hidden="1" ht="16.05" customHeight="1">
      <c r="A3103" s="125" t="n">
        <v>3781</v>
      </c>
      <c r="B3103" s="125" t="inlineStr">
        <is>
          <t>WF</t>
        </is>
      </c>
      <c r="C3103" s="130" t="inlineStr">
        <is>
          <t>Москва</t>
        </is>
      </c>
      <c r="D3103" s="130" t="inlineStr">
        <is>
          <t>Москва</t>
        </is>
      </c>
      <c r="E3103" s="130" t="inlineStr">
        <is>
          <t>B+</t>
        </is>
      </c>
      <c r="F3103" s="130" t="inlineStr">
        <is>
          <t>Бизнес центр</t>
        </is>
      </c>
      <c r="G3103" s="130" t="inlineStr">
        <is>
          <t>Бизнес центр</t>
        </is>
      </c>
      <c r="H3103" s="131" t="n">
        <v>12748</v>
      </c>
      <c r="I3103" s="637" t="inlineStr">
        <is>
          <t>Рязанка 24</t>
        </is>
      </c>
      <c r="J3103" s="637" t="inlineStr">
        <is>
          <t>MSK_BC_Ryazanka_24</t>
        </is>
      </c>
      <c r="K3103" s="640" t="n">
        <v>2</v>
      </c>
      <c r="L3103" s="640" t="n">
        <v>1</v>
      </c>
      <c r="M3103" s="623" t="inlineStr">
        <is>
          <t>Samsung 43" вертикальный</t>
        </is>
      </c>
      <c r="N3103" s="640" t="n"/>
      <c r="O3103" s="640">
        <f>IF(AND(N3103=1,L3103=1),K3103,"")</f>
        <v/>
      </c>
      <c r="P3103" s="642" t="inlineStr">
        <is>
          <t>Москва, Рязанский проспект, д. 24 к. 1</t>
        </is>
      </c>
      <c r="Q3103" s="640" t="inlineStr">
        <is>
          <t>55.721081</t>
        </is>
      </c>
      <c r="R3103" s="494" t="inlineStr">
        <is>
          <t>37.773584</t>
        </is>
      </c>
      <c r="S3103" s="387">
        <f>'Цены|Скидки'!$D$25</f>
        <v/>
      </c>
      <c r="T3103" s="387">
        <f>IF(N3103=1,S3103*O3103,0)</f>
        <v/>
      </c>
      <c r="Z3103" s="1" t="n"/>
    </row>
    <row r="3104" hidden="1" ht="16.05" customHeight="1">
      <c r="A3104" s="125" t="n">
        <v>3782</v>
      </c>
      <c r="B3104" s="125" t="inlineStr">
        <is>
          <t>WF</t>
        </is>
      </c>
      <c r="C3104" s="130" t="inlineStr">
        <is>
          <t>Москва</t>
        </is>
      </c>
      <c r="D3104" s="130" t="inlineStr">
        <is>
          <t>Москва</t>
        </is>
      </c>
      <c r="E3104" s="130" t="inlineStr">
        <is>
          <t>B+</t>
        </is>
      </c>
      <c r="F3104" s="130" t="inlineStr">
        <is>
          <t>Бизнес центр</t>
        </is>
      </c>
      <c r="G3104" s="130" t="inlineStr">
        <is>
          <t>Бизнес центр</t>
        </is>
      </c>
      <c r="H3104" s="131" t="n">
        <v>10166</v>
      </c>
      <c r="I3104" s="637" t="inlineStr">
        <is>
          <t>Рязанка 22</t>
        </is>
      </c>
      <c r="J3104" s="637" t="inlineStr">
        <is>
          <t>MSK_BC_Ryazanka_22</t>
        </is>
      </c>
      <c r="K3104" s="640" t="n">
        <v>1</v>
      </c>
      <c r="L3104" s="640" t="n">
        <v>1</v>
      </c>
      <c r="M3104" s="623" t="inlineStr">
        <is>
          <t>Samsung 32" вертикальный</t>
        </is>
      </c>
      <c r="N3104" s="640" t="n"/>
      <c r="O3104" s="640">
        <f>IF(AND(N3104=1,L3104=1),K3104,"")</f>
        <v/>
      </c>
      <c r="P3104" s="642" t="inlineStr">
        <is>
          <t>Москва, Рязанский проспект, д. 22, стр. 2</t>
        </is>
      </c>
      <c r="Q3104" s="640" t="inlineStr">
        <is>
          <t>55.72167</t>
        </is>
      </c>
      <c r="R3104" s="494" t="inlineStr">
        <is>
          <t>37.771684</t>
        </is>
      </c>
      <c r="S3104" s="387">
        <f>'Цены|Скидки'!$D$25</f>
        <v/>
      </c>
      <c r="T3104" s="387">
        <f>IF(N3104=1,S3104*O3104,0)</f>
        <v/>
      </c>
      <c r="Z3104" s="1" t="n"/>
    </row>
    <row r="3105" hidden="1" ht="16.05" customHeight="1">
      <c r="A3105" s="125" t="n">
        <v>3783</v>
      </c>
      <c r="B3105" s="125" t="inlineStr">
        <is>
          <t>WF</t>
        </is>
      </c>
      <c r="C3105" s="130" t="inlineStr">
        <is>
          <t>Москва</t>
        </is>
      </c>
      <c r="D3105" s="130" t="inlineStr">
        <is>
          <t>Москва</t>
        </is>
      </c>
      <c r="E3105" s="130" t="inlineStr">
        <is>
          <t>B+</t>
        </is>
      </c>
      <c r="F3105" s="130" t="inlineStr">
        <is>
          <t>Бизнес центр</t>
        </is>
      </c>
      <c r="G3105" s="130" t="inlineStr">
        <is>
          <t>Бизнес центр</t>
        </is>
      </c>
      <c r="H3105" s="131" t="n">
        <v>6614</v>
      </c>
      <c r="I3105" s="637" t="inlineStr">
        <is>
          <t>1-й километр</t>
        </is>
      </c>
      <c r="J3105" s="637" t="inlineStr">
        <is>
          <t>MSK_BC_1_y_kilometr</t>
        </is>
      </c>
      <c r="K3105" s="640" t="n">
        <v>1</v>
      </c>
      <c r="L3105" s="640" t="n">
        <v>1</v>
      </c>
      <c r="M3105" s="623" t="inlineStr">
        <is>
          <t>Samsung 43" вертикальный</t>
        </is>
      </c>
      <c r="N3105" s="640" t="n"/>
      <c r="O3105" s="640">
        <f>IF(AND(N3105=1,L3105=1),K3105,"")</f>
        <v/>
      </c>
      <c r="P3105" s="642" t="inlineStr">
        <is>
          <t>Москва, Рублёво-Успенское шоссе, 1-й километр, д. 1</t>
        </is>
      </c>
      <c r="Q3105" s="640" t="inlineStr">
        <is>
          <t>55.765086</t>
        </is>
      </c>
      <c r="R3105" s="494" t="inlineStr">
        <is>
          <t>37.364107</t>
        </is>
      </c>
      <c r="S3105" s="387">
        <f>'Цены|Скидки'!$D$25</f>
        <v/>
      </c>
      <c r="T3105" s="387">
        <f>IF(N3105=1,S3105*O3105,0)</f>
        <v/>
      </c>
      <c r="Z3105" s="1" t="n"/>
    </row>
    <row r="3106" hidden="1" ht="16.05" customHeight="1">
      <c r="A3106" s="125" t="n">
        <v>3784</v>
      </c>
      <c r="B3106" s="125" t="inlineStr">
        <is>
          <t>WF</t>
        </is>
      </c>
      <c r="C3106" s="130" t="inlineStr">
        <is>
          <t>Москва</t>
        </is>
      </c>
      <c r="D3106" s="130" t="inlineStr">
        <is>
          <t>Москва</t>
        </is>
      </c>
      <c r="E3106" s="130" t="inlineStr">
        <is>
          <t>B+</t>
        </is>
      </c>
      <c r="F3106" s="130" t="inlineStr">
        <is>
          <t>Бизнес центр</t>
        </is>
      </c>
      <c r="G3106" s="130" t="inlineStr">
        <is>
          <t>Бизнес центр</t>
        </is>
      </c>
      <c r="H3106" s="131" t="n">
        <v>12400</v>
      </c>
      <c r="I3106" s="637" t="inlineStr">
        <is>
          <t>Башни Рязанка</t>
        </is>
      </c>
      <c r="J3106" s="637" t="inlineStr">
        <is>
          <t>MSK_BC_Bashni_Ryazanka</t>
        </is>
      </c>
      <c r="K3106" s="640" t="n">
        <v>2</v>
      </c>
      <c r="L3106" s="640" t="n">
        <v>1</v>
      </c>
      <c r="M3106" s="623" t="inlineStr">
        <is>
          <t>Samsung 32" + 43" вертикальный</t>
        </is>
      </c>
      <c r="N3106" s="640" t="n"/>
      <c r="O3106" s="640">
        <f>IF(AND(N3106=1,L3106=1),K3106,"")</f>
        <v/>
      </c>
      <c r="P3106" s="642" t="inlineStr">
        <is>
          <t>Москва, Рязанский проспект, д. 75, к. 4</t>
        </is>
      </c>
      <c r="Q3106" s="640" t="inlineStr">
        <is>
          <t>55.718293</t>
        </is>
      </c>
      <c r="R3106" s="494" t="inlineStr">
        <is>
          <t>37.792288</t>
        </is>
      </c>
      <c r="S3106" s="387">
        <f>'Цены|Скидки'!$D$25</f>
        <v/>
      </c>
      <c r="T3106" s="387">
        <f>IF(N3106=1,S3106*O3106,0)</f>
        <v/>
      </c>
      <c r="Z3106" s="1" t="n"/>
    </row>
    <row r="3107" hidden="1" ht="16.05" customHeight="1">
      <c r="A3107" s="125" t="n">
        <v>3785</v>
      </c>
      <c r="B3107" s="125" t="inlineStr">
        <is>
          <t>WF</t>
        </is>
      </c>
      <c r="C3107" s="130" t="inlineStr">
        <is>
          <t>Москва</t>
        </is>
      </c>
      <c r="D3107" s="130" t="inlineStr">
        <is>
          <t>Москва</t>
        </is>
      </c>
      <c r="E3107" s="130" t="inlineStr">
        <is>
          <t>B</t>
        </is>
      </c>
      <c r="F3107" s="130" t="inlineStr">
        <is>
          <t>Бизнес центр</t>
        </is>
      </c>
      <c r="G3107" s="130" t="inlineStr">
        <is>
          <t>Бизнес центр</t>
        </is>
      </c>
      <c r="H3107" s="131" t="n">
        <v>19425</v>
      </c>
      <c r="I3107" s="637" t="inlineStr">
        <is>
          <t xml:space="preserve">Вавилон </t>
        </is>
      </c>
      <c r="J3107" s="637" t="inlineStr">
        <is>
          <t>MSK_BC_Vavilon_</t>
        </is>
      </c>
      <c r="K3107" s="640" t="n">
        <v>3</v>
      </c>
      <c r="L3107" s="640" t="n">
        <v>1</v>
      </c>
      <c r="M3107" s="623" t="inlineStr">
        <is>
          <t>Samsung 43" вертикальный</t>
        </is>
      </c>
      <c r="N3107" s="640" t="n"/>
      <c r="O3107" s="640">
        <f>IF(AND(N3107=1,L3107=1),K3107,"")</f>
        <v/>
      </c>
      <c r="P3107" s="642" t="inlineStr">
        <is>
          <t xml:space="preserve">Москва, Вавилова ул., д. 69/75 </t>
        </is>
      </c>
      <c r="Q3107" s="640" t="inlineStr">
        <is>
          <t>55.68235</t>
        </is>
      </c>
      <c r="R3107" s="494" t="inlineStr">
        <is>
          <t>37.550977</t>
        </is>
      </c>
      <c r="S3107" s="387">
        <f>'Цены|Скидки'!$D$25</f>
        <v/>
      </c>
      <c r="T3107" s="387">
        <f>IF(N3107=1,S3107*O3107,0)</f>
        <v/>
      </c>
      <c r="Z3107" s="1" t="n"/>
    </row>
    <row r="3108" hidden="1" ht="16.05" customHeight="1">
      <c r="A3108" s="125" t="n">
        <v>3786</v>
      </c>
      <c r="B3108" s="125" t="inlineStr">
        <is>
          <t>WF</t>
        </is>
      </c>
      <c r="C3108" s="130" t="inlineStr">
        <is>
          <t>Москва</t>
        </is>
      </c>
      <c r="D3108" s="130" t="inlineStr">
        <is>
          <t>Москва</t>
        </is>
      </c>
      <c r="E3108" s="130" t="inlineStr">
        <is>
          <t>A</t>
        </is>
      </c>
      <c r="F3108" s="130" t="inlineStr">
        <is>
          <t>Бизнес центр</t>
        </is>
      </c>
      <c r="G3108" s="130" t="inlineStr">
        <is>
          <t>Бизнес центр</t>
        </is>
      </c>
      <c r="H3108" s="131" t="n">
        <v>18900</v>
      </c>
      <c r="I3108" s="637" t="inlineStr">
        <is>
          <t>Хамелеон</t>
        </is>
      </c>
      <c r="J3108" s="637" t="inlineStr">
        <is>
          <t>MSK_BC_Khameleon</t>
        </is>
      </c>
      <c r="K3108" s="640" t="n">
        <v>3</v>
      </c>
      <c r="L3108" s="640" t="n">
        <v>1</v>
      </c>
      <c r="M3108" s="623" t="inlineStr">
        <is>
          <t>Samsung 32" вертикальный</t>
        </is>
      </c>
      <c r="N3108" s="640" t="n"/>
      <c r="O3108" s="640">
        <f>IF(AND(N3108=1,L3108=1),K3108,"")</f>
        <v/>
      </c>
      <c r="P3108" s="642" t="inlineStr">
        <is>
          <t>Москва, Рязанский проспект д. 10, стр. 18</t>
        </is>
      </c>
      <c r="Q3108" s="640" t="inlineStr">
        <is>
          <t>55.725329</t>
        </is>
      </c>
      <c r="R3108" s="494" t="inlineStr">
        <is>
          <t>37.760073</t>
        </is>
      </c>
      <c r="S3108" s="387">
        <f>'Цены|Скидки'!$D$25</f>
        <v/>
      </c>
      <c r="T3108" s="387">
        <f>IF(N3108=1,S3108*O3108,0)</f>
        <v/>
      </c>
      <c r="Z3108" s="1" t="n"/>
    </row>
    <row r="3109" hidden="1" ht="16.05" customHeight="1">
      <c r="A3109" s="125" t="n">
        <v>3787</v>
      </c>
      <c r="B3109" s="125" t="inlineStr">
        <is>
          <t>WF</t>
        </is>
      </c>
      <c r="C3109" s="130" t="inlineStr">
        <is>
          <t>Москва</t>
        </is>
      </c>
      <c r="D3109" s="130" t="inlineStr">
        <is>
          <t>Москва</t>
        </is>
      </c>
      <c r="E3109" s="130" t="inlineStr">
        <is>
          <t>B+</t>
        </is>
      </c>
      <c r="F3109" s="130" t="inlineStr">
        <is>
          <t>Бизнес центр</t>
        </is>
      </c>
      <c r="G3109" s="130" t="inlineStr">
        <is>
          <t>Бизнес центр</t>
        </is>
      </c>
      <c r="H3109" s="131" t="n">
        <v>5481</v>
      </c>
      <c r="I3109" s="637" t="inlineStr">
        <is>
          <t>Джоуль</t>
        </is>
      </c>
      <c r="J3109" s="637" t="inlineStr">
        <is>
          <t>MSK_BC_Dzhoul</t>
        </is>
      </c>
      <c r="K3109" s="640" t="n">
        <v>1</v>
      </c>
      <c r="L3109" s="640" t="n">
        <v>1</v>
      </c>
      <c r="M3109" s="623" t="inlineStr">
        <is>
          <t>Samsung 43" вертикальный</t>
        </is>
      </c>
      <c r="N3109" s="640" t="n"/>
      <c r="O3109" s="640">
        <f>IF(AND(N3109=1,L3109=1),K3109,"")</f>
        <v/>
      </c>
      <c r="P3109" s="642" t="inlineStr">
        <is>
          <t>Москва, Рязанский проспект д. 10, стр. 2</t>
        </is>
      </c>
      <c r="Q3109" s="640" t="inlineStr">
        <is>
          <t>55.726401</t>
        </is>
      </c>
      <c r="R3109" s="494" t="inlineStr">
        <is>
          <t>37.758358</t>
        </is>
      </c>
      <c r="S3109" s="387">
        <f>'Цены|Скидки'!$D$25</f>
        <v/>
      </c>
      <c r="T3109" s="387">
        <f>IF(N3109=1,S3109*O3109,0)</f>
        <v/>
      </c>
      <c r="Z3109" s="1" t="n"/>
    </row>
    <row r="3110" hidden="1" ht="16.05" customHeight="1">
      <c r="A3110" s="125" t="n">
        <v>3789</v>
      </c>
      <c r="B3110" s="125" t="inlineStr">
        <is>
          <t>WF</t>
        </is>
      </c>
      <c r="C3110" s="130" t="inlineStr">
        <is>
          <t>Москва</t>
        </is>
      </c>
      <c r="D3110" s="130" t="inlineStr">
        <is>
          <t>Москва</t>
        </is>
      </c>
      <c r="E3110" s="130" t="inlineStr">
        <is>
          <t>A</t>
        </is>
      </c>
      <c r="F3110" s="130" t="inlineStr">
        <is>
          <t>Бизнес центр</t>
        </is>
      </c>
      <c r="G3110" s="130" t="inlineStr">
        <is>
          <t>Бизнес центр</t>
        </is>
      </c>
      <c r="H3110" s="131" t="n">
        <v>8116</v>
      </c>
      <c r="I3110" s="637" t="inlineStr">
        <is>
          <t>на Барабанном 3</t>
        </is>
      </c>
      <c r="J3110" s="637" t="inlineStr">
        <is>
          <t>MSK_BC_na_Barabannom_3</t>
        </is>
      </c>
      <c r="K3110" s="640" t="n">
        <v>2</v>
      </c>
      <c r="L3110" s="640" t="n">
        <v>1</v>
      </c>
      <c r="M3110" s="623" t="inlineStr">
        <is>
          <t>Samsung 32" вертикальный</t>
        </is>
      </c>
      <c r="N3110" s="640" t="n"/>
      <c r="O3110" s="640">
        <f>IF(AND(N3110=1,L3110=1),K3110,"")</f>
        <v/>
      </c>
      <c r="P3110" s="642" t="inlineStr">
        <is>
          <t>Москва, Барабанный пер., д. 3</t>
        </is>
      </c>
      <c r="Q3110" s="640" t="inlineStr">
        <is>
          <t>55.783139</t>
        </is>
      </c>
      <c r="R3110" s="494" t="inlineStr">
        <is>
          <t>37.707673</t>
        </is>
      </c>
      <c r="S3110" s="387">
        <f>'Цены|Скидки'!$D$25</f>
        <v/>
      </c>
      <c r="T3110" s="387">
        <f>IF(N3110=1,S3110*O3110,0)</f>
        <v/>
      </c>
      <c r="Z3110" s="1" t="n"/>
    </row>
    <row r="3111" hidden="1" ht="16.05" customHeight="1">
      <c r="A3111" s="125" t="n">
        <v>3788</v>
      </c>
      <c r="B3111" s="125" t="inlineStr">
        <is>
          <t>WF</t>
        </is>
      </c>
      <c r="C3111" s="130" t="inlineStr">
        <is>
          <t>Москва</t>
        </is>
      </c>
      <c r="D3111" s="130" t="inlineStr">
        <is>
          <t>Москва</t>
        </is>
      </c>
      <c r="E3111" s="130" t="inlineStr">
        <is>
          <t>B+</t>
        </is>
      </c>
      <c r="F3111" s="130" t="inlineStr">
        <is>
          <t>Бизнес центр</t>
        </is>
      </c>
      <c r="G3111" s="130" t="inlineStr">
        <is>
          <t>Бизнес центр</t>
        </is>
      </c>
      <c r="H3111" s="131" t="n">
        <v>81633</v>
      </c>
      <c r="I3111" s="637" t="inlineStr">
        <is>
          <t>Московский шелк</t>
        </is>
      </c>
      <c r="J3111" s="637" t="inlineStr">
        <is>
          <t>MSK_BC_Moskovskiy_shelk</t>
        </is>
      </c>
      <c r="K3111" s="640" t="n">
        <v>5</v>
      </c>
      <c r="L3111" s="640" t="n">
        <v>0</v>
      </c>
      <c r="M3111" s="640" t="inlineStr">
        <is>
          <t>Samsung 43" вертикальный</t>
        </is>
      </c>
      <c r="N3111" s="640" t="n"/>
      <c r="O3111" s="640">
        <f>IF(AND(N3111=1,L3111=1),K3111,"")</f>
        <v/>
      </c>
      <c r="P3111" s="642" t="inlineStr">
        <is>
          <t>Большой Саввинский пер., д 12, стр 16</t>
        </is>
      </c>
      <c r="Q3111" s="640" t="n">
        <v>55.731242</v>
      </c>
      <c r="R3111" s="422" t="n">
        <v>37.561086</v>
      </c>
      <c r="S3111" s="387">
        <f>'Цены|Скидки'!$D$25</f>
        <v/>
      </c>
      <c r="T3111" s="387">
        <f>IF(N3111=1,S3111*O3111,0)</f>
        <v/>
      </c>
      <c r="X3111" s="1" t="n"/>
      <c r="Y3111" s="1" t="n"/>
      <c r="Z3111" s="1" t="n"/>
    </row>
    <row r="3112" hidden="1" ht="16.05" customHeight="1">
      <c r="A3112" s="125" t="n">
        <v>3790</v>
      </c>
      <c r="B3112" s="125" t="inlineStr">
        <is>
          <t>WF</t>
        </is>
      </c>
      <c r="C3112" s="130" t="inlineStr">
        <is>
          <t>Москва</t>
        </is>
      </c>
      <c r="D3112" s="130" t="inlineStr">
        <is>
          <t>Москва</t>
        </is>
      </c>
      <c r="E3112" s="130" t="inlineStr">
        <is>
          <t>B+</t>
        </is>
      </c>
      <c r="F3112" s="130" t="inlineStr">
        <is>
          <t>Бизнес центр</t>
        </is>
      </c>
      <c r="G3112" s="130" t="inlineStr">
        <is>
          <t>Бизнес центр</t>
        </is>
      </c>
      <c r="H3112" s="131" t="n">
        <v>13433</v>
      </c>
      <c r="I3112" s="637" t="inlineStr">
        <is>
          <t>Лубянский</t>
        </is>
      </c>
      <c r="J3112" s="637" t="inlineStr">
        <is>
          <t>MSK_BC_Lubyanskiy</t>
        </is>
      </c>
      <c r="K3112" s="640" t="n">
        <v>1</v>
      </c>
      <c r="L3112" s="640" t="n">
        <v>1</v>
      </c>
      <c r="M3112" s="623" t="inlineStr">
        <is>
          <t>Samsung 43" вертикальный</t>
        </is>
      </c>
      <c r="N3112" s="640" t="n"/>
      <c r="O3112" s="640">
        <f>IF(AND(N3112=1,L3112=1),K3112,"")</f>
        <v/>
      </c>
      <c r="P3112" s="642" t="inlineStr">
        <is>
          <t>Москва, Лубянский пр-д, д. 15, стр.2</t>
        </is>
      </c>
      <c r="Q3112" s="640" t="inlineStr">
        <is>
          <t>55.756817</t>
        </is>
      </c>
      <c r="R3112" s="494" t="inlineStr">
        <is>
          <t>37.632305</t>
        </is>
      </c>
      <c r="S3112" s="387">
        <f>'Цены|Скидки'!$D$25</f>
        <v/>
      </c>
      <c r="T3112" s="387">
        <f>IF(N3112=1,S3112*O3112,0)</f>
        <v/>
      </c>
      <c r="Z3112" s="1" t="n"/>
    </row>
    <row r="3113" hidden="1" ht="16.05" customHeight="1">
      <c r="A3113" s="125" t="n">
        <v>3791</v>
      </c>
      <c r="B3113" s="125" t="inlineStr">
        <is>
          <t>WF</t>
        </is>
      </c>
      <c r="C3113" s="130" t="inlineStr">
        <is>
          <t>Москва</t>
        </is>
      </c>
      <c r="D3113" s="130" t="inlineStr">
        <is>
          <t>Москва</t>
        </is>
      </c>
      <c r="E3113" s="130" t="inlineStr">
        <is>
          <t>B+</t>
        </is>
      </c>
      <c r="F3113" s="130" t="inlineStr">
        <is>
          <t>Бизнес центр</t>
        </is>
      </c>
      <c r="G3113" s="130" t="inlineStr">
        <is>
          <t>Бизнес центр</t>
        </is>
      </c>
      <c r="H3113" s="131" t="n">
        <v>71550</v>
      </c>
      <c r="I3113" s="637" t="inlineStr">
        <is>
          <t>Сизонс</t>
        </is>
      </c>
      <c r="J3113" s="637" t="inlineStr">
        <is>
          <t>MSK_BC_Sizons</t>
        </is>
      </c>
      <c r="K3113" s="640" t="n">
        <v>1</v>
      </c>
      <c r="L3113" s="640" t="n">
        <v>1</v>
      </c>
      <c r="M3113" s="623" t="inlineStr">
        <is>
          <t>Samsung 55" вертикальный</t>
        </is>
      </c>
      <c r="N3113" s="640" t="n"/>
      <c r="O3113" s="640">
        <f>IF(AND(N3113=1,L3113=1),K3113,"")</f>
        <v/>
      </c>
      <c r="P3113" s="642" t="inlineStr">
        <is>
          <t>Москва, Новоостаповская ул., д. 6Б</t>
        </is>
      </c>
      <c r="Q3113" s="640" t="inlineStr">
        <is>
          <t>55.719789</t>
        </is>
      </c>
      <c r="R3113" s="494" t="inlineStr">
        <is>
          <t>37.670133</t>
        </is>
      </c>
      <c r="S3113" s="387">
        <f>'Цены|Скидки'!$D$25</f>
        <v/>
      </c>
      <c r="T3113" s="387">
        <f>IF(N3113=1,S3113*O3113,0)</f>
        <v/>
      </c>
      <c r="Z3113" s="1" t="n"/>
    </row>
    <row r="3114" hidden="1" ht="16.05" customHeight="1">
      <c r="A3114" s="125" t="n">
        <v>3793</v>
      </c>
      <c r="B3114" s="125" t="inlineStr">
        <is>
          <t>WF</t>
        </is>
      </c>
      <c r="C3114" s="130" t="inlineStr">
        <is>
          <t>Москва</t>
        </is>
      </c>
      <c r="D3114" s="130" t="inlineStr">
        <is>
          <t>Москва</t>
        </is>
      </c>
      <c r="E3114" s="130" t="inlineStr">
        <is>
          <t>B+</t>
        </is>
      </c>
      <c r="F3114" s="130" t="inlineStr">
        <is>
          <t>Бизнес центр</t>
        </is>
      </c>
      <c r="G3114" s="130" t="inlineStr">
        <is>
          <t>Бизнес центр</t>
        </is>
      </c>
      <c r="H3114" s="131" t="n">
        <v>18372</v>
      </c>
      <c r="I3114" s="637" t="inlineStr">
        <is>
          <t>Альтерком</t>
        </is>
      </c>
      <c r="J3114" s="637" t="inlineStr">
        <is>
          <t>MSK_BC_Alterkom</t>
        </is>
      </c>
      <c r="K3114" s="640" t="n">
        <v>3</v>
      </c>
      <c r="L3114" s="640" t="n">
        <v>1</v>
      </c>
      <c r="M3114" s="623" t="inlineStr">
        <is>
          <t>Samsung 32" вертикальный</t>
        </is>
      </c>
      <c r="N3114" s="640" t="n"/>
      <c r="O3114" s="640">
        <f>IF(AND(N3114=1,L3114=1),K3114,"")</f>
        <v/>
      </c>
      <c r="P3114" s="642" t="inlineStr">
        <is>
          <t>Москва, Текстильщиков 8-я ул., д. 11, к2</t>
        </is>
      </c>
      <c r="Q3114" s="640" t="inlineStr">
        <is>
          <t>55.703251</t>
        </is>
      </c>
      <c r="R3114" s="494" t="inlineStr">
        <is>
          <t>37.744612</t>
        </is>
      </c>
      <c r="S3114" s="387">
        <f>'Цены|Скидки'!$D$25</f>
        <v/>
      </c>
      <c r="T3114" s="387">
        <f>IF(N3114=1,S3114*O3114,0)</f>
        <v/>
      </c>
      <c r="Z3114" s="1" t="n"/>
    </row>
    <row r="3115" hidden="1" ht="16.05" customHeight="1">
      <c r="A3115" s="125" t="n">
        <v>3792</v>
      </c>
      <c r="B3115" s="125" t="inlineStr">
        <is>
          <t>WF</t>
        </is>
      </c>
      <c r="C3115" s="130" t="inlineStr">
        <is>
          <t>Москва</t>
        </is>
      </c>
      <c r="D3115" s="130" t="inlineStr">
        <is>
          <t>Москва</t>
        </is>
      </c>
      <c r="E3115" s="130" t="inlineStr">
        <is>
          <t>B+</t>
        </is>
      </c>
      <c r="F3115" s="130" t="inlineStr">
        <is>
          <t>Бизнес центр</t>
        </is>
      </c>
      <c r="G3115" s="130" t="inlineStr">
        <is>
          <t>Бизнес центр</t>
        </is>
      </c>
      <c r="H3115" s="131" t="n">
        <v>2500</v>
      </c>
      <c r="I3115" s="637" t="inlineStr">
        <is>
          <t>Покровка М</t>
        </is>
      </c>
      <c r="J3115" s="402" t="inlineStr">
        <is>
          <t>MSK_BC_Pokrovka_M</t>
        </is>
      </c>
      <c r="K3115" s="640" t="n">
        <v>1</v>
      </c>
      <c r="L3115" s="640" t="n">
        <v>0</v>
      </c>
      <c r="M3115" s="640" t="inlineStr">
        <is>
          <t>ФОТО</t>
        </is>
      </c>
      <c r="N3115" s="640" t="n"/>
      <c r="O3115" s="640">
        <f>IF(AND(N3115=1,L3115=1),K3115,"")</f>
        <v/>
      </c>
      <c r="P3115" s="642" t="inlineStr">
        <is>
          <t>Казарменный пер., д. 6/1</t>
        </is>
      </c>
      <c r="Q3115" s="640" t="n">
        <v>55.756462</v>
      </c>
      <c r="R3115" s="422" t="n">
        <v>37.650262</v>
      </c>
      <c r="S3115" s="387">
        <f>'Цены|Скидки'!$D$25</f>
        <v/>
      </c>
      <c r="T3115" s="387">
        <f>IF(N3115=1,S3115*O3115,0)</f>
        <v/>
      </c>
      <c r="X3115" s="1" t="n"/>
      <c r="Y3115" s="1" t="n"/>
      <c r="Z3115" s="1" t="n"/>
    </row>
    <row r="3116" hidden="1" ht="16.05" customHeight="1">
      <c r="A3116" s="125" t="n">
        <v>3794</v>
      </c>
      <c r="B3116" s="125" t="inlineStr">
        <is>
          <t>WF</t>
        </is>
      </c>
      <c r="C3116" s="130" t="inlineStr">
        <is>
          <t>Москва</t>
        </is>
      </c>
      <c r="D3116" s="130" t="inlineStr">
        <is>
          <t>Москва</t>
        </is>
      </c>
      <c r="E3116" s="130" t="inlineStr">
        <is>
          <t>B+</t>
        </is>
      </c>
      <c r="F3116" s="130" t="inlineStr">
        <is>
          <t>Бизнес центр</t>
        </is>
      </c>
      <c r="G3116" s="130" t="inlineStr">
        <is>
          <t>Бизнес центр</t>
        </is>
      </c>
      <c r="H3116" s="131" t="n">
        <v>3513</v>
      </c>
      <c r="I3116" s="637" t="inlineStr">
        <is>
          <t>Имидж</t>
        </is>
      </c>
      <c r="J3116" s="637" t="inlineStr">
        <is>
          <t>MSK_BC_Imidzh</t>
        </is>
      </c>
      <c r="K3116" s="640" t="n">
        <v>2</v>
      </c>
      <c r="L3116" s="640" t="n">
        <v>1</v>
      </c>
      <c r="M3116" s="623" t="inlineStr">
        <is>
          <t>Samsung 43" вертикальный</t>
        </is>
      </c>
      <c r="N3116" s="640" t="n"/>
      <c r="O3116" s="640">
        <f>IF(AND(N3116=1,L3116=1),K3116,"")</f>
        <v/>
      </c>
      <c r="P3116" s="642" t="inlineStr">
        <is>
          <t>Москва, г. Одинцово, Можайское шоссе, д. 58 а</t>
        </is>
      </c>
      <c r="Q3116" s="640" t="inlineStr">
        <is>
          <t>55.680331</t>
        </is>
      </c>
      <c r="R3116" s="494" t="inlineStr">
        <is>
          <t>37.289208</t>
        </is>
      </c>
      <c r="S3116" s="387">
        <f>'Цены|Скидки'!$D$25</f>
        <v/>
      </c>
      <c r="T3116" s="387">
        <f>IF(N3116=1,S3116*O3116,0)</f>
        <v/>
      </c>
      <c r="Z3116" s="1" t="n"/>
    </row>
    <row r="3117" hidden="1" ht="16.05" customHeight="1">
      <c r="A3117" s="125" t="n">
        <v>3795</v>
      </c>
      <c r="B3117" s="125" t="inlineStr">
        <is>
          <t>WF</t>
        </is>
      </c>
      <c r="C3117" s="130" t="inlineStr">
        <is>
          <t>Москва</t>
        </is>
      </c>
      <c r="D3117" s="130" t="inlineStr">
        <is>
          <t>Москва</t>
        </is>
      </c>
      <c r="E3117" s="130" t="inlineStr">
        <is>
          <t>B+</t>
        </is>
      </c>
      <c r="F3117" s="130" t="inlineStr">
        <is>
          <t>Бизнес центр</t>
        </is>
      </c>
      <c r="G3117" s="130" t="inlineStr">
        <is>
          <t>Бизнес центр</t>
        </is>
      </c>
      <c r="H3117" s="131" t="n">
        <v>3370</v>
      </c>
      <c r="I3117" s="637" t="inlineStr">
        <is>
          <t>Алькор</t>
        </is>
      </c>
      <c r="J3117" s="637" t="inlineStr">
        <is>
          <t>MSK_BC_Alkor</t>
        </is>
      </c>
      <c r="K3117" s="640" t="n">
        <v>2</v>
      </c>
      <c r="L3117" s="640" t="n">
        <v>1</v>
      </c>
      <c r="M3117" s="623" t="inlineStr">
        <is>
          <t>Samsung 43" вертикальный</t>
        </is>
      </c>
      <c r="N3117" s="640" t="n"/>
      <c r="O3117" s="640">
        <f>IF(AND(N3117=1,L3117=1),K3117,"")</f>
        <v/>
      </c>
      <c r="P3117" s="642" t="inlineStr">
        <is>
          <t>Москва, г. Одинцово, Можайское шоссе, д. 80 б, 2100</t>
        </is>
      </c>
      <c r="Q3117" s="640" t="inlineStr">
        <is>
          <t>55.683942</t>
        </is>
      </c>
      <c r="R3117" s="494" t="inlineStr">
        <is>
          <t>37.298203</t>
        </is>
      </c>
      <c r="S3117" s="387">
        <f>'Цены|Скидки'!$D$25</f>
        <v/>
      </c>
      <c r="T3117" s="387">
        <f>IF(N3117=1,S3117*O3117,0)</f>
        <v/>
      </c>
      <c r="Z3117" s="1" t="n"/>
    </row>
    <row r="3118" hidden="1" ht="16.05" customHeight="1">
      <c r="A3118" s="125" t="n">
        <v>3796</v>
      </c>
      <c r="B3118" s="125" t="inlineStr">
        <is>
          <t>WF</t>
        </is>
      </c>
      <c r="C3118" s="130" t="inlineStr">
        <is>
          <t>Москва</t>
        </is>
      </c>
      <c r="D3118" s="130" t="inlineStr">
        <is>
          <t>Москва</t>
        </is>
      </c>
      <c r="E3118" s="130" t="inlineStr">
        <is>
          <t>A</t>
        </is>
      </c>
      <c r="F3118" s="130" t="inlineStr">
        <is>
          <t>Бизнес центр</t>
        </is>
      </c>
      <c r="G3118" s="130" t="inlineStr">
        <is>
          <t>Бизнес центр</t>
        </is>
      </c>
      <c r="H3118" s="131" t="n">
        <v>28147</v>
      </c>
      <c r="I3118" s="637" t="inlineStr">
        <is>
          <t>Кантри Парк</t>
        </is>
      </c>
      <c r="J3118" s="637" t="inlineStr">
        <is>
          <t>MSK_BC_Kantri_Park</t>
        </is>
      </c>
      <c r="K3118" s="640" t="n">
        <v>1</v>
      </c>
      <c r="L3118" s="640" t="n">
        <v>1</v>
      </c>
      <c r="M3118" s="623" t="inlineStr">
        <is>
          <t>Samsung 43" вертикальный</t>
        </is>
      </c>
      <c r="N3118" s="640" t="n"/>
      <c r="O3118" s="640">
        <f>IF(AND(N3118=1,L3118=1),K3118,"")</f>
        <v/>
      </c>
      <c r="P3118" s="642" t="inlineStr">
        <is>
          <t>Москва, г. Химки, Панфилова ул., д.21/1</t>
        </is>
      </c>
      <c r="Q3118" s="640" t="inlineStr">
        <is>
          <t>55.880122</t>
        </is>
      </c>
      <c r="R3118" s="494" t="inlineStr">
        <is>
          <t>37.433374</t>
        </is>
      </c>
      <c r="S3118" s="387">
        <f>'Цены|Скидки'!$D$25</f>
        <v/>
      </c>
      <c r="T3118" s="387">
        <f>IF(N3118=1,S3118*O3118,0)</f>
        <v/>
      </c>
      <c r="Z3118" s="1" t="n"/>
    </row>
    <row r="3119" hidden="1" ht="16.05" customHeight="1">
      <c r="A3119" s="125" t="n">
        <v>3802</v>
      </c>
      <c r="B3119" s="125" t="inlineStr">
        <is>
          <t>WF</t>
        </is>
      </c>
      <c r="C3119" s="130" t="inlineStr">
        <is>
          <t>Москва</t>
        </is>
      </c>
      <c r="D3119" s="130" t="inlineStr">
        <is>
          <t>Москва</t>
        </is>
      </c>
      <c r="E3119" s="130" t="inlineStr">
        <is>
          <t>B</t>
        </is>
      </c>
      <c r="F3119" s="130" t="inlineStr">
        <is>
          <t>Бизнес центр</t>
        </is>
      </c>
      <c r="G3119" s="130" t="inlineStr">
        <is>
          <t>Бизнес центр</t>
        </is>
      </c>
      <c r="H3119" s="131" t="n">
        <v>77500</v>
      </c>
      <c r="I3119" s="637" t="inlineStr">
        <is>
          <t>Гефест</t>
        </is>
      </c>
      <c r="J3119" s="637" t="inlineStr">
        <is>
          <t>MSK_BC_Gefest</t>
        </is>
      </c>
      <c r="K3119" s="640" t="n">
        <v>2</v>
      </c>
      <c r="L3119" s="640" t="n">
        <v>1</v>
      </c>
      <c r="M3119" s="623" t="inlineStr">
        <is>
          <t>Samsung 32" вертикальный</t>
        </is>
      </c>
      <c r="N3119" s="640" t="n"/>
      <c r="O3119" s="640">
        <f>IF(AND(N3119=1,L3119=1),K3119,"")</f>
        <v/>
      </c>
      <c r="P3119" s="642" t="inlineStr">
        <is>
          <t>Москва, Дмитровское ш., 157, стр. 9</t>
        </is>
      </c>
      <c r="Q3119" s="640" t="inlineStr">
        <is>
          <t>55.900658</t>
        </is>
      </c>
      <c r="R3119" s="494" t="inlineStr">
        <is>
          <t>37.539635</t>
        </is>
      </c>
      <c r="S3119" s="387">
        <f>'Цены|Скидки'!$D$25</f>
        <v/>
      </c>
      <c r="T3119" s="387">
        <f>IF(N3119=1,S3119*O3119,0)</f>
        <v/>
      </c>
      <c r="Z3119" s="1" t="n"/>
    </row>
    <row r="3120" hidden="1" ht="16.05" customHeight="1">
      <c r="A3120" s="125" t="n">
        <v>3797</v>
      </c>
      <c r="B3120" s="125" t="inlineStr">
        <is>
          <t>WF</t>
        </is>
      </c>
      <c r="C3120" s="130" t="inlineStr">
        <is>
          <t>Москва</t>
        </is>
      </c>
      <c r="D3120" s="130" t="inlineStr">
        <is>
          <t>Москва</t>
        </is>
      </c>
      <c r="E3120" s="130" t="inlineStr">
        <is>
          <t>B+</t>
        </is>
      </c>
      <c r="F3120" s="130" t="inlineStr">
        <is>
          <t>Бизнес центр</t>
        </is>
      </c>
      <c r="G3120" s="130" t="inlineStr">
        <is>
          <t>Бизнес центр</t>
        </is>
      </c>
      <c r="H3120" s="131" t="n">
        <v>2893</v>
      </c>
      <c r="I3120" s="637" t="inlineStr">
        <is>
          <t>Персона Грата</t>
        </is>
      </c>
      <c r="J3120" s="637" t="inlineStr">
        <is>
          <t>MSK_BC_Persona_Grata</t>
        </is>
      </c>
      <c r="K3120" s="640" t="n">
        <v>1</v>
      </c>
      <c r="L3120" s="640" t="n">
        <v>0</v>
      </c>
      <c r="M3120" s="640" t="inlineStr">
        <is>
          <t>Samsung 32" + 43" вертикальный</t>
        </is>
      </c>
      <c r="N3120" s="640" t="n"/>
      <c r="O3120" s="640">
        <f>IF(AND(N3120=1,L3120=1),K3120,"")</f>
        <v/>
      </c>
      <c r="P3120" s="642" t="inlineStr">
        <is>
          <t>Андроновское ш., 26, стр. 5</t>
        </is>
      </c>
      <c r="Q3120" s="640" t="inlineStr">
        <is>
          <t>55.738409</t>
        </is>
      </c>
      <c r="R3120" s="422" t="inlineStr">
        <is>
          <t>37.730401</t>
        </is>
      </c>
      <c r="S3120" s="387">
        <f>'Цены|Скидки'!$D$25</f>
        <v/>
      </c>
      <c r="T3120" s="387">
        <f>IF(N3120=1,S3120*O3120,0)</f>
        <v/>
      </c>
      <c r="X3120" s="1" t="n"/>
      <c r="Y3120" s="1" t="n"/>
      <c r="Z3120" s="1" t="n"/>
    </row>
    <row r="3121" hidden="1" ht="16.05" customHeight="1">
      <c r="A3121" s="125" t="n">
        <v>3798</v>
      </c>
      <c r="B3121" s="125" t="inlineStr">
        <is>
          <t>WF</t>
        </is>
      </c>
      <c r="C3121" s="130" t="inlineStr">
        <is>
          <t>Москва</t>
        </is>
      </c>
      <c r="D3121" s="130" t="inlineStr">
        <is>
          <t>Москва</t>
        </is>
      </c>
      <c r="E3121" s="130" t="inlineStr">
        <is>
          <t>B+</t>
        </is>
      </c>
      <c r="F3121" s="130" t="inlineStr">
        <is>
          <t>Бизнес центр</t>
        </is>
      </c>
      <c r="G3121" s="130" t="inlineStr">
        <is>
          <t>Бизнес центр</t>
        </is>
      </c>
      <c r="H3121" s="131" t="n">
        <v>56833</v>
      </c>
      <c r="I3121" s="637" t="inlineStr">
        <is>
          <t>Норд Хаус</t>
        </is>
      </c>
      <c r="J3121" s="637" t="inlineStr">
        <is>
          <t>MSK_BC_Nord_Khaus</t>
        </is>
      </c>
      <c r="K3121" s="640" t="n">
        <v>2</v>
      </c>
      <c r="L3121" s="640" t="n">
        <v>0</v>
      </c>
      <c r="M3121" s="640" t="inlineStr">
        <is>
          <t>Samsung 32" вертикальный</t>
        </is>
      </c>
      <c r="N3121" s="640" t="n"/>
      <c r="O3121" s="640">
        <f>IF(AND(N3121=1,L3121=1),K3121,"")</f>
        <v/>
      </c>
      <c r="P3121" s="642" t="inlineStr">
        <is>
          <t>Дмитровское ш., 100, стр. 2</t>
        </is>
      </c>
      <c r="Q3121" s="640" t="inlineStr">
        <is>
          <t>55.88198</t>
        </is>
      </c>
      <c r="R3121" s="422" t="inlineStr">
        <is>
          <t>37.547656</t>
        </is>
      </c>
      <c r="S3121" s="387">
        <f>'Цены|Скидки'!$D$25</f>
        <v/>
      </c>
      <c r="T3121" s="387">
        <f>IF(N3121=1,S3121*O3121,0)</f>
        <v/>
      </c>
      <c r="X3121" s="1" t="n"/>
      <c r="Y3121" s="1" t="n"/>
      <c r="Z3121" s="1" t="n"/>
    </row>
    <row r="3122" hidden="1" ht="16.05" customHeight="1">
      <c r="A3122" s="125" t="n">
        <v>3799</v>
      </c>
      <c r="B3122" s="125" t="inlineStr">
        <is>
          <t>WF</t>
        </is>
      </c>
      <c r="C3122" s="130" t="inlineStr">
        <is>
          <t>Москва</t>
        </is>
      </c>
      <c r="D3122" s="130" t="inlineStr">
        <is>
          <t>Москва</t>
        </is>
      </c>
      <c r="E3122" s="130" t="inlineStr">
        <is>
          <t>B+</t>
        </is>
      </c>
      <c r="F3122" s="130" t="inlineStr">
        <is>
          <t>Бизнес центр</t>
        </is>
      </c>
      <c r="G3122" s="130" t="inlineStr">
        <is>
          <t>Бизнес центр</t>
        </is>
      </c>
      <c r="H3122" s="131" t="n">
        <v>27900</v>
      </c>
      <c r="I3122" s="637" t="inlineStr">
        <is>
          <t>АВС</t>
        </is>
      </c>
      <c r="J3122" s="637" t="inlineStr">
        <is>
          <t>MSK_BC_AVS</t>
        </is>
      </c>
      <c r="K3122" s="640" t="n">
        <v>2</v>
      </c>
      <c r="L3122" s="640" t="n">
        <v>0</v>
      </c>
      <c r="M3122" s="640" t="inlineStr">
        <is>
          <t>Samsung 32" + 43" вертикальный</t>
        </is>
      </c>
      <c r="N3122" s="640" t="n"/>
      <c r="O3122" s="640">
        <f>IF(AND(N3122=1,L3122=1),K3122,"")</f>
        <v/>
      </c>
      <c r="P3122" s="642" t="inlineStr">
        <is>
          <t>Мажоров пер., д. 14</t>
        </is>
      </c>
      <c r="Q3122" s="640" t="inlineStr">
        <is>
          <t>55.784101</t>
        </is>
      </c>
      <c r="R3122" s="422" t="inlineStr">
        <is>
          <t>37.712003</t>
        </is>
      </c>
      <c r="S3122" s="387">
        <f>'Цены|Скидки'!$D$25</f>
        <v/>
      </c>
      <c r="T3122" s="387">
        <f>IF(N3122=1,S3122*O3122,0)</f>
        <v/>
      </c>
      <c r="X3122" s="1" t="n"/>
      <c r="Y3122" s="1" t="n"/>
      <c r="Z3122" s="1" t="n"/>
    </row>
    <row r="3123" hidden="1" ht="16.05" customHeight="1">
      <c r="A3123" s="125" t="n">
        <v>3800</v>
      </c>
      <c r="B3123" s="125" t="inlineStr">
        <is>
          <t>WF</t>
        </is>
      </c>
      <c r="C3123" s="130" t="inlineStr">
        <is>
          <t>Москва</t>
        </is>
      </c>
      <c r="D3123" s="130" t="inlineStr">
        <is>
          <t>Москва</t>
        </is>
      </c>
      <c r="E3123" s="130" t="inlineStr">
        <is>
          <t>B+</t>
        </is>
      </c>
      <c r="F3123" s="130" t="inlineStr">
        <is>
          <t>Бизнес центр</t>
        </is>
      </c>
      <c r="G3123" s="130" t="inlineStr">
        <is>
          <t>Бизнес центр</t>
        </is>
      </c>
      <c r="H3123" s="131" t="n">
        <v>9658</v>
      </c>
      <c r="I3123" s="637" t="inlineStr">
        <is>
          <t>Колибрис</t>
        </is>
      </c>
      <c r="J3123" s="637" t="inlineStr">
        <is>
          <t>MSK_BC_Kolibris</t>
        </is>
      </c>
      <c r="K3123" s="640" t="n">
        <v>1</v>
      </c>
      <c r="L3123" s="640" t="n">
        <v>0</v>
      </c>
      <c r="M3123" s="640" t="inlineStr">
        <is>
          <t>Samsung 32" вертикальный</t>
        </is>
      </c>
      <c r="N3123" s="640" t="n"/>
      <c r="O3123" s="640">
        <f>IF(AND(N3123=1,L3123=1),K3123,"")</f>
        <v/>
      </c>
      <c r="P3123" s="642" t="inlineStr">
        <is>
          <t>Электрозаводская ул., 52, стр. 8</t>
        </is>
      </c>
      <c r="Q3123" s="640" t="inlineStr">
        <is>
          <t>55.792792</t>
        </is>
      </c>
      <c r="R3123" s="422" t="inlineStr">
        <is>
          <t>37.708311</t>
        </is>
      </c>
      <c r="S3123" s="387">
        <f>'Цены|Скидки'!$D$25</f>
        <v/>
      </c>
      <c r="T3123" s="387">
        <f>IF(N3123=1,S3123*O3123,0)</f>
        <v/>
      </c>
      <c r="X3123" s="1" t="n"/>
      <c r="Y3123" s="1" t="n"/>
      <c r="Z3123" s="1" t="n"/>
    </row>
    <row r="3124" hidden="1" ht="16.05" customHeight="1">
      <c r="A3124" s="125" t="n">
        <v>3801</v>
      </c>
      <c r="B3124" s="125" t="inlineStr">
        <is>
          <t>WF</t>
        </is>
      </c>
      <c r="C3124" s="130" t="inlineStr">
        <is>
          <t>Москва</t>
        </is>
      </c>
      <c r="D3124" s="130" t="inlineStr">
        <is>
          <t>Москва</t>
        </is>
      </c>
      <c r="E3124" s="130" t="inlineStr">
        <is>
          <t>B</t>
        </is>
      </c>
      <c r="F3124" s="130" t="inlineStr">
        <is>
          <t>Бизнес центр</t>
        </is>
      </c>
      <c r="G3124" s="130" t="inlineStr">
        <is>
          <t>Бизнес центр</t>
        </is>
      </c>
      <c r="H3124" s="131" t="n">
        <v>7116</v>
      </c>
      <c r="I3124" s="637" t="inlineStr">
        <is>
          <t>Вега</t>
        </is>
      </c>
      <c r="J3124" s="637" t="inlineStr">
        <is>
          <t>MSK_BC_Vega</t>
        </is>
      </c>
      <c r="K3124" s="640" t="n">
        <v>1</v>
      </c>
      <c r="L3124" s="640" t="n">
        <v>0</v>
      </c>
      <c r="M3124" s="640" t="inlineStr">
        <is>
          <t>Samsung 43" вертикальный</t>
        </is>
      </c>
      <c r="N3124" s="640" t="n"/>
      <c r="O3124" s="640">
        <f>IF(AND(N3124=1,L3124=1),K3124,"")</f>
        <v/>
      </c>
      <c r="P3124" s="642" t="inlineStr">
        <is>
          <t>Вербная ул., д.8</t>
        </is>
      </c>
      <c r="Q3124" s="640" t="inlineStr">
        <is>
          <t>55.824496</t>
        </is>
      </c>
      <c r="R3124" s="422" t="inlineStr">
        <is>
          <t>37.780509</t>
        </is>
      </c>
      <c r="S3124" s="387">
        <f>'Цены|Скидки'!$D$25</f>
        <v/>
      </c>
      <c r="T3124" s="387">
        <f>IF(N3124=1,S3124*O3124,0)</f>
        <v/>
      </c>
      <c r="X3124" s="1" t="n"/>
      <c r="Y3124" s="1" t="n"/>
      <c r="Z3124" s="1" t="n"/>
    </row>
    <row r="3125" hidden="1" ht="16.05" customHeight="1">
      <c r="A3125" s="125" t="n">
        <v>3804</v>
      </c>
      <c r="B3125" s="125" t="inlineStr">
        <is>
          <t>WF</t>
        </is>
      </c>
      <c r="C3125" s="130" t="inlineStr">
        <is>
          <t>Москва</t>
        </is>
      </c>
      <c r="D3125" s="130" t="inlineStr">
        <is>
          <t>Москва</t>
        </is>
      </c>
      <c r="E3125" s="130" t="inlineStr">
        <is>
          <t>B+</t>
        </is>
      </c>
      <c r="F3125" s="130" t="inlineStr">
        <is>
          <t>Бизнес центр</t>
        </is>
      </c>
      <c r="G3125" s="130" t="inlineStr">
        <is>
          <t>Бизнес центр</t>
        </is>
      </c>
      <c r="H3125" s="131" t="n">
        <v>64575</v>
      </c>
      <c r="I3125" s="637" t="inlineStr">
        <is>
          <t>Линкор</t>
        </is>
      </c>
      <c r="J3125" s="637" t="inlineStr">
        <is>
          <t>MSK_BC_Linkor</t>
        </is>
      </c>
      <c r="K3125" s="640" t="n">
        <v>2</v>
      </c>
      <c r="L3125" s="640" t="n">
        <v>1</v>
      </c>
      <c r="M3125" s="623" t="inlineStr">
        <is>
          <t>Samsung 43" + 55" вертикальный</t>
        </is>
      </c>
      <c r="N3125" s="640" t="n"/>
      <c r="O3125" s="640">
        <f>IF(AND(N3125=1,L3125=1),K3125,"")</f>
        <v/>
      </c>
      <c r="P3125" s="642" t="inlineStr">
        <is>
          <t>Москва, Авиаконструктора Микояна ул., д.,12</t>
        </is>
      </c>
      <c r="Q3125" s="640" t="inlineStr">
        <is>
          <t>55.792589</t>
        </is>
      </c>
      <c r="R3125" s="494" t="inlineStr">
        <is>
          <t>37.527588</t>
        </is>
      </c>
      <c r="S3125" s="387">
        <f>'Цены|Скидки'!$D$25</f>
        <v/>
      </c>
      <c r="T3125" s="387">
        <f>IF(N3125=1,S3125*O3125,0)</f>
        <v/>
      </c>
      <c r="Z3125" s="1" t="n"/>
    </row>
    <row r="3126" hidden="1" ht="16.05" customHeight="1">
      <c r="A3126" s="125" t="n">
        <v>3803</v>
      </c>
      <c r="B3126" s="125" t="inlineStr">
        <is>
          <t>WF</t>
        </is>
      </c>
      <c r="C3126" s="130" t="inlineStr">
        <is>
          <t>Москва</t>
        </is>
      </c>
      <c r="D3126" s="130" t="inlineStr">
        <is>
          <t>Москва</t>
        </is>
      </c>
      <c r="E3126" s="130" t="inlineStr">
        <is>
          <t>B+</t>
        </is>
      </c>
      <c r="F3126" s="130" t="inlineStr">
        <is>
          <t>Бизнес центр</t>
        </is>
      </c>
      <c r="G3126" s="130" t="inlineStr">
        <is>
          <t>Бизнес центр</t>
        </is>
      </c>
      <c r="H3126" s="131" t="n">
        <v>6924</v>
      </c>
      <c r="I3126" s="637" t="inlineStr">
        <is>
          <t>Таволга</t>
        </is>
      </c>
      <c r="J3126" s="637" t="inlineStr">
        <is>
          <t>MSK_BC_Tavolga</t>
        </is>
      </c>
      <c r="K3126" s="640" t="n">
        <v>1</v>
      </c>
      <c r="L3126" s="640" t="n">
        <v>0</v>
      </c>
      <c r="M3126" s="640" t="inlineStr">
        <is>
          <t>Samsung 32" вертикальный</t>
        </is>
      </c>
      <c r="N3126" s="640" t="n"/>
      <c r="O3126" s="640">
        <f>IF(AND(N3126=1,L3126=1),K3126,"")</f>
        <v/>
      </c>
      <c r="P3126" s="642" t="inlineStr">
        <is>
          <t>Коптевская ул., д. 67</t>
        </is>
      </c>
      <c r="Q3126" s="640" t="inlineStr">
        <is>
          <t>55.830149</t>
        </is>
      </c>
      <c r="R3126" s="422" t="inlineStr">
        <is>
          <t>37.517886</t>
        </is>
      </c>
      <c r="S3126" s="387">
        <f>'Цены|Скидки'!$D$25</f>
        <v/>
      </c>
      <c r="T3126" s="387">
        <f>IF(N3126=1,S3126*O3126,0)</f>
        <v/>
      </c>
      <c r="X3126" s="1" t="n"/>
      <c r="Y3126" s="1" t="n"/>
      <c r="Z3126" s="1" t="n"/>
    </row>
    <row r="3127" hidden="1" ht="16.05" customHeight="1">
      <c r="A3127" s="125" t="n">
        <v>3805</v>
      </c>
      <c r="B3127" s="125" t="inlineStr">
        <is>
          <t>WF</t>
        </is>
      </c>
      <c r="C3127" s="130" t="inlineStr">
        <is>
          <t>Москва</t>
        </is>
      </c>
      <c r="D3127" s="130" t="inlineStr">
        <is>
          <t>Москва</t>
        </is>
      </c>
      <c r="E3127" s="130" t="inlineStr">
        <is>
          <t>B+</t>
        </is>
      </c>
      <c r="F3127" s="130" t="inlineStr">
        <is>
          <t>Бизнес центр</t>
        </is>
      </c>
      <c r="G3127" s="130" t="inlineStr">
        <is>
          <t>Бизнес центр</t>
        </is>
      </c>
      <c r="H3127" s="131" t="n">
        <v>15500</v>
      </c>
      <c r="I3127" s="637" t="inlineStr">
        <is>
          <t>Город ТДК</t>
        </is>
      </c>
      <c r="J3127" s="637" t="inlineStr">
        <is>
          <t>MSK_BC_Gorod_TDK</t>
        </is>
      </c>
      <c r="K3127" s="640" t="n">
        <v>2</v>
      </c>
      <c r="L3127" s="640" t="n">
        <v>1</v>
      </c>
      <c r="M3127" s="623" t="inlineStr">
        <is>
          <t>Samsung 32" вертикальный</t>
        </is>
      </c>
      <c r="N3127" s="640" t="n"/>
      <c r="O3127" s="640">
        <f>IF(AND(N3127=1,L3127=1),K3127,"")</f>
        <v/>
      </c>
      <c r="P3127" s="642" t="inlineStr">
        <is>
          <t>Москва, г. Одинцово, Минское шоссе, Лесной городок, Школьная ул., д.1</t>
        </is>
      </c>
      <c r="Q3127" s="640" t="inlineStr">
        <is>
          <t>55.632992</t>
        </is>
      </c>
      <c r="R3127" s="494" t="inlineStr">
        <is>
          <t>37.212324</t>
        </is>
      </c>
      <c r="S3127" s="387">
        <f>'Цены|Скидки'!$D$25</f>
        <v/>
      </c>
      <c r="T3127" s="387">
        <f>IF(N3127=1,S3127*O3127,0)</f>
        <v/>
      </c>
      <c r="Z3127" s="1" t="n"/>
    </row>
    <row r="3128" hidden="1" ht="16.05" customHeight="1">
      <c r="A3128" s="125" t="n">
        <v>3806</v>
      </c>
      <c r="B3128" s="125" t="inlineStr">
        <is>
          <t>WF</t>
        </is>
      </c>
      <c r="C3128" s="130" t="inlineStr">
        <is>
          <t>Москва</t>
        </is>
      </c>
      <c r="D3128" s="130" t="inlineStr">
        <is>
          <t>Москва</t>
        </is>
      </c>
      <c r="E3128" s="130" t="inlineStr">
        <is>
          <t>A</t>
        </is>
      </c>
      <c r="F3128" s="130" t="inlineStr">
        <is>
          <t>Бизнес центр</t>
        </is>
      </c>
      <c r="G3128" s="130" t="inlineStr">
        <is>
          <t>Бизнес центр</t>
        </is>
      </c>
      <c r="H3128" s="131" t="n">
        <v>4575</v>
      </c>
      <c r="I3128" s="637" t="inlineStr">
        <is>
          <t>Телеграф</t>
        </is>
      </c>
      <c r="J3128" s="637" t="inlineStr">
        <is>
          <t>MSK_BC_Telegraf</t>
        </is>
      </c>
      <c r="K3128" s="640" t="n">
        <v>1</v>
      </c>
      <c r="L3128" s="640" t="n">
        <v>1</v>
      </c>
      <c r="M3128" s="623" t="inlineStr">
        <is>
          <t>Samsung 43" вертикальный</t>
        </is>
      </c>
      <c r="N3128" s="640" t="n"/>
      <c r="O3128" s="640">
        <f>IF(AND(N3128=1,L3128=1),K3128,"")</f>
        <v/>
      </c>
      <c r="P3128" s="642" t="inlineStr">
        <is>
          <t>Москва, г. Одинцово, Можайское шоссе, д.20</t>
        </is>
      </c>
      <c r="Q3128" s="640" t="inlineStr">
        <is>
          <t>55.674392</t>
        </is>
      </c>
      <c r="R3128" s="494" t="inlineStr">
        <is>
          <t>37.277524</t>
        </is>
      </c>
      <c r="S3128" s="387">
        <f>'Цены|Скидки'!$D$25</f>
        <v/>
      </c>
      <c r="T3128" s="387">
        <f>IF(N3128=1,S3128*O3128,0)</f>
        <v/>
      </c>
      <c r="Z3128" s="1" t="n"/>
    </row>
    <row r="3129" hidden="1" ht="16.05" customHeight="1">
      <c r="A3129" s="125" t="n">
        <v>3807</v>
      </c>
      <c r="B3129" s="125" t="inlineStr">
        <is>
          <t>WF</t>
        </is>
      </c>
      <c r="C3129" s="130" t="inlineStr">
        <is>
          <t>Москва</t>
        </is>
      </c>
      <c r="D3129" s="130" t="inlineStr">
        <is>
          <t>Москва</t>
        </is>
      </c>
      <c r="E3129" s="130" t="inlineStr">
        <is>
          <t>A</t>
        </is>
      </c>
      <c r="F3129" s="130" t="inlineStr">
        <is>
          <t>Бизнес центр</t>
        </is>
      </c>
      <c r="G3129" s="130" t="inlineStr">
        <is>
          <t>Бизнес центр</t>
        </is>
      </c>
      <c r="H3129" s="131" t="n">
        <v>7087</v>
      </c>
      <c r="I3129" s="637" t="inlineStr">
        <is>
          <t>West East</t>
        </is>
      </c>
      <c r="J3129" s="637" t="inlineStr">
        <is>
          <t>MSK_BC_West_East</t>
        </is>
      </c>
      <c r="K3129" s="640" t="n">
        <v>1</v>
      </c>
      <c r="L3129" s="640" t="n">
        <v>1</v>
      </c>
      <c r="M3129" s="623" t="inlineStr">
        <is>
          <t>Samsung 43" вертикальный</t>
        </is>
      </c>
      <c r="N3129" s="640" t="n"/>
      <c r="O3129" s="640">
        <f>IF(AND(N3129=1,L3129=1),K3129,"")</f>
        <v/>
      </c>
      <c r="P3129" s="642" t="inlineStr">
        <is>
          <t>Москва, г. Одинцово, Маршала Неделина, 6 А</t>
        </is>
      </c>
      <c r="Q3129" s="640" t="inlineStr">
        <is>
          <t>55.677717</t>
        </is>
      </c>
      <c r="R3129" s="494" t="inlineStr">
        <is>
          <t>37.269538</t>
        </is>
      </c>
      <c r="S3129" s="387">
        <f>'Цены|Скидки'!$D$25</f>
        <v/>
      </c>
      <c r="T3129" s="387">
        <f>IF(N3129=1,S3129*O3129,0)</f>
        <v/>
      </c>
      <c r="Z3129" s="1" t="n"/>
    </row>
    <row r="3130" hidden="1" ht="16.05" customHeight="1">
      <c r="A3130" s="125" t="n">
        <v>3808</v>
      </c>
      <c r="B3130" s="125" t="inlineStr">
        <is>
          <t>WF</t>
        </is>
      </c>
      <c r="C3130" s="130" t="inlineStr">
        <is>
          <t>Москва</t>
        </is>
      </c>
      <c r="D3130" s="130" t="inlineStr">
        <is>
          <t>Москва</t>
        </is>
      </c>
      <c r="E3130" s="130" t="inlineStr">
        <is>
          <t>A</t>
        </is>
      </c>
      <c r="F3130" s="130" t="inlineStr">
        <is>
          <t>Бизнес центр</t>
        </is>
      </c>
      <c r="G3130" s="130" t="inlineStr">
        <is>
          <t>Бизнес центр</t>
        </is>
      </c>
      <c r="H3130" s="131" t="n">
        <v>5202</v>
      </c>
      <c r="I3130" s="637" t="inlineStr">
        <is>
          <t>Лесной Сити</t>
        </is>
      </c>
      <c r="J3130" s="637" t="inlineStr">
        <is>
          <t>MSK_BC_Lesnoy_Siti</t>
        </is>
      </c>
      <c r="K3130" s="640" t="n">
        <v>1</v>
      </c>
      <c r="L3130" s="640" t="n">
        <v>1</v>
      </c>
      <c r="M3130" s="623" t="inlineStr">
        <is>
          <t>Samsung 43" вертикальный</t>
        </is>
      </c>
      <c r="N3130" s="640" t="n"/>
      <c r="O3130" s="640">
        <f>IF(AND(N3130=1,L3130=1),K3130,"")</f>
        <v/>
      </c>
      <c r="P3130" s="642" t="inlineStr">
        <is>
          <t>Москва, г. Одинцово, Минское шоссе, Лесной городок, Школьная ул., д.2</t>
        </is>
      </c>
      <c r="Q3130" s="640" t="inlineStr">
        <is>
          <t>55.633394</t>
        </is>
      </c>
      <c r="R3130" s="494" t="inlineStr">
        <is>
          <t>37.212863</t>
        </is>
      </c>
      <c r="S3130" s="387">
        <f>'Цены|Скидки'!$D$25</f>
        <v/>
      </c>
      <c r="T3130" s="387">
        <f>IF(N3130=1,S3130*O3130,0)</f>
        <v/>
      </c>
      <c r="Z3130" s="1" t="n"/>
    </row>
    <row r="3131" hidden="1" ht="16.05" customHeight="1">
      <c r="A3131" s="125" t="n">
        <v>3809</v>
      </c>
      <c r="B3131" s="125" t="inlineStr">
        <is>
          <t>WF</t>
        </is>
      </c>
      <c r="C3131" s="130" t="inlineStr">
        <is>
          <t>Москва</t>
        </is>
      </c>
      <c r="D3131" s="130" t="inlineStr">
        <is>
          <t>Москва</t>
        </is>
      </c>
      <c r="E3131" s="130" t="inlineStr">
        <is>
          <t>B+</t>
        </is>
      </c>
      <c r="F3131" s="130" t="inlineStr">
        <is>
          <t>Бизнес центр</t>
        </is>
      </c>
      <c r="G3131" s="130" t="inlineStr">
        <is>
          <t>Бизнес центр</t>
        </is>
      </c>
      <c r="H3131" s="131" t="n">
        <v>17500</v>
      </c>
      <c r="I3131" s="637" t="inlineStr">
        <is>
          <t>Бизнес Depo</t>
        </is>
      </c>
      <c r="J3131" s="637" t="inlineStr">
        <is>
          <t>MSK_BC_Biznes_Depo</t>
        </is>
      </c>
      <c r="K3131" s="640" t="n">
        <v>4</v>
      </c>
      <c r="L3131" s="640" t="n">
        <v>1</v>
      </c>
      <c r="M3131" s="623" t="inlineStr">
        <is>
          <t>Samsung 43" вертикальный</t>
        </is>
      </c>
      <c r="N3131" s="640" t="n"/>
      <c r="O3131" s="640">
        <f>IF(AND(N3131=1,L3131=1),K3131,"")</f>
        <v/>
      </c>
      <c r="P3131" s="642" t="inlineStr">
        <is>
          <t>Москва, Новгородская ул., д. 1</t>
        </is>
      </c>
      <c r="Q3131" s="640" t="inlineStr">
        <is>
          <t>55.889275</t>
        </is>
      </c>
      <c r="R3131" s="494" t="inlineStr">
        <is>
          <t>37.57881</t>
        </is>
      </c>
      <c r="S3131" s="387">
        <f>'Цены|Скидки'!$D$25</f>
        <v/>
      </c>
      <c r="T3131" s="387">
        <f>IF(N3131=1,S3131*O3131,0)</f>
        <v/>
      </c>
      <c r="Z3131" s="1" t="n"/>
    </row>
    <row r="3132" hidden="1" ht="16.05" customHeight="1">
      <c r="A3132" s="125" t="n">
        <v>3810</v>
      </c>
      <c r="B3132" s="125" t="inlineStr">
        <is>
          <t>WF</t>
        </is>
      </c>
      <c r="C3132" s="130" t="inlineStr">
        <is>
          <t>Москва</t>
        </is>
      </c>
      <c r="D3132" s="130" t="inlineStr">
        <is>
          <t>Москва</t>
        </is>
      </c>
      <c r="E3132" s="130" t="inlineStr">
        <is>
          <t>A</t>
        </is>
      </c>
      <c r="F3132" s="130" t="inlineStr">
        <is>
          <t>Бизнес центр</t>
        </is>
      </c>
      <c r="G3132" s="130" t="inlineStr">
        <is>
          <t>Бизнес центр</t>
        </is>
      </c>
      <c r="H3132" s="131" t="n">
        <v>13470</v>
      </c>
      <c r="I3132" s="637" t="inlineStr">
        <is>
          <t>Бизнес Depo2</t>
        </is>
      </c>
      <c r="J3132" s="637" t="inlineStr">
        <is>
          <t>MSK_BC_Biznes_Depo2</t>
        </is>
      </c>
      <c r="K3132" s="640" t="n">
        <v>2</v>
      </c>
      <c r="L3132" s="640" t="n">
        <v>1</v>
      </c>
      <c r="M3132" s="623" t="inlineStr">
        <is>
          <t>Samsung 43" вертикальный</t>
        </is>
      </c>
      <c r="N3132" s="640" t="n"/>
      <c r="O3132" s="640">
        <f>IF(AND(N3132=1,L3132=1),K3132,"")</f>
        <v/>
      </c>
      <c r="P3132" s="642" t="inlineStr">
        <is>
          <t>Москва, Илимская ул., д.5 корп. 2</t>
        </is>
      </c>
      <c r="Q3132" s="640" t="inlineStr">
        <is>
          <t>55.888745</t>
        </is>
      </c>
      <c r="R3132" s="494" t="inlineStr">
        <is>
          <t>37.581343</t>
        </is>
      </c>
      <c r="S3132" s="387">
        <f>'Цены|Скидки'!$D$25</f>
        <v/>
      </c>
      <c r="T3132" s="387">
        <f>IF(N3132=1,S3132*O3132,0)</f>
        <v/>
      </c>
      <c r="Z3132" s="1" t="n"/>
    </row>
    <row r="3133" hidden="1" ht="16.05" customHeight="1">
      <c r="A3133" s="125" t="n">
        <v>3811</v>
      </c>
      <c r="B3133" s="125" t="inlineStr">
        <is>
          <t>WF</t>
        </is>
      </c>
      <c r="C3133" s="130" t="inlineStr">
        <is>
          <t>Москва</t>
        </is>
      </c>
      <c r="D3133" s="130" t="inlineStr">
        <is>
          <t>Москва</t>
        </is>
      </c>
      <c r="E3133" s="130" t="inlineStr">
        <is>
          <t>A</t>
        </is>
      </c>
      <c r="F3133" s="130" t="inlineStr">
        <is>
          <t>Бизнес центр</t>
        </is>
      </c>
      <c r="G3133" s="130" t="inlineStr">
        <is>
          <t>Бизнес центр</t>
        </is>
      </c>
      <c r="H3133" s="131" t="n">
        <v>16641</v>
      </c>
      <c r="I3133" s="637" t="inlineStr">
        <is>
          <t>РТС Волгоградский</t>
        </is>
      </c>
      <c r="J3133" s="637" t="inlineStr">
        <is>
          <t>MSK_BC_RTS_Volgogradskiy</t>
        </is>
      </c>
      <c r="K3133" s="640" t="n">
        <v>2</v>
      </c>
      <c r="L3133" s="640" t="n">
        <v>1</v>
      </c>
      <c r="M3133" s="623" t="inlineStr">
        <is>
          <t>Samsung 43" вертикальный</t>
        </is>
      </c>
      <c r="N3133" s="640" t="n"/>
      <c r="O3133" s="640">
        <f>IF(AND(N3133=1,L3133=1),K3133,"")</f>
        <v/>
      </c>
      <c r="P3133" s="642" t="inlineStr">
        <is>
          <t>Москва, Волгоградский пр., д.32, к. 31</t>
        </is>
      </c>
      <c r="Q3133" s="640" t="inlineStr">
        <is>
          <t>55.718654</t>
        </is>
      </c>
      <c r="R3133" s="494" t="inlineStr">
        <is>
          <t>37.689896</t>
        </is>
      </c>
      <c r="S3133" s="387">
        <f>'Цены|Скидки'!$D$25</f>
        <v/>
      </c>
      <c r="T3133" s="387">
        <f>IF(N3133=1,S3133*O3133,0)</f>
        <v/>
      </c>
      <c r="Z3133" s="1" t="n"/>
    </row>
    <row r="3134" hidden="1" ht="16.05" customHeight="1">
      <c r="A3134" s="125" t="n">
        <v>3812</v>
      </c>
      <c r="B3134" s="125" t="inlineStr">
        <is>
          <t>WF</t>
        </is>
      </c>
      <c r="C3134" s="130" t="inlineStr">
        <is>
          <t>Москва</t>
        </is>
      </c>
      <c r="D3134" s="130" t="inlineStr">
        <is>
          <t>Москва</t>
        </is>
      </c>
      <c r="E3134" s="130" t="inlineStr">
        <is>
          <t>B+</t>
        </is>
      </c>
      <c r="F3134" s="130" t="inlineStr">
        <is>
          <t>Бизнес центр</t>
        </is>
      </c>
      <c r="G3134" s="130" t="inlineStr">
        <is>
          <t>Бизнес центр</t>
        </is>
      </c>
      <c r="H3134" s="131" t="n">
        <v>4603</v>
      </c>
      <c r="I3134" s="637" t="inlineStr">
        <is>
          <t>Олимпик Парк</t>
        </is>
      </c>
      <c r="J3134" s="637" t="inlineStr">
        <is>
          <t>MSK_BC_Olimpik_Park</t>
        </is>
      </c>
      <c r="K3134" s="640" t="n">
        <v>1</v>
      </c>
      <c r="L3134" s="640" t="n">
        <v>1</v>
      </c>
      <c r="M3134" s="623" t="inlineStr">
        <is>
          <t>Samsung 43" вертикальный</t>
        </is>
      </c>
      <c r="N3134" s="640" t="n"/>
      <c r="O3134" s="640">
        <f>IF(AND(N3134=1,L3134=1),K3134,"")</f>
        <v/>
      </c>
      <c r="P3134" s="642" t="inlineStr">
        <is>
          <t>Москва, Электролитный пр., д. 3Б</t>
        </is>
      </c>
      <c r="Q3134" s="640" t="inlineStr">
        <is>
          <t>55.675813</t>
        </is>
      </c>
      <c r="R3134" s="494" t="inlineStr">
        <is>
          <t>37.613781</t>
        </is>
      </c>
      <c r="S3134" s="387">
        <f>'Цены|Скидки'!$D$25</f>
        <v/>
      </c>
      <c r="T3134" s="387">
        <f>IF(N3134=1,S3134*O3134,0)</f>
        <v/>
      </c>
      <c r="Z3134" s="1" t="n"/>
    </row>
    <row r="3135" hidden="1" ht="16.05" customHeight="1">
      <c r="A3135" s="125" t="n">
        <v>3813</v>
      </c>
      <c r="B3135" s="125" t="inlineStr">
        <is>
          <t>WF</t>
        </is>
      </c>
      <c r="C3135" s="130" t="inlineStr">
        <is>
          <t>Москва</t>
        </is>
      </c>
      <c r="D3135" s="130" t="inlineStr">
        <is>
          <t>Москва</t>
        </is>
      </c>
      <c r="E3135" s="130" t="inlineStr">
        <is>
          <t>B+</t>
        </is>
      </c>
      <c r="F3135" s="130" t="inlineStr">
        <is>
          <t>Бизнес центр</t>
        </is>
      </c>
      <c r="G3135" s="130" t="inlineStr">
        <is>
          <t>Бизнес центр</t>
        </is>
      </c>
      <c r="H3135" s="131" t="n">
        <v>14649</v>
      </c>
      <c r="I3135" s="637" t="inlineStr">
        <is>
          <t>Альянс</t>
        </is>
      </c>
      <c r="J3135" s="637" t="inlineStr">
        <is>
          <t>MSK_BC_Alyans</t>
        </is>
      </c>
      <c r="K3135" s="640" t="n">
        <v>2</v>
      </c>
      <c r="L3135" s="640" t="n">
        <v>1</v>
      </c>
      <c r="M3135" s="623" t="inlineStr">
        <is>
          <t>Samsung 32" вертикальный</t>
        </is>
      </c>
      <c r="N3135" s="640" t="n"/>
      <c r="O3135" s="640">
        <f>IF(AND(N3135=1,L3135=1),K3135,"")</f>
        <v/>
      </c>
      <c r="P3135" s="642" t="inlineStr">
        <is>
          <t xml:space="preserve">Москва, г. Одинцово, Молодежная ул., д. 46 </t>
        </is>
      </c>
      <c r="Q3135" s="640" t="inlineStr">
        <is>
          <t>55.677194</t>
        </is>
      </c>
      <c r="R3135" s="494" t="inlineStr">
        <is>
          <t>37.271101</t>
        </is>
      </c>
      <c r="S3135" s="387">
        <f>'Цены|Скидки'!$D$25</f>
        <v/>
      </c>
      <c r="T3135" s="387">
        <f>IF(N3135=1,S3135*O3135,0)</f>
        <v/>
      </c>
      <c r="Z3135" s="1" t="n"/>
    </row>
    <row r="3136" hidden="1" ht="16.05" customHeight="1">
      <c r="A3136" s="125" t="n">
        <v>3814</v>
      </c>
      <c r="B3136" s="125" t="inlineStr">
        <is>
          <t>WF</t>
        </is>
      </c>
      <c r="C3136" s="130" t="inlineStr">
        <is>
          <t>Москва</t>
        </is>
      </c>
      <c r="D3136" s="130" t="inlineStr">
        <is>
          <t>Москва</t>
        </is>
      </c>
      <c r="E3136" s="130" t="inlineStr">
        <is>
          <t>B+</t>
        </is>
      </c>
      <c r="F3136" s="130" t="inlineStr">
        <is>
          <t>Бизнес центр</t>
        </is>
      </c>
      <c r="G3136" s="130" t="inlineStr">
        <is>
          <t>Бизнес центр</t>
        </is>
      </c>
      <c r="H3136" s="131" t="n">
        <v>4133</v>
      </c>
      <c r="I3136" s="637" t="inlineStr">
        <is>
          <t>Маяк</t>
        </is>
      </c>
      <c r="J3136" s="637" t="inlineStr">
        <is>
          <t>MSK_BC_Mayak</t>
        </is>
      </c>
      <c r="K3136" s="640" t="n">
        <v>2</v>
      </c>
      <c r="L3136" s="640" t="n">
        <v>1</v>
      </c>
      <c r="M3136" s="623" t="inlineStr">
        <is>
          <t>Samsung 43" вертикальный</t>
        </is>
      </c>
      <c r="N3136" s="640" t="n"/>
      <c r="O3136" s="640">
        <f>IF(AND(N3136=1,L3136=1),K3136,"")</f>
        <v/>
      </c>
      <c r="P3136" s="642" t="inlineStr">
        <is>
          <t>Москва, г. Одинцово, Акуловская ул., д.2а</t>
        </is>
      </c>
      <c r="Q3136" s="640" t="inlineStr">
        <is>
          <t>55.660424</t>
        </is>
      </c>
      <c r="R3136" s="494" t="inlineStr">
        <is>
          <t>37.246415</t>
        </is>
      </c>
      <c r="S3136" s="387">
        <f>'Цены|Скидки'!$D$25</f>
        <v/>
      </c>
      <c r="T3136" s="387">
        <f>IF(N3136=1,S3136*O3136,0)</f>
        <v/>
      </c>
      <c r="Z3136" s="1" t="n"/>
    </row>
    <row r="3137" hidden="1" ht="16.05" customHeight="1">
      <c r="A3137" s="125" t="n">
        <v>3815</v>
      </c>
      <c r="B3137" s="125" t="inlineStr">
        <is>
          <t>WF</t>
        </is>
      </c>
      <c r="C3137" s="130" t="inlineStr">
        <is>
          <t>Москва</t>
        </is>
      </c>
      <c r="D3137" s="130" t="inlineStr">
        <is>
          <t>Москва</t>
        </is>
      </c>
      <c r="E3137" s="130" t="inlineStr">
        <is>
          <t>B+</t>
        </is>
      </c>
      <c r="F3137" s="130" t="inlineStr">
        <is>
          <t>Бизнес центр</t>
        </is>
      </c>
      <c r="G3137" s="130" t="inlineStr">
        <is>
          <t>Бизнес центр</t>
        </is>
      </c>
      <c r="H3137" s="131" t="n">
        <v>7396</v>
      </c>
      <c r="I3137" s="637" t="inlineStr">
        <is>
          <t>Молодежная 48</t>
        </is>
      </c>
      <c r="J3137" s="637" t="inlineStr">
        <is>
          <t>MSK_BC_Molodezhnaya_48</t>
        </is>
      </c>
      <c r="K3137" s="640" t="n">
        <v>2</v>
      </c>
      <c r="L3137" s="640" t="n">
        <v>1</v>
      </c>
      <c r="M3137" s="623" t="inlineStr">
        <is>
          <t>Samsung 43" вертикальный</t>
        </is>
      </c>
      <c r="N3137" s="640" t="n"/>
      <c r="O3137" s="640">
        <f>IF(AND(N3137=1,L3137=1),K3137,"")</f>
        <v/>
      </c>
      <c r="P3137" s="642" t="inlineStr">
        <is>
          <t>Москва, г. Одинцово, Молодежная ул., д.48</t>
        </is>
      </c>
      <c r="Q3137" s="640" t="inlineStr">
        <is>
          <t>55.677834</t>
        </is>
      </c>
      <c r="R3137" s="494" t="inlineStr">
        <is>
          <t>37.272772</t>
        </is>
      </c>
      <c r="S3137" s="387">
        <f>'Цены|Скидки'!$D$25</f>
        <v/>
      </c>
      <c r="T3137" s="387">
        <f>IF(N3137=1,S3137*O3137,0)</f>
        <v/>
      </c>
      <c r="Z3137" s="1" t="n"/>
    </row>
    <row r="3138" hidden="1" ht="16.05" customHeight="1">
      <c r="A3138" s="125" t="n">
        <v>3816</v>
      </c>
      <c r="B3138" s="125" t="inlineStr">
        <is>
          <t>WF</t>
        </is>
      </c>
      <c r="C3138" s="130" t="inlineStr">
        <is>
          <t>Москва</t>
        </is>
      </c>
      <c r="D3138" s="130" t="inlineStr">
        <is>
          <t>Москва</t>
        </is>
      </c>
      <c r="E3138" s="130" t="inlineStr">
        <is>
          <t>B+</t>
        </is>
      </c>
      <c r="F3138" s="130" t="inlineStr">
        <is>
          <t>Бизнес центр</t>
        </is>
      </c>
      <c r="G3138" s="130" t="inlineStr">
        <is>
          <t>Бизнес центр</t>
        </is>
      </c>
      <c r="H3138" s="131" t="n">
        <v>13788</v>
      </c>
      <c r="I3138" s="637" t="inlineStr">
        <is>
          <t>Научный 13</t>
        </is>
      </c>
      <c r="J3138" s="637" t="inlineStr">
        <is>
          <t>MSK_BC_Nauchnyy_13</t>
        </is>
      </c>
      <c r="K3138" s="640" t="n">
        <v>2</v>
      </c>
      <c r="L3138" s="640" t="n">
        <v>1</v>
      </c>
      <c r="M3138" s="623" t="inlineStr">
        <is>
          <t>Samsung 43" + 55" вертикальный</t>
        </is>
      </c>
      <c r="N3138" s="640" t="n"/>
      <c r="O3138" s="640">
        <f>IF(AND(N3138=1,L3138=1),K3138,"")</f>
        <v/>
      </c>
      <c r="P3138" s="642" t="inlineStr">
        <is>
          <t>Москва, Научный проезд, д. 13</t>
        </is>
      </c>
      <c r="Q3138" s="640" t="inlineStr">
        <is>
          <t>55.655366</t>
        </is>
      </c>
      <c r="R3138" s="494" t="inlineStr">
        <is>
          <t>37.557529</t>
        </is>
      </c>
      <c r="S3138" s="387">
        <f>'Цены|Скидки'!$D$25</f>
        <v/>
      </c>
      <c r="T3138" s="387">
        <f>IF(N3138=1,S3138*O3138,0)</f>
        <v/>
      </c>
      <c r="Z3138" s="1" t="n"/>
    </row>
    <row r="3139" hidden="1" ht="16.05" customHeight="1">
      <c r="A3139" s="125" t="n">
        <v>3817</v>
      </c>
      <c r="B3139" s="125" t="inlineStr">
        <is>
          <t>WF</t>
        </is>
      </c>
      <c r="C3139" s="130" t="inlineStr">
        <is>
          <t>Москва</t>
        </is>
      </c>
      <c r="D3139" s="130" t="inlineStr">
        <is>
          <t>Москва</t>
        </is>
      </c>
      <c r="E3139" s="130" t="inlineStr">
        <is>
          <t>A</t>
        </is>
      </c>
      <c r="F3139" s="130" t="inlineStr">
        <is>
          <t>Бизнес центр</t>
        </is>
      </c>
      <c r="G3139" s="130" t="inlineStr">
        <is>
          <t>Бизнес центр</t>
        </is>
      </c>
      <c r="H3139" s="131" t="n">
        <v>16241</v>
      </c>
      <c r="I3139" s="637" t="inlineStr">
        <is>
          <t>Смарт Парк</t>
        </is>
      </c>
      <c r="J3139" s="637" t="inlineStr">
        <is>
          <t>MSK_BC_Smart_Park</t>
        </is>
      </c>
      <c r="K3139" s="640" t="n">
        <v>3</v>
      </c>
      <c r="L3139" s="640" t="n">
        <v>1</v>
      </c>
      <c r="M3139" s="623" t="inlineStr">
        <is>
          <t>Samsung 32" + 43" вертикальный</t>
        </is>
      </c>
      <c r="N3139" s="640" t="n"/>
      <c r="O3139" s="640">
        <f>IF(AND(N3139=1,L3139=1),K3139,"")</f>
        <v/>
      </c>
      <c r="P3139" s="642" t="inlineStr">
        <is>
          <t>Москва, Научный проезд, д.14А, стр. 1</t>
        </is>
      </c>
      <c r="Q3139" s="640" t="inlineStr">
        <is>
          <t>55.655869</t>
        </is>
      </c>
      <c r="R3139" s="494" t="inlineStr">
        <is>
          <t>37.555382</t>
        </is>
      </c>
      <c r="S3139" s="387">
        <f>'Цены|Скидки'!$D$25</f>
        <v/>
      </c>
      <c r="T3139" s="387">
        <f>IF(N3139=1,S3139*O3139,0)</f>
        <v/>
      </c>
      <c r="Z3139" s="1" t="n"/>
    </row>
    <row r="3140" hidden="1" ht="16.05" customHeight="1">
      <c r="A3140" s="125" t="n">
        <v>3818</v>
      </c>
      <c r="B3140" s="125" t="inlineStr">
        <is>
          <t>WF</t>
        </is>
      </c>
      <c r="C3140" s="130" t="inlineStr">
        <is>
          <t>Москва</t>
        </is>
      </c>
      <c r="D3140" s="130" t="inlineStr">
        <is>
          <t>Москва</t>
        </is>
      </c>
      <c r="E3140" s="130" t="inlineStr">
        <is>
          <t>B+</t>
        </is>
      </c>
      <c r="F3140" s="130" t="inlineStr">
        <is>
          <t>Бизнес центр</t>
        </is>
      </c>
      <c r="G3140" s="130" t="inlineStr">
        <is>
          <t>Бизнес центр</t>
        </is>
      </c>
      <c r="H3140" s="131" t="n">
        <v>8829</v>
      </c>
      <c r="I3140" s="637" t="inlineStr">
        <is>
          <t>Улей Плаза</t>
        </is>
      </c>
      <c r="J3140" s="637" t="inlineStr">
        <is>
          <t>MSK_BC_Uley_Plaza</t>
        </is>
      </c>
      <c r="K3140" s="640" t="n">
        <v>2</v>
      </c>
      <c r="L3140" s="640" t="n">
        <v>1</v>
      </c>
      <c r="M3140" s="623" t="inlineStr">
        <is>
          <t>Samsung 32" + 43" вертикальный</t>
        </is>
      </c>
      <c r="N3140" s="640" t="n"/>
      <c r="O3140" s="640">
        <f>IF(AND(N3140=1,L3140=1),K3140,"")</f>
        <v/>
      </c>
      <c r="P3140" s="642" t="inlineStr">
        <is>
          <t>Москва, Медовый переулок, д. 5, стр. 1</t>
        </is>
      </c>
      <c r="Q3140" s="640" t="inlineStr">
        <is>
          <t>55.784435</t>
        </is>
      </c>
      <c r="R3140" s="494" t="inlineStr">
        <is>
          <t>37.709901</t>
        </is>
      </c>
      <c r="S3140" s="387">
        <f>'Цены|Скидки'!$D$25</f>
        <v/>
      </c>
      <c r="T3140" s="387">
        <f>IF(N3140=1,S3140*O3140,0)</f>
        <v/>
      </c>
      <c r="Z3140" s="1" t="n"/>
    </row>
    <row r="3141" hidden="1" ht="16.05" customHeight="1">
      <c r="A3141" s="125" t="n">
        <v>3819</v>
      </c>
      <c r="B3141" s="125" t="inlineStr">
        <is>
          <t>WF</t>
        </is>
      </c>
      <c r="C3141" s="130" t="inlineStr">
        <is>
          <t>Москва</t>
        </is>
      </c>
      <c r="D3141" s="130" t="inlineStr">
        <is>
          <t>Москва</t>
        </is>
      </c>
      <c r="E3141" s="130" t="inlineStr">
        <is>
          <t>B+</t>
        </is>
      </c>
      <c r="F3141" s="130" t="inlineStr">
        <is>
          <t>Бизнес центр</t>
        </is>
      </c>
      <c r="G3141" s="130" t="inlineStr">
        <is>
          <t>Бизнес центр</t>
        </is>
      </c>
      <c r="H3141" s="131" t="n">
        <v>21627</v>
      </c>
      <c r="I3141" s="637" t="inlineStr">
        <is>
          <t xml:space="preserve">Стрельбищенский 30 </t>
        </is>
      </c>
      <c r="J3141" s="637" t="inlineStr">
        <is>
          <t>MSK_BC_Strelbischenskiy_30</t>
        </is>
      </c>
      <c r="K3141" s="640" t="n">
        <v>2</v>
      </c>
      <c r="L3141" s="640" t="n">
        <v>1</v>
      </c>
      <c r="M3141" s="623" t="inlineStr">
        <is>
          <t>Samsung 43" вертикальный</t>
        </is>
      </c>
      <c r="N3141" s="640" t="n"/>
      <c r="O3141" s="640">
        <f>IF(AND(N3141=1,L3141=1),K3141,"")</f>
        <v/>
      </c>
      <c r="P3141" s="642" t="inlineStr">
        <is>
          <t>Москва, Стрельбищенский пер., д. 30, стр. 1А</t>
        </is>
      </c>
      <c r="Q3141" s="640" t="inlineStr">
        <is>
          <t>55.763422</t>
        </is>
      </c>
      <c r="R3141" s="494" t="inlineStr">
        <is>
          <t>37.540704</t>
        </is>
      </c>
      <c r="S3141" s="387">
        <f>'Цены|Скидки'!$D$25</f>
        <v/>
      </c>
      <c r="T3141" s="387">
        <f>IF(N3141=1,S3141*O3141,0)</f>
        <v/>
      </c>
      <c r="Z3141" s="1" t="n"/>
    </row>
    <row r="3142" hidden="1" ht="16.05" customHeight="1">
      <c r="A3142" s="125" t="n">
        <v>3820</v>
      </c>
      <c r="B3142" s="125" t="inlineStr">
        <is>
          <t>WF</t>
        </is>
      </c>
      <c r="C3142" s="130" t="inlineStr">
        <is>
          <t>Москва</t>
        </is>
      </c>
      <c r="D3142" s="130" t="inlineStr">
        <is>
          <t>Москва</t>
        </is>
      </c>
      <c r="E3142" s="130" t="inlineStr">
        <is>
          <t>A</t>
        </is>
      </c>
      <c r="F3142" s="130" t="inlineStr">
        <is>
          <t>Бизнес центр</t>
        </is>
      </c>
      <c r="G3142" s="130" t="inlineStr">
        <is>
          <t>Бизнес центр</t>
        </is>
      </c>
      <c r="H3142" s="131" t="n">
        <v>152150</v>
      </c>
      <c r="I3142" s="637" t="inlineStr">
        <is>
          <t>Поклонка Плейс</t>
        </is>
      </c>
      <c r="J3142" s="637" t="inlineStr">
        <is>
          <t>MSK_BC_Poklonka_Pleys</t>
        </is>
      </c>
      <c r="K3142" s="640" t="n">
        <v>5</v>
      </c>
      <c r="L3142" s="640" t="n">
        <v>1</v>
      </c>
      <c r="M3142" s="623" t="inlineStr">
        <is>
          <t>Samsung 43" вертикальный</t>
        </is>
      </c>
      <c r="N3142" s="640" t="n"/>
      <c r="O3142" s="640">
        <f>IF(AND(N3142=1,L3142=1),K3142,"")</f>
        <v/>
      </c>
      <c r="P3142" s="642" t="inlineStr">
        <is>
          <t>Москва, Поклонная ул., д. 3</t>
        </is>
      </c>
      <c r="Q3142" s="640" t="inlineStr">
        <is>
          <t>55.736496</t>
        </is>
      </c>
      <c r="R3142" s="494" t="inlineStr">
        <is>
          <t>37.532559</t>
        </is>
      </c>
      <c r="S3142" s="387">
        <f>'Цены|Скидки'!$D$25</f>
        <v/>
      </c>
      <c r="T3142" s="387">
        <f>IF(N3142=1,S3142*O3142,0)</f>
        <v/>
      </c>
      <c r="Z3142" s="1" t="n"/>
    </row>
    <row r="3143" hidden="1" ht="16.05" customHeight="1">
      <c r="A3143" s="125" t="n">
        <v>3821</v>
      </c>
      <c r="B3143" s="125" t="inlineStr">
        <is>
          <t>WF</t>
        </is>
      </c>
      <c r="C3143" s="130" t="inlineStr">
        <is>
          <t>Москва</t>
        </is>
      </c>
      <c r="D3143" s="130" t="inlineStr">
        <is>
          <t>Москва</t>
        </is>
      </c>
      <c r="E3143" s="130" t="inlineStr">
        <is>
          <t>B+</t>
        </is>
      </c>
      <c r="F3143" s="130" t="inlineStr">
        <is>
          <t>Бизнес центр</t>
        </is>
      </c>
      <c r="G3143" s="130" t="inlineStr">
        <is>
          <t>Бизнес центр</t>
        </is>
      </c>
      <c r="H3143" s="131" t="n">
        <v>6200</v>
      </c>
      <c r="I3143" s="637" t="inlineStr">
        <is>
          <t>Правда</t>
        </is>
      </c>
      <c r="J3143" s="637" t="inlineStr">
        <is>
          <t>MSK_BC_Pravda</t>
        </is>
      </c>
      <c r="K3143" s="640" t="n">
        <v>2</v>
      </c>
      <c r="L3143" s="640" t="n">
        <v>1</v>
      </c>
      <c r="M3143" s="623" t="inlineStr">
        <is>
          <t>Samsung 43" вертикальный</t>
        </is>
      </c>
      <c r="N3143" s="640" t="n"/>
      <c r="O3143" s="640">
        <f>IF(AND(N3143=1,L3143=1),K3143,"")</f>
        <v/>
      </c>
      <c r="P3143" s="642" t="inlineStr">
        <is>
          <t>Москва, Правды ул., д. 23</t>
        </is>
      </c>
      <c r="Q3143" s="640" t="inlineStr">
        <is>
          <t>55.7889</t>
        </is>
      </c>
      <c r="R3143" s="494" t="inlineStr">
        <is>
          <t>37.581972</t>
        </is>
      </c>
      <c r="S3143" s="387">
        <f>'Цены|Скидки'!$D$25</f>
        <v/>
      </c>
      <c r="T3143" s="387">
        <f>IF(N3143=1,S3143*O3143,0)</f>
        <v/>
      </c>
      <c r="Z3143" s="1" t="n"/>
    </row>
    <row r="3144" hidden="1" ht="16.05" customHeight="1">
      <c r="A3144" s="125" t="n">
        <v>3822</v>
      </c>
      <c r="B3144" s="125" t="inlineStr">
        <is>
          <t>WF</t>
        </is>
      </c>
      <c r="C3144" s="130" t="inlineStr">
        <is>
          <t>Москва</t>
        </is>
      </c>
      <c r="D3144" s="130" t="inlineStr">
        <is>
          <t>Москва</t>
        </is>
      </c>
      <c r="E3144" s="130" t="inlineStr">
        <is>
          <t>B</t>
        </is>
      </c>
      <c r="F3144" s="130" t="inlineStr">
        <is>
          <t>Бизнес центр</t>
        </is>
      </c>
      <c r="G3144" s="130" t="inlineStr">
        <is>
          <t>Бизнес центр</t>
        </is>
      </c>
      <c r="H3144" s="131" t="n">
        <v>8641</v>
      </c>
      <c r="I3144" s="637" t="inlineStr">
        <is>
          <t>Бутырский</t>
        </is>
      </c>
      <c r="J3144" s="637" t="inlineStr">
        <is>
          <t>MSK_BC_Butyrskiy</t>
        </is>
      </c>
      <c r="K3144" s="640" t="n">
        <v>1</v>
      </c>
      <c r="L3144" s="640" t="n">
        <v>0</v>
      </c>
      <c r="M3144" s="623" t="inlineStr">
        <is>
          <t>Samsung 43" вертикальный</t>
        </is>
      </c>
      <c r="N3144" s="640" t="n"/>
      <c r="O3144" s="640">
        <f>IF(AND(N3144=1,L3144=1),K3144,"")</f>
        <v/>
      </c>
      <c r="P3144" s="642" t="inlineStr">
        <is>
          <t>Бутырская ул., д. 46, стр. 1</t>
        </is>
      </c>
      <c r="Q3144" s="640" t="inlineStr">
        <is>
          <t>55.801962</t>
        </is>
      </c>
      <c r="R3144" s="494" t="inlineStr">
        <is>
          <t>37.582844</t>
        </is>
      </c>
      <c r="S3144" s="387">
        <f>'Цены|Скидки'!$D$25</f>
        <v/>
      </c>
      <c r="T3144" s="387">
        <f>IF(N3144=1,S3144*O3144,0)</f>
        <v/>
      </c>
      <c r="Z3144" s="1" t="n"/>
    </row>
    <row r="3145" hidden="1" ht="16.05" customHeight="1">
      <c r="A3145" s="125" t="n">
        <v>3824</v>
      </c>
      <c r="B3145" s="125" t="inlineStr">
        <is>
          <t>WF</t>
        </is>
      </c>
      <c r="C3145" s="130" t="inlineStr">
        <is>
          <t>Москва</t>
        </is>
      </c>
      <c r="D3145" s="130" t="inlineStr">
        <is>
          <t>Москва</t>
        </is>
      </c>
      <c r="E3145" s="130" t="inlineStr">
        <is>
          <t>B+</t>
        </is>
      </c>
      <c r="F3145" s="130" t="inlineStr">
        <is>
          <t>Бизнес центр</t>
        </is>
      </c>
      <c r="G3145" s="130" t="inlineStr">
        <is>
          <t>Бизнес центр</t>
        </is>
      </c>
      <c r="H3145" s="131" t="n">
        <v>6179</v>
      </c>
      <c r="I3145" s="637" t="inlineStr">
        <is>
          <t>на Масловке</t>
        </is>
      </c>
      <c r="J3145" s="637" t="inlineStr">
        <is>
          <t>MSK_BC_na_Maslovke</t>
        </is>
      </c>
      <c r="K3145" s="640" t="n">
        <v>2</v>
      </c>
      <c r="L3145" s="640" t="n">
        <v>1</v>
      </c>
      <c r="M3145" s="623" t="inlineStr">
        <is>
          <t>Samsung 32" вертикальный</t>
        </is>
      </c>
      <c r="N3145" s="640" t="n"/>
      <c r="O3145" s="640">
        <f>IF(AND(N3145=1,L3145=1),K3145,"")</f>
        <v/>
      </c>
      <c r="P3145" s="642" t="inlineStr">
        <is>
          <t>Москва, Расковой ул., д. 34, к. 3А</t>
        </is>
      </c>
      <c r="Q3145" s="640" t="inlineStr">
        <is>
          <t>55.791309</t>
        </is>
      </c>
      <c r="R3145" s="494" t="inlineStr">
        <is>
          <t>37.580741</t>
        </is>
      </c>
      <c r="S3145" s="387">
        <f>'Цены|Скидки'!$D$25</f>
        <v/>
      </c>
      <c r="T3145" s="387">
        <f>IF(N3145=1,S3145*O3145,0)</f>
        <v/>
      </c>
      <c r="Z3145" s="1" t="n"/>
    </row>
    <row r="3146" hidden="1" ht="16.05" customHeight="1">
      <c r="A3146" s="125" t="n">
        <v>3823</v>
      </c>
      <c r="B3146" s="125" t="inlineStr">
        <is>
          <t>WF</t>
        </is>
      </c>
      <c r="C3146" s="130" t="inlineStr">
        <is>
          <t>Москва</t>
        </is>
      </c>
      <c r="D3146" s="130" t="inlineStr">
        <is>
          <t>Москва</t>
        </is>
      </c>
      <c r="E3146" s="130" t="inlineStr">
        <is>
          <t>B+</t>
        </is>
      </c>
      <c r="F3146" s="130" t="inlineStr">
        <is>
          <t>Бизнес центр</t>
        </is>
      </c>
      <c r="G3146" s="130" t="inlineStr">
        <is>
          <t>Бизнес центр</t>
        </is>
      </c>
      <c r="H3146" s="131" t="n">
        <v>6745</v>
      </c>
      <c r="I3146" s="637" t="inlineStr">
        <is>
          <t>на Яузе</t>
        </is>
      </c>
      <c r="J3146" s="637" t="inlineStr">
        <is>
          <t>MSK_BC_na_Yauze</t>
        </is>
      </c>
      <c r="K3146" s="640" t="n">
        <v>3</v>
      </c>
      <c r="L3146" s="640" t="n">
        <v>0</v>
      </c>
      <c r="M3146" s="640" t="inlineStr">
        <is>
          <t>Samsung 43" + 55"  вертикальный</t>
        </is>
      </c>
      <c r="N3146" s="640" t="n"/>
      <c r="O3146" s="640">
        <f>IF(AND(N3146=1,L3146=1),K3146,"")</f>
        <v/>
      </c>
      <c r="P3146" s="642" t="inlineStr">
        <is>
          <t>Электрозаводская ул., д. 14, cтр. 1</t>
        </is>
      </c>
      <c r="Q3146" s="640" t="inlineStr">
        <is>
          <t>55.787548</t>
        </is>
      </c>
      <c r="R3146" s="422" t="inlineStr">
        <is>
          <t>37.70675</t>
        </is>
      </c>
      <c r="S3146" s="387">
        <f>'Цены|Скидки'!$D$25</f>
        <v/>
      </c>
      <c r="T3146" s="387">
        <f>IF(N3146=1,S3146*O3146,0)</f>
        <v/>
      </c>
      <c r="Z3146" s="1" t="n"/>
    </row>
    <row r="3147" hidden="1" ht="16.05" customHeight="1">
      <c r="A3147" s="125" t="n">
        <v>3825</v>
      </c>
      <c r="B3147" s="125" t="inlineStr">
        <is>
          <t>WF</t>
        </is>
      </c>
      <c r="C3147" s="130" t="inlineStr">
        <is>
          <t>Москва</t>
        </is>
      </c>
      <c r="D3147" s="130" t="inlineStr">
        <is>
          <t>Москва</t>
        </is>
      </c>
      <c r="E3147" s="130" t="inlineStr">
        <is>
          <t>B+</t>
        </is>
      </c>
      <c r="F3147" s="130" t="inlineStr">
        <is>
          <t>Бизнес центр</t>
        </is>
      </c>
      <c r="G3147" s="130" t="inlineStr">
        <is>
          <t>Бизнес центр</t>
        </is>
      </c>
      <c r="H3147" s="131" t="n">
        <v>5270</v>
      </c>
      <c r="I3147" s="637" t="inlineStr">
        <is>
          <t>Скаковая 32</t>
        </is>
      </c>
      <c r="J3147" s="637" t="inlineStr">
        <is>
          <t>MSK_BC_Skakovaya_32</t>
        </is>
      </c>
      <c r="K3147" s="640" t="n">
        <v>2</v>
      </c>
      <c r="L3147" s="640" t="n">
        <v>1</v>
      </c>
      <c r="M3147" s="623" t="inlineStr">
        <is>
          <t>Samsung 43" вертикальный</t>
        </is>
      </c>
      <c r="N3147" s="640" t="n"/>
      <c r="O3147" s="640">
        <f>IF(AND(N3147=1,L3147=1),K3147,"")</f>
        <v/>
      </c>
      <c r="P3147" s="642" t="inlineStr">
        <is>
          <t>Москва, Скаковая ул., д. 32, стр. 2</t>
        </is>
      </c>
      <c r="Q3147" s="640" t="inlineStr">
        <is>
          <t>55.778131</t>
        </is>
      </c>
      <c r="R3147" s="494" t="inlineStr">
        <is>
          <t>37.570815</t>
        </is>
      </c>
      <c r="S3147" s="387">
        <f>'Цены|Скидки'!$D$25</f>
        <v/>
      </c>
      <c r="T3147" s="387">
        <f>IF(N3147=1,S3147*O3147,0)</f>
        <v/>
      </c>
      <c r="Z3147" s="1" t="n"/>
    </row>
    <row r="3148" hidden="1" ht="16.05" customHeight="1">
      <c r="A3148" s="125" t="n">
        <v>3826</v>
      </c>
      <c r="B3148" s="125" t="inlineStr">
        <is>
          <t>WF</t>
        </is>
      </c>
      <c r="C3148" s="130" t="inlineStr">
        <is>
          <t>Москва</t>
        </is>
      </c>
      <c r="D3148" s="130" t="inlineStr">
        <is>
          <t>Москва</t>
        </is>
      </c>
      <c r="E3148" s="130" t="inlineStr">
        <is>
          <t>B+</t>
        </is>
      </c>
      <c r="F3148" s="130" t="inlineStr">
        <is>
          <t>Бизнес центр</t>
        </is>
      </c>
      <c r="G3148" s="130" t="inlineStr">
        <is>
          <t>Бизнес центр</t>
        </is>
      </c>
      <c r="H3148" s="131" t="n">
        <v>21000</v>
      </c>
      <c r="I3148" s="637" t="inlineStr">
        <is>
          <t>Ямское Поле</t>
        </is>
      </c>
      <c r="J3148" s="637" t="inlineStr">
        <is>
          <t>MSK_BC_Yamskoe_Pole</t>
        </is>
      </c>
      <c r="K3148" s="640" t="n">
        <v>3</v>
      </c>
      <c r="L3148" s="640" t="n">
        <v>1</v>
      </c>
      <c r="M3148" s="623" t="inlineStr">
        <is>
          <t>Samsung 43" вертикальный</t>
        </is>
      </c>
      <c r="N3148" s="640" t="n"/>
      <c r="O3148" s="640">
        <f>IF(AND(N3148=1,L3148=1),K3148,"")</f>
        <v/>
      </c>
      <c r="P3148" s="642" t="inlineStr">
        <is>
          <t>Москва, 3-я ул. Ямского Поля, 2, корп. 12</t>
        </is>
      </c>
      <c r="Q3148" s="640" t="inlineStr">
        <is>
          <t>55.78179</t>
        </is>
      </c>
      <c r="R3148" s="494" t="inlineStr">
        <is>
          <t>37.581936</t>
        </is>
      </c>
      <c r="S3148" s="387">
        <f>'Цены|Скидки'!$D$25</f>
        <v/>
      </c>
      <c r="T3148" s="387">
        <f>IF(N3148=1,S3148*O3148,0)</f>
        <v/>
      </c>
      <c r="Y3148" s="1" t="n"/>
      <c r="Z3148" s="1" t="n"/>
    </row>
    <row r="3149" hidden="1" ht="16.05" customHeight="1">
      <c r="A3149" s="125" t="n">
        <v>3827</v>
      </c>
      <c r="B3149" s="125" t="inlineStr">
        <is>
          <t>WF</t>
        </is>
      </c>
      <c r="C3149" s="130" t="inlineStr">
        <is>
          <t>Москва</t>
        </is>
      </c>
      <c r="D3149" s="130" t="inlineStr">
        <is>
          <t>Москва</t>
        </is>
      </c>
      <c r="E3149" s="130" t="inlineStr">
        <is>
          <t>A</t>
        </is>
      </c>
      <c r="F3149" s="130" t="inlineStr">
        <is>
          <t>Бизнес центр</t>
        </is>
      </c>
      <c r="G3149" s="130" t="inlineStr">
        <is>
          <t>Бизнес центр</t>
        </is>
      </c>
      <c r="H3149" s="131" t="n">
        <v>21752</v>
      </c>
      <c r="I3149" s="637" t="inlineStr">
        <is>
          <t>Правды 8</t>
        </is>
      </c>
      <c r="J3149" s="637" t="inlineStr">
        <is>
          <t>MSK_BC_Pravdy_8</t>
        </is>
      </c>
      <c r="K3149" s="640" t="n">
        <v>3</v>
      </c>
      <c r="L3149" s="640" t="n">
        <v>1</v>
      </c>
      <c r="M3149" s="623" t="inlineStr">
        <is>
          <t>Samsung 43" вертикальный</t>
        </is>
      </c>
      <c r="N3149" s="640" t="n"/>
      <c r="O3149" s="640">
        <f>IF(AND(N3149=1,L3149=1),K3149,"")</f>
        <v/>
      </c>
      <c r="P3149" s="642" t="inlineStr">
        <is>
          <t>Москва, Правды ул., д. 8, к. 13</t>
        </is>
      </c>
      <c r="Q3149" s="640" t="inlineStr">
        <is>
          <t>55.786803</t>
        </is>
      </c>
      <c r="R3149" s="494" t="inlineStr">
        <is>
          <t>37.580532</t>
        </is>
      </c>
      <c r="S3149" s="387">
        <f>'Цены|Скидки'!$D$25</f>
        <v/>
      </c>
      <c r="T3149" s="387">
        <f>IF(N3149=1,S3149*O3149,0)</f>
        <v/>
      </c>
      <c r="Z3149" s="1" t="n"/>
    </row>
    <row r="3150" hidden="1" ht="16.05" customHeight="1">
      <c r="A3150" s="125" t="n">
        <v>3828</v>
      </c>
      <c r="B3150" s="125" t="inlineStr">
        <is>
          <t>WF</t>
        </is>
      </c>
      <c r="C3150" s="130" t="inlineStr">
        <is>
          <t>Москва</t>
        </is>
      </c>
      <c r="D3150" s="130" t="inlineStr">
        <is>
          <t>Москва</t>
        </is>
      </c>
      <c r="E3150" s="130" t="inlineStr">
        <is>
          <t>B+</t>
        </is>
      </c>
      <c r="F3150" s="130" t="inlineStr">
        <is>
          <t>Бизнес центр</t>
        </is>
      </c>
      <c r="G3150" s="130" t="inlineStr">
        <is>
          <t>Бизнес центр</t>
        </is>
      </c>
      <c r="H3150" s="131" t="n">
        <v>16342</v>
      </c>
      <c r="I3150" s="637" t="inlineStr">
        <is>
          <t>Орликов Плаза</t>
        </is>
      </c>
      <c r="J3150" s="637" t="inlineStr">
        <is>
          <t>MSK_BC_Orlikov_Plaza</t>
        </is>
      </c>
      <c r="K3150" s="640" t="n">
        <v>1</v>
      </c>
      <c r="L3150" s="640" t="n">
        <v>1</v>
      </c>
      <c r="M3150" s="623" t="inlineStr">
        <is>
          <t>Samsung 55" вертикальный</t>
        </is>
      </c>
      <c r="N3150" s="640" t="n"/>
      <c r="O3150" s="640">
        <f>IF(AND(N3150=1,L3150=1),K3150,"")</f>
        <v/>
      </c>
      <c r="P3150" s="642" t="inlineStr">
        <is>
          <t>Москва, Орликов пер., д. 5, стр 2</t>
        </is>
      </c>
      <c r="Q3150" s="640" t="inlineStr">
        <is>
          <t>55.772349</t>
        </is>
      </c>
      <c r="R3150" s="494" t="inlineStr">
        <is>
          <t>37.649642</t>
        </is>
      </c>
      <c r="S3150" s="387">
        <f>'Цены|Скидки'!$D$25</f>
        <v/>
      </c>
      <c r="T3150" s="387">
        <f>IF(N3150=1,S3150*O3150,0)</f>
        <v/>
      </c>
      <c r="Z3150" s="1" t="n"/>
    </row>
    <row r="3151" hidden="1" ht="16.05" customHeight="1">
      <c r="A3151" s="125" t="n">
        <v>3829</v>
      </c>
      <c r="B3151" s="125" t="inlineStr">
        <is>
          <t>WF</t>
        </is>
      </c>
      <c r="C3151" s="130" t="inlineStr">
        <is>
          <t>Москва</t>
        </is>
      </c>
      <c r="D3151" s="130" t="inlineStr">
        <is>
          <t>Москва</t>
        </is>
      </c>
      <c r="E3151" s="130" t="inlineStr">
        <is>
          <t>B+</t>
        </is>
      </c>
      <c r="F3151" s="130" t="inlineStr">
        <is>
          <t>Бизнес центр</t>
        </is>
      </c>
      <c r="G3151" s="130" t="inlineStr">
        <is>
          <t>Бизнес центр</t>
        </is>
      </c>
      <c r="H3151" s="131" t="n">
        <v>33066</v>
      </c>
      <c r="I3151" s="637" t="inlineStr">
        <is>
          <t>Агат</t>
        </is>
      </c>
      <c r="J3151" s="637" t="inlineStr">
        <is>
          <t>MSK_BC_Agat</t>
        </is>
      </c>
      <c r="K3151" s="640" t="n">
        <v>2</v>
      </c>
      <c r="L3151" s="640" t="n">
        <v>1</v>
      </c>
      <c r="M3151" s="623" t="inlineStr">
        <is>
          <t>Samsung 43" вертикальный</t>
        </is>
      </c>
      <c r="N3151" s="640" t="n"/>
      <c r="O3151" s="640">
        <f>IF(AND(N3151=1,L3151=1),K3151,"")</f>
        <v/>
      </c>
      <c r="P3151" s="642" t="inlineStr">
        <is>
          <t>Москва, Большая Семёновская ул., д. 40</t>
        </is>
      </c>
      <c r="Q3151" s="640" t="inlineStr">
        <is>
          <t>55.780788</t>
        </is>
      </c>
      <c r="R3151" s="494" t="inlineStr">
        <is>
          <t>37.713076</t>
        </is>
      </c>
      <c r="S3151" s="387">
        <f>'Цены|Скидки'!$D$25</f>
        <v/>
      </c>
      <c r="T3151" s="387">
        <f>IF(N3151=1,S3151*O3151,0)</f>
        <v/>
      </c>
      <c r="Z3151" s="1" t="n"/>
    </row>
    <row r="3152" hidden="1" ht="16.05" customHeight="1">
      <c r="A3152" s="125" t="n">
        <v>3832</v>
      </c>
      <c r="B3152" s="125" t="inlineStr">
        <is>
          <t>WF</t>
        </is>
      </c>
      <c r="C3152" s="130" t="inlineStr">
        <is>
          <t>Москва</t>
        </is>
      </c>
      <c r="D3152" s="130" t="inlineStr">
        <is>
          <t>Москва</t>
        </is>
      </c>
      <c r="E3152" s="130" t="inlineStr">
        <is>
          <t>A</t>
        </is>
      </c>
      <c r="F3152" s="130" t="inlineStr">
        <is>
          <t>Бизнес центр</t>
        </is>
      </c>
      <c r="G3152" s="130" t="inlineStr">
        <is>
          <t>Бизнес центр</t>
        </is>
      </c>
      <c r="H3152" s="131" t="n">
        <v>79566</v>
      </c>
      <c r="I3152" s="637" t="inlineStr">
        <is>
          <t>Лофт Виль</t>
        </is>
      </c>
      <c r="J3152" s="637" t="inlineStr">
        <is>
          <t>MSK_BC_Loft_Vil</t>
        </is>
      </c>
      <c r="K3152" s="640" t="n">
        <v>2</v>
      </c>
      <c r="L3152" s="640" t="n">
        <v>1</v>
      </c>
      <c r="M3152" s="623" t="inlineStr">
        <is>
          <t>Samsung 32" вертикальный</t>
        </is>
      </c>
      <c r="N3152" s="640" t="n"/>
      <c r="O3152" s="640">
        <f>IF(AND(N3152=1,L3152=1),K3152,"")</f>
        <v/>
      </c>
      <c r="P3152" s="642" t="inlineStr">
        <is>
          <t>Москва, Павелецкая наб., 2, стр. 1</t>
        </is>
      </c>
      <c r="Q3152" s="640" t="inlineStr">
        <is>
          <t>55.715659</t>
        </is>
      </c>
      <c r="R3152" s="494" t="inlineStr">
        <is>
          <t>37.646082</t>
        </is>
      </c>
      <c r="S3152" s="387">
        <f>'Цены|Скидки'!$D$25</f>
        <v/>
      </c>
      <c r="T3152" s="387">
        <f>IF(N3152=1,S3152*O3152,0)</f>
        <v/>
      </c>
      <c r="Z3152" s="1" t="n"/>
    </row>
    <row r="3153" hidden="1" ht="16.05" customHeight="1">
      <c r="A3153" s="125" t="n">
        <v>3830</v>
      </c>
      <c r="B3153" s="125" t="inlineStr">
        <is>
          <t>WF</t>
        </is>
      </c>
      <c r="C3153" s="130" t="inlineStr">
        <is>
          <t>Москва</t>
        </is>
      </c>
      <c r="D3153" s="130" t="inlineStr">
        <is>
          <t>Москва</t>
        </is>
      </c>
      <c r="E3153" s="130" t="inlineStr">
        <is>
          <t>A</t>
        </is>
      </c>
      <c r="F3153" s="130" t="inlineStr">
        <is>
          <t>Бизнес центр</t>
        </is>
      </c>
      <c r="G3153" s="130" t="inlineStr">
        <is>
          <t>Бизнес центр</t>
        </is>
      </c>
      <c r="H3153" s="131" t="n">
        <v>28933</v>
      </c>
      <c r="I3153" s="637" t="inlineStr">
        <is>
          <t>Центр-Т</t>
        </is>
      </c>
      <c r="J3153" s="637" t="inlineStr">
        <is>
          <t>MSK_BC_Tsentr_T</t>
        </is>
      </c>
      <c r="K3153" s="640" t="n">
        <v>2</v>
      </c>
      <c r="L3153" s="640" t="n">
        <v>0</v>
      </c>
      <c r="M3153" s="640" t="inlineStr">
        <is>
          <t>Samsung 43" + 55" вертикальный</t>
        </is>
      </c>
      <c r="N3153" s="640" t="n"/>
      <c r="O3153" s="640">
        <f>IF(AND(N3153=1,L3153=1),K3153,"")</f>
        <v/>
      </c>
      <c r="P3153" s="642" t="inlineStr">
        <is>
          <t>Гамсоновский пер., д. 2, стр. 1</t>
        </is>
      </c>
      <c r="Q3153" s="640" t="inlineStr">
        <is>
          <t>55.7077</t>
        </is>
      </c>
      <c r="R3153" s="422" t="inlineStr">
        <is>
          <t>37.625813</t>
        </is>
      </c>
      <c r="S3153" s="387">
        <f>'Цены|Скидки'!$D$25</f>
        <v/>
      </c>
      <c r="T3153" s="387">
        <f>IF(N3153=1,S3153*O3153,0)</f>
        <v/>
      </c>
      <c r="X3153" s="1" t="n"/>
      <c r="Y3153" s="1" t="n"/>
      <c r="Z3153" s="1" t="n"/>
    </row>
    <row r="3154" hidden="1" ht="16.05" customHeight="1">
      <c r="A3154" s="125" t="n">
        <v>3831</v>
      </c>
      <c r="B3154" s="125" t="inlineStr">
        <is>
          <t>WF</t>
        </is>
      </c>
      <c r="C3154" s="130" t="inlineStr">
        <is>
          <t>Москва</t>
        </is>
      </c>
      <c r="D3154" s="130" t="inlineStr">
        <is>
          <t>Москва</t>
        </is>
      </c>
      <c r="E3154" s="130" t="inlineStr">
        <is>
          <t>B+</t>
        </is>
      </c>
      <c r="F3154" s="130" t="inlineStr">
        <is>
          <t>Бизнес центр</t>
        </is>
      </c>
      <c r="G3154" s="130" t="inlineStr">
        <is>
          <t>Бизнес центр</t>
        </is>
      </c>
      <c r="H3154" s="131" t="n">
        <v>11895</v>
      </c>
      <c r="I3154" s="637" t="inlineStr">
        <is>
          <t xml:space="preserve">Петровский </t>
        </is>
      </c>
      <c r="J3154" s="637" t="inlineStr">
        <is>
          <t>MSK_BC_Petrovskiy_</t>
        </is>
      </c>
      <c r="K3154" s="640" t="n">
        <v>1</v>
      </c>
      <c r="L3154" s="640" t="n">
        <v>0</v>
      </c>
      <c r="M3154" s="640" t="inlineStr">
        <is>
          <t>Samsung 32" вертикальный</t>
        </is>
      </c>
      <c r="N3154" s="640" t="n"/>
      <c r="O3154" s="640">
        <f>IF(AND(N3154=1,L3154=1),K3154,"")</f>
        <v/>
      </c>
      <c r="P3154" s="642" t="inlineStr">
        <is>
          <t>Нижняя ул., д. 14, стр. 4</t>
        </is>
      </c>
      <c r="Q3154" s="640" t="inlineStr">
        <is>
          <t>55.776365</t>
        </is>
      </c>
      <c r="R3154" s="422" t="inlineStr">
        <is>
          <t>37.571426</t>
        </is>
      </c>
      <c r="S3154" s="387">
        <f>'Цены|Скидки'!$D$25</f>
        <v/>
      </c>
      <c r="T3154" s="387">
        <f>IF(N3154=1,S3154*O3154,0)</f>
        <v/>
      </c>
      <c r="X3154" s="1" t="n"/>
      <c r="Y3154" s="1" t="n"/>
      <c r="Z3154" s="1" t="n"/>
    </row>
    <row r="3155" hidden="1" ht="16.05" customHeight="1">
      <c r="A3155" s="125" t="n">
        <v>3833</v>
      </c>
      <c r="B3155" s="125" t="inlineStr">
        <is>
          <t>WF</t>
        </is>
      </c>
      <c r="C3155" s="130" t="inlineStr">
        <is>
          <t>Москва</t>
        </is>
      </c>
      <c r="D3155" s="130" t="inlineStr">
        <is>
          <t>Москва</t>
        </is>
      </c>
      <c r="E3155" s="130" t="inlineStr">
        <is>
          <t>A</t>
        </is>
      </c>
      <c r="F3155" s="130" t="inlineStr">
        <is>
          <t>Бизнес центр</t>
        </is>
      </c>
      <c r="G3155" s="130" t="inlineStr">
        <is>
          <t>Бизнес центр</t>
        </is>
      </c>
      <c r="H3155" s="131" t="n">
        <v>30761</v>
      </c>
      <c r="I3155" s="637" t="inlineStr">
        <is>
          <t>КУБ</t>
        </is>
      </c>
      <c r="J3155" s="637" t="inlineStr">
        <is>
          <t>MSK_BC_KUB</t>
        </is>
      </c>
      <c r="K3155" s="640" t="n">
        <v>2</v>
      </c>
      <c r="L3155" s="640" t="n">
        <v>1</v>
      </c>
      <c r="M3155" s="623" t="inlineStr">
        <is>
          <t>Samsung 43" вертикальный</t>
        </is>
      </c>
      <c r="N3155" s="640" t="n"/>
      <c r="O3155" s="640">
        <f>IF(AND(N3155=1,L3155=1),K3155,"")</f>
        <v/>
      </c>
      <c r="P3155" s="642" t="inlineStr">
        <is>
          <t>Москва, Волгоградский просп., д. 47</t>
        </is>
      </c>
      <c r="Q3155" s="640" t="inlineStr">
        <is>
          <t>55.712459</t>
        </is>
      </c>
      <c r="R3155" s="494" t="inlineStr">
        <is>
          <t>37.72418</t>
        </is>
      </c>
      <c r="S3155" s="387">
        <f>'Цены|Скидки'!$D$25</f>
        <v/>
      </c>
      <c r="T3155" s="387">
        <f>IF(N3155=1,S3155*O3155,0)</f>
        <v/>
      </c>
      <c r="Z3155" s="1" t="n"/>
    </row>
    <row r="3156" hidden="1" ht="16.05" customHeight="1">
      <c r="A3156" s="125" t="n">
        <v>3835</v>
      </c>
      <c r="B3156" s="125" t="inlineStr">
        <is>
          <t>WF</t>
        </is>
      </c>
      <c r="C3156" s="130" t="inlineStr">
        <is>
          <t>Москва</t>
        </is>
      </c>
      <c r="D3156" s="130" t="inlineStr">
        <is>
          <t>Москва</t>
        </is>
      </c>
      <c r="E3156" s="130" t="inlineStr">
        <is>
          <t>A</t>
        </is>
      </c>
      <c r="F3156" s="130" t="inlineStr">
        <is>
          <t>Бизнес центр</t>
        </is>
      </c>
      <c r="G3156" s="130" t="inlineStr">
        <is>
          <t>Бизнес центр</t>
        </is>
      </c>
      <c r="H3156" s="131" t="n">
        <v>36667</v>
      </c>
      <c r="I3156" s="637" t="inlineStr">
        <is>
          <t>East Gate</t>
        </is>
      </c>
      <c r="J3156" s="637" t="inlineStr">
        <is>
          <t>MSK_BC_Vostochnye_Vorota</t>
        </is>
      </c>
      <c r="K3156" s="640" t="n">
        <v>3</v>
      </c>
      <c r="L3156" s="640" t="n">
        <v>1</v>
      </c>
      <c r="M3156" s="623" t="inlineStr">
        <is>
          <t>Samsung 43" вертикальный</t>
        </is>
      </c>
      <c r="N3156" s="640" t="n"/>
      <c r="O3156" s="640">
        <f>IF(AND(N3156=1,L3156=1),K3156,"")</f>
        <v/>
      </c>
      <c r="P3156" s="642" t="inlineStr">
        <is>
          <t>Москва, Щелковское шоссе, д. 100, к. 5</t>
        </is>
      </c>
      <c r="Q3156" s="640" t="inlineStr">
        <is>
          <t>55.812024</t>
        </is>
      </c>
      <c r="R3156" s="494" t="inlineStr">
        <is>
          <t>37.833994</t>
        </is>
      </c>
      <c r="S3156" s="387">
        <f>'Цены|Скидки'!$D$25</f>
        <v/>
      </c>
      <c r="T3156" s="387">
        <f>IF(N3156=1,S3156*O3156,0)</f>
        <v/>
      </c>
      <c r="Z3156" s="1" t="n"/>
    </row>
    <row r="3157" hidden="1" ht="16.05" customHeight="1">
      <c r="A3157" s="125" t="n">
        <v>3834</v>
      </c>
      <c r="B3157" s="125" t="inlineStr">
        <is>
          <t>WF</t>
        </is>
      </c>
      <c r="C3157" s="130" t="inlineStr">
        <is>
          <t>Москва</t>
        </is>
      </c>
      <c r="D3157" s="130" t="inlineStr">
        <is>
          <t>Москва</t>
        </is>
      </c>
      <c r="E3157" s="130" t="inlineStr">
        <is>
          <t>B+</t>
        </is>
      </c>
      <c r="F3157" s="130" t="inlineStr">
        <is>
          <t>Бизнес центр</t>
        </is>
      </c>
      <c r="G3157" s="130" t="inlineStr">
        <is>
          <t>Бизнес центр</t>
        </is>
      </c>
      <c r="H3157" s="131" t="n">
        <v>19316</v>
      </c>
      <c r="I3157" s="637" t="inlineStr">
        <is>
          <t>Ау Рум</t>
        </is>
      </c>
      <c r="J3157" s="637" t="inlineStr">
        <is>
          <t>MSK_BC_Au_Rum</t>
        </is>
      </c>
      <c r="K3157" s="640" t="n">
        <v>1</v>
      </c>
      <c r="L3157" s="640" t="n">
        <v>0</v>
      </c>
      <c r="M3157" s="640" t="inlineStr">
        <is>
          <t>Samsung 43" вертикальный</t>
        </is>
      </c>
      <c r="N3157" s="640" t="n"/>
      <c r="O3157" s="640">
        <f>IF(AND(N3157=1,L3157=1),K3157,"")</f>
        <v/>
      </c>
      <c r="P3157" s="642" t="inlineStr">
        <is>
          <t>Золоторожский вал, д. 32, стр., 15</t>
        </is>
      </c>
      <c r="Q3157" s="640" t="inlineStr">
        <is>
          <t>55.74944</t>
        </is>
      </c>
      <c r="R3157" s="422" t="inlineStr">
        <is>
          <t>37.683212</t>
        </is>
      </c>
      <c r="S3157" s="387">
        <f>'Цены|Скидки'!$D$25</f>
        <v/>
      </c>
      <c r="T3157" s="387">
        <f>IF(N3157=1,S3157*O3157,0)</f>
        <v/>
      </c>
      <c r="X3157" s="1" t="n"/>
      <c r="Y3157" s="1" t="n"/>
      <c r="Z3157" s="1" t="n"/>
    </row>
    <row r="3158" hidden="1" ht="16.05" customHeight="1">
      <c r="A3158" s="125" t="n">
        <v>3837</v>
      </c>
      <c r="B3158" s="125" t="inlineStr">
        <is>
          <t>WF</t>
        </is>
      </c>
      <c r="C3158" s="130" t="inlineStr">
        <is>
          <t>Москва</t>
        </is>
      </c>
      <c r="D3158" s="130" t="inlineStr">
        <is>
          <t>Москва</t>
        </is>
      </c>
      <c r="E3158" s="130" t="inlineStr">
        <is>
          <t>A</t>
        </is>
      </c>
      <c r="F3158" s="130" t="inlineStr">
        <is>
          <t>Бизнес центр</t>
        </is>
      </c>
      <c r="G3158" s="130" t="inlineStr">
        <is>
          <t>Бизнес центр</t>
        </is>
      </c>
      <c r="H3158" s="131" t="n">
        <v>19502</v>
      </c>
      <c r="I3158" s="637" t="inlineStr">
        <is>
          <t>РТС Селигерская</t>
        </is>
      </c>
      <c r="J3158" s="637" t="inlineStr">
        <is>
          <t>MSK_BC_RTS_Seligerskaya</t>
        </is>
      </c>
      <c r="K3158" s="640" t="n">
        <v>4</v>
      </c>
      <c r="L3158" s="640" t="n">
        <v>1</v>
      </c>
      <c r="M3158" s="623" t="inlineStr">
        <is>
          <t>Samsung 32" + 43" вертикальный</t>
        </is>
      </c>
      <c r="N3158" s="640" t="n"/>
      <c r="O3158" s="640">
        <f>IF(AND(N3158=1,L3158=1),K3158,"")</f>
        <v/>
      </c>
      <c r="P3158" s="642" t="inlineStr">
        <is>
          <t>Москва, Дмитровское ш., д. 85</t>
        </is>
      </c>
      <c r="Q3158" s="640" t="inlineStr">
        <is>
          <t>55.862722</t>
        </is>
      </c>
      <c r="R3158" s="494" t="inlineStr">
        <is>
          <t>37.547836</t>
        </is>
      </c>
      <c r="S3158" s="387">
        <f>'Цены|Скидки'!$D$25</f>
        <v/>
      </c>
      <c r="T3158" s="387">
        <f>IF(N3158=1,S3158*O3158,0)</f>
        <v/>
      </c>
      <c r="Z3158" s="1" t="n"/>
    </row>
    <row r="3159" hidden="1" ht="16.05" customHeight="1">
      <c r="A3159" s="125" t="n">
        <v>3836</v>
      </c>
      <c r="B3159" s="125" t="inlineStr">
        <is>
          <t>WF</t>
        </is>
      </c>
      <c r="C3159" s="130" t="inlineStr">
        <is>
          <t>Москва</t>
        </is>
      </c>
      <c r="D3159" s="130" t="inlineStr">
        <is>
          <t>Москва</t>
        </is>
      </c>
      <c r="E3159" s="130" t="inlineStr">
        <is>
          <t>B+</t>
        </is>
      </c>
      <c r="F3159" s="130" t="inlineStr">
        <is>
          <t>Бизнес центр</t>
        </is>
      </c>
      <c r="G3159" s="130" t="inlineStr">
        <is>
          <t>Бизнес центр</t>
        </is>
      </c>
      <c r="H3159" s="131" t="n">
        <v>40000</v>
      </c>
      <c r="I3159" s="637" t="inlineStr">
        <is>
          <t>Фаворит</t>
        </is>
      </c>
      <c r="J3159" s="402" t="inlineStr">
        <is>
          <t>MSK_BC_Favorit</t>
        </is>
      </c>
      <c r="K3159" s="640" t="n">
        <v>2</v>
      </c>
      <c r="L3159" s="640" t="n">
        <v>0</v>
      </c>
      <c r="M3159" s="640" t="inlineStr">
        <is>
          <t>ФОТО</t>
        </is>
      </c>
      <c r="N3159" s="640" t="n"/>
      <c r="O3159" s="640">
        <f>IF(AND(N3159=1,L3159=1),K3159,"")</f>
        <v/>
      </c>
      <c r="P3159" s="642" t="inlineStr">
        <is>
          <t>Электролитный проезд, д. 3, стр. 2</t>
        </is>
      </c>
      <c r="Q3159" s="640" t="n">
        <v>55.675245</v>
      </c>
      <c r="R3159" s="422" t="n">
        <v>37.617312</v>
      </c>
      <c r="S3159" s="387">
        <f>'Цены|Скидки'!$D$25</f>
        <v/>
      </c>
      <c r="T3159" s="387">
        <f>IF(N3159=1,S3159*O3159,0)</f>
        <v/>
      </c>
      <c r="X3159" s="1" t="n"/>
      <c r="Y3159" s="1" t="n"/>
      <c r="Z3159" s="1" t="n"/>
    </row>
    <row r="3160" hidden="1" ht="16.05" customHeight="1">
      <c r="A3160" s="125" t="n">
        <v>3838</v>
      </c>
      <c r="B3160" s="125" t="inlineStr">
        <is>
          <t>WF</t>
        </is>
      </c>
      <c r="C3160" s="130" t="inlineStr">
        <is>
          <t>Москва</t>
        </is>
      </c>
      <c r="D3160" s="130" t="inlineStr">
        <is>
          <t>Москва</t>
        </is>
      </c>
      <c r="E3160" s="130" t="inlineStr">
        <is>
          <t>A</t>
        </is>
      </c>
      <c r="F3160" s="130" t="inlineStr">
        <is>
          <t>Бизнес центр</t>
        </is>
      </c>
      <c r="G3160" s="130" t="inlineStr">
        <is>
          <t>Бизнес центр</t>
        </is>
      </c>
      <c r="H3160" s="131" t="n">
        <v>22816</v>
      </c>
      <c r="I3160" s="637" t="inlineStr">
        <is>
          <t>Стэндхол</t>
        </is>
      </c>
      <c r="J3160" s="637" t="inlineStr">
        <is>
          <t>MSK_BC_Stendal</t>
        </is>
      </c>
      <c r="K3160" s="640" t="n">
        <v>2</v>
      </c>
      <c r="L3160" s="640" t="n">
        <v>1</v>
      </c>
      <c r="M3160" s="623" t="inlineStr">
        <is>
          <t>Samsung 55" вертикальный</t>
        </is>
      </c>
      <c r="N3160" s="640" t="n"/>
      <c r="O3160" s="640">
        <f>IF(AND(N3160=1,L3160=1),K3160,"")</f>
        <v/>
      </c>
      <c r="P3160" s="642" t="inlineStr">
        <is>
          <t>Москва, Новорязанская ул., д. 18, стр. 2</t>
        </is>
      </c>
      <c r="Q3160" s="640" t="inlineStr">
        <is>
          <t>55.772183</t>
        </is>
      </c>
      <c r="R3160" s="494" t="inlineStr">
        <is>
          <t>37.661985</t>
        </is>
      </c>
      <c r="S3160" s="387">
        <f>'Цены|Скидки'!$D$25</f>
        <v/>
      </c>
      <c r="T3160" s="387">
        <f>IF(N3160=1,S3160*O3160,0)</f>
        <v/>
      </c>
      <c r="Z3160" s="1" t="n"/>
    </row>
    <row r="3161" hidden="1" ht="16.05" customHeight="1">
      <c r="A3161" s="125" t="n">
        <v>3839</v>
      </c>
      <c r="B3161" s="125" t="inlineStr">
        <is>
          <t>WF</t>
        </is>
      </c>
      <c r="C3161" s="130" t="inlineStr">
        <is>
          <t>Москва</t>
        </is>
      </c>
      <c r="D3161" s="130" t="inlineStr">
        <is>
          <t>Москва</t>
        </is>
      </c>
      <c r="E3161" s="130" t="inlineStr">
        <is>
          <t>A</t>
        </is>
      </c>
      <c r="F3161" s="130" t="inlineStr">
        <is>
          <t>Бизнес центр</t>
        </is>
      </c>
      <c r="G3161" s="130" t="inlineStr">
        <is>
          <t>Бизнес центр</t>
        </is>
      </c>
      <c r="H3161" s="131" t="n">
        <v>11101</v>
      </c>
      <c r="I3161" s="637" t="inlineStr">
        <is>
          <t>Прогресс Плаза</t>
        </is>
      </c>
      <c r="J3161" s="637" t="inlineStr">
        <is>
          <t>MSK_BC_Progress_Plaza</t>
        </is>
      </c>
      <c r="K3161" s="640" t="n">
        <v>3</v>
      </c>
      <c r="L3161" s="640" t="n">
        <v>1</v>
      </c>
      <c r="M3161" s="623" t="inlineStr">
        <is>
          <t>Samsung 43" вертикальный</t>
        </is>
      </c>
      <c r="N3161" s="640" t="n"/>
      <c r="O3161" s="640">
        <f>IF(AND(N3161=1,L3161=1),K3161,"")</f>
        <v/>
      </c>
      <c r="P3161" s="642" t="inlineStr">
        <is>
          <t>Москва, Шарикоподшипниковская ул., д. 1</t>
        </is>
      </c>
      <c r="Q3161" s="640" t="inlineStr">
        <is>
          <t>55.722953</t>
        </is>
      </c>
      <c r="R3161" s="494" t="inlineStr">
        <is>
          <t>37.665641</t>
        </is>
      </c>
      <c r="S3161" s="387">
        <f>'Цены|Скидки'!$D$25</f>
        <v/>
      </c>
      <c r="T3161" s="387">
        <f>IF(N3161=1,S3161*O3161,0)</f>
        <v/>
      </c>
      <c r="Z3161" s="1" t="n"/>
    </row>
    <row r="3162" hidden="1" ht="16.05" customHeight="1">
      <c r="A3162" s="125" t="n">
        <v>3840</v>
      </c>
      <c r="B3162" s="125" t="inlineStr">
        <is>
          <t>WF</t>
        </is>
      </c>
      <c r="C3162" s="130" t="inlineStr">
        <is>
          <t>Москва</t>
        </is>
      </c>
      <c r="D3162" s="130" t="inlineStr">
        <is>
          <t>Москва</t>
        </is>
      </c>
      <c r="E3162" s="130" t="inlineStr">
        <is>
          <t>B+</t>
        </is>
      </c>
      <c r="F3162" s="130" t="inlineStr">
        <is>
          <t>Бизнес центр</t>
        </is>
      </c>
      <c r="G3162" s="130" t="inlineStr">
        <is>
          <t>Бизнес центр</t>
        </is>
      </c>
      <c r="H3162" s="131" t="n">
        <v>93000</v>
      </c>
      <c r="I3162" s="637" t="inlineStr">
        <is>
          <t>Нижегородский</t>
        </is>
      </c>
      <c r="J3162" s="637" t="inlineStr">
        <is>
          <t>MSK_BC_Nizhegorodskiy</t>
        </is>
      </c>
      <c r="K3162" s="640" t="n">
        <v>2</v>
      </c>
      <c r="L3162" s="640" t="n">
        <v>1</v>
      </c>
      <c r="M3162" s="623" t="inlineStr">
        <is>
          <t>Samsung 43" вертикальный</t>
        </is>
      </c>
      <c r="N3162" s="640" t="n"/>
      <c r="O3162" s="640">
        <f>IF(AND(N3162=1,L3162=1),K3162,"")</f>
        <v/>
      </c>
      <c r="P3162" s="642" t="inlineStr">
        <is>
          <t>Москва, Нижегородская ул., д. 29/33, стр. 4</t>
        </is>
      </c>
      <c r="Q3162" s="640" t="inlineStr">
        <is>
          <t>55.733579</t>
        </is>
      </c>
      <c r="R3162" s="494" t="inlineStr">
        <is>
          <t>37.712722</t>
        </is>
      </c>
      <c r="S3162" s="387">
        <f>'Цены|Скидки'!$D$25</f>
        <v/>
      </c>
      <c r="T3162" s="387">
        <f>IF(N3162=1,S3162*O3162,0)</f>
        <v/>
      </c>
      <c r="Z3162" s="1" t="n"/>
    </row>
    <row r="3163" hidden="1" ht="16.05" customHeight="1">
      <c r="A3163" s="125" t="n">
        <v>3842</v>
      </c>
      <c r="B3163" s="125" t="inlineStr">
        <is>
          <t>WF</t>
        </is>
      </c>
      <c r="C3163" s="130" t="inlineStr">
        <is>
          <t>Москва</t>
        </is>
      </c>
      <c r="D3163" s="130" t="inlineStr">
        <is>
          <t>Москва</t>
        </is>
      </c>
      <c r="E3163" s="130" t="inlineStr">
        <is>
          <t>B</t>
        </is>
      </c>
      <c r="F3163" s="130" t="inlineStr">
        <is>
          <t>Бизнес центр</t>
        </is>
      </c>
      <c r="G3163" s="130" t="inlineStr">
        <is>
          <t>Бизнес центр</t>
        </is>
      </c>
      <c r="H3163" s="131" t="n">
        <v>10166</v>
      </c>
      <c r="I3163" s="637" t="inlineStr">
        <is>
          <t>Вятка</t>
        </is>
      </c>
      <c r="J3163" s="637" t="inlineStr">
        <is>
          <t>MSK_BC_Vyatka</t>
        </is>
      </c>
      <c r="K3163" s="640" t="n">
        <v>1</v>
      </c>
      <c r="L3163" s="640" t="n">
        <v>1</v>
      </c>
      <c r="M3163" s="623" t="inlineStr">
        <is>
          <t>Samsung 43" вертикальный</t>
        </is>
      </c>
      <c r="N3163" s="640" t="n"/>
      <c r="O3163" s="640">
        <f>IF(AND(N3163=1,L3163=1),K3163,"")</f>
        <v/>
      </c>
      <c r="P3163" s="642" t="inlineStr">
        <is>
          <t>Москва, Вятская ул., д. 35, стр. 4</t>
        </is>
      </c>
      <c r="Q3163" s="640" t="inlineStr">
        <is>
          <t>55.798383</t>
        </is>
      </c>
      <c r="R3163" s="494" t="inlineStr">
        <is>
          <t>37.580427</t>
        </is>
      </c>
      <c r="S3163" s="387">
        <f>'Цены|Скидки'!$D$25</f>
        <v/>
      </c>
      <c r="T3163" s="387">
        <f>IF(N3163=1,S3163*O3163,0)</f>
        <v/>
      </c>
      <c r="Z3163" s="1" t="n"/>
    </row>
    <row r="3164" hidden="1" ht="16.05" customHeight="1">
      <c r="A3164" s="125" t="n">
        <v>3841</v>
      </c>
      <c r="B3164" s="125" t="inlineStr">
        <is>
          <t>WF</t>
        </is>
      </c>
      <c r="C3164" s="130" t="inlineStr">
        <is>
          <t>Москва</t>
        </is>
      </c>
      <c r="D3164" s="130" t="inlineStr">
        <is>
          <t>Москва</t>
        </is>
      </c>
      <c r="E3164" s="130" t="inlineStr">
        <is>
          <t>B+</t>
        </is>
      </c>
      <c r="F3164" s="130" t="inlineStr">
        <is>
          <t>Бизнес центр</t>
        </is>
      </c>
      <c r="G3164" s="130" t="inlineStr">
        <is>
          <t>Бизнес центр</t>
        </is>
      </c>
      <c r="H3164" s="131" t="n">
        <v>54766</v>
      </c>
      <c r="I3164" s="637" t="inlineStr">
        <is>
          <t>Смирновский</t>
        </is>
      </c>
      <c r="J3164" s="637" t="inlineStr">
        <is>
          <t>MSK_BC_Smirnovskiy</t>
        </is>
      </c>
      <c r="K3164" s="640" t="n">
        <v>2</v>
      </c>
      <c r="L3164" s="640" t="n">
        <v>0</v>
      </c>
      <c r="M3164" s="640" t="inlineStr">
        <is>
          <t>Samsung 32" + 43" вертикальный</t>
        </is>
      </c>
      <c r="N3164" s="640" t="n"/>
      <c r="O3164" s="640">
        <f>IF(AND(N3164=1,L3164=1),K3164,"")</f>
        <v/>
      </c>
      <c r="P3164" s="642" t="inlineStr">
        <is>
          <t>Смирновская ул., д. 25, стр 2</t>
        </is>
      </c>
      <c r="Q3164" s="640" t="inlineStr">
        <is>
          <t>55.735337</t>
        </is>
      </c>
      <c r="R3164" s="422" t="inlineStr">
        <is>
          <t>37.714788</t>
        </is>
      </c>
      <c r="S3164" s="387">
        <f>'Цены|Скидки'!$D$25</f>
        <v/>
      </c>
      <c r="T3164" s="387">
        <f>IF(N3164=1,S3164*O3164,0)</f>
        <v/>
      </c>
      <c r="X3164" s="1" t="n"/>
      <c r="Y3164" s="1" t="n"/>
      <c r="Z3164" s="1" t="n"/>
    </row>
    <row r="3165" hidden="1" ht="16.05" customHeight="1">
      <c r="A3165" s="125" t="n">
        <v>3843</v>
      </c>
      <c r="B3165" s="125" t="inlineStr">
        <is>
          <t>WF</t>
        </is>
      </c>
      <c r="C3165" s="130" t="inlineStr">
        <is>
          <t>Москва</t>
        </is>
      </c>
      <c r="D3165" s="130" t="inlineStr">
        <is>
          <t>Москва</t>
        </is>
      </c>
      <c r="E3165" s="130" t="inlineStr">
        <is>
          <t>A</t>
        </is>
      </c>
      <c r="F3165" s="130" t="inlineStr">
        <is>
          <t>Бизнес центр</t>
        </is>
      </c>
      <c r="G3165" s="130" t="inlineStr">
        <is>
          <t>Бизнес центр</t>
        </is>
      </c>
      <c r="H3165" s="131" t="n">
        <v>34634</v>
      </c>
      <c r="I3165" s="637" t="inlineStr">
        <is>
          <t>Яуза Тауэр</t>
        </is>
      </c>
      <c r="J3165" s="637" t="inlineStr">
        <is>
          <t>MSK_BC_Yauza_Tauer</t>
        </is>
      </c>
      <c r="K3165" s="640" t="n">
        <v>3</v>
      </c>
      <c r="L3165" s="640" t="n">
        <v>1</v>
      </c>
      <c r="M3165" s="623" t="inlineStr">
        <is>
          <t>Samsung 32" вертикальный</t>
        </is>
      </c>
      <c r="N3165" s="640" t="n"/>
      <c r="O3165" s="640">
        <f>IF(AND(N3165=1,L3165=1),K3165,"")</f>
        <v/>
      </c>
      <c r="P3165" s="642" t="inlineStr">
        <is>
          <t>Москва, Радио ул, д. 24, к. 1</t>
        </is>
      </c>
      <c r="Q3165" s="640" t="inlineStr">
        <is>
          <t>55.761831</t>
        </is>
      </c>
      <c r="R3165" s="494" t="inlineStr">
        <is>
          <t>37.683221</t>
        </is>
      </c>
      <c r="S3165" s="387">
        <f>'Цены|Скидки'!$D$25</f>
        <v/>
      </c>
      <c r="T3165" s="387">
        <f>IF(N3165=1,S3165*O3165,0)</f>
        <v/>
      </c>
      <c r="Z3165" s="1" t="n"/>
    </row>
    <row r="3166" hidden="1" ht="16.05" customHeight="1">
      <c r="A3166" s="125" t="n">
        <v>3844</v>
      </c>
      <c r="B3166" s="125" t="inlineStr">
        <is>
          <t>WF</t>
        </is>
      </c>
      <c r="C3166" s="130" t="inlineStr">
        <is>
          <t>Москва</t>
        </is>
      </c>
      <c r="D3166" s="130" t="inlineStr">
        <is>
          <t>Москва</t>
        </is>
      </c>
      <c r="E3166" s="130" t="inlineStr">
        <is>
          <t>A</t>
        </is>
      </c>
      <c r="F3166" s="130" t="inlineStr">
        <is>
          <t>Бизнес центр</t>
        </is>
      </c>
      <c r="G3166" s="130" t="inlineStr">
        <is>
          <t>Бизнес центр</t>
        </is>
      </c>
      <c r="H3166" s="131" t="n">
        <v>37575</v>
      </c>
      <c r="I3166" s="637" t="inlineStr">
        <is>
          <t>Ростэк</t>
        </is>
      </c>
      <c r="J3166" s="637" t="inlineStr">
        <is>
          <t>MSK_BC_Rostek</t>
        </is>
      </c>
      <c r="K3166" s="640" t="n">
        <v>1</v>
      </c>
      <c r="L3166" s="640" t="n">
        <v>1</v>
      </c>
      <c r="M3166" s="623" t="inlineStr">
        <is>
          <t>Samsung 43" вертикальный</t>
        </is>
      </c>
      <c r="N3166" s="640" t="n"/>
      <c r="O3166" s="640">
        <f>IF(AND(N3166=1,L3166=1),K3166,"")</f>
        <v/>
      </c>
      <c r="P3166" s="642" t="inlineStr">
        <is>
          <t>Москва, Проезд завода Серп и Молот, д. 6, стр. 1</t>
        </is>
      </c>
      <c r="Q3166" s="640" t="inlineStr">
        <is>
          <t>55.753828</t>
        </is>
      </c>
      <c r="R3166" s="494" t="inlineStr">
        <is>
          <t>37.699041</t>
        </is>
      </c>
      <c r="S3166" s="387">
        <f>'Цены|Скидки'!$D$25</f>
        <v/>
      </c>
      <c r="T3166" s="387">
        <f>IF(N3166=1,S3166*O3166,0)</f>
        <v/>
      </c>
      <c r="Z3166" s="1" t="n"/>
    </row>
    <row r="3167" hidden="1" ht="16.05" customHeight="1">
      <c r="A3167" s="125" t="n">
        <v>3845</v>
      </c>
      <c r="B3167" s="125" t="inlineStr">
        <is>
          <t>WF</t>
        </is>
      </c>
      <c r="C3167" s="130" t="inlineStr">
        <is>
          <t>Москва</t>
        </is>
      </c>
      <c r="D3167" s="130" t="inlineStr">
        <is>
          <t>Москва</t>
        </is>
      </c>
      <c r="E3167" s="130" t="inlineStr">
        <is>
          <t>A</t>
        </is>
      </c>
      <c r="F3167" s="130" t="inlineStr">
        <is>
          <t>Бизнес центр</t>
        </is>
      </c>
      <c r="G3167" s="130" t="inlineStr">
        <is>
          <t>Бизнес центр</t>
        </is>
      </c>
      <c r="H3167" s="131" t="n">
        <v>28495</v>
      </c>
      <c r="I3167" s="637" t="inlineStr">
        <is>
          <t>Four Winds</t>
        </is>
      </c>
      <c r="J3167" s="637" t="inlineStr">
        <is>
          <t>MSK_BC_Four_Winds</t>
        </is>
      </c>
      <c r="K3167" s="640" t="n">
        <v>2</v>
      </c>
      <c r="L3167" s="640" t="n">
        <v>1</v>
      </c>
      <c r="M3167" s="623" t="inlineStr">
        <is>
          <t>Samsung 32" вертикальный</t>
        </is>
      </c>
      <c r="N3167" s="640" t="n"/>
      <c r="O3167" s="640">
        <f>IF(AND(N3167=1,L3167=1),K3167,"")</f>
        <v/>
      </c>
      <c r="P3167" s="642" t="inlineStr">
        <is>
          <t>Москва, 1-я Тверская-Ямская ул., д. 21</t>
        </is>
      </c>
      <c r="Q3167" s="640" t="inlineStr">
        <is>
          <t>55.774563</t>
        </is>
      </c>
      <c r="R3167" s="494" t="inlineStr">
        <is>
          <t>37.587128</t>
        </is>
      </c>
      <c r="S3167" s="387">
        <f>'Цены|Скидки'!$D$25</f>
        <v/>
      </c>
      <c r="T3167" s="387">
        <f>IF(N3167=1,S3167*O3167,0)</f>
        <v/>
      </c>
      <c r="Z3167" s="1" t="n"/>
    </row>
    <row r="3168" hidden="1" ht="16.05" customHeight="1">
      <c r="A3168" s="125" t="n">
        <v>3846</v>
      </c>
      <c r="B3168" s="125" t="inlineStr">
        <is>
          <t>WF</t>
        </is>
      </c>
      <c r="C3168" s="130" t="inlineStr">
        <is>
          <t>Санкт-Петербург</t>
        </is>
      </c>
      <c r="D3168" s="130" t="inlineStr">
        <is>
          <t>Санкт-Петербург</t>
        </is>
      </c>
      <c r="E3168" s="130" t="inlineStr">
        <is>
          <t>B</t>
        </is>
      </c>
      <c r="F3168" s="130" t="inlineStr">
        <is>
          <t>Бизнес центр</t>
        </is>
      </c>
      <c r="G3168" s="130" t="inlineStr">
        <is>
          <t>Бизнес центр</t>
        </is>
      </c>
      <c r="H3168" s="131" t="n">
        <v>6103</v>
      </c>
      <c r="I3168" s="637" t="inlineStr">
        <is>
          <t>Александро-Невская мануфактура</t>
        </is>
      </c>
      <c r="J3168" s="637" t="inlineStr">
        <is>
          <t>SPB_BC_Aleksandro_Nevskaya_manufaktura</t>
        </is>
      </c>
      <c r="K3168" s="640" t="n">
        <v>1</v>
      </c>
      <c r="L3168" s="640" t="n">
        <v>1</v>
      </c>
      <c r="M3168" s="623" t="inlineStr">
        <is>
          <t>LED/32'/верт</t>
        </is>
      </c>
      <c r="N3168" s="640" t="n"/>
      <c r="O3168" s="640">
        <f>IF(AND(N3168=1,L3168=1),K3168,"")</f>
        <v/>
      </c>
      <c r="P3168" s="642" t="inlineStr">
        <is>
          <t>Санкт-Петербург, пр. Обуховской Обороны 70, к 2</t>
        </is>
      </c>
      <c r="Q3168" s="640" t="inlineStr">
        <is>
          <t>59.900597</t>
        </is>
      </c>
      <c r="R3168" s="494" t="inlineStr">
        <is>
          <t>30.429577</t>
        </is>
      </c>
      <c r="S3168" s="387">
        <f>'Цены|Скидки'!$E$25</f>
        <v/>
      </c>
      <c r="T3168" s="387">
        <f>IF(N3168=1,S3168*O3168,0)</f>
        <v/>
      </c>
      <c r="Z3168" s="1" t="n"/>
    </row>
    <row r="3169" hidden="1" ht="16.05" customHeight="1">
      <c r="A3169" s="125" t="n">
        <v>3847</v>
      </c>
      <c r="B3169" s="125" t="inlineStr">
        <is>
          <t>WF</t>
        </is>
      </c>
      <c r="C3169" s="130" t="inlineStr">
        <is>
          <t>Санкт-Петербург</t>
        </is>
      </c>
      <c r="D3169" s="130" t="inlineStr">
        <is>
          <t>Санкт-Петербург</t>
        </is>
      </c>
      <c r="E3169" s="130" t="inlineStr">
        <is>
          <t>B+</t>
        </is>
      </c>
      <c r="F3169" s="130" t="inlineStr">
        <is>
          <t>Бизнес центр</t>
        </is>
      </c>
      <c r="G3169" s="130" t="inlineStr">
        <is>
          <t>Бизнес центр</t>
        </is>
      </c>
      <c r="H3169" s="131" t="n">
        <v>15822</v>
      </c>
      <c r="I3169" s="637" t="inlineStr">
        <is>
          <t>Акватория</t>
        </is>
      </c>
      <c r="J3169" s="637" t="inlineStr">
        <is>
          <t>SPB_BC_Akvatoriya</t>
        </is>
      </c>
      <c r="K3169" s="640" t="n">
        <v>1</v>
      </c>
      <c r="L3169" s="640" t="n">
        <v>1</v>
      </c>
      <c r="M3169" s="623" t="inlineStr">
        <is>
          <t>LED/40'/верт</t>
        </is>
      </c>
      <c r="N3169" s="640" t="n"/>
      <c r="O3169" s="640">
        <f>IF(AND(N3169=1,L3169=1),K3169,"")</f>
        <v/>
      </c>
      <c r="P3169" s="642" t="inlineStr">
        <is>
          <t>Санкт-Петербург, Выборгская набережная, д. 61</t>
        </is>
      </c>
      <c r="Q3169" s="640" t="inlineStr">
        <is>
          <t>59.980682</t>
        </is>
      </c>
      <c r="R3169" s="494" t="inlineStr">
        <is>
          <t>30.322471</t>
        </is>
      </c>
      <c r="S3169" s="387">
        <f>'Цены|Скидки'!$E$25</f>
        <v/>
      </c>
      <c r="T3169" s="387">
        <f>IF(N3169=1,S3169*O3169,0)</f>
        <v/>
      </c>
      <c r="Z3169" s="1" t="n"/>
    </row>
    <row r="3170" hidden="1" ht="16.05" customHeight="1">
      <c r="A3170" s="125" t="n">
        <v>3848</v>
      </c>
      <c r="B3170" s="125" t="inlineStr">
        <is>
          <t>WF</t>
        </is>
      </c>
      <c r="C3170" s="130" t="inlineStr">
        <is>
          <t>Санкт-Петербург</t>
        </is>
      </c>
      <c r="D3170" s="130" t="inlineStr">
        <is>
          <t>Санкт-Петербург</t>
        </is>
      </c>
      <c r="E3170" s="130" t="inlineStr">
        <is>
          <t>B+</t>
        </is>
      </c>
      <c r="F3170" s="130" t="inlineStr">
        <is>
          <t>Бизнес центр</t>
        </is>
      </c>
      <c r="G3170" s="130" t="inlineStr">
        <is>
          <t>Бизнес центр</t>
        </is>
      </c>
      <c r="H3170" s="131" t="n">
        <v>1312</v>
      </c>
      <c r="I3170" s="637" t="inlineStr">
        <is>
          <t>Андрин</t>
        </is>
      </c>
      <c r="J3170" s="637" t="inlineStr">
        <is>
          <t>SPB_BC_Andrin</t>
        </is>
      </c>
      <c r="K3170" s="640" t="n">
        <v>1</v>
      </c>
      <c r="L3170" s="640" t="n">
        <v>1</v>
      </c>
      <c r="M3170" s="623" t="inlineStr">
        <is>
          <t>LED/32'/верт</t>
        </is>
      </c>
      <c r="N3170" s="640" t="n"/>
      <c r="O3170" s="640">
        <f>IF(AND(N3170=1,L3170=1),K3170,"")</f>
        <v/>
      </c>
      <c r="P3170" s="642" t="inlineStr">
        <is>
          <t>Санкт-Петербург, Лиговский просп., д. 123</t>
        </is>
      </c>
      <c r="Q3170" s="640" t="inlineStr">
        <is>
          <t>59.918485</t>
        </is>
      </c>
      <c r="R3170" s="494" t="inlineStr">
        <is>
          <t>30.352232</t>
        </is>
      </c>
      <c r="S3170" s="387">
        <f>'Цены|Скидки'!$E$25</f>
        <v/>
      </c>
      <c r="T3170" s="387">
        <f>IF(N3170=1,S3170*O3170,0)</f>
        <v/>
      </c>
      <c r="Z3170" s="1" t="n"/>
    </row>
    <row r="3171" hidden="1" ht="16.05" customHeight="1">
      <c r="A3171" s="125" t="n">
        <v>3849</v>
      </c>
      <c r="B3171" s="125" t="inlineStr">
        <is>
          <t>WF</t>
        </is>
      </c>
      <c r="C3171" s="130" t="inlineStr">
        <is>
          <t>Санкт-Петербург</t>
        </is>
      </c>
      <c r="D3171" s="130" t="inlineStr">
        <is>
          <t>Санкт-Петербург</t>
        </is>
      </c>
      <c r="E3171" s="130" t="inlineStr">
        <is>
          <t>B+</t>
        </is>
      </c>
      <c r="F3171" s="130" t="inlineStr">
        <is>
          <t>Бизнес центр</t>
        </is>
      </c>
      <c r="G3171" s="130" t="inlineStr">
        <is>
          <t>Бизнес центр</t>
        </is>
      </c>
      <c r="H3171" s="131" t="n">
        <v>11812</v>
      </c>
      <c r="I3171" s="637" t="inlineStr">
        <is>
          <t>Антарес</t>
        </is>
      </c>
      <c r="J3171" s="637" t="inlineStr">
        <is>
          <t>SPB_BC_Antares</t>
        </is>
      </c>
      <c r="K3171" s="640" t="n">
        <v>2</v>
      </c>
      <c r="L3171" s="640" t="n">
        <v>1</v>
      </c>
      <c r="M3171" s="623" t="inlineStr">
        <is>
          <t>LED/32'/верт</t>
        </is>
      </c>
      <c r="N3171" s="640" t="n"/>
      <c r="O3171" s="640">
        <f>IF(AND(N3171=1,L3171=1),K3171,"")</f>
        <v/>
      </c>
      <c r="P3171" s="642" t="inlineStr">
        <is>
          <t>Санкт-Петербург, ул Савушкина д, 83 корпус 3 лит. А</t>
        </is>
      </c>
      <c r="Q3171" s="640" t="inlineStr">
        <is>
          <t>59.985003</t>
        </is>
      </c>
      <c r="R3171" s="494" t="inlineStr">
        <is>
          <t>30.250013</t>
        </is>
      </c>
      <c r="S3171" s="387">
        <f>'Цены|Скидки'!$E$25</f>
        <v/>
      </c>
      <c r="T3171" s="387">
        <f>IF(N3171=1,S3171*O3171,0)</f>
        <v/>
      </c>
      <c r="Z3171" s="1" t="n"/>
    </row>
    <row r="3172" hidden="1" ht="16.05" customHeight="1">
      <c r="A3172" s="125" t="n">
        <v>3850</v>
      </c>
      <c r="B3172" s="125" t="inlineStr">
        <is>
          <t>WF</t>
        </is>
      </c>
      <c r="C3172" s="130" t="inlineStr">
        <is>
          <t>Санкт-Петербург</t>
        </is>
      </c>
      <c r="D3172" s="130" t="inlineStr">
        <is>
          <t>Санкт-Петербург</t>
        </is>
      </c>
      <c r="E3172" s="130" t="inlineStr">
        <is>
          <t>B+</t>
        </is>
      </c>
      <c r="F3172" s="130" t="inlineStr">
        <is>
          <t>Бизнес центр</t>
        </is>
      </c>
      <c r="G3172" s="130" t="inlineStr">
        <is>
          <t>Бизнес центр</t>
        </is>
      </c>
      <c r="H3172" s="131" t="n">
        <v>18243</v>
      </c>
      <c r="I3172" s="637" t="inlineStr">
        <is>
          <t>Арена холл</t>
        </is>
      </c>
      <c r="J3172" s="637" t="inlineStr">
        <is>
          <t>SPB_BC_Arena_kholl</t>
        </is>
      </c>
      <c r="K3172" s="640" t="n">
        <v>2</v>
      </c>
      <c r="L3172" s="640" t="n">
        <v>1</v>
      </c>
      <c r="M3172" s="623" t="inlineStr">
        <is>
          <t>LED/40'/верт</t>
        </is>
      </c>
      <c r="N3172" s="640" t="n"/>
      <c r="O3172" s="640">
        <f>IF(AND(N3172=1,L3172=1),K3172,"")</f>
        <v/>
      </c>
      <c r="P3172" s="642" t="inlineStr">
        <is>
          <t>Санкт-Петербург, проспект Добролюбова, 16 кор.2, лит. А</t>
        </is>
      </c>
      <c r="Q3172" s="640" t="inlineStr">
        <is>
          <t>59.950181</t>
        </is>
      </c>
      <c r="R3172" s="494" t="inlineStr">
        <is>
          <t>30.294928</t>
        </is>
      </c>
      <c r="S3172" s="387">
        <f>'Цены|Скидки'!$E$25</f>
        <v/>
      </c>
      <c r="T3172" s="387">
        <f>IF(N3172=1,S3172*O3172,0)</f>
        <v/>
      </c>
      <c r="Z3172" s="1" t="n"/>
    </row>
    <row r="3173" hidden="1" ht="16.05" customHeight="1">
      <c r="A3173" s="125" t="n">
        <v>3851</v>
      </c>
      <c r="B3173" s="125" t="inlineStr">
        <is>
          <t>WF</t>
        </is>
      </c>
      <c r="C3173" s="130" t="inlineStr">
        <is>
          <t>Санкт-Петербург</t>
        </is>
      </c>
      <c r="D3173" s="130" t="inlineStr">
        <is>
          <t>Санкт-Петербург</t>
        </is>
      </c>
      <c r="E3173" s="130" t="inlineStr">
        <is>
          <t>B+</t>
        </is>
      </c>
      <c r="F3173" s="130" t="inlineStr">
        <is>
          <t>Бизнес центр</t>
        </is>
      </c>
      <c r="G3173" s="130" t="inlineStr">
        <is>
          <t>Бизнес центр</t>
        </is>
      </c>
      <c r="H3173" s="131" t="n">
        <v>1968</v>
      </c>
      <c r="I3173" s="637" t="inlineStr">
        <is>
          <t>Астра</t>
        </is>
      </c>
      <c r="J3173" s="637" t="inlineStr">
        <is>
          <t>SPB_BC_Astra</t>
        </is>
      </c>
      <c r="K3173" s="640" t="n">
        <v>1</v>
      </c>
      <c r="L3173" s="640" t="n">
        <v>1</v>
      </c>
      <c r="M3173" s="623" t="inlineStr">
        <is>
          <t>LED/32'/верт</t>
        </is>
      </c>
      <c r="N3173" s="640" t="n"/>
      <c r="O3173" s="640">
        <f>IF(AND(N3173=1,L3173=1),K3173,"")</f>
        <v/>
      </c>
      <c r="P3173" s="642" t="inlineStr">
        <is>
          <t>Санкт-Петербург, ул.Лахтинская д. 16 лит. А</t>
        </is>
      </c>
      <c r="Q3173" s="640" t="inlineStr">
        <is>
          <t>59.962417</t>
        </is>
      </c>
      <c r="R3173" s="494" t="inlineStr">
        <is>
          <t>30.300633</t>
        </is>
      </c>
      <c r="S3173" s="387">
        <f>'Цены|Скидки'!$E$25</f>
        <v/>
      </c>
      <c r="T3173" s="387">
        <f>IF(N3173=1,S3173*O3173,0)</f>
        <v/>
      </c>
      <c r="Z3173" s="1" t="n"/>
    </row>
    <row r="3174" hidden="1" ht="16.05" customHeight="1">
      <c r="A3174" s="125" t="n">
        <v>3852</v>
      </c>
      <c r="B3174" s="125" t="inlineStr">
        <is>
          <t>WF</t>
        </is>
      </c>
      <c r="C3174" s="130" t="inlineStr">
        <is>
          <t>Санкт-Петербург</t>
        </is>
      </c>
      <c r="D3174" s="130" t="inlineStr">
        <is>
          <t>Санкт-Петербург</t>
        </is>
      </c>
      <c r="E3174" s="130" t="inlineStr">
        <is>
          <t>A</t>
        </is>
      </c>
      <c r="F3174" s="130" t="inlineStr">
        <is>
          <t>Бизнес центр</t>
        </is>
      </c>
      <c r="G3174" s="130" t="inlineStr">
        <is>
          <t>Бизнес центр</t>
        </is>
      </c>
      <c r="H3174" s="131" t="n">
        <v>5617</v>
      </c>
      <c r="I3174" s="637" t="inlineStr">
        <is>
          <t>Атриум на Невском 25</t>
        </is>
      </c>
      <c r="J3174" s="637" t="inlineStr">
        <is>
          <t>SPB_BC_Atrium_na_Nevskom_25</t>
        </is>
      </c>
      <c r="K3174" s="640" t="n">
        <v>1</v>
      </c>
      <c r="L3174" s="640" t="n">
        <v>1</v>
      </c>
      <c r="M3174" s="623" t="inlineStr">
        <is>
          <t>LED/32'/верт</t>
        </is>
      </c>
      <c r="N3174" s="640" t="n"/>
      <c r="O3174" s="640">
        <f>IF(AND(N3174=1,L3174=1),K3174,"")</f>
        <v/>
      </c>
      <c r="P3174" s="642" t="inlineStr">
        <is>
          <t>Санкт-Петербург, Невский пр., 25</t>
        </is>
      </c>
      <c r="Q3174" s="640" t="inlineStr">
        <is>
          <t>59.935457</t>
        </is>
      </c>
      <c r="R3174" s="494" t="inlineStr">
        <is>
          <t>30.323279</t>
        </is>
      </c>
      <c r="S3174" s="387">
        <f>'Цены|Скидки'!$E$25</f>
        <v/>
      </c>
      <c r="T3174" s="387">
        <f>IF(N3174=1,S3174*O3174,0)</f>
        <v/>
      </c>
      <c r="Z3174" s="1" t="n"/>
    </row>
    <row r="3175" hidden="1" ht="16.05" customHeight="1">
      <c r="A3175" s="125" t="n">
        <v>3853</v>
      </c>
      <c r="B3175" s="125" t="inlineStr">
        <is>
          <t>WF</t>
        </is>
      </c>
      <c r="C3175" s="130" t="inlineStr">
        <is>
          <t>Санкт-Петербург</t>
        </is>
      </c>
      <c r="D3175" s="130" t="inlineStr">
        <is>
          <t>Санкт-Петербург</t>
        </is>
      </c>
      <c r="E3175" s="130" t="inlineStr">
        <is>
          <t>A</t>
        </is>
      </c>
      <c r="F3175" s="130" t="inlineStr">
        <is>
          <t>Бизнес центр</t>
        </is>
      </c>
      <c r="G3175" s="130" t="inlineStr">
        <is>
          <t>Бизнес центр</t>
        </is>
      </c>
      <c r="H3175" s="131" t="n">
        <v>21853</v>
      </c>
      <c r="I3175" s="637" t="inlineStr">
        <is>
          <t>Аэроплаза</t>
        </is>
      </c>
      <c r="J3175" s="637" t="inlineStr">
        <is>
          <t>SPB_BC_Aeroplaza</t>
        </is>
      </c>
      <c r="K3175" s="640" t="n">
        <v>2</v>
      </c>
      <c r="L3175" s="640" t="n">
        <v>1</v>
      </c>
      <c r="M3175" s="623" t="inlineStr">
        <is>
          <t>LED/40'/верт</t>
        </is>
      </c>
      <c r="N3175" s="640" t="n"/>
      <c r="O3175" s="640">
        <f>IF(AND(N3175=1,L3175=1),K3175,"")</f>
        <v/>
      </c>
      <c r="P3175" s="642" t="inlineStr">
        <is>
          <t>Санкт-Петербург, ул.Стартовая д.8А</t>
        </is>
      </c>
      <c r="Q3175" s="640" t="inlineStr">
        <is>
          <t>59.807373</t>
        </is>
      </c>
      <c r="R3175" s="494" t="inlineStr">
        <is>
          <t>30.314575</t>
        </is>
      </c>
      <c r="S3175" s="387">
        <f>'Цены|Скидки'!$E$25</f>
        <v/>
      </c>
      <c r="T3175" s="387">
        <f>IF(N3175=1,S3175*O3175,0)</f>
        <v/>
      </c>
      <c r="Z3175" s="1" t="n"/>
    </row>
    <row r="3176" hidden="1" ht="16.05" customHeight="1">
      <c r="A3176" s="125" t="n">
        <v>3854</v>
      </c>
      <c r="B3176" s="125" t="inlineStr">
        <is>
          <t>WF</t>
        </is>
      </c>
      <c r="C3176" s="130" t="inlineStr">
        <is>
          <t>Санкт-Петербург</t>
        </is>
      </c>
      <c r="D3176" s="130" t="inlineStr">
        <is>
          <t>Санкт-Петербург</t>
        </is>
      </c>
      <c r="E3176" s="130" t="inlineStr">
        <is>
          <t>A</t>
        </is>
      </c>
      <c r="F3176" s="130" t="inlineStr">
        <is>
          <t>Бизнес центр</t>
        </is>
      </c>
      <c r="G3176" s="130" t="inlineStr">
        <is>
          <t>Бизнес центр</t>
        </is>
      </c>
      <c r="H3176" s="131" t="n">
        <v>34321</v>
      </c>
      <c r="I3176" s="637" t="inlineStr">
        <is>
          <t>БДЦ</t>
        </is>
      </c>
      <c r="J3176" s="637" t="inlineStr">
        <is>
          <t>SPB_BC_BDTs</t>
        </is>
      </c>
      <c r="K3176" s="640" t="n">
        <v>1</v>
      </c>
      <c r="L3176" s="640" t="n">
        <v>0</v>
      </c>
      <c r="M3176" s="640" t="inlineStr">
        <is>
          <t>LED/40'/верт</t>
        </is>
      </c>
      <c r="N3176" s="640" t="n"/>
      <c r="O3176" s="640">
        <f>IF(AND(N3176=1,L3176=1),K3176,"")</f>
        <v/>
      </c>
      <c r="P3176" s="642" t="inlineStr">
        <is>
          <t>ул. Гаккелевская, 21А</t>
        </is>
      </c>
      <c r="Q3176" s="640" t="inlineStr">
        <is>
          <t>60.00002</t>
        </is>
      </c>
      <c r="R3176" s="422" t="inlineStr">
        <is>
          <t>30.256301</t>
        </is>
      </c>
      <c r="S3176" s="387" t="n">
        <v>675</v>
      </c>
      <c r="T3176" s="387">
        <f>IF(N3176=1,S3176*O3176,0)</f>
        <v/>
      </c>
      <c r="Z3176" s="1" t="n"/>
    </row>
    <row r="3177" hidden="1" ht="16.05" customHeight="1">
      <c r="A3177" s="125" t="n">
        <v>3855</v>
      </c>
      <c r="B3177" s="125" t="inlineStr">
        <is>
          <t>WF</t>
        </is>
      </c>
      <c r="C3177" s="130" t="inlineStr">
        <is>
          <t>Санкт-Петербург</t>
        </is>
      </c>
      <c r="D3177" s="130" t="inlineStr">
        <is>
          <t>Санкт-Петербург</t>
        </is>
      </c>
      <c r="E3177" s="130" t="inlineStr">
        <is>
          <t>A</t>
        </is>
      </c>
      <c r="F3177" s="130" t="inlineStr">
        <is>
          <t>Бизнес центр</t>
        </is>
      </c>
      <c r="G3177" s="130" t="inlineStr">
        <is>
          <t>Бизнес центр</t>
        </is>
      </c>
      <c r="H3177" s="131" t="n">
        <v>18637</v>
      </c>
      <c r="I3177" s="637" t="inlineStr">
        <is>
          <t>Бенуа</t>
        </is>
      </c>
      <c r="J3177" s="637" t="inlineStr">
        <is>
          <t>SPB_BC_Benua</t>
        </is>
      </c>
      <c r="K3177" s="640" t="n">
        <v>2</v>
      </c>
      <c r="L3177" s="640" t="n">
        <v>1</v>
      </c>
      <c r="M3177" s="623" t="inlineStr">
        <is>
          <t>LED/32'/верт</t>
        </is>
      </c>
      <c r="N3177" s="640" t="n"/>
      <c r="O3177" s="640">
        <f>IF(AND(N3177=1,L3177=1),K3177,"")</f>
        <v/>
      </c>
      <c r="P3177" s="642" t="inlineStr">
        <is>
          <t>Санкт-Петербург, Пискаревский пр., д. 2</t>
        </is>
      </c>
      <c r="Q3177" s="640" t="inlineStr">
        <is>
          <t>59.958624</t>
        </is>
      </c>
      <c r="R3177" s="494" t="inlineStr">
        <is>
          <t>30.405268</t>
        </is>
      </c>
      <c r="S3177" s="387">
        <f>'Цены|Скидки'!$E$25</f>
        <v/>
      </c>
      <c r="T3177" s="387">
        <f>IF(N3177=1,S3177*O3177,0)</f>
        <v/>
      </c>
      <c r="Z3177" s="1" t="n"/>
    </row>
    <row r="3178" hidden="1" ht="16.05" customHeight="1">
      <c r="A3178" s="125" t="n">
        <v>3856</v>
      </c>
      <c r="B3178" s="125" t="inlineStr">
        <is>
          <t>WF</t>
        </is>
      </c>
      <c r="C3178" s="130" t="inlineStr">
        <is>
          <t>Санкт-Петербург</t>
        </is>
      </c>
      <c r="D3178" s="130" t="inlineStr">
        <is>
          <t>Санкт-Петербург</t>
        </is>
      </c>
      <c r="E3178" s="130" t="inlineStr">
        <is>
          <t>B</t>
        </is>
      </c>
      <c r="F3178" s="130" t="inlineStr">
        <is>
          <t>Бизнес центр</t>
        </is>
      </c>
      <c r="G3178" s="130" t="inlineStr">
        <is>
          <t>Бизнес центр</t>
        </is>
      </c>
      <c r="H3178" s="131" t="n">
        <v>6168</v>
      </c>
      <c r="I3178" s="637" t="inlineStr">
        <is>
          <t>Бумажная 9</t>
        </is>
      </c>
      <c r="J3178" s="637" t="inlineStr">
        <is>
          <t>SPB_BC_Bumazhnaya_9</t>
        </is>
      </c>
      <c r="K3178" s="640" t="n">
        <v>1</v>
      </c>
      <c r="L3178" s="640" t="n">
        <v>1</v>
      </c>
      <c r="M3178" s="623" t="inlineStr">
        <is>
          <t>LED/32'/верт</t>
        </is>
      </c>
      <c r="N3178" s="640" t="n"/>
      <c r="O3178" s="640">
        <f>IF(AND(N3178=1,L3178=1),K3178,"")</f>
        <v/>
      </c>
      <c r="P3178" s="642" t="inlineStr">
        <is>
          <t>Санкт-Петербург, Бумажная ул., д.9, к.1, лит.А</t>
        </is>
      </c>
      <c r="Q3178" s="640" t="inlineStr">
        <is>
          <t>59.905254</t>
        </is>
      </c>
      <c r="R3178" s="494" t="inlineStr">
        <is>
          <t>30.27062</t>
        </is>
      </c>
      <c r="S3178" s="387">
        <f>'Цены|Скидки'!$E$25</f>
        <v/>
      </c>
      <c r="T3178" s="387">
        <f>IF(N3178=1,S3178*O3178,0)</f>
        <v/>
      </c>
      <c r="Z3178" s="1" t="n"/>
    </row>
    <row r="3179" hidden="1" ht="16.05" customHeight="1">
      <c r="A3179" s="125" t="n">
        <v>3857</v>
      </c>
      <c r="B3179" s="125" t="inlineStr">
        <is>
          <t>WF</t>
        </is>
      </c>
      <c r="C3179" s="130" t="inlineStr">
        <is>
          <t>Санкт-Петербург</t>
        </is>
      </c>
      <c r="D3179" s="130" t="inlineStr">
        <is>
          <t>Санкт-Петербург</t>
        </is>
      </c>
      <c r="E3179" s="130" t="inlineStr">
        <is>
          <t>A</t>
        </is>
      </c>
      <c r="F3179" s="130" t="inlineStr">
        <is>
          <t>Бизнес центр</t>
        </is>
      </c>
      <c r="G3179" s="130" t="inlineStr">
        <is>
          <t>Бизнес центр</t>
        </is>
      </c>
      <c r="H3179" s="131" t="n">
        <v>4593</v>
      </c>
      <c r="I3179" s="637" t="inlineStr">
        <is>
          <t>Варшавский</t>
        </is>
      </c>
      <c r="J3179" s="637" t="inlineStr">
        <is>
          <t>SPB_BC_Varshavskiy</t>
        </is>
      </c>
      <c r="K3179" s="640" t="n">
        <v>1</v>
      </c>
      <c r="L3179" s="640" t="n">
        <v>1</v>
      </c>
      <c r="M3179" s="623" t="inlineStr">
        <is>
          <t>LED/32'/верт</t>
        </is>
      </c>
      <c r="N3179" s="640" t="n"/>
      <c r="O3179" s="640">
        <f>IF(AND(N3179=1,L3179=1),K3179,"")</f>
        <v/>
      </c>
      <c r="P3179" s="642" t="inlineStr">
        <is>
          <t>Санкт-Петербург, ул. Варшавская, д. 5, корп.2</t>
        </is>
      </c>
      <c r="Q3179" s="640" t="inlineStr">
        <is>
          <t>59.880071</t>
        </is>
      </c>
      <c r="R3179" s="494" t="inlineStr">
        <is>
          <t>30.309176</t>
        </is>
      </c>
      <c r="S3179" s="387">
        <f>'Цены|Скидки'!$E$25</f>
        <v/>
      </c>
      <c r="T3179" s="387">
        <f>IF(N3179=1,S3179*O3179,0)</f>
        <v/>
      </c>
      <c r="Z3179" s="1" t="n"/>
    </row>
    <row r="3180" hidden="1" ht="16.05" customHeight="1">
      <c r="A3180" s="125" t="n">
        <v>3858</v>
      </c>
      <c r="B3180" s="125" t="inlineStr">
        <is>
          <t>WF</t>
        </is>
      </c>
      <c r="C3180" s="130" t="inlineStr">
        <is>
          <t>Санкт-Петербург</t>
        </is>
      </c>
      <c r="D3180" s="130" t="inlineStr">
        <is>
          <t>Санкт-Петербург</t>
        </is>
      </c>
      <c r="E3180" s="130" t="inlineStr">
        <is>
          <t>B+</t>
        </is>
      </c>
      <c r="F3180" s="130" t="inlineStr">
        <is>
          <t>Бизнес центр</t>
        </is>
      </c>
      <c r="G3180" s="130" t="inlineStr">
        <is>
          <t>Бизнес центр</t>
        </is>
      </c>
      <c r="H3180" s="131" t="n">
        <v>3675</v>
      </c>
      <c r="I3180" s="637" t="inlineStr">
        <is>
          <t>Воронцов</t>
        </is>
      </c>
      <c r="J3180" s="637" t="inlineStr">
        <is>
          <t>SPB_BC_Vorontsov</t>
        </is>
      </c>
      <c r="K3180" s="640" t="n">
        <v>1</v>
      </c>
      <c r="L3180" s="640" t="n">
        <v>1</v>
      </c>
      <c r="M3180" s="623" t="inlineStr">
        <is>
          <t>LED/32'/верт</t>
        </is>
      </c>
      <c r="N3180" s="640" t="n"/>
      <c r="O3180" s="640">
        <f>IF(AND(N3180=1,L3180=1),K3180,"")</f>
        <v/>
      </c>
      <c r="P3180" s="642" t="inlineStr">
        <is>
          <t>Санкт-Петербург, Барочная ул.,д.10,к.1</t>
        </is>
      </c>
      <c r="Q3180" s="640" t="inlineStr">
        <is>
          <t>59.9678082</t>
        </is>
      </c>
      <c r="R3180" s="494" t="inlineStr">
        <is>
          <t>30.2880439</t>
        </is>
      </c>
      <c r="S3180" s="387">
        <f>'Цены|Скидки'!$E$25</f>
        <v/>
      </c>
      <c r="T3180" s="387">
        <f>IF(N3180=1,S3180*O3180,0)</f>
        <v/>
      </c>
      <c r="Z3180" s="1" t="n"/>
    </row>
    <row r="3181" hidden="1" ht="16.05" customHeight="1">
      <c r="A3181" s="125" t="n">
        <v>3859</v>
      </c>
      <c r="B3181" s="125" t="inlineStr">
        <is>
          <t>WF</t>
        </is>
      </c>
      <c r="C3181" s="130" t="inlineStr">
        <is>
          <t>Санкт-Петербург</t>
        </is>
      </c>
      <c r="D3181" s="130" t="inlineStr">
        <is>
          <t>Санкт-Петербург</t>
        </is>
      </c>
      <c r="E3181" s="130" t="inlineStr">
        <is>
          <t>B+</t>
        </is>
      </c>
      <c r="F3181" s="130" t="inlineStr">
        <is>
          <t>Бизнес центр</t>
        </is>
      </c>
      <c r="G3181" s="130" t="inlineStr">
        <is>
          <t>Бизнес центр</t>
        </is>
      </c>
      <c r="H3181" s="131" t="n">
        <v>14700</v>
      </c>
      <c r="I3181" s="637" t="inlineStr">
        <is>
          <t>Выборгская застава</t>
        </is>
      </c>
      <c r="J3181" s="637" t="inlineStr">
        <is>
          <t>SPB_BC_Vyborgskaya_zastava</t>
        </is>
      </c>
      <c r="K3181" s="640" t="n">
        <v>2</v>
      </c>
      <c r="L3181" s="640" t="n">
        <v>1</v>
      </c>
      <c r="M3181" s="623" t="inlineStr">
        <is>
          <t>LED/40'/верт</t>
        </is>
      </c>
      <c r="N3181" s="640" t="n"/>
      <c r="O3181" s="640">
        <f>IF(AND(N3181=1,L3181=1),K3181,"")</f>
        <v/>
      </c>
      <c r="P3181" s="642" t="inlineStr">
        <is>
          <t>Санкт-Петербург, Большой Сампсониевский пр. д.68</t>
        </is>
      </c>
      <c r="Q3181" s="640" t="inlineStr">
        <is>
          <t>59.980092</t>
        </is>
      </c>
      <c r="R3181" s="494" t="inlineStr">
        <is>
          <t>30.336278</t>
        </is>
      </c>
      <c r="S3181" s="387">
        <f>'Цены|Скидки'!$E$25</f>
        <v/>
      </c>
      <c r="T3181" s="387">
        <f>IF(N3181=1,S3181*O3181,0)</f>
        <v/>
      </c>
      <c r="Z3181" s="1" t="n"/>
    </row>
    <row r="3182" hidden="1" ht="16.05" customHeight="1">
      <c r="A3182" s="125" t="n">
        <v>3860</v>
      </c>
      <c r="B3182" s="125" t="inlineStr">
        <is>
          <t>WF</t>
        </is>
      </c>
      <c r="C3182" s="130" t="inlineStr">
        <is>
          <t>Санкт-Петербург</t>
        </is>
      </c>
      <c r="D3182" s="130" t="inlineStr">
        <is>
          <t>Санкт-Петербург</t>
        </is>
      </c>
      <c r="E3182" s="130" t="inlineStr">
        <is>
          <t>B</t>
        </is>
      </c>
      <c r="F3182" s="130" t="inlineStr">
        <is>
          <t>Бизнес центр</t>
        </is>
      </c>
      <c r="G3182" s="130" t="inlineStr">
        <is>
          <t>Бизнес центр</t>
        </is>
      </c>
      <c r="H3182" s="131" t="n">
        <v>15750</v>
      </c>
      <c r="I3182" s="637" t="inlineStr">
        <is>
          <t>Грант+</t>
        </is>
      </c>
      <c r="J3182" s="637" t="inlineStr">
        <is>
          <t>SPB_BC_Grant+</t>
        </is>
      </c>
      <c r="K3182" s="640" t="n">
        <v>1</v>
      </c>
      <c r="L3182" s="640" t="n">
        <v>1</v>
      </c>
      <c r="M3182" s="623" t="inlineStr">
        <is>
          <t>LED/32'/верт</t>
        </is>
      </c>
      <c r="N3182" s="640" t="n"/>
      <c r="O3182" s="640">
        <f>IF(AND(N3182=1,L3182=1),K3182,"")</f>
        <v/>
      </c>
      <c r="P3182" s="642" t="inlineStr">
        <is>
          <t>Санкт-Петербург, Октябрьская наб, д. 6, литер Б</t>
        </is>
      </c>
      <c r="Q3182" s="640" t="inlineStr">
        <is>
          <t>59.915025</t>
        </is>
      </c>
      <c r="R3182" s="494" t="inlineStr">
        <is>
          <t>30.416785</t>
        </is>
      </c>
      <c r="S3182" s="387">
        <f>'Цены|Скидки'!$E$25</f>
        <v/>
      </c>
      <c r="T3182" s="387">
        <f>IF(N3182=1,S3182*O3182,0)</f>
        <v/>
      </c>
      <c r="Z3182" s="1" t="n"/>
    </row>
    <row r="3183" hidden="1" ht="16.05" customHeight="1">
      <c r="A3183" s="125" t="n">
        <v>3861</v>
      </c>
      <c r="B3183" s="125" t="inlineStr">
        <is>
          <t>WF</t>
        </is>
      </c>
      <c r="C3183" s="130" t="inlineStr">
        <is>
          <t>Санкт-Петербург</t>
        </is>
      </c>
      <c r="D3183" s="130" t="inlineStr">
        <is>
          <t>Санкт-Петербург</t>
        </is>
      </c>
      <c r="E3183" s="130" t="inlineStr">
        <is>
          <t>B</t>
        </is>
      </c>
      <c r="F3183" s="130" t="inlineStr">
        <is>
          <t>Бизнес центр</t>
        </is>
      </c>
      <c r="G3183" s="130" t="inlineStr">
        <is>
          <t>Бизнес центр</t>
        </is>
      </c>
      <c r="H3183" s="131" t="n">
        <v>2605</v>
      </c>
      <c r="I3183" s="637" t="inlineStr">
        <is>
          <t>Гелиос</t>
        </is>
      </c>
      <c r="J3183" s="637" t="inlineStr">
        <is>
          <t>SPB_BC_Gelios</t>
        </is>
      </c>
      <c r="K3183" s="640" t="n">
        <v>1</v>
      </c>
      <c r="L3183" s="640" t="n">
        <v>1</v>
      </c>
      <c r="M3183" s="623" t="inlineStr">
        <is>
          <t>LED/32'/верт</t>
        </is>
      </c>
      <c r="N3183" s="640" t="n"/>
      <c r="O3183" s="640">
        <f>IF(AND(N3183=1,L3183=1),K3183,"")</f>
        <v/>
      </c>
      <c r="P3183" s="642" t="inlineStr">
        <is>
          <t>Санкт-Петербург, ул. Марата, д. 47-49</t>
        </is>
      </c>
      <c r="Q3183" s="640" t="inlineStr">
        <is>
          <t>59.924118</t>
        </is>
      </c>
      <c r="R3183" s="494" t="inlineStr">
        <is>
          <t>30.350561</t>
        </is>
      </c>
      <c r="S3183" s="387">
        <f>'Цены|Скидки'!$E$25</f>
        <v/>
      </c>
      <c r="T3183" s="387">
        <f>IF(N3183=1,S3183*O3183,0)</f>
        <v/>
      </c>
      <c r="Z3183" s="1" t="n"/>
    </row>
    <row r="3184" hidden="1" ht="16.05" customHeight="1">
      <c r="A3184" s="125" t="n">
        <v>3863</v>
      </c>
      <c r="B3184" s="125" t="inlineStr">
        <is>
          <t>WF</t>
        </is>
      </c>
      <c r="C3184" s="130" t="inlineStr">
        <is>
          <t>Санкт-Петербург</t>
        </is>
      </c>
      <c r="D3184" s="130" t="inlineStr">
        <is>
          <t>Санкт-Петербург</t>
        </is>
      </c>
      <c r="E3184" s="130" t="inlineStr">
        <is>
          <t>B+</t>
        </is>
      </c>
      <c r="F3184" s="130" t="inlineStr">
        <is>
          <t>Бизнес центр</t>
        </is>
      </c>
      <c r="G3184" s="130" t="inlineStr">
        <is>
          <t>Бизнес центр</t>
        </is>
      </c>
      <c r="H3184" s="131" t="n">
        <v>17062</v>
      </c>
      <c r="I3184" s="637" t="inlineStr">
        <is>
          <t>Гулливер</t>
        </is>
      </c>
      <c r="J3184" s="637" t="inlineStr">
        <is>
          <t>SPB_BC_Gulliver</t>
        </is>
      </c>
      <c r="K3184" s="640" t="n">
        <v>2</v>
      </c>
      <c r="L3184" s="640" t="n">
        <v>1</v>
      </c>
      <c r="M3184" s="623" t="inlineStr">
        <is>
          <t>LED/1-40'/32/верт</t>
        </is>
      </c>
      <c r="N3184" s="640" t="n"/>
      <c r="O3184" s="640">
        <f>IF(AND(N3184=1,L3184=1),K3184,"")</f>
        <v/>
      </c>
      <c r="P3184" s="642" t="inlineStr">
        <is>
          <t>Санкт-Петербург, Торфяная дорога 7</t>
        </is>
      </c>
      <c r="Q3184" s="640" t="inlineStr">
        <is>
          <t>59.990764</t>
        </is>
      </c>
      <c r="R3184" s="494" t="inlineStr">
        <is>
          <t>30.257765</t>
        </is>
      </c>
      <c r="S3184" s="387">
        <f>'Цены|Скидки'!$E$25</f>
        <v/>
      </c>
      <c r="T3184" s="387">
        <f>IF(N3184=1,S3184*O3184,0)</f>
        <v/>
      </c>
      <c r="Z3184" s="1" t="n"/>
    </row>
    <row r="3185" hidden="1" ht="16.05" customHeight="1">
      <c r="A3185" s="125" t="n">
        <v>3862</v>
      </c>
      <c r="B3185" s="125" t="inlineStr">
        <is>
          <t>WF</t>
        </is>
      </c>
      <c r="C3185" s="130" t="inlineStr">
        <is>
          <t>Санкт-Петербург</t>
        </is>
      </c>
      <c r="D3185" s="130" t="inlineStr">
        <is>
          <t>Санкт-Петербург</t>
        </is>
      </c>
      <c r="E3185" s="130" t="inlineStr">
        <is>
          <t>A</t>
        </is>
      </c>
      <c r="F3185" s="130" t="inlineStr">
        <is>
          <t>Бизнес центр</t>
        </is>
      </c>
      <c r="G3185" s="130" t="inlineStr">
        <is>
          <t>Бизнес центр</t>
        </is>
      </c>
      <c r="H3185" s="131" t="n">
        <v>3924</v>
      </c>
      <c r="I3185" s="637" t="inlineStr">
        <is>
          <t>Грегорис Карс</t>
        </is>
      </c>
      <c r="J3185" s="402" t="inlineStr">
        <is>
          <t>SPB_BC_Gregoris_Kars</t>
        </is>
      </c>
      <c r="K3185" s="640" t="n">
        <v>1</v>
      </c>
      <c r="L3185" s="640" t="n">
        <v>0</v>
      </c>
      <c r="M3185" s="640" t="inlineStr">
        <is>
          <t>ФОТО</t>
        </is>
      </c>
      <c r="N3185" s="640" t="n"/>
      <c r="O3185" s="640">
        <f>IF(AND(N3185=1,L3185=1),K3185,"")</f>
        <v/>
      </c>
      <c r="P3185" s="642" t="inlineStr">
        <is>
          <t>Выборгская набережная, д. 55</t>
        </is>
      </c>
      <c r="Q3185" s="640" t="n">
        <v>59.977949</v>
      </c>
      <c r="R3185" s="422" t="n">
        <v>30.327286</v>
      </c>
      <c r="S3185" s="387">
        <f>'Цены|Скидки'!$E$25</f>
        <v/>
      </c>
      <c r="T3185" s="387">
        <f>IF(N3185=1,S3185*O3185,0)</f>
        <v/>
      </c>
      <c r="X3185" s="1" t="n"/>
      <c r="Y3185" s="1" t="n"/>
      <c r="Z3185" s="1" t="n"/>
    </row>
    <row r="3186" hidden="1" ht="16.05" customHeight="1">
      <c r="A3186" s="125" t="n">
        <v>3864</v>
      </c>
      <c r="B3186" s="125" t="inlineStr">
        <is>
          <t>WF</t>
        </is>
      </c>
      <c r="C3186" s="130" t="inlineStr">
        <is>
          <t>Санкт-Петербург</t>
        </is>
      </c>
      <c r="D3186" s="130" t="inlineStr">
        <is>
          <t>Санкт-Петербург</t>
        </is>
      </c>
      <c r="E3186" s="130" t="inlineStr">
        <is>
          <t>B+</t>
        </is>
      </c>
      <c r="F3186" s="130" t="inlineStr">
        <is>
          <t>Бизнес центр</t>
        </is>
      </c>
      <c r="G3186" s="130" t="inlineStr">
        <is>
          <t>Бизнес центр</t>
        </is>
      </c>
      <c r="H3186" s="131" t="n">
        <v>6496</v>
      </c>
      <c r="I3186" s="637" t="inlineStr">
        <is>
          <t>Доминат Классик</t>
        </is>
      </c>
      <c r="J3186" s="637" t="inlineStr">
        <is>
          <t>SPB_BC_Dominat_Klassik</t>
        </is>
      </c>
      <c r="K3186" s="640" t="n">
        <v>1</v>
      </c>
      <c r="L3186" s="640" t="n">
        <v>1</v>
      </c>
      <c r="M3186" s="623" t="inlineStr">
        <is>
          <t>LED/40'/верт</t>
        </is>
      </c>
      <c r="N3186" s="640" t="n"/>
      <c r="O3186" s="640">
        <f>IF(AND(N3186=1,L3186=1),K3186,"")</f>
        <v/>
      </c>
      <c r="P3186" s="642" t="inlineStr">
        <is>
          <t>Санкт-Петербург, Магнитогорская д.30Б</t>
        </is>
      </c>
      <c r="Q3186" s="640" t="inlineStr">
        <is>
          <t>59.93969</t>
        </is>
      </c>
      <c r="R3186" s="494" t="inlineStr">
        <is>
          <t>30.425247</t>
        </is>
      </c>
      <c r="S3186" s="387">
        <f>'Цены|Скидки'!$E$25</f>
        <v/>
      </c>
      <c r="T3186" s="387">
        <f>IF(N3186=1,S3186*O3186,0)</f>
        <v/>
      </c>
      <c r="Z3186" s="1" t="n"/>
    </row>
    <row r="3187" hidden="1" ht="16.05" customHeight="1">
      <c r="A3187" s="125" t="n">
        <v>3865</v>
      </c>
      <c r="B3187" s="125" t="inlineStr">
        <is>
          <t>WF</t>
        </is>
      </c>
      <c r="C3187" s="130" t="inlineStr">
        <is>
          <t>Санкт-Петербург</t>
        </is>
      </c>
      <c r="D3187" s="130" t="inlineStr">
        <is>
          <t>Санкт-Петербург</t>
        </is>
      </c>
      <c r="E3187" s="130" t="inlineStr">
        <is>
          <t>B+</t>
        </is>
      </c>
      <c r="F3187" s="130" t="inlineStr">
        <is>
          <t>Бизнес центр</t>
        </is>
      </c>
      <c r="G3187" s="130" t="inlineStr">
        <is>
          <t>Бизнес центр</t>
        </is>
      </c>
      <c r="H3187" s="131" t="n">
        <v>7875</v>
      </c>
      <c r="I3187" s="637" t="inlineStr">
        <is>
          <t>Желтый угол</t>
        </is>
      </c>
      <c r="J3187" s="637" t="inlineStr">
        <is>
          <t>SPB_BC_Zheltyy_ugol</t>
        </is>
      </c>
      <c r="K3187" s="640" t="n">
        <v>2</v>
      </c>
      <c r="L3187" s="640" t="n">
        <v>1</v>
      </c>
      <c r="M3187" s="623" t="inlineStr">
        <is>
          <t>LED/32'/верт</t>
        </is>
      </c>
      <c r="N3187" s="640" t="n"/>
      <c r="O3187" s="640">
        <f>IF(AND(N3187=1,L3187=1),K3187,"")</f>
        <v/>
      </c>
      <c r="P3187" s="642" t="inlineStr">
        <is>
          <t>Санкт-Петербург, ул.Маршала Говорова,д. 35</t>
        </is>
      </c>
      <c r="Q3187" s="640" t="inlineStr">
        <is>
          <t>59.888866</t>
        </is>
      </c>
      <c r="R3187" s="494" t="inlineStr">
        <is>
          <t>30.278786</t>
        </is>
      </c>
      <c r="S3187" s="387">
        <f>'Цены|Скидки'!$E$25</f>
        <v/>
      </c>
      <c r="T3187" s="387">
        <f>IF(N3187=1,S3187*O3187,0)</f>
        <v/>
      </c>
      <c r="Z3187" s="1" t="n"/>
    </row>
    <row r="3188" hidden="1" ht="16.05" customHeight="1">
      <c r="A3188" s="125" t="n">
        <v>3866</v>
      </c>
      <c r="B3188" s="125" t="inlineStr">
        <is>
          <t>WF</t>
        </is>
      </c>
      <c r="C3188" s="130" t="inlineStr">
        <is>
          <t>Санкт-Петербург</t>
        </is>
      </c>
      <c r="D3188" s="130" t="inlineStr">
        <is>
          <t>Санкт-Петербург</t>
        </is>
      </c>
      <c r="E3188" s="130" t="inlineStr">
        <is>
          <t>A</t>
        </is>
      </c>
      <c r="F3188" s="130" t="inlineStr">
        <is>
          <t>Бизнес центр</t>
        </is>
      </c>
      <c r="G3188" s="130" t="inlineStr">
        <is>
          <t>Бизнес центр</t>
        </is>
      </c>
      <c r="H3188" s="131" t="n">
        <v>7179</v>
      </c>
      <c r="I3188" s="637" t="inlineStr">
        <is>
          <t>Зима</t>
        </is>
      </c>
      <c r="J3188" s="637" t="inlineStr">
        <is>
          <t>SPB_BC_Zima</t>
        </is>
      </c>
      <c r="K3188" s="640" t="n">
        <v>3</v>
      </c>
      <c r="L3188" s="640" t="n">
        <v>1</v>
      </c>
      <c r="M3188" s="623" t="inlineStr">
        <is>
          <t>LED/32'/верт</t>
        </is>
      </c>
      <c r="N3188" s="640" t="n"/>
      <c r="O3188" s="640">
        <f>IF(AND(N3188=1,L3188=1),K3188,"")</f>
        <v/>
      </c>
      <c r="P3188" s="642" t="inlineStr">
        <is>
          <t>Санкт-Петербург, Свердловская набережная, д. 44</t>
        </is>
      </c>
      <c r="Q3188" s="640" t="inlineStr">
        <is>
          <t>59.961431</t>
        </is>
      </c>
      <c r="R3188" s="494" t="inlineStr">
        <is>
          <t>30.405619</t>
        </is>
      </c>
      <c r="S3188" s="387">
        <f>'Цены|Скидки'!$E$25</f>
        <v/>
      </c>
      <c r="T3188" s="387">
        <f>IF(N3188=1,S3188*O3188,0)</f>
        <v/>
      </c>
      <c r="Z3188" s="1" t="n"/>
    </row>
    <row r="3189" hidden="1" ht="16.05" customHeight="1">
      <c r="A3189" s="125" t="n">
        <v>3867</v>
      </c>
      <c r="B3189" s="125" t="inlineStr">
        <is>
          <t>WF</t>
        </is>
      </c>
      <c r="C3189" s="130" t="inlineStr">
        <is>
          <t>Санкт-Петербург</t>
        </is>
      </c>
      <c r="D3189" s="130" t="inlineStr">
        <is>
          <t>Санкт-Петербург</t>
        </is>
      </c>
      <c r="E3189" s="130" t="inlineStr">
        <is>
          <t>B+</t>
        </is>
      </c>
      <c r="F3189" s="130" t="inlineStr">
        <is>
          <t>Бизнес центр</t>
        </is>
      </c>
      <c r="G3189" s="130" t="inlineStr">
        <is>
          <t>Бизнес центр</t>
        </is>
      </c>
      <c r="H3189" s="131" t="n">
        <v>14437</v>
      </c>
      <c r="I3189" s="637" t="inlineStr">
        <is>
          <t>Золотая Долина</t>
        </is>
      </c>
      <c r="J3189" s="637" t="inlineStr">
        <is>
          <t>SPB_BC_Zolotaya_Dolina</t>
        </is>
      </c>
      <c r="K3189" s="640" t="n">
        <v>2</v>
      </c>
      <c r="L3189" s="640" t="n">
        <v>1</v>
      </c>
      <c r="M3189" s="623" t="inlineStr">
        <is>
          <t>LED/40'/верт</t>
        </is>
      </c>
      <c r="N3189" s="640" t="n"/>
      <c r="O3189" s="640">
        <f>IF(AND(N3189=1,L3189=1),K3189,"")</f>
        <v/>
      </c>
      <c r="P3189" s="642" t="inlineStr">
        <is>
          <t>Санкт-Петербург, Пл.Карла Фаберже д.8/2</t>
        </is>
      </c>
      <c r="Q3189" s="640" t="inlineStr">
        <is>
          <t>59.934461</t>
        </is>
      </c>
      <c r="R3189" s="494" t="inlineStr">
        <is>
          <t>30.436745</t>
        </is>
      </c>
      <c r="S3189" s="387">
        <f>'Цены|Скидки'!$E$25</f>
        <v/>
      </c>
      <c r="T3189" s="387">
        <f>IF(N3189=1,S3189*O3189,0)</f>
        <v/>
      </c>
      <c r="Z3189" s="1" t="n"/>
    </row>
    <row r="3190" hidden="1" ht="16.05" customHeight="1">
      <c r="A3190" s="125" t="n">
        <v>3868</v>
      </c>
      <c r="B3190" s="125" t="inlineStr">
        <is>
          <t>WF</t>
        </is>
      </c>
      <c r="C3190" s="130" t="inlineStr">
        <is>
          <t>Санкт-Петербург</t>
        </is>
      </c>
      <c r="D3190" s="130" t="inlineStr">
        <is>
          <t>Санкт-Петербург</t>
        </is>
      </c>
      <c r="E3190" s="130" t="inlineStr">
        <is>
          <t>B+</t>
        </is>
      </c>
      <c r="F3190" s="130" t="inlineStr">
        <is>
          <t>Бизнес центр</t>
        </is>
      </c>
      <c r="G3190" s="130" t="inlineStr">
        <is>
          <t>Бизнес центр</t>
        </is>
      </c>
      <c r="H3190" s="131" t="n">
        <v>6562</v>
      </c>
      <c r="I3190" s="637" t="inlineStr">
        <is>
          <t>Золотая Шпалерная</t>
        </is>
      </c>
      <c r="J3190" s="637" t="inlineStr">
        <is>
          <t>SPB_BC_Zolotaya_Shpalernaya</t>
        </is>
      </c>
      <c r="K3190" s="640" t="n">
        <v>2</v>
      </c>
      <c r="L3190" s="640" t="n">
        <v>1</v>
      </c>
      <c r="M3190" s="623" t="inlineStr">
        <is>
          <t>LED/32'/верт</t>
        </is>
      </c>
      <c r="N3190" s="640" t="n"/>
      <c r="O3190" s="640">
        <f>IF(AND(N3190=1,L3190=1),K3190,"")</f>
        <v/>
      </c>
      <c r="P3190" s="642" t="inlineStr">
        <is>
          <t>Санкт-Петербург, ул.Шпалерная д.54В</t>
        </is>
      </c>
      <c r="Q3190" s="640" t="inlineStr">
        <is>
          <t>59.948983</t>
        </is>
      </c>
      <c r="R3190" s="494" t="inlineStr">
        <is>
          <t>30.373315</t>
        </is>
      </c>
      <c r="S3190" s="387">
        <f>'Цены|Скидки'!$E$25</f>
        <v/>
      </c>
      <c r="T3190" s="387">
        <f>IF(N3190=1,S3190*O3190,0)</f>
        <v/>
      </c>
      <c r="Z3190" s="1" t="n"/>
    </row>
    <row r="3191" hidden="1" ht="16.05" customHeight="1">
      <c r="A3191" s="125" t="n">
        <v>3869</v>
      </c>
      <c r="B3191" s="125" t="inlineStr">
        <is>
          <t>WF</t>
        </is>
      </c>
      <c r="C3191" s="130" t="inlineStr">
        <is>
          <t>Санкт-Петербург</t>
        </is>
      </c>
      <c r="D3191" s="130" t="inlineStr">
        <is>
          <t>Санкт-Петербург</t>
        </is>
      </c>
      <c r="E3191" s="130" t="inlineStr">
        <is>
          <t>B+</t>
        </is>
      </c>
      <c r="F3191" s="130" t="inlineStr">
        <is>
          <t>Бизнес центр</t>
        </is>
      </c>
      <c r="G3191" s="130" t="inlineStr">
        <is>
          <t>Бизнес центр</t>
        </is>
      </c>
      <c r="H3191" s="131" t="n">
        <v>9187</v>
      </c>
      <c r="I3191" s="637" t="inlineStr">
        <is>
          <t>Империал</t>
        </is>
      </c>
      <c r="J3191" s="637" t="inlineStr">
        <is>
          <t>SPB_BC_Imperial</t>
        </is>
      </c>
      <c r="K3191" s="640" t="n">
        <v>2</v>
      </c>
      <c r="L3191" s="640" t="n">
        <v>1</v>
      </c>
      <c r="M3191" s="623" t="inlineStr">
        <is>
          <t>LED/32'/верт</t>
        </is>
      </c>
      <c r="N3191" s="640" t="n"/>
      <c r="O3191" s="640">
        <f>IF(AND(N3191=1,L3191=1),K3191,"")</f>
        <v/>
      </c>
      <c r="P3191" s="642" t="inlineStr">
        <is>
          <t>Санкт-Петербург, пр.Стачек д.48</t>
        </is>
      </c>
      <c r="Q3191" s="640" t="inlineStr">
        <is>
          <t>59.883625</t>
        </is>
      </c>
      <c r="R3191" s="494" t="inlineStr">
        <is>
          <t>30.267718</t>
        </is>
      </c>
      <c r="S3191" s="387">
        <f>'Цены|Скидки'!$E$25</f>
        <v/>
      </c>
      <c r="T3191" s="387">
        <f>IF(N3191=1,S3191*O3191,0)</f>
        <v/>
      </c>
      <c r="Z3191" s="1" t="n"/>
    </row>
    <row r="3192" hidden="1" ht="16.05" customHeight="1">
      <c r="A3192" s="125" t="n">
        <v>3870</v>
      </c>
      <c r="B3192" s="125" t="inlineStr">
        <is>
          <t>WF</t>
        </is>
      </c>
      <c r="C3192" s="130" t="inlineStr">
        <is>
          <t>Санкт-Петербург</t>
        </is>
      </c>
      <c r="D3192" s="130" t="inlineStr">
        <is>
          <t>Санкт-Петербург</t>
        </is>
      </c>
      <c r="E3192" s="130" t="inlineStr">
        <is>
          <t>B+</t>
        </is>
      </c>
      <c r="F3192" s="130" t="inlineStr">
        <is>
          <t>Бизнес центр</t>
        </is>
      </c>
      <c r="G3192" s="130" t="inlineStr">
        <is>
          <t>Бизнес центр</t>
        </is>
      </c>
      <c r="H3192" s="131" t="n">
        <v>3576</v>
      </c>
      <c r="I3192" s="637" t="inlineStr">
        <is>
          <t>Истен</t>
        </is>
      </c>
      <c r="J3192" s="637" t="inlineStr">
        <is>
          <t>SPB_BC_Isten</t>
        </is>
      </c>
      <c r="K3192" s="640" t="n">
        <v>1</v>
      </c>
      <c r="L3192" s="640" t="n">
        <v>1</v>
      </c>
      <c r="M3192" s="623" t="inlineStr">
        <is>
          <t>LED/32'/верт</t>
        </is>
      </c>
      <c r="N3192" s="640" t="n"/>
      <c r="O3192" s="640">
        <f>IF(AND(N3192=1,L3192=1),K3192,"")</f>
        <v/>
      </c>
      <c r="P3192" s="642" t="inlineStr">
        <is>
          <t>Санкт-Петербург, ул. Шаумяна, 8</t>
        </is>
      </c>
      <c r="Q3192" s="640" t="inlineStr">
        <is>
          <t>59.936048</t>
        </is>
      </c>
      <c r="R3192" s="494" t="inlineStr">
        <is>
          <t>30.41639</t>
        </is>
      </c>
      <c r="S3192" s="387">
        <f>'Цены|Скидки'!$E$25</f>
        <v/>
      </c>
      <c r="T3192" s="387">
        <f>IF(N3192=1,S3192*O3192,0)</f>
        <v/>
      </c>
      <c r="Z3192" s="1" t="n"/>
    </row>
    <row r="3193" hidden="1" ht="16.05" customHeight="1">
      <c r="A3193" s="125" t="n">
        <v>3871</v>
      </c>
      <c r="B3193" s="125" t="inlineStr">
        <is>
          <t>WF</t>
        </is>
      </c>
      <c r="C3193" s="130" t="inlineStr">
        <is>
          <t>Санкт-Петербург</t>
        </is>
      </c>
      <c r="D3193" s="130" t="inlineStr">
        <is>
          <t>Санкт-Петербург</t>
        </is>
      </c>
      <c r="E3193" s="130" t="inlineStr">
        <is>
          <t>B</t>
        </is>
      </c>
      <c r="F3193" s="130" t="inlineStr">
        <is>
          <t>Бизнес центр</t>
        </is>
      </c>
      <c r="G3193" s="130" t="inlineStr">
        <is>
          <t>Бизнес центр</t>
        </is>
      </c>
      <c r="H3193" s="131" t="n">
        <v>3281</v>
      </c>
      <c r="I3193" s="637" t="inlineStr">
        <is>
          <t>Карелия</t>
        </is>
      </c>
      <c r="J3193" s="637" t="inlineStr">
        <is>
          <t>SPB_BC_Kareliya</t>
        </is>
      </c>
      <c r="K3193" s="640" t="n">
        <v>1</v>
      </c>
      <c r="L3193" s="640" t="n">
        <v>1</v>
      </c>
      <c r="M3193" s="623" t="inlineStr">
        <is>
          <t>LED/32'/верт</t>
        </is>
      </c>
      <c r="N3193" s="640" t="n"/>
      <c r="O3193" s="640">
        <f>IF(AND(N3193=1,L3193=1),K3193,"")</f>
        <v/>
      </c>
      <c r="P3193" s="642" t="inlineStr">
        <is>
          <t>Санкт-Петербург, ул. Маршала Тухачевского, д. 27/2</t>
        </is>
      </c>
      <c r="Q3193" s="640" t="inlineStr">
        <is>
          <t>59.969997</t>
        </is>
      </c>
      <c r="R3193" s="494" t="inlineStr">
        <is>
          <t>30.42566</t>
        </is>
      </c>
      <c r="S3193" s="387">
        <f>'Цены|Скидки'!$E$25</f>
        <v/>
      </c>
      <c r="T3193" s="387">
        <f>IF(N3193=1,S3193*O3193,0)</f>
        <v/>
      </c>
      <c r="Z3193" s="1" t="n"/>
    </row>
    <row r="3194" hidden="1" ht="16.05" customHeight="1">
      <c r="A3194" s="125" t="n">
        <v>3872</v>
      </c>
      <c r="B3194" s="125" t="inlineStr">
        <is>
          <t>WF</t>
        </is>
      </c>
      <c r="C3194" s="130" t="inlineStr">
        <is>
          <t>Санкт-Петербург</t>
        </is>
      </c>
      <c r="D3194" s="130" t="inlineStr">
        <is>
          <t>Санкт-Петербург</t>
        </is>
      </c>
      <c r="E3194" s="130" t="inlineStr">
        <is>
          <t>B+</t>
        </is>
      </c>
      <c r="F3194" s="130" t="inlineStr">
        <is>
          <t>Бизнес центр</t>
        </is>
      </c>
      <c r="G3194" s="130" t="inlineStr">
        <is>
          <t>Бизнес центр</t>
        </is>
      </c>
      <c r="H3194" s="131" t="n">
        <v>3675</v>
      </c>
      <c r="I3194" s="637" t="inlineStr">
        <is>
          <t>Катарсис</t>
        </is>
      </c>
      <c r="J3194" s="637" t="inlineStr">
        <is>
          <t>SPB_BC_Katarsis</t>
        </is>
      </c>
      <c r="K3194" s="640" t="n">
        <v>1</v>
      </c>
      <c r="L3194" s="640" t="n">
        <v>1</v>
      </c>
      <c r="M3194" s="623" t="inlineStr">
        <is>
          <t>LED/32'/верт</t>
        </is>
      </c>
      <c r="N3194" s="640" t="n"/>
      <c r="O3194" s="640">
        <f>IF(AND(N3194=1,L3194=1),K3194,"")</f>
        <v/>
      </c>
      <c r="P3194" s="642" t="inlineStr">
        <is>
          <t>Санкт-Петербург, Барочная ул.,д.10,к.1</t>
        </is>
      </c>
      <c r="Q3194" s="640" t="inlineStr">
        <is>
          <t>59.9669625</t>
        </is>
      </c>
      <c r="R3194" s="494" t="inlineStr">
        <is>
          <t>30.28806</t>
        </is>
      </c>
      <c r="S3194" s="387">
        <f>'Цены|Скидки'!$E$25</f>
        <v/>
      </c>
      <c r="T3194" s="387">
        <f>IF(N3194=1,S3194*O3194,0)</f>
        <v/>
      </c>
      <c r="Z3194" s="1" t="n"/>
    </row>
    <row r="3195" hidden="1" ht="16.05" customHeight="1">
      <c r="A3195" s="125" t="n">
        <v>3874</v>
      </c>
      <c r="B3195" s="125" t="inlineStr">
        <is>
          <t>WF</t>
        </is>
      </c>
      <c r="C3195" s="130" t="inlineStr">
        <is>
          <t>Санкт-Петербург</t>
        </is>
      </c>
      <c r="D3195" s="130" t="inlineStr">
        <is>
          <t>Санкт-Петербург</t>
        </is>
      </c>
      <c r="E3195" s="130" t="inlineStr">
        <is>
          <t>B+</t>
        </is>
      </c>
      <c r="F3195" s="130" t="inlineStr">
        <is>
          <t>Бизнес центр</t>
        </is>
      </c>
      <c r="G3195" s="130" t="inlineStr">
        <is>
          <t>Бизнес центр</t>
        </is>
      </c>
      <c r="H3195" s="131" t="n">
        <v>2953</v>
      </c>
      <c r="I3195" s="637" t="inlineStr">
        <is>
          <t>Лениздат</t>
        </is>
      </c>
      <c r="J3195" s="637" t="inlineStr">
        <is>
          <t>SPB_BC_Lenizdat</t>
        </is>
      </c>
      <c r="K3195" s="640" t="n">
        <v>1</v>
      </c>
      <c r="L3195" s="640" t="n">
        <v>1</v>
      </c>
      <c r="M3195" s="623" t="inlineStr">
        <is>
          <t>LED/32'/верт</t>
        </is>
      </c>
      <c r="N3195" s="640" t="n"/>
      <c r="O3195" s="640">
        <f>IF(AND(N3195=1,L3195=1),K3195,"")</f>
        <v/>
      </c>
      <c r="P3195" s="642" t="inlineStr">
        <is>
          <t>Санкт-Петербург, наб.р.Фонтанки 59</t>
        </is>
      </c>
      <c r="Q3195" s="640" t="inlineStr">
        <is>
          <t>59.927757</t>
        </is>
      </c>
      <c r="R3195" s="494" t="inlineStr">
        <is>
          <t>30.332271</t>
        </is>
      </c>
      <c r="S3195" s="387">
        <f>'Цены|Скидки'!$E$25</f>
        <v/>
      </c>
      <c r="T3195" s="387">
        <f>IF(N3195=1,S3195*O3195,0)</f>
        <v/>
      </c>
      <c r="Z3195" s="1" t="n"/>
    </row>
    <row r="3196" hidden="1" ht="16.05" customHeight="1">
      <c r="A3196" s="125" t="n">
        <v>3873</v>
      </c>
      <c r="B3196" s="125" t="inlineStr">
        <is>
          <t>WF</t>
        </is>
      </c>
      <c r="C3196" s="130" t="inlineStr">
        <is>
          <t>Санкт-Петербург</t>
        </is>
      </c>
      <c r="D3196" s="130" t="inlineStr">
        <is>
          <t>Санкт-Петербург</t>
        </is>
      </c>
      <c r="E3196" s="130" t="inlineStr">
        <is>
          <t>B+</t>
        </is>
      </c>
      <c r="F3196" s="130" t="inlineStr">
        <is>
          <t>Бизнес центр</t>
        </is>
      </c>
      <c r="G3196" s="130" t="inlineStr">
        <is>
          <t>Бизнес центр</t>
        </is>
      </c>
      <c r="H3196" s="131" t="n">
        <v>11212</v>
      </c>
      <c r="I3196" s="637" t="inlineStr">
        <is>
          <t>Квартал</t>
        </is>
      </c>
      <c r="J3196" s="402" t="inlineStr">
        <is>
          <t>SPB_BC_Kvartal</t>
        </is>
      </c>
      <c r="K3196" s="640" t="n">
        <v>1</v>
      </c>
      <c r="L3196" s="640" t="n">
        <v>0</v>
      </c>
      <c r="M3196" s="640" t="inlineStr">
        <is>
          <t>ФОТО</t>
        </is>
      </c>
      <c r="N3196" s="640" t="n"/>
      <c r="O3196" s="640">
        <f>IF(AND(N3196=1,L3196=1),K3196,"")</f>
        <v/>
      </c>
      <c r="P3196" s="642" t="inlineStr">
        <is>
          <t>ул. Новорыбинская, д. 19-21</t>
        </is>
      </c>
      <c r="Q3196" s="640" t="n">
        <v>59.902686</v>
      </c>
      <c r="R3196" s="422" t="n">
        <v>30.337275</v>
      </c>
      <c r="S3196" s="387">
        <f>'Цены|Скидки'!$E$25</f>
        <v/>
      </c>
      <c r="T3196" s="387">
        <f>IF(N3196=1,S3196*O3196,0)</f>
        <v/>
      </c>
      <c r="X3196" s="1" t="n"/>
      <c r="Y3196" s="1" t="n"/>
      <c r="Z3196" s="1" t="n"/>
    </row>
    <row r="3197" hidden="1" ht="16.05" customHeight="1">
      <c r="A3197" s="125" t="n">
        <v>3875</v>
      </c>
      <c r="B3197" s="125" t="inlineStr">
        <is>
          <t>WF</t>
        </is>
      </c>
      <c r="C3197" s="130" t="inlineStr">
        <is>
          <t>Санкт-Петербург</t>
        </is>
      </c>
      <c r="D3197" s="130" t="inlineStr">
        <is>
          <t>Санкт-Петербург</t>
        </is>
      </c>
      <c r="E3197" s="130" t="inlineStr">
        <is>
          <t>B+</t>
        </is>
      </c>
      <c r="F3197" s="130" t="inlineStr">
        <is>
          <t>Бизнес центр</t>
        </is>
      </c>
      <c r="G3197" s="130" t="inlineStr">
        <is>
          <t>Бизнес центр</t>
        </is>
      </c>
      <c r="H3197" s="131" t="n">
        <v>11156</v>
      </c>
      <c r="I3197" s="637" t="inlineStr">
        <is>
          <t>Ленинец</t>
        </is>
      </c>
      <c r="J3197" s="637" t="inlineStr">
        <is>
          <t>SPB_BC_Leninets</t>
        </is>
      </c>
      <c r="K3197" s="640" t="n">
        <v>2</v>
      </c>
      <c r="L3197" s="640" t="n">
        <v>1</v>
      </c>
      <c r="M3197" s="623" t="inlineStr">
        <is>
          <t>LED/32'/верт</t>
        </is>
      </c>
      <c r="N3197" s="640" t="n"/>
      <c r="O3197" s="640">
        <f>IF(AND(N3197=1,L3197=1),K3197,"")</f>
        <v/>
      </c>
      <c r="P3197" s="642" t="inlineStr">
        <is>
          <t>Санкт-Петербург, Софийская ул., д. 14</t>
        </is>
      </c>
      <c r="Q3197" s="640" t="inlineStr">
        <is>
          <t>59.88115</t>
        </is>
      </c>
      <c r="R3197" s="494" t="inlineStr">
        <is>
          <t>30.39757</t>
        </is>
      </c>
      <c r="S3197" s="387">
        <f>'Цены|Скидки'!$E$25</f>
        <v/>
      </c>
      <c r="T3197" s="387">
        <f>IF(N3197=1,S3197*O3197,0)</f>
        <v/>
      </c>
      <c r="Z3197" s="1" t="n"/>
    </row>
    <row r="3198" hidden="1" ht="16.05" customHeight="1">
      <c r="A3198" s="125" t="n">
        <v>3876</v>
      </c>
      <c r="B3198" s="125" t="inlineStr">
        <is>
          <t>WF</t>
        </is>
      </c>
      <c r="C3198" s="130" t="inlineStr">
        <is>
          <t>Санкт-Петербург</t>
        </is>
      </c>
      <c r="D3198" s="130" t="inlineStr">
        <is>
          <t>Санкт-Петербург</t>
        </is>
      </c>
      <c r="E3198" s="130" t="inlineStr">
        <is>
          <t>B</t>
        </is>
      </c>
      <c r="F3198" s="130" t="inlineStr">
        <is>
          <t>Бизнес центр</t>
        </is>
      </c>
      <c r="G3198" s="130" t="inlineStr">
        <is>
          <t>Бизнес центр</t>
        </is>
      </c>
      <c r="H3198" s="131" t="n">
        <v>5250</v>
      </c>
      <c r="I3198" s="637" t="inlineStr">
        <is>
          <t>Леон</t>
        </is>
      </c>
      <c r="J3198" s="637" t="inlineStr">
        <is>
          <t>SPB_BC_Leon</t>
        </is>
      </c>
      <c r="K3198" s="640" t="n">
        <v>1</v>
      </c>
      <c r="L3198" s="640" t="n">
        <v>1</v>
      </c>
      <c r="M3198" s="623" t="inlineStr">
        <is>
          <t>LED/32'/верт</t>
        </is>
      </c>
      <c r="N3198" s="640" t="n"/>
      <c r="O3198" s="640">
        <f>IF(AND(N3198=1,L3198=1),K3198,"")</f>
        <v/>
      </c>
      <c r="P3198" s="642" t="inlineStr">
        <is>
          <t>Санкт-Петербург, Революции шоссе, д.3, к.1, лит.А</t>
        </is>
      </c>
      <c r="Q3198" s="640" t="inlineStr">
        <is>
          <t>59.958683</t>
        </is>
      </c>
      <c r="R3198" s="494" t="inlineStr">
        <is>
          <t>30.408583</t>
        </is>
      </c>
      <c r="S3198" s="387">
        <f>'Цены|Скидки'!$E$25</f>
        <v/>
      </c>
      <c r="T3198" s="387">
        <f>IF(N3198=1,S3198*O3198,0)</f>
        <v/>
      </c>
      <c r="Z3198" s="1" t="n"/>
    </row>
    <row r="3199" hidden="1" ht="16.05" customHeight="1">
      <c r="A3199" s="125" t="n">
        <v>3877</v>
      </c>
      <c r="B3199" s="125" t="inlineStr">
        <is>
          <t>WF</t>
        </is>
      </c>
      <c r="C3199" s="130" t="inlineStr">
        <is>
          <t>Санкт-Петербург</t>
        </is>
      </c>
      <c r="D3199" s="130" t="inlineStr">
        <is>
          <t>Санкт-Петербург</t>
        </is>
      </c>
      <c r="E3199" s="130" t="inlineStr">
        <is>
          <t>A</t>
        </is>
      </c>
      <c r="F3199" s="130" t="inlineStr">
        <is>
          <t>Бизнес центр</t>
        </is>
      </c>
      <c r="G3199" s="130" t="inlineStr">
        <is>
          <t>Бизнес центр</t>
        </is>
      </c>
      <c r="H3199" s="131" t="n">
        <v>4593</v>
      </c>
      <c r="I3199" s="637" t="inlineStr">
        <is>
          <t>Лето</t>
        </is>
      </c>
      <c r="J3199" s="637" t="inlineStr">
        <is>
          <t>SPB_BC_Leto</t>
        </is>
      </c>
      <c r="K3199" s="640" t="n">
        <v>2</v>
      </c>
      <c r="L3199" s="640" t="n">
        <v>1</v>
      </c>
      <c r="M3199" s="623" t="inlineStr">
        <is>
          <t>LED/32'/верт</t>
        </is>
      </c>
      <c r="N3199" s="640" t="n"/>
      <c r="O3199" s="640">
        <f>IF(AND(N3199=1,L3199=1),K3199,"")</f>
        <v/>
      </c>
      <c r="P3199" s="642" t="inlineStr">
        <is>
          <t>Санкт-Петербург, Свердловская набережная, д. 44Д</t>
        </is>
      </c>
      <c r="Q3199" s="640" t="inlineStr">
        <is>
          <t>59.961971</t>
        </is>
      </c>
      <c r="R3199" s="494" t="inlineStr">
        <is>
          <t>30.402061</t>
        </is>
      </c>
      <c r="S3199" s="387">
        <f>'Цены|Скидки'!$E$25</f>
        <v/>
      </c>
      <c r="T3199" s="387">
        <f>IF(N3199=1,S3199*O3199,0)</f>
        <v/>
      </c>
      <c r="Z3199" s="1" t="n"/>
    </row>
    <row r="3200" hidden="1" ht="16.05" customHeight="1">
      <c r="A3200" s="125" t="n">
        <v>3878</v>
      </c>
      <c r="B3200" s="125" t="inlineStr">
        <is>
          <t>WF</t>
        </is>
      </c>
      <c r="C3200" s="130" t="inlineStr">
        <is>
          <t>Санкт-Петербург</t>
        </is>
      </c>
      <c r="D3200" s="130" t="inlineStr">
        <is>
          <t>Санкт-Петербург</t>
        </is>
      </c>
      <c r="E3200" s="130" t="inlineStr">
        <is>
          <t>B+</t>
        </is>
      </c>
      <c r="F3200" s="130" t="inlineStr">
        <is>
          <t>Бизнес центр</t>
        </is>
      </c>
      <c r="G3200" s="130" t="inlineStr">
        <is>
          <t>Бизнес центр</t>
        </is>
      </c>
      <c r="H3200" s="131" t="n">
        <v>8367</v>
      </c>
      <c r="I3200" s="637" t="inlineStr">
        <is>
          <t>Лайнер</t>
        </is>
      </c>
      <c r="J3200" s="637" t="inlineStr">
        <is>
          <t>SPB_BC_Layner</t>
        </is>
      </c>
      <c r="K3200" s="640" t="n">
        <v>2</v>
      </c>
      <c r="L3200" s="640" t="n">
        <v>1</v>
      </c>
      <c r="M3200" s="623" t="inlineStr">
        <is>
          <t>LED/32'/верт</t>
        </is>
      </c>
      <c r="N3200" s="640" t="n"/>
      <c r="O3200" s="640">
        <f>IF(AND(N3200=1,L3200=1),K3200,"")</f>
        <v/>
      </c>
      <c r="P3200" s="642" t="inlineStr">
        <is>
          <t>Санкт-Петербург, ул. Вербная, д. 27</t>
        </is>
      </c>
      <c r="Q3200" s="640" t="inlineStr">
        <is>
          <t>60.023506</t>
        </is>
      </c>
      <c r="R3200" s="494" t="inlineStr">
        <is>
          <t>30.298611</t>
        </is>
      </c>
      <c r="S3200" s="387">
        <f>'Цены|Скидки'!$E$25</f>
        <v/>
      </c>
      <c r="T3200" s="387">
        <f>IF(N3200=1,S3200*O3200,0)</f>
        <v/>
      </c>
      <c r="Z3200" s="1" t="n"/>
    </row>
    <row r="3201" hidden="1" ht="16.05" customHeight="1">
      <c r="A3201" s="125" t="n">
        <v>3879</v>
      </c>
      <c r="B3201" s="125" t="inlineStr">
        <is>
          <t>WF</t>
        </is>
      </c>
      <c r="C3201" s="130" t="inlineStr">
        <is>
          <t>Санкт-Петербург</t>
        </is>
      </c>
      <c r="D3201" s="130" t="inlineStr">
        <is>
          <t>Санкт-Петербург</t>
        </is>
      </c>
      <c r="E3201" s="130" t="inlineStr">
        <is>
          <t>B+</t>
        </is>
      </c>
      <c r="F3201" s="130" t="inlineStr">
        <is>
          <t>Бизнес центр</t>
        </is>
      </c>
      <c r="G3201" s="130" t="inlineStr">
        <is>
          <t>Бизнес центр</t>
        </is>
      </c>
      <c r="H3201" s="131" t="n">
        <v>15750</v>
      </c>
      <c r="I3201" s="637" t="inlineStr">
        <is>
          <t>МегаПарк</t>
        </is>
      </c>
      <c r="J3201" s="637" t="inlineStr">
        <is>
          <t>SPB_BC_MegaPark</t>
        </is>
      </c>
      <c r="K3201" s="640" t="n">
        <v>2</v>
      </c>
      <c r="L3201" s="640" t="n">
        <v>1</v>
      </c>
      <c r="M3201" s="623" t="inlineStr">
        <is>
          <t>LED/32'/верт</t>
        </is>
      </c>
      <c r="N3201" s="640" t="n"/>
      <c r="O3201" s="640">
        <f>IF(AND(N3201=1,L3201=1),K3201,"")</f>
        <v/>
      </c>
      <c r="P3201" s="642" t="inlineStr">
        <is>
          <t>Санкт-Петербург, ул. Заставская, д. 7</t>
        </is>
      </c>
      <c r="Q3201" s="640" t="inlineStr">
        <is>
          <t>59.889187</t>
        </is>
      </c>
      <c r="R3201" s="494" t="inlineStr">
        <is>
          <t>30.335514</t>
        </is>
      </c>
      <c r="S3201" s="387">
        <f>'Цены|Скидки'!$E$25</f>
        <v/>
      </c>
      <c r="T3201" s="387">
        <f>IF(N3201=1,S3201*O3201,0)</f>
        <v/>
      </c>
      <c r="Z3201" s="1" t="n"/>
    </row>
    <row r="3202" hidden="1" ht="16.05" customHeight="1">
      <c r="A3202" s="125" t="n">
        <v>3880</v>
      </c>
      <c r="B3202" s="125" t="inlineStr">
        <is>
          <t>WF</t>
        </is>
      </c>
      <c r="C3202" s="130" t="inlineStr">
        <is>
          <t>Санкт-Петербург</t>
        </is>
      </c>
      <c r="D3202" s="130" t="inlineStr">
        <is>
          <t>Санкт-Петербург</t>
        </is>
      </c>
      <c r="E3202" s="130" t="inlineStr">
        <is>
          <t>B+</t>
        </is>
      </c>
      <c r="F3202" s="130" t="inlineStr">
        <is>
          <t>Бизнес центр</t>
        </is>
      </c>
      <c r="G3202" s="130" t="inlineStr">
        <is>
          <t>Бизнес центр</t>
        </is>
      </c>
      <c r="H3202" s="131" t="n">
        <v>10500</v>
      </c>
      <c r="I3202" s="637" t="inlineStr">
        <is>
          <t>Меридиан</t>
        </is>
      </c>
      <c r="J3202" s="637" t="inlineStr">
        <is>
          <t>SPB_BC_Meridian</t>
        </is>
      </c>
      <c r="K3202" s="640" t="n">
        <v>2</v>
      </c>
      <c r="L3202" s="640" t="n">
        <v>1</v>
      </c>
      <c r="M3202" s="623" t="inlineStr">
        <is>
          <t>LED/32'/верт</t>
        </is>
      </c>
      <c r="N3202" s="640" t="n"/>
      <c r="O3202" s="640">
        <f>IF(AND(N3202=1,L3202=1),K3202,"")</f>
        <v/>
      </c>
      <c r="P3202" s="642" t="inlineStr">
        <is>
          <t>Санкт-Петербург, Ленинский проспект, д.160, лит.А</t>
        </is>
      </c>
      <c r="Q3202" s="640" t="inlineStr">
        <is>
          <t>59.852384</t>
        </is>
      </c>
      <c r="R3202" s="494" t="inlineStr">
        <is>
          <t>30.301055</t>
        </is>
      </c>
      <c r="S3202" s="387">
        <f>'Цены|Скидки'!$E$25</f>
        <v/>
      </c>
      <c r="T3202" s="387">
        <f>IF(N3202=1,S3202*O3202,0)</f>
        <v/>
      </c>
      <c r="Z3202" s="1" t="n"/>
    </row>
    <row r="3203" hidden="1" ht="16.05" customHeight="1">
      <c r="A3203" s="125" t="n">
        <v>3881</v>
      </c>
      <c r="B3203" s="125" t="inlineStr">
        <is>
          <t>WF</t>
        </is>
      </c>
      <c r="C3203" s="130" t="inlineStr">
        <is>
          <t>Санкт-Петербург</t>
        </is>
      </c>
      <c r="D3203" s="130" t="inlineStr">
        <is>
          <t>Санкт-Петербург</t>
        </is>
      </c>
      <c r="E3203" s="130" t="inlineStr">
        <is>
          <t>B+</t>
        </is>
      </c>
      <c r="F3203" s="130" t="inlineStr">
        <is>
          <t>Бизнес центр</t>
        </is>
      </c>
      <c r="G3203" s="130" t="inlineStr">
        <is>
          <t>Бизнес центр</t>
        </is>
      </c>
      <c r="H3203" s="131" t="n">
        <v>21262</v>
      </c>
      <c r="I3203" s="637" t="inlineStr">
        <is>
          <t>Москва</t>
        </is>
      </c>
      <c r="J3203" s="637" t="inlineStr">
        <is>
          <t>SPB_BC_Moskva</t>
        </is>
      </c>
      <c r="K3203" s="640" t="n">
        <v>1</v>
      </c>
      <c r="L3203" s="640" t="n">
        <v>1</v>
      </c>
      <c r="M3203" s="623" t="inlineStr">
        <is>
          <t>LED/32'/верт</t>
        </is>
      </c>
      <c r="N3203" s="640" t="n"/>
      <c r="O3203" s="640">
        <f>IF(AND(N3203=1,L3203=1),K3203,"")</f>
        <v/>
      </c>
      <c r="P3203" s="642" t="inlineStr">
        <is>
          <t>Санкт-Петербург, Александра Невского площадь, д.2</t>
        </is>
      </c>
      <c r="Q3203" s="640" t="inlineStr">
        <is>
          <t>59.924406</t>
        </is>
      </c>
      <c r="R3203" s="494" t="inlineStr">
        <is>
          <t>30.385793</t>
        </is>
      </c>
      <c r="S3203" s="387">
        <f>'Цены|Скидки'!$E$25</f>
        <v/>
      </c>
      <c r="T3203" s="387">
        <f>IF(N3203=1,S3203*O3203,0)</f>
        <v/>
      </c>
      <c r="Z3203" s="1" t="n"/>
    </row>
    <row r="3204" hidden="1" ht="16.05" customHeight="1">
      <c r="A3204" s="125" t="n">
        <v>3882</v>
      </c>
      <c r="B3204" s="125" t="inlineStr">
        <is>
          <t>WF</t>
        </is>
      </c>
      <c r="C3204" s="130" t="inlineStr">
        <is>
          <t>Санкт-Петербург</t>
        </is>
      </c>
      <c r="D3204" s="130" t="inlineStr">
        <is>
          <t>Санкт-Петербург</t>
        </is>
      </c>
      <c r="E3204" s="130" t="inlineStr">
        <is>
          <t>B+</t>
        </is>
      </c>
      <c r="F3204" s="130" t="inlineStr">
        <is>
          <t>Бизнес центр</t>
        </is>
      </c>
      <c r="G3204" s="130" t="inlineStr">
        <is>
          <t>Бизнес центр</t>
        </is>
      </c>
      <c r="H3204" s="131" t="n">
        <v>4593</v>
      </c>
      <c r="I3204" s="637" t="inlineStr">
        <is>
          <t>Московский 79А</t>
        </is>
      </c>
      <c r="J3204" s="637" t="inlineStr">
        <is>
          <t>SPB_BC_Moskovskiy_79A</t>
        </is>
      </c>
      <c r="K3204" s="640" t="n">
        <v>1</v>
      </c>
      <c r="L3204" s="640" t="n">
        <v>1</v>
      </c>
      <c r="M3204" s="623" t="inlineStr">
        <is>
          <t>LED/32'/верт</t>
        </is>
      </c>
      <c r="N3204" s="640" t="n"/>
      <c r="O3204" s="640">
        <f>IF(AND(N3204=1,L3204=1),K3204,"")</f>
        <v/>
      </c>
      <c r="P3204" s="642" t="inlineStr">
        <is>
          <t>Санкт-Петербург, Московский пр.д.79А</t>
        </is>
      </c>
      <c r="Q3204" s="640" t="inlineStr">
        <is>
          <t>59.899153</t>
        </is>
      </c>
      <c r="R3204" s="494" t="inlineStr">
        <is>
          <t>30.317243</t>
        </is>
      </c>
      <c r="S3204" s="387">
        <f>'Цены|Скидки'!$E$25</f>
        <v/>
      </c>
      <c r="T3204" s="387">
        <f>IF(N3204=1,S3204*O3204,0)</f>
        <v/>
      </c>
      <c r="Z3204" s="1" t="n"/>
    </row>
    <row r="3205" hidden="1" ht="16.05" customHeight="1">
      <c r="A3205" s="125" t="n">
        <v>3883</v>
      </c>
      <c r="B3205" s="125" t="inlineStr">
        <is>
          <t>WF</t>
        </is>
      </c>
      <c r="C3205" s="130" t="inlineStr">
        <is>
          <t>Санкт-Петербург</t>
        </is>
      </c>
      <c r="D3205" s="130" t="inlineStr">
        <is>
          <t>Санкт-Петербург</t>
        </is>
      </c>
      <c r="E3205" s="130" t="inlineStr">
        <is>
          <t>B</t>
        </is>
      </c>
      <c r="F3205" s="130" t="inlineStr">
        <is>
          <t>Бизнес центр</t>
        </is>
      </c>
      <c r="G3205" s="130" t="inlineStr">
        <is>
          <t>Бизнес центр</t>
        </is>
      </c>
      <c r="H3205" s="131" t="n">
        <v>9843</v>
      </c>
      <c r="I3205" s="637" t="inlineStr">
        <is>
          <t>Н-49</t>
        </is>
      </c>
      <c r="J3205" s="637" t="inlineStr">
        <is>
          <t>SPB_BC_N_49</t>
        </is>
      </c>
      <c r="K3205" s="640" t="n">
        <v>1</v>
      </c>
      <c r="L3205" s="640" t="n">
        <v>1</v>
      </c>
      <c r="M3205" s="623" t="inlineStr">
        <is>
          <t>LED/32'/верт</t>
        </is>
      </c>
      <c r="N3205" s="640" t="n"/>
      <c r="O3205" s="640">
        <f>IF(AND(N3205=1,L3205=1),K3205,"")</f>
        <v/>
      </c>
      <c r="P3205" s="642" t="inlineStr">
        <is>
          <t>Санкт-Петербург, пр. Непокоренных, д. 49, лит. А</t>
        </is>
      </c>
      <c r="Q3205" s="640" t="inlineStr">
        <is>
          <t>59.994216</t>
        </is>
      </c>
      <c r="R3205" s="494" t="inlineStr">
        <is>
          <t>30.388048</t>
        </is>
      </c>
      <c r="S3205" s="387">
        <f>'Цены|Скидки'!$E$25</f>
        <v/>
      </c>
      <c r="T3205" s="387">
        <f>IF(N3205=1,S3205*O3205,0)</f>
        <v/>
      </c>
      <c r="Z3205" s="1" t="n"/>
    </row>
    <row r="3206" hidden="1" ht="16.05" customHeight="1">
      <c r="A3206" s="125" t="n">
        <v>3884</v>
      </c>
      <c r="B3206" s="125" t="inlineStr">
        <is>
          <t>WF</t>
        </is>
      </c>
      <c r="C3206" s="130" t="inlineStr">
        <is>
          <t>Санкт-Петербург</t>
        </is>
      </c>
      <c r="D3206" s="130" t="inlineStr">
        <is>
          <t>Санкт-Петербург</t>
        </is>
      </c>
      <c r="E3206" s="130" t="inlineStr">
        <is>
          <t>B+</t>
        </is>
      </c>
      <c r="F3206" s="130" t="inlineStr">
        <is>
          <t>Бизнес центр</t>
        </is>
      </c>
      <c r="G3206" s="130" t="inlineStr">
        <is>
          <t>Бизнес центр</t>
        </is>
      </c>
      <c r="H3206" s="131" t="n">
        <v>3281</v>
      </c>
      <c r="I3206" s="637" t="inlineStr">
        <is>
          <t>Навигатор</t>
        </is>
      </c>
      <c r="J3206" s="637" t="inlineStr">
        <is>
          <t>SPB_BC_Navigator</t>
        </is>
      </c>
      <c r="K3206" s="640" t="n">
        <v>1</v>
      </c>
      <c r="L3206" s="640" t="n">
        <v>1</v>
      </c>
      <c r="M3206" s="623" t="inlineStr">
        <is>
          <t>LED/32'/верт</t>
        </is>
      </c>
      <c r="N3206" s="640" t="n"/>
      <c r="O3206" s="640">
        <f>IF(AND(N3206=1,L3206=1),K3206,"")</f>
        <v/>
      </c>
      <c r="P3206" s="642" t="inlineStr">
        <is>
          <t>Санкт-Петербург, В.О. Малый пр., д. 48, Корп.2</t>
        </is>
      </c>
      <c r="Q3206" s="640" t="inlineStr">
        <is>
          <t>59.94321</t>
        </is>
      </c>
      <c r="R3206" s="494" t="inlineStr">
        <is>
          <t>30.26187</t>
        </is>
      </c>
      <c r="S3206" s="387">
        <f>'Цены|Скидки'!$E$25</f>
        <v/>
      </c>
      <c r="T3206" s="387">
        <f>IF(N3206=1,S3206*O3206,0)</f>
        <v/>
      </c>
      <c r="Z3206" s="1" t="n"/>
    </row>
    <row r="3207" hidden="1" ht="16.05" customHeight="1">
      <c r="A3207" s="125" t="n">
        <v>3885</v>
      </c>
      <c r="B3207" s="125" t="inlineStr">
        <is>
          <t>WF</t>
        </is>
      </c>
      <c r="C3207" s="130" t="inlineStr">
        <is>
          <t>Санкт-Петербург</t>
        </is>
      </c>
      <c r="D3207" s="130" t="inlineStr">
        <is>
          <t>Санкт-Петербург</t>
        </is>
      </c>
      <c r="E3207" s="130" t="inlineStr">
        <is>
          <t>B</t>
        </is>
      </c>
      <c r="F3207" s="130" t="inlineStr">
        <is>
          <t>Бизнес центр</t>
        </is>
      </c>
      <c r="G3207" s="130" t="inlineStr">
        <is>
          <t>Бизнес центр</t>
        </is>
      </c>
      <c r="H3207" s="131" t="n">
        <v>19687</v>
      </c>
      <c r="I3207" s="637" t="inlineStr">
        <is>
          <t>Обводный 24</t>
        </is>
      </c>
      <c r="J3207" s="637" t="inlineStr">
        <is>
          <t>SPB_BC_Obvodnyy_24</t>
        </is>
      </c>
      <c r="K3207" s="640" t="n">
        <v>1</v>
      </c>
      <c r="L3207" s="640" t="n">
        <v>1</v>
      </c>
      <c r="M3207" s="623" t="inlineStr">
        <is>
          <t>LED/40'/верт</t>
        </is>
      </c>
      <c r="N3207" s="640" t="n"/>
      <c r="O3207" s="640">
        <f>IF(AND(N3207=1,L3207=1),K3207,"")</f>
        <v/>
      </c>
      <c r="P3207" s="642" t="inlineStr">
        <is>
          <t>Санкт-Петербург, Обводного канала наб., д. 24</t>
        </is>
      </c>
      <c r="Q3207" s="640" t="inlineStr">
        <is>
          <t>59.913677</t>
        </is>
      </c>
      <c r="R3207" s="494" t="inlineStr">
        <is>
          <t>30.375822</t>
        </is>
      </c>
      <c r="S3207" s="387">
        <f>'Цены|Скидки'!$E$25</f>
        <v/>
      </c>
      <c r="T3207" s="387">
        <f>IF(N3207=1,S3207*O3207,0)</f>
        <v/>
      </c>
      <c r="Z3207" s="1" t="n"/>
    </row>
    <row r="3208" hidden="1" ht="16.05" customHeight="1">
      <c r="A3208" s="125" t="n">
        <v>3886</v>
      </c>
      <c r="B3208" s="125" t="inlineStr">
        <is>
          <t>WF</t>
        </is>
      </c>
      <c r="C3208" s="130" t="inlineStr">
        <is>
          <t>Санкт-Петербург</t>
        </is>
      </c>
      <c r="D3208" s="130" t="inlineStr">
        <is>
          <t>Санкт-Петербург</t>
        </is>
      </c>
      <c r="E3208" s="130" t="inlineStr">
        <is>
          <t>B+</t>
        </is>
      </c>
      <c r="F3208" s="130" t="inlineStr">
        <is>
          <t>Бизнес центр</t>
        </is>
      </c>
      <c r="G3208" s="130" t="inlineStr">
        <is>
          <t>Бизнес центр</t>
        </is>
      </c>
      <c r="H3208" s="131" t="n">
        <v>5906</v>
      </c>
      <c r="I3208" s="637" t="inlineStr">
        <is>
          <t>Овентал History</t>
        </is>
      </c>
      <c r="J3208" s="637" t="inlineStr">
        <is>
          <t>SPB_BC_Ovental_History</t>
        </is>
      </c>
      <c r="K3208" s="640" t="n">
        <v>1</v>
      </c>
      <c r="L3208" s="640" t="n">
        <v>1</v>
      </c>
      <c r="M3208" s="623" t="inlineStr">
        <is>
          <t>LED/32'/верт</t>
        </is>
      </c>
      <c r="N3208" s="640" t="n"/>
      <c r="O3208" s="640">
        <f>IF(AND(N3208=1,L3208=1),K3208,"")</f>
        <v/>
      </c>
      <c r="P3208" s="642" t="inlineStr">
        <is>
          <t>Санкт-Петербург, Социалистическая 14А</t>
        </is>
      </c>
      <c r="Q3208" s="640" t="inlineStr">
        <is>
          <t>59.922625</t>
        </is>
      </c>
      <c r="R3208" s="494" t="inlineStr">
        <is>
          <t>30.34306</t>
        </is>
      </c>
      <c r="S3208" s="387">
        <f>'Цены|Скидки'!$E$25</f>
        <v/>
      </c>
      <c r="T3208" s="387">
        <f>IF(N3208=1,S3208*O3208,0)</f>
        <v/>
      </c>
      <c r="Z3208" s="1" t="n"/>
    </row>
    <row r="3209" hidden="1" ht="16.05" customHeight="1">
      <c r="A3209" s="125" t="n">
        <v>3887</v>
      </c>
      <c r="B3209" s="125" t="inlineStr">
        <is>
          <t>WF</t>
        </is>
      </c>
      <c r="C3209" s="130" t="inlineStr">
        <is>
          <t>Санкт-Петербург</t>
        </is>
      </c>
      <c r="D3209" s="130" t="inlineStr">
        <is>
          <t>Санкт-Петербург</t>
        </is>
      </c>
      <c r="E3209" s="130" t="inlineStr">
        <is>
          <t>B</t>
        </is>
      </c>
      <c r="F3209" s="130" t="inlineStr">
        <is>
          <t>Бизнес центр</t>
        </is>
      </c>
      <c r="G3209" s="130" t="inlineStr">
        <is>
          <t>Бизнес центр</t>
        </is>
      </c>
      <c r="H3209" s="131" t="n">
        <v>13781</v>
      </c>
      <c r="I3209" s="637" t="inlineStr">
        <is>
          <t>ОПТИМА</t>
        </is>
      </c>
      <c r="J3209" s="637" t="inlineStr">
        <is>
          <t>SPB_BC_OPTIMA</t>
        </is>
      </c>
      <c r="K3209" s="640" t="n">
        <v>1</v>
      </c>
      <c r="L3209" s="640" t="n">
        <v>1</v>
      </c>
      <c r="M3209" s="623" t="inlineStr">
        <is>
          <t>LED/40'/верт</t>
        </is>
      </c>
      <c r="N3209" s="640" t="n"/>
      <c r="O3209" s="640">
        <f>IF(AND(N3209=1,L3209=1),K3209,"")</f>
        <v/>
      </c>
      <c r="P3209" s="642" t="inlineStr">
        <is>
          <t>Санкт-Петербург, ул. Торжковская д.5</t>
        </is>
      </c>
      <c r="Q3209" s="640" t="inlineStr">
        <is>
          <t>59.987789</t>
        </is>
      </c>
      <c r="R3209" s="494" t="inlineStr">
        <is>
          <t>30.308583</t>
        </is>
      </c>
      <c r="S3209" s="387">
        <f>'Цены|Скидки'!$E$25</f>
        <v/>
      </c>
      <c r="T3209" s="387">
        <f>IF(N3209=1,S3209*O3209,0)</f>
        <v/>
      </c>
      <c r="Z3209" s="1" t="n"/>
    </row>
    <row r="3210" hidden="1" ht="16.05" customHeight="1">
      <c r="A3210" s="125" t="n">
        <v>3888</v>
      </c>
      <c r="B3210" s="125" t="inlineStr">
        <is>
          <t>WF</t>
        </is>
      </c>
      <c r="C3210" s="130" t="inlineStr">
        <is>
          <t>Санкт-Петербург</t>
        </is>
      </c>
      <c r="D3210" s="130" t="inlineStr">
        <is>
          <t>Санкт-Петербург</t>
        </is>
      </c>
      <c r="E3210" s="130" t="inlineStr">
        <is>
          <t>B+</t>
        </is>
      </c>
      <c r="F3210" s="130" t="inlineStr">
        <is>
          <t>Бизнес центр</t>
        </is>
      </c>
      <c r="G3210" s="130" t="inlineStr">
        <is>
          <t>Бизнес центр</t>
        </is>
      </c>
      <c r="H3210" s="131" t="n">
        <v>22837</v>
      </c>
      <c r="I3210" s="637" t="inlineStr">
        <is>
          <t>Обуховъ-Центр</t>
        </is>
      </c>
      <c r="J3210" s="637" t="inlineStr">
        <is>
          <t>SPB_BC_Obukhov_Tsentr</t>
        </is>
      </c>
      <c r="K3210" s="640" t="n">
        <v>4</v>
      </c>
      <c r="L3210" s="640" t="n">
        <v>1</v>
      </c>
      <c r="M3210" s="623" t="inlineStr">
        <is>
          <t>LED/40'/верт</t>
        </is>
      </c>
      <c r="N3210" s="640" t="n"/>
      <c r="O3210" s="640">
        <f>IF(AND(N3210=1,L3210=1),K3210,"")</f>
        <v/>
      </c>
      <c r="P3210" s="642" t="inlineStr">
        <is>
          <t>Санкт-Петербург, пр.Обуховской обороны, д.271, лит.А</t>
        </is>
      </c>
      <c r="Q3210" s="640" t="inlineStr">
        <is>
          <t>59.851245</t>
        </is>
      </c>
      <c r="R3210" s="494" t="inlineStr">
        <is>
          <t>30.479254</t>
        </is>
      </c>
      <c r="S3210" s="387">
        <f>'Цены|Скидки'!$E$25</f>
        <v/>
      </c>
      <c r="T3210" s="387">
        <f>IF(N3210=1,S3210*O3210,0)</f>
        <v/>
      </c>
      <c r="Z3210" s="1" t="n"/>
    </row>
    <row r="3211" hidden="1" ht="16.05" customHeight="1">
      <c r="A3211" s="125" t="n">
        <v>3889</v>
      </c>
      <c r="B3211" s="125" t="inlineStr">
        <is>
          <t>WF</t>
        </is>
      </c>
      <c r="C3211" s="130" t="inlineStr">
        <is>
          <t>Санкт-Петербург</t>
        </is>
      </c>
      <c r="D3211" s="130" t="inlineStr">
        <is>
          <t>Санкт-Петербург</t>
        </is>
      </c>
      <c r="E3211" s="130" t="inlineStr">
        <is>
          <t>B+</t>
        </is>
      </c>
      <c r="F3211" s="130" t="inlineStr">
        <is>
          <t>Бизнес центр</t>
        </is>
      </c>
      <c r="G3211" s="130" t="inlineStr">
        <is>
          <t>Бизнес центр</t>
        </is>
      </c>
      <c r="H3211" s="131" t="n">
        <v>8925</v>
      </c>
      <c r="I3211" s="637" t="inlineStr">
        <is>
          <t>Октябрьская 10</t>
        </is>
      </c>
      <c r="J3211" s="637" t="inlineStr">
        <is>
          <t>SPB_BC_Oktyabrskaya_10</t>
        </is>
      </c>
      <c r="K3211" s="640" t="n">
        <v>1</v>
      </c>
      <c r="L3211" s="640" t="n">
        <v>1</v>
      </c>
      <c r="M3211" s="623" t="inlineStr">
        <is>
          <t>LED/32'/верт</t>
        </is>
      </c>
      <c r="N3211" s="640" t="n"/>
      <c r="O3211" s="640">
        <f>IF(AND(N3211=1,L3211=1),K3211,"")</f>
        <v/>
      </c>
      <c r="P3211" s="642" t="inlineStr">
        <is>
          <t>Санкт-Петербург, Октябрьская наб., д. 10</t>
        </is>
      </c>
      <c r="Q3211" s="640" t="inlineStr">
        <is>
          <t>59.912021</t>
        </is>
      </c>
      <c r="R3211" s="494" t="inlineStr">
        <is>
          <t>30.422444</t>
        </is>
      </c>
      <c r="S3211" s="387">
        <f>'Цены|Скидки'!$E$25</f>
        <v/>
      </c>
      <c r="T3211" s="387">
        <f>IF(N3211=1,S3211*O3211,0)</f>
        <v/>
      </c>
      <c r="Z3211" s="1" t="n"/>
    </row>
    <row r="3212" hidden="1" ht="16.05" customHeight="1">
      <c r="A3212" s="125" t="n">
        <v>3890</v>
      </c>
      <c r="B3212" s="125" t="inlineStr">
        <is>
          <t>WF</t>
        </is>
      </c>
      <c r="C3212" s="130" t="inlineStr">
        <is>
          <t>Санкт-Петербург</t>
        </is>
      </c>
      <c r="D3212" s="130" t="inlineStr">
        <is>
          <t>Санкт-Петербург</t>
        </is>
      </c>
      <c r="E3212" s="130" t="inlineStr">
        <is>
          <t>A</t>
        </is>
      </c>
      <c r="F3212" s="130" t="inlineStr">
        <is>
          <t>Бизнес центр</t>
        </is>
      </c>
      <c r="G3212" s="130" t="inlineStr">
        <is>
          <t>Бизнес центр</t>
        </is>
      </c>
      <c r="H3212" s="131" t="n">
        <v>10040</v>
      </c>
      <c r="I3212" s="637" t="inlineStr">
        <is>
          <t>Петровский форт</t>
        </is>
      </c>
      <c r="J3212" s="637" t="inlineStr">
        <is>
          <t>SPB_BC_Petrovskiy_fort</t>
        </is>
      </c>
      <c r="K3212" s="640" t="n">
        <v>4</v>
      </c>
      <c r="L3212" s="640" t="n">
        <v>1</v>
      </c>
      <c r="M3212" s="623" t="inlineStr">
        <is>
          <t>LED/32'/верт</t>
        </is>
      </c>
      <c r="N3212" s="640" t="n"/>
      <c r="O3212" s="640">
        <f>IF(AND(N3212=1,L3212=1),K3212,"")</f>
        <v/>
      </c>
      <c r="P3212" s="642" t="inlineStr">
        <is>
          <t>Санкт-Петербург, Финляндский проспект, д.4, лит.А</t>
        </is>
      </c>
      <c r="Q3212" s="640" t="inlineStr">
        <is>
          <t>59.957782</t>
        </is>
      </c>
      <c r="R3212" s="494" t="inlineStr">
        <is>
          <t>30.342189</t>
        </is>
      </c>
      <c r="S3212" s="387">
        <f>'Цены|Скидки'!$E$25</f>
        <v/>
      </c>
      <c r="T3212" s="387">
        <f>IF(N3212=1,S3212*O3212,0)</f>
        <v/>
      </c>
      <c r="Z3212" s="1" t="n"/>
    </row>
    <row r="3213" hidden="1" ht="16.05" customHeight="1">
      <c r="A3213" s="125" t="n">
        <v>3891</v>
      </c>
      <c r="B3213" s="125" t="inlineStr">
        <is>
          <t>WF</t>
        </is>
      </c>
      <c r="C3213" s="130" t="inlineStr">
        <is>
          <t>Санкт-Петербург</t>
        </is>
      </c>
      <c r="D3213" s="130" t="inlineStr">
        <is>
          <t>Санкт-Петербург</t>
        </is>
      </c>
      <c r="E3213" s="130" t="inlineStr">
        <is>
          <t>A</t>
        </is>
      </c>
      <c r="F3213" s="130" t="inlineStr">
        <is>
          <t>Бизнес центр</t>
        </is>
      </c>
      <c r="G3213" s="130" t="inlineStr">
        <is>
          <t>Бизнес центр</t>
        </is>
      </c>
      <c r="H3213" s="131" t="n">
        <v>17718</v>
      </c>
      <c r="I3213" s="637" t="inlineStr">
        <is>
          <t>Полис центр</t>
        </is>
      </c>
      <c r="J3213" s="637" t="inlineStr">
        <is>
          <t>SPB_BC_Polis_tsentr</t>
        </is>
      </c>
      <c r="K3213" s="640" t="n">
        <v>2</v>
      </c>
      <c r="L3213" s="640" t="n">
        <v>1</v>
      </c>
      <c r="M3213" s="623" t="inlineStr">
        <is>
          <t>LED/1-40'/32/верт</t>
        </is>
      </c>
      <c r="N3213" s="640" t="n"/>
      <c r="O3213" s="640">
        <f>IF(AND(N3213=1,L3213=1),K3213,"")</f>
        <v/>
      </c>
      <c r="P3213" s="642" t="inlineStr">
        <is>
          <t>Санкт-Петербург, ул. Софийская, д 6, корп. 8</t>
        </is>
      </c>
      <c r="Q3213" s="640" t="inlineStr">
        <is>
          <t>59.884302</t>
        </is>
      </c>
      <c r="R3213" s="494" t="inlineStr">
        <is>
          <t>30.38935</t>
        </is>
      </c>
      <c r="S3213" s="387">
        <f>'Цены|Скидки'!$E$25</f>
        <v/>
      </c>
      <c r="T3213" s="387">
        <f>IF(N3213=1,S3213*O3213,0)</f>
        <v/>
      </c>
      <c r="Z3213" s="1" t="n"/>
    </row>
    <row r="3214" hidden="1" ht="16.05" customHeight="1">
      <c r="A3214" s="125" t="n">
        <v>3892</v>
      </c>
      <c r="B3214" s="125" t="inlineStr">
        <is>
          <t>WF</t>
        </is>
      </c>
      <c r="C3214" s="130" t="inlineStr">
        <is>
          <t>Санкт-Петербург</t>
        </is>
      </c>
      <c r="D3214" s="130" t="inlineStr">
        <is>
          <t>Санкт-Петербург</t>
        </is>
      </c>
      <c r="E3214" s="130" t="inlineStr">
        <is>
          <t>A</t>
        </is>
      </c>
      <c r="F3214" s="130" t="inlineStr">
        <is>
          <t>Бизнес центр</t>
        </is>
      </c>
      <c r="G3214" s="130" t="inlineStr">
        <is>
          <t>Бизнес центр</t>
        </is>
      </c>
      <c r="H3214" s="131" t="n">
        <v>8203</v>
      </c>
      <c r="I3214" s="637" t="inlineStr">
        <is>
          <t>Пономарев центр</t>
        </is>
      </c>
      <c r="J3214" s="637" t="inlineStr">
        <is>
          <t>SPB_BC_Ponomarev_tsentr</t>
        </is>
      </c>
      <c r="K3214" s="640" t="n">
        <v>1</v>
      </c>
      <c r="L3214" s="640" t="n">
        <v>1</v>
      </c>
      <c r="M3214" s="623" t="inlineStr">
        <is>
          <t>LED/32'/верт</t>
        </is>
      </c>
      <c r="N3214" s="640" t="n"/>
      <c r="O3214" s="640">
        <f>IF(AND(N3214=1,L3214=1),K3214,"")</f>
        <v/>
      </c>
      <c r="P3214" s="642" t="inlineStr">
        <is>
          <t>Санкт-Петербург, ул.М.Морская д.18</t>
        </is>
      </c>
      <c r="Q3214" s="640" t="inlineStr">
        <is>
          <t>59.934231</t>
        </is>
      </c>
      <c r="R3214" s="494" t="inlineStr">
        <is>
          <t>30.31029</t>
        </is>
      </c>
      <c r="S3214" s="387">
        <f>'Цены|Скидки'!$E$25</f>
        <v/>
      </c>
      <c r="T3214" s="387">
        <f>IF(N3214=1,S3214*O3214,0)</f>
        <v/>
      </c>
      <c r="Z3214" s="1" t="n"/>
    </row>
    <row r="3215" hidden="1" ht="16.05" customHeight="1">
      <c r="A3215" s="125" t="n">
        <v>3893</v>
      </c>
      <c r="B3215" s="125" t="inlineStr">
        <is>
          <t>WF</t>
        </is>
      </c>
      <c r="C3215" s="130" t="inlineStr">
        <is>
          <t>Санкт-Петербург</t>
        </is>
      </c>
      <c r="D3215" s="130" t="inlineStr">
        <is>
          <t>Санкт-Петербург</t>
        </is>
      </c>
      <c r="E3215" s="130" t="inlineStr">
        <is>
          <t>B</t>
        </is>
      </c>
      <c r="F3215" s="130" t="inlineStr">
        <is>
          <t>Бизнес центр</t>
        </is>
      </c>
      <c r="G3215" s="130" t="inlineStr">
        <is>
          <t>Бизнес центр</t>
        </is>
      </c>
      <c r="H3215" s="131" t="n">
        <v>11156</v>
      </c>
      <c r="I3215" s="637" t="inlineStr">
        <is>
          <t>Приморский</t>
        </is>
      </c>
      <c r="J3215" s="637" t="inlineStr">
        <is>
          <t>SPB_BC_Primorskiy</t>
        </is>
      </c>
      <c r="K3215" s="640" t="n">
        <v>1</v>
      </c>
      <c r="L3215" s="640" t="n">
        <v>1</v>
      </c>
      <c r="M3215" s="623" t="inlineStr">
        <is>
          <t>LED/40'/верт</t>
        </is>
      </c>
      <c r="N3215" s="640" t="n"/>
      <c r="O3215" s="640">
        <f>IF(AND(N3215=1,L3215=1),K3215,"")</f>
        <v/>
      </c>
      <c r="P3215" s="642" t="inlineStr">
        <is>
          <t>Санкт-Петербург, Липовая аллея, д. 9, литер А</t>
        </is>
      </c>
      <c r="Q3215" s="640" t="inlineStr">
        <is>
          <t>59.984463</t>
        </is>
      </c>
      <c r="R3215" s="494" t="inlineStr">
        <is>
          <t>30.257532</t>
        </is>
      </c>
      <c r="S3215" s="387">
        <f>'Цены|Скидки'!$E$25</f>
        <v/>
      </c>
      <c r="T3215" s="387">
        <f>IF(N3215=1,S3215*O3215,0)</f>
        <v/>
      </c>
      <c r="Z3215" s="1" t="n"/>
    </row>
    <row r="3216" hidden="1" ht="16.05" customHeight="1">
      <c r="A3216" s="125" t="n">
        <v>3894</v>
      </c>
      <c r="B3216" s="125" t="inlineStr">
        <is>
          <t>WF</t>
        </is>
      </c>
      <c r="C3216" s="130" t="inlineStr">
        <is>
          <t>Санкт-Петербург</t>
        </is>
      </c>
      <c r="D3216" s="130" t="inlineStr">
        <is>
          <t>Санкт-Петербург</t>
        </is>
      </c>
      <c r="E3216" s="130" t="inlineStr">
        <is>
          <t>A</t>
        </is>
      </c>
      <c r="F3216" s="130" t="inlineStr">
        <is>
          <t>Бизнес центр</t>
        </is>
      </c>
      <c r="G3216" s="130" t="inlineStr">
        <is>
          <t>Бизнес центр</t>
        </is>
      </c>
      <c r="H3216" s="131" t="n">
        <v>13190</v>
      </c>
      <c r="I3216" s="637" t="inlineStr">
        <is>
          <t>Преображенский двор</t>
        </is>
      </c>
      <c r="J3216" s="637" t="inlineStr">
        <is>
          <t>SPB_BC_Preobrazhenskiy_dvor</t>
        </is>
      </c>
      <c r="K3216" s="640" t="n">
        <v>2</v>
      </c>
      <c r="L3216" s="640" t="n">
        <v>1</v>
      </c>
      <c r="M3216" s="623" t="inlineStr">
        <is>
          <t>LED/32'/верт</t>
        </is>
      </c>
      <c r="N3216" s="640" t="n"/>
      <c r="O3216" s="640">
        <f>IF(AND(N3216=1,L3216=1),K3216,"")</f>
        <v/>
      </c>
      <c r="P3216" s="642" t="inlineStr">
        <is>
          <t>Санкт-Петербург, Литейный просп., д. 26, лит. А</t>
        </is>
      </c>
      <c r="Q3216" s="640" t="inlineStr">
        <is>
          <t>59.941912</t>
        </is>
      </c>
      <c r="R3216" s="494" t="inlineStr">
        <is>
          <t>30.348998</t>
        </is>
      </c>
      <c r="S3216" s="387">
        <f>'Цены|Скидки'!$E$25</f>
        <v/>
      </c>
      <c r="T3216" s="387">
        <f>IF(N3216=1,S3216*O3216,0)</f>
        <v/>
      </c>
      <c r="Z3216" s="1" t="n"/>
    </row>
    <row r="3217" hidden="1" ht="16.05" customHeight="1">
      <c r="A3217" s="125" t="n">
        <v>3895</v>
      </c>
      <c r="B3217" s="125" t="inlineStr">
        <is>
          <t>WF</t>
        </is>
      </c>
      <c r="C3217" s="130" t="inlineStr">
        <is>
          <t>Санкт-Петербург</t>
        </is>
      </c>
      <c r="D3217" s="130" t="inlineStr">
        <is>
          <t>Санкт-Петербург</t>
        </is>
      </c>
      <c r="E3217" s="130" t="inlineStr">
        <is>
          <t>B</t>
        </is>
      </c>
      <c r="F3217" s="130" t="inlineStr">
        <is>
          <t>Бизнес центр</t>
        </is>
      </c>
      <c r="G3217" s="130" t="inlineStr">
        <is>
          <t>Бизнес центр</t>
        </is>
      </c>
      <c r="H3217" s="131" t="n">
        <v>13125</v>
      </c>
      <c r="I3217" s="637" t="inlineStr">
        <is>
          <t>Радуга</t>
        </is>
      </c>
      <c r="J3217" s="637" t="inlineStr">
        <is>
          <t>SPB_BC_Raduga</t>
        </is>
      </c>
      <c r="K3217" s="640" t="n">
        <v>1</v>
      </c>
      <c r="L3217" s="640" t="n">
        <v>1</v>
      </c>
      <c r="M3217" s="623" t="inlineStr">
        <is>
          <t>LED/32'/верт</t>
        </is>
      </c>
      <c r="N3217" s="640" t="n"/>
      <c r="O3217" s="640">
        <f>IF(AND(N3217=1,L3217=1),K3217,"")</f>
        <v/>
      </c>
      <c r="P3217" s="642" t="inlineStr">
        <is>
          <t>Санкт-Петербург, Кантемировская ул., д.12, лит. А</t>
        </is>
      </c>
      <c r="Q3217" s="640" t="inlineStr">
        <is>
          <t>59.983995</t>
        </is>
      </c>
      <c r="R3217" s="494" t="inlineStr">
        <is>
          <t>30.331139</t>
        </is>
      </c>
      <c r="S3217" s="387">
        <f>'Цены|Скидки'!$E$25</f>
        <v/>
      </c>
      <c r="T3217" s="387">
        <f>IF(N3217=1,S3217*O3217,0)</f>
        <v/>
      </c>
      <c r="Z3217" s="1" t="n"/>
    </row>
    <row r="3218" hidden="1" ht="16.05" customHeight="1">
      <c r="A3218" s="125" t="n">
        <v>3896</v>
      </c>
      <c r="B3218" s="125" t="inlineStr">
        <is>
          <t>WF</t>
        </is>
      </c>
      <c r="C3218" s="130" t="inlineStr">
        <is>
          <t>Санкт-Петербург</t>
        </is>
      </c>
      <c r="D3218" s="130" t="inlineStr">
        <is>
          <t>Санкт-Петербург</t>
        </is>
      </c>
      <c r="E3218" s="130" t="inlineStr">
        <is>
          <t>A</t>
        </is>
      </c>
      <c r="F3218" s="130" t="inlineStr">
        <is>
          <t>Бизнес центр</t>
        </is>
      </c>
      <c r="G3218" s="130" t="inlineStr">
        <is>
          <t>Бизнес центр</t>
        </is>
      </c>
      <c r="H3218" s="131" t="n">
        <v>21853</v>
      </c>
      <c r="I3218" s="637" t="inlineStr">
        <is>
          <t>Ривер Хаус</t>
        </is>
      </c>
      <c r="J3218" s="637" t="inlineStr">
        <is>
          <t>SPB_BC_River_Khaus</t>
        </is>
      </c>
      <c r="K3218" s="640" t="n">
        <v>1</v>
      </c>
      <c r="L3218" s="640" t="n">
        <v>1</v>
      </c>
      <c r="M3218" s="623" t="inlineStr">
        <is>
          <t>LED/32'/верт</t>
        </is>
      </c>
      <c r="N3218" s="640" t="n"/>
      <c r="O3218" s="640">
        <f>IF(AND(N3218=1,L3218=1),K3218,"")</f>
        <v/>
      </c>
      <c r="P3218" s="642" t="inlineStr">
        <is>
          <t>Санкт-Петербург, ул.Ак.Павлова 5Б</t>
        </is>
      </c>
      <c r="Q3218" s="640" t="inlineStr">
        <is>
          <t>59.977481</t>
        </is>
      </c>
      <c r="R3218" s="494" t="inlineStr">
        <is>
          <t>30.317692</t>
        </is>
      </c>
      <c r="S3218" s="387">
        <f>'Цены|Скидки'!$E$25</f>
        <v/>
      </c>
      <c r="T3218" s="387">
        <f>IF(N3218=1,S3218*O3218,0)</f>
        <v/>
      </c>
      <c r="Z3218" s="1" t="n"/>
    </row>
    <row r="3219" hidden="1" ht="16.05" customHeight="1">
      <c r="A3219" s="125" t="n">
        <v>3897</v>
      </c>
      <c r="B3219" s="125" t="inlineStr">
        <is>
          <t>WF</t>
        </is>
      </c>
      <c r="C3219" s="130" t="inlineStr">
        <is>
          <t>Санкт-Петербург</t>
        </is>
      </c>
      <c r="D3219" s="130" t="inlineStr">
        <is>
          <t>Санкт-Петербург</t>
        </is>
      </c>
      <c r="E3219" s="130" t="inlineStr">
        <is>
          <t>B</t>
        </is>
      </c>
      <c r="F3219" s="130" t="inlineStr">
        <is>
          <t>Бизнес центр</t>
        </is>
      </c>
      <c r="G3219" s="130" t="inlineStr">
        <is>
          <t>Бизнес центр</t>
        </is>
      </c>
      <c r="H3219" s="131" t="n">
        <v>4003</v>
      </c>
      <c r="I3219" s="637" t="inlineStr">
        <is>
          <t>Резон</t>
        </is>
      </c>
      <c r="J3219" s="637" t="inlineStr">
        <is>
          <t>SPB_BC_Rezon</t>
        </is>
      </c>
      <c r="K3219" s="640" t="n">
        <v>1</v>
      </c>
      <c r="L3219" s="640" t="n">
        <v>1</v>
      </c>
      <c r="M3219" s="623" t="inlineStr">
        <is>
          <t>LED/32'/верт</t>
        </is>
      </c>
      <c r="N3219" s="640" t="n"/>
      <c r="O3219" s="640">
        <f>IF(AND(N3219=1,L3219=1),K3219,"")</f>
        <v/>
      </c>
      <c r="P3219" s="642" t="inlineStr">
        <is>
          <t>Санкт-Петербург, Всеволода Вишневского 12</t>
        </is>
      </c>
      <c r="Q3219" s="640" t="inlineStr">
        <is>
          <t>59.96829</t>
        </is>
      </c>
      <c r="R3219" s="494" t="inlineStr">
        <is>
          <t>30.298872</t>
        </is>
      </c>
      <c r="S3219" s="387">
        <f>'Цены|Скидки'!$E$25</f>
        <v/>
      </c>
      <c r="T3219" s="387">
        <f>IF(N3219=1,S3219*O3219,0)</f>
        <v/>
      </c>
      <c r="Z3219" s="1" t="n"/>
    </row>
    <row r="3220" hidden="1" ht="16.05" customHeight="1">
      <c r="A3220" s="125" t="n">
        <v>3898</v>
      </c>
      <c r="B3220" s="125" t="inlineStr">
        <is>
          <t>WF</t>
        </is>
      </c>
      <c r="C3220" s="130" t="inlineStr">
        <is>
          <t>Санкт-Петербург</t>
        </is>
      </c>
      <c r="D3220" s="130" t="inlineStr">
        <is>
          <t>Санкт-Петербург</t>
        </is>
      </c>
      <c r="E3220" s="130" t="inlineStr">
        <is>
          <t>B+</t>
        </is>
      </c>
      <c r="F3220" s="130" t="inlineStr">
        <is>
          <t>Бизнес центр</t>
        </is>
      </c>
      <c r="G3220" s="130" t="inlineStr">
        <is>
          <t>Бизнес центр</t>
        </is>
      </c>
      <c r="H3220" s="131" t="n">
        <v>4265</v>
      </c>
      <c r="I3220" s="637" t="inlineStr">
        <is>
          <t>Ред Кадет</t>
        </is>
      </c>
      <c r="J3220" s="637" t="inlineStr">
        <is>
          <t>SPB_BC_Red_Kadet</t>
        </is>
      </c>
      <c r="K3220" s="640" t="n">
        <v>1</v>
      </c>
      <c r="L3220" s="640" t="n">
        <v>1</v>
      </c>
      <c r="M3220" s="623" t="inlineStr">
        <is>
          <t>LED/32'/верт</t>
        </is>
      </c>
      <c r="N3220" s="640" t="n"/>
      <c r="O3220" s="640">
        <f>IF(AND(N3220=1,L3220=1),K3220,"")</f>
        <v/>
      </c>
      <c r="P3220" s="642" t="inlineStr">
        <is>
          <t>Санкт-Петербург, ул. Красного Курсанта, д. 25, к. В</t>
        </is>
      </c>
      <c r="Q3220" s="640" t="inlineStr">
        <is>
          <t>59.959962</t>
        </is>
      </c>
      <c r="R3220" s="494" t="inlineStr">
        <is>
          <t>30.280825</t>
        </is>
      </c>
      <c r="S3220" s="387">
        <f>'Цены|Скидки'!$E$25</f>
        <v/>
      </c>
      <c r="T3220" s="387">
        <f>IF(N3220=1,S3220*O3220,0)</f>
        <v/>
      </c>
      <c r="Z3220" s="1" t="n"/>
    </row>
    <row r="3221" hidden="1" ht="16.05" customHeight="1">
      <c r="A3221" s="125" t="n">
        <v>3899</v>
      </c>
      <c r="B3221" s="125" t="inlineStr">
        <is>
          <t>WF</t>
        </is>
      </c>
      <c r="C3221" s="130" t="inlineStr">
        <is>
          <t>Санкт-Петербург</t>
        </is>
      </c>
      <c r="D3221" s="130" t="inlineStr">
        <is>
          <t>Санкт-Петербург</t>
        </is>
      </c>
      <c r="E3221" s="130" t="inlineStr">
        <is>
          <t>A</t>
        </is>
      </c>
      <c r="F3221" s="130" t="inlineStr">
        <is>
          <t>Бизнес центр</t>
        </is>
      </c>
      <c r="G3221" s="130" t="inlineStr">
        <is>
          <t>Бизнес центр</t>
        </is>
      </c>
      <c r="H3221" s="131" t="n">
        <v>9975</v>
      </c>
      <c r="I3221" s="637" t="inlineStr">
        <is>
          <t>Ренессанс Hall</t>
        </is>
      </c>
      <c r="J3221" s="637" t="inlineStr">
        <is>
          <t>SPB_BC_Renessans_Hall</t>
        </is>
      </c>
      <c r="K3221" s="640" t="n">
        <v>2</v>
      </c>
      <c r="L3221" s="640" t="n">
        <v>1</v>
      </c>
      <c r="M3221" s="623" t="inlineStr">
        <is>
          <t>LED/32'/верт</t>
        </is>
      </c>
      <c r="N3221" s="640" t="n"/>
      <c r="O3221" s="640">
        <f>IF(AND(N3221=1,L3221=1),K3221,"")</f>
        <v/>
      </c>
      <c r="P3221" s="642" t="inlineStr">
        <is>
          <t>Санкт-Петербург, Владимирский пр. д.23</t>
        </is>
      </c>
      <c r="Q3221" s="640" t="inlineStr">
        <is>
          <t>59.928181</t>
        </is>
      </c>
      <c r="R3221" s="494" t="inlineStr">
        <is>
          <t>30.346788</t>
        </is>
      </c>
      <c r="S3221" s="387">
        <f>'Цены|Скидки'!$E$25</f>
        <v/>
      </c>
      <c r="T3221" s="387">
        <f>IF(N3221=1,S3221*O3221,0)</f>
        <v/>
      </c>
      <c r="Z3221" s="1" t="n"/>
    </row>
    <row r="3222" hidden="1" ht="16.05" customHeight="1">
      <c r="A3222" s="125" t="n">
        <v>3900</v>
      </c>
      <c r="B3222" s="125" t="inlineStr">
        <is>
          <t>WF</t>
        </is>
      </c>
      <c r="C3222" s="130" t="inlineStr">
        <is>
          <t>Санкт-Петербург</t>
        </is>
      </c>
      <c r="D3222" s="130" t="inlineStr">
        <is>
          <t>Санкт-Петербург</t>
        </is>
      </c>
      <c r="E3222" s="130" t="inlineStr">
        <is>
          <t>B+</t>
        </is>
      </c>
      <c r="F3222" s="130" t="inlineStr">
        <is>
          <t>Бизнес центр</t>
        </is>
      </c>
      <c r="G3222" s="130" t="inlineStr">
        <is>
          <t>Бизнес центр</t>
        </is>
      </c>
      <c r="H3222" s="131" t="n">
        <v>5840</v>
      </c>
      <c r="I3222" s="637" t="inlineStr">
        <is>
          <t>Ренессанс House</t>
        </is>
      </c>
      <c r="J3222" s="637" t="inlineStr">
        <is>
          <t>SPB_BC_Renessans_House</t>
        </is>
      </c>
      <c r="K3222" s="640" t="n">
        <v>2</v>
      </c>
      <c r="L3222" s="640" t="n">
        <v>1</v>
      </c>
      <c r="M3222" s="623" t="inlineStr">
        <is>
          <t>LED/32'/верт</t>
        </is>
      </c>
      <c r="N3222" s="640" t="n"/>
      <c r="O3222" s="640">
        <f>IF(AND(N3222=1,L3222=1),K3222,"")</f>
        <v/>
      </c>
      <c r="P3222" s="642" t="inlineStr">
        <is>
          <t>Санкт-Петербург, ул.2-я Советская 17</t>
        </is>
      </c>
      <c r="Q3222" s="640" t="inlineStr">
        <is>
          <t>59.931648</t>
        </is>
      </c>
      <c r="R3222" s="494" t="inlineStr">
        <is>
          <t>30.368096</t>
        </is>
      </c>
      <c r="S3222" s="387">
        <f>'Цены|Скидки'!$E$25</f>
        <v/>
      </c>
      <c r="T3222" s="387">
        <f>IF(N3222=1,S3222*O3222,0)</f>
        <v/>
      </c>
      <c r="Z3222" s="1" t="n"/>
    </row>
    <row r="3223" hidden="1" ht="16.05" customHeight="1">
      <c r="A3223" s="125" t="n">
        <v>3901</v>
      </c>
      <c r="B3223" s="125" t="inlineStr">
        <is>
          <t>WF</t>
        </is>
      </c>
      <c r="C3223" s="130" t="inlineStr">
        <is>
          <t>Санкт-Петербург</t>
        </is>
      </c>
      <c r="D3223" s="130" t="inlineStr">
        <is>
          <t>Санкт-Петербург</t>
        </is>
      </c>
      <c r="E3223" s="130" t="inlineStr">
        <is>
          <t>A</t>
        </is>
      </c>
      <c r="F3223" s="130" t="inlineStr">
        <is>
          <t>Бизнес центр</t>
        </is>
      </c>
      <c r="G3223" s="130" t="inlineStr">
        <is>
          <t>Бизнес центр</t>
        </is>
      </c>
      <c r="H3223" s="131" t="n">
        <v>21000</v>
      </c>
      <c r="I3223" s="637" t="inlineStr">
        <is>
          <t>Ренессанс Plaza</t>
        </is>
      </c>
      <c r="J3223" s="637" t="inlineStr">
        <is>
          <t>SPB_BC_Renessans_Plaza</t>
        </is>
      </c>
      <c r="K3223" s="640" t="n">
        <v>5</v>
      </c>
      <c r="L3223" s="640" t="n">
        <v>1</v>
      </c>
      <c r="M3223" s="623" t="inlineStr">
        <is>
          <t>LED/32'/верт</t>
        </is>
      </c>
      <c r="N3223" s="640" t="n"/>
      <c r="O3223" s="640">
        <f>IF(AND(N3223=1,L3223=1),K3223,"")</f>
        <v/>
      </c>
      <c r="P3223" s="642" t="inlineStr">
        <is>
          <t>Санкт-Петербург, ул.Марата д. 69-71</t>
        </is>
      </c>
      <c r="Q3223" s="640" t="inlineStr">
        <is>
          <t>59.921065</t>
        </is>
      </c>
      <c r="R3223" s="494" t="inlineStr">
        <is>
          <t>30.343096</t>
        </is>
      </c>
      <c r="S3223" s="387">
        <f>'Цены|Скидки'!$E$25</f>
        <v/>
      </c>
      <c r="T3223" s="387">
        <f>IF(N3223=1,S3223*O3223,0)</f>
        <v/>
      </c>
      <c r="Z3223" s="1" t="n"/>
    </row>
    <row r="3224" hidden="1" ht="16.05" customHeight="1">
      <c r="A3224" s="125" t="n">
        <v>3902</v>
      </c>
      <c r="B3224" s="125" t="inlineStr">
        <is>
          <t>WF</t>
        </is>
      </c>
      <c r="C3224" s="130" t="inlineStr">
        <is>
          <t>Санкт-Петербург</t>
        </is>
      </c>
      <c r="D3224" s="130" t="inlineStr">
        <is>
          <t>Санкт-Петербург</t>
        </is>
      </c>
      <c r="E3224" s="130" t="inlineStr">
        <is>
          <t>B</t>
        </is>
      </c>
      <c r="F3224" s="130" t="inlineStr">
        <is>
          <t>Бизнес центр</t>
        </is>
      </c>
      <c r="G3224" s="130" t="inlineStr">
        <is>
          <t>Бизнес центр</t>
        </is>
      </c>
      <c r="H3224" s="131" t="n">
        <v>6562</v>
      </c>
      <c r="I3224" s="637" t="inlineStr">
        <is>
          <t>Ростра</t>
        </is>
      </c>
      <c r="J3224" s="637" t="inlineStr">
        <is>
          <t>SPB_BC_Rostra</t>
        </is>
      </c>
      <c r="K3224" s="640" t="n">
        <v>1</v>
      </c>
      <c r="L3224" s="640" t="n">
        <v>1</v>
      </c>
      <c r="M3224" s="623" t="inlineStr">
        <is>
          <t>LED/40'/верт</t>
        </is>
      </c>
      <c r="N3224" s="640" t="n"/>
      <c r="O3224" s="640">
        <f>IF(AND(N3224=1,L3224=1),K3224,"")</f>
        <v/>
      </c>
      <c r="P3224" s="642" t="inlineStr">
        <is>
          <t>Санкт-Петербург, Заневский пр. д.30/2</t>
        </is>
      </c>
      <c r="Q3224" s="640" t="inlineStr">
        <is>
          <t>59.932036</t>
        </is>
      </c>
      <c r="R3224" s="494" t="inlineStr">
        <is>
          <t>30.420522</t>
        </is>
      </c>
      <c r="S3224" s="387">
        <f>'Цены|Скидки'!$E$25</f>
        <v/>
      </c>
      <c r="T3224" s="387">
        <f>IF(N3224=1,S3224*O3224,0)</f>
        <v/>
      </c>
      <c r="Z3224" s="1" t="n"/>
    </row>
    <row r="3225" hidden="1" ht="16.05" customHeight="1">
      <c r="A3225" s="125" t="n">
        <v>3903</v>
      </c>
      <c r="B3225" s="125" t="inlineStr">
        <is>
          <t>WF</t>
        </is>
      </c>
      <c r="C3225" s="130" t="inlineStr">
        <is>
          <t>Санкт-Петербург</t>
        </is>
      </c>
      <c r="D3225" s="130" t="inlineStr">
        <is>
          <t>Санкт-Петербург</t>
        </is>
      </c>
      <c r="E3225" s="130" t="inlineStr">
        <is>
          <t>B</t>
        </is>
      </c>
      <c r="F3225" s="130" t="inlineStr">
        <is>
          <t>Бизнес центр</t>
        </is>
      </c>
      <c r="G3225" s="130" t="inlineStr">
        <is>
          <t>Бизнес центр</t>
        </is>
      </c>
      <c r="H3225" s="131" t="n">
        <v>3281</v>
      </c>
      <c r="I3225" s="637" t="inlineStr">
        <is>
          <t>Румба</t>
        </is>
      </c>
      <c r="J3225" s="637" t="inlineStr">
        <is>
          <t>SPB_BC_Rumba</t>
        </is>
      </c>
      <c r="K3225" s="640" t="n">
        <v>1</v>
      </c>
      <c r="L3225" s="640" t="n">
        <v>1</v>
      </c>
      <c r="M3225" s="623" t="inlineStr">
        <is>
          <t>LED/32'/верт</t>
        </is>
      </c>
      <c r="N3225" s="640" t="n"/>
      <c r="O3225" s="640">
        <f>IF(AND(N3225=1,L3225=1),K3225,"")</f>
        <v/>
      </c>
      <c r="P3225" s="642" t="inlineStr">
        <is>
          <t>Санкт-Петербург, Васи Алексеева ул., 6</t>
        </is>
      </c>
      <c r="Q3225" s="640" t="inlineStr">
        <is>
          <t>59.879886</t>
        </is>
      </c>
      <c r="R3225" s="494" t="inlineStr">
        <is>
          <t>30.265778</t>
        </is>
      </c>
      <c r="S3225" s="387">
        <f>'Цены|Скидки'!$E$25</f>
        <v/>
      </c>
      <c r="T3225" s="387">
        <f>IF(N3225=1,S3225*O3225,0)</f>
        <v/>
      </c>
      <c r="Z3225" s="1" t="n"/>
    </row>
    <row r="3226" hidden="1" ht="16.05" customHeight="1">
      <c r="A3226" s="125" t="n">
        <v>3904</v>
      </c>
      <c r="B3226" s="125" t="inlineStr">
        <is>
          <t>WF</t>
        </is>
      </c>
      <c r="C3226" s="130" t="inlineStr">
        <is>
          <t>Санкт-Петербург</t>
        </is>
      </c>
      <c r="D3226" s="130" t="inlineStr">
        <is>
          <t>Санкт-Петербург</t>
        </is>
      </c>
      <c r="E3226" s="130" t="inlineStr">
        <is>
          <t>B+</t>
        </is>
      </c>
      <c r="F3226" s="130" t="inlineStr">
        <is>
          <t>Бизнес центр</t>
        </is>
      </c>
      <c r="G3226" s="130" t="inlineStr">
        <is>
          <t>Бизнес центр</t>
        </is>
      </c>
      <c r="H3226" s="131" t="n">
        <v>2953</v>
      </c>
      <c r="I3226" s="637" t="inlineStr">
        <is>
          <t>Сенная</t>
        </is>
      </c>
      <c r="J3226" s="637" t="inlineStr">
        <is>
          <t>SPB_BC_Sennaya</t>
        </is>
      </c>
      <c r="K3226" s="640" t="n">
        <v>1</v>
      </c>
      <c r="L3226" s="640" t="n">
        <v>1</v>
      </c>
      <c r="M3226" s="623" t="inlineStr">
        <is>
          <t>LED/32'/верт</t>
        </is>
      </c>
      <c r="N3226" s="640" t="n"/>
      <c r="O3226" s="640">
        <f>IF(AND(N3226=1,L3226=1),K3226,"")</f>
        <v/>
      </c>
      <c r="P3226" s="642" t="inlineStr">
        <is>
          <t>Санкт-Петербург, ул.Ефимова 3</t>
        </is>
      </c>
      <c r="Q3226" s="640" t="inlineStr">
        <is>
          <t>59.925989</t>
        </is>
      </c>
      <c r="R3226" s="494" t="inlineStr">
        <is>
          <t>30.319821</t>
        </is>
      </c>
      <c r="S3226" s="387">
        <f>'Цены|Скидки'!$E$25</f>
        <v/>
      </c>
      <c r="T3226" s="387">
        <f>IF(N3226=1,S3226*O3226,0)</f>
        <v/>
      </c>
      <c r="Z3226" s="1" t="n"/>
    </row>
    <row r="3227" hidden="1" ht="16.05" customHeight="1">
      <c r="A3227" s="125" t="n">
        <v>3905</v>
      </c>
      <c r="B3227" s="125" t="inlineStr">
        <is>
          <t>WF</t>
        </is>
      </c>
      <c r="C3227" s="130" t="inlineStr">
        <is>
          <t>Санкт-Петербург</t>
        </is>
      </c>
      <c r="D3227" s="130" t="inlineStr">
        <is>
          <t>Санкт-Петербург</t>
        </is>
      </c>
      <c r="E3227" s="130" t="inlineStr">
        <is>
          <t>B+</t>
        </is>
      </c>
      <c r="F3227" s="130" t="inlineStr">
        <is>
          <t>Бизнес центр</t>
        </is>
      </c>
      <c r="G3227" s="130" t="inlineStr">
        <is>
          <t>Бизнес центр</t>
        </is>
      </c>
      <c r="H3227" s="131" t="n">
        <v>5224</v>
      </c>
      <c r="I3227" s="637" t="inlineStr">
        <is>
          <t>СЕНАТОР на Советской</t>
        </is>
      </c>
      <c r="J3227" s="637" t="inlineStr">
        <is>
          <t>SPB_BC_SENATOR_na_Sovetskoy</t>
        </is>
      </c>
      <c r="K3227" s="640" t="n">
        <v>1</v>
      </c>
      <c r="L3227" s="640" t="n">
        <v>1</v>
      </c>
      <c r="M3227" s="623" t="inlineStr">
        <is>
          <t>LED/32'/верт</t>
        </is>
      </c>
      <c r="N3227" s="640" t="n"/>
      <c r="O3227" s="640">
        <f>IF(AND(N3227=1,L3227=1),K3227,"")</f>
        <v/>
      </c>
      <c r="P3227" s="642" t="inlineStr">
        <is>
          <t>Санкт-Петербург, 2-я Советская ул., д.7, лит.А</t>
        </is>
      </c>
      <c r="Q3227" s="640" t="inlineStr">
        <is>
          <t>59.932347</t>
        </is>
      </c>
      <c r="R3227" s="494" t="inlineStr">
        <is>
          <t>30.366093</t>
        </is>
      </c>
      <c r="S3227" s="387">
        <f>'Цены|Скидки'!$E$25</f>
        <v/>
      </c>
      <c r="T3227" s="387">
        <f>IF(N3227=1,S3227*O3227,0)</f>
        <v/>
      </c>
      <c r="Z3227" s="1" t="n"/>
    </row>
    <row r="3228" hidden="1" ht="16.05" customHeight="1">
      <c r="A3228" s="125" t="n">
        <v>3906</v>
      </c>
      <c r="B3228" s="125" t="inlineStr">
        <is>
          <t>WF</t>
        </is>
      </c>
      <c r="C3228" s="130" t="inlineStr">
        <is>
          <t>Санкт-Петербург</t>
        </is>
      </c>
      <c r="D3228" s="130" t="inlineStr">
        <is>
          <t>Санкт-Петербург</t>
        </is>
      </c>
      <c r="E3228" s="130" t="inlineStr">
        <is>
          <t>B+</t>
        </is>
      </c>
      <c r="F3228" s="130" t="inlineStr">
        <is>
          <t>Бизнес центр</t>
        </is>
      </c>
      <c r="G3228" s="130" t="inlineStr">
        <is>
          <t>Бизнес центр</t>
        </is>
      </c>
      <c r="H3228" s="131" t="n">
        <v>8232</v>
      </c>
      <c r="I3228" s="637" t="inlineStr">
        <is>
          <t>СЕНАТОР на Чапаева</t>
        </is>
      </c>
      <c r="J3228" s="637" t="inlineStr">
        <is>
          <t>SPB_BC_SENATOR_na_Chapaeva</t>
        </is>
      </c>
      <c r="K3228" s="640" t="n">
        <v>3</v>
      </c>
      <c r="L3228" s="640" t="n">
        <v>1</v>
      </c>
      <c r="M3228" s="623" t="inlineStr">
        <is>
          <t>LED/1-43/32'/верт</t>
        </is>
      </c>
      <c r="N3228" s="640" t="n"/>
      <c r="O3228" s="640">
        <f>IF(AND(N3228=1,L3228=1),K3228,"")</f>
        <v/>
      </c>
      <c r="P3228" s="642" t="inlineStr">
        <is>
          <t>Санкт-Петербург, П.С, Чапаева ул., д.15</t>
        </is>
      </c>
      <c r="Q3228" s="640" t="inlineStr">
        <is>
          <t>59.961179</t>
        </is>
      </c>
      <c r="R3228" s="494" t="inlineStr">
        <is>
          <t>30.331337</t>
        </is>
      </c>
      <c r="S3228" s="387">
        <f>'Цены|Скидки'!$E$25</f>
        <v/>
      </c>
      <c r="T3228" s="387">
        <f>IF(N3228=1,S3228*O3228,0)</f>
        <v/>
      </c>
      <c r="Z3228" s="1" t="n"/>
    </row>
    <row r="3229" hidden="1" ht="16.05" customHeight="1">
      <c r="A3229" s="125" t="n">
        <v>3907</v>
      </c>
      <c r="B3229" s="125" t="inlineStr">
        <is>
          <t>WF</t>
        </is>
      </c>
      <c r="C3229" s="130" t="inlineStr">
        <is>
          <t>Санкт-Петербург</t>
        </is>
      </c>
      <c r="D3229" s="130" t="inlineStr">
        <is>
          <t>Санкт-Петербург</t>
        </is>
      </c>
      <c r="E3229" s="130" t="inlineStr">
        <is>
          <t>B+</t>
        </is>
      </c>
      <c r="F3229" s="130" t="inlineStr">
        <is>
          <t>Бизнес центр</t>
        </is>
      </c>
      <c r="G3229" s="130" t="inlineStr">
        <is>
          <t>Бизнес центр</t>
        </is>
      </c>
      <c r="H3229" s="131" t="n">
        <v>4602</v>
      </c>
      <c r="I3229" s="637" t="inlineStr">
        <is>
          <t>СЕНАТОР ВО</t>
        </is>
      </c>
      <c r="J3229" s="637" t="inlineStr">
        <is>
          <t>SPB_BC_SENATOR_VO</t>
        </is>
      </c>
      <c r="K3229" s="640" t="n">
        <v>2</v>
      </c>
      <c r="L3229" s="640" t="n">
        <v>1</v>
      </c>
      <c r="M3229" s="623" t="inlineStr">
        <is>
          <t>LED/32'/верт</t>
        </is>
      </c>
      <c r="N3229" s="640" t="n"/>
      <c r="O3229" s="640">
        <f>IF(AND(N3229=1,L3229=1),K3229,"")</f>
        <v/>
      </c>
      <c r="P3229" s="642" t="inlineStr">
        <is>
          <t>Санкт-Петербург, В.О., Большой проспект, д.80</t>
        </is>
      </c>
      <c r="Q3229" s="640" t="inlineStr">
        <is>
          <t>59.930293</t>
        </is>
      </c>
      <c r="R3229" s="494" t="inlineStr">
        <is>
          <t>30.253549</t>
        </is>
      </c>
      <c r="S3229" s="387">
        <f>'Цены|Скидки'!$E$25</f>
        <v/>
      </c>
      <c r="T3229" s="387">
        <f>IF(N3229=1,S3229*O3229,0)</f>
        <v/>
      </c>
      <c r="Z3229" s="1" t="n"/>
    </row>
    <row r="3230" hidden="1" ht="16.05" customHeight="1">
      <c r="A3230" s="125" t="n">
        <v>3908</v>
      </c>
      <c r="B3230" s="125" t="inlineStr">
        <is>
          <t>WF</t>
        </is>
      </c>
      <c r="C3230" s="130" t="inlineStr">
        <is>
          <t>Санкт-Петербург</t>
        </is>
      </c>
      <c r="D3230" s="130" t="inlineStr">
        <is>
          <t>Санкт-Петербург</t>
        </is>
      </c>
      <c r="E3230" s="130" t="inlineStr">
        <is>
          <t>A</t>
        </is>
      </c>
      <c r="F3230" s="130" t="inlineStr">
        <is>
          <t>Бизнес центр</t>
        </is>
      </c>
      <c r="G3230" s="130" t="inlineStr">
        <is>
          <t>Бизнес центр</t>
        </is>
      </c>
      <c r="H3230" s="131" t="n">
        <v>4830</v>
      </c>
      <c r="I3230" s="637" t="inlineStr">
        <is>
          <t>65_СЕНАТОР на ВО</t>
        </is>
      </c>
      <c r="J3230" s="637" t="inlineStr">
        <is>
          <t>SPB_BC_65_SENATOR_na_VO</t>
        </is>
      </c>
      <c r="K3230" s="640" t="n">
        <v>1</v>
      </c>
      <c r="L3230" s="640" t="n">
        <v>1</v>
      </c>
      <c r="M3230" s="623" t="inlineStr">
        <is>
          <t>LED/65'/верт</t>
        </is>
      </c>
      <c r="N3230" s="640" t="n"/>
      <c r="O3230" s="640">
        <f>IF(AND(N3230=1,L3230=1),K3230,"")</f>
        <v/>
      </c>
      <c r="P3230" s="642" t="inlineStr">
        <is>
          <t>Санкт-Петербург, В.О., Большой проспект, д.80 лит. А</t>
        </is>
      </c>
      <c r="Q3230" s="640" t="inlineStr">
        <is>
          <t>59.930016</t>
        </is>
      </c>
      <c r="R3230" s="494" t="inlineStr">
        <is>
          <t>30.254218</t>
        </is>
      </c>
      <c r="S3230" s="387">
        <f>'Цены|Скидки'!$E$25</f>
        <v/>
      </c>
      <c r="T3230" s="387">
        <f>IF(N3230=1,S3230*O3230,0)</f>
        <v/>
      </c>
      <c r="Z3230" s="1" t="n"/>
    </row>
    <row r="3231" hidden="1" ht="16.05" customHeight="1">
      <c r="A3231" s="125" t="n">
        <v>3909</v>
      </c>
      <c r="B3231" s="125" t="inlineStr">
        <is>
          <t>WF</t>
        </is>
      </c>
      <c r="C3231" s="130" t="inlineStr">
        <is>
          <t>Санкт-Петербург</t>
        </is>
      </c>
      <c r="D3231" s="130" t="inlineStr">
        <is>
          <t>Санкт-Петербург</t>
        </is>
      </c>
      <c r="E3231" s="130" t="inlineStr">
        <is>
          <t>B+</t>
        </is>
      </c>
      <c r="F3231" s="130" t="inlineStr">
        <is>
          <t>Бизнес центр</t>
        </is>
      </c>
      <c r="G3231" s="130" t="inlineStr">
        <is>
          <t>Бизнес центр</t>
        </is>
      </c>
      <c r="H3231" s="131" t="n">
        <v>5775</v>
      </c>
      <c r="I3231" s="637" t="inlineStr">
        <is>
          <t>СЕНАТОР на Красноармейской</t>
        </is>
      </c>
      <c r="J3231" s="637" t="inlineStr">
        <is>
          <t>SPB_BC_SENATOR_na_Krasnoarmeyskoy</t>
        </is>
      </c>
      <c r="K3231" s="640" t="n">
        <v>2</v>
      </c>
      <c r="L3231" s="640" t="n">
        <v>1</v>
      </c>
      <c r="M3231" s="623" t="inlineStr">
        <is>
          <t>LED/32'/верт</t>
        </is>
      </c>
      <c r="N3231" s="640" t="n"/>
      <c r="O3231" s="640">
        <f>IF(AND(N3231=1,L3231=1),K3231,"")</f>
        <v/>
      </c>
      <c r="P3231" s="642" t="inlineStr">
        <is>
          <t>Санкт-Петербург, 6-я Красноармейская ул., д.5-7, лит.А</t>
        </is>
      </c>
      <c r="Q3231" s="640" t="inlineStr">
        <is>
          <t>59.91258</t>
        </is>
      </c>
      <c r="R3231" s="494" t="inlineStr">
        <is>
          <t>30.315769</t>
        </is>
      </c>
      <c r="S3231" s="387">
        <f>'Цены|Скидки'!$E$25</f>
        <v/>
      </c>
      <c r="T3231" s="387">
        <f>IF(N3231=1,S3231*O3231,0)</f>
        <v/>
      </c>
      <c r="Z3231" s="1" t="n"/>
    </row>
    <row r="3232" hidden="1" ht="16.05" customHeight="1">
      <c r="A3232" s="125" t="n">
        <v>3910</v>
      </c>
      <c r="B3232" s="125" t="inlineStr">
        <is>
          <t>WF</t>
        </is>
      </c>
      <c r="C3232" s="130" t="inlineStr">
        <is>
          <t>Санкт-Петербург</t>
        </is>
      </c>
      <c r="D3232" s="130" t="inlineStr">
        <is>
          <t>Санкт-Петербург</t>
        </is>
      </c>
      <c r="E3232" s="130" t="inlineStr">
        <is>
          <t>B+</t>
        </is>
      </c>
      <c r="F3232" s="130" t="inlineStr">
        <is>
          <t>Бизнес центр</t>
        </is>
      </c>
      <c r="G3232" s="130" t="inlineStr">
        <is>
          <t>Бизнес центр</t>
        </is>
      </c>
      <c r="H3232" s="131" t="n">
        <v>30187</v>
      </c>
      <c r="I3232" s="637" t="inlineStr">
        <is>
          <t>СЕНАТОР на Московском</t>
        </is>
      </c>
      <c r="J3232" s="637" t="inlineStr">
        <is>
          <t>SPB_BC_SENATOR_na_Moskovskom</t>
        </is>
      </c>
      <c r="K3232" s="640" t="n">
        <v>4</v>
      </c>
      <c r="L3232" s="640" t="n">
        <v>1</v>
      </c>
      <c r="M3232" s="623" t="inlineStr">
        <is>
          <t>LED/1-40'/32/верт</t>
        </is>
      </c>
      <c r="N3232" s="640" t="n"/>
      <c r="O3232" s="640">
        <f>IF(AND(N3232=1,L3232=1),K3232,"")</f>
        <v/>
      </c>
      <c r="P3232" s="642" t="inlineStr">
        <is>
          <t>Санкт-Петербург, Московский, пр. 60/29, лит. Б</t>
        </is>
      </c>
      <c r="Q3232" s="640" t="inlineStr">
        <is>
          <t>59.909206</t>
        </is>
      </c>
      <c r="R3232" s="494" t="inlineStr">
        <is>
          <t>30.319695</t>
        </is>
      </c>
      <c r="S3232" s="387">
        <f>'Цены|Скидки'!$E$25</f>
        <v/>
      </c>
      <c r="T3232" s="387">
        <f>IF(N3232=1,S3232*O3232,0)</f>
        <v/>
      </c>
      <c r="Z3232" s="1" t="n"/>
    </row>
    <row r="3233" hidden="1" ht="16.05" customHeight="1">
      <c r="A3233" s="125" t="n">
        <v>3911</v>
      </c>
      <c r="B3233" s="125" t="inlineStr">
        <is>
          <t>WF</t>
        </is>
      </c>
      <c r="C3233" s="130" t="inlineStr">
        <is>
          <t>Санкт-Петербург</t>
        </is>
      </c>
      <c r="D3233" s="130" t="inlineStr">
        <is>
          <t>Санкт-Петербург</t>
        </is>
      </c>
      <c r="E3233" s="130" t="inlineStr">
        <is>
          <t>B+</t>
        </is>
      </c>
      <c r="F3233" s="130" t="inlineStr">
        <is>
          <t>Бизнес центр</t>
        </is>
      </c>
      <c r="G3233" s="130" t="inlineStr">
        <is>
          <t>Бизнес центр</t>
        </is>
      </c>
      <c r="H3233" s="131" t="n">
        <v>8925</v>
      </c>
      <c r="I3233" s="637" t="inlineStr">
        <is>
          <t>СЕНАТОР на ВО 7-я линия</t>
        </is>
      </c>
      <c r="J3233" s="637" t="inlineStr">
        <is>
          <t>SPB_BC_SENATOR_na_VO_7_ya_liniya</t>
        </is>
      </c>
      <c r="K3233" s="640" t="n">
        <v>2</v>
      </c>
      <c r="L3233" s="640" t="n">
        <v>1</v>
      </c>
      <c r="M3233" s="623" t="inlineStr">
        <is>
          <t>LED/32'/верт</t>
        </is>
      </c>
      <c r="N3233" s="640" t="n"/>
      <c r="O3233" s="640">
        <f>IF(AND(N3233=1,L3233=1),K3233,"")</f>
        <v/>
      </c>
      <c r="P3233" s="642" t="inlineStr">
        <is>
          <t>Санкт-Петербург, В.О. 7-я линия В.О., д.76</t>
        </is>
      </c>
      <c r="Q3233" s="640" t="inlineStr">
        <is>
          <t>59.947775</t>
        </is>
      </c>
      <c r="R3233" s="494" t="inlineStr">
        <is>
          <t>30.272722</t>
        </is>
      </c>
      <c r="S3233" s="387">
        <f>'Цены|Скидки'!$E$25</f>
        <v/>
      </c>
      <c r="T3233" s="387">
        <f>IF(N3233=1,S3233*O3233,0)</f>
        <v/>
      </c>
      <c r="Z3233" s="1" t="n"/>
    </row>
    <row r="3234" hidden="1" ht="16.05" customHeight="1">
      <c r="A3234" s="125" t="n">
        <v>3912</v>
      </c>
      <c r="B3234" s="125" t="inlineStr">
        <is>
          <t>WF</t>
        </is>
      </c>
      <c r="C3234" s="130" t="inlineStr">
        <is>
          <t>Санкт-Петербург</t>
        </is>
      </c>
      <c r="D3234" s="130" t="inlineStr">
        <is>
          <t>Санкт-Петербург</t>
        </is>
      </c>
      <c r="E3234" s="130" t="inlineStr">
        <is>
          <t>A</t>
        </is>
      </c>
      <c r="F3234" s="130" t="inlineStr">
        <is>
          <t>Бизнес центр</t>
        </is>
      </c>
      <c r="G3234" s="130" t="inlineStr">
        <is>
          <t>Бизнес центр</t>
        </is>
      </c>
      <c r="H3234" s="131" t="n">
        <v>29531</v>
      </c>
      <c r="I3234" s="637" t="inlineStr">
        <is>
          <t>СЕНАТОР на ВО 18-я линия</t>
        </is>
      </c>
      <c r="J3234" s="637" t="inlineStr">
        <is>
          <t>SPB_BC_SENATOR_na_VO_18_ya_liniya</t>
        </is>
      </c>
      <c r="K3234" s="640" t="n">
        <v>5</v>
      </c>
      <c r="L3234" s="640" t="n">
        <v>1</v>
      </c>
      <c r="M3234" s="623" t="inlineStr">
        <is>
          <t>LED/32'/верт</t>
        </is>
      </c>
      <c r="N3234" s="640" t="n"/>
      <c r="O3234" s="640">
        <f>IF(AND(N3234=1,L3234=1),K3234,"")</f>
        <v/>
      </c>
      <c r="P3234" s="642" t="inlineStr">
        <is>
          <t>Санкт-Петербург, В.О. 18-я линия В.О., д.29</t>
        </is>
      </c>
      <c r="Q3234" s="640" t="inlineStr">
        <is>
          <t>59.937513</t>
        </is>
      </c>
      <c r="R3234" s="494" t="inlineStr">
        <is>
          <t>30.266128</t>
        </is>
      </c>
      <c r="S3234" s="387">
        <f>'Цены|Скидки'!$E$25</f>
        <v/>
      </c>
      <c r="T3234" s="387">
        <f>IF(N3234=1,S3234*O3234,0)</f>
        <v/>
      </c>
      <c r="Z3234" s="1" t="n"/>
    </row>
    <row r="3235" hidden="1" ht="16.05" customHeight="1">
      <c r="A3235" s="125" t="n">
        <v>3914</v>
      </c>
      <c r="B3235" s="125" t="inlineStr">
        <is>
          <t>WF</t>
        </is>
      </c>
      <c r="C3235" s="130" t="inlineStr">
        <is>
          <t>Санкт-Петербург</t>
        </is>
      </c>
      <c r="D3235" s="130" t="inlineStr">
        <is>
          <t>Санкт-Петербург</t>
        </is>
      </c>
      <c r="E3235" s="130" t="inlineStr">
        <is>
          <t>B+</t>
        </is>
      </c>
      <c r="F3235" s="130" t="inlineStr">
        <is>
          <t>Бизнес центр</t>
        </is>
      </c>
      <c r="G3235" s="130" t="inlineStr">
        <is>
          <t>Бизнес центр</t>
        </is>
      </c>
      <c r="H3235" s="131" t="n">
        <v>11134</v>
      </c>
      <c r="I3235" s="637" t="inlineStr">
        <is>
          <t xml:space="preserve">65_СЕНАТОР на ВО 18-я линия </t>
        </is>
      </c>
      <c r="J3235" s="637" t="inlineStr">
        <is>
          <t>SPB_BC_65_SENATOR_na_VO_18_ya_liniya</t>
        </is>
      </c>
      <c r="K3235" s="640" t="n">
        <v>1</v>
      </c>
      <c r="L3235" s="640" t="n">
        <v>1</v>
      </c>
      <c r="M3235" s="623" t="inlineStr">
        <is>
          <t>LED/65'/верт</t>
        </is>
      </c>
      <c r="N3235" s="640" t="n"/>
      <c r="O3235" s="640">
        <f>IF(AND(N3235=1,L3235=1),K3235,"")</f>
        <v/>
      </c>
      <c r="P3235" s="642" t="inlineStr">
        <is>
          <t>Санкт-Петербург, В.О., 18-я линия, д.29, Лит. З</t>
        </is>
      </c>
      <c r="Q3235" s="640" t="inlineStr">
        <is>
          <t>59.938193</t>
        </is>
      </c>
      <c r="R3235" s="494" t="inlineStr">
        <is>
          <t>30.264395</t>
        </is>
      </c>
      <c r="S3235" s="387">
        <f>'Цены|Скидки'!$E$25</f>
        <v/>
      </c>
      <c r="T3235" s="387">
        <f>IF(N3235=1,S3235*O3235,0)</f>
        <v/>
      </c>
      <c r="Z3235" s="1" t="n"/>
    </row>
    <row r="3236" hidden="1" ht="16.05" customHeight="1">
      <c r="A3236" s="125" t="n">
        <v>3913</v>
      </c>
      <c r="B3236" s="125" t="inlineStr">
        <is>
          <t>WF</t>
        </is>
      </c>
      <c r="C3236" s="130" t="inlineStr">
        <is>
          <t>Санкт-Петербург</t>
        </is>
      </c>
      <c r="D3236" s="130" t="inlineStr">
        <is>
          <t>Санкт-Петербург</t>
        </is>
      </c>
      <c r="E3236" s="130" t="inlineStr">
        <is>
          <t>A</t>
        </is>
      </c>
      <c r="F3236" s="130" t="inlineStr">
        <is>
          <t>Бизнес центр</t>
        </is>
      </c>
      <c r="G3236" s="130" t="inlineStr">
        <is>
          <t>Бизнес центр</t>
        </is>
      </c>
      <c r="H3236" s="131" t="n">
        <v>13903</v>
      </c>
      <c r="I3236" s="637" t="inlineStr">
        <is>
          <t>СЕНАТОР на ВО 17-я линия</t>
        </is>
      </c>
      <c r="J3236" s="402" t="inlineStr">
        <is>
          <t>SPB_BC_SENATOR_na_VO_17_ya_liniya</t>
        </is>
      </c>
      <c r="K3236" s="640" t="n">
        <v>1</v>
      </c>
      <c r="L3236" s="640" t="n">
        <v>0</v>
      </c>
      <c r="M3236" s="640" t="inlineStr">
        <is>
          <t>ФОТО</t>
        </is>
      </c>
      <c r="N3236" s="640" t="n"/>
      <c r="O3236" s="640">
        <f>IF(AND(N3236=1,L3236=1),K3236,"")</f>
        <v/>
      </c>
      <c r="P3236" s="642" t="inlineStr">
        <is>
          <t>В.О. 17-я линия В.О., д.22</t>
        </is>
      </c>
      <c r="Q3236" s="640" t="n">
        <v>59.937513</v>
      </c>
      <c r="R3236" s="422" t="n">
        <v>30.266128</v>
      </c>
      <c r="S3236" s="387">
        <f>'Цены|Скидки'!$E$25</f>
        <v/>
      </c>
      <c r="T3236" s="387">
        <f>IF(N3236=1,S3236*O3236,0)</f>
        <v/>
      </c>
      <c r="X3236" s="1" t="n"/>
      <c r="Y3236" s="1" t="n"/>
      <c r="Z3236" s="1" t="n"/>
    </row>
    <row r="3237" hidden="1" ht="16.05" customHeight="1">
      <c r="A3237" s="125" t="n">
        <v>3915</v>
      </c>
      <c r="B3237" s="125" t="inlineStr">
        <is>
          <t>WF</t>
        </is>
      </c>
      <c r="C3237" s="130" t="inlineStr">
        <is>
          <t>Санкт-Петербург</t>
        </is>
      </c>
      <c r="D3237" s="130" t="inlineStr">
        <is>
          <t>Санкт-Петербург</t>
        </is>
      </c>
      <c r="E3237" s="130" t="inlineStr">
        <is>
          <t>B+</t>
        </is>
      </c>
      <c r="F3237" s="130" t="inlineStr">
        <is>
          <t>Бизнес центр</t>
        </is>
      </c>
      <c r="G3237" s="130" t="inlineStr">
        <is>
          <t>Бизнес центр</t>
        </is>
      </c>
      <c r="H3237" s="131" t="n">
        <v>10303</v>
      </c>
      <c r="I3237" s="637" t="inlineStr">
        <is>
          <t>СЕНАТОР на Кропоткина</t>
        </is>
      </c>
      <c r="J3237" s="637" t="inlineStr">
        <is>
          <t>SPB_BC_SENATOR_na_Kropotkina</t>
        </is>
      </c>
      <c r="K3237" s="640" t="n">
        <v>2</v>
      </c>
      <c r="L3237" s="640" t="n">
        <v>1</v>
      </c>
      <c r="M3237" s="623" t="inlineStr">
        <is>
          <t>LED/32'/верт</t>
        </is>
      </c>
      <c r="N3237" s="640" t="n"/>
      <c r="O3237" s="640">
        <f>IF(AND(N3237=1,L3237=1),K3237,"")</f>
        <v/>
      </c>
      <c r="P3237" s="642" t="inlineStr">
        <is>
          <t>Санкт-Петербург, П.С., Кропоткина ул., д.1, лит.А</t>
        </is>
      </c>
      <c r="Q3237" s="640" t="inlineStr">
        <is>
          <t>59.959251</t>
        </is>
      </c>
      <c r="R3237" s="494" t="inlineStr">
        <is>
          <t>30.311583</t>
        </is>
      </c>
      <c r="S3237" s="387">
        <f>'Цены|Скидки'!$E$25</f>
        <v/>
      </c>
      <c r="T3237" s="387">
        <f>IF(N3237=1,S3237*O3237,0)</f>
        <v/>
      </c>
      <c r="Z3237" s="1" t="n"/>
    </row>
    <row r="3238" hidden="1" ht="16.05" customHeight="1">
      <c r="A3238" s="125" t="n">
        <v>3916</v>
      </c>
      <c r="B3238" s="125" t="inlineStr">
        <is>
          <t>WF</t>
        </is>
      </c>
      <c r="C3238" s="130" t="inlineStr">
        <is>
          <t>Санкт-Петербург</t>
        </is>
      </c>
      <c r="D3238" s="130" t="inlineStr">
        <is>
          <t>Санкт-Петербург</t>
        </is>
      </c>
      <c r="E3238" s="130" t="inlineStr">
        <is>
          <t>A</t>
        </is>
      </c>
      <c r="F3238" s="130" t="inlineStr">
        <is>
          <t>Бизнес центр</t>
        </is>
      </c>
      <c r="G3238" s="130" t="inlineStr">
        <is>
          <t>Бизнес центр</t>
        </is>
      </c>
      <c r="H3238" s="131" t="n">
        <v>6986</v>
      </c>
      <c r="I3238" s="637" t="inlineStr">
        <is>
          <t>65_СЕНАТОР на Попова_B</t>
        </is>
      </c>
      <c r="J3238" s="637" t="inlineStr">
        <is>
          <t>SPB_BC_65_SENATOR_na_Popova_B</t>
        </is>
      </c>
      <c r="K3238" s="640" t="n">
        <v>1</v>
      </c>
      <c r="L3238" s="640" t="n">
        <v>1</v>
      </c>
      <c r="M3238" s="623" t="inlineStr">
        <is>
          <t>LED/65'/верт</t>
        </is>
      </c>
      <c r="N3238" s="640" t="n"/>
      <c r="O3238" s="640">
        <f>IF(AND(N3238=1,L3238=1),K3238,"")</f>
        <v/>
      </c>
      <c r="P3238" s="642" t="inlineStr">
        <is>
          <t>Санкт-Петербург, П.С., Профессора Попова ул. д.37, лит.B</t>
        </is>
      </c>
      <c r="Q3238" s="640" t="inlineStr">
        <is>
          <t>59.9719951</t>
        </is>
      </c>
      <c r="R3238" s="494" t="inlineStr">
        <is>
          <t>30.2987163</t>
        </is>
      </c>
      <c r="S3238" s="387">
        <f>'Цены|Скидки'!$E$25</f>
        <v/>
      </c>
      <c r="T3238" s="387">
        <f>IF(N3238=1,S3238*O3238,0)</f>
        <v/>
      </c>
      <c r="Z3238" s="1" t="n"/>
    </row>
    <row r="3239" hidden="1" ht="16.05" customHeight="1">
      <c r="A3239" s="125" t="n">
        <v>3917</v>
      </c>
      <c r="B3239" s="125" t="inlineStr">
        <is>
          <t>WF</t>
        </is>
      </c>
      <c r="C3239" s="130" t="inlineStr">
        <is>
          <t>Санкт-Петербург</t>
        </is>
      </c>
      <c r="D3239" s="130" t="inlineStr">
        <is>
          <t>Санкт-Петербург</t>
        </is>
      </c>
      <c r="E3239" s="130" t="inlineStr">
        <is>
          <t>A</t>
        </is>
      </c>
      <c r="F3239" s="130" t="inlineStr">
        <is>
          <t>Бизнес центр</t>
        </is>
      </c>
      <c r="G3239" s="130" t="inlineStr">
        <is>
          <t>Бизнес центр</t>
        </is>
      </c>
      <c r="H3239" s="131" t="n">
        <v>15962</v>
      </c>
      <c r="I3239" s="637" t="inlineStr">
        <is>
          <t>65_СЕНАТОР на Попова</t>
        </is>
      </c>
      <c r="J3239" s="637" t="inlineStr">
        <is>
          <t>SPB_BC_65_SENATOR_na_Popova</t>
        </is>
      </c>
      <c r="K3239" s="640" t="n">
        <v>1</v>
      </c>
      <c r="L3239" s="640" t="n">
        <v>1</v>
      </c>
      <c r="M3239" s="623" t="inlineStr">
        <is>
          <t>LED/65'/верт</t>
        </is>
      </c>
      <c r="N3239" s="640" t="n"/>
      <c r="O3239" s="640">
        <f>IF(AND(N3239=1,L3239=1),K3239,"")</f>
        <v/>
      </c>
      <c r="P3239" s="642" t="inlineStr">
        <is>
          <t>Санкт-Петербург, П.С., Профессора Попова ул. д.37, лит. Щ</t>
        </is>
      </c>
      <c r="Q3239" s="640" t="inlineStr">
        <is>
          <t>59.971607</t>
        </is>
      </c>
      <c r="R3239" s="494" t="inlineStr">
        <is>
          <t>30.3006813</t>
        </is>
      </c>
      <c r="S3239" s="387">
        <f>'Цены|Скидки'!$E$25</f>
        <v/>
      </c>
      <c r="T3239" s="387">
        <f>IF(N3239=1,S3239*O3239,0)</f>
        <v/>
      </c>
      <c r="Z3239" s="1" t="n"/>
    </row>
    <row r="3240" hidden="1" ht="16.05" customHeight="1">
      <c r="A3240" s="125" t="n">
        <v>3918</v>
      </c>
      <c r="B3240" s="125" t="inlineStr">
        <is>
          <t>WF</t>
        </is>
      </c>
      <c r="C3240" s="130" t="inlineStr">
        <is>
          <t>Санкт-Петербург</t>
        </is>
      </c>
      <c r="D3240" s="130" t="inlineStr">
        <is>
          <t>Санкт-Петербург</t>
        </is>
      </c>
      <c r="E3240" s="130" t="inlineStr">
        <is>
          <t>A</t>
        </is>
      </c>
      <c r="F3240" s="130" t="inlineStr">
        <is>
          <t>Бизнес центр</t>
        </is>
      </c>
      <c r="G3240" s="130" t="inlineStr">
        <is>
          <t>Бизнес центр</t>
        </is>
      </c>
      <c r="H3240" s="131" t="n">
        <v>4068</v>
      </c>
      <c r="I3240" s="637" t="inlineStr">
        <is>
          <t>СЕНАТОР на Попова</t>
        </is>
      </c>
      <c r="J3240" s="637" t="inlineStr">
        <is>
          <t>SPB_BC_SENATOR_na_Popova</t>
        </is>
      </c>
      <c r="K3240" s="640" t="n">
        <v>5</v>
      </c>
      <c r="L3240" s="640" t="n">
        <v>1</v>
      </c>
      <c r="M3240" s="623" t="inlineStr">
        <is>
          <t>LED/32'/верт</t>
        </is>
      </c>
      <c r="N3240" s="640" t="n"/>
      <c r="O3240" s="640">
        <f>IF(AND(N3240=1,L3240=1),K3240,"")</f>
        <v/>
      </c>
      <c r="P3240" s="642" t="inlineStr">
        <is>
          <t>Санкт-Петербург, П.С., Профессора Попова ул. д.37</t>
        </is>
      </c>
      <c r="Q3240" s="640" t="inlineStr">
        <is>
          <t>59.971571</t>
        </is>
      </c>
      <c r="R3240" s="494" t="inlineStr">
        <is>
          <t>30.2997946</t>
        </is>
      </c>
      <c r="S3240" s="387">
        <f>'Цены|Скидки'!$E$25</f>
        <v/>
      </c>
      <c r="T3240" s="387">
        <f>IF(N3240=1,S3240*O3240,0)</f>
        <v/>
      </c>
      <c r="Z3240" s="1" t="n"/>
    </row>
    <row r="3241" hidden="1" ht="16.05" customHeight="1">
      <c r="A3241" s="125" t="n">
        <v>3919</v>
      </c>
      <c r="B3241" s="125" t="inlineStr">
        <is>
          <t>WF</t>
        </is>
      </c>
      <c r="C3241" s="130" t="inlineStr">
        <is>
          <t>Санкт-Петербург</t>
        </is>
      </c>
      <c r="D3241" s="130" t="inlineStr">
        <is>
          <t>Санкт-Петербург</t>
        </is>
      </c>
      <c r="E3241" s="130" t="inlineStr">
        <is>
          <t>B+</t>
        </is>
      </c>
      <c r="F3241" s="130" t="inlineStr">
        <is>
          <t>Бизнес центр</t>
        </is>
      </c>
      <c r="G3241" s="130" t="inlineStr">
        <is>
          <t>Бизнес центр</t>
        </is>
      </c>
      <c r="H3241" s="131" t="n">
        <v>36750</v>
      </c>
      <c r="I3241" s="637" t="inlineStr">
        <is>
          <t>Собрание</t>
        </is>
      </c>
      <c r="J3241" s="637" t="inlineStr">
        <is>
          <t>SPB_BC_Sobranie</t>
        </is>
      </c>
      <c r="K3241" s="640" t="n">
        <v>1</v>
      </c>
      <c r="L3241" s="640" t="n">
        <v>1</v>
      </c>
      <c r="M3241" s="623" t="inlineStr">
        <is>
          <t>LED/32'/верт</t>
        </is>
      </c>
      <c r="N3241" s="640" t="n"/>
      <c r="O3241" s="640">
        <f>IF(AND(N3241=1,L3241=1),K3241,"")</f>
        <v/>
      </c>
      <c r="P3241" s="642" t="inlineStr">
        <is>
          <t>Санкт-Петербург, ул. Новорощинская, д. 4</t>
        </is>
      </c>
      <c r="Q3241" s="640" t="inlineStr">
        <is>
          <t>59.884591</t>
        </is>
      </c>
      <c r="R3241" s="494" t="inlineStr">
        <is>
          <t>30.326729</t>
        </is>
      </c>
      <c r="S3241" s="387">
        <f>'Цены|Скидки'!$E$25</f>
        <v/>
      </c>
      <c r="T3241" s="387">
        <f>IF(N3241=1,S3241*O3241,0)</f>
        <v/>
      </c>
      <c r="Z3241" s="1" t="n"/>
    </row>
    <row r="3242" hidden="1" ht="16.05" customHeight="1">
      <c r="A3242" s="125" t="n">
        <v>3920</v>
      </c>
      <c r="B3242" s="125" t="inlineStr">
        <is>
          <t>WF</t>
        </is>
      </c>
      <c r="C3242" s="130" t="inlineStr">
        <is>
          <t>Санкт-Петербург</t>
        </is>
      </c>
      <c r="D3242" s="130" t="inlineStr">
        <is>
          <t>Санкт-Петербург</t>
        </is>
      </c>
      <c r="E3242" s="130" t="inlineStr">
        <is>
          <t>B</t>
        </is>
      </c>
      <c r="F3242" s="130" t="inlineStr">
        <is>
          <t>Бизнес центр</t>
        </is>
      </c>
      <c r="G3242" s="130" t="inlineStr">
        <is>
          <t>Бизнес центр</t>
        </is>
      </c>
      <c r="H3242" s="131" t="n">
        <v>7415</v>
      </c>
      <c r="I3242" s="637" t="inlineStr">
        <is>
          <t>Софийская площадь</t>
        </is>
      </c>
      <c r="J3242" s="637" t="inlineStr">
        <is>
          <t>SPB_BC_Sofiyskaya_ploschad</t>
        </is>
      </c>
      <c r="K3242" s="640" t="n">
        <v>2</v>
      </c>
      <c r="L3242" s="640" t="n">
        <v>1</v>
      </c>
      <c r="M3242" s="623" t="inlineStr">
        <is>
          <t>LED/32'/верт</t>
        </is>
      </c>
      <c r="N3242" s="640" t="n"/>
      <c r="O3242" s="640">
        <f>IF(AND(N3242=1,L3242=1),K3242,"")</f>
        <v/>
      </c>
      <c r="P3242" s="642" t="inlineStr">
        <is>
          <t>Санкт-Петербург, Белы Куна ул., д. 30</t>
        </is>
      </c>
      <c r="Q3242" s="640" t="inlineStr">
        <is>
          <t>59.879561</t>
        </is>
      </c>
      <c r="R3242" s="494" t="inlineStr">
        <is>
          <t>30.399447</t>
        </is>
      </c>
      <c r="S3242" s="387">
        <f>'Цены|Скидки'!$E$25</f>
        <v/>
      </c>
      <c r="T3242" s="387">
        <f>IF(N3242=1,S3242*O3242,0)</f>
        <v/>
      </c>
      <c r="Z3242" s="1" t="n"/>
    </row>
    <row r="3243" hidden="1" ht="16.05" customHeight="1">
      <c r="A3243" s="125" t="n">
        <v>3921</v>
      </c>
      <c r="B3243" s="125" t="inlineStr">
        <is>
          <t>WF</t>
        </is>
      </c>
      <c r="C3243" s="130" t="inlineStr">
        <is>
          <t>Санкт-Петербург</t>
        </is>
      </c>
      <c r="D3243" s="130" t="inlineStr">
        <is>
          <t>Санкт-Петербург</t>
        </is>
      </c>
      <c r="E3243" s="130" t="inlineStr">
        <is>
          <t>B+</t>
        </is>
      </c>
      <c r="F3243" s="130" t="inlineStr">
        <is>
          <t>Бизнес центр</t>
        </is>
      </c>
      <c r="G3243" s="130" t="inlineStr">
        <is>
          <t>Бизнес центр</t>
        </is>
      </c>
      <c r="H3243" s="131" t="n">
        <v>14700</v>
      </c>
      <c r="I3243" s="637" t="inlineStr">
        <is>
          <t>Т-4</t>
        </is>
      </c>
      <c r="J3243" s="637" t="inlineStr">
        <is>
          <t>SPB_BC_T_4</t>
        </is>
      </c>
      <c r="K3243" s="640" t="n">
        <v>2</v>
      </c>
      <c r="L3243" s="640" t="n">
        <v>1</v>
      </c>
      <c r="M3243" s="623" t="inlineStr">
        <is>
          <t>LED/32'/верт</t>
        </is>
      </c>
      <c r="N3243" s="640" t="n"/>
      <c r="O3243" s="640">
        <f>IF(AND(N3243=1,L3243=1),K3243,"")</f>
        <v/>
      </c>
      <c r="P3243" s="642" t="inlineStr">
        <is>
          <t>Санкт-Петербург, Седова улица, д.12, лит.А</t>
        </is>
      </c>
      <c r="Q3243" s="640" t="inlineStr">
        <is>
          <t>59.903002</t>
        </is>
      </c>
      <c r="R3243" s="494" t="inlineStr">
        <is>
          <t>30.398181</t>
        </is>
      </c>
      <c r="S3243" s="387">
        <f>'Цены|Скидки'!$E$25</f>
        <v/>
      </c>
      <c r="T3243" s="387">
        <f>IF(N3243=1,S3243*O3243,0)</f>
        <v/>
      </c>
      <c r="Z3243" s="1" t="n"/>
    </row>
    <row r="3244" hidden="1" ht="16.05" customHeight="1">
      <c r="A3244" s="125" t="n">
        <v>3922</v>
      </c>
      <c r="B3244" s="125" t="inlineStr">
        <is>
          <t>WF</t>
        </is>
      </c>
      <c r="C3244" s="130" t="inlineStr">
        <is>
          <t>Санкт-Петербург</t>
        </is>
      </c>
      <c r="D3244" s="130" t="inlineStr">
        <is>
          <t>Санкт-Петербург</t>
        </is>
      </c>
      <c r="E3244" s="130" t="inlineStr">
        <is>
          <t>B+</t>
        </is>
      </c>
      <c r="F3244" s="130" t="inlineStr">
        <is>
          <t>Бизнес центр</t>
        </is>
      </c>
      <c r="G3244" s="130" t="inlineStr">
        <is>
          <t>Бизнес центр</t>
        </is>
      </c>
      <c r="H3244" s="131" t="n">
        <v>9515</v>
      </c>
      <c r="I3244" s="637" t="inlineStr">
        <is>
          <t>Таврический</t>
        </is>
      </c>
      <c r="J3244" s="637" t="inlineStr">
        <is>
          <t>SPB_BC_Tavricheskiy</t>
        </is>
      </c>
      <c r="K3244" s="640" t="n">
        <v>1</v>
      </c>
      <c r="L3244" s="640" t="n">
        <v>1</v>
      </c>
      <c r="M3244" s="623" t="inlineStr">
        <is>
          <t>LED/32'/верт</t>
        </is>
      </c>
      <c r="N3244" s="640" t="n"/>
      <c r="O3244" s="640">
        <f>IF(AND(N3244=1,L3244=1),K3244,"")</f>
        <v/>
      </c>
      <c r="P3244" s="642" t="inlineStr">
        <is>
          <t>Санкт-Петербург, Шпалерная ул., 51литА</t>
        </is>
      </c>
      <c r="Q3244" s="640" t="inlineStr">
        <is>
          <t>59.948429</t>
        </is>
      </c>
      <c r="R3244" s="494" t="inlineStr">
        <is>
          <t>30.384401</t>
        </is>
      </c>
      <c r="S3244" s="387">
        <f>'Цены|Скидки'!$E$25</f>
        <v/>
      </c>
      <c r="T3244" s="387">
        <f>IF(N3244=1,S3244*O3244,0)</f>
        <v/>
      </c>
      <c r="Z3244" s="1" t="n"/>
    </row>
    <row r="3245" hidden="1" ht="16.05" customHeight="1">
      <c r="A3245" s="125" t="n">
        <v>3923</v>
      </c>
      <c r="B3245" s="125" t="inlineStr">
        <is>
          <t>WF</t>
        </is>
      </c>
      <c r="C3245" s="130" t="inlineStr">
        <is>
          <t>Санкт-Петербург</t>
        </is>
      </c>
      <c r="D3245" s="130" t="inlineStr">
        <is>
          <t>Санкт-Петербург</t>
        </is>
      </c>
      <c r="E3245" s="130" t="inlineStr">
        <is>
          <t>A</t>
        </is>
      </c>
      <c r="F3245" s="130" t="inlineStr">
        <is>
          <t>Бизнес центр</t>
        </is>
      </c>
      <c r="G3245" s="130" t="inlineStr">
        <is>
          <t>Бизнес центр</t>
        </is>
      </c>
      <c r="H3245" s="131" t="n">
        <v>16668</v>
      </c>
      <c r="I3245" s="637" t="inlineStr">
        <is>
          <t>Толстой сквер</t>
        </is>
      </c>
      <c r="J3245" s="637" t="inlineStr">
        <is>
          <t>SPB_BC_Tolstoy_skver</t>
        </is>
      </c>
      <c r="K3245" s="640" t="n">
        <v>2</v>
      </c>
      <c r="L3245" s="640" t="n">
        <v>0</v>
      </c>
      <c r="M3245" s="623" t="inlineStr">
        <is>
          <t>LED/32'/верт</t>
        </is>
      </c>
      <c r="N3245" s="640" t="n"/>
      <c r="O3245" s="640">
        <f>IF(AND(N3245=1,L3245=1),K3245,"")</f>
        <v/>
      </c>
      <c r="P3245" s="642" t="inlineStr">
        <is>
          <t>Санкт-Петербург, Ул. Льва Толстого, д. 9</t>
        </is>
      </c>
      <c r="Q3245" s="640" t="inlineStr">
        <is>
          <t>59.965124</t>
        </is>
      </c>
      <c r="R3245" s="494" t="inlineStr">
        <is>
          <t>30.31567</t>
        </is>
      </c>
      <c r="S3245" s="387">
        <f>'Цены|Скидки'!$E$25</f>
        <v/>
      </c>
      <c r="T3245" s="387">
        <f>IF(N3245=1,S3245*O3245,0)</f>
        <v/>
      </c>
      <c r="Z3245" s="1" t="n"/>
    </row>
    <row r="3246" hidden="1" ht="16.05" customHeight="1">
      <c r="A3246" s="125" t="n">
        <v>3925</v>
      </c>
      <c r="B3246" s="125" t="inlineStr">
        <is>
          <t>WF</t>
        </is>
      </c>
      <c r="C3246" s="130" t="inlineStr">
        <is>
          <t>Санкт-Петербург</t>
        </is>
      </c>
      <c r="D3246" s="130" t="inlineStr">
        <is>
          <t>Санкт-Петербург</t>
        </is>
      </c>
      <c r="E3246" s="130" t="inlineStr">
        <is>
          <t>A</t>
        </is>
      </c>
      <c r="F3246" s="130" t="inlineStr">
        <is>
          <t>Бизнес центр</t>
        </is>
      </c>
      <c r="G3246" s="130" t="inlineStr">
        <is>
          <t>Бизнес центр</t>
        </is>
      </c>
      <c r="H3246" s="131" t="n">
        <v>4593</v>
      </c>
      <c r="I3246" s="637" t="inlineStr">
        <is>
          <t>У Ростральных колонн</t>
        </is>
      </c>
      <c r="J3246" s="637" t="inlineStr">
        <is>
          <t>SPB_BC_U_Rostralnykh_kolonn</t>
        </is>
      </c>
      <c r="K3246" s="640" t="n">
        <v>1</v>
      </c>
      <c r="L3246" s="640" t="n">
        <v>1</v>
      </c>
      <c r="M3246" s="623" t="inlineStr">
        <is>
          <t>LED/32'/верт</t>
        </is>
      </c>
      <c r="N3246" s="640" t="n"/>
      <c r="O3246" s="640">
        <f>IF(AND(N3246=1,L3246=1),K3246,"")</f>
        <v/>
      </c>
      <c r="P3246" s="642" t="inlineStr">
        <is>
          <t>Санкт-Петербург, Волховский переулок, 4</t>
        </is>
      </c>
      <c r="Q3246" s="640" t="inlineStr">
        <is>
          <t>59.944972</t>
        </is>
      </c>
      <c r="R3246" s="494" t="inlineStr">
        <is>
          <t>30.290742</t>
        </is>
      </c>
      <c r="S3246" s="387">
        <f>'Цены|Скидки'!$E$25</f>
        <v/>
      </c>
      <c r="T3246" s="387">
        <f>IF(N3246=1,S3246*O3246,0)</f>
        <v/>
      </c>
      <c r="Z3246" s="1" t="n"/>
    </row>
    <row r="3247" hidden="1" ht="16.05" customHeight="1">
      <c r="A3247" s="125" t="n">
        <v>3924</v>
      </c>
      <c r="B3247" s="125" t="inlineStr">
        <is>
          <t>WF</t>
        </is>
      </c>
      <c r="C3247" s="130" t="inlineStr">
        <is>
          <t>Санкт-Петербург</t>
        </is>
      </c>
      <c r="D3247" s="130" t="inlineStr">
        <is>
          <t>Санкт-Петербург</t>
        </is>
      </c>
      <c r="E3247" s="130" t="inlineStr">
        <is>
          <t>B+</t>
        </is>
      </c>
      <c r="F3247" s="130" t="inlineStr">
        <is>
          <t>Бизнес центр</t>
        </is>
      </c>
      <c r="G3247" s="130" t="inlineStr">
        <is>
          <t>Бизнес центр</t>
        </is>
      </c>
      <c r="H3247" s="131" t="n">
        <v>3281.25</v>
      </c>
      <c r="I3247" s="637" t="inlineStr">
        <is>
          <t>Тусар</t>
        </is>
      </c>
      <c r="J3247" s="637" t="inlineStr">
        <is>
          <t>SPB_BC_Tusar</t>
        </is>
      </c>
      <c r="K3247" s="640" t="n">
        <v>1</v>
      </c>
      <c r="L3247" s="640" t="n">
        <v>0</v>
      </c>
      <c r="M3247" s="640" t="inlineStr">
        <is>
          <t>ФОТО</t>
        </is>
      </c>
      <c r="N3247" s="640" t="n"/>
      <c r="O3247" s="640">
        <f>IF(AND(N3247=1,L3247=1),K3247,"")</f>
        <v/>
      </c>
      <c r="P3247" s="642" t="inlineStr">
        <is>
          <t>Красного Курсанта, д. 25, лит.Н</t>
        </is>
      </c>
      <c r="Q3247" s="640" t="n">
        <v>59.961233</v>
      </c>
      <c r="R3247" s="422" t="n">
        <v>30.280187</v>
      </c>
      <c r="S3247" s="387" t="n">
        <v>675</v>
      </c>
      <c r="T3247" s="387">
        <f>IF(N3247=1,S3247*O3247,0)</f>
        <v/>
      </c>
      <c r="X3247" s="1" t="n"/>
      <c r="Y3247" s="1" t="n"/>
      <c r="Z3247" s="1" t="n"/>
    </row>
    <row r="3248" hidden="1" ht="16.05" customHeight="1">
      <c r="A3248" s="125" t="n">
        <v>3926</v>
      </c>
      <c r="B3248" s="125" t="inlineStr">
        <is>
          <t>WF</t>
        </is>
      </c>
      <c r="C3248" s="130" t="inlineStr">
        <is>
          <t>Санкт-Петербург</t>
        </is>
      </c>
      <c r="D3248" s="130" t="inlineStr">
        <is>
          <t>Санкт-Петербург</t>
        </is>
      </c>
      <c r="E3248" s="130" t="inlineStr">
        <is>
          <t>B+</t>
        </is>
      </c>
      <c r="F3248" s="130" t="inlineStr">
        <is>
          <t>Бизнес центр</t>
        </is>
      </c>
      <c r="G3248" s="130" t="inlineStr">
        <is>
          <t>Бизнес центр</t>
        </is>
      </c>
      <c r="H3248" s="131" t="n">
        <v>14962</v>
      </c>
      <c r="I3248" s="637" t="inlineStr">
        <is>
          <t>Фаберже</t>
        </is>
      </c>
      <c r="J3248" s="637" t="inlineStr">
        <is>
          <t>SPB_BC_Faberzhe</t>
        </is>
      </c>
      <c r="K3248" s="640" t="n">
        <v>2</v>
      </c>
      <c r="L3248" s="640" t="n">
        <v>1</v>
      </c>
      <c r="M3248" s="623" t="inlineStr">
        <is>
          <t>LED/32'/верт</t>
        </is>
      </c>
      <c r="N3248" s="640" t="n"/>
      <c r="O3248" s="640">
        <f>IF(AND(N3248=1,L3248=1),K3248,"")</f>
        <v/>
      </c>
      <c r="P3248" s="642" t="inlineStr">
        <is>
          <t>Санкт-Петербург, Пл.Карла Фаберже д.8</t>
        </is>
      </c>
      <c r="Q3248" s="640" t="inlineStr">
        <is>
          <t>59.934461</t>
        </is>
      </c>
      <c r="R3248" s="494" t="inlineStr">
        <is>
          <t>30.436745</t>
        </is>
      </c>
      <c r="S3248" s="387">
        <f>'Цены|Скидки'!$E$25</f>
        <v/>
      </c>
      <c r="T3248" s="387">
        <f>IF(N3248=1,S3248*O3248,0)</f>
        <v/>
      </c>
      <c r="Z3248" s="1" t="n"/>
    </row>
    <row r="3249" hidden="1" ht="16.05" customHeight="1">
      <c r="A3249" s="125" t="n">
        <v>3927</v>
      </c>
      <c r="B3249" s="125" t="inlineStr">
        <is>
          <t>WF</t>
        </is>
      </c>
      <c r="C3249" s="130" t="inlineStr">
        <is>
          <t>Санкт-Петербург</t>
        </is>
      </c>
      <c r="D3249" s="130" t="inlineStr">
        <is>
          <t>Санкт-Петербург</t>
        </is>
      </c>
      <c r="E3249" s="130" t="inlineStr">
        <is>
          <t>B</t>
        </is>
      </c>
      <c r="F3249" s="130" t="inlineStr">
        <is>
          <t>Бизнес центр</t>
        </is>
      </c>
      <c r="G3249" s="130" t="inlineStr">
        <is>
          <t>Бизнес центр</t>
        </is>
      </c>
      <c r="H3249" s="131" t="n">
        <v>4265</v>
      </c>
      <c r="I3249" s="637" t="inlineStr">
        <is>
          <t>Феникс</t>
        </is>
      </c>
      <c r="J3249" s="637" t="inlineStr">
        <is>
          <t>SPB_BC_Feniks</t>
        </is>
      </c>
      <c r="K3249" s="640" t="n">
        <v>1</v>
      </c>
      <c r="L3249" s="640" t="n">
        <v>1</v>
      </c>
      <c r="M3249" s="623" t="inlineStr">
        <is>
          <t>LED/40'/верт</t>
        </is>
      </c>
      <c r="N3249" s="640" t="n"/>
      <c r="O3249" s="640">
        <f>IF(AND(N3249=1,L3249=1),K3249,"")</f>
        <v/>
      </c>
      <c r="P3249" s="642" t="inlineStr">
        <is>
          <t>Санкт-Петербург, Свердловская наб.д.4Б</t>
        </is>
      </c>
      <c r="Q3249" s="640" t="inlineStr">
        <is>
          <t>59.956381</t>
        </is>
      </c>
      <c r="R3249" s="494" t="inlineStr">
        <is>
          <t>30.376801</t>
        </is>
      </c>
      <c r="S3249" s="387">
        <f>'Цены|Скидки'!$E$25</f>
        <v/>
      </c>
      <c r="T3249" s="387">
        <f>IF(N3249=1,S3249*O3249,0)</f>
        <v/>
      </c>
      <c r="Z3249" s="1" t="n"/>
    </row>
    <row r="3250" hidden="1" ht="16.05" customHeight="1">
      <c r="A3250" s="125" t="n">
        <v>3928</v>
      </c>
      <c r="B3250" s="125" t="inlineStr">
        <is>
          <t>WF</t>
        </is>
      </c>
      <c r="C3250" s="130" t="inlineStr">
        <is>
          <t>Санкт-Петербург</t>
        </is>
      </c>
      <c r="D3250" s="130" t="inlineStr">
        <is>
          <t>Санкт-Петербург</t>
        </is>
      </c>
      <c r="E3250" s="130" t="inlineStr">
        <is>
          <t>B+</t>
        </is>
      </c>
      <c r="F3250" s="130" t="inlineStr">
        <is>
          <t>Бизнес центр</t>
        </is>
      </c>
      <c r="G3250" s="130" t="inlineStr">
        <is>
          <t>Бизнес центр</t>
        </is>
      </c>
      <c r="H3250" s="131" t="n">
        <v>7350</v>
      </c>
      <c r="I3250" s="637" t="inlineStr">
        <is>
          <t>Фидель</t>
        </is>
      </c>
      <c r="J3250" s="637" t="inlineStr">
        <is>
          <t>SPB_BC_Fidel</t>
        </is>
      </c>
      <c r="K3250" s="640" t="n">
        <v>1</v>
      </c>
      <c r="L3250" s="640" t="n">
        <v>1</v>
      </c>
      <c r="M3250" s="623" t="inlineStr">
        <is>
          <t>LED/32'/верт</t>
        </is>
      </c>
      <c r="N3250" s="640" t="n"/>
      <c r="O3250" s="640">
        <f>IF(AND(N3250=1,L3250=1),K3250,"")</f>
        <v/>
      </c>
      <c r="P3250" s="642" t="inlineStr">
        <is>
          <t>Санкт-Петербург, пр. Обуховской обороны, д. 70, лит. А, корп. 3</t>
        </is>
      </c>
      <c r="Q3250" s="640" t="inlineStr">
        <is>
          <t>59.920212</t>
        </is>
      </c>
      <c r="R3250" s="494" t="inlineStr">
        <is>
          <t>30.394578</t>
        </is>
      </c>
      <c r="S3250" s="387">
        <f>'Цены|Скидки'!$E$25</f>
        <v/>
      </c>
      <c r="T3250" s="387">
        <f>IF(N3250=1,S3250*O3250,0)</f>
        <v/>
      </c>
      <c r="Z3250" s="1" t="n"/>
    </row>
    <row r="3251" hidden="1" ht="16.05" customHeight="1">
      <c r="A3251" s="125" t="n">
        <v>3929</v>
      </c>
      <c r="B3251" s="125" t="inlineStr">
        <is>
          <t>WF</t>
        </is>
      </c>
      <c r="C3251" s="130" t="inlineStr">
        <is>
          <t>Санкт-Петербург</t>
        </is>
      </c>
      <c r="D3251" s="130" t="inlineStr">
        <is>
          <t>Санкт-Петербург</t>
        </is>
      </c>
      <c r="E3251" s="130" t="inlineStr">
        <is>
          <t>B</t>
        </is>
      </c>
      <c r="F3251" s="130" t="inlineStr">
        <is>
          <t>Бизнес центр</t>
        </is>
      </c>
      <c r="G3251" s="130" t="inlineStr">
        <is>
          <t>Бизнес центр</t>
        </is>
      </c>
      <c r="H3251" s="131" t="n">
        <v>3937</v>
      </c>
      <c r="I3251" s="637" t="inlineStr">
        <is>
          <t>Чкаловский</t>
        </is>
      </c>
      <c r="J3251" s="637" t="inlineStr">
        <is>
          <t>SPB_BC_Chkalovskiy</t>
        </is>
      </c>
      <c r="K3251" s="640" t="n">
        <v>1</v>
      </c>
      <c r="L3251" s="640" t="n">
        <v>1</v>
      </c>
      <c r="M3251" s="623" t="inlineStr">
        <is>
          <t>LED/32'/верт</t>
        </is>
      </c>
      <c r="N3251" s="640" t="n"/>
      <c r="O3251" s="640">
        <f>IF(AND(N3251=1,L3251=1),K3251,"")</f>
        <v/>
      </c>
      <c r="P3251" s="642" t="inlineStr">
        <is>
          <t>Санкт-Петербург, Большая Зеленина ул., д.8, к.2</t>
        </is>
      </c>
      <c r="Q3251" s="640" t="inlineStr">
        <is>
          <t>59.96003</t>
        </is>
      </c>
      <c r="R3251" s="494" t="inlineStr">
        <is>
          <t>30.293518</t>
        </is>
      </c>
      <c r="S3251" s="387">
        <f>'Цены|Скидки'!$E$25</f>
        <v/>
      </c>
      <c r="T3251" s="387">
        <f>IF(N3251=1,S3251*O3251,0)</f>
        <v/>
      </c>
      <c r="Z3251" s="1" t="n"/>
    </row>
    <row r="3252" hidden="1" ht="16.05" customHeight="1">
      <c r="A3252" s="125" t="n">
        <v>3930</v>
      </c>
      <c r="B3252" s="125" t="inlineStr">
        <is>
          <t>WF</t>
        </is>
      </c>
      <c r="C3252" s="130" t="inlineStr">
        <is>
          <t>Санкт-Петербург</t>
        </is>
      </c>
      <c r="D3252" s="130" t="inlineStr">
        <is>
          <t>Санкт-Петербург</t>
        </is>
      </c>
      <c r="E3252" s="130" t="inlineStr">
        <is>
          <t>B+</t>
        </is>
      </c>
      <c r="F3252" s="130" t="inlineStr">
        <is>
          <t>Бизнес центр</t>
        </is>
      </c>
      <c r="G3252" s="130" t="inlineStr">
        <is>
          <t>Бизнес центр</t>
        </is>
      </c>
      <c r="H3252" s="131" t="n">
        <v>29531</v>
      </c>
      <c r="I3252" s="637" t="inlineStr">
        <is>
          <t>Эврика</t>
        </is>
      </c>
      <c r="J3252" s="637" t="inlineStr">
        <is>
          <t>SPB_BC_Evrika</t>
        </is>
      </c>
      <c r="K3252" s="640" t="n">
        <v>2</v>
      </c>
      <c r="L3252" s="640" t="n">
        <v>1</v>
      </c>
      <c r="M3252" s="623" t="inlineStr">
        <is>
          <t>LED/32'/верт</t>
        </is>
      </c>
      <c r="N3252" s="640" t="n"/>
      <c r="O3252" s="640">
        <f>IF(AND(N3252=1,L3252=1),K3252,"")</f>
        <v/>
      </c>
      <c r="P3252" s="642" t="inlineStr">
        <is>
          <t>Санкт-Петербург, Седова улица, д.11, лит.А</t>
        </is>
      </c>
      <c r="Q3252" s="640" t="inlineStr">
        <is>
          <t>59.899803</t>
        </is>
      </c>
      <c r="R3252" s="494" t="inlineStr">
        <is>
          <t>30.40101</t>
        </is>
      </c>
      <c r="S3252" s="387">
        <f>'Цены|Скидки'!$E$25</f>
        <v/>
      </c>
      <c r="T3252" s="387">
        <f>IF(N3252=1,S3252*O3252,0)</f>
        <v/>
      </c>
      <c r="Z3252" s="1" t="n"/>
    </row>
    <row r="3253" hidden="1" ht="16.05" customHeight="1">
      <c r="A3253" s="125" t="n">
        <v>3931</v>
      </c>
      <c r="B3253" s="125" t="inlineStr">
        <is>
          <t>WF</t>
        </is>
      </c>
      <c r="C3253" s="130" t="inlineStr">
        <is>
          <t>Санкт-Петербург</t>
        </is>
      </c>
      <c r="D3253" s="130" t="inlineStr">
        <is>
          <t>Санкт-Петербург</t>
        </is>
      </c>
      <c r="E3253" s="130" t="inlineStr">
        <is>
          <t>B+</t>
        </is>
      </c>
      <c r="F3253" s="130" t="inlineStr">
        <is>
          <t>Бизнес центр</t>
        </is>
      </c>
      <c r="G3253" s="130" t="inlineStr">
        <is>
          <t>Бизнес центр</t>
        </is>
      </c>
      <c r="H3253" s="131" t="n">
        <v>7087</v>
      </c>
      <c r="I3253" s="637" t="inlineStr">
        <is>
          <t>Энергия</t>
        </is>
      </c>
      <c r="J3253" s="637" t="inlineStr">
        <is>
          <t>SPB_BC_Energiya</t>
        </is>
      </c>
      <c r="K3253" s="640" t="n">
        <v>1</v>
      </c>
      <c r="L3253" s="640" t="n">
        <v>1</v>
      </c>
      <c r="M3253" s="623" t="inlineStr">
        <is>
          <t>LED/32'/верт</t>
        </is>
      </c>
      <c r="N3253" s="640" t="n"/>
      <c r="O3253" s="640">
        <f>IF(AND(N3253=1,L3253=1),K3253,"")</f>
        <v/>
      </c>
      <c r="P3253" s="642" t="inlineStr">
        <is>
          <t>Санкт-Петербург, Ленинский пр., д. 168</t>
        </is>
      </c>
      <c r="Q3253" s="640" t="inlineStr">
        <is>
          <t>59.852497</t>
        </is>
      </c>
      <c r="R3253" s="494" t="inlineStr">
        <is>
          <t>30.310236</t>
        </is>
      </c>
      <c r="S3253" s="387">
        <f>'Цены|Скидки'!$E$25</f>
        <v/>
      </c>
      <c r="T3253" s="387">
        <f>IF(N3253=1,S3253*O3253,0)</f>
        <v/>
      </c>
      <c r="Z3253" s="1" t="n"/>
    </row>
    <row r="3254" hidden="1" ht="16.05" customHeight="1">
      <c r="A3254" s="125" t="n">
        <v>3932</v>
      </c>
      <c r="B3254" s="125" t="inlineStr">
        <is>
          <t>WF</t>
        </is>
      </c>
      <c r="C3254" s="130" t="inlineStr">
        <is>
          <t>Санкт-Петербург</t>
        </is>
      </c>
      <c r="D3254" s="130" t="inlineStr">
        <is>
          <t>Санкт-Петербург</t>
        </is>
      </c>
      <c r="E3254" s="130" t="inlineStr">
        <is>
          <t>B+</t>
        </is>
      </c>
      <c r="F3254" s="130" t="inlineStr">
        <is>
          <t>Бизнес центр</t>
        </is>
      </c>
      <c r="G3254" s="130" t="inlineStr">
        <is>
          <t>Бизнес центр</t>
        </is>
      </c>
      <c r="H3254" s="131" t="n">
        <v>6542</v>
      </c>
      <c r="I3254" s="637" t="inlineStr">
        <is>
          <t>H2О</t>
        </is>
      </c>
      <c r="J3254" s="637" t="inlineStr">
        <is>
          <t>SPB_BC_H2O</t>
        </is>
      </c>
      <c r="K3254" s="640" t="n">
        <v>1</v>
      </c>
      <c r="L3254" s="640" t="n">
        <v>1</v>
      </c>
      <c r="M3254" s="623" t="inlineStr">
        <is>
          <t>LED/32'/верт</t>
        </is>
      </c>
      <c r="N3254" s="640" t="n"/>
      <c r="O3254" s="640">
        <f>IF(AND(N3254=1,L3254=1),K3254,"")</f>
        <v/>
      </c>
      <c r="P3254" s="642" t="inlineStr">
        <is>
          <t>Санкт-Петербург, ул. Химиков, д. 28</t>
        </is>
      </c>
      <c r="Q3254" s="640" t="inlineStr">
        <is>
          <t>59.9727316</t>
        </is>
      </c>
      <c r="R3254" s="494" t="inlineStr">
        <is>
          <t>30.4804324</t>
        </is>
      </c>
      <c r="S3254" s="387">
        <f>'Цены|Скидки'!$E$25</f>
        <v/>
      </c>
      <c r="T3254" s="387">
        <f>IF(N3254=1,S3254*O3254,0)</f>
        <v/>
      </c>
      <c r="Z3254" s="1" t="n"/>
    </row>
    <row r="3255" hidden="1" ht="16.05" customHeight="1">
      <c r="A3255" s="125" t="n">
        <v>3933</v>
      </c>
      <c r="B3255" s="125" t="inlineStr">
        <is>
          <t>WF</t>
        </is>
      </c>
      <c r="C3255" s="130" t="inlineStr">
        <is>
          <t>Санкт-Петербург</t>
        </is>
      </c>
      <c r="D3255" s="130" t="inlineStr">
        <is>
          <t>Санкт-Петербург</t>
        </is>
      </c>
      <c r="E3255" s="130" t="inlineStr">
        <is>
          <t>A</t>
        </is>
      </c>
      <c r="F3255" s="130" t="inlineStr">
        <is>
          <t>Бизнес центр</t>
        </is>
      </c>
      <c r="G3255" s="130" t="inlineStr">
        <is>
          <t>Бизнес центр</t>
        </is>
      </c>
      <c r="H3255" s="131" t="n">
        <v>6562</v>
      </c>
      <c r="I3255" s="637" t="inlineStr">
        <is>
          <t>Jensen House</t>
        </is>
      </c>
      <c r="J3255" s="637" t="inlineStr">
        <is>
          <t>SPB_BC_Jensen_House</t>
        </is>
      </c>
      <c r="K3255" s="640" t="n">
        <v>1</v>
      </c>
      <c r="L3255" s="640" t="n">
        <v>1</v>
      </c>
      <c r="M3255" s="623" t="inlineStr">
        <is>
          <t>LED/32'/верт</t>
        </is>
      </c>
      <c r="N3255" s="640" t="n"/>
      <c r="O3255" s="640">
        <f>IF(AND(N3255=1,L3255=1),K3255,"")</f>
        <v/>
      </c>
      <c r="P3255" s="642" t="inlineStr">
        <is>
          <t>Санкт-Петербург, В.О., 3-я линия, д.62А</t>
        </is>
      </c>
      <c r="Q3255" s="640" t="inlineStr">
        <is>
          <t>59.949019</t>
        </is>
      </c>
      <c r="R3255" s="494" t="inlineStr">
        <is>
          <t>30.27786</t>
        </is>
      </c>
      <c r="S3255" s="387">
        <f>'Цены|Скидки'!$E$25</f>
        <v/>
      </c>
      <c r="T3255" s="387">
        <f>IF(N3255=1,S3255*O3255,0)</f>
        <v/>
      </c>
      <c r="Z3255" s="1" t="n"/>
    </row>
    <row r="3256" hidden="1" ht="16.05" customHeight="1">
      <c r="A3256" s="125" t="n">
        <v>3934</v>
      </c>
      <c r="B3256" s="125" t="inlineStr">
        <is>
          <t>WF</t>
        </is>
      </c>
      <c r="C3256" s="130" t="inlineStr">
        <is>
          <t>Санкт-Петербург</t>
        </is>
      </c>
      <c r="D3256" s="130" t="inlineStr">
        <is>
          <t>Санкт-Петербург</t>
        </is>
      </c>
      <c r="E3256" s="130" t="inlineStr">
        <is>
          <t>B+</t>
        </is>
      </c>
      <c r="F3256" s="130" t="inlineStr">
        <is>
          <t>Бизнес центр</t>
        </is>
      </c>
      <c r="G3256" s="130" t="inlineStr">
        <is>
          <t>Бизнес центр</t>
        </is>
      </c>
      <c r="H3256" s="131" t="n">
        <v>5906</v>
      </c>
      <c r="I3256" s="637" t="inlineStr">
        <is>
          <t>Scandic/Скандик</t>
        </is>
      </c>
      <c r="J3256" s="637" t="inlineStr">
        <is>
          <t>SPB_BC_Skandinavian</t>
        </is>
      </c>
      <c r="K3256" s="640" t="n">
        <v>2</v>
      </c>
      <c r="L3256" s="640" t="n">
        <v>1</v>
      </c>
      <c r="M3256" s="623" t="inlineStr">
        <is>
          <t>LED/32'/верт</t>
        </is>
      </c>
      <c r="N3256" s="640" t="n"/>
      <c r="O3256" s="640">
        <f>IF(AND(N3256=1,L3256=1),K3256,"")</f>
        <v/>
      </c>
      <c r="P3256" s="642" t="inlineStr">
        <is>
          <t>Санкт-Петербург, ш. Революции, 69</t>
        </is>
      </c>
      <c r="Q3256" s="640" t="inlineStr">
        <is>
          <t>59.962093</t>
        </is>
      </c>
      <c r="R3256" s="494" t="inlineStr">
        <is>
          <t>30.464315</t>
        </is>
      </c>
      <c r="S3256" s="387">
        <f>'Цены|Скидки'!$E$25</f>
        <v/>
      </c>
      <c r="T3256" s="387">
        <f>IF(N3256=1,S3256*O3256,0)</f>
        <v/>
      </c>
      <c r="Z3256" s="1" t="n"/>
    </row>
    <row r="3257" hidden="1" ht="16.05" customHeight="1">
      <c r="A3257" s="125" t="n">
        <v>3935</v>
      </c>
      <c r="B3257" s="125" t="inlineStr">
        <is>
          <t>WF</t>
        </is>
      </c>
      <c r="C3257" s="130" t="inlineStr">
        <is>
          <t>Санкт-Петербург</t>
        </is>
      </c>
      <c r="D3257" s="130" t="inlineStr">
        <is>
          <t>Санкт-Петербург</t>
        </is>
      </c>
      <c r="E3257" s="130" t="inlineStr">
        <is>
          <t>A</t>
        </is>
      </c>
      <c r="F3257" s="130" t="inlineStr">
        <is>
          <t>Бизнес центр</t>
        </is>
      </c>
      <c r="G3257" s="130" t="inlineStr">
        <is>
          <t>Бизнес центр</t>
        </is>
      </c>
      <c r="H3257" s="131" t="n">
        <v>5250</v>
      </c>
      <c r="I3257" s="637" t="inlineStr">
        <is>
          <t>Априори</t>
        </is>
      </c>
      <c r="J3257" s="637" t="inlineStr">
        <is>
          <t>SPB_BC_Apriori</t>
        </is>
      </c>
      <c r="K3257" s="640" t="n">
        <v>1</v>
      </c>
      <c r="L3257" s="640" t="n">
        <v>1</v>
      </c>
      <c r="M3257" s="623" t="inlineStr">
        <is>
          <t>LED/32'/верт</t>
        </is>
      </c>
      <c r="N3257" s="640" t="n"/>
      <c r="O3257" s="640">
        <f>IF(AND(N3257=1,L3257=1),K3257,"")</f>
        <v/>
      </c>
      <c r="P3257" s="642" t="inlineStr">
        <is>
          <t>Санкт-Петербург, Большой пр. П.С., д. 58</t>
        </is>
      </c>
      <c r="Q3257" s="640" t="inlineStr">
        <is>
          <t>59.96107</t>
        </is>
      </c>
      <c r="R3257" s="494" t="inlineStr">
        <is>
          <t>30.303534</t>
        </is>
      </c>
      <c r="S3257" s="387">
        <f>'Цены|Скидки'!$E$25</f>
        <v/>
      </c>
      <c r="T3257" s="387">
        <f>IF(N3257=1,S3257*O3257,0)</f>
        <v/>
      </c>
      <c r="Z3257" s="1" t="n"/>
    </row>
    <row r="3258" hidden="1" ht="16.05" customHeight="1">
      <c r="A3258" s="125" t="n">
        <v>3936</v>
      </c>
      <c r="B3258" s="125" t="inlineStr">
        <is>
          <t>WF</t>
        </is>
      </c>
      <c r="C3258" s="130" t="inlineStr">
        <is>
          <t>Санкт-Петербург</t>
        </is>
      </c>
      <c r="D3258" s="130" t="inlineStr">
        <is>
          <t>Санкт-Петербург</t>
        </is>
      </c>
      <c r="E3258" s="130" t="inlineStr">
        <is>
          <t>B+</t>
        </is>
      </c>
      <c r="F3258" s="130" t="inlineStr">
        <is>
          <t>Бизнес центр</t>
        </is>
      </c>
      <c r="G3258" s="130" t="inlineStr">
        <is>
          <t>Бизнес центр</t>
        </is>
      </c>
      <c r="H3258" s="131" t="n">
        <v>2625</v>
      </c>
      <c r="I3258" s="637" t="inlineStr">
        <is>
          <t>Бронкос</t>
        </is>
      </c>
      <c r="J3258" s="637" t="inlineStr">
        <is>
          <t>SPB_BC_Bronkos</t>
        </is>
      </c>
      <c r="K3258" s="640" t="n">
        <v>1</v>
      </c>
      <c r="L3258" s="640" t="n">
        <v>1</v>
      </c>
      <c r="M3258" s="623" t="inlineStr">
        <is>
          <t>LED/32'/верт</t>
        </is>
      </c>
      <c r="N3258" s="640" t="n"/>
      <c r="O3258" s="640">
        <f>IF(AND(N3258=1,L3258=1),K3258,"")</f>
        <v/>
      </c>
      <c r="P3258" s="642" t="inlineStr">
        <is>
          <t>Санкт-Петербург, Индустриальный проспект, д. 70</t>
        </is>
      </c>
      <c r="Q3258" s="640" t="inlineStr">
        <is>
          <t>59.970569</t>
        </is>
      </c>
      <c r="R3258" s="494" t="inlineStr">
        <is>
          <t>30.456481</t>
        </is>
      </c>
      <c r="S3258" s="387">
        <f>'Цены|Скидки'!$E$25</f>
        <v/>
      </c>
      <c r="T3258" s="387">
        <f>IF(N3258=1,S3258*O3258,0)</f>
        <v/>
      </c>
      <c r="Z3258" s="1" t="n"/>
    </row>
    <row r="3259" hidden="1" ht="16.05" customHeight="1">
      <c r="A3259" s="125" t="n">
        <v>3937</v>
      </c>
      <c r="B3259" s="125" t="inlineStr">
        <is>
          <t>WF</t>
        </is>
      </c>
      <c r="C3259" s="130" t="inlineStr">
        <is>
          <t>Санкт-Петербург</t>
        </is>
      </c>
      <c r="D3259" s="130" t="inlineStr">
        <is>
          <t>Санкт-Петербург</t>
        </is>
      </c>
      <c r="E3259" s="130" t="inlineStr">
        <is>
          <t>A</t>
        </is>
      </c>
      <c r="F3259" s="130" t="inlineStr">
        <is>
          <t>Бизнес центр</t>
        </is>
      </c>
      <c r="G3259" s="130" t="inlineStr">
        <is>
          <t>Бизнес центр</t>
        </is>
      </c>
      <c r="H3259" s="131" t="n">
        <v>3248</v>
      </c>
      <c r="I3259" s="637" t="inlineStr">
        <is>
          <t>Густаф</t>
        </is>
      </c>
      <c r="J3259" s="637" t="inlineStr">
        <is>
          <t>SPB_BC_Gustav</t>
        </is>
      </c>
      <c r="K3259" s="640" t="n">
        <v>1</v>
      </c>
      <c r="L3259" s="640" t="n">
        <v>1</v>
      </c>
      <c r="M3259" s="623" t="inlineStr">
        <is>
          <t>LED/32'/верт</t>
        </is>
      </c>
      <c r="N3259" s="640" t="n"/>
      <c r="O3259" s="640">
        <f>IF(AND(N3259=1,L3259=1),K3259,"")</f>
        <v/>
      </c>
      <c r="P3259" s="642" t="inlineStr">
        <is>
          <t>Санкт-Петербург, Средний пр. В.О., 38, корп.1</t>
        </is>
      </c>
      <c r="Q3259" s="640" t="inlineStr">
        <is>
          <t>59.941862</t>
        </is>
      </c>
      <c r="R3259" s="494" t="inlineStr">
        <is>
          <t>30.275174</t>
        </is>
      </c>
      <c r="S3259" s="387">
        <f>'Цены|Скидки'!$E$25</f>
        <v/>
      </c>
      <c r="T3259" s="387">
        <f>IF(N3259=1,S3259*O3259,0)</f>
        <v/>
      </c>
      <c r="Z3259" s="1" t="n"/>
    </row>
    <row r="3260" hidden="1" ht="16.05" customHeight="1">
      <c r="A3260" s="125" t="n">
        <v>3939</v>
      </c>
      <c r="B3260" s="125" t="inlineStr">
        <is>
          <t>WF</t>
        </is>
      </c>
      <c r="C3260" s="130" t="inlineStr">
        <is>
          <t>Санкт-Петербург</t>
        </is>
      </c>
      <c r="D3260" s="130" t="inlineStr">
        <is>
          <t>Санкт-Петербург</t>
        </is>
      </c>
      <c r="E3260" s="130" t="inlineStr">
        <is>
          <t>A</t>
        </is>
      </c>
      <c r="F3260" s="130" t="inlineStr">
        <is>
          <t>Бизнес центр</t>
        </is>
      </c>
      <c r="G3260" s="130" t="inlineStr">
        <is>
          <t>Бизнес центр</t>
        </is>
      </c>
      <c r="H3260" s="131" t="n">
        <v>5341</v>
      </c>
      <c r="I3260" s="637" t="inlineStr">
        <is>
          <t>Магнус</t>
        </is>
      </c>
      <c r="J3260" s="637" t="inlineStr">
        <is>
          <t>SPB_BC_Magnus</t>
        </is>
      </c>
      <c r="K3260" s="640" t="n">
        <v>2</v>
      </c>
      <c r="L3260" s="640" t="n">
        <v>1</v>
      </c>
      <c r="M3260" s="623" t="inlineStr">
        <is>
          <t>LED/40'/верт</t>
        </is>
      </c>
      <c r="N3260" s="640" t="n"/>
      <c r="O3260" s="640">
        <f>IF(AND(N3260=1,L3260=1),K3260,"")</f>
        <v/>
      </c>
      <c r="P3260" s="642" t="inlineStr">
        <is>
          <t>Санкт-Петербург, 9 линия В. О., 34, лит. А</t>
        </is>
      </c>
      <c r="Q3260" s="640" t="inlineStr">
        <is>
          <t>59.941087</t>
        </is>
      </c>
      <c r="R3260" s="494" t="inlineStr">
        <is>
          <t>30.277097</t>
        </is>
      </c>
      <c r="S3260" s="387">
        <f>'Цены|Скидки'!$E$25</f>
        <v/>
      </c>
      <c r="T3260" s="387">
        <f>IF(N3260=1,S3260*O3260,0)</f>
        <v/>
      </c>
      <c r="Z3260" s="1" t="n"/>
    </row>
    <row r="3261" hidden="1" ht="16.05" customHeight="1">
      <c r="A3261" s="125" t="n">
        <v>3938</v>
      </c>
      <c r="B3261" s="125" t="inlineStr">
        <is>
          <t>WF</t>
        </is>
      </c>
      <c r="C3261" s="130" t="inlineStr">
        <is>
          <t>Санкт-Петербург</t>
        </is>
      </c>
      <c r="D3261" s="130" t="inlineStr">
        <is>
          <t>Санкт-Петербург</t>
        </is>
      </c>
      <c r="E3261" s="130" t="inlineStr">
        <is>
          <t>B</t>
        </is>
      </c>
      <c r="F3261" s="130" t="inlineStr">
        <is>
          <t>Бизнес центр</t>
        </is>
      </c>
      <c r="G3261" s="130" t="inlineStr">
        <is>
          <t>Бизнес центр</t>
        </is>
      </c>
      <c r="H3261" s="131" t="n">
        <v>15093.75</v>
      </c>
      <c r="I3261" s="637" t="inlineStr">
        <is>
          <t>Кварц</t>
        </is>
      </c>
      <c r="J3261" s="637" t="inlineStr">
        <is>
          <t>SPB_BC_Kvarts</t>
        </is>
      </c>
      <c r="K3261" s="640" t="n">
        <v>1</v>
      </c>
      <c r="L3261" s="640" t="n">
        <v>0</v>
      </c>
      <c r="M3261" s="640" t="inlineStr">
        <is>
          <t>ФОТО</t>
        </is>
      </c>
      <c r="N3261" s="640" t="n"/>
      <c r="O3261" s="640">
        <f>IF(AND(N3261=1,L3261=1),K3261,"")</f>
        <v/>
      </c>
      <c r="P3261" s="642" t="inlineStr">
        <is>
          <t>Пискаревский пр., д. 63</t>
        </is>
      </c>
      <c r="Q3261" s="640" t="inlineStr">
        <is>
          <t>59.994234</t>
        </is>
      </c>
      <c r="R3261" s="422" t="inlineStr">
        <is>
          <t>30.437967</t>
        </is>
      </c>
      <c r="S3261" s="387" t="n">
        <v>675</v>
      </c>
      <c r="T3261" s="387">
        <f>IF(N3261=1,S3261*O3261,0)</f>
        <v/>
      </c>
      <c r="X3261" s="1" t="n"/>
      <c r="Y3261" s="1" t="n"/>
      <c r="Z3261" s="1" t="n"/>
    </row>
    <row r="3262" hidden="1" ht="16.05" customHeight="1">
      <c r="A3262" s="125" t="n">
        <v>3940</v>
      </c>
      <c r="B3262" s="125" t="inlineStr">
        <is>
          <t>WF</t>
        </is>
      </c>
      <c r="C3262" s="130" t="inlineStr">
        <is>
          <t>Санкт-Петербург</t>
        </is>
      </c>
      <c r="D3262" s="130" t="inlineStr">
        <is>
          <t>Санкт-Петербург</t>
        </is>
      </c>
      <c r="E3262" s="130" t="inlineStr">
        <is>
          <t>A</t>
        </is>
      </c>
      <c r="F3262" s="130" t="inlineStr">
        <is>
          <t>Бизнес центр</t>
        </is>
      </c>
      <c r="G3262" s="130" t="inlineStr">
        <is>
          <t>Бизнес центр</t>
        </is>
      </c>
      <c r="H3262" s="131" t="n">
        <v>13518</v>
      </c>
      <c r="I3262" s="637" t="inlineStr">
        <is>
          <t>Мегаполис</t>
        </is>
      </c>
      <c r="J3262" s="637" t="inlineStr">
        <is>
          <t>SPB_BC_Megapolis</t>
        </is>
      </c>
      <c r="K3262" s="640" t="n">
        <v>1</v>
      </c>
      <c r="L3262" s="640" t="n">
        <v>1</v>
      </c>
      <c r="M3262" s="623" t="inlineStr">
        <is>
          <t>LED/32'/верт</t>
        </is>
      </c>
      <c r="N3262" s="640" t="n"/>
      <c r="O3262" s="640">
        <f>IF(AND(N3262=1,L3262=1),K3262,"")</f>
        <v/>
      </c>
      <c r="P3262" s="642" t="inlineStr">
        <is>
          <t>Санкт-Петербург, Кушелевская дорога, д. 13</t>
        </is>
      </c>
      <c r="Q3262" s="640" t="inlineStr">
        <is>
          <t>59.992294</t>
        </is>
      </c>
      <c r="R3262" s="494" t="inlineStr">
        <is>
          <t>30.379118</t>
        </is>
      </c>
      <c r="S3262" s="387">
        <f>'Цены|Скидки'!$E$25</f>
        <v/>
      </c>
      <c r="T3262" s="387">
        <f>IF(N3262=1,S3262*O3262,0)</f>
        <v/>
      </c>
      <c r="Z3262" s="1" t="n"/>
    </row>
    <row r="3263" hidden="1" ht="16.05" customHeight="1">
      <c r="A3263" s="125" t="n">
        <v>3941</v>
      </c>
      <c r="B3263" s="125" t="inlineStr">
        <is>
          <t>WF</t>
        </is>
      </c>
      <c r="C3263" s="130" t="inlineStr">
        <is>
          <t>Санкт-Петербург</t>
        </is>
      </c>
      <c r="D3263" s="130" t="inlineStr">
        <is>
          <t>Санкт-Петербург</t>
        </is>
      </c>
      <c r="E3263" s="130" t="inlineStr">
        <is>
          <t>A</t>
        </is>
      </c>
      <c r="F3263" s="130" t="inlineStr">
        <is>
          <t>Бизнес центр</t>
        </is>
      </c>
      <c r="G3263" s="130" t="inlineStr">
        <is>
          <t>Бизнес центр</t>
        </is>
      </c>
      <c r="H3263" s="131" t="n">
        <v>2408</v>
      </c>
      <c r="I3263" s="637" t="inlineStr">
        <is>
          <t>Оскар</t>
        </is>
      </c>
      <c r="J3263" s="637" t="inlineStr">
        <is>
          <t>SPB_BC_Oskar</t>
        </is>
      </c>
      <c r="K3263" s="640" t="n">
        <v>1</v>
      </c>
      <c r="L3263" s="640" t="n">
        <v>1</v>
      </c>
      <c r="M3263" s="623" t="inlineStr">
        <is>
          <t>LED/32'/верт</t>
        </is>
      </c>
      <c r="N3263" s="640" t="n"/>
      <c r="O3263" s="640">
        <f>IF(AND(N3263=1,L3263=1),K3263,"")</f>
        <v/>
      </c>
      <c r="P3263" s="642" t="inlineStr">
        <is>
          <t>Санкт-Петербург, наб реки Фонтанки, д. 13</t>
        </is>
      </c>
      <c r="Q3263" s="640" t="inlineStr">
        <is>
          <t>59.936499</t>
        </is>
      </c>
      <c r="R3263" s="494" t="inlineStr">
        <is>
          <t>30.342907</t>
        </is>
      </c>
      <c r="S3263" s="387">
        <f>'Цены|Скидки'!$E$25</f>
        <v/>
      </c>
      <c r="T3263" s="387">
        <f>IF(N3263=1,S3263*O3263,0)</f>
        <v/>
      </c>
      <c r="Z3263" s="1" t="n"/>
    </row>
    <row r="3264" hidden="1" ht="16.05" customHeight="1">
      <c r="A3264" s="125" t="n">
        <v>3942</v>
      </c>
      <c r="B3264" s="125" t="inlineStr">
        <is>
          <t>WF</t>
        </is>
      </c>
      <c r="C3264" s="130" t="inlineStr">
        <is>
          <t>Санкт-Петербург</t>
        </is>
      </c>
      <c r="D3264" s="130" t="inlineStr">
        <is>
          <t>Санкт-Петербург</t>
        </is>
      </c>
      <c r="E3264" s="130" t="inlineStr">
        <is>
          <t>B</t>
        </is>
      </c>
      <c r="F3264" s="130" t="inlineStr">
        <is>
          <t>Бизнес центр</t>
        </is>
      </c>
      <c r="G3264" s="130" t="inlineStr">
        <is>
          <t>Бизнес центр</t>
        </is>
      </c>
      <c r="H3264" s="131" t="n">
        <v>16406</v>
      </c>
      <c r="I3264" s="637" t="inlineStr">
        <is>
          <t>Цитадель</t>
        </is>
      </c>
      <c r="J3264" s="637" t="inlineStr">
        <is>
          <t>SPB_BC_Tsitadel</t>
        </is>
      </c>
      <c r="K3264" s="640" t="n">
        <v>1</v>
      </c>
      <c r="L3264" s="640" t="n">
        <v>1</v>
      </c>
      <c r="M3264" s="623" t="inlineStr">
        <is>
          <t>LED/32'/верт</t>
        </is>
      </c>
      <c r="N3264" s="640" t="n"/>
      <c r="O3264" s="640">
        <f>IF(AND(N3264=1,L3264=1),K3264,"")</f>
        <v/>
      </c>
      <c r="P3264" s="642" t="inlineStr">
        <is>
          <t>Санкт-Петербург, Краснопутиловская ул., д. 69</t>
        </is>
      </c>
      <c r="Q3264" s="640" t="inlineStr">
        <is>
          <t>59.859872</t>
        </is>
      </c>
      <c r="R3264" s="494" t="inlineStr">
        <is>
          <t>30.28793</t>
        </is>
      </c>
      <c r="S3264" s="387">
        <f>'Цены|Скидки'!$E$25</f>
        <v/>
      </c>
      <c r="T3264" s="387">
        <f>IF(N3264=1,S3264*O3264,0)</f>
        <v/>
      </c>
      <c r="Z3264" s="1" t="n"/>
    </row>
    <row r="3265" hidden="1" ht="16.05" customHeight="1">
      <c r="A3265" s="125" t="n">
        <v>3944</v>
      </c>
      <c r="B3265" s="125" t="inlineStr">
        <is>
          <t>WF</t>
        </is>
      </c>
      <c r="C3265" s="130" t="inlineStr">
        <is>
          <t>Санкт-Петербург</t>
        </is>
      </c>
      <c r="D3265" s="130" t="inlineStr">
        <is>
          <t>Санкт-Петербург</t>
        </is>
      </c>
      <c r="E3265" s="130" t="inlineStr">
        <is>
          <t>B+</t>
        </is>
      </c>
      <c r="F3265" s="130" t="inlineStr">
        <is>
          <t>Бизнес центр</t>
        </is>
      </c>
      <c r="G3265" s="130" t="inlineStr">
        <is>
          <t>Бизнес центр</t>
        </is>
      </c>
      <c r="H3265" s="131" t="n">
        <v>14437</v>
      </c>
      <c r="I3265" s="637" t="inlineStr">
        <is>
          <t>Sky Trade</t>
        </is>
      </c>
      <c r="J3265" s="637" t="inlineStr">
        <is>
          <t>SPB_BC_Sky_Trade</t>
        </is>
      </c>
      <c r="K3265" s="640" t="n">
        <v>1</v>
      </c>
      <c r="L3265" s="640" t="n">
        <v>1</v>
      </c>
      <c r="M3265" s="623" t="inlineStr">
        <is>
          <t>LED/32'/верт</t>
        </is>
      </c>
      <c r="N3265" s="640" t="n"/>
      <c r="O3265" s="640">
        <f>IF(AND(N3265=1,L3265=1),K3265,"")</f>
        <v/>
      </c>
      <c r="P3265" s="642" t="inlineStr">
        <is>
          <t>Санкт-Петербург, Репищева ул., д. 20</t>
        </is>
      </c>
      <c r="Q3265" s="640" t="inlineStr">
        <is>
          <t>60.030987</t>
        </is>
      </c>
      <c r="R3265" s="494" t="inlineStr">
        <is>
          <t>30.284903</t>
        </is>
      </c>
      <c r="S3265" s="387">
        <f>'Цены|Скидки'!$E$25</f>
        <v/>
      </c>
      <c r="T3265" s="387">
        <f>IF(N3265=1,S3265*O3265,0)</f>
        <v/>
      </c>
      <c r="Z3265" s="1" t="n"/>
    </row>
    <row r="3266" hidden="1" ht="16.05" customHeight="1">
      <c r="A3266" s="125" t="n">
        <v>3943</v>
      </c>
      <c r="B3266" s="125" t="inlineStr">
        <is>
          <t>WF</t>
        </is>
      </c>
      <c r="C3266" s="130" t="inlineStr">
        <is>
          <t>Санкт-Петербург</t>
        </is>
      </c>
      <c r="D3266" s="130" t="inlineStr">
        <is>
          <t>Санкт-Петербург</t>
        </is>
      </c>
      <c r="E3266" s="130" t="inlineStr">
        <is>
          <t>B+</t>
        </is>
      </c>
      <c r="F3266" s="130" t="inlineStr">
        <is>
          <t>Бизнес центр</t>
        </is>
      </c>
      <c r="G3266" s="130" t="inlineStr">
        <is>
          <t>Бизнес центр</t>
        </is>
      </c>
      <c r="H3266" s="131" t="n">
        <v>2352</v>
      </c>
      <c r="I3266" s="637" t="inlineStr">
        <is>
          <t>Cerean</t>
        </is>
      </c>
      <c r="J3266" s="402" t="inlineStr">
        <is>
          <t>SPB_BC_Cerean</t>
        </is>
      </c>
      <c r="K3266" s="640" t="n">
        <v>1</v>
      </c>
      <c r="L3266" s="640" t="n">
        <v>0</v>
      </c>
      <c r="M3266" s="640" t="inlineStr">
        <is>
          <t>ФОТО</t>
        </is>
      </c>
      <c r="N3266" s="640" t="n"/>
      <c r="O3266" s="640">
        <f>IF(AND(N3266=1,L3266=1),K3266,"")</f>
        <v/>
      </c>
      <c r="P3266" s="642" t="inlineStr">
        <is>
          <t>пр. Пархоменко 10, cтр А, к 2</t>
        </is>
      </c>
      <c r="Q3266" s="640" t="n">
        <v>60.000488</v>
      </c>
      <c r="R3266" s="422" t="n">
        <v>30.335263</v>
      </c>
      <c r="S3266" s="387">
        <f>'Цены|Скидки'!$E$25</f>
        <v/>
      </c>
      <c r="T3266" s="387">
        <f>IF(N3266=1,S3266*O3266,0)</f>
        <v/>
      </c>
      <c r="X3266" s="1" t="n"/>
      <c r="Y3266" s="1" t="n"/>
      <c r="Z3266" s="1" t="n"/>
    </row>
    <row r="3267" hidden="1" ht="16.05" customHeight="1">
      <c r="A3267" s="125" t="n">
        <v>3945</v>
      </c>
      <c r="B3267" s="125" t="inlineStr">
        <is>
          <t>WF</t>
        </is>
      </c>
      <c r="C3267" s="130" t="inlineStr">
        <is>
          <t>Санкт-Петербург</t>
        </is>
      </c>
      <c r="D3267" s="130" t="inlineStr">
        <is>
          <t>Санкт-Петербург</t>
        </is>
      </c>
      <c r="E3267" s="130" t="inlineStr">
        <is>
          <t>B+</t>
        </is>
      </c>
      <c r="F3267" s="130" t="inlineStr">
        <is>
          <t>Бизнес центр</t>
        </is>
      </c>
      <c r="G3267" s="130" t="inlineStr">
        <is>
          <t>Бизнес центр</t>
        </is>
      </c>
      <c r="H3267" s="131" t="n">
        <v>8035</v>
      </c>
      <c r="I3267" s="637" t="inlineStr">
        <is>
          <t>Ренессанс Center</t>
        </is>
      </c>
      <c r="J3267" s="637" t="inlineStr">
        <is>
          <t>SPB_BC_Renessans_Center</t>
        </is>
      </c>
      <c r="K3267" s="640" t="n">
        <v>1</v>
      </c>
      <c r="L3267" s="640" t="n">
        <v>1</v>
      </c>
      <c r="M3267" s="623" t="inlineStr">
        <is>
          <t>LED/32'/верт</t>
        </is>
      </c>
      <c r="N3267" s="640" t="n"/>
      <c r="O3267" s="640">
        <f>IF(AND(N3267=1,L3267=1),K3267,"")</f>
        <v/>
      </c>
      <c r="P3267" s="642" t="inlineStr">
        <is>
          <t>Санкт-Петербург, ул. Шателена, 26</t>
        </is>
      </c>
      <c r="Q3267" s="640" t="inlineStr">
        <is>
          <t>60.005655</t>
        </is>
      </c>
      <c r="R3267" s="494" t="inlineStr">
        <is>
          <t>30.358154</t>
        </is>
      </c>
      <c r="S3267" s="387">
        <f>'Цены|Скидки'!$E$25</f>
        <v/>
      </c>
      <c r="T3267" s="387">
        <f>IF(N3267=1,S3267*O3267,0)</f>
        <v/>
      </c>
      <c r="Z3267" s="1" t="n"/>
    </row>
    <row r="3268" hidden="1" ht="16.05" customHeight="1">
      <c r="A3268" s="125" t="n">
        <v>3946</v>
      </c>
      <c r="B3268" s="125" t="inlineStr">
        <is>
          <t>WF</t>
        </is>
      </c>
      <c r="C3268" s="130" t="inlineStr">
        <is>
          <t>Санкт-Петербург</t>
        </is>
      </c>
      <c r="D3268" s="130" t="inlineStr">
        <is>
          <t>Санкт-Петербург</t>
        </is>
      </c>
      <c r="E3268" s="130" t="inlineStr">
        <is>
          <t>B+</t>
        </is>
      </c>
      <c r="F3268" s="130" t="inlineStr">
        <is>
          <t>Бизнес центр</t>
        </is>
      </c>
      <c r="G3268" s="130" t="inlineStr">
        <is>
          <t>Бизнес центр</t>
        </is>
      </c>
      <c r="H3268" s="131" t="n">
        <v>6234</v>
      </c>
      <c r="I3268" s="637" t="inlineStr">
        <is>
          <t>Лада</t>
        </is>
      </c>
      <c r="J3268" s="637" t="inlineStr">
        <is>
          <t>SPB_BC_Lada</t>
        </is>
      </c>
      <c r="K3268" s="640" t="n">
        <v>1</v>
      </c>
      <c r="L3268" s="640" t="n">
        <v>1</v>
      </c>
      <c r="M3268" s="623" t="inlineStr">
        <is>
          <t>LED/32'/верт</t>
        </is>
      </c>
      <c r="N3268" s="640" t="n"/>
      <c r="O3268" s="640">
        <f>IF(AND(N3268=1,L3268=1),K3268,"")</f>
        <v/>
      </c>
      <c r="P3268" s="642" t="inlineStr">
        <is>
          <t>Санкт-Петербург, пр. Энергетиков, д. 3А</t>
        </is>
      </c>
      <c r="Q3268" s="640" t="inlineStr">
        <is>
          <t>59.931016</t>
        </is>
      </c>
      <c r="R3268" s="494" t="inlineStr">
        <is>
          <t>30.437827</t>
        </is>
      </c>
      <c r="S3268" s="387">
        <f>'Цены|Скидки'!$E$25</f>
        <v/>
      </c>
      <c r="T3268" s="387">
        <f>IF(N3268=1,S3268*O3268,0)</f>
        <v/>
      </c>
      <c r="Z3268" s="1" t="n"/>
    </row>
    <row r="3269" hidden="1" ht="16.05" customHeight="1">
      <c r="A3269" s="125" t="n">
        <v>3947</v>
      </c>
      <c r="B3269" s="125" t="inlineStr">
        <is>
          <t>WF</t>
        </is>
      </c>
      <c r="C3269" s="130" t="inlineStr">
        <is>
          <t>Санкт-Петербург</t>
        </is>
      </c>
      <c r="D3269" s="130" t="inlineStr">
        <is>
          <t>Санкт-Петербург</t>
        </is>
      </c>
      <c r="E3269" s="130" t="inlineStr">
        <is>
          <t>B</t>
        </is>
      </c>
      <c r="F3269" s="130" t="inlineStr">
        <is>
          <t>Бизнес центр</t>
        </is>
      </c>
      <c r="G3269" s="130" t="inlineStr">
        <is>
          <t>Бизнес центр</t>
        </is>
      </c>
      <c r="H3269" s="131" t="n">
        <v>2625</v>
      </c>
      <c r="I3269" s="637" t="inlineStr">
        <is>
          <t>Wall Street</t>
        </is>
      </c>
      <c r="J3269" s="637" t="inlineStr">
        <is>
          <t>SPB_BC_Wall_Street</t>
        </is>
      </c>
      <c r="K3269" s="640" t="n">
        <v>1</v>
      </c>
      <c r="L3269" s="640" t="n">
        <v>1</v>
      </c>
      <c r="M3269" s="623" t="inlineStr">
        <is>
          <t>LED/32'/верт</t>
        </is>
      </c>
      <c r="N3269" s="640" t="n"/>
      <c r="O3269" s="640">
        <f>IF(AND(N3269=1,L3269=1),K3269,"")</f>
        <v/>
      </c>
      <c r="P3269" s="642" t="inlineStr">
        <is>
          <t>Санкт-Петербург, 2-я Советская ул., 27/2</t>
        </is>
      </c>
      <c r="Q3269" s="640" t="inlineStr">
        <is>
          <t>59.930131</t>
        </is>
      </c>
      <c r="R3269" s="494" t="inlineStr">
        <is>
          <t>30.37274</t>
        </is>
      </c>
      <c r="S3269" s="387">
        <f>'Цены|Скидки'!$E$25</f>
        <v/>
      </c>
      <c r="T3269" s="387">
        <f>IF(N3269=1,S3269*O3269,0)</f>
        <v/>
      </c>
      <c r="Z3269" s="1" t="n"/>
    </row>
    <row r="3270" hidden="1" ht="16.05" customHeight="1">
      <c r="A3270" s="125" t="n">
        <v>3948</v>
      </c>
      <c r="B3270" s="125" t="inlineStr">
        <is>
          <t>WF</t>
        </is>
      </c>
      <c r="C3270" s="130" t="inlineStr">
        <is>
          <t>Санкт-Петербург</t>
        </is>
      </c>
      <c r="D3270" s="130" t="inlineStr">
        <is>
          <t>Санкт-Петербург</t>
        </is>
      </c>
      <c r="E3270" s="130" t="inlineStr">
        <is>
          <t>A</t>
        </is>
      </c>
      <c r="F3270" s="130" t="inlineStr">
        <is>
          <t>Бизнес центр</t>
        </is>
      </c>
      <c r="G3270" s="130" t="inlineStr">
        <is>
          <t>Бизнес центр</t>
        </is>
      </c>
      <c r="H3270" s="131" t="n">
        <v>11812</v>
      </c>
      <c r="I3270" s="637" t="inlineStr">
        <is>
          <t>Ренессанс Premium</t>
        </is>
      </c>
      <c r="J3270" s="637" t="inlineStr">
        <is>
          <t>SPB_BC_Renessans_Premium</t>
        </is>
      </c>
      <c r="K3270" s="640" t="n">
        <v>2</v>
      </c>
      <c r="L3270" s="640" t="n">
        <v>1</v>
      </c>
      <c r="M3270" s="623" t="inlineStr">
        <is>
          <t>LED/32'/верт</t>
        </is>
      </c>
      <c r="N3270" s="640" t="n"/>
      <c r="O3270" s="640">
        <f>IF(AND(N3270=1,L3270=1),K3270,"")</f>
        <v/>
      </c>
      <c r="P3270" s="642" t="inlineStr">
        <is>
          <t>Санкт-Петербург, ул. Решетникова 14А</t>
        </is>
      </c>
      <c r="Q3270" s="640" t="inlineStr">
        <is>
          <t>59.879302</t>
        </is>
      </c>
      <c r="R3270" s="494" t="inlineStr">
        <is>
          <t>30.325641</t>
        </is>
      </c>
      <c r="S3270" s="387">
        <f>'Цены|Скидки'!$E$25</f>
        <v/>
      </c>
      <c r="T3270" s="387">
        <f>IF(N3270=1,S3270*O3270,0)</f>
        <v/>
      </c>
      <c r="Z3270" s="1" t="n"/>
    </row>
    <row r="3271" hidden="1" ht="16.05" customHeight="1">
      <c r="A3271" s="125" t="n">
        <v>3949</v>
      </c>
      <c r="B3271" s="125" t="inlineStr">
        <is>
          <t>WF</t>
        </is>
      </c>
      <c r="C3271" s="130" t="inlineStr">
        <is>
          <t>Санкт-Петербург</t>
        </is>
      </c>
      <c r="D3271" s="130" t="inlineStr">
        <is>
          <t>Санкт-Петербург</t>
        </is>
      </c>
      <c r="E3271" s="130" t="inlineStr">
        <is>
          <t>B+</t>
        </is>
      </c>
      <c r="F3271" s="130" t="inlineStr">
        <is>
          <t>Бизнес центр</t>
        </is>
      </c>
      <c r="G3271" s="130" t="inlineStr">
        <is>
          <t>Бизнес центр</t>
        </is>
      </c>
      <c r="H3271" s="131" t="n">
        <v>5578</v>
      </c>
      <c r="I3271" s="637" t="inlineStr">
        <is>
          <t>Базен</t>
        </is>
      </c>
      <c r="J3271" s="637" t="inlineStr">
        <is>
          <t>SPB_BC_Bazen</t>
        </is>
      </c>
      <c r="K3271" s="640" t="n">
        <v>1</v>
      </c>
      <c r="L3271" s="640" t="n">
        <v>1</v>
      </c>
      <c r="M3271" s="623" t="inlineStr">
        <is>
          <t>LED/32'/верт</t>
        </is>
      </c>
      <c r="N3271" s="640" t="n"/>
      <c r="O3271" s="640">
        <f>IF(AND(N3271=1,L3271=1),K3271,"")</f>
        <v/>
      </c>
      <c r="P3271" s="642" t="inlineStr">
        <is>
          <t>Санкт-Петербург,  пр. Шаумяна,д. 4</t>
        </is>
      </c>
      <c r="Q3271" s="640" t="inlineStr">
        <is>
          <t>59.939181</t>
        </is>
      </c>
      <c r="R3271" s="494" t="inlineStr">
        <is>
          <t>30.415276</t>
        </is>
      </c>
      <c r="S3271" s="387">
        <f>'Цены|Скидки'!$E$25</f>
        <v/>
      </c>
      <c r="T3271" s="387">
        <f>IF(N3271=1,S3271*O3271,0)</f>
        <v/>
      </c>
      <c r="Z3271" s="1" t="n"/>
    </row>
    <row r="3272" hidden="1" ht="16.05" customHeight="1">
      <c r="A3272" s="125" t="n">
        <v>3950</v>
      </c>
      <c r="B3272" s="125" t="inlineStr">
        <is>
          <t>WF</t>
        </is>
      </c>
      <c r="C3272" s="130" t="inlineStr">
        <is>
          <t>Санкт-Петербург</t>
        </is>
      </c>
      <c r="D3272" s="130" t="inlineStr">
        <is>
          <t>Санкт-Петербург</t>
        </is>
      </c>
      <c r="E3272" s="130" t="inlineStr">
        <is>
          <t>B</t>
        </is>
      </c>
      <c r="F3272" s="130" t="inlineStr">
        <is>
          <t>Бизнес центр</t>
        </is>
      </c>
      <c r="G3272" s="130" t="inlineStr">
        <is>
          <t>Бизнес центр</t>
        </is>
      </c>
      <c r="H3272" s="131" t="n">
        <v>3281</v>
      </c>
      <c r="I3272" s="637" t="inlineStr">
        <is>
          <t>Нобель</t>
        </is>
      </c>
      <c r="J3272" s="637" t="inlineStr">
        <is>
          <t>SPB_BC_Nobel</t>
        </is>
      </c>
      <c r="K3272" s="640" t="n">
        <v>1</v>
      </c>
      <c r="L3272" s="640" t="n">
        <v>1</v>
      </c>
      <c r="M3272" s="623" t="inlineStr">
        <is>
          <t>LED/32'/верт</t>
        </is>
      </c>
      <c r="N3272" s="640" t="n"/>
      <c r="O3272" s="640">
        <f>IF(AND(N3272=1,L3272=1),K3272,"")</f>
        <v/>
      </c>
      <c r="P3272" s="642" t="inlineStr">
        <is>
          <t>Санкт-Петербург, Пироговская наб, д. 21</t>
        </is>
      </c>
      <c r="Q3272" s="640" t="inlineStr">
        <is>
          <t>59.965826</t>
        </is>
      </c>
      <c r="R3272" s="494" t="inlineStr">
        <is>
          <t>30.338225</t>
        </is>
      </c>
      <c r="S3272" s="387">
        <f>'Цены|Скидки'!$E$25</f>
        <v/>
      </c>
      <c r="T3272" s="387">
        <f>IF(N3272=1,S3272*O3272,0)</f>
        <v/>
      </c>
      <c r="Z3272" s="1" t="n"/>
    </row>
    <row r="3273" hidden="1" ht="16.05" customHeight="1">
      <c r="A3273" s="125" t="n">
        <v>3951</v>
      </c>
      <c r="B3273" s="125" t="inlineStr">
        <is>
          <t>WF</t>
        </is>
      </c>
      <c r="C3273" s="130" t="inlineStr">
        <is>
          <t>Санкт-Петербург</t>
        </is>
      </c>
      <c r="D3273" s="130" t="inlineStr">
        <is>
          <t>Санкт-Петербург</t>
        </is>
      </c>
      <c r="E3273" s="130" t="inlineStr">
        <is>
          <t>A</t>
        </is>
      </c>
      <c r="F3273" s="130" t="inlineStr">
        <is>
          <t>Бизнес центр</t>
        </is>
      </c>
      <c r="G3273" s="130" t="inlineStr">
        <is>
          <t>Бизнес центр</t>
        </is>
      </c>
      <c r="H3273" s="131" t="n">
        <v>6620</v>
      </c>
      <c r="I3273" s="637" t="inlineStr">
        <is>
          <t>СЕНАТОР Невский 38</t>
        </is>
      </c>
      <c r="J3273" s="637" t="inlineStr">
        <is>
          <t>SPB_BC_SENATOR_Nevskiy_38</t>
        </is>
      </c>
      <c r="K3273" s="640" t="n">
        <v>1</v>
      </c>
      <c r="L3273" s="640" t="n">
        <v>1</v>
      </c>
      <c r="M3273" s="623" t="inlineStr">
        <is>
          <t>LED/32'/верт</t>
        </is>
      </c>
      <c r="N3273" s="640" t="n"/>
      <c r="O3273" s="640">
        <f>IF(AND(N3273=1,L3273=1),K3273,"")</f>
        <v/>
      </c>
      <c r="P3273" s="642" t="inlineStr">
        <is>
          <t>Санкт-Петербург, Невский просп., д. 38</t>
        </is>
      </c>
      <c r="Q3273" s="640" t="inlineStr">
        <is>
          <t>59.935232</t>
        </is>
      </c>
      <c r="R3273" s="494" t="inlineStr">
        <is>
          <t>30.331274</t>
        </is>
      </c>
      <c r="S3273" s="387">
        <f>'Цены|Скидки'!$E$25</f>
        <v/>
      </c>
      <c r="T3273" s="387">
        <f>IF(N3273=1,S3273*O3273,0)</f>
        <v/>
      </c>
      <c r="Z3273" s="1" t="n"/>
    </row>
    <row r="3274" hidden="1" ht="16.05" customHeight="1">
      <c r="A3274" s="125" t="n">
        <v>3952</v>
      </c>
      <c r="B3274" s="125" t="inlineStr">
        <is>
          <t>WF</t>
        </is>
      </c>
      <c r="C3274" s="130" t="inlineStr">
        <is>
          <t>Санкт-Петербург</t>
        </is>
      </c>
      <c r="D3274" s="130" t="inlineStr">
        <is>
          <t>Санкт-Петербург</t>
        </is>
      </c>
      <c r="E3274" s="130" t="inlineStr">
        <is>
          <t>A</t>
        </is>
      </c>
      <c r="F3274" s="130" t="inlineStr">
        <is>
          <t>Бизнес центр</t>
        </is>
      </c>
      <c r="G3274" s="130" t="inlineStr">
        <is>
          <t>Бизнес центр</t>
        </is>
      </c>
      <c r="H3274" s="131" t="n">
        <v>10500</v>
      </c>
      <c r="I3274" s="637" t="inlineStr">
        <is>
          <t>СЕНАТОР на Мойке</t>
        </is>
      </c>
      <c r="J3274" s="637" t="inlineStr">
        <is>
          <t>SPB_BC_SENATOR_na_Moyke</t>
        </is>
      </c>
      <c r="K3274" s="640" t="n">
        <v>2</v>
      </c>
      <c r="L3274" s="640" t="n">
        <v>1</v>
      </c>
      <c r="M3274" s="623" t="inlineStr">
        <is>
          <t>LED/32'/верт</t>
        </is>
      </c>
      <c r="N3274" s="640" t="n"/>
      <c r="O3274" s="640">
        <f>IF(AND(N3274=1,L3274=1),K3274,"")</f>
        <v/>
      </c>
      <c r="P3274" s="642" t="inlineStr">
        <is>
          <t xml:space="preserve">Санкт-Петербург, наб. реки Мойки, д. 36 </t>
        </is>
      </c>
      <c r="Q3274" s="640" t="inlineStr">
        <is>
          <t>59.938001</t>
        </is>
      </c>
      <c r="R3274" s="494" t="inlineStr">
        <is>
          <t>30.320265</t>
        </is>
      </c>
      <c r="S3274" s="387">
        <f>'Цены|Скидки'!$E$25</f>
        <v/>
      </c>
      <c r="T3274" s="387">
        <f>IF(N3274=1,S3274*O3274,0)</f>
        <v/>
      </c>
      <c r="Z3274" s="1" t="n"/>
    </row>
    <row r="3275" hidden="1" ht="16.05" customHeight="1">
      <c r="A3275" s="125" t="n">
        <v>3953</v>
      </c>
      <c r="B3275" s="125" t="inlineStr">
        <is>
          <t>WF</t>
        </is>
      </c>
      <c r="C3275" s="130" t="inlineStr">
        <is>
          <t>Санкт-Петербург</t>
        </is>
      </c>
      <c r="D3275" s="130" t="inlineStr">
        <is>
          <t>Санкт-Петербург</t>
        </is>
      </c>
      <c r="E3275" s="130" t="inlineStr">
        <is>
          <t>B+</t>
        </is>
      </c>
      <c r="F3275" s="130" t="inlineStr">
        <is>
          <t>Бизнес центр</t>
        </is>
      </c>
      <c r="G3275" s="130" t="inlineStr">
        <is>
          <t>Бизнес центр</t>
        </is>
      </c>
      <c r="H3275" s="131" t="n">
        <v>2896</v>
      </c>
      <c r="I3275" s="637" t="inlineStr">
        <is>
          <t>СЕНАТОР на Жуковского</t>
        </is>
      </c>
      <c r="J3275" s="637" t="inlineStr">
        <is>
          <t>SPB_BC_SENATOR_na_Zhukovskogo</t>
        </is>
      </c>
      <c r="K3275" s="640" t="n">
        <v>1</v>
      </c>
      <c r="L3275" s="640" t="n">
        <v>1</v>
      </c>
      <c r="M3275" s="623" t="inlineStr">
        <is>
          <t>LED/32'/верт</t>
        </is>
      </c>
      <c r="N3275" s="640" t="n"/>
      <c r="O3275" s="640">
        <f>IF(AND(N3275=1,L3275=1),K3275,"")</f>
        <v/>
      </c>
      <c r="P3275" s="642" t="inlineStr">
        <is>
          <t>Санкт-Петербург, ул. Жуковского, д. 63</t>
        </is>
      </c>
      <c r="Q3275" s="640" t="inlineStr">
        <is>
          <t>59.935638</t>
        </is>
      </c>
      <c r="R3275" s="494" t="inlineStr">
        <is>
          <t>30.363173</t>
        </is>
      </c>
      <c r="S3275" s="387">
        <f>'Цены|Скидки'!$E$25</f>
        <v/>
      </c>
      <c r="T3275" s="387">
        <f>IF(N3275=1,S3275*O3275,0)</f>
        <v/>
      </c>
      <c r="Z3275" s="1" t="n"/>
    </row>
    <row r="3276" hidden="1" ht="16.05" customHeight="1">
      <c r="A3276" s="125" t="n">
        <v>3954</v>
      </c>
      <c r="B3276" s="125" t="inlineStr">
        <is>
          <t>WF</t>
        </is>
      </c>
      <c r="C3276" s="130" t="inlineStr">
        <is>
          <t>Санкт-Петербург</t>
        </is>
      </c>
      <c r="D3276" s="130" t="inlineStr">
        <is>
          <t>Санкт-Петербург</t>
        </is>
      </c>
      <c r="E3276" s="130" t="inlineStr">
        <is>
          <t>A</t>
        </is>
      </c>
      <c r="F3276" s="130" t="inlineStr">
        <is>
          <t>Бизнес центр</t>
        </is>
      </c>
      <c r="G3276" s="130" t="inlineStr">
        <is>
          <t>Бизнес центр</t>
        </is>
      </c>
      <c r="H3276" s="131" t="n">
        <v>4266</v>
      </c>
      <c r="I3276" s="637" t="inlineStr">
        <is>
          <t>65_СЕНАТОР на Пушкарской</t>
        </is>
      </c>
      <c r="J3276" s="637" t="inlineStr">
        <is>
          <t>SPB_BC_65_SENATOR_na_Pushkarskoy</t>
        </is>
      </c>
      <c r="K3276" s="640" t="n">
        <v>1</v>
      </c>
      <c r="L3276" s="640" t="n">
        <v>1</v>
      </c>
      <c r="M3276" s="623" t="inlineStr">
        <is>
          <t>LED/65'/верт</t>
        </is>
      </c>
      <c r="N3276" s="640" t="n"/>
      <c r="O3276" s="640">
        <f>IF(AND(N3276=1,L3276=1),K3276,"")</f>
        <v/>
      </c>
      <c r="P3276" s="642" t="inlineStr">
        <is>
          <t>Санкт-Петербург, ул. Большая Пушкарская, д. 22</t>
        </is>
      </c>
      <c r="Q3276" s="640" t="inlineStr">
        <is>
          <t>59.958271</t>
        </is>
      </c>
      <c r="R3276" s="494" t="inlineStr">
        <is>
          <t>30.302284</t>
        </is>
      </c>
      <c r="S3276" s="387">
        <f>'Цены|Скидки'!$E$25</f>
        <v/>
      </c>
      <c r="T3276" s="387">
        <f>IF(N3276=1,S3276*O3276,0)</f>
        <v/>
      </c>
      <c r="Z3276" s="1" t="n"/>
    </row>
    <row r="3277" hidden="1" ht="16.05" customHeight="1">
      <c r="A3277" s="125" t="n">
        <v>3955</v>
      </c>
      <c r="B3277" s="125" t="inlineStr">
        <is>
          <t>WF</t>
        </is>
      </c>
      <c r="C3277" s="130" t="inlineStr">
        <is>
          <t>Санкт-Петербург</t>
        </is>
      </c>
      <c r="D3277" s="130" t="inlineStr">
        <is>
          <t>Санкт-Петербург</t>
        </is>
      </c>
      <c r="E3277" s="130" t="inlineStr">
        <is>
          <t>A</t>
        </is>
      </c>
      <c r="F3277" s="130" t="inlineStr">
        <is>
          <t>Бизнес центр</t>
        </is>
      </c>
      <c r="G3277" s="130" t="inlineStr">
        <is>
          <t>Бизнес центр</t>
        </is>
      </c>
      <c r="H3277" s="131" t="n">
        <v>13190</v>
      </c>
      <c r="I3277" s="637" t="inlineStr">
        <is>
          <t>Синоп</t>
        </is>
      </c>
      <c r="J3277" s="637" t="inlineStr">
        <is>
          <t>SPB_BC_Sinop</t>
        </is>
      </c>
      <c r="K3277" s="640" t="n">
        <v>2</v>
      </c>
      <c r="L3277" s="640" t="n">
        <v>1</v>
      </c>
      <c r="M3277" s="623" t="inlineStr">
        <is>
          <t>LED/40'/верт</t>
        </is>
      </c>
      <c r="N3277" s="640" t="n"/>
      <c r="O3277" s="640">
        <f>IF(AND(N3277=1,L3277=1),K3277,"")</f>
        <v/>
      </c>
      <c r="P3277" s="642" t="inlineStr">
        <is>
          <t>Санкт-Петербург, Синопская наб, д. 22</t>
        </is>
      </c>
      <c r="Q3277" s="640" t="inlineStr">
        <is>
          <t>59.92901</t>
        </is>
      </c>
      <c r="R3277" s="494" t="inlineStr">
        <is>
          <t>30.387841</t>
        </is>
      </c>
      <c r="S3277" s="387">
        <f>'Цены|Скидки'!$E$25</f>
        <v/>
      </c>
      <c r="T3277" s="387">
        <f>IF(N3277=1,S3277*O3277,0)</f>
        <v/>
      </c>
      <c r="Z3277" s="1" t="n"/>
    </row>
    <row r="3278" hidden="1" ht="16.05" customHeight="1">
      <c r="A3278" s="125" t="n">
        <v>3956</v>
      </c>
      <c r="B3278" s="125" t="inlineStr">
        <is>
          <t>WF</t>
        </is>
      </c>
      <c r="C3278" s="130" t="inlineStr">
        <is>
          <t>Санкт-Петербург</t>
        </is>
      </c>
      <c r="D3278" s="130" t="inlineStr">
        <is>
          <t>Санкт-Петербург</t>
        </is>
      </c>
      <c r="E3278" s="130" t="inlineStr">
        <is>
          <t>A</t>
        </is>
      </c>
      <c r="F3278" s="130" t="inlineStr">
        <is>
          <t>Бизнес центр</t>
        </is>
      </c>
      <c r="G3278" s="130" t="inlineStr">
        <is>
          <t>Бизнес центр</t>
        </is>
      </c>
      <c r="H3278" s="131" t="n">
        <v>3686</v>
      </c>
      <c r="I3278" s="637" t="inlineStr">
        <is>
          <t>СЕНАТОР на Малом ПС</t>
        </is>
      </c>
      <c r="J3278" s="637" t="inlineStr">
        <is>
          <t>SPB_BC_SENATOR_na_Malom_PS</t>
        </is>
      </c>
      <c r="K3278" s="640" t="n">
        <v>1</v>
      </c>
      <c r="L3278" s="640" t="n">
        <v>1</v>
      </c>
      <c r="M3278" s="623" t="inlineStr">
        <is>
          <t>LED/32'/верт</t>
        </is>
      </c>
      <c r="N3278" s="640" t="n"/>
      <c r="O3278" s="640">
        <f>IF(AND(N3278=1,L3278=1),K3278,"")</f>
        <v/>
      </c>
      <c r="P3278" s="642" t="inlineStr">
        <is>
          <t>Санкт-Петербург, П.С. Малый проспект, д. 87</t>
        </is>
      </c>
      <c r="Q3278" s="640" t="inlineStr">
        <is>
          <t>59.966852</t>
        </is>
      </c>
      <c r="R3278" s="494" t="inlineStr">
        <is>
          <t>30.30797</t>
        </is>
      </c>
      <c r="S3278" s="387">
        <f>'Цены|Скидки'!$E$25</f>
        <v/>
      </c>
      <c r="T3278" s="387">
        <f>IF(N3278=1,S3278*O3278,0)</f>
        <v/>
      </c>
      <c r="Z3278" s="1" t="n"/>
    </row>
    <row r="3279" hidden="1" ht="16.05" customHeight="1">
      <c r="A3279" s="125" t="n">
        <v>3957</v>
      </c>
      <c r="B3279" s="125" t="inlineStr">
        <is>
          <t>WF</t>
        </is>
      </c>
      <c r="C3279" s="130" t="inlineStr">
        <is>
          <t>Санкт-Петербург</t>
        </is>
      </c>
      <c r="D3279" s="130" t="inlineStr">
        <is>
          <t>Санкт-Петербург</t>
        </is>
      </c>
      <c r="E3279" s="130" t="inlineStr">
        <is>
          <t>A</t>
        </is>
      </c>
      <c r="F3279" s="130" t="inlineStr">
        <is>
          <t>Бизнес центр</t>
        </is>
      </c>
      <c r="G3279" s="130" t="inlineStr">
        <is>
          <t>Бизнес центр</t>
        </is>
      </c>
      <c r="H3279" s="131" t="n">
        <v>16603</v>
      </c>
      <c r="I3279" s="637" t="inlineStr">
        <is>
          <t>СЕНАТОР на Чайковского</t>
        </is>
      </c>
      <c r="J3279" s="637" t="inlineStr">
        <is>
          <t>SPB_BC_SENATOR_na_Chaykovskogo</t>
        </is>
      </c>
      <c r="K3279" s="640" t="n">
        <v>2</v>
      </c>
      <c r="L3279" s="640" t="n">
        <v>1</v>
      </c>
      <c r="M3279" s="623" t="inlineStr">
        <is>
          <t>LED/32'/верт</t>
        </is>
      </c>
      <c r="N3279" s="640" t="n"/>
      <c r="O3279" s="640">
        <f>IF(AND(N3279=1,L3279=1),K3279,"")</f>
        <v/>
      </c>
      <c r="P3279" s="642" t="inlineStr">
        <is>
          <t>Санкт-Петербург, Чайковского, д. 1</t>
        </is>
      </c>
      <c r="Q3279" s="640" t="inlineStr">
        <is>
          <t>59.946432</t>
        </is>
      </c>
      <c r="R3279" s="494" t="inlineStr">
        <is>
          <t>30.340527</t>
        </is>
      </c>
      <c r="S3279" s="387">
        <f>'Цены|Скидки'!$E$25</f>
        <v/>
      </c>
      <c r="T3279" s="387">
        <f>IF(N3279=1,S3279*O3279,0)</f>
        <v/>
      </c>
      <c r="Z3279" s="1" t="n"/>
    </row>
    <row r="3280" hidden="1" ht="16.05" customHeight="1">
      <c r="A3280" s="125" t="n">
        <v>3958</v>
      </c>
      <c r="B3280" s="125" t="inlineStr">
        <is>
          <t>WF</t>
        </is>
      </c>
      <c r="C3280" s="130" t="inlineStr">
        <is>
          <t>Санкт-Петербург</t>
        </is>
      </c>
      <c r="D3280" s="130" t="inlineStr">
        <is>
          <t>Санкт-Петербург</t>
        </is>
      </c>
      <c r="E3280" s="130" t="inlineStr">
        <is>
          <t>A</t>
        </is>
      </c>
      <c r="F3280" s="130" t="inlineStr">
        <is>
          <t>Бизнес центр</t>
        </is>
      </c>
      <c r="G3280" s="130" t="inlineStr">
        <is>
          <t>Бизнес центр</t>
        </is>
      </c>
      <c r="H3280" s="131" t="n">
        <v>18464</v>
      </c>
      <c r="I3280" s="637" t="inlineStr">
        <is>
          <t>Ренессанс Pravda</t>
        </is>
      </c>
      <c r="J3280" s="637" t="inlineStr">
        <is>
          <t>SPB_BC_Renessans_Pravda</t>
        </is>
      </c>
      <c r="K3280" s="640" t="n">
        <v>2</v>
      </c>
      <c r="L3280" s="640" t="n">
        <v>1</v>
      </c>
      <c r="M3280" s="623" t="inlineStr">
        <is>
          <t>LED/32'/верт</t>
        </is>
      </c>
      <c r="N3280" s="640" t="n"/>
      <c r="O3280" s="640">
        <f>IF(AND(N3280=1,L3280=1),K3280,"")</f>
        <v/>
      </c>
      <c r="P3280" s="642" t="inlineStr">
        <is>
          <t>Санкт-Петербург, ул. Херсонская, д. 12-14</t>
        </is>
      </c>
      <c r="Q3280" s="640" t="inlineStr">
        <is>
          <t>59.928654</t>
        </is>
      </c>
      <c r="R3280" s="494" t="inlineStr">
        <is>
          <t>30.381005</t>
        </is>
      </c>
      <c r="S3280" s="387">
        <f>'Цены|Скидки'!$E$25</f>
        <v/>
      </c>
      <c r="T3280" s="387">
        <f>IF(N3280=1,S3280*O3280,0)</f>
        <v/>
      </c>
      <c r="Z3280" s="1" t="n"/>
    </row>
    <row r="3281" hidden="1" ht="16.05" customHeight="1">
      <c r="A3281" s="125" t="n">
        <v>3959</v>
      </c>
      <c r="B3281" s="125" t="inlineStr">
        <is>
          <t>WF</t>
        </is>
      </c>
      <c r="C3281" s="130" t="inlineStr">
        <is>
          <t>Санкт-Петербург</t>
        </is>
      </c>
      <c r="D3281" s="130" t="inlineStr">
        <is>
          <t>Санкт-Петербург</t>
        </is>
      </c>
      <c r="E3281" s="130" t="inlineStr">
        <is>
          <t>A</t>
        </is>
      </c>
      <c r="F3281" s="130" t="inlineStr">
        <is>
          <t>Бизнес центр</t>
        </is>
      </c>
      <c r="G3281" s="130" t="inlineStr">
        <is>
          <t>Бизнес центр</t>
        </is>
      </c>
      <c r="H3281" s="131" t="n">
        <v>8914</v>
      </c>
      <c r="I3281" s="637" t="inlineStr">
        <is>
          <t>65_Авеню</t>
        </is>
      </c>
      <c r="J3281" s="637" t="inlineStr">
        <is>
          <t>SPB_BC_65_Avenyu</t>
        </is>
      </c>
      <c r="K3281" s="640" t="n">
        <v>1</v>
      </c>
      <c r="L3281" s="640" t="n">
        <v>1</v>
      </c>
      <c r="M3281" s="623" t="inlineStr">
        <is>
          <t>LED/65'/верт</t>
        </is>
      </c>
      <c r="N3281" s="640" t="n"/>
      <c r="O3281" s="640">
        <f>IF(AND(N3281=1,L3281=1),K3281,"")</f>
        <v/>
      </c>
      <c r="P3281" s="642" t="inlineStr">
        <is>
          <t>Санкт-Петербург, П.С. Аптекарская наб, д. 20</t>
        </is>
      </c>
      <c r="Q3281" s="640" t="inlineStr">
        <is>
          <t>59.97831</t>
        </is>
      </c>
      <c r="R3281" s="494" t="inlineStr">
        <is>
          <t>30.31471</t>
        </is>
      </c>
      <c r="S3281" s="387">
        <f>'Цены|Скидки'!$E$25</f>
        <v/>
      </c>
      <c r="T3281" s="387">
        <f>IF(N3281=1,S3281*O3281,0)</f>
        <v/>
      </c>
      <c r="Z3281" s="1" t="n"/>
    </row>
    <row r="3282" hidden="1" ht="16.05" customHeight="1">
      <c r="A3282" s="125" t="n">
        <v>3960</v>
      </c>
      <c r="B3282" s="125" t="inlineStr">
        <is>
          <t>WF</t>
        </is>
      </c>
      <c r="C3282" s="130" t="inlineStr">
        <is>
          <t>Санкт-Петербург</t>
        </is>
      </c>
      <c r="D3282" s="130" t="inlineStr">
        <is>
          <t>Санкт-Петербург</t>
        </is>
      </c>
      <c r="E3282" s="130" t="inlineStr">
        <is>
          <t>A</t>
        </is>
      </c>
      <c r="F3282" s="130" t="inlineStr">
        <is>
          <t>Бизнес центр</t>
        </is>
      </c>
      <c r="G3282" s="130" t="inlineStr">
        <is>
          <t>Бизнес центр</t>
        </is>
      </c>
      <c r="H3282" s="131" t="n">
        <v>7156</v>
      </c>
      <c r="I3282" s="637" t="inlineStr">
        <is>
          <t>65_СЕНАТОР на ВО 7-я лин</t>
        </is>
      </c>
      <c r="J3282" s="637" t="inlineStr">
        <is>
          <t>SPB_BC_65_SENATOR_na_VO_7_ya_lin</t>
        </is>
      </c>
      <c r="K3282" s="640" t="n">
        <v>1</v>
      </c>
      <c r="L3282" s="640" t="n">
        <v>1</v>
      </c>
      <c r="M3282" s="623" t="inlineStr">
        <is>
          <t>LED/65'/верт</t>
        </is>
      </c>
      <c r="N3282" s="640" t="n"/>
      <c r="O3282" s="640">
        <f>IF(AND(N3282=1,L3282=1),K3282,"")</f>
        <v/>
      </c>
      <c r="P3282" s="642" t="inlineStr">
        <is>
          <t>Санкт-Петербург, В.О., 7-ая линия, д. 76, корп. 1</t>
        </is>
      </c>
      <c r="Q3282" s="640" t="inlineStr">
        <is>
          <t>59.94788</t>
        </is>
      </c>
      <c r="R3282" s="494" t="inlineStr">
        <is>
          <t>30.27262</t>
        </is>
      </c>
      <c r="S3282" s="387">
        <f>'Цены|Скидки'!$E$25</f>
        <v/>
      </c>
      <c r="T3282" s="387">
        <f>IF(N3282=1,S3282*O3282,0)</f>
        <v/>
      </c>
      <c r="Z3282" s="1" t="n"/>
    </row>
    <row r="3283" hidden="1" ht="16.05" customHeight="1">
      <c r="A3283" s="125" t="n">
        <v>3962</v>
      </c>
      <c r="B3283" s="125" t="inlineStr">
        <is>
          <t>WF</t>
        </is>
      </c>
      <c r="C3283" s="130" t="inlineStr">
        <is>
          <t>Санкт-Петербург</t>
        </is>
      </c>
      <c r="D3283" s="130" t="inlineStr">
        <is>
          <t>Санкт-Петербург</t>
        </is>
      </c>
      <c r="E3283" s="130" t="inlineStr">
        <is>
          <t>A</t>
        </is>
      </c>
      <c r="F3283" s="130" t="inlineStr">
        <is>
          <t>Бизнес центр</t>
        </is>
      </c>
      <c r="G3283" s="130" t="inlineStr">
        <is>
          <t>Бизнес центр</t>
        </is>
      </c>
      <c r="H3283" s="131" t="n">
        <v>2949</v>
      </c>
      <c r="I3283" s="637" t="inlineStr">
        <is>
          <t>65_СЕНАТОР на Малом ПС</t>
        </is>
      </c>
      <c r="J3283" s="637" t="inlineStr">
        <is>
          <t>SPB_BC_65_SENATOR_na_Malom_PS</t>
        </is>
      </c>
      <c r="K3283" s="640" t="n">
        <v>1</v>
      </c>
      <c r="L3283" s="640" t="n">
        <v>1</v>
      </c>
      <c r="M3283" s="623" t="inlineStr">
        <is>
          <t>LED/65'/верт</t>
        </is>
      </c>
      <c r="N3283" s="640" t="n"/>
      <c r="O3283" s="640">
        <f>IF(AND(N3283=1,L3283=1),K3283,"")</f>
        <v/>
      </c>
      <c r="P3283" s="642" t="inlineStr">
        <is>
          <t>Санкт-Петербург, П.С.  Малый проспект, д. 87</t>
        </is>
      </c>
      <c r="Q3283" s="640" t="inlineStr">
        <is>
          <t>59.96675</t>
        </is>
      </c>
      <c r="R3283" s="494" t="inlineStr">
        <is>
          <t>30.30762</t>
        </is>
      </c>
      <c r="S3283" s="387">
        <f>'Цены|Скидки'!$E$25</f>
        <v/>
      </c>
      <c r="T3283" s="387">
        <f>IF(N3283=1,S3283*O3283,0)</f>
        <v/>
      </c>
      <c r="Z3283" s="1" t="n"/>
    </row>
    <row r="3284" hidden="1" ht="16.05" customHeight="1">
      <c r="A3284" s="125" t="n">
        <v>3961</v>
      </c>
      <c r="B3284" s="125" t="inlineStr">
        <is>
          <t>WF</t>
        </is>
      </c>
      <c r="C3284" s="130" t="inlineStr">
        <is>
          <t>Санкт-Петербург</t>
        </is>
      </c>
      <c r="D3284" s="130" t="inlineStr">
        <is>
          <t>Санкт-Петербург</t>
        </is>
      </c>
      <c r="E3284" s="130" t="inlineStr">
        <is>
          <t>A</t>
        </is>
      </c>
      <c r="F3284" s="130" t="inlineStr">
        <is>
          <t>Бизнес центр</t>
        </is>
      </c>
      <c r="G3284" s="130" t="inlineStr">
        <is>
          <t>Бизнес центр</t>
        </is>
      </c>
      <c r="H3284" s="131" t="n">
        <v>5359</v>
      </c>
      <c r="I3284" s="637" t="inlineStr">
        <is>
          <t>65_СЕНАТОР на ВО 17-я лин</t>
        </is>
      </c>
      <c r="J3284" s="402" t="inlineStr">
        <is>
          <t>SPB_BC_*SENATOR_na_VO_17_ya_lin</t>
        </is>
      </c>
      <c r="K3284" s="640" t="n">
        <v>1</v>
      </c>
      <c r="L3284" s="640" t="n">
        <v>0</v>
      </c>
      <c r="M3284" s="640" t="inlineStr">
        <is>
          <t>ФОТО</t>
        </is>
      </c>
      <c r="N3284" s="640" t="n"/>
      <c r="O3284" s="640">
        <f>IF(AND(N3284=1,L3284=1),K3284,"")</f>
        <v/>
      </c>
      <c r="P3284" s="642" t="inlineStr">
        <is>
          <t>В.О. 17-ая линия, д. 22</t>
        </is>
      </c>
      <c r="Q3284" s="640" t="n">
        <v>59.93806</v>
      </c>
      <c r="R3284" s="422" t="n">
        <v>30.26712</v>
      </c>
      <c r="S3284" s="387" t="n">
        <v>675</v>
      </c>
      <c r="T3284" s="387">
        <f>IF(N3284=1,S3284*O3284,0)</f>
        <v/>
      </c>
      <c r="X3284" s="1" t="n"/>
      <c r="Y3284" s="1" t="n"/>
      <c r="Z3284" s="1" t="n"/>
    </row>
    <row r="3285" hidden="1" ht="16.05" customHeight="1">
      <c r="A3285" s="125" t="n">
        <v>3963</v>
      </c>
      <c r="B3285" s="125" t="inlineStr">
        <is>
          <t>WF</t>
        </is>
      </c>
      <c r="C3285" s="130" t="inlineStr">
        <is>
          <t>Санкт-Петербург</t>
        </is>
      </c>
      <c r="D3285" s="130" t="inlineStr">
        <is>
          <t>Санкт-Петербург</t>
        </is>
      </c>
      <c r="E3285" s="130" t="inlineStr">
        <is>
          <t>A</t>
        </is>
      </c>
      <c r="F3285" s="130" t="inlineStr">
        <is>
          <t>Бизнес центр</t>
        </is>
      </c>
      <c r="G3285" s="130" t="inlineStr">
        <is>
          <t>Бизнес центр</t>
        </is>
      </c>
      <c r="H3285" s="131" t="n">
        <v>13016</v>
      </c>
      <c r="I3285" s="637" t="inlineStr">
        <is>
          <t xml:space="preserve">65_СЕНАТОР на ВО 18 -я лин </t>
        </is>
      </c>
      <c r="J3285" s="637" t="inlineStr">
        <is>
          <t>SPB_BC_65_SENATOR_na_VO_18__ya_lin</t>
        </is>
      </c>
      <c r="K3285" s="640" t="n">
        <v>1</v>
      </c>
      <c r="L3285" s="640" t="n">
        <v>1</v>
      </c>
      <c r="M3285" s="623" t="inlineStr">
        <is>
          <t>LED/65'/верт</t>
        </is>
      </c>
      <c r="N3285" s="640" t="n"/>
      <c r="O3285" s="640">
        <f>IF(AND(N3285=1,L3285=1),K3285,"")</f>
        <v/>
      </c>
      <c r="P3285" s="642" t="inlineStr">
        <is>
          <t>Санкт-Петербург, В.О., 18-я линия, д. 29, лит И</t>
        </is>
      </c>
      <c r="Q3285" s="640" t="inlineStr">
        <is>
          <t>59.93774</t>
        </is>
      </c>
      <c r="R3285" s="494" t="inlineStr">
        <is>
          <t>30.26502</t>
        </is>
      </c>
      <c r="S3285" s="387">
        <f>'Цены|Скидки'!$E$25</f>
        <v/>
      </c>
      <c r="T3285" s="387">
        <f>IF(N3285=1,S3285*O3285,0)</f>
        <v/>
      </c>
      <c r="Z3285" s="1" t="n"/>
    </row>
    <row r="3286" hidden="1" ht="16.05" customHeight="1">
      <c r="A3286" s="125" t="n">
        <v>3964</v>
      </c>
      <c r="B3286" s="125" t="inlineStr">
        <is>
          <t>WF</t>
        </is>
      </c>
      <c r="C3286" s="130" t="inlineStr">
        <is>
          <t>Санкт-Петербург</t>
        </is>
      </c>
      <c r="D3286" s="130" t="inlineStr">
        <is>
          <t>Санкт-Петербург</t>
        </is>
      </c>
      <c r="E3286" s="130" t="inlineStr">
        <is>
          <t>A</t>
        </is>
      </c>
      <c r="F3286" s="130" t="inlineStr">
        <is>
          <t>Бизнес центр</t>
        </is>
      </c>
      <c r="G3286" s="130" t="inlineStr">
        <is>
          <t>Бизнес центр</t>
        </is>
      </c>
      <c r="H3286" s="131" t="n">
        <v>13293</v>
      </c>
      <c r="I3286" s="637" t="inlineStr">
        <is>
          <t>65_СЕНАТОР на Чапаева</t>
        </is>
      </c>
      <c r="J3286" s="637" t="inlineStr">
        <is>
          <t>SPB_BC_65_SENATOR_na_Chapaeva</t>
        </is>
      </c>
      <c r="K3286" s="640" t="n">
        <v>1</v>
      </c>
      <c r="L3286" s="640" t="n">
        <v>1</v>
      </c>
      <c r="M3286" s="623" t="inlineStr">
        <is>
          <t>LED/65'/верт</t>
        </is>
      </c>
      <c r="N3286" s="640" t="n"/>
      <c r="O3286" s="640">
        <f>IF(AND(N3286=1,L3286=1),K3286,"")</f>
        <v/>
      </c>
      <c r="P3286" s="642" t="inlineStr">
        <is>
          <t>Санкт-Петербург, П.С, Чапаева ул., д.15, корп. 2 B</t>
        </is>
      </c>
      <c r="Q3286" s="640" t="inlineStr">
        <is>
          <t>59.96175</t>
        </is>
      </c>
      <c r="R3286" s="494" t="inlineStr">
        <is>
          <t>30.33157</t>
        </is>
      </c>
      <c r="S3286" s="387">
        <f>'Цены|Скидки'!$E$25</f>
        <v/>
      </c>
      <c r="T3286" s="387">
        <f>IF(N3286=1,S3286*O3286,0)</f>
        <v/>
      </c>
      <c r="Z3286" s="1" t="n"/>
    </row>
    <row r="3287" hidden="1" ht="16.05" customHeight="1">
      <c r="A3287" s="125" t="n">
        <v>3965</v>
      </c>
      <c r="B3287" s="125" t="inlineStr">
        <is>
          <t>WF</t>
        </is>
      </c>
      <c r="C3287" s="130" t="inlineStr">
        <is>
          <t>Санкт-Петербург</t>
        </is>
      </c>
      <c r="D3287" s="130" t="inlineStr">
        <is>
          <t>Санкт-Петербург</t>
        </is>
      </c>
      <c r="E3287" s="130" t="inlineStr">
        <is>
          <t>A</t>
        </is>
      </c>
      <c r="F3287" s="130" t="inlineStr">
        <is>
          <t>Бизнес центр</t>
        </is>
      </c>
      <c r="G3287" s="130" t="inlineStr">
        <is>
          <t>Бизнес центр</t>
        </is>
      </c>
      <c r="H3287" s="131" t="n">
        <v>5073</v>
      </c>
      <c r="I3287" s="637" t="inlineStr">
        <is>
          <t>65_СЕНАТОР на Кропоткина</t>
        </is>
      </c>
      <c r="J3287" s="637" t="inlineStr">
        <is>
          <t>SPB_BC_65_SENATOR_na_Kropotkina</t>
        </is>
      </c>
      <c r="K3287" s="640" t="n">
        <v>1</v>
      </c>
      <c r="L3287" s="640" t="n">
        <v>1</v>
      </c>
      <c r="M3287" s="623" t="inlineStr">
        <is>
          <t>LED/65'/верт</t>
        </is>
      </c>
      <c r="N3287" s="640" t="n"/>
      <c r="O3287" s="640">
        <f>IF(AND(N3287=1,L3287=1),K3287,"")</f>
        <v/>
      </c>
      <c r="P3287" s="642" t="inlineStr">
        <is>
          <t>Санкт-Петербург, П.С., Кропоткина ул., д.1, Лит. А</t>
        </is>
      </c>
      <c r="Q3287" s="640" t="inlineStr">
        <is>
          <t>59.95929</t>
        </is>
      </c>
      <c r="R3287" s="494" t="inlineStr">
        <is>
          <t>30.31117</t>
        </is>
      </c>
      <c r="S3287" s="387">
        <f>'Цены|Скидки'!$E$25</f>
        <v/>
      </c>
      <c r="T3287" s="387">
        <f>IF(N3287=1,S3287*O3287,0)</f>
        <v/>
      </c>
      <c r="Z3287" s="1" t="n"/>
    </row>
    <row r="3288" hidden="1" ht="16.05" customHeight="1">
      <c r="A3288" s="125" t="n">
        <v>3966</v>
      </c>
      <c r="B3288" s="125" t="inlineStr">
        <is>
          <t>WF</t>
        </is>
      </c>
      <c r="C3288" s="130" t="inlineStr">
        <is>
          <t>Санкт-Петербург</t>
        </is>
      </c>
      <c r="D3288" s="130" t="inlineStr">
        <is>
          <t>Санкт-Петербург</t>
        </is>
      </c>
      <c r="E3288" s="130" t="inlineStr">
        <is>
          <t>A</t>
        </is>
      </c>
      <c r="F3288" s="130" t="inlineStr">
        <is>
          <t>Бизнес центр</t>
        </is>
      </c>
      <c r="G3288" s="130" t="inlineStr">
        <is>
          <t>Бизнес центр</t>
        </is>
      </c>
      <c r="H3288" s="131" t="n">
        <v>6620</v>
      </c>
      <c r="I3288" s="637" t="inlineStr">
        <is>
          <t>65_СЕНАТОР Ткачи</t>
        </is>
      </c>
      <c r="J3288" s="637" t="inlineStr">
        <is>
          <t>SPB_BC_65_SENATOR_Tkachi</t>
        </is>
      </c>
      <c r="K3288" s="640" t="n">
        <v>1</v>
      </c>
      <c r="L3288" s="640" t="n">
        <v>1</v>
      </c>
      <c r="M3288" s="623" t="inlineStr">
        <is>
          <t>LED/65'/верт</t>
        </is>
      </c>
      <c r="N3288" s="640" t="n"/>
      <c r="O3288" s="640">
        <f>IF(AND(N3288=1,L3288=1),K3288,"")</f>
        <v/>
      </c>
      <c r="P3288" s="642" t="inlineStr">
        <is>
          <t>Санкт-Петербург, наб. Одводного канала, д. 60</t>
        </is>
      </c>
      <c r="Q3288" s="640" t="inlineStr">
        <is>
          <t>59.9154054</t>
        </is>
      </c>
      <c r="R3288" s="494" t="inlineStr">
        <is>
          <t>30.3421042</t>
        </is>
      </c>
      <c r="S3288" s="387">
        <f>'Цены|Скидки'!$E$25</f>
        <v/>
      </c>
      <c r="T3288" s="387">
        <f>IF(N3288=1,S3288*O3288,0)</f>
        <v/>
      </c>
      <c r="Z3288" s="1" t="n"/>
    </row>
    <row r="3289" hidden="1" ht="16.05" customHeight="1">
      <c r="A3289" s="125" t="n">
        <v>3967</v>
      </c>
      <c r="B3289" s="125" t="inlineStr">
        <is>
          <t>WF</t>
        </is>
      </c>
      <c r="C3289" s="130" t="inlineStr">
        <is>
          <t>Санкт-Петербург</t>
        </is>
      </c>
      <c r="D3289" s="130" t="inlineStr">
        <is>
          <t>Санкт-Петербург</t>
        </is>
      </c>
      <c r="E3289" s="130" t="inlineStr">
        <is>
          <t>A</t>
        </is>
      </c>
      <c r="F3289" s="130" t="inlineStr">
        <is>
          <t>Бизнес центр</t>
        </is>
      </c>
      <c r="G3289" s="130" t="inlineStr">
        <is>
          <t>Бизнес центр</t>
        </is>
      </c>
      <c r="H3289" s="131" t="n">
        <v>6585</v>
      </c>
      <c r="I3289" s="637" t="inlineStr">
        <is>
          <t>65_СЕНАТОР Невский 38</t>
        </is>
      </c>
      <c r="J3289" s="637" t="inlineStr">
        <is>
          <t>SPB_BC_65_SENATOR_Nevskiy_38</t>
        </is>
      </c>
      <c r="K3289" s="640" t="n">
        <v>1</v>
      </c>
      <c r="L3289" s="640" t="n">
        <v>1</v>
      </c>
      <c r="M3289" s="623" t="inlineStr">
        <is>
          <t>LED/65'/верт</t>
        </is>
      </c>
      <c r="N3289" s="640" t="n"/>
      <c r="O3289" s="640">
        <f>IF(AND(N3289=1,L3289=1),K3289,"")</f>
        <v/>
      </c>
      <c r="P3289" s="642" t="inlineStr">
        <is>
          <t>Санкт-Петербург, Невский просп., д. 38</t>
        </is>
      </c>
      <c r="Q3289" s="640" t="inlineStr">
        <is>
          <t>59.93501</t>
        </is>
      </c>
      <c r="R3289" s="494" t="inlineStr">
        <is>
          <t>30.3312</t>
        </is>
      </c>
      <c r="S3289" s="387">
        <f>'Цены|Скидки'!$E$25</f>
        <v/>
      </c>
      <c r="T3289" s="387">
        <f>IF(N3289=1,S3289*O3289,0)</f>
        <v/>
      </c>
      <c r="Z3289" s="1" t="n"/>
    </row>
    <row r="3290" hidden="1" ht="16.05" customHeight="1">
      <c r="A3290" s="125" t="n">
        <v>3968</v>
      </c>
      <c r="B3290" s="125" t="inlineStr">
        <is>
          <t>WF</t>
        </is>
      </c>
      <c r="C3290" s="130" t="inlineStr">
        <is>
          <t>Санкт-Петербург</t>
        </is>
      </c>
      <c r="D3290" s="130" t="inlineStr">
        <is>
          <t>Санкт-Петербург</t>
        </is>
      </c>
      <c r="E3290" s="130" t="inlineStr">
        <is>
          <t>A</t>
        </is>
      </c>
      <c r="F3290" s="130" t="inlineStr">
        <is>
          <t>Бизнес центр</t>
        </is>
      </c>
      <c r="G3290" s="130" t="inlineStr">
        <is>
          <t>Бизнес центр</t>
        </is>
      </c>
      <c r="H3290" s="131" t="n">
        <v>4413</v>
      </c>
      <c r="I3290" s="637" t="inlineStr">
        <is>
          <t>65_СЕНАТОР на Мойке</t>
        </is>
      </c>
      <c r="J3290" s="637" t="inlineStr">
        <is>
          <t>SPB_BC_65_SENATOR na_Moyke</t>
        </is>
      </c>
      <c r="K3290" s="640" t="n">
        <v>1</v>
      </c>
      <c r="L3290" s="640" t="n">
        <v>1</v>
      </c>
      <c r="M3290" s="623" t="inlineStr">
        <is>
          <t>LED/65'/верт</t>
        </is>
      </c>
      <c r="N3290" s="640" t="n"/>
      <c r="O3290" s="640">
        <f>IF(AND(N3290=1,L3290=1),K3290,"")</f>
        <v/>
      </c>
      <c r="P3290" s="642" t="inlineStr">
        <is>
          <t>Санкт-Петербург, наб. реки Мойки, д. 36</t>
        </is>
      </c>
      <c r="Q3290" s="640" t="inlineStr">
        <is>
          <t>59.9379</t>
        </is>
      </c>
      <c r="R3290" s="494" t="inlineStr">
        <is>
          <t>30.3203</t>
        </is>
      </c>
      <c r="S3290" s="387">
        <f>'Цены|Скидки'!$E$25</f>
        <v/>
      </c>
      <c r="T3290" s="387">
        <f>IF(N3290=1,S3290*O3290,0)</f>
        <v/>
      </c>
      <c r="Z3290" s="1" t="n"/>
    </row>
    <row r="3291" hidden="1" ht="16.05" customHeight="1">
      <c r="A3291" s="125" t="n">
        <v>3969</v>
      </c>
      <c r="B3291" s="125" t="inlineStr">
        <is>
          <t>WF</t>
        </is>
      </c>
      <c r="C3291" s="130" t="inlineStr">
        <is>
          <t>Санкт-Петербург</t>
        </is>
      </c>
      <c r="D3291" s="130" t="inlineStr">
        <is>
          <t>Санкт-Петербург</t>
        </is>
      </c>
      <c r="E3291" s="130" t="inlineStr">
        <is>
          <t>A</t>
        </is>
      </c>
      <c r="F3291" s="130" t="inlineStr">
        <is>
          <t>Бизнес центр</t>
        </is>
      </c>
      <c r="G3291" s="130" t="inlineStr">
        <is>
          <t>Бизнес центр</t>
        </is>
      </c>
      <c r="H3291" s="131" t="n">
        <v>3245</v>
      </c>
      <c r="I3291" s="637" t="inlineStr">
        <is>
          <t>65_СЕНАТОР на Советской</t>
        </is>
      </c>
      <c r="J3291" s="637" t="inlineStr">
        <is>
          <t>SPB_BC_65_SENATOR_na_Sovetskoy</t>
        </is>
      </c>
      <c r="K3291" s="640" t="n">
        <v>1</v>
      </c>
      <c r="L3291" s="640" t="n">
        <v>1</v>
      </c>
      <c r="M3291" s="623" t="inlineStr">
        <is>
          <t>LED/65'/верт</t>
        </is>
      </c>
      <c r="N3291" s="640" t="n"/>
      <c r="O3291" s="640">
        <f>IF(AND(N3291=1,L3291=1),K3291,"")</f>
        <v/>
      </c>
      <c r="P3291" s="642" t="inlineStr">
        <is>
          <t>Санкт-Петербург, 2-ая Советская, д. 7, корп. 1</t>
        </is>
      </c>
      <c r="Q3291" s="640" t="inlineStr">
        <is>
          <t>59.93235</t>
        </is>
      </c>
      <c r="R3291" s="494" t="inlineStr">
        <is>
          <t>30.3659</t>
        </is>
      </c>
      <c r="S3291" s="387">
        <f>'Цены|Скидки'!$E$25</f>
        <v/>
      </c>
      <c r="T3291" s="387">
        <f>IF(N3291=1,S3291*O3291,0)</f>
        <v/>
      </c>
      <c r="Z3291" s="1" t="n"/>
    </row>
    <row r="3292" hidden="1" ht="16.05" customHeight="1">
      <c r="A3292" s="125" t="n">
        <v>3970</v>
      </c>
      <c r="B3292" s="125" t="inlineStr">
        <is>
          <t>WF</t>
        </is>
      </c>
      <c r="C3292" s="130" t="inlineStr">
        <is>
          <t>Санкт-Петербург</t>
        </is>
      </c>
      <c r="D3292" s="130" t="inlineStr">
        <is>
          <t>Санкт-Петербург</t>
        </is>
      </c>
      <c r="E3292" s="130" t="inlineStr">
        <is>
          <t>A</t>
        </is>
      </c>
      <c r="F3292" s="130" t="inlineStr">
        <is>
          <t>Бизнес центр</t>
        </is>
      </c>
      <c r="G3292" s="130" t="inlineStr">
        <is>
          <t>Бизнес центр</t>
        </is>
      </c>
      <c r="H3292" s="131" t="n">
        <v>4179</v>
      </c>
      <c r="I3292" s="637" t="inlineStr">
        <is>
          <t>65_СЕНАТОР на Чайковского</t>
        </is>
      </c>
      <c r="J3292" s="637" t="inlineStr">
        <is>
          <t>SPB_BC_65_SENATOR_na_Chaykovskogo</t>
        </is>
      </c>
      <c r="K3292" s="640" t="n">
        <v>1</v>
      </c>
      <c r="L3292" s="640" t="n">
        <v>1</v>
      </c>
      <c r="M3292" s="623" t="inlineStr">
        <is>
          <t>LED/65'/верт</t>
        </is>
      </c>
      <c r="N3292" s="640" t="n"/>
      <c r="O3292" s="640">
        <f>IF(AND(N3292=1,L3292=1),K3292,"")</f>
        <v/>
      </c>
      <c r="P3292" s="642" t="inlineStr">
        <is>
          <t>Санкт-Петербург, ул. Чайковского, д. 1</t>
        </is>
      </c>
      <c r="Q3292" s="640" t="inlineStr">
        <is>
          <t>59.94644</t>
        </is>
      </c>
      <c r="R3292" s="494" t="inlineStr">
        <is>
          <t>30.33978</t>
        </is>
      </c>
      <c r="S3292" s="387">
        <f>'Цены|Скидки'!$E$25</f>
        <v/>
      </c>
      <c r="T3292" s="387">
        <f>IF(N3292=1,S3292*O3292,0)</f>
        <v/>
      </c>
      <c r="Z3292" s="1" t="n"/>
    </row>
    <row r="3293" hidden="1" ht="16.05" customHeight="1">
      <c r="A3293" s="125" t="n">
        <v>3971</v>
      </c>
      <c r="B3293" s="125" t="inlineStr">
        <is>
          <t>WF</t>
        </is>
      </c>
      <c r="C3293" s="130" t="inlineStr">
        <is>
          <t>Санкт-Петербург</t>
        </is>
      </c>
      <c r="D3293" s="130" t="inlineStr">
        <is>
          <t>Санкт-Петербург</t>
        </is>
      </c>
      <c r="E3293" s="130" t="inlineStr">
        <is>
          <t>A</t>
        </is>
      </c>
      <c r="F3293" s="130" t="inlineStr">
        <is>
          <t>Бизнес центр</t>
        </is>
      </c>
      <c r="G3293" s="130" t="inlineStr">
        <is>
          <t>Бизнес центр</t>
        </is>
      </c>
      <c r="H3293" s="131" t="n">
        <v>10552</v>
      </c>
      <c r="I3293" s="637" t="inlineStr">
        <is>
          <t>65_Синоп</t>
        </is>
      </c>
      <c r="J3293" s="637" t="inlineStr">
        <is>
          <t>SPB_BC_65_Sinop</t>
        </is>
      </c>
      <c r="K3293" s="640" t="n">
        <v>1</v>
      </c>
      <c r="L3293" s="640" t="n">
        <v>1</v>
      </c>
      <c r="M3293" s="623" t="inlineStr">
        <is>
          <t>LED/65'/верт</t>
        </is>
      </c>
      <c r="N3293" s="640" t="n"/>
      <c r="O3293" s="640">
        <f>IF(AND(N3293=1,L3293=1),K3293,"")</f>
        <v/>
      </c>
      <c r="P3293" s="642" t="inlineStr">
        <is>
          <t>Санкт-Петербург, Синипоская наб, д. 22</t>
        </is>
      </c>
      <c r="Q3293" s="640" t="inlineStr">
        <is>
          <t>59.92903</t>
        </is>
      </c>
      <c r="R3293" s="494" t="inlineStr">
        <is>
          <t>30.38772</t>
        </is>
      </c>
      <c r="S3293" s="387">
        <f>'Цены|Скидки'!$E$25</f>
        <v/>
      </c>
      <c r="T3293" s="387">
        <f>IF(N3293=1,S3293*O3293,0)</f>
        <v/>
      </c>
      <c r="Z3293" s="1" t="n"/>
    </row>
    <row r="3294" hidden="1" ht="16.05" customHeight="1">
      <c r="A3294" s="125" t="n">
        <v>3972</v>
      </c>
      <c r="B3294" s="125" t="inlineStr">
        <is>
          <t>WF</t>
        </is>
      </c>
      <c r="C3294" s="130" t="inlineStr">
        <is>
          <t>Санкт-Петербург</t>
        </is>
      </c>
      <c r="D3294" s="130" t="inlineStr">
        <is>
          <t>Санкт-Петербург</t>
        </is>
      </c>
      <c r="E3294" s="130" t="inlineStr">
        <is>
          <t>A</t>
        </is>
      </c>
      <c r="F3294" s="130" t="inlineStr">
        <is>
          <t>Бизнес центр</t>
        </is>
      </c>
      <c r="G3294" s="130" t="inlineStr">
        <is>
          <t>Бизнес центр</t>
        </is>
      </c>
      <c r="H3294" s="131" t="n">
        <v>6562</v>
      </c>
      <c r="I3294" s="637" t="inlineStr">
        <is>
          <t>65_Пономарев центр</t>
        </is>
      </c>
      <c r="J3294" s="637" t="inlineStr">
        <is>
          <t>SPB_BC_65_Ponomarev_tsentr</t>
        </is>
      </c>
      <c r="K3294" s="640" t="n">
        <v>1</v>
      </c>
      <c r="L3294" s="640" t="n">
        <v>1</v>
      </c>
      <c r="M3294" s="623" t="inlineStr">
        <is>
          <t>LED/65'/верт</t>
        </is>
      </c>
      <c r="N3294" s="640" t="n"/>
      <c r="O3294" s="640">
        <f>IF(AND(N3294=1,L3294=1),K3294,"")</f>
        <v/>
      </c>
      <c r="P3294" s="642" t="inlineStr">
        <is>
          <t>Санкт-Петербург, ул. Малая Морская, д. 18</t>
        </is>
      </c>
      <c r="Q3294" s="640" t="inlineStr">
        <is>
          <t>59.93442</t>
        </is>
      </c>
      <c r="R3294" s="494" t="inlineStr">
        <is>
          <t>30.31012</t>
        </is>
      </c>
      <c r="S3294" s="387">
        <f>'Цены|Скидки'!$E$25</f>
        <v/>
      </c>
      <c r="T3294" s="387">
        <f>IF(N3294=1,S3294*O3294,0)</f>
        <v/>
      </c>
      <c r="Z3294" s="1" t="n"/>
    </row>
    <row r="3295" hidden="1" ht="16.05" customHeight="1">
      <c r="A3295" s="125" t="n">
        <v>3973</v>
      </c>
      <c r="B3295" s="125" t="inlineStr">
        <is>
          <t>WF</t>
        </is>
      </c>
      <c r="C3295" s="130" t="inlineStr">
        <is>
          <t>Санкт-Петербург</t>
        </is>
      </c>
      <c r="D3295" s="130" t="inlineStr">
        <is>
          <t>Санкт-Петербург</t>
        </is>
      </c>
      <c r="E3295" s="130" t="inlineStr">
        <is>
          <t>A</t>
        </is>
      </c>
      <c r="F3295" s="130" t="inlineStr">
        <is>
          <t>Бизнес центр</t>
        </is>
      </c>
      <c r="G3295" s="130" t="inlineStr">
        <is>
          <t>Бизнес центр</t>
        </is>
      </c>
      <c r="H3295" s="131" t="n">
        <v>18637</v>
      </c>
      <c r="I3295" s="637" t="inlineStr">
        <is>
          <t>65_Бенуа</t>
        </is>
      </c>
      <c r="J3295" s="637" t="inlineStr">
        <is>
          <t>SPB_BC_65_Benua</t>
        </is>
      </c>
      <c r="K3295" s="640" t="n">
        <v>1</v>
      </c>
      <c r="L3295" s="640" t="n">
        <v>1</v>
      </c>
      <c r="M3295" s="623" t="inlineStr">
        <is>
          <t>LED/65'/верт</t>
        </is>
      </c>
      <c r="N3295" s="640" t="n"/>
      <c r="O3295" s="640">
        <f>IF(AND(N3295=1,L3295=1),K3295,"")</f>
        <v/>
      </c>
      <c r="P3295" s="642" t="inlineStr">
        <is>
          <t>Санкт-Петербург, Пискаревский пр., д. 2</t>
        </is>
      </c>
      <c r="Q3295" s="640" t="inlineStr">
        <is>
          <t>59.9591504</t>
        </is>
      </c>
      <c r="R3295" s="494" t="inlineStr">
        <is>
          <t>30.4061639</t>
        </is>
      </c>
      <c r="S3295" s="387">
        <f>'Цены|Скидки'!$E$25</f>
        <v/>
      </c>
      <c r="T3295" s="387">
        <f>IF(N3295=1,S3295*O3295,0)</f>
        <v/>
      </c>
      <c r="Z3295" s="1" t="n"/>
    </row>
    <row r="3296" hidden="1" ht="16.05" customHeight="1">
      <c r="A3296" s="125" t="n">
        <v>3974</v>
      </c>
      <c r="B3296" s="125" t="inlineStr">
        <is>
          <t>WF</t>
        </is>
      </c>
      <c r="C3296" s="130" t="inlineStr">
        <is>
          <t>Санкт-Петербург</t>
        </is>
      </c>
      <c r="D3296" s="130" t="inlineStr">
        <is>
          <t>Санкт-Петербург</t>
        </is>
      </c>
      <c r="E3296" s="130" t="inlineStr">
        <is>
          <t>B+</t>
        </is>
      </c>
      <c r="F3296" s="130" t="inlineStr">
        <is>
          <t>Бизнес центр</t>
        </is>
      </c>
      <c r="G3296" s="130" t="inlineStr">
        <is>
          <t>Бизнес центр</t>
        </is>
      </c>
      <c r="H3296" s="131" t="n">
        <v>3018</v>
      </c>
      <c r="I3296" s="637" t="inlineStr">
        <is>
          <t>Александр Невский</t>
        </is>
      </c>
      <c r="J3296" s="637" t="inlineStr">
        <is>
          <t>SPB_BC_Aleksandr_Nevskiy</t>
        </is>
      </c>
      <c r="K3296" s="640" t="n">
        <v>1</v>
      </c>
      <c r="L3296" s="640" t="n">
        <v>1</v>
      </c>
      <c r="M3296" s="623" t="inlineStr">
        <is>
          <t>LED/32'/верт</t>
        </is>
      </c>
      <c r="N3296" s="640" t="n"/>
      <c r="O3296" s="640">
        <f>IF(AND(N3296=1,L3296=1),K3296,"")</f>
        <v/>
      </c>
      <c r="P3296" s="642" t="inlineStr">
        <is>
          <t>Санкт-Петербург, Малоохтинский просп., д. 61А</t>
        </is>
      </c>
      <c r="Q3296" s="640" t="inlineStr">
        <is>
          <t>59.929925</t>
        </is>
      </c>
      <c r="R3296" s="494" t="inlineStr">
        <is>
          <t>30.399914</t>
        </is>
      </c>
      <c r="S3296" s="387">
        <f>'Цены|Скидки'!$E$25</f>
        <v/>
      </c>
      <c r="T3296" s="387">
        <f>IF(N3296=1,S3296*O3296,0)</f>
        <v/>
      </c>
      <c r="Z3296" s="1" t="n"/>
    </row>
    <row r="3297" hidden="1" ht="16.05" customHeight="1">
      <c r="A3297" s="125" t="n">
        <v>3980</v>
      </c>
      <c r="B3297" s="791" t="n"/>
      <c r="C3297" s="130" t="inlineStr">
        <is>
          <t>Москва</t>
        </is>
      </c>
      <c r="D3297" s="130" t="inlineStr">
        <is>
          <t>Москва</t>
        </is>
      </c>
      <c r="E3297" s="130" t="n"/>
      <c r="F3297" s="130" t="inlineStr">
        <is>
          <t>ТРЦ</t>
        </is>
      </c>
      <c r="G3297" s="130" t="inlineStr">
        <is>
          <t>ТРЦ</t>
        </is>
      </c>
      <c r="H3297" s="131" t="n">
        <v>73770</v>
      </c>
      <c r="I3297" s="637" t="inlineStr">
        <is>
          <t xml:space="preserve">Афимолл Сити </t>
        </is>
      </c>
      <c r="J3297" s="637" t="inlineStr">
        <is>
          <t>MSK_TRC_Afimoll_Siti_1</t>
        </is>
      </c>
      <c r="K3297" s="640" t="n">
        <v>1</v>
      </c>
      <c r="L3297" s="640" t="n">
        <v>0</v>
      </c>
      <c r="M3297" s="640" t="inlineStr">
        <is>
          <t>4,86x2,74</t>
        </is>
      </c>
      <c r="N3297" s="640" t="n"/>
      <c r="O3297" s="640">
        <f>IF(AND(N3297=1,L3297=1),K3297,"")</f>
        <v/>
      </c>
      <c r="P3297" s="642" t="inlineStr">
        <is>
          <t>г. Москва, Пресненская набережная, 2</t>
        </is>
      </c>
      <c r="Q3297" s="640" t="inlineStr">
        <is>
          <t>55.749157</t>
        </is>
      </c>
      <c r="R3297" s="494" t="inlineStr">
        <is>
          <t>37.539742</t>
        </is>
      </c>
      <c r="S3297" s="387" t="n">
        <v>4118.4</v>
      </c>
      <c r="T3297" s="387">
        <f>N3297*S3297</f>
        <v/>
      </c>
      <c r="Z3297" s="1" t="n"/>
    </row>
    <row r="3298" hidden="1" ht="16.05" customHeight="1">
      <c r="A3298" s="125" t="n">
        <v>3975</v>
      </c>
      <c r="C3298" s="130" t="inlineStr">
        <is>
          <t>Москва</t>
        </is>
      </c>
      <c r="D3298" s="130" t="inlineStr">
        <is>
          <t>Москва</t>
        </is>
      </c>
      <c r="E3298" s="130" t="n"/>
      <c r="F3298" s="130" t="inlineStr">
        <is>
          <t>ТРЦ</t>
        </is>
      </c>
      <c r="G3298" s="130" t="inlineStr">
        <is>
          <t>ТРЦ</t>
        </is>
      </c>
      <c r="H3298" s="131" t="n">
        <v>26109</v>
      </c>
      <c r="I3298" s="637" t="inlineStr">
        <is>
          <t xml:space="preserve">Л-153 </t>
        </is>
      </c>
      <c r="J3298" s="637" t="inlineStr">
        <is>
          <t>MSK_TRC_L-153_1</t>
        </is>
      </c>
      <c r="K3298" s="640" t="n">
        <v>1</v>
      </c>
      <c r="L3298" s="640" t="n">
        <v>0</v>
      </c>
      <c r="M3298" s="640" t="inlineStr">
        <is>
          <t>2,74 Х 1,58</t>
        </is>
      </c>
      <c r="N3298" s="640" t="n"/>
      <c r="O3298" s="640">
        <f>IF(AND(N3298=1,L3298=1),K3298,"")</f>
        <v/>
      </c>
      <c r="P3298" s="642" t="inlineStr">
        <is>
          <t>г. Москва, Люблинская ,153</t>
        </is>
      </c>
      <c r="Q3298" s="640" t="inlineStr">
        <is>
          <t>55.658835</t>
        </is>
      </c>
      <c r="R3298" s="422" t="inlineStr">
        <is>
          <t>37.741908</t>
        </is>
      </c>
      <c r="S3298" s="387" t="n">
        <v>697.3199999999998</v>
      </c>
      <c r="T3298" s="387">
        <f>N3298*S3298</f>
        <v/>
      </c>
      <c r="X3298" s="1" t="n"/>
      <c r="Y3298" s="1" t="n"/>
      <c r="Z3298" s="1" t="n"/>
    </row>
    <row r="3299" hidden="1" ht="16.05" customHeight="1">
      <c r="A3299" s="125" t="n">
        <v>3976</v>
      </c>
      <c r="B3299" s="791" t="n"/>
      <c r="C3299" s="130" t="inlineStr">
        <is>
          <t>Москва</t>
        </is>
      </c>
      <c r="D3299" s="130" t="inlineStr">
        <is>
          <t>Москва</t>
        </is>
      </c>
      <c r="E3299" s="130" t="n"/>
      <c r="F3299" s="130" t="inlineStr">
        <is>
          <t>ТРЦ</t>
        </is>
      </c>
      <c r="G3299" s="130" t="inlineStr">
        <is>
          <t>ТРЦ</t>
        </is>
      </c>
      <c r="H3299" s="131" t="n">
        <v>10549</v>
      </c>
      <c r="I3299" s="637" t="inlineStr">
        <is>
          <t xml:space="preserve">XL </t>
        </is>
      </c>
      <c r="J3299" s="637" t="inlineStr">
        <is>
          <t>MSK_TRC_XL_1</t>
        </is>
      </c>
      <c r="K3299" s="640" t="n">
        <v>1</v>
      </c>
      <c r="L3299" s="640" t="n">
        <v>0</v>
      </c>
      <c r="M3299" s="640" t="inlineStr">
        <is>
          <t>2,74 Х 1,58</t>
        </is>
      </c>
      <c r="N3299" s="640" t="n"/>
      <c r="O3299" s="640">
        <f>IF(AND(N3299=1,L3299=1),K3299,"")</f>
        <v/>
      </c>
      <c r="P3299" s="642" t="inlineStr">
        <is>
          <t>г. Москва, Дмитровское шоссе, 89</t>
        </is>
      </c>
      <c r="Q3299" s="640" t="inlineStr">
        <is>
          <t>55.863833</t>
        </is>
      </c>
      <c r="R3299" s="422" t="inlineStr">
        <is>
          <t>37.545581</t>
        </is>
      </c>
      <c r="S3299" s="387" t="n">
        <v>697.3199999999998</v>
      </c>
      <c r="T3299" s="387">
        <f>N3299*S3299</f>
        <v/>
      </c>
      <c r="X3299" s="1" t="n"/>
      <c r="Y3299" s="1" t="n"/>
      <c r="Z3299" s="1" t="n"/>
    </row>
    <row r="3300" hidden="1" ht="16.05" customHeight="1">
      <c r="A3300" s="125" t="n">
        <v>3977</v>
      </c>
      <c r="C3300" s="130" t="inlineStr">
        <is>
          <t>Москва</t>
        </is>
      </c>
      <c r="D3300" s="130" t="inlineStr">
        <is>
          <t>Московская область</t>
        </is>
      </c>
      <c r="E3300" s="130" t="n"/>
      <c r="F3300" s="130" t="inlineStr">
        <is>
          <t>ТРЦ</t>
        </is>
      </c>
      <c r="G3300" s="130" t="inlineStr">
        <is>
          <t>ТРЦ</t>
        </is>
      </c>
      <c r="H3300" s="131" t="n">
        <v>16545</v>
      </c>
      <c r="I3300" s="637" t="inlineStr">
        <is>
          <t xml:space="preserve">Весна </t>
        </is>
      </c>
      <c r="J3300" s="637" t="inlineStr">
        <is>
          <t>MSK_TRC_Vesna_1</t>
        </is>
      </c>
      <c r="K3300" s="640" t="n">
        <v>1</v>
      </c>
      <c r="L3300" s="640" t="n">
        <v>0</v>
      </c>
      <c r="M3300" s="640" t="inlineStr">
        <is>
          <t>2,74 Х 1,58</t>
        </is>
      </c>
      <c r="N3300" s="640" t="n"/>
      <c r="O3300" s="640">
        <f>IF(AND(N3300=1,L3300=1),K3300,"")</f>
        <v/>
      </c>
      <c r="P3300" s="642" t="inlineStr">
        <is>
          <t>г. Лыткарино, ул. Парковая, 2</t>
        </is>
      </c>
      <c r="Q3300" s="640" t="inlineStr">
        <is>
          <t>55.582014</t>
        </is>
      </c>
      <c r="R3300" s="422" t="inlineStr">
        <is>
          <t>37.91222</t>
        </is>
      </c>
      <c r="S3300" s="387" t="n">
        <v>697.3199999999998</v>
      </c>
      <c r="T3300" s="387">
        <f>N3300*S3300</f>
        <v/>
      </c>
      <c r="X3300" s="1" t="n"/>
      <c r="Y3300" s="1" t="n"/>
      <c r="Z3300" s="1" t="n"/>
    </row>
    <row r="3301" hidden="1" ht="16.05" customHeight="1">
      <c r="A3301" s="125" t="n">
        <v>3978</v>
      </c>
      <c r="B3301" s="791" t="n"/>
      <c r="C3301" s="130" t="inlineStr">
        <is>
          <t>Москва</t>
        </is>
      </c>
      <c r="D3301" s="130" t="inlineStr">
        <is>
          <t>Московская область</t>
        </is>
      </c>
      <c r="E3301" s="130" t="n"/>
      <c r="F3301" s="130" t="inlineStr">
        <is>
          <t>ТРЦ</t>
        </is>
      </c>
      <c r="G3301" s="130" t="inlineStr">
        <is>
          <t>ТРЦ</t>
        </is>
      </c>
      <c r="H3301" s="131" t="n">
        <v>16545</v>
      </c>
      <c r="I3301" s="637" t="inlineStr">
        <is>
          <t xml:space="preserve">Весна </t>
        </is>
      </c>
      <c r="J3301" s="637" t="inlineStr">
        <is>
          <t>MSK_TRC_Vesna_2</t>
        </is>
      </c>
      <c r="K3301" s="640" t="n">
        <v>1</v>
      </c>
      <c r="L3301" s="640" t="n">
        <v>0</v>
      </c>
      <c r="M3301" s="640" t="inlineStr">
        <is>
          <t>2,74 Х 1,58</t>
        </is>
      </c>
      <c r="N3301" s="640" t="n"/>
      <c r="O3301" s="640">
        <f>IF(AND(N3301=1,L3301=1),K3301,"")</f>
        <v/>
      </c>
      <c r="P3301" s="642" t="inlineStr">
        <is>
          <t>г. Лыткарино, ул. Парковая, 2</t>
        </is>
      </c>
      <c r="Q3301" s="640" t="inlineStr">
        <is>
          <t>55.582014</t>
        </is>
      </c>
      <c r="R3301" s="422" t="inlineStr">
        <is>
          <t>37.91222</t>
        </is>
      </c>
      <c r="S3301" s="387" t="n">
        <v>697.3199999999998</v>
      </c>
      <c r="T3301" s="387">
        <f>N3301*S3301</f>
        <v/>
      </c>
      <c r="X3301" s="1" t="n"/>
      <c r="Y3301" s="1" t="n"/>
      <c r="Z3301" s="1" t="n"/>
    </row>
    <row r="3302" hidden="1" ht="16.05" customHeight="1">
      <c r="A3302" s="125" t="n">
        <v>3979</v>
      </c>
      <c r="C3302" s="130" t="inlineStr">
        <is>
          <t>Москва</t>
        </is>
      </c>
      <c r="D3302" s="130" t="inlineStr">
        <is>
          <t>Московская область</t>
        </is>
      </c>
      <c r="E3302" s="130" t="n"/>
      <c r="F3302" s="130" t="inlineStr">
        <is>
          <t>ТРЦ</t>
        </is>
      </c>
      <c r="G3302" s="130" t="inlineStr">
        <is>
          <t>ТРЦ</t>
        </is>
      </c>
      <c r="H3302" s="131" t="n">
        <v>13138</v>
      </c>
      <c r="I3302" s="637" t="inlineStr">
        <is>
          <t xml:space="preserve">Эдельвейс </t>
        </is>
      </c>
      <c r="J3302" s="637" t="inlineStr">
        <is>
          <t>MSK_TRC_Edelveys_1</t>
        </is>
      </c>
      <c r="K3302" s="640" t="n">
        <v>1</v>
      </c>
      <c r="L3302" s="640" t="n">
        <v>0</v>
      </c>
      <c r="M3302" s="640" t="inlineStr">
        <is>
          <t>2,05 Х 1,16</t>
        </is>
      </c>
      <c r="N3302" s="640" t="n"/>
      <c r="O3302" s="640">
        <f>IF(AND(N3302=1,L3302=1),K3302,"")</f>
        <v/>
      </c>
      <c r="P3302" s="642" t="inlineStr">
        <is>
          <t>г. Железнодорожный, ул. Советская, 9</t>
        </is>
      </c>
      <c r="Q3302" s="640" t="inlineStr">
        <is>
          <t>55.751624</t>
        </is>
      </c>
      <c r="R3302" s="422" t="inlineStr">
        <is>
          <t>38.012274</t>
        </is>
      </c>
      <c r="S3302" s="387" t="n">
        <v>697.3199999999998</v>
      </c>
      <c r="T3302" s="387">
        <f>N3302*S3302</f>
        <v/>
      </c>
      <c r="X3302" s="1" t="n"/>
      <c r="Y3302" s="1" t="n"/>
      <c r="Z3302" s="1" t="n"/>
    </row>
    <row r="3303" hidden="1" ht="16.05" customHeight="1">
      <c r="A3303" s="125" t="n">
        <v>3981</v>
      </c>
      <c r="B3303" s="791" t="n"/>
      <c r="C3303" s="130" t="inlineStr">
        <is>
          <t>Москва</t>
        </is>
      </c>
      <c r="D3303" s="130" t="inlineStr">
        <is>
          <t>Москва</t>
        </is>
      </c>
      <c r="E3303" s="130" t="n"/>
      <c r="F3303" s="130" t="inlineStr">
        <is>
          <t>ТРЦ</t>
        </is>
      </c>
      <c r="G3303" s="130" t="inlineStr">
        <is>
          <t>ТРЦ</t>
        </is>
      </c>
      <c r="H3303" s="131" t="n">
        <v>73770</v>
      </c>
      <c r="I3303" s="637" t="inlineStr">
        <is>
          <t xml:space="preserve">Афимолл Сити </t>
        </is>
      </c>
      <c r="J3303" s="637" t="inlineStr">
        <is>
          <t>MSK_TRC_Afimoll_Siti_2</t>
        </is>
      </c>
      <c r="K3303" s="640" t="n">
        <v>1</v>
      </c>
      <c r="L3303" s="640" t="n">
        <v>0</v>
      </c>
      <c r="M3303" s="640" t="inlineStr">
        <is>
          <t>4,86x2,74</t>
        </is>
      </c>
      <c r="N3303" s="640" t="n"/>
      <c r="O3303" s="640">
        <f>IF(AND(N3303=1,L3303=1),K3303,"")</f>
        <v/>
      </c>
      <c r="P3303" s="642" t="inlineStr">
        <is>
          <t>г. Москва, Пресненская набережная, 2</t>
        </is>
      </c>
      <c r="Q3303" s="640" t="inlineStr">
        <is>
          <t>55.749157</t>
        </is>
      </c>
      <c r="R3303" s="494" t="inlineStr">
        <is>
          <t>37.539742</t>
        </is>
      </c>
      <c r="S3303" s="387" t="n">
        <v>4118.4</v>
      </c>
      <c r="T3303" s="387">
        <f>N3303*S3303</f>
        <v/>
      </c>
      <c r="Z3303" s="1" t="n"/>
    </row>
    <row r="3304" hidden="1" ht="16.05" customHeight="1">
      <c r="A3304" s="125" t="n">
        <v>3982</v>
      </c>
      <c r="C3304" s="130" t="inlineStr">
        <is>
          <t>Москва</t>
        </is>
      </c>
      <c r="D3304" s="130" t="inlineStr">
        <is>
          <t>Москва</t>
        </is>
      </c>
      <c r="E3304" s="130" t="n"/>
      <c r="F3304" s="130" t="inlineStr">
        <is>
          <t>ТРЦ</t>
        </is>
      </c>
      <c r="G3304" s="130" t="inlineStr">
        <is>
          <t>ТРЦ</t>
        </is>
      </c>
      <c r="H3304" s="131" t="n">
        <v>73770</v>
      </c>
      <c r="I3304" s="637" t="inlineStr">
        <is>
          <t xml:space="preserve">Афимолл Сити </t>
        </is>
      </c>
      <c r="J3304" s="637" t="inlineStr">
        <is>
          <t>MSK_TRC_Afimoll_Siti_3</t>
        </is>
      </c>
      <c r="K3304" s="640" t="n">
        <v>1</v>
      </c>
      <c r="L3304" s="640" t="n">
        <v>1</v>
      </c>
      <c r="M3304" s="623" t="inlineStr">
        <is>
          <t>3,67x2,08</t>
        </is>
      </c>
      <c r="N3304" s="640" t="n"/>
      <c r="O3304" s="640">
        <f>IF(AND(N3304=1,L3304=1),K3304,"")</f>
        <v/>
      </c>
      <c r="P3304" s="642" t="inlineStr">
        <is>
          <t>г. Москва, Пресненская набережная, 2</t>
        </is>
      </c>
      <c r="Q3304" s="640" t="inlineStr">
        <is>
          <t>55.749157</t>
        </is>
      </c>
      <c r="R3304" s="494" t="inlineStr">
        <is>
          <t>37.539742</t>
        </is>
      </c>
      <c r="S3304" s="387" t="n">
        <v>3744</v>
      </c>
      <c r="T3304" s="387">
        <f>N3304*S3304</f>
        <v/>
      </c>
      <c r="Z3304" s="1" t="n"/>
    </row>
    <row r="3305" hidden="1" ht="16.05" customHeight="1">
      <c r="A3305" s="125" t="n">
        <v>3983</v>
      </c>
      <c r="B3305" s="791" t="n"/>
      <c r="C3305" s="130" t="inlineStr">
        <is>
          <t>Москва</t>
        </is>
      </c>
      <c r="D3305" s="130" t="inlineStr">
        <is>
          <t>Москва</t>
        </is>
      </c>
      <c r="E3305" s="130" t="n"/>
      <c r="F3305" s="130" t="inlineStr">
        <is>
          <t>ТРЦ</t>
        </is>
      </c>
      <c r="G3305" s="130" t="inlineStr">
        <is>
          <t>ТРЦ</t>
        </is>
      </c>
      <c r="H3305" s="131" t="n">
        <v>73770</v>
      </c>
      <c r="I3305" s="637" t="inlineStr">
        <is>
          <t xml:space="preserve">Афимолл Сити </t>
        </is>
      </c>
      <c r="J3305" s="637" t="inlineStr">
        <is>
          <t>MSK_TRC_Afimoll_Siti_4</t>
        </is>
      </c>
      <c r="K3305" s="640" t="n">
        <v>1</v>
      </c>
      <c r="L3305" s="640" t="n">
        <v>1</v>
      </c>
      <c r="M3305" s="623" t="inlineStr">
        <is>
          <t>4,7x1,3</t>
        </is>
      </c>
      <c r="N3305" s="640" t="n"/>
      <c r="O3305" s="640">
        <f>IF(AND(N3305=1,L3305=1),K3305,"")</f>
        <v/>
      </c>
      <c r="P3305" s="642" t="inlineStr">
        <is>
          <t>г. Москва, Пресненская набережная, 2</t>
        </is>
      </c>
      <c r="Q3305" s="640" t="inlineStr">
        <is>
          <t>55.749157</t>
        </is>
      </c>
      <c r="R3305" s="494" t="inlineStr">
        <is>
          <t>37.539742</t>
        </is>
      </c>
      <c r="S3305" s="387" t="n">
        <v>1404</v>
      </c>
      <c r="T3305" s="387">
        <f>N3305*S3305</f>
        <v/>
      </c>
      <c r="Z3305" s="1" t="n"/>
    </row>
    <row r="3306" hidden="1" ht="16.05" customHeight="1">
      <c r="A3306" s="125" t="n">
        <v>3984</v>
      </c>
      <c r="C3306" s="130" t="inlineStr">
        <is>
          <t>Москва</t>
        </is>
      </c>
      <c r="D3306" s="130" t="inlineStr">
        <is>
          <t>Москва</t>
        </is>
      </c>
      <c r="E3306" s="130" t="n"/>
      <c r="F3306" s="130" t="inlineStr">
        <is>
          <t>ТРЦ</t>
        </is>
      </c>
      <c r="G3306" s="130" t="inlineStr">
        <is>
          <t>ТРЦ</t>
        </is>
      </c>
      <c r="H3306" s="131" t="n">
        <v>73770</v>
      </c>
      <c r="I3306" s="637" t="inlineStr">
        <is>
          <t xml:space="preserve">Афимолл Сити </t>
        </is>
      </c>
      <c r="J3306" s="637" t="inlineStr">
        <is>
          <t>MSK_TRC_Afimoll_Siti_5</t>
        </is>
      </c>
      <c r="K3306" s="640" t="n">
        <v>1</v>
      </c>
      <c r="L3306" s="640" t="n">
        <v>1</v>
      </c>
      <c r="M3306" s="623" t="inlineStr">
        <is>
          <t>4,7x1,3</t>
        </is>
      </c>
      <c r="N3306" s="640" t="n"/>
      <c r="O3306" s="640">
        <f>IF(AND(N3306=1,L3306=1),K3306,"")</f>
        <v/>
      </c>
      <c r="P3306" s="642" t="inlineStr">
        <is>
          <t>г. Москва, Пресненская набережная, 2</t>
        </is>
      </c>
      <c r="Q3306" s="640" t="inlineStr">
        <is>
          <t>55.749157</t>
        </is>
      </c>
      <c r="R3306" s="494" t="inlineStr">
        <is>
          <t>37.539742</t>
        </is>
      </c>
      <c r="S3306" s="387" t="n">
        <v>1404</v>
      </c>
      <c r="T3306" s="387">
        <f>N3306*S3306</f>
        <v/>
      </c>
      <c r="Z3306" s="1" t="n"/>
    </row>
    <row r="3307" hidden="1" ht="16.05" customHeight="1">
      <c r="A3307" s="125" t="n">
        <v>4007</v>
      </c>
      <c r="B3307" s="791" t="n"/>
      <c r="C3307" s="130" t="inlineStr">
        <is>
          <t>Москва</t>
        </is>
      </c>
      <c r="D3307" s="130" t="inlineStr">
        <is>
          <t>Москва</t>
        </is>
      </c>
      <c r="E3307" s="130" t="inlineStr">
        <is>
          <t>Москва</t>
        </is>
      </c>
      <c r="F3307" s="130" t="inlineStr">
        <is>
          <t>Платная трасса</t>
        </is>
      </c>
      <c r="G3307" s="130" t="inlineStr">
        <is>
          <t>Автодор</t>
        </is>
      </c>
      <c r="H3307" s="131" t="inlineStr">
        <is>
          <t>Офис Москва</t>
        </is>
      </c>
      <c r="I3307" s="637" t="inlineStr">
        <is>
          <t>AVD_M0_01_MSK</t>
        </is>
      </c>
      <c r="J3307" s="637" t="inlineStr">
        <is>
          <t>AVD_M0_01_MSK</t>
        </is>
      </c>
      <c r="K3307" s="640" t="n">
        <v>1</v>
      </c>
      <c r="L3307" s="640" t="n">
        <v>0</v>
      </c>
      <c r="M3307" s="640" t="inlineStr">
        <is>
          <t>Samsung 43" горизонтальный</t>
        </is>
      </c>
      <c r="N3307" s="640" t="n"/>
      <c r="O3307" s="640">
        <f>IF(AND(N3307=1,L3307=1),K3307,"")</f>
        <v/>
      </c>
      <c r="P3307" s="642" t="inlineStr">
        <is>
          <t xml:space="preserve">Москва, Большой Палашевский переулокр, д.13, стр. 2  </t>
        </is>
      </c>
      <c r="Q3307" s="640" t="inlineStr">
        <is>
          <t>55.765083</t>
        </is>
      </c>
      <c r="R3307" s="422" t="inlineStr">
        <is>
          <t>37.600028</t>
        </is>
      </c>
      <c r="Z3307" s="1" t="n"/>
    </row>
    <row r="3308" hidden="1" ht="16.05" customHeight="1">
      <c r="A3308" s="125" t="n">
        <v>3985</v>
      </c>
      <c r="C3308" s="130" t="inlineStr">
        <is>
          <t>Москва</t>
        </is>
      </c>
      <c r="D3308" s="130" t="inlineStr">
        <is>
          <t>Москва</t>
        </is>
      </c>
      <c r="E3308" s="130" t="n"/>
      <c r="F3308" s="130" t="inlineStr">
        <is>
          <t>ТРЦ</t>
        </is>
      </c>
      <c r="G3308" s="130" t="inlineStr">
        <is>
          <t>ТРЦ</t>
        </is>
      </c>
      <c r="H3308" s="131" t="n">
        <v>10555</v>
      </c>
      <c r="I3308" s="637" t="inlineStr">
        <is>
          <t xml:space="preserve">Капитолий (Ленинградский пр-т) </t>
        </is>
      </c>
      <c r="J3308" s="637" t="inlineStr">
        <is>
          <t>MSK_TRC_Kapitoliy_(Leningradskiy_pr-t)_1</t>
        </is>
      </c>
      <c r="K3308" s="640" t="n">
        <v>1</v>
      </c>
      <c r="L3308" s="640" t="n">
        <v>0</v>
      </c>
      <c r="M3308" s="640" t="inlineStr">
        <is>
          <t>5,13x2,9</t>
        </is>
      </c>
      <c r="N3308" s="640" t="n"/>
      <c r="O3308" s="640">
        <f>IF(AND(N3308=1,L3308=1),K3308,"")</f>
        <v/>
      </c>
      <c r="P3308" s="642" t="inlineStr">
        <is>
          <t>г. Москва, ул. Правобережная, 1Б</t>
        </is>
      </c>
      <c r="Q3308" s="640" t="inlineStr">
        <is>
          <t>55.881046</t>
        </is>
      </c>
      <c r="R3308" s="422" t="inlineStr">
        <is>
          <t>37.450162</t>
        </is>
      </c>
      <c r="S3308" s="387" t="n">
        <v>1544.4</v>
      </c>
      <c r="T3308" s="387">
        <f>N3308*S3308</f>
        <v/>
      </c>
      <c r="X3308" s="1" t="n"/>
      <c r="Y3308" s="1" t="n"/>
      <c r="Z3308" s="1" t="n"/>
    </row>
    <row r="3309" hidden="1" ht="16.05" customHeight="1">
      <c r="A3309" s="125" t="n">
        <v>3986</v>
      </c>
      <c r="B3309" s="791" t="n"/>
      <c r="C3309" s="130" t="inlineStr">
        <is>
          <t>Москва</t>
        </is>
      </c>
      <c r="D3309" s="130" t="inlineStr">
        <is>
          <t>Москва</t>
        </is>
      </c>
      <c r="E3309" s="130" t="n"/>
      <c r="F3309" s="130" t="inlineStr">
        <is>
          <t>ТРЦ</t>
        </is>
      </c>
      <c r="G3309" s="130" t="inlineStr">
        <is>
          <t>ТРЦ</t>
        </is>
      </c>
      <c r="H3309" s="131" t="n">
        <v>33000</v>
      </c>
      <c r="I3309" s="637" t="inlineStr">
        <is>
          <t>Европарк</t>
        </is>
      </c>
      <c r="J3309" s="637" t="inlineStr">
        <is>
          <t>MSK_TRC_Evropark_1</t>
        </is>
      </c>
      <c r="K3309" s="640" t="n">
        <v>1</v>
      </c>
      <c r="L3309" s="640" t="n">
        <v>0</v>
      </c>
      <c r="M3309" s="640" t="inlineStr">
        <is>
          <t>3,07x1,74</t>
        </is>
      </c>
      <c r="N3309" s="640" t="n"/>
      <c r="O3309" s="640">
        <f>IF(AND(N3309=1,L3309=1),K3309,"")</f>
        <v/>
      </c>
      <c r="P3309" s="642" t="inlineStr">
        <is>
          <t>г. Москва, Рублевское шоссе, 62</t>
        </is>
      </c>
      <c r="Q3309" s="640" t="inlineStr">
        <is>
          <t>55.766212</t>
        </is>
      </c>
      <c r="R3309" s="422" t="inlineStr">
        <is>
          <t>37.380875</t>
        </is>
      </c>
      <c r="S3309" s="387" t="n">
        <v>1544.4</v>
      </c>
      <c r="T3309" s="387">
        <f>N3309*S3309</f>
        <v/>
      </c>
      <c r="X3309" s="1" t="n"/>
      <c r="Y3309" s="1" t="n"/>
      <c r="Z3309" s="1" t="n"/>
    </row>
    <row r="3310" hidden="1" ht="16.05" customHeight="1">
      <c r="A3310" s="125" t="n">
        <v>3987</v>
      </c>
      <c r="C3310" s="130" t="inlineStr">
        <is>
          <t>Москва</t>
        </is>
      </c>
      <c r="D3310" s="130" t="inlineStr">
        <is>
          <t>Москва</t>
        </is>
      </c>
      <c r="E3310" s="130" t="n"/>
      <c r="F3310" s="130" t="inlineStr">
        <is>
          <t>ТРЦ</t>
        </is>
      </c>
      <c r="G3310" s="130" t="inlineStr">
        <is>
          <t>ТРЦ</t>
        </is>
      </c>
      <c r="H3310" s="131" t="n">
        <v>41651</v>
      </c>
      <c r="I3310" s="637" t="inlineStr">
        <is>
          <t xml:space="preserve">Охотный Ряд </t>
        </is>
      </c>
      <c r="J3310" s="637" t="inlineStr">
        <is>
          <t>MSK_TRC_Okhotnyy_Ryad_1</t>
        </is>
      </c>
      <c r="K3310" s="640" t="n">
        <v>1</v>
      </c>
      <c r="L3310" s="640" t="n">
        <v>0</v>
      </c>
      <c r="M3310" s="640" t="inlineStr">
        <is>
          <t>2,43x1,37</t>
        </is>
      </c>
      <c r="N3310" s="640" t="n"/>
      <c r="O3310" s="640">
        <f>IF(AND(N3310=1,L3310=1),K3310,"")</f>
        <v/>
      </c>
      <c r="P3310" s="642" t="inlineStr">
        <is>
          <t>г. Москва, пл. Манежная, 1, стр. 2</t>
        </is>
      </c>
      <c r="Q3310" s="640" t="inlineStr">
        <is>
          <t>55.755773</t>
        </is>
      </c>
      <c r="R3310" s="422" t="inlineStr">
        <is>
          <t>37.614608</t>
        </is>
      </c>
      <c r="S3310" s="387" t="n">
        <v>1544.4</v>
      </c>
      <c r="T3310" s="387">
        <f>N3310*S3310</f>
        <v/>
      </c>
      <c r="X3310" s="1" t="n"/>
      <c r="Y3310" s="1" t="n"/>
      <c r="Z3310" s="1" t="n"/>
    </row>
    <row r="3311" hidden="1" ht="16.05" customHeight="1">
      <c r="A3311" s="125" t="n">
        <v>3988</v>
      </c>
      <c r="B3311" s="791" t="n"/>
      <c r="C3311" s="130" t="inlineStr">
        <is>
          <t>Москва</t>
        </is>
      </c>
      <c r="D3311" s="130" t="inlineStr">
        <is>
          <t>Москва</t>
        </is>
      </c>
      <c r="E3311" s="130" t="n"/>
      <c r="F3311" s="130" t="inlineStr">
        <is>
          <t>ТРЦ</t>
        </is>
      </c>
      <c r="G3311" s="130" t="inlineStr">
        <is>
          <t>ТРЦ</t>
        </is>
      </c>
      <c r="H3311" s="131" t="n">
        <v>41651</v>
      </c>
      <c r="I3311" s="637" t="inlineStr">
        <is>
          <t xml:space="preserve">Охотный Ряд </t>
        </is>
      </c>
      <c r="J3311" s="637" t="inlineStr">
        <is>
          <t>MSK_TRC_Okhotnyy_Ryad_2</t>
        </is>
      </c>
      <c r="K3311" s="640" t="n">
        <v>1</v>
      </c>
      <c r="L3311" s="640" t="n">
        <v>0</v>
      </c>
      <c r="M3311" s="640" t="inlineStr">
        <is>
          <t>2,43x1,37</t>
        </is>
      </c>
      <c r="N3311" s="640" t="n"/>
      <c r="O3311" s="640">
        <f>IF(AND(N3311=1,L3311=1),K3311,"")</f>
        <v/>
      </c>
      <c r="P3311" s="642" t="inlineStr">
        <is>
          <t>г. Москва, пл. Манежная, 1, стр. 2</t>
        </is>
      </c>
      <c r="Q3311" s="640" t="inlineStr">
        <is>
          <t>55.755773</t>
        </is>
      </c>
      <c r="R3311" s="422" t="inlineStr">
        <is>
          <t>37.614608</t>
        </is>
      </c>
      <c r="S3311" s="387" t="n">
        <v>1544.4</v>
      </c>
      <c r="T3311" s="387">
        <f>N3311*S3311</f>
        <v/>
      </c>
      <c r="X3311" s="1" t="n"/>
      <c r="Y3311" s="1" t="n"/>
      <c r="Z3311" s="1" t="n"/>
    </row>
    <row r="3312" hidden="1" ht="16.05" customHeight="1">
      <c r="A3312" s="125" t="n">
        <v>3989</v>
      </c>
      <c r="C3312" s="130" t="inlineStr">
        <is>
          <t>Москва</t>
        </is>
      </c>
      <c r="D3312" s="130" t="inlineStr">
        <is>
          <t>Москва</t>
        </is>
      </c>
      <c r="E3312" s="130" t="n"/>
      <c r="F3312" s="130" t="inlineStr">
        <is>
          <t>ТРЦ</t>
        </is>
      </c>
      <c r="G3312" s="130" t="inlineStr">
        <is>
          <t>ТРЦ</t>
        </is>
      </c>
      <c r="H3312" s="131" t="n">
        <v>30743</v>
      </c>
      <c r="I3312" s="637" t="inlineStr">
        <is>
          <t xml:space="preserve">Город на Рязанке </t>
        </is>
      </c>
      <c r="J3312" s="637" t="inlineStr">
        <is>
          <t>MSK_TRC_Gorod_na_Ryazanke_1</t>
        </is>
      </c>
      <c r="K3312" s="640" t="n">
        <v>1</v>
      </c>
      <c r="L3312" s="640" t="n">
        <v>0</v>
      </c>
      <c r="M3312" s="640" t="inlineStr">
        <is>
          <t>2,44x1,39</t>
        </is>
      </c>
      <c r="N3312" s="640" t="n"/>
      <c r="O3312" s="640">
        <f>IF(AND(N3312=1,L3312=1),K3312,"")</f>
        <v/>
      </c>
      <c r="P3312" s="642" t="inlineStr">
        <is>
          <t>г. Москва, Рязанский пр-т, 2, корп. 2./корп. 3</t>
        </is>
      </c>
      <c r="Q3312" s="640" t="inlineStr">
        <is>
          <t>55.730365</t>
        </is>
      </c>
      <c r="R3312" s="422" t="inlineStr">
        <is>
          <t>37.737309</t>
        </is>
      </c>
      <c r="S3312" s="387" t="n">
        <v>1544.4</v>
      </c>
      <c r="T3312" s="387">
        <f>N3312*S3312</f>
        <v/>
      </c>
      <c r="X3312" s="1" t="n"/>
      <c r="Y3312" s="1" t="n"/>
      <c r="Z3312" s="1" t="n"/>
    </row>
    <row r="3313" hidden="1" ht="16.05" customHeight="1">
      <c r="A3313" s="125" t="n">
        <v>3990</v>
      </c>
      <c r="B3313" s="791" t="n"/>
      <c r="C3313" s="130" t="inlineStr">
        <is>
          <t>Москва</t>
        </is>
      </c>
      <c r="D3313" s="130" t="inlineStr">
        <is>
          <t>Москва</t>
        </is>
      </c>
      <c r="E3313" s="130" t="n"/>
      <c r="F3313" s="130" t="inlineStr">
        <is>
          <t>ТРЦ</t>
        </is>
      </c>
      <c r="G3313" s="130" t="inlineStr">
        <is>
          <t>ТРЦ</t>
        </is>
      </c>
      <c r="H3313" s="131" t="n">
        <v>30743</v>
      </c>
      <c r="I3313" s="637" t="inlineStr">
        <is>
          <t xml:space="preserve">Город на Рязанке </t>
        </is>
      </c>
      <c r="J3313" s="637" t="inlineStr">
        <is>
          <t>MSK_TRC_Gorod_na_Ryazanke_2</t>
        </is>
      </c>
      <c r="K3313" s="640" t="n">
        <v>1</v>
      </c>
      <c r="L3313" s="640" t="n">
        <v>0</v>
      </c>
      <c r="M3313" s="640" t="inlineStr">
        <is>
          <t>2,44x1,39</t>
        </is>
      </c>
      <c r="N3313" s="640" t="n"/>
      <c r="O3313" s="640">
        <f>IF(AND(N3313=1,L3313=1),K3313,"")</f>
        <v/>
      </c>
      <c r="P3313" s="642" t="inlineStr">
        <is>
          <t>г. Москва, Рязанский пр-т, 2, корп. 2./корп. 3</t>
        </is>
      </c>
      <c r="Q3313" s="640" t="inlineStr">
        <is>
          <t>55.730365</t>
        </is>
      </c>
      <c r="R3313" s="422" t="inlineStr">
        <is>
          <t>37.737309</t>
        </is>
      </c>
      <c r="S3313" s="387" t="n">
        <v>1544.4</v>
      </c>
      <c r="T3313" s="387">
        <f>N3313*S3313</f>
        <v/>
      </c>
      <c r="X3313" s="1" t="n"/>
      <c r="Y3313" s="1" t="n"/>
      <c r="Z3313" s="1" t="n"/>
    </row>
    <row r="3314" hidden="1" ht="16.05" customHeight="1">
      <c r="A3314" s="125" t="n">
        <v>3991</v>
      </c>
      <c r="C3314" s="130" t="inlineStr">
        <is>
          <t>Москва</t>
        </is>
      </c>
      <c r="D3314" s="130" t="inlineStr">
        <is>
          <t>Москва</t>
        </is>
      </c>
      <c r="E3314" s="130" t="n"/>
      <c r="F3314" s="130" t="inlineStr">
        <is>
          <t>ТРЦ</t>
        </is>
      </c>
      <c r="G3314" s="130" t="inlineStr">
        <is>
          <t>ТРЦ</t>
        </is>
      </c>
      <c r="H3314" s="131" t="n">
        <v>35698</v>
      </c>
      <c r="I3314" s="637" t="inlineStr">
        <is>
          <t>Город Лефортово</t>
        </is>
      </c>
      <c r="J3314" s="637" t="inlineStr">
        <is>
          <t>MSK_TRC_Gorod_Lefortovo_1</t>
        </is>
      </c>
      <c r="K3314" s="640" t="n">
        <v>1</v>
      </c>
      <c r="L3314" s="640" t="n">
        <v>0</v>
      </c>
      <c r="M3314" s="640" t="inlineStr">
        <is>
          <t>3,07x1,74</t>
        </is>
      </c>
      <c r="N3314" s="640" t="n"/>
      <c r="O3314" s="640">
        <f>IF(AND(N3314=1,L3314=1),K3314,"")</f>
        <v/>
      </c>
      <c r="P3314" s="642" t="inlineStr">
        <is>
          <t>г. Москва, Шоссе Энтузиастов, 12, корп.2</t>
        </is>
      </c>
      <c r="Q3314" s="640" t="inlineStr">
        <is>
          <t>55.747363</t>
        </is>
      </c>
      <c r="R3314" s="422" t="inlineStr">
        <is>
          <t>37.707098</t>
        </is>
      </c>
      <c r="S3314" s="387" t="n">
        <v>1544.4</v>
      </c>
      <c r="T3314" s="387">
        <f>N3314*S3314</f>
        <v/>
      </c>
      <c r="X3314" s="1" t="n"/>
      <c r="Y3314" s="1" t="n"/>
      <c r="Z3314" s="1" t="n"/>
    </row>
    <row r="3315" hidden="1" ht="16.05" customHeight="1">
      <c r="A3315" s="125" t="n">
        <v>3992</v>
      </c>
      <c r="B3315" s="791" t="n"/>
      <c r="C3315" s="130" t="inlineStr">
        <is>
          <t>Москва</t>
        </is>
      </c>
      <c r="D3315" s="130" t="inlineStr">
        <is>
          <t>Москва</t>
        </is>
      </c>
      <c r="E3315" s="130" t="n"/>
      <c r="F3315" s="130" t="inlineStr">
        <is>
          <t>ТРЦ</t>
        </is>
      </c>
      <c r="G3315" s="130" t="inlineStr">
        <is>
          <t>ТРЦ</t>
        </is>
      </c>
      <c r="H3315" s="131" t="n">
        <v>35698</v>
      </c>
      <c r="I3315" s="637" t="inlineStr">
        <is>
          <t>Город Лефортово</t>
        </is>
      </c>
      <c r="J3315" s="637" t="inlineStr">
        <is>
          <t>MSK_TRC_Gorod_Lefortovo_2</t>
        </is>
      </c>
      <c r="K3315" s="640" t="n">
        <v>1</v>
      </c>
      <c r="L3315" s="640" t="n">
        <v>0</v>
      </c>
      <c r="M3315" s="640" t="inlineStr">
        <is>
          <t>3,07x1,74</t>
        </is>
      </c>
      <c r="N3315" s="640" t="n"/>
      <c r="O3315" s="640">
        <f>IF(AND(N3315=1,L3315=1),K3315,"")</f>
        <v/>
      </c>
      <c r="P3315" s="642" t="inlineStr">
        <is>
          <t>г. Москва, Шоссе Энтузиастов, 12, корп.2</t>
        </is>
      </c>
      <c r="Q3315" s="640" t="inlineStr">
        <is>
          <t>55.747363</t>
        </is>
      </c>
      <c r="R3315" s="422" t="inlineStr">
        <is>
          <t>37.707098</t>
        </is>
      </c>
      <c r="S3315" s="387" t="n">
        <v>1544.4</v>
      </c>
      <c r="T3315" s="387">
        <f>N3315*S3315</f>
        <v/>
      </c>
      <c r="X3315" s="1" t="n"/>
      <c r="Y3315" s="1" t="n"/>
      <c r="Z3315" s="1" t="n"/>
    </row>
    <row r="3316" hidden="1" ht="16.05" customHeight="1">
      <c r="A3316" s="125" t="n">
        <v>3993</v>
      </c>
      <c r="C3316" s="130" t="inlineStr">
        <is>
          <t>Москва</t>
        </is>
      </c>
      <c r="D3316" s="130" t="inlineStr">
        <is>
          <t>Москва</t>
        </is>
      </c>
      <c r="E3316" s="130" t="n"/>
      <c r="F3316" s="130" t="inlineStr">
        <is>
          <t>ТРЦ</t>
        </is>
      </c>
      <c r="G3316" s="130" t="inlineStr">
        <is>
          <t>ТРЦ</t>
        </is>
      </c>
      <c r="H3316" s="131" t="n">
        <v>42969</v>
      </c>
      <c r="I3316" s="637" t="inlineStr">
        <is>
          <t xml:space="preserve">Речной </t>
        </is>
      </c>
      <c r="J3316" s="637" t="inlineStr">
        <is>
          <t>MSK_TRC_Rechnoy_1</t>
        </is>
      </c>
      <c r="K3316" s="640" t="n">
        <v>1</v>
      </c>
      <c r="L3316" s="640" t="n">
        <v>0</v>
      </c>
      <c r="M3316" s="640" t="inlineStr">
        <is>
          <t>2,74 Х 1,58</t>
        </is>
      </c>
      <c r="N3316" s="640" t="n"/>
      <c r="O3316" s="640">
        <f>IF(AND(N3316=1,L3316=1),K3316,"")</f>
        <v/>
      </c>
      <c r="P3316" s="642" t="inlineStr">
        <is>
          <t>г. Москва, ул. Фестивальная, д. 2Б</t>
        </is>
      </c>
      <c r="Q3316" s="640" t="inlineStr">
        <is>
          <t>55.855078</t>
        </is>
      </c>
      <c r="R3316" s="422" t="inlineStr">
        <is>
          <t>37.478082</t>
        </is>
      </c>
      <c r="S3316" s="387" t="n">
        <v>697.3199999999998</v>
      </c>
      <c r="T3316" s="387">
        <f>N3316*S3316</f>
        <v/>
      </c>
      <c r="X3316" s="1" t="n"/>
      <c r="Y3316" s="1" t="n"/>
      <c r="Z3316" s="1" t="n"/>
    </row>
    <row r="3317" hidden="1" ht="16.05" customHeight="1">
      <c r="A3317" s="125" t="n">
        <v>3994</v>
      </c>
      <c r="B3317" s="791" t="n"/>
      <c r="C3317" s="130" t="inlineStr">
        <is>
          <t>Москва</t>
        </is>
      </c>
      <c r="D3317" s="130" t="inlineStr">
        <is>
          <t>Москва</t>
        </is>
      </c>
      <c r="E3317" s="130" t="n"/>
      <c r="F3317" s="130" t="inlineStr">
        <is>
          <t>ТРЦ</t>
        </is>
      </c>
      <c r="G3317" s="130" t="inlineStr">
        <is>
          <t>ТРЦ</t>
        </is>
      </c>
      <c r="H3317" s="131" t="n">
        <v>42969</v>
      </c>
      <c r="I3317" s="637" t="inlineStr">
        <is>
          <t xml:space="preserve">Речной </t>
        </is>
      </c>
      <c r="J3317" s="637" t="inlineStr">
        <is>
          <t>MSK_TRC_Rechnoy_2</t>
        </is>
      </c>
      <c r="K3317" s="640" t="n">
        <v>1</v>
      </c>
      <c r="L3317" s="640" t="n">
        <v>0</v>
      </c>
      <c r="M3317" s="640" t="inlineStr">
        <is>
          <t>2,74 Х 1,58</t>
        </is>
      </c>
      <c r="N3317" s="640" t="n"/>
      <c r="O3317" s="640">
        <f>IF(AND(N3317=1,L3317=1),K3317,"")</f>
        <v/>
      </c>
      <c r="P3317" s="642" t="inlineStr">
        <is>
          <t>г. Москва, ул. Фестивальная, д. 2Б</t>
        </is>
      </c>
      <c r="Q3317" s="640" t="inlineStr">
        <is>
          <t>55.855078</t>
        </is>
      </c>
      <c r="R3317" s="422" t="inlineStr">
        <is>
          <t>37.478082</t>
        </is>
      </c>
      <c r="S3317" s="387" t="n">
        <v>697.3199999999998</v>
      </c>
      <c r="T3317" s="387">
        <f>N3317*S3317</f>
        <v/>
      </c>
      <c r="X3317" s="1" t="n"/>
      <c r="Y3317" s="1" t="n"/>
      <c r="Z3317" s="1" t="n"/>
    </row>
    <row r="3318" hidden="1" ht="16.05" customHeight="1">
      <c r="A3318" s="125" t="n">
        <v>3995</v>
      </c>
      <c r="C3318" s="130" t="inlineStr">
        <is>
          <t>Москва</t>
        </is>
      </c>
      <c r="D3318" s="130" t="inlineStr">
        <is>
          <t>Москва</t>
        </is>
      </c>
      <c r="E3318" s="130" t="n"/>
      <c r="F3318" s="130" t="inlineStr">
        <is>
          <t>ТРЦ</t>
        </is>
      </c>
      <c r="G3318" s="130" t="inlineStr">
        <is>
          <t>ТРЦ</t>
        </is>
      </c>
      <c r="H3318" s="131" t="n">
        <v>20356</v>
      </c>
      <c r="I3318" s="637" t="inlineStr">
        <is>
          <t xml:space="preserve">Калужский </t>
        </is>
      </c>
      <c r="J3318" s="637" t="inlineStr">
        <is>
          <t>MSK_TRC_Kaluzhskiy_1</t>
        </is>
      </c>
      <c r="K3318" s="640" t="n">
        <v>1</v>
      </c>
      <c r="L3318" s="640" t="n">
        <v>0</v>
      </c>
      <c r="M3318" s="640" t="inlineStr">
        <is>
          <t>2,05 Х 1,16</t>
        </is>
      </c>
      <c r="N3318" s="640" t="n"/>
      <c r="O3318" s="640">
        <f>IF(AND(N3318=1,L3318=1),K3318,"")</f>
        <v/>
      </c>
      <c r="P3318" s="642" t="inlineStr">
        <is>
          <t>г. Москва, Профсоюзная, 61А</t>
        </is>
      </c>
      <c r="Q3318" s="640" t="inlineStr">
        <is>
          <t>55.656031</t>
        </is>
      </c>
      <c r="R3318" s="422" t="inlineStr">
        <is>
          <t>37.541503</t>
        </is>
      </c>
      <c r="S3318" s="387" t="n">
        <v>697.3199999999998</v>
      </c>
      <c r="T3318" s="387">
        <f>N3318*S3318</f>
        <v/>
      </c>
      <c r="X3318" s="1" t="n"/>
      <c r="Y3318" s="1" t="n"/>
      <c r="Z3318" s="1" t="n"/>
    </row>
    <row r="3319" hidden="1" ht="16.05" customHeight="1">
      <c r="A3319" s="125" t="n">
        <v>3996</v>
      </c>
      <c r="B3319" s="791" t="n"/>
      <c r="C3319" s="130" t="inlineStr">
        <is>
          <t>Москва</t>
        </is>
      </c>
      <c r="D3319" s="130" t="inlineStr">
        <is>
          <t>Москва</t>
        </is>
      </c>
      <c r="E3319" s="130" t="n"/>
      <c r="F3319" s="130" t="inlineStr">
        <is>
          <t>ТРЦ</t>
        </is>
      </c>
      <c r="G3319" s="130" t="inlineStr">
        <is>
          <t>ТРЦ</t>
        </is>
      </c>
      <c r="H3319" s="131" t="n">
        <v>20356</v>
      </c>
      <c r="I3319" s="637" t="inlineStr">
        <is>
          <t xml:space="preserve">Калужский </t>
        </is>
      </c>
      <c r="J3319" s="637" t="inlineStr">
        <is>
          <t>MSK_TRC_Kaluzhskiy_2</t>
        </is>
      </c>
      <c r="K3319" s="640" t="n">
        <v>1</v>
      </c>
      <c r="L3319" s="640" t="n">
        <v>0</v>
      </c>
      <c r="M3319" s="640" t="inlineStr">
        <is>
          <t>2,05 Х 1,16</t>
        </is>
      </c>
      <c r="N3319" s="640" t="n"/>
      <c r="O3319" s="640">
        <f>IF(AND(N3319=1,L3319=1),K3319,"")</f>
        <v/>
      </c>
      <c r="P3319" s="642" t="inlineStr">
        <is>
          <t>г. Москва, Профсоюзная, 61А</t>
        </is>
      </c>
      <c r="Q3319" s="640" t="inlineStr">
        <is>
          <t>55.656031</t>
        </is>
      </c>
      <c r="R3319" s="422" t="inlineStr">
        <is>
          <t>37.541503</t>
        </is>
      </c>
      <c r="S3319" s="387" t="n">
        <v>697.3199999999998</v>
      </c>
      <c r="T3319" s="387">
        <f>N3319*S3319</f>
        <v/>
      </c>
      <c r="X3319" s="1" t="n"/>
      <c r="Y3319" s="1" t="n"/>
      <c r="Z3319" s="1" t="n"/>
    </row>
    <row r="3320" hidden="1" ht="16.05" customHeight="1">
      <c r="A3320" s="125" t="n">
        <v>3997</v>
      </c>
      <c r="C3320" s="130" t="inlineStr">
        <is>
          <t>Москва</t>
        </is>
      </c>
      <c r="D3320" s="130" t="inlineStr">
        <is>
          <t>Московская обл.</t>
        </is>
      </c>
      <c r="E3320" s="130" t="n"/>
      <c r="F3320" s="130" t="inlineStr">
        <is>
          <t>ТРЦ</t>
        </is>
      </c>
      <c r="G3320" s="130" t="inlineStr">
        <is>
          <t>ТРЦ</t>
        </is>
      </c>
      <c r="H3320" s="131" t="n">
        <v>17011</v>
      </c>
      <c r="I3320" s="637" t="inlineStr">
        <is>
          <t xml:space="preserve">Шоколад </t>
        </is>
      </c>
      <c r="J3320" s="637" t="inlineStr">
        <is>
          <t>MSK_TRC_Shokolad_1</t>
        </is>
      </c>
      <c r="K3320" s="640" t="n">
        <v>1</v>
      </c>
      <c r="L3320" s="640" t="n">
        <v>0</v>
      </c>
      <c r="M3320" s="640" t="inlineStr">
        <is>
          <t>2,44x1,39</t>
        </is>
      </c>
      <c r="N3320" s="640" t="n"/>
      <c r="O3320" s="640">
        <f>IF(AND(N3320=1,L3320=1),K3320,"")</f>
        <v/>
      </c>
      <c r="P3320" s="642" t="inlineStr">
        <is>
          <t>г. Реутов, 2-ой км МКАД, д. 2 (внешняя сторона)</t>
        </is>
      </c>
      <c r="Q3320" s="640" t="inlineStr">
        <is>
          <t>55.763802</t>
        </is>
      </c>
      <c r="R3320" s="422" t="inlineStr">
        <is>
          <t>37.84499</t>
        </is>
      </c>
      <c r="S3320" s="387" t="n">
        <v>697.3199999999998</v>
      </c>
      <c r="T3320" s="387">
        <f>N3320*S3320</f>
        <v/>
      </c>
      <c r="X3320" s="1" t="n"/>
      <c r="Y3320" s="1" t="n"/>
      <c r="Z3320" s="1" t="n"/>
    </row>
    <row r="3321" hidden="1" ht="16.05" customHeight="1">
      <c r="A3321" s="125" t="n">
        <v>3998</v>
      </c>
      <c r="B3321" s="791" t="n"/>
      <c r="C3321" s="130" t="inlineStr">
        <is>
          <t>Москва</t>
        </is>
      </c>
      <c r="D3321" s="130" t="inlineStr">
        <is>
          <t>Московская обл.</t>
        </is>
      </c>
      <c r="E3321" s="130" t="n"/>
      <c r="F3321" s="130" t="inlineStr">
        <is>
          <t>ТРЦ</t>
        </is>
      </c>
      <c r="G3321" s="130" t="inlineStr">
        <is>
          <t>ТРЦ</t>
        </is>
      </c>
      <c r="H3321" s="131" t="n">
        <v>17011</v>
      </c>
      <c r="I3321" s="637" t="inlineStr">
        <is>
          <t xml:space="preserve">Шоколад </t>
        </is>
      </c>
      <c r="J3321" s="637" t="inlineStr">
        <is>
          <t>MSK_TRC_Shokolad_2</t>
        </is>
      </c>
      <c r="K3321" s="640" t="n">
        <v>1</v>
      </c>
      <c r="L3321" s="640" t="n">
        <v>0</v>
      </c>
      <c r="M3321" s="640" t="inlineStr">
        <is>
          <t>2,44x1,39</t>
        </is>
      </c>
      <c r="N3321" s="640" t="n"/>
      <c r="O3321" s="640">
        <f>IF(AND(N3321=1,L3321=1),K3321,"")</f>
        <v/>
      </c>
      <c r="P3321" s="642" t="inlineStr">
        <is>
          <t>г. Реутов, 2-ой км МКАД, д. 2 (внешняя сторона)</t>
        </is>
      </c>
      <c r="Q3321" s="640" t="inlineStr">
        <is>
          <t>55.763802</t>
        </is>
      </c>
      <c r="R3321" s="422" t="inlineStr">
        <is>
          <t>37.84499</t>
        </is>
      </c>
      <c r="S3321" s="387" t="n">
        <v>697.3199999999998</v>
      </c>
      <c r="T3321" s="387">
        <f>N3321*S3321</f>
        <v/>
      </c>
      <c r="X3321" s="1" t="n"/>
      <c r="Y3321" s="1" t="n"/>
      <c r="Z3321" s="1" t="n"/>
    </row>
    <row r="3322" hidden="1" ht="16.05" customHeight="1">
      <c r="A3322" s="125" t="n">
        <v>3999</v>
      </c>
      <c r="C3322" s="130" t="inlineStr">
        <is>
          <t>Москва</t>
        </is>
      </c>
      <c r="D3322" s="130" t="inlineStr">
        <is>
          <t>Москва</t>
        </is>
      </c>
      <c r="E3322" s="130" t="n"/>
      <c r="F3322" s="130" t="inlineStr">
        <is>
          <t>ТРЦ</t>
        </is>
      </c>
      <c r="G3322" s="130" t="inlineStr">
        <is>
          <t>ТРЦ</t>
        </is>
      </c>
      <c r="H3322" s="131" t="n">
        <v>10820</v>
      </c>
      <c r="I3322" s="637" t="inlineStr">
        <is>
          <t xml:space="preserve">Час Пик </t>
        </is>
      </c>
      <c r="J3322" s="402" t="inlineStr">
        <is>
          <t>MSK_TRC_Chas_Pik_1</t>
        </is>
      </c>
      <c r="K3322" s="640" t="n">
        <v>1</v>
      </c>
      <c r="L3322" s="640" t="n">
        <v>0</v>
      </c>
      <c r="M3322" s="640" t="inlineStr">
        <is>
          <t>2,74 Х 1,58</t>
        </is>
      </c>
      <c r="N3322" s="640" t="n"/>
      <c r="O3322" s="640">
        <f>IF(AND(N3322=1,L3322=1),K3322,"")</f>
        <v/>
      </c>
      <c r="P3322" s="642" t="inlineStr">
        <is>
          <t>г. Москва, 87-й км МКАД, внутренняя сторона</t>
        </is>
      </c>
      <c r="Q3322" s="640" t="n">
        <v>55.901632</v>
      </c>
      <c r="R3322" s="422" t="n">
        <v>37.619612</v>
      </c>
      <c r="S3322" s="387" t="n">
        <v>697.3199999999998</v>
      </c>
      <c r="T3322" s="387">
        <f>N3322*S3322</f>
        <v/>
      </c>
      <c r="X3322" s="1" t="n"/>
      <c r="Y3322" s="1" t="n"/>
      <c r="Z3322" s="1" t="n"/>
    </row>
    <row r="3323" hidden="1" ht="16.05" customHeight="1">
      <c r="A3323" s="125" t="n">
        <v>4000</v>
      </c>
      <c r="B3323" s="791" t="n"/>
      <c r="C3323" s="130" t="inlineStr">
        <is>
          <t>Москва</t>
        </is>
      </c>
      <c r="D3323" s="130" t="inlineStr">
        <is>
          <t>Москва</t>
        </is>
      </c>
      <c r="E3323" s="130" t="n"/>
      <c r="F3323" s="130" t="inlineStr">
        <is>
          <t>ТРЦ</t>
        </is>
      </c>
      <c r="G3323" s="130" t="inlineStr">
        <is>
          <t>ТРЦ</t>
        </is>
      </c>
      <c r="H3323" s="131" t="n">
        <v>8583</v>
      </c>
      <c r="I3323" s="637" t="inlineStr">
        <is>
          <t xml:space="preserve">ЛЕНТА Гипермаркет (д.Говорово) </t>
        </is>
      </c>
      <c r="J3323" s="637" t="inlineStr">
        <is>
          <t>MSK_TRC_LENTA_Gipermarket_(d.Govorovo)_1</t>
        </is>
      </c>
      <c r="K3323" s="640" t="n">
        <v>1</v>
      </c>
      <c r="L3323" s="640" t="n">
        <v>0</v>
      </c>
      <c r="M3323" s="640" t="inlineStr">
        <is>
          <t>2,44x1,39</t>
        </is>
      </c>
      <c r="N3323" s="640" t="n"/>
      <c r="O3323" s="640">
        <f>IF(AND(N3323=1,L3323=1),K3323,"")</f>
        <v/>
      </c>
      <c r="P3323" s="642" t="inlineStr">
        <is>
          <t>г. Москва, п. Московский, МКАД 47 км., владение 31, строение 1</t>
        </is>
      </c>
      <c r="Q3323" s="640" t="inlineStr">
        <is>
          <t>55.658759</t>
        </is>
      </c>
      <c r="R3323" s="422" t="inlineStr">
        <is>
          <t>37.429977</t>
        </is>
      </c>
      <c r="S3323" s="387" t="n">
        <v>697.3199999999998</v>
      </c>
      <c r="T3323" s="387">
        <f>N3323*S3323</f>
        <v/>
      </c>
      <c r="X3323" s="1" t="n"/>
      <c r="Y3323" s="1" t="n"/>
      <c r="Z3323" s="1" t="n"/>
    </row>
    <row r="3324" hidden="1" ht="16.05" customHeight="1">
      <c r="A3324" s="125" t="n">
        <v>4001</v>
      </c>
      <c r="C3324" s="130" t="inlineStr">
        <is>
          <t>Москва</t>
        </is>
      </c>
      <c r="D3324" s="130" t="inlineStr">
        <is>
          <t>Москва</t>
        </is>
      </c>
      <c r="E3324" s="130" t="n"/>
      <c r="F3324" s="130" t="inlineStr">
        <is>
          <t>ТРЦ</t>
        </is>
      </c>
      <c r="G3324" s="130" t="inlineStr">
        <is>
          <t>ТРЦ</t>
        </is>
      </c>
      <c r="H3324" s="131" t="n">
        <v>8583</v>
      </c>
      <c r="I3324" s="637" t="inlineStr">
        <is>
          <t xml:space="preserve">ЛЕНТА Гипермаркет (д.Говорово) </t>
        </is>
      </c>
      <c r="J3324" s="637" t="inlineStr">
        <is>
          <t>MSK_TRC_LENTA_Gipermarket_(d.Govorovo)_2</t>
        </is>
      </c>
      <c r="K3324" s="640" t="n">
        <v>1</v>
      </c>
      <c r="L3324" s="640" t="n">
        <v>0</v>
      </c>
      <c r="M3324" s="640" t="inlineStr">
        <is>
          <t>2,44x1,39</t>
        </is>
      </c>
      <c r="N3324" s="640" t="n"/>
      <c r="O3324" s="640">
        <f>IF(AND(N3324=1,L3324=1),K3324,"")</f>
        <v/>
      </c>
      <c r="P3324" s="642" t="inlineStr">
        <is>
          <t>г. Москва, п. Московский, МКАД 47 км., владение 31, строение 1</t>
        </is>
      </c>
      <c r="Q3324" s="640" t="inlineStr">
        <is>
          <t>55.658759</t>
        </is>
      </c>
      <c r="R3324" s="422" t="inlineStr">
        <is>
          <t>37.429977</t>
        </is>
      </c>
      <c r="S3324" s="387" t="n">
        <v>697.3199999999998</v>
      </c>
      <c r="T3324" s="387">
        <f>N3324*S3324</f>
        <v/>
      </c>
      <c r="X3324" s="1" t="n"/>
      <c r="Y3324" s="1" t="n"/>
      <c r="Z3324" s="1" t="n"/>
    </row>
    <row r="3325" hidden="1" ht="16.05" customHeight="1">
      <c r="A3325" s="125" t="n">
        <v>4002</v>
      </c>
      <c r="B3325" s="791" t="n"/>
      <c r="C3325" s="130" t="inlineStr">
        <is>
          <t>Москва</t>
        </is>
      </c>
      <c r="D3325" s="130" t="inlineStr">
        <is>
          <t>Москва</t>
        </is>
      </c>
      <c r="E3325" s="130" t="n"/>
      <c r="F3325" s="130" t="inlineStr">
        <is>
          <t>ТРЦ</t>
        </is>
      </c>
      <c r="G3325" s="130" t="inlineStr">
        <is>
          <t>ТРЦ</t>
        </is>
      </c>
      <c r="H3325" s="131" t="n">
        <v>6397</v>
      </c>
      <c r="I3325" s="637" t="inlineStr">
        <is>
          <t xml:space="preserve">ЛЕНТА Гипермаркет (Дмитровское ш.) </t>
        </is>
      </c>
      <c r="J3325" s="637" t="inlineStr">
        <is>
          <t>MSK_TRC_LENTA_Gipermarket_(Dmitrovskoe_sh.)_1</t>
        </is>
      </c>
      <c r="K3325" s="640" t="n">
        <v>1</v>
      </c>
      <c r="L3325" s="640" t="n">
        <v>0</v>
      </c>
      <c r="M3325" s="640" t="inlineStr">
        <is>
          <t>2,74 Х 1,58</t>
        </is>
      </c>
      <c r="N3325" s="640" t="n"/>
      <c r="O3325" s="640">
        <f>IF(AND(N3325=1,L3325=1),K3325,"")</f>
        <v/>
      </c>
      <c r="P3325" s="642" t="inlineStr">
        <is>
          <t>г. Москва, Дмитровское шоссе, 116Д</t>
        </is>
      </c>
      <c r="Q3325" s="640" t="inlineStr">
        <is>
          <t>55.901783</t>
        </is>
      </c>
      <c r="R3325" s="422" t="inlineStr">
        <is>
          <t>37.548411</t>
        </is>
      </c>
      <c r="S3325" s="387" t="n">
        <v>697.3199999999998</v>
      </c>
      <c r="T3325" s="387">
        <f>N3325*S3325</f>
        <v/>
      </c>
      <c r="X3325" s="1" t="n"/>
      <c r="Y3325" s="1" t="n"/>
      <c r="Z3325" s="1" t="n"/>
    </row>
    <row r="3326" hidden="1" ht="16.05" customHeight="1">
      <c r="A3326" s="125" t="n">
        <v>4003</v>
      </c>
      <c r="C3326" s="130" t="inlineStr">
        <is>
          <t>Москва</t>
        </is>
      </c>
      <c r="D3326" s="130" t="inlineStr">
        <is>
          <t>Москва</t>
        </is>
      </c>
      <c r="E3326" s="130" t="n"/>
      <c r="F3326" s="130" t="inlineStr">
        <is>
          <t>ТРЦ</t>
        </is>
      </c>
      <c r="G3326" s="130" t="inlineStr">
        <is>
          <t>ТРЦ</t>
        </is>
      </c>
      <c r="H3326" s="131" t="n">
        <v>19978</v>
      </c>
      <c r="I3326" s="637" t="inlineStr">
        <is>
          <t xml:space="preserve">Облака </t>
        </is>
      </c>
      <c r="J3326" s="637" t="inlineStr">
        <is>
          <t>MSK_TRC_Oblaka_1</t>
        </is>
      </c>
      <c r="K3326" s="640" t="n">
        <v>1</v>
      </c>
      <c r="L3326" s="640" t="n">
        <v>0</v>
      </c>
      <c r="M3326" s="640" t="inlineStr">
        <is>
          <t>2,74 Х 1,58</t>
        </is>
      </c>
      <c r="N3326" s="640" t="n"/>
      <c r="O3326" s="640">
        <f>IF(AND(N3326=1,L3326=1),K3326,"")</f>
        <v/>
      </c>
      <c r="P3326" s="642" t="inlineStr">
        <is>
          <t>г. Москва, Ореховый бульвар, 22А</t>
        </is>
      </c>
      <c r="Q3326" s="640" t="inlineStr">
        <is>
          <t>55.612045</t>
        </is>
      </c>
      <c r="R3326" s="422" t="inlineStr">
        <is>
          <t>37.732718</t>
        </is>
      </c>
      <c r="S3326" s="387" t="n">
        <v>697.3199999999998</v>
      </c>
      <c r="T3326" s="387">
        <f>N3326*S3326</f>
        <v/>
      </c>
      <c r="X3326" s="1" t="n"/>
      <c r="Y3326" s="1" t="n"/>
      <c r="Z3326" s="1" t="n"/>
    </row>
    <row r="3327" hidden="1" ht="16.05" customHeight="1">
      <c r="A3327" s="125" t="n">
        <v>4004</v>
      </c>
      <c r="B3327" s="791" t="n"/>
      <c r="C3327" s="130" t="inlineStr">
        <is>
          <t>Москва</t>
        </is>
      </c>
      <c r="D3327" s="130" t="inlineStr">
        <is>
          <t>Москва</t>
        </is>
      </c>
      <c r="E3327" s="130" t="n"/>
      <c r="F3327" s="130" t="inlineStr">
        <is>
          <t>ТРЦ</t>
        </is>
      </c>
      <c r="G3327" s="130" t="inlineStr">
        <is>
          <t>ТРЦ</t>
        </is>
      </c>
      <c r="H3327" s="131" t="n">
        <v>32017</v>
      </c>
      <c r="I3327" s="637" t="inlineStr">
        <is>
          <t xml:space="preserve">Филион </t>
        </is>
      </c>
      <c r="J3327" s="637" t="inlineStr">
        <is>
          <t>MSK_TRC_Filion_1</t>
        </is>
      </c>
      <c r="K3327" s="640" t="n">
        <v>1</v>
      </c>
      <c r="L3327" s="640" t="n">
        <v>0</v>
      </c>
      <c r="M3327" s="640" t="inlineStr">
        <is>
          <t>2,44x1,39</t>
        </is>
      </c>
      <c r="N3327" s="640" t="n"/>
      <c r="O3327" s="640">
        <f>IF(AND(N3327=1,L3327=1),K3327,"")</f>
        <v/>
      </c>
      <c r="P3327" s="642" t="inlineStr">
        <is>
          <t>г. Москва, Багратионовский проезд, 5</t>
        </is>
      </c>
      <c r="Q3327" s="640" t="inlineStr">
        <is>
          <t>55.743649</t>
        </is>
      </c>
      <c r="R3327" s="422" t="inlineStr">
        <is>
          <t>37.508122</t>
        </is>
      </c>
      <c r="S3327" s="387" t="n">
        <v>1132.56</v>
      </c>
      <c r="T3327" s="387">
        <f>N3327*S3327</f>
        <v/>
      </c>
      <c r="X3327" s="1" t="n"/>
      <c r="Y3327" s="1" t="n"/>
      <c r="Z3327" s="1" t="n"/>
    </row>
    <row r="3328" hidden="1" ht="16.05" customHeight="1">
      <c r="A3328" s="125" t="n">
        <v>4005</v>
      </c>
      <c r="C3328" s="130" t="inlineStr">
        <is>
          <t>Москва</t>
        </is>
      </c>
      <c r="D3328" s="130" t="inlineStr">
        <is>
          <t>Москва</t>
        </is>
      </c>
      <c r="E3328" s="130" t="n"/>
      <c r="F3328" s="130" t="inlineStr">
        <is>
          <t>ТРЦ</t>
        </is>
      </c>
      <c r="G3328" s="130" t="inlineStr">
        <is>
          <t>ТРЦ</t>
        </is>
      </c>
      <c r="H3328" s="131" t="n">
        <v>32017</v>
      </c>
      <c r="I3328" s="637" t="inlineStr">
        <is>
          <t xml:space="preserve">Филион </t>
        </is>
      </c>
      <c r="J3328" s="637" t="inlineStr">
        <is>
          <t>MSK_TRC_Filion_2</t>
        </is>
      </c>
      <c r="K3328" s="640" t="n">
        <v>1</v>
      </c>
      <c r="L3328" s="640" t="n">
        <v>0</v>
      </c>
      <c r="M3328" s="640" t="inlineStr">
        <is>
          <t>2,44x1,39</t>
        </is>
      </c>
      <c r="N3328" s="640" t="n"/>
      <c r="O3328" s="640">
        <f>IF(AND(N3328=1,L3328=1),K3328,"")</f>
        <v/>
      </c>
      <c r="P3328" s="642" t="inlineStr">
        <is>
          <t>г. Москва, Багратионовский проезд, 5</t>
        </is>
      </c>
      <c r="Q3328" s="640" t="inlineStr">
        <is>
          <t>55.743649</t>
        </is>
      </c>
      <c r="R3328" s="422" t="inlineStr">
        <is>
          <t>37.508122</t>
        </is>
      </c>
      <c r="S3328" s="387" t="n">
        <v>1132.56</v>
      </c>
      <c r="T3328" s="387">
        <f>N3328*S3328</f>
        <v/>
      </c>
      <c r="X3328" s="1" t="n"/>
      <c r="Y3328" s="1" t="n"/>
      <c r="Z3328" s="1" t="n"/>
    </row>
    <row r="3329" hidden="1" ht="16.05" customHeight="1">
      <c r="A3329" s="125" t="n">
        <v>4006</v>
      </c>
      <c r="B3329" s="791" t="n"/>
      <c r="C3329" s="130" t="inlineStr">
        <is>
          <t>Москва</t>
        </is>
      </c>
      <c r="D3329" s="130" t="inlineStr">
        <is>
          <t>Москва</t>
        </is>
      </c>
      <c r="E3329" s="130" t="n"/>
      <c r="F3329" s="130" t="inlineStr">
        <is>
          <t>ТРЦ</t>
        </is>
      </c>
      <c r="G3329" s="130" t="inlineStr">
        <is>
          <t>ТРЦ</t>
        </is>
      </c>
      <c r="H3329" s="131" t="n">
        <v>32017</v>
      </c>
      <c r="I3329" s="637" t="inlineStr">
        <is>
          <t xml:space="preserve">Филион </t>
        </is>
      </c>
      <c r="J3329" s="637" t="inlineStr">
        <is>
          <t>MSK_TRC_Filion_3</t>
        </is>
      </c>
      <c r="K3329" s="640" t="n">
        <v>1</v>
      </c>
      <c r="L3329" s="640" t="n">
        <v>0</v>
      </c>
      <c r="M3329" s="640" t="inlineStr">
        <is>
          <t>2,44x1,39</t>
        </is>
      </c>
      <c r="N3329" s="640" t="n"/>
      <c r="O3329" s="640">
        <f>IF(AND(N3329=1,L3329=1),K3329,"")</f>
        <v/>
      </c>
      <c r="P3329" s="642" t="inlineStr">
        <is>
          <t>г. Москва, Багратионовский проезд, 5</t>
        </is>
      </c>
      <c r="Q3329" s="640" t="inlineStr">
        <is>
          <t>55.743649</t>
        </is>
      </c>
      <c r="R3329" s="422" t="inlineStr">
        <is>
          <t>37.508122</t>
        </is>
      </c>
      <c r="S3329" s="387" t="n">
        <v>1132.56</v>
      </c>
      <c r="T3329" s="387">
        <f>N3329*S3329</f>
        <v/>
      </c>
      <c r="X3329" s="1" t="n"/>
      <c r="Y3329" s="1" t="n"/>
      <c r="Z3329" s="1" t="n"/>
    </row>
    <row r="3330" hidden="1" ht="16.05" customHeight="1">
      <c r="A3330" s="125" t="n">
        <v>4009</v>
      </c>
      <c r="C3330" s="130" t="inlineStr">
        <is>
          <t>Москва</t>
        </is>
      </c>
      <c r="D3330" s="130" t="inlineStr">
        <is>
          <t>Московская область</t>
        </is>
      </c>
      <c r="E3330" s="130" t="inlineStr">
        <is>
          <t>М-4</t>
        </is>
      </c>
      <c r="F3330" s="130" t="inlineStr">
        <is>
          <t>Платная трасса</t>
        </is>
      </c>
      <c r="G3330" s="130" t="inlineStr">
        <is>
          <t>Автодор</t>
        </is>
      </c>
      <c r="H3330" s="131" t="inlineStr">
        <is>
          <t>ПП 51 км</t>
        </is>
      </c>
      <c r="I3330" s="637" t="inlineStr">
        <is>
          <t>AVD_М4_V01_51</t>
        </is>
      </c>
      <c r="J3330" s="637" t="inlineStr">
        <is>
          <t>AVD_М4_V01_51</t>
        </is>
      </c>
      <c r="K3330" s="640" t="n">
        <v>1</v>
      </c>
      <c r="L3330" s="640" t="n">
        <v>0</v>
      </c>
      <c r="M3330" s="640" t="inlineStr">
        <is>
          <t>Samsung 43" горизонтальный</t>
        </is>
      </c>
      <c r="N3330" s="640" t="n"/>
      <c r="O3330" s="640">
        <f>IF(AND(N3330=1,L3330=1),K3330,"")</f>
        <v/>
      </c>
      <c r="P3330" s="415" t="inlineStr">
        <is>
          <t>Московская обл., (г. Домодедово) 51 км Автомобильной дороги М-4 Дон. Расположен по направлению из Москвы</t>
        </is>
      </c>
      <c r="Q3330" s="640" t="inlineStr">
        <is>
          <t>55.324453</t>
        </is>
      </c>
      <c r="R3330" s="422" t="inlineStr">
        <is>
          <t>37.810814</t>
        </is>
      </c>
      <c r="Z3330" s="1" t="n"/>
    </row>
    <row r="3331" hidden="1" ht="16.05" customHeight="1">
      <c r="A3331" s="125" t="n">
        <v>4008</v>
      </c>
      <c r="B3331" s="791" t="n"/>
      <c r="C3331" s="130" t="inlineStr">
        <is>
          <t>Москва</t>
        </is>
      </c>
      <c r="D3331" s="130" t="inlineStr">
        <is>
          <t>Московская область</t>
        </is>
      </c>
      <c r="E3331" s="130" t="inlineStr">
        <is>
          <t>М-4</t>
        </is>
      </c>
      <c r="F3331" s="130" t="inlineStr">
        <is>
          <t>Платная трасса</t>
        </is>
      </c>
      <c r="G3331" s="130" t="inlineStr">
        <is>
          <t>Автодор</t>
        </is>
      </c>
      <c r="H3331" s="131" t="inlineStr">
        <is>
          <t>ПП 33 км</t>
        </is>
      </c>
      <c r="I3331" s="637" t="inlineStr">
        <is>
          <t>М4_S01</t>
        </is>
      </c>
      <c r="J3331" s="637" t="inlineStr">
        <is>
          <t>М4_S01</t>
        </is>
      </c>
      <c r="K3331" s="640" t="n">
        <v>1</v>
      </c>
      <c r="L3331" s="640" t="n">
        <v>0</v>
      </c>
      <c r="M3331" s="640" t="inlineStr">
        <is>
          <t>Samsung 43" горизонтальный</t>
        </is>
      </c>
      <c r="N3331" s="640" t="n"/>
      <c r="O3331" s="640">
        <f>IF(AND(N3331=1,L3331=1),K3331,"")</f>
        <v/>
      </c>
      <c r="P3331" s="642" t="inlineStr">
        <is>
          <t>Московская область, (г. Домодедово) 33 км, Автомобильной дороги М-4 Дон</t>
        </is>
      </c>
      <c r="Q3331" s="640" t="inlineStr">
        <is>
          <t>55.471636</t>
        </is>
      </c>
      <c r="R3331" s="422" t="inlineStr">
        <is>
          <t>37.750649</t>
        </is>
      </c>
      <c r="X3331" s="1" t="n"/>
      <c r="Y3331" s="1" t="n"/>
      <c r="Z3331" s="1" t="n"/>
    </row>
    <row r="3332" hidden="1" ht="16.05" customHeight="1">
      <c r="A3332" s="125" t="n">
        <v>4010</v>
      </c>
      <c r="C3332" s="130" t="inlineStr">
        <is>
          <t>Москва</t>
        </is>
      </c>
      <c r="D3332" s="130" t="inlineStr">
        <is>
          <t>Московская область</t>
        </is>
      </c>
      <c r="E3332" s="130" t="inlineStr">
        <is>
          <t>М-4</t>
        </is>
      </c>
      <c r="F3332" s="130" t="inlineStr">
        <is>
          <t>Платная трасса</t>
        </is>
      </c>
      <c r="G3332" s="130" t="inlineStr">
        <is>
          <t>Автодор</t>
        </is>
      </c>
      <c r="H3332" s="131" t="inlineStr">
        <is>
          <t>ПП 71 км</t>
        </is>
      </c>
      <c r="I3332" s="637" t="inlineStr">
        <is>
          <t>AVD_M4_S02_71</t>
        </is>
      </c>
      <c r="J3332" s="637" t="inlineStr">
        <is>
          <t>AVD_M4_S02_71</t>
        </is>
      </c>
      <c r="K3332" s="640" t="n">
        <v>1</v>
      </c>
      <c r="L3332" s="640" t="n">
        <v>0</v>
      </c>
      <c r="M3332" s="640" t="inlineStr">
        <is>
          <t>Samsung 43" горизонтальный</t>
        </is>
      </c>
      <c r="N3332" s="640" t="n"/>
      <c r="O3332" s="640">
        <f>IF(AND(N3332=1,L3332=1),K3332,"")</f>
        <v/>
      </c>
      <c r="P3332" s="642" t="inlineStr">
        <is>
          <t>Московская обл. (г. Домодедово), 71 км Автомобильной дороги М-4 Дон. Расположен по направлению в Москву до пересечения Пункта взимания платы 71 км.</t>
        </is>
      </c>
      <c r="Q3332" s="640" t="inlineStr">
        <is>
          <t>55.168305</t>
        </is>
      </c>
      <c r="R3332" s="422" t="inlineStr">
        <is>
          <t>37.920794</t>
        </is>
      </c>
      <c r="Z3332" s="1" t="n"/>
    </row>
    <row r="3333" hidden="1" ht="16.05" customHeight="1">
      <c r="A3333" s="125" t="n">
        <v>4011</v>
      </c>
      <c r="B3333" s="791" t="n"/>
      <c r="C3333" s="130" t="inlineStr">
        <is>
          <t>Тула</t>
        </is>
      </c>
      <c r="D3333" s="130" t="inlineStr">
        <is>
          <t>Тульская область</t>
        </is>
      </c>
      <c r="E3333" s="130" t="inlineStr">
        <is>
          <t>М-4</t>
        </is>
      </c>
      <c r="F3333" s="130" t="inlineStr">
        <is>
          <t>Платная трасса</t>
        </is>
      </c>
      <c r="G3333" s="130" t="inlineStr">
        <is>
          <t>Автодор</t>
        </is>
      </c>
      <c r="H3333" s="131" t="inlineStr">
        <is>
          <t>ПП 133 км</t>
        </is>
      </c>
      <c r="I3333" s="637" t="inlineStr">
        <is>
          <t>AVD_М4_V02_133</t>
        </is>
      </c>
      <c r="J3333" s="637" t="inlineStr">
        <is>
          <t>AVD_М4_V02_133</t>
        </is>
      </c>
      <c r="K3333" s="640" t="n">
        <v>1</v>
      </c>
      <c r="L3333" s="640" t="n">
        <v>0</v>
      </c>
      <c r="M3333" s="640" t="inlineStr">
        <is>
          <t>Samsung 43" горизонтальный</t>
        </is>
      </c>
      <c r="N3333" s="640" t="n"/>
      <c r="O3333" s="640">
        <f>IF(AND(N3333=1,L3333=1),K3333,"")</f>
        <v/>
      </c>
      <c r="P3333" s="642" t="inlineStr">
        <is>
          <t>Тульская обл., Веневский р-н, 133 км Автомобильной дороги М-4 Дон.Расположен по направлению из Москвы</t>
        </is>
      </c>
      <c r="Q3333" s="640" t="inlineStr">
        <is>
          <t>54.69245</t>
        </is>
      </c>
      <c r="R3333" s="422" t="inlineStr">
        <is>
          <t>38.161579</t>
        </is>
      </c>
      <c r="Z3333" s="1" t="n"/>
    </row>
    <row r="3334" hidden="1" ht="16.05" customHeight="1">
      <c r="A3334" s="125" t="n">
        <v>4012</v>
      </c>
      <c r="C3334" s="130" t="inlineStr">
        <is>
          <t>Тула</t>
        </is>
      </c>
      <c r="D3334" s="130" t="inlineStr">
        <is>
          <t>Тульская область</t>
        </is>
      </c>
      <c r="E3334" s="130" t="inlineStr">
        <is>
          <t>М-4</t>
        </is>
      </c>
      <c r="F3334" s="130" t="inlineStr">
        <is>
          <t>Платная трасса</t>
        </is>
      </c>
      <c r="G3334" s="130" t="inlineStr">
        <is>
          <t>Автодор</t>
        </is>
      </c>
      <c r="H3334" s="131" t="inlineStr">
        <is>
          <t>ПП 227 км</t>
        </is>
      </c>
      <c r="I3334" s="637" t="inlineStr">
        <is>
          <t>AVD_М4_V03_227</t>
        </is>
      </c>
      <c r="J3334" s="637" t="inlineStr">
        <is>
          <t>AVD_М4_V03_227</t>
        </is>
      </c>
      <c r="K3334" s="640" t="n">
        <v>1</v>
      </c>
      <c r="L3334" s="640" t="n">
        <v>0</v>
      </c>
      <c r="M3334" s="640" t="inlineStr">
        <is>
          <t>Samsung 43" горизонтальный</t>
        </is>
      </c>
      <c r="N3334" s="640" t="n"/>
      <c r="O3334" s="640">
        <f>IF(AND(N3334=1,L3334=1),K3334,"")</f>
        <v/>
      </c>
      <c r="P3334" s="642" t="inlineStr">
        <is>
          <t>Тульская обл., Киреевский р-н, 227 км Автомобильной дороги М-4 Дон. Расположен по направлению из Москвы</t>
        </is>
      </c>
      <c r="Q3334" s="640" t="inlineStr">
        <is>
          <t>53.878853</t>
        </is>
      </c>
      <c r="R3334" s="422" t="inlineStr">
        <is>
          <t>38.04794</t>
        </is>
      </c>
      <c r="Z3334" s="1" t="n"/>
    </row>
    <row r="3335" hidden="1" ht="16.05" customHeight="1">
      <c r="A3335" s="125" t="n">
        <v>4013</v>
      </c>
      <c r="B3335" s="791" t="n"/>
      <c r="C3335" s="130" t="inlineStr">
        <is>
          <t>Тула</t>
        </is>
      </c>
      <c r="D3335" s="130" t="inlineStr">
        <is>
          <t>Тульская область</t>
        </is>
      </c>
      <c r="E3335" s="130" t="inlineStr">
        <is>
          <t>М-4</t>
        </is>
      </c>
      <c r="F3335" s="130" t="inlineStr">
        <is>
          <t>Платная трасса</t>
        </is>
      </c>
      <c r="G3335" s="130" t="inlineStr">
        <is>
          <t>Автодор</t>
        </is>
      </c>
      <c r="H3335" s="131" t="inlineStr">
        <is>
          <t>ПП 322 км</t>
        </is>
      </c>
      <c r="I3335" s="637" t="inlineStr">
        <is>
          <t>AVD_М4_V04_322</t>
        </is>
      </c>
      <c r="J3335" s="637" t="inlineStr">
        <is>
          <t>AVD_М4_V04_322</t>
        </is>
      </c>
      <c r="K3335" s="640" t="n">
        <v>1</v>
      </c>
      <c r="L3335" s="640" t="n">
        <v>0</v>
      </c>
      <c r="M3335" s="640" t="inlineStr">
        <is>
          <t>Samsung 43" горизонтальный</t>
        </is>
      </c>
      <c r="N3335" s="640" t="n"/>
      <c r="O3335" s="640">
        <f>IF(AND(N3335=1,L3335=1),K3335,"")</f>
        <v/>
      </c>
      <c r="P3335" s="642" t="inlineStr">
        <is>
          <t>Тульская обл., Ефремовский р-н, 322 км Автомобильной дороги М-4 Дон. Расположен по направлению из Москвы</t>
        </is>
      </c>
      <c r="Q3335" s="640" t="inlineStr">
        <is>
          <t>53.086684</t>
        </is>
      </c>
      <c r="R3335" s="422" t="inlineStr">
        <is>
          <t>38.168622</t>
        </is>
      </c>
      <c r="Z3335" s="1" t="n"/>
    </row>
    <row r="3336" hidden="1" ht="16.05" customHeight="1">
      <c r="A3336" s="125" t="n">
        <v>4014</v>
      </c>
      <c r="C3336" s="130" t="inlineStr">
        <is>
          <t>Липецк</t>
        </is>
      </c>
      <c r="D3336" s="130" t="inlineStr">
        <is>
          <t>Липецкая область</t>
        </is>
      </c>
      <c r="E3336" s="130" t="inlineStr">
        <is>
          <t>М-4</t>
        </is>
      </c>
      <c r="F3336" s="130" t="inlineStr">
        <is>
          <t>Платная трасса</t>
        </is>
      </c>
      <c r="G3336" s="130" t="inlineStr">
        <is>
          <t>Автодор</t>
        </is>
      </c>
      <c r="H3336" s="131" t="inlineStr">
        <is>
          <t>ПП 339 км</t>
        </is>
      </c>
      <c r="I3336" s="637" t="inlineStr">
        <is>
          <t>AVD_M4_S03_339</t>
        </is>
      </c>
      <c r="J3336" s="637" t="inlineStr">
        <is>
          <t>AVD_M4_S03_339</t>
        </is>
      </c>
      <c r="K3336" s="640" t="n">
        <v>1</v>
      </c>
      <c r="L3336" s="640" t="n">
        <v>0</v>
      </c>
      <c r="M3336" s="640" t="inlineStr">
        <is>
          <t>Samsung 43" горизонтальный</t>
        </is>
      </c>
      <c r="N3336" s="640" t="n"/>
      <c r="O3336" s="640">
        <f>IF(AND(N3336=1,L3336=1),K3336,"")</f>
        <v/>
      </c>
      <c r="P3336" s="642" t="inlineStr">
        <is>
          <t>Липецкая обл., Становлянский р-н, д. Яркино, 339 км Автомобильной дороги М-4 Дон. Расположен по направлению из Москвы</t>
        </is>
      </c>
      <c r="Q3336" s="640" t="inlineStr">
        <is>
          <t>52.931667</t>
        </is>
      </c>
      <c r="R3336" s="422" t="inlineStr">
        <is>
          <t>38.21383</t>
        </is>
      </c>
      <c r="Z3336" s="1" t="n"/>
    </row>
    <row r="3337" hidden="1" ht="16.05" customHeight="1">
      <c r="A3337" s="125" t="n">
        <v>4015</v>
      </c>
      <c r="B3337" s="791" t="n"/>
      <c r="C3337" s="130" t="inlineStr">
        <is>
          <t>Воронеж</t>
        </is>
      </c>
      <c r="D3337" s="130" t="inlineStr">
        <is>
          <t xml:space="preserve">Воронеж </t>
        </is>
      </c>
      <c r="E3337" s="130" t="inlineStr">
        <is>
          <t>М-4</t>
        </is>
      </c>
      <c r="F3337" s="130" t="inlineStr">
        <is>
          <t>Платная трасса</t>
        </is>
      </c>
      <c r="G3337" s="130" t="inlineStr">
        <is>
          <t>Автодор</t>
        </is>
      </c>
      <c r="H3337" s="131" t="inlineStr">
        <is>
          <t>Офис Воронеж</t>
        </is>
      </c>
      <c r="I3337" s="637" t="inlineStr">
        <is>
          <t>AVD_M4_S04_VRN</t>
        </is>
      </c>
      <c r="J3337" s="637" t="inlineStr">
        <is>
          <t>AVD_M4_S04_VRN</t>
        </is>
      </c>
      <c r="K3337" s="640" t="n">
        <v>1</v>
      </c>
      <c r="L3337" s="640" t="n">
        <v>0</v>
      </c>
      <c r="M3337" s="640" t="inlineStr">
        <is>
          <t>Samsung 43" горизонтальный</t>
        </is>
      </c>
      <c r="N3337" s="640" t="n"/>
      <c r="O3337" s="640">
        <f>IF(AND(N3337=1,L3337=1),K3337,"")</f>
        <v/>
      </c>
      <c r="P3337" s="642" t="inlineStr">
        <is>
          <t>г. Воронеж, Московский проспект, 7Е, офис 216</t>
        </is>
      </c>
      <c r="Q3337" s="640" t="inlineStr">
        <is>
          <t>51.68346</t>
        </is>
      </c>
      <c r="R3337" s="422" t="inlineStr">
        <is>
          <t>39.18336</t>
        </is>
      </c>
      <c r="Z3337" s="1" t="n"/>
    </row>
    <row r="3338" hidden="1" ht="16.05" customHeight="1">
      <c r="A3338" s="125" t="n">
        <v>4016</v>
      </c>
      <c r="C3338" s="130" t="inlineStr">
        <is>
          <t>Воронеж</t>
        </is>
      </c>
      <c r="D3338" s="130" t="inlineStr">
        <is>
          <t xml:space="preserve">Воронеж </t>
        </is>
      </c>
      <c r="E3338" s="130" t="inlineStr">
        <is>
          <t>М-4</t>
        </is>
      </c>
      <c r="F3338" s="130" t="inlineStr">
        <is>
          <t>Платная трасса</t>
        </is>
      </c>
      <c r="G3338" s="130" t="inlineStr">
        <is>
          <t>Автодор</t>
        </is>
      </c>
      <c r="H3338" s="131" t="inlineStr">
        <is>
          <t>ПП 515 км</t>
        </is>
      </c>
      <c r="I3338" s="637" t="inlineStr">
        <is>
          <t>AVD_М4_V05_515</t>
        </is>
      </c>
      <c r="J3338" s="637" t="inlineStr">
        <is>
          <t>AVD_М4_V05_515</t>
        </is>
      </c>
      <c r="K3338" s="640" t="n">
        <v>1</v>
      </c>
      <c r="L3338" s="640" t="n">
        <v>0</v>
      </c>
      <c r="M3338" s="640" t="inlineStr">
        <is>
          <t>Samsung 43" горизонтальный</t>
        </is>
      </c>
      <c r="N3338" s="640" t="n"/>
      <c r="O3338" s="640">
        <f>IF(AND(N3338=1,L3338=1),K3338,"")</f>
        <v/>
      </c>
      <c r="P3338" s="642" t="inlineStr">
        <is>
          <t>Воронежская область, 515 км Автомобильной дороги М-4 Дон. Расположен по направлению в Москву</t>
        </is>
      </c>
      <c r="Q3338" s="640" t="inlineStr">
        <is>
          <t>51.66328</t>
        </is>
      </c>
      <c r="R3338" s="422" t="inlineStr">
        <is>
          <t>39.303692</t>
        </is>
      </c>
      <c r="Z3338" s="1" t="n"/>
    </row>
    <row r="3339" hidden="1" ht="16.05" customHeight="1">
      <c r="A3339" s="125" t="n">
        <v>4017</v>
      </c>
      <c r="B3339" s="791" t="n"/>
      <c r="C3339" s="130" t="inlineStr">
        <is>
          <t>Воронеж</t>
        </is>
      </c>
      <c r="D3339" s="130" t="inlineStr">
        <is>
          <t>Воронежская область</t>
        </is>
      </c>
      <c r="E3339" s="130" t="inlineStr">
        <is>
          <t>М-4</t>
        </is>
      </c>
      <c r="F3339" s="130" t="inlineStr">
        <is>
          <t>Платная трасса</t>
        </is>
      </c>
      <c r="G3339" s="130" t="inlineStr">
        <is>
          <t>Автодор</t>
        </is>
      </c>
      <c r="H3339" s="131" t="inlineStr">
        <is>
          <t>ПП 545 км (М4)</t>
        </is>
      </c>
      <c r="I3339" s="637" t="inlineStr">
        <is>
          <t>AVD_М4_V06_545</t>
        </is>
      </c>
      <c r="J3339" s="637" t="inlineStr">
        <is>
          <t>AVD_М4_V06_545</t>
        </is>
      </c>
      <c r="K3339" s="640" t="n">
        <v>1</v>
      </c>
      <c r="L3339" s="640" t="n">
        <v>0</v>
      </c>
      <c r="M3339" s="640" t="inlineStr">
        <is>
          <t>Samsung 43" горизонтальный</t>
        </is>
      </c>
      <c r="N3339" s="640" t="n"/>
      <c r="O3339" s="640">
        <f>IF(AND(N3339=1,L3339=1),K3339,"")</f>
        <v/>
      </c>
      <c r="P3339" s="642" t="inlineStr">
        <is>
          <t>Воронежская область, Новоусманский р-н, с. Рогачевка, 545 км Автомобильной дороги М-4 Дон, ПВП Расположен по направлению из Москвы</t>
        </is>
      </c>
      <c r="Q3339" s="640" t="inlineStr">
        <is>
          <t>51.470225</t>
        </is>
      </c>
      <c r="R3339" s="422" t="inlineStr">
        <is>
          <t>39.553168</t>
        </is>
      </c>
      <c r="Z3339" s="1" t="n"/>
    </row>
    <row r="3340" hidden="1" ht="16.05" customHeight="1">
      <c r="A3340" s="125" t="n">
        <v>4018</v>
      </c>
      <c r="C3340" s="130" t="inlineStr">
        <is>
          <t>Воронеж</t>
        </is>
      </c>
      <c r="D3340" s="130" t="inlineStr">
        <is>
          <t>Воронежская область</t>
        </is>
      </c>
      <c r="E3340" s="130" t="inlineStr">
        <is>
          <t>М-4</t>
        </is>
      </c>
      <c r="F3340" s="130" t="inlineStr">
        <is>
          <t>Платная трасса</t>
        </is>
      </c>
      <c r="G3340" s="130" t="inlineStr">
        <is>
          <t>Автодор</t>
        </is>
      </c>
      <c r="H3340" s="131" t="inlineStr">
        <is>
          <t>ПП 620 км</t>
        </is>
      </c>
      <c r="I3340" s="637" t="inlineStr">
        <is>
          <t>AVD_М4_V07_620</t>
        </is>
      </c>
      <c r="J3340" s="637" t="inlineStr">
        <is>
          <t>AVD_М4_V07_620</t>
        </is>
      </c>
      <c r="K3340" s="640" t="n">
        <v>1</v>
      </c>
      <c r="L3340" s="640" t="n">
        <v>0</v>
      </c>
      <c r="M3340" s="640" t="inlineStr">
        <is>
          <t>Samsung 43" горизонтальный</t>
        </is>
      </c>
      <c r="N3340" s="640" t="n"/>
      <c r="O3340" s="640">
        <f>IF(AND(N3340=1,L3340=1),K3340,"")</f>
        <v/>
      </c>
      <c r="P3340" s="642" t="inlineStr">
        <is>
          <t>Воронежская область, Бобровский р-н, с. Липовка, 620 км Автомобильной дороги М-4 Дон, ПВП Расположен по направлению из Москвы</t>
        </is>
      </c>
      <c r="Q3340" s="640" t="inlineStr">
        <is>
          <t>50.866807</t>
        </is>
      </c>
      <c r="R3340" s="422" t="inlineStr">
        <is>
          <t>39.975172</t>
        </is>
      </c>
      <c r="Z3340" s="1" t="n"/>
    </row>
    <row r="3341" hidden="1" ht="16.05" customHeight="1">
      <c r="A3341" s="125" t="n">
        <v>4019</v>
      </c>
      <c r="B3341" s="791" t="n"/>
      <c r="C3341" s="130" t="inlineStr">
        <is>
          <t>Ростов-на-Дону</t>
        </is>
      </c>
      <c r="D3341" s="130" t="inlineStr">
        <is>
          <t>Ростов-на-Дону</t>
        </is>
      </c>
      <c r="E3341" s="130" t="inlineStr">
        <is>
          <t>М-4</t>
        </is>
      </c>
      <c r="F3341" s="130" t="inlineStr">
        <is>
          <t>Платная трасса</t>
        </is>
      </c>
      <c r="G3341" s="130" t="inlineStr">
        <is>
          <t>Автодор</t>
        </is>
      </c>
      <c r="H3341" s="131" t="inlineStr">
        <is>
          <t>Офис Ростов-на-Дону</t>
        </is>
      </c>
      <c r="I3341" s="637" t="inlineStr">
        <is>
          <t>AVD_М4_V08_RND</t>
        </is>
      </c>
      <c r="J3341" s="637" t="inlineStr">
        <is>
          <t>AVD_М4_V08_RND</t>
        </is>
      </c>
      <c r="K3341" s="640" t="n">
        <v>1</v>
      </c>
      <c r="L3341" s="640" t="n">
        <v>0</v>
      </c>
      <c r="M3341" s="640" t="inlineStr">
        <is>
          <t>Samsung 43" горизонтальный</t>
        </is>
      </c>
      <c r="N3341" s="640" t="n"/>
      <c r="O3341" s="640">
        <f>IF(AND(N3341=1,L3341=1),K3341,"")</f>
        <v/>
      </c>
      <c r="P3341" s="642" t="inlineStr">
        <is>
          <t>г. Ростов-на-Дону, проспект Буденновский 3/3 ,офис 505</t>
        </is>
      </c>
      <c r="Q3341" s="640" t="inlineStr">
        <is>
          <t>47.21553</t>
        </is>
      </c>
      <c r="R3341" s="422" t="inlineStr">
        <is>
          <t>39.709174</t>
        </is>
      </c>
      <c r="Z3341" s="1" t="n"/>
    </row>
    <row r="3342" hidden="1" ht="16.05" customHeight="1">
      <c r="A3342" s="125" t="n">
        <v>4020</v>
      </c>
      <c r="C3342" s="130" t="inlineStr">
        <is>
          <t>Ростов-на-Дону</t>
        </is>
      </c>
      <c r="D3342" s="130" t="inlineStr">
        <is>
          <t>Ростовская область</t>
        </is>
      </c>
      <c r="E3342" s="130" t="inlineStr">
        <is>
          <t>М-4</t>
        </is>
      </c>
      <c r="F3342" s="130" t="inlineStr">
        <is>
          <t>Платная трасса</t>
        </is>
      </c>
      <c r="G3342" s="130" t="inlineStr">
        <is>
          <t>Автодор</t>
        </is>
      </c>
      <c r="H3342" s="131" t="inlineStr">
        <is>
          <t>ПП 1093 км</t>
        </is>
      </c>
      <c r="I3342" s="637" t="inlineStr">
        <is>
          <t>AVD_M4_S06_1093</t>
        </is>
      </c>
      <c r="J3342" s="637" t="inlineStr">
        <is>
          <t>AVD_M4_S06_1093</t>
        </is>
      </c>
      <c r="K3342" s="640" t="n">
        <v>1</v>
      </c>
      <c r="L3342" s="640" t="n">
        <v>0</v>
      </c>
      <c r="M3342" s="640" t="inlineStr">
        <is>
          <t>Samsung 43" горизонтальный</t>
        </is>
      </c>
      <c r="N3342" s="640" t="n"/>
      <c r="O3342" s="640">
        <f>IF(AND(N3342=1,L3342=1),K3342,"")</f>
        <v/>
      </c>
      <c r="P3342" s="642" t="inlineStr">
        <is>
          <t>Ростовская область, Азовский район, 1093 км Автомобильной дороги М-4 Дон. Расположен по направлению из Москвы</t>
        </is>
      </c>
      <c r="Q3342" s="640" t="inlineStr">
        <is>
          <t>47.0133</t>
        </is>
      </c>
      <c r="R3342" s="422" t="inlineStr">
        <is>
          <t>39.733123</t>
        </is>
      </c>
      <c r="Z3342" s="1" t="n"/>
    </row>
    <row r="3343" hidden="1" ht="16.05" customHeight="1">
      <c r="A3343" s="125" t="n">
        <v>4021</v>
      </c>
      <c r="B3343" s="791" t="n"/>
      <c r="C3343" s="130" t="inlineStr">
        <is>
          <t>Краснодар</t>
        </is>
      </c>
      <c r="D3343" s="130" t="inlineStr">
        <is>
          <t>Краснодарский край</t>
        </is>
      </c>
      <c r="E3343" s="130" t="inlineStr">
        <is>
          <t>М-4</t>
        </is>
      </c>
      <c r="F3343" s="130" t="inlineStr">
        <is>
          <t>Платная трасса</t>
        </is>
      </c>
      <c r="G3343" s="130" t="inlineStr">
        <is>
          <t>Автодор</t>
        </is>
      </c>
      <c r="H3343" s="131" t="inlineStr">
        <is>
          <t>ПП 1184 км</t>
        </is>
      </c>
      <c r="I3343" s="637" t="inlineStr">
        <is>
          <t>AVD_M4_S07_1184</t>
        </is>
      </c>
      <c r="J3343" s="637" t="inlineStr">
        <is>
          <t>AVD_M4_S07_1184</t>
        </is>
      </c>
      <c r="K3343" s="640" t="n">
        <v>1</v>
      </c>
      <c r="L3343" s="640" t="n">
        <v>0</v>
      </c>
      <c r="M3343" s="640" t="inlineStr">
        <is>
          <t>Samsung 43" горизонтальный</t>
        </is>
      </c>
      <c r="N3343" s="640" t="n"/>
      <c r="O3343" s="640">
        <f>IF(AND(N3343=1,L3343=1),K3343,"")</f>
        <v/>
      </c>
      <c r="P3343" s="642" t="inlineStr">
        <is>
          <t>Краснодарский край, Павловский район, хутор Веселая Жизнь, 1184 км Автомобильной дороги М-4 Дон, Расположен по направлению в Москву</t>
        </is>
      </c>
      <c r="Q3343" s="640" t="inlineStr">
        <is>
          <t>46.23042</t>
        </is>
      </c>
      <c r="R3343" s="422" t="inlineStr">
        <is>
          <t>39.832006</t>
        </is>
      </c>
      <c r="Z3343" s="1" t="n"/>
    </row>
    <row r="3344" hidden="1" ht="16.05" customHeight="1">
      <c r="A3344" s="125" t="n">
        <v>4022</v>
      </c>
      <c r="C3344" s="130" t="inlineStr">
        <is>
          <t>Краснодар</t>
        </is>
      </c>
      <c r="D3344" s="130" t="inlineStr">
        <is>
          <t>Краснодарский край</t>
        </is>
      </c>
      <c r="E3344" s="130" t="inlineStr">
        <is>
          <t>М-4</t>
        </is>
      </c>
      <c r="F3344" s="130" t="inlineStr">
        <is>
          <t>Платная трасса</t>
        </is>
      </c>
      <c r="G3344" s="130" t="inlineStr">
        <is>
          <t>Автодор</t>
        </is>
      </c>
      <c r="H3344" s="131" t="inlineStr">
        <is>
          <t>ПП 1223 км</t>
        </is>
      </c>
      <c r="I3344" s="637" t="inlineStr">
        <is>
          <t>AVD_M4_S08_1223</t>
        </is>
      </c>
      <c r="J3344" s="637" t="inlineStr">
        <is>
          <t>AVD_M4_S08_1223</t>
        </is>
      </c>
      <c r="K3344" s="640" t="n">
        <v>1</v>
      </c>
      <c r="L3344" s="640" t="n">
        <v>0</v>
      </c>
      <c r="M3344" s="640" t="inlineStr">
        <is>
          <t>Samsung 43" горизонтальный</t>
        </is>
      </c>
      <c r="N3344" s="640" t="n"/>
      <c r="O3344" s="640">
        <f>IF(AND(N3344=1,L3344=1),K3344,"")</f>
        <v/>
      </c>
      <c r="P3344" s="642" t="inlineStr">
        <is>
          <t>Краснодарский край, Павловский район, станица Старолеушковская , 1223 км Автомобильной дороги М-4 Дон. Расположен по направлению в в Москву</t>
        </is>
      </c>
      <c r="Q3344" s="640" t="inlineStr">
        <is>
          <t>45.937719</t>
        </is>
      </c>
      <c r="R3344" s="422" t="inlineStr">
        <is>
          <t>39.717038</t>
        </is>
      </c>
      <c r="Z3344" s="1" t="n"/>
    </row>
    <row r="3345" hidden="1" ht="16.05" customHeight="1">
      <c r="A3345" s="125" t="n">
        <v>4023</v>
      </c>
      <c r="B3345" s="791" t="n"/>
      <c r="C3345" s="130" t="inlineStr">
        <is>
          <t>Краснодар</t>
        </is>
      </c>
      <c r="D3345" s="130" t="inlineStr">
        <is>
          <t>Краснодар</t>
        </is>
      </c>
      <c r="E3345" s="130" t="inlineStr">
        <is>
          <t>М-4</t>
        </is>
      </c>
      <c r="F3345" s="130" t="inlineStr">
        <is>
          <t>Платная трасса</t>
        </is>
      </c>
      <c r="G3345" s="130" t="inlineStr">
        <is>
          <t>Автодор</t>
        </is>
      </c>
      <c r="H3345" s="131" t="inlineStr">
        <is>
          <t>Офис Краснодар</t>
        </is>
      </c>
      <c r="I3345" s="637" t="inlineStr">
        <is>
          <t>AVD_M4_S09_KDR</t>
        </is>
      </c>
      <c r="J3345" s="637" t="inlineStr">
        <is>
          <t>AVD_M4_S09_KDR</t>
        </is>
      </c>
      <c r="K3345" s="640" t="n">
        <v>1</v>
      </c>
      <c r="L3345" s="640" t="n">
        <v>0</v>
      </c>
      <c r="M3345" s="640" t="inlineStr">
        <is>
          <t>Samsung 43" горизонтальный</t>
        </is>
      </c>
      <c r="N3345" s="640" t="n"/>
      <c r="O3345" s="640">
        <f>IF(AND(N3345=1,L3345=1),K3345,"")</f>
        <v/>
      </c>
      <c r="P3345" s="642" t="inlineStr">
        <is>
          <t xml:space="preserve"> г. Краснодар, ул. Уральская 75/1 корпус 1, офис 309</t>
        </is>
      </c>
      <c r="Q3345" s="640" t="inlineStr">
        <is>
          <t>45.032686</t>
        </is>
      </c>
      <c r="R3345" s="422" t="inlineStr">
        <is>
          <t>39.047058</t>
        </is>
      </c>
      <c r="Z3345" s="1" t="n"/>
    </row>
    <row r="3346" hidden="1" ht="16.05" customHeight="1">
      <c r="A3346" s="125" t="n">
        <v>4024</v>
      </c>
      <c r="C3346" s="130" t="inlineStr">
        <is>
          <t>Калуга</t>
        </is>
      </c>
      <c r="D3346" s="130" t="inlineStr">
        <is>
          <t>Калуга</t>
        </is>
      </c>
      <c r="E3346" s="130" t="inlineStr">
        <is>
          <t>М-3</t>
        </is>
      </c>
      <c r="F3346" s="130" t="inlineStr">
        <is>
          <t>Платная трасса</t>
        </is>
      </c>
      <c r="G3346" s="130" t="inlineStr">
        <is>
          <t>Автодор</t>
        </is>
      </c>
      <c r="H3346" s="131" t="inlineStr">
        <is>
          <t>Офис Калуга</t>
        </is>
      </c>
      <c r="I3346" s="637" t="inlineStr">
        <is>
          <t>AVD_M3_V03_KLG</t>
        </is>
      </c>
      <c r="J3346" s="637" t="inlineStr">
        <is>
          <t>AVD_M3_V03_KLG</t>
        </is>
      </c>
      <c r="K3346" s="640" t="n">
        <v>1</v>
      </c>
      <c r="L3346" s="640" t="n">
        <v>0</v>
      </c>
      <c r="M3346" s="640" t="inlineStr">
        <is>
          <t>Samsung 43" горизонтальный</t>
        </is>
      </c>
      <c r="N3346" s="640" t="n"/>
      <c r="O3346" s="640">
        <f>IF(AND(N3346=1,L3346=1),K3346,"")</f>
        <v/>
      </c>
      <c r="P3346" s="642" t="inlineStr">
        <is>
          <t xml:space="preserve"> г. Калуга, ул. Мичурина, д. 1 1, помещение 2. Расположен по направлению из Москвы</t>
        </is>
      </c>
      <c r="Q3346" s="640" t="inlineStr">
        <is>
          <t>54.867318</t>
        </is>
      </c>
      <c r="R3346" s="422" t="inlineStr">
        <is>
          <t>36.347275</t>
        </is>
      </c>
      <c r="Z3346" s="1" t="n"/>
    </row>
    <row r="3347" hidden="1" ht="16.05" customHeight="1">
      <c r="A3347" s="125" t="n">
        <v>4025</v>
      </c>
      <c r="B3347" s="791" t="n"/>
      <c r="C3347" s="130" t="inlineStr">
        <is>
          <t>Калуга</t>
        </is>
      </c>
      <c r="D3347" s="130" t="inlineStr">
        <is>
          <t>Калужская область</t>
        </is>
      </c>
      <c r="E3347" s="130" t="inlineStr">
        <is>
          <t>М-3</t>
        </is>
      </c>
      <c r="F3347" s="130" t="inlineStr">
        <is>
          <t>Платная трасса</t>
        </is>
      </c>
      <c r="G3347" s="130" t="inlineStr">
        <is>
          <t>Автодор</t>
        </is>
      </c>
      <c r="H3347" s="131" t="inlineStr">
        <is>
          <t>ПП 137 км</t>
        </is>
      </c>
      <c r="I3347" s="637" t="inlineStr">
        <is>
          <t>AVD_M3_V01_137</t>
        </is>
      </c>
      <c r="J3347" s="637" t="inlineStr">
        <is>
          <t>AVD_M3_V01_137</t>
        </is>
      </c>
      <c r="K3347" s="640" t="n">
        <v>1</v>
      </c>
      <c r="L3347" s="640" t="n">
        <v>0</v>
      </c>
      <c r="M3347" s="640" t="inlineStr">
        <is>
          <t>Samsung 43" горизонтальный</t>
        </is>
      </c>
      <c r="N3347" s="640" t="n"/>
      <c r="O3347" s="640">
        <f>IF(AND(N3347=1,L3347=1),K3347,"")</f>
        <v/>
      </c>
      <c r="P3347" s="642" t="inlineStr">
        <is>
          <t>Калужская область, Малоярославецкий район, д. Большое Ноздрино, 137 км Автодороги М-3 Украина. Расположен из Москвы</t>
        </is>
      </c>
      <c r="Q3347" s="640" t="inlineStr">
        <is>
          <t>54.6181</t>
        </is>
      </c>
      <c r="R3347" s="422" t="inlineStr">
        <is>
          <t>36.114554</t>
        </is>
      </c>
      <c r="Z3347" s="1" t="n"/>
    </row>
    <row r="3348" hidden="1" ht="16.05" customHeight="1">
      <c r="A3348" s="125" t="n">
        <v>4026</v>
      </c>
      <c r="B3348" s="791" t="n"/>
      <c r="C3348" s="130" t="inlineStr">
        <is>
          <t>Калуга</t>
        </is>
      </c>
      <c r="D3348" s="130" t="inlineStr">
        <is>
          <t>Калужская область</t>
        </is>
      </c>
      <c r="E3348" s="130" t="inlineStr">
        <is>
          <t>М-3</t>
        </is>
      </c>
      <c r="F3348" s="130" t="inlineStr">
        <is>
          <t>Платная трасса</t>
        </is>
      </c>
      <c r="G3348" s="130" t="inlineStr">
        <is>
          <t>Автодор</t>
        </is>
      </c>
      <c r="H3348" s="131" t="inlineStr">
        <is>
          <t>ПП 169 км</t>
        </is>
      </c>
      <c r="I3348" s="637" t="inlineStr">
        <is>
          <t>AVD_M3_V02_169</t>
        </is>
      </c>
      <c r="J3348" s="637" t="inlineStr">
        <is>
          <t>AVD_M3_V02_169</t>
        </is>
      </c>
      <c r="K3348" s="640" t="n">
        <v>1</v>
      </c>
      <c r="L3348" s="640" t="n">
        <v>0</v>
      </c>
      <c r="M3348" s="640" t="inlineStr">
        <is>
          <t>Samsung 43" горизонтальный</t>
        </is>
      </c>
      <c r="N3348" s="640" t="n"/>
      <c r="O3348" s="640">
        <f>IF(AND(N3348=1,L3348=1),K3348,"")</f>
        <v/>
      </c>
      <c r="P3348" s="642" t="inlineStr">
        <is>
          <t>Калужская обл., Дзержинский р-н, с. Льва Толстого, 169 км Автодороги М-3 Украина, ПВП.</t>
        </is>
      </c>
      <c r="Q3348" s="640" t="inlineStr">
        <is>
          <t>54.508416</t>
        </is>
      </c>
      <c r="R3348" s="422" t="inlineStr">
        <is>
          <t>36.273885</t>
        </is>
      </c>
      <c r="Z3348" s="1" t="n"/>
    </row>
    <row r="3349" hidden="1" ht="16.05" customHeight="1">
      <c r="A3349" s="125" t="n">
        <v>4028</v>
      </c>
      <c r="B3349" s="791" t="n"/>
      <c r="C3349" s="130" t="inlineStr">
        <is>
          <t>Санкт-Петербург</t>
        </is>
      </c>
      <c r="D3349" s="130" t="inlineStr">
        <is>
          <t>Тверская область</t>
        </is>
      </c>
      <c r="E3349" s="130" t="inlineStr">
        <is>
          <t>М-11</t>
        </is>
      </c>
      <c r="F3349" s="130" t="inlineStr">
        <is>
          <t>Платная трасса</t>
        </is>
      </c>
      <c r="G3349" s="130" t="inlineStr">
        <is>
          <t>Автодор</t>
        </is>
      </c>
      <c r="H3349" s="131" t="inlineStr">
        <is>
          <t>ПП 148 км</t>
        </is>
      </c>
      <c r="I3349" s="637" t="inlineStr">
        <is>
          <t>AVD_M11_V01_148</t>
        </is>
      </c>
      <c r="J3349" s="637" t="inlineStr">
        <is>
          <t>AVD_M11_V01_148</t>
        </is>
      </c>
      <c r="K3349" s="640" t="n">
        <v>1</v>
      </c>
      <c r="L3349" s="640" t="n">
        <v>0</v>
      </c>
      <c r="M3349" s="640" t="inlineStr">
        <is>
          <t>Samsung 43" горизонтальный</t>
        </is>
      </c>
      <c r="N3349" s="640" t="n"/>
      <c r="O3349" s="640">
        <f>IF(AND(N3349=1,L3349=1),K3349,"")</f>
        <v/>
      </c>
      <c r="P3349" s="642" t="inlineStr">
        <is>
          <t>Тверская область, Конаковский район, с. Городня, городское сельское поселение, 148 км Автомобильной дороги M-11 Нева, ПВП расположен по направлению в Москву</t>
        </is>
      </c>
      <c r="Q3349" s="640" t="inlineStr">
        <is>
          <t>56.734627</t>
        </is>
      </c>
      <c r="R3349" s="422" t="inlineStr">
        <is>
          <t>36.252999</t>
        </is>
      </c>
      <c r="Z3349" s="1" t="n"/>
    </row>
    <row r="3350" hidden="1" ht="16.05" customHeight="1">
      <c r="A3350" s="125" t="n">
        <v>4027</v>
      </c>
      <c r="C3350" s="130" t="inlineStr">
        <is>
          <t>Москва</t>
        </is>
      </c>
      <c r="D3350" s="130" t="inlineStr">
        <is>
          <t>Московская область</t>
        </is>
      </c>
      <c r="E3350" s="130" t="inlineStr">
        <is>
          <t>М-11</t>
        </is>
      </c>
      <c r="F3350" s="130" t="inlineStr">
        <is>
          <t>Платная трасса</t>
        </is>
      </c>
      <c r="G3350" s="130" t="inlineStr">
        <is>
          <t>Автодор</t>
        </is>
      </c>
      <c r="H3350" s="131" t="inlineStr">
        <is>
          <t>ПП 90 км</t>
        </is>
      </c>
      <c r="I3350" s="637" t="inlineStr">
        <is>
          <t>M11_S01</t>
        </is>
      </c>
      <c r="J3350" s="637" t="inlineStr">
        <is>
          <t>M11_S01</t>
        </is>
      </c>
      <c r="K3350" s="640" t="n">
        <v>1</v>
      </c>
      <c r="L3350" s="640" t="n">
        <v>0</v>
      </c>
      <c r="M3350" s="640" t="inlineStr">
        <is>
          <t>Samsung 43" горизонтальный</t>
        </is>
      </c>
      <c r="N3350" s="640" t="n"/>
      <c r="O3350" s="640">
        <f>IF(AND(N3350=1,L3350=1),K3350,"")</f>
        <v/>
      </c>
      <c r="P3350" s="642" t="inlineStr">
        <is>
          <t>Московская область, Клинский район , г. Клин, 90 км Автомобильной дороги M-11 Нева, ПВП со стороны г. Клина</t>
        </is>
      </c>
      <c r="Q3350" s="640" t="inlineStr">
        <is>
          <t>56.29881</t>
        </is>
      </c>
      <c r="R3350" s="422" t="inlineStr">
        <is>
          <t>36.674436</t>
        </is>
      </c>
      <c r="Z3350" s="1" t="n"/>
    </row>
    <row r="3351" hidden="1" ht="16.05" customHeight="1">
      <c r="A3351" s="125" t="n">
        <v>4029</v>
      </c>
      <c r="B3351" s="791" t="n"/>
      <c r="C3351" s="130" t="inlineStr">
        <is>
          <t>Санкт-Петербург</t>
        </is>
      </c>
      <c r="D3351" s="130" t="inlineStr">
        <is>
          <t>Тверская область</t>
        </is>
      </c>
      <c r="E3351" s="130" t="inlineStr">
        <is>
          <t>М-11</t>
        </is>
      </c>
      <c r="F3351" s="130" t="inlineStr">
        <is>
          <t>Платная трасса</t>
        </is>
      </c>
      <c r="G3351" s="130" t="inlineStr">
        <is>
          <t>Автодор</t>
        </is>
      </c>
      <c r="H3351" s="131" t="inlineStr">
        <is>
          <t>ПП 208 км</t>
        </is>
      </c>
      <c r="I3351" s="637" t="inlineStr">
        <is>
          <t>AVD_M11_V02_208</t>
        </is>
      </c>
      <c r="J3351" s="637" t="inlineStr">
        <is>
          <t>AVD_M11_V02_208</t>
        </is>
      </c>
      <c r="K3351" s="640" t="n">
        <v>1</v>
      </c>
      <c r="L3351" s="640" t="n">
        <v>0</v>
      </c>
      <c r="M3351" s="640" t="inlineStr">
        <is>
          <t>Samsung 43" горизонтальный</t>
        </is>
      </c>
      <c r="N3351" s="640" t="n"/>
      <c r="O3351" s="640">
        <f>IF(AND(N3351=1,L3351=1),K3351,"")</f>
        <v/>
      </c>
      <c r="P3351" s="642" t="inlineStr">
        <is>
          <t>Тверская область, Калининский район, д. Романово,208 км Автомобильной дороги M-11 Нева, , ПВП Расположен по направлению в Москву</t>
        </is>
      </c>
      <c r="Q3351" s="640" t="inlineStr">
        <is>
          <t>56.95478</t>
        </is>
      </c>
      <c r="R3351" s="422" t="inlineStr">
        <is>
          <t>35.50635</t>
        </is>
      </c>
      <c r="Z3351" s="1" t="n"/>
    </row>
    <row r="3352" hidden="1" ht="16.05" customHeight="1">
      <c r="A3352" s="125" t="n">
        <v>4030</v>
      </c>
      <c r="C3352" s="130" t="inlineStr">
        <is>
          <t>Санкт-Петербург</t>
        </is>
      </c>
      <c r="D3352" s="130" t="inlineStr">
        <is>
          <t>Новгородская область</t>
        </is>
      </c>
      <c r="E3352" s="130" t="inlineStr">
        <is>
          <t>М-11</t>
        </is>
      </c>
      <c r="F3352" s="130" t="inlineStr">
        <is>
          <t>Платная трасса</t>
        </is>
      </c>
      <c r="G3352" s="130" t="inlineStr">
        <is>
          <t>Автодор</t>
        </is>
      </c>
      <c r="H3352" s="131" t="inlineStr">
        <is>
          <t>ПП 545 км (М11)</t>
        </is>
      </c>
      <c r="I3352" s="637" t="inlineStr">
        <is>
          <t>AVD_M11_S02_545</t>
        </is>
      </c>
      <c r="J3352" s="637" t="inlineStr">
        <is>
          <t>AVD_M11_S02_545</t>
        </is>
      </c>
      <c r="K3352" s="640" t="n">
        <v>1</v>
      </c>
      <c r="L3352" s="640" t="n">
        <v>0</v>
      </c>
      <c r="M3352" s="640" t="inlineStr">
        <is>
          <t>Samsung 43" горизонтальный</t>
        </is>
      </c>
      <c r="N3352" s="640" t="n"/>
      <c r="O3352" s="640">
        <f>IF(AND(N3352=1,L3352=1),K3352,"")</f>
        <v/>
      </c>
      <c r="P3352" s="642" t="inlineStr">
        <is>
          <t>Новгородская область, Новгородский район, д. Мясной Бор, 545 км Автомобильной дороги M-11 Нева,, пвп Расположен по направлению в Москву</t>
        </is>
      </c>
      <c r="Q3352" s="640" t="inlineStr">
        <is>
          <t>58.800276</t>
        </is>
      </c>
      <c r="R3352" s="422" t="inlineStr">
        <is>
          <t>31.46993</t>
        </is>
      </c>
      <c r="Z3352" s="1" t="n"/>
    </row>
    <row r="3353" hidden="1" ht="16.05" customHeight="1">
      <c r="A3353" s="125" t="n">
        <v>4031</v>
      </c>
      <c r="B3353" s="791" t="n"/>
      <c r="C3353" s="130" t="inlineStr">
        <is>
          <t>Москва</t>
        </is>
      </c>
      <c r="D3353" s="130" t="inlineStr">
        <is>
          <t>Московская область</t>
        </is>
      </c>
      <c r="E3353" s="130" t="inlineStr">
        <is>
          <t>М-1</t>
        </is>
      </c>
      <c r="F3353" s="130" t="inlineStr">
        <is>
          <t>Платная трасса</t>
        </is>
      </c>
      <c r="G3353" s="130" t="inlineStr">
        <is>
          <t>Автодор</t>
        </is>
      </c>
      <c r="H3353" s="131" t="inlineStr">
        <is>
          <t>ПП 46 км</t>
        </is>
      </c>
      <c r="I3353" s="637" t="inlineStr">
        <is>
          <t>AVD_M1_S03_46</t>
        </is>
      </c>
      <c r="J3353" s="637" t="inlineStr">
        <is>
          <t>AVD_M1_S03_46</t>
        </is>
      </c>
      <c r="K3353" s="640" t="n">
        <v>1</v>
      </c>
      <c r="L3353" s="640" t="n">
        <v>0</v>
      </c>
      <c r="M3353" s="640" t="inlineStr">
        <is>
          <t>Samsung 43" горизонтальный</t>
        </is>
      </c>
      <c r="N3353" s="640" t="n"/>
      <c r="O3353" s="640">
        <f>IF(AND(N3353=1,L3353=1),K3353,"")</f>
        <v/>
      </c>
      <c r="P3353" s="642" t="inlineStr">
        <is>
          <t>Россия, Московская обл., Одинцовский г. о., Голицыно г., автомобильная дорога М-1 «Беларусь», 46 км.</t>
        </is>
      </c>
      <c r="Q3353" s="640" t="inlineStr">
        <is>
          <t>55.600678</t>
        </is>
      </c>
      <c r="R3353" s="422" t="inlineStr">
        <is>
          <t>36.980252</t>
        </is>
      </c>
      <c r="Z3353" s="1" t="n"/>
    </row>
    <row r="3354" hidden="1" ht="16.05" customHeight="1">
      <c r="A3354" s="125" t="n">
        <v>4032</v>
      </c>
      <c r="C3354" s="130" t="inlineStr">
        <is>
          <t>Санкт-Петербург</t>
        </is>
      </c>
      <c r="D3354" s="130" t="inlineStr">
        <is>
          <t>Санкт-Петербург</t>
        </is>
      </c>
      <c r="E3354" s="130" t="inlineStr">
        <is>
          <t>М-11</t>
        </is>
      </c>
      <c r="F3354" s="130" t="inlineStr">
        <is>
          <t>Платная трасса</t>
        </is>
      </c>
      <c r="G3354" s="130" t="inlineStr">
        <is>
          <t>Автодор</t>
        </is>
      </c>
      <c r="H3354" s="131" t="inlineStr">
        <is>
          <t>ПП 679 км</t>
        </is>
      </c>
      <c r="I3354" s="637" t="inlineStr">
        <is>
          <t>AVD_M11_S04_679</t>
        </is>
      </c>
      <c r="J3354" s="637" t="inlineStr">
        <is>
          <t>AVD_M11_S04_679</t>
        </is>
      </c>
      <c r="K3354" s="640" t="n">
        <v>1</v>
      </c>
      <c r="L3354" s="640" t="n">
        <v>0</v>
      </c>
      <c r="M3354" s="640" t="inlineStr">
        <is>
          <t>Samsung 43" горизонтальный</t>
        </is>
      </c>
      <c r="N3354" s="640" t="n"/>
      <c r="O3354" s="640">
        <f>IF(AND(N3354=1,L3354=1),K3354,"")</f>
        <v/>
      </c>
      <c r="P3354" s="642" t="inlineStr">
        <is>
          <t>Санкт-Петербург г., Шушары 11., 679 КМ Автомобильной дороги M-11 Нева, , ПВП  справа по направлению из г. Санкт-Петербург</t>
        </is>
      </c>
      <c r="Q3354" s="640" t="inlineStr">
        <is>
          <t>59.774887</t>
        </is>
      </c>
      <c r="R3354" s="422" t="inlineStr">
        <is>
          <t>30.358573</t>
        </is>
      </c>
      <c r="Z3354" s="1" t="n"/>
    </row>
    <row r="3355" hidden="1" ht="16.05" customHeight="1">
      <c r="A3355" s="125" t="n">
        <v>4033</v>
      </c>
      <c r="B3355" s="791" t="n"/>
      <c r="C3355" s="130" t="inlineStr">
        <is>
          <t>Санкт-Петербург</t>
        </is>
      </c>
      <c r="D3355" s="130" t="inlineStr">
        <is>
          <t>Санкт-Петербург</t>
        </is>
      </c>
      <c r="E3355" s="130" t="inlineStr">
        <is>
          <t>М-11</t>
        </is>
      </c>
      <c r="F3355" s="130" t="inlineStr">
        <is>
          <t>Платная трасса</t>
        </is>
      </c>
      <c r="G3355" s="130" t="inlineStr">
        <is>
          <t>Автодор</t>
        </is>
      </c>
      <c r="H3355" s="131" t="inlineStr">
        <is>
          <t>Офис Санкт-Петербург</t>
        </is>
      </c>
      <c r="I3355" s="637" t="inlineStr">
        <is>
          <t>AVD_M11_S05_SPB</t>
        </is>
      </c>
      <c r="J3355" s="637" t="inlineStr">
        <is>
          <t>AVD_M11_S05_SPB</t>
        </is>
      </c>
      <c r="K3355" s="640" t="n">
        <v>1</v>
      </c>
      <c r="L3355" s="640" t="n">
        <v>0</v>
      </c>
      <c r="M3355" s="640" t="inlineStr">
        <is>
          <t>Samsung 43" горизонтальный</t>
        </is>
      </c>
      <c r="N3355" s="640" t="n"/>
      <c r="O3355" s="640">
        <f>IF(AND(N3355=1,L3355=1),K3355,"")</f>
        <v/>
      </c>
      <c r="P3355" s="642" t="inlineStr">
        <is>
          <t>г. Санкт-Петербург, Московский проспект, д. 111, офис 504</t>
        </is>
      </c>
      <c r="Q3355" s="640" t="inlineStr">
        <is>
          <t>59.889081</t>
        </is>
      </c>
      <c r="R3355" s="422" t="inlineStr">
        <is>
          <t>30.318708</t>
        </is>
      </c>
      <c r="Z3355" s="1" t="n"/>
    </row>
    <row r="3356" hidden="1" ht="16.05" customHeight="1">
      <c r="A3356" s="125" t="n">
        <v>4034</v>
      </c>
      <c r="C3356" s="130" t="inlineStr">
        <is>
          <t>Воронеж</t>
        </is>
      </c>
      <c r="D3356" s="130" t="inlineStr">
        <is>
          <t>Воронежская область</t>
        </is>
      </c>
      <c r="E3356" s="130" t="inlineStr">
        <is>
          <t>М-4</t>
        </is>
      </c>
      <c r="F3356" s="130" t="inlineStr">
        <is>
          <t>Платная трасса</t>
        </is>
      </c>
      <c r="G3356" s="130" t="inlineStr">
        <is>
          <t>Автодор</t>
        </is>
      </c>
      <c r="H3356" s="131" t="inlineStr">
        <is>
          <t>ПП 636 км</t>
        </is>
      </c>
      <c r="I3356" s="637" t="inlineStr">
        <is>
          <t>AVD_M4_S05_636</t>
        </is>
      </c>
      <c r="J3356" s="637" t="inlineStr">
        <is>
          <t>AVD_M4_S05_636</t>
        </is>
      </c>
      <c r="K3356" s="640" t="n">
        <v>1</v>
      </c>
      <c r="L3356" s="640" t="n">
        <v>0</v>
      </c>
      <c r="M3356" s="640" t="inlineStr">
        <is>
          <t>Samsung 43" горизонтальный</t>
        </is>
      </c>
      <c r="N3356" s="640" t="n"/>
      <c r="O3356" s="640">
        <f>IF(AND(N3356=1,L3356=1),K3356,"")</f>
        <v/>
      </c>
      <c r="P3356" s="642" t="inlineStr">
        <is>
          <t>Воронежская область, Бобровский район, 636 км Автомобильной дороги М-4 Дон.</t>
        </is>
      </c>
      <c r="Q3356" s="640" t="inlineStr">
        <is>
          <t>50.751346</t>
        </is>
      </c>
      <c r="R3356" s="422" t="inlineStr">
        <is>
          <t>40.048295</t>
        </is>
      </c>
      <c r="Z3356" s="1" t="n"/>
    </row>
    <row r="3357" hidden="1" ht="16.05" customHeight="1">
      <c r="A3357" s="125" t="n">
        <v>4035</v>
      </c>
      <c r="B3357" s="791" t="n"/>
      <c r="C3357" s="130" t="inlineStr">
        <is>
          <t>Москва</t>
        </is>
      </c>
      <c r="D3357" s="130" t="inlineStr">
        <is>
          <t>Москва</t>
        </is>
      </c>
      <c r="E3357" s="130" t="inlineStr">
        <is>
          <t>Москва</t>
        </is>
      </c>
      <c r="F3357" s="130" t="inlineStr">
        <is>
          <t>Платная трасса</t>
        </is>
      </c>
      <c r="G3357" s="130" t="inlineStr">
        <is>
          <t>Автодор</t>
        </is>
      </c>
      <c r="H3357" s="131" t="inlineStr">
        <is>
          <t>ПП Москва</t>
        </is>
      </c>
      <c r="I3357" s="637" t="inlineStr">
        <is>
          <t>AVD_M0_02_MSK</t>
        </is>
      </c>
      <c r="J3357" s="637" t="inlineStr">
        <is>
          <t>AVD_M0_02_MSK</t>
        </is>
      </c>
      <c r="K3357" s="640" t="n">
        <v>1</v>
      </c>
      <c r="L3357" s="640" t="n">
        <v>0</v>
      </c>
      <c r="M3357" s="640" t="inlineStr">
        <is>
          <t>Samsung 43" горизонтальный</t>
        </is>
      </c>
      <c r="N3357" s="640" t="n"/>
      <c r="O3357" s="640">
        <f>IF(AND(N3357=1,L3357=1),K3357,"")</f>
        <v/>
      </c>
      <c r="P3357" s="642" t="inlineStr">
        <is>
          <t>Москва, ул. Ленинская Слобода, дом 26, стр. 28</t>
        </is>
      </c>
      <c r="Q3357" s="640" t="inlineStr">
        <is>
          <t>55.710099</t>
        </is>
      </c>
      <c r="R3357" s="422" t="inlineStr">
        <is>
          <t>37.654196</t>
        </is>
      </c>
      <c r="Z3357" s="1" t="n"/>
    </row>
    <row r="3358" hidden="1" ht="16.05" customHeight="1">
      <c r="A3358" s="125" t="n">
        <v>4036</v>
      </c>
      <c r="C3358" s="130" t="inlineStr">
        <is>
          <t>Москва</t>
        </is>
      </c>
      <c r="D3358" s="130" t="inlineStr">
        <is>
          <t>Московская область</t>
        </is>
      </c>
      <c r="E3358" s="130" t="inlineStr">
        <is>
          <t>ЦКАД</t>
        </is>
      </c>
      <c r="F3358" s="130" t="inlineStr">
        <is>
          <t>Платная трасса</t>
        </is>
      </c>
      <c r="G3358" s="130" t="inlineStr">
        <is>
          <t>Автодор</t>
        </is>
      </c>
      <c r="H3358" s="131" t="inlineStr">
        <is>
          <t>2 км ЦКАД</t>
        </is>
      </c>
      <c r="I3358" s="637" t="inlineStr">
        <is>
          <t>AVD_CKAD_S01_2</t>
        </is>
      </c>
      <c r="J3358" s="637" t="inlineStr">
        <is>
          <t>AVD_CKAD_S01_2</t>
        </is>
      </c>
      <c r="K3358" s="640" t="n">
        <v>1</v>
      </c>
      <c r="L3358" s="640" t="n">
        <v>0</v>
      </c>
      <c r="M3358" s="640" t="inlineStr">
        <is>
          <t>Samsung 43" горизонтальный</t>
        </is>
      </c>
      <c r="N3358" s="640" t="n"/>
      <c r="O3358" s="640">
        <f>IF(AND(N3358=1,L3358=1),K3358,"")</f>
        <v/>
      </c>
      <c r="P3358" s="642" t="inlineStr">
        <is>
          <t>Московская область, городской округ Солнечногорск, деревня Бухарово, 2 км дороги А-113 ЦКАД, ПВП.</t>
        </is>
      </c>
      <c r="Q3358" s="640" t="inlineStr">
        <is>
          <t>56.090458</t>
        </is>
      </c>
      <c r="R3358" s="422" t="inlineStr">
        <is>
          <t>37.197815</t>
        </is>
      </c>
      <c r="Z3358" s="1" t="n"/>
    </row>
    <row r="3359" hidden="1" ht="16.05" customHeight="1">
      <c r="A3359" s="125" t="n">
        <v>4037</v>
      </c>
      <c r="B3359" s="791" t="n"/>
      <c r="C3359" s="130" t="inlineStr">
        <is>
          <t>Москва</t>
        </is>
      </c>
      <c r="D3359" s="130" t="inlineStr">
        <is>
          <t>Московская область</t>
        </is>
      </c>
      <c r="E3359" s="130" t="inlineStr">
        <is>
          <t>ЦКАД</t>
        </is>
      </c>
      <c r="F3359" s="130" t="inlineStr">
        <is>
          <t>Платная трасса</t>
        </is>
      </c>
      <c r="G3359" s="130" t="inlineStr">
        <is>
          <t>Автодор</t>
        </is>
      </c>
      <c r="H3359" s="131" t="inlineStr">
        <is>
          <t>77 км М12</t>
        </is>
      </c>
      <c r="I3359" s="637" t="inlineStr">
        <is>
          <t>AVD_M12_S01_77</t>
        </is>
      </c>
      <c r="J3359" s="637" t="inlineStr">
        <is>
          <t>AVD_M12_S01_77</t>
        </is>
      </c>
      <c r="K3359" s="640" t="n">
        <v>1</v>
      </c>
      <c r="L3359" s="640" t="n">
        <v>0</v>
      </c>
      <c r="M3359" s="640" t="inlineStr">
        <is>
          <t>Samsung 43" горизонтальный</t>
        </is>
      </c>
      <c r="N3359" s="640" t="n"/>
      <c r="O3359" s="640">
        <f>IF(AND(N3359=1,L3359=1),K3359,"")</f>
        <v/>
      </c>
      <c r="P3359" s="642" t="inlineStr">
        <is>
          <t>Московская область, г.о Павловский Посад, д. Заозерье, 77 км М-12</t>
        </is>
      </c>
      <c r="Q3359" s="640" t="n">
        <v>55.831097</v>
      </c>
      <c r="R3359" s="422" t="n">
        <v>38.670153</v>
      </c>
      <c r="Z3359" s="1" t="n"/>
    </row>
    <row r="3360" hidden="1" ht="16.05" customHeight="1">
      <c r="A3360" s="125" t="n">
        <v>4038</v>
      </c>
      <c r="C3360" s="130" t="inlineStr">
        <is>
          <t>Москва</t>
        </is>
      </c>
      <c r="D3360" s="130" t="inlineStr">
        <is>
          <t>Московская область</t>
        </is>
      </c>
      <c r="E3360" s="130" t="inlineStr">
        <is>
          <t>ЦКАД</t>
        </is>
      </c>
      <c r="F3360" s="130" t="inlineStr">
        <is>
          <t>Платная трасса</t>
        </is>
      </c>
      <c r="G3360" s="130" t="inlineStr">
        <is>
          <t>Автодор</t>
        </is>
      </c>
      <c r="H3360" s="131" t="inlineStr">
        <is>
          <t>55 км ЦКАД</t>
        </is>
      </c>
      <c r="I3360" s="637" t="inlineStr">
        <is>
          <t>AVD_CKAD_S03_55</t>
        </is>
      </c>
      <c r="J3360" s="637" t="inlineStr">
        <is>
          <t>AVD_CKAD_S03_55</t>
        </is>
      </c>
      <c r="K3360" s="640" t="n">
        <v>1</v>
      </c>
      <c r="L3360" s="640" t="n">
        <v>0</v>
      </c>
      <c r="M3360" s="640" t="inlineStr">
        <is>
          <t>Samsung 43" горизонтальный</t>
        </is>
      </c>
      <c r="N3360" s="640" t="n"/>
      <c r="O3360" s="640">
        <f>IF(AND(N3360=1,L3360=1),K3360,"")</f>
        <v/>
      </c>
      <c r="P3360" s="642" t="inlineStr">
        <is>
          <t>Московская область, Пушкинский городской округ, рабочий поселок Софрино, 55 км дороги А-113 ЦКАД.</t>
        </is>
      </c>
      <c r="Q3360" s="640" t="inlineStr">
        <is>
          <t>56.105295</t>
        </is>
      </c>
      <c r="R3360" s="422" t="inlineStr">
        <is>
          <t>37.966643</t>
        </is>
      </c>
      <c r="Z3360" s="1" t="n"/>
    </row>
    <row r="3361" hidden="1" ht="16.05" customHeight="1">
      <c r="A3361" s="125" t="n">
        <v>4039</v>
      </c>
      <c r="B3361" s="791" t="n"/>
      <c r="C3361" s="130" t="inlineStr">
        <is>
          <t>Москва</t>
        </is>
      </c>
      <c r="D3361" s="130" t="inlineStr">
        <is>
          <t>Московская область</t>
        </is>
      </c>
      <c r="E3361" s="130" t="inlineStr">
        <is>
          <t>ЦКАД</t>
        </is>
      </c>
      <c r="F3361" s="130" t="inlineStr">
        <is>
          <t>Платная трасса</t>
        </is>
      </c>
      <c r="G3361" s="130" t="inlineStr">
        <is>
          <t>Автодор</t>
        </is>
      </c>
      <c r="H3361" s="131" t="inlineStr">
        <is>
          <t>99 км ЦКАД</t>
        </is>
      </c>
      <c r="I3361" s="637" t="inlineStr">
        <is>
          <t>AVD_CKAD_S04_99</t>
        </is>
      </c>
      <c r="J3361" s="637" t="inlineStr">
        <is>
          <t>AVD_CKAD_S04_99</t>
        </is>
      </c>
      <c r="K3361" s="640" t="n">
        <v>1</v>
      </c>
      <c r="L3361" s="640" t="n">
        <v>0</v>
      </c>
      <c r="M3361" s="640" t="inlineStr">
        <is>
          <t>Samsung 43" горизонтальный</t>
        </is>
      </c>
      <c r="N3361" s="640" t="n"/>
      <c r="O3361" s="640">
        <f>IF(AND(N3361=1,L3361=1),K3361,"")</f>
        <v/>
      </c>
      <c r="P3361" s="642" t="inlineStr">
        <is>
          <t>Московская область, Богородский городской округ, деревня Горки, 99 км дороги А-113 ЦКАД.</t>
        </is>
      </c>
      <c r="Q3361" s="640" t="inlineStr">
        <is>
          <t>55.917496</t>
        </is>
      </c>
      <c r="R3361" s="422" t="inlineStr">
        <is>
          <t>38.53403</t>
        </is>
      </c>
      <c r="Z3361" s="1" t="n"/>
    </row>
    <row r="3362" hidden="1" ht="16.05" customHeight="1">
      <c r="A3362" s="125" t="n">
        <v>4040</v>
      </c>
      <c r="C3362" s="130" t="inlineStr">
        <is>
          <t>Москва</t>
        </is>
      </c>
      <c r="D3362" s="130" t="inlineStr">
        <is>
          <t>Московская область</t>
        </is>
      </c>
      <c r="E3362" s="130" t="inlineStr">
        <is>
          <t>ЦКАД</t>
        </is>
      </c>
      <c r="F3362" s="130" t="inlineStr">
        <is>
          <t>Платная трасса</t>
        </is>
      </c>
      <c r="G3362" s="130" t="inlineStr">
        <is>
          <t>Автодор</t>
        </is>
      </c>
      <c r="H3362" s="131" t="inlineStr">
        <is>
          <t>Офис Ногинск</t>
        </is>
      </c>
      <c r="I3362" s="637" t="inlineStr">
        <is>
          <t>AVD_CKAD_S05_NOG</t>
        </is>
      </c>
      <c r="J3362" s="637" t="inlineStr">
        <is>
          <t>AVD_CKAD_S05_NOG</t>
        </is>
      </c>
      <c r="K3362" s="640" t="n">
        <v>1</v>
      </c>
      <c r="L3362" s="640" t="n">
        <v>0</v>
      </c>
      <c r="M3362" s="640" t="inlineStr">
        <is>
          <t>Samsung 43" горизонтальный</t>
        </is>
      </c>
      <c r="N3362" s="640" t="n"/>
      <c r="O3362" s="640">
        <f>IF(AND(N3362=1,L3362=1),K3362,"")</f>
        <v/>
      </c>
      <c r="P3362" s="642" t="inlineStr">
        <is>
          <t>Московская область, Богородский городской округ, г. Ногинск, ул. Поселковая, д.72 Офис 312</t>
        </is>
      </c>
      <c r="Q3362" s="640" t="inlineStr">
        <is>
          <t>55.846376</t>
        </is>
      </c>
      <c r="R3362" s="422" t="inlineStr">
        <is>
          <t>38.457677</t>
        </is>
      </c>
      <c r="Z3362" s="1" t="n"/>
    </row>
    <row r="3363" hidden="1" ht="16.05" customHeight="1">
      <c r="A3363" s="125" t="n">
        <v>4041</v>
      </c>
      <c r="B3363" s="791" t="n"/>
      <c r="C3363" s="130" t="inlineStr">
        <is>
          <t>Москва</t>
        </is>
      </c>
      <c r="D3363" s="130" t="inlineStr">
        <is>
          <t>Москва</t>
        </is>
      </c>
      <c r="E3363" s="130" t="n"/>
      <c r="F3363" s="130" t="inlineStr">
        <is>
          <t>Супермаркет</t>
        </is>
      </c>
      <c r="G3363" s="130" t="inlineStr">
        <is>
          <t>Энотека АВ</t>
        </is>
      </c>
      <c r="H3363" s="131" t="inlineStr">
        <is>
          <t>Энотека АВ</t>
        </is>
      </c>
      <c r="I3363" s="637" t="n">
        <v>163</v>
      </c>
      <c r="J3363" s="637" t="inlineStr">
        <is>
          <t>MSK_E_163</t>
        </is>
      </c>
      <c r="K3363" s="640" t="n">
        <v>1</v>
      </c>
      <c r="L3363" s="640" t="n">
        <v>1</v>
      </c>
      <c r="M3363" s="623" t="inlineStr">
        <is>
          <t>Samsung 43" вертикальный</t>
        </is>
      </c>
      <c r="N3363" s="640" t="n"/>
      <c r="O3363" s="640">
        <f>IF(AND(N3363=1,L3363=1),K3363,"")</f>
        <v/>
      </c>
      <c r="P3363" s="415" t="inlineStr">
        <is>
          <t>Москва Ленинский проспект д.16</t>
        </is>
      </c>
      <c r="Q3363" s="640" t="inlineStr">
        <is>
          <t xml:space="preserve">55.718654
</t>
        </is>
      </c>
      <c r="R3363" s="494" t="inlineStr">
        <is>
          <t>37.595743</t>
        </is>
      </c>
      <c r="S3363" s="387" t="n">
        <v>24</v>
      </c>
      <c r="T3363" s="529">
        <f>S3363*O3363</f>
        <v/>
      </c>
      <c r="Z3363" s="1" t="n"/>
    </row>
    <row r="3364" hidden="1" ht="16.05" customHeight="1">
      <c r="A3364" s="125" t="n">
        <v>4042</v>
      </c>
      <c r="B3364" s="791" t="n"/>
      <c r="C3364" s="130" t="inlineStr">
        <is>
          <t>Москва</t>
        </is>
      </c>
      <c r="D3364" s="130" t="inlineStr">
        <is>
          <t>Москва</t>
        </is>
      </c>
      <c r="E3364" s="130" t="n"/>
      <c r="F3364" s="130" t="inlineStr">
        <is>
          <t>Супермаркет</t>
        </is>
      </c>
      <c r="G3364" s="130" t="inlineStr">
        <is>
          <t>Энотека АВ</t>
        </is>
      </c>
      <c r="H3364" s="131" t="inlineStr">
        <is>
          <t>Энотека АВ</t>
        </is>
      </c>
      <c r="I3364" s="637" t="n">
        <v>164</v>
      </c>
      <c r="J3364" s="637" t="inlineStr">
        <is>
          <t>MSK_E_164</t>
        </is>
      </c>
      <c r="K3364" s="640" t="n">
        <v>1</v>
      </c>
      <c r="L3364" s="640" t="n">
        <v>1</v>
      </c>
      <c r="M3364" s="623" t="inlineStr">
        <is>
          <t>Samsung 43" вертикальный</t>
        </is>
      </c>
      <c r="N3364" s="640" t="n"/>
      <c r="O3364" s="640">
        <f>IF(AND(N3364=1,L3364=1),K3364,"")</f>
        <v/>
      </c>
      <c r="P3364" s="642" t="inlineStr">
        <is>
          <t>Москва, Кутузовский проспект, д. 18</t>
        </is>
      </c>
      <c r="Q3364" s="640" t="inlineStr">
        <is>
          <t>55.746785</t>
        </is>
      </c>
      <c r="R3364" s="494" t="inlineStr">
        <is>
          <t>37.552184</t>
        </is>
      </c>
      <c r="S3364" s="387" t="n">
        <v>24</v>
      </c>
      <c r="T3364" s="529">
        <f>S3364*O3364</f>
        <v/>
      </c>
      <c r="U3364" s="436" t="n">
        <v>1</v>
      </c>
      <c r="V3364" s="438">
        <f>IF(AND(N3364=1,U3364=1),C3364,"")</f>
        <v/>
      </c>
      <c r="Z3364" s="1" t="n"/>
    </row>
    <row r="3365" hidden="1" ht="16.05" customHeight="1">
      <c r="A3365" s="125" t="n">
        <v>4043</v>
      </c>
      <c r="B3365" s="791" t="n"/>
      <c r="C3365" s="130" t="inlineStr">
        <is>
          <t>Санкт-Петербург</t>
        </is>
      </c>
      <c r="D3365" s="130" t="inlineStr">
        <is>
          <t>Санкт-Петербург</t>
        </is>
      </c>
      <c r="E3365" s="130" t="n"/>
      <c r="F3365" s="130" t="inlineStr">
        <is>
          <t>Супермаркет</t>
        </is>
      </c>
      <c r="G3365" s="130" t="inlineStr">
        <is>
          <t>Азбука Вкуса</t>
        </is>
      </c>
      <c r="H3365" s="131" t="n"/>
      <c r="I3365" s="637" t="inlineStr">
        <is>
          <t>SPB_014</t>
        </is>
      </c>
      <c r="J3365" s="637" t="inlineStr">
        <is>
          <t>SPB_A_014</t>
        </is>
      </c>
      <c r="K3365" s="640" t="n">
        <v>5</v>
      </c>
      <c r="L3365" s="640" t="n">
        <v>1</v>
      </c>
      <c r="M3365" s="623" t="inlineStr">
        <is>
          <t>Samsung 43" вертикальный</t>
        </is>
      </c>
      <c r="N3365" s="640" t="n"/>
      <c r="O3365" s="640">
        <f>IF(AND(N3365=1,L3365=1),K3365,"")</f>
        <v/>
      </c>
      <c r="P3365" s="642" t="inlineStr">
        <is>
          <t>г. Санкт-Петербург Невский пр-т, д. 114-116 ТК Невский Центр</t>
        </is>
      </c>
      <c r="Q3365" s="640" t="inlineStr">
        <is>
          <t>59.931977</t>
        </is>
      </c>
      <c r="R3365" s="494" t="inlineStr">
        <is>
          <t>30.359165</t>
        </is>
      </c>
      <c r="S3365" s="387" t="n">
        <v>16</v>
      </c>
      <c r="T3365" s="436">
        <f>IF(N3365=1,O3365*S3365,"")</f>
        <v/>
      </c>
      <c r="U3365" s="436" t="n">
        <v>1</v>
      </c>
      <c r="V3365" s="438">
        <f>IF(AND(N3365=1,U3365=1),C3365,"")</f>
        <v/>
      </c>
      <c r="Z3365" s="1" t="n"/>
    </row>
    <row r="3366" hidden="1" ht="16.05" customHeight="1">
      <c r="A3366" s="125" t="n">
        <v>4044</v>
      </c>
      <c r="B3366" s="125" t="inlineStr">
        <is>
          <t>WF</t>
        </is>
      </c>
      <c r="C3366" s="130" t="inlineStr">
        <is>
          <t>Москва</t>
        </is>
      </c>
      <c r="D3366" s="130" t="inlineStr">
        <is>
          <t>Москва</t>
        </is>
      </c>
      <c r="E3366" s="130" t="n"/>
      <c r="F3366" s="130" t="inlineStr">
        <is>
          <t>Супермаркет</t>
        </is>
      </c>
      <c r="G3366" s="130" t="inlineStr">
        <is>
          <t>Metro C&amp;C</t>
        </is>
      </c>
      <c r="H3366" s="131" t="n">
        <v>79464</v>
      </c>
      <c r="I3366" s="637" t="n">
        <v>10</v>
      </c>
      <c r="J3366" s="637" t="inlineStr">
        <is>
          <t>Metro_10</t>
        </is>
      </c>
      <c r="K3366" s="640" t="n">
        <v>7</v>
      </c>
      <c r="L3366" s="640" t="n">
        <v>1</v>
      </c>
      <c r="M3366" s="623" t="inlineStr">
        <is>
          <t>Samsung 55" Вертикальный</t>
        </is>
      </c>
      <c r="N3366" s="640" t="n"/>
      <c r="O3366" s="640">
        <f>IF(AND(N3366=1,L3366=1),K3366,"")</f>
        <v/>
      </c>
      <c r="P3366" s="642" t="inlineStr">
        <is>
          <t>125445, г. Москва, Ленинградское ш., д.71Г</t>
        </is>
      </c>
      <c r="Q3366" s="640" t="inlineStr">
        <is>
          <t>55.875753</t>
        </is>
      </c>
      <c r="R3366" s="494" t="inlineStr">
        <is>
          <t>37.447279</t>
        </is>
      </c>
      <c r="S3366" s="654" t="n">
        <v>1350</v>
      </c>
      <c r="T3366" s="654">
        <f>IF(N3366=1,S3366*3,"0")</f>
        <v/>
      </c>
      <c r="U3366" s="655" t="n">
        <v>357591</v>
      </c>
      <c r="V3366" s="438">
        <f>IF(AND(N3366=1,U3366&lt;&gt;1),C3366,"")</f>
        <v/>
      </c>
      <c r="Z3366" s="1" t="n"/>
    </row>
    <row r="3367" hidden="1" ht="16.05" customHeight="1">
      <c r="A3367" s="125" t="n">
        <v>4045</v>
      </c>
      <c r="B3367" s="125" t="inlineStr">
        <is>
          <t>WF</t>
        </is>
      </c>
      <c r="C3367" s="130" t="inlineStr">
        <is>
          <t>Москва</t>
        </is>
      </c>
      <c r="D3367" s="130" t="inlineStr">
        <is>
          <t>Москва</t>
        </is>
      </c>
      <c r="E3367" s="130" t="n"/>
      <c r="F3367" s="130" t="inlineStr">
        <is>
          <t>Супермаркет</t>
        </is>
      </c>
      <c r="G3367" s="130" t="inlineStr">
        <is>
          <t>Metro C&amp;C</t>
        </is>
      </c>
      <c r="H3367" s="131" t="n">
        <v>73206</v>
      </c>
      <c r="I3367" s="637" t="n">
        <v>11</v>
      </c>
      <c r="J3367" s="637" t="inlineStr">
        <is>
          <t>Metro_11</t>
        </is>
      </c>
      <c r="K3367" s="640" t="n">
        <v>5</v>
      </c>
      <c r="L3367" s="640" t="n">
        <v>1</v>
      </c>
      <c r="M3367" s="623" t="inlineStr">
        <is>
          <t>Samsung 55" Вертикальный</t>
        </is>
      </c>
      <c r="N3367" s="640" t="n"/>
      <c r="O3367" s="640">
        <f>IF(AND(N3367=1,L3367=1),K3367,"")</f>
        <v/>
      </c>
      <c r="P3367" s="642" t="inlineStr">
        <is>
          <t>129226, г. Москва, пр-кт Мира, д.211, корп.1</t>
        </is>
      </c>
      <c r="Q3367" s="640" t="inlineStr">
        <is>
          <t>55.844041</t>
        </is>
      </c>
      <c r="R3367" s="494" t="inlineStr">
        <is>
          <t>37.66265</t>
        </is>
      </c>
      <c r="S3367" s="654" t="n">
        <v>1323</v>
      </c>
      <c r="T3367" s="654">
        <f>IF(N3367=1,S3367*3,"0")</f>
        <v/>
      </c>
      <c r="U3367" s="655" t="n">
        <v>329430.75</v>
      </c>
      <c r="V3367" s="438">
        <f>IF(AND(N3367=1,U3367&lt;&gt;1),C3367,"")</f>
        <v/>
      </c>
    </row>
    <row r="3368" hidden="1" ht="16.05" customHeight="1">
      <c r="A3368" s="125" t="n">
        <v>4046</v>
      </c>
      <c r="B3368" s="125" t="inlineStr">
        <is>
          <t>WF</t>
        </is>
      </c>
      <c r="C3368" s="130" t="inlineStr">
        <is>
          <t>Москва</t>
        </is>
      </c>
      <c r="D3368" s="130" t="inlineStr">
        <is>
          <t>Москва</t>
        </is>
      </c>
      <c r="E3368" s="130" t="n"/>
      <c r="F3368" s="130" t="inlineStr">
        <is>
          <t>Супермаркет</t>
        </is>
      </c>
      <c r="G3368" s="130" t="inlineStr">
        <is>
          <t>Metro C&amp;C</t>
        </is>
      </c>
      <c r="H3368" s="131" t="n">
        <v>74187</v>
      </c>
      <c r="I3368" s="637" t="n">
        <v>12</v>
      </c>
      <c r="J3368" s="637" t="inlineStr">
        <is>
          <t>Metro_12</t>
        </is>
      </c>
      <c r="K3368" s="640" t="n">
        <v>5</v>
      </c>
      <c r="L3368" s="640" t="n">
        <v>1</v>
      </c>
      <c r="M3368" s="623" t="inlineStr">
        <is>
          <t>Samsung 55" Вертикальный</t>
        </is>
      </c>
      <c r="N3368" s="640" t="n"/>
      <c r="O3368" s="640">
        <f>IF(AND(N3368=1,L3368=1),K3368,"")</f>
        <v/>
      </c>
      <c r="P3368" s="642" t="inlineStr">
        <is>
          <t>117545, г. Москва, ул. Дорожная, д.1, корп.1</t>
        </is>
      </c>
      <c r="Q3368" s="640" t="inlineStr">
        <is>
          <t>55.630721</t>
        </is>
      </c>
      <c r="R3368" s="494" t="inlineStr">
        <is>
          <t>37.62493</t>
        </is>
      </c>
      <c r="S3368" s="654" t="n">
        <v>1350</v>
      </c>
      <c r="T3368" s="654">
        <f>IF(N3368=1,S3368*3,"0")</f>
        <v/>
      </c>
      <c r="U3368" s="655" t="n">
        <v>333845.25</v>
      </c>
      <c r="V3368" s="438">
        <f>IF(AND(N3368=1,U3368&lt;&gt;1),C3368,"")</f>
        <v/>
      </c>
    </row>
    <row r="3369" hidden="1" ht="16.05" customHeight="1">
      <c r="A3369" s="125" t="n">
        <v>4047</v>
      </c>
      <c r="B3369" s="125" t="inlineStr">
        <is>
          <t>WF</t>
        </is>
      </c>
      <c r="C3369" s="130" t="inlineStr">
        <is>
          <t>Москва</t>
        </is>
      </c>
      <c r="D3369" s="130" t="inlineStr">
        <is>
          <t>Москва</t>
        </is>
      </c>
      <c r="E3369" s="130" t="n"/>
      <c r="F3369" s="130" t="inlineStr">
        <is>
          <t>Супермаркет</t>
        </is>
      </c>
      <c r="G3369" s="130" t="inlineStr">
        <is>
          <t>Metro C&amp;C</t>
        </is>
      </c>
      <c r="H3369" s="131" t="n">
        <v>73578</v>
      </c>
      <c r="I3369" s="637" t="n">
        <v>13</v>
      </c>
      <c r="J3369" s="637" t="inlineStr">
        <is>
          <t>Metro_13</t>
        </is>
      </c>
      <c r="K3369" s="640" t="n">
        <v>5</v>
      </c>
      <c r="L3369" s="640" t="n">
        <v>1</v>
      </c>
      <c r="M3369" s="623" t="inlineStr">
        <is>
          <t>Samsung 55" Вертикальный</t>
        </is>
      </c>
      <c r="N3369" s="640" t="n"/>
      <c r="O3369" s="640">
        <f>IF(AND(N3369=1,L3369=1),K3369,"")</f>
        <v/>
      </c>
      <c r="P3369" s="642" t="inlineStr">
        <is>
          <t>121471, г. Москва, ул. Рябиновая, д.59</t>
        </is>
      </c>
      <c r="Q3369" s="640" t="inlineStr">
        <is>
          <t>55.685853</t>
        </is>
      </c>
      <c r="R3369" s="494" t="inlineStr">
        <is>
          <t>37.43181</t>
        </is>
      </c>
      <c r="S3369" s="654" t="n">
        <v>1350</v>
      </c>
      <c r="T3369" s="654">
        <f>IF(N3369=1,S3369*3,"0")</f>
        <v/>
      </c>
      <c r="U3369" s="655" t="n">
        <v>331105.125</v>
      </c>
      <c r="V3369" s="438">
        <f>IF(AND(N3369=1,U3369&lt;&gt;1),C3369,"")</f>
        <v/>
      </c>
    </row>
    <row r="3370" hidden="1" ht="16.05" customHeight="1">
      <c r="A3370" s="125" t="n">
        <v>4048</v>
      </c>
      <c r="B3370" s="125" t="inlineStr">
        <is>
          <t>WF</t>
        </is>
      </c>
      <c r="C3370" s="130" t="inlineStr">
        <is>
          <t>Москва</t>
        </is>
      </c>
      <c r="D3370" s="130" t="inlineStr">
        <is>
          <t>Москва</t>
        </is>
      </c>
      <c r="E3370" s="130" t="n"/>
      <c r="F3370" s="130" t="inlineStr">
        <is>
          <t>Супермаркет</t>
        </is>
      </c>
      <c r="G3370" s="130" t="inlineStr">
        <is>
          <t>Metro C&amp;C</t>
        </is>
      </c>
      <c r="H3370" s="131" t="n">
        <v>72380</v>
      </c>
      <c r="I3370" s="637" t="n">
        <v>14</v>
      </c>
      <c r="J3370" s="637" t="inlineStr">
        <is>
          <t>Metro_14</t>
        </is>
      </c>
      <c r="K3370" s="640" t="n">
        <v>13</v>
      </c>
      <c r="L3370" s="640" t="n">
        <v>1</v>
      </c>
      <c r="M3370" s="623" t="inlineStr">
        <is>
          <t>Samsung 32" вертикальный</t>
        </is>
      </c>
      <c r="N3370" s="640" t="n"/>
      <c r="O3370" s="640">
        <f>IF(AND(N3370=1,L3370=1),K3370,"")</f>
        <v/>
      </c>
      <c r="P3370" s="642" t="inlineStr">
        <is>
          <t>127204, г. Москва, Дмитровское ш., д.165Б</t>
        </is>
      </c>
      <c r="Q3370" s="640" t="inlineStr">
        <is>
          <t>55.915992</t>
        </is>
      </c>
      <c r="R3370" s="494" t="inlineStr">
        <is>
          <t>37.540084</t>
        </is>
      </c>
      <c r="S3370" s="654" t="n">
        <v>1314</v>
      </c>
      <c r="T3370" s="654">
        <f>IF(N3370=1,S3370*3,"0")</f>
        <v/>
      </c>
      <c r="U3370" s="655" t="n">
        <v>325710.75</v>
      </c>
      <c r="V3370" s="438">
        <f>IF(AND(N3370=1,U3370&lt;&gt;1),C3370,"")</f>
        <v/>
      </c>
    </row>
    <row r="3371" hidden="1" ht="16.05" customHeight="1">
      <c r="A3371" s="125" t="n">
        <v>4049</v>
      </c>
      <c r="B3371" s="791" t="n"/>
      <c r="C3371" s="130" t="inlineStr">
        <is>
          <t>Санкт-Петербург</t>
        </is>
      </c>
      <c r="D3371" s="130" t="inlineStr">
        <is>
          <t>Санкт-Петербург</t>
        </is>
      </c>
      <c r="E3371" s="130" t="n"/>
      <c r="F3371" s="130" t="inlineStr">
        <is>
          <t>Супермаркет</t>
        </is>
      </c>
      <c r="G3371" s="130" t="inlineStr">
        <is>
          <t>Metro C&amp;C</t>
        </is>
      </c>
      <c r="H3371" s="131" t="n">
        <v>57919</v>
      </c>
      <c r="I3371" s="637" t="n">
        <v>15</v>
      </c>
      <c r="J3371" s="637" t="inlineStr">
        <is>
          <t>Metro_15</t>
        </is>
      </c>
      <c r="K3371" s="640" t="n">
        <v>4</v>
      </c>
      <c r="L3371" s="640" t="n">
        <v>1</v>
      </c>
      <c r="M3371" s="623" t="inlineStr">
        <is>
          <t>Samsung 55" Вертикальный</t>
        </is>
      </c>
      <c r="N3371" s="640" t="n"/>
      <c r="O3371" s="640">
        <f>IF(AND(N3371=1,L3371=1),K3371,"")</f>
        <v/>
      </c>
      <c r="P3371" s="642" t="inlineStr">
        <is>
          <t>197227, г. Санкт-Петербург, Комендантский проспект,  д.3, лит. А</t>
        </is>
      </c>
      <c r="Q3371" s="640" t="inlineStr">
        <is>
          <t>60.002202</t>
        </is>
      </c>
      <c r="R3371" s="494" t="inlineStr">
        <is>
          <t>30.268635</t>
        </is>
      </c>
      <c r="S3371" s="654" t="n">
        <v>1048.5</v>
      </c>
      <c r="T3371" s="654">
        <f>IF(N3371=1,(S3371*3)*0.9,"0")</f>
        <v/>
      </c>
      <c r="U3371" s="655" t="n">
        <v>260635.5</v>
      </c>
      <c r="V3371" s="438">
        <f>IF(AND(N3371=1,U3371&lt;&gt;1),C3371,"")</f>
        <v/>
      </c>
    </row>
    <row r="3372" hidden="1" ht="16.05" customHeight="1">
      <c r="A3372" s="125" t="n">
        <v>4050</v>
      </c>
      <c r="B3372" s="791" t="n"/>
      <c r="C3372" s="130" t="inlineStr">
        <is>
          <t>Санкт-Петербург</t>
        </is>
      </c>
      <c r="D3372" s="130" t="inlineStr">
        <is>
          <t>Санкт-Петербург</t>
        </is>
      </c>
      <c r="E3372" s="130" t="n"/>
      <c r="F3372" s="130" t="inlineStr">
        <is>
          <t>Супермаркет</t>
        </is>
      </c>
      <c r="G3372" s="130" t="inlineStr">
        <is>
          <t>Metro C&amp;C</t>
        </is>
      </c>
      <c r="H3372" s="131" t="n">
        <v>36924</v>
      </c>
      <c r="I3372" s="637" t="n">
        <v>16</v>
      </c>
      <c r="J3372" s="637" t="inlineStr">
        <is>
          <t>Metro_16</t>
        </is>
      </c>
      <c r="K3372" s="640" t="n">
        <v>4</v>
      </c>
      <c r="L3372" s="640" t="n">
        <v>1</v>
      </c>
      <c r="M3372" s="623" t="inlineStr">
        <is>
          <t>Samsung 55" Вертикальный</t>
        </is>
      </c>
      <c r="N3372" s="640" t="n"/>
      <c r="O3372" s="640">
        <f>IF(AND(N3372=1,L3372=1),K3372,"")</f>
        <v/>
      </c>
      <c r="P3372" s="642" t="inlineStr">
        <is>
          <t>195279, г. Санкт-Петербург, пр-т Косыгина, д.4, лит. А</t>
        </is>
      </c>
      <c r="Q3372" s="640" t="inlineStr">
        <is>
          <t>59.94083</t>
        </is>
      </c>
      <c r="R3372" s="494" t="inlineStr">
        <is>
          <t>30.456176</t>
        </is>
      </c>
      <c r="S3372" s="654" t="n">
        <v>675</v>
      </c>
      <c r="T3372" s="654">
        <f>IF(N3372=1,(S3372*3)*0.9,"0")</f>
        <v/>
      </c>
      <c r="U3372" s="655" t="n">
        <v>166158.75</v>
      </c>
      <c r="V3372" s="438">
        <f>IF(AND(N3372=1,U3372&lt;&gt;1),C3372,"")</f>
        <v/>
      </c>
    </row>
    <row r="3373" hidden="1" ht="16.05" customHeight="1">
      <c r="A3373" s="125" t="n">
        <v>4051</v>
      </c>
      <c r="B3373" s="125" t="inlineStr">
        <is>
          <t>WF</t>
        </is>
      </c>
      <c r="C3373" s="130" t="inlineStr">
        <is>
          <t>Москва</t>
        </is>
      </c>
      <c r="D3373" s="130" t="inlineStr">
        <is>
          <t>Москва</t>
        </is>
      </c>
      <c r="E3373" s="130" t="n"/>
      <c r="F3373" s="130" t="inlineStr">
        <is>
          <t>Супермаркет</t>
        </is>
      </c>
      <c r="G3373" s="130" t="inlineStr">
        <is>
          <t>Metro C&amp;C</t>
        </is>
      </c>
      <c r="H3373" s="131" t="n">
        <v>55750</v>
      </c>
      <c r="I3373" s="637" t="n">
        <v>17</v>
      </c>
      <c r="J3373" s="637" t="inlineStr">
        <is>
          <t>Metro_17</t>
        </is>
      </c>
      <c r="K3373" s="640" t="n">
        <v>9</v>
      </c>
      <c r="L3373" s="640" t="n">
        <v>1</v>
      </c>
      <c r="M3373" s="623" t="inlineStr">
        <is>
          <t>Samsung 32" вертикальный</t>
        </is>
      </c>
      <c r="N3373" s="640" t="n"/>
      <c r="O3373" s="640">
        <f>IF(AND(N3373=1,L3373=1),K3373,"")</f>
        <v/>
      </c>
      <c r="P3373" s="642" t="inlineStr">
        <is>
          <t>123458, г. Москва, ул. Маршала Прошлякова 14</t>
        </is>
      </c>
      <c r="Q3373" s="640" t="inlineStr">
        <is>
          <t>55.791182</t>
        </is>
      </c>
      <c r="R3373" s="494" t="inlineStr">
        <is>
          <t>37.388718</t>
        </is>
      </c>
      <c r="S3373" s="654" t="n">
        <v>1017</v>
      </c>
      <c r="T3373" s="654">
        <f>IF(N3373=1,S3373*3,"0")</f>
        <v/>
      </c>
      <c r="U3373" s="655" t="n">
        <v>250877.25</v>
      </c>
      <c r="V3373" s="438">
        <f>IF(AND(N3373=1,U3373&lt;&gt;1),C3373,"")</f>
        <v/>
      </c>
    </row>
    <row r="3374" hidden="1" ht="16.05" customHeight="1">
      <c r="A3374" s="125" t="n">
        <v>4052</v>
      </c>
      <c r="B3374" s="125" t="inlineStr">
        <is>
          <t>WF</t>
        </is>
      </c>
      <c r="C3374" s="130" t="inlineStr">
        <is>
          <t>Москва</t>
        </is>
      </c>
      <c r="D3374" s="130" t="inlineStr">
        <is>
          <t>Москва</t>
        </is>
      </c>
      <c r="E3374" s="130" t="n"/>
      <c r="F3374" s="130" t="inlineStr">
        <is>
          <t>Супермаркет</t>
        </is>
      </c>
      <c r="G3374" s="130" t="inlineStr">
        <is>
          <t>Metro C&amp;C</t>
        </is>
      </c>
      <c r="H3374" s="131" t="n">
        <v>70550</v>
      </c>
      <c r="I3374" s="637" t="n">
        <v>18</v>
      </c>
      <c r="J3374" s="637" t="inlineStr">
        <is>
          <t>Metro_18</t>
        </is>
      </c>
      <c r="K3374" s="640" t="n">
        <v>13</v>
      </c>
      <c r="L3374" s="640" t="n">
        <v>1</v>
      </c>
      <c r="M3374" s="623" t="inlineStr">
        <is>
          <t>Samsung 32" вертикальный</t>
        </is>
      </c>
      <c r="N3374" s="640" t="n"/>
      <c r="O3374" s="640">
        <f>IF(AND(N3374=1,L3374=1),K3374,"")</f>
        <v/>
      </c>
      <c r="P3374" s="642" t="inlineStr">
        <is>
          <t>105523, г. Москва, МКАД, 104 км, д.6</t>
        </is>
      </c>
      <c r="Q3374" s="640" t="inlineStr">
        <is>
          <t>55.811285</t>
        </is>
      </c>
      <c r="R3374" s="494" t="inlineStr">
        <is>
          <t>37.837444</t>
        </is>
      </c>
      <c r="S3374" s="654" t="n">
        <v>1314</v>
      </c>
      <c r="T3374" s="654">
        <f>IF(N3374=1,S3374*3,"0")</f>
        <v/>
      </c>
      <c r="U3374" s="655" t="n">
        <v>317478.375</v>
      </c>
      <c r="V3374" s="438">
        <f>IF(AND(N3374=1,U3374&lt;&gt;1),C3374,"")</f>
        <v/>
      </c>
    </row>
    <row r="3375" hidden="1" ht="16.05" customHeight="1">
      <c r="A3375" s="125" t="n">
        <v>4053</v>
      </c>
      <c r="B3375" s="125" t="inlineStr">
        <is>
          <t>WF</t>
        </is>
      </c>
      <c r="C3375" s="130" t="inlineStr">
        <is>
          <t>Москва</t>
        </is>
      </c>
      <c r="D3375" s="130" t="inlineStr">
        <is>
          <t>Москва</t>
        </is>
      </c>
      <c r="E3375" s="130" t="n"/>
      <c r="F3375" s="130" t="inlineStr">
        <is>
          <t>Супермаркет</t>
        </is>
      </c>
      <c r="G3375" s="130" t="inlineStr">
        <is>
          <t>Metro C&amp;C</t>
        </is>
      </c>
      <c r="H3375" s="131" t="n">
        <v>50499</v>
      </c>
      <c r="I3375" s="637" t="n">
        <v>19</v>
      </c>
      <c r="J3375" s="637" t="inlineStr">
        <is>
          <t>Metro_19</t>
        </is>
      </c>
      <c r="K3375" s="640" t="n">
        <v>9</v>
      </c>
      <c r="L3375" s="640" t="n">
        <v>1</v>
      </c>
      <c r="M3375" s="623" t="inlineStr">
        <is>
          <t>Samsung 32" вертикальный</t>
        </is>
      </c>
      <c r="N3375" s="640" t="n"/>
      <c r="O3375" s="640">
        <f>IF(AND(N3375=1,L3375=1),K3375,"")</f>
        <v/>
      </c>
      <c r="P3375" s="642" t="inlineStr">
        <is>
          <t>109548, г. Москва, ул. Шоссейная, 2Б</t>
        </is>
      </c>
      <c r="Q3375" s="640" t="inlineStr">
        <is>
          <t>55.700679</t>
        </is>
      </c>
      <c r="R3375" s="494" t="inlineStr">
        <is>
          <t>37.726322</t>
        </is>
      </c>
      <c r="S3375" s="654" t="n">
        <v>918</v>
      </c>
      <c r="T3375" s="654">
        <f>IF(N3375=1,S3375*3,"0")</f>
        <v/>
      </c>
      <c r="U3375" s="655" t="n">
        <v>227247.375</v>
      </c>
      <c r="V3375" s="438">
        <f>IF(AND(N3375=1,U3375&lt;&gt;1),C3375,"")</f>
        <v/>
      </c>
    </row>
    <row r="3376" hidden="1" ht="16.05" customHeight="1">
      <c r="A3376" s="125" t="n">
        <v>4054</v>
      </c>
      <c r="B3376" s="791" t="n"/>
      <c r="C3376" s="130" t="inlineStr">
        <is>
          <t>Санкт-Петербург</t>
        </is>
      </c>
      <c r="D3376" s="130" t="inlineStr">
        <is>
          <t>Санкт-Петербург</t>
        </is>
      </c>
      <c r="E3376" s="130" t="n"/>
      <c r="F3376" s="130" t="inlineStr">
        <is>
          <t>Супермаркет</t>
        </is>
      </c>
      <c r="G3376" s="130" t="inlineStr">
        <is>
          <t>Metro C&amp;C</t>
        </is>
      </c>
      <c r="H3376" s="131" t="n">
        <v>49604</v>
      </c>
      <c r="I3376" s="637" t="n">
        <v>20</v>
      </c>
      <c r="J3376" s="637" t="inlineStr">
        <is>
          <t>Metro_20</t>
        </is>
      </c>
      <c r="K3376" s="640" t="n">
        <v>14</v>
      </c>
      <c r="L3376" s="640" t="n">
        <v>1</v>
      </c>
      <c r="M3376" s="623" t="inlineStr">
        <is>
          <t>Samsung 32" вертикальный</t>
        </is>
      </c>
      <c r="N3376" s="640" t="n"/>
      <c r="O3376" s="640">
        <f>IF(AND(N3376=1,L3376=1),K3376,"")</f>
        <v/>
      </c>
      <c r="P3376" s="642" t="inlineStr">
        <is>
          <t>196240, г. Санкт-Петербург, Пулковское шоссе, д.23, лит. A</t>
        </is>
      </c>
      <c r="Q3376" s="640" t="inlineStr">
        <is>
          <t>59.822435</t>
        </is>
      </c>
      <c r="R3376" s="494" t="inlineStr">
        <is>
          <t>30.31638</t>
        </is>
      </c>
      <c r="S3376" s="654" t="n">
        <v>900</v>
      </c>
      <c r="T3376" s="654">
        <f>IF(N3376=1,(S3376*3)*0.9,"0")</f>
        <v/>
      </c>
      <c r="U3376" s="655" t="n">
        <v>223219.875</v>
      </c>
      <c r="V3376" s="438">
        <f>IF(AND(N3376=1,U3376&lt;&gt;1),C3376,"")</f>
        <v/>
      </c>
    </row>
    <row r="3377" hidden="1" ht="16.05" customHeight="1">
      <c r="A3377" s="125" t="n">
        <v>4055</v>
      </c>
      <c r="B3377" s="791" t="n"/>
      <c r="C3377" s="130" t="inlineStr">
        <is>
          <t>Нижний Новгород</t>
        </is>
      </c>
      <c r="D3377" s="130" t="inlineStr">
        <is>
          <t>Нижний Новгород</t>
        </is>
      </c>
      <c r="E3377" s="130" t="n"/>
      <c r="F3377" s="130" t="inlineStr">
        <is>
          <t>Супермаркет</t>
        </is>
      </c>
      <c r="G3377" s="130" t="inlineStr">
        <is>
          <t>Metro C&amp;C</t>
        </is>
      </c>
      <c r="H3377" s="131" t="n">
        <v>33337</v>
      </c>
      <c r="I3377" s="637" t="n">
        <v>21</v>
      </c>
      <c r="J3377" s="637" t="inlineStr">
        <is>
          <t>Metro_21</t>
        </is>
      </c>
      <c r="K3377" s="640" t="n">
        <v>12</v>
      </c>
      <c r="L3377" s="640" t="n">
        <v>1</v>
      </c>
      <c r="M3377" s="623" t="inlineStr">
        <is>
          <t>Samsung 32" вертикальный</t>
        </is>
      </c>
      <c r="N3377" s="640" t="n"/>
      <c r="O3377" s="640">
        <f>IF(AND(N3377=1,L3377=1),K3377,"")</f>
        <v/>
      </c>
      <c r="P3377" s="642" t="inlineStr">
        <is>
          <t>603070,  г. Нижний Новгород, Мещерский бульвар,  д.3а</t>
        </is>
      </c>
      <c r="Q3377" s="640" t="inlineStr">
        <is>
          <t>56.334293</t>
        </is>
      </c>
      <c r="R3377" s="494" t="inlineStr">
        <is>
          <t>43.951234</t>
        </is>
      </c>
      <c r="S3377" s="654" t="n">
        <v>611.1</v>
      </c>
      <c r="T3377" s="654">
        <f>IF(N3377=1,(S3377*3)*0.7,"0")</f>
        <v/>
      </c>
      <c r="U3377" s="655" t="n">
        <v>150018.375</v>
      </c>
      <c r="V3377" s="438">
        <f>IF(AND(N3377=1,U3377&lt;&gt;1),C3377,"")</f>
        <v/>
      </c>
    </row>
    <row r="3378" hidden="1" ht="16.05" customHeight="1">
      <c r="A3378" s="125" t="n">
        <v>4056</v>
      </c>
      <c r="B3378" s="791" t="n"/>
      <c r="C3378" s="130" t="inlineStr">
        <is>
          <t>Татарстан</t>
        </is>
      </c>
      <c r="D3378" s="130" t="inlineStr">
        <is>
          <t>Казань</t>
        </is>
      </c>
      <c r="E3378" s="130" t="n"/>
      <c r="F3378" s="130" t="inlineStr">
        <is>
          <t>Супермаркет</t>
        </is>
      </c>
      <c r="G3378" s="130" t="inlineStr">
        <is>
          <t>Metro C&amp;C</t>
        </is>
      </c>
      <c r="H3378" s="131" t="n">
        <v>62883</v>
      </c>
      <c r="I3378" s="637" t="n">
        <v>23</v>
      </c>
      <c r="J3378" s="637" t="inlineStr">
        <is>
          <t>Metro_23</t>
        </is>
      </c>
      <c r="K3378" s="640" t="n">
        <v>13</v>
      </c>
      <c r="L3378" s="640" t="n">
        <v>1</v>
      </c>
      <c r="M3378" s="623" t="inlineStr">
        <is>
          <t>Samsung 32" вертикальный</t>
        </is>
      </c>
      <c r="N3378" s="640" t="n"/>
      <c r="O3378" s="640">
        <f>IF(AND(N3378=1,L3378=1),K3378,"")</f>
        <v/>
      </c>
      <c r="P3378" s="642" t="inlineStr">
        <is>
          <t>420124, республика Татарстан, Казань, 4, ул. Вахитова, 4</t>
        </is>
      </c>
      <c r="Q3378" s="640" t="inlineStr">
        <is>
          <t>55.812307</t>
        </is>
      </c>
      <c r="R3378" s="494" t="inlineStr">
        <is>
          <t>49.081917</t>
        </is>
      </c>
      <c r="S3378" s="654" t="n">
        <v>1143</v>
      </c>
      <c r="T3378" s="654">
        <f>IF(N3378=1,(S3378*3)*0.7,"0")</f>
        <v/>
      </c>
      <c r="U3378" s="655" t="n">
        <v>282976.875</v>
      </c>
      <c r="V3378" s="438">
        <f>IF(AND(N3378=1,U3378&lt;&gt;1),C3378,"")</f>
        <v/>
      </c>
    </row>
    <row r="3379" hidden="1" ht="16.05" customHeight="1">
      <c r="A3379" s="125" t="n">
        <v>4057</v>
      </c>
      <c r="B3379" s="791" t="n"/>
      <c r="C3379" s="130" t="inlineStr">
        <is>
          <t>Ростов-на-Дону</t>
        </is>
      </c>
      <c r="D3379" s="130" t="inlineStr">
        <is>
          <t>Ростов-на-Дону</t>
        </is>
      </c>
      <c r="E3379" s="130" t="n"/>
      <c r="F3379" s="130" t="inlineStr">
        <is>
          <t>Супермаркет</t>
        </is>
      </c>
      <c r="G3379" s="130" t="inlineStr">
        <is>
          <t>Metro C&amp;C</t>
        </is>
      </c>
      <c r="H3379" s="131" t="n">
        <v>37382</v>
      </c>
      <c r="I3379" s="637" t="n">
        <v>24</v>
      </c>
      <c r="J3379" s="637" t="inlineStr">
        <is>
          <t>Metro_24</t>
        </is>
      </c>
      <c r="K3379" s="640" t="n">
        <v>10</v>
      </c>
      <c r="L3379" s="640" t="n">
        <v>1</v>
      </c>
      <c r="M3379" s="623" t="inlineStr">
        <is>
          <t>Samsung 32" вертикальный</t>
        </is>
      </c>
      <c r="N3379" s="640" t="n"/>
      <c r="O3379" s="640">
        <f>IF(AND(N3379=1,L3379=1),K3379,"")</f>
        <v/>
      </c>
      <c r="P3379" s="642" t="inlineStr">
        <is>
          <t>344090, г. Ростов-на-Дону, ул. Доватора, 255</t>
        </is>
      </c>
      <c r="Q3379" s="640" t="inlineStr">
        <is>
          <t>47.236329</t>
        </is>
      </c>
      <c r="R3379" s="494" t="inlineStr">
        <is>
          <t>39.606667</t>
        </is>
      </c>
      <c r="S3379" s="654" t="n">
        <v>679.5</v>
      </c>
      <c r="T3379" s="654">
        <f>IF(N3379=1,(S3379*3)*0.7,"0")</f>
        <v/>
      </c>
      <c r="U3379" s="655" t="n">
        <v>168223.125</v>
      </c>
      <c r="V3379" s="438">
        <f>IF(AND(N3379=1,U3379&lt;&gt;1),C3379,"")</f>
        <v/>
      </c>
    </row>
    <row r="3380" hidden="1" ht="16.05" customHeight="1">
      <c r="A3380" s="125" t="n">
        <v>4058</v>
      </c>
      <c r="B3380" s="791" t="n"/>
      <c r="C3380" s="130" t="inlineStr">
        <is>
          <t>Воронеж</t>
        </is>
      </c>
      <c r="D3380" s="130" t="inlineStr">
        <is>
          <t>Воронеж</t>
        </is>
      </c>
      <c r="E3380" s="130" t="n"/>
      <c r="F3380" s="130" t="inlineStr">
        <is>
          <t>Супермаркет</t>
        </is>
      </c>
      <c r="G3380" s="130" t="inlineStr">
        <is>
          <t>Metro C&amp;C</t>
        </is>
      </c>
      <c r="H3380" s="131" t="n">
        <v>39925</v>
      </c>
      <c r="I3380" s="637" t="n">
        <v>25</v>
      </c>
      <c r="J3380" s="637" t="inlineStr">
        <is>
          <t>Metro_25</t>
        </is>
      </c>
      <c r="K3380" s="640" t="n">
        <v>12</v>
      </c>
      <c r="L3380" s="640" t="n">
        <v>1</v>
      </c>
      <c r="M3380" s="623" t="inlineStr">
        <is>
          <t>Samsung 32" вертикальный</t>
        </is>
      </c>
      <c r="N3380" s="640" t="n"/>
      <c r="O3380" s="640">
        <f>IF(AND(N3380=1,L3380=1),K3380,"")</f>
        <v/>
      </c>
      <c r="P3380" s="642" t="inlineStr">
        <is>
          <t>394042, г. Воронеж, ул. Остужева, д.56</t>
        </is>
      </c>
      <c r="Q3380" s="640" t="inlineStr">
        <is>
          <t>51.678599</t>
        </is>
      </c>
      <c r="R3380" s="494" t="inlineStr">
        <is>
          <t>39.28401</t>
        </is>
      </c>
      <c r="S3380" s="654" t="n">
        <v>724.5</v>
      </c>
      <c r="T3380" s="654">
        <f>IF(N3380=1,(S3380*3)*0.7,"0")</f>
        <v/>
      </c>
      <c r="U3380" s="655" t="n">
        <v>179665.5</v>
      </c>
      <c r="V3380" s="438">
        <f>IF(AND(N3380=1,U3380&lt;&gt;1),C3380,"")</f>
        <v/>
      </c>
    </row>
    <row r="3381" hidden="1" ht="16.05" customHeight="1">
      <c r="A3381" s="125" t="n">
        <v>4059</v>
      </c>
      <c r="B3381" s="791" t="n"/>
      <c r="C3381" s="130" t="inlineStr">
        <is>
          <t>Краснодар</t>
        </is>
      </c>
      <c r="D3381" s="130" t="inlineStr">
        <is>
          <t>Краснодар</t>
        </is>
      </c>
      <c r="E3381" s="130" t="n"/>
      <c r="F3381" s="130" t="inlineStr">
        <is>
          <t>Супермаркет</t>
        </is>
      </c>
      <c r="G3381" s="130" t="inlineStr">
        <is>
          <t>Metro C&amp;C</t>
        </is>
      </c>
      <c r="H3381" s="131" t="n">
        <v>40221</v>
      </c>
      <c r="I3381" s="637" t="n">
        <v>26</v>
      </c>
      <c r="J3381" s="637" t="inlineStr">
        <is>
          <t>Metro_26</t>
        </is>
      </c>
      <c r="K3381" s="640" t="n">
        <v>10</v>
      </c>
      <c r="L3381" s="640" t="n">
        <v>1</v>
      </c>
      <c r="M3381" s="623" t="inlineStr">
        <is>
          <t>Samsung 32" вертикальный</t>
        </is>
      </c>
      <c r="N3381" s="640" t="n"/>
      <c r="O3381" s="640">
        <f>IF(AND(N3381=1,L3381=1),K3381,"")</f>
        <v/>
      </c>
      <c r="P3381" s="642" t="inlineStr">
        <is>
          <t>350010, г. Краснодар, Ростовское Шоссе, д.30</t>
        </is>
      </c>
      <c r="Q3381" s="640" t="inlineStr">
        <is>
          <t>45.097991</t>
        </is>
      </c>
      <c r="R3381" s="494" t="inlineStr">
        <is>
          <t>38.995884</t>
        </is>
      </c>
      <c r="S3381" s="654" t="n">
        <v>814.5</v>
      </c>
      <c r="T3381" s="654">
        <f>IF(N3381=1,(S3381*3)*0.7,"0")</f>
        <v/>
      </c>
      <c r="U3381" s="655" t="n">
        <v>180994.875</v>
      </c>
      <c r="V3381" s="438">
        <f>IF(AND(N3381=1,U3381&lt;&gt;1),C3381,"")</f>
        <v/>
      </c>
    </row>
    <row r="3382" hidden="1" ht="16.05" customHeight="1">
      <c r="A3382" s="125" t="n">
        <v>4060</v>
      </c>
      <c r="B3382" s="791" t="n"/>
      <c r="C3382" s="130" t="inlineStr">
        <is>
          <t>Уфа</t>
        </is>
      </c>
      <c r="D3382" s="130" t="inlineStr">
        <is>
          <t>Уфа</t>
        </is>
      </c>
      <c r="E3382" s="130" t="n"/>
      <c r="F3382" s="130" t="inlineStr">
        <is>
          <t>Супермаркет</t>
        </is>
      </c>
      <c r="G3382" s="130" t="inlineStr">
        <is>
          <t>Metro C&amp;C</t>
        </is>
      </c>
      <c r="H3382" s="131" t="n">
        <v>42367</v>
      </c>
      <c r="I3382" s="637" t="n">
        <v>27</v>
      </c>
      <c r="J3382" s="637" t="inlineStr">
        <is>
          <t>Metro_27</t>
        </is>
      </c>
      <c r="K3382" s="640" t="n">
        <v>10</v>
      </c>
      <c r="L3382" s="640" t="n">
        <v>1</v>
      </c>
      <c r="M3382" s="623" t="inlineStr">
        <is>
          <t>Samsung 32" вертикальный</t>
        </is>
      </c>
      <c r="N3382" s="640" t="n"/>
      <c r="O3382" s="640">
        <f>IF(AND(N3382=1,L3382=1),K3382,"")</f>
        <v/>
      </c>
      <c r="P3382" s="642" t="inlineStr">
        <is>
          <t>450018, г. Уфа, ул. Рубежная, д.170</t>
        </is>
      </c>
      <c r="Q3382" s="640" t="inlineStr">
        <is>
          <t>54.668561</t>
        </is>
      </c>
      <c r="R3382" s="494" t="inlineStr">
        <is>
          <t>55.930888</t>
        </is>
      </c>
      <c r="S3382" s="654" t="n">
        <v>774</v>
      </c>
      <c r="T3382" s="654">
        <f>IF(N3382=1,(S3382*3)*0.7,"0")</f>
        <v/>
      </c>
      <c r="U3382" s="655" t="n">
        <v>190651.5</v>
      </c>
      <c r="V3382" s="438">
        <f>IF(AND(N3382=1,U3382&lt;&gt;1),C3382,"")</f>
        <v/>
      </c>
    </row>
    <row r="3383" hidden="1" ht="16.05" customHeight="1">
      <c r="A3383" s="125" t="n">
        <v>4061</v>
      </c>
      <c r="B3383" s="791" t="n"/>
      <c r="C3383" s="130" t="inlineStr">
        <is>
          <t>Волгоград</t>
        </is>
      </c>
      <c r="D3383" s="130" t="inlineStr">
        <is>
          <t>Волгоград</t>
        </is>
      </c>
      <c r="E3383" s="130" t="n"/>
      <c r="F3383" s="130" t="inlineStr">
        <is>
          <t>Супермаркет</t>
        </is>
      </c>
      <c r="G3383" s="130" t="inlineStr">
        <is>
          <t>Metro C&amp;C</t>
        </is>
      </c>
      <c r="H3383" s="131" t="n">
        <v>26222</v>
      </c>
      <c r="I3383" s="637" t="n">
        <v>28</v>
      </c>
      <c r="J3383" s="637" t="inlineStr">
        <is>
          <t>Metro_28</t>
        </is>
      </c>
      <c r="K3383" s="640" t="n">
        <v>9</v>
      </c>
      <c r="L3383" s="640" t="n">
        <v>1</v>
      </c>
      <c r="M3383" s="623" t="inlineStr">
        <is>
          <t>Samsung 32" вертикальный</t>
        </is>
      </c>
      <c r="N3383" s="640" t="n"/>
      <c r="O3383" s="640">
        <f>IF(AND(N3383=1,L3383=1),K3383,"")</f>
        <v/>
      </c>
      <c r="P3383" s="642" t="inlineStr">
        <is>
          <t>400075, г. Волгоград, ул. Историческая, д.164</t>
        </is>
      </c>
      <c r="Q3383" s="640" t="inlineStr">
        <is>
          <t>48.771795</t>
        </is>
      </c>
      <c r="R3383" s="494" t="inlineStr">
        <is>
          <t>44.473748</t>
        </is>
      </c>
      <c r="S3383" s="654" t="n">
        <v>477</v>
      </c>
      <c r="T3383" s="654">
        <f>IF(N3383=1,(S3383*3)*0.7,"0")</f>
        <v/>
      </c>
      <c r="U3383" s="655" t="n">
        <v>117999</v>
      </c>
      <c r="V3383" s="438">
        <f>IF(AND(N3383=1,U3383&lt;&gt;1),C3383,"")</f>
        <v/>
      </c>
    </row>
    <row r="3384" hidden="1" ht="16.05" customHeight="1">
      <c r="A3384" s="125" t="n">
        <v>4062</v>
      </c>
      <c r="B3384" s="791" t="n"/>
      <c r="C3384" s="130" t="inlineStr">
        <is>
          <t>Екатеринбург</t>
        </is>
      </c>
      <c r="D3384" s="130" t="inlineStr">
        <is>
          <t>Екатеринбург</t>
        </is>
      </c>
      <c r="E3384" s="130" t="n"/>
      <c r="F3384" s="130" t="inlineStr">
        <is>
          <t>Супермаркет</t>
        </is>
      </c>
      <c r="G3384" s="130" t="inlineStr">
        <is>
          <t>Metro C&amp;C</t>
        </is>
      </c>
      <c r="H3384" s="131" t="n">
        <v>25901</v>
      </c>
      <c r="I3384" s="637" t="n">
        <v>29</v>
      </c>
      <c r="J3384" s="637" t="inlineStr">
        <is>
          <t>Metro_29</t>
        </is>
      </c>
      <c r="K3384" s="640" t="n">
        <v>12</v>
      </c>
      <c r="L3384" s="640" t="n">
        <v>1</v>
      </c>
      <c r="M3384" s="623" t="inlineStr">
        <is>
          <t>Samsung 32" вертикальный</t>
        </is>
      </c>
      <c r="N3384" s="640" t="n"/>
      <c r="O3384" s="640">
        <f>IF(AND(N3384=1,L3384=1),K3384,"")</f>
        <v/>
      </c>
      <c r="P3384" s="642" t="inlineStr">
        <is>
          <t>620072, г. Екатеринбург, дублер Сибирского тракта, д.21</t>
        </is>
      </c>
      <c r="Q3384" s="640" t="inlineStr">
        <is>
          <t>56.824173</t>
        </is>
      </c>
      <c r="R3384" s="494" t="inlineStr">
        <is>
          <t>60.65255</t>
        </is>
      </c>
      <c r="S3384" s="654" t="n">
        <v>468</v>
      </c>
      <c r="T3384" s="654">
        <f>IF(N3384=1,(S3384*3)*0.7,"0")</f>
        <v/>
      </c>
      <c r="U3384" s="655" t="n">
        <v>116557.5</v>
      </c>
      <c r="V3384" s="438">
        <f>IF(AND(N3384=1,U3384&lt;&gt;1),C3384,"")</f>
        <v/>
      </c>
    </row>
    <row r="3385" hidden="1" ht="16.05" customHeight="1">
      <c r="A3385" s="125" t="n">
        <v>4063</v>
      </c>
      <c r="B3385" s="791" t="n"/>
      <c r="C3385" s="130" t="inlineStr">
        <is>
          <t>Екатеринбург</t>
        </is>
      </c>
      <c r="D3385" s="130" t="inlineStr">
        <is>
          <t>Екатеринбург</t>
        </is>
      </c>
      <c r="E3385" s="130" t="n"/>
      <c r="F3385" s="130" t="inlineStr">
        <is>
          <t>Супермаркет</t>
        </is>
      </c>
      <c r="G3385" s="130" t="inlineStr">
        <is>
          <t>Metro C&amp;C</t>
        </is>
      </c>
      <c r="H3385" s="131" t="n">
        <v>40665</v>
      </c>
      <c r="I3385" s="637" t="n">
        <v>30</v>
      </c>
      <c r="J3385" s="637" t="inlineStr">
        <is>
          <t>Metro_30</t>
        </is>
      </c>
      <c r="K3385" s="640" t="n">
        <v>12</v>
      </c>
      <c r="L3385" s="640" t="n">
        <v>1</v>
      </c>
      <c r="M3385" s="623" t="inlineStr">
        <is>
          <t>Samsung 32" вертикальный</t>
        </is>
      </c>
      <c r="N3385" s="640" t="n"/>
      <c r="O3385" s="640">
        <f>IF(AND(N3385=1,L3385=1),K3385,"")</f>
        <v/>
      </c>
      <c r="P3385" s="642" t="inlineStr">
        <is>
          <t>620043, г. Екатеринбург, ул. Металлургов, д. 85</t>
        </is>
      </c>
      <c r="Q3385" s="640" t="inlineStr">
        <is>
          <t>56.824301</t>
        </is>
      </c>
      <c r="R3385" s="494" t="inlineStr">
        <is>
          <t>60.511236</t>
        </is>
      </c>
      <c r="S3385" s="654" t="n">
        <v>738</v>
      </c>
      <c r="T3385" s="654">
        <f>IF(N3385=1,(S3385*3)*0.7,"0")</f>
        <v/>
      </c>
      <c r="U3385" s="655" t="n">
        <v>182995.125</v>
      </c>
      <c r="V3385" s="438">
        <f>IF(AND(N3385=1,U3385&lt;&gt;1),C3385,"")</f>
        <v/>
      </c>
    </row>
    <row r="3386" hidden="1" ht="16.05" customHeight="1">
      <c r="A3386" s="125" t="n">
        <v>4064</v>
      </c>
      <c r="B3386" s="791" t="n"/>
      <c r="C3386" s="130" t="inlineStr">
        <is>
          <t>Челябинск</t>
        </is>
      </c>
      <c r="D3386" s="130" t="inlineStr">
        <is>
          <t>Копейск</t>
        </is>
      </c>
      <c r="E3386" s="130" t="n"/>
      <c r="F3386" s="130" t="inlineStr">
        <is>
          <t>Супермаркет</t>
        </is>
      </c>
      <c r="G3386" s="130" t="inlineStr">
        <is>
          <t>Metro C&amp;C</t>
        </is>
      </c>
      <c r="H3386" s="131" t="n">
        <v>20801</v>
      </c>
      <c r="I3386" s="637" t="n">
        <v>31</v>
      </c>
      <c r="J3386" s="637" t="inlineStr">
        <is>
          <t>Metro_31</t>
        </is>
      </c>
      <c r="K3386" s="640" t="n">
        <v>7</v>
      </c>
      <c r="L3386" s="640" t="n">
        <v>1</v>
      </c>
      <c r="M3386" s="623" t="inlineStr">
        <is>
          <t>Samsung 32" вертикальный</t>
        </is>
      </c>
      <c r="N3386" s="640" t="n"/>
      <c r="O3386" s="640">
        <f>IF(AND(N3386=1,L3386=1),K3386,"")</f>
        <v/>
      </c>
      <c r="P3386" s="642" t="inlineStr">
        <is>
          <t>456620, Челябинская область, г. Копейск, пр. Победы 76</t>
        </is>
      </c>
      <c r="Q3386" s="640" t="inlineStr">
        <is>
          <t>55.120732</t>
        </is>
      </c>
      <c r="R3386" s="494" t="inlineStr">
        <is>
          <t>61.548368</t>
        </is>
      </c>
      <c r="S3386" s="654" t="n">
        <v>378</v>
      </c>
      <c r="T3386" s="654">
        <f>IF(N3386=1,(S3386*3)*0.7,"0")</f>
        <v/>
      </c>
      <c r="U3386" s="655" t="n">
        <v>93608.25</v>
      </c>
      <c r="V3386" s="438">
        <f>IF(AND(N3386=1,U3386&lt;&gt;1),C3386,"")</f>
        <v/>
      </c>
    </row>
    <row r="3387" hidden="1" ht="16.05" customHeight="1">
      <c r="A3387" s="125" t="n">
        <v>4065</v>
      </c>
      <c r="B3387" s="791" t="n"/>
      <c r="C3387" s="130" t="inlineStr">
        <is>
          <t>Самара</t>
        </is>
      </c>
      <c r="D3387" s="130" t="inlineStr">
        <is>
          <t>Самара</t>
        </is>
      </c>
      <c r="E3387" s="130" t="n"/>
      <c r="F3387" s="130" t="inlineStr">
        <is>
          <t>Супермаркет</t>
        </is>
      </c>
      <c r="G3387" s="130" t="inlineStr">
        <is>
          <t>Metro C&amp;C</t>
        </is>
      </c>
      <c r="H3387" s="131" t="n">
        <v>37167</v>
      </c>
      <c r="I3387" s="637" t="n">
        <v>32</v>
      </c>
      <c r="J3387" s="637" t="inlineStr">
        <is>
          <t>Metro_32</t>
        </is>
      </c>
      <c r="K3387" s="640" t="n">
        <v>12</v>
      </c>
      <c r="L3387" s="640" t="n">
        <v>1</v>
      </c>
      <c r="M3387" s="623" t="inlineStr">
        <is>
          <t>Samsung 32" вертикальный</t>
        </is>
      </c>
      <c r="N3387" s="640" t="n"/>
      <c r="O3387" s="640">
        <f>IF(AND(N3387=1,L3387=1),K3387,"")</f>
        <v/>
      </c>
      <c r="P3387" s="642" t="inlineStr">
        <is>
          <t>443072, г. Самара, 18 км Московского шоссе, д.5А</t>
        </is>
      </c>
      <c r="Q3387" s="640" t="inlineStr">
        <is>
          <t>53.277863</t>
        </is>
      </c>
      <c r="R3387" s="494" t="inlineStr">
        <is>
          <t>50.277188</t>
        </is>
      </c>
      <c r="S3387" s="654" t="n">
        <v>675</v>
      </c>
      <c r="T3387" s="654">
        <f>IF(N3387=1,(S3387*3)*0.7,"0")</f>
        <v/>
      </c>
      <c r="U3387" s="655" t="n">
        <v>167252.625</v>
      </c>
      <c r="V3387" s="438">
        <f>IF(AND(N3387=1,U3387&lt;&gt;1),C3387,"")</f>
        <v/>
      </c>
    </row>
    <row r="3388" hidden="1" ht="16.05" customHeight="1">
      <c r="A3388" s="125" t="n">
        <v>4066</v>
      </c>
      <c r="B3388" s="791" t="n"/>
      <c r="C3388" s="130" t="inlineStr">
        <is>
          <t>Самара</t>
        </is>
      </c>
      <c r="D3388" s="130" t="inlineStr">
        <is>
          <t>Тольятти</t>
        </is>
      </c>
      <c r="E3388" s="130" t="n"/>
      <c r="F3388" s="130" t="inlineStr">
        <is>
          <t>Супермаркет</t>
        </is>
      </c>
      <c r="G3388" s="130" t="inlineStr">
        <is>
          <t>Metro C&amp;C</t>
        </is>
      </c>
      <c r="H3388" s="131" t="n">
        <v>27274</v>
      </c>
      <c r="I3388" s="637" t="n">
        <v>34</v>
      </c>
      <c r="J3388" s="637" t="inlineStr">
        <is>
          <t>Metro_34</t>
        </is>
      </c>
      <c r="K3388" s="640" t="n">
        <v>9</v>
      </c>
      <c r="L3388" s="640" t="n">
        <v>1</v>
      </c>
      <c r="M3388" s="623" t="inlineStr">
        <is>
          <t>Samsung 32" вертикальный</t>
        </is>
      </c>
      <c r="N3388" s="640" t="n"/>
      <c r="O3388" s="640">
        <f>IF(AND(N3388=1,L3388=1),K3388,"")</f>
        <v/>
      </c>
      <c r="P3388" s="642" t="inlineStr">
        <is>
          <t xml:space="preserve">445047, Самарская обл., г. Тольятти, Южное шоссе, д.2а  </t>
        </is>
      </c>
      <c r="Q3388" s="640" t="inlineStr">
        <is>
          <t>53.547563</t>
        </is>
      </c>
      <c r="R3388" s="494" t="inlineStr">
        <is>
          <t>49.373753</t>
        </is>
      </c>
      <c r="S3388" s="654" t="n">
        <v>495</v>
      </c>
      <c r="T3388" s="654">
        <f>IF(N3388=1,(S3388*3)*0.7,"0")</f>
        <v/>
      </c>
      <c r="U3388" s="655" t="n">
        <v>122735.625</v>
      </c>
      <c r="V3388" s="438">
        <f>IF(AND(N3388=1,U3388&lt;&gt;1),C3388,"")</f>
        <v/>
      </c>
    </row>
    <row r="3389" hidden="1" ht="16.05" customHeight="1">
      <c r="A3389" s="125" t="n">
        <v>4067</v>
      </c>
      <c r="B3389" s="791" t="n"/>
      <c r="C3389" s="130" t="inlineStr">
        <is>
          <t>Пермь</t>
        </is>
      </c>
      <c r="D3389" s="130" t="inlineStr">
        <is>
          <t>Пермь</t>
        </is>
      </c>
      <c r="E3389" s="130" t="n"/>
      <c r="F3389" s="130" t="inlineStr">
        <is>
          <t>Супермаркет</t>
        </is>
      </c>
      <c r="G3389" s="130" t="inlineStr">
        <is>
          <t>Metro C&amp;C</t>
        </is>
      </c>
      <c r="H3389" s="131" t="n">
        <v>33620</v>
      </c>
      <c r="I3389" s="637" t="n">
        <v>35</v>
      </c>
      <c r="J3389" s="637" t="inlineStr">
        <is>
          <t>Metro_35</t>
        </is>
      </c>
      <c r="K3389" s="640" t="n">
        <v>9</v>
      </c>
      <c r="L3389" s="640" t="n">
        <v>1</v>
      </c>
      <c r="M3389" s="623" t="inlineStr">
        <is>
          <t>Samsung 32" вертикальный</t>
        </is>
      </c>
      <c r="N3389" s="640" t="n"/>
      <c r="O3389" s="640">
        <f>IF(AND(N3389=1,L3389=1),K3389,"")</f>
        <v/>
      </c>
      <c r="P3389" s="642" t="inlineStr">
        <is>
          <t>614065, г. Пермь, шоссе Космонавтов, д.393</t>
        </is>
      </c>
      <c r="Q3389" s="640" t="inlineStr">
        <is>
          <t>57.951498</t>
        </is>
      </c>
      <c r="R3389" s="494" t="inlineStr">
        <is>
          <t>56.120217</t>
        </is>
      </c>
      <c r="S3389" s="654" t="n">
        <v>612</v>
      </c>
      <c r="T3389" s="654">
        <f>IF(N3389=1,(S3389*3)*0.7,"0")</f>
        <v/>
      </c>
      <c r="U3389" s="655" t="n">
        <v>151293.375</v>
      </c>
      <c r="V3389" s="438">
        <f>IF(AND(N3389=1,U3389&lt;&gt;1),C3389,"")</f>
        <v/>
      </c>
    </row>
    <row r="3390" hidden="1" ht="16.05" customHeight="1">
      <c r="A3390" s="125" t="n">
        <v>4068</v>
      </c>
      <c r="B3390" s="791" t="n"/>
      <c r="C3390" s="130" t="inlineStr">
        <is>
          <t>Ульяновск</t>
        </is>
      </c>
      <c r="D3390" s="130" t="inlineStr">
        <is>
          <t>Ульяновск</t>
        </is>
      </c>
      <c r="E3390" s="130" t="n"/>
      <c r="F3390" s="130" t="inlineStr">
        <is>
          <t>Супермаркет</t>
        </is>
      </c>
      <c r="G3390" s="130" t="inlineStr">
        <is>
          <t>Metro C&amp;C</t>
        </is>
      </c>
      <c r="H3390" s="131" t="n">
        <v>38746</v>
      </c>
      <c r="I3390" s="637" t="n">
        <v>41</v>
      </c>
      <c r="J3390" s="637" t="inlineStr">
        <is>
          <t>Metro_41</t>
        </is>
      </c>
      <c r="K3390" s="640" t="n">
        <v>11</v>
      </c>
      <c r="L3390" s="640" t="n">
        <v>1</v>
      </c>
      <c r="M3390" s="623" t="inlineStr">
        <is>
          <t>Samsung 32" вертикальный</t>
        </is>
      </c>
      <c r="N3390" s="640" t="n"/>
      <c r="O3390" s="640">
        <f>IF(AND(N3390=1,L3390=1),K3390,"")</f>
        <v/>
      </c>
      <c r="P3390" s="642" t="inlineStr">
        <is>
          <t>432071, г. Ульяновск, ул. Урицкого, дом №100-Д</t>
        </is>
      </c>
      <c r="Q3390" s="640" t="inlineStr">
        <is>
          <t>54.330218</t>
        </is>
      </c>
      <c r="R3390" s="494" t="inlineStr">
        <is>
          <t>48.35474</t>
        </is>
      </c>
      <c r="S3390" s="654" t="n">
        <v>702</v>
      </c>
      <c r="T3390" s="654">
        <f>IF(N3390=1,(S3390*3)*0.7,"0")</f>
        <v/>
      </c>
      <c r="U3390" s="655" t="n">
        <v>174361.125</v>
      </c>
      <c r="V3390" s="438">
        <f>IF(AND(N3390=1,U3390&lt;&gt;1),C3390,"")</f>
        <v/>
      </c>
    </row>
    <row r="3391" hidden="1" ht="16.05" customHeight="1">
      <c r="A3391" s="125" t="n">
        <v>4069</v>
      </c>
      <c r="B3391" s="791" t="n"/>
      <c r="C3391" s="130" t="inlineStr">
        <is>
          <t>Новосибирск</t>
        </is>
      </c>
      <c r="D3391" s="130" t="inlineStr">
        <is>
          <t>Новосибирск</t>
        </is>
      </c>
      <c r="E3391" s="130" t="n"/>
      <c r="F3391" s="130" t="inlineStr">
        <is>
          <t>Супермаркет</t>
        </is>
      </c>
      <c r="G3391" s="130" t="inlineStr">
        <is>
          <t>Metro C&amp;C</t>
        </is>
      </c>
      <c r="H3391" s="131" t="n">
        <v>33136</v>
      </c>
      <c r="I3391" s="637" t="n">
        <v>44</v>
      </c>
      <c r="J3391" s="637" t="inlineStr">
        <is>
          <t>Metro_44</t>
        </is>
      </c>
      <c r="K3391" s="640" t="n">
        <v>12</v>
      </c>
      <c r="L3391" s="640" t="n">
        <v>1</v>
      </c>
      <c r="M3391" s="623" t="inlineStr">
        <is>
          <t>Samsung 32" вертикальный</t>
        </is>
      </c>
      <c r="N3391" s="640" t="n"/>
      <c r="O3391" s="640">
        <f>IF(AND(N3391=1,L3391=1),K3391,"")</f>
        <v/>
      </c>
      <c r="P3391" s="642" t="inlineStr">
        <is>
          <t>630028, г. Новосибирск, ул. Большевистская, 290</t>
        </is>
      </c>
      <c r="Q3391" s="640" t="inlineStr">
        <is>
          <t>54.976354</t>
        </is>
      </c>
      <c r="R3391" s="494" t="inlineStr">
        <is>
          <t>83.024212</t>
        </is>
      </c>
      <c r="S3391" s="654" t="n">
        <v>594</v>
      </c>
      <c r="T3391" s="654">
        <f>IF(N3391=1,(S3391*3)*0.7,"0")</f>
        <v/>
      </c>
      <c r="U3391" s="655" t="n">
        <v>149113.125</v>
      </c>
      <c r="V3391" s="438">
        <f>IF(AND(N3391=1,U3391&lt;&gt;1),C3391,"")</f>
        <v/>
      </c>
    </row>
    <row r="3392" hidden="1" ht="16.05" customHeight="1">
      <c r="A3392" s="125" t="n">
        <v>4070</v>
      </c>
      <c r="B3392" s="791" t="n"/>
      <c r="C3392" s="130" t="inlineStr">
        <is>
          <t>Омск</t>
        </is>
      </c>
      <c r="D3392" s="130" t="inlineStr">
        <is>
          <t>Омск</t>
        </is>
      </c>
      <c r="E3392" s="130" t="n"/>
      <c r="F3392" s="130" t="inlineStr">
        <is>
          <t>Супермаркет</t>
        </is>
      </c>
      <c r="G3392" s="130" t="inlineStr">
        <is>
          <t>Metro C&amp;C</t>
        </is>
      </c>
      <c r="H3392" s="131" t="n">
        <v>30683</v>
      </c>
      <c r="I3392" s="637" t="n">
        <v>45</v>
      </c>
      <c r="J3392" s="637" t="inlineStr">
        <is>
          <t>Metro_45</t>
        </is>
      </c>
      <c r="K3392" s="640" t="n">
        <v>7</v>
      </c>
      <c r="L3392" s="640" t="n">
        <v>1</v>
      </c>
      <c r="M3392" s="623" t="inlineStr">
        <is>
          <t>Samsung 32" вертикальный</t>
        </is>
      </c>
      <c r="N3392" s="640" t="n"/>
      <c r="O3392" s="640">
        <f>IF(AND(N3392=1,L3392=1),K3392,"")</f>
        <v/>
      </c>
      <c r="P3392" s="642" t="inlineStr">
        <is>
          <t>644090, г. Омск, Проспект Академика Королева 15, корпус 1</t>
        </is>
      </c>
      <c r="Q3392" s="640" t="inlineStr">
        <is>
          <t>55.037005</t>
        </is>
      </c>
      <c r="R3392" s="494" t="inlineStr">
        <is>
          <t>73.316451</t>
        </is>
      </c>
      <c r="S3392" s="654" t="n">
        <v>591.3</v>
      </c>
      <c r="T3392" s="654">
        <f>IF(N3392=1,(S3392*3)*0.7,"0")</f>
        <v/>
      </c>
      <c r="U3392" s="655" t="n">
        <v>138076.875</v>
      </c>
      <c r="V3392" s="438">
        <f>IF(AND(N3392=1,U3392&lt;&gt;1),C3392,"")</f>
        <v/>
      </c>
    </row>
    <row r="3393" hidden="1" ht="16.05" customHeight="1">
      <c r="A3393" s="125" t="n">
        <v>4071</v>
      </c>
      <c r="B3393" s="791" t="n"/>
      <c r="C3393" s="130" t="inlineStr">
        <is>
          <t>Красноярск</t>
        </is>
      </c>
      <c r="D3393" s="130" t="inlineStr">
        <is>
          <t>Красноярский край</t>
        </is>
      </c>
      <c r="E3393" s="130" t="n"/>
      <c r="F3393" s="130" t="inlineStr">
        <is>
          <t>Супермаркет</t>
        </is>
      </c>
      <c r="G3393" s="130" t="inlineStr">
        <is>
          <t>Metro C&amp;C</t>
        </is>
      </c>
      <c r="H3393" s="131" t="n">
        <v>39430</v>
      </c>
      <c r="I3393" s="637" t="n">
        <v>46</v>
      </c>
      <c r="J3393" s="637" t="inlineStr">
        <is>
          <t>Metro_46</t>
        </is>
      </c>
      <c r="K3393" s="640" t="n">
        <v>12</v>
      </c>
      <c r="L3393" s="640" t="n">
        <v>1</v>
      </c>
      <c r="M3393" s="623" t="inlineStr">
        <is>
          <t>Samsung 32" вертикальный</t>
        </is>
      </c>
      <c r="N3393" s="640" t="n"/>
      <c r="O3393" s="640">
        <f>IF(AND(N3393=1,L3393=1),K3393,"")</f>
        <v/>
      </c>
      <c r="P3393" s="642" t="inlineStr">
        <is>
          <t>660015, Красноярский край, Емельяновский р-н, п. Солонцы, пр. Котельникова, 1</t>
        </is>
      </c>
      <c r="Q3393" s="640" t="inlineStr">
        <is>
          <t>56.06266</t>
        </is>
      </c>
      <c r="R3393" s="494" t="inlineStr">
        <is>
          <t>92.841037</t>
        </is>
      </c>
      <c r="S3393" s="654" t="n">
        <v>720</v>
      </c>
      <c r="T3393" s="654">
        <f>IF(N3393=1,(S3393*3)*0.7,"0")</f>
        <v/>
      </c>
      <c r="U3393" s="655" t="n">
        <v>177435</v>
      </c>
      <c r="V3393" s="438">
        <f>IF(AND(N3393=1,U3393&lt;&gt;1),C3393,"")</f>
        <v/>
      </c>
    </row>
    <row r="3394" hidden="1" ht="16.05" customHeight="1">
      <c r="A3394" s="125" t="n">
        <v>4072</v>
      </c>
      <c r="B3394" s="125" t="inlineStr">
        <is>
          <t>WF</t>
        </is>
      </c>
      <c r="C3394" s="130" t="inlineStr">
        <is>
          <t>Москва</t>
        </is>
      </c>
      <c r="D3394" s="130" t="inlineStr">
        <is>
          <t>Московская область</t>
        </is>
      </c>
      <c r="E3394" s="130" t="n"/>
      <c r="F3394" s="130" t="inlineStr">
        <is>
          <t>Супермаркет</t>
        </is>
      </c>
      <c r="G3394" s="130" t="inlineStr">
        <is>
          <t>Metro C&amp;C</t>
        </is>
      </c>
      <c r="H3394" s="131" t="n">
        <v>35293</v>
      </c>
      <c r="I3394" s="637" t="n">
        <v>48</v>
      </c>
      <c r="J3394" s="637" t="inlineStr">
        <is>
          <t>Metro_48</t>
        </is>
      </c>
      <c r="K3394" s="640" t="n">
        <v>7</v>
      </c>
      <c r="L3394" s="640" t="n">
        <v>1</v>
      </c>
      <c r="M3394" s="623" t="inlineStr">
        <is>
          <t>Samsung 32" вертикальный</t>
        </is>
      </c>
      <c r="N3394" s="640" t="n"/>
      <c r="O3394" s="640">
        <f>IF(AND(N3394=1,L3394=1),K3394,"")</f>
        <v/>
      </c>
      <c r="P3394" s="642" t="inlineStr">
        <is>
          <t>140073, Московская область,г. Люберцы, Томилино рп., Новорязанского шоссе 23-й км., стр. 17</t>
        </is>
      </c>
      <c r="Q3394" s="640" t="inlineStr">
        <is>
          <t>55.663126</t>
        </is>
      </c>
      <c r="R3394" s="494" t="inlineStr">
        <is>
          <t>37.949931</t>
        </is>
      </c>
      <c r="S3394" s="654" t="n">
        <v>639</v>
      </c>
      <c r="T3394" s="654">
        <f>IF(N3394=1,S3394*3,"0")</f>
        <v/>
      </c>
      <c r="U3394" s="655" t="n">
        <v>158818.875</v>
      </c>
      <c r="V3394" s="438">
        <f>IF(AND(N3394=1,U3394&lt;&gt;1),C3394,"")</f>
        <v/>
      </c>
    </row>
    <row r="3395" hidden="1" ht="16.05" customHeight="1">
      <c r="A3395" s="125" t="n">
        <v>4073</v>
      </c>
      <c r="B3395" s="125" t="inlineStr">
        <is>
          <t>WF</t>
        </is>
      </c>
      <c r="C3395" s="130" t="inlineStr">
        <is>
          <t>Москва</t>
        </is>
      </c>
      <c r="D3395" s="130" t="inlineStr">
        <is>
          <t>Москва</t>
        </is>
      </c>
      <c r="E3395" s="130" t="n"/>
      <c r="F3395" s="130" t="inlineStr">
        <is>
          <t>Супермаркет</t>
        </is>
      </c>
      <c r="G3395" s="130" t="inlineStr">
        <is>
          <t>Metro C&amp;C</t>
        </is>
      </c>
      <c r="H3395" s="131" t="n">
        <v>59999</v>
      </c>
      <c r="I3395" s="637" t="n">
        <v>49</v>
      </c>
      <c r="J3395" s="637" t="inlineStr">
        <is>
          <t>Metro_49</t>
        </is>
      </c>
      <c r="K3395" s="640" t="n">
        <v>13</v>
      </c>
      <c r="L3395" s="640" t="n">
        <v>1</v>
      </c>
      <c r="M3395" s="623" t="inlineStr">
        <is>
          <t>Samsung 32" вертикальный</t>
        </is>
      </c>
      <c r="N3395" s="640" t="n"/>
      <c r="O3395" s="640">
        <f>IF(AND(N3395=1,L3395=1),K3395,"")</f>
        <v/>
      </c>
      <c r="P3395" s="642" t="inlineStr">
        <is>
          <t xml:space="preserve">108811, г. Москва, п. Московский,квартал 34,3 </t>
        </is>
      </c>
      <c r="Q3395" s="640" t="inlineStr">
        <is>
          <t>55.616397</t>
        </is>
      </c>
      <c r="R3395" s="494" t="inlineStr">
        <is>
          <t>37.394188</t>
        </is>
      </c>
      <c r="S3395" s="654" t="n">
        <v>1080</v>
      </c>
      <c r="T3395" s="654">
        <f>IF(N3395=1,S3395*3,"0")</f>
        <v/>
      </c>
      <c r="U3395" s="655" t="n">
        <v>269995.875</v>
      </c>
      <c r="V3395" s="438">
        <f>IF(AND(N3395=1,U3395&lt;&gt;1),C3395,"")</f>
        <v/>
      </c>
    </row>
    <row r="3396" hidden="1" ht="16.05" customHeight="1">
      <c r="A3396" s="125" t="n">
        <v>4074</v>
      </c>
      <c r="B3396" s="791" t="n"/>
      <c r="C3396" s="130" t="inlineStr">
        <is>
          <t>Нижний Новгород</t>
        </is>
      </c>
      <c r="D3396" s="130" t="inlineStr">
        <is>
          <t>Нижний Новгород</t>
        </is>
      </c>
      <c r="E3396" s="130" t="n"/>
      <c r="F3396" s="130" t="inlineStr">
        <is>
          <t>Супермаркет</t>
        </is>
      </c>
      <c r="G3396" s="130" t="inlineStr">
        <is>
          <t>Metro C&amp;C</t>
        </is>
      </c>
      <c r="H3396" s="131" t="n">
        <v>32118</v>
      </c>
      <c r="I3396" s="637" t="n">
        <v>50</v>
      </c>
      <c r="J3396" s="637" t="inlineStr">
        <is>
          <t>Metro_50</t>
        </is>
      </c>
      <c r="K3396" s="640" t="n">
        <v>8</v>
      </c>
      <c r="L3396" s="640" t="n">
        <v>1</v>
      </c>
      <c r="M3396" s="623" t="inlineStr">
        <is>
          <t>Samsung 32" вертикальный</t>
        </is>
      </c>
      <c r="N3396" s="640" t="n"/>
      <c r="O3396" s="640">
        <f>IF(AND(N3396=1,L3396=1),K3396,"")</f>
        <v/>
      </c>
      <c r="P3396" s="642" t="inlineStr">
        <is>
          <t>603057, г. Нижний Новгород, ул. Нартова, 4 "А"</t>
        </is>
      </c>
      <c r="Q3396" s="640" t="inlineStr">
        <is>
          <t>56.286932</t>
        </is>
      </c>
      <c r="R3396" s="494" t="inlineStr">
        <is>
          <t>43.997839</t>
        </is>
      </c>
      <c r="S3396" s="654" t="n">
        <v>585</v>
      </c>
      <c r="T3396" s="654">
        <f>IF(N3396=1,(S3396*3)*0.7,"0")</f>
        <v/>
      </c>
      <c r="U3396" s="655" t="n">
        <v>144531.7500000001</v>
      </c>
      <c r="V3396" s="438">
        <f>IF(AND(N3396=1,U3396&lt;&gt;1),C3396,"")</f>
        <v/>
      </c>
    </row>
    <row r="3397" hidden="1" ht="16.05" customHeight="1">
      <c r="A3397" s="125" t="n">
        <v>4075</v>
      </c>
      <c r="B3397" s="791" t="n"/>
      <c r="C3397" s="130" t="inlineStr">
        <is>
          <t>Ростов-на-Дону</t>
        </is>
      </c>
      <c r="D3397" s="130" t="inlineStr">
        <is>
          <t>Ростов-на-Дону</t>
        </is>
      </c>
      <c r="E3397" s="130" t="n"/>
      <c r="F3397" s="130" t="inlineStr">
        <is>
          <t>Супермаркет</t>
        </is>
      </c>
      <c r="G3397" s="130" t="inlineStr">
        <is>
          <t>Metro C&amp;C</t>
        </is>
      </c>
      <c r="H3397" s="131" t="n">
        <v>34605</v>
      </c>
      <c r="I3397" s="637" t="n">
        <v>53</v>
      </c>
      <c r="J3397" s="637" t="inlineStr">
        <is>
          <t>Metro_53</t>
        </is>
      </c>
      <c r="K3397" s="640" t="n">
        <v>8</v>
      </c>
      <c r="L3397" s="640" t="n">
        <v>1</v>
      </c>
      <c r="M3397" s="623" t="inlineStr">
        <is>
          <t>Samsung 32" вертикальный</t>
        </is>
      </c>
      <c r="N3397" s="640" t="n"/>
      <c r="O3397" s="640">
        <f>IF(AND(N3397=1,L3397=1),K3397,"")</f>
        <v/>
      </c>
      <c r="P3397" s="642" t="inlineStr">
        <is>
          <t>344111, г. Ростов-на-Дону, проспект 40-лет Победы, 340</t>
        </is>
      </c>
      <c r="Q3397" s="640" t="inlineStr">
        <is>
          <t>47.24561</t>
        </is>
      </c>
      <c r="R3397" s="494" t="inlineStr">
        <is>
          <t>39.845035</t>
        </is>
      </c>
      <c r="S3397" s="654" t="n">
        <v>630</v>
      </c>
      <c r="T3397" s="654">
        <f>IF(N3397=1,(S3397*3)*0.7,"0")</f>
        <v/>
      </c>
      <c r="U3397" s="655" t="n">
        <v>155725.5</v>
      </c>
      <c r="V3397" s="438">
        <f>IF(AND(N3397=1,U3397&lt;&gt;1),C3397,"")</f>
        <v/>
      </c>
    </row>
    <row r="3398" hidden="1" ht="16.05" customHeight="1">
      <c r="A3398" s="125" t="n">
        <v>4076</v>
      </c>
      <c r="B3398" s="791" t="n"/>
      <c r="C3398" s="130" t="inlineStr">
        <is>
          <t>Новосибирск</t>
        </is>
      </c>
      <c r="D3398" s="130" t="inlineStr">
        <is>
          <t>Новосибирск</t>
        </is>
      </c>
      <c r="E3398" s="130" t="n"/>
      <c r="F3398" s="130" t="inlineStr">
        <is>
          <t>Супермаркет</t>
        </is>
      </c>
      <c r="G3398" s="130" t="inlineStr">
        <is>
          <t>Metro C&amp;C</t>
        </is>
      </c>
      <c r="H3398" s="131" t="n">
        <v>55522</v>
      </c>
      <c r="I3398" s="637" t="n">
        <v>60</v>
      </c>
      <c r="J3398" s="637" t="inlineStr">
        <is>
          <t>Metro_60</t>
        </is>
      </c>
      <c r="K3398" s="640" t="n">
        <v>11</v>
      </c>
      <c r="L3398" s="640" t="n">
        <v>1</v>
      </c>
      <c r="M3398" s="623" t="inlineStr">
        <is>
          <t>Samsung 32" вертикальный</t>
        </is>
      </c>
      <c r="N3398" s="640" t="n"/>
      <c r="O3398" s="640">
        <f>IF(AND(N3398=1,L3398=1),K3398,"")</f>
        <v/>
      </c>
      <c r="P3398" s="642" t="inlineStr">
        <is>
          <t>630049, Новосибирская область, г. Новосибирск, Заельцовский район, ул. Северная, 11</t>
        </is>
      </c>
      <c r="Q3398" s="640" t="inlineStr">
        <is>
          <t>55.070505</t>
        </is>
      </c>
      <c r="R3398" s="494" t="inlineStr">
        <is>
          <t>82.913297</t>
        </is>
      </c>
      <c r="S3398" s="654" t="n">
        <v>1008</v>
      </c>
      <c r="T3398" s="654">
        <f>IF(N3398=1,(S3398*3)*0.7,"0")</f>
        <v/>
      </c>
      <c r="U3398" s="655" t="n">
        <v>249851.625</v>
      </c>
      <c r="V3398" s="438">
        <f>IF(AND(N3398=1,U3398&lt;&gt;1),C3398,"")</f>
        <v/>
      </c>
    </row>
    <row r="3399" hidden="1" ht="16.05" customHeight="1">
      <c r="A3399" s="125" t="n">
        <v>4077</v>
      </c>
      <c r="B3399" s="791" t="n"/>
      <c r="C3399" s="130" t="inlineStr">
        <is>
          <t>Москва</t>
        </is>
      </c>
      <c r="D3399" s="130" t="inlineStr">
        <is>
          <t>Московская область</t>
        </is>
      </c>
      <c r="E3399" s="130" t="n"/>
      <c r="F3399" s="130" t="inlineStr">
        <is>
          <t>Супермаркет</t>
        </is>
      </c>
      <c r="G3399" s="130" t="inlineStr">
        <is>
          <t>Metro C&amp;C</t>
        </is>
      </c>
      <c r="H3399" s="131" t="n">
        <v>37855</v>
      </c>
      <c r="I3399" s="637" t="n">
        <v>61</v>
      </c>
      <c r="J3399" s="637" t="inlineStr">
        <is>
          <t>Metro_61</t>
        </is>
      </c>
      <c r="K3399" s="640" t="n">
        <v>11</v>
      </c>
      <c r="L3399" s="640" t="n">
        <v>1</v>
      </c>
      <c r="M3399" s="623" t="inlineStr">
        <is>
          <t>Samsung 32" вертикальный</t>
        </is>
      </c>
      <c r="N3399" s="640" t="n"/>
      <c r="O3399" s="640">
        <f>IF(AND(N3399=1,L3399=1),K3399,"")</f>
        <v/>
      </c>
      <c r="P3399" s="642" t="inlineStr">
        <is>
          <t>141580, МО,  Солнечногорский район, д. Черная грязь, ул.Торгово-Промышленная, стр.5 (с.п. Луневское)</t>
        </is>
      </c>
      <c r="Q3399" s="640" t="inlineStr">
        <is>
          <t>55.980785</t>
        </is>
      </c>
      <c r="R3399" s="494" t="inlineStr">
        <is>
          <t>37.298428</t>
        </is>
      </c>
      <c r="S3399" s="654" t="n">
        <v>684</v>
      </c>
      <c r="T3399" s="654">
        <f>IF(N3399=1,S3399*3,"0")</f>
        <v/>
      </c>
      <c r="U3399" s="655" t="n">
        <v>170350.875</v>
      </c>
      <c r="V3399" s="438">
        <f>IF(AND(N3399=1,U3399&lt;&gt;1),C3399,"")</f>
        <v/>
      </c>
    </row>
    <row r="3400" hidden="1" ht="16.05" customHeight="1">
      <c r="A3400" s="125" t="n">
        <v>4078</v>
      </c>
      <c r="B3400" s="791" t="n"/>
      <c r="C3400" s="130" t="inlineStr">
        <is>
          <t>Самара</t>
        </is>
      </c>
      <c r="D3400" s="130" t="inlineStr">
        <is>
          <t>Самара</t>
        </is>
      </c>
      <c r="E3400" s="130" t="n"/>
      <c r="F3400" s="130" t="inlineStr">
        <is>
          <t>Супермаркет</t>
        </is>
      </c>
      <c r="G3400" s="130" t="inlineStr">
        <is>
          <t>Metro C&amp;C</t>
        </is>
      </c>
      <c r="H3400" s="131" t="n">
        <v>27920</v>
      </c>
      <c r="I3400" s="637" t="n">
        <v>64</v>
      </c>
      <c r="J3400" s="637" t="inlineStr">
        <is>
          <t>Metro_64</t>
        </is>
      </c>
      <c r="K3400" s="640" t="n">
        <v>12</v>
      </c>
      <c r="L3400" s="640" t="n">
        <v>1</v>
      </c>
      <c r="M3400" s="623" t="inlineStr">
        <is>
          <t>Samsung 32" вертикальный</t>
        </is>
      </c>
      <c r="N3400" s="640" t="n"/>
      <c r="O3400" s="640">
        <f>IF(AND(N3400=1,L3400=1),K3400,"")</f>
        <v/>
      </c>
      <c r="P3400" s="642" t="inlineStr">
        <is>
          <t>443061, г.Самара, ул. Уральская, д.225</t>
        </is>
      </c>
      <c r="Q3400" s="640" t="inlineStr">
        <is>
          <t>53.133411</t>
        </is>
      </c>
      <c r="R3400" s="494" t="inlineStr">
        <is>
          <t>50.138524</t>
        </is>
      </c>
      <c r="S3400" s="654" t="n">
        <v>508.5</v>
      </c>
      <c r="T3400" s="654">
        <f>IF(N3400=1,(S3400*3)*0.7,"0")</f>
        <v/>
      </c>
      <c r="U3400" s="655" t="n">
        <v>125643.75</v>
      </c>
      <c r="V3400" s="438">
        <f>IF(AND(N3400=1,U3400&lt;&gt;1),C3400,"")</f>
        <v/>
      </c>
    </row>
    <row r="3401" hidden="1" ht="16.05" customHeight="1">
      <c r="A3401" s="125" t="n">
        <v>4079</v>
      </c>
      <c r="B3401" s="791" t="n"/>
      <c r="C3401" s="130" t="inlineStr">
        <is>
          <t>Екатеринбург</t>
        </is>
      </c>
      <c r="D3401" s="130" t="inlineStr">
        <is>
          <t>Екатеринбург</t>
        </is>
      </c>
      <c r="E3401" s="130" t="n"/>
      <c r="F3401" s="130" t="inlineStr">
        <is>
          <t>Супермаркет</t>
        </is>
      </c>
      <c r="G3401" s="130" t="inlineStr">
        <is>
          <t>Metro C&amp;C</t>
        </is>
      </c>
      <c r="H3401" s="131" t="n">
        <v>37362</v>
      </c>
      <c r="I3401" s="637" t="n">
        <v>65</v>
      </c>
      <c r="J3401" s="637" t="inlineStr">
        <is>
          <t>Metro_65</t>
        </is>
      </c>
      <c r="K3401" s="640" t="n">
        <v>10</v>
      </c>
      <c r="L3401" s="640" t="n">
        <v>1</v>
      </c>
      <c r="M3401" s="623" t="inlineStr">
        <is>
          <t>Samsung 32" вертикальный</t>
        </is>
      </c>
      <c r="N3401" s="640" t="n"/>
      <c r="O3401" s="640">
        <f>IF(AND(N3401=1,L3401=1),K3401,"")</f>
        <v/>
      </c>
      <c r="P3401" s="642" t="inlineStr">
        <is>
          <t>620135, Свердловская область, г. Екатеринбург, проспект Космонавтов, д.102а</t>
        </is>
      </c>
      <c r="Q3401" s="640" t="inlineStr">
        <is>
          <t>56.913185</t>
        </is>
      </c>
      <c r="R3401" s="494" t="inlineStr">
        <is>
          <t>60.614578</t>
        </is>
      </c>
      <c r="S3401" s="654" t="n">
        <v>675</v>
      </c>
      <c r="T3401" s="654">
        <f>IF(N3401=1,(S3401*3)*0.7,"0")</f>
        <v/>
      </c>
      <c r="U3401" s="655" t="n">
        <v>168130.125</v>
      </c>
      <c r="V3401" s="438">
        <f>IF(AND(N3401=1,U3401&lt;&gt;1),C3401,"")</f>
        <v/>
      </c>
    </row>
    <row r="3402" hidden="1" ht="16.05" customHeight="1">
      <c r="A3402" s="125" t="n">
        <v>4080</v>
      </c>
      <c r="B3402" s="125" t="inlineStr">
        <is>
          <t>WF</t>
        </is>
      </c>
      <c r="C3402" s="130" t="inlineStr">
        <is>
          <t>Москва</t>
        </is>
      </c>
      <c r="D3402" s="130" t="inlineStr">
        <is>
          <t>Московская область</t>
        </is>
      </c>
      <c r="E3402" s="130" t="n"/>
      <c r="F3402" s="130" t="inlineStr">
        <is>
          <t>Супермаркет</t>
        </is>
      </c>
      <c r="G3402" s="130" t="inlineStr">
        <is>
          <t>Metro C&amp;C</t>
        </is>
      </c>
      <c r="H3402" s="131" t="n">
        <v>49868</v>
      </c>
      <c r="I3402" s="637" t="n">
        <v>67</v>
      </c>
      <c r="J3402" s="637" t="inlineStr">
        <is>
          <t>Metro_67</t>
        </is>
      </c>
      <c r="K3402" s="640" t="n">
        <v>11</v>
      </c>
      <c r="L3402" s="640" t="n">
        <v>1</v>
      </c>
      <c r="M3402" s="623" t="inlineStr">
        <is>
          <t>Samsung 32" вертикальный</t>
        </is>
      </c>
      <c r="N3402" s="640" t="n"/>
      <c r="O3402" s="640">
        <f>IF(AND(N3402=1,L3402=1),K3402,"")</f>
        <v/>
      </c>
      <c r="P3402" s="642" t="inlineStr">
        <is>
          <t>143987, Московская обл., г.Балашиха мкр. Железнодорожный, ул. Советская, д.60</t>
        </is>
      </c>
      <c r="Q3402" s="640" t="inlineStr">
        <is>
          <t>55.750018</t>
        </is>
      </c>
      <c r="R3402" s="494" t="inlineStr">
        <is>
          <t>38.046195</t>
        </is>
      </c>
      <c r="S3402" s="654" t="n">
        <v>900</v>
      </c>
      <c r="T3402" s="654">
        <f>IF(N3402=1,S3402*3,"0")</f>
        <v/>
      </c>
      <c r="U3402" s="655" t="n">
        <v>224410.125</v>
      </c>
      <c r="V3402" s="438">
        <f>IF(AND(N3402=1,U3402&lt;&gt;1),C3402,"")</f>
        <v/>
      </c>
    </row>
    <row r="3403" hidden="1" ht="16.05" customHeight="1">
      <c r="A3403" s="125" t="n">
        <v>4081</v>
      </c>
      <c r="B3403" s="125" t="inlineStr">
        <is>
          <t>WF</t>
        </is>
      </c>
      <c r="C3403" s="130" t="inlineStr">
        <is>
          <t>Москва</t>
        </is>
      </c>
      <c r="D3403" s="130" t="inlineStr">
        <is>
          <t>Подольск</t>
        </is>
      </c>
      <c r="E3403" s="130" t="n"/>
      <c r="F3403" s="130" t="inlineStr">
        <is>
          <t>Супермаркет</t>
        </is>
      </c>
      <c r="G3403" s="130" t="inlineStr">
        <is>
          <t>Metro C&amp;C</t>
        </is>
      </c>
      <c r="H3403" s="131" t="n">
        <v>54779</v>
      </c>
      <c r="I3403" s="637" t="n">
        <v>73</v>
      </c>
      <c r="J3403" s="637" t="inlineStr">
        <is>
          <t>Metro_73</t>
        </is>
      </c>
      <c r="K3403" s="640" t="n">
        <v>16</v>
      </c>
      <c r="L3403" s="640" t="n">
        <v>1</v>
      </c>
      <c r="M3403" s="623" t="inlineStr">
        <is>
          <t>Samsung 32" вертикальный</t>
        </is>
      </c>
      <c r="N3403" s="640" t="n"/>
      <c r="O3403" s="640">
        <f>IF(AND(N3403=1,L3403=1),K3403,"")</f>
        <v/>
      </c>
      <c r="P3403" s="642" t="inlineStr">
        <is>
          <t>городской округ Подольск, г. Подольск, 42-й км автомагистрали М-2 «Крым», 1, стр. 1.</t>
        </is>
      </c>
      <c r="Q3403" s="640" t="inlineStr">
        <is>
          <t>55.393488</t>
        </is>
      </c>
      <c r="R3403" s="494" t="inlineStr">
        <is>
          <t>37.601692</t>
        </is>
      </c>
      <c r="S3403" s="654" t="n">
        <v>990</v>
      </c>
      <c r="T3403" s="654">
        <f>IF(N3403=1,S3403*3,"0")</f>
        <v/>
      </c>
      <c r="U3403" s="655" t="n">
        <v>246509.6250000001</v>
      </c>
      <c r="V3403" s="438">
        <f>IF(AND(N3403=1,U3403&lt;&gt;1),C3403,"")</f>
        <v/>
      </c>
    </row>
    <row r="3404" hidden="1" ht="16.05" customHeight="1">
      <c r="A3404" s="125" t="n">
        <v>4082</v>
      </c>
      <c r="B3404" s="791" t="n"/>
      <c r="C3404" s="130" t="inlineStr">
        <is>
          <t>Татарстан</t>
        </is>
      </c>
      <c r="D3404" s="130" t="inlineStr">
        <is>
          <t>Казань</t>
        </is>
      </c>
      <c r="E3404" s="130" t="n"/>
      <c r="F3404" s="130" t="inlineStr">
        <is>
          <t>Супермаркет</t>
        </is>
      </c>
      <c r="G3404" s="130" t="inlineStr">
        <is>
          <t>Metro C&amp;C</t>
        </is>
      </c>
      <c r="H3404" s="131" t="n">
        <v>24697</v>
      </c>
      <c r="I3404" s="637" t="n">
        <v>74</v>
      </c>
      <c r="J3404" s="637" t="inlineStr">
        <is>
          <t>Metro_74</t>
        </is>
      </c>
      <c r="K3404" s="640" t="n">
        <v>10</v>
      </c>
      <c r="L3404" s="640" t="n">
        <v>1</v>
      </c>
      <c r="M3404" s="623" t="inlineStr">
        <is>
          <t>Samsung 32" вертикальный</t>
        </is>
      </c>
      <c r="N3404" s="640" t="n"/>
      <c r="O3404" s="640">
        <f>IF(AND(N3404=1,L3404=1),K3404,"")</f>
        <v/>
      </c>
      <c r="P3404" s="642" t="inlineStr">
        <is>
          <t>420054, Республика Татарстан, г. Казань, Приволжский район, ул. Тихорецкая, д. 4</t>
        </is>
      </c>
      <c r="Q3404" s="640" t="inlineStr">
        <is>
          <t>55.732063</t>
        </is>
      </c>
      <c r="R3404" s="494" t="inlineStr">
        <is>
          <t>49.13101</t>
        </is>
      </c>
      <c r="S3404" s="654" t="n">
        <v>450</v>
      </c>
      <c r="T3404" s="654">
        <f>IF(N3404=1,(S3404*3)*0.7,"0")</f>
        <v/>
      </c>
      <c r="U3404" s="655" t="n">
        <v>111138</v>
      </c>
      <c r="V3404" s="438">
        <f>IF(AND(N3404=1,U3404&lt;&gt;1),C3404,"")</f>
        <v/>
      </c>
    </row>
    <row r="3405" hidden="1" ht="16.05" customHeight="1">
      <c r="A3405" s="125" t="n">
        <v>4083</v>
      </c>
      <c r="B3405" s="125" t="inlineStr">
        <is>
          <t>WF</t>
        </is>
      </c>
      <c r="C3405" s="130" t="inlineStr">
        <is>
          <t>Москва</t>
        </is>
      </c>
      <c r="D3405" s="130" t="inlineStr">
        <is>
          <t>Московская область</t>
        </is>
      </c>
      <c r="E3405" s="130" t="n"/>
      <c r="F3405" s="130" t="inlineStr">
        <is>
          <t>Супермаркет</t>
        </is>
      </c>
      <c r="G3405" s="130" t="inlineStr">
        <is>
          <t>Metro C&amp;C</t>
        </is>
      </c>
      <c r="H3405" s="131" t="n">
        <v>26456</v>
      </c>
      <c r="I3405" s="637" t="n">
        <v>77</v>
      </c>
      <c r="J3405" s="637" t="inlineStr">
        <is>
          <t>Metro_77</t>
        </is>
      </c>
      <c r="K3405" s="640" t="n">
        <v>13</v>
      </c>
      <c r="L3405" s="640" t="n">
        <v>1</v>
      </c>
      <c r="M3405" s="623" t="inlineStr">
        <is>
          <t>Samsung 32" вертикальный</t>
        </is>
      </c>
      <c r="N3405" s="640" t="n"/>
      <c r="O3405" s="640">
        <f>IF(AND(N3405=1,L3405=1),K3405,"")</f>
        <v/>
      </c>
      <c r="P3405" s="642" t="inlineStr">
        <is>
          <t>Московская область, Одинцовский район, сельское поселение Жаворонковское, деревня Ликино, 35 км Минское шоссе,д.2</t>
        </is>
      </c>
      <c r="Q3405" s="640" t="inlineStr">
        <is>
          <t>55.631905</t>
        </is>
      </c>
      <c r="R3405" s="494" t="inlineStr">
        <is>
          <t>37.129266</t>
        </is>
      </c>
      <c r="S3405" s="654" t="n">
        <v>481.5</v>
      </c>
      <c r="T3405" s="654">
        <f>IF(N3405=1,S3405*3,"0")</f>
        <v/>
      </c>
      <c r="U3405" s="655" t="n">
        <v>119052.3749999999</v>
      </c>
      <c r="V3405" s="438">
        <f>IF(AND(N3405=1,U3405&lt;&gt;1),C3405,"")</f>
        <v/>
      </c>
    </row>
    <row r="3406" hidden="1" ht="16.05" customHeight="1">
      <c r="A3406" s="125" t="n">
        <v>4084</v>
      </c>
      <c r="B3406" s="791" t="n"/>
      <c r="C3406" s="130" t="inlineStr">
        <is>
          <t>Ростов-на-Дону</t>
        </is>
      </c>
      <c r="D3406" s="130" t="inlineStr">
        <is>
          <t>Ростов-на-Дону</t>
        </is>
      </c>
      <c r="E3406" s="130" t="n"/>
      <c r="F3406" s="130" t="inlineStr">
        <is>
          <t>Супермаркет</t>
        </is>
      </c>
      <c r="G3406" s="130" t="inlineStr">
        <is>
          <t>Metro C&amp;C</t>
        </is>
      </c>
      <c r="H3406" s="131" t="n">
        <v>15267</v>
      </c>
      <c r="I3406" s="637" t="n">
        <v>82</v>
      </c>
      <c r="J3406" s="637" t="inlineStr">
        <is>
          <t>Metro_82</t>
        </is>
      </c>
      <c r="K3406" s="640" t="n">
        <v>6</v>
      </c>
      <c r="L3406" s="640" t="n">
        <v>1</v>
      </c>
      <c r="M3406" s="623" t="inlineStr">
        <is>
          <t>Samsung 32" вертикальный</t>
        </is>
      </c>
      <c r="N3406" s="640" t="n"/>
      <c r="O3406" s="640">
        <f>IF(AND(N3406=1,L3406=1),K3406,"")</f>
        <v/>
      </c>
      <c r="P3406" s="642" t="inlineStr">
        <is>
          <t>344064, г. Ростов-на-Дону Проспект Королева 1В</t>
        </is>
      </c>
      <c r="Q3406" s="640" t="inlineStr">
        <is>
          <t>47.283725</t>
        </is>
      </c>
      <c r="R3406" s="494" t="inlineStr">
        <is>
          <t>39.691064</t>
        </is>
      </c>
      <c r="S3406" s="654" t="n">
        <v>279</v>
      </c>
      <c r="T3406" s="654">
        <f>IF(N3406=1,(S3406*3)*0.7,"0")</f>
        <v/>
      </c>
      <c r="U3406" s="655" t="n">
        <v>68701.875</v>
      </c>
      <c r="V3406" s="438">
        <f>IF(AND(N3406=1,U3406&lt;&gt;1),C3406,"")</f>
        <v/>
      </c>
    </row>
    <row r="3407" hidden="1" ht="16.05" customHeight="1">
      <c r="A3407" s="125" t="n">
        <v>4085</v>
      </c>
      <c r="B3407" s="791" t="n"/>
      <c r="C3407" s="130" t="inlineStr">
        <is>
          <t>Краснодар</t>
        </is>
      </c>
      <c r="D3407" s="130" t="inlineStr">
        <is>
          <t>Краснодарский край</t>
        </is>
      </c>
      <c r="E3407" s="130" t="n"/>
      <c r="F3407" s="130" t="inlineStr">
        <is>
          <t>Супермаркет</t>
        </is>
      </c>
      <c r="G3407" s="130" t="inlineStr">
        <is>
          <t>Metro C&amp;C</t>
        </is>
      </c>
      <c r="H3407" s="131" t="n">
        <v>27237</v>
      </c>
      <c r="I3407" s="637" t="n">
        <v>94</v>
      </c>
      <c r="J3407" s="637" t="inlineStr">
        <is>
          <t>Metro_94</t>
        </is>
      </c>
      <c r="K3407" s="640" t="n">
        <v>10</v>
      </c>
      <c r="L3407" s="640" t="n">
        <v>1</v>
      </c>
      <c r="M3407" s="623" t="inlineStr">
        <is>
          <t>Samsung 32" вертикальный</t>
        </is>
      </c>
      <c r="N3407" s="640" t="n"/>
      <c r="O3407" s="640">
        <f>IF(AND(N3407=1,L3407=1),K3407,"")</f>
        <v/>
      </c>
      <c r="P3407" s="642" t="inlineStr">
        <is>
          <t>353991, Краснодарский край c.Гайдук Новороссийское шоссе, 34</t>
        </is>
      </c>
      <c r="Q3407" s="640" t="inlineStr">
        <is>
          <t>44.772122</t>
        </is>
      </c>
      <c r="R3407" s="494" t="inlineStr">
        <is>
          <t>37.699014</t>
        </is>
      </c>
      <c r="S3407" s="654" t="n">
        <v>495</v>
      </c>
      <c r="T3407" s="654">
        <f>IF(N3407=1,(S3407*3)*0.7,"0")</f>
        <v/>
      </c>
      <c r="U3407" s="655" t="n">
        <v>122567.25</v>
      </c>
      <c r="V3407" s="438">
        <f>IF(AND(N3407=1,U3407&lt;&gt;1),C3407,"")</f>
        <v/>
      </c>
    </row>
    <row r="3408" hidden="1" ht="16.05" customHeight="1">
      <c r="A3408" s="125" t="n">
        <v>4086</v>
      </c>
      <c r="B3408" s="791" t="n"/>
      <c r="C3408" s="130" t="inlineStr">
        <is>
          <t>Красноярск</t>
        </is>
      </c>
      <c r="D3408" s="130" t="inlineStr">
        <is>
          <t>Красноярский край</t>
        </is>
      </c>
      <c r="E3408" s="130" t="n"/>
      <c r="F3408" s="130" t="inlineStr">
        <is>
          <t>Супермаркет</t>
        </is>
      </c>
      <c r="G3408" s="130" t="inlineStr">
        <is>
          <t>Metro C&amp;C</t>
        </is>
      </c>
      <c r="H3408" s="131" t="n">
        <v>35198</v>
      </c>
      <c r="I3408" s="637" t="n">
        <v>95</v>
      </c>
      <c r="J3408" s="637" t="inlineStr">
        <is>
          <t>Metro_95</t>
        </is>
      </c>
      <c r="K3408" s="640" t="n">
        <v>15</v>
      </c>
      <c r="L3408" s="640" t="n">
        <v>1</v>
      </c>
      <c r="M3408" s="623" t="inlineStr">
        <is>
          <t>Samsung 32" вертикальный</t>
        </is>
      </c>
      <c r="N3408" s="640" t="n"/>
      <c r="O3408" s="640">
        <f>IF(AND(N3408=1,L3408=1),K3408,"")</f>
        <v/>
      </c>
      <c r="P3408" s="642" t="inlineStr">
        <is>
          <t>660050, Красноярский край, г. Красноярск, ул. Кутузова, 1, 196</t>
        </is>
      </c>
      <c r="Q3408" s="640" t="inlineStr">
        <is>
          <t>55.990398</t>
        </is>
      </c>
      <c r="R3408" s="494" t="inlineStr">
        <is>
          <t>92.982082</t>
        </is>
      </c>
      <c r="S3408" s="654" t="n">
        <v>639</v>
      </c>
      <c r="T3408" s="654">
        <f>IF(N3408=1,(S3408*3)*0.7,"0")</f>
        <v/>
      </c>
      <c r="U3408" s="655" t="n">
        <v>158392.875</v>
      </c>
      <c r="V3408" s="438">
        <f>IF(AND(N3408=1,U3408&lt;&gt;1),C3408,"")</f>
        <v/>
      </c>
    </row>
    <row r="3409" hidden="1" ht="16.05" customHeight="1">
      <c r="A3409" s="125" t="n">
        <v>4087</v>
      </c>
      <c r="B3409" s="791" t="n"/>
      <c r="C3409" s="130" t="inlineStr">
        <is>
          <t>Омск</t>
        </is>
      </c>
      <c r="D3409" s="130" t="inlineStr">
        <is>
          <t>Омск</t>
        </is>
      </c>
      <c r="E3409" s="130" t="n"/>
      <c r="F3409" s="130" t="inlineStr">
        <is>
          <t>Супермаркет</t>
        </is>
      </c>
      <c r="G3409" s="130" t="inlineStr">
        <is>
          <t>Metro C&amp;C</t>
        </is>
      </c>
      <c r="H3409" s="131" t="n">
        <v>13497</v>
      </c>
      <c r="I3409" s="637" t="n">
        <v>1304</v>
      </c>
      <c r="J3409" s="637" t="inlineStr">
        <is>
          <t>Metro_1304</t>
        </is>
      </c>
      <c r="K3409" s="640" t="n">
        <v>10</v>
      </c>
      <c r="L3409" s="640" t="n">
        <v>1</v>
      </c>
      <c r="M3409" s="623" t="inlineStr">
        <is>
          <t>Samsung 32" вертикальный</t>
        </is>
      </c>
      <c r="N3409" s="640" t="n"/>
      <c r="O3409" s="640">
        <f>IF(AND(N3409=1,L3409=1),K3409,"")</f>
        <v/>
      </c>
      <c r="P3409" s="642" t="inlineStr">
        <is>
          <t>644091, г.Омск, Черлакский тракт, 5</t>
        </is>
      </c>
      <c r="Q3409" s="640" t="inlineStr">
        <is>
          <t>54.896511</t>
        </is>
      </c>
      <c r="R3409" s="494" t="inlineStr">
        <is>
          <t>73.429468</t>
        </is>
      </c>
      <c r="S3409" s="654" t="n">
        <v>243</v>
      </c>
      <c r="T3409" s="654">
        <f>IF(N3409=1,(S3409*3)*0.7,"0")</f>
        <v/>
      </c>
      <c r="U3409" s="655" t="n">
        <v>60739.875</v>
      </c>
      <c r="V3409" s="438">
        <f>IF(AND(N3409=1,U3409&lt;&gt;1),C3409,"")</f>
        <v/>
      </c>
    </row>
    <row r="3410" hidden="1" ht="16.05" customHeight="1">
      <c r="A3410" s="125" t="n">
        <v>4088</v>
      </c>
      <c r="B3410" s="125" t="inlineStr">
        <is>
          <t>WF</t>
        </is>
      </c>
      <c r="C3410" s="130" t="inlineStr">
        <is>
          <t>Москва</t>
        </is>
      </c>
      <c r="D3410" s="130" t="inlineStr">
        <is>
          <t>Московская область</t>
        </is>
      </c>
      <c r="E3410" s="130" t="n"/>
      <c r="F3410" s="130" t="inlineStr">
        <is>
          <t>Супермаркет</t>
        </is>
      </c>
      <c r="G3410" s="130" t="inlineStr">
        <is>
          <t>Metro C&amp;C</t>
        </is>
      </c>
      <c r="H3410" s="131" t="n">
        <v>22322</v>
      </c>
      <c r="I3410" s="637" t="n">
        <v>1307</v>
      </c>
      <c r="J3410" s="637" t="inlineStr">
        <is>
          <t>Metro_1307</t>
        </is>
      </c>
      <c r="K3410" s="640" t="n">
        <v>18</v>
      </c>
      <c r="L3410" s="640" t="n">
        <v>1</v>
      </c>
      <c r="M3410" s="623" t="inlineStr">
        <is>
          <t>Samsung 32" вертикальный</t>
        </is>
      </c>
      <c r="N3410" s="640" t="n"/>
      <c r="O3410" s="640">
        <f>IF(AND(N3410=1,L3410=1),K3410,"")</f>
        <v/>
      </c>
      <c r="P3410" s="642" t="inlineStr">
        <is>
          <t>142434, Московская Область, Богородский городской округ, деревня Новые Псарьки ул Парковая дом 4</t>
        </is>
      </c>
      <c r="Q3410" s="640" t="inlineStr">
        <is>
          <t>55.831433</t>
        </is>
      </c>
      <c r="R3410" s="494" t="inlineStr">
        <is>
          <t>38.36869</t>
        </is>
      </c>
      <c r="S3410" s="654" t="n">
        <v>405</v>
      </c>
      <c r="T3410" s="654">
        <f>IF(N3410=1,S3410*3,"0")</f>
        <v/>
      </c>
      <c r="U3410" s="655" t="n">
        <v>100450.125</v>
      </c>
      <c r="V3410" s="438">
        <f>IF(AND(N3410=1,U3410&lt;&gt;1),C3410,"")</f>
        <v/>
      </c>
    </row>
    <row r="3411" hidden="1" ht="16.05" customHeight="1">
      <c r="A3411" s="125" t="n">
        <v>4089</v>
      </c>
      <c r="B3411" s="791" t="n"/>
      <c r="C3411" s="130" t="inlineStr">
        <is>
          <t>Москва</t>
        </is>
      </c>
      <c r="D3411" s="130" t="inlineStr">
        <is>
          <t>Москва</t>
        </is>
      </c>
      <c r="E3411" s="130" t="n"/>
      <c r="F3411" s="130" t="inlineStr">
        <is>
          <t>Супермаркет</t>
        </is>
      </c>
      <c r="G3411" s="130" t="inlineStr">
        <is>
          <t>Metro C&amp;C</t>
        </is>
      </c>
      <c r="H3411" s="131" t="n">
        <v>63984</v>
      </c>
      <c r="I3411" s="637" t="n">
        <v>1308</v>
      </c>
      <c r="J3411" s="637" t="inlineStr">
        <is>
          <t>Metro_1308</t>
        </is>
      </c>
      <c r="K3411" s="640" t="n">
        <v>8</v>
      </c>
      <c r="L3411" s="640" t="n">
        <v>1</v>
      </c>
      <c r="M3411" s="623" t="inlineStr">
        <is>
          <t>Samsung 32" + Samsung 55" вертикальный</t>
        </is>
      </c>
      <c r="N3411" s="640" t="n"/>
      <c r="O3411" s="640">
        <f>IF(AND(N3411=1,L3411=1),K3411,"")</f>
        <v/>
      </c>
      <c r="P3411" s="642" t="inlineStr">
        <is>
          <t>127018, Москва, ул.Складочная 1, 1</t>
        </is>
      </c>
      <c r="Q3411" s="640" t="inlineStr">
        <is>
          <t>55.800448</t>
        </is>
      </c>
      <c r="R3411" s="494" t="inlineStr">
        <is>
          <t>37.594584</t>
        </is>
      </c>
      <c r="S3411" s="654" t="n">
        <v>1170</v>
      </c>
      <c r="T3411" s="654">
        <f>IF(N3411=1,S3411*3,"0")</f>
        <v/>
      </c>
      <c r="U3411" s="655" t="n">
        <v>287929.875</v>
      </c>
      <c r="V3411" s="438">
        <f>IF(AND(N3411=1,U3411&lt;&gt;1),C3411,"")</f>
        <v/>
      </c>
    </row>
    <row r="3412" hidden="1" ht="16.05" customHeight="1">
      <c r="A3412" s="125" t="n">
        <v>4090</v>
      </c>
      <c r="B3412" s="791" t="n"/>
      <c r="C3412" s="130" t="inlineStr">
        <is>
          <t>Воронеж</t>
        </is>
      </c>
      <c r="D3412" s="130" t="inlineStr">
        <is>
          <t>Воронежская область</t>
        </is>
      </c>
      <c r="E3412" s="130" t="n"/>
      <c r="F3412" s="130" t="inlineStr">
        <is>
          <t>Супермаркет</t>
        </is>
      </c>
      <c r="G3412" s="130" t="inlineStr">
        <is>
          <t>Metro C&amp;C</t>
        </is>
      </c>
      <c r="H3412" s="131" t="n">
        <v>20070</v>
      </c>
      <c r="I3412" s="637" t="n">
        <v>1310</v>
      </c>
      <c r="J3412" s="637" t="inlineStr">
        <is>
          <t>Metro_1310</t>
        </is>
      </c>
      <c r="K3412" s="640" t="n">
        <v>11</v>
      </c>
      <c r="L3412" s="640" t="n">
        <v>1</v>
      </c>
      <c r="M3412" s="623" t="inlineStr">
        <is>
          <t>Samsung 32" вертикальный</t>
        </is>
      </c>
      <c r="N3412" s="640" t="n"/>
      <c r="O3412" s="640">
        <f>IF(AND(N3412=1,L3412=1),K3412,"")</f>
        <v/>
      </c>
      <c r="P3412" s="642" t="inlineStr">
        <is>
          <t xml:space="preserve">396901, Воронежская Область Семилукский район г.Семилуки ул. Заречная-2, 52 М </t>
        </is>
      </c>
      <c r="Q3412" s="640" t="inlineStr">
        <is>
          <t>51.653519</t>
        </is>
      </c>
      <c r="R3412" s="494" t="inlineStr">
        <is>
          <t>39.061831</t>
        </is>
      </c>
      <c r="S3412" s="654" t="n">
        <v>364.5</v>
      </c>
      <c r="T3412" s="654">
        <f>IF(N3412=1,(S3412*3)*0.7,"0")</f>
        <v/>
      </c>
      <c r="U3412" s="655" t="n">
        <v>90317.625</v>
      </c>
      <c r="V3412" s="438">
        <f>IF(AND(N3412=1,U3412&lt;&gt;1),C3412,"")</f>
        <v/>
      </c>
    </row>
    <row r="3413" hidden="1" ht="16.05" customHeight="1">
      <c r="A3413" s="125" t="n">
        <v>4091</v>
      </c>
      <c r="B3413" s="791" t="n"/>
      <c r="C3413" s="130" t="inlineStr">
        <is>
          <t>Новосибирск</t>
        </is>
      </c>
      <c r="D3413" s="130" t="inlineStr">
        <is>
          <t>Новосибирск</t>
        </is>
      </c>
      <c r="E3413" s="130" t="n"/>
      <c r="F3413" s="130" t="inlineStr">
        <is>
          <t>Супермаркет</t>
        </is>
      </c>
      <c r="G3413" s="130" t="inlineStr">
        <is>
          <t>Metro C&amp;C</t>
        </is>
      </c>
      <c r="H3413" s="131" t="n">
        <v>20313</v>
      </c>
      <c r="I3413" s="637" t="n">
        <v>1311</v>
      </c>
      <c r="J3413" s="637" t="inlineStr">
        <is>
          <t>Metro_1311</t>
        </is>
      </c>
      <c r="K3413" s="640" t="n">
        <v>13</v>
      </c>
      <c r="L3413" s="640" t="n">
        <v>1</v>
      </c>
      <c r="M3413" s="623" t="inlineStr">
        <is>
          <t>Samsung 32" вертикальный</t>
        </is>
      </c>
      <c r="N3413" s="640" t="n"/>
      <c r="O3413" s="640">
        <f>IF(AND(N3413=1,L3413=1),K3413,"")</f>
        <v/>
      </c>
      <c r="P3413" s="642" t="inlineStr">
        <is>
          <t>630088, Новосибирск, Северный проезд 3А</t>
        </is>
      </c>
      <c r="Q3413" s="640" t="inlineStr">
        <is>
          <t>54.950619</t>
        </is>
      </c>
      <c r="R3413" s="494" t="inlineStr">
        <is>
          <t>82.895834</t>
        </is>
      </c>
      <c r="S3413" s="654" t="n">
        <v>369</v>
      </c>
      <c r="T3413" s="654">
        <f>IF(N3413=1,(S3413*3)*0.7,"0")</f>
        <v/>
      </c>
      <c r="U3413" s="655" t="n">
        <v>91410.75</v>
      </c>
      <c r="V3413" s="438">
        <f>IF(AND(N3413=1,U3413&lt;&gt;1),C3413,"")</f>
        <v/>
      </c>
    </row>
    <row r="3414" hidden="1" ht="16.05" customHeight="1">
      <c r="A3414" s="125" t="n">
        <v>4092</v>
      </c>
      <c r="B3414" s="125" t="inlineStr">
        <is>
          <t>WF</t>
        </is>
      </c>
      <c r="C3414" s="130" t="inlineStr">
        <is>
          <t>Москва</t>
        </is>
      </c>
      <c r="D3414" s="130" t="inlineStr">
        <is>
          <t>Серпухов</t>
        </is>
      </c>
      <c r="E3414" s="130" t="n"/>
      <c r="F3414" s="130" t="inlineStr">
        <is>
          <t>Супермаркет</t>
        </is>
      </c>
      <c r="G3414" s="130" t="inlineStr">
        <is>
          <t>Metro C&amp;C</t>
        </is>
      </c>
      <c r="H3414" s="131" t="n">
        <v>38806</v>
      </c>
      <c r="I3414" s="637" t="n">
        <v>1317</v>
      </c>
      <c r="J3414" s="637" t="inlineStr">
        <is>
          <t>Metro_1317</t>
        </is>
      </c>
      <c r="K3414" s="640" t="n">
        <v>10</v>
      </c>
      <c r="L3414" s="640" t="n">
        <v>1</v>
      </c>
      <c r="M3414" s="623" t="inlineStr">
        <is>
          <t>Samsung 32" + Samsung 55" вертикальный</t>
        </is>
      </c>
      <c r="N3414" s="640" t="n"/>
      <c r="O3414" s="640">
        <f>IF(AND(N3414=1,L3414=1),K3414,"")</f>
        <v/>
      </c>
      <c r="P3414" s="642" t="inlineStr">
        <is>
          <t>142204, Московская область, г. Серпухов, городской округ Серпухов,  65 Лет Победы б-р,4</t>
        </is>
      </c>
      <c r="Q3414" s="640" t="inlineStr">
        <is>
          <t>54.943959</t>
        </is>
      </c>
      <c r="R3414" s="494" t="inlineStr">
        <is>
          <t>37.402929</t>
        </is>
      </c>
      <c r="S3414" s="654" t="n">
        <v>702</v>
      </c>
      <c r="T3414" s="654">
        <f>IF(N3414=1,S3414*3,"0")</f>
        <v/>
      </c>
      <c r="U3414" s="655" t="n">
        <v>174628.5</v>
      </c>
      <c r="V3414" s="438">
        <f>IF(AND(N3414=1,U3414&lt;&gt;1),C3414,"")</f>
        <v/>
      </c>
    </row>
    <row r="3415" hidden="1" ht="16.05" customHeight="1">
      <c r="A3415" s="125" t="n">
        <v>4093</v>
      </c>
      <c r="B3415" s="125" t="inlineStr">
        <is>
          <t>WF</t>
        </is>
      </c>
      <c r="C3415" s="130" t="inlineStr">
        <is>
          <t>Москва</t>
        </is>
      </c>
      <c r="D3415" s="130" t="inlineStr">
        <is>
          <t>Лобня</t>
        </is>
      </c>
      <c r="E3415" s="130" t="n"/>
      <c r="F3415" s="130" t="inlineStr">
        <is>
          <t>Супермаркет</t>
        </is>
      </c>
      <c r="G3415" s="130" t="inlineStr">
        <is>
          <t>Metro C&amp;C</t>
        </is>
      </c>
      <c r="H3415" s="131" t="n">
        <v>46944</v>
      </c>
      <c r="I3415" s="637" t="n">
        <v>1318</v>
      </c>
      <c r="J3415" s="637" t="inlineStr">
        <is>
          <t>Metro_1318</t>
        </is>
      </c>
      <c r="K3415" s="640" t="n">
        <v>14</v>
      </c>
      <c r="L3415" s="640" t="n">
        <v>1</v>
      </c>
      <c r="M3415" s="623" t="inlineStr">
        <is>
          <t>Samsung 32" вертикальный</t>
        </is>
      </c>
      <c r="N3415" s="640" t="n"/>
      <c r="O3415" s="640">
        <f>IF(AND(N3415=1,L3415=1),K3415,"")</f>
        <v/>
      </c>
      <c r="P3415" s="642" t="inlineStr">
        <is>
          <t>141733, Лобня, улица Горки Киовские, промзона владение 15</t>
        </is>
      </c>
      <c r="Q3415" s="640" t="inlineStr">
        <is>
          <t>56.030663</t>
        </is>
      </c>
      <c r="R3415" s="494" t="inlineStr">
        <is>
          <t>37.458427</t>
        </is>
      </c>
      <c r="S3415" s="654" t="n">
        <v>855</v>
      </c>
      <c r="T3415" s="654">
        <f>IF(N3415=1,S3415*3,"0")</f>
        <v/>
      </c>
      <c r="U3415" s="655" t="n">
        <v>211249.875</v>
      </c>
      <c r="V3415" s="438">
        <f>IF(AND(N3415=1,U3415&lt;&gt;1),C3415,"")</f>
        <v/>
      </c>
    </row>
    <row r="3416" hidden="1" ht="16.05" customHeight="1">
      <c r="A3416" s="125" t="n">
        <v>4094</v>
      </c>
      <c r="B3416" s="125" t="inlineStr">
        <is>
          <t>WF</t>
        </is>
      </c>
      <c r="C3416" s="130" t="inlineStr">
        <is>
          <t>Москва</t>
        </is>
      </c>
      <c r="D3416" s="130" t="inlineStr">
        <is>
          <t>Московская область</t>
        </is>
      </c>
      <c r="E3416" s="130" t="n"/>
      <c r="F3416" s="130" t="inlineStr">
        <is>
          <t>Супермаркет</t>
        </is>
      </c>
      <c r="G3416" s="130" t="inlineStr">
        <is>
          <t>Metro C&amp;C</t>
        </is>
      </c>
      <c r="H3416" s="131" t="n">
        <v>28632</v>
      </c>
      <c r="I3416" s="637" t="n">
        <v>1322</v>
      </c>
      <c r="J3416" s="637" t="inlineStr">
        <is>
          <t>Metro_1322</t>
        </is>
      </c>
      <c r="K3416" s="640" t="n">
        <v>12</v>
      </c>
      <c r="L3416" s="640" t="n">
        <v>1</v>
      </c>
      <c r="M3416" s="623" t="inlineStr">
        <is>
          <t>Samsung 32" вертикальный</t>
        </is>
      </c>
      <c r="N3416" s="640" t="n"/>
      <c r="O3416" s="640">
        <f>IF(AND(N3416=1,L3416=1),K3416,"")</f>
        <v/>
      </c>
      <c r="P3416" s="642" t="inlineStr">
        <is>
          <t>142715, Московская область, Ленинский район, с/п Совхоз имени Ленина, пос.совхоза им.Ленина, 8</t>
        </is>
      </c>
      <c r="Q3416" s="640" t="inlineStr">
        <is>
          <t>55.585377</t>
        </is>
      </c>
      <c r="R3416" s="494" t="inlineStr">
        <is>
          <t>37.734219</t>
        </is>
      </c>
      <c r="S3416" s="654" t="n">
        <v>522</v>
      </c>
      <c r="T3416" s="654">
        <f>IF(N3416=1,S3416*3,"0")</f>
        <v/>
      </c>
      <c r="U3416" s="655" t="n">
        <v>128844.375</v>
      </c>
      <c r="V3416" s="438">
        <f>IF(AND(N3416=1,U3416&lt;&gt;1),C3416,"")</f>
        <v/>
      </c>
    </row>
    <row r="3417" hidden="1" ht="16.05" customHeight="1">
      <c r="A3417" s="125" t="n">
        <v>4095</v>
      </c>
      <c r="B3417" s="791" t="n"/>
      <c r="C3417" s="130" t="inlineStr">
        <is>
          <t>Краснодар</t>
        </is>
      </c>
      <c r="D3417" s="130" t="inlineStr">
        <is>
          <t>Краснодарский край</t>
        </is>
      </c>
      <c r="E3417" s="130" t="n"/>
      <c r="F3417" s="130" t="inlineStr">
        <is>
          <t>Супермаркет</t>
        </is>
      </c>
      <c r="G3417" s="130" t="inlineStr">
        <is>
          <t>Metro C&amp;C</t>
        </is>
      </c>
      <c r="H3417" s="131" t="n">
        <v>18558</v>
      </c>
      <c r="I3417" s="637" t="n">
        <v>1342</v>
      </c>
      <c r="J3417" s="637" t="inlineStr">
        <is>
          <t>Metro_1342</t>
        </is>
      </c>
      <c r="K3417" s="640" t="n">
        <v>12</v>
      </c>
      <c r="L3417" s="640" t="n">
        <v>1</v>
      </c>
      <c r="M3417" s="623" t="inlineStr">
        <is>
          <t>Samsung 32" вертикальный</t>
        </is>
      </c>
      <c r="N3417" s="640" t="n"/>
      <c r="O3417" s="640">
        <f>IF(AND(N3417=1,L3417=1),K3417,"")</f>
        <v/>
      </c>
      <c r="P3417" s="642" t="inlineStr">
        <is>
          <t>350023, Краснодарский край, город Краснодар, Карасунский внутригородской округ, ул. Крылатая, 2а</t>
        </is>
      </c>
      <c r="Q3417" s="640" t="inlineStr">
        <is>
          <t>45.012064</t>
        </is>
      </c>
      <c r="R3417" s="494" t="inlineStr">
        <is>
          <t>39.127254</t>
        </is>
      </c>
      <c r="S3417" s="654" t="n">
        <v>337.5</v>
      </c>
      <c r="T3417" s="654">
        <f>IF(N3417=1,(S3417*3)*0.7,"0")</f>
        <v/>
      </c>
      <c r="U3417" s="655" t="n">
        <v>83512.5</v>
      </c>
      <c r="V3417" s="438">
        <f>IF(AND(N3417=1,U3417&lt;&gt;1),C3417,"")</f>
        <v/>
      </c>
    </row>
    <row r="3418" hidden="1" ht="16.05" customHeight="1">
      <c r="A3418" s="125" t="n">
        <v>4096</v>
      </c>
      <c r="B3418" s="125" t="inlineStr">
        <is>
          <t>WF</t>
        </is>
      </c>
      <c r="C3418" s="130" t="inlineStr">
        <is>
          <t>Москва</t>
        </is>
      </c>
      <c r="D3418" s="130" t="inlineStr">
        <is>
          <t>Москва</t>
        </is>
      </c>
      <c r="E3418" s="130" t="n"/>
      <c r="F3418" s="130" t="inlineStr">
        <is>
          <t>Супермаркет</t>
        </is>
      </c>
      <c r="G3418" s="130" t="inlineStr">
        <is>
          <t>Metro C&amp;C</t>
        </is>
      </c>
      <c r="H3418" s="131" t="n">
        <v>57372</v>
      </c>
      <c r="I3418" s="637" t="n">
        <v>1356</v>
      </c>
      <c r="J3418" s="637" t="inlineStr">
        <is>
          <t>Metro_1356</t>
        </is>
      </c>
      <c r="K3418" s="640" t="n">
        <v>13</v>
      </c>
      <c r="L3418" s="640" t="n">
        <v>1</v>
      </c>
      <c r="M3418" s="623" t="inlineStr">
        <is>
          <t>Samsung 32" вертикальный</t>
        </is>
      </c>
      <c r="N3418" s="640" t="n"/>
      <c r="O3418" s="640">
        <f>IF(AND(N3418=1,L3418=1),K3418,"")</f>
        <v/>
      </c>
      <c r="P3418" s="642" t="inlineStr">
        <is>
          <t>115088, Москва, ул. 1-ая Дубровская 13 А, стр. 1</t>
        </is>
      </c>
      <c r="Q3418" s="640" t="inlineStr">
        <is>
          <t>55.722801</t>
        </is>
      </c>
      <c r="R3418" s="494" t="inlineStr">
        <is>
          <t>37.674984</t>
        </is>
      </c>
      <c r="S3418" s="654" t="n">
        <v>1044</v>
      </c>
      <c r="T3418" s="654">
        <f>IF(N3418=1,S3418*3,"0")</f>
        <v/>
      </c>
      <c r="U3418" s="655" t="n">
        <v>258175.875</v>
      </c>
      <c r="V3418" s="438">
        <f>IF(AND(N3418=1,U3418&lt;&gt;1),C3418,"")</f>
        <v/>
      </c>
    </row>
    <row r="3419" hidden="1" ht="16.05" customHeight="1">
      <c r="A3419" s="125" t="n">
        <v>4097</v>
      </c>
      <c r="B3419" s="125" t="inlineStr">
        <is>
          <t>WF</t>
        </is>
      </c>
      <c r="C3419" s="130" t="inlineStr">
        <is>
          <t>Москва</t>
        </is>
      </c>
      <c r="D3419" s="130" t="inlineStr">
        <is>
          <t>Москва</t>
        </is>
      </c>
      <c r="E3419" s="130" t="n"/>
      <c r="F3419" s="130" t="inlineStr">
        <is>
          <t>Супермаркет</t>
        </is>
      </c>
      <c r="G3419" s="130" t="inlineStr">
        <is>
          <t>Metro C&amp;C</t>
        </is>
      </c>
      <c r="H3419" s="131" t="n">
        <v>14633</v>
      </c>
      <c r="I3419" s="637" t="n">
        <v>1363</v>
      </c>
      <c r="J3419" s="637" t="inlineStr">
        <is>
          <t>Metro_1363</t>
        </is>
      </c>
      <c r="K3419" s="640" t="n">
        <v>11</v>
      </c>
      <c r="L3419" s="640" t="n">
        <v>1</v>
      </c>
      <c r="M3419" s="623" t="inlineStr">
        <is>
          <t>Samsung 32" вертикальный</t>
        </is>
      </c>
      <c r="N3419" s="640" t="n"/>
      <c r="O3419" s="640">
        <f>IF(AND(N3419=1,L3419=1),K3419,"")</f>
        <v/>
      </c>
      <c r="P3419" s="642" t="inlineStr">
        <is>
          <t>119634, г. Москва, Боровское шоссе, 10А</t>
        </is>
      </c>
      <c r="Q3419" s="640" t="inlineStr">
        <is>
          <t>55.653868</t>
        </is>
      </c>
      <c r="R3419" s="494" t="inlineStr">
        <is>
          <t>37.375692</t>
        </is>
      </c>
      <c r="S3419" s="654" t="n">
        <v>265.5</v>
      </c>
      <c r="T3419" s="654">
        <f>IF(N3419=1,S3419*3,"0")</f>
        <v/>
      </c>
      <c r="U3419" s="655" t="n">
        <v>65851.875</v>
      </c>
      <c r="V3419" s="438">
        <f>IF(AND(N3419=1,U3419&lt;&gt;1),C3419,"")</f>
        <v/>
      </c>
    </row>
    <row r="3420" hidden="1" ht="16.05" customHeight="1">
      <c r="A3420" s="125" t="n">
        <v>4098</v>
      </c>
      <c r="B3420" s="791" t="n"/>
      <c r="C3420" s="130" t="inlineStr">
        <is>
          <t>Москва</t>
        </is>
      </c>
      <c r="D3420" s="130" t="inlineStr">
        <is>
          <t>Московская область</t>
        </is>
      </c>
      <c r="E3420" s="130" t="n"/>
      <c r="F3420" s="130" t="inlineStr">
        <is>
          <t>АЗС</t>
        </is>
      </c>
      <c r="G3420" s="130" t="inlineStr">
        <is>
          <t>Роснефть</t>
        </is>
      </c>
      <c r="H3420" s="131" t="inlineStr">
        <is>
          <t>MJ100</t>
        </is>
      </c>
      <c r="I3420" s="637" t="inlineStr">
        <is>
          <t>Голыгино</t>
        </is>
      </c>
      <c r="J3420" s="637" t="inlineStr">
        <is>
          <t>MSK_BP_Golygino</t>
        </is>
      </c>
      <c r="K3420" s="640" t="n">
        <v>2</v>
      </c>
      <c r="L3420" s="640" t="n">
        <v>1</v>
      </c>
      <c r="M3420" s="623" t="inlineStr">
        <is>
          <t>Samsung 32" вертикальный</t>
        </is>
      </c>
      <c r="N3420" s="640" t="n"/>
      <c r="O3420" s="640">
        <f>IF(AND(N3420=1,L3420=1),K3420,"")</f>
        <v/>
      </c>
      <c r="P3420" s="642" t="inlineStr">
        <is>
          <t>Московская область, Сергиево-Посадский район, д. Голыгино, вл. 56</t>
        </is>
      </c>
      <c r="Q3420" s="640" t="inlineStr">
        <is>
          <t>56.181812</t>
        </is>
      </c>
      <c r="R3420" s="494" t="inlineStr">
        <is>
          <t>38.027061</t>
        </is>
      </c>
      <c r="T3420" s="656" t="n"/>
      <c r="U3420" s="655" t="n">
        <v>65851.875</v>
      </c>
    </row>
    <row r="3421" hidden="1" ht="16.05" customHeight="1">
      <c r="A3421" s="125" t="n">
        <v>4099</v>
      </c>
      <c r="B3421" s="791" t="n"/>
      <c r="C3421" s="130" t="inlineStr">
        <is>
          <t>Москва</t>
        </is>
      </c>
      <c r="D3421" s="130" t="inlineStr">
        <is>
          <t>Московская область</t>
        </is>
      </c>
      <c r="E3421" s="130" t="n"/>
      <c r="F3421" s="130" t="inlineStr">
        <is>
          <t>АЗС</t>
        </is>
      </c>
      <c r="G3421" s="130" t="inlineStr">
        <is>
          <t>Роснефть</t>
        </is>
      </c>
      <c r="H3421" s="131" t="inlineStr">
        <is>
          <t>MJ056</t>
        </is>
      </c>
      <c r="I3421" s="637" t="inlineStr">
        <is>
          <t>Трудовая</t>
        </is>
      </c>
      <c r="J3421" s="637" t="inlineStr">
        <is>
          <t>MSK_BP_Trudovaya</t>
        </is>
      </c>
      <c r="K3421" s="640" t="n">
        <v>2</v>
      </c>
      <c r="L3421" s="640" t="n">
        <v>1</v>
      </c>
      <c r="M3421" s="623" t="inlineStr">
        <is>
          <t>Samsung 32" вертикальный</t>
        </is>
      </c>
      <c r="N3421" s="640" t="n"/>
      <c r="O3421" s="640">
        <f>IF(AND(N3421=1,L3421=1),K3421,"")</f>
        <v/>
      </c>
      <c r="P3421" s="642" t="inlineStr">
        <is>
          <t>Московская область, г. Мытищи, ул. Трудовая, д.31</t>
        </is>
      </c>
      <c r="Q3421" s="640" t="inlineStr">
        <is>
          <t>55.890233</t>
        </is>
      </c>
      <c r="R3421" s="494" t="inlineStr">
        <is>
          <t>37.713062</t>
        </is>
      </c>
      <c r="T3421" s="656" t="n"/>
      <c r="Z3421" s="1" t="n"/>
    </row>
    <row r="3422" hidden="1" ht="16.05" customHeight="1">
      <c r="A3422" s="125" t="n">
        <v>4100</v>
      </c>
      <c r="B3422" s="791" t="n"/>
      <c r="C3422" s="130" t="inlineStr">
        <is>
          <t>Москва</t>
        </is>
      </c>
      <c r="D3422" s="130" t="inlineStr">
        <is>
          <t>Московская область</t>
        </is>
      </c>
      <c r="E3422" s="130" t="n"/>
      <c r="F3422" s="130" t="inlineStr">
        <is>
          <t>АЗС</t>
        </is>
      </c>
      <c r="G3422" s="130" t="inlineStr">
        <is>
          <t>Роснефть</t>
        </is>
      </c>
      <c r="H3422" s="131" t="inlineStr">
        <is>
          <t>MJ041</t>
        </is>
      </c>
      <c r="I3422" s="637" t="inlineStr">
        <is>
          <t>Дон-2</t>
        </is>
      </c>
      <c r="J3422" s="637" t="inlineStr">
        <is>
          <t>MSK_BP_Don2</t>
        </is>
      </c>
      <c r="K3422" s="640" t="n">
        <v>2</v>
      </c>
      <c r="L3422" s="640" t="n">
        <v>1</v>
      </c>
      <c r="M3422" s="623" t="inlineStr">
        <is>
          <t>Samsung 32" вертикальный</t>
        </is>
      </c>
      <c r="N3422" s="640" t="n"/>
      <c r="O3422" s="640">
        <f>IF(AND(N3422=1,L3422=1),K3422,"")</f>
        <v/>
      </c>
      <c r="P3422" s="642" t="inlineStr">
        <is>
          <t>Московская область, Ленинский район, д.Тарычево, 21 км а/д "Москва-Дон", слева</t>
        </is>
      </c>
      <c r="Q3422" s="640" t="inlineStr">
        <is>
          <t>55.570737</t>
        </is>
      </c>
      <c r="R3422" s="494" t="inlineStr">
        <is>
          <t>37.693686</t>
        </is>
      </c>
      <c r="T3422" s="656" t="n"/>
      <c r="Z3422" s="1" t="n"/>
    </row>
    <row r="3423" hidden="1" ht="16.05" customHeight="1">
      <c r="A3423" s="125" t="n">
        <v>4101</v>
      </c>
      <c r="B3423" s="791" t="n"/>
      <c r="C3423" s="130" t="inlineStr">
        <is>
          <t>Москва</t>
        </is>
      </c>
      <c r="D3423" s="130" t="inlineStr">
        <is>
          <t>Москва</t>
        </is>
      </c>
      <c r="E3423" s="130" t="n"/>
      <c r="F3423" s="130" t="inlineStr">
        <is>
          <t>АЗС</t>
        </is>
      </c>
      <c r="G3423" s="130" t="inlineStr">
        <is>
          <t>Роснефть</t>
        </is>
      </c>
      <c r="H3423" s="131" t="inlineStr">
        <is>
          <t>MJ102</t>
        </is>
      </c>
      <c r="I3423" s="637" t="inlineStr">
        <is>
          <t>Лыковская</t>
        </is>
      </c>
      <c r="J3423" s="637" t="inlineStr">
        <is>
          <t>MSK_BP_Lyikovskaya</t>
        </is>
      </c>
      <c r="K3423" s="640" t="n">
        <v>1</v>
      </c>
      <c r="L3423" s="640" t="n">
        <v>1</v>
      </c>
      <c r="M3423" s="623" t="inlineStr">
        <is>
          <t>Samsung 32" вертикальный</t>
        </is>
      </c>
      <c r="N3423" s="640" t="n"/>
      <c r="O3423" s="640">
        <f>IF(AND(N3423=1,L3423=1),K3423,"")</f>
        <v/>
      </c>
      <c r="P3423" s="642" t="inlineStr">
        <is>
          <t>г. Москва, МКАД 62-й км влад. 3</t>
        </is>
      </c>
      <c r="Q3423" s="640" t="inlineStr">
        <is>
          <t>55.788338</t>
        </is>
      </c>
      <c r="R3423" s="494" t="inlineStr">
        <is>
          <t>37.371012</t>
        </is>
      </c>
      <c r="T3423" s="656" t="n"/>
      <c r="Z3423" s="1" t="n"/>
    </row>
    <row r="3424" hidden="1" ht="16.05" customHeight="1">
      <c r="A3424" s="125" t="n">
        <v>4102</v>
      </c>
      <c r="B3424" s="125" t="inlineStr">
        <is>
          <t>WF</t>
        </is>
      </c>
      <c r="C3424" s="130" t="inlineStr">
        <is>
          <t>Москва</t>
        </is>
      </c>
      <c r="D3424" s="130" t="inlineStr">
        <is>
          <t>Московская область</t>
        </is>
      </c>
      <c r="E3424" s="130" t="n"/>
      <c r="F3424" s="130" t="inlineStr">
        <is>
          <t>Супермаркет</t>
        </is>
      </c>
      <c r="G3424" s="130" t="inlineStr">
        <is>
          <t>Азбука Вкуса</t>
        </is>
      </c>
      <c r="H3424" s="131" t="n"/>
      <c r="I3424" s="637" t="n">
        <v>165</v>
      </c>
      <c r="J3424" s="637" t="inlineStr">
        <is>
          <t>MSK_A_165</t>
        </is>
      </c>
      <c r="K3424" s="640" t="n">
        <v>4</v>
      </c>
      <c r="L3424" s="640" t="n">
        <v>1</v>
      </c>
      <c r="M3424" s="623" t="inlineStr">
        <is>
          <t>Samsung 43" вертикальный</t>
        </is>
      </c>
      <c r="N3424" s="640" t="n"/>
      <c r="O3424" s="640">
        <f>IF(AND(N3424=1,L3424=1),K3424,"")</f>
        <v/>
      </c>
      <c r="P3424" s="642" t="inlineStr">
        <is>
          <t>г. Москва, ул. Академика Понтрягина, дом 14</t>
        </is>
      </c>
      <c r="Q3424" s="640" t="inlineStr">
        <is>
          <t>55.533165</t>
        </is>
      </c>
      <c r="R3424" s="494" t="inlineStr">
        <is>
          <t>37.497935</t>
        </is>
      </c>
      <c r="S3424" s="387" t="n">
        <v>24</v>
      </c>
      <c r="T3424" s="436">
        <f>IF(N3424=1,O3424*S3424,"")</f>
        <v/>
      </c>
      <c r="Z3424" s="1" t="n"/>
    </row>
    <row r="3425" hidden="1" ht="16.05" customHeight="1">
      <c r="A3425" s="125" t="n">
        <v>4103</v>
      </c>
      <c r="B3425" s="791" t="n"/>
      <c r="C3425" s="130" t="inlineStr">
        <is>
          <t>Москва</t>
        </is>
      </c>
      <c r="D3425" s="130" t="inlineStr">
        <is>
          <t>Московская область</t>
        </is>
      </c>
      <c r="E3425" s="130" t="n"/>
      <c r="F3425" s="130" t="inlineStr">
        <is>
          <t>ТРЦ</t>
        </is>
      </c>
      <c r="G3425" s="130" t="inlineStr">
        <is>
          <t>ТРЦ</t>
        </is>
      </c>
      <c r="H3425" s="131" t="n">
        <v>9590</v>
      </c>
      <c r="I3425" s="637" t="inlineStr">
        <is>
          <t>Вэйпарк</t>
        </is>
      </c>
      <c r="J3425" s="637" t="inlineStr">
        <is>
          <t>MSK_TRC_Veypark_1</t>
        </is>
      </c>
      <c r="K3425" s="640" t="n">
        <v>1</v>
      </c>
      <c r="L3425" s="640" t="n">
        <v>0</v>
      </c>
      <c r="M3425" s="640" t="inlineStr">
        <is>
          <t>5,2х3,12</t>
        </is>
      </c>
      <c r="N3425" s="640" t="n"/>
      <c r="O3425" s="640">
        <f>IF(AND(N3425=1,L3425=1),K3425,"")</f>
        <v/>
      </c>
      <c r="P3425" s="642" t="inlineStr">
        <is>
          <t>Московская обл., Красногорский район, 71 км МКАД</t>
        </is>
      </c>
      <c r="Q3425" s="640" t="inlineStr">
        <is>
          <t>55.857137</t>
        </is>
      </c>
      <c r="R3425" s="422" t="inlineStr">
        <is>
          <t>37.394513</t>
        </is>
      </c>
      <c r="S3425" s="387" t="n">
        <v>2059.2</v>
      </c>
      <c r="T3425" s="387">
        <f>N3425*S3425</f>
        <v/>
      </c>
      <c r="U3425" s="436" t="n">
        <v>1</v>
      </c>
      <c r="V3425" s="438">
        <f>IF(AND(N3425=1,U3425=1),C3425,"")</f>
        <v/>
      </c>
      <c r="Z3425" s="1" t="n"/>
    </row>
    <row r="3426" hidden="1" ht="16.05" customHeight="1">
      <c r="A3426" s="125" t="n">
        <v>4104</v>
      </c>
      <c r="B3426" s="791" t="n"/>
      <c r="C3426" s="130" t="inlineStr">
        <is>
          <t>Москва</t>
        </is>
      </c>
      <c r="D3426" s="130" t="inlineStr">
        <is>
          <t>Москва</t>
        </is>
      </c>
      <c r="E3426" s="130" t="n"/>
      <c r="F3426" s="130" t="inlineStr">
        <is>
          <t>ТРЦ</t>
        </is>
      </c>
      <c r="G3426" s="130" t="inlineStr">
        <is>
          <t>ТРЦ</t>
        </is>
      </c>
      <c r="H3426" s="131" t="n">
        <v>34194</v>
      </c>
      <c r="I3426" s="637" t="inlineStr">
        <is>
          <t>Галерея Аэропорт</t>
        </is>
      </c>
      <c r="J3426" s="637" t="inlineStr">
        <is>
          <t>MSK_TRC_Galereya Aeroport_1</t>
        </is>
      </c>
      <c r="K3426" s="640" t="n">
        <v>1</v>
      </c>
      <c r="L3426" s="640" t="n">
        <v>0</v>
      </c>
      <c r="M3426" s="640" t="inlineStr">
        <is>
          <t>3,66x2,07</t>
        </is>
      </c>
      <c r="N3426" s="640" t="n"/>
      <c r="O3426" s="640">
        <f>IF(AND(N3426=1,L3426=1),K3426,"")</f>
        <v/>
      </c>
      <c r="P3426" s="642" t="inlineStr">
        <is>
          <t>Ленинградское шоссе, 62 А</t>
        </is>
      </c>
      <c r="Q3426" s="640" t="inlineStr">
        <is>
          <t>55.801712</t>
        </is>
      </c>
      <c r="R3426" s="422" t="inlineStr">
        <is>
          <t>37.531753</t>
        </is>
      </c>
      <c r="S3426" s="387" t="n">
        <v>2882.88</v>
      </c>
      <c r="T3426" s="387">
        <f>N3426*S3426</f>
        <v/>
      </c>
      <c r="Z3426" s="1" t="n"/>
    </row>
    <row r="3427" hidden="1" ht="16.05" customHeight="1">
      <c r="A3427" s="125" t="n">
        <v>4105</v>
      </c>
      <c r="B3427" s="791" t="n"/>
      <c r="C3427" s="130" t="inlineStr">
        <is>
          <t>Москва</t>
        </is>
      </c>
      <c r="D3427" s="130" t="inlineStr">
        <is>
          <t>Москва</t>
        </is>
      </c>
      <c r="E3427" s="130" t="n"/>
      <c r="F3427" s="130" t="inlineStr">
        <is>
          <t>ТРЦ</t>
        </is>
      </c>
      <c r="G3427" s="130" t="inlineStr">
        <is>
          <t>ТРЦ</t>
        </is>
      </c>
      <c r="H3427" s="131" t="n">
        <v>34194</v>
      </c>
      <c r="I3427" s="637" t="inlineStr">
        <is>
          <t>Галерея Аэропорт</t>
        </is>
      </c>
      <c r="J3427" s="637" t="inlineStr">
        <is>
          <t>MSK_TRC_Galereya Aeroport_2</t>
        </is>
      </c>
      <c r="K3427" s="640" t="n">
        <v>1</v>
      </c>
      <c r="L3427" s="640" t="n">
        <v>0</v>
      </c>
      <c r="M3427" s="640" t="inlineStr">
        <is>
          <t>3,66x2,07</t>
        </is>
      </c>
      <c r="N3427" s="640" t="n"/>
      <c r="O3427" s="640">
        <f>IF(AND(N3427=1,L3427=1),K3427,"")</f>
        <v/>
      </c>
      <c r="P3427" s="642" t="inlineStr">
        <is>
          <t>Ленинградское шоссе, 62 А</t>
        </is>
      </c>
      <c r="Q3427" s="640" t="inlineStr">
        <is>
          <t>55.801712</t>
        </is>
      </c>
      <c r="R3427" s="422" t="inlineStr">
        <is>
          <t>37.531753</t>
        </is>
      </c>
      <c r="S3427" s="387" t="n">
        <v>2882.88</v>
      </c>
      <c r="T3427" s="387">
        <f>N3427*S3427</f>
        <v/>
      </c>
      <c r="Z3427" s="1" t="n"/>
    </row>
    <row r="3428" hidden="1" ht="16.05" customHeight="1">
      <c r="A3428" s="125" t="n">
        <v>4106</v>
      </c>
      <c r="B3428" s="791" t="n"/>
      <c r="C3428" s="130" t="inlineStr">
        <is>
          <t>Москва</t>
        </is>
      </c>
      <c r="D3428" s="130" t="inlineStr">
        <is>
          <t>Москва</t>
        </is>
      </c>
      <c r="E3428" s="130" t="n"/>
      <c r="F3428" s="130" t="inlineStr">
        <is>
          <t>ТРЦ</t>
        </is>
      </c>
      <c r="G3428" s="130" t="inlineStr">
        <is>
          <t>ТРЦ</t>
        </is>
      </c>
      <c r="H3428" s="131" t="n">
        <v>34068</v>
      </c>
      <c r="I3428" s="637" t="inlineStr">
        <is>
          <t>Домодедовский</t>
        </is>
      </c>
      <c r="J3428" s="637" t="inlineStr">
        <is>
          <t>MSK_TRC_Domodedovskiy_1</t>
        </is>
      </c>
      <c r="K3428" s="640" t="n">
        <v>1</v>
      </c>
      <c r="L3428" s="640" t="n">
        <v>0</v>
      </c>
      <c r="M3428" s="640" t="inlineStr">
        <is>
          <t>2,0x1,05</t>
        </is>
      </c>
      <c r="N3428" s="640" t="n"/>
      <c r="O3428" s="640">
        <f>IF(AND(N3428=1,L3428=1),K3428,"")</f>
        <v/>
      </c>
      <c r="P3428" s="642" t="inlineStr">
        <is>
          <t>Ореховый бульвар, 14, корп.3</t>
        </is>
      </c>
      <c r="Q3428" s="640" t="inlineStr">
        <is>
          <t>55.609675</t>
        </is>
      </c>
      <c r="R3428" s="422" t="inlineStr">
        <is>
          <t>37.720106</t>
        </is>
      </c>
      <c r="S3428" s="387" t="n">
        <v>1510.236</v>
      </c>
      <c r="T3428" s="387">
        <f>N3428*S3428</f>
        <v/>
      </c>
      <c r="Z3428" s="1" t="n"/>
    </row>
    <row r="3429" hidden="1" ht="16.05" customHeight="1">
      <c r="A3429" s="125" t="n">
        <v>4107</v>
      </c>
      <c r="B3429" s="791" t="n"/>
      <c r="C3429" s="130" t="inlineStr">
        <is>
          <t>Москва</t>
        </is>
      </c>
      <c r="D3429" s="130" t="inlineStr">
        <is>
          <t>Москва</t>
        </is>
      </c>
      <c r="E3429" s="130" t="n"/>
      <c r="F3429" s="130" t="inlineStr">
        <is>
          <t>ТРЦ</t>
        </is>
      </c>
      <c r="G3429" s="130" t="inlineStr">
        <is>
          <t>ТРЦ</t>
        </is>
      </c>
      <c r="H3429" s="131" t="n">
        <v>34068</v>
      </c>
      <c r="I3429" s="637" t="inlineStr">
        <is>
          <t>Домодедовский</t>
        </is>
      </c>
      <c r="J3429" s="637" t="inlineStr">
        <is>
          <t>MSK_TRC_Domodedovskiy_2</t>
        </is>
      </c>
      <c r="K3429" s="640" t="n">
        <v>1</v>
      </c>
      <c r="L3429" s="640" t="n">
        <v>0</v>
      </c>
      <c r="M3429" s="640" t="inlineStr">
        <is>
          <t>2,0x1,05</t>
        </is>
      </c>
      <c r="N3429" s="640" t="n"/>
      <c r="O3429" s="640">
        <f>IF(AND(N3429=1,L3429=1),K3429,"")</f>
        <v/>
      </c>
      <c r="P3429" s="642" t="inlineStr">
        <is>
          <t>Ореховый бульвар, 14, корп.3</t>
        </is>
      </c>
      <c r="Q3429" s="640" t="inlineStr">
        <is>
          <t>55.609675</t>
        </is>
      </c>
      <c r="R3429" s="422" t="inlineStr">
        <is>
          <t>37.720106</t>
        </is>
      </c>
      <c r="S3429" s="387" t="n">
        <v>1510.236</v>
      </c>
      <c r="T3429" s="387">
        <f>N3429*S3429</f>
        <v/>
      </c>
      <c r="Z3429" s="1" t="n"/>
    </row>
    <row r="3430" hidden="1" ht="16.05" customHeight="1">
      <c r="A3430" s="125" t="n">
        <v>4108</v>
      </c>
      <c r="B3430" s="791" t="n"/>
      <c r="C3430" s="130" t="inlineStr">
        <is>
          <t>Москва</t>
        </is>
      </c>
      <c r="D3430" s="130" t="inlineStr">
        <is>
          <t>Москва</t>
        </is>
      </c>
      <c r="E3430" s="130" t="n"/>
      <c r="F3430" s="130" t="inlineStr">
        <is>
          <t>ТРЦ</t>
        </is>
      </c>
      <c r="G3430" s="130" t="inlineStr">
        <is>
          <t>ТРЦ</t>
        </is>
      </c>
      <c r="H3430" s="131" t="n">
        <v>50000</v>
      </c>
      <c r="I3430" s="637" t="inlineStr">
        <is>
          <t>Ереван Плаза</t>
        </is>
      </c>
      <c r="J3430" s="637" t="inlineStr">
        <is>
          <t>MSK_TRC_Erevan Plaza_1</t>
        </is>
      </c>
      <c r="K3430" s="640" t="n">
        <v>1</v>
      </c>
      <c r="L3430" s="640" t="n">
        <v>0</v>
      </c>
      <c r="M3430" s="640" t="inlineStr">
        <is>
          <t>3,07x1,74</t>
        </is>
      </c>
      <c r="N3430" s="640" t="n"/>
      <c r="O3430" s="640">
        <f>IF(AND(N3430=1,L3430=1),K3430,"")</f>
        <v/>
      </c>
      <c r="P3430" s="642" t="inlineStr">
        <is>
          <t>Большая Тульская, 13</t>
        </is>
      </c>
      <c r="Q3430" s="640" t="inlineStr">
        <is>
          <t>55.708729</t>
        </is>
      </c>
      <c r="R3430" s="422" t="inlineStr">
        <is>
          <t>37.622091</t>
        </is>
      </c>
      <c r="S3430" s="387" t="n">
        <v>2433.599999999999</v>
      </c>
      <c r="T3430" s="387">
        <f>N3430*S3430</f>
        <v/>
      </c>
      <c r="Z3430" s="1" t="n"/>
    </row>
    <row r="3431" hidden="1" ht="16.05" customHeight="1">
      <c r="A3431" s="125" t="n">
        <v>4109</v>
      </c>
      <c r="B3431" s="791" t="n"/>
      <c r="C3431" s="130" t="inlineStr">
        <is>
          <t>Москва</t>
        </is>
      </c>
      <c r="D3431" s="130" t="inlineStr">
        <is>
          <t>Москва</t>
        </is>
      </c>
      <c r="E3431" s="130" t="n"/>
      <c r="F3431" s="130" t="inlineStr">
        <is>
          <t>ТРЦ</t>
        </is>
      </c>
      <c r="G3431" s="130" t="inlineStr">
        <is>
          <t>ТРЦ</t>
        </is>
      </c>
      <c r="H3431" s="131" t="n">
        <v>50000</v>
      </c>
      <c r="I3431" s="637" t="inlineStr">
        <is>
          <t>Ереван Плаза</t>
        </is>
      </c>
      <c r="J3431" s="637" t="inlineStr">
        <is>
          <t>MSK_TRC_Erevan Plaza_2</t>
        </is>
      </c>
      <c r="K3431" s="640" t="n">
        <v>1</v>
      </c>
      <c r="L3431" s="640" t="n">
        <v>0</v>
      </c>
      <c r="M3431" s="640" t="inlineStr">
        <is>
          <t>3,07x1,74</t>
        </is>
      </c>
      <c r="N3431" s="640" t="n"/>
      <c r="O3431" s="640">
        <f>IF(AND(N3431=1,L3431=1),K3431,"")</f>
        <v/>
      </c>
      <c r="P3431" s="642" t="inlineStr">
        <is>
          <t>Большая Тульская, 13</t>
        </is>
      </c>
      <c r="Q3431" s="640" t="inlineStr">
        <is>
          <t>55.708729</t>
        </is>
      </c>
      <c r="R3431" s="422" t="inlineStr">
        <is>
          <t>37.622091</t>
        </is>
      </c>
      <c r="S3431" s="387" t="n">
        <v>2433.599999999999</v>
      </c>
      <c r="T3431" s="387">
        <f>N3431*S3431</f>
        <v/>
      </c>
      <c r="Z3431" s="1" t="n"/>
    </row>
    <row r="3432" hidden="1" ht="16.05" customHeight="1">
      <c r="A3432" s="125" t="n">
        <v>4110</v>
      </c>
      <c r="B3432" s="791" t="n"/>
      <c r="C3432" s="130" t="inlineStr">
        <is>
          <t>Москва</t>
        </is>
      </c>
      <c r="D3432" s="130" t="inlineStr">
        <is>
          <t>Москва</t>
        </is>
      </c>
      <c r="E3432" s="130" t="n"/>
      <c r="F3432" s="130" t="inlineStr">
        <is>
          <t>ТРЦ</t>
        </is>
      </c>
      <c r="G3432" s="130" t="inlineStr">
        <is>
          <t>ТРЦ</t>
        </is>
      </c>
      <c r="H3432" s="131" t="n">
        <v>10661</v>
      </c>
      <c r="I3432" s="637" t="inlineStr">
        <is>
          <t>Коломенский</t>
        </is>
      </c>
      <c r="J3432" s="637" t="inlineStr">
        <is>
          <t>MSK_TRC_Kolomenskiy_1</t>
        </is>
      </c>
      <c r="K3432" s="640" t="n">
        <v>1</v>
      </c>
      <c r="L3432" s="640" t="n">
        <v>0</v>
      </c>
      <c r="M3432" s="640" t="inlineStr">
        <is>
          <t>1,40x2,40</t>
        </is>
      </c>
      <c r="N3432" s="640" t="n"/>
      <c r="O3432" s="640">
        <f>IF(AND(N3432=1,L3432=1),K3432,"")</f>
        <v/>
      </c>
      <c r="P3432" s="642" t="inlineStr">
        <is>
          <t>Проспект Андропова, 23</t>
        </is>
      </c>
      <c r="Q3432" s="640" t="inlineStr">
        <is>
          <t>55.67825</t>
        </is>
      </c>
      <c r="R3432" s="422" t="inlineStr">
        <is>
          <t>37.664958</t>
        </is>
      </c>
      <c r="S3432" s="387" t="n">
        <v>1458.405</v>
      </c>
      <c r="T3432" s="387">
        <f>N3432*S3432</f>
        <v/>
      </c>
      <c r="Z3432" s="1" t="n"/>
    </row>
    <row r="3433" hidden="1" ht="16.05" customHeight="1">
      <c r="A3433" s="125" t="n">
        <v>4111</v>
      </c>
      <c r="B3433" s="791" t="n"/>
      <c r="C3433" s="130" t="inlineStr">
        <is>
          <t>Москва</t>
        </is>
      </c>
      <c r="D3433" s="130" t="inlineStr">
        <is>
          <t>Москва</t>
        </is>
      </c>
      <c r="E3433" s="130" t="n"/>
      <c r="F3433" s="130" t="inlineStr">
        <is>
          <t>ТРЦ</t>
        </is>
      </c>
      <c r="G3433" s="130" t="inlineStr">
        <is>
          <t>ТРЦ</t>
        </is>
      </c>
      <c r="H3433" s="131" t="n">
        <v>22658</v>
      </c>
      <c r="I3433" s="637" t="inlineStr">
        <is>
          <t>Москворечье</t>
        </is>
      </c>
      <c r="J3433" s="637" t="inlineStr">
        <is>
          <t>MSK_TRC_Moskvoreche_1</t>
        </is>
      </c>
      <c r="K3433" s="640" t="n">
        <v>1</v>
      </c>
      <c r="L3433" s="640" t="n">
        <v>0</v>
      </c>
      <c r="M3433" s="640" t="inlineStr">
        <is>
          <t>2,40x2,7</t>
        </is>
      </c>
      <c r="N3433" s="640" t="n"/>
      <c r="O3433" s="640">
        <f>IF(AND(N3433=1,L3433=1),K3433,"")</f>
        <v/>
      </c>
      <c r="P3433" s="642" t="inlineStr">
        <is>
          <t>Каширское шоссе, 26</t>
        </is>
      </c>
      <c r="Q3433" s="640" t="inlineStr">
        <is>
          <t>55.653314</t>
        </is>
      </c>
      <c r="R3433" s="422" t="inlineStr">
        <is>
          <t>37.64613</t>
        </is>
      </c>
      <c r="S3433" s="387" t="n">
        <v>3088.8</v>
      </c>
      <c r="T3433" s="387">
        <f>N3433*S3433</f>
        <v/>
      </c>
      <c r="Z3433" s="1" t="n"/>
    </row>
    <row r="3434" hidden="1" ht="16.05" customHeight="1">
      <c r="A3434" s="125" t="n">
        <v>4112</v>
      </c>
      <c r="B3434" s="791" t="n"/>
      <c r="C3434" s="130" t="inlineStr">
        <is>
          <t>Москва</t>
        </is>
      </c>
      <c r="D3434" s="130" t="inlineStr">
        <is>
          <t>Москва</t>
        </is>
      </c>
      <c r="E3434" s="130" t="n"/>
      <c r="F3434" s="130" t="inlineStr">
        <is>
          <t>ТРЦ</t>
        </is>
      </c>
      <c r="G3434" s="130" t="inlineStr">
        <is>
          <t>ТРЦ</t>
        </is>
      </c>
      <c r="H3434" s="131" t="n">
        <v>22658</v>
      </c>
      <c r="I3434" s="637" t="inlineStr">
        <is>
          <t>Москворечье</t>
        </is>
      </c>
      <c r="J3434" s="637" t="inlineStr">
        <is>
          <t>MSK_TRC_Moskvoreche_2</t>
        </is>
      </c>
      <c r="K3434" s="640" t="n">
        <v>1</v>
      </c>
      <c r="L3434" s="640" t="n">
        <v>0</v>
      </c>
      <c r="M3434" s="640" t="inlineStr">
        <is>
          <t>2,40x2,7</t>
        </is>
      </c>
      <c r="N3434" s="640" t="n"/>
      <c r="O3434" s="640">
        <f>IF(AND(N3434=1,L3434=1),K3434,"")</f>
        <v/>
      </c>
      <c r="P3434" s="642" t="inlineStr">
        <is>
          <t>Каширское шоссе, 26</t>
        </is>
      </c>
      <c r="Q3434" s="640" t="inlineStr">
        <is>
          <t>55.653314</t>
        </is>
      </c>
      <c r="R3434" s="422" t="inlineStr">
        <is>
          <t>37.64613</t>
        </is>
      </c>
      <c r="S3434" s="387" t="n">
        <v>3088.8</v>
      </c>
      <c r="T3434" s="387">
        <f>N3434*S3434</f>
        <v/>
      </c>
      <c r="Z3434" s="1" t="n"/>
    </row>
    <row r="3435" hidden="1" ht="16.05" customHeight="1">
      <c r="A3435" s="125" t="n">
        <v>4113</v>
      </c>
      <c r="B3435" s="791" t="n"/>
      <c r="C3435" s="130" t="inlineStr">
        <is>
          <t>Москва</t>
        </is>
      </c>
      <c r="D3435" s="130" t="inlineStr">
        <is>
          <t>Москва</t>
        </is>
      </c>
      <c r="E3435" s="130" t="n"/>
      <c r="F3435" s="130" t="inlineStr">
        <is>
          <t>ТРЦ</t>
        </is>
      </c>
      <c r="G3435" s="130" t="inlineStr">
        <is>
          <t>ТРЦ</t>
        </is>
      </c>
      <c r="H3435" s="131" t="n">
        <v>5534</v>
      </c>
      <c r="I3435" s="637" t="inlineStr">
        <is>
          <t>Пражский Град</t>
        </is>
      </c>
      <c r="J3435" s="637" t="inlineStr">
        <is>
          <t>MSK_TRC_Prazhskiy Grad_1</t>
        </is>
      </c>
      <c r="K3435" s="640" t="n">
        <v>1</v>
      </c>
      <c r="L3435" s="640" t="n">
        <v>0</v>
      </c>
      <c r="M3435" s="640" t="inlineStr">
        <is>
          <t>1,40x2,40</t>
        </is>
      </c>
      <c r="N3435" s="640" t="n"/>
      <c r="O3435" s="640">
        <f>IF(AND(N3435=1,L3435=1),K3435,"")</f>
        <v/>
      </c>
      <c r="P3435" s="642" t="inlineStr">
        <is>
          <t>Кировоградская, 24А</t>
        </is>
      </c>
      <c r="Q3435" s="640" t="inlineStr">
        <is>
          <t>55.612065</t>
        </is>
      </c>
      <c r="R3435" s="422" t="inlineStr">
        <is>
          <t>37.603118</t>
        </is>
      </c>
      <c r="S3435" s="387" t="n">
        <v>1238.59645</v>
      </c>
      <c r="T3435" s="387">
        <f>N3435*S3435</f>
        <v/>
      </c>
      <c r="Z3435" s="1" t="n"/>
    </row>
    <row r="3436" hidden="1" ht="16.05" customHeight="1">
      <c r="A3436" s="125" t="n">
        <v>4114</v>
      </c>
      <c r="B3436" s="791" t="n"/>
      <c r="C3436" s="130" t="inlineStr">
        <is>
          <t>Москва</t>
        </is>
      </c>
      <c r="D3436" s="130" t="inlineStr">
        <is>
          <t>Москва</t>
        </is>
      </c>
      <c r="E3436" s="130" t="n"/>
      <c r="F3436" s="130" t="inlineStr">
        <is>
          <t>ТРЦ</t>
        </is>
      </c>
      <c r="G3436" s="130" t="inlineStr">
        <is>
          <t>ТРЦ</t>
        </is>
      </c>
      <c r="H3436" s="131" t="n">
        <v>25699</v>
      </c>
      <c r="I3436" s="637" t="inlineStr">
        <is>
          <t>Райкин Плаза</t>
        </is>
      </c>
      <c r="J3436" s="637" t="inlineStr">
        <is>
          <t>MSK_TRC_Raykin Plaza_1</t>
        </is>
      </c>
      <c r="K3436" s="640" t="n">
        <v>1</v>
      </c>
      <c r="L3436" s="640" t="n">
        <v>0</v>
      </c>
      <c r="M3436" s="640" t="inlineStr">
        <is>
          <t>4,1x2,32</t>
        </is>
      </c>
      <c r="N3436" s="640" t="n"/>
      <c r="O3436" s="640">
        <f>IF(AND(N3436=1,L3436=1),K3436,"")</f>
        <v/>
      </c>
      <c r="P3436" s="642" t="inlineStr">
        <is>
          <t>Шереметьевская 6, корп. 1</t>
        </is>
      </c>
      <c r="Q3436" s="640" t="inlineStr">
        <is>
          <t>55.795398</t>
        </is>
      </c>
      <c r="R3436" s="422" t="inlineStr">
        <is>
          <t>37.617024</t>
        </is>
      </c>
      <c r="S3436" s="387" t="n">
        <v>2433.599999999999</v>
      </c>
      <c r="T3436" s="387">
        <f>N3436*S3436</f>
        <v/>
      </c>
      <c r="Z3436" s="1" t="n"/>
    </row>
    <row r="3437" hidden="1" ht="16.05" customHeight="1">
      <c r="A3437" s="125" t="n">
        <v>4115</v>
      </c>
      <c r="B3437" s="791" t="n"/>
      <c r="C3437" s="130" t="inlineStr">
        <is>
          <t>Москва</t>
        </is>
      </c>
      <c r="D3437" s="130" t="inlineStr">
        <is>
          <t>Москва</t>
        </is>
      </c>
      <c r="E3437" s="130" t="n"/>
      <c r="F3437" s="130" t="inlineStr">
        <is>
          <t>ТРЦ</t>
        </is>
      </c>
      <c r="G3437" s="130" t="inlineStr">
        <is>
          <t>ТРЦ</t>
        </is>
      </c>
      <c r="H3437" s="131" t="n">
        <v>25699</v>
      </c>
      <c r="I3437" s="637" t="inlineStr">
        <is>
          <t>Райкин Плаза</t>
        </is>
      </c>
      <c r="J3437" s="637" t="inlineStr">
        <is>
          <t>MSK_TRC_Raykin Plaza_2</t>
        </is>
      </c>
      <c r="K3437" s="640" t="n">
        <v>1</v>
      </c>
      <c r="L3437" s="640" t="n">
        <v>0</v>
      </c>
      <c r="M3437" s="640" t="inlineStr">
        <is>
          <t>4,1x2,32</t>
        </is>
      </c>
      <c r="N3437" s="640" t="n"/>
      <c r="O3437" s="640">
        <f>IF(AND(N3437=1,L3437=1),K3437,"")</f>
        <v/>
      </c>
      <c r="P3437" s="642" t="inlineStr">
        <is>
          <t>Шереметьевская 6, корп. 1</t>
        </is>
      </c>
      <c r="Q3437" s="640" t="inlineStr">
        <is>
          <t>55.795398</t>
        </is>
      </c>
      <c r="R3437" s="422" t="inlineStr">
        <is>
          <t>37.617024</t>
        </is>
      </c>
      <c r="S3437" s="387" t="n">
        <v>2433.599999999999</v>
      </c>
      <c r="T3437" s="387">
        <f>N3437*S3437</f>
        <v/>
      </c>
      <c r="Z3437" s="1" t="n"/>
    </row>
    <row r="3438" hidden="1" ht="16.05" customHeight="1">
      <c r="A3438" s="125" t="n">
        <v>4116</v>
      </c>
      <c r="B3438" s="791" t="n"/>
      <c r="C3438" s="130" t="inlineStr">
        <is>
          <t>Москва</t>
        </is>
      </c>
      <c r="D3438" s="130" t="inlineStr">
        <is>
          <t>Москва</t>
        </is>
      </c>
      <c r="E3438" s="130" t="n"/>
      <c r="F3438" s="130" t="inlineStr">
        <is>
          <t>ТРЦ</t>
        </is>
      </c>
      <c r="G3438" s="130" t="inlineStr">
        <is>
          <t>ТРЦ</t>
        </is>
      </c>
      <c r="H3438" s="131" t="n">
        <v>33334</v>
      </c>
      <c r="I3438" s="637" t="inlineStr">
        <is>
          <t>РИО Севастопольский</t>
        </is>
      </c>
      <c r="J3438" s="637" t="inlineStr">
        <is>
          <t>MSK_TRC_RIO Sevastopolskiy_1</t>
        </is>
      </c>
      <c r="K3438" s="640" t="n">
        <v>1</v>
      </c>
      <c r="L3438" s="640" t="n">
        <v>0</v>
      </c>
      <c r="M3438" s="640" t="inlineStr">
        <is>
          <t>3,07x1,74</t>
        </is>
      </c>
      <c r="N3438" s="640" t="n"/>
      <c r="O3438" s="640">
        <f>IF(AND(N3438=1,L3438=1),K3438,"")</f>
        <v/>
      </c>
      <c r="P3438" s="642" t="inlineStr">
        <is>
          <t>Большая Черемушкинская, 1</t>
        </is>
      </c>
      <c r="Q3438" s="640" t="inlineStr">
        <is>
          <t>55.690278</t>
        </is>
      </c>
      <c r="R3438" s="422" t="inlineStr">
        <is>
          <t>37.601879</t>
        </is>
      </c>
      <c r="S3438" s="387" t="n">
        <v>2059.2</v>
      </c>
      <c r="T3438" s="387">
        <f>N3438*S3438</f>
        <v/>
      </c>
      <c r="Z3438" s="1" t="n"/>
    </row>
    <row r="3439" hidden="1" ht="16.05" customHeight="1">
      <c r="A3439" s="125" t="n">
        <v>4117</v>
      </c>
      <c r="B3439" s="791" t="n"/>
      <c r="C3439" s="130" t="inlineStr">
        <is>
          <t>Москва</t>
        </is>
      </c>
      <c r="D3439" s="130" t="inlineStr">
        <is>
          <t>Москва</t>
        </is>
      </c>
      <c r="E3439" s="130" t="n"/>
      <c r="F3439" s="130" t="inlineStr">
        <is>
          <t>ТРЦ</t>
        </is>
      </c>
      <c r="G3439" s="130" t="inlineStr">
        <is>
          <t>ТРЦ</t>
        </is>
      </c>
      <c r="H3439" s="131" t="n">
        <v>15301</v>
      </c>
      <c r="I3439" s="637" t="inlineStr">
        <is>
          <t>Ритейл Парк</t>
        </is>
      </c>
      <c r="J3439" s="637" t="inlineStr">
        <is>
          <t>MSK_TRC_Riteyl Park_1</t>
        </is>
      </c>
      <c r="K3439" s="640" t="n">
        <v>1</v>
      </c>
      <c r="L3439" s="640" t="n">
        <v>0</v>
      </c>
      <c r="M3439" s="640" t="inlineStr">
        <is>
          <t>1,40x2,40</t>
        </is>
      </c>
      <c r="N3439" s="640" t="n"/>
      <c r="O3439" s="640">
        <f>IF(AND(N3439=1,L3439=1),K3439,"")</f>
        <v/>
      </c>
      <c r="P3439" s="642" t="inlineStr">
        <is>
          <t>Варшавское шоссе, 97</t>
        </is>
      </c>
      <c r="Q3439" s="640" t="inlineStr">
        <is>
          <t>55.633221</t>
        </is>
      </c>
      <c r="R3439" s="422" t="inlineStr">
        <is>
          <t>37.624247</t>
        </is>
      </c>
      <c r="S3439" s="387" t="n">
        <v>1372.644</v>
      </c>
      <c r="T3439" s="387">
        <f>N3439*S3439</f>
        <v/>
      </c>
      <c r="Z3439" s="1" t="n"/>
    </row>
    <row r="3440" hidden="1" ht="16.05" customHeight="1">
      <c r="A3440" s="125" t="n">
        <v>4118</v>
      </c>
      <c r="B3440" s="791" t="n"/>
      <c r="C3440" s="130" t="inlineStr">
        <is>
          <t>Москва</t>
        </is>
      </c>
      <c r="D3440" s="130" t="inlineStr">
        <is>
          <t>Москва</t>
        </is>
      </c>
      <c r="E3440" s="130" t="n"/>
      <c r="F3440" s="130" t="inlineStr">
        <is>
          <t>ТРЦ</t>
        </is>
      </c>
      <c r="G3440" s="130" t="inlineStr">
        <is>
          <t>ТРЦ</t>
        </is>
      </c>
      <c r="H3440" s="131" t="n">
        <v>22812</v>
      </c>
      <c r="I3440" s="637" t="inlineStr">
        <is>
          <t>Тройка</t>
        </is>
      </c>
      <c r="J3440" s="637" t="inlineStr">
        <is>
          <t>MSK_TRC_Troyka_1</t>
        </is>
      </c>
      <c r="K3440" s="640" t="n">
        <v>1</v>
      </c>
      <c r="L3440" s="640" t="n">
        <v>0</v>
      </c>
      <c r="M3440" s="640" t="inlineStr">
        <is>
          <t>3,07x2,3</t>
        </is>
      </c>
      <c r="N3440" s="640" t="n"/>
      <c r="O3440" s="640">
        <f>IF(AND(N3440=1,L3440=1),K3440,"")</f>
        <v/>
      </c>
      <c r="P3440" s="642" t="inlineStr">
        <is>
          <t>Верхняя Красносельская, 3А</t>
        </is>
      </c>
      <c r="Q3440" s="640" t="inlineStr">
        <is>
          <t>55.785513</t>
        </is>
      </c>
      <c r="R3440" s="422" t="inlineStr">
        <is>
          <t>37.665408</t>
        </is>
      </c>
      <c r="S3440" s="387" t="n">
        <v>2333.915999999999</v>
      </c>
      <c r="T3440" s="387">
        <f>N3440*S3440</f>
        <v/>
      </c>
      <c r="Z3440" s="1" t="n"/>
    </row>
    <row r="3441" hidden="1" ht="16.05" customHeight="1">
      <c r="A3441" s="125" t="n">
        <v>4119</v>
      </c>
      <c r="B3441" s="791" t="n"/>
      <c r="C3441" s="130" t="inlineStr">
        <is>
          <t>Москва</t>
        </is>
      </c>
      <c r="D3441" s="130" t="inlineStr">
        <is>
          <t>Москва</t>
        </is>
      </c>
      <c r="E3441" s="130" t="n"/>
      <c r="F3441" s="130" t="inlineStr">
        <is>
          <t>ТРЦ</t>
        </is>
      </c>
      <c r="G3441" s="130" t="inlineStr">
        <is>
          <t>ТРЦ</t>
        </is>
      </c>
      <c r="H3441" s="131" t="n">
        <v>22812</v>
      </c>
      <c r="I3441" s="637" t="inlineStr">
        <is>
          <t>Тройка</t>
        </is>
      </c>
      <c r="J3441" s="637" t="inlineStr">
        <is>
          <t>MSK_TRC_Troyka_2</t>
        </is>
      </c>
      <c r="K3441" s="640" t="n">
        <v>1</v>
      </c>
      <c r="L3441" s="640" t="n">
        <v>0</v>
      </c>
      <c r="M3441" s="640" t="inlineStr">
        <is>
          <t>4,1x2,3</t>
        </is>
      </c>
      <c r="N3441" s="640" t="n"/>
      <c r="O3441" s="640">
        <f>IF(AND(N3441=1,L3441=1),K3441,"")</f>
        <v/>
      </c>
      <c r="P3441" s="642" t="inlineStr">
        <is>
          <t>Верхняя Красносельская, 3А</t>
        </is>
      </c>
      <c r="Q3441" s="640" t="inlineStr">
        <is>
          <t>55.785513</t>
        </is>
      </c>
      <c r="R3441" s="422" t="inlineStr">
        <is>
          <t>37.665408</t>
        </is>
      </c>
      <c r="S3441" s="387" t="n">
        <v>2333.915999999999</v>
      </c>
      <c r="T3441" s="387">
        <f>N3441*S3441</f>
        <v/>
      </c>
      <c r="Z3441" s="1" t="n"/>
    </row>
    <row r="3442" hidden="1" ht="16.05" customHeight="1">
      <c r="A3442" s="125" t="n">
        <v>4120</v>
      </c>
      <c r="B3442" s="791" t="n"/>
      <c r="C3442" s="130" t="inlineStr">
        <is>
          <t>Москва</t>
        </is>
      </c>
      <c r="D3442" s="130" t="inlineStr">
        <is>
          <t>Москва</t>
        </is>
      </c>
      <c r="E3442" s="130" t="n"/>
      <c r="F3442" s="130" t="inlineStr">
        <is>
          <t>ТРЦ</t>
        </is>
      </c>
      <c r="G3442" s="130" t="inlineStr">
        <is>
          <t>ТРЦ</t>
        </is>
      </c>
      <c r="H3442" s="131" t="n">
        <v>6720</v>
      </c>
      <c r="I3442" s="637" t="inlineStr">
        <is>
          <t>Тульский</t>
        </is>
      </c>
      <c r="J3442" s="637" t="inlineStr">
        <is>
          <t>MSK_TRC_Tulskiy_1</t>
        </is>
      </c>
      <c r="K3442" s="640" t="n">
        <v>1</v>
      </c>
      <c r="L3442" s="640" t="n">
        <v>0</v>
      </c>
      <c r="M3442" s="640" t="inlineStr">
        <is>
          <t>1,85 Х 1,07</t>
        </is>
      </c>
      <c r="N3442" s="640" t="n"/>
      <c r="O3442" s="640">
        <f>IF(AND(N3442=1,L3442=1),K3442,"")</f>
        <v/>
      </c>
      <c r="P3442" s="642" t="inlineStr">
        <is>
          <t>Тульская, 11</t>
        </is>
      </c>
      <c r="Q3442" s="640" t="inlineStr">
        <is>
          <t>55.710027</t>
        </is>
      </c>
      <c r="R3442" s="422" t="inlineStr">
        <is>
          <t>37.623834</t>
        </is>
      </c>
      <c r="S3442" s="387" t="n">
        <v>1162.395</v>
      </c>
      <c r="T3442" s="387">
        <f>N3442*S3442</f>
        <v/>
      </c>
      <c r="Z3442" s="1" t="n"/>
    </row>
    <row r="3443" hidden="1" ht="16.05" customHeight="1">
      <c r="A3443" s="125" t="n">
        <v>4121</v>
      </c>
      <c r="B3443" s="125" t="inlineStr">
        <is>
          <t>WF</t>
        </is>
      </c>
      <c r="C3443" s="130" t="inlineStr">
        <is>
          <t>Санкт-Петербург</t>
        </is>
      </c>
      <c r="D3443" s="130" t="inlineStr">
        <is>
          <t>Санкт-Петербург</t>
        </is>
      </c>
      <c r="E3443" s="130" t="inlineStr">
        <is>
          <t>A</t>
        </is>
      </c>
      <c r="F3443" s="130" t="inlineStr">
        <is>
          <t>Бизнес центр</t>
        </is>
      </c>
      <c r="G3443" s="130" t="inlineStr">
        <is>
          <t>Бизнес центр</t>
        </is>
      </c>
      <c r="H3443" s="131" t="n">
        <v>4593</v>
      </c>
      <c r="I3443" s="637" t="inlineStr">
        <is>
          <t>Gregorys Palace</t>
        </is>
      </c>
      <c r="J3443" s="637" t="inlineStr">
        <is>
          <t>SPB_BC_Gregorys_Palace</t>
        </is>
      </c>
      <c r="K3443" s="640" t="n">
        <v>1</v>
      </c>
      <c r="L3443" s="640" t="n">
        <v>1</v>
      </c>
      <c r="M3443" s="623" t="inlineStr">
        <is>
          <t>LED/32'/верт</t>
        </is>
      </c>
      <c r="N3443" s="640" t="n"/>
      <c r="O3443" s="640">
        <f>IF(AND(N3443=1,L3443=1),K3443,"")</f>
        <v/>
      </c>
      <c r="P3443" s="642" t="inlineStr">
        <is>
          <t>Санкт-Петербург, Выборгская набережная, д. 55</t>
        </is>
      </c>
      <c r="Q3443" s="640" t="inlineStr">
        <is>
          <t>59.97733</t>
        </is>
      </c>
      <c r="R3443" s="494" t="inlineStr">
        <is>
          <t>30.32861</t>
        </is>
      </c>
      <c r="S3443" s="387">
        <f>'Цены|Скидки'!$E$25</f>
        <v/>
      </c>
      <c r="T3443" s="387">
        <f>IF(N3443=1,S3443*O3443,0)</f>
        <v/>
      </c>
      <c r="Z3443" s="1" t="n"/>
    </row>
    <row r="3444" hidden="1" ht="16.05" customHeight="1">
      <c r="A3444" s="125" t="n">
        <v>4122</v>
      </c>
      <c r="B3444" s="125" t="inlineStr">
        <is>
          <t>WF</t>
        </is>
      </c>
      <c r="C3444" s="130" t="inlineStr">
        <is>
          <t>Санкт-Петербург</t>
        </is>
      </c>
      <c r="D3444" s="130" t="inlineStr">
        <is>
          <t>Санкт-Петербург</t>
        </is>
      </c>
      <c r="E3444" s="130" t="inlineStr">
        <is>
          <t>A</t>
        </is>
      </c>
      <c r="F3444" s="130" t="inlineStr">
        <is>
          <t>Бизнес центр</t>
        </is>
      </c>
      <c r="G3444" s="130" t="inlineStr">
        <is>
          <t>Бизнес центр</t>
        </is>
      </c>
      <c r="H3444" s="131" t="n">
        <v>12075</v>
      </c>
      <c r="I3444" s="637" t="inlineStr">
        <is>
          <t>СЕНАТОР на Б.Морской</t>
        </is>
      </c>
      <c r="J3444" s="637" t="inlineStr">
        <is>
          <t>SPB_BC_SENATOR_na_B.Morskoy</t>
        </is>
      </c>
      <c r="K3444" s="640" t="n">
        <v>1</v>
      </c>
      <c r="L3444" s="640" t="n">
        <v>1</v>
      </c>
      <c r="M3444" s="623" t="inlineStr">
        <is>
          <t>LED/32'/верт</t>
        </is>
      </c>
      <c r="N3444" s="640" t="n"/>
      <c r="O3444" s="640">
        <f>IF(AND(N3444=1,L3444=1),K3444,"")</f>
        <v/>
      </c>
      <c r="P3444" s="642" t="inlineStr">
        <is>
          <t>Санкт-Петербург, Большая Морская ул. д. 30-32</t>
        </is>
      </c>
      <c r="Q3444" s="640" t="inlineStr">
        <is>
          <t>59.933672</t>
        </is>
      </c>
      <c r="R3444" s="494" t="inlineStr">
        <is>
          <t>30.312832</t>
        </is>
      </c>
      <c r="S3444" s="387">
        <f>'Цены|Скидки'!$E$25</f>
        <v/>
      </c>
      <c r="T3444" s="387">
        <f>IF(N3444=1,S3444*O3444,0)</f>
        <v/>
      </c>
      <c r="Z3444" s="1" t="n"/>
    </row>
    <row r="3445" hidden="1" ht="16.05" customHeight="1">
      <c r="A3445" s="125" t="n">
        <v>4123</v>
      </c>
      <c r="B3445" s="125" t="inlineStr">
        <is>
          <t>WF</t>
        </is>
      </c>
      <c r="C3445" s="130" t="inlineStr">
        <is>
          <t>Санкт-Петербург</t>
        </is>
      </c>
      <c r="D3445" s="130" t="inlineStr">
        <is>
          <t>Санкт-Петербург</t>
        </is>
      </c>
      <c r="E3445" s="130" t="inlineStr">
        <is>
          <t>A</t>
        </is>
      </c>
      <c r="F3445" s="130" t="inlineStr">
        <is>
          <t>Бизнес центр</t>
        </is>
      </c>
      <c r="G3445" s="130" t="inlineStr">
        <is>
          <t>Бизнес центр</t>
        </is>
      </c>
      <c r="H3445" s="131" t="n">
        <v>13781</v>
      </c>
      <c r="I3445" s="637" t="inlineStr">
        <is>
          <t>СЕНАТОР Ткачи</t>
        </is>
      </c>
      <c r="J3445" s="637" t="inlineStr">
        <is>
          <t>SPB_BC_SENATOR_Tkachi</t>
        </is>
      </c>
      <c r="K3445" s="640" t="n">
        <v>2</v>
      </c>
      <c r="L3445" s="640" t="n">
        <v>1</v>
      </c>
      <c r="M3445" s="623" t="inlineStr">
        <is>
          <t>LED/32'/верт</t>
        </is>
      </c>
      <c r="N3445" s="640" t="n"/>
      <c r="O3445" s="640">
        <f>IF(AND(N3445=1,L3445=1),K3445,"")</f>
        <v/>
      </c>
      <c r="P3445" s="642" t="inlineStr">
        <is>
          <t>Санкт-Петербург, наб. Одводного канала, д. 60</t>
        </is>
      </c>
      <c r="Q3445" s="640" t="inlineStr">
        <is>
          <t>59.9151849</t>
        </is>
      </c>
      <c r="R3445" s="494" t="inlineStr">
        <is>
          <t>30.3402588</t>
        </is>
      </c>
      <c r="S3445" s="387">
        <f>'Цены|Скидки'!$E$25</f>
        <v/>
      </c>
      <c r="T3445" s="387">
        <f>IF(N3445=1,S3445*O3445,0)</f>
        <v/>
      </c>
      <c r="Z3445" s="1" t="n"/>
    </row>
    <row r="3446" hidden="1" ht="16.05" customHeight="1">
      <c r="A3446" s="125" t="n">
        <v>4124</v>
      </c>
      <c r="B3446" s="125" t="inlineStr">
        <is>
          <t>WF</t>
        </is>
      </c>
      <c r="C3446" s="130" t="inlineStr">
        <is>
          <t>Санкт-Петербург</t>
        </is>
      </c>
      <c r="D3446" s="130" t="inlineStr">
        <is>
          <t>Санкт-Петербург</t>
        </is>
      </c>
      <c r="E3446" s="130" t="inlineStr">
        <is>
          <t>A</t>
        </is>
      </c>
      <c r="F3446" s="130" t="inlineStr">
        <is>
          <t>Бизнес центр</t>
        </is>
      </c>
      <c r="G3446" s="130" t="inlineStr">
        <is>
          <t>Бизнес центр</t>
        </is>
      </c>
      <c r="H3446" s="131" t="n">
        <v>17633</v>
      </c>
      <c r="I3446" s="637" t="inlineStr">
        <is>
          <t>Сити Центр</t>
        </is>
      </c>
      <c r="J3446" s="637" t="inlineStr">
        <is>
          <t>SPB_BC_Siti_Tsentr</t>
        </is>
      </c>
      <c r="K3446" s="640" t="n">
        <v>4</v>
      </c>
      <c r="L3446" s="640" t="n">
        <v>1</v>
      </c>
      <c r="M3446" s="623" t="inlineStr">
        <is>
          <t>LED/32'/верт</t>
        </is>
      </c>
      <c r="N3446" s="640" t="n"/>
      <c r="O3446" s="640">
        <f>IF(AND(N3446=1,L3446=1),K3446,"")</f>
        <v/>
      </c>
      <c r="P3446" s="642" t="inlineStr">
        <is>
          <t>Санкт-Петербург, Петроградская наб., д. 18, лит. А</t>
        </is>
      </c>
      <c r="Q3446" s="640" t="inlineStr">
        <is>
          <t>59.95848</t>
        </is>
      </c>
      <c r="R3446" s="494" t="inlineStr">
        <is>
          <t>30.33449</t>
        </is>
      </c>
      <c r="S3446" s="387">
        <f>'Цены|Скидки'!$E$25</f>
        <v/>
      </c>
      <c r="T3446" s="387">
        <f>IF(N3446=1,S3446*O3446,0)</f>
        <v/>
      </c>
      <c r="Z3446" s="1" t="n"/>
    </row>
    <row r="3447" hidden="1" ht="16.05" customHeight="1">
      <c r="A3447" s="125" t="n">
        <v>4125</v>
      </c>
      <c r="B3447" s="125" t="inlineStr">
        <is>
          <t>WF</t>
        </is>
      </c>
      <c r="C3447" s="130" t="inlineStr">
        <is>
          <t>Санкт-Петербург</t>
        </is>
      </c>
      <c r="D3447" s="130" t="inlineStr">
        <is>
          <t>Санкт-Петербург</t>
        </is>
      </c>
      <c r="E3447" s="130" t="inlineStr">
        <is>
          <t>B+</t>
        </is>
      </c>
      <c r="F3447" s="130" t="inlineStr">
        <is>
          <t>Бизнес центр</t>
        </is>
      </c>
      <c r="G3447" s="130" t="inlineStr">
        <is>
          <t>Бизнес центр</t>
        </is>
      </c>
      <c r="H3447" s="131" t="n">
        <v>13059</v>
      </c>
      <c r="I3447" s="637" t="inlineStr">
        <is>
          <t>Business Box</t>
        </is>
      </c>
      <c r="J3447" s="637" t="inlineStr">
        <is>
          <t>SPB_BC_Business_Box</t>
        </is>
      </c>
      <c r="K3447" s="640" t="n">
        <v>3</v>
      </c>
      <c r="L3447" s="640" t="n">
        <v>1</v>
      </c>
      <c r="M3447" s="623" t="inlineStr">
        <is>
          <t>LED/32'/верт</t>
        </is>
      </c>
      <c r="N3447" s="640" t="n"/>
      <c r="O3447" s="640">
        <f>IF(AND(N3447=1,L3447=1),K3447,"")</f>
        <v/>
      </c>
      <c r="P3447" s="642" t="inlineStr">
        <is>
          <t>Санкт-Петербург, Лахтинский пр. 85, к. 3, стр. 1, лит. А</t>
        </is>
      </c>
      <c r="Q3447" s="640" t="inlineStr">
        <is>
          <t>59.99361</t>
        </is>
      </c>
      <c r="R3447" s="494" t="inlineStr">
        <is>
          <t>30.14385</t>
        </is>
      </c>
      <c r="S3447" s="387">
        <f>'Цены|Скидки'!$E$25</f>
        <v/>
      </c>
      <c r="T3447" s="387">
        <f>IF(N3447=1,S3447*O3447,0)</f>
        <v/>
      </c>
      <c r="Z3447" s="1" t="n"/>
    </row>
    <row r="3448" hidden="1" ht="16.05" customHeight="1">
      <c r="A3448" s="125" t="n">
        <v>4126</v>
      </c>
      <c r="B3448" s="125" t="inlineStr">
        <is>
          <t>WF</t>
        </is>
      </c>
      <c r="C3448" s="130" t="inlineStr">
        <is>
          <t>Санкт-Петербург</t>
        </is>
      </c>
      <c r="D3448" s="130" t="inlineStr">
        <is>
          <t>Санкт-Петербург</t>
        </is>
      </c>
      <c r="E3448" s="130" t="inlineStr">
        <is>
          <t>B+</t>
        </is>
      </c>
      <c r="F3448" s="130" t="inlineStr">
        <is>
          <t>Бизнес центр</t>
        </is>
      </c>
      <c r="G3448" s="130" t="inlineStr">
        <is>
          <t>Бизнес центр</t>
        </is>
      </c>
      <c r="H3448" s="131" t="n">
        <v>4620</v>
      </c>
      <c r="I3448" s="637" t="inlineStr">
        <is>
          <t>65_СЕНАТОР на  Красноармейской</t>
        </is>
      </c>
      <c r="J3448" s="637" t="inlineStr">
        <is>
          <t>SPB_BC_65_SENATOR_na_Krasnoarmeyskoy</t>
        </is>
      </c>
      <c r="K3448" s="640" t="n">
        <v>1</v>
      </c>
      <c r="L3448" s="640" t="n">
        <v>1</v>
      </c>
      <c r="M3448" s="623" t="inlineStr">
        <is>
          <t>LED/65'/верт</t>
        </is>
      </c>
      <c r="N3448" s="640" t="n"/>
      <c r="O3448" s="640">
        <f>IF(AND(N3448=1,L3448=1),K3448,"")</f>
        <v/>
      </c>
      <c r="P3448" s="642" t="inlineStr">
        <is>
          <t>Санкт-Петербург, 6-я Красноармейская ул., д.5-7</t>
        </is>
      </c>
      <c r="Q3448" s="640" t="inlineStr">
        <is>
          <t>59.91256</t>
        </is>
      </c>
      <c r="R3448" s="494" t="inlineStr">
        <is>
          <t>30.31553</t>
        </is>
      </c>
      <c r="S3448" s="387">
        <f>'Цены|Скидки'!$E$25</f>
        <v/>
      </c>
      <c r="T3448" s="387">
        <f>IF(N3448=1,S3448*O3448,0)</f>
        <v/>
      </c>
      <c r="Z3448" s="1" t="n"/>
    </row>
    <row r="3449" hidden="1" ht="16.05" customHeight="1">
      <c r="A3449" s="125" t="n">
        <v>4127</v>
      </c>
      <c r="B3449" s="125" t="inlineStr">
        <is>
          <t>WF</t>
        </is>
      </c>
      <c r="C3449" s="130" t="inlineStr">
        <is>
          <t>Москва</t>
        </is>
      </c>
      <c r="D3449" s="130" t="inlineStr">
        <is>
          <t>Москва</t>
        </is>
      </c>
      <c r="E3449" s="130" t="inlineStr">
        <is>
          <t>A+</t>
        </is>
      </c>
      <c r="F3449" s="130" t="inlineStr">
        <is>
          <t>Бизнес центр</t>
        </is>
      </c>
      <c r="G3449" s="130" t="inlineStr">
        <is>
          <t>Бизнес центр</t>
        </is>
      </c>
      <c r="H3449" s="131" t="n">
        <v>16016</v>
      </c>
      <c r="I3449" s="637" t="inlineStr">
        <is>
          <t>Барклай Парк</t>
        </is>
      </c>
      <c r="J3449" s="637" t="inlineStr">
        <is>
          <t>MSK_BC_Barklay_Park</t>
        </is>
      </c>
      <c r="K3449" s="640" t="n">
        <v>2</v>
      </c>
      <c r="L3449" s="640" t="n">
        <v>1</v>
      </c>
      <c r="M3449" s="623" t="inlineStr">
        <is>
          <t>Samsung 43" вертикальный</t>
        </is>
      </c>
      <c r="N3449" s="640" t="n"/>
      <c r="O3449" s="640">
        <f>IF(AND(N3449=1,L3449=1),K3449,"")</f>
        <v/>
      </c>
      <c r="P3449" s="642" t="inlineStr">
        <is>
          <t>Москва, ул. Барклая, д. 6, стр. 3</t>
        </is>
      </c>
      <c r="Q3449" s="640" t="inlineStr">
        <is>
          <t>55.739559</t>
        </is>
      </c>
      <c r="R3449" s="494" t="inlineStr">
        <is>
          <t>37.50734</t>
        </is>
      </c>
      <c r="S3449" s="387">
        <f>'Цены|Скидки'!$D$25</f>
        <v/>
      </c>
      <c r="T3449" s="387">
        <f>IF(N3449=1,S3449*O3449,0)</f>
        <v/>
      </c>
      <c r="Z3449" s="1" t="n"/>
    </row>
    <row r="3450" hidden="1" ht="16.05" customHeight="1">
      <c r="A3450" s="125" t="n">
        <v>4128</v>
      </c>
      <c r="B3450" s="125" t="inlineStr">
        <is>
          <t>WF</t>
        </is>
      </c>
      <c r="C3450" s="130" t="inlineStr">
        <is>
          <t>Москва</t>
        </is>
      </c>
      <c r="D3450" s="130" t="inlineStr">
        <is>
          <t>Москва</t>
        </is>
      </c>
      <c r="E3450" s="130" t="inlineStr">
        <is>
          <t>A+</t>
        </is>
      </c>
      <c r="F3450" s="130" t="inlineStr">
        <is>
          <t>Бизнес центр</t>
        </is>
      </c>
      <c r="G3450" s="130" t="inlineStr">
        <is>
          <t>Бизнес центр</t>
        </is>
      </c>
      <c r="H3450" s="131" t="n">
        <v>27333</v>
      </c>
      <c r="I3450" s="637" t="inlineStr">
        <is>
          <t>Каланчевская Плаза</t>
        </is>
      </c>
      <c r="J3450" s="637" t="inlineStr">
        <is>
          <t>MSK_BC_Kalanchevskaya_Plaza</t>
        </is>
      </c>
      <c r="K3450" s="640" t="n">
        <v>2</v>
      </c>
      <c r="L3450" s="640" t="n">
        <v>1</v>
      </c>
      <c r="M3450" s="623" t="inlineStr">
        <is>
          <t>Samsung 43" вертикальный</t>
        </is>
      </c>
      <c r="N3450" s="640" t="n"/>
      <c r="O3450" s="640">
        <f>IF(AND(N3450=1,L3450=1),K3450,"")</f>
        <v/>
      </c>
      <c r="P3450" s="642" t="inlineStr">
        <is>
          <t>Москва, ул. Каланчевская, д. 16, стр. 1</t>
        </is>
      </c>
      <c r="Q3450" s="640" t="inlineStr">
        <is>
          <t>55.77755</t>
        </is>
      </c>
      <c r="R3450" s="494" t="inlineStr">
        <is>
          <t>37.649445</t>
        </is>
      </c>
      <c r="S3450" s="387">
        <f>'Цены|Скидки'!$D$25</f>
        <v/>
      </c>
      <c r="T3450" s="387">
        <f>IF(N3450=1,S3450*O3450,0)</f>
        <v/>
      </c>
      <c r="Z3450" s="1" t="n"/>
    </row>
    <row r="3451" hidden="1" ht="16.05" customHeight="1">
      <c r="A3451" s="125" t="n">
        <v>4129</v>
      </c>
      <c r="B3451" s="125" t="inlineStr">
        <is>
          <t>WF</t>
        </is>
      </c>
      <c r="C3451" s="130" t="inlineStr">
        <is>
          <t>Москва</t>
        </is>
      </c>
      <c r="D3451" s="130" t="inlineStr">
        <is>
          <t>Москва</t>
        </is>
      </c>
      <c r="E3451" s="130" t="inlineStr">
        <is>
          <t>A+</t>
        </is>
      </c>
      <c r="F3451" s="130" t="inlineStr">
        <is>
          <t>Бизнес центр</t>
        </is>
      </c>
      <c r="G3451" s="130" t="inlineStr">
        <is>
          <t>Бизнес центр</t>
        </is>
      </c>
      <c r="H3451" s="131" t="n">
        <v>59450</v>
      </c>
      <c r="I3451" s="637" t="inlineStr">
        <is>
          <t>Омега Плаза-2</t>
        </is>
      </c>
      <c r="J3451" s="637" t="inlineStr">
        <is>
          <t>MSK_BC_Omega_Plaza_2</t>
        </is>
      </c>
      <c r="K3451" s="640" t="n">
        <v>2</v>
      </c>
      <c r="L3451" s="640" t="n">
        <v>1</v>
      </c>
      <c r="M3451" s="623" t="inlineStr">
        <is>
          <t>Samsung 32" + 55" вертикальный</t>
        </is>
      </c>
      <c r="N3451" s="640" t="n"/>
      <c r="O3451" s="640">
        <f>IF(AND(N3451=1,L3451=1),K3451,"")</f>
        <v/>
      </c>
      <c r="P3451" s="642" t="inlineStr">
        <is>
          <t xml:space="preserve">Москва, ул. Ленинская Слобода, д.26, кор. А и С   </t>
        </is>
      </c>
      <c r="Q3451" s="640" t="inlineStr">
        <is>
          <t>55.710129</t>
        </is>
      </c>
      <c r="R3451" s="494" t="inlineStr">
        <is>
          <t>37.65461</t>
        </is>
      </c>
      <c r="S3451" s="387">
        <f>'Цены|Скидки'!$D$25</f>
        <v/>
      </c>
      <c r="T3451" s="387">
        <f>IF(N3451=1,S3451*O3451,0)</f>
        <v/>
      </c>
      <c r="Z3451" s="1" t="n"/>
    </row>
    <row r="3452" hidden="1" ht="16.05" customHeight="1">
      <c r="A3452" s="125" t="n">
        <v>4130</v>
      </c>
      <c r="B3452" s="125" t="inlineStr">
        <is>
          <t>WF</t>
        </is>
      </c>
      <c r="C3452" s="130" t="inlineStr">
        <is>
          <t>Москва</t>
        </is>
      </c>
      <c r="D3452" s="130" t="inlineStr">
        <is>
          <t>Москва</t>
        </is>
      </c>
      <c r="E3452" s="130" t="inlineStr">
        <is>
          <t>A+</t>
        </is>
      </c>
      <c r="F3452" s="130" t="inlineStr">
        <is>
          <t>Бизнес центр</t>
        </is>
      </c>
      <c r="G3452" s="130" t="inlineStr">
        <is>
          <t>Бизнес центр</t>
        </is>
      </c>
      <c r="H3452" s="131" t="n">
        <v>90608</v>
      </c>
      <c r="I3452" s="637" t="inlineStr">
        <is>
          <t>Симонов плаза</t>
        </is>
      </c>
      <c r="J3452" s="637" t="inlineStr">
        <is>
          <t>MSK_BC_Simonov_Plaza</t>
        </is>
      </c>
      <c r="K3452" s="640" t="n">
        <v>3</v>
      </c>
      <c r="L3452" s="640" t="n">
        <v>1</v>
      </c>
      <c r="M3452" s="623" t="inlineStr">
        <is>
          <t>Samsung 43" вертикальный</t>
        </is>
      </c>
      <c r="N3452" s="640" t="n"/>
      <c r="O3452" s="640">
        <f>IF(AND(N3452=1,L3452=1),K3452,"")</f>
        <v/>
      </c>
      <c r="P3452" s="642" t="inlineStr">
        <is>
          <t>Москва, ул. Ленинская Слобода, д.26 стр.5</t>
        </is>
      </c>
      <c r="Q3452" s="640" t="inlineStr">
        <is>
          <t>55.711316</t>
        </is>
      </c>
      <c r="R3452" s="494" t="inlineStr">
        <is>
          <t>37.652768</t>
        </is>
      </c>
      <c r="S3452" s="387">
        <f>'Цены|Скидки'!$D$25</f>
        <v/>
      </c>
      <c r="T3452" s="387">
        <f>IF(N3452=1,S3452*O3452,0)</f>
        <v/>
      </c>
      <c r="Z3452" s="1" t="n"/>
    </row>
    <row r="3453" hidden="1" ht="16.05" customHeight="1">
      <c r="A3453" s="125" t="n">
        <v>4131</v>
      </c>
      <c r="B3453" s="125" t="inlineStr">
        <is>
          <t>WF</t>
        </is>
      </c>
      <c r="C3453" s="130" t="inlineStr">
        <is>
          <t>Москва</t>
        </is>
      </c>
      <c r="D3453" s="130" t="inlineStr">
        <is>
          <t>Москва</t>
        </is>
      </c>
      <c r="E3453" s="130" t="inlineStr">
        <is>
          <t>A+</t>
        </is>
      </c>
      <c r="F3453" s="130" t="inlineStr">
        <is>
          <t>Бизнес центр</t>
        </is>
      </c>
      <c r="G3453" s="130" t="inlineStr">
        <is>
          <t>Бизнес центр</t>
        </is>
      </c>
      <c r="H3453" s="131" t="n">
        <v>17300</v>
      </c>
      <c r="I3453" s="637" t="inlineStr">
        <is>
          <t>Слободской</t>
        </is>
      </c>
      <c r="J3453" s="637" t="inlineStr">
        <is>
          <t>MSK_BC_Slobodskoy</t>
        </is>
      </c>
      <c r="K3453" s="640" t="n">
        <v>2</v>
      </c>
      <c r="L3453" s="640" t="n">
        <v>1</v>
      </c>
      <c r="M3453" s="623" t="inlineStr">
        <is>
          <t>Samsung 32" вертикальный</t>
        </is>
      </c>
      <c r="N3453" s="640" t="n"/>
      <c r="O3453" s="640">
        <f>IF(AND(N3453=1,L3453=1),K3453,"")</f>
        <v/>
      </c>
      <c r="P3453" s="642" t="inlineStr">
        <is>
          <t>Москва, ул. Ленинская Слобода, д.26 с. 28</t>
        </is>
      </c>
      <c r="Q3453" s="640" t="inlineStr">
        <is>
          <t>55.712315</t>
        </is>
      </c>
      <c r="R3453" s="494" t="inlineStr">
        <is>
          <t>37.654017</t>
        </is>
      </c>
      <c r="S3453" s="387">
        <f>'Цены|Скидки'!$D$25</f>
        <v/>
      </c>
      <c r="T3453" s="387">
        <f>IF(N3453=1,S3453*O3453,0)</f>
        <v/>
      </c>
      <c r="Z3453" s="1" t="n"/>
    </row>
    <row r="3454" hidden="1" ht="16.05" customHeight="1">
      <c r="A3454" s="125" t="n">
        <v>4132</v>
      </c>
      <c r="B3454" s="125" t="inlineStr">
        <is>
          <t>WF</t>
        </is>
      </c>
      <c r="C3454" s="130" t="inlineStr">
        <is>
          <t>Москва</t>
        </is>
      </c>
      <c r="D3454" s="130" t="inlineStr">
        <is>
          <t>Москва</t>
        </is>
      </c>
      <c r="E3454" s="130" t="n"/>
      <c r="F3454" s="130" t="inlineStr">
        <is>
          <t>Супермаркет</t>
        </is>
      </c>
      <c r="G3454" s="130" t="inlineStr">
        <is>
          <t>Азбука Вкуса</t>
        </is>
      </c>
      <c r="H3454" s="131" t="n"/>
      <c r="I3454" s="637" t="inlineStr">
        <is>
          <t>166_Daily</t>
        </is>
      </c>
      <c r="J3454" s="637" t="inlineStr">
        <is>
          <t>MSK_D_166</t>
        </is>
      </c>
      <c r="K3454" s="640" t="n">
        <v>1</v>
      </c>
      <c r="L3454" s="640" t="n">
        <v>1</v>
      </c>
      <c r="M3454" s="623" t="inlineStr">
        <is>
          <t>Samsung 43" вертикальный</t>
        </is>
      </c>
      <c r="N3454" s="640" t="n"/>
      <c r="O3454" s="640">
        <f>IF(AND(N3454=1,L3454=1),K3454,"")</f>
        <v/>
      </c>
      <c r="P3454" s="642" t="inlineStr">
        <is>
          <t>ул. Остоженка дом 42/2</t>
        </is>
      </c>
      <c r="Q3454" s="640" t="inlineStr">
        <is>
          <t>55.737583</t>
        </is>
      </c>
      <c r="R3454" s="494" t="inlineStr">
        <is>
          <t>37.594854</t>
        </is>
      </c>
      <c r="S3454" s="387" t="n">
        <v>24</v>
      </c>
      <c r="T3454" s="436">
        <f>IF(N3454=1,O3454*S3454,"")</f>
        <v/>
      </c>
      <c r="Z3454" s="1" t="n"/>
    </row>
    <row r="3455" hidden="1" ht="16.05" customHeight="1">
      <c r="A3455" s="125" t="n">
        <v>4133</v>
      </c>
      <c r="B3455" s="791" t="n"/>
      <c r="C3455" s="130" t="inlineStr">
        <is>
          <t>Москва</t>
        </is>
      </c>
      <c r="D3455" s="130" t="inlineStr">
        <is>
          <t>Московская область</t>
        </is>
      </c>
      <c r="E3455" s="130" t="inlineStr">
        <is>
          <t>ЦКАД</t>
        </is>
      </c>
      <c r="F3455" s="130" t="inlineStr">
        <is>
          <t>Платная трасса</t>
        </is>
      </c>
      <c r="G3455" s="130" t="inlineStr">
        <is>
          <t>Автодор</t>
        </is>
      </c>
      <c r="H3455" s="131" t="inlineStr">
        <is>
          <t>Подольск</t>
        </is>
      </c>
      <c r="I3455" s="637" t="inlineStr">
        <is>
          <t>CKAD_S02</t>
        </is>
      </c>
      <c r="J3455" s="637" t="inlineStr">
        <is>
          <t>AVD_CKAD_S02_PDK</t>
        </is>
      </c>
      <c r="K3455" s="640" t="n">
        <v>1</v>
      </c>
      <c r="L3455" s="640" t="n">
        <v>0</v>
      </c>
      <c r="M3455" s="640" t="inlineStr">
        <is>
          <t>Samsung 43" горизонтальный</t>
        </is>
      </c>
      <c r="N3455" s="640" t="n"/>
      <c r="O3455" s="640">
        <f>IF(AND(N3455=1,L3455=1),K3455,"")</f>
        <v/>
      </c>
      <c r="P3455" s="642" t="inlineStr">
        <is>
          <t>Московская область, Московская область, г. Подольск, ул. Федорова д.19</t>
        </is>
      </c>
      <c r="Q3455" s="640" t="inlineStr">
        <is>
          <t>55.413607</t>
        </is>
      </c>
      <c r="R3455" s="422" t="inlineStr">
        <is>
          <t>38.274663</t>
        </is>
      </c>
      <c r="U3455" s="436" t="n">
        <v>1</v>
      </c>
      <c r="V3455" s="438">
        <f>IF(AND(N3455=1,U3455=1),C3455,"")</f>
        <v/>
      </c>
      <c r="Z3455" s="1" t="n"/>
    </row>
    <row r="3456" hidden="1" ht="16.05" customHeight="1">
      <c r="A3456" s="125" t="n">
        <v>4141</v>
      </c>
      <c r="B3456" s="791" t="n"/>
      <c r="C3456" s="130" t="inlineStr">
        <is>
          <t>Санкт-Петербург</t>
        </is>
      </c>
      <c r="D3456" s="130" t="inlineStr">
        <is>
          <t>Санкт-Петербург</t>
        </is>
      </c>
      <c r="E3456" s="130" t="n"/>
      <c r="F3456" s="130" t="inlineStr">
        <is>
          <t>АЗС</t>
        </is>
      </c>
      <c r="G3456" s="130" t="inlineStr">
        <is>
          <t>Роснефть</t>
        </is>
      </c>
      <c r="H3456" s="131" t="n">
        <v>468</v>
      </c>
      <c r="I3456" s="637" t="inlineStr">
        <is>
          <t>468 Аптекарская наб.</t>
        </is>
      </c>
      <c r="J3456" s="637" t="inlineStr">
        <is>
          <t>SPB_RN_P_468</t>
        </is>
      </c>
      <c r="K3456" s="640" t="n">
        <v>1</v>
      </c>
      <c r="L3456" s="640" t="n">
        <v>1</v>
      </c>
      <c r="M3456" s="623" t="inlineStr">
        <is>
          <t>Samsung 32" вертикальный</t>
        </is>
      </c>
      <c r="N3456" s="640" t="n"/>
      <c r="O3456" s="640">
        <f>IF(AND(N3456=1,L3456=1),K3456,"")</f>
        <v/>
      </c>
      <c r="P3456" s="642" t="inlineStr">
        <is>
          <t>г. Санкт-Петербург, наб. Аптекарская, д.16</t>
        </is>
      </c>
      <c r="Q3456" s="640" t="inlineStr">
        <is>
          <t>59.977467</t>
        </is>
      </c>
      <c r="R3456" s="494" t="inlineStr">
        <is>
          <t>30.320832</t>
        </is>
      </c>
      <c r="Z3456" s="1" t="n"/>
    </row>
    <row r="3457" hidden="1" ht="16.05" customHeight="1">
      <c r="A3457" s="125" t="n">
        <v>4134</v>
      </c>
      <c r="B3457" s="791" t="n"/>
      <c r="C3457" s="130" t="inlineStr">
        <is>
          <t>Москва</t>
        </is>
      </c>
      <c r="D3457" s="130" t="inlineStr">
        <is>
          <t>Московская область</t>
        </is>
      </c>
      <c r="E3457" s="130" t="inlineStr">
        <is>
          <t>М5</t>
        </is>
      </c>
      <c r="F3457" s="130" t="inlineStr">
        <is>
          <t>АЗС</t>
        </is>
      </c>
      <c r="G3457" s="130" t="inlineStr">
        <is>
          <t>Татнефть</t>
        </is>
      </c>
      <c r="H3457" s="131" t="n"/>
      <c r="I3457" s="637" t="inlineStr">
        <is>
          <t>73 (HOR)</t>
        </is>
      </c>
      <c r="J3457" s="637" t="inlineStr">
        <is>
          <t>TATN_073</t>
        </is>
      </c>
      <c r="K3457" s="640" t="n">
        <v>1</v>
      </c>
      <c r="L3457" s="640" t="n">
        <v>0</v>
      </c>
      <c r="M3457" s="640" t="inlineStr">
        <is>
          <t>Samsung 43" горизонтальный</t>
        </is>
      </c>
      <c r="N3457" s="640" t="n"/>
      <c r="O3457" s="640">
        <f>IF(AND(N3457=1,L3457=1),K3457,"")</f>
        <v/>
      </c>
      <c r="P3457" s="642" t="inlineStr">
        <is>
          <t>МО, Раменский р-он, Ульянинский с/о, 71 - й км Рязанского ш., правая сторона</t>
        </is>
      </c>
      <c r="Q3457" s="640" t="inlineStr">
        <is>
          <t>55.353513</t>
        </is>
      </c>
      <c r="R3457" s="422" t="inlineStr">
        <is>
          <t>38.416242</t>
        </is>
      </c>
      <c r="X3457" s="1" t="n"/>
      <c r="Y3457" s="1" t="n"/>
      <c r="Z3457" s="1" t="n"/>
    </row>
    <row r="3458" hidden="1" ht="16.05" customHeight="1">
      <c r="A3458" s="125" t="n">
        <v>4135</v>
      </c>
      <c r="B3458" s="791" t="n"/>
      <c r="C3458" s="130" t="inlineStr">
        <is>
          <t>Москва</t>
        </is>
      </c>
      <c r="D3458" s="130" t="inlineStr">
        <is>
          <t>Московская область</t>
        </is>
      </c>
      <c r="E3458" s="130" t="inlineStr">
        <is>
          <t>М5</t>
        </is>
      </c>
      <c r="F3458" s="130" t="inlineStr">
        <is>
          <t>АЗС</t>
        </is>
      </c>
      <c r="G3458" s="130" t="inlineStr">
        <is>
          <t>Татнефть</t>
        </is>
      </c>
      <c r="H3458" s="131" t="n"/>
      <c r="I3458" s="637" t="inlineStr">
        <is>
          <t>74 (HOR)</t>
        </is>
      </c>
      <c r="J3458" s="637" t="inlineStr">
        <is>
          <t>TATN_074</t>
        </is>
      </c>
      <c r="K3458" s="640" t="n">
        <v>1</v>
      </c>
      <c r="L3458" s="640" t="n">
        <v>0</v>
      </c>
      <c r="M3458" s="640" t="inlineStr">
        <is>
          <t>Samsung 43" горизонтальный</t>
        </is>
      </c>
      <c r="N3458" s="640" t="n"/>
      <c r="O3458" s="640">
        <f>IF(AND(N3458=1,L3458=1),K3458,"")</f>
        <v/>
      </c>
      <c r="P3458" s="642" t="inlineStr">
        <is>
          <t>МО, Раменский р-он, Ульянинский с/о, 71 - й км Рязанского ш. левая сторона</t>
        </is>
      </c>
      <c r="Q3458" s="640" t="inlineStr">
        <is>
          <t>55.353814</t>
        </is>
      </c>
      <c r="R3458" s="422" t="inlineStr">
        <is>
          <t>38.416776</t>
        </is>
      </c>
      <c r="X3458" s="1" t="n"/>
      <c r="Y3458" s="1" t="n"/>
      <c r="Z3458" s="1" t="n"/>
    </row>
    <row r="3459" hidden="1" ht="16.05" customHeight="1">
      <c r="A3459" s="125" t="n">
        <v>4136</v>
      </c>
      <c r="B3459" s="791" t="n"/>
      <c r="C3459" s="130" t="inlineStr">
        <is>
          <t>Москва</t>
        </is>
      </c>
      <c r="D3459" s="130" t="inlineStr">
        <is>
          <t>Москва</t>
        </is>
      </c>
      <c r="E3459" s="130" t="inlineStr">
        <is>
          <t>ЗАО</t>
        </is>
      </c>
      <c r="F3459" s="130" t="inlineStr">
        <is>
          <t>АЗС</t>
        </is>
      </c>
      <c r="G3459" s="130" t="inlineStr">
        <is>
          <t>Татнефть</t>
        </is>
      </c>
      <c r="H3459" s="131" t="n"/>
      <c r="I3459" s="637" t="inlineStr">
        <is>
          <t>52 (HOR)</t>
        </is>
      </c>
      <c r="J3459" s="637" t="inlineStr">
        <is>
          <t>TATN_052</t>
        </is>
      </c>
      <c r="K3459" s="640" t="n">
        <v>1</v>
      </c>
      <c r="L3459" s="640" t="n">
        <v>0</v>
      </c>
      <c r="M3459" s="640" t="inlineStr">
        <is>
          <t>Samsung 43" горизонтальный</t>
        </is>
      </c>
      <c r="N3459" s="640" t="n"/>
      <c r="O3459" s="640">
        <f>IF(AND(N3459=1,L3459=1),K3459,"")</f>
        <v/>
      </c>
      <c r="P3459" s="642" t="inlineStr">
        <is>
          <t>г.Москва,  Мосфильмовская, соор.74 ''а'' (ул.Минская)</t>
        </is>
      </c>
      <c r="Q3459" s="640" t="inlineStr">
        <is>
          <t>55.710464</t>
        </is>
      </c>
      <c r="R3459" s="422" t="inlineStr">
        <is>
          <t>37.505346</t>
        </is>
      </c>
      <c r="X3459" s="1" t="n"/>
      <c r="Y3459" s="1" t="n"/>
      <c r="Z3459" s="1" t="n"/>
    </row>
    <row r="3460" hidden="1" ht="16.05" customHeight="1">
      <c r="A3460" s="125" t="n">
        <v>4137</v>
      </c>
      <c r="B3460" s="791" t="n"/>
      <c r="C3460" s="130" t="inlineStr">
        <is>
          <t>Москва</t>
        </is>
      </c>
      <c r="D3460" s="130" t="inlineStr">
        <is>
          <t>Москва</t>
        </is>
      </c>
      <c r="E3460" s="130" t="inlineStr">
        <is>
          <t>ЗАО</t>
        </is>
      </c>
      <c r="F3460" s="130" t="inlineStr">
        <is>
          <t>АЗС</t>
        </is>
      </c>
      <c r="G3460" s="130" t="inlineStr">
        <is>
          <t>Татнефть</t>
        </is>
      </c>
      <c r="H3460" s="131" t="n"/>
      <c r="I3460" s="637" t="inlineStr">
        <is>
          <t>44 (HOR)</t>
        </is>
      </c>
      <c r="J3460" s="637" t="inlineStr">
        <is>
          <t>TATN_044</t>
        </is>
      </c>
      <c r="K3460" s="640" t="n">
        <v>1</v>
      </c>
      <c r="L3460" s="640" t="n">
        <v>0</v>
      </c>
      <c r="M3460" s="640" t="inlineStr">
        <is>
          <t>Samsung 43" горизонтальный</t>
        </is>
      </c>
      <c r="N3460" s="640" t="n"/>
      <c r="O3460" s="640">
        <f>IF(AND(N3460=1,L3460=1),K3460,"")</f>
        <v/>
      </c>
      <c r="P3460" s="642" t="inlineStr">
        <is>
          <t xml:space="preserve">г.Москва,  Мукомольный пр-д, д.8 (Шмидтовский пр-д, вл. 39) </t>
        </is>
      </c>
      <c r="Q3460" s="640" t="inlineStr">
        <is>
          <t>55.755099</t>
        </is>
      </c>
      <c r="R3460" s="422" t="inlineStr">
        <is>
          <t>37.523662</t>
        </is>
      </c>
      <c r="X3460" s="1" t="n"/>
      <c r="Y3460" s="1" t="n"/>
      <c r="Z3460" s="1" t="n"/>
    </row>
    <row r="3461" hidden="1" ht="16.05" customHeight="1">
      <c r="A3461" s="125" t="n">
        <v>4138</v>
      </c>
      <c r="B3461" s="791" t="n"/>
      <c r="C3461" s="130" t="inlineStr">
        <is>
          <t>Москва</t>
        </is>
      </c>
      <c r="D3461" s="130" t="inlineStr">
        <is>
          <t>Москва</t>
        </is>
      </c>
      <c r="E3461" s="130" t="inlineStr">
        <is>
          <t>М3</t>
        </is>
      </c>
      <c r="F3461" s="130" t="inlineStr">
        <is>
          <t>АЗС</t>
        </is>
      </c>
      <c r="G3461" s="130" t="inlineStr">
        <is>
          <t>Татнефть</t>
        </is>
      </c>
      <c r="H3461" s="131" t="n"/>
      <c r="I3461" s="637" t="inlineStr">
        <is>
          <t>206 (HOR)</t>
        </is>
      </c>
      <c r="J3461" s="637" t="inlineStr">
        <is>
          <t>TATN_206</t>
        </is>
      </c>
      <c r="K3461" s="640" t="n">
        <v>1</v>
      </c>
      <c r="L3461" s="640" t="n">
        <v>0</v>
      </c>
      <c r="M3461" s="640" t="inlineStr">
        <is>
          <t>Samsung 43" горизонтальный</t>
        </is>
      </c>
      <c r="N3461" s="640" t="n"/>
      <c r="O3461" s="640">
        <f>IF(AND(N3461=1,L3461=1),K3461,"")</f>
        <v/>
      </c>
      <c r="P3461" s="642" t="inlineStr">
        <is>
          <t>г.Москва, Киевское шоссе, 19 км</t>
        </is>
      </c>
      <c r="Q3461" s="640" t="inlineStr">
        <is>
          <t>55.633545</t>
        </is>
      </c>
      <c r="R3461" s="422" t="inlineStr">
        <is>
          <t>37.445266</t>
        </is>
      </c>
      <c r="X3461" s="1" t="n"/>
      <c r="Y3461" s="1" t="n"/>
      <c r="Z3461" s="1" t="n"/>
    </row>
    <row r="3462" hidden="1" ht="16.05" customHeight="1">
      <c r="A3462" s="125" t="n">
        <v>4139</v>
      </c>
      <c r="B3462" s="791" t="n"/>
      <c r="C3462" s="130" t="inlineStr">
        <is>
          <t>Тверь</t>
        </is>
      </c>
      <c r="D3462" s="130" t="inlineStr">
        <is>
          <t>Тверская область</t>
        </is>
      </c>
      <c r="E3462" s="130" t="n"/>
      <c r="F3462" s="130" t="inlineStr">
        <is>
          <t>АЗС</t>
        </is>
      </c>
      <c r="G3462" s="130" t="inlineStr">
        <is>
          <t>Татнефть</t>
        </is>
      </c>
      <c r="H3462" s="131" t="n"/>
      <c r="I3462" s="637" t="inlineStr">
        <is>
          <t>172 (HOR)</t>
        </is>
      </c>
      <c r="J3462" s="637" t="inlineStr">
        <is>
          <t>TATN_172</t>
        </is>
      </c>
      <c r="K3462" s="640" t="n">
        <v>1</v>
      </c>
      <c r="L3462" s="640" t="n">
        <v>0</v>
      </c>
      <c r="M3462" s="640" t="inlineStr">
        <is>
          <t>Samsung 43" горизонтальный</t>
        </is>
      </c>
      <c r="N3462" s="640" t="n"/>
      <c r="O3462" s="640">
        <f>IF(AND(N3462=1,L3462=1),K3462,"")</f>
        <v/>
      </c>
      <c r="P3462" s="642" t="inlineStr">
        <is>
          <t>Тверская область, Калининский район 153 км а/д</t>
        </is>
      </c>
      <c r="Q3462" s="640" t="inlineStr">
        <is>
          <t>56.784445</t>
        </is>
      </c>
      <c r="R3462" s="422" t="inlineStr">
        <is>
          <t>36.082118</t>
        </is>
      </c>
      <c r="X3462" s="1" t="n"/>
      <c r="Y3462" s="1" t="n"/>
      <c r="Z3462" s="1" t="n"/>
    </row>
    <row r="3463" hidden="1" ht="16.05" customHeight="1">
      <c r="A3463" s="125" t="n">
        <v>4140</v>
      </c>
      <c r="B3463" s="125" t="inlineStr">
        <is>
          <t>WF</t>
        </is>
      </c>
      <c r="C3463" s="130" t="inlineStr">
        <is>
          <t>Нижний Новгород</t>
        </is>
      </c>
      <c r="D3463" s="130" t="inlineStr">
        <is>
          <t>Нижегородская обл.</t>
        </is>
      </c>
      <c r="E3463" s="130" t="n"/>
      <c r="F3463" s="130" t="inlineStr">
        <is>
          <t>АЗС</t>
        </is>
      </c>
      <c r="G3463" s="130" t="inlineStr">
        <is>
          <t>Лукойл</t>
        </is>
      </c>
      <c r="H3463" s="131" t="n"/>
      <c r="I3463" s="637" t="n">
        <v>52074</v>
      </c>
      <c r="J3463" s="637" t="inlineStr">
        <is>
          <t>NN_LUK_52074</t>
        </is>
      </c>
      <c r="K3463" s="640" t="n">
        <v>2</v>
      </c>
      <c r="L3463" s="640" t="n">
        <v>0</v>
      </c>
      <c r="M3463" s="640" t="inlineStr">
        <is>
          <t>1 октября</t>
        </is>
      </c>
      <c r="N3463" s="640" t="n"/>
      <c r="O3463" s="640">
        <f>IF(AND(N3463=1,L3463=1),K3463,"")</f>
        <v/>
      </c>
      <c r="P3463" s="642" t="inlineStr">
        <is>
          <t>Нижегородская область, городской округ Бор, Кантауровский территориальный отдел</t>
        </is>
      </c>
      <c r="Q3463" s="640" t="n">
        <v>56.486948</v>
      </c>
      <c r="R3463" s="422" t="n">
        <v>44.019749</v>
      </c>
      <c r="X3463" s="1" t="n"/>
      <c r="Y3463" s="1" t="n"/>
      <c r="Z3463" s="1" t="n"/>
    </row>
    <row r="3464" hidden="1" ht="16.05" customHeight="1">
      <c r="A3464" s="125" t="n">
        <v>4142</v>
      </c>
      <c r="B3464" s="791" t="n"/>
      <c r="C3464" s="130" t="inlineStr">
        <is>
          <t>Тамбов</t>
        </is>
      </c>
      <c r="D3464" s="130" t="inlineStr">
        <is>
          <t>Тамбов</t>
        </is>
      </c>
      <c r="E3464" s="130" t="n"/>
      <c r="F3464" s="130" t="inlineStr">
        <is>
          <t>АЗС</t>
        </is>
      </c>
      <c r="G3464" s="130" t="inlineStr">
        <is>
          <t>Роснефть</t>
        </is>
      </c>
      <c r="H3464" s="131" t="n"/>
      <c r="I3464" s="637" t="inlineStr">
        <is>
          <t>RN_8</t>
        </is>
      </c>
      <c r="J3464" s="637" t="inlineStr">
        <is>
          <t>TMB_RN_0008</t>
        </is>
      </c>
      <c r="K3464" s="640" t="n">
        <v>1</v>
      </c>
      <c r="L3464" s="640" t="n">
        <v>0</v>
      </c>
      <c r="M3464" s="640" t="inlineStr">
        <is>
          <t>Samsung 32" вертикальный</t>
        </is>
      </c>
      <c r="N3464" s="640" t="n"/>
      <c r="O3464" s="640">
        <f>IF(AND(N3464=1,L3464=1),K3464,"")</f>
        <v/>
      </c>
      <c r="P3464" s="642" t="inlineStr">
        <is>
          <t>Тамбовская обл., п. Строитель, ул. Придорожная, стр.5</t>
        </is>
      </c>
      <c r="Q3464" s="640" t="inlineStr">
        <is>
          <t>52.663609</t>
        </is>
      </c>
      <c r="R3464" s="422" t="inlineStr">
        <is>
          <t>41.448573</t>
        </is>
      </c>
      <c r="Z3464" s="1" t="n"/>
    </row>
    <row r="3465" hidden="1" ht="16.05" customHeight="1">
      <c r="A3465" s="125" t="n">
        <v>4143</v>
      </c>
      <c r="B3465" s="791" t="n"/>
      <c r="C3465" s="130" t="inlineStr">
        <is>
          <t>Сургут</t>
        </is>
      </c>
      <c r="D3465" s="130" t="inlineStr">
        <is>
          <t>Сургут</t>
        </is>
      </c>
      <c r="E3465" s="130" t="n"/>
      <c r="F3465" s="130" t="inlineStr">
        <is>
          <t>АЗС</t>
        </is>
      </c>
      <c r="G3465" s="130" t="inlineStr">
        <is>
          <t>Эталон</t>
        </is>
      </c>
      <c r="H3465" s="131" t="n"/>
      <c r="I3465" s="637" t="n">
        <v>3</v>
      </c>
      <c r="J3465" s="637" t="inlineStr">
        <is>
          <t>SUR_ET_3</t>
        </is>
      </c>
      <c r="K3465" s="640" t="n">
        <v>2</v>
      </c>
      <c r="L3465" s="640" t="n">
        <v>1</v>
      </c>
      <c r="M3465" s="623" t="inlineStr">
        <is>
          <t>Samsung 43" горизонтальный</t>
        </is>
      </c>
      <c r="N3465" s="640" t="n"/>
      <c r="O3465" s="640">
        <f>IF(AND(N3465=1,L3465=1),K3465,"")</f>
        <v/>
      </c>
      <c r="P3465" s="642" t="inlineStr">
        <is>
          <t>г.Сургут, ул. Аэрофлотская, 17/1</t>
        </is>
      </c>
      <c r="Q3465" s="640" t="inlineStr">
        <is>
          <t>61.298299</t>
        </is>
      </c>
      <c r="R3465" s="494" t="inlineStr">
        <is>
          <t>73.381318</t>
        </is>
      </c>
      <c r="Z3465" s="1" t="n"/>
    </row>
    <row r="3466" hidden="1" ht="16.05" customHeight="1">
      <c r="A3466" s="125" t="n">
        <v>4144</v>
      </c>
      <c r="B3466" s="791" t="n"/>
      <c r="C3466" s="130" t="inlineStr">
        <is>
          <t>Сургут</t>
        </is>
      </c>
      <c r="D3466" s="130" t="inlineStr">
        <is>
          <t>Сургут</t>
        </is>
      </c>
      <c r="E3466" s="130" t="n"/>
      <c r="F3466" s="130" t="inlineStr">
        <is>
          <t>АЗС</t>
        </is>
      </c>
      <c r="G3466" s="130" t="inlineStr">
        <is>
          <t>Эталон</t>
        </is>
      </c>
      <c r="H3466" s="131" t="n"/>
      <c r="I3466" s="637" t="n">
        <v>7</v>
      </c>
      <c r="J3466" s="637" t="inlineStr">
        <is>
          <t>SUR_ET_7</t>
        </is>
      </c>
      <c r="K3466" s="640" t="n">
        <v>3</v>
      </c>
      <c r="L3466" s="640" t="n">
        <v>1</v>
      </c>
      <c r="M3466" s="623" t="inlineStr">
        <is>
          <t>Samsung 43" горизонтальный</t>
        </is>
      </c>
      <c r="N3466" s="640" t="n"/>
      <c r="O3466" s="640">
        <f>IF(AND(N3466=1,L3466=1),K3466,"")</f>
        <v/>
      </c>
      <c r="P3466" s="642" t="inlineStr">
        <is>
          <t>г.Сургут, Югорский тракт, 9</t>
        </is>
      </c>
      <c r="Q3466" s="640" t="inlineStr">
        <is>
          <t>61.253174</t>
        </is>
      </c>
      <c r="R3466" s="494" t="inlineStr">
        <is>
          <t>73.34809</t>
        </is>
      </c>
      <c r="Z3466" s="1" t="n"/>
    </row>
    <row r="3467" hidden="1" ht="16.05" customHeight="1">
      <c r="A3467" s="125" t="n">
        <v>4145</v>
      </c>
      <c r="B3467" s="791" t="n"/>
      <c r="C3467" s="130" t="inlineStr">
        <is>
          <t>Сургут</t>
        </is>
      </c>
      <c r="D3467" s="130" t="inlineStr">
        <is>
          <t>Сургут</t>
        </is>
      </c>
      <c r="E3467" s="130" t="n"/>
      <c r="F3467" s="130" t="inlineStr">
        <is>
          <t>АЗС</t>
        </is>
      </c>
      <c r="G3467" s="130" t="inlineStr">
        <is>
          <t>Эталон</t>
        </is>
      </c>
      <c r="H3467" s="131" t="n"/>
      <c r="I3467" s="637" t="n">
        <v>13</v>
      </c>
      <c r="J3467" s="637" t="inlineStr">
        <is>
          <t>SUR_ET_13</t>
        </is>
      </c>
      <c r="K3467" s="640" t="n">
        <v>2</v>
      </c>
      <c r="L3467" s="640" t="n">
        <v>1</v>
      </c>
      <c r="M3467" s="623" t="inlineStr">
        <is>
          <t>Samsung 40" горизонтальный</t>
        </is>
      </c>
      <c r="N3467" s="640" t="n"/>
      <c r="O3467" s="640">
        <f>IF(AND(N3467=1,L3467=1),K3467,"")</f>
        <v/>
      </c>
      <c r="P3467" s="642" t="inlineStr">
        <is>
          <t>г.Лянтор, ул Кольцевая 25 стр 1</t>
        </is>
      </c>
      <c r="Q3467" s="640" t="inlineStr">
        <is>
          <t>61.63313</t>
        </is>
      </c>
      <c r="R3467" s="494" t="inlineStr">
        <is>
          <t>72.173147</t>
        </is>
      </c>
      <c r="Z3467" s="1" t="n"/>
    </row>
    <row r="3468" hidden="1" ht="16.05" customHeight="1">
      <c r="A3468" s="125" t="n">
        <v>4146</v>
      </c>
      <c r="B3468" s="791" t="n"/>
      <c r="C3468" s="130" t="inlineStr">
        <is>
          <t>Сургут</t>
        </is>
      </c>
      <c r="D3468" s="130" t="inlineStr">
        <is>
          <t>Сургут</t>
        </is>
      </c>
      <c r="E3468" s="130" t="n"/>
      <c r="F3468" s="130" t="inlineStr">
        <is>
          <t>АЗС</t>
        </is>
      </c>
      <c r="G3468" s="130" t="inlineStr">
        <is>
          <t>Эталон</t>
        </is>
      </c>
      <c r="H3468" s="131" t="n"/>
      <c r="I3468" s="637" t="n">
        <v>16</v>
      </c>
      <c r="J3468" s="637" t="inlineStr">
        <is>
          <t>SUR_ET_16</t>
        </is>
      </c>
      <c r="K3468" s="640" t="n">
        <v>2</v>
      </c>
      <c r="L3468" s="640" t="n">
        <v>1</v>
      </c>
      <c r="M3468" s="623" t="inlineStr">
        <is>
          <t>Samsung 40" горизонтальный</t>
        </is>
      </c>
      <c r="N3468" s="640" t="n"/>
      <c r="O3468" s="640">
        <f>IF(AND(N3468=1,L3468=1),K3468,"")</f>
        <v/>
      </c>
      <c r="P3468" s="642" t="inlineStr">
        <is>
          <t>г.Сургут,  ул. Индустриальная, 11а</t>
        </is>
      </c>
      <c r="Q3468" s="640" t="inlineStr">
        <is>
          <t>61.284378</t>
        </is>
      </c>
      <c r="R3468" s="494" t="inlineStr">
        <is>
          <t>73.387939</t>
        </is>
      </c>
      <c r="Z3468" s="1" t="n"/>
    </row>
    <row r="3469" hidden="1" ht="16.05" customHeight="1">
      <c r="A3469" s="125" t="n">
        <v>4147</v>
      </c>
      <c r="B3469" s="125" t="inlineStr">
        <is>
          <t>WF</t>
        </is>
      </c>
      <c r="C3469" s="130" t="inlineStr">
        <is>
          <t>Санкт-Петербург</t>
        </is>
      </c>
      <c r="D3469" s="130" t="inlineStr">
        <is>
          <t>Санкт-Петербург</t>
        </is>
      </c>
      <c r="E3469" s="130" t="inlineStr">
        <is>
          <t>A</t>
        </is>
      </c>
      <c r="F3469" s="130" t="inlineStr">
        <is>
          <t>Бизнес центр</t>
        </is>
      </c>
      <c r="G3469" s="130" t="inlineStr">
        <is>
          <t>Бизнес центр</t>
        </is>
      </c>
      <c r="H3469" s="131" t="n">
        <v>18638</v>
      </c>
      <c r="I3469" s="637" t="inlineStr">
        <is>
          <t>18_Бенуа</t>
        </is>
      </c>
      <c r="J3469" s="637" t="inlineStr">
        <is>
          <t>SPB_BC_18_Benua</t>
        </is>
      </c>
      <c r="K3469" s="640" t="n">
        <v>4</v>
      </c>
      <c r="L3469" s="640" t="n">
        <v>1</v>
      </c>
      <c r="M3469" s="623" t="inlineStr">
        <is>
          <t xml:space="preserve">LED/18'/верт </t>
        </is>
      </c>
      <c r="N3469" s="640" t="n"/>
      <c r="O3469" s="640">
        <f>IF(AND(N3469=1,L3469=1),K3469,"")</f>
        <v/>
      </c>
      <c r="P3469" s="642" t="inlineStr">
        <is>
          <t>Санкт-Петербург, Пискаревский пр., д. 2</t>
        </is>
      </c>
      <c r="Q3469" s="640" t="inlineStr">
        <is>
          <t>59.9596727</t>
        </is>
      </c>
      <c r="R3469" s="494" t="inlineStr">
        <is>
          <t>30.4063892</t>
        </is>
      </c>
      <c r="S3469" s="387">
        <f>'Цены|Скидки'!$E$25</f>
        <v/>
      </c>
      <c r="T3469" s="387">
        <f>IF(N3469=1,S3469*O3469,0)</f>
        <v/>
      </c>
      <c r="Z3469" s="1" t="n"/>
    </row>
    <row r="3470" hidden="1" ht="16.05" customHeight="1">
      <c r="A3470" s="125" t="n">
        <v>4148</v>
      </c>
      <c r="B3470" s="125" t="inlineStr">
        <is>
          <t>WF</t>
        </is>
      </c>
      <c r="C3470" s="130" t="inlineStr">
        <is>
          <t>Санкт-Петербург</t>
        </is>
      </c>
      <c r="D3470" s="130" t="inlineStr">
        <is>
          <t>Санкт-Петербург</t>
        </is>
      </c>
      <c r="E3470" s="130" t="inlineStr">
        <is>
          <t>A</t>
        </is>
      </c>
      <c r="F3470" s="130" t="inlineStr">
        <is>
          <t>Бизнес центр</t>
        </is>
      </c>
      <c r="G3470" s="130" t="inlineStr">
        <is>
          <t>Бизнес центр</t>
        </is>
      </c>
      <c r="H3470" s="131" t="n">
        <v>7179</v>
      </c>
      <c r="I3470" s="637" t="inlineStr">
        <is>
          <t>18_Зима</t>
        </is>
      </c>
      <c r="J3470" s="637" t="inlineStr">
        <is>
          <t>SPB_BC_18_Zima</t>
        </is>
      </c>
      <c r="K3470" s="640" t="n">
        <v>4</v>
      </c>
      <c r="L3470" s="640" t="n">
        <v>1</v>
      </c>
      <c r="M3470" s="623" t="inlineStr">
        <is>
          <t xml:space="preserve">LED/18'/верт </t>
        </is>
      </c>
      <c r="N3470" s="640" t="n"/>
      <c r="O3470" s="640">
        <f>IF(AND(N3470=1,L3470=1),K3470,"")</f>
        <v/>
      </c>
      <c r="P3470" s="642" t="inlineStr">
        <is>
          <t>Санкт-Петербург, Свердловская наб., д. 44</t>
        </is>
      </c>
      <c r="Q3470" s="640" t="inlineStr">
        <is>
          <t>59.96125</t>
        </is>
      </c>
      <c r="R3470" s="494" t="inlineStr">
        <is>
          <t>30.40183</t>
        </is>
      </c>
      <c r="S3470" s="387">
        <f>'Цены|Скидки'!$E$25</f>
        <v/>
      </c>
      <c r="T3470" s="387">
        <f>IF(N3470=1,S3470*O3470,0)</f>
        <v/>
      </c>
      <c r="Z3470" s="1" t="n"/>
    </row>
    <row r="3471" hidden="1" ht="16.05" customHeight="1">
      <c r="A3471" s="125" t="n">
        <v>4149</v>
      </c>
      <c r="B3471" s="125" t="inlineStr">
        <is>
          <t>WF</t>
        </is>
      </c>
      <c r="C3471" s="130" t="inlineStr">
        <is>
          <t>Санкт-Петербург</t>
        </is>
      </c>
      <c r="D3471" s="130" t="inlineStr">
        <is>
          <t>Санкт-Петербург</t>
        </is>
      </c>
      <c r="E3471" s="130" t="inlineStr">
        <is>
          <t>A</t>
        </is>
      </c>
      <c r="F3471" s="130" t="inlineStr">
        <is>
          <t>Бизнес центр</t>
        </is>
      </c>
      <c r="G3471" s="130" t="inlineStr">
        <is>
          <t>Бизнес центр</t>
        </is>
      </c>
      <c r="H3471" s="131" t="n">
        <v>8078</v>
      </c>
      <c r="I3471" s="637" t="inlineStr">
        <is>
          <t>18_Лангензипен</t>
        </is>
      </c>
      <c r="J3471" s="637" t="inlineStr">
        <is>
          <t>SPB_BC_18_Langenzipen</t>
        </is>
      </c>
      <c r="K3471" s="640" t="n">
        <v>4</v>
      </c>
      <c r="L3471" s="640" t="n">
        <v>1</v>
      </c>
      <c r="M3471" s="623" t="inlineStr">
        <is>
          <t xml:space="preserve">LED/18'/верт </t>
        </is>
      </c>
      <c r="N3471" s="640" t="n"/>
      <c r="O3471" s="640">
        <f>IF(AND(N3471=1,L3471=1),K3471,"")</f>
        <v/>
      </c>
      <c r="P3471" s="642" t="inlineStr">
        <is>
          <t>Санкт-Петербург, Дивенская ул., д. 1</t>
        </is>
      </c>
      <c r="Q3471" s="640" t="inlineStr">
        <is>
          <t>59.959282</t>
        </is>
      </c>
      <c r="R3471" s="494" t="inlineStr">
        <is>
          <t>30.319332</t>
        </is>
      </c>
      <c r="S3471" s="387">
        <f>'Цены|Скидки'!$E$25</f>
        <v/>
      </c>
      <c r="T3471" s="387">
        <f>IF(N3471=1,S3471*O3471,0)</f>
        <v/>
      </c>
      <c r="Z3471" s="1" t="n"/>
    </row>
    <row r="3472" hidden="1" ht="16.05" customHeight="1">
      <c r="A3472" s="125" t="n">
        <v>4150</v>
      </c>
      <c r="B3472" s="125" t="inlineStr">
        <is>
          <t>WF</t>
        </is>
      </c>
      <c r="C3472" s="130" t="inlineStr">
        <is>
          <t>Санкт-Петербург</t>
        </is>
      </c>
      <c r="D3472" s="130" t="inlineStr">
        <is>
          <t>Санкт-Петербург</t>
        </is>
      </c>
      <c r="E3472" s="130" t="inlineStr">
        <is>
          <t>A</t>
        </is>
      </c>
      <c r="F3472" s="130" t="inlineStr">
        <is>
          <t>Бизнес центр</t>
        </is>
      </c>
      <c r="G3472" s="130" t="inlineStr">
        <is>
          <t>Бизнес центр</t>
        </is>
      </c>
      <c r="H3472" s="131" t="n">
        <v>4594</v>
      </c>
      <c r="I3472" s="637" t="inlineStr">
        <is>
          <t>18_Лето</t>
        </is>
      </c>
      <c r="J3472" s="637" t="inlineStr">
        <is>
          <t>SPB_BC_18_Leto</t>
        </is>
      </c>
      <c r="K3472" s="640" t="n">
        <v>3</v>
      </c>
      <c r="L3472" s="640" t="n">
        <v>1</v>
      </c>
      <c r="M3472" s="623" t="inlineStr">
        <is>
          <t xml:space="preserve">LED/18'/верт </t>
        </is>
      </c>
      <c r="N3472" s="640" t="n"/>
      <c r="O3472" s="640">
        <f>IF(AND(N3472=1,L3472=1),K3472,"")</f>
        <v/>
      </c>
      <c r="P3472" s="642" t="inlineStr">
        <is>
          <t>Санкт-Петербург, Свердловская наб., д. 44Д</t>
        </is>
      </c>
      <c r="Q3472" s="640" t="inlineStr">
        <is>
          <t>59.96196</t>
        </is>
      </c>
      <c r="R3472" s="494" t="inlineStr">
        <is>
          <t>30.40222</t>
        </is>
      </c>
      <c r="S3472" s="387">
        <f>'Цены|Скидки'!$E$25</f>
        <v/>
      </c>
      <c r="T3472" s="387">
        <f>IF(N3472=1,S3472*O3472,0)</f>
        <v/>
      </c>
      <c r="Z3472" s="1" t="n"/>
    </row>
    <row r="3473" hidden="1" ht="16.05" customHeight="1">
      <c r="A3473" s="125" t="n">
        <v>4151</v>
      </c>
      <c r="B3473" s="125" t="inlineStr">
        <is>
          <t>WF</t>
        </is>
      </c>
      <c r="C3473" s="130" t="inlineStr">
        <is>
          <t>Санкт-Петербург</t>
        </is>
      </c>
      <c r="D3473" s="130" t="inlineStr">
        <is>
          <t>Санкт-Петербург</t>
        </is>
      </c>
      <c r="E3473" s="130" t="inlineStr">
        <is>
          <t>B+</t>
        </is>
      </c>
      <c r="F3473" s="130" t="inlineStr">
        <is>
          <t>Бизнес центр</t>
        </is>
      </c>
      <c r="G3473" s="130" t="inlineStr">
        <is>
          <t>Бизнес центр</t>
        </is>
      </c>
      <c r="H3473" s="131" t="n">
        <v>22838</v>
      </c>
      <c r="I3473" s="637" t="inlineStr">
        <is>
          <t>18_Обуховъ-Центр</t>
        </is>
      </c>
      <c r="J3473" s="637" t="inlineStr">
        <is>
          <t>SPB_BC_18_Obukhov_Tsentr</t>
        </is>
      </c>
      <c r="K3473" s="640" t="n">
        <v>6</v>
      </c>
      <c r="L3473" s="640" t="n">
        <v>1</v>
      </c>
      <c r="M3473" s="623" t="inlineStr">
        <is>
          <t xml:space="preserve">LED/18'/верт </t>
        </is>
      </c>
      <c r="N3473" s="640" t="n"/>
      <c r="O3473" s="640">
        <f>IF(AND(N3473=1,L3473=1),K3473,"")</f>
        <v/>
      </c>
      <c r="P3473" s="642" t="inlineStr">
        <is>
          <t>Санкт-Петербург, пр.Обуховской обороны, д.271, лит.А</t>
        </is>
      </c>
      <c r="Q3473" s="640" t="inlineStr">
        <is>
          <t>59.8516</t>
        </is>
      </c>
      <c r="R3473" s="494" t="inlineStr">
        <is>
          <t>30.47912</t>
        </is>
      </c>
      <c r="S3473" s="387">
        <f>'Цены|Скидки'!$E$25</f>
        <v/>
      </c>
      <c r="T3473" s="387">
        <f>IF(N3473=1,S3473*O3473,0)</f>
        <v/>
      </c>
      <c r="Z3473" s="1" t="n"/>
    </row>
    <row r="3474" hidden="1" ht="16.05" customHeight="1">
      <c r="A3474" s="125" t="n">
        <v>4152</v>
      </c>
      <c r="B3474" s="125" t="inlineStr">
        <is>
          <t>WF</t>
        </is>
      </c>
      <c r="C3474" s="130" t="inlineStr">
        <is>
          <t>Санкт-Петербург</t>
        </is>
      </c>
      <c r="D3474" s="130" t="inlineStr">
        <is>
          <t>Санкт-Петербург</t>
        </is>
      </c>
      <c r="E3474" s="130" t="inlineStr">
        <is>
          <t>A</t>
        </is>
      </c>
      <c r="F3474" s="130" t="inlineStr">
        <is>
          <t>Бизнес центр</t>
        </is>
      </c>
      <c r="G3474" s="130" t="inlineStr">
        <is>
          <t>Бизнес центр</t>
        </is>
      </c>
      <c r="H3474" s="131" t="n">
        <v>5145</v>
      </c>
      <c r="I3474" s="637" t="inlineStr">
        <is>
          <t>18_Осень</t>
        </is>
      </c>
      <c r="J3474" s="637" t="inlineStr">
        <is>
          <t>SPB_BC_18_Osen</t>
        </is>
      </c>
      <c r="K3474" s="640" t="n">
        <v>3</v>
      </c>
      <c r="L3474" s="640" t="n">
        <v>1</v>
      </c>
      <c r="M3474" s="623" t="inlineStr">
        <is>
          <t xml:space="preserve">LED/18'/верт </t>
        </is>
      </c>
      <c r="N3474" s="640" t="n"/>
      <c r="O3474" s="640">
        <f>IF(AND(N3474=1,L3474=1),K3474,"")</f>
        <v/>
      </c>
      <c r="P3474" s="642" t="inlineStr">
        <is>
          <t>Санкт-Петербург, Свердловская наб., д. 44Я</t>
        </is>
      </c>
      <c r="Q3474" s="640" t="inlineStr">
        <is>
          <t>59.96175</t>
        </is>
      </c>
      <c r="R3474" s="494" t="inlineStr">
        <is>
          <t>30.403149</t>
        </is>
      </c>
      <c r="S3474" s="387">
        <f>'Цены|Скидки'!$E$25</f>
        <v/>
      </c>
      <c r="T3474" s="387">
        <f>IF(N3474=1,S3474*O3474,0)</f>
        <v/>
      </c>
      <c r="Z3474" s="1" t="n"/>
    </row>
    <row r="3475" hidden="1" ht="16.05" customHeight="1">
      <c r="A3475" s="125" t="n">
        <v>4153</v>
      </c>
      <c r="B3475" s="125" t="inlineStr">
        <is>
          <t>WF</t>
        </is>
      </c>
      <c r="C3475" s="130" t="inlineStr">
        <is>
          <t>Санкт-Петербург</t>
        </is>
      </c>
      <c r="D3475" s="130" t="inlineStr">
        <is>
          <t>Санкт-Петербург</t>
        </is>
      </c>
      <c r="E3475" s="130" t="inlineStr">
        <is>
          <t>B+</t>
        </is>
      </c>
      <c r="F3475" s="130" t="inlineStr">
        <is>
          <t>Бизнес центр</t>
        </is>
      </c>
      <c r="G3475" s="130" t="inlineStr">
        <is>
          <t>Бизнес центр</t>
        </is>
      </c>
      <c r="H3475" s="131" t="n">
        <v>14700</v>
      </c>
      <c r="I3475" s="637" t="inlineStr">
        <is>
          <t>18_Т-4</t>
        </is>
      </c>
      <c r="J3475" s="637" t="inlineStr">
        <is>
          <t>SPB_BC_18_T_4</t>
        </is>
      </c>
      <c r="K3475" s="640" t="n">
        <v>4</v>
      </c>
      <c r="L3475" s="640" t="n">
        <v>1</v>
      </c>
      <c r="M3475" s="623" t="inlineStr">
        <is>
          <t xml:space="preserve">LED/18'/верт </t>
        </is>
      </c>
      <c r="N3475" s="640" t="n"/>
      <c r="O3475" s="640">
        <f>IF(AND(N3475=1,L3475=1),K3475,"")</f>
        <v/>
      </c>
      <c r="P3475" s="642" t="inlineStr">
        <is>
          <t>Санкт-Петербург, ул. Седова, д.12, лит.А</t>
        </is>
      </c>
      <c r="Q3475" s="640" t="inlineStr">
        <is>
          <t>59.90295</t>
        </is>
      </c>
      <c r="R3475" s="494" t="inlineStr">
        <is>
          <t>30.3986</t>
        </is>
      </c>
      <c r="S3475" s="387">
        <f>'Цены|Скидки'!$E$25</f>
        <v/>
      </c>
      <c r="T3475" s="387">
        <f>IF(N3475=1,S3475*O3475,0)</f>
        <v/>
      </c>
      <c r="Z3475" s="1" t="n"/>
    </row>
    <row r="3476" hidden="1" ht="16.05" customHeight="1">
      <c r="A3476" s="125" t="n">
        <v>4154</v>
      </c>
      <c r="B3476" s="125" t="inlineStr">
        <is>
          <t>WF</t>
        </is>
      </c>
      <c r="C3476" s="130" t="inlineStr">
        <is>
          <t>Санкт-Петербург</t>
        </is>
      </c>
      <c r="D3476" s="130" t="inlineStr">
        <is>
          <t>Санкт-Петербург</t>
        </is>
      </c>
      <c r="E3476" s="130" t="inlineStr">
        <is>
          <t>B+</t>
        </is>
      </c>
      <c r="F3476" s="130" t="inlineStr">
        <is>
          <t>Бизнес центр</t>
        </is>
      </c>
      <c r="G3476" s="130" t="inlineStr">
        <is>
          <t>Бизнес центр</t>
        </is>
      </c>
      <c r="H3476" s="131" t="n">
        <v>29531</v>
      </c>
      <c r="I3476" s="637" t="inlineStr">
        <is>
          <t>18_Эврика</t>
        </is>
      </c>
      <c r="J3476" s="637" t="inlineStr">
        <is>
          <t>SPB_BC_18_Evrika</t>
        </is>
      </c>
      <c r="K3476" s="640" t="n">
        <v>8</v>
      </c>
      <c r="L3476" s="640" t="n">
        <v>1</v>
      </c>
      <c r="M3476" s="623" t="inlineStr">
        <is>
          <t xml:space="preserve">LED/18'/верт </t>
        </is>
      </c>
      <c r="N3476" s="640" t="n"/>
      <c r="O3476" s="640">
        <f>IF(AND(N3476=1,L3476=1),K3476,"")</f>
        <v/>
      </c>
      <c r="P3476" s="642" t="inlineStr">
        <is>
          <t>Санкт-Петербург, ул. Седова, д.11, лит.А</t>
        </is>
      </c>
      <c r="Q3476" s="640" t="inlineStr">
        <is>
          <t>59.89966</t>
        </is>
      </c>
      <c r="R3476" s="494" t="inlineStr">
        <is>
          <t>30.40129</t>
        </is>
      </c>
      <c r="S3476" s="387">
        <f>'Цены|Скидки'!$E$25</f>
        <v/>
      </c>
      <c r="T3476" s="387">
        <f>IF(N3476=1,S3476*O3476,0)</f>
        <v/>
      </c>
      <c r="Z3476" s="1" t="n"/>
    </row>
    <row r="3477" hidden="1" ht="16.05" customHeight="1">
      <c r="A3477" s="125" t="n">
        <v>4155</v>
      </c>
      <c r="B3477" s="125" t="inlineStr">
        <is>
          <t>WF</t>
        </is>
      </c>
      <c r="C3477" s="130" t="inlineStr">
        <is>
          <t>Москва</t>
        </is>
      </c>
      <c r="D3477" s="130" t="inlineStr">
        <is>
          <t>Москва</t>
        </is>
      </c>
      <c r="E3477" s="130" t="inlineStr">
        <is>
          <t>A</t>
        </is>
      </c>
      <c r="F3477" s="130" t="inlineStr">
        <is>
          <t>Бизнес центр</t>
        </is>
      </c>
      <c r="G3477" s="130" t="inlineStr">
        <is>
          <t>Бизнес центр</t>
        </is>
      </c>
      <c r="H3477" s="131" t="n">
        <v>3438</v>
      </c>
      <c r="I3477" s="637" t="inlineStr">
        <is>
          <t xml:space="preserve">РТС Семеновский </t>
        </is>
      </c>
      <c r="J3477" s="637" t="inlineStr">
        <is>
          <t>MSK_BC_RTS_Semenovskiy</t>
        </is>
      </c>
      <c r="K3477" s="640" t="n">
        <v>2</v>
      </c>
      <c r="L3477" s="640" t="n">
        <v>1</v>
      </c>
      <c r="M3477" s="623" t="inlineStr">
        <is>
          <t>Samsung 43" вертикальный</t>
        </is>
      </c>
      <c r="N3477" s="640" t="n"/>
      <c r="O3477" s="640">
        <f>IF(AND(N3477=1,L3477=1),K3477,"")</f>
        <v/>
      </c>
      <c r="P3477" s="642" t="inlineStr">
        <is>
          <t>Москва, г. Москва ул. Ибрагимова д.31 корп.50</t>
        </is>
      </c>
      <c r="Q3477" s="640" t="inlineStr">
        <is>
          <t>55.788945</t>
        </is>
      </c>
      <c r="R3477" s="494" t="inlineStr">
        <is>
          <t>37.72926</t>
        </is>
      </c>
      <c r="S3477" s="387">
        <f>'Цены|Скидки'!$D$25</f>
        <v/>
      </c>
      <c r="T3477" s="387">
        <f>IF(N3477=1,S3477*O3477,0)</f>
        <v/>
      </c>
      <c r="Z3477" s="1" t="n"/>
    </row>
    <row r="3478" hidden="1" ht="16.05" customHeight="1">
      <c r="A3478" s="125" t="n">
        <v>4157</v>
      </c>
      <c r="B3478" s="125" t="inlineStr">
        <is>
          <t>WF</t>
        </is>
      </c>
      <c r="C3478" s="130" t="inlineStr">
        <is>
          <t>Москва</t>
        </is>
      </c>
      <c r="D3478" s="130" t="inlineStr">
        <is>
          <t>Москва</t>
        </is>
      </c>
      <c r="E3478" s="130" t="inlineStr">
        <is>
          <t>A</t>
        </is>
      </c>
      <c r="F3478" s="130" t="inlineStr">
        <is>
          <t>Бизнес центр</t>
        </is>
      </c>
      <c r="G3478" s="130" t="inlineStr">
        <is>
          <t>Бизнес центр</t>
        </is>
      </c>
      <c r="H3478" s="131" t="n">
        <v>11992</v>
      </c>
      <c r="I3478" s="637" t="inlineStr">
        <is>
          <t>Silver House</t>
        </is>
      </c>
      <c r="J3478" s="637" t="inlineStr">
        <is>
          <t>MSK_BC_Silver_House</t>
        </is>
      </c>
      <c r="K3478" s="640" t="n">
        <v>2</v>
      </c>
      <c r="L3478" s="640" t="n">
        <v>1</v>
      </c>
      <c r="M3478" s="623" t="inlineStr">
        <is>
          <t>Samsung 43" вертикальный</t>
        </is>
      </c>
      <c r="N3478" s="640" t="n"/>
      <c r="O3478" s="640">
        <f>IF(AND(N3478=1,L3478=1),K3478,"")</f>
        <v/>
      </c>
      <c r="P3478" s="642" t="inlineStr">
        <is>
          <t>Москва, г. Москва Проспект Вернадского 8А Здание А и Б</t>
        </is>
      </c>
      <c r="Q3478" s="640" t="inlineStr">
        <is>
          <t>55.68973</t>
        </is>
      </c>
      <c r="R3478" s="494" t="inlineStr">
        <is>
          <t>37.527148</t>
        </is>
      </c>
      <c r="S3478" s="387">
        <f>'Цены|Скидки'!$D$25</f>
        <v/>
      </c>
      <c r="T3478" s="387">
        <f>IF(N3478=1,S3478*O3478,0)</f>
        <v/>
      </c>
      <c r="Z3478" s="1" t="n"/>
    </row>
    <row r="3479" hidden="1" ht="16.05" customHeight="1">
      <c r="A3479" s="125" t="n">
        <v>4156</v>
      </c>
      <c r="B3479" s="125" t="inlineStr">
        <is>
          <t>WF</t>
        </is>
      </c>
      <c r="C3479" s="130" t="inlineStr">
        <is>
          <t>Москва</t>
        </is>
      </c>
      <c r="D3479" s="130" t="inlineStr">
        <is>
          <t>Москва</t>
        </is>
      </c>
      <c r="E3479" s="130" t="inlineStr">
        <is>
          <t>B+</t>
        </is>
      </c>
      <c r="F3479" s="130" t="inlineStr">
        <is>
          <t>Бизнес центр</t>
        </is>
      </c>
      <c r="G3479" s="130" t="inlineStr">
        <is>
          <t>Бизнес центр</t>
        </is>
      </c>
      <c r="H3479" s="131" t="n">
        <v>8266.666666666666</v>
      </c>
      <c r="I3479" s="637" t="inlineStr">
        <is>
          <t>РТС Измайловский</t>
        </is>
      </c>
      <c r="J3479" s="637" t="inlineStr">
        <is>
          <t>MSK_BC_RTS_Izmaylovskiy</t>
        </is>
      </c>
      <c r="K3479" s="640" t="n">
        <v>2</v>
      </c>
      <c r="L3479" s="640" t="n">
        <v>0</v>
      </c>
      <c r="M3479" s="640" t="inlineStr">
        <is>
          <t>ФОТО</t>
        </is>
      </c>
      <c r="N3479" s="640" t="n"/>
      <c r="O3479" s="640">
        <f>IF(AND(N3479=1,L3479=1),K3479,"")</f>
        <v/>
      </c>
      <c r="P3479" s="642" t="inlineStr">
        <is>
          <t>г. Москва 2-я Прядильная ул.д.1</t>
        </is>
      </c>
      <c r="Q3479" s="640" t="n">
        <v>55.795317</v>
      </c>
      <c r="R3479" s="422" t="n">
        <v>37.77131</v>
      </c>
      <c r="S3479" s="387">
        <f>'Цены|Скидки'!$D$25</f>
        <v/>
      </c>
      <c r="T3479" s="387">
        <f>IF(N3479=1,S3479*O3479,0)</f>
        <v/>
      </c>
      <c r="X3479" s="1" t="n"/>
      <c r="Y3479" s="1" t="n"/>
      <c r="Z3479" s="1" t="n"/>
    </row>
    <row r="3480" hidden="1" ht="16.05" customHeight="1">
      <c r="A3480" s="125" t="n">
        <v>4158</v>
      </c>
      <c r="B3480" s="125" t="inlineStr">
        <is>
          <t>WF</t>
        </is>
      </c>
      <c r="C3480" s="130" t="inlineStr">
        <is>
          <t>Москва</t>
        </is>
      </c>
      <c r="D3480" s="130" t="inlineStr">
        <is>
          <t>Москва</t>
        </is>
      </c>
      <c r="E3480" s="130" t="inlineStr">
        <is>
          <t>A+</t>
        </is>
      </c>
      <c r="F3480" s="130" t="inlineStr">
        <is>
          <t>Бизнес центр</t>
        </is>
      </c>
      <c r="G3480" s="130" t="inlineStr">
        <is>
          <t>Бизнес центр</t>
        </is>
      </c>
      <c r="H3480" s="131" t="n">
        <v>4273</v>
      </c>
      <c r="I3480" s="637" t="inlineStr">
        <is>
          <t xml:space="preserve">Удальцова Плаза </t>
        </is>
      </c>
      <c r="J3480" s="637" t="inlineStr">
        <is>
          <t>MSK_BC_Udalcova_Plaza</t>
        </is>
      </c>
      <c r="K3480" s="640" t="n">
        <v>2</v>
      </c>
      <c r="L3480" s="640" t="n">
        <v>1</v>
      </c>
      <c r="M3480" s="623" t="inlineStr">
        <is>
          <t>Samsung 32" + 43" вертикальный</t>
        </is>
      </c>
      <c r="N3480" s="640" t="n"/>
      <c r="O3480" s="640">
        <f>IF(AND(N3480=1,L3480=1),K3480,"")</f>
        <v/>
      </c>
      <c r="P3480" s="642" t="inlineStr">
        <is>
          <t xml:space="preserve">Москва, г. Москва ул. Удальцова д.1А </t>
        </is>
      </c>
      <c r="Q3480" s="640" t="n">
        <v>55.671057</v>
      </c>
      <c r="R3480" s="494" t="n">
        <v>37.518758</v>
      </c>
      <c r="S3480" s="387">
        <f>'Цены|Скидки'!$D$25</f>
        <v/>
      </c>
      <c r="T3480" s="387">
        <f>IF(N3480=1,S3480*O3480,0)</f>
        <v/>
      </c>
      <c r="Z3480" s="1" t="n"/>
    </row>
    <row r="3481" hidden="1" ht="16.05" customHeight="1">
      <c r="A3481" s="125" t="n">
        <v>4161</v>
      </c>
      <c r="B3481" s="125" t="inlineStr">
        <is>
          <t>WF</t>
        </is>
      </c>
      <c r="C3481" s="130" t="inlineStr">
        <is>
          <t>Москва</t>
        </is>
      </c>
      <c r="D3481" s="130" t="inlineStr">
        <is>
          <t>Москва</t>
        </is>
      </c>
      <c r="E3481" s="130" t="inlineStr">
        <is>
          <t>B</t>
        </is>
      </c>
      <c r="F3481" s="130" t="inlineStr">
        <is>
          <t>Бизнес центр</t>
        </is>
      </c>
      <c r="G3481" s="130" t="inlineStr">
        <is>
          <t>Бизнес центр</t>
        </is>
      </c>
      <c r="H3481" s="131" t="n">
        <v>28413</v>
      </c>
      <c r="I3481" s="637" t="inlineStr">
        <is>
          <t>Барклай Плаза</t>
        </is>
      </c>
      <c r="J3481" s="637" t="inlineStr">
        <is>
          <t>MSK_BC_Barklay_Plaza</t>
        </is>
      </c>
      <c r="K3481" s="640" t="n">
        <v>2</v>
      </c>
      <c r="L3481" s="640" t="n">
        <v>1</v>
      </c>
      <c r="M3481" s="623" t="inlineStr">
        <is>
          <t>Samsung 43" вертикальный</t>
        </is>
      </c>
      <c r="N3481" s="640" t="n"/>
      <c r="O3481" s="640">
        <f>IF(AND(N3481=1,L3481=1),K3481,"")</f>
        <v/>
      </c>
      <c r="P3481" s="642" t="inlineStr">
        <is>
          <t>Москва, ул. Барклая дом 6, строение 5</t>
        </is>
      </c>
      <c r="Q3481" s="640" t="inlineStr">
        <is>
          <t>55.73925</t>
        </is>
      </c>
      <c r="R3481" s="494" t="inlineStr">
        <is>
          <t>37.508229</t>
        </is>
      </c>
      <c r="S3481" s="387">
        <f>'Цены|Скидки'!$D$25</f>
        <v/>
      </c>
      <c r="T3481" s="387">
        <f>IF(N3481=1,S3481*O3481,0)</f>
        <v/>
      </c>
      <c r="Z3481" s="1" t="n"/>
    </row>
    <row r="3482" hidden="1" ht="16.05" customHeight="1">
      <c r="A3482" s="125" t="n">
        <v>4159</v>
      </c>
      <c r="B3482" s="791" t="n"/>
      <c r="C3482" s="130" t="inlineStr">
        <is>
          <t>Нижний Новгород</t>
        </is>
      </c>
      <c r="D3482" s="130" t="inlineStr">
        <is>
          <t>Нижегородская обл.</t>
        </is>
      </c>
      <c r="E3482" s="130" t="n"/>
      <c r="F3482" s="130" t="inlineStr">
        <is>
          <t>АЗС</t>
        </is>
      </c>
      <c r="G3482" s="130" t="inlineStr">
        <is>
          <t>Татнефть</t>
        </is>
      </c>
      <c r="H3482" s="131" t="n"/>
      <c r="I3482" s="637" t="inlineStr">
        <is>
          <t>594 (HOR)</t>
        </is>
      </c>
      <c r="J3482" s="637" t="inlineStr">
        <is>
          <t>TATN_594</t>
        </is>
      </c>
      <c r="K3482" s="640" t="n">
        <v>1</v>
      </c>
      <c r="L3482" s="640" t="n">
        <v>0</v>
      </c>
      <c r="M3482" s="640" t="inlineStr">
        <is>
          <t>Samsung 43" горизонтальный</t>
        </is>
      </c>
      <c r="N3482" s="640" t="n"/>
      <c r="O3482" s="640">
        <f>IF(AND(N3482=1,L3482=1),K3482,"")</f>
        <v/>
      </c>
      <c r="P3482" s="642" t="inlineStr">
        <is>
          <t>Нижегородская обл., г. Арзамас, ул. Победы стр. 2А</t>
        </is>
      </c>
      <c r="Q3482" s="640" t="n">
        <v>55.418011</v>
      </c>
      <c r="R3482" s="422" t="n">
        <v>43.813163</v>
      </c>
      <c r="X3482" s="1" t="n"/>
      <c r="Y3482" s="1" t="n"/>
      <c r="Z3482" s="1" t="n"/>
    </row>
    <row r="3483" hidden="1" ht="16.05" customHeight="1">
      <c r="A3483" s="125" t="n">
        <v>4160</v>
      </c>
      <c r="B3483" s="791" t="n"/>
      <c r="C3483" s="130" t="inlineStr">
        <is>
          <t>Липецк</t>
        </is>
      </c>
      <c r="D3483" s="130" t="inlineStr">
        <is>
          <t>Липецкая область</t>
        </is>
      </c>
      <c r="E3483" s="130" t="n"/>
      <c r="F3483" s="130" t="inlineStr">
        <is>
          <t>АЗС</t>
        </is>
      </c>
      <c r="G3483" s="130" t="inlineStr">
        <is>
          <t>Татнефть</t>
        </is>
      </c>
      <c r="H3483" s="131" t="n"/>
      <c r="I3483" s="637" t="inlineStr">
        <is>
          <t>595 (HOR)</t>
        </is>
      </c>
      <c r="J3483" s="637" t="inlineStr">
        <is>
          <t>TATN_595</t>
        </is>
      </c>
      <c r="K3483" s="640" t="n">
        <v>1</v>
      </c>
      <c r="L3483" s="640" t="n">
        <v>0</v>
      </c>
      <c r="M3483" s="640" t="inlineStr">
        <is>
          <t>Samsung 43" горизонтальный</t>
        </is>
      </c>
      <c r="N3483" s="640" t="n"/>
      <c r="O3483" s="640">
        <f>IF(AND(N3483=1,L3483=1),K3483,"")</f>
        <v/>
      </c>
      <c r="P3483" s="642" t="inlineStr">
        <is>
          <t>Липецкая обл., Хлевенский р-н, трасса М-4,  458 км</t>
        </is>
      </c>
      <c r="Q3483" s="640" t="inlineStr">
        <is>
          <t>52.144503</t>
        </is>
      </c>
      <c r="R3483" s="422" t="inlineStr">
        <is>
          <t>39.2014</t>
        </is>
      </c>
      <c r="X3483" s="1" t="n"/>
      <c r="Y3483" s="1" t="n"/>
      <c r="Z3483" s="1" t="n"/>
    </row>
    <row r="3484" hidden="1" ht="16.05" customHeight="1">
      <c r="A3484" s="125" t="n">
        <v>4162</v>
      </c>
      <c r="B3484" s="125" t="inlineStr">
        <is>
          <t>WF</t>
        </is>
      </c>
      <c r="C3484" s="130" t="inlineStr">
        <is>
          <t>Москва</t>
        </is>
      </c>
      <c r="D3484" s="130" t="inlineStr">
        <is>
          <t>Москва</t>
        </is>
      </c>
      <c r="E3484" s="130" t="inlineStr">
        <is>
          <t>A</t>
        </is>
      </c>
      <c r="F3484" s="130" t="inlineStr">
        <is>
          <t>Бизнес центр</t>
        </is>
      </c>
      <c r="G3484" s="130" t="inlineStr">
        <is>
          <t>Бизнес центр</t>
        </is>
      </c>
      <c r="H3484" s="131" t="n">
        <v>48300</v>
      </c>
      <c r="I3484" s="637" t="inlineStr">
        <is>
          <t>Авилон Плаза</t>
        </is>
      </c>
      <c r="J3484" s="637" t="inlineStr">
        <is>
          <t>MSK_BC_Avilon_Plaza</t>
        </is>
      </c>
      <c r="K3484" s="640" t="n">
        <v>4</v>
      </c>
      <c r="L3484" s="640" t="n">
        <v>1</v>
      </c>
      <c r="M3484" s="623" t="inlineStr">
        <is>
          <t>Samsung 43" вертикальный</t>
        </is>
      </c>
      <c r="N3484" s="640" t="n"/>
      <c r="O3484" s="640">
        <f>IF(AND(N3484=1,L3484=1),K3484,"")</f>
        <v/>
      </c>
      <c r="P3484" s="642" t="inlineStr">
        <is>
          <t>Москва, ул. Волгоградский проспект 43к3</t>
        </is>
      </c>
      <c r="Q3484" s="640" t="inlineStr">
        <is>
          <t>55.713988</t>
        </is>
      </c>
      <c r="R3484" s="494" t="inlineStr">
        <is>
          <t>37.71866</t>
        </is>
      </c>
      <c r="S3484" s="387">
        <f>'Цены|Скидки'!$D$25</f>
        <v/>
      </c>
      <c r="T3484" s="387">
        <f>IF(N3484=1,S3484*O3484,0)</f>
        <v/>
      </c>
      <c r="Z3484" s="1" t="n"/>
    </row>
    <row r="3485" hidden="1" ht="16.05" customHeight="1">
      <c r="A3485" s="125" t="n">
        <v>4163</v>
      </c>
      <c r="B3485" s="791" t="n"/>
      <c r="C3485" s="130" t="inlineStr">
        <is>
          <t>Санкт-Петербург</t>
        </is>
      </c>
      <c r="D3485" s="130" t="inlineStr">
        <is>
          <t>Санкт-Петербург</t>
        </is>
      </c>
      <c r="E3485" s="130" t="n"/>
      <c r="F3485" s="130" t="inlineStr">
        <is>
          <t>АЗС</t>
        </is>
      </c>
      <c r="G3485" s="130" t="inlineStr">
        <is>
          <t>Роснефть</t>
        </is>
      </c>
      <c r="H3485" s="131" t="n">
        <v>331</v>
      </c>
      <c r="I3485" s="637" t="inlineStr">
        <is>
          <t>331 Парголово-2</t>
        </is>
      </c>
      <c r="J3485" s="637" t="inlineStr">
        <is>
          <t>SPB_BP_331_Pargolovo2</t>
        </is>
      </c>
      <c r="K3485" s="640" t="n">
        <v>2</v>
      </c>
      <c r="L3485" s="640" t="n">
        <v>1</v>
      </c>
      <c r="M3485" s="623" t="inlineStr">
        <is>
          <t>Samsung 32" вертикальный</t>
        </is>
      </c>
      <c r="N3485" s="640" t="n"/>
      <c r="O3485" s="640">
        <f>IF(AND(N3485=1,L3485=1),K3485,"")</f>
        <v/>
      </c>
      <c r="P3485" s="642" t="inlineStr">
        <is>
          <t>Ленинградская область, Выборгское шоссе,д. 354 (пос. Парголово, слева от СПб)</t>
        </is>
      </c>
      <c r="Q3485" s="640" t="inlineStr">
        <is>
          <t>60.094682</t>
        </is>
      </c>
      <c r="R3485" s="494" t="inlineStr">
        <is>
          <t>30.254606</t>
        </is>
      </c>
      <c r="Z3485" s="1" t="n"/>
    </row>
    <row r="3486" hidden="1" ht="16.05" customHeight="1">
      <c r="A3486" s="125" t="n">
        <v>4164</v>
      </c>
      <c r="B3486" s="791" t="n"/>
      <c r="C3486" s="130" t="inlineStr">
        <is>
          <t>Санкт-Петербург</t>
        </is>
      </c>
      <c r="D3486" s="130" t="inlineStr">
        <is>
          <t>Санкт-Петербург</t>
        </is>
      </c>
      <c r="E3486" s="130" t="n"/>
      <c r="F3486" s="130" t="inlineStr">
        <is>
          <t>АЗС</t>
        </is>
      </c>
      <c r="G3486" s="130" t="inlineStr">
        <is>
          <t>Роснефть</t>
        </is>
      </c>
      <c r="H3486" s="131" t="n">
        <v>380</v>
      </c>
      <c r="I3486" s="637" t="inlineStr">
        <is>
          <t>380 Кима</t>
        </is>
      </c>
      <c r="J3486" s="637" t="inlineStr">
        <is>
          <t>SPB_BP_380_Kima</t>
        </is>
      </c>
      <c r="K3486" s="640" t="n">
        <v>2</v>
      </c>
      <c r="L3486" s="640" t="n">
        <v>1</v>
      </c>
      <c r="M3486" s="623" t="inlineStr">
        <is>
          <t>Samsung 32" вертикальный</t>
        </is>
      </c>
      <c r="N3486" s="640" t="n"/>
      <c r="O3486" s="640">
        <f>IF(AND(N3486=1,L3486=1),K3486,"")</f>
        <v/>
      </c>
      <c r="P3486" s="642" t="inlineStr">
        <is>
          <t>г. Санкт-Петербург, пр-т КИМа, 32А</t>
        </is>
      </c>
      <c r="Q3486" s="640" t="inlineStr">
        <is>
          <t>59.955664</t>
        </is>
      </c>
      <c r="R3486" s="494" t="inlineStr">
        <is>
          <t>30.241536</t>
        </is>
      </c>
      <c r="Z3486" s="1" t="n"/>
    </row>
    <row r="3487" hidden="1" ht="16.05" customHeight="1">
      <c r="A3487" s="125" t="n">
        <v>4165</v>
      </c>
      <c r="B3487" s="791" t="n"/>
      <c r="C3487" s="130" t="inlineStr">
        <is>
          <t>Саратов</t>
        </is>
      </c>
      <c r="D3487" s="130" t="inlineStr">
        <is>
          <t>Саратов</t>
        </is>
      </c>
      <c r="E3487" s="130" t="n"/>
      <c r="F3487" s="130" t="inlineStr">
        <is>
          <t>АЗС</t>
        </is>
      </c>
      <c r="G3487" s="130" t="inlineStr">
        <is>
          <t>Роснефть</t>
        </is>
      </c>
      <c r="H3487" s="131" t="n"/>
      <c r="I3487" s="637" t="inlineStr">
        <is>
          <t>TNK_88</t>
        </is>
      </c>
      <c r="J3487" s="637" t="inlineStr">
        <is>
          <t>SRT_TNK_0088</t>
        </is>
      </c>
      <c r="K3487" s="640" t="n">
        <v>1</v>
      </c>
      <c r="L3487" s="640" t="n">
        <v>1</v>
      </c>
      <c r="M3487" s="623" t="inlineStr">
        <is>
          <t>Samsung 32" вертикальный</t>
        </is>
      </c>
      <c r="N3487" s="640" t="n"/>
      <c r="O3487" s="640">
        <f>IF(AND(N3487=1,L3487=1),K3487,"")</f>
        <v/>
      </c>
      <c r="P3487" s="642" t="inlineStr">
        <is>
          <t>Саратов, ул.Симбирская, б/н  (Саратов, ул.Симбирская, 154Б)</t>
        </is>
      </c>
      <c r="Q3487" s="640" t="inlineStr">
        <is>
          <t>51.556882</t>
        </is>
      </c>
      <c r="R3487" s="494" t="inlineStr">
        <is>
          <t>46.042965</t>
        </is>
      </c>
      <c r="Z3487" s="1" t="n"/>
    </row>
    <row r="3488" hidden="1" ht="16.05" customHeight="1">
      <c r="A3488" s="125" t="n">
        <v>4166</v>
      </c>
      <c r="B3488" s="125" t="inlineStr">
        <is>
          <t>WF</t>
        </is>
      </c>
      <c r="C3488" s="130" t="inlineStr">
        <is>
          <t>Москва</t>
        </is>
      </c>
      <c r="D3488" s="130" t="inlineStr">
        <is>
          <t>Москва</t>
        </is>
      </c>
      <c r="E3488" s="130" t="inlineStr">
        <is>
          <t>B+</t>
        </is>
      </c>
      <c r="F3488" s="130" t="inlineStr">
        <is>
          <t>Бизнес центр</t>
        </is>
      </c>
      <c r="G3488" s="130" t="inlineStr">
        <is>
          <t>Бизнес центр</t>
        </is>
      </c>
      <c r="H3488" s="131" t="n">
        <v>72007</v>
      </c>
      <c r="I3488" s="637" t="inlineStr">
        <is>
          <t>Магистраль плаза</t>
        </is>
      </c>
      <c r="J3488" s="637" t="inlineStr">
        <is>
          <t>MSK_BC_Magistral_Plaza</t>
        </is>
      </c>
      <c r="K3488" s="640" t="n">
        <v>4</v>
      </c>
      <c r="L3488" s="640" t="n">
        <v>1</v>
      </c>
      <c r="M3488" s="623" t="inlineStr">
        <is>
          <t>Samsung 43" вертикальный</t>
        </is>
      </c>
      <c r="N3488" s="640" t="n"/>
      <c r="O3488" s="640">
        <f>IF(AND(N3488=1,L3488=1),K3488,"")</f>
        <v/>
      </c>
      <c r="P3488" s="642" t="inlineStr">
        <is>
          <t>Москва, г. Москва, 1й Магистральный тупик 5а</t>
        </is>
      </c>
      <c r="Q3488" s="640" t="inlineStr">
        <is>
          <t>55.766131</t>
        </is>
      </c>
      <c r="R3488" s="494" t="inlineStr">
        <is>
          <t>37.531954</t>
        </is>
      </c>
      <c r="S3488" s="387">
        <f>'Цены|Скидки'!$D$25</f>
        <v/>
      </c>
      <c r="T3488" s="387">
        <f>IF(N3488=1,S3488*O3488,0)</f>
        <v/>
      </c>
      <c r="Z3488" s="1" t="n"/>
    </row>
    <row r="3489" hidden="1" ht="16.05" customHeight="1">
      <c r="A3489" s="125" t="n">
        <v>4167</v>
      </c>
      <c r="B3489" s="125" t="inlineStr">
        <is>
          <t>WF</t>
        </is>
      </c>
      <c r="C3489" s="130" t="inlineStr">
        <is>
          <t>Москва</t>
        </is>
      </c>
      <c r="D3489" s="130" t="inlineStr">
        <is>
          <t>Москва</t>
        </is>
      </c>
      <c r="E3489" s="130" t="inlineStr">
        <is>
          <t>B+</t>
        </is>
      </c>
      <c r="F3489" s="130" t="inlineStr">
        <is>
          <t>Бизнес центр</t>
        </is>
      </c>
      <c r="G3489" s="130" t="inlineStr">
        <is>
          <t>Бизнес центр</t>
        </is>
      </c>
      <c r="H3489" s="131" t="n">
        <v>47894</v>
      </c>
      <c r="I3489" s="637" t="inlineStr">
        <is>
          <t>Victory park</t>
        </is>
      </c>
      <c r="J3489" s="637" t="inlineStr">
        <is>
          <t>MSK_BC_Victory_park</t>
        </is>
      </c>
      <c r="K3489" s="640" t="n">
        <v>2</v>
      </c>
      <c r="L3489" s="640" t="n">
        <v>1</v>
      </c>
      <c r="M3489" s="623" t="inlineStr">
        <is>
          <t>Samsung 43" вертикальный</t>
        </is>
      </c>
      <c r="N3489" s="640" t="n"/>
      <c r="O3489" s="640">
        <f>IF(AND(N3489=1,L3489=1),K3489,"")</f>
        <v/>
      </c>
      <c r="P3489" s="642" t="inlineStr">
        <is>
          <t>Москва, г. Москва, Минская улица 2Ж</t>
        </is>
      </c>
      <c r="Q3489" s="640" t="inlineStr">
        <is>
          <t>55.724079</t>
        </is>
      </c>
      <c r="R3489" s="494" t="inlineStr">
        <is>
          <t>37.504582</t>
        </is>
      </c>
      <c r="S3489" s="387">
        <f>'Цены|Скидки'!$D$25</f>
        <v/>
      </c>
      <c r="T3489" s="387">
        <f>IF(N3489=1,S3489*O3489,0)</f>
        <v/>
      </c>
      <c r="Z3489" s="1" t="n"/>
    </row>
    <row r="3490" hidden="1" ht="16.05" customHeight="1">
      <c r="A3490" s="125" t="n">
        <v>4168</v>
      </c>
      <c r="B3490" s="125" t="inlineStr">
        <is>
          <t>WF</t>
        </is>
      </c>
      <c r="C3490" s="130" t="inlineStr">
        <is>
          <t>Москва</t>
        </is>
      </c>
      <c r="D3490" s="130" t="inlineStr">
        <is>
          <t>Москва</t>
        </is>
      </c>
      <c r="E3490" s="130" t="inlineStr">
        <is>
          <t>B+</t>
        </is>
      </c>
      <c r="F3490" s="130" t="inlineStr">
        <is>
          <t>Бизнес центр</t>
        </is>
      </c>
      <c r="G3490" s="130" t="inlineStr">
        <is>
          <t>Бизнес центр</t>
        </is>
      </c>
      <c r="H3490" s="131" t="n">
        <v>52650</v>
      </c>
      <c r="I3490" s="637" t="inlineStr">
        <is>
          <t>West park</t>
        </is>
      </c>
      <c r="J3490" s="637" t="inlineStr">
        <is>
          <t>MSK_BC_West_Park</t>
        </is>
      </c>
      <c r="K3490" s="640" t="n">
        <v>1</v>
      </c>
      <c r="L3490" s="640" t="n">
        <v>1</v>
      </c>
      <c r="M3490" s="623" t="inlineStr">
        <is>
          <t>Samsung 43" вертикальный</t>
        </is>
      </c>
      <c r="N3490" s="640" t="n"/>
      <c r="O3490" s="640">
        <f>IF(AND(N3490=1,L3490=1),K3490,"")</f>
        <v/>
      </c>
      <c r="P3490" s="642" t="inlineStr">
        <is>
          <t>Москва, г. Москва, Очаковское шоссе д.34</t>
        </is>
      </c>
      <c r="Q3490" s="640" t="inlineStr">
        <is>
          <t>55.686731</t>
        </is>
      </c>
      <c r="R3490" s="494" t="inlineStr">
        <is>
          <t>37.440496</t>
        </is>
      </c>
      <c r="S3490" s="387">
        <f>'Цены|Скидки'!$D$25</f>
        <v/>
      </c>
      <c r="T3490" s="387">
        <f>IF(N3490=1,S3490*O3490,0)</f>
        <v/>
      </c>
      <c r="Z3490" s="1" t="n"/>
    </row>
    <row r="3491" hidden="1" ht="16.05" customHeight="1">
      <c r="A3491" s="125" t="n">
        <v>4169</v>
      </c>
      <c r="B3491" s="125" t="inlineStr">
        <is>
          <t>WF</t>
        </is>
      </c>
      <c r="C3491" s="130" t="inlineStr">
        <is>
          <t>Москва</t>
        </is>
      </c>
      <c r="D3491" s="130" t="inlineStr">
        <is>
          <t>Москва</t>
        </is>
      </c>
      <c r="E3491" s="130" t="n"/>
      <c r="F3491" s="130" t="inlineStr">
        <is>
          <t>Супермаркет</t>
        </is>
      </c>
      <c r="G3491" s="130" t="inlineStr">
        <is>
          <t>Азбука Вкуса</t>
        </is>
      </c>
      <c r="H3491" s="131" t="n"/>
      <c r="I3491" s="637" t="inlineStr">
        <is>
          <t>167_Daily</t>
        </is>
      </c>
      <c r="J3491" s="637" t="inlineStr">
        <is>
          <t>MSK_D_167</t>
        </is>
      </c>
      <c r="K3491" s="640" t="n">
        <v>1</v>
      </c>
      <c r="L3491" s="640" t="n">
        <v>1</v>
      </c>
      <c r="M3491" s="623" t="inlineStr">
        <is>
          <t>Samsung 43" вертикальный</t>
        </is>
      </c>
      <c r="N3491" s="640" t="n"/>
      <c r="O3491" s="640">
        <f>IF(AND(N3491=1,L3491=1),K3491,"")</f>
        <v/>
      </c>
      <c r="P3491" s="642" t="inlineStr">
        <is>
          <t>Москва Страстной бульвар 6с1</t>
        </is>
      </c>
      <c r="Q3491" s="640" t="inlineStr">
        <is>
          <t>55.765716</t>
        </is>
      </c>
      <c r="R3491" s="494" t="inlineStr">
        <is>
          <t>37.608643</t>
        </is>
      </c>
      <c r="S3491" s="387" t="n">
        <v>24</v>
      </c>
      <c r="T3491" s="436">
        <f>IF(N3491=1,O3491*S3491,"")</f>
        <v/>
      </c>
      <c r="Z3491" s="1" t="n"/>
    </row>
    <row r="3492" hidden="1" ht="16.05" customHeight="1">
      <c r="A3492" s="125" t="n">
        <v>4170</v>
      </c>
      <c r="B3492" s="125" t="inlineStr">
        <is>
          <t>WF</t>
        </is>
      </c>
      <c r="C3492" s="130" t="inlineStr">
        <is>
          <t>Москва</t>
        </is>
      </c>
      <c r="D3492" s="130" t="inlineStr">
        <is>
          <t>Москва</t>
        </is>
      </c>
      <c r="E3492" s="130" t="inlineStr">
        <is>
          <t>B+</t>
        </is>
      </c>
      <c r="F3492" s="130" t="inlineStr">
        <is>
          <t>Бизнес центр</t>
        </is>
      </c>
      <c r="G3492" s="130" t="inlineStr">
        <is>
          <t>Бизнес центр</t>
        </is>
      </c>
      <c r="H3492" s="131" t="n">
        <v>16820</v>
      </c>
      <c r="I3492" s="637" t="inlineStr">
        <is>
          <t>West plaza 1</t>
        </is>
      </c>
      <c r="J3492" s="637" t="inlineStr">
        <is>
          <t>MSK_BC_West_Plaza_1</t>
        </is>
      </c>
      <c r="K3492" s="640" t="n">
        <v>1</v>
      </c>
      <c r="L3492" s="640" t="n">
        <v>1</v>
      </c>
      <c r="M3492" s="623" t="inlineStr">
        <is>
          <t>Samsung 43" вертикальный</t>
        </is>
      </c>
      <c r="N3492" s="640" t="n"/>
      <c r="O3492" s="640">
        <f>IF(AND(N3492=1,L3492=1),K3492,"")</f>
        <v/>
      </c>
      <c r="P3492" s="642" t="inlineStr">
        <is>
          <t>Москва, г. Москва, Рябиновая ул. 26с1</t>
        </is>
      </c>
      <c r="Q3492" s="640" t="inlineStr">
        <is>
          <t>55.695002</t>
        </is>
      </c>
      <c r="R3492" s="494" t="inlineStr">
        <is>
          <t>37.422728</t>
        </is>
      </c>
      <c r="S3492" s="387">
        <f>'Цены|Скидки'!$D$25</f>
        <v/>
      </c>
      <c r="T3492" s="387">
        <f>IF(N3492=1,S3492*O3492,0)</f>
        <v/>
      </c>
      <c r="U3492" s="436" t="n">
        <v>1</v>
      </c>
      <c r="V3492" s="438">
        <f>IF(AND(N3492=1,U3492=1),C3492,"")</f>
        <v/>
      </c>
      <c r="Z3492" s="1" t="n"/>
    </row>
    <row r="3493" hidden="1" ht="16.05" customHeight="1">
      <c r="A3493" s="125" t="n">
        <v>4171</v>
      </c>
      <c r="B3493" s="125" t="inlineStr">
        <is>
          <t>WF</t>
        </is>
      </c>
      <c r="C3493" s="130" t="inlineStr">
        <is>
          <t>Москва</t>
        </is>
      </c>
      <c r="D3493" s="130" t="inlineStr">
        <is>
          <t>Москва</t>
        </is>
      </c>
      <c r="E3493" s="130" t="inlineStr">
        <is>
          <t>B+</t>
        </is>
      </c>
      <c r="F3493" s="130" t="inlineStr">
        <is>
          <t>Бизнес центр</t>
        </is>
      </c>
      <c r="G3493" s="130" t="inlineStr">
        <is>
          <t>Бизнес центр</t>
        </is>
      </c>
      <c r="H3493" s="131" t="n">
        <v>16820</v>
      </c>
      <c r="I3493" s="637" t="inlineStr">
        <is>
          <t>West plaza 2</t>
        </is>
      </c>
      <c r="J3493" s="637" t="inlineStr">
        <is>
          <t>MSK_BC_West_Plaza_2</t>
        </is>
      </c>
      <c r="K3493" s="640" t="n">
        <v>1</v>
      </c>
      <c r="L3493" s="640" t="n">
        <v>0</v>
      </c>
      <c r="M3493" s="640" t="inlineStr">
        <is>
          <t>Samsung 43" вертикальный</t>
        </is>
      </c>
      <c r="N3493" s="640" t="n"/>
      <c r="O3493" s="640">
        <f>IF(AND(N3493=1,L3493=1),K3493,"")</f>
        <v/>
      </c>
      <c r="P3493" s="642" t="inlineStr">
        <is>
          <t>г. Москва, Рябиновая ул. 26с2</t>
        </is>
      </c>
      <c r="Q3493" s="640" t="inlineStr">
        <is>
          <t>55.695575</t>
        </is>
      </c>
      <c r="R3493" s="494" t="inlineStr">
        <is>
          <t>37.421838</t>
        </is>
      </c>
      <c r="S3493" s="387">
        <f>'Цены|Скидки'!$D$25</f>
        <v/>
      </c>
      <c r="T3493" s="387">
        <f>IF(N3493=1,S3493*O3493,0)</f>
        <v/>
      </c>
      <c r="Z3493" s="1" t="n"/>
    </row>
    <row r="3494" hidden="1" ht="16.05" customHeight="1">
      <c r="A3494" s="125" t="n">
        <v>4172</v>
      </c>
      <c r="B3494" s="125" t="inlineStr">
        <is>
          <t>WF</t>
        </is>
      </c>
      <c r="C3494" s="130" t="inlineStr">
        <is>
          <t>Москва</t>
        </is>
      </c>
      <c r="D3494" s="130" t="inlineStr">
        <is>
          <t>Москва</t>
        </is>
      </c>
      <c r="E3494" s="130" t="inlineStr">
        <is>
          <t>B+</t>
        </is>
      </c>
      <c r="F3494" s="130" t="inlineStr">
        <is>
          <t>Бизнес центр</t>
        </is>
      </c>
      <c r="G3494" s="130" t="inlineStr">
        <is>
          <t>Бизнес центр</t>
        </is>
      </c>
      <c r="H3494" s="131" t="n">
        <v>13307</v>
      </c>
      <c r="I3494" s="637" t="inlineStr">
        <is>
          <t>Z plaza</t>
        </is>
      </c>
      <c r="J3494" s="637" t="inlineStr">
        <is>
          <t>MSK_BC_Z_Plaza</t>
        </is>
      </c>
      <c r="K3494" s="640" t="n">
        <v>1</v>
      </c>
      <c r="L3494" s="640" t="n">
        <v>1</v>
      </c>
      <c r="M3494" s="623" t="inlineStr">
        <is>
          <t>Samsung 43" вертикальный</t>
        </is>
      </c>
      <c r="N3494" s="640" t="n"/>
      <c r="O3494" s="640">
        <f>IF(AND(N3494=1,L3494=1),K3494,"")</f>
        <v/>
      </c>
      <c r="P3494" s="642" t="inlineStr">
        <is>
          <t>Москва, г. Москва, Большая Новодмитровская 23 с3</t>
        </is>
      </c>
      <c r="Q3494" s="640" t="inlineStr">
        <is>
          <t>55.802953</t>
        </is>
      </c>
      <c r="R3494" s="494" t="inlineStr">
        <is>
          <t>37.583742</t>
        </is>
      </c>
      <c r="S3494" s="387">
        <f>'Цены|Скидки'!$D$25</f>
        <v/>
      </c>
      <c r="T3494" s="387">
        <f>IF(N3494=1,S3494*O3494,0)</f>
        <v/>
      </c>
      <c r="Z3494" s="1" t="n"/>
    </row>
    <row r="3495" hidden="1" ht="16.05" customHeight="1">
      <c r="A3495" s="125" t="n">
        <v>4173</v>
      </c>
      <c r="B3495" s="125" t="inlineStr">
        <is>
          <t>WF</t>
        </is>
      </c>
      <c r="C3495" s="130" t="inlineStr">
        <is>
          <t>Москва</t>
        </is>
      </c>
      <c r="D3495" s="130" t="inlineStr">
        <is>
          <t>Москва</t>
        </is>
      </c>
      <c r="E3495" s="130" t="inlineStr">
        <is>
          <t>B</t>
        </is>
      </c>
      <c r="F3495" s="130" t="inlineStr">
        <is>
          <t>Бизнес центр</t>
        </is>
      </c>
      <c r="G3495" s="130" t="inlineStr">
        <is>
          <t>Бизнес центр</t>
        </is>
      </c>
      <c r="H3495" s="131" t="n">
        <v>14265</v>
      </c>
      <c r="I3495" s="637" t="inlineStr">
        <is>
          <t>РТС Алтуфьевский</t>
        </is>
      </c>
      <c r="J3495" s="637" t="inlineStr">
        <is>
          <t>MSK_BC_RTS_R_Style</t>
        </is>
      </c>
      <c r="K3495" s="640" t="n">
        <v>2</v>
      </c>
      <c r="L3495" s="640" t="n">
        <v>1</v>
      </c>
      <c r="M3495" s="623" t="inlineStr">
        <is>
          <t>Samsung 43" вертикальный</t>
        </is>
      </c>
      <c r="N3495" s="640" t="n"/>
      <c r="O3495" s="640">
        <f>IF(AND(N3495=1,L3495=1),K3495,"")</f>
        <v/>
      </c>
      <c r="P3495" s="642" t="inlineStr">
        <is>
          <t>Москва, г. Москва, Пришвина 8 к. 1-2</t>
        </is>
      </c>
      <c r="Q3495" s="640" t="inlineStr">
        <is>
          <t>55.889048</t>
        </is>
      </c>
      <c r="R3495" s="494" t="inlineStr">
        <is>
          <t>37.59427</t>
        </is>
      </c>
      <c r="S3495" s="387">
        <f>'Цены|Скидки'!$D$25</f>
        <v/>
      </c>
      <c r="T3495" s="387">
        <f>IF(N3495=1,S3495*O3495,0)</f>
        <v/>
      </c>
      <c r="Z3495" s="1" t="n"/>
    </row>
    <row r="3496" hidden="1" ht="16.05" customHeight="1">
      <c r="A3496" s="125" t="n">
        <v>4174</v>
      </c>
      <c r="B3496" s="125" t="inlineStr">
        <is>
          <t>WF</t>
        </is>
      </c>
      <c r="C3496" s="130" t="inlineStr">
        <is>
          <t>Москва</t>
        </is>
      </c>
      <c r="D3496" s="130" t="inlineStr">
        <is>
          <t>Московская область</t>
        </is>
      </c>
      <c r="E3496" s="130" t="inlineStr">
        <is>
          <t>B</t>
        </is>
      </c>
      <c r="F3496" s="130" t="inlineStr">
        <is>
          <t>Бизнес центр</t>
        </is>
      </c>
      <c r="G3496" s="130" t="inlineStr">
        <is>
          <t>Бизнес центр</t>
        </is>
      </c>
      <c r="H3496" s="131" t="n">
        <v>8863</v>
      </c>
      <c r="I3496" s="637" t="inlineStr">
        <is>
          <t xml:space="preserve">Line Park </t>
        </is>
      </c>
      <c r="J3496" s="637" t="inlineStr">
        <is>
          <t>MSK_BC_Line_Park</t>
        </is>
      </c>
      <c r="K3496" s="640" t="n">
        <v>1</v>
      </c>
      <c r="L3496" s="640" t="n">
        <v>1</v>
      </c>
      <c r="M3496" s="623" t="inlineStr">
        <is>
          <t>Samsung 43" вертикальный</t>
        </is>
      </c>
      <c r="N3496" s="640" t="n"/>
      <c r="O3496" s="640">
        <f>IF(AND(N3496=1,L3496=1),K3496,"")</f>
        <v/>
      </c>
      <c r="P3496" s="642" t="inlineStr">
        <is>
          <t>Московская область, МО, Одинцово, ул. Молодежная ул. 46 стр. 1</t>
        </is>
      </c>
      <c r="Q3496" s="640" t="inlineStr">
        <is>
          <t>55.677631</t>
        </is>
      </c>
      <c r="R3496" s="494" t="inlineStr">
        <is>
          <t>37.272125</t>
        </is>
      </c>
      <c r="S3496" s="387">
        <f>'Цены|Скидки'!$D$25</f>
        <v/>
      </c>
      <c r="T3496" s="387">
        <f>IF(N3496=1,S3496*O3496,0)</f>
        <v/>
      </c>
      <c r="Z3496" s="1" t="n"/>
    </row>
    <row r="3497" hidden="1" ht="16.05" customHeight="1">
      <c r="A3497" s="125" t="n">
        <v>4175</v>
      </c>
      <c r="B3497" s="125" t="inlineStr">
        <is>
          <t>WF</t>
        </is>
      </c>
      <c r="C3497" s="130" t="inlineStr">
        <is>
          <t>Москва</t>
        </is>
      </c>
      <c r="D3497" s="130" t="inlineStr">
        <is>
          <t>Московская область</t>
        </is>
      </c>
      <c r="E3497" s="130" t="inlineStr">
        <is>
          <t>A</t>
        </is>
      </c>
      <c r="F3497" s="130" t="inlineStr">
        <is>
          <t>Бизнес центр</t>
        </is>
      </c>
      <c r="G3497" s="130" t="inlineStr">
        <is>
          <t>Бизнес центр</t>
        </is>
      </c>
      <c r="H3497" s="131" t="n">
        <v>7087</v>
      </c>
      <c r="I3497" s="637" t="inlineStr">
        <is>
          <t>West East Б</t>
        </is>
      </c>
      <c r="J3497" s="637" t="inlineStr">
        <is>
          <t>MSK_BC_West_East_B</t>
        </is>
      </c>
      <c r="K3497" s="640" t="n">
        <v>1</v>
      </c>
      <c r="L3497" s="640" t="n">
        <v>1</v>
      </c>
      <c r="M3497" s="623" t="inlineStr">
        <is>
          <t>Samsung 43" вертикальный</t>
        </is>
      </c>
      <c r="N3497" s="640" t="n"/>
      <c r="O3497" s="640">
        <f>IF(AND(N3497=1,L3497=1),K3497,"")</f>
        <v/>
      </c>
      <c r="P3497" s="642" t="inlineStr">
        <is>
          <t>Московская область, МО, Одинцово, ул. Маршала Неделина, 6Б</t>
        </is>
      </c>
      <c r="Q3497" s="640" t="inlineStr">
        <is>
          <t>55.677986</t>
        </is>
      </c>
      <c r="R3497" s="494" t="inlineStr">
        <is>
          <t>37.268891</t>
        </is>
      </c>
      <c r="S3497" s="387">
        <f>'Цены|Скидки'!$D$25</f>
        <v/>
      </c>
      <c r="T3497" s="387">
        <f>IF(N3497=1,S3497*O3497,0)</f>
        <v/>
      </c>
      <c r="Z3497" s="1" t="n"/>
    </row>
    <row r="3498" hidden="1" ht="16.05" customHeight="1">
      <c r="A3498" s="125" t="n">
        <v>4176</v>
      </c>
      <c r="B3498" s="791" t="n"/>
      <c r="C3498" s="130" t="inlineStr">
        <is>
          <t>Москва</t>
        </is>
      </c>
      <c r="D3498" s="130" t="inlineStr">
        <is>
          <t>Москва</t>
        </is>
      </c>
      <c r="E3498" s="130" t="inlineStr">
        <is>
          <t>PREMIUM</t>
        </is>
      </c>
      <c r="F3498" s="130" t="inlineStr">
        <is>
          <t>Фитнес</t>
        </is>
      </c>
      <c r="G3498" s="130" t="inlineStr">
        <is>
          <t>С.С.С.Р</t>
        </is>
      </c>
      <c r="H3498" s="131" t="n">
        <v>12000</v>
      </c>
      <c r="I3498" s="637" t="inlineStr">
        <is>
          <t>СССР Мытищи</t>
        </is>
      </c>
      <c r="J3498" s="637" t="inlineStr">
        <is>
          <t>MSC_SSSR_Volkovskoe</t>
        </is>
      </c>
      <c r="K3498" s="640" t="n">
        <v>1</v>
      </c>
      <c r="L3498" s="640" t="n">
        <v>1</v>
      </c>
      <c r="M3498" s="623" t="inlineStr">
        <is>
          <t>ФОТО</t>
        </is>
      </c>
      <c r="N3498" s="640" t="n"/>
      <c r="O3498" s="640">
        <f>IF(AND(N3498=1,L3498=1),K3498,"")</f>
        <v/>
      </c>
      <c r="P3498" s="642" t="inlineStr">
        <is>
          <t>Москва, Мытищи Волковское шоссе 23Г</t>
        </is>
      </c>
      <c r="Q3498" s="640" t="inlineStr">
        <is>
          <t>55.928153</t>
        </is>
      </c>
      <c r="R3498" s="494" t="inlineStr">
        <is>
          <t>37.72184</t>
        </is>
      </c>
      <c r="S3498" s="387">
        <f>'Цены|Скидки'!$G$18</f>
        <v/>
      </c>
      <c r="T3498" s="387">
        <f>IF(N3498=1,S3498*O3498,0)</f>
        <v/>
      </c>
      <c r="Z3498" s="1" t="n"/>
    </row>
    <row r="3499" hidden="1" ht="16.05" customHeight="1">
      <c r="A3499" s="125" t="n">
        <v>4177</v>
      </c>
      <c r="B3499" s="791" t="n"/>
      <c r="C3499" s="130" t="inlineStr">
        <is>
          <t>Москва</t>
        </is>
      </c>
      <c r="D3499" s="130" t="inlineStr">
        <is>
          <t>Московская область</t>
        </is>
      </c>
      <c r="E3499" s="130" t="inlineStr">
        <is>
          <t>М-11</t>
        </is>
      </c>
      <c r="F3499" s="130" t="inlineStr">
        <is>
          <t>Платная трасса</t>
        </is>
      </c>
      <c r="G3499" s="130" t="inlineStr">
        <is>
          <t>Автодор</t>
        </is>
      </c>
      <c r="H3499" s="131" t="inlineStr">
        <is>
          <t>70 км ЦКАД</t>
        </is>
      </c>
      <c r="I3499" s="637" t="inlineStr">
        <is>
          <t>M11_S06</t>
        </is>
      </c>
      <c r="J3499" s="637" t="inlineStr">
        <is>
          <t>AVD_M11_S06_70</t>
        </is>
      </c>
      <c r="K3499" s="640" t="n">
        <v>1</v>
      </c>
      <c r="L3499" s="640" t="n">
        <v>0</v>
      </c>
      <c r="M3499" s="640" t="inlineStr">
        <is>
          <t>Samsung 43" горизонтальный</t>
        </is>
      </c>
      <c r="N3499" s="640" t="n"/>
      <c r="O3499" s="640">
        <f>IF(AND(N3499=1,L3499=1),K3499,"")</f>
        <v/>
      </c>
      <c r="P3499" s="642" t="inlineStr">
        <is>
          <t>Московская область, Солнечногорск г., автомобильная дорога М-11 «Нева», 70 км.</t>
        </is>
      </c>
      <c r="Q3499" s="640" t="inlineStr">
        <is>
          <t>56.167647</t>
        </is>
      </c>
      <c r="R3499" s="422" t="inlineStr">
        <is>
          <t>36.878034</t>
        </is>
      </c>
      <c r="Z3499" s="1" t="n"/>
    </row>
    <row r="3500" hidden="1" ht="16.05" customHeight="1">
      <c r="A3500" s="125" t="n">
        <v>4178</v>
      </c>
      <c r="B3500" s="125" t="inlineStr">
        <is>
          <t>WF</t>
        </is>
      </c>
      <c r="C3500" s="130" t="inlineStr">
        <is>
          <t>Москва</t>
        </is>
      </c>
      <c r="D3500" s="130" t="inlineStr">
        <is>
          <t>Москва</t>
        </is>
      </c>
      <c r="E3500" s="130" t="inlineStr">
        <is>
          <t>B</t>
        </is>
      </c>
      <c r="F3500" s="130" t="inlineStr">
        <is>
          <t>Бизнес центр</t>
        </is>
      </c>
      <c r="G3500" s="130" t="inlineStr">
        <is>
          <t>Бизнес центр</t>
        </is>
      </c>
      <c r="H3500" s="131" t="n">
        <v>7802</v>
      </c>
      <c r="I3500" s="637" t="inlineStr">
        <is>
          <t>Пальмира</t>
        </is>
      </c>
      <c r="J3500" s="637" t="inlineStr">
        <is>
          <t>MSK_BC_Palmira</t>
        </is>
      </c>
      <c r="K3500" s="640" t="n">
        <v>1</v>
      </c>
      <c r="L3500" s="640" t="n">
        <v>1</v>
      </c>
      <c r="M3500" s="623" t="inlineStr">
        <is>
          <t>Samsung 43" вертикальный</t>
        </is>
      </c>
      <c r="N3500" s="640" t="n"/>
      <c r="O3500" s="640">
        <f>IF(AND(N3500=1,L3500=1),K3500,"")</f>
        <v/>
      </c>
      <c r="P3500" s="642" t="inlineStr">
        <is>
          <t>Москва, Москва, улица Фридриха Энгельса, 75, стр. 11</t>
        </is>
      </c>
      <c r="Q3500" s="640" t="inlineStr">
        <is>
          <t>55.77835</t>
        </is>
      </c>
      <c r="R3500" s="494" t="inlineStr">
        <is>
          <t>37.694046</t>
        </is>
      </c>
      <c r="S3500" s="387">
        <f>'Цены|Скидки'!$D$25</f>
        <v/>
      </c>
      <c r="T3500" s="387">
        <f>IF(N3500=1,S3500*O3500,0)</f>
        <v/>
      </c>
      <c r="Z3500" s="1" t="n"/>
    </row>
    <row r="3501" hidden="1" ht="16.05" customHeight="1">
      <c r="A3501" s="125" t="n">
        <v>4179</v>
      </c>
      <c r="B3501" s="125" t="inlineStr">
        <is>
          <t>WF</t>
        </is>
      </c>
      <c r="C3501" s="130" t="inlineStr">
        <is>
          <t>Москва</t>
        </is>
      </c>
      <c r="D3501" s="130" t="inlineStr">
        <is>
          <t>Москва</t>
        </is>
      </c>
      <c r="E3501" s="130" t="inlineStr">
        <is>
          <t>A</t>
        </is>
      </c>
      <c r="F3501" s="130" t="inlineStr">
        <is>
          <t>Бизнес центр</t>
        </is>
      </c>
      <c r="G3501" s="130" t="inlineStr">
        <is>
          <t>Бизнес центр</t>
        </is>
      </c>
      <c r="H3501" s="131" t="n">
        <v>56778</v>
      </c>
      <c r="I3501" s="637" t="inlineStr">
        <is>
          <t>Парк Мира</t>
        </is>
      </c>
      <c r="J3501" s="637" t="inlineStr">
        <is>
          <t>MSK_BC_Park_Mira</t>
        </is>
      </c>
      <c r="K3501" s="640" t="n">
        <v>2</v>
      </c>
      <c r="L3501" s="640" t="n">
        <v>1</v>
      </c>
      <c r="M3501" s="623" t="inlineStr">
        <is>
          <t>Samsung 43" вертикальный</t>
        </is>
      </c>
      <c r="N3501" s="640" t="n"/>
      <c r="O3501" s="640">
        <f>IF(AND(N3501=1,L3501=1),K3501,"")</f>
        <v/>
      </c>
      <c r="P3501" s="642" t="inlineStr">
        <is>
          <t>Москва, Москва, проспект Мира, 102, корп. 1</t>
        </is>
      </c>
      <c r="Q3501" s="640" t="inlineStr">
        <is>
          <t>55.800595</t>
        </is>
      </c>
      <c r="R3501" s="494" t="inlineStr">
        <is>
          <t>37.63668</t>
        </is>
      </c>
      <c r="S3501" s="387">
        <f>'Цены|Скидки'!$D$25</f>
        <v/>
      </c>
      <c r="T3501" s="387">
        <f>IF(N3501=1,S3501*O3501,0)</f>
        <v/>
      </c>
      <c r="Z3501" s="1" t="n"/>
    </row>
    <row r="3502" hidden="1" ht="16.05" customHeight="1">
      <c r="A3502" s="125" t="n">
        <v>4180</v>
      </c>
      <c r="B3502" s="791" t="n"/>
      <c r="C3502" s="130" t="inlineStr">
        <is>
          <t>Хабаровский край</t>
        </is>
      </c>
      <c r="D3502" s="130" t="inlineStr">
        <is>
          <t>Комсомольск-на-Амуре</t>
        </is>
      </c>
      <c r="E3502" s="130" t="n"/>
      <c r="F3502" s="130" t="inlineStr">
        <is>
          <t>АЗС</t>
        </is>
      </c>
      <c r="G3502" s="130" t="inlineStr">
        <is>
          <t>Роснефть</t>
        </is>
      </c>
      <c r="H3502" s="131" t="n">
        <v>4</v>
      </c>
      <c r="I3502" s="637" t="n">
        <v>4</v>
      </c>
      <c r="J3502" s="637" t="inlineStr">
        <is>
          <t>VLV_RN_004</t>
        </is>
      </c>
      <c r="K3502" s="640" t="n">
        <v>1</v>
      </c>
      <c r="L3502" s="640" t="n">
        <v>0</v>
      </c>
      <c r="M3502" s="623" t="inlineStr">
        <is>
          <t>Samsung 32" вертикальный</t>
        </is>
      </c>
      <c r="N3502" s="640" t="n"/>
      <c r="O3502" s="640">
        <f>IF(AND(N3502=1,L3502=1),K3502,"")</f>
        <v/>
      </c>
      <c r="P3502" s="642" t="inlineStr">
        <is>
          <t>681017, Хабаровский край, г. Комсомольск-на-Амуре,  ул.Орловская, 1 корп.2</t>
        </is>
      </c>
      <c r="Q3502" s="640" t="n">
        <v>50.528014</v>
      </c>
      <c r="R3502" s="494" t="n">
        <v>136.986236</v>
      </c>
      <c r="Z3502" s="1" t="n"/>
    </row>
    <row r="3503" hidden="1" ht="16.05" customHeight="1">
      <c r="A3503" s="125" t="n">
        <v>4181</v>
      </c>
      <c r="B3503" s="791" t="n"/>
      <c r="C3503" s="130" t="inlineStr">
        <is>
          <t>Хабаровский край</t>
        </is>
      </c>
      <c r="D3503" s="130" t="inlineStr">
        <is>
          <t>Комсомольск-на-Амуре</t>
        </is>
      </c>
      <c r="E3503" s="130" t="n"/>
      <c r="F3503" s="130" t="inlineStr">
        <is>
          <t>АЗС</t>
        </is>
      </c>
      <c r="G3503" s="130" t="inlineStr">
        <is>
          <t>Роснефть</t>
        </is>
      </c>
      <c r="H3503" s="131" t="n">
        <v>5</v>
      </c>
      <c r="I3503" s="637" t="n">
        <v>5</v>
      </c>
      <c r="J3503" s="637" t="inlineStr">
        <is>
          <t>VLV_RN_005</t>
        </is>
      </c>
      <c r="K3503" s="640" t="n">
        <v>1</v>
      </c>
      <c r="L3503" s="640" t="n">
        <v>0</v>
      </c>
      <c r="M3503" s="623" t="inlineStr">
        <is>
          <t>Samsung 32" вертикальный</t>
        </is>
      </c>
      <c r="N3503" s="640" t="n"/>
      <c r="O3503" s="640">
        <f>IF(AND(N3503=1,L3503=1),K3503,"")</f>
        <v/>
      </c>
      <c r="P3503" s="642" t="inlineStr">
        <is>
          <t>681035, Хабаровский край, г. Комсомольск-на-Амуре, Магистральное ш., 53</t>
        </is>
      </c>
      <c r="Q3503" s="640" t="inlineStr">
        <is>
          <t>50.550988</t>
        </is>
      </c>
      <c r="R3503" s="494" t="inlineStr">
        <is>
          <t>136.954157</t>
        </is>
      </c>
      <c r="Z3503" s="1" t="n"/>
    </row>
    <row r="3504" hidden="1" ht="16.05" customHeight="1">
      <c r="A3504" s="125" t="n">
        <v>4182</v>
      </c>
      <c r="B3504" s="791" t="n"/>
      <c r="C3504" s="130" t="inlineStr">
        <is>
          <t>Хабаровский край</t>
        </is>
      </c>
      <c r="D3504" s="130" t="inlineStr">
        <is>
          <t>Хабаровск</t>
        </is>
      </c>
      <c r="E3504" s="130" t="n"/>
      <c r="F3504" s="130" t="inlineStr">
        <is>
          <t>АЗС</t>
        </is>
      </c>
      <c r="G3504" s="130" t="inlineStr">
        <is>
          <t>Роснефть</t>
        </is>
      </c>
      <c r="H3504" s="131" t="n">
        <v>14</v>
      </c>
      <c r="I3504" s="637" t="n">
        <v>14</v>
      </c>
      <c r="J3504" s="637" t="inlineStr">
        <is>
          <t>VLV_RN_014</t>
        </is>
      </c>
      <c r="K3504" s="640" t="n">
        <v>1</v>
      </c>
      <c r="L3504" s="640" t="n">
        <v>0</v>
      </c>
      <c r="M3504" s="623" t="inlineStr">
        <is>
          <t>Samsung 32" вертикальный</t>
        </is>
      </c>
      <c r="N3504" s="640" t="n"/>
      <c r="O3504" s="640">
        <f>IF(AND(N3504=1,L3504=1),K3504,"")</f>
        <v/>
      </c>
      <c r="P3504" s="642" t="inlineStr">
        <is>
          <t>680000, Хабаровский край, г. Хабаровск, ул. Павла Морозова, 53А</t>
        </is>
      </c>
      <c r="Q3504" s="640" t="inlineStr">
        <is>
          <t>48.445691</t>
        </is>
      </c>
      <c r="R3504" s="494" t="inlineStr">
        <is>
          <t>135.099801</t>
        </is>
      </c>
      <c r="Z3504" s="1" t="n"/>
    </row>
    <row r="3505" hidden="1" ht="16.05" customHeight="1">
      <c r="A3505" s="125" t="n">
        <v>4183</v>
      </c>
      <c r="B3505" s="791" t="n"/>
      <c r="C3505" s="130" t="inlineStr">
        <is>
          <t>Хабаровский край</t>
        </is>
      </c>
      <c r="D3505" s="130" t="inlineStr">
        <is>
          <t>Хабаровск</t>
        </is>
      </c>
      <c r="E3505" s="130" t="n"/>
      <c r="F3505" s="130" t="inlineStr">
        <is>
          <t>АЗС</t>
        </is>
      </c>
      <c r="G3505" s="130" t="inlineStr">
        <is>
          <t>Роснефть</t>
        </is>
      </c>
      <c r="H3505" s="131" t="n">
        <v>15</v>
      </c>
      <c r="I3505" s="637" t="n">
        <v>15</v>
      </c>
      <c r="J3505" s="637" t="inlineStr">
        <is>
          <t>VLV_RN_015</t>
        </is>
      </c>
      <c r="K3505" s="640" t="n">
        <v>1</v>
      </c>
      <c r="L3505" s="640" t="n">
        <v>0</v>
      </c>
      <c r="M3505" s="623" t="inlineStr">
        <is>
          <t>Samsung 32" вертикальный</t>
        </is>
      </c>
      <c r="N3505" s="640" t="n"/>
      <c r="O3505" s="640">
        <f>IF(AND(N3505=1,L3505=1),K3505,"")</f>
        <v/>
      </c>
      <c r="P3505" s="642" t="inlineStr">
        <is>
          <t>680509, Хабаровский край, Хабаровский р-н, 0 км автодороги Хабаровск-Ильинка</t>
        </is>
      </c>
      <c r="Q3505" s="640" t="inlineStr">
        <is>
          <t>48.565156</t>
        </is>
      </c>
      <c r="R3505" s="494" t="inlineStr">
        <is>
          <t>135.215935</t>
        </is>
      </c>
      <c r="Z3505" s="1" t="n"/>
    </row>
    <row r="3506" hidden="1" ht="16.05" customHeight="1">
      <c r="A3506" s="125" t="n">
        <v>4184</v>
      </c>
      <c r="B3506" s="791" t="n"/>
      <c r="C3506" s="130" t="inlineStr">
        <is>
          <t>Хабаровский край</t>
        </is>
      </c>
      <c r="D3506" s="130" t="inlineStr">
        <is>
          <t>Хабаровск</t>
        </is>
      </c>
      <c r="E3506" s="130" t="n"/>
      <c r="F3506" s="130" t="inlineStr">
        <is>
          <t>АЗС</t>
        </is>
      </c>
      <c r="G3506" s="130" t="inlineStr">
        <is>
          <t>Роснефть</t>
        </is>
      </c>
      <c r="H3506" s="131" t="n">
        <v>18</v>
      </c>
      <c r="I3506" s="637" t="n">
        <v>18</v>
      </c>
      <c r="J3506" s="637" t="inlineStr">
        <is>
          <t>VLV_RN_018</t>
        </is>
      </c>
      <c r="K3506" s="640" t="n">
        <v>1</v>
      </c>
      <c r="L3506" s="640" t="n">
        <v>0</v>
      </c>
      <c r="M3506" s="623" t="inlineStr">
        <is>
          <t>Samsung 32" вертикальный</t>
        </is>
      </c>
      <c r="N3506" s="640" t="n"/>
      <c r="O3506" s="640">
        <f>IF(AND(N3506=1,L3506=1),K3506,"")</f>
        <v/>
      </c>
      <c r="P3506" s="642" t="inlineStr">
        <is>
          <t xml:space="preserve">680031, Хабаровский край, г. Хабаровск, Чернореченское шоссе, 11в </t>
        </is>
      </c>
      <c r="Q3506" s="640" t="inlineStr">
        <is>
          <t>48.509163</t>
        </is>
      </c>
      <c r="R3506" s="494" t="inlineStr">
        <is>
          <t>135.156888</t>
        </is>
      </c>
      <c r="Z3506" s="1" t="n"/>
    </row>
    <row r="3507" hidden="1" ht="16.05" customHeight="1">
      <c r="A3507" s="125" t="n">
        <v>4185</v>
      </c>
      <c r="B3507" s="791" t="n"/>
      <c r="C3507" s="130" t="inlineStr">
        <is>
          <t>Хабаровский край</t>
        </is>
      </c>
      <c r="D3507" s="130" t="inlineStr">
        <is>
          <t>Хабаровск</t>
        </is>
      </c>
      <c r="E3507" s="130" t="n"/>
      <c r="F3507" s="130" t="inlineStr">
        <is>
          <t>АЗС</t>
        </is>
      </c>
      <c r="G3507" s="130" t="inlineStr">
        <is>
          <t>Роснефть</t>
        </is>
      </c>
      <c r="H3507" s="131" t="n">
        <v>19</v>
      </c>
      <c r="I3507" s="637" t="n">
        <v>19</v>
      </c>
      <c r="J3507" s="637" t="inlineStr">
        <is>
          <t>VLV_RN_019</t>
        </is>
      </c>
      <c r="K3507" s="640" t="n">
        <v>1</v>
      </c>
      <c r="L3507" s="640" t="n">
        <v>0</v>
      </c>
      <c r="M3507" s="623" t="inlineStr">
        <is>
          <t>Samsung 32" вертикальный</t>
        </is>
      </c>
      <c r="N3507" s="640" t="n"/>
      <c r="O3507" s="640">
        <f>IF(AND(N3507=1,L3507=1),K3507,"")</f>
        <v/>
      </c>
      <c r="P3507" s="642" t="inlineStr">
        <is>
          <t>680014, Хабаровский край, г. Хабаровск, пр-кт 60-летия Октября  (Хабаровск, проспект 60-летия Октября, 144/1)</t>
        </is>
      </c>
      <c r="Q3507" s="640" t="inlineStr">
        <is>
          <t>48.475985</t>
        </is>
      </c>
      <c r="R3507" s="494" t="inlineStr">
        <is>
          <t>135.116378</t>
        </is>
      </c>
      <c r="Z3507" s="1" t="n"/>
    </row>
    <row r="3508" hidden="1" ht="16.05" customHeight="1">
      <c r="A3508" s="125" t="n">
        <v>4186</v>
      </c>
      <c r="B3508" s="791" t="n"/>
      <c r="C3508" s="130" t="inlineStr">
        <is>
          <t>Хабаровский край</t>
        </is>
      </c>
      <c r="D3508" s="130" t="inlineStr">
        <is>
          <t>Хабаровск</t>
        </is>
      </c>
      <c r="E3508" s="130" t="n"/>
      <c r="F3508" s="130" t="inlineStr">
        <is>
          <t>АЗС</t>
        </is>
      </c>
      <c r="G3508" s="130" t="inlineStr">
        <is>
          <t>Роснефть</t>
        </is>
      </c>
      <c r="H3508" s="131" t="n">
        <v>20</v>
      </c>
      <c r="I3508" s="637" t="n">
        <v>20</v>
      </c>
      <c r="J3508" s="637" t="inlineStr">
        <is>
          <t>VLV_RN_020</t>
        </is>
      </c>
      <c r="K3508" s="640" t="n">
        <v>1</v>
      </c>
      <c r="L3508" s="640" t="n">
        <v>0</v>
      </c>
      <c r="M3508" s="623" t="inlineStr">
        <is>
          <t>Samsung 32" вертикальный</t>
        </is>
      </c>
      <c r="N3508" s="640" t="n"/>
      <c r="O3508" s="640">
        <f>IF(AND(N3508=1,L3508=1),K3508,"")</f>
        <v/>
      </c>
      <c r="P3508" s="642" t="inlineStr">
        <is>
          <t>680033, Хабаровский край, г. Хабаровск, 850 м  По направлению на северо-восток от ориентира-нежилое здание расположенного за пределами участка Воронежское ш.,158</t>
        </is>
      </c>
      <c r="Q3508" s="640" t="inlineStr">
        <is>
          <t>48.550276</t>
        </is>
      </c>
      <c r="R3508" s="494" t="inlineStr">
        <is>
          <t>135.08652</t>
        </is>
      </c>
      <c r="Z3508" s="1" t="n"/>
    </row>
    <row r="3509" hidden="1" ht="16.05" customHeight="1">
      <c r="A3509" s="125" t="n">
        <v>4187</v>
      </c>
      <c r="B3509" s="791" t="n"/>
      <c r="C3509" s="130" t="inlineStr">
        <is>
          <t>Хабаровский край</t>
        </is>
      </c>
      <c r="D3509" s="130" t="inlineStr">
        <is>
          <t>Хабаровск</t>
        </is>
      </c>
      <c r="E3509" s="130" t="n"/>
      <c r="F3509" s="130" t="inlineStr">
        <is>
          <t>АЗС</t>
        </is>
      </c>
      <c r="G3509" s="130" t="inlineStr">
        <is>
          <t>Роснефть</t>
        </is>
      </c>
      <c r="H3509" s="131" t="n">
        <v>24</v>
      </c>
      <c r="I3509" s="637" t="n">
        <v>24</v>
      </c>
      <c r="J3509" s="637" t="inlineStr">
        <is>
          <t>VLV_RN_024</t>
        </is>
      </c>
      <c r="K3509" s="640" t="n">
        <v>1</v>
      </c>
      <c r="L3509" s="640" t="n">
        <v>0</v>
      </c>
      <c r="M3509" s="623" t="inlineStr">
        <is>
          <t>Samsung 32" вертикальный</t>
        </is>
      </c>
      <c r="N3509" s="640" t="n"/>
      <c r="O3509" s="640">
        <f>IF(AND(N3509=1,L3509=1),K3509,"")</f>
        <v/>
      </c>
      <c r="P3509" s="642" t="inlineStr">
        <is>
          <t>680014, Хабаровский край, г. Хабаровск, ш.Восточное-ул. Нововыборская (Хабаровск, Восточное шоссе, 21)</t>
        </is>
      </c>
      <c r="Q3509" s="640" t="inlineStr">
        <is>
          <t>48.479569</t>
        </is>
      </c>
      <c r="R3509" s="494" t="inlineStr">
        <is>
          <t>135.140757</t>
        </is>
      </c>
      <c r="Z3509" s="1" t="n"/>
    </row>
    <row r="3510" hidden="1" ht="16.05" customHeight="1">
      <c r="A3510" s="125" t="n">
        <v>4188</v>
      </c>
      <c r="B3510" s="791" t="n"/>
      <c r="C3510" s="130" t="inlineStr">
        <is>
          <t>Амурская область</t>
        </is>
      </c>
      <c r="D3510" s="130" t="inlineStr">
        <is>
          <t>Благовещенск</t>
        </is>
      </c>
      <c r="E3510" s="130" t="n"/>
      <c r="F3510" s="130" t="inlineStr">
        <is>
          <t>АЗС</t>
        </is>
      </c>
      <c r="G3510" s="130" t="inlineStr">
        <is>
          <t>Роснефть</t>
        </is>
      </c>
      <c r="H3510" s="131" t="n">
        <v>205</v>
      </c>
      <c r="I3510" s="637" t="n">
        <v>205</v>
      </c>
      <c r="J3510" s="637" t="inlineStr">
        <is>
          <t>VLV_RN_205</t>
        </is>
      </c>
      <c r="K3510" s="640" t="n">
        <v>1</v>
      </c>
      <c r="L3510" s="640" t="n">
        <v>0</v>
      </c>
      <c r="M3510" s="623" t="inlineStr">
        <is>
          <t>Samsung 32" вертикальный</t>
        </is>
      </c>
      <c r="N3510" s="640" t="n"/>
      <c r="O3510" s="640">
        <f>IF(AND(N3510=1,L3510=1),K3510,"")</f>
        <v/>
      </c>
      <c r="P3510" s="642" t="inlineStr">
        <is>
          <t>675000, Амурская область, г. Благовещенск, ул. Театральная (Амурская область, г. Благовещенск,Театральная улица, 248А)</t>
        </is>
      </c>
      <c r="Q3510" s="640" t="inlineStr">
        <is>
          <t>50.312931</t>
        </is>
      </c>
      <c r="R3510" s="494" t="inlineStr">
        <is>
          <t>127.566644</t>
        </is>
      </c>
      <c r="Z3510" s="1" t="n"/>
    </row>
    <row r="3511" hidden="1" ht="16.05" customHeight="1">
      <c r="A3511" s="125" t="n">
        <v>4189</v>
      </c>
      <c r="B3511" s="791" t="n"/>
      <c r="C3511" s="416" t="inlineStr">
        <is>
          <t>Приморский край (Владивосток, Уссурийск, Артем)</t>
        </is>
      </c>
      <c r="D3511" s="130" t="inlineStr">
        <is>
          <t>Артем</t>
        </is>
      </c>
      <c r="E3511" s="130" t="n"/>
      <c r="F3511" s="130" t="inlineStr">
        <is>
          <t>АЗС</t>
        </is>
      </c>
      <c r="G3511" s="130" t="inlineStr">
        <is>
          <t>Роснефть</t>
        </is>
      </c>
      <c r="H3511" s="131" t="n">
        <v>401</v>
      </c>
      <c r="I3511" s="637" t="n">
        <v>401</v>
      </c>
      <c r="J3511" s="637" t="inlineStr">
        <is>
          <t>VLV_RN_401</t>
        </is>
      </c>
      <c r="K3511" s="640" t="n">
        <v>1</v>
      </c>
      <c r="L3511" s="640" t="n">
        <v>0</v>
      </c>
      <c r="M3511" s="623" t="inlineStr">
        <is>
          <t>Samsung 32" вертикальный</t>
        </is>
      </c>
      <c r="N3511" s="640" t="n"/>
      <c r="O3511" s="640">
        <f>IF(AND(N3511=1,L3511=1),K3511,"")</f>
        <v/>
      </c>
      <c r="P3511" s="642" t="inlineStr">
        <is>
          <t>692760, Приморский край, г.Артем, ул Солнечная, 10А</t>
        </is>
      </c>
      <c r="Q3511" s="640" t="inlineStr">
        <is>
          <t>43.351395</t>
        </is>
      </c>
      <c r="R3511" s="494" t="inlineStr">
        <is>
          <t>132.104521</t>
        </is>
      </c>
      <c r="Z3511" s="1" t="n"/>
    </row>
    <row r="3512" hidden="1" ht="31.05" customHeight="1">
      <c r="A3512" s="125" t="n">
        <v>4190</v>
      </c>
      <c r="B3512" s="791" t="n"/>
      <c r="C3512" s="416" t="inlineStr">
        <is>
          <t>Приморский край (Владивосток, Уссурийск, Артем)</t>
        </is>
      </c>
      <c r="D3512" s="130" t="inlineStr">
        <is>
          <t>Вольно-Надеждинское</t>
        </is>
      </c>
      <c r="E3512" s="130" t="n"/>
      <c r="F3512" s="130" t="inlineStr">
        <is>
          <t>АЗС</t>
        </is>
      </c>
      <c r="G3512" s="130" t="inlineStr">
        <is>
          <t>Роснефть</t>
        </is>
      </c>
      <c r="H3512" s="131" t="n">
        <v>404</v>
      </c>
      <c r="I3512" s="637" t="n">
        <v>404</v>
      </c>
      <c r="J3512" s="637" t="inlineStr">
        <is>
          <t>VLV_RN_404</t>
        </is>
      </c>
      <c r="K3512" s="640" t="n">
        <v>1</v>
      </c>
      <c r="L3512" s="640" t="n">
        <v>0</v>
      </c>
      <c r="M3512" s="623" t="inlineStr">
        <is>
          <t>Samsung 32" вертикальный</t>
        </is>
      </c>
      <c r="N3512" s="640" t="n"/>
      <c r="O3512" s="640">
        <f>IF(AND(N3512=1,L3512=1),K3512,"")</f>
        <v/>
      </c>
      <c r="P3512" s="642" t="inlineStr">
        <is>
          <t>692495, Приморский край, с.Вольно-Надеждинское, Трасса Хабаровск-Владивосток, 721км</t>
        </is>
      </c>
      <c r="Q3512" s="640" t="inlineStr">
        <is>
          <t>43.375822</t>
        </is>
      </c>
      <c r="R3512" s="494" t="inlineStr">
        <is>
          <t>131.96548</t>
        </is>
      </c>
      <c r="Z3512" s="1" t="n"/>
    </row>
    <row r="3513" hidden="1" ht="31.05" customHeight="1">
      <c r="A3513" s="125" t="n">
        <v>4191</v>
      </c>
      <c r="B3513" s="791" t="n"/>
      <c r="C3513" s="416" t="inlineStr">
        <is>
          <t>Приморский край (Владивосток, Уссурийск, Артем)</t>
        </is>
      </c>
      <c r="D3513" s="130" t="inlineStr">
        <is>
          <t>Владивосток</t>
        </is>
      </c>
      <c r="E3513" s="130" t="n"/>
      <c r="F3513" s="130" t="inlineStr">
        <is>
          <t>АЗС</t>
        </is>
      </c>
      <c r="G3513" s="130" t="inlineStr">
        <is>
          <t>Роснефть</t>
        </is>
      </c>
      <c r="H3513" s="131" t="n">
        <v>406</v>
      </c>
      <c r="I3513" s="637" t="n">
        <v>406</v>
      </c>
      <c r="J3513" s="637" t="inlineStr">
        <is>
          <t>VLV_RN_406</t>
        </is>
      </c>
      <c r="K3513" s="640" t="n">
        <v>1</v>
      </c>
      <c r="L3513" s="640" t="n">
        <v>0</v>
      </c>
      <c r="M3513" s="623" t="inlineStr">
        <is>
          <t>Samsung 32" вертикальный</t>
        </is>
      </c>
      <c r="N3513" s="640" t="n"/>
      <c r="O3513" s="640">
        <f>IF(AND(N3513=1,L3513=1),K3513,"")</f>
        <v/>
      </c>
      <c r="P3513" s="642" t="inlineStr">
        <is>
          <t>690003, Приморский край, г. Владивосток, ул. Верхнепортовая, 45а</t>
        </is>
      </c>
      <c r="Q3513" s="640" t="inlineStr">
        <is>
          <t>43.098758</t>
        </is>
      </c>
      <c r="R3513" s="494" t="inlineStr">
        <is>
          <t>131.863665</t>
        </is>
      </c>
      <c r="Z3513" s="1" t="n"/>
    </row>
    <row r="3514" hidden="1" ht="31.05" customHeight="1">
      <c r="A3514" s="125" t="n">
        <v>4192</v>
      </c>
      <c r="B3514" s="791" t="n"/>
      <c r="C3514" s="416" t="inlineStr">
        <is>
          <t>Приморский край (Владивосток, Уссурийск, Артем)</t>
        </is>
      </c>
      <c r="D3514" s="130" t="inlineStr">
        <is>
          <t>Уссурийск</t>
        </is>
      </c>
      <c r="E3514" s="130" t="n"/>
      <c r="F3514" s="130" t="inlineStr">
        <is>
          <t>АЗС</t>
        </is>
      </c>
      <c r="G3514" s="130" t="inlineStr">
        <is>
          <t>Роснефть</t>
        </is>
      </c>
      <c r="H3514" s="131" t="n">
        <v>407</v>
      </c>
      <c r="I3514" s="637" t="n">
        <v>407</v>
      </c>
      <c r="J3514" s="637" t="inlineStr">
        <is>
          <t>VLV_RN_407</t>
        </is>
      </c>
      <c r="K3514" s="640" t="n">
        <v>1</v>
      </c>
      <c r="L3514" s="640" t="n">
        <v>0</v>
      </c>
      <c r="M3514" s="623" t="inlineStr">
        <is>
          <t>Samsung 32" вертикальный</t>
        </is>
      </c>
      <c r="N3514" s="640" t="n"/>
      <c r="O3514" s="640">
        <f>IF(AND(N3514=1,L3514=1),K3514,"")</f>
        <v/>
      </c>
      <c r="P3514" s="642" t="inlineStr">
        <is>
          <t xml:space="preserve">692502, Приморский край, г.Уссурийск, ул. Московская </t>
        </is>
      </c>
      <c r="Q3514" s="640" t="inlineStr">
        <is>
          <t>43.773284</t>
        </is>
      </c>
      <c r="R3514" s="494" t="inlineStr">
        <is>
          <t>131.98818</t>
        </is>
      </c>
      <c r="Z3514" s="1" t="n"/>
    </row>
    <row r="3515" hidden="1" ht="31.05" customHeight="1">
      <c r="A3515" s="125" t="n">
        <v>4193</v>
      </c>
      <c r="B3515" s="791" t="n"/>
      <c r="C3515" s="416" t="inlineStr">
        <is>
          <t>Приморский край (Владивосток, Уссурийск, Артем)</t>
        </is>
      </c>
      <c r="D3515" s="130" t="inlineStr">
        <is>
          <t>Владивосток</t>
        </is>
      </c>
      <c r="E3515" s="130" t="n"/>
      <c r="F3515" s="130" t="inlineStr">
        <is>
          <t>АЗС</t>
        </is>
      </c>
      <c r="G3515" s="130" t="inlineStr">
        <is>
          <t>Роснефть</t>
        </is>
      </c>
      <c r="H3515" s="131" t="n">
        <v>413</v>
      </c>
      <c r="I3515" s="637" t="n">
        <v>413</v>
      </c>
      <c r="J3515" s="637" t="inlineStr">
        <is>
          <t>VLV_RN_413</t>
        </is>
      </c>
      <c r="K3515" s="640" t="n">
        <v>1</v>
      </c>
      <c r="L3515" s="640" t="n">
        <v>0</v>
      </c>
      <c r="M3515" s="623" t="inlineStr">
        <is>
          <t>Samsung 32" вертикальный</t>
        </is>
      </c>
      <c r="N3515" s="640" t="n"/>
      <c r="O3515" s="640">
        <f>IF(AND(N3515=1,L3515=1),K3515,"")</f>
        <v/>
      </c>
      <c r="P3515" s="642" t="inlineStr">
        <is>
          <t>690089, Приморский край, г. Владивосток, ул. Днепровская, 100</t>
        </is>
      </c>
      <c r="Q3515" s="640" t="inlineStr">
        <is>
          <t>43.153385</t>
        </is>
      </c>
      <c r="R3515" s="494" t="inlineStr">
        <is>
          <t>131.941791</t>
        </is>
      </c>
      <c r="Z3515" s="1" t="n"/>
    </row>
    <row r="3516" hidden="1" ht="31.05" customHeight="1">
      <c r="A3516" s="125" t="n">
        <v>4194</v>
      </c>
      <c r="B3516" s="791" t="n"/>
      <c r="C3516" s="416" t="inlineStr">
        <is>
          <t>Приморский край (Владивосток, Уссурийск, Артем)</t>
        </is>
      </c>
      <c r="D3516" s="130" t="inlineStr">
        <is>
          <t>Владивосток</t>
        </is>
      </c>
      <c r="E3516" s="130" t="n"/>
      <c r="F3516" s="130" t="inlineStr">
        <is>
          <t>АЗС</t>
        </is>
      </c>
      <c r="G3516" s="130" t="inlineStr">
        <is>
          <t>Роснефть</t>
        </is>
      </c>
      <c r="H3516" s="131" t="n">
        <v>414</v>
      </c>
      <c r="I3516" s="637" t="n">
        <v>414</v>
      </c>
      <c r="J3516" s="637" t="inlineStr">
        <is>
          <t>VLV_RN_414</t>
        </is>
      </c>
      <c r="K3516" s="640" t="n">
        <v>1</v>
      </c>
      <c r="L3516" s="640" t="n">
        <v>0</v>
      </c>
      <c r="M3516" s="623" t="inlineStr">
        <is>
          <t>Samsung 32" вертикальный</t>
        </is>
      </c>
      <c r="N3516" s="640" t="n"/>
      <c r="O3516" s="640">
        <f>IF(AND(N3516=1,L3516=1),K3516,"")</f>
        <v/>
      </c>
      <c r="P3516" s="642" t="inlineStr">
        <is>
          <t>690089, Приморский край, г. Владивосток, Днепровская, 121</t>
        </is>
      </c>
      <c r="Q3516" s="640" t="inlineStr">
        <is>
          <t>43.15785</t>
        </is>
      </c>
      <c r="R3516" s="494" t="inlineStr">
        <is>
          <t>131.94003</t>
        </is>
      </c>
      <c r="Z3516" s="1" t="n"/>
    </row>
    <row r="3517" hidden="1" ht="31.05" customHeight="1">
      <c r="A3517" s="125" t="n">
        <v>4195</v>
      </c>
      <c r="B3517" s="791" t="n"/>
      <c r="C3517" s="416" t="inlineStr">
        <is>
          <t>Приморский край (Владивосток, Уссурийск, Артем)</t>
        </is>
      </c>
      <c r="D3517" s="130" t="inlineStr">
        <is>
          <t>Владивосток</t>
        </is>
      </c>
      <c r="E3517" s="130" t="n"/>
      <c r="F3517" s="130" t="inlineStr">
        <is>
          <t>АЗС</t>
        </is>
      </c>
      <c r="G3517" s="130" t="inlineStr">
        <is>
          <t>Роснефть</t>
        </is>
      </c>
      <c r="H3517" s="131" t="n">
        <v>415</v>
      </c>
      <c r="I3517" s="637" t="n">
        <v>415</v>
      </c>
      <c r="J3517" s="637" t="inlineStr">
        <is>
          <t>VLV_RN_415</t>
        </is>
      </c>
      <c r="K3517" s="640" t="n">
        <v>1</v>
      </c>
      <c r="L3517" s="640" t="n">
        <v>0</v>
      </c>
      <c r="M3517" s="623" t="inlineStr">
        <is>
          <t>Samsung 32" вертикальный</t>
        </is>
      </c>
      <c r="N3517" s="640" t="n"/>
      <c r="O3517" s="640">
        <f>IF(AND(N3517=1,L3517=1),K3517,"")</f>
        <v/>
      </c>
      <c r="P3517" s="642" t="inlineStr">
        <is>
          <t>690063, Приморский край, г. Владивосток, ул. 2-я Поселковая, 9</t>
        </is>
      </c>
      <c r="Q3517" s="640" t="inlineStr">
        <is>
          <t>43.085433</t>
        </is>
      </c>
      <c r="R3517" s="494" t="inlineStr">
        <is>
          <t>131.908158</t>
        </is>
      </c>
      <c r="Z3517" s="1" t="n"/>
    </row>
    <row r="3518" hidden="1" ht="31.05" customHeight="1">
      <c r="A3518" s="125" t="n">
        <v>4196</v>
      </c>
      <c r="B3518" s="791" t="n"/>
      <c r="C3518" s="416" t="inlineStr">
        <is>
          <t>Приморский край (Владивосток, Уссурийск, Артем)</t>
        </is>
      </c>
      <c r="D3518" s="130" t="inlineStr">
        <is>
          <t>Владивосток</t>
        </is>
      </c>
      <c r="E3518" s="130" t="n"/>
      <c r="F3518" s="130" t="inlineStr">
        <is>
          <t>АЗС</t>
        </is>
      </c>
      <c r="G3518" s="130" t="inlineStr">
        <is>
          <t>Роснефть</t>
        </is>
      </c>
      <c r="H3518" s="131" t="n">
        <v>416</v>
      </c>
      <c r="I3518" s="637" t="n">
        <v>416</v>
      </c>
      <c r="J3518" s="637" t="inlineStr">
        <is>
          <t>VLV_RN_416</t>
        </is>
      </c>
      <c r="K3518" s="640" t="n">
        <v>1</v>
      </c>
      <c r="L3518" s="640" t="n">
        <v>0</v>
      </c>
      <c r="M3518" s="623" t="inlineStr">
        <is>
          <t>Samsung 32" вертикальный</t>
        </is>
      </c>
      <c r="N3518" s="640" t="n"/>
      <c r="O3518" s="640">
        <f>IF(AND(N3518=1,L3518=1),K3518,"")</f>
        <v/>
      </c>
      <c r="P3518" s="642" t="inlineStr">
        <is>
          <t>690017, Приморский край, г. Владивосток, ул. Коммунаров, 23</t>
        </is>
      </c>
      <c r="Q3518" s="640" t="inlineStr">
        <is>
          <t>43.090878</t>
        </is>
      </c>
      <c r="R3518" s="494" t="inlineStr">
        <is>
          <t>131.927319</t>
        </is>
      </c>
      <c r="Z3518" s="1" t="n"/>
    </row>
    <row r="3519" hidden="1" ht="31.05" customHeight="1">
      <c r="A3519" s="125" t="n">
        <v>4197</v>
      </c>
      <c r="B3519" s="791" t="n"/>
      <c r="C3519" s="416" t="inlineStr">
        <is>
          <t>Приморский край (Владивосток, Уссурийск, Артем)</t>
        </is>
      </c>
      <c r="D3519" s="130" t="inlineStr">
        <is>
          <t>Русский</t>
        </is>
      </c>
      <c r="E3519" s="130" t="n"/>
      <c r="F3519" s="130" t="inlineStr">
        <is>
          <t>АЗС</t>
        </is>
      </c>
      <c r="G3519" s="130" t="inlineStr">
        <is>
          <t>Роснефть</t>
        </is>
      </c>
      <c r="H3519" s="131" t="n">
        <v>417</v>
      </c>
      <c r="I3519" s="637" t="n">
        <v>417</v>
      </c>
      <c r="J3519" s="637" t="inlineStr">
        <is>
          <t>VLV_RN_417</t>
        </is>
      </c>
      <c r="K3519" s="640" t="n">
        <v>1</v>
      </c>
      <c r="L3519" s="640" t="n">
        <v>0</v>
      </c>
      <c r="M3519" s="623" t="inlineStr">
        <is>
          <t>Samsung 32" вертикальный</t>
        </is>
      </c>
      <c r="N3519" s="640" t="n"/>
      <c r="O3519" s="640">
        <f>IF(AND(N3519=1,L3519=1),K3519,"")</f>
        <v/>
      </c>
      <c r="P3519" s="642" t="inlineStr">
        <is>
          <t>690922, Приморский край, г. Владивосток, Русский Остров, п. Поспелово, 810 метров по направлению на Юг от ориентира - "нежилое здание"</t>
        </is>
      </c>
      <c r="Q3519" s="640" t="inlineStr">
        <is>
          <t>43.057806</t>
        </is>
      </c>
      <c r="R3519" s="494" t="inlineStr">
        <is>
          <t>131.885116</t>
        </is>
      </c>
      <c r="Z3519" s="1" t="n"/>
    </row>
    <row r="3520" hidden="1" ht="31.05" customHeight="1">
      <c r="A3520" s="125" t="n">
        <v>4198</v>
      </c>
      <c r="B3520" s="791" t="n"/>
      <c r="C3520" s="416" t="inlineStr">
        <is>
          <t>Приморский край (Владивосток, Уссурийск, Артем)</t>
        </is>
      </c>
      <c r="D3520" s="130" t="inlineStr">
        <is>
          <t>п. Горные ключи</t>
        </is>
      </c>
      <c r="E3520" s="130" t="n"/>
      <c r="F3520" s="130" t="inlineStr">
        <is>
          <t>АЗС</t>
        </is>
      </c>
      <c r="G3520" s="130" t="inlineStr">
        <is>
          <t>Роснефть</t>
        </is>
      </c>
      <c r="H3520" s="131" t="n">
        <v>443</v>
      </c>
      <c r="I3520" s="637" t="n">
        <v>443</v>
      </c>
      <c r="J3520" s="637" t="inlineStr">
        <is>
          <t>VLV_RN_443</t>
        </is>
      </c>
      <c r="K3520" s="640" t="n">
        <v>1</v>
      </c>
      <c r="L3520" s="640" t="n">
        <v>0</v>
      </c>
      <c r="M3520" s="623" t="inlineStr">
        <is>
          <t>Samsung 32" вертикальный</t>
        </is>
      </c>
      <c r="N3520" s="640" t="n"/>
      <c r="O3520" s="640">
        <f>IF(AND(N3520=1,L3520=1),K3520,"")</f>
        <v/>
      </c>
      <c r="P3520" s="642" t="inlineStr">
        <is>
          <t>692087, Приморский край, пгт Горные ключи, Трасса Хабаровск-Владивосток, 435 км</t>
        </is>
      </c>
      <c r="Q3520" s="640" t="inlineStr">
        <is>
          <t>45.228309</t>
        </is>
      </c>
      <c r="R3520" s="494" t="inlineStr">
        <is>
          <t>133.481441</t>
        </is>
      </c>
      <c r="Z3520" s="1" t="n"/>
    </row>
    <row r="3521" hidden="1" ht="31.05" customHeight="1">
      <c r="A3521" s="125" t="n">
        <v>4199</v>
      </c>
      <c r="B3521" s="791" t="n"/>
      <c r="C3521" s="130" t="inlineStr">
        <is>
          <t>Сахалинская область</t>
        </is>
      </c>
      <c r="D3521" s="130" t="inlineStr">
        <is>
          <t>Ю-Сахалинск</t>
        </is>
      </c>
      <c r="E3521" s="130" t="n"/>
      <c r="F3521" s="130" t="inlineStr">
        <is>
          <t>АЗС</t>
        </is>
      </c>
      <c r="G3521" s="130" t="inlineStr">
        <is>
          <t>Роснефть</t>
        </is>
      </c>
      <c r="H3521" s="131" t="n">
        <v>505</v>
      </c>
      <c r="I3521" s="637" t="n">
        <v>505</v>
      </c>
      <c r="J3521" s="637" t="inlineStr">
        <is>
          <t>VLV_RN_505</t>
        </is>
      </c>
      <c r="K3521" s="640" t="n">
        <v>1</v>
      </c>
      <c r="L3521" s="640" t="n">
        <v>0</v>
      </c>
      <c r="M3521" s="623" t="inlineStr">
        <is>
          <t>Samsung 32" вертикальный</t>
        </is>
      </c>
      <c r="N3521" s="640" t="n"/>
      <c r="O3521" s="640">
        <f>IF(AND(N3521=1,L3521=1),K3521,"")</f>
        <v/>
      </c>
      <c r="P3521" s="642" t="inlineStr">
        <is>
          <t>693005, Сахалинская область, г. Южно-Сахалинск, ул. Железнодорожная (Железнодорожная улица, 164А)</t>
        </is>
      </c>
      <c r="Q3521" s="640" t="inlineStr">
        <is>
          <t>46.940786</t>
        </is>
      </c>
      <c r="R3521" s="494" t="inlineStr">
        <is>
          <t>142.726479</t>
        </is>
      </c>
      <c r="Z3521" s="1" t="n"/>
    </row>
    <row r="3522" hidden="1" ht="16.05" customHeight="1">
      <c r="A3522" s="125" t="n">
        <v>4200</v>
      </c>
      <c r="B3522" s="791" t="n"/>
      <c r="C3522" s="130" t="inlineStr">
        <is>
          <t>Сахалинская область</t>
        </is>
      </c>
      <c r="D3522" s="130" t="inlineStr">
        <is>
          <t>Ю-Сахалинск</t>
        </is>
      </c>
      <c r="E3522" s="130" t="n"/>
      <c r="F3522" s="130" t="inlineStr">
        <is>
          <t>АЗС</t>
        </is>
      </c>
      <c r="G3522" s="130" t="inlineStr">
        <is>
          <t>Роснефть</t>
        </is>
      </c>
      <c r="H3522" s="131" t="n">
        <v>554</v>
      </c>
      <c r="I3522" s="637" t="n">
        <v>554</v>
      </c>
      <c r="J3522" s="637" t="inlineStr">
        <is>
          <t>VLV_RN_554</t>
        </is>
      </c>
      <c r="K3522" s="640" t="n">
        <v>1</v>
      </c>
      <c r="L3522" s="640" t="n">
        <v>0</v>
      </c>
      <c r="M3522" s="623" t="inlineStr">
        <is>
          <t>Samsung 32" вертикальный</t>
        </is>
      </c>
      <c r="N3522" s="640" t="n"/>
      <c r="O3522" s="640">
        <f>IF(AND(N3522=1,L3522=1),K3522,"")</f>
        <v/>
      </c>
      <c r="P3522" s="642" t="inlineStr">
        <is>
          <t>693012, Сахалинская область, г. Южно-Сахалинск, пр-кт Мира, 7Б</t>
        </is>
      </c>
      <c r="Q3522" s="640" t="inlineStr">
        <is>
          <t>46.987089</t>
        </is>
      </c>
      <c r="R3522" s="494" t="inlineStr">
        <is>
          <t>142.735274</t>
        </is>
      </c>
      <c r="Z3522" s="1" t="n"/>
    </row>
    <row r="3523" hidden="1" ht="16.05" customHeight="1">
      <c r="A3523" s="125" t="n">
        <v>4201</v>
      </c>
      <c r="B3523" s="791" t="n"/>
      <c r="C3523" s="130" t="inlineStr">
        <is>
          <t>Сахалинская область</t>
        </is>
      </c>
      <c r="D3523" s="130" t="inlineStr">
        <is>
          <t>Ю-Сахалинск</t>
        </is>
      </c>
      <c r="E3523" s="130" t="n"/>
      <c r="F3523" s="130" t="inlineStr">
        <is>
          <t>АЗС</t>
        </is>
      </c>
      <c r="G3523" s="130" t="inlineStr">
        <is>
          <t>Роснефть</t>
        </is>
      </c>
      <c r="H3523" s="131" t="n">
        <v>563</v>
      </c>
      <c r="I3523" s="637" t="n">
        <v>563</v>
      </c>
      <c r="J3523" s="637" t="inlineStr">
        <is>
          <t>VLV_RN_563</t>
        </is>
      </c>
      <c r="K3523" s="640" t="n">
        <v>1</v>
      </c>
      <c r="L3523" s="640" t="n">
        <v>0</v>
      </c>
      <c r="M3523" s="623" t="inlineStr">
        <is>
          <t>Samsung 32" вертикальный</t>
        </is>
      </c>
      <c r="N3523" s="640" t="n"/>
      <c r="O3523" s="640">
        <f>IF(AND(N3523=1,L3523=1),K3523,"")</f>
        <v/>
      </c>
      <c r="P3523" s="642" t="inlineStr">
        <is>
          <t>693000, Сахалинская область, г. Южно-Сахалинск, п/р Хомутово (2-я Центральная, 1)</t>
        </is>
      </c>
      <c r="Q3523" s="640" t="n">
        <v>46.89365</v>
      </c>
      <c r="R3523" s="494" t="n">
        <v>142.74303</v>
      </c>
      <c r="Y3523" s="1" t="n"/>
      <c r="Z3523" s="1" t="n"/>
    </row>
    <row r="3524" hidden="1" ht="16.05" customHeight="1">
      <c r="A3524" s="125" t="n">
        <v>4203</v>
      </c>
      <c r="B3524" s="791" t="n"/>
      <c r="C3524" s="130" t="inlineStr">
        <is>
          <t>Санкт-Петербург</t>
        </is>
      </c>
      <c r="D3524" s="130" t="inlineStr">
        <is>
          <t>Ленинградская область</t>
        </is>
      </c>
      <c r="E3524" s="130" t="n"/>
      <c r="F3524" s="130" t="inlineStr">
        <is>
          <t>АЗС</t>
        </is>
      </c>
      <c r="G3524" s="130" t="inlineStr">
        <is>
          <t>Газпромнефть</t>
        </is>
      </c>
      <c r="H3524" s="131" t="n"/>
      <c r="I3524" s="637" t="n">
        <v>10115</v>
      </c>
      <c r="J3524" s="637" t="inlineStr">
        <is>
          <t>GPN_10115</t>
        </is>
      </c>
      <c r="K3524" s="640" t="n">
        <v>3</v>
      </c>
      <c r="L3524" s="640" t="n">
        <v>1</v>
      </c>
      <c r="M3524" s="623" t="n">
        <v>6</v>
      </c>
      <c r="N3524" s="640" t="n"/>
      <c r="O3524" s="640">
        <f>IF(AND(N3524=1,L3524=1),K3524,"")</f>
        <v/>
      </c>
      <c r="P3524" s="642" t="inlineStr">
        <is>
          <t>Ленинградская обл., Кировский район,п. Синявино, (46 км+100м) шоссе Кола</t>
        </is>
      </c>
      <c r="Q3524" s="640" t="inlineStr">
        <is>
          <t>59.907816</t>
        </is>
      </c>
      <c r="R3524" s="494" t="inlineStr">
        <is>
          <t>31.0726</t>
        </is>
      </c>
      <c r="W3524" s="387">
        <f>IF(AND(N3524=1,O3524&lt;&gt;""),C3524,"")</f>
        <v/>
      </c>
      <c r="Z3524" s="1" t="n"/>
    </row>
    <row r="3525" hidden="1" ht="16.05" customHeight="1">
      <c r="A3525" s="125" t="n">
        <v>4204</v>
      </c>
      <c r="B3525" s="791" t="n"/>
      <c r="C3525" s="130" t="inlineStr">
        <is>
          <t>Санкт-Петербург</t>
        </is>
      </c>
      <c r="D3525" s="130" t="inlineStr">
        <is>
          <t xml:space="preserve">Санкт-Петербург </t>
        </is>
      </c>
      <c r="E3525" s="130" t="n"/>
      <c r="F3525" s="130" t="inlineStr">
        <is>
          <t>АЗС</t>
        </is>
      </c>
      <c r="G3525" s="130" t="inlineStr">
        <is>
          <t>Газпромнефть</t>
        </is>
      </c>
      <c r="H3525" s="131" t="n"/>
      <c r="I3525" s="637" t="n">
        <v>10201</v>
      </c>
      <c r="J3525" s="637" t="inlineStr">
        <is>
          <t>GPN_10201</t>
        </is>
      </c>
      <c r="K3525" s="640" t="n">
        <v>3</v>
      </c>
      <c r="L3525" s="640" t="n">
        <v>1</v>
      </c>
      <c r="M3525" s="623" t="n">
        <v>5</v>
      </c>
      <c r="N3525" s="640" t="n"/>
      <c r="O3525" s="640">
        <f>IF(AND(N3525=1,L3525=1),K3525,"")</f>
        <v/>
      </c>
      <c r="P3525" s="642" t="inlineStr">
        <is>
          <t>г. Санкт-Петербург, Пулковское шоссе, 21К2</t>
        </is>
      </c>
      <c r="Q3525" s="640" t="inlineStr">
        <is>
          <t>59.823702</t>
        </is>
      </c>
      <c r="R3525" s="494" t="inlineStr">
        <is>
          <t>30.319183</t>
        </is>
      </c>
      <c r="W3525" s="387">
        <f>IF(AND(N3525=1,O3525&lt;&gt;""),C3525,"")</f>
        <v/>
      </c>
      <c r="Z3525" s="126" t="n"/>
    </row>
    <row r="3526" hidden="1" ht="16.05" customHeight="1">
      <c r="A3526" s="125" t="n">
        <v>4205</v>
      </c>
      <c r="B3526" s="791" t="n"/>
      <c r="C3526" s="130" t="inlineStr">
        <is>
          <t>Москва</t>
        </is>
      </c>
      <c r="D3526" s="130" t="inlineStr">
        <is>
          <t>Москва</t>
        </is>
      </c>
      <c r="E3526" s="130" t="n"/>
      <c r="F3526" s="130" t="inlineStr">
        <is>
          <t>АЗС</t>
        </is>
      </c>
      <c r="G3526" s="130" t="inlineStr">
        <is>
          <t>Газпромнефть</t>
        </is>
      </c>
      <c r="H3526" s="131" t="n"/>
      <c r="I3526" s="637" t="n">
        <v>11121</v>
      </c>
      <c r="J3526" s="637" t="inlineStr">
        <is>
          <t>GPN_11121</t>
        </is>
      </c>
      <c r="K3526" s="640" t="n">
        <v>3</v>
      </c>
      <c r="L3526" s="640" t="n">
        <v>1</v>
      </c>
      <c r="M3526" s="623" t="n">
        <v>5</v>
      </c>
      <c r="N3526" s="640" t="n"/>
      <c r="O3526" s="640">
        <f>IF(AND(N3526=1,L3526=1),K3526,"")</f>
        <v/>
      </c>
      <c r="P3526" s="642" t="inlineStr">
        <is>
          <t>г. Москва, Каширское ш., вл 158А</t>
        </is>
      </c>
      <c r="Q3526" s="640" t="inlineStr">
        <is>
          <t>55.590210</t>
        </is>
      </c>
      <c r="R3526" s="494" t="inlineStr">
        <is>
          <t>37.729166</t>
        </is>
      </c>
      <c r="W3526" s="387">
        <f>IF(AND(N3526=1,O3526&lt;&gt;""),C3526,"")</f>
        <v/>
      </c>
      <c r="Z3526" s="126" t="n"/>
    </row>
    <row r="3527" hidden="1" ht="16.05" customHeight="1">
      <c r="A3527" s="125" t="n">
        <v>4206</v>
      </c>
      <c r="B3527" s="791" t="n"/>
      <c r="C3527" s="130" t="inlineStr">
        <is>
          <t>Москва</t>
        </is>
      </c>
      <c r="D3527" s="130" t="inlineStr">
        <is>
          <t>Московская область</t>
        </is>
      </c>
      <c r="E3527" s="130" t="n"/>
      <c r="F3527" s="130" t="inlineStr">
        <is>
          <t>АЗС</t>
        </is>
      </c>
      <c r="G3527" s="130" t="inlineStr">
        <is>
          <t>Газпромнефть</t>
        </is>
      </c>
      <c r="H3527" s="131" t="n"/>
      <c r="I3527" s="637" t="n">
        <v>11222</v>
      </c>
      <c r="J3527" s="637" t="inlineStr">
        <is>
          <t>GPN_11222</t>
        </is>
      </c>
      <c r="K3527" s="640" t="n">
        <v>3</v>
      </c>
      <c r="L3527" s="640" t="n">
        <v>1</v>
      </c>
      <c r="M3527" s="623" t="n">
        <v>3</v>
      </c>
      <c r="N3527" s="640" t="n"/>
      <c r="O3527" s="640">
        <f>IF(AND(N3527=1,L3527=1),K3527,"")</f>
        <v/>
      </c>
      <c r="P3527" s="642" t="inlineStr">
        <is>
          <t>Московская обл., г. Подольск, п. Лаговское</t>
        </is>
      </c>
      <c r="Q3527" s="640" t="inlineStr">
        <is>
          <t>55.310283</t>
        </is>
      </c>
      <c r="R3527" s="494" t="inlineStr">
        <is>
          <t>37.540021</t>
        </is>
      </c>
      <c r="W3527" s="387">
        <f>IF(AND(N3527=1,O3527&lt;&gt;""),C3527,"")</f>
        <v/>
      </c>
      <c r="Z3527" s="126" t="n"/>
    </row>
    <row r="3528" hidden="1" ht="16.05" customHeight="1">
      <c r="A3528" s="125" t="n">
        <v>4207</v>
      </c>
      <c r="B3528" s="791" t="n"/>
      <c r="C3528" s="130" t="inlineStr">
        <is>
          <t>Москва</t>
        </is>
      </c>
      <c r="D3528" s="130" t="inlineStr">
        <is>
          <t>Москва</t>
        </is>
      </c>
      <c r="E3528" s="130" t="n"/>
      <c r="F3528" s="130" t="inlineStr">
        <is>
          <t>АЗС</t>
        </is>
      </c>
      <c r="G3528" s="130" t="inlineStr">
        <is>
          <t>Газпромнефть</t>
        </is>
      </c>
      <c r="H3528" s="131" t="n"/>
      <c r="I3528" s="637" t="n">
        <v>11237</v>
      </c>
      <c r="J3528" s="637" t="inlineStr">
        <is>
          <t>GPN_11237</t>
        </is>
      </c>
      <c r="K3528" s="640" t="n">
        <v>1</v>
      </c>
      <c r="L3528" s="640" t="n">
        <v>1</v>
      </c>
      <c r="M3528" s="623" t="n">
        <v>1</v>
      </c>
      <c r="N3528" s="640" t="n"/>
      <c r="O3528" s="640">
        <f>IF(AND(N3528=1,L3528=1),K3528,"")</f>
        <v/>
      </c>
      <c r="P3528" s="642" t="inlineStr">
        <is>
          <t>г. Москва,  МКАД 104км, д. 3</t>
        </is>
      </c>
      <c r="Q3528" s="640" t="inlineStr">
        <is>
          <t>55.813961</t>
        </is>
      </c>
      <c r="R3528" s="494" t="inlineStr">
        <is>
          <t>37.841801</t>
        </is>
      </c>
      <c r="W3528" s="387">
        <f>IF(AND(N3528=1,O3528&lt;&gt;""),C3528,"")</f>
        <v/>
      </c>
      <c r="Z3528" s="126" t="n"/>
    </row>
    <row r="3529" hidden="1" ht="16.05" customHeight="1">
      <c r="A3529" s="125" t="n">
        <v>4208</v>
      </c>
      <c r="B3529" s="791" t="n"/>
      <c r="C3529" s="130" t="inlineStr">
        <is>
          <t>Москва</t>
        </is>
      </c>
      <c r="D3529" s="130" t="inlineStr">
        <is>
          <t>Московская область</t>
        </is>
      </c>
      <c r="E3529" s="130" t="n"/>
      <c r="F3529" s="130" t="inlineStr">
        <is>
          <t>АЗС</t>
        </is>
      </c>
      <c r="G3529" s="130" t="inlineStr">
        <is>
          <t>Газпромнефть</t>
        </is>
      </c>
      <c r="H3529" s="131" t="n"/>
      <c r="I3529" s="637" t="n">
        <v>11240</v>
      </c>
      <c r="J3529" s="637" t="inlineStr">
        <is>
          <t>GPN_11240</t>
        </is>
      </c>
      <c r="K3529" s="640" t="n">
        <v>2</v>
      </c>
      <c r="L3529" s="640" t="n">
        <v>1</v>
      </c>
      <c r="M3529" s="623" t="n">
        <v>2</v>
      </c>
      <c r="N3529" s="640" t="n"/>
      <c r="O3529" s="640">
        <f>IF(AND(N3529=1,L3529=1),K3529,"")</f>
        <v/>
      </c>
      <c r="P3529" s="642" t="inlineStr">
        <is>
          <t>Московская обл., Ленинский р-н, 26км МКАД</t>
        </is>
      </c>
      <c r="Q3529" s="640" t="inlineStr">
        <is>
          <t>55.58221</t>
        </is>
      </c>
      <c r="R3529" s="494" t="inlineStr">
        <is>
          <t>37.7063</t>
        </is>
      </c>
      <c r="W3529" s="387">
        <f>IF(AND(N3529=1,O3529&lt;&gt;""),C3529,"")</f>
        <v/>
      </c>
      <c r="Z3529" s="126" t="n"/>
    </row>
    <row r="3530" hidden="1" ht="16.05" customHeight="1">
      <c r="A3530" s="125" t="n">
        <v>4209</v>
      </c>
      <c r="B3530" s="791" t="n"/>
      <c r="C3530" s="130" t="inlineStr">
        <is>
          <t>Москва</t>
        </is>
      </c>
      <c r="D3530" s="130" t="inlineStr">
        <is>
          <t>Москва</t>
        </is>
      </c>
      <c r="E3530" s="130" t="n"/>
      <c r="F3530" s="130" t="inlineStr">
        <is>
          <t>АЗС</t>
        </is>
      </c>
      <c r="G3530" s="130" t="inlineStr">
        <is>
          <t>Газпромнефть</t>
        </is>
      </c>
      <c r="H3530" s="131" t="n"/>
      <c r="I3530" s="637" t="n">
        <v>11242</v>
      </c>
      <c r="J3530" s="637" t="inlineStr">
        <is>
          <t>GPN_11242</t>
        </is>
      </c>
      <c r="K3530" s="640" t="n">
        <v>2</v>
      </c>
      <c r="L3530" s="640" t="n">
        <v>1</v>
      </c>
      <c r="M3530" s="623" t="n">
        <v>2</v>
      </c>
      <c r="N3530" s="640" t="n"/>
      <c r="O3530" s="640">
        <f>IF(AND(N3530=1,L3530=1),K3530,"")</f>
        <v/>
      </c>
      <c r="P3530" s="642" t="inlineStr">
        <is>
          <t>г. Москва, Десеновское п., д.Ватутинки, 36 км Калужского шоссе.</t>
        </is>
      </c>
      <c r="Q3530" s="640" t="inlineStr">
        <is>
          <t>55.504222</t>
        </is>
      </c>
      <c r="R3530" s="494" t="inlineStr">
        <is>
          <t>37.339299</t>
        </is>
      </c>
      <c r="W3530" s="387">
        <f>IF(AND(N3530=1,O3530&lt;&gt;""),C3530,"")</f>
        <v/>
      </c>
      <c r="Z3530" s="126" t="n"/>
    </row>
    <row r="3531" hidden="1" ht="16.05" customHeight="1">
      <c r="A3531" s="125" t="n">
        <v>4210</v>
      </c>
      <c r="B3531" s="791" t="n"/>
      <c r="C3531" s="130" t="inlineStr">
        <is>
          <t>Москва</t>
        </is>
      </c>
      <c r="D3531" s="130" t="inlineStr">
        <is>
          <t>Москва</t>
        </is>
      </c>
      <c r="E3531" s="130" t="n"/>
      <c r="F3531" s="130" t="inlineStr">
        <is>
          <t>АЗС</t>
        </is>
      </c>
      <c r="G3531" s="130" t="inlineStr">
        <is>
          <t>Газпромнефть</t>
        </is>
      </c>
      <c r="H3531" s="131" t="n"/>
      <c r="I3531" s="637" t="n">
        <v>11243</v>
      </c>
      <c r="J3531" s="637" t="inlineStr">
        <is>
          <t>GPN_11243</t>
        </is>
      </c>
      <c r="K3531" s="640" t="n">
        <v>3</v>
      </c>
      <c r="L3531" s="640" t="n">
        <v>1</v>
      </c>
      <c r="M3531" s="623" t="n">
        <v>3</v>
      </c>
      <c r="N3531" s="640" t="n"/>
      <c r="O3531" s="640">
        <f>IF(AND(N3531=1,L3531=1),K3531,"")</f>
        <v/>
      </c>
      <c r="P3531" s="642" t="inlineStr">
        <is>
          <t>г. Москва, Московский п., Боровское шоссе, 0,6 км</t>
        </is>
      </c>
      <c r="Q3531" s="640" t="n">
        <v>55.660008</v>
      </c>
      <c r="R3531" s="494" t="n">
        <v>37.419395</v>
      </c>
      <c r="W3531" s="387">
        <f>IF(AND(N3531=1,O3531&lt;&gt;""),C3531,"")</f>
        <v/>
      </c>
      <c r="Z3531" s="126" t="n"/>
    </row>
    <row r="3532" hidden="1" ht="16.05" customHeight="1">
      <c r="A3532" s="125" t="n">
        <v>4211</v>
      </c>
      <c r="B3532" s="791" t="n"/>
      <c r="C3532" s="130" t="inlineStr">
        <is>
          <t>Москва</t>
        </is>
      </c>
      <c r="D3532" s="130" t="inlineStr">
        <is>
          <t>Москва</t>
        </is>
      </c>
      <c r="E3532" s="130" t="n"/>
      <c r="F3532" s="130" t="inlineStr">
        <is>
          <t>АЗС</t>
        </is>
      </c>
      <c r="G3532" s="130" t="inlineStr">
        <is>
          <t>Газпромнефть</t>
        </is>
      </c>
      <c r="H3532" s="131" t="n"/>
      <c r="I3532" s="637" t="n">
        <v>11244</v>
      </c>
      <c r="J3532" s="637" t="inlineStr">
        <is>
          <t>GPN_11244</t>
        </is>
      </c>
      <c r="K3532" s="640" t="n">
        <v>3</v>
      </c>
      <c r="L3532" s="640" t="n">
        <v>1</v>
      </c>
      <c r="M3532" s="623" t="n">
        <v>3</v>
      </c>
      <c r="N3532" s="640" t="n"/>
      <c r="O3532" s="640">
        <f>IF(AND(N3532=1,L3532=1),K3532,"")</f>
        <v/>
      </c>
      <c r="P3532" s="642" t="inlineStr">
        <is>
          <t>г. Москва , Мосрентген п., д. Дудкино, 19 км Киевского шоссе</t>
        </is>
      </c>
      <c r="Q3532" s="640" t="inlineStr">
        <is>
          <t>55.63494</t>
        </is>
      </c>
      <c r="R3532" s="494" t="inlineStr">
        <is>
          <t>37.45187</t>
        </is>
      </c>
      <c r="W3532" s="387">
        <f>IF(AND(N3532=1,O3532&lt;&gt;""),C3532,"")</f>
        <v/>
      </c>
      <c r="Z3532" s="126" t="n"/>
    </row>
    <row r="3533" hidden="1" ht="16.05" customHeight="1">
      <c r="A3533" s="125" t="n">
        <v>4212</v>
      </c>
      <c r="B3533" s="791" t="n"/>
      <c r="C3533" s="130" t="inlineStr">
        <is>
          <t>Москва</t>
        </is>
      </c>
      <c r="D3533" s="130" t="inlineStr">
        <is>
          <t>Москва</t>
        </is>
      </c>
      <c r="E3533" s="130" t="n"/>
      <c r="F3533" s="130" t="inlineStr">
        <is>
          <t>АЗС</t>
        </is>
      </c>
      <c r="G3533" s="130" t="inlineStr">
        <is>
          <t>Газпромнефть</t>
        </is>
      </c>
      <c r="H3533" s="131" t="n"/>
      <c r="I3533" s="637" t="n">
        <v>11245</v>
      </c>
      <c r="J3533" s="637" t="inlineStr">
        <is>
          <t>GPN_11245</t>
        </is>
      </c>
      <c r="K3533" s="640" t="n">
        <v>3</v>
      </c>
      <c r="L3533" s="640" t="n">
        <v>1</v>
      </c>
      <c r="M3533" s="623" t="n">
        <v>3</v>
      </c>
      <c r="N3533" s="640" t="n"/>
      <c r="O3533" s="640">
        <f>IF(AND(N3533=1,L3533=1),K3533,"")</f>
        <v/>
      </c>
      <c r="P3533" s="642" t="inlineStr">
        <is>
          <t>г. Москва, п. Десеновское, дер. Десна, ул. Рябиновая, вл.17</t>
        </is>
      </c>
      <c r="Q3533" s="640" t="inlineStr">
        <is>
          <t>55.525986</t>
        </is>
      </c>
      <c r="R3533" s="494" t="inlineStr">
        <is>
          <t>37.386714</t>
        </is>
      </c>
      <c r="W3533" s="387">
        <f>IF(AND(N3533=1,O3533&lt;&gt;""),C3533,"")</f>
        <v/>
      </c>
      <c r="Z3533" s="126" t="n"/>
    </row>
    <row r="3534" hidden="1" ht="16.05" customHeight="1">
      <c r="A3534" s="125" t="n">
        <v>4213</v>
      </c>
      <c r="B3534" s="791" t="n"/>
      <c r="C3534" s="130" t="inlineStr">
        <is>
          <t>Москва</t>
        </is>
      </c>
      <c r="D3534" s="130" t="inlineStr">
        <is>
          <t>Москва</t>
        </is>
      </c>
      <c r="E3534" s="130" t="n"/>
      <c r="F3534" s="130" t="inlineStr">
        <is>
          <t>АЗС</t>
        </is>
      </c>
      <c r="G3534" s="130" t="inlineStr">
        <is>
          <t>Газпромнефть</t>
        </is>
      </c>
      <c r="H3534" s="131" t="n"/>
      <c r="I3534" s="637" t="n">
        <v>11275</v>
      </c>
      <c r="J3534" s="637" t="inlineStr">
        <is>
          <t>GPN_11275</t>
        </is>
      </c>
      <c r="K3534" s="640" t="n">
        <v>3</v>
      </c>
      <c r="L3534" s="640" t="n">
        <v>1</v>
      </c>
      <c r="M3534" s="623" t="n">
        <v>3</v>
      </c>
      <c r="N3534" s="640" t="n"/>
      <c r="O3534" s="640">
        <f>IF(AND(N3534=1,L3534=1),K3534,"")</f>
        <v/>
      </c>
      <c r="P3534" s="642" t="inlineStr">
        <is>
          <t>г. Москва, ул. Енисейская, вл. 46</t>
        </is>
      </c>
      <c r="Q3534" s="640" t="inlineStr">
        <is>
          <t>55.878339</t>
        </is>
      </c>
      <c r="R3534" s="494" t="inlineStr">
        <is>
          <t>37.669675</t>
        </is>
      </c>
      <c r="W3534" s="387">
        <f>IF(AND(N3534=1,O3534&lt;&gt;""),C3534,"")</f>
        <v/>
      </c>
      <c r="Z3534" s="126" t="n"/>
    </row>
    <row r="3535" hidden="1" ht="16.05" customHeight="1">
      <c r="A3535" s="125" t="n">
        <v>4214</v>
      </c>
      <c r="B3535" s="791" t="n"/>
      <c r="C3535" s="130" t="inlineStr">
        <is>
          <t>Москва</t>
        </is>
      </c>
      <c r="D3535" s="130" t="inlineStr">
        <is>
          <t>Московская область</t>
        </is>
      </c>
      <c r="E3535" s="130" t="n"/>
      <c r="F3535" s="130" t="inlineStr">
        <is>
          <t>АЗС</t>
        </is>
      </c>
      <c r="G3535" s="130" t="inlineStr">
        <is>
          <t>Газпромнефть</t>
        </is>
      </c>
      <c r="H3535" s="131" t="n"/>
      <c r="I3535" s="637" t="n">
        <v>11282</v>
      </c>
      <c r="J3535" s="637" t="inlineStr">
        <is>
          <t>GPN_11282</t>
        </is>
      </c>
      <c r="K3535" s="640" t="n">
        <v>3</v>
      </c>
      <c r="L3535" s="640" t="n">
        <v>1</v>
      </c>
      <c r="M3535" s="623" t="n">
        <v>4</v>
      </c>
      <c r="N3535" s="640" t="n"/>
      <c r="O3535" s="640">
        <f>IF(AND(N3535=1,L3535=1),K3535,"")</f>
        <v/>
      </c>
      <c r="P3535" s="642" t="inlineStr">
        <is>
          <t>Московская обл., городской округ Мытищи, г.Мытищи, Осташковское шоссе, сооружение 92.</t>
        </is>
      </c>
      <c r="Q3535" s="640" t="inlineStr">
        <is>
          <t>55.951542</t>
        </is>
      </c>
      <c r="R3535" s="494" t="inlineStr">
        <is>
          <t>37.652445</t>
        </is>
      </c>
      <c r="W3535" s="387">
        <f>IF(AND(N3535=1,O3535&lt;&gt;""),C3535,"")</f>
        <v/>
      </c>
      <c r="Z3535" s="126" t="n"/>
    </row>
    <row r="3536" hidden="1" ht="16.05" customHeight="1">
      <c r="A3536" s="125" t="n">
        <v>4215</v>
      </c>
      <c r="B3536" s="791" t="n"/>
      <c r="C3536" s="130" t="inlineStr">
        <is>
          <t>Москва</t>
        </is>
      </c>
      <c r="D3536" s="130" t="inlineStr">
        <is>
          <t>Московская область</t>
        </is>
      </c>
      <c r="E3536" s="130" t="n"/>
      <c r="F3536" s="130" t="inlineStr">
        <is>
          <t>АЗС</t>
        </is>
      </c>
      <c r="G3536" s="130" t="inlineStr">
        <is>
          <t>Газпромнефть</t>
        </is>
      </c>
      <c r="H3536" s="131" t="n"/>
      <c r="I3536" s="637" t="n">
        <v>11299</v>
      </c>
      <c r="J3536" s="637" t="inlineStr">
        <is>
          <t>GPN_11299</t>
        </is>
      </c>
      <c r="K3536" s="640" t="n">
        <v>1</v>
      </c>
      <c r="L3536" s="640" t="n">
        <v>1</v>
      </c>
      <c r="M3536" s="623" t="n">
        <v>1</v>
      </c>
      <c r="N3536" s="640" t="n"/>
      <c r="O3536" s="640">
        <f>IF(AND(N3536=1,L3536=1),K3536,"")</f>
        <v/>
      </c>
      <c r="P3536" s="642" t="inlineStr">
        <is>
          <t>Московская обл.,  г. Мытищи, ул. Мира, д. 40</t>
        </is>
      </c>
      <c r="Q3536" s="640" t="inlineStr">
        <is>
          <t>55.922378</t>
        </is>
      </c>
      <c r="R3536" s="494" t="inlineStr">
        <is>
          <t>37.715138</t>
        </is>
      </c>
      <c r="W3536" s="387">
        <f>IF(AND(N3536=1,O3536&lt;&gt;""),C3536,"")</f>
        <v/>
      </c>
      <c r="Z3536" s="126" t="n"/>
    </row>
    <row r="3537" hidden="1" ht="16.05" customHeight="1">
      <c r="A3537" s="125" t="n">
        <v>4216</v>
      </c>
      <c r="B3537" s="791" t="n"/>
      <c r="C3537" s="130" t="inlineStr">
        <is>
          <t>Москва</t>
        </is>
      </c>
      <c r="D3537" s="130" t="inlineStr">
        <is>
          <t>Московская область</t>
        </is>
      </c>
      <c r="E3537" s="130" t="n"/>
      <c r="F3537" s="130" t="inlineStr">
        <is>
          <t>АЗС</t>
        </is>
      </c>
      <c r="G3537" s="130" t="inlineStr">
        <is>
          <t>Газпромнефть</t>
        </is>
      </c>
      <c r="H3537" s="131" t="n"/>
      <c r="I3537" s="637" t="n">
        <v>12315</v>
      </c>
      <c r="J3537" s="637" t="inlineStr">
        <is>
          <t>GPN_12315</t>
        </is>
      </c>
      <c r="K3537" s="640" t="n">
        <v>3</v>
      </c>
      <c r="L3537" s="640" t="n">
        <v>1</v>
      </c>
      <c r="M3537" s="623" t="n">
        <v>3</v>
      </c>
      <c r="N3537" s="640" t="n"/>
      <c r="O3537" s="640">
        <f>IF(AND(N3537=1,L3537=1),K3537,"")</f>
        <v/>
      </c>
      <c r="P3537" s="642" t="inlineStr">
        <is>
          <t>Московская обл.,  Ленинский муниципальный район, пос. Володарского, Елохова роща, д. 1</t>
        </is>
      </c>
      <c r="Q3537" s="640" t="inlineStr">
        <is>
          <t>55.504731</t>
        </is>
      </c>
      <c r="R3537" s="494" t="inlineStr">
        <is>
          <t>37.954081</t>
        </is>
      </c>
      <c r="W3537" s="387">
        <f>IF(AND(N3537=1,O3537&lt;&gt;""),C3537,"")</f>
        <v/>
      </c>
      <c r="Z3537" s="126" t="n"/>
    </row>
    <row r="3538" hidden="1" ht="16.05" customHeight="1">
      <c r="A3538" s="125" t="n">
        <v>4217</v>
      </c>
      <c r="B3538" s="791" t="n"/>
      <c r="C3538" s="130" t="inlineStr">
        <is>
          <t>Москва</t>
        </is>
      </c>
      <c r="D3538" s="130" t="inlineStr">
        <is>
          <t>Московская область</t>
        </is>
      </c>
      <c r="E3538" s="130" t="n"/>
      <c r="F3538" s="130" t="inlineStr">
        <is>
          <t>АЗС</t>
        </is>
      </c>
      <c r="G3538" s="130" t="inlineStr">
        <is>
          <t>Газпромнефть</t>
        </is>
      </c>
      <c r="H3538" s="131" t="n"/>
      <c r="I3538" s="637" t="n">
        <v>12316</v>
      </c>
      <c r="J3538" s="637" t="inlineStr">
        <is>
          <t>GPN_12316</t>
        </is>
      </c>
      <c r="K3538" s="640" t="n">
        <v>3</v>
      </c>
      <c r="L3538" s="640" t="n">
        <v>1</v>
      </c>
      <c r="M3538" s="623" t="n">
        <v>3</v>
      </c>
      <c r="N3538" s="640" t="n"/>
      <c r="O3538" s="640">
        <f>IF(AND(N3538=1,L3538=1),K3538,"")</f>
        <v/>
      </c>
      <c r="P3538" s="642" t="inlineStr">
        <is>
          <t>Московская обл., г. Домодедово, мкр-н Востряково, строение 1, 43 км, М-4</t>
        </is>
      </c>
      <c r="Q3538" s="640" t="inlineStr">
        <is>
          <t>55.391263</t>
        </is>
      </c>
      <c r="R3538" s="494" t="inlineStr">
        <is>
          <t>37.77723</t>
        </is>
      </c>
      <c r="W3538" s="387">
        <f>IF(AND(N3538=1,O3538&lt;&gt;""),C3538,"")</f>
        <v/>
      </c>
      <c r="Z3538" s="126" t="n"/>
    </row>
    <row r="3539" hidden="1" ht="16.05" customHeight="1">
      <c r="A3539" s="125" t="n">
        <v>4218</v>
      </c>
      <c r="B3539" s="791" t="n"/>
      <c r="C3539" s="130" t="inlineStr">
        <is>
          <t>Москва</t>
        </is>
      </c>
      <c r="D3539" s="130" t="inlineStr">
        <is>
          <t>Московская область</t>
        </is>
      </c>
      <c r="E3539" s="130" t="n"/>
      <c r="F3539" s="130" t="inlineStr">
        <is>
          <t>АЗС</t>
        </is>
      </c>
      <c r="G3539" s="130" t="inlineStr">
        <is>
          <t>Газпромнефть</t>
        </is>
      </c>
      <c r="H3539" s="131" t="n"/>
      <c r="I3539" s="637" t="n">
        <v>12322</v>
      </c>
      <c r="J3539" s="637" t="inlineStr">
        <is>
          <t>GPN_12322</t>
        </is>
      </c>
      <c r="K3539" s="640" t="n">
        <v>3</v>
      </c>
      <c r="L3539" s="640" t="n">
        <v>1</v>
      </c>
      <c r="M3539" s="623" t="n">
        <v>3</v>
      </c>
      <c r="N3539" s="640" t="n"/>
      <c r="O3539" s="640">
        <f>IF(AND(N3539=1,L3539=1),K3539,"")</f>
        <v/>
      </c>
      <c r="P3539" s="642" t="inlineStr">
        <is>
          <t>Московская обл.,  Люберецкий район, пос. Котельники, Дзержинское шоссе, стр.7/1</t>
        </is>
      </c>
      <c r="Q3539" s="640" t="inlineStr">
        <is>
          <t>55.656174</t>
        </is>
      </c>
      <c r="R3539" s="494" t="inlineStr">
        <is>
          <t>37.857072</t>
        </is>
      </c>
      <c r="W3539" s="387">
        <f>IF(AND(N3539=1,O3539&lt;&gt;""),C3539,"")</f>
        <v/>
      </c>
      <c r="Z3539" s="126" t="n"/>
    </row>
    <row r="3540" hidden="1" ht="16.05" customHeight="1">
      <c r="A3540" s="125" t="n">
        <v>4219</v>
      </c>
      <c r="B3540" s="791" t="n"/>
      <c r="C3540" s="130" t="inlineStr">
        <is>
          <t>Москва</t>
        </is>
      </c>
      <c r="D3540" s="130" t="inlineStr">
        <is>
          <t>Московская область</t>
        </is>
      </c>
      <c r="E3540" s="130" t="n"/>
      <c r="F3540" s="130" t="inlineStr">
        <is>
          <t>АЗС</t>
        </is>
      </c>
      <c r="G3540" s="130" t="inlineStr">
        <is>
          <t>Газпромнефть</t>
        </is>
      </c>
      <c r="H3540" s="131" t="n"/>
      <c r="I3540" s="637" t="n">
        <v>12323</v>
      </c>
      <c r="J3540" s="637" t="inlineStr">
        <is>
          <t>GPN_12323</t>
        </is>
      </c>
      <c r="K3540" s="640" t="n">
        <v>3</v>
      </c>
      <c r="L3540" s="640" t="n">
        <v>1</v>
      </c>
      <c r="M3540" s="623" t="n">
        <v>3</v>
      </c>
      <c r="N3540" s="640" t="n"/>
      <c r="O3540" s="640">
        <f>IF(AND(N3540=1,L3540=1),K3540,"")</f>
        <v/>
      </c>
      <c r="P3540" s="642" t="inlineStr">
        <is>
          <t>Московская обл.,  г. Домодедово, Каширское ш. 54 км, стр. 2</t>
        </is>
      </c>
      <c r="Q3540" s="640" t="inlineStr">
        <is>
          <t>55.322967</t>
        </is>
      </c>
      <c r="R3540" s="494" t="inlineStr">
        <is>
          <t>37.806632</t>
        </is>
      </c>
      <c r="W3540" s="387">
        <f>IF(AND(N3540=1,O3540&lt;&gt;""),C3540,"")</f>
        <v/>
      </c>
      <c r="Z3540" s="126" t="n"/>
    </row>
    <row r="3541" hidden="1" ht="16.05" customHeight="1">
      <c r="A3541" s="125" t="n">
        <v>4220</v>
      </c>
      <c r="B3541" s="791" t="n"/>
      <c r="C3541" s="130" t="inlineStr">
        <is>
          <t>Москва</t>
        </is>
      </c>
      <c r="D3541" s="130" t="inlineStr">
        <is>
          <t>Московская область</t>
        </is>
      </c>
      <c r="E3541" s="130" t="n"/>
      <c r="F3541" s="130" t="inlineStr">
        <is>
          <t>АЗС</t>
        </is>
      </c>
      <c r="G3541" s="130" t="inlineStr">
        <is>
          <t>Газпромнефть</t>
        </is>
      </c>
      <c r="H3541" s="131" t="n"/>
      <c r="I3541" s="637" t="n">
        <v>12324</v>
      </c>
      <c r="J3541" s="637" t="inlineStr">
        <is>
          <t>GPN_12324</t>
        </is>
      </c>
      <c r="K3541" s="640" t="n">
        <v>3</v>
      </c>
      <c r="L3541" s="640" t="n">
        <v>1</v>
      </c>
      <c r="M3541" s="623" t="n">
        <v>3</v>
      </c>
      <c r="N3541" s="640" t="n"/>
      <c r="O3541" s="640">
        <f>IF(AND(N3541=1,L3541=1),K3541,"")</f>
        <v/>
      </c>
      <c r="P3541" s="642" t="inlineStr">
        <is>
          <t>Московская обл.,  Раменский район, с/п Чулковское, с.Михайловская слобода,ул.Шоссейная ,д.7</t>
        </is>
      </c>
      <c r="Q3541" s="640" t="inlineStr">
        <is>
          <t>55.54183</t>
        </is>
      </c>
      <c r="R3541" s="494" t="inlineStr">
        <is>
          <t>38.082666</t>
        </is>
      </c>
      <c r="W3541" s="387">
        <f>IF(AND(N3541=1,O3541&lt;&gt;""),C3541,"")</f>
        <v/>
      </c>
      <c r="Z3541" s="126" t="n"/>
    </row>
    <row r="3542" hidden="1" ht="16.05" customHeight="1">
      <c r="A3542" s="125" t="n">
        <v>4221</v>
      </c>
      <c r="B3542" s="791" t="n"/>
      <c r="C3542" s="130" t="inlineStr">
        <is>
          <t>Москва</t>
        </is>
      </c>
      <c r="D3542" s="130" t="inlineStr">
        <is>
          <t>Московская область</t>
        </is>
      </c>
      <c r="E3542" s="130" t="n"/>
      <c r="F3542" s="130" t="inlineStr">
        <is>
          <t>АЗС</t>
        </is>
      </c>
      <c r="G3542" s="130" t="inlineStr">
        <is>
          <t>Газпромнефть</t>
        </is>
      </c>
      <c r="H3542" s="131" t="n"/>
      <c r="I3542" s="637" t="n">
        <v>12326</v>
      </c>
      <c r="J3542" s="637" t="inlineStr">
        <is>
          <t>GPN_12326</t>
        </is>
      </c>
      <c r="K3542" s="640" t="n">
        <v>3</v>
      </c>
      <c r="L3542" s="640" t="n">
        <v>1</v>
      </c>
      <c r="M3542" s="623" t="n">
        <v>3</v>
      </c>
      <c r="N3542" s="640" t="n"/>
      <c r="O3542" s="640">
        <f>IF(AND(N3542=1,L3542=1),K3542,"")</f>
        <v/>
      </c>
      <c r="P3542" s="642" t="inlineStr">
        <is>
          <t>Московская обл., г. Раменское, ш. Северное, д. 1</t>
        </is>
      </c>
      <c r="Q3542" s="640" t="inlineStr">
        <is>
          <t>55.58267</t>
        </is>
      </c>
      <c r="R3542" s="494" t="inlineStr">
        <is>
          <t>38.216785</t>
        </is>
      </c>
      <c r="W3542" s="387">
        <f>IF(AND(N3542=1,O3542&lt;&gt;""),C3542,"")</f>
        <v/>
      </c>
      <c r="Z3542" s="126" t="n"/>
    </row>
    <row r="3543" hidden="1" ht="16.05" customHeight="1">
      <c r="A3543" s="125" t="n">
        <v>4222</v>
      </c>
      <c r="B3543" s="791" t="n"/>
      <c r="C3543" s="416" t="inlineStr">
        <is>
          <t>ЦФО (Калуга, Тула, Тверь, Рязань,Смоленск,Владимир,Воронеж, Ярославль)</t>
        </is>
      </c>
      <c r="D3543" s="130" t="inlineStr">
        <is>
          <t>Тульская область</t>
        </is>
      </c>
      <c r="E3543" s="130" t="n"/>
      <c r="F3543" s="130" t="inlineStr">
        <is>
          <t>АЗС</t>
        </is>
      </c>
      <c r="G3543" s="130" t="inlineStr">
        <is>
          <t>Газпромнефть</t>
        </is>
      </c>
      <c r="H3543" s="131" t="n"/>
      <c r="I3543" s="637" t="n">
        <v>12351</v>
      </c>
      <c r="J3543" s="637" t="inlineStr">
        <is>
          <t>GPN_12351</t>
        </is>
      </c>
      <c r="K3543" s="640" t="n">
        <v>3</v>
      </c>
      <c r="L3543" s="640" t="n">
        <v>1</v>
      </c>
      <c r="M3543" s="623" t="n">
        <v>5</v>
      </c>
      <c r="N3543" s="640" t="n"/>
      <c r="O3543" s="640">
        <f>IF(AND(N3543=1,L3543=1),K3543,"")</f>
        <v/>
      </c>
      <c r="P3543" s="642" t="inlineStr">
        <is>
          <t>Тульская обл., Щекинский район, 204 км ФАД М2, справа</t>
        </is>
      </c>
      <c r="Q3543" s="640" t="inlineStr">
        <is>
          <t>53.855627</t>
        </is>
      </c>
      <c r="R3543" s="494" t="inlineStr">
        <is>
          <t>37.432196</t>
        </is>
      </c>
      <c r="W3543" s="387">
        <f>IF(AND(N3543=1,O3543&lt;&gt;""),C3543,"")</f>
        <v/>
      </c>
      <c r="Z3543" s="126" t="n"/>
    </row>
    <row r="3544" hidden="1" ht="55.05" customHeight="1">
      <c r="A3544" s="125" t="n">
        <v>4223</v>
      </c>
      <c r="B3544" s="791" t="n"/>
      <c r="C3544" s="416" t="inlineStr">
        <is>
          <t>ЦФО (Калуга, Тула, Тверь, Рязань,Смоленск,Владимир,Воронеж, Ярославль)</t>
        </is>
      </c>
      <c r="D3544" s="130" t="inlineStr">
        <is>
          <t>Тверская область</t>
        </is>
      </c>
      <c r="E3544" s="130" t="n"/>
      <c r="F3544" s="130" t="inlineStr">
        <is>
          <t>АЗС</t>
        </is>
      </c>
      <c r="G3544" s="130" t="inlineStr">
        <is>
          <t>Газпромнефть</t>
        </is>
      </c>
      <c r="H3544" s="131" t="n"/>
      <c r="I3544" s="637" t="n">
        <v>12354</v>
      </c>
      <c r="J3544" s="637" t="inlineStr">
        <is>
          <t>GPN_12354</t>
        </is>
      </c>
      <c r="K3544" s="640" t="n">
        <v>3</v>
      </c>
      <c r="L3544" s="640" t="n">
        <v>1</v>
      </c>
      <c r="M3544" s="623" t="n">
        <v>6</v>
      </c>
      <c r="N3544" s="640" t="n"/>
      <c r="O3544" s="640">
        <f>IF(AND(N3544=1,L3544=1),K3544,"")</f>
        <v/>
      </c>
      <c r="P3544" s="642" t="inlineStr">
        <is>
          <t>Тверская обл., Нелидовский р-н, д. Подберезье 344 км+200 м М9 (справа)</t>
        </is>
      </c>
      <c r="Q3544" s="640" t="inlineStr">
        <is>
          <t>56.30879</t>
        </is>
      </c>
      <c r="R3544" s="494" t="inlineStr">
        <is>
          <t>32.422184</t>
        </is>
      </c>
      <c r="W3544" s="387">
        <f>IF(AND(N3544=1,O3544&lt;&gt;""),C3544,"")</f>
        <v/>
      </c>
      <c r="Z3544" s="126" t="n"/>
    </row>
    <row r="3545" hidden="1" ht="55.05" customHeight="1">
      <c r="A3545" s="125" t="n">
        <v>4224</v>
      </c>
      <c r="B3545" s="791" t="n"/>
      <c r="C3545" s="130" t="inlineStr">
        <is>
          <t>Екатеринбург</t>
        </is>
      </c>
      <c r="D3545" s="130" t="inlineStr">
        <is>
          <t>Свердловская область</t>
        </is>
      </c>
      <c r="E3545" s="130" t="n"/>
      <c r="F3545" s="130" t="inlineStr">
        <is>
          <t>АЗС</t>
        </is>
      </c>
      <c r="G3545" s="130" t="inlineStr">
        <is>
          <t>Газпромнефть</t>
        </is>
      </c>
      <c r="H3545" s="131" t="n"/>
      <c r="I3545" s="637" t="n">
        <v>20085</v>
      </c>
      <c r="J3545" s="637" t="inlineStr">
        <is>
          <t>GPN_20085</t>
        </is>
      </c>
      <c r="K3545" s="640" t="n">
        <v>3</v>
      </c>
      <c r="L3545" s="640" t="n">
        <v>1</v>
      </c>
      <c r="M3545" s="623" t="n">
        <v>5</v>
      </c>
      <c r="N3545" s="640" t="n"/>
      <c r="O3545" s="640">
        <f>IF(AND(N3545=1,L3545=1),K3545,"")</f>
        <v/>
      </c>
      <c r="P3545" s="642" t="inlineStr">
        <is>
          <t>Свердловская обл., г. Екатеринбург, с. Горный Щит</t>
        </is>
      </c>
      <c r="Q3545" s="640" t="inlineStr">
        <is>
          <t>56.689398</t>
        </is>
      </c>
      <c r="R3545" s="494" t="inlineStr">
        <is>
          <t>60.519662</t>
        </is>
      </c>
      <c r="W3545" s="387">
        <f>IF(AND(N3545=1,O3545&lt;&gt;""),C3545,"")</f>
        <v/>
      </c>
      <c r="Z3545" s="126" t="n"/>
    </row>
    <row r="3546" hidden="1" ht="16.05" customHeight="1">
      <c r="A3546" s="125" t="n">
        <v>4225</v>
      </c>
      <c r="B3546" s="791" t="n"/>
      <c r="C3546" s="130" t="inlineStr">
        <is>
          <t>Екатеринбург</t>
        </is>
      </c>
      <c r="D3546" s="130" t="inlineStr">
        <is>
          <t>Екатеринбург</t>
        </is>
      </c>
      <c r="E3546" s="130" t="n"/>
      <c r="F3546" s="130" t="inlineStr">
        <is>
          <t>АЗС</t>
        </is>
      </c>
      <c r="G3546" s="130" t="inlineStr">
        <is>
          <t>Газпромнефть</t>
        </is>
      </c>
      <c r="H3546" s="131" t="n"/>
      <c r="I3546" s="637" t="n">
        <v>20170</v>
      </c>
      <c r="J3546" s="637" t="inlineStr">
        <is>
          <t>GPN_20170</t>
        </is>
      </c>
      <c r="K3546" s="640" t="n">
        <v>3</v>
      </c>
      <c r="L3546" s="640" t="n">
        <v>1</v>
      </c>
      <c r="M3546" s="623" t="n">
        <v>5</v>
      </c>
      <c r="N3546" s="640" t="n"/>
      <c r="O3546" s="640">
        <f>IF(AND(N3546=1,L3546=1),K3546,"")</f>
        <v/>
      </c>
      <c r="P3546" s="642" t="inlineStr">
        <is>
          <t>Свердловская обл., г. Екатеринбург, ул.Сахарова, мкрн Академический (улица Рябинина, 32/2)</t>
        </is>
      </c>
      <c r="Q3546" s="640" t="inlineStr">
        <is>
          <t>56.782351</t>
        </is>
      </c>
      <c r="R3546" s="494" t="inlineStr">
        <is>
          <t>60.521378</t>
        </is>
      </c>
      <c r="W3546" s="387">
        <f>IF(AND(N3546=1,O3546&lt;&gt;""),C3546,"")</f>
        <v/>
      </c>
      <c r="Z3546" s="126" t="n"/>
    </row>
    <row r="3547" hidden="1" ht="16.05" customHeight="1">
      <c r="A3547" s="125" t="n">
        <v>4227</v>
      </c>
      <c r="B3547" s="791" t="n"/>
      <c r="C3547" s="130" t="inlineStr">
        <is>
          <t>Москва</t>
        </is>
      </c>
      <c r="D3547" s="130" t="inlineStr">
        <is>
          <t>Московская область</t>
        </is>
      </c>
      <c r="E3547" s="130" t="n"/>
      <c r="F3547" s="130" t="inlineStr">
        <is>
          <t>Супермаркет</t>
        </is>
      </c>
      <c r="G3547" s="130" t="inlineStr">
        <is>
          <t>Metro C&amp;C</t>
        </is>
      </c>
      <c r="H3547" s="131" t="n">
        <v>26931</v>
      </c>
      <c r="I3547" s="637" t="n">
        <v>1444</v>
      </c>
      <c r="J3547" s="637" t="inlineStr">
        <is>
          <t>Metro_1444</t>
        </is>
      </c>
      <c r="K3547" s="640" t="n">
        <v>15</v>
      </c>
      <c r="L3547" s="640" t="n">
        <v>1</v>
      </c>
      <c r="M3547" s="623" t="inlineStr">
        <is>
          <t>Samsung 32" вертикальный</t>
        </is>
      </c>
      <c r="N3547" s="640" t="n"/>
      <c r="O3547" s="640">
        <f>IF(AND(N3547=1,L3547=1),K3547,"")</f>
        <v/>
      </c>
      <c r="P3547" s="642" t="inlineStr">
        <is>
          <t>Московская область, г. Котельники, городской округ Котельники, Новорязанское ш., д.5.</t>
        </is>
      </c>
      <c r="Q3547" s="640" t="inlineStr">
        <is>
          <t>55.668376</t>
        </is>
      </c>
      <c r="R3547" s="494" t="inlineStr">
        <is>
          <t>37.865813</t>
        </is>
      </c>
      <c r="S3547" s="654" t="n">
        <v>485</v>
      </c>
      <c r="T3547" s="654">
        <f>IF(N3547=1,S3547*3,"0")</f>
        <v/>
      </c>
      <c r="U3547" s="655" t="n">
        <v>121189.5</v>
      </c>
      <c r="V3547" s="438">
        <f>IF(AND(N3547=1,U3547&lt;&gt;1),C3547,"")</f>
        <v/>
      </c>
      <c r="Z3547" s="126" t="n"/>
    </row>
    <row r="3548" hidden="1" ht="16.05" customHeight="1">
      <c r="A3548" s="125" t="n">
        <v>4226</v>
      </c>
      <c r="B3548" s="791" t="n"/>
      <c r="C3548" s="130" t="inlineStr">
        <is>
          <t>Москва</t>
        </is>
      </c>
      <c r="D3548" s="130" t="inlineStr">
        <is>
          <t>Москва</t>
        </is>
      </c>
      <c r="E3548" s="130" t="n"/>
      <c r="F3548" s="130" t="inlineStr">
        <is>
          <t>АЗС</t>
        </is>
      </c>
      <c r="G3548" s="130" t="inlineStr">
        <is>
          <t>Татнефть</t>
        </is>
      </c>
      <c r="H3548" s="131" t="n"/>
      <c r="I3548" s="637" t="inlineStr">
        <is>
          <t>49 (HOR)</t>
        </is>
      </c>
      <c r="J3548" s="637" t="inlineStr">
        <is>
          <t>TATN_049</t>
        </is>
      </c>
      <c r="K3548" s="640" t="n">
        <v>1</v>
      </c>
      <c r="L3548" s="640" t="n">
        <v>0</v>
      </c>
      <c r="M3548" s="640" t="inlineStr">
        <is>
          <t>Samsung 43" горизонтальный</t>
        </is>
      </c>
      <c r="N3548" s="640" t="n"/>
      <c r="O3548" s="640">
        <f>IF(AND(N3548=1,L3548=1),K3548,"")</f>
        <v/>
      </c>
      <c r="P3548" s="642" t="inlineStr">
        <is>
          <t>г. Москва, ул. Красных Зорь, стр.12</t>
        </is>
      </c>
      <c r="Q3548" s="640" t="inlineStr">
        <is>
          <t>55.7265801</t>
        </is>
      </c>
      <c r="R3548" s="422" t="inlineStr">
        <is>
          <t>37.4261486</t>
        </is>
      </c>
      <c r="X3548" s="1" t="n"/>
      <c r="Y3548" s="1" t="n"/>
      <c r="Z3548" s="1" t="n"/>
    </row>
    <row r="3549" hidden="1" ht="16.05" customHeight="1">
      <c r="A3549" s="125" t="n">
        <v>4228</v>
      </c>
      <c r="B3549" s="791" t="n"/>
      <c r="C3549" s="130" t="inlineStr">
        <is>
          <t>Санкт-Петербург</t>
        </is>
      </c>
      <c r="D3549" s="130" t="inlineStr">
        <is>
          <t>Ленинградская область</t>
        </is>
      </c>
      <c r="E3549" s="130" t="n"/>
      <c r="F3549" s="130" t="inlineStr">
        <is>
          <t>АЗС</t>
        </is>
      </c>
      <c r="G3549" s="130" t="inlineStr">
        <is>
          <t>Газпромнефть</t>
        </is>
      </c>
      <c r="H3549" s="131" t="n"/>
      <c r="I3549" s="637" t="n">
        <v>10027</v>
      </c>
      <c r="J3549" s="637" t="inlineStr">
        <is>
          <t>GPN_10027</t>
        </is>
      </c>
      <c r="K3549" s="640" t="n">
        <v>3</v>
      </c>
      <c r="L3549" s="640" t="n">
        <v>1</v>
      </c>
      <c r="M3549" s="623" t="n">
        <v>6</v>
      </c>
      <c r="N3549" s="640" t="n"/>
      <c r="O3549" s="640">
        <f>IF(AND(N3549=1,L3549=1),K3549,"")</f>
        <v/>
      </c>
      <c r="P3549" s="642" t="inlineStr">
        <is>
          <t>Ленинградская обл.,  п. Тярлево, Фильтровское шоссе, д.1</t>
        </is>
      </c>
      <c r="Q3549" s="640" t="inlineStr">
        <is>
          <t>59.711205</t>
        </is>
      </c>
      <c r="R3549" s="494" t="inlineStr">
        <is>
          <t>30.436835</t>
        </is>
      </c>
      <c r="U3549" s="655" t="n">
        <v>65851.875</v>
      </c>
      <c r="W3549" s="387">
        <f>IF(AND(N3549=1,O3549&lt;&gt;""),C3549,"")</f>
        <v/>
      </c>
    </row>
    <row r="3550" hidden="1" ht="16.05" customHeight="1">
      <c r="A3550" s="125" t="n">
        <v>4229</v>
      </c>
      <c r="B3550" s="791" t="n"/>
      <c r="C3550" s="130" t="inlineStr">
        <is>
          <t>Санкт-Петербург</t>
        </is>
      </c>
      <c r="D3550" s="130" t="inlineStr">
        <is>
          <t>Ленинградская область</t>
        </is>
      </c>
      <c r="E3550" s="130" t="n"/>
      <c r="F3550" s="130" t="inlineStr">
        <is>
          <t>АЗС</t>
        </is>
      </c>
      <c r="G3550" s="130" t="inlineStr">
        <is>
          <t>Газпромнефть</t>
        </is>
      </c>
      <c r="H3550" s="131" t="n"/>
      <c r="I3550" s="637" t="n">
        <v>10044</v>
      </c>
      <c r="J3550" s="637" t="inlineStr">
        <is>
          <t>GPN_10044</t>
        </is>
      </c>
      <c r="K3550" s="640" t="n">
        <v>3</v>
      </c>
      <c r="L3550" s="640" t="n">
        <v>1</v>
      </c>
      <c r="M3550" s="623" t="n">
        <v>5</v>
      </c>
      <c r="N3550" s="640" t="n"/>
      <c r="O3550" s="640">
        <f>IF(AND(N3550=1,L3550=1),K3550,"")</f>
        <v/>
      </c>
      <c r="P3550" s="642" t="inlineStr">
        <is>
          <t>г. Петергоф, Санкт-Петербургское шоссе, д. 130, корп. 1</t>
        </is>
      </c>
      <c r="Q3550" s="640" t="inlineStr">
        <is>
          <t>59.857884</t>
        </is>
      </c>
      <c r="R3550" s="494" t="inlineStr">
        <is>
          <t>30.003308</t>
        </is>
      </c>
      <c r="W3550" s="387">
        <f>IF(AND(N3550=1,O3550&lt;&gt;""),C3550,"")</f>
        <v/>
      </c>
      <c r="Z3550" s="1" t="n"/>
    </row>
    <row r="3551" hidden="1" ht="16.05" customHeight="1">
      <c r="A3551" s="125" t="n">
        <v>4230</v>
      </c>
      <c r="B3551" s="791" t="n"/>
      <c r="C3551" s="130" t="inlineStr">
        <is>
          <t>Краснодар</t>
        </is>
      </c>
      <c r="D3551" s="130" t="inlineStr">
        <is>
          <t>Краснодар</t>
        </is>
      </c>
      <c r="E3551" s="130" t="n"/>
      <c r="F3551" s="130" t="inlineStr">
        <is>
          <t>АЗС</t>
        </is>
      </c>
      <c r="G3551" s="130" t="inlineStr">
        <is>
          <t>Газпромнефть</t>
        </is>
      </c>
      <c r="H3551" s="131" t="n"/>
      <c r="I3551" s="637" t="n">
        <v>15003</v>
      </c>
      <c r="J3551" s="637" t="inlineStr">
        <is>
          <t>GPN_15003</t>
        </is>
      </c>
      <c r="K3551" s="640" t="n">
        <v>3</v>
      </c>
      <c r="L3551" s="640" t="n">
        <v>1</v>
      </c>
      <c r="M3551" s="623" t="n">
        <v>4</v>
      </c>
      <c r="N3551" s="640" t="n"/>
      <c r="O3551" s="640">
        <f>IF(AND(N3551=1,L3551=1),K3551,"")</f>
        <v/>
      </c>
      <c r="P3551" s="642" t="inlineStr">
        <is>
          <t>Краснодарский край, г.Краснодар, пос. Северный, ул.1-я Дорожная, д.33</t>
        </is>
      </c>
      <c r="Q3551" s="640" t="inlineStr">
        <is>
          <t>45.130589</t>
        </is>
      </c>
      <c r="R3551" s="494" t="inlineStr">
        <is>
          <t>38.996953</t>
        </is>
      </c>
      <c r="W3551" s="387">
        <f>IF(AND(N3551=1,O3551&lt;&gt;""),C3551,"")</f>
        <v/>
      </c>
      <c r="Z3551" s="1" t="n"/>
    </row>
    <row r="3552" hidden="1" ht="16.05" customHeight="1">
      <c r="A3552" s="125" t="n">
        <v>4231</v>
      </c>
      <c r="B3552" s="791" t="n"/>
      <c r="C3552" s="130" t="inlineStr">
        <is>
          <t>Екатеринбург</t>
        </is>
      </c>
      <c r="D3552" s="130" t="inlineStr">
        <is>
          <t>Свердловская область</t>
        </is>
      </c>
      <c r="E3552" s="130" t="n"/>
      <c r="F3552" s="130" t="inlineStr">
        <is>
          <t>АЗС</t>
        </is>
      </c>
      <c r="G3552" s="130" t="inlineStr">
        <is>
          <t>Газпромнефть</t>
        </is>
      </c>
      <c r="H3552" s="131" t="n"/>
      <c r="I3552" s="637" t="n">
        <v>25072</v>
      </c>
      <c r="J3552" s="637" t="inlineStr">
        <is>
          <t>GPN_25072</t>
        </is>
      </c>
      <c r="K3552" s="640" t="n">
        <v>3</v>
      </c>
      <c r="L3552" s="640" t="n">
        <v>1</v>
      </c>
      <c r="M3552" s="623" t="n">
        <v>6</v>
      </c>
      <c r="N3552" s="640" t="n"/>
      <c r="O3552" s="640">
        <f>IF(AND(N3552=1,L3552=1),K3552,"")</f>
        <v/>
      </c>
      <c r="P3552" s="642" t="inlineStr">
        <is>
          <t>Свердловская обл., п. Ильяты, трасса Екатеринбург-Пермь, 161км</t>
        </is>
      </c>
      <c r="Q3552" s="640" t="inlineStr">
        <is>
          <t>56.763869</t>
        </is>
      </c>
      <c r="R3552" s="494" t="inlineStr">
        <is>
          <t>58.14924</t>
        </is>
      </c>
      <c r="W3552" s="387">
        <f>IF(AND(N3552=1,O3552&lt;&gt;""),C3552,"")</f>
        <v/>
      </c>
      <c r="Z3552" s="1" t="n"/>
    </row>
    <row r="3553" hidden="1" ht="16.05" customHeight="1">
      <c r="A3553" s="125" t="n">
        <v>4232</v>
      </c>
      <c r="B3553" s="791" t="n"/>
      <c r="C3553" s="130" t="inlineStr">
        <is>
          <t>Екатеринбург</t>
        </is>
      </c>
      <c r="D3553" s="130" t="inlineStr">
        <is>
          <t>Свердловская область</t>
        </is>
      </c>
      <c r="E3553" s="130" t="n"/>
      <c r="F3553" s="130" t="inlineStr">
        <is>
          <t>АЗС</t>
        </is>
      </c>
      <c r="G3553" s="130" t="inlineStr">
        <is>
          <t>Газпромнефть</t>
        </is>
      </c>
      <c r="H3553" s="131" t="n"/>
      <c r="I3553" s="637" t="n">
        <v>25080</v>
      </c>
      <c r="J3553" s="637" t="inlineStr">
        <is>
          <t>GPN_25080</t>
        </is>
      </c>
      <c r="K3553" s="640" t="n">
        <v>3</v>
      </c>
      <c r="L3553" s="640" t="n">
        <v>1</v>
      </c>
      <c r="M3553" s="623" t="n">
        <v>5</v>
      </c>
      <c r="N3553" s="640" t="n"/>
      <c r="O3553" s="640">
        <f>IF(AND(N3553=1,L3553=1),K3553,"")</f>
        <v/>
      </c>
      <c r="P3553" s="642" t="inlineStr">
        <is>
          <t>Свердловская обл., п. Забельный, А/Д Екатеринбург-Серов, 86 км</t>
        </is>
      </c>
      <c r="Q3553" s="640" t="inlineStr">
        <is>
          <t>57.497765</t>
        </is>
      </c>
      <c r="R3553" s="494" t="inlineStr">
        <is>
          <t>60.173624</t>
        </is>
      </c>
      <c r="W3553" s="387">
        <f>IF(AND(N3553=1,O3553&lt;&gt;""),C3553,"")</f>
        <v/>
      </c>
      <c r="Z3553" s="1" t="n"/>
    </row>
    <row r="3554" hidden="1" ht="16.05" customHeight="1">
      <c r="A3554" s="125" t="n">
        <v>4233</v>
      </c>
      <c r="B3554" s="791" t="n"/>
      <c r="C3554" s="130" t="inlineStr">
        <is>
          <t>Екатеринбург</t>
        </is>
      </c>
      <c r="D3554" s="130" t="inlineStr">
        <is>
          <t>Свердловская область</t>
        </is>
      </c>
      <c r="E3554" s="130" t="n"/>
      <c r="F3554" s="130" t="inlineStr">
        <is>
          <t>АЗС</t>
        </is>
      </c>
      <c r="G3554" s="130" t="inlineStr">
        <is>
          <t>Газпромнефть</t>
        </is>
      </c>
      <c r="H3554" s="131" t="n"/>
      <c r="I3554" s="637" t="n">
        <v>25164</v>
      </c>
      <c r="J3554" s="637" t="inlineStr">
        <is>
          <t>GPN_25164</t>
        </is>
      </c>
      <c r="K3554" s="640" t="n">
        <v>3</v>
      </c>
      <c r="L3554" s="640" t="n">
        <v>1</v>
      </c>
      <c r="M3554" s="623" t="n">
        <v>6</v>
      </c>
      <c r="N3554" s="640" t="n"/>
      <c r="O3554" s="640">
        <f>IF(AND(N3554=1,L3554=1),K3554,"")</f>
        <v/>
      </c>
      <c r="P3554" s="642" t="inlineStr">
        <is>
          <t xml:space="preserve">Свердловская обл., п.Евстюниха, Р352 (а/д Екатеринбург-Серов 151 км, справа) </t>
        </is>
      </c>
      <c r="Q3554" s="640" t="inlineStr">
        <is>
          <t>57.992131</t>
        </is>
      </c>
      <c r="R3554" s="494" t="inlineStr">
        <is>
          <t>59.856269</t>
        </is>
      </c>
      <c r="W3554" s="387">
        <f>IF(AND(N3554=1,O3554&lt;&gt;""),C3554,"")</f>
        <v/>
      </c>
      <c r="Z3554" s="1" t="n"/>
    </row>
    <row r="3555" hidden="1" ht="16.05" customHeight="1">
      <c r="A3555" s="125" t="n">
        <v>4236</v>
      </c>
      <c r="B3555" s="125" t="inlineStr">
        <is>
          <t>WF</t>
        </is>
      </c>
      <c r="C3555" s="130" t="inlineStr">
        <is>
          <t>Москва</t>
        </is>
      </c>
      <c r="D3555" s="130" t="inlineStr">
        <is>
          <t>Москва</t>
        </is>
      </c>
      <c r="E3555" s="130" t="n"/>
      <c r="F3555" s="130" t="inlineStr">
        <is>
          <t>АЗС</t>
        </is>
      </c>
      <c r="G3555" s="130" t="inlineStr">
        <is>
          <t>Лукойл</t>
        </is>
      </c>
      <c r="H3555" s="637" t="n">
        <v>1</v>
      </c>
      <c r="I3555" s="637" t="n">
        <v>77701</v>
      </c>
      <c r="J3555" s="637" t="inlineStr">
        <is>
          <t>MSK_EKA_001</t>
        </is>
      </c>
      <c r="K3555" s="640" t="n">
        <v>1</v>
      </c>
      <c r="L3555" s="640" t="n">
        <v>0</v>
      </c>
      <c r="M3555" s="623" t="inlineStr">
        <is>
          <t>Экран 24" вертикальный</t>
        </is>
      </c>
      <c r="N3555" s="640" t="n"/>
      <c r="O3555" s="640">
        <f>IF(AND(N3555=1,L3555=1),K3555,"")</f>
        <v/>
      </c>
      <c r="P3555" s="642" t="inlineStr">
        <is>
          <t>г. Москва, Ярославское шоссе, соор. 113/2</t>
        </is>
      </c>
      <c r="Q3555" s="640" t="inlineStr">
        <is>
          <t>55.86991</t>
        </is>
      </c>
      <c r="R3555" s="422" t="inlineStr">
        <is>
          <t>37.709731</t>
        </is>
      </c>
      <c r="Z3555" s="1" t="n"/>
    </row>
    <row r="3556" hidden="1" ht="16.05" customHeight="1">
      <c r="A3556" s="125" t="n">
        <v>4234</v>
      </c>
      <c r="B3556" s="791" t="n"/>
      <c r="C3556" s="130" t="inlineStr">
        <is>
          <t>Москва</t>
        </is>
      </c>
      <c r="D3556" s="130" t="inlineStr">
        <is>
          <t>Москва</t>
        </is>
      </c>
      <c r="E3556" s="130" t="n"/>
      <c r="F3556" s="130" t="inlineStr">
        <is>
          <t>АЗС</t>
        </is>
      </c>
      <c r="G3556" s="130" t="inlineStr">
        <is>
          <t>Татнефть</t>
        </is>
      </c>
      <c r="H3556" s="131" t="n"/>
      <c r="I3556" s="637" t="inlineStr">
        <is>
          <t>47 (HOR)</t>
        </is>
      </c>
      <c r="J3556" s="637" t="inlineStr">
        <is>
          <t>TATN_047</t>
        </is>
      </c>
      <c r="K3556" s="640" t="n">
        <v>1</v>
      </c>
      <c r="L3556" s="640" t="n">
        <v>0</v>
      </c>
      <c r="M3556" s="640" t="inlineStr">
        <is>
          <t>Samsung 43" горизонтальный</t>
        </is>
      </c>
      <c r="N3556" s="640" t="n"/>
      <c r="O3556" s="640">
        <f>IF(AND(N3556=1,L3556=1),K3556,"")</f>
        <v/>
      </c>
      <c r="P3556" s="642" t="inlineStr">
        <is>
          <t>г. Москва, Звенигродское шоссе, влд. 28а, соор.1</t>
        </is>
      </c>
      <c r="Q3556" s="640" t="inlineStr">
        <is>
          <t>55.766253</t>
        </is>
      </c>
      <c r="R3556" s="422" t="inlineStr">
        <is>
          <t>37.53976</t>
        </is>
      </c>
      <c r="X3556" s="1" t="n"/>
      <c r="Y3556" s="1" t="n"/>
      <c r="Z3556" s="1" t="n"/>
    </row>
    <row r="3557" hidden="1" ht="16.05" customHeight="1">
      <c r="A3557" s="125" t="n">
        <v>4235</v>
      </c>
      <c r="B3557" s="791" t="n"/>
      <c r="C3557" s="130" t="inlineStr">
        <is>
          <t>Москва</t>
        </is>
      </c>
      <c r="D3557" s="130" t="inlineStr">
        <is>
          <t>Москва</t>
        </is>
      </c>
      <c r="E3557" s="130" t="n"/>
      <c r="F3557" s="130" t="inlineStr">
        <is>
          <t>АЗС</t>
        </is>
      </c>
      <c r="G3557" s="130" t="inlineStr">
        <is>
          <t>Татнефть</t>
        </is>
      </c>
      <c r="H3557" s="131" t="n"/>
      <c r="I3557" s="637" t="inlineStr">
        <is>
          <t>50 (HOR)</t>
        </is>
      </c>
      <c r="J3557" s="637" t="inlineStr">
        <is>
          <t>TATN_050</t>
        </is>
      </c>
      <c r="K3557" s="640" t="n">
        <v>1</v>
      </c>
      <c r="L3557" s="640" t="n">
        <v>0</v>
      </c>
      <c r="M3557" s="640" t="inlineStr">
        <is>
          <t>Samsung 43" горизонтальный</t>
        </is>
      </c>
      <c r="N3557" s="640" t="n"/>
      <c r="O3557" s="640">
        <f>IF(AND(N3557=1,L3557=1),K3557,"")</f>
        <v/>
      </c>
      <c r="P3557" s="642" t="inlineStr">
        <is>
          <t>г. Москва, ул.Курчатова Академика, д.10</t>
        </is>
      </c>
      <c r="Q3557" s="640" t="inlineStr">
        <is>
          <t>55.812125</t>
        </is>
      </c>
      <c r="R3557" s="422" t="inlineStr">
        <is>
          <t>37.475091</t>
        </is>
      </c>
      <c r="X3557" s="1" t="n"/>
      <c r="Y3557" s="1" t="n"/>
      <c r="Z3557" s="1" t="n"/>
    </row>
    <row r="3558" hidden="1" ht="16.05" customHeight="1">
      <c r="A3558" s="125" t="n">
        <v>4237</v>
      </c>
      <c r="B3558" s="125" t="inlineStr">
        <is>
          <t>WF</t>
        </is>
      </c>
      <c r="C3558" s="130" t="inlineStr">
        <is>
          <t>Москва</t>
        </is>
      </c>
      <c r="D3558" s="130" t="inlineStr">
        <is>
          <t>Москва</t>
        </is>
      </c>
      <c r="E3558" s="130" t="n"/>
      <c r="F3558" s="130" t="inlineStr">
        <is>
          <t>АЗС</t>
        </is>
      </c>
      <c r="G3558" s="130" t="inlineStr">
        <is>
          <t>Лукойл (ЕКА)</t>
        </is>
      </c>
      <c r="H3558" s="637" t="n">
        <v>3</v>
      </c>
      <c r="I3558" s="637" t="n">
        <v>77703</v>
      </c>
      <c r="J3558" s="637" t="inlineStr">
        <is>
          <t>MSK_EKA_003</t>
        </is>
      </c>
      <c r="K3558" s="640" t="n">
        <v>1</v>
      </c>
      <c r="L3558" s="640" t="n">
        <v>0</v>
      </c>
      <c r="M3558" s="640" t="inlineStr">
        <is>
          <t>Экран 24" вертикальный</t>
        </is>
      </c>
      <c r="N3558" s="640" t="n"/>
      <c r="O3558" s="640">
        <f>IF(AND(N3558=1,L3558=1),K3558,"")</f>
        <v/>
      </c>
      <c r="P3558" s="642" t="inlineStr">
        <is>
          <t xml:space="preserve">г. Москва, Мосрентген п., д. Мамыри, вл. 1а </t>
        </is>
      </c>
      <c r="Q3558" s="640" t="inlineStr">
        <is>
          <t>55.603486</t>
        </is>
      </c>
      <c r="R3558" s="422" t="inlineStr">
        <is>
          <t>37.483957</t>
        </is>
      </c>
      <c r="Z3558" s="1" t="n"/>
    </row>
    <row r="3559" hidden="1" ht="16.05" customHeight="1">
      <c r="A3559" s="125" t="n">
        <v>4238</v>
      </c>
      <c r="B3559" s="125" t="inlineStr">
        <is>
          <t>WF</t>
        </is>
      </c>
      <c r="C3559" s="130" t="inlineStr">
        <is>
          <t>Москва</t>
        </is>
      </c>
      <c r="D3559" s="130" t="inlineStr">
        <is>
          <t>Москва</t>
        </is>
      </c>
      <c r="E3559" s="130" t="n"/>
      <c r="F3559" s="130" t="inlineStr">
        <is>
          <t>АЗС</t>
        </is>
      </c>
      <c r="G3559" s="130" t="inlineStr">
        <is>
          <t>Лукойл</t>
        </is>
      </c>
      <c r="H3559" s="637" t="n">
        <v>9</v>
      </c>
      <c r="I3559" s="637" t="n">
        <v>77709</v>
      </c>
      <c r="J3559" s="637" t="inlineStr">
        <is>
          <t>MSK_EKA_009</t>
        </is>
      </c>
      <c r="K3559" s="640" t="n">
        <v>1</v>
      </c>
      <c r="L3559" s="640" t="n">
        <v>0</v>
      </c>
      <c r="M3559" s="623" t="inlineStr">
        <is>
          <t>Экран 24" вертикальный</t>
        </is>
      </c>
      <c r="N3559" s="640" t="n"/>
      <c r="O3559" s="640">
        <f>IF(AND(N3559=1,L3559=1),K3559,"")</f>
        <v/>
      </c>
      <c r="P3559" s="642" t="inlineStr">
        <is>
          <t xml:space="preserve">Каширское ш., вл 57Д </t>
        </is>
      </c>
      <c r="Q3559" s="640" t="inlineStr">
        <is>
          <t>55.633861</t>
        </is>
      </c>
      <c r="R3559" s="422" t="inlineStr">
        <is>
          <t>37.702562</t>
        </is>
      </c>
      <c r="Z3559" s="1" t="n"/>
    </row>
    <row r="3560" hidden="1" ht="16.05" customHeight="1">
      <c r="A3560" s="125" t="n">
        <v>4239</v>
      </c>
      <c r="B3560" s="125" t="inlineStr">
        <is>
          <t>WF</t>
        </is>
      </c>
      <c r="C3560" s="130" t="inlineStr">
        <is>
          <t>Москва</t>
        </is>
      </c>
      <c r="D3560" s="130" t="inlineStr">
        <is>
          <t>Москва</t>
        </is>
      </c>
      <c r="E3560" s="130" t="n"/>
      <c r="F3560" s="130" t="inlineStr">
        <is>
          <t>АЗС</t>
        </is>
      </c>
      <c r="G3560" s="130" t="inlineStr">
        <is>
          <t>Лукойл (ЕКА)</t>
        </is>
      </c>
      <c r="H3560" s="637" t="n">
        <v>10</v>
      </c>
      <c r="I3560" s="637" t="n">
        <v>77710</v>
      </c>
      <c r="J3560" s="637" t="inlineStr">
        <is>
          <t>MSK_EKA_010</t>
        </is>
      </c>
      <c r="K3560" s="640" t="n">
        <v>1</v>
      </c>
      <c r="L3560" s="640" t="n">
        <v>0</v>
      </c>
      <c r="M3560" s="640" t="inlineStr">
        <is>
          <t>Экран 24" вертикальный</t>
        </is>
      </c>
      <c r="N3560" s="640" t="n"/>
      <c r="O3560" s="640">
        <f>IF(AND(N3560=1,L3560=1),K3560,"")</f>
        <v/>
      </c>
      <c r="P3560" s="642" t="inlineStr">
        <is>
          <t>г. Москва, внутригородская территория муниципальный округ Можайский, 52-й километр МКАД, соор. 3</t>
        </is>
      </c>
      <c r="Q3560" s="640" t="inlineStr">
        <is>
          <t>55.700902</t>
        </is>
      </c>
      <c r="R3560" s="422" t="inlineStr">
        <is>
          <t>37.398806</t>
        </is>
      </c>
      <c r="Z3560" s="1" t="n"/>
    </row>
    <row r="3561" hidden="1" ht="16.05" customHeight="1">
      <c r="A3561" s="125" t="n">
        <v>4240</v>
      </c>
      <c r="B3561" s="125" t="inlineStr">
        <is>
          <t>WF</t>
        </is>
      </c>
      <c r="C3561" s="130" t="inlineStr">
        <is>
          <t>Москва</t>
        </is>
      </c>
      <c r="D3561" s="130" t="inlineStr">
        <is>
          <t>Москва</t>
        </is>
      </c>
      <c r="E3561" s="130" t="n"/>
      <c r="F3561" s="130" t="inlineStr">
        <is>
          <t>АЗС</t>
        </is>
      </c>
      <c r="G3561" s="130" t="inlineStr">
        <is>
          <t>Лукойл</t>
        </is>
      </c>
      <c r="H3561" s="637" t="n">
        <v>11</v>
      </c>
      <c r="I3561" s="637" t="n">
        <v>77711</v>
      </c>
      <c r="J3561" s="637" t="inlineStr">
        <is>
          <t>MSK_EKA_011</t>
        </is>
      </c>
      <c r="K3561" s="640" t="n">
        <v>1</v>
      </c>
      <c r="L3561" s="640" t="n">
        <v>0</v>
      </c>
      <c r="M3561" s="623" t="inlineStr">
        <is>
          <t>Экран 24" вертикальный</t>
        </is>
      </c>
      <c r="N3561" s="640" t="n"/>
      <c r="O3561" s="640">
        <f>IF(AND(N3561=1,L3561=1),K3561,"")</f>
        <v/>
      </c>
      <c r="P3561" s="642" t="inlineStr">
        <is>
          <t>г. Москва, Новоорловская ул., влд. 3Б, соор. 1</t>
        </is>
      </c>
      <c r="Q3561" s="640" t="inlineStr">
        <is>
          <t>55.637698</t>
        </is>
      </c>
      <c r="R3561" s="422" t="inlineStr">
        <is>
          <t>37.366089</t>
        </is>
      </c>
      <c r="Z3561" s="1" t="n"/>
    </row>
    <row r="3562" hidden="1" ht="16.05" customHeight="1">
      <c r="A3562" s="125" t="n">
        <v>4241</v>
      </c>
      <c r="B3562" s="791" t="n"/>
      <c r="C3562" s="130" t="inlineStr">
        <is>
          <t>Москва</t>
        </is>
      </c>
      <c r="D3562" s="130" t="inlineStr">
        <is>
          <t>Москва</t>
        </is>
      </c>
      <c r="E3562" s="130" t="n"/>
      <c r="F3562" s="130" t="inlineStr">
        <is>
          <t>АЗС</t>
        </is>
      </c>
      <c r="G3562" s="130" t="inlineStr">
        <is>
          <t>Лукойл</t>
        </is>
      </c>
      <c r="H3562" s="637" t="n">
        <v>12</v>
      </c>
      <c r="I3562" s="637" t="n">
        <v>77712</v>
      </c>
      <c r="J3562" s="637" t="inlineStr">
        <is>
          <t>MSK_EKA_012</t>
        </is>
      </c>
      <c r="K3562" s="640" t="n">
        <v>1</v>
      </c>
      <c r="L3562" s="640" t="n">
        <v>0</v>
      </c>
      <c r="M3562" s="623" t="inlineStr">
        <is>
          <t>Экран 24" вертикальный</t>
        </is>
      </c>
      <c r="N3562" s="640" t="n"/>
      <c r="O3562" s="640">
        <f>IF(AND(N3562=1,L3562=1),K3562,"")</f>
        <v/>
      </c>
      <c r="P3562" s="642" t="inlineStr">
        <is>
          <t>г. Москва, внутригородская территория муниципальный округ Можайский, Горбунова ул., соор. 5</t>
        </is>
      </c>
      <c r="Q3562" s="640" t="n">
        <v>55.722137</v>
      </c>
      <c r="R3562" s="422" t="n">
        <v>37.389418</v>
      </c>
      <c r="Z3562" s="1" t="n"/>
    </row>
    <row r="3563" hidden="1" ht="16.05" customHeight="1">
      <c r="A3563" s="125" t="n">
        <v>4242</v>
      </c>
      <c r="B3563" s="125" t="inlineStr">
        <is>
          <t>WF</t>
        </is>
      </c>
      <c r="C3563" s="130" t="inlineStr">
        <is>
          <t>Москва</t>
        </is>
      </c>
      <c r="D3563" s="130" t="inlineStr">
        <is>
          <t>Москва</t>
        </is>
      </c>
      <c r="E3563" s="130" t="n"/>
      <c r="F3563" s="130" t="inlineStr">
        <is>
          <t>АЗС</t>
        </is>
      </c>
      <c r="G3563" s="130" t="inlineStr">
        <is>
          <t>Лукойл</t>
        </is>
      </c>
      <c r="H3563" s="637" t="n">
        <v>14</v>
      </c>
      <c r="I3563" s="637" t="n">
        <v>77714</v>
      </c>
      <c r="J3563" s="637" t="inlineStr">
        <is>
          <t>MSK_EKA_014</t>
        </is>
      </c>
      <c r="K3563" s="640" t="n">
        <v>1</v>
      </c>
      <c r="L3563" s="640" t="n">
        <v>0</v>
      </c>
      <c r="M3563" s="623" t="inlineStr">
        <is>
          <t>Экран 24" вертикальный</t>
        </is>
      </c>
      <c r="N3563" s="640" t="n"/>
      <c r="O3563" s="640">
        <f>IF(AND(N3563=1,L3563=1),K3563,"")</f>
        <v/>
      </c>
      <c r="P3563" s="642" t="inlineStr">
        <is>
          <t>г. Москва, Боровское шоссе, вл. 12</t>
        </is>
      </c>
      <c r="Q3563" s="640" t="inlineStr">
        <is>
          <t>55.652436</t>
        </is>
      </c>
      <c r="R3563" s="422" t="inlineStr">
        <is>
          <t>37.375764</t>
        </is>
      </c>
      <c r="Z3563" s="1" t="n"/>
    </row>
    <row r="3564" hidden="1" ht="16.05" customHeight="1">
      <c r="A3564" s="125" t="n">
        <v>4243</v>
      </c>
      <c r="B3564" s="125" t="inlineStr">
        <is>
          <t>WF</t>
        </is>
      </c>
      <c r="C3564" s="130" t="inlineStr">
        <is>
          <t>Москва</t>
        </is>
      </c>
      <c r="D3564" s="130" t="inlineStr">
        <is>
          <t>Москва</t>
        </is>
      </c>
      <c r="E3564" s="130" t="n"/>
      <c r="F3564" s="130" t="inlineStr">
        <is>
          <t>АЗС</t>
        </is>
      </c>
      <c r="G3564" s="130" t="inlineStr">
        <is>
          <t>Лукойл</t>
        </is>
      </c>
      <c r="H3564" s="637" t="n">
        <v>17</v>
      </c>
      <c r="I3564" s="637" t="n">
        <v>77717</v>
      </c>
      <c r="J3564" s="637" t="inlineStr">
        <is>
          <t>MSK_EKA_017</t>
        </is>
      </c>
      <c r="K3564" s="640" t="n">
        <v>1</v>
      </c>
      <c r="L3564" s="640" t="n">
        <v>0</v>
      </c>
      <c r="M3564" s="623" t="inlineStr">
        <is>
          <t>Экран 24" вертикальный</t>
        </is>
      </c>
      <c r="N3564" s="640" t="n"/>
      <c r="O3564" s="640">
        <f>IF(AND(N3564=1,L3564=1),K3564,"")</f>
        <v/>
      </c>
      <c r="P3564" s="642" t="inlineStr">
        <is>
          <t>г. Москва, Варшавское ш., влд. 148А, соор.1</t>
        </is>
      </c>
      <c r="Q3564" s="640" t="inlineStr">
        <is>
          <t>55.601106</t>
        </is>
      </c>
      <c r="R3564" s="422" t="inlineStr">
        <is>
          <t>37.603693</t>
        </is>
      </c>
      <c r="Z3564" s="1" t="n"/>
    </row>
    <row r="3565" hidden="1" ht="16.05" customHeight="1">
      <c r="A3565" s="125" t="n">
        <v>4244</v>
      </c>
      <c r="B3565" s="791" t="n"/>
      <c r="C3565" s="130" t="inlineStr">
        <is>
          <t>Москва</t>
        </is>
      </c>
      <c r="D3565" s="130" t="inlineStr">
        <is>
          <t>Москва</t>
        </is>
      </c>
      <c r="E3565" s="130" t="n"/>
      <c r="F3565" s="130" t="inlineStr">
        <is>
          <t>АЗС</t>
        </is>
      </c>
      <c r="G3565" s="130" t="inlineStr">
        <is>
          <t>Лукойл</t>
        </is>
      </c>
      <c r="H3565" s="637" t="n">
        <v>19</v>
      </c>
      <c r="I3565" s="637" t="n">
        <v>77719</v>
      </c>
      <c r="J3565" s="637" t="inlineStr">
        <is>
          <t>MSK_EKA_019</t>
        </is>
      </c>
      <c r="K3565" s="640" t="n">
        <v>1</v>
      </c>
      <c r="L3565" s="640" t="n">
        <v>0</v>
      </c>
      <c r="M3565" s="623" t="inlineStr">
        <is>
          <t>Экран 24" вертикальный</t>
        </is>
      </c>
      <c r="N3565" s="640" t="n"/>
      <c r="O3565" s="640">
        <f>IF(AND(N3565=1,L3565=1),K3565,"")</f>
        <v/>
      </c>
      <c r="P3565" s="642" t="inlineStr">
        <is>
          <t>г. Москва, 22-й км МКАД , влд. 10, соор. 1</t>
        </is>
      </c>
      <c r="Q3565" s="640" t="n">
        <v>55.59749</v>
      </c>
      <c r="R3565" s="422" t="n">
        <v>37.743893</v>
      </c>
      <c r="Z3565" s="1" t="n"/>
    </row>
    <row r="3566" hidden="1" ht="16.05" customHeight="1">
      <c r="A3566" s="125" t="n">
        <v>4245</v>
      </c>
      <c r="B3566" s="125" t="inlineStr">
        <is>
          <t>WF</t>
        </is>
      </c>
      <c r="C3566" s="130" t="inlineStr">
        <is>
          <t>Москва</t>
        </is>
      </c>
      <c r="D3566" s="130" t="inlineStr">
        <is>
          <t>Москва</t>
        </is>
      </c>
      <c r="E3566" s="130" t="n"/>
      <c r="F3566" s="130" t="inlineStr">
        <is>
          <t>АЗС</t>
        </is>
      </c>
      <c r="G3566" s="130" t="inlineStr">
        <is>
          <t>Лукойл</t>
        </is>
      </c>
      <c r="H3566" s="637" t="n">
        <v>20</v>
      </c>
      <c r="I3566" s="637" t="n">
        <v>77720</v>
      </c>
      <c r="J3566" s="637" t="inlineStr">
        <is>
          <t>MSK_EKA_020</t>
        </is>
      </c>
      <c r="K3566" s="640" t="n">
        <v>1</v>
      </c>
      <c r="L3566" s="640" t="n">
        <v>0</v>
      </c>
      <c r="M3566" s="623" t="inlineStr">
        <is>
          <t>Экран 24" вертикальный</t>
        </is>
      </c>
      <c r="N3566" s="640" t="n"/>
      <c r="O3566" s="640">
        <f>IF(AND(N3566=1,L3566=1),K3566,"")</f>
        <v/>
      </c>
      <c r="P3566" s="642" t="inlineStr">
        <is>
          <t>г. Москва, Сталеваров ул., вл. 12 А, соор. 1</t>
        </is>
      </c>
      <c r="Q3566" s="640" t="inlineStr">
        <is>
          <t>55.760616</t>
        </is>
      </c>
      <c r="R3566" s="422" t="inlineStr">
        <is>
          <t>37.839106</t>
        </is>
      </c>
      <c r="Z3566" s="1" t="n"/>
    </row>
    <row r="3567" hidden="1" ht="16.05" customHeight="1">
      <c r="A3567" s="125" t="n">
        <v>4246</v>
      </c>
      <c r="B3567" s="791" t="n"/>
      <c r="C3567" s="130" t="inlineStr">
        <is>
          <t>Москва</t>
        </is>
      </c>
      <c r="D3567" s="130" t="inlineStr">
        <is>
          <t>Москва</t>
        </is>
      </c>
      <c r="E3567" s="130" t="n"/>
      <c r="F3567" s="130" t="inlineStr">
        <is>
          <t>АЗС</t>
        </is>
      </c>
      <c r="G3567" s="130" t="inlineStr">
        <is>
          <t>Лукойл</t>
        </is>
      </c>
      <c r="H3567" s="637" t="n">
        <v>21</v>
      </c>
      <c r="I3567" s="637" t="n">
        <v>77721</v>
      </c>
      <c r="J3567" s="637" t="inlineStr">
        <is>
          <t>MSK_EKA_021</t>
        </is>
      </c>
      <c r="K3567" s="640" t="n">
        <v>1</v>
      </c>
      <c r="L3567" s="640" t="n">
        <v>0</v>
      </c>
      <c r="M3567" s="623" t="inlineStr">
        <is>
          <t>Экран 24" вертикальный</t>
        </is>
      </c>
      <c r="N3567" s="640" t="n"/>
      <c r="O3567" s="640">
        <f>IF(AND(N3567=1,L3567=1),K3567,"")</f>
        <v/>
      </c>
      <c r="P3567" s="642" t="inlineStr">
        <is>
          <t>г. Москва, внутригородская территория муниципальный округ Орехово-Борисово, 21-й километр МКАД, соор. 15</t>
        </is>
      </c>
      <c r="Q3567" s="640" t="n">
        <v>55.60313</v>
      </c>
      <c r="R3567" s="422" t="n">
        <v>37.756614</v>
      </c>
      <c r="Z3567" s="1" t="n"/>
    </row>
    <row r="3568" hidden="1" ht="16.05" customHeight="1">
      <c r="A3568" s="125" t="n">
        <v>4247</v>
      </c>
      <c r="B3568" s="791" t="n"/>
      <c r="C3568" s="130" t="inlineStr">
        <is>
          <t>Москва</t>
        </is>
      </c>
      <c r="D3568" s="130" t="inlineStr">
        <is>
          <t>Москва</t>
        </is>
      </c>
      <c r="E3568" s="130" t="n"/>
      <c r="F3568" s="130" t="inlineStr">
        <is>
          <t>АЗС</t>
        </is>
      </c>
      <c r="G3568" s="130" t="inlineStr">
        <is>
          <t>Лукойл</t>
        </is>
      </c>
      <c r="H3568" s="637" t="n">
        <v>23</v>
      </c>
      <c r="I3568" s="637" t="n">
        <v>77723</v>
      </c>
      <c r="J3568" s="637" t="inlineStr">
        <is>
          <t>MSK_EKA_023</t>
        </is>
      </c>
      <c r="K3568" s="640" t="n">
        <v>1</v>
      </c>
      <c r="L3568" s="640" t="n">
        <v>0</v>
      </c>
      <c r="M3568" s="623" t="inlineStr">
        <is>
          <t>Экран 24" вертикальный</t>
        </is>
      </c>
      <c r="N3568" s="640" t="n"/>
      <c r="O3568" s="640">
        <f>IF(AND(N3568=1,L3568=1),K3568,"")</f>
        <v/>
      </c>
      <c r="P3568" s="642" t="inlineStr">
        <is>
          <t>г. Москва, внутригородская территория муниципальный округ Нагатино-Садовники, Каширское шоссе, соор. 22А</t>
        </is>
      </c>
      <c r="Q3568" s="640" t="n">
        <v>55.658032</v>
      </c>
      <c r="R3568" s="422" t="n">
        <v>37.640174</v>
      </c>
      <c r="Z3568" s="1" t="n"/>
    </row>
    <row r="3569" hidden="1" ht="16.05" customHeight="1">
      <c r="A3569" s="125" t="n">
        <v>4248</v>
      </c>
      <c r="B3569" s="125" t="inlineStr">
        <is>
          <t>WF</t>
        </is>
      </c>
      <c r="C3569" s="130" t="inlineStr">
        <is>
          <t>Москва</t>
        </is>
      </c>
      <c r="D3569" s="130" t="inlineStr">
        <is>
          <t>Москва</t>
        </is>
      </c>
      <c r="E3569" s="130" t="n"/>
      <c r="F3569" s="130" t="inlineStr">
        <is>
          <t>АЗС</t>
        </is>
      </c>
      <c r="G3569" s="130" t="inlineStr">
        <is>
          <t>Лукойл</t>
        </is>
      </c>
      <c r="H3569" s="637" t="n">
        <v>24</v>
      </c>
      <c r="I3569" s="637" t="n">
        <v>77724</v>
      </c>
      <c r="J3569" s="637" t="inlineStr">
        <is>
          <t>MSK_EKA_024</t>
        </is>
      </c>
      <c r="K3569" s="640" t="n">
        <v>1</v>
      </c>
      <c r="L3569" s="640" t="n">
        <v>0</v>
      </c>
      <c r="M3569" s="623" t="inlineStr">
        <is>
          <t>Экран 24" вертикальный</t>
        </is>
      </c>
      <c r="N3569" s="640" t="n"/>
      <c r="O3569" s="640">
        <f>IF(AND(N3569=1,L3569=1),K3569,"")</f>
        <v/>
      </c>
      <c r="P3569" s="642" t="inlineStr">
        <is>
          <t>г. Москва, 5-я Кабельная ул., влд. 16, соор. 1</t>
        </is>
      </c>
      <c r="Q3569" s="640" t="n">
        <v>55.736605</v>
      </c>
      <c r="R3569" s="422" t="n">
        <v>37.726215</v>
      </c>
      <c r="Z3569" s="1" t="n"/>
    </row>
    <row r="3570" hidden="1" ht="16.05" customHeight="1">
      <c r="A3570" s="125" t="n">
        <v>4249</v>
      </c>
      <c r="B3570" s="791" t="n"/>
      <c r="C3570" s="130" t="inlineStr">
        <is>
          <t>Москва</t>
        </is>
      </c>
      <c r="D3570" s="130" t="inlineStr">
        <is>
          <t>Москва</t>
        </is>
      </c>
      <c r="E3570" s="130" t="n"/>
      <c r="F3570" s="130" t="inlineStr">
        <is>
          <t>АЗС</t>
        </is>
      </c>
      <c r="G3570" s="130" t="inlineStr">
        <is>
          <t>Лукойл (ЕКА)</t>
        </is>
      </c>
      <c r="H3570" s="637" t="n">
        <v>25</v>
      </c>
      <c r="I3570" s="637" t="n">
        <v>77725</v>
      </c>
      <c r="J3570" s="637" t="inlineStr">
        <is>
          <t>MSK_EKA_025</t>
        </is>
      </c>
      <c r="K3570" s="640" t="n">
        <v>1</v>
      </c>
      <c r="L3570" s="640" t="n">
        <v>0</v>
      </c>
      <c r="M3570" s="623" t="inlineStr">
        <is>
          <t>Экран 24" вертикальный</t>
        </is>
      </c>
      <c r="N3570" s="640" t="n"/>
      <c r="O3570" s="640">
        <f>IF(AND(N3570=1,L3570=1),K3570,"")</f>
        <v/>
      </c>
      <c r="P3570" s="642" t="inlineStr">
        <is>
          <t>г. Москва, внутригородская территория муниципальный округ Сокольники, Ростокинский проезд, соор. 11</t>
        </is>
      </c>
      <c r="Q3570" s="640" t="n">
        <v>55.817997</v>
      </c>
      <c r="R3570" s="422" t="n">
        <v>37.677885</v>
      </c>
      <c r="Z3570" s="1" t="n"/>
    </row>
    <row r="3571" hidden="1" ht="16.05" customHeight="1">
      <c r="A3571" s="125" t="n">
        <v>4250</v>
      </c>
      <c r="B3571" s="125" t="inlineStr">
        <is>
          <t>WF</t>
        </is>
      </c>
      <c r="C3571" s="130" t="inlineStr">
        <is>
          <t>Москва</t>
        </is>
      </c>
      <c r="D3571" s="130" t="inlineStr">
        <is>
          <t>Москва</t>
        </is>
      </c>
      <c r="E3571" s="130" t="n"/>
      <c r="F3571" s="130" t="inlineStr">
        <is>
          <t>АЗС</t>
        </is>
      </c>
      <c r="G3571" s="130" t="inlineStr">
        <is>
          <t>Лукойл</t>
        </is>
      </c>
      <c r="H3571" s="637" t="n">
        <v>26</v>
      </c>
      <c r="I3571" s="637" t="n">
        <v>77726</v>
      </c>
      <c r="J3571" s="637" t="inlineStr">
        <is>
          <t>MSK_EKA_026</t>
        </is>
      </c>
      <c r="K3571" s="640" t="n">
        <v>1</v>
      </c>
      <c r="L3571" s="640" t="n">
        <v>0</v>
      </c>
      <c r="M3571" s="623" t="inlineStr">
        <is>
          <t>Экран 24" вертикальный</t>
        </is>
      </c>
      <c r="N3571" s="640" t="n"/>
      <c r="O3571" s="640">
        <f>IF(AND(N3571=1,L3571=1),K3571,"")</f>
        <v/>
      </c>
      <c r="P3571" s="642" t="inlineStr">
        <is>
          <t>г. Москва, ул. Киевская, влд. 8А, соор. 1</t>
        </is>
      </c>
      <c r="Q3571" s="640" t="inlineStr">
        <is>
          <t>55.741946</t>
        </is>
      </c>
      <c r="R3571" s="422" t="inlineStr">
        <is>
          <t>37.55584</t>
        </is>
      </c>
      <c r="Z3571" s="1" t="n"/>
    </row>
    <row r="3572" hidden="1" ht="16.05" customHeight="1">
      <c r="A3572" s="125" t="n">
        <v>4252</v>
      </c>
      <c r="B3572" s="125" t="inlineStr">
        <is>
          <t>WF</t>
        </is>
      </c>
      <c r="C3572" s="130" t="inlineStr">
        <is>
          <t>Москва</t>
        </is>
      </c>
      <c r="D3572" s="130" t="inlineStr">
        <is>
          <t>Московская область</t>
        </is>
      </c>
      <c r="E3572" s="130" t="n"/>
      <c r="F3572" s="130" t="inlineStr">
        <is>
          <t>АЗС</t>
        </is>
      </c>
      <c r="G3572" s="130" t="inlineStr">
        <is>
          <t>Лукойл</t>
        </is>
      </c>
      <c r="H3572" s="637" t="n">
        <v>27</v>
      </c>
      <c r="I3572" s="637" t="n">
        <v>50727</v>
      </c>
      <c r="J3572" s="637" t="inlineStr">
        <is>
          <t>MSK_EKA_027</t>
        </is>
      </c>
      <c r="K3572" s="640" t="n">
        <v>1</v>
      </c>
      <c r="L3572" s="640" t="n">
        <v>0</v>
      </c>
      <c r="M3572" s="623" t="inlineStr">
        <is>
          <t>Экран 24" вертикальный</t>
        </is>
      </c>
      <c r="N3572" s="640" t="n"/>
      <c r="O3572" s="640">
        <f>IF(AND(N3572=1,L3572=1),K3572,"")</f>
        <v/>
      </c>
      <c r="P3572" s="642" t="inlineStr">
        <is>
          <t>МО, Ленинский р-н, д б/н, стр. 9, 26 км МКАД. (Внешн.ст.)</t>
        </is>
      </c>
      <c r="Q3572" s="640" t="inlineStr">
        <is>
          <t>55.582180</t>
        </is>
      </c>
      <c r="R3572" s="422" t="inlineStr">
        <is>
          <t>37.706787</t>
        </is>
      </c>
      <c r="Z3572" s="1" t="n"/>
    </row>
    <row r="3573" hidden="1" ht="16.05" customHeight="1">
      <c r="A3573" s="125" t="n">
        <v>4251</v>
      </c>
      <c r="B3573" s="791" t="n"/>
      <c r="C3573" s="130" t="inlineStr">
        <is>
          <t>Москва</t>
        </is>
      </c>
      <c r="D3573" s="130" t="inlineStr">
        <is>
          <t>Московская область</t>
        </is>
      </c>
      <c r="E3573" s="130" t="n"/>
      <c r="F3573" s="130" t="inlineStr">
        <is>
          <t>АЗС</t>
        </is>
      </c>
      <c r="G3573" s="130" t="inlineStr">
        <is>
          <t>Лукойл (ЕКА)</t>
        </is>
      </c>
      <c r="H3573" s="131" t="n"/>
      <c r="I3573" s="637" t="n">
        <v>27</v>
      </c>
      <c r="J3573" s="637" t="inlineStr">
        <is>
          <t>MSK_EKA_027_1</t>
        </is>
      </c>
      <c r="K3573" s="640" t="n">
        <v>1</v>
      </c>
      <c r="L3573" s="640" t="n">
        <v>0</v>
      </c>
      <c r="M3573" s="623" t="n"/>
      <c r="N3573" s="640" t="n"/>
      <c r="O3573" s="640">
        <f>IF(AND(N3573=1,L3573=1),K3573,"")</f>
        <v/>
      </c>
      <c r="P3573" s="642" t="inlineStr">
        <is>
          <t>МО, Ленинский р-н, д б/н, стр. 9, 26 км МКАД. (Внешн.ст.)</t>
        </is>
      </c>
      <c r="Q3573" s="640" t="n"/>
      <c r="R3573" s="422" t="n"/>
      <c r="X3573" s="1" t="n"/>
      <c r="Y3573" s="1" t="n"/>
      <c r="Z3573" s="1" t="n"/>
    </row>
    <row r="3574" hidden="1" ht="16.05" customHeight="1">
      <c r="A3574" s="125" t="n">
        <v>4254</v>
      </c>
      <c r="B3574" s="125" t="inlineStr">
        <is>
          <t>WF</t>
        </is>
      </c>
      <c r="C3574" s="130" t="inlineStr">
        <is>
          <t>Москва</t>
        </is>
      </c>
      <c r="D3574" s="130" t="inlineStr">
        <is>
          <t>Москва</t>
        </is>
      </c>
      <c r="E3574" s="130" t="n"/>
      <c r="F3574" s="130" t="inlineStr">
        <is>
          <t>АЗС</t>
        </is>
      </c>
      <c r="G3574" s="130" t="inlineStr">
        <is>
          <t>Лукойл</t>
        </is>
      </c>
      <c r="H3574" s="637" t="n">
        <v>32</v>
      </c>
      <c r="I3574" s="637" t="n">
        <v>77732</v>
      </c>
      <c r="J3574" s="637" t="inlineStr">
        <is>
          <t>MSK_EKA_032</t>
        </is>
      </c>
      <c r="K3574" s="640" t="n">
        <v>1</v>
      </c>
      <c r="L3574" s="640" t="n">
        <v>0</v>
      </c>
      <c r="M3574" s="623" t="inlineStr">
        <is>
          <t>Экран 24" вертикальный</t>
        </is>
      </c>
      <c r="N3574" s="640" t="n"/>
      <c r="O3574" s="640">
        <f>IF(AND(N3574=1,L3574=1),K3574,"")</f>
        <v/>
      </c>
      <c r="P3574" s="642" t="inlineStr">
        <is>
          <t>г. Москва, Бартеневская ул., вл.6, стр.1</t>
        </is>
      </c>
      <c r="Q3574" s="640" t="inlineStr">
        <is>
          <t>55.551955</t>
        </is>
      </c>
      <c r="R3574" s="422" t="inlineStr">
        <is>
          <t>37.533283</t>
        </is>
      </c>
      <c r="Z3574" s="1" t="n"/>
    </row>
    <row r="3575" hidden="1" ht="16.05" customHeight="1">
      <c r="A3575" s="125" t="n">
        <v>4253</v>
      </c>
      <c r="B3575" s="125" t="inlineStr">
        <is>
          <t>WF</t>
        </is>
      </c>
      <c r="C3575" s="130" t="inlineStr">
        <is>
          <t>Москва</t>
        </is>
      </c>
      <c r="D3575" s="130" t="inlineStr">
        <is>
          <t>Москва</t>
        </is>
      </c>
      <c r="E3575" s="130" t="n"/>
      <c r="F3575" s="130" t="inlineStr">
        <is>
          <t>АЗС</t>
        </is>
      </c>
      <c r="G3575" s="130" t="inlineStr">
        <is>
          <t>Лукойл (ЕКА)</t>
        </is>
      </c>
      <c r="H3575" s="131" t="n"/>
      <c r="I3575" s="637" t="n">
        <v>30</v>
      </c>
      <c r="J3575" s="637" t="inlineStr">
        <is>
          <t>MSK_EKA_030</t>
        </is>
      </c>
      <c r="K3575" s="640" t="n">
        <v>1</v>
      </c>
      <c r="L3575" s="640" t="n">
        <v>0</v>
      </c>
      <c r="M3575" s="623" t="inlineStr">
        <is>
          <t>Экран 24" вертикальный</t>
        </is>
      </c>
      <c r="N3575" s="640" t="n"/>
      <c r="O3575" s="640">
        <f>IF(AND(N3575=1,L3575=1),K3575,"")</f>
        <v/>
      </c>
      <c r="P3575" s="642" t="inlineStr">
        <is>
          <t>г. Москва, Новобутовский пр., вл. 9, стр. 1</t>
        </is>
      </c>
      <c r="Q3575" s="640" t="inlineStr">
        <is>
          <t>55.553737</t>
        </is>
      </c>
      <c r="R3575" s="422" t="inlineStr">
        <is>
          <t>37.558867</t>
        </is>
      </c>
      <c r="Z3575" s="1" t="n"/>
    </row>
    <row r="3576" hidden="1" ht="16.05" customHeight="1">
      <c r="A3576" s="125" t="n">
        <v>4255</v>
      </c>
      <c r="B3576" s="125" t="inlineStr">
        <is>
          <t>WF</t>
        </is>
      </c>
      <c r="C3576" s="130" t="inlineStr">
        <is>
          <t>Москва</t>
        </is>
      </c>
      <c r="D3576" s="130" t="inlineStr">
        <is>
          <t>Москва</t>
        </is>
      </c>
      <c r="E3576" s="130" t="n"/>
      <c r="F3576" s="130" t="inlineStr">
        <is>
          <t>АЗС</t>
        </is>
      </c>
      <c r="G3576" s="130" t="inlineStr">
        <is>
          <t>Лукойл</t>
        </is>
      </c>
      <c r="H3576" s="637" t="n">
        <v>37</v>
      </c>
      <c r="I3576" s="637" t="n">
        <v>77737</v>
      </c>
      <c r="J3576" s="637" t="inlineStr">
        <is>
          <t>MSK_EKA_037</t>
        </is>
      </c>
      <c r="K3576" s="640" t="n">
        <v>1</v>
      </c>
      <c r="L3576" s="640" t="n">
        <v>0</v>
      </c>
      <c r="M3576" s="623" t="inlineStr">
        <is>
          <t>Экран 24" вертикальный</t>
        </is>
      </c>
      <c r="N3576" s="640" t="n"/>
      <c r="O3576" s="640">
        <f>IF(AND(N3576=1,L3576=1),K3576,"")</f>
        <v/>
      </c>
      <c r="P3576" s="642" t="inlineStr">
        <is>
          <t>г. Москва, внутригородская территория муниципальный округ Северное Медведково, Шокальского проезд, соор. 50А</t>
        </is>
      </c>
      <c r="Q3576" s="640" t="inlineStr">
        <is>
          <t>55.884257</t>
        </is>
      </c>
      <c r="R3576" s="422" t="inlineStr">
        <is>
          <t>37.671211</t>
        </is>
      </c>
      <c r="Z3576" s="1" t="n"/>
    </row>
    <row r="3577" hidden="1" ht="16.05" customHeight="1">
      <c r="A3577" s="125" t="n">
        <v>4257</v>
      </c>
      <c r="B3577" s="125" t="inlineStr">
        <is>
          <t>WF</t>
        </is>
      </c>
      <c r="C3577" s="130" t="inlineStr">
        <is>
          <t>Москва</t>
        </is>
      </c>
      <c r="D3577" s="130" t="inlineStr">
        <is>
          <t>Москва</t>
        </is>
      </c>
      <c r="E3577" s="130" t="n"/>
      <c r="F3577" s="130" t="inlineStr">
        <is>
          <t>АЗС</t>
        </is>
      </c>
      <c r="G3577" s="130" t="inlineStr">
        <is>
          <t>Лукойл (ЕКА)</t>
        </is>
      </c>
      <c r="H3577" s="637" t="n">
        <v>41</v>
      </c>
      <c r="I3577" s="637" t="n">
        <v>77788</v>
      </c>
      <c r="J3577" s="637" t="inlineStr">
        <is>
          <t>MSK_EKA_041</t>
        </is>
      </c>
      <c r="K3577" s="640" t="n">
        <v>1</v>
      </c>
      <c r="L3577" s="640" t="n">
        <v>0</v>
      </c>
      <c r="M3577" s="623" t="inlineStr">
        <is>
          <t>Экран 24" вертикальный</t>
        </is>
      </c>
      <c r="N3577" s="640" t="n"/>
      <c r="O3577" s="640">
        <f>IF(AND(N3577=1,L3577=1),K3577,"")</f>
        <v/>
      </c>
      <c r="P3577" s="642" t="inlineStr">
        <is>
          <t>г. Москва, внутригородская территория муниципальный округ Ярославский, 94-й километр МКАД, соор. 6</t>
        </is>
      </c>
      <c r="Q3577" s="640" t="inlineStr">
        <is>
          <t>55.883272</t>
        </is>
      </c>
      <c r="R3577" s="422" t="inlineStr">
        <is>
          <t>37.72263</t>
        </is>
      </c>
      <c r="Z3577" s="1" t="n"/>
    </row>
    <row r="3578" hidden="1" ht="16.05" customHeight="1">
      <c r="A3578" s="125" t="n">
        <v>4256</v>
      </c>
      <c r="B3578" s="791" t="n"/>
      <c r="C3578" s="130" t="inlineStr">
        <is>
          <t>Москва</t>
        </is>
      </c>
      <c r="D3578" s="130" t="inlineStr">
        <is>
          <t>Москва</t>
        </is>
      </c>
      <c r="E3578" s="130" t="n"/>
      <c r="F3578" s="130" t="inlineStr">
        <is>
          <t>АЗС</t>
        </is>
      </c>
      <c r="G3578" s="130" t="inlineStr">
        <is>
          <t>Лукойл</t>
        </is>
      </c>
      <c r="H3578" s="637" t="n">
        <v>39</v>
      </c>
      <c r="I3578" s="637" t="n">
        <v>77739</v>
      </c>
      <c r="J3578" s="637" t="inlineStr">
        <is>
          <t>MSK_EKA_039</t>
        </is>
      </c>
      <c r="K3578" s="640" t="n">
        <v>1</v>
      </c>
      <c r="L3578" s="640" t="n">
        <v>0</v>
      </c>
      <c r="M3578" s="623" t="inlineStr">
        <is>
          <t>Экран 24" вертикальный</t>
        </is>
      </c>
      <c r="N3578" s="640" t="n"/>
      <c r="O3578" s="640">
        <f>IF(AND(N3578=1,L3578=1),K3578,"")</f>
        <v/>
      </c>
      <c r="P3578" s="642" t="inlineStr">
        <is>
          <t>г. Москва, внутригородская территория муниципальный округ Северный, Дмитровское шоссе, соор. 124Д</t>
        </is>
      </c>
      <c r="Q3578" s="640" t="n">
        <v>55.93191</v>
      </c>
      <c r="R3578" s="422" t="n">
        <v>37.548151</v>
      </c>
      <c r="X3578" s="1" t="n"/>
      <c r="Y3578" s="1" t="n"/>
      <c r="Z3578" s="1" t="n"/>
    </row>
    <row r="3579" hidden="1" ht="16.05" customHeight="1">
      <c r="A3579" s="125" t="n">
        <v>4258</v>
      </c>
      <c r="B3579" s="125" t="inlineStr">
        <is>
          <t>WF</t>
        </is>
      </c>
      <c r="C3579" s="130" t="inlineStr">
        <is>
          <t>Москва</t>
        </is>
      </c>
      <c r="D3579" s="130" t="inlineStr">
        <is>
          <t>Москва</t>
        </is>
      </c>
      <c r="E3579" s="130" t="n"/>
      <c r="F3579" s="130" t="inlineStr">
        <is>
          <t>АЗС</t>
        </is>
      </c>
      <c r="G3579" s="130" t="inlineStr">
        <is>
          <t>Лукойл</t>
        </is>
      </c>
      <c r="H3579" s="637" t="n">
        <v>46</v>
      </c>
      <c r="I3579" s="637" t="n">
        <v>77746</v>
      </c>
      <c r="J3579" s="637" t="inlineStr">
        <is>
          <t>MSK_EKA_046</t>
        </is>
      </c>
      <c r="K3579" s="640" t="n">
        <v>1</v>
      </c>
      <c r="L3579" s="640" t="n">
        <v>0</v>
      </c>
      <c r="M3579" s="623" t="inlineStr">
        <is>
          <t>Экран 24" вертикальный</t>
        </is>
      </c>
      <c r="N3579" s="640" t="n"/>
      <c r="O3579" s="640">
        <f>IF(AND(N3579=1,L3579=1),K3579,"")</f>
        <v/>
      </c>
      <c r="P3579" s="642" t="inlineStr">
        <is>
          <t>г. Москва, внутригородская территория муниципальный округ Марьина Роща, Сущевский Вал ул., соор. 25</t>
        </is>
      </c>
      <c r="Q3579" s="640" t="inlineStr">
        <is>
          <t>55.793227</t>
        </is>
      </c>
      <c r="R3579" s="422" t="inlineStr">
        <is>
          <t>37.603092</t>
        </is>
      </c>
      <c r="Z3579" s="1" t="n"/>
    </row>
    <row r="3580" hidden="1" ht="16.05" customHeight="1">
      <c r="A3580" s="125" t="n">
        <v>4259</v>
      </c>
      <c r="B3580" s="791" t="n"/>
      <c r="C3580" s="130" t="inlineStr">
        <is>
          <t>Москва</t>
        </is>
      </c>
      <c r="D3580" s="130" t="inlineStr">
        <is>
          <t>Москва</t>
        </is>
      </c>
      <c r="E3580" s="130" t="n"/>
      <c r="F3580" s="130" t="inlineStr">
        <is>
          <t>АЗС</t>
        </is>
      </c>
      <c r="G3580" s="130" t="inlineStr">
        <is>
          <t>Лукойл</t>
        </is>
      </c>
      <c r="H3580" s="637" t="n">
        <v>47</v>
      </c>
      <c r="I3580" s="637" t="n">
        <v>77747</v>
      </c>
      <c r="J3580" s="637" t="inlineStr">
        <is>
          <t>MSK_EKA_047</t>
        </is>
      </c>
      <c r="K3580" s="640" t="n">
        <v>1</v>
      </c>
      <c r="L3580" s="640" t="n">
        <v>0</v>
      </c>
      <c r="M3580" s="623" t="inlineStr">
        <is>
          <t>Экран 24" вертикальный</t>
        </is>
      </c>
      <c r="N3580" s="640" t="n"/>
      <c r="O3580" s="640">
        <f>IF(AND(N3580=1,L3580=1),K3580,"")</f>
        <v/>
      </c>
      <c r="P3580" s="642" t="inlineStr">
        <is>
          <t>г. Москва, Космонавта Волкова ул., влд. 26, соор.1</t>
        </is>
      </c>
      <c r="Q3580" s="640" t="n">
        <v>55.815969</v>
      </c>
      <c r="R3580" s="422" t="n">
        <v>37.532313</v>
      </c>
      <c r="Z3580" s="1" t="n"/>
    </row>
    <row r="3581" hidden="1" ht="16.05" customHeight="1">
      <c r="A3581" s="125" t="n">
        <v>4260</v>
      </c>
      <c r="B3581" s="791" t="n"/>
      <c r="C3581" s="130" t="inlineStr">
        <is>
          <t>Москва</t>
        </is>
      </c>
      <c r="D3581" s="130" t="inlineStr">
        <is>
          <t>Москва</t>
        </is>
      </c>
      <c r="E3581" s="130" t="n"/>
      <c r="F3581" s="130" t="inlineStr">
        <is>
          <t>АЗС</t>
        </is>
      </c>
      <c r="G3581" s="130" t="inlineStr">
        <is>
          <t>Лукойл</t>
        </is>
      </c>
      <c r="H3581" s="637" t="n">
        <v>49</v>
      </c>
      <c r="I3581" s="637" t="n">
        <v>77749</v>
      </c>
      <c r="J3581" s="637" t="inlineStr">
        <is>
          <t>MSK_EKA_049</t>
        </is>
      </c>
      <c r="K3581" s="640" t="n">
        <v>1</v>
      </c>
      <c r="L3581" s="640" t="n">
        <v>0</v>
      </c>
      <c r="M3581" s="623" t="inlineStr">
        <is>
          <t>Экран 24" вертикальный</t>
        </is>
      </c>
      <c r="N3581" s="640" t="n"/>
      <c r="O3581" s="640">
        <f>IF(AND(N3581=1,L3581=1),K3581,"")</f>
        <v/>
      </c>
      <c r="P3581" s="642" t="inlineStr">
        <is>
          <t>г. Москва, внутригородская территория муниципальный округ Тимирязевский, Вучетича ул., соор. 2</t>
        </is>
      </c>
      <c r="Q3581" s="640" t="n">
        <v>55.805943</v>
      </c>
      <c r="R3581" s="422" t="n">
        <v>37.561733</v>
      </c>
      <c r="Z3581" s="1" t="n"/>
    </row>
    <row r="3582" hidden="1" ht="16.05" customHeight="1">
      <c r="A3582" s="125" t="n">
        <v>4261</v>
      </c>
      <c r="B3582" s="791" t="n"/>
      <c r="C3582" s="130" t="inlineStr">
        <is>
          <t>Москва</t>
        </is>
      </c>
      <c r="D3582" s="130" t="inlineStr">
        <is>
          <t>Москва</t>
        </is>
      </c>
      <c r="E3582" s="130" t="n"/>
      <c r="F3582" s="130" t="inlineStr">
        <is>
          <t>АЗС</t>
        </is>
      </c>
      <c r="G3582" s="130" t="inlineStr">
        <is>
          <t>Лукойл (ЕКА)</t>
        </is>
      </c>
      <c r="H3582" s="637" t="n">
        <v>52</v>
      </c>
      <c r="I3582" s="637" t="n">
        <v>77752</v>
      </c>
      <c r="J3582" s="637" t="inlineStr">
        <is>
          <t>MSK_EKA_052</t>
        </is>
      </c>
      <c r="K3582" s="640" t="n">
        <v>1</v>
      </c>
      <c r="L3582" s="640" t="n">
        <v>0</v>
      </c>
      <c r="M3582" s="623" t="inlineStr">
        <is>
          <t>Экран 24" вертикальный</t>
        </is>
      </c>
      <c r="N3582" s="640" t="n"/>
      <c r="O3582" s="640">
        <f>IF(AND(N3582=1,L3582=1),K3582,"")</f>
        <v/>
      </c>
      <c r="P3582" s="642" t="inlineStr">
        <is>
          <t>г. Москва, Ленинградское ш., д. 286В, соор.1</t>
        </is>
      </c>
      <c r="Q3582" s="640" t="n">
        <v>55.8218</v>
      </c>
      <c r="R3582" s="422" t="n">
        <v>37.495132</v>
      </c>
      <c r="Z3582" s="1" t="n"/>
    </row>
    <row r="3583" hidden="1" ht="16.05" customHeight="1">
      <c r="A3583" s="125" t="n">
        <v>4262</v>
      </c>
      <c r="B3583" s="791" t="n"/>
      <c r="C3583" s="130" t="inlineStr">
        <is>
          <t>Москва</t>
        </is>
      </c>
      <c r="D3583" s="130" t="inlineStr">
        <is>
          <t>Москва</t>
        </is>
      </c>
      <c r="E3583" s="130" t="n"/>
      <c r="F3583" s="130" t="inlineStr">
        <is>
          <t>АЗС</t>
        </is>
      </c>
      <c r="G3583" s="130" t="inlineStr">
        <is>
          <t>Лукойл (ЕКА)</t>
        </is>
      </c>
      <c r="H3583" s="637" t="n">
        <v>55</v>
      </c>
      <c r="I3583" s="637" t="n">
        <v>77755</v>
      </c>
      <c r="J3583" s="637" t="inlineStr">
        <is>
          <t>MSK_EKA_055</t>
        </is>
      </c>
      <c r="K3583" s="640" t="n">
        <v>1</v>
      </c>
      <c r="L3583" s="640" t="n">
        <v>0</v>
      </c>
      <c r="M3583" s="623" t="inlineStr">
        <is>
          <t>Экран 24" вертикальный</t>
        </is>
      </c>
      <c r="N3583" s="640" t="n"/>
      <c r="O3583" s="640">
        <f>IF(AND(N3583=1,L3583=1),K3583,"")</f>
        <v/>
      </c>
      <c r="P3583" s="642" t="inlineStr">
        <is>
          <t>г. Москва, Николоямская наб., вл.1, соор. 1</t>
        </is>
      </c>
      <c r="Q3583" s="640" t="n">
        <v>55.749952</v>
      </c>
      <c r="R3583" s="422" t="n">
        <v>37.657476</v>
      </c>
      <c r="Z3583" s="1" t="n"/>
    </row>
    <row r="3584" hidden="1" ht="16.05" customHeight="1">
      <c r="A3584" s="125" t="n">
        <v>4263</v>
      </c>
      <c r="B3584" s="125" t="inlineStr">
        <is>
          <t>WF</t>
        </is>
      </c>
      <c r="C3584" s="130" t="inlineStr">
        <is>
          <t>Москва</t>
        </is>
      </c>
      <c r="D3584" s="130" t="inlineStr">
        <is>
          <t>Москва</t>
        </is>
      </c>
      <c r="E3584" s="130" t="n"/>
      <c r="F3584" s="130" t="inlineStr">
        <is>
          <t>АЗС</t>
        </is>
      </c>
      <c r="G3584" s="130" t="inlineStr">
        <is>
          <t>Лукойл</t>
        </is>
      </c>
      <c r="H3584" s="637" t="n">
        <v>57</v>
      </c>
      <c r="I3584" s="637" t="n">
        <v>77757</v>
      </c>
      <c r="J3584" s="637" t="inlineStr">
        <is>
          <t>MSK_EKA_057</t>
        </is>
      </c>
      <c r="K3584" s="640" t="n">
        <v>1</v>
      </c>
      <c r="L3584" s="640" t="n">
        <v>0</v>
      </c>
      <c r="M3584" s="623" t="inlineStr">
        <is>
          <t>Экран 24" вертикальный</t>
        </is>
      </c>
      <c r="N3584" s="640" t="n"/>
      <c r="O3584" s="640">
        <f>IF(AND(N3584=1,L3584=1),K3584,"")</f>
        <v/>
      </c>
      <c r="P3584" s="642" t="inlineStr">
        <is>
          <t>г. Москва, внутригородская территория муниципальный округ Раменки, Лобачевского ул., соор. 112А</t>
        </is>
      </c>
      <c r="Q3584" s="640" t="inlineStr">
        <is>
          <t>55.689613</t>
        </is>
      </c>
      <c r="R3584" s="422" t="inlineStr">
        <is>
          <t>37.473581</t>
        </is>
      </c>
      <c r="Z3584" s="1" t="n"/>
    </row>
    <row r="3585" hidden="1" ht="16.05" customHeight="1">
      <c r="A3585" s="125" t="n">
        <v>4265</v>
      </c>
      <c r="B3585" s="791" t="n"/>
      <c r="C3585" s="130" t="inlineStr">
        <is>
          <t>Москва</t>
        </is>
      </c>
      <c r="D3585" s="130" t="inlineStr">
        <is>
          <t>Москва</t>
        </is>
      </c>
      <c r="E3585" s="130" t="n"/>
      <c r="F3585" s="130" t="inlineStr">
        <is>
          <t>АЗС</t>
        </is>
      </c>
      <c r="G3585" s="130" t="inlineStr">
        <is>
          <t>Лукойл</t>
        </is>
      </c>
      <c r="H3585" s="637" t="n">
        <v>60</v>
      </c>
      <c r="I3585" s="637" t="n">
        <v>77760</v>
      </c>
      <c r="J3585" s="637" t="inlineStr">
        <is>
          <t>MSK_EKA_060</t>
        </is>
      </c>
      <c r="K3585" s="640" t="n">
        <v>1</v>
      </c>
      <c r="L3585" s="640" t="n">
        <v>0</v>
      </c>
      <c r="M3585" s="623" t="inlineStr">
        <is>
          <t>Экран 24" вертикальный</t>
        </is>
      </c>
      <c r="N3585" s="640" t="n"/>
      <c r="O3585" s="640">
        <f>IF(AND(N3585=1,L3585=1),K3585,"")</f>
        <v/>
      </c>
      <c r="P3585" s="642" t="inlineStr">
        <is>
          <t>г. Москва, Каспийская ул., влд. 28А, соор. 1</t>
        </is>
      </c>
      <c r="Q3585" s="640" t="n">
        <v>55.62296</v>
      </c>
      <c r="R3585" s="422" t="n">
        <v>37.673412</v>
      </c>
      <c r="Z3585" s="1" t="n"/>
    </row>
    <row r="3586" hidden="1" ht="16.05" customHeight="1">
      <c r="A3586" s="125" t="n">
        <v>4264</v>
      </c>
      <c r="B3586" s="125" t="inlineStr">
        <is>
          <t>WF</t>
        </is>
      </c>
      <c r="C3586" s="130" t="inlineStr">
        <is>
          <t>Москва</t>
        </is>
      </c>
      <c r="D3586" s="130" t="inlineStr">
        <is>
          <t>Москва</t>
        </is>
      </c>
      <c r="E3586" s="130" t="n"/>
      <c r="F3586" s="130" t="inlineStr">
        <is>
          <t>АЗС</t>
        </is>
      </c>
      <c r="G3586" s="130" t="inlineStr">
        <is>
          <t>Лукойл (ЕКА)</t>
        </is>
      </c>
      <c r="H3586" s="131" t="n"/>
      <c r="I3586" s="637" t="n">
        <v>59</v>
      </c>
      <c r="J3586" s="637" t="inlineStr">
        <is>
          <t>MSK_EKA_059</t>
        </is>
      </c>
      <c r="K3586" s="640" t="n">
        <v>1</v>
      </c>
      <c r="L3586" s="640" t="n">
        <v>0</v>
      </c>
      <c r="M3586" s="623" t="inlineStr">
        <is>
          <t>Экран 24" вертикальный</t>
        </is>
      </c>
      <c r="N3586" s="640" t="n"/>
      <c r="O3586" s="640">
        <f>IF(AND(N3586=1,L3586=1),K3586,"")</f>
        <v/>
      </c>
      <c r="P3586" s="642" t="inlineStr">
        <is>
          <t>г. Москва, внутригородская территория муниципальный округ Дорогомилово, Тараса Шевченко наб., соор. 12</t>
        </is>
      </c>
      <c r="Q3586" s="640" t="inlineStr">
        <is>
          <t>55.752344</t>
        </is>
      </c>
      <c r="R3586" s="422" t="inlineStr">
        <is>
          <t>37.561014</t>
        </is>
      </c>
      <c r="Z3586" s="1" t="n"/>
    </row>
    <row r="3587" hidden="1" ht="16.05" customHeight="1">
      <c r="A3587" s="125" t="n">
        <v>4266</v>
      </c>
      <c r="B3587" s="125" t="inlineStr">
        <is>
          <t>WF</t>
        </is>
      </c>
      <c r="C3587" s="130" t="inlineStr">
        <is>
          <t>Москва</t>
        </is>
      </c>
      <c r="D3587" s="130" t="inlineStr">
        <is>
          <t>Москва</t>
        </is>
      </c>
      <c r="E3587" s="130" t="n"/>
      <c r="F3587" s="130" t="inlineStr">
        <is>
          <t>АЗС</t>
        </is>
      </c>
      <c r="G3587" s="130" t="inlineStr">
        <is>
          <t>Лукойл</t>
        </is>
      </c>
      <c r="H3587" s="637" t="n">
        <v>82</v>
      </c>
      <c r="I3587" s="637" t="n">
        <v>77762</v>
      </c>
      <c r="J3587" s="637" t="inlineStr">
        <is>
          <t>MSK_EKA_082</t>
        </is>
      </c>
      <c r="K3587" s="640" t="n">
        <v>1</v>
      </c>
      <c r="L3587" s="640" t="n">
        <v>0</v>
      </c>
      <c r="M3587" s="623" t="inlineStr">
        <is>
          <t>Экран 24" вертикальный</t>
        </is>
      </c>
      <c r="N3587" s="640" t="n"/>
      <c r="O3587" s="640">
        <f>IF(AND(N3587=1,L3587=1),K3587,"")</f>
        <v/>
      </c>
      <c r="P3587" s="642" t="inlineStr">
        <is>
          <t>г. Москва, Буракова ул., влд. 1Б, соор. 1</t>
        </is>
      </c>
      <c r="Q3587" s="640" t="inlineStr">
        <is>
          <t>55.767732</t>
        </is>
      </c>
      <c r="R3587" s="422" t="inlineStr">
        <is>
          <t>37.728146</t>
        </is>
      </c>
      <c r="Z3587" s="1" t="n"/>
    </row>
    <row r="3588" hidden="1" ht="16.05" customHeight="1">
      <c r="A3588" s="125" t="n">
        <v>4267</v>
      </c>
      <c r="B3588" s="125" t="inlineStr">
        <is>
          <t>WF</t>
        </is>
      </c>
      <c r="C3588" s="130" t="inlineStr">
        <is>
          <t>Москва</t>
        </is>
      </c>
      <c r="D3588" s="130" t="inlineStr">
        <is>
          <t>Москва</t>
        </is>
      </c>
      <c r="E3588" s="130" t="n"/>
      <c r="F3588" s="130" t="inlineStr">
        <is>
          <t>АЗС</t>
        </is>
      </c>
      <c r="G3588" s="130" t="inlineStr">
        <is>
          <t>Лукойл</t>
        </is>
      </c>
      <c r="H3588" s="637" t="n">
        <v>116</v>
      </c>
      <c r="I3588" s="637" t="n">
        <v>77716</v>
      </c>
      <c r="J3588" s="637" t="inlineStr">
        <is>
          <t>MSK_EKA_116</t>
        </is>
      </c>
      <c r="K3588" s="640" t="n">
        <v>1</v>
      </c>
      <c r="L3588" s="640" t="n">
        <v>0</v>
      </c>
      <c r="M3588" s="623" t="inlineStr">
        <is>
          <t>Экран 24" вертикальный</t>
        </is>
      </c>
      <c r="N3588" s="640" t="n"/>
      <c r="O3588" s="640">
        <f>IF(AND(N3588=1,L3588=1),K3588,"")</f>
        <v/>
      </c>
      <c r="P3588" s="642" t="inlineStr">
        <is>
          <t>г. Москва, Волоколамское ш.,  вл. 122</t>
        </is>
      </c>
      <c r="Q3588" s="640" t="inlineStr">
        <is>
          <t>55.830781</t>
        </is>
      </c>
      <c r="R3588" s="422" t="inlineStr">
        <is>
          <t>37.407169</t>
        </is>
      </c>
      <c r="Z3588" s="1" t="n"/>
    </row>
    <row r="3589" hidden="1" ht="16.05" customHeight="1">
      <c r="A3589" s="125" t="n">
        <v>4268</v>
      </c>
      <c r="B3589" s="125" t="inlineStr">
        <is>
          <t>WF</t>
        </is>
      </c>
      <c r="C3589" s="130" t="inlineStr">
        <is>
          <t>Москва</t>
        </is>
      </c>
      <c r="D3589" s="130" t="inlineStr">
        <is>
          <t>Москва</t>
        </is>
      </c>
      <c r="E3589" s="130" t="n"/>
      <c r="F3589" s="130" t="inlineStr">
        <is>
          <t>АЗС</t>
        </is>
      </c>
      <c r="G3589" s="130" t="inlineStr">
        <is>
          <t>Лукойл</t>
        </is>
      </c>
      <c r="H3589" s="637" t="n">
        <v>117</v>
      </c>
      <c r="I3589" s="637" t="n">
        <v>77763</v>
      </c>
      <c r="J3589" s="637" t="inlineStr">
        <is>
          <t>MSK_EKA_117</t>
        </is>
      </c>
      <c r="K3589" s="640" t="n">
        <v>1</v>
      </c>
      <c r="L3589" s="640" t="n">
        <v>0</v>
      </c>
      <c r="M3589" s="623" t="inlineStr">
        <is>
          <t>Экран 24" вертикальный</t>
        </is>
      </c>
      <c r="N3589" s="640" t="n"/>
      <c r="O3589" s="640">
        <f>IF(AND(N3589=1,L3589=1),K3589,"")</f>
        <v/>
      </c>
      <c r="P3589" s="642" t="inlineStr">
        <is>
          <t>г. Москва, внутригородская территория муниципальный округ Выхино-Жулебино, Волгоградский проспект, соор. 185А</t>
        </is>
      </c>
      <c r="Q3589" s="640" t="inlineStr">
        <is>
          <t>55.694794</t>
        </is>
      </c>
      <c r="R3589" s="422" t="inlineStr">
        <is>
          <t>37.812615</t>
        </is>
      </c>
      <c r="Z3589" s="1" t="n"/>
    </row>
    <row r="3590" hidden="1" ht="16.05" customHeight="1">
      <c r="A3590" s="125" t="n">
        <v>4269</v>
      </c>
      <c r="B3590" s="791" t="n"/>
      <c r="C3590" s="130" t="inlineStr">
        <is>
          <t>Москва</t>
        </is>
      </c>
      <c r="D3590" s="130" t="inlineStr">
        <is>
          <t>Москва</t>
        </is>
      </c>
      <c r="E3590" s="130" t="n"/>
      <c r="F3590" s="130" t="inlineStr">
        <is>
          <t>АЗС</t>
        </is>
      </c>
      <c r="G3590" s="130" t="inlineStr">
        <is>
          <t>Лукойл (ЕКА)</t>
        </is>
      </c>
      <c r="H3590" s="637" t="n">
        <v>118</v>
      </c>
      <c r="I3590" s="637" t="n">
        <v>77792</v>
      </c>
      <c r="J3590" s="637" t="inlineStr">
        <is>
          <t>MSK_EKA_118</t>
        </is>
      </c>
      <c r="K3590" s="640" t="n">
        <v>1</v>
      </c>
      <c r="L3590" s="640" t="n">
        <v>0</v>
      </c>
      <c r="M3590" s="623" t="inlineStr">
        <is>
          <t>Экран 24" вертикальный</t>
        </is>
      </c>
      <c r="N3590" s="640" t="n"/>
      <c r="O3590" s="640">
        <f>IF(AND(N3590=1,L3590=1),K3590,"")</f>
        <v/>
      </c>
      <c r="P3590" s="642" t="inlineStr">
        <is>
          <t>г. Москва, внутригородская территория муниципальный округ Зюзино, Азовская ул., соор. 32А</t>
        </is>
      </c>
      <c r="Q3590" s="640" t="n">
        <v>55.643495</v>
      </c>
      <c r="R3590" s="422" t="n">
        <v>37.592464</v>
      </c>
      <c r="Z3590" s="1" t="n"/>
    </row>
    <row r="3591" hidden="1" ht="16.05" customHeight="1">
      <c r="A3591" s="125" t="n">
        <v>4270</v>
      </c>
      <c r="B3591" s="791" t="n"/>
      <c r="C3591" s="130" t="inlineStr">
        <is>
          <t>Москва</t>
        </is>
      </c>
      <c r="D3591" s="130" t="inlineStr">
        <is>
          <t>Москва</t>
        </is>
      </c>
      <c r="E3591" s="130" t="n"/>
      <c r="F3591" s="130" t="inlineStr">
        <is>
          <t>АЗС</t>
        </is>
      </c>
      <c r="G3591" s="130" t="inlineStr">
        <is>
          <t>Лукойл (ЕКА)</t>
        </is>
      </c>
      <c r="H3591" s="637" t="n">
        <v>119</v>
      </c>
      <c r="I3591" s="637" t="n">
        <v>77764</v>
      </c>
      <c r="J3591" s="637" t="inlineStr">
        <is>
          <t>MSK_EKA_119</t>
        </is>
      </c>
      <c r="K3591" s="640" t="n">
        <v>1</v>
      </c>
      <c r="L3591" s="640" t="n">
        <v>0</v>
      </c>
      <c r="M3591" s="623" t="inlineStr">
        <is>
          <t>Экран 24" вертикальный</t>
        </is>
      </c>
      <c r="N3591" s="640" t="n"/>
      <c r="O3591" s="640">
        <f>IF(AND(N3591=1,L3591=1),K3591,"")</f>
        <v/>
      </c>
      <c r="P3591" s="642" t="inlineStr">
        <is>
          <t>г. Москва, Полимерная ул., вл. 6, соор. 1</t>
        </is>
      </c>
      <c r="Q3591" s="640" t="n">
        <v>55.745681</v>
      </c>
      <c r="R3591" s="422" t="n">
        <v>37.798098</v>
      </c>
      <c r="Z3591" s="1" t="n"/>
    </row>
    <row r="3592" hidden="1" ht="16.05" customHeight="1">
      <c r="A3592" s="125" t="n">
        <v>4271</v>
      </c>
      <c r="B3592" s="791" t="n"/>
      <c r="C3592" s="130" t="inlineStr">
        <is>
          <t>Москва</t>
        </is>
      </c>
      <c r="D3592" s="130" t="inlineStr">
        <is>
          <t>Москва</t>
        </is>
      </c>
      <c r="E3592" s="130" t="n"/>
      <c r="F3592" s="130" t="inlineStr">
        <is>
          <t>АЗС</t>
        </is>
      </c>
      <c r="G3592" s="130" t="inlineStr">
        <is>
          <t>Лукойл</t>
        </is>
      </c>
      <c r="H3592" s="637" t="n">
        <v>121</v>
      </c>
      <c r="I3592" s="637" t="n">
        <v>77765</v>
      </c>
      <c r="J3592" s="637" t="inlineStr">
        <is>
          <t>MSK_EKA_121</t>
        </is>
      </c>
      <c r="K3592" s="640" t="n">
        <v>1</v>
      </c>
      <c r="L3592" s="640" t="n">
        <v>0</v>
      </c>
      <c r="M3592" s="623" t="inlineStr">
        <is>
          <t>Экран 24" вертикальный</t>
        </is>
      </c>
      <c r="N3592" s="640" t="n"/>
      <c r="O3592" s="640">
        <f>IF(AND(N3592=1,L3592=1),K3592,"")</f>
        <v/>
      </c>
      <c r="P3592" s="642" t="inlineStr">
        <is>
          <t>г. Москва, Сиреневый бул., вл. 4 А, соор. 1</t>
        </is>
      </c>
      <c r="Q3592" s="640" t="n">
        <v>55.802234</v>
      </c>
      <c r="R3592" s="422" t="n">
        <v>37.766711</v>
      </c>
      <c r="Z3592" s="1" t="n"/>
    </row>
    <row r="3593" hidden="1" ht="16.05" customHeight="1">
      <c r="A3593" s="125" t="n">
        <v>4272</v>
      </c>
      <c r="B3593" s="791" t="n"/>
      <c r="C3593" s="130" t="inlineStr">
        <is>
          <t>Москва</t>
        </is>
      </c>
      <c r="D3593" s="130" t="inlineStr">
        <is>
          <t>Москва</t>
        </is>
      </c>
      <c r="E3593" s="130" t="n"/>
      <c r="F3593" s="130" t="inlineStr">
        <is>
          <t>АЗС</t>
        </is>
      </c>
      <c r="G3593" s="130" t="inlineStr">
        <is>
          <t>Лукойл</t>
        </is>
      </c>
      <c r="H3593" s="637" t="n">
        <v>122</v>
      </c>
      <c r="I3593" s="637" t="n">
        <v>77722</v>
      </c>
      <c r="J3593" s="637" t="inlineStr">
        <is>
          <t>MSK_EKA_122</t>
        </is>
      </c>
      <c r="K3593" s="640" t="n">
        <v>1</v>
      </c>
      <c r="L3593" s="640" t="n">
        <v>0</v>
      </c>
      <c r="M3593" s="623" t="inlineStr">
        <is>
          <t>Экран 24" вертикальный</t>
        </is>
      </c>
      <c r="N3593" s="640" t="n"/>
      <c r="O3593" s="640">
        <f>IF(AND(N3593=1,L3593=1),K3593,"")</f>
        <v/>
      </c>
      <c r="P3593" s="642" t="inlineStr">
        <is>
          <t>г. Москва, Архитектора Власова ул., влд. 8А, соор. 1</t>
        </is>
      </c>
      <c r="Q3593" s="640" t="n">
        <v>55.678128</v>
      </c>
      <c r="R3593" s="422" t="n">
        <v>37.548537</v>
      </c>
      <c r="Z3593" s="1" t="n"/>
    </row>
    <row r="3594" hidden="1" ht="16.05" customHeight="1">
      <c r="A3594" s="125" t="n">
        <v>4273</v>
      </c>
      <c r="B3594" s="791" t="n"/>
      <c r="C3594" s="130" t="inlineStr">
        <is>
          <t>Москва</t>
        </is>
      </c>
      <c r="D3594" s="130" t="inlineStr">
        <is>
          <t>Москва</t>
        </is>
      </c>
      <c r="E3594" s="130" t="n"/>
      <c r="F3594" s="130" t="inlineStr">
        <is>
          <t>АЗС</t>
        </is>
      </c>
      <c r="G3594" s="130" t="inlineStr">
        <is>
          <t>Лукойл</t>
        </is>
      </c>
      <c r="H3594" s="637" t="n">
        <v>134</v>
      </c>
      <c r="I3594" s="637" t="n">
        <v>77734</v>
      </c>
      <c r="J3594" s="637" t="inlineStr">
        <is>
          <t>MSK_EKA_134</t>
        </is>
      </c>
      <c r="K3594" s="640" t="n">
        <v>1</v>
      </c>
      <c r="L3594" s="640" t="n">
        <v>0</v>
      </c>
      <c r="M3594" s="623" t="inlineStr">
        <is>
          <t>Экран 24" вертикальный</t>
        </is>
      </c>
      <c r="N3594" s="640" t="n"/>
      <c r="O3594" s="640">
        <f>IF(AND(N3594=1,L3594=1),K3594,"")</f>
        <v/>
      </c>
      <c r="P3594" s="642" t="inlineStr">
        <is>
          <t>г. Москва, Сигнальный пр-д, влд. 39А, соор. 1</t>
        </is>
      </c>
      <c r="Q3594" s="640" t="n">
        <v>55.849236</v>
      </c>
      <c r="R3594" s="422" t="n">
        <v>37.595797</v>
      </c>
      <c r="Z3594" s="1" t="n"/>
    </row>
    <row r="3595" hidden="1" ht="16.05" customHeight="1">
      <c r="A3595" s="125" t="n">
        <v>4274</v>
      </c>
      <c r="B3595" s="125" t="inlineStr">
        <is>
          <t>WF</t>
        </is>
      </c>
      <c r="C3595" s="130" t="inlineStr">
        <is>
          <t>Москва</t>
        </is>
      </c>
      <c r="D3595" s="130" t="inlineStr">
        <is>
          <t>Москва</t>
        </is>
      </c>
      <c r="E3595" s="130" t="n"/>
      <c r="F3595" s="130" t="inlineStr">
        <is>
          <t>АЗС</t>
        </is>
      </c>
      <c r="G3595" s="130" t="inlineStr">
        <is>
          <t>Лукойл</t>
        </is>
      </c>
      <c r="H3595" s="637" t="n">
        <v>140</v>
      </c>
      <c r="I3595" s="637" t="n">
        <v>77766</v>
      </c>
      <c r="J3595" s="637" t="inlineStr">
        <is>
          <t>MSK_EKA_140</t>
        </is>
      </c>
      <c r="K3595" s="640" t="n">
        <v>1</v>
      </c>
      <c r="L3595" s="640" t="n">
        <v>0</v>
      </c>
      <c r="M3595" s="623" t="inlineStr">
        <is>
          <t>Экран 24" вертикальный</t>
        </is>
      </c>
      <c r="N3595" s="640" t="n"/>
      <c r="O3595" s="640">
        <f>IF(AND(N3595=1,L3595=1),K3595,"")</f>
        <v/>
      </c>
      <c r="P3595" s="642" t="inlineStr">
        <is>
          <t>г. Москва, Сигнальный пр-д, влд. 4, соор. 1</t>
        </is>
      </c>
      <c r="Q3595" s="640" t="inlineStr">
        <is>
          <t>55.848316</t>
        </is>
      </c>
      <c r="R3595" s="422" t="inlineStr">
        <is>
          <t>37.588296</t>
        </is>
      </c>
      <c r="Z3595" s="1" t="n"/>
    </row>
    <row r="3596" hidden="1" ht="16.05" customHeight="1">
      <c r="A3596" s="125" t="n">
        <v>4275</v>
      </c>
      <c r="B3596" s="125" t="inlineStr">
        <is>
          <t>WF</t>
        </is>
      </c>
      <c r="C3596" s="130" t="inlineStr">
        <is>
          <t>Москва</t>
        </is>
      </c>
      <c r="D3596" s="130" t="inlineStr">
        <is>
          <t>Москва</t>
        </is>
      </c>
      <c r="E3596" s="130" t="n"/>
      <c r="F3596" s="130" t="inlineStr">
        <is>
          <t>АЗС</t>
        </is>
      </c>
      <c r="G3596" s="130" t="inlineStr">
        <is>
          <t>Лукойл</t>
        </is>
      </c>
      <c r="H3596" s="637" t="n">
        <v>150</v>
      </c>
      <c r="I3596" s="637" t="n">
        <v>77767</v>
      </c>
      <c r="J3596" s="637" t="inlineStr">
        <is>
          <t>MSK_EKA_150</t>
        </is>
      </c>
      <c r="K3596" s="640" t="n">
        <v>1</v>
      </c>
      <c r="L3596" s="640" t="n">
        <v>0</v>
      </c>
      <c r="M3596" s="623" t="inlineStr">
        <is>
          <t>Экран 24" вертикальный</t>
        </is>
      </c>
      <c r="N3596" s="640" t="n"/>
      <c r="O3596" s="640">
        <f>IF(AND(N3596=1,L3596=1),K3596,"")</f>
        <v/>
      </c>
      <c r="P3596" s="642" t="inlineStr">
        <is>
          <t>г. Москва, Ленинский пр-кт , влд. 111А, соор.1</t>
        </is>
      </c>
      <c r="Q3596" s="640" t="inlineStr">
        <is>
          <t>55.661902</t>
        </is>
      </c>
      <c r="R3596" s="422" t="inlineStr">
        <is>
          <t>37.508301</t>
        </is>
      </c>
      <c r="Z3596" s="1" t="n"/>
    </row>
    <row r="3597" hidden="1" ht="16.05" customHeight="1">
      <c r="A3597" s="125" t="n">
        <v>4276</v>
      </c>
      <c r="B3597" s="125" t="inlineStr">
        <is>
          <t>WF</t>
        </is>
      </c>
      <c r="C3597" s="130" t="inlineStr">
        <is>
          <t>Москва</t>
        </is>
      </c>
      <c r="D3597" s="130" t="inlineStr">
        <is>
          <t>Москва</t>
        </is>
      </c>
      <c r="E3597" s="130" t="n"/>
      <c r="F3597" s="130" t="inlineStr">
        <is>
          <t>АЗС</t>
        </is>
      </c>
      <c r="G3597" s="130" t="inlineStr">
        <is>
          <t>Лукойл</t>
        </is>
      </c>
      <c r="H3597" s="637" t="n">
        <v>195</v>
      </c>
      <c r="I3597" s="637" t="n">
        <v>77769</v>
      </c>
      <c r="J3597" s="637" t="inlineStr">
        <is>
          <t>MSK_EKA_195</t>
        </is>
      </c>
      <c r="K3597" s="640" t="n">
        <v>1</v>
      </c>
      <c r="L3597" s="640" t="n">
        <v>0</v>
      </c>
      <c r="M3597" s="623" t="inlineStr">
        <is>
          <t>Экран 24" вертикальный</t>
        </is>
      </c>
      <c r="N3597" s="640" t="n"/>
      <c r="O3597" s="640">
        <f>IF(AND(N3597=1,L3597=1),K3597,"")</f>
        <v/>
      </c>
      <c r="P3597" s="642" t="inlineStr">
        <is>
          <t>г. Москва, внутригородская территория муниципальный округ Северное Медведково, 89-й километр МКАД, соор. 12</t>
        </is>
      </c>
      <c r="Q3597" s="640" t="inlineStr">
        <is>
          <t>55.894939</t>
        </is>
      </c>
      <c r="R3597" s="422" t="inlineStr">
        <is>
          <t>37.66044</t>
        </is>
      </c>
      <c r="Z3597" s="1" t="n"/>
    </row>
    <row r="3598" hidden="1" ht="16.05" customHeight="1">
      <c r="A3598" s="125" t="n">
        <v>4277</v>
      </c>
      <c r="B3598" s="791" t="n"/>
      <c r="C3598" s="130" t="inlineStr">
        <is>
          <t>Москва</t>
        </is>
      </c>
      <c r="D3598" s="130" t="inlineStr">
        <is>
          <t>Москва</t>
        </is>
      </c>
      <c r="E3598" s="130" t="n"/>
      <c r="F3598" s="130" t="inlineStr">
        <is>
          <t>АЗС</t>
        </is>
      </c>
      <c r="G3598" s="130" t="inlineStr">
        <is>
          <t>Лукойл (ЕКА)</t>
        </is>
      </c>
      <c r="H3598" s="637" t="n">
        <v>205</v>
      </c>
      <c r="I3598" s="637" t="n">
        <v>77770</v>
      </c>
      <c r="J3598" s="637" t="inlineStr">
        <is>
          <t>MSK_EKA_205</t>
        </is>
      </c>
      <c r="K3598" s="640" t="n">
        <v>1</v>
      </c>
      <c r="L3598" s="640" t="n">
        <v>0</v>
      </c>
      <c r="M3598" s="623" t="inlineStr">
        <is>
          <t>Экран 24" вертикальный</t>
        </is>
      </c>
      <c r="N3598" s="640" t="n"/>
      <c r="O3598" s="640">
        <f>IF(AND(N3598=1,L3598=1),K3598,"")</f>
        <v/>
      </c>
      <c r="P3598" s="642" t="inlineStr">
        <is>
          <t>г. Москва, ул Верейская, влд. 33, соор.1</t>
        </is>
      </c>
      <c r="Q3598" s="640" t="n">
        <v>55.714237</v>
      </c>
      <c r="R3598" s="422" t="n">
        <v>37.425818</v>
      </c>
      <c r="Z3598" s="1" t="n"/>
    </row>
    <row r="3599" hidden="1" ht="16.05" customHeight="1">
      <c r="A3599" s="125" t="n">
        <v>4278</v>
      </c>
      <c r="B3599" s="125" t="inlineStr">
        <is>
          <t>WF</t>
        </is>
      </c>
      <c r="C3599" s="130" t="inlineStr">
        <is>
          <t>Москва</t>
        </is>
      </c>
      <c r="D3599" s="130" t="inlineStr">
        <is>
          <t>Москва</t>
        </is>
      </c>
      <c r="E3599" s="130" t="n"/>
      <c r="F3599" s="130" t="inlineStr">
        <is>
          <t>АЗС</t>
        </is>
      </c>
      <c r="G3599" s="130" t="inlineStr">
        <is>
          <t>Лукойл (ЕКА)</t>
        </is>
      </c>
      <c r="H3599" s="637" t="n">
        <v>224</v>
      </c>
      <c r="I3599" s="637" t="n">
        <v>77772</v>
      </c>
      <c r="J3599" s="637" t="inlineStr">
        <is>
          <t>MSK_EKA_224</t>
        </is>
      </c>
      <c r="K3599" s="640" t="n">
        <v>1</v>
      </c>
      <c r="L3599" s="640" t="n">
        <v>0</v>
      </c>
      <c r="M3599" s="623" t="inlineStr">
        <is>
          <t>Экран 24" вертикальный</t>
        </is>
      </c>
      <c r="N3599" s="640" t="n"/>
      <c r="O3599" s="640">
        <f>IF(AND(N3599=1,L3599=1),K3599,"")</f>
        <v/>
      </c>
      <c r="P3599" s="642" t="inlineStr">
        <is>
          <t>г. Москва, Кутузовский проспект, влд. 50, соор.1</t>
        </is>
      </c>
      <c r="Q3599" s="640" t="inlineStr">
        <is>
          <t>55.731303</t>
        </is>
      </c>
      <c r="R3599" s="422" t="inlineStr">
        <is>
          <t>37.484523</t>
        </is>
      </c>
      <c r="Z3599" s="1" t="n"/>
    </row>
    <row r="3600" hidden="1" ht="16.05" customHeight="1">
      <c r="A3600" s="125" t="n">
        <v>4279</v>
      </c>
      <c r="B3600" s="791" t="n"/>
      <c r="C3600" s="130" t="inlineStr">
        <is>
          <t>Москва</t>
        </is>
      </c>
      <c r="D3600" s="130" t="inlineStr">
        <is>
          <t>Московская область</t>
        </is>
      </c>
      <c r="E3600" s="130" t="n"/>
      <c r="F3600" s="130" t="inlineStr">
        <is>
          <t>АЗС</t>
        </is>
      </c>
      <c r="G3600" s="130" t="inlineStr">
        <is>
          <t>Лукойл (ЕКА)</t>
        </is>
      </c>
      <c r="H3600" s="637" t="n">
        <v>301</v>
      </c>
      <c r="I3600" s="637" t="n">
        <v>50701</v>
      </c>
      <c r="J3600" s="637" t="inlineStr">
        <is>
          <t>MSK_EKA_301</t>
        </is>
      </c>
      <c r="K3600" s="640" t="n">
        <v>1</v>
      </c>
      <c r="L3600" s="640" t="n">
        <v>0</v>
      </c>
      <c r="M3600" s="623" t="inlineStr">
        <is>
          <t>Экран 24" вертикальный</t>
        </is>
      </c>
      <c r="N3600" s="640" t="n"/>
      <c r="O3600" s="640">
        <f>IF(AND(N3600=1,L3600=1),K3600,"")</f>
        <v/>
      </c>
      <c r="P3600" s="642" t="inlineStr">
        <is>
          <t>МО, р-н Павлово-Посадский, с/п Рахмановское, д. Сонино,д.100</t>
        </is>
      </c>
      <c r="Q3600" s="640" t="n">
        <v>55.74791</v>
      </c>
      <c r="R3600" s="422" t="n">
        <v>38.581276</v>
      </c>
      <c r="Z3600" s="1" t="n"/>
    </row>
    <row r="3601" hidden="1" ht="16.05" customHeight="1">
      <c r="A3601" s="125" t="n">
        <v>4280</v>
      </c>
      <c r="B3601" s="125" t="inlineStr">
        <is>
          <t>WF</t>
        </is>
      </c>
      <c r="C3601" s="130" t="inlineStr">
        <is>
          <t>Москва</t>
        </is>
      </c>
      <c r="D3601" s="130" t="inlineStr">
        <is>
          <t>Московская область</t>
        </is>
      </c>
      <c r="E3601" s="130" t="n"/>
      <c r="F3601" s="130" t="inlineStr">
        <is>
          <t>АЗС</t>
        </is>
      </c>
      <c r="G3601" s="130" t="inlineStr">
        <is>
          <t>Лукойл (ЕКА)</t>
        </is>
      </c>
      <c r="H3601" s="637" t="n">
        <v>302</v>
      </c>
      <c r="I3601" s="637" t="n">
        <v>50702</v>
      </c>
      <c r="J3601" s="637" t="inlineStr">
        <is>
          <t>MSK_EKA_302</t>
        </is>
      </c>
      <c r="K3601" s="640" t="n">
        <v>1</v>
      </c>
      <c r="L3601" s="640" t="n">
        <v>0</v>
      </c>
      <c r="M3601" s="623" t="inlineStr">
        <is>
          <t>Экран 24" вертикальный</t>
        </is>
      </c>
      <c r="N3601" s="640" t="n"/>
      <c r="O3601" s="640">
        <f>IF(AND(N3601=1,L3601=1),K3601,"")</f>
        <v/>
      </c>
      <c r="P3601" s="642" t="inlineStr">
        <is>
          <t>МО, Дмитровский р-н, с/п Синьковское, д. Лучинское. (Объект 116, 47 км, а/д "А-108")</t>
        </is>
      </c>
      <c r="Q3601" s="640" t="inlineStr">
        <is>
          <t>56.372196</t>
        </is>
      </c>
      <c r="R3601" s="422" t="inlineStr">
        <is>
          <t>37.339966</t>
        </is>
      </c>
      <c r="Z3601" s="1" t="n"/>
    </row>
    <row r="3602" hidden="1" ht="16.05" customHeight="1">
      <c r="A3602" s="125" t="n">
        <v>4281</v>
      </c>
      <c r="B3602" s="125" t="inlineStr">
        <is>
          <t>WF</t>
        </is>
      </c>
      <c r="C3602" s="130" t="inlineStr">
        <is>
          <t>Москва</t>
        </is>
      </c>
      <c r="D3602" s="130" t="inlineStr">
        <is>
          <t>Московская область</t>
        </is>
      </c>
      <c r="E3602" s="130" t="n"/>
      <c r="F3602" s="130" t="inlineStr">
        <is>
          <t>АЗС</t>
        </is>
      </c>
      <c r="G3602" s="130" t="inlineStr">
        <is>
          <t>Лукойл (ЕКА)</t>
        </is>
      </c>
      <c r="H3602" s="637" t="n">
        <v>304</v>
      </c>
      <c r="I3602" s="637" t="n">
        <v>50704</v>
      </c>
      <c r="J3602" s="637" t="inlineStr">
        <is>
          <t>MSK_EKA_304</t>
        </is>
      </c>
      <c r="K3602" s="640" t="n">
        <v>1</v>
      </c>
      <c r="L3602" s="640" t="n">
        <v>0</v>
      </c>
      <c r="M3602" s="623" t="inlineStr">
        <is>
          <t>Экран 24" вертикальный</t>
        </is>
      </c>
      <c r="N3602" s="640" t="n"/>
      <c r="O3602" s="640">
        <f>IF(AND(N3602=1,L3602=1),K3602,"")</f>
        <v/>
      </c>
      <c r="P3602" s="642" t="inlineStr">
        <is>
          <t>МО, Дмитровский р-н, с/п Габовское, д.Глазово, стр. 3А. 
(16 км а/д "Хлебниково-Рогачёво")</t>
        </is>
      </c>
      <c r="Q3602" s="640" t="inlineStr">
        <is>
          <t>56.088408</t>
        </is>
      </c>
      <c r="R3602" s="422" t="inlineStr">
        <is>
          <t>37.365649</t>
        </is>
      </c>
      <c r="Z3602" s="1" t="n"/>
    </row>
    <row r="3603" hidden="1" ht="16.05" customHeight="1">
      <c r="A3603" s="125" t="n">
        <v>4282</v>
      </c>
      <c r="B3603" s="125" t="inlineStr">
        <is>
          <t>WF</t>
        </is>
      </c>
      <c r="C3603" s="130" t="inlineStr">
        <is>
          <t>Москва</t>
        </is>
      </c>
      <c r="D3603" s="130" t="inlineStr">
        <is>
          <t>Московская область</t>
        </is>
      </c>
      <c r="E3603" s="130" t="n"/>
      <c r="F3603" s="130" t="inlineStr">
        <is>
          <t>АЗС</t>
        </is>
      </c>
      <c r="G3603" s="130" t="inlineStr">
        <is>
          <t>Лукойл</t>
        </is>
      </c>
      <c r="H3603" s="637" t="n">
        <v>305</v>
      </c>
      <c r="I3603" s="637" t="n">
        <v>50705</v>
      </c>
      <c r="J3603" s="637" t="inlineStr">
        <is>
          <t>MSK_EKA_305</t>
        </is>
      </c>
      <c r="K3603" s="640" t="n">
        <v>1</v>
      </c>
      <c r="L3603" s="640" t="n">
        <v>0</v>
      </c>
      <c r="M3603" s="623" t="inlineStr">
        <is>
          <t>Экран 24" вертикальный</t>
        </is>
      </c>
      <c r="N3603" s="640" t="n"/>
      <c r="O3603" s="640">
        <f>IF(AND(N3603=1,L3603=1),K3603,"")</f>
        <v/>
      </c>
      <c r="P3603" s="642" t="inlineStr">
        <is>
          <t>МО, Красногорский муниципальный р-н, с/п Ильинское, д. Грибаново, вл. № 26, стр. 1.</t>
        </is>
      </c>
      <c r="Q3603" s="640" t="inlineStr">
        <is>
          <t>55.738399</t>
        </is>
      </c>
      <c r="R3603" s="422" t="inlineStr">
        <is>
          <t>37.113034</t>
        </is>
      </c>
      <c r="Z3603" s="1" t="n"/>
    </row>
    <row r="3604" hidden="1" ht="16.05" customHeight="1">
      <c r="A3604" s="125" t="n">
        <v>4283</v>
      </c>
      <c r="B3604" s="125" t="inlineStr">
        <is>
          <t>WF</t>
        </is>
      </c>
      <c r="C3604" s="130" t="inlineStr">
        <is>
          <t>Москва</t>
        </is>
      </c>
      <c r="D3604" s="130" t="inlineStr">
        <is>
          <t>Московская область</t>
        </is>
      </c>
      <c r="E3604" s="130" t="n"/>
      <c r="F3604" s="130" t="inlineStr">
        <is>
          <t>АЗС</t>
        </is>
      </c>
      <c r="G3604" s="130" t="inlineStr">
        <is>
          <t>Лукойл (ЕКА)</t>
        </is>
      </c>
      <c r="H3604" s="637" t="n">
        <v>306</v>
      </c>
      <c r="I3604" s="637" t="n">
        <v>50706</v>
      </c>
      <c r="J3604" s="637" t="inlineStr">
        <is>
          <t>MSK_EKA_306</t>
        </is>
      </c>
      <c r="K3604" s="640" t="n">
        <v>1</v>
      </c>
      <c r="L3604" s="640" t="n">
        <v>0</v>
      </c>
      <c r="M3604" s="623" t="inlineStr">
        <is>
          <t>Экран 24" вертикальный</t>
        </is>
      </c>
      <c r="N3604" s="640" t="n"/>
      <c r="O3604" s="640">
        <f>IF(AND(N3604=1,L3604=1),K3604,"")</f>
        <v/>
      </c>
      <c r="P3604" s="642" t="inlineStr">
        <is>
          <t>МО, г. Домодедово, мкр. Южный, М-4 43 км, стр. 2</t>
        </is>
      </c>
      <c r="Q3604" s="640" t="inlineStr">
        <is>
          <t>55.391871</t>
        </is>
      </c>
      <c r="R3604" s="422" t="inlineStr">
        <is>
          <t>37.774499</t>
        </is>
      </c>
      <c r="Z3604" s="1" t="n"/>
    </row>
    <row r="3605" hidden="1" ht="16.05" customHeight="1">
      <c r="A3605" s="125" t="n">
        <v>4284</v>
      </c>
      <c r="B3605" s="125" t="inlineStr">
        <is>
          <t>WF</t>
        </is>
      </c>
      <c r="C3605" s="130" t="inlineStr">
        <is>
          <t>Москва</t>
        </is>
      </c>
      <c r="D3605" s="130" t="inlineStr">
        <is>
          <t>Московская область</t>
        </is>
      </c>
      <c r="E3605" s="130" t="n"/>
      <c r="F3605" s="130" t="inlineStr">
        <is>
          <t>АЗС</t>
        </is>
      </c>
      <c r="G3605" s="130" t="inlineStr">
        <is>
          <t>Лукойл</t>
        </is>
      </c>
      <c r="H3605" s="637" t="n">
        <v>307</v>
      </c>
      <c r="I3605" s="637" t="n">
        <v>50707</v>
      </c>
      <c r="J3605" s="637" t="inlineStr">
        <is>
          <t>MSK_EKA_307</t>
        </is>
      </c>
      <c r="K3605" s="640" t="n">
        <v>1</v>
      </c>
      <c r="L3605" s="640" t="n">
        <v>0</v>
      </c>
      <c r="M3605" s="623" t="inlineStr">
        <is>
          <t>Экран 24" вертикальный</t>
        </is>
      </c>
      <c r="N3605" s="640" t="n"/>
      <c r="O3605" s="640">
        <f>IF(AND(N3605=1,L3605=1),K3605,"")</f>
        <v/>
      </c>
      <c r="P3605" s="642" t="inlineStr">
        <is>
          <t xml:space="preserve">МО, Красногорский муниципальный р-н, гор. поселение Нахабино, а/д М-9 «Балтия», 29 км (правая сторона), стр. 1. </t>
        </is>
      </c>
      <c r="Q3605" s="640" t="inlineStr">
        <is>
          <t>55.778270</t>
        </is>
      </c>
      <c r="R3605" s="422" t="inlineStr">
        <is>
          <t>37.186078</t>
        </is>
      </c>
      <c r="Z3605" s="1" t="n"/>
    </row>
    <row r="3606" hidden="1" ht="16.05" customHeight="1">
      <c r="A3606" s="125" t="n">
        <v>4285</v>
      </c>
      <c r="B3606" s="125" t="inlineStr">
        <is>
          <t>WF</t>
        </is>
      </c>
      <c r="C3606" s="130" t="inlineStr">
        <is>
          <t>Москва</t>
        </is>
      </c>
      <c r="D3606" s="130" t="inlineStr">
        <is>
          <t>Московская область</t>
        </is>
      </c>
      <c r="E3606" s="130" t="n"/>
      <c r="F3606" s="130" t="inlineStr">
        <is>
          <t>АЗС</t>
        </is>
      </c>
      <c r="G3606" s="130" t="inlineStr">
        <is>
          <t>Лукойл</t>
        </is>
      </c>
      <c r="H3606" s="637" t="n">
        <v>308</v>
      </c>
      <c r="I3606" s="637" t="n">
        <v>50708</v>
      </c>
      <c r="J3606" s="637" t="inlineStr">
        <is>
          <t>MSK_EKA_308</t>
        </is>
      </c>
      <c r="K3606" s="640" t="n">
        <v>1</v>
      </c>
      <c r="L3606" s="640" t="n">
        <v>0</v>
      </c>
      <c r="M3606" s="623" t="inlineStr">
        <is>
          <t>Экран 24" вертикальный</t>
        </is>
      </c>
      <c r="N3606" s="640" t="n"/>
      <c r="O3606" s="640">
        <f>IF(AND(N3606=1,L3606=1),K3606,"")</f>
        <v/>
      </c>
      <c r="P3606" s="642" t="inlineStr">
        <is>
          <t>МО, Мытищинский р-н, с/п Федоскинское, 
д. Ерёмино</t>
        </is>
      </c>
      <c r="Q3606" s="640" t="inlineStr">
        <is>
          <t>56.018830</t>
        </is>
      </c>
      <c r="R3606" s="422" t="inlineStr">
        <is>
          <t>37.544255</t>
        </is>
      </c>
      <c r="Z3606" s="1" t="n"/>
    </row>
    <row r="3607" hidden="1" ht="16.05" customHeight="1">
      <c r="A3607" s="125" t="n">
        <v>4286</v>
      </c>
      <c r="B3607" s="125" t="inlineStr">
        <is>
          <t>WF</t>
        </is>
      </c>
      <c r="C3607" s="130" t="inlineStr">
        <is>
          <t>Москва</t>
        </is>
      </c>
      <c r="D3607" s="130" t="inlineStr">
        <is>
          <t>Московская область</t>
        </is>
      </c>
      <c r="E3607" s="130" t="n"/>
      <c r="F3607" s="130" t="inlineStr">
        <is>
          <t>АЗС</t>
        </is>
      </c>
      <c r="G3607" s="130" t="inlineStr">
        <is>
          <t>Лукойл (ЕКА)</t>
        </is>
      </c>
      <c r="H3607" s="637" t="n">
        <v>309</v>
      </c>
      <c r="I3607" s="637" t="n">
        <v>50709</v>
      </c>
      <c r="J3607" s="637" t="inlineStr">
        <is>
          <t>MSK_EKA_309</t>
        </is>
      </c>
      <c r="K3607" s="640" t="n">
        <v>1</v>
      </c>
      <c r="L3607" s="640" t="n">
        <v>0</v>
      </c>
      <c r="M3607" s="623" t="inlineStr">
        <is>
          <t>Экран 24" вертикальный</t>
        </is>
      </c>
      <c r="N3607" s="640" t="n"/>
      <c r="O3607" s="640">
        <f>IF(AND(N3607=1,L3607=1),K3607,"")</f>
        <v/>
      </c>
      <c r="P3607" s="642" t="inlineStr">
        <is>
          <t>МО, г. Долгопрудный, Лихачевское ш., АЗС</t>
        </is>
      </c>
      <c r="Q3607" s="640" t="inlineStr">
        <is>
          <t>55.937242</t>
        </is>
      </c>
      <c r="R3607" s="422" t="inlineStr">
        <is>
          <t>37.492939</t>
        </is>
      </c>
      <c r="Z3607" s="1" t="n"/>
    </row>
    <row r="3608" hidden="1" ht="16.05" customHeight="1">
      <c r="A3608" s="125" t="n">
        <v>4287</v>
      </c>
      <c r="B3608" s="125" t="inlineStr">
        <is>
          <t>WF</t>
        </is>
      </c>
      <c r="C3608" s="130" t="inlineStr">
        <is>
          <t>Москва</t>
        </is>
      </c>
      <c r="D3608" s="130" t="inlineStr">
        <is>
          <t>Московская область</t>
        </is>
      </c>
      <c r="E3608" s="130" t="n"/>
      <c r="F3608" s="130" t="inlineStr">
        <is>
          <t>АЗС</t>
        </is>
      </c>
      <c r="G3608" s="130" t="inlineStr">
        <is>
          <t>Лукойл</t>
        </is>
      </c>
      <c r="H3608" s="637" t="n">
        <v>310</v>
      </c>
      <c r="I3608" s="637" t="n">
        <v>50710</v>
      </c>
      <c r="J3608" s="637" t="inlineStr">
        <is>
          <t>MSK_EKA_310</t>
        </is>
      </c>
      <c r="K3608" s="640" t="n">
        <v>1</v>
      </c>
      <c r="L3608" s="640" t="n">
        <v>0</v>
      </c>
      <c r="M3608" s="623" t="inlineStr">
        <is>
          <t>Экран 24" вертикальный</t>
        </is>
      </c>
      <c r="N3608" s="640" t="n"/>
      <c r="O3608" s="640">
        <f>IF(AND(N3608=1,L3608=1),K3608,"")</f>
        <v/>
      </c>
      <c r="P3608" s="642" t="inlineStr">
        <is>
          <t>МО, Сергиево-Посадский р-н, с/п Лозовское, д. Голыгино, уч. 61</t>
        </is>
      </c>
      <c r="Q3608" s="640" t="inlineStr">
        <is>
          <t>56.184151</t>
        </is>
      </c>
      <c r="R3608" s="422" t="inlineStr">
        <is>
          <t>38.032999</t>
        </is>
      </c>
      <c r="Z3608" s="1" t="n"/>
    </row>
    <row r="3609" hidden="1" ht="16.05" customHeight="1">
      <c r="A3609" s="125" t="n">
        <v>4288</v>
      </c>
      <c r="B3609" s="125" t="inlineStr">
        <is>
          <t>WF</t>
        </is>
      </c>
      <c r="C3609" s="130" t="inlineStr">
        <is>
          <t>Москва</t>
        </is>
      </c>
      <c r="D3609" s="130" t="inlineStr">
        <is>
          <t>Московская область</t>
        </is>
      </c>
      <c r="E3609" s="130" t="n"/>
      <c r="F3609" s="130" t="inlineStr">
        <is>
          <t>АЗС</t>
        </is>
      </c>
      <c r="G3609" s="130" t="inlineStr">
        <is>
          <t>Лукойл (ЕКА)</t>
        </is>
      </c>
      <c r="H3609" s="637" t="n">
        <v>312</v>
      </c>
      <c r="I3609" s="637" t="n">
        <v>50712</v>
      </c>
      <c r="J3609" s="637" t="inlineStr">
        <is>
          <t>MSK_EKA_312</t>
        </is>
      </c>
      <c r="K3609" s="640" t="n">
        <v>1</v>
      </c>
      <c r="L3609" s="640" t="n">
        <v>0</v>
      </c>
      <c r="M3609" s="623" t="inlineStr">
        <is>
          <t>Экран 24" вертикальный</t>
        </is>
      </c>
      <c r="N3609" s="640" t="n"/>
      <c r="O3609" s="640">
        <f>IF(AND(N3609=1,L3609=1),K3609,"")</f>
        <v/>
      </c>
      <c r="P3609" s="642" t="inlineStr">
        <is>
          <t>МО, г.Красногорск, Ильинский туп.</t>
        </is>
      </c>
      <c r="Q3609" s="640" t="inlineStr">
        <is>
          <t>55.803977</t>
        </is>
      </c>
      <c r="R3609" s="422" t="inlineStr">
        <is>
          <t>37.318230</t>
        </is>
      </c>
      <c r="Z3609" s="1" t="n"/>
    </row>
    <row r="3610" hidden="1" ht="16.05" customHeight="1">
      <c r="A3610" s="125" t="n">
        <v>4289</v>
      </c>
      <c r="B3610" s="125" t="inlineStr">
        <is>
          <t>WF</t>
        </is>
      </c>
      <c r="C3610" s="130" t="inlineStr">
        <is>
          <t>Москва</t>
        </is>
      </c>
      <c r="D3610" s="130" t="inlineStr">
        <is>
          <t>Московская область</t>
        </is>
      </c>
      <c r="E3610" s="130" t="n"/>
      <c r="F3610" s="130" t="inlineStr">
        <is>
          <t>АЗС</t>
        </is>
      </c>
      <c r="G3610" s="130" t="inlineStr">
        <is>
          <t>Лукойл (ЕКА)</t>
        </is>
      </c>
      <c r="H3610" s="131" t="n"/>
      <c r="I3610" s="637" t="inlineStr">
        <is>
          <t>305 М</t>
        </is>
      </c>
      <c r="J3610" s="637" t="inlineStr">
        <is>
          <t>MSK_EKA_305M</t>
        </is>
      </c>
      <c r="K3610" s="640" t="n">
        <v>1</v>
      </c>
      <c r="L3610" s="640" t="n">
        <v>0</v>
      </c>
      <c r="M3610" s="623" t="inlineStr">
        <is>
          <t>Экран 24" вертикальный</t>
        </is>
      </c>
      <c r="N3610" s="640" t="n"/>
      <c r="O3610" s="640">
        <f>IF(AND(N3610=1,L3610=1),K3610,"")</f>
        <v/>
      </c>
      <c r="P3610" s="642" t="inlineStr">
        <is>
          <t>МО, Красногорский муниципальный р-н, с/п Ильинское, д. Грибаново, вл. 26, стр. 2.</t>
        </is>
      </c>
      <c r="Q3610" s="640" t="inlineStr">
        <is>
          <t>55.738632</t>
        </is>
      </c>
      <c r="R3610" s="422" t="inlineStr">
        <is>
          <t>37.113231</t>
        </is>
      </c>
      <c r="Z3610" s="1" t="n"/>
    </row>
    <row r="3611" hidden="1" ht="16.05" customHeight="1">
      <c r="A3611" s="125" t="n">
        <v>4290</v>
      </c>
      <c r="B3611" s="125" t="inlineStr">
        <is>
          <t>WF</t>
        </is>
      </c>
      <c r="C3611" s="130" t="inlineStr">
        <is>
          <t>Москва</t>
        </is>
      </c>
      <c r="D3611" s="130" t="inlineStr">
        <is>
          <t>Москва</t>
        </is>
      </c>
      <c r="E3611" s="130" t="n"/>
      <c r="F3611" s="130" t="inlineStr">
        <is>
          <t>АЗС</t>
        </is>
      </c>
      <c r="G3611" s="130" t="inlineStr">
        <is>
          <t>Лукойл</t>
        </is>
      </c>
      <c r="H3611" s="637" t="inlineStr">
        <is>
          <t>3М</t>
        </is>
      </c>
      <c r="I3611" s="637" t="n">
        <v>77703</v>
      </c>
      <c r="J3611" s="637" t="inlineStr">
        <is>
          <t>MSK_EKA_003M</t>
        </is>
      </c>
      <c r="K3611" s="640" t="n">
        <v>1</v>
      </c>
      <c r="L3611" s="640" t="n">
        <v>0</v>
      </c>
      <c r="M3611" s="623" t="inlineStr">
        <is>
          <t>Экран 24" вертикальный</t>
        </is>
      </c>
      <c r="N3611" s="640" t="n"/>
      <c r="O3611" s="640">
        <f>IF(AND(N3611=1,L3611=1),K3611,"")</f>
        <v/>
      </c>
      <c r="P3611" s="642" t="inlineStr">
        <is>
          <t>г. Москва, Мосрентген п., д. Мамыри, вл. 1Ас3</t>
        </is>
      </c>
      <c r="Q3611" s="640" t="n">
        <v>55.603053</v>
      </c>
      <c r="R3611" s="422" t="n">
        <v>37.483918</v>
      </c>
      <c r="Z3611" s="1" t="n"/>
    </row>
    <row r="3612" hidden="1" ht="16.05" customHeight="1">
      <c r="A3612" s="125" t="n">
        <v>4291</v>
      </c>
      <c r="B3612" s="125" t="inlineStr">
        <is>
          <t>WF</t>
        </is>
      </c>
      <c r="C3612" s="130" t="inlineStr">
        <is>
          <t>Москва</t>
        </is>
      </c>
      <c r="D3612" s="130" t="inlineStr">
        <is>
          <t>Москва</t>
        </is>
      </c>
      <c r="E3612" s="130" t="inlineStr">
        <is>
          <t>B</t>
        </is>
      </c>
      <c r="F3612" s="130" t="inlineStr">
        <is>
          <t>Бизнес центр</t>
        </is>
      </c>
      <c r="G3612" s="130" t="inlineStr">
        <is>
          <t>Бизнес центр</t>
        </is>
      </c>
      <c r="H3612" s="131" t="n">
        <v>9635</v>
      </c>
      <c r="I3612" s="637" t="inlineStr">
        <is>
          <t>Верхняя Красносельская</t>
        </is>
      </c>
      <c r="J3612" s="637" t="inlineStr">
        <is>
          <t>MSK_BC_Verkhnyaya_Krasnoselskaya</t>
        </is>
      </c>
      <c r="K3612" s="640" t="n">
        <v>1</v>
      </c>
      <c r="L3612" s="640" t="n">
        <v>1</v>
      </c>
      <c r="M3612" s="623" t="inlineStr">
        <is>
          <t>Samsung 43" вертикальный</t>
        </is>
      </c>
      <c r="N3612" s="640" t="n"/>
      <c r="O3612" s="640">
        <f>IF(AND(N3612=1,L3612=1),K3612,"")</f>
        <v/>
      </c>
      <c r="P3612" s="642" t="inlineStr">
        <is>
          <t>Москва, Москва, Верхняя Красносельская д. 2/1 стр. 1</t>
        </is>
      </c>
      <c r="Q3612" s="640" t="inlineStr">
        <is>
          <t>55.785134</t>
        </is>
      </c>
      <c r="R3612" s="494" t="inlineStr">
        <is>
          <t>37.659228</t>
        </is>
      </c>
      <c r="S3612" s="387">
        <f>'Цены|Скидки'!$D$25</f>
        <v/>
      </c>
      <c r="T3612" s="387">
        <f>IF(N3612=1,S3612*O3612,0)</f>
        <v/>
      </c>
      <c r="Z3612" s="1" t="n"/>
    </row>
    <row r="3613" hidden="1" ht="16.05" customHeight="1">
      <c r="A3613" s="125" t="n">
        <v>4292</v>
      </c>
      <c r="B3613" s="791" t="n"/>
      <c r="C3613" s="130" t="inlineStr">
        <is>
          <t>Краснодар</t>
        </is>
      </c>
      <c r="D3613" s="130" t="inlineStr">
        <is>
          <t>Кореновский р-н</t>
        </is>
      </c>
      <c r="E3613" s="130" t="n"/>
      <c r="F3613" s="130" t="inlineStr">
        <is>
          <t>АЗС</t>
        </is>
      </c>
      <c r="G3613" s="130" t="inlineStr">
        <is>
          <t>Роснефть</t>
        </is>
      </c>
      <c r="H3613" s="131" t="n"/>
      <c r="I3613" s="637" t="inlineStr">
        <is>
          <t>RN_125</t>
        </is>
      </c>
      <c r="J3613" s="637" t="inlineStr">
        <is>
          <t>KDR_RN_0125</t>
        </is>
      </c>
      <c r="K3613" s="640" t="n">
        <v>1</v>
      </c>
      <c r="L3613" s="640" t="n">
        <v>1</v>
      </c>
      <c r="M3613" s="623" t="inlineStr">
        <is>
          <t>Samsung 32" вертикальный</t>
        </is>
      </c>
      <c r="N3613" s="640" t="n"/>
      <c r="O3613" s="640">
        <f>IF(AND(N3613=1,L3613=1),K3613,"")</f>
        <v/>
      </c>
      <c r="P3613" s="642" t="inlineStr">
        <is>
          <t>Кореновский р-н, в 0,1км севернее г. Кореновска, а/д «ДОН», км 1276+350 слева</t>
        </is>
      </c>
      <c r="Q3613" s="640" t="inlineStr">
        <is>
          <t>45.494896</t>
        </is>
      </c>
      <c r="R3613" s="494" t="inlineStr">
        <is>
          <t>39.421262</t>
        </is>
      </c>
      <c r="Z3613" s="1" t="n"/>
    </row>
    <row r="3614" hidden="1" ht="16.05" customHeight="1">
      <c r="A3614" s="125" t="n">
        <v>4293</v>
      </c>
      <c r="B3614" s="791" t="n"/>
      <c r="C3614" s="130" t="inlineStr">
        <is>
          <t>Краснодар</t>
        </is>
      </c>
      <c r="D3614" s="130" t="inlineStr">
        <is>
          <t>Краснодарский край</t>
        </is>
      </c>
      <c r="E3614" s="130" t="n"/>
      <c r="F3614" s="130" t="inlineStr">
        <is>
          <t>АЗС</t>
        </is>
      </c>
      <c r="G3614" s="130" t="inlineStr">
        <is>
          <t>Роснефть</t>
        </is>
      </c>
      <c r="H3614" s="131" t="n"/>
      <c r="I3614" s="637" t="inlineStr">
        <is>
          <t>RN_55</t>
        </is>
      </c>
      <c r="J3614" s="637" t="inlineStr">
        <is>
          <t>KDR_RN_0055</t>
        </is>
      </c>
      <c r="K3614" s="640" t="n">
        <v>1</v>
      </c>
      <c r="L3614" s="640" t="n">
        <v>1</v>
      </c>
      <c r="M3614" s="623" t="inlineStr">
        <is>
          <t>Samsung 32" вертикальный</t>
        </is>
      </c>
      <c r="N3614" s="640" t="n"/>
      <c r="O3614" s="640">
        <f>IF(AND(N3614=1,L3614=1),K3614,"")</f>
        <v/>
      </c>
      <c r="P3614" s="642" t="inlineStr">
        <is>
          <t>Краснодарский край М-4 "Дон" 1119км+700 (слева)</t>
        </is>
      </c>
      <c r="Q3614" s="640" t="inlineStr">
        <is>
          <t>46.787393</t>
        </is>
      </c>
      <c r="R3614" s="494" t="inlineStr">
        <is>
          <t>39.666852</t>
        </is>
      </c>
      <c r="Z3614" s="1" t="n"/>
    </row>
    <row r="3615" hidden="1" ht="16.05" customHeight="1">
      <c r="A3615" s="125" t="n">
        <v>4294</v>
      </c>
      <c r="B3615" s="791" t="n"/>
      <c r="C3615" s="130" t="inlineStr">
        <is>
          <t>Краснодар</t>
        </is>
      </c>
      <c r="D3615" s="130" t="inlineStr">
        <is>
          <t>Кореновский р-н</t>
        </is>
      </c>
      <c r="E3615" s="130" t="n"/>
      <c r="F3615" s="130" t="inlineStr">
        <is>
          <t>АЗС</t>
        </is>
      </c>
      <c r="G3615" s="130" t="inlineStr">
        <is>
          <t>Роснефть</t>
        </is>
      </c>
      <c r="H3615" s="131" t="n"/>
      <c r="I3615" s="637" t="inlineStr">
        <is>
          <t>RN_85</t>
        </is>
      </c>
      <c r="J3615" s="637" t="inlineStr">
        <is>
          <t>KDR_RN_0085</t>
        </is>
      </c>
      <c r="K3615" s="640" t="n">
        <v>1</v>
      </c>
      <c r="L3615" s="640" t="n">
        <v>1</v>
      </c>
      <c r="M3615" s="623" t="inlineStr">
        <is>
          <t>Samsung 32" вертикальный</t>
        </is>
      </c>
      <c r="N3615" s="640" t="n"/>
      <c r="O3615" s="640">
        <f>IF(AND(N3615=1,L3615=1),K3615,"")</f>
        <v/>
      </c>
      <c r="P3615" s="642" t="inlineStr">
        <is>
          <t>ст. Журавская, Кореновский р-н 0,1 км. севернее ст. Журавской , а/д «Дон», км 1264+700справа</t>
        </is>
      </c>
      <c r="Q3615" s="640" t="inlineStr">
        <is>
          <t>45.580021</t>
        </is>
      </c>
      <c r="R3615" s="494" t="inlineStr">
        <is>
          <t>39.507762</t>
        </is>
      </c>
      <c r="Z3615" s="1" t="n"/>
    </row>
    <row r="3616" hidden="1" ht="16.05" customHeight="1">
      <c r="A3616" s="125" t="n">
        <v>4295</v>
      </c>
      <c r="B3616" s="791" t="n"/>
      <c r="C3616" s="130" t="inlineStr">
        <is>
          <t>Краснодар</t>
        </is>
      </c>
      <c r="D3616" s="130" t="inlineStr">
        <is>
          <t>Темрюк</t>
        </is>
      </c>
      <c r="E3616" s="130" t="n"/>
      <c r="F3616" s="130" t="inlineStr">
        <is>
          <t>АЗС</t>
        </is>
      </c>
      <c r="G3616" s="130" t="inlineStr">
        <is>
          <t>Роснефть</t>
        </is>
      </c>
      <c r="H3616" s="131" t="n"/>
      <c r="I3616" s="637" t="inlineStr">
        <is>
          <t>RN_23</t>
        </is>
      </c>
      <c r="J3616" s="637" t="inlineStr">
        <is>
          <t>KDR_RN_0023</t>
        </is>
      </c>
      <c r="K3616" s="640" t="n">
        <v>1</v>
      </c>
      <c r="L3616" s="640" t="n">
        <v>1</v>
      </c>
      <c r="M3616" s="623" t="inlineStr">
        <is>
          <t>Samsung 32" вертикальный</t>
        </is>
      </c>
      <c r="N3616" s="640" t="n"/>
      <c r="O3616" s="640">
        <f>IF(AND(N3616=1,L3616=1),K3616,"")</f>
        <v/>
      </c>
      <c r="P3616" s="642" t="inlineStr">
        <is>
          <t>г. Темрюк, пересечение а/д "Южный обход г. Темрюка", 7км+38км</t>
        </is>
      </c>
      <c r="Q3616" s="640" t="inlineStr">
        <is>
          <t>45.26061</t>
        </is>
      </c>
      <c r="R3616" s="494" t="inlineStr">
        <is>
          <t>37.384001</t>
        </is>
      </c>
      <c r="Z3616" s="1" t="n"/>
    </row>
    <row r="3617" hidden="1" ht="16.05" customHeight="1">
      <c r="A3617" s="125" t="n">
        <v>4296</v>
      </c>
      <c r="B3617" s="791" t="n"/>
      <c r="C3617" s="130" t="inlineStr">
        <is>
          <t>Краснодар</t>
        </is>
      </c>
      <c r="D3617" s="130" t="inlineStr">
        <is>
          <t>Славянск-на-Кубани</t>
        </is>
      </c>
      <c r="E3617" s="130" t="n"/>
      <c r="F3617" s="130" t="inlineStr">
        <is>
          <t>АЗС</t>
        </is>
      </c>
      <c r="G3617" s="130" t="inlineStr">
        <is>
          <t>Роснефть</t>
        </is>
      </c>
      <c r="H3617" s="131" t="n"/>
      <c r="I3617" s="637" t="inlineStr">
        <is>
          <t>RN_46</t>
        </is>
      </c>
      <c r="J3617" s="637" t="inlineStr">
        <is>
          <t>KDR_RN_0046</t>
        </is>
      </c>
      <c r="K3617" s="640" t="n">
        <v>1</v>
      </c>
      <c r="L3617" s="640" t="n">
        <v>1</v>
      </c>
      <c r="M3617" s="623" t="inlineStr">
        <is>
          <t>Samsung 32" вертикальный</t>
        </is>
      </c>
      <c r="N3617" s="640" t="n"/>
      <c r="O3617" s="640">
        <f>IF(AND(N3617=1,L3617=1),K3617,"")</f>
        <v/>
      </c>
      <c r="P3617" s="642" t="inlineStr">
        <is>
          <t>г. Славянск-на-Кубани  ул. Красная, 141</t>
        </is>
      </c>
      <c r="Q3617" s="640" t="inlineStr">
        <is>
          <t>45.248846</t>
        </is>
      </c>
      <c r="R3617" s="494" t="inlineStr">
        <is>
          <t>38.098539</t>
        </is>
      </c>
      <c r="Z3617" s="1" t="n"/>
    </row>
    <row r="3618" hidden="1" ht="16.05" customHeight="1">
      <c r="A3618" s="125" t="n">
        <v>4297</v>
      </c>
      <c r="B3618" s="791" t="n"/>
      <c r="C3618" s="130" t="inlineStr">
        <is>
          <t>Краснодар</t>
        </is>
      </c>
      <c r="D3618" s="130" t="inlineStr">
        <is>
          <t>Темрюк</t>
        </is>
      </c>
      <c r="E3618" s="130" t="n"/>
      <c r="F3618" s="130" t="inlineStr">
        <is>
          <t>АЗС</t>
        </is>
      </c>
      <c r="G3618" s="130" t="inlineStr">
        <is>
          <t>Роснефть</t>
        </is>
      </c>
      <c r="H3618" s="131" t="n"/>
      <c r="I3618" s="637" t="inlineStr">
        <is>
          <t>RN_124_1</t>
        </is>
      </c>
      <c r="J3618" s="637" t="inlineStr">
        <is>
          <t>KDR_RN_0124_1</t>
        </is>
      </c>
      <c r="K3618" s="640" t="n">
        <v>1</v>
      </c>
      <c r="L3618" s="640" t="n">
        <v>1</v>
      </c>
      <c r="M3618" s="623" t="inlineStr">
        <is>
          <t>Samsung 32" вертикальный</t>
        </is>
      </c>
      <c r="N3618" s="640" t="n"/>
      <c r="O3618" s="640">
        <f>IF(AND(N3618=1,L3618=1),K3618,"")</f>
        <v/>
      </c>
      <c r="P3618" s="642" t="inlineStr">
        <is>
          <t>г.Темрюк Юго-ЗапТемрюк-Анапа км 0+300 (слева)</t>
        </is>
      </c>
      <c r="Q3618" s="640" t="inlineStr">
        <is>
          <t>45.263169</t>
        </is>
      </c>
      <c r="R3618" s="494" t="inlineStr">
        <is>
          <t>37.383421</t>
        </is>
      </c>
      <c r="Z3618" s="1" t="n"/>
    </row>
    <row r="3619" hidden="1" ht="16.05" customHeight="1">
      <c r="A3619" s="125" t="n">
        <v>4298</v>
      </c>
      <c r="B3619" s="791" t="n"/>
      <c r="C3619" s="130" t="inlineStr">
        <is>
          <t>Абхазия</t>
        </is>
      </c>
      <c r="D3619" s="130" t="inlineStr">
        <is>
          <t>Гудаутский район</t>
        </is>
      </c>
      <c r="E3619" s="130" t="n"/>
      <c r="F3619" s="130" t="inlineStr">
        <is>
          <t>АЗС</t>
        </is>
      </c>
      <c r="G3619" s="130" t="inlineStr">
        <is>
          <t>Подорожник</t>
        </is>
      </c>
      <c r="H3619" s="131" t="n"/>
      <c r="I3619" s="637" t="n">
        <v>1</v>
      </c>
      <c r="J3619" s="637" t="inlineStr">
        <is>
          <t>ABH_APS_001</t>
        </is>
      </c>
      <c r="K3619" s="640" t="n">
        <v>1</v>
      </c>
      <c r="L3619" s="640" t="n">
        <v>1</v>
      </c>
      <c r="M3619" s="623" t="inlineStr">
        <is>
          <t>Samsung 32" вертикальный</t>
        </is>
      </c>
      <c r="N3619" s="640" t="n"/>
      <c r="O3619" s="640">
        <f>IF(AND(N3619=1,L3619=1),K3619,"")</f>
        <v/>
      </c>
      <c r="P3619" s="642" t="inlineStr">
        <is>
          <t>Абхазия, Гудаутский район, село Хыпста, поселок Бамбора</t>
        </is>
      </c>
      <c r="Q3619" s="640" t="inlineStr">
        <is>
          <t>43.121157</t>
        </is>
      </c>
      <c r="R3619" s="494" t="inlineStr">
        <is>
          <t>40.57459</t>
        </is>
      </c>
      <c r="Z3619" s="1" t="n"/>
    </row>
    <row r="3620" hidden="1" ht="16.05" customHeight="1">
      <c r="A3620" s="125" t="n">
        <v>4299</v>
      </c>
      <c r="B3620" s="791" t="n"/>
      <c r="C3620" s="130" t="inlineStr">
        <is>
          <t>Абхазия</t>
        </is>
      </c>
      <c r="D3620" s="130" t="inlineStr">
        <is>
          <t>Гулрыпшский район</t>
        </is>
      </c>
      <c r="E3620" s="130" t="n"/>
      <c r="F3620" s="130" t="inlineStr">
        <is>
          <t>АЗС</t>
        </is>
      </c>
      <c r="G3620" s="130" t="inlineStr">
        <is>
          <t>Подорожник</t>
        </is>
      </c>
      <c r="H3620" s="131" t="n"/>
      <c r="I3620" s="637" t="n">
        <v>2</v>
      </c>
      <c r="J3620" s="637" t="inlineStr">
        <is>
          <t>ABH_APS_002</t>
        </is>
      </c>
      <c r="K3620" s="640" t="n">
        <v>1</v>
      </c>
      <c r="L3620" s="640" t="n">
        <v>1</v>
      </c>
      <c r="M3620" s="623" t="inlineStr">
        <is>
          <t>Samsung 32" вертикальный</t>
        </is>
      </c>
      <c r="N3620" s="640" t="n"/>
      <c r="O3620" s="640">
        <f>IF(AND(N3620=1,L3620=1),K3620,"")</f>
        <v/>
      </c>
      <c r="P3620" s="642" t="inlineStr">
        <is>
          <t>Абхазия, Гулрыпшский район, село Мачара</t>
        </is>
      </c>
      <c r="Q3620" s="640" t="inlineStr">
        <is>
          <t>42.968994</t>
        </is>
      </c>
      <c r="R3620" s="494" t="inlineStr">
        <is>
          <t>41.0693</t>
        </is>
      </c>
      <c r="Z3620" s="1" t="n"/>
    </row>
    <row r="3621" hidden="1" ht="16.05" customHeight="1">
      <c r="A3621" s="125" t="n">
        <v>4300</v>
      </c>
      <c r="B3621" s="791" t="n"/>
      <c r="C3621" s="130" t="inlineStr">
        <is>
          <t>Абхазия</t>
        </is>
      </c>
      <c r="D3621" s="130" t="inlineStr">
        <is>
          <t>Очамчырский район</t>
        </is>
      </c>
      <c r="E3621" s="130" t="n"/>
      <c r="F3621" s="130" t="inlineStr">
        <is>
          <t>АЗС</t>
        </is>
      </c>
      <c r="G3621" s="130" t="inlineStr">
        <is>
          <t>Подорожник</t>
        </is>
      </c>
      <c r="H3621" s="131" t="n"/>
      <c r="I3621" s="637" t="n">
        <v>3</v>
      </c>
      <c r="J3621" s="637" t="inlineStr">
        <is>
          <t>ABH_APS_003</t>
        </is>
      </c>
      <c r="K3621" s="640" t="n">
        <v>1</v>
      </c>
      <c r="L3621" s="640" t="n">
        <v>1</v>
      </c>
      <c r="M3621" s="623" t="inlineStr">
        <is>
          <t>Samsung 32" вертикальный</t>
        </is>
      </c>
      <c r="N3621" s="640" t="n"/>
      <c r="O3621" s="640">
        <f>IF(AND(N3621=1,L3621=1),K3621,"")</f>
        <v/>
      </c>
      <c r="P3621" s="642" t="inlineStr">
        <is>
          <t>Абхазия, Очамчырский район с. Маркула</t>
        </is>
      </c>
      <c r="Q3621" s="640" t="inlineStr">
        <is>
          <t>42.754522</t>
        </is>
      </c>
      <c r="R3621" s="494" t="inlineStr">
        <is>
          <t>41.461923</t>
        </is>
      </c>
      <c r="Z3621" s="1" t="n"/>
    </row>
    <row r="3622" hidden="1" ht="16.05" customHeight="1">
      <c r="A3622" s="125" t="n">
        <v>4301</v>
      </c>
      <c r="B3622" s="791" t="n"/>
      <c r="C3622" s="130" t="inlineStr">
        <is>
          <t>Сургут</t>
        </is>
      </c>
      <c r="D3622" s="130" t="inlineStr">
        <is>
          <t>Сургут</t>
        </is>
      </c>
      <c r="E3622" s="130" t="n"/>
      <c r="F3622" s="130" t="inlineStr">
        <is>
          <t>АЗС</t>
        </is>
      </c>
      <c r="G3622" s="130" t="inlineStr">
        <is>
          <t>Эталон</t>
        </is>
      </c>
      <c r="H3622" s="131" t="n"/>
      <c r="I3622" s="637" t="n">
        <v>6</v>
      </c>
      <c r="J3622" s="637" t="inlineStr">
        <is>
          <t>SUR_ET_6</t>
        </is>
      </c>
      <c r="K3622" s="640" t="n">
        <v>2</v>
      </c>
      <c r="L3622" s="640" t="n">
        <v>1</v>
      </c>
      <c r="M3622" s="623" t="inlineStr">
        <is>
          <t>Samsung 43" горизонтальный</t>
        </is>
      </c>
      <c r="N3622" s="640" t="n"/>
      <c r="O3622" s="640">
        <f>IF(AND(N3622=1,L3622=1),K3622,"")</f>
        <v/>
      </c>
      <c r="P3622" s="642" t="inlineStr">
        <is>
          <t>г.Сургут, ул. пр. Мира 54</t>
        </is>
      </c>
      <c r="Q3622" s="640" t="inlineStr">
        <is>
          <t>61.255501</t>
        </is>
      </c>
      <c r="R3622" s="494" t="inlineStr">
        <is>
          <t>73.42903</t>
        </is>
      </c>
      <c r="Z3622" s="1" t="n"/>
    </row>
    <row r="3623" hidden="1" ht="16.05" customHeight="1">
      <c r="A3623" s="125" t="n">
        <v>4310</v>
      </c>
      <c r="B3623" s="125" t="inlineStr">
        <is>
          <t>WF</t>
        </is>
      </c>
      <c r="C3623" s="130" t="inlineStr">
        <is>
          <t>Москва</t>
        </is>
      </c>
      <c r="D3623" s="130" t="inlineStr">
        <is>
          <t>Москва</t>
        </is>
      </c>
      <c r="E3623" s="130" t="inlineStr">
        <is>
          <t>B+</t>
        </is>
      </c>
      <c r="F3623" s="130" t="inlineStr">
        <is>
          <t>Бизнес центр</t>
        </is>
      </c>
      <c r="G3623" s="130" t="inlineStr">
        <is>
          <t>Бизнес центр</t>
        </is>
      </c>
      <c r="H3623" s="131" t="n">
        <v>18166</v>
      </c>
      <c r="I3623" s="637" t="inlineStr">
        <is>
          <t>Верейская Плаза 3</t>
        </is>
      </c>
      <c r="J3623" s="637" t="inlineStr">
        <is>
          <t>MSK_BC_Vereyskaya_plaza_3</t>
        </is>
      </c>
      <c r="K3623" s="640" t="n">
        <v>3</v>
      </c>
      <c r="L3623" s="640" t="n">
        <v>1</v>
      </c>
      <c r="M3623" s="623" t="inlineStr">
        <is>
          <t>Samsung 43" вертикальный</t>
        </is>
      </c>
      <c r="N3623" s="640" t="n"/>
      <c r="O3623" s="640">
        <f>IF(AND(N3623=1,L3623=1),K3623,"")</f>
        <v/>
      </c>
      <c r="P3623" s="642" t="inlineStr">
        <is>
          <t>Москва, Москва, ул. Верейская, д.29, стр.33</t>
        </is>
      </c>
      <c r="Q3623" s="640" t="inlineStr">
        <is>
          <t>55.709622</t>
        </is>
      </c>
      <c r="R3623" s="494" t="inlineStr">
        <is>
          <t>37.440335</t>
        </is>
      </c>
      <c r="S3623" s="387">
        <f>'Цены|Скидки'!$D$25</f>
        <v/>
      </c>
      <c r="T3623" s="387">
        <f>IF(N3623=1,S3623*O3623,0)</f>
        <v/>
      </c>
      <c r="Z3623" s="1" t="n"/>
    </row>
    <row r="3624" hidden="1" ht="16.05" customHeight="1">
      <c r="A3624" s="125" t="n">
        <v>4302</v>
      </c>
      <c r="B3624" s="791" t="n"/>
      <c r="C3624" s="130" t="inlineStr">
        <is>
          <t>Москва</t>
        </is>
      </c>
      <c r="D3624" s="130" t="inlineStr">
        <is>
          <t>Москва</t>
        </is>
      </c>
      <c r="E3624" s="130" t="n"/>
      <c r="F3624" s="130" t="inlineStr">
        <is>
          <t>АЗС</t>
        </is>
      </c>
      <c r="G3624" s="130" t="inlineStr">
        <is>
          <t>Татнефть</t>
        </is>
      </c>
      <c r="H3624" s="131" t="n"/>
      <c r="I3624" s="637" t="inlineStr">
        <is>
          <t>96 (HOR)</t>
        </is>
      </c>
      <c r="J3624" s="637" t="inlineStr">
        <is>
          <t>TATN_096</t>
        </is>
      </c>
      <c r="K3624" s="640" t="n">
        <v>1</v>
      </c>
      <c r="L3624" s="640" t="n">
        <v>0</v>
      </c>
      <c r="M3624" s="640" t="inlineStr">
        <is>
          <t>Samsung 43" горизонтальный</t>
        </is>
      </c>
      <c r="N3624" s="640" t="n"/>
      <c r="O3624" s="640">
        <f>IF(AND(N3624=1,L3624=1),K3624,"")</f>
        <v/>
      </c>
      <c r="P3624" s="642" t="inlineStr">
        <is>
          <t>МО, г. Климовск, ул. Климовская, д.59</t>
        </is>
      </c>
      <c r="Q3624" s="640" t="inlineStr">
        <is>
          <t>55.356442</t>
        </is>
      </c>
      <c r="R3624" s="422" t="inlineStr">
        <is>
          <t>37.530939</t>
        </is>
      </c>
      <c r="X3624" s="1" t="n"/>
      <c r="Y3624" s="1" t="n"/>
      <c r="Z3624" s="1" t="n"/>
    </row>
    <row r="3625" hidden="1" ht="16.05" customHeight="1">
      <c r="A3625" s="125" t="n">
        <v>4303</v>
      </c>
      <c r="B3625" s="791" t="n"/>
      <c r="C3625" s="130" t="inlineStr">
        <is>
          <t>Москва</t>
        </is>
      </c>
      <c r="D3625" s="130" t="inlineStr">
        <is>
          <t>Москва</t>
        </is>
      </c>
      <c r="E3625" s="130" t="n"/>
      <c r="F3625" s="130" t="inlineStr">
        <is>
          <t>АЗС</t>
        </is>
      </c>
      <c r="G3625" s="130" t="inlineStr">
        <is>
          <t>Татнефть</t>
        </is>
      </c>
      <c r="H3625" s="131" t="n"/>
      <c r="I3625" s="637" t="inlineStr">
        <is>
          <t>64 (HOR)</t>
        </is>
      </c>
      <c r="J3625" s="637" t="inlineStr">
        <is>
          <t>TATN_064</t>
        </is>
      </c>
      <c r="K3625" s="640" t="n">
        <v>1</v>
      </c>
      <c r="L3625" s="640" t="n">
        <v>0</v>
      </c>
      <c r="M3625" s="640" t="inlineStr">
        <is>
          <t>Samsung 43" горизонтальный</t>
        </is>
      </c>
      <c r="N3625" s="640" t="n"/>
      <c r="O3625" s="640">
        <f>IF(AND(N3625=1,L3625=1),K3625,"")</f>
        <v/>
      </c>
      <c r="P3625" s="642" t="inlineStr">
        <is>
          <t>г. Москва, ул. Крылатская, вл. 2а</t>
        </is>
      </c>
      <c r="Q3625" s="640" t="inlineStr">
        <is>
          <t>55.750722</t>
        </is>
      </c>
      <c r="R3625" s="422" t="inlineStr">
        <is>
          <t>37.431766</t>
        </is>
      </c>
      <c r="X3625" s="1" t="n"/>
      <c r="Y3625" s="1" t="n"/>
      <c r="Z3625" s="1" t="n"/>
    </row>
    <row r="3626" hidden="1" ht="16.05" customHeight="1">
      <c r="A3626" s="125" t="n">
        <v>4304</v>
      </c>
      <c r="B3626" s="791" t="n"/>
      <c r="C3626" s="130" t="inlineStr">
        <is>
          <t>Москва</t>
        </is>
      </c>
      <c r="D3626" s="130" t="inlineStr">
        <is>
          <t>Москва</t>
        </is>
      </c>
      <c r="E3626" s="130" t="n"/>
      <c r="F3626" s="130" t="inlineStr">
        <is>
          <t>АЗС</t>
        </is>
      </c>
      <c r="G3626" s="130" t="inlineStr">
        <is>
          <t>Татнефть</t>
        </is>
      </c>
      <c r="H3626" s="131" t="n"/>
      <c r="I3626" s="637" t="inlineStr">
        <is>
          <t>304 (HOR)</t>
        </is>
      </c>
      <c r="J3626" s="637" t="inlineStr">
        <is>
          <t>TATN_304</t>
        </is>
      </c>
      <c r="K3626" s="640" t="n">
        <v>1</v>
      </c>
      <c r="L3626" s="640" t="n">
        <v>0</v>
      </c>
      <c r="M3626" s="640" t="inlineStr">
        <is>
          <t>Samsung 43" горизонтальный</t>
        </is>
      </c>
      <c r="N3626" s="640" t="n"/>
      <c r="O3626" s="640">
        <f>IF(AND(N3626=1,L3626=1),K3626,"")</f>
        <v/>
      </c>
      <c r="P3626" s="642" t="inlineStr">
        <is>
          <t>г. Москва, ул.Старообрядческая, вл.35</t>
        </is>
      </c>
      <c r="Q3626" s="640" t="inlineStr">
        <is>
          <t>55.741369</t>
        </is>
      </c>
      <c r="R3626" s="422" t="inlineStr">
        <is>
          <t>37.700026</t>
        </is>
      </c>
      <c r="X3626" s="1" t="n"/>
      <c r="Y3626" s="1" t="n"/>
      <c r="Z3626" s="1" t="n"/>
    </row>
    <row r="3627" hidden="1" ht="16.05" customHeight="1">
      <c r="A3627" s="125" t="n">
        <v>4305</v>
      </c>
      <c r="B3627" s="791" t="n"/>
      <c r="C3627" s="130" t="inlineStr">
        <is>
          <t>Москва</t>
        </is>
      </c>
      <c r="D3627" s="130" t="inlineStr">
        <is>
          <t>Москва</t>
        </is>
      </c>
      <c r="E3627" s="130" t="n"/>
      <c r="F3627" s="130" t="inlineStr">
        <is>
          <t>АЗС</t>
        </is>
      </c>
      <c r="G3627" s="130" t="inlineStr">
        <is>
          <t>Татнефть</t>
        </is>
      </c>
      <c r="H3627" s="131" t="n"/>
      <c r="I3627" s="637" t="inlineStr">
        <is>
          <t>321 (HOR)</t>
        </is>
      </c>
      <c r="J3627" s="637" t="inlineStr">
        <is>
          <t>TATN_321</t>
        </is>
      </c>
      <c r="K3627" s="640" t="n">
        <v>1</v>
      </c>
      <c r="L3627" s="640" t="n">
        <v>0</v>
      </c>
      <c r="M3627" s="640" t="inlineStr">
        <is>
          <t>Samsung 43" горизонтальный</t>
        </is>
      </c>
      <c r="N3627" s="640" t="n"/>
      <c r="O3627" s="640">
        <f>IF(AND(N3627=1,L3627=1),K3627,"")</f>
        <v/>
      </c>
      <c r="P3627" s="642" t="inlineStr">
        <is>
          <t>МО, Раменский район, Софьинский с/о, с.Софьино, 47 км автодороги "Урал", уч.1</t>
        </is>
      </c>
      <c r="Q3627" s="640" t="inlineStr">
        <is>
          <t>55.488531</t>
        </is>
      </c>
      <c r="R3627" s="422" t="inlineStr">
        <is>
          <t>38.160126</t>
        </is>
      </c>
      <c r="X3627" s="1" t="n"/>
      <c r="Y3627" s="1" t="n"/>
      <c r="Z3627" s="1" t="n"/>
    </row>
    <row r="3628" hidden="1" ht="16.05" customHeight="1">
      <c r="A3628" s="125" t="n">
        <v>4306</v>
      </c>
      <c r="B3628" s="791" t="n"/>
      <c r="C3628" s="130" t="inlineStr">
        <is>
          <t>Москва</t>
        </is>
      </c>
      <c r="D3628" s="130" t="inlineStr">
        <is>
          <t>Москва</t>
        </is>
      </c>
      <c r="E3628" s="130" t="n"/>
      <c r="F3628" s="130" t="inlineStr">
        <is>
          <t>АЗС</t>
        </is>
      </c>
      <c r="G3628" s="130" t="inlineStr">
        <is>
          <t>Татнефть</t>
        </is>
      </c>
      <c r="H3628" s="131" t="n"/>
      <c r="I3628" s="637" t="inlineStr">
        <is>
          <t>45 (HOR)</t>
        </is>
      </c>
      <c r="J3628" s="637" t="inlineStr">
        <is>
          <t>TATN_045</t>
        </is>
      </c>
      <c r="K3628" s="640" t="n">
        <v>1</v>
      </c>
      <c r="L3628" s="640" t="n">
        <v>0</v>
      </c>
      <c r="M3628" s="640" t="inlineStr">
        <is>
          <t>Samsung 43" горизонтальный</t>
        </is>
      </c>
      <c r="N3628" s="640" t="n"/>
      <c r="O3628" s="640">
        <f>IF(AND(N3628=1,L3628=1),K3628,"")</f>
        <v/>
      </c>
      <c r="P3628" s="642" t="inlineStr">
        <is>
          <t>Москва, Дмитровское шоссе, д. 58а</t>
        </is>
      </c>
      <c r="Q3628" s="640" t="inlineStr">
        <is>
          <t>55.85081</t>
        </is>
      </c>
      <c r="R3628" s="422" t="inlineStr">
        <is>
          <t>37.567001</t>
        </is>
      </c>
      <c r="X3628" s="1" t="n"/>
      <c r="Y3628" s="1" t="n"/>
      <c r="Z3628" s="1" t="n"/>
    </row>
    <row r="3629" hidden="1" ht="16.05" customHeight="1">
      <c r="A3629" s="125" t="n">
        <v>4307</v>
      </c>
      <c r="B3629" s="791" t="n"/>
      <c r="C3629" s="130" t="inlineStr">
        <is>
          <t>Москва</t>
        </is>
      </c>
      <c r="D3629" s="130" t="inlineStr">
        <is>
          <t>Москва</t>
        </is>
      </c>
      <c r="E3629" s="130" t="n"/>
      <c r="F3629" s="130" t="inlineStr">
        <is>
          <t>АЗС</t>
        </is>
      </c>
      <c r="G3629" s="130" t="inlineStr">
        <is>
          <t>Татнефть</t>
        </is>
      </c>
      <c r="H3629" s="131" t="n"/>
      <c r="I3629" s="637" t="inlineStr">
        <is>
          <t>55 (HOR)</t>
        </is>
      </c>
      <c r="J3629" s="637" t="inlineStr">
        <is>
          <t>TATN_055</t>
        </is>
      </c>
      <c r="K3629" s="640" t="n">
        <v>1</v>
      </c>
      <c r="L3629" s="640" t="n">
        <v>0</v>
      </c>
      <c r="M3629" s="640" t="inlineStr">
        <is>
          <t>Samsung 43" горизонтальный</t>
        </is>
      </c>
      <c r="N3629" s="640" t="n"/>
      <c r="O3629" s="640">
        <f>IF(AND(N3629=1,L3629=1),K3629,"")</f>
        <v/>
      </c>
      <c r="P3629" s="642" t="inlineStr">
        <is>
          <t>МО, Ленинградское шоссе вл.77а</t>
        </is>
      </c>
      <c r="Q3629" s="640" t="inlineStr">
        <is>
          <t>56.159323</t>
        </is>
      </c>
      <c r="R3629" s="422" t="inlineStr">
        <is>
          <t>37.029274</t>
        </is>
      </c>
      <c r="X3629" s="1" t="n"/>
      <c r="Y3629" s="1" t="n"/>
      <c r="Z3629" s="1" t="n"/>
    </row>
    <row r="3630" hidden="1" ht="16.05" customHeight="1">
      <c r="A3630" s="125" t="n">
        <v>4308</v>
      </c>
      <c r="B3630" s="791" t="n"/>
      <c r="C3630" s="130" t="inlineStr">
        <is>
          <t>Москва</t>
        </is>
      </c>
      <c r="D3630" s="130" t="inlineStr">
        <is>
          <t>Москва</t>
        </is>
      </c>
      <c r="E3630" s="130" t="n"/>
      <c r="F3630" s="130" t="inlineStr">
        <is>
          <t>АЗС</t>
        </is>
      </c>
      <c r="G3630" s="130" t="inlineStr">
        <is>
          <t>Татнефть</t>
        </is>
      </c>
      <c r="H3630" s="131" t="n"/>
      <c r="I3630" s="637" t="inlineStr">
        <is>
          <t>261 (HOR)</t>
        </is>
      </c>
      <c r="J3630" s="637" t="inlineStr">
        <is>
          <t>TATN_261</t>
        </is>
      </c>
      <c r="K3630" s="640" t="n">
        <v>1</v>
      </c>
      <c r="L3630" s="640" t="n">
        <v>0</v>
      </c>
      <c r="M3630" s="640" t="inlineStr">
        <is>
          <t>Samsung 43" горизонтальный</t>
        </is>
      </c>
      <c r="N3630" s="640" t="n"/>
      <c r="O3630" s="640">
        <f>IF(AND(N3630=1,L3630=1),K3630,"")</f>
        <v/>
      </c>
      <c r="P3630" s="642" t="inlineStr">
        <is>
          <t>Москва, Жуков проезд,вл. 15а</t>
        </is>
      </c>
      <c r="Q3630" s="640" t="inlineStr">
        <is>
          <t>55.723521</t>
        </is>
      </c>
      <c r="R3630" s="422" t="inlineStr">
        <is>
          <t>37.637928</t>
        </is>
      </c>
      <c r="X3630" s="1" t="n"/>
      <c r="Y3630" s="1" t="n"/>
      <c r="Z3630" s="1" t="n"/>
    </row>
    <row r="3631" hidden="1" ht="16.05" customHeight="1">
      <c r="A3631" s="125" t="n">
        <v>4309</v>
      </c>
      <c r="B3631" s="791" t="n"/>
      <c r="C3631" s="130" t="inlineStr">
        <is>
          <t>Воронеж</t>
        </is>
      </c>
      <c r="D3631" s="130" t="inlineStr">
        <is>
          <t>Воронежская область</t>
        </is>
      </c>
      <c r="E3631" s="130" t="n"/>
      <c r="F3631" s="130" t="inlineStr">
        <is>
          <t>АЗС</t>
        </is>
      </c>
      <c r="G3631" s="130" t="inlineStr">
        <is>
          <t>Татнефть</t>
        </is>
      </c>
      <c r="H3631" s="131" t="n"/>
      <c r="I3631" s="637" t="inlineStr">
        <is>
          <t>496 (HOR)</t>
        </is>
      </c>
      <c r="J3631" s="637" t="inlineStr">
        <is>
          <t>TATN_496</t>
        </is>
      </c>
      <c r="K3631" s="640" t="n">
        <v>2</v>
      </c>
      <c r="L3631" s="640" t="n">
        <v>0</v>
      </c>
      <c r="M3631" s="640" t="inlineStr">
        <is>
          <t>Samsung 43" горизонтальный</t>
        </is>
      </c>
      <c r="N3631" s="640" t="n"/>
      <c r="O3631" s="640">
        <f>IF(AND(N3631=1,L3631=1),K3631,"")</f>
        <v/>
      </c>
      <c r="P3631" s="642" t="inlineStr">
        <is>
          <t>Воронежская область, Новоусманский район, 534 км а/д М-4 «Дон» (слева)</t>
        </is>
      </c>
      <c r="Q3631" s="640" t="inlineStr">
        <is>
          <t>51.558803</t>
        </is>
      </c>
      <c r="R3631" s="422" t="inlineStr">
        <is>
          <t>39.48884</t>
        </is>
      </c>
      <c r="X3631" s="1" t="n"/>
      <c r="Y3631" s="1" t="n"/>
      <c r="Z3631" s="1" t="n"/>
    </row>
    <row r="3632" hidden="1" ht="16.05" customHeight="1">
      <c r="A3632" s="125" t="n">
        <v>4311</v>
      </c>
      <c r="B3632" s="125" t="inlineStr">
        <is>
          <t>WF</t>
        </is>
      </c>
      <c r="C3632" s="130" t="inlineStr">
        <is>
          <t>Москва</t>
        </is>
      </c>
      <c r="D3632" s="130" t="inlineStr">
        <is>
          <t>Москва</t>
        </is>
      </c>
      <c r="E3632" s="130" t="inlineStr">
        <is>
          <t>B+</t>
        </is>
      </c>
      <c r="F3632" s="130" t="inlineStr">
        <is>
          <t>Бизнес центр</t>
        </is>
      </c>
      <c r="G3632" s="130" t="inlineStr">
        <is>
          <t>Бизнес центр</t>
        </is>
      </c>
      <c r="H3632" s="131" t="n">
        <v>10000</v>
      </c>
      <c r="I3632" s="637" t="inlineStr">
        <is>
          <t>W plaza</t>
        </is>
      </c>
      <c r="J3632" s="637" t="inlineStr">
        <is>
          <t>MSK_BC_W_plaza</t>
        </is>
      </c>
      <c r="K3632" s="640" t="n">
        <v>4</v>
      </c>
      <c r="L3632" s="640" t="n">
        <v>1</v>
      </c>
      <c r="M3632" s="623" t="inlineStr">
        <is>
          <t>Samsung 43" вертикальный</t>
        </is>
      </c>
      <c r="N3632" s="640" t="n"/>
      <c r="O3632" s="640">
        <f>IF(AND(N3632=1,L3632=1),K3632,"")</f>
        <v/>
      </c>
      <c r="P3632" s="642" t="inlineStr">
        <is>
          <t>Москва, Москва Варшавское шоссе д1 стр.6 -7</t>
        </is>
      </c>
      <c r="Q3632" s="640" t="inlineStr">
        <is>
          <t>55.703875</t>
        </is>
      </c>
      <c r="R3632" s="494" t="inlineStr">
        <is>
          <t>37.623905</t>
        </is>
      </c>
      <c r="S3632" s="387">
        <f>'Цены|Скидки'!$D$25</f>
        <v/>
      </c>
      <c r="T3632" s="387">
        <f>IF(N3632=1,S3632*O3632,0)</f>
        <v/>
      </c>
      <c r="Z3632" s="1" t="n"/>
    </row>
    <row r="3633" hidden="1" ht="16.05" customHeight="1">
      <c r="A3633" s="125" t="n">
        <v>4312</v>
      </c>
      <c r="B3633" s="125" t="inlineStr">
        <is>
          <t>WF</t>
        </is>
      </c>
      <c r="C3633" s="130" t="inlineStr">
        <is>
          <t>Москва</t>
        </is>
      </c>
      <c r="D3633" s="130" t="inlineStr">
        <is>
          <t>Москва</t>
        </is>
      </c>
      <c r="E3633" s="130" t="n"/>
      <c r="F3633" s="130" t="inlineStr">
        <is>
          <t>Супермаркет</t>
        </is>
      </c>
      <c r="G3633" s="130" t="inlineStr">
        <is>
          <t>Азбука Вкуса</t>
        </is>
      </c>
      <c r="H3633" s="131" t="n"/>
      <c r="I3633" s="637" t="inlineStr">
        <is>
          <t>168_Daily</t>
        </is>
      </c>
      <c r="J3633" s="637" t="inlineStr">
        <is>
          <t>MSK_D_168</t>
        </is>
      </c>
      <c r="K3633" s="640" t="n">
        <v>1</v>
      </c>
      <c r="L3633" s="640" t="n">
        <v>1</v>
      </c>
      <c r="M3633" s="623" t="inlineStr">
        <is>
          <t>Samsung 43" вертикальный</t>
        </is>
      </c>
      <c r="N3633" s="640" t="n"/>
      <c r="O3633" s="640">
        <f>IF(AND(N3633=1,L3633=1),K3633,"")</f>
        <v/>
      </c>
      <c r="P3633" s="642" t="inlineStr">
        <is>
          <t>Ленинградский проспект 36, стр 36</t>
        </is>
      </c>
      <c r="Q3633" s="640" t="inlineStr">
        <is>
          <t>55.788939</t>
        </is>
      </c>
      <c r="R3633" s="494" t="inlineStr">
        <is>
          <t>37.568812</t>
        </is>
      </c>
      <c r="S3633" s="387" t="n">
        <v>24</v>
      </c>
      <c r="T3633" s="436">
        <f>IF(N3633=1,O3633*S3633,"")</f>
        <v/>
      </c>
      <c r="Z3633" s="1" t="n"/>
    </row>
    <row r="3634" hidden="1" ht="16.05" customHeight="1">
      <c r="A3634" s="125" t="n">
        <v>4313</v>
      </c>
      <c r="B3634" s="125" t="inlineStr">
        <is>
          <t>WF</t>
        </is>
      </c>
      <c r="C3634" s="130" t="inlineStr">
        <is>
          <t>Москва</t>
        </is>
      </c>
      <c r="D3634" s="130" t="inlineStr">
        <is>
          <t>Москва</t>
        </is>
      </c>
      <c r="E3634" s="130" t="inlineStr">
        <is>
          <t>A</t>
        </is>
      </c>
      <c r="F3634" s="130" t="inlineStr">
        <is>
          <t>Бизнес центр</t>
        </is>
      </c>
      <c r="G3634" s="130" t="inlineStr">
        <is>
          <t>Бизнес центр</t>
        </is>
      </c>
      <c r="H3634" s="131" t="n">
        <v>10075</v>
      </c>
      <c r="I3634" s="637" t="inlineStr">
        <is>
          <t>Карачарово</t>
        </is>
      </c>
      <c r="J3634" s="637" t="inlineStr">
        <is>
          <t>MSK_BC_Karacharovo</t>
        </is>
      </c>
      <c r="K3634" s="640" t="n">
        <v>2</v>
      </c>
      <c r="L3634" s="640" t="n">
        <v>1</v>
      </c>
      <c r="M3634" s="623" t="inlineStr">
        <is>
          <t>Samsung 43" вертикальный</t>
        </is>
      </c>
      <c r="N3634" s="640" t="n"/>
      <c r="O3634" s="640">
        <f>IF(AND(N3634=1,L3634=1),K3634,"")</f>
        <v/>
      </c>
      <c r="P3634" s="642" t="inlineStr">
        <is>
          <t>Москва, г.Москва, Рязанский проспект , д.2, стр.49</t>
        </is>
      </c>
      <c r="Q3634" s="640" t="inlineStr">
        <is>
          <t>55.730475</t>
        </is>
      </c>
      <c r="R3634" s="494" t="inlineStr">
        <is>
          <t>37.7366498</t>
        </is>
      </c>
      <c r="S3634" s="387">
        <f>'Цены|Скидки'!$D$25</f>
        <v/>
      </c>
      <c r="T3634" s="387">
        <f>IF(N3634=1,S3634*O3634,0)</f>
        <v/>
      </c>
      <c r="U3634" s="436" t="n">
        <v>1</v>
      </c>
      <c r="V3634" s="438">
        <f>IF(AND(N3634=1,U3634=1),C3634,"")</f>
        <v/>
      </c>
      <c r="Z3634" s="1" t="n"/>
    </row>
    <row r="3635" hidden="1">
      <c r="A3635" s="125" t="n">
        <v>4314</v>
      </c>
      <c r="B3635" s="791" t="n"/>
      <c r="C3635" s="130" t="inlineStr">
        <is>
          <t>Москва</t>
        </is>
      </c>
      <c r="D3635" s="130" t="inlineStr">
        <is>
          <t>Москва</t>
        </is>
      </c>
      <c r="E3635" s="130" t="inlineStr">
        <is>
          <t>B+</t>
        </is>
      </c>
      <c r="F3635" s="130" t="inlineStr">
        <is>
          <t>Бизнес центр</t>
        </is>
      </c>
      <c r="G3635" s="130" t="inlineStr">
        <is>
          <t>Бизнес центр</t>
        </is>
      </c>
      <c r="H3635" s="131" t="n">
        <v>27125</v>
      </c>
      <c r="I3635" s="637" t="inlineStr">
        <is>
          <t>Сытинъ</t>
        </is>
      </c>
      <c r="J3635" s="637" t="inlineStr">
        <is>
          <t>MSK_BC_Sytin</t>
        </is>
      </c>
      <c r="K3635" s="640" t="n">
        <v>3</v>
      </c>
      <c r="L3635" s="640" t="n">
        <v>1</v>
      </c>
      <c r="M3635" s="623" t="inlineStr">
        <is>
          <t>Samsung 43" вертикальный</t>
        </is>
      </c>
      <c r="N3635" s="640" t="n"/>
      <c r="O3635" s="640">
        <f>IF(AND(N3635=1,L3635=1),K3635,"")</f>
        <v/>
      </c>
      <c r="P3635" s="642" t="inlineStr">
        <is>
          <t>Москва, г.Москва, Пятницкая ул. 71/5 cтр2</t>
        </is>
      </c>
      <c r="Q3635" s="640" t="inlineStr">
        <is>
          <t>55.731475</t>
        </is>
      </c>
      <c r="R3635" s="494" t="inlineStr">
        <is>
          <t>37.62745238</t>
        </is>
      </c>
      <c r="S3635" s="387">
        <f>'Цены|Скидки'!$D$25</f>
        <v/>
      </c>
      <c r="T3635" s="387">
        <f>IF(N3635=1,S3635*O3635,0)</f>
        <v/>
      </c>
      <c r="Z3635" s="1" t="n"/>
    </row>
    <row r="3636" hidden="1">
      <c r="A3636" s="125" t="n">
        <v>4315</v>
      </c>
      <c r="B3636" s="791" t="n"/>
      <c r="C3636" s="130" t="inlineStr">
        <is>
          <t>Москва</t>
        </is>
      </c>
      <c r="D3636" s="130" t="inlineStr">
        <is>
          <t>Москва</t>
        </is>
      </c>
      <c r="E3636" s="151" t="n"/>
      <c r="F3636" s="130" t="inlineStr">
        <is>
          <t>АЗС</t>
        </is>
      </c>
      <c r="G3636" s="439" t="inlineStr">
        <is>
          <t>Нефтьмагистраль</t>
        </is>
      </c>
      <c r="H3636" s="262" t="n">
        <v>2200</v>
      </c>
      <c r="I3636" s="637" t="n">
        <v>1</v>
      </c>
      <c r="J3636" s="637" t="inlineStr">
        <is>
          <t>MSK_NM_0001</t>
        </is>
      </c>
      <c r="K3636" s="151" t="n">
        <v>3</v>
      </c>
      <c r="L3636" s="151" t="n">
        <v>1</v>
      </c>
      <c r="M3636" s="442" t="inlineStr">
        <is>
          <t>Samsung 32" вертикальный</t>
        </is>
      </c>
      <c r="N3636" s="640" t="n"/>
      <c r="O3636" s="640">
        <f>IF(AND(N3636=1,L3636=1),K3636,"")</f>
        <v/>
      </c>
      <c r="P3636" s="642" t="inlineStr">
        <is>
          <t xml:space="preserve"> г Москва, г Зеленоград, ВМО Савёлки, мкр5А, проезд № 5253</t>
        </is>
      </c>
      <c r="Q3636" s="640" t="n">
        <v>56.003091</v>
      </c>
      <c r="R3636" s="494" t="n">
        <v>37.232742</v>
      </c>
      <c r="Z3636" s="1" t="n"/>
    </row>
    <row r="3637" hidden="1">
      <c r="A3637" s="125" t="n">
        <v>4316</v>
      </c>
      <c r="B3637" s="791" t="n"/>
      <c r="C3637" s="125" t="inlineStr">
        <is>
          <t>Москва</t>
        </is>
      </c>
      <c r="D3637" s="125" t="inlineStr">
        <is>
          <t>Москва</t>
        </is>
      </c>
      <c r="E3637" s="791" t="n"/>
      <c r="F3637" s="125" t="inlineStr">
        <is>
          <t>АЗС</t>
        </is>
      </c>
      <c r="G3637" s="87" t="inlineStr">
        <is>
          <t>Нефтьмагистраль</t>
        </is>
      </c>
      <c r="H3637" s="264" t="n">
        <v>1000</v>
      </c>
      <c r="I3637" s="637" t="n">
        <v>2</v>
      </c>
      <c r="J3637" s="637" t="inlineStr">
        <is>
          <t>MSK_NM_0002</t>
        </is>
      </c>
      <c r="K3637" s="791" t="n">
        <v>1</v>
      </c>
      <c r="L3637" s="791" t="n">
        <v>0</v>
      </c>
      <c r="M3637" s="265" t="inlineStr">
        <is>
          <t>Samsung 32" вертикальный</t>
        </is>
      </c>
      <c r="N3637" s="640" t="n"/>
      <c r="O3637" s="640">
        <f>IF(AND(N3637=1,L3637=1),K3637,"")</f>
        <v/>
      </c>
      <c r="P3637" s="642" t="inlineStr">
        <is>
          <t xml:space="preserve"> г Москва, ул Южнопортовая, вл38Б</t>
        </is>
      </c>
      <c r="Q3637" s="640" t="n">
        <v>55.698003</v>
      </c>
      <c r="R3637" s="422" t="n">
        <v>37.709595</v>
      </c>
      <c r="Z3637" s="1" t="n"/>
    </row>
    <row r="3638" hidden="1">
      <c r="A3638" s="125" t="n">
        <v>4317</v>
      </c>
      <c r="B3638" s="791" t="n"/>
      <c r="C3638" s="125" t="inlineStr">
        <is>
          <t>Москва</t>
        </is>
      </c>
      <c r="D3638" s="125" t="inlineStr">
        <is>
          <t>Москва</t>
        </is>
      </c>
      <c r="E3638" s="791" t="n"/>
      <c r="F3638" s="125" t="inlineStr">
        <is>
          <t>АЗС</t>
        </is>
      </c>
      <c r="G3638" s="87" t="inlineStr">
        <is>
          <t>Нефтьмагистраль</t>
        </is>
      </c>
      <c r="H3638" s="264" t="n">
        <v>900</v>
      </c>
      <c r="I3638" s="637" t="n">
        <v>3</v>
      </c>
      <c r="J3638" s="637" t="inlineStr">
        <is>
          <t>MSK_NM_0003</t>
        </is>
      </c>
      <c r="K3638" s="791" t="n">
        <v>1</v>
      </c>
      <c r="L3638" s="791" t="n">
        <v>1</v>
      </c>
      <c r="M3638" s="265" t="inlineStr">
        <is>
          <t>Samsung 32" вертикальный</t>
        </is>
      </c>
      <c r="N3638" s="640" t="n"/>
      <c r="O3638" s="640">
        <f>IF(AND(N3638=1,L3638=1),K3638,"")</f>
        <v/>
      </c>
      <c r="P3638" s="642" t="inlineStr">
        <is>
          <t xml:space="preserve"> г Москва, Варшавское шоссе, вл99А</t>
        </is>
      </c>
      <c r="Q3638" s="640" t="n">
        <v>55.632638</v>
      </c>
      <c r="R3638" s="494" t="n">
        <v>37.620627</v>
      </c>
      <c r="Z3638" s="1" t="n"/>
    </row>
    <row r="3639" hidden="1">
      <c r="A3639" s="125" t="n">
        <v>4318</v>
      </c>
      <c r="B3639" s="791" t="n"/>
      <c r="C3639" s="125" t="inlineStr">
        <is>
          <t>Москва</t>
        </is>
      </c>
      <c r="D3639" s="125" t="inlineStr">
        <is>
          <t>Москва</t>
        </is>
      </c>
      <c r="E3639" s="791" t="n"/>
      <c r="F3639" s="125" t="inlineStr">
        <is>
          <t>АЗС</t>
        </is>
      </c>
      <c r="G3639" s="87" t="inlineStr">
        <is>
          <t>Нефтьмагистраль</t>
        </is>
      </c>
      <c r="H3639" s="264" t="n">
        <v>1100</v>
      </c>
      <c r="I3639" s="637" t="n">
        <v>4</v>
      </c>
      <c r="J3639" s="637" t="inlineStr">
        <is>
          <t>MSK_NM_0004</t>
        </is>
      </c>
      <c r="K3639" s="791" t="n">
        <v>2</v>
      </c>
      <c r="L3639" s="791" t="n">
        <v>1</v>
      </c>
      <c r="M3639" s="265" t="inlineStr">
        <is>
          <t>Samsung 32" вертикальный</t>
        </is>
      </c>
      <c r="N3639" s="640" t="n"/>
      <c r="O3639" s="640">
        <f>IF(AND(N3639=1,L3639=1),K3639,"")</f>
        <v/>
      </c>
      <c r="P3639" s="642" t="inlineStr">
        <is>
          <t xml:space="preserve"> г Москва, ул Подольских Курсантов, вл7А</t>
        </is>
      </c>
      <c r="Q3639" s="640" t="n">
        <v>55.608469</v>
      </c>
      <c r="R3639" s="494" t="n">
        <v>37.622009</v>
      </c>
      <c r="Z3639" s="1" t="n"/>
    </row>
    <row r="3640" hidden="1">
      <c r="A3640" s="125" t="n">
        <v>4319</v>
      </c>
      <c r="B3640" s="791" t="n"/>
      <c r="C3640" s="125" t="inlineStr">
        <is>
          <t>Москва</t>
        </is>
      </c>
      <c r="D3640" s="125" t="inlineStr">
        <is>
          <t>Москва</t>
        </is>
      </c>
      <c r="E3640" s="791" t="n"/>
      <c r="F3640" s="125" t="inlineStr">
        <is>
          <t>АЗС</t>
        </is>
      </c>
      <c r="G3640" s="87" t="inlineStr">
        <is>
          <t>Нефтьмагистраль</t>
        </is>
      </c>
      <c r="H3640" s="264" t="n">
        <v>900</v>
      </c>
      <c r="I3640" s="637" t="n">
        <v>5</v>
      </c>
      <c r="J3640" s="637" t="inlineStr">
        <is>
          <t>MSK_NM_0005</t>
        </is>
      </c>
      <c r="K3640" s="791" t="n">
        <v>1</v>
      </c>
      <c r="L3640" s="791" t="n">
        <v>1</v>
      </c>
      <c r="M3640" s="265" t="inlineStr">
        <is>
          <t>Samsung 32" вертикальный</t>
        </is>
      </c>
      <c r="N3640" s="640" t="n"/>
      <c r="O3640" s="640">
        <f>IF(AND(N3640=1,L3640=1),K3640,"")</f>
        <v/>
      </c>
      <c r="P3640" s="642" t="inlineStr">
        <is>
          <t xml:space="preserve"> г Москва, ул Никулинская, вл3А</t>
        </is>
      </c>
      <c r="Q3640" s="640" t="n">
        <v>55.666752</v>
      </c>
      <c r="R3640" s="494" t="n">
        <v>37.458168</v>
      </c>
      <c r="Z3640" s="1" t="n"/>
    </row>
    <row r="3641" hidden="1">
      <c r="A3641" s="125" t="n">
        <v>4320</v>
      </c>
      <c r="B3641" s="791" t="n"/>
      <c r="C3641" s="125" t="inlineStr">
        <is>
          <t>Москва</t>
        </is>
      </c>
      <c r="D3641" s="125" t="inlineStr">
        <is>
          <t>Москва</t>
        </is>
      </c>
      <c r="E3641" s="791" t="n"/>
      <c r="F3641" s="125" t="inlineStr">
        <is>
          <t>АЗС</t>
        </is>
      </c>
      <c r="G3641" s="87" t="inlineStr">
        <is>
          <t>Нефтьмагистраль</t>
        </is>
      </c>
      <c r="H3641" s="264" t="n">
        <v>1000</v>
      </c>
      <c r="I3641" s="637" t="n">
        <v>6</v>
      </c>
      <c r="J3641" s="637" t="inlineStr">
        <is>
          <t>MSK_NM_0006</t>
        </is>
      </c>
      <c r="K3641" s="791" t="n">
        <v>1</v>
      </c>
      <c r="L3641" s="791" t="n">
        <v>1</v>
      </c>
      <c r="M3641" s="265" t="inlineStr">
        <is>
          <t>Samsung 32" вертикальный</t>
        </is>
      </c>
      <c r="N3641" s="640" t="n"/>
      <c r="O3641" s="640">
        <f>IF(AND(N3641=1,L3641=1),K3641,"")</f>
        <v/>
      </c>
      <c r="P3641" s="642" t="inlineStr">
        <is>
          <t xml:space="preserve"> г Москва, Загорьевский проезд, д2А</t>
        </is>
      </c>
      <c r="Q3641" s="640" t="n">
        <v>55.578992</v>
      </c>
      <c r="R3641" s="494" t="n">
        <v>37.663653</v>
      </c>
      <c r="Z3641" s="1" t="n"/>
    </row>
    <row r="3642" hidden="1">
      <c r="A3642" s="125" t="n">
        <v>4321</v>
      </c>
      <c r="B3642" s="791" t="n"/>
      <c r="C3642" s="125" t="inlineStr">
        <is>
          <t>Москва</t>
        </is>
      </c>
      <c r="D3642" s="125" t="inlineStr">
        <is>
          <t>Москва</t>
        </is>
      </c>
      <c r="E3642" s="791" t="n"/>
      <c r="F3642" s="125" t="inlineStr">
        <is>
          <t>АЗС</t>
        </is>
      </c>
      <c r="G3642" s="87" t="inlineStr">
        <is>
          <t>Нефтьмагистраль</t>
        </is>
      </c>
      <c r="H3642" s="264" t="n">
        <v>600</v>
      </c>
      <c r="I3642" s="637" t="n">
        <v>7</v>
      </c>
      <c r="J3642" s="637" t="inlineStr">
        <is>
          <t>MSK_NM_0007</t>
        </is>
      </c>
      <c r="K3642" s="791" t="n">
        <v>1</v>
      </c>
      <c r="L3642" s="791" t="n">
        <v>1</v>
      </c>
      <c r="M3642" s="265" t="inlineStr">
        <is>
          <t>Samsung 32" вертикальный</t>
        </is>
      </c>
      <c r="N3642" s="640" t="n"/>
      <c r="O3642" s="640">
        <f>IF(AND(N3642=1,L3642=1),K3642,"")</f>
        <v/>
      </c>
      <c r="P3642" s="642" t="inlineStr">
        <is>
          <t xml:space="preserve"> г Москва, ул Чагинская, вл15, стр1</t>
        </is>
      </c>
      <c r="Q3642" s="640" t="n">
        <v>55.65848</v>
      </c>
      <c r="R3642" s="494" t="n">
        <v>37.810888</v>
      </c>
      <c r="Z3642" s="1" t="n"/>
    </row>
    <row r="3643" hidden="1">
      <c r="A3643" s="125" t="n">
        <v>4322</v>
      </c>
      <c r="B3643" s="791" t="n"/>
      <c r="C3643" s="125" t="inlineStr">
        <is>
          <t>Москва</t>
        </is>
      </c>
      <c r="D3643" s="125" t="inlineStr">
        <is>
          <t>Москва</t>
        </is>
      </c>
      <c r="E3643" s="791" t="n"/>
      <c r="F3643" s="125" t="inlineStr">
        <is>
          <t>АЗС</t>
        </is>
      </c>
      <c r="G3643" s="87" t="inlineStr">
        <is>
          <t>Нефтьмагистраль</t>
        </is>
      </c>
      <c r="H3643" s="264" t="n">
        <v>800</v>
      </c>
      <c r="I3643" s="637" t="n">
        <v>8</v>
      </c>
      <c r="J3643" s="637" t="inlineStr">
        <is>
          <t>MSK_NM_0008</t>
        </is>
      </c>
      <c r="K3643" s="791" t="n">
        <v>1</v>
      </c>
      <c r="L3643" s="791" t="n">
        <v>1</v>
      </c>
      <c r="M3643" s="265" t="inlineStr">
        <is>
          <t>Samsung 32" вертикальный</t>
        </is>
      </c>
      <c r="N3643" s="640" t="n"/>
      <c r="O3643" s="640">
        <f>IF(AND(N3643=1,L3643=1),K3643,"")</f>
        <v/>
      </c>
      <c r="P3643" s="642" t="inlineStr">
        <is>
          <t xml:space="preserve">г. Москва, ул. Нежинская, д.5А </t>
        </is>
      </c>
      <c r="Q3643" s="640" t="n">
        <v>55.713732</v>
      </c>
      <c r="R3643" s="494" t="n">
        <v>37.475607</v>
      </c>
      <c r="Z3643" s="1" t="n"/>
    </row>
    <row r="3644" hidden="1">
      <c r="A3644" s="125" t="n">
        <v>4323</v>
      </c>
      <c r="B3644" s="791" t="n"/>
      <c r="C3644" s="125" t="inlineStr">
        <is>
          <t>Москва</t>
        </is>
      </c>
      <c r="D3644" s="125" t="inlineStr">
        <is>
          <t>Москва</t>
        </is>
      </c>
      <c r="E3644" s="791" t="n"/>
      <c r="F3644" s="125" t="inlineStr">
        <is>
          <t>АЗС</t>
        </is>
      </c>
      <c r="G3644" s="87" t="inlineStr">
        <is>
          <t>Нефтьмагистраль</t>
        </is>
      </c>
      <c r="H3644" s="264" t="n">
        <v>1800</v>
      </c>
      <c r="I3644" s="637" t="n">
        <v>9</v>
      </c>
      <c r="J3644" s="637" t="inlineStr">
        <is>
          <t>MSK_NM_0009</t>
        </is>
      </c>
      <c r="K3644" s="791" t="n">
        <v>2</v>
      </c>
      <c r="L3644" s="791" t="n">
        <v>1</v>
      </c>
      <c r="M3644" s="265" t="inlineStr">
        <is>
          <t>Samsung 32" вертикальный</t>
        </is>
      </c>
      <c r="N3644" s="640" t="n"/>
      <c r="O3644" s="640">
        <f>IF(AND(N3644=1,L3644=1),K3644,"")</f>
        <v/>
      </c>
      <c r="P3644" s="642" t="inlineStr">
        <is>
          <t xml:space="preserve"> г Москва, Варшавское шоссе, вл167Б, стр1</t>
        </is>
      </c>
      <c r="Q3644" s="640" t="n">
        <v>55.56725</v>
      </c>
      <c r="R3644" s="494" t="n">
        <v>37.599894</v>
      </c>
      <c r="Z3644" s="1" t="n"/>
    </row>
    <row r="3645" hidden="1">
      <c r="A3645" s="125" t="n">
        <v>4324</v>
      </c>
      <c r="B3645" s="791" t="n"/>
      <c r="C3645" s="125" t="inlineStr">
        <is>
          <t>Москва</t>
        </is>
      </c>
      <c r="D3645" s="125" t="inlineStr">
        <is>
          <t>Москва</t>
        </is>
      </c>
      <c r="E3645" s="791" t="n"/>
      <c r="F3645" s="125" t="inlineStr">
        <is>
          <t>АЗС</t>
        </is>
      </c>
      <c r="G3645" s="87" t="inlineStr">
        <is>
          <t>Нефтьмагистраль</t>
        </is>
      </c>
      <c r="H3645" s="264" t="n">
        <v>2300</v>
      </c>
      <c r="I3645" s="637" t="n">
        <v>10</v>
      </c>
      <c r="J3645" s="637" t="inlineStr">
        <is>
          <t>MSK_NM_0010</t>
        </is>
      </c>
      <c r="K3645" s="791" t="n">
        <v>2</v>
      </c>
      <c r="L3645" s="791" t="n">
        <v>1</v>
      </c>
      <c r="M3645" s="265" t="inlineStr">
        <is>
          <t>Samsung 32" вертикальный</t>
        </is>
      </c>
      <c r="N3645" s="640" t="n"/>
      <c r="O3645" s="640">
        <f>IF(AND(N3645=1,L3645=1),K3645,"")</f>
        <v/>
      </c>
      <c r="P3645" s="642" t="inlineStr">
        <is>
          <t xml:space="preserve"> г Москва, МКАД, 13-й км, д2 (внутренняя сторона)</t>
        </is>
      </c>
      <c r="Q3645" s="640" t="n">
        <v>55.667784</v>
      </c>
      <c r="R3645" s="494" t="n">
        <v>37.836845</v>
      </c>
      <c r="Z3645" s="1" t="n"/>
    </row>
    <row r="3646" hidden="1">
      <c r="A3646" s="125" t="n">
        <v>4325</v>
      </c>
      <c r="B3646" s="791" t="n"/>
      <c r="C3646" s="125" t="inlineStr">
        <is>
          <t>Москва</t>
        </is>
      </c>
      <c r="D3646" s="125" t="inlineStr">
        <is>
          <t>Москва</t>
        </is>
      </c>
      <c r="E3646" s="791" t="n"/>
      <c r="F3646" s="125" t="inlineStr">
        <is>
          <t>АЗС</t>
        </is>
      </c>
      <c r="G3646" s="87" t="inlineStr">
        <is>
          <t>Нефтьмагистраль</t>
        </is>
      </c>
      <c r="H3646" s="264" t="n">
        <v>1100</v>
      </c>
      <c r="I3646" s="637" t="n">
        <v>11</v>
      </c>
      <c r="J3646" s="637" t="inlineStr">
        <is>
          <t>MSK_NM_0011</t>
        </is>
      </c>
      <c r="K3646" s="791" t="n">
        <v>1</v>
      </c>
      <c r="L3646" s="791" t="n">
        <v>1</v>
      </c>
      <c r="M3646" s="265" t="inlineStr">
        <is>
          <t>Samsung 32" вертикальный</t>
        </is>
      </c>
      <c r="N3646" s="640" t="n"/>
      <c r="O3646" s="640">
        <f>IF(AND(N3646=1,L3646=1),K3646,"")</f>
        <v/>
      </c>
      <c r="P3646" s="642" t="inlineStr">
        <is>
          <t xml:space="preserve"> г Москва, г Зеленоград, ул Новокрюковская, д5</t>
        </is>
      </c>
      <c r="Q3646" s="640" t="n">
        <v>55.988124</v>
      </c>
      <c r="R3646" s="494" t="n">
        <v>37.161181</v>
      </c>
      <c r="Z3646" s="1" t="n"/>
    </row>
    <row r="3647" hidden="1">
      <c r="A3647" s="125" t="n">
        <v>4326</v>
      </c>
      <c r="B3647" s="791" t="n"/>
      <c r="C3647" s="125" t="inlineStr">
        <is>
          <t>Москва</t>
        </is>
      </c>
      <c r="D3647" s="125" t="inlineStr">
        <is>
          <t>Москва</t>
        </is>
      </c>
      <c r="E3647" s="791" t="n"/>
      <c r="F3647" s="125" t="inlineStr">
        <is>
          <t>АЗС</t>
        </is>
      </c>
      <c r="G3647" s="87" t="inlineStr">
        <is>
          <t>Нефтьмагистраль</t>
        </is>
      </c>
      <c r="H3647" s="264" t="n">
        <v>650</v>
      </c>
      <c r="I3647" s="637" t="n">
        <v>12</v>
      </c>
      <c r="J3647" s="637" t="inlineStr">
        <is>
          <t>MSK_NM_0012</t>
        </is>
      </c>
      <c r="K3647" s="791" t="n">
        <v>1</v>
      </c>
      <c r="L3647" s="791" t="n">
        <v>1</v>
      </c>
      <c r="M3647" s="265" t="inlineStr">
        <is>
          <t>Samsung 32" вертикальный</t>
        </is>
      </c>
      <c r="N3647" s="640" t="n"/>
      <c r="O3647" s="640">
        <f>IF(AND(N3647=1,L3647=1),K3647,"")</f>
        <v/>
      </c>
      <c r="P3647" s="642" t="inlineStr">
        <is>
          <t xml:space="preserve"> г Москва, ул 2-я Пугачевская, вл11</t>
        </is>
      </c>
      <c r="Q3647" s="640" t="n">
        <v>55.793318</v>
      </c>
      <c r="R3647" s="494" t="n">
        <v>37.729932</v>
      </c>
      <c r="Z3647" s="1" t="n"/>
    </row>
    <row r="3648" hidden="1">
      <c r="A3648" s="125" t="n">
        <v>4327</v>
      </c>
      <c r="B3648" s="791" t="n"/>
      <c r="C3648" s="125" t="inlineStr">
        <is>
          <t>Москва</t>
        </is>
      </c>
      <c r="D3648" s="125" t="inlineStr">
        <is>
          <t>Москва</t>
        </is>
      </c>
      <c r="E3648" s="791" t="n"/>
      <c r="F3648" s="125" t="inlineStr">
        <is>
          <t>АЗС</t>
        </is>
      </c>
      <c r="G3648" s="87" t="inlineStr">
        <is>
          <t>Нефтьмагистраль</t>
        </is>
      </c>
      <c r="H3648" s="264" t="n">
        <v>700</v>
      </c>
      <c r="I3648" s="637" t="n">
        <v>13</v>
      </c>
      <c r="J3648" s="637" t="inlineStr">
        <is>
          <t>MSK_NM_0013</t>
        </is>
      </c>
      <c r="K3648" s="791" t="n">
        <v>1</v>
      </c>
      <c r="L3648" s="791" t="n">
        <v>1</v>
      </c>
      <c r="M3648" s="265" t="inlineStr">
        <is>
          <t>Samsung 32" вертикальный</t>
        </is>
      </c>
      <c r="N3648" s="640" t="n"/>
      <c r="O3648" s="640">
        <f>IF(AND(N3648=1,L3648=1),K3648,"")</f>
        <v/>
      </c>
      <c r="P3648" s="642" t="inlineStr">
        <is>
          <t xml:space="preserve"> г Москва, Набережная Ганнушкина, вл1</t>
        </is>
      </c>
      <c r="Q3648" s="640" t="n">
        <v>55.797121</v>
      </c>
      <c r="R3648" s="494" t="n">
        <v>37.702265</v>
      </c>
      <c r="Z3648" s="1" t="n"/>
    </row>
    <row r="3649" hidden="1">
      <c r="A3649" s="125" t="n">
        <v>4328</v>
      </c>
      <c r="B3649" s="791" t="n"/>
      <c r="C3649" s="125" t="inlineStr">
        <is>
          <t>Москва</t>
        </is>
      </c>
      <c r="D3649" s="125" t="inlineStr">
        <is>
          <t>Москва</t>
        </is>
      </c>
      <c r="E3649" s="791" t="n"/>
      <c r="F3649" s="125" t="inlineStr">
        <is>
          <t>АЗС</t>
        </is>
      </c>
      <c r="G3649" s="87" t="inlineStr">
        <is>
          <t>Нефтьмагистраль</t>
        </is>
      </c>
      <c r="H3649" s="264" t="n">
        <v>1800</v>
      </c>
      <c r="I3649" s="637" t="n">
        <v>14</v>
      </c>
      <c r="J3649" s="637" t="inlineStr">
        <is>
          <t>MSK_NM_0014</t>
        </is>
      </c>
      <c r="K3649" s="791" t="n">
        <v>2</v>
      </c>
      <c r="L3649" s="791" t="n">
        <v>1</v>
      </c>
      <c r="M3649" s="265" t="inlineStr">
        <is>
          <t>Samsung 32" вертикальный</t>
        </is>
      </c>
      <c r="N3649" s="640" t="n"/>
      <c r="O3649" s="640">
        <f>IF(AND(N3649=1,L3649=1),K3649,"")</f>
        <v/>
      </c>
      <c r="P3649" s="642" t="inlineStr">
        <is>
          <t xml:space="preserve"> г Москва, Дмитровское шоссе, вл163</t>
        </is>
      </c>
      <c r="Q3649" s="640" t="n">
        <v>55.915415</v>
      </c>
      <c r="R3649" s="494" t="n">
        <v>37.538361</v>
      </c>
      <c r="Z3649" s="1" t="n"/>
    </row>
    <row r="3650" hidden="1">
      <c r="A3650" s="125" t="n">
        <v>4329</v>
      </c>
      <c r="B3650" s="791" t="n"/>
      <c r="C3650" s="125" t="inlineStr">
        <is>
          <t>Москва</t>
        </is>
      </c>
      <c r="D3650" s="125" t="inlineStr">
        <is>
          <t>Москва</t>
        </is>
      </c>
      <c r="E3650" s="791" t="n"/>
      <c r="F3650" s="125" t="inlineStr">
        <is>
          <t>АЗС</t>
        </is>
      </c>
      <c r="G3650" s="87" t="inlineStr">
        <is>
          <t>Нефтьмагистраль</t>
        </is>
      </c>
      <c r="H3650" s="264" t="n">
        <v>720</v>
      </c>
      <c r="I3650" s="637" t="n">
        <v>15</v>
      </c>
      <c r="J3650" s="637" t="inlineStr">
        <is>
          <t>MSK_NM_0015</t>
        </is>
      </c>
      <c r="K3650" s="791" t="n">
        <v>1</v>
      </c>
      <c r="L3650" s="791" t="n">
        <v>1</v>
      </c>
      <c r="M3650" s="265" t="inlineStr">
        <is>
          <t>Samsung 32" вертикальный</t>
        </is>
      </c>
      <c r="N3650" s="640" t="n"/>
      <c r="O3650" s="640">
        <f>IF(AND(N3650=1,L3650=1),K3650,"")</f>
        <v/>
      </c>
      <c r="P3650" s="642" t="inlineStr">
        <is>
          <t xml:space="preserve"> г Москва, Варшавское шоссе, вл135</t>
        </is>
      </c>
      <c r="Q3650" s="640" t="n">
        <v>55.596534</v>
      </c>
      <c r="R3650" s="494" t="n">
        <v>37.603559</v>
      </c>
      <c r="Z3650" s="1" t="n"/>
    </row>
    <row r="3651" hidden="1">
      <c r="A3651" s="125" t="n">
        <v>4330</v>
      </c>
      <c r="B3651" s="791" t="n"/>
      <c r="C3651" s="125" t="inlineStr">
        <is>
          <t>Москва</t>
        </is>
      </c>
      <c r="D3651" s="125" t="inlineStr">
        <is>
          <t>Москва</t>
        </is>
      </c>
      <c r="E3651" s="791" t="n"/>
      <c r="F3651" s="125" t="inlineStr">
        <is>
          <t>АЗС</t>
        </is>
      </c>
      <c r="G3651" s="87" t="inlineStr">
        <is>
          <t>Нефтьмагистраль</t>
        </is>
      </c>
      <c r="H3651" s="264" t="n">
        <v>1100</v>
      </c>
      <c r="I3651" s="637" t="n">
        <v>16</v>
      </c>
      <c r="J3651" s="637" t="inlineStr">
        <is>
          <t>MSK_NM_0016</t>
        </is>
      </c>
      <c r="K3651" s="791" t="n">
        <v>1</v>
      </c>
      <c r="L3651" s="791" t="n">
        <v>1</v>
      </c>
      <c r="M3651" s="265" t="inlineStr">
        <is>
          <t>Samsung 32" вертикальный</t>
        </is>
      </c>
      <c r="N3651" s="640" t="n"/>
      <c r="O3651" s="640">
        <f>IF(AND(N3651=1,L3651=1),K3651,"")</f>
        <v/>
      </c>
      <c r="P3651" s="642" t="inlineStr">
        <is>
          <t xml:space="preserve"> г Москва, Внуковское п, д Ликова ( г Москва, Внуковское п, квартал № 93, 3соор1)</t>
        </is>
      </c>
      <c r="Q3651" s="640" t="n">
        <v>55.618404</v>
      </c>
      <c r="R3651" s="494" t="n">
        <v>37.276818</v>
      </c>
      <c r="Z3651" s="1" t="n"/>
    </row>
    <row r="3652" hidden="1">
      <c r="A3652" s="125" t="n">
        <v>4331</v>
      </c>
      <c r="B3652" s="791" t="n"/>
      <c r="C3652" s="125" t="inlineStr">
        <is>
          <t>Москва</t>
        </is>
      </c>
      <c r="D3652" s="125" t="inlineStr">
        <is>
          <t>Москва</t>
        </is>
      </c>
      <c r="E3652" s="791" t="n"/>
      <c r="F3652" s="125" t="inlineStr">
        <is>
          <t>АЗС</t>
        </is>
      </c>
      <c r="G3652" s="87" t="inlineStr">
        <is>
          <t>Нефтьмагистраль</t>
        </is>
      </c>
      <c r="H3652" s="264" t="n">
        <v>1200</v>
      </c>
      <c r="I3652" s="637" t="n">
        <v>17</v>
      </c>
      <c r="J3652" s="637" t="inlineStr">
        <is>
          <t>MSK_NM_0017</t>
        </is>
      </c>
      <c r="K3652" s="791" t="n">
        <v>1</v>
      </c>
      <c r="L3652" s="791" t="n">
        <v>1</v>
      </c>
      <c r="M3652" s="265" t="inlineStr">
        <is>
          <t>Samsung 32" вертикальный</t>
        </is>
      </c>
      <c r="N3652" s="640" t="n"/>
      <c r="O3652" s="640">
        <f>IF(AND(N3652=1,L3652=1),K3652,"")</f>
        <v/>
      </c>
      <c r="P3652" s="642" t="inlineStr">
        <is>
          <t>г. Москва, поселение Внуковское, квартал № 13, вл1с2</t>
        </is>
      </c>
      <c r="Q3652" s="640" t="n">
        <v>55.626311</v>
      </c>
      <c r="R3652" s="494" t="n">
        <v>37.298652</v>
      </c>
      <c r="Z3652" s="1" t="n"/>
    </row>
    <row r="3653" hidden="1">
      <c r="A3653" s="125" t="n">
        <v>4332</v>
      </c>
      <c r="B3653" s="791" t="n"/>
      <c r="C3653" s="125" t="inlineStr">
        <is>
          <t>Москва</t>
        </is>
      </c>
      <c r="D3653" s="125" t="inlineStr">
        <is>
          <t>Москва</t>
        </is>
      </c>
      <c r="E3653" s="791" t="n"/>
      <c r="F3653" s="125" t="inlineStr">
        <is>
          <t>АЗС</t>
        </is>
      </c>
      <c r="G3653" s="87" t="inlineStr">
        <is>
          <t>Нефтьмагистраль</t>
        </is>
      </c>
      <c r="H3653" s="264" t="n">
        <v>800</v>
      </c>
      <c r="I3653" s="637" t="n">
        <v>18</v>
      </c>
      <c r="J3653" s="637" t="inlineStr">
        <is>
          <t>MSK_NM_0018</t>
        </is>
      </c>
      <c r="K3653" s="791" t="n">
        <v>1</v>
      </c>
      <c r="L3653" s="791" t="n">
        <v>1</v>
      </c>
      <c r="M3653" s="265" t="inlineStr">
        <is>
          <t>Samsung 32" вертикальный</t>
        </is>
      </c>
      <c r="N3653" s="640" t="n"/>
      <c r="O3653" s="640">
        <f>IF(AND(N3653=1,L3653=1),K3653,"")</f>
        <v/>
      </c>
      <c r="P3653" s="642" t="inlineStr">
        <is>
          <t xml:space="preserve"> г Москва, Канатчиковский проезд, вл5</t>
        </is>
      </c>
      <c r="Q3653" s="640" t="n">
        <v>55.702382</v>
      </c>
      <c r="R3653" s="494" t="n">
        <v>37.592473</v>
      </c>
      <c r="Z3653" s="1" t="n"/>
    </row>
    <row r="3654" hidden="1">
      <c r="A3654" s="125" t="n">
        <v>4333</v>
      </c>
      <c r="B3654" s="791" t="n"/>
      <c r="C3654" s="125" t="inlineStr">
        <is>
          <t>Москва</t>
        </is>
      </c>
      <c r="D3654" s="125" t="inlineStr">
        <is>
          <t>Москва</t>
        </is>
      </c>
      <c r="E3654" s="791" t="n"/>
      <c r="F3654" s="125" t="inlineStr">
        <is>
          <t>АЗС</t>
        </is>
      </c>
      <c r="G3654" s="87" t="inlineStr">
        <is>
          <t>Нефтьмагистраль</t>
        </is>
      </c>
      <c r="H3654" s="264" t="n">
        <v>600</v>
      </c>
      <c r="I3654" s="637" t="n">
        <v>19</v>
      </c>
      <c r="J3654" s="637" t="inlineStr">
        <is>
          <t>MSK_NM_0019</t>
        </is>
      </c>
      <c r="K3654" s="791" t="n">
        <v>1</v>
      </c>
      <c r="L3654" s="791" t="n">
        <v>1</v>
      </c>
      <c r="M3654" s="265" t="inlineStr">
        <is>
          <t>Samsung 32" вертикальный</t>
        </is>
      </c>
      <c r="N3654" s="640" t="n"/>
      <c r="O3654" s="640">
        <f>IF(AND(N3654=1,L3654=1),K3654,"")</f>
        <v/>
      </c>
      <c r="P3654" s="642" t="inlineStr">
        <is>
          <t xml:space="preserve"> г Москва, ул 1-я Энтузиастов, вл 3А</t>
        </is>
      </c>
      <c r="Q3654" s="640" t="n">
        <v>55.752261</v>
      </c>
      <c r="R3654" s="494" t="n">
        <v>37.723179</v>
      </c>
      <c r="Z3654" s="1" t="n"/>
    </row>
    <row r="3655" hidden="1">
      <c r="A3655" s="125" t="n">
        <v>4335</v>
      </c>
      <c r="B3655" s="791" t="n"/>
      <c r="C3655" s="125" t="inlineStr">
        <is>
          <t>Москва</t>
        </is>
      </c>
      <c r="D3655" s="125" t="inlineStr">
        <is>
          <t>Москва</t>
        </is>
      </c>
      <c r="E3655" s="791" t="n"/>
      <c r="F3655" s="125" t="inlineStr">
        <is>
          <t>АЗС</t>
        </is>
      </c>
      <c r="G3655" s="87" t="inlineStr">
        <is>
          <t>Нефтьмагистраль</t>
        </is>
      </c>
      <c r="H3655" s="264" t="n">
        <v>950</v>
      </c>
      <c r="I3655" s="637" t="n">
        <v>21</v>
      </c>
      <c r="J3655" s="637" t="inlineStr">
        <is>
          <t>MSK_NM_0021</t>
        </is>
      </c>
      <c r="K3655" s="791" t="n">
        <v>1</v>
      </c>
      <c r="L3655" s="791" t="n">
        <v>1</v>
      </c>
      <c r="M3655" s="265" t="inlineStr">
        <is>
          <t>Samsung 32" вертикальный</t>
        </is>
      </c>
      <c r="N3655" s="640" t="n"/>
      <c r="O3655" s="640">
        <f>IF(AND(N3655=1,L3655=1),K3655,"")</f>
        <v/>
      </c>
      <c r="P3655" s="642" t="inlineStr">
        <is>
          <t xml:space="preserve"> г Москва, ул Нижегородская, д 27Б</t>
        </is>
      </c>
      <c r="Q3655" s="640" t="n">
        <v>55.734951</v>
      </c>
      <c r="R3655" s="494" t="n">
        <v>37.707214</v>
      </c>
      <c r="Z3655" s="1" t="n"/>
    </row>
    <row r="3656" hidden="1">
      <c r="A3656" s="125" t="n">
        <v>4334</v>
      </c>
      <c r="B3656" s="791" t="n"/>
      <c r="C3656" s="125" t="inlineStr">
        <is>
          <t>Москва</t>
        </is>
      </c>
      <c r="D3656" s="125" t="inlineStr">
        <is>
          <t>Москва</t>
        </is>
      </c>
      <c r="E3656" s="791" t="n"/>
      <c r="F3656" s="125" t="inlineStr">
        <is>
          <t>АЗС</t>
        </is>
      </c>
      <c r="G3656" s="87" t="inlineStr">
        <is>
          <t>Нефтьмагистраль</t>
        </is>
      </c>
      <c r="H3656" s="264" t="n">
        <v>550</v>
      </c>
      <c r="I3656" s="637" t="n">
        <v>20</v>
      </c>
      <c r="J3656" s="637" t="inlineStr">
        <is>
          <t>MSK_NM_0020</t>
        </is>
      </c>
      <c r="K3656" s="791" t="n">
        <v>1</v>
      </c>
      <c r="L3656" s="791" t="n">
        <v>0</v>
      </c>
      <c r="M3656" s="265" t="inlineStr">
        <is>
          <t>Samsung 32" вертикальный</t>
        </is>
      </c>
      <c r="N3656" s="414" t="n"/>
      <c r="O3656" s="640">
        <f>IF(AND(N3656=1,L3656=1),K3656,"")</f>
        <v/>
      </c>
      <c r="P3656" s="642" t="inlineStr">
        <is>
          <t xml:space="preserve"> г Москва, ул Семеновский вал, вл 4А</t>
        </is>
      </c>
      <c r="Q3656" s="640" t="inlineStr">
        <is>
          <t>55.778922</t>
        </is>
      </c>
      <c r="R3656" s="422" t="inlineStr">
        <is>
          <t>37.715695</t>
        </is>
      </c>
      <c r="X3656" s="1" t="n"/>
      <c r="Y3656" s="1" t="n"/>
      <c r="Z3656" s="1" t="n"/>
    </row>
    <row r="3657" hidden="1">
      <c r="A3657" s="125" t="n">
        <v>4336</v>
      </c>
      <c r="B3657" s="791" t="n"/>
      <c r="C3657" s="125" t="inlineStr">
        <is>
          <t>Москва</t>
        </is>
      </c>
      <c r="D3657" s="125" t="inlineStr">
        <is>
          <t>Москва</t>
        </is>
      </c>
      <c r="E3657" s="791" t="n"/>
      <c r="F3657" s="125" t="inlineStr">
        <is>
          <t>АЗС</t>
        </is>
      </c>
      <c r="G3657" s="87" t="inlineStr">
        <is>
          <t>Нефтьмагистраль</t>
        </is>
      </c>
      <c r="H3657" s="264" t="n">
        <v>650</v>
      </c>
      <c r="I3657" s="637" t="n">
        <v>23</v>
      </c>
      <c r="J3657" s="637" t="inlineStr">
        <is>
          <t>MSK_NM_0023</t>
        </is>
      </c>
      <c r="K3657" s="791" t="n">
        <v>1</v>
      </c>
      <c r="L3657" s="791" t="n">
        <v>1</v>
      </c>
      <c r="M3657" s="265" t="inlineStr">
        <is>
          <t>Samsung 32" вертикальный</t>
        </is>
      </c>
      <c r="N3657" s="640" t="n"/>
      <c r="O3657" s="640">
        <f>IF(AND(N3657=1,L3657=1),K3657,"")</f>
        <v/>
      </c>
      <c r="P3657" s="642" t="inlineStr">
        <is>
          <t xml:space="preserve"> г Москва, вблизи дер Чириково, на 49 км а/дороги А-101 "Москва-Малоярославец"</t>
        </is>
      </c>
      <c r="Q3657" s="640" t="n">
        <v>55.398707</v>
      </c>
      <c r="R3657" s="494" t="n">
        <v>37.239854</v>
      </c>
      <c r="Z3657" s="1" t="n"/>
    </row>
    <row r="3658" hidden="1">
      <c r="A3658" s="125" t="n">
        <v>4337</v>
      </c>
      <c r="B3658" s="791" t="n"/>
      <c r="C3658" s="125" t="inlineStr">
        <is>
          <t>Москва</t>
        </is>
      </c>
      <c r="D3658" s="125" t="inlineStr">
        <is>
          <t>Москва</t>
        </is>
      </c>
      <c r="E3658" s="791" t="n"/>
      <c r="F3658" s="125" t="inlineStr">
        <is>
          <t>АЗС</t>
        </is>
      </c>
      <c r="G3658" s="87" t="inlineStr">
        <is>
          <t>Нефтьмагистраль</t>
        </is>
      </c>
      <c r="H3658" s="264" t="n">
        <v>330</v>
      </c>
      <c r="I3658" s="637" t="n">
        <v>24</v>
      </c>
      <c r="J3658" s="637" t="inlineStr">
        <is>
          <t>MSK_NM_0024</t>
        </is>
      </c>
      <c r="K3658" s="791" t="n">
        <v>1</v>
      </c>
      <c r="L3658" s="791" t="n">
        <v>1</v>
      </c>
      <c r="M3658" s="265" t="inlineStr">
        <is>
          <t>Samsung 32" вертикальный</t>
        </is>
      </c>
      <c r="N3658" s="640" t="n"/>
      <c r="O3658" s="640">
        <f>IF(AND(N3658=1,L3658=1),K3658,"")</f>
        <v/>
      </c>
      <c r="P3658" s="642" t="inlineStr">
        <is>
          <t xml:space="preserve"> г Москва, с/о Щаповский, вблизи д Сатино-Русское</t>
        </is>
      </c>
      <c r="Q3658" s="640" t="n">
        <v>55.38607</v>
      </c>
      <c r="R3658" s="494" t="n">
        <v>37.361185</v>
      </c>
      <c r="Z3658" s="1" t="n"/>
    </row>
    <row r="3659" hidden="1">
      <c r="A3659" s="125" t="n">
        <v>4338</v>
      </c>
      <c r="B3659" s="791" t="n"/>
      <c r="C3659" s="125" t="inlineStr">
        <is>
          <t>Москва</t>
        </is>
      </c>
      <c r="D3659" s="125" t="inlineStr">
        <is>
          <t>Москва</t>
        </is>
      </c>
      <c r="E3659" s="791" t="n"/>
      <c r="F3659" s="125" t="inlineStr">
        <is>
          <t>АЗС</t>
        </is>
      </c>
      <c r="G3659" s="87" t="inlineStr">
        <is>
          <t>Нефтьмагистраль</t>
        </is>
      </c>
      <c r="H3659" s="264" t="n">
        <v>330</v>
      </c>
      <c r="I3659" s="637" t="n">
        <v>25</v>
      </c>
      <c r="J3659" s="637" t="inlineStr">
        <is>
          <t>MSK_NM_0025</t>
        </is>
      </c>
      <c r="K3659" s="791" t="n">
        <v>1</v>
      </c>
      <c r="L3659" s="791" t="n">
        <v>1</v>
      </c>
      <c r="M3659" s="265" t="inlineStr">
        <is>
          <t>Samsung 32" вертикальный</t>
        </is>
      </c>
      <c r="N3659" s="640" t="n"/>
      <c r="O3659" s="640">
        <f>IF(AND(N3659=1,L3659=1),K3659,"")</f>
        <v/>
      </c>
      <c r="P3659" s="642" t="inlineStr">
        <is>
          <t>г. Москва, Даниловская набережная, вл. 8Б</t>
        </is>
      </c>
      <c r="Q3659" s="640" t="n">
        <v>55.708993</v>
      </c>
      <c r="R3659" s="494" t="n">
        <v>37.633891</v>
      </c>
      <c r="Z3659" s="1" t="n"/>
    </row>
    <row r="3660" hidden="1">
      <c r="A3660" s="125" t="n">
        <v>4339</v>
      </c>
      <c r="B3660" s="791" t="n"/>
      <c r="C3660" s="125" t="inlineStr">
        <is>
          <t>Москва</t>
        </is>
      </c>
      <c r="D3660" s="125" t="inlineStr">
        <is>
          <t>Москва</t>
        </is>
      </c>
      <c r="E3660" s="791" t="n"/>
      <c r="F3660" s="125" t="inlineStr">
        <is>
          <t>АЗС</t>
        </is>
      </c>
      <c r="G3660" s="87" t="inlineStr">
        <is>
          <t>Нефтьмагистраль</t>
        </is>
      </c>
      <c r="H3660" s="264" t="n"/>
      <c r="I3660" s="637" t="n">
        <v>26</v>
      </c>
      <c r="J3660" s="637" t="inlineStr">
        <is>
          <t>MSK_NM_0026</t>
        </is>
      </c>
      <c r="K3660" s="791" t="n">
        <v>1</v>
      </c>
      <c r="L3660" s="791" t="n">
        <v>1</v>
      </c>
      <c r="M3660" s="265" t="inlineStr">
        <is>
          <t>Samsung 32" вертикальный</t>
        </is>
      </c>
      <c r="N3660" s="640" t="n"/>
      <c r="O3660" s="640">
        <f>IF(AND(N3660=1,L3660=1),K3660,"")</f>
        <v/>
      </c>
      <c r="P3660" s="642" t="inlineStr">
        <is>
          <t>г. Москва, МКАД, 51-й километр, 6</t>
        </is>
      </c>
      <c r="Q3660" s="640" t="n">
        <v>55.693056</v>
      </c>
      <c r="R3660" s="494" t="n">
        <v>37.411881</v>
      </c>
      <c r="Z3660" s="1" t="n"/>
    </row>
    <row r="3661" hidden="1">
      <c r="A3661" s="125" t="n">
        <v>4340</v>
      </c>
      <c r="B3661" s="791" t="n"/>
      <c r="C3661" s="125" t="inlineStr">
        <is>
          <t>Москва</t>
        </is>
      </c>
      <c r="D3661" s="125" t="inlineStr">
        <is>
          <t>Москва</t>
        </is>
      </c>
      <c r="E3661" s="791" t="n"/>
      <c r="F3661" s="125" t="inlineStr">
        <is>
          <t>АЗС</t>
        </is>
      </c>
      <c r="G3661" s="87" t="inlineStr">
        <is>
          <t>Нефтьмагистраль</t>
        </is>
      </c>
      <c r="H3661" s="264" t="n">
        <v>600</v>
      </c>
      <c r="I3661" s="637" t="n">
        <v>28</v>
      </c>
      <c r="J3661" s="637" t="inlineStr">
        <is>
          <t>MSK_NM_0028</t>
        </is>
      </c>
      <c r="K3661" s="791" t="n">
        <v>1</v>
      </c>
      <c r="L3661" s="791" t="n">
        <v>1</v>
      </c>
      <c r="M3661" s="265" t="inlineStr">
        <is>
          <t>Samsung 32" вертикальный</t>
        </is>
      </c>
      <c r="N3661" s="640" t="n"/>
      <c r="O3661" s="640">
        <f>IF(AND(N3661=1,L3661=1),K3661,"")</f>
        <v/>
      </c>
      <c r="P3661" s="642" t="inlineStr">
        <is>
          <t xml:space="preserve"> г Москва, Шлюзовая набережная, домовлад16, строен2</t>
        </is>
      </c>
      <c r="Q3661" s="640" t="n">
        <v>55.72942</v>
      </c>
      <c r="R3661" s="494" t="n">
        <v>37.651059</v>
      </c>
      <c r="Z3661" s="1" t="n"/>
    </row>
    <row r="3662" hidden="1">
      <c r="A3662" s="125" t="n">
        <v>4341</v>
      </c>
      <c r="B3662" s="791" t="n"/>
      <c r="C3662" s="125" t="inlineStr">
        <is>
          <t>Москва</t>
        </is>
      </c>
      <c r="D3662" s="125" t="inlineStr">
        <is>
          <t>Москва</t>
        </is>
      </c>
      <c r="E3662" s="791" t="n"/>
      <c r="F3662" s="125" t="inlineStr">
        <is>
          <t>АЗС</t>
        </is>
      </c>
      <c r="G3662" s="87" t="inlineStr">
        <is>
          <t>Нефтьмагистраль</t>
        </is>
      </c>
      <c r="H3662" s="264" t="n">
        <v>600</v>
      </c>
      <c r="I3662" s="637" t="n">
        <v>29</v>
      </c>
      <c r="J3662" s="637" t="inlineStr">
        <is>
          <t>MSK_NM_0029</t>
        </is>
      </c>
      <c r="K3662" s="791" t="n">
        <v>1</v>
      </c>
      <c r="L3662" s="791" t="n">
        <v>1</v>
      </c>
      <c r="M3662" s="265" t="inlineStr">
        <is>
          <t>Samsung 32" вертикальный</t>
        </is>
      </c>
      <c r="N3662" s="640" t="n"/>
      <c r="O3662" s="640">
        <f>IF(AND(N3662=1,L3662=1),K3662,"")</f>
        <v/>
      </c>
      <c r="P3662" s="642" t="inlineStr">
        <is>
          <t xml:space="preserve"> г Москва, проспект Мира, вл186Б</t>
        </is>
      </c>
      <c r="Q3662" s="640" t="n">
        <v>55.830293</v>
      </c>
      <c r="R3662" s="494" t="n">
        <v>37.652013</v>
      </c>
      <c r="Z3662" s="1" t="n"/>
    </row>
    <row r="3663" hidden="1">
      <c r="A3663" s="125" t="n">
        <v>4342</v>
      </c>
      <c r="B3663" s="791" t="n"/>
      <c r="C3663" s="125" t="inlineStr">
        <is>
          <t>Москва</t>
        </is>
      </c>
      <c r="D3663" s="125" t="inlineStr">
        <is>
          <t>Москва</t>
        </is>
      </c>
      <c r="E3663" s="791" t="n"/>
      <c r="F3663" s="125" t="inlineStr">
        <is>
          <t>АЗС</t>
        </is>
      </c>
      <c r="G3663" s="87" t="inlineStr">
        <is>
          <t>Нефтьмагистраль</t>
        </is>
      </c>
      <c r="H3663" s="264" t="n">
        <v>900</v>
      </c>
      <c r="I3663" s="637" t="n">
        <v>30</v>
      </c>
      <c r="J3663" s="637" t="inlineStr">
        <is>
          <t>MSK_NM_0030</t>
        </is>
      </c>
      <c r="K3663" s="791" t="n">
        <v>1</v>
      </c>
      <c r="L3663" s="791" t="n">
        <v>1</v>
      </c>
      <c r="M3663" s="265" t="inlineStr">
        <is>
          <t>Samsung 32" вертикальный</t>
        </is>
      </c>
      <c r="N3663" s="640" t="n"/>
      <c r="O3663" s="640">
        <f>IF(AND(N3663=1,L3663=1),K3663,"")</f>
        <v/>
      </c>
      <c r="P3663" s="642" t="inlineStr">
        <is>
          <t xml:space="preserve"> г Москва, ул Симоновский вал, д28</t>
        </is>
      </c>
      <c r="Q3663" s="640" t="n">
        <v>55.71765</v>
      </c>
      <c r="R3663" s="494" t="n">
        <v>37.662869</v>
      </c>
      <c r="Z3663" s="1" t="n"/>
    </row>
    <row r="3664" hidden="1">
      <c r="A3664" s="125" t="n">
        <v>4343</v>
      </c>
      <c r="B3664" s="791" t="n"/>
      <c r="C3664" s="125" t="inlineStr">
        <is>
          <t>Москва</t>
        </is>
      </c>
      <c r="D3664" s="125" t="inlineStr">
        <is>
          <t>Москва</t>
        </is>
      </c>
      <c r="E3664" s="791" t="n"/>
      <c r="F3664" s="125" t="inlineStr">
        <is>
          <t>АЗС</t>
        </is>
      </c>
      <c r="G3664" s="87" t="inlineStr">
        <is>
          <t>Нефтьмагистраль</t>
        </is>
      </c>
      <c r="H3664" s="264" t="n"/>
      <c r="I3664" s="637" t="n">
        <v>31</v>
      </c>
      <c r="J3664" s="637" t="inlineStr">
        <is>
          <t>MSK_NM_0031</t>
        </is>
      </c>
      <c r="K3664" s="791" t="n">
        <v>1</v>
      </c>
      <c r="L3664" s="791" t="n">
        <v>1</v>
      </c>
      <c r="M3664" s="265" t="inlineStr">
        <is>
          <t>Samsung 32" вертикальный</t>
        </is>
      </c>
      <c r="N3664" s="640" t="n"/>
      <c r="O3664" s="640">
        <f>IF(AND(N3664=1,L3664=1),K3664,"")</f>
        <v/>
      </c>
      <c r="P3664" s="642" t="inlineStr">
        <is>
          <t>г. Москва, ул. Новозаводская, д. 2Б</t>
        </is>
      </c>
      <c r="Q3664" s="640" t="n">
        <v>55.746448</v>
      </c>
      <c r="R3664" s="494" t="n">
        <v>37.515966</v>
      </c>
      <c r="Z3664" s="1" t="n"/>
    </row>
    <row r="3665" hidden="1">
      <c r="A3665" s="125" t="n">
        <v>4344</v>
      </c>
      <c r="B3665" s="791" t="n"/>
      <c r="C3665" s="125" t="inlineStr">
        <is>
          <t>Москва</t>
        </is>
      </c>
      <c r="D3665" s="125" t="inlineStr">
        <is>
          <t>Москва</t>
        </is>
      </c>
      <c r="E3665" s="791" t="n"/>
      <c r="F3665" s="125" t="inlineStr">
        <is>
          <t>АЗС</t>
        </is>
      </c>
      <c r="G3665" s="87" t="inlineStr">
        <is>
          <t>Нефтьмагистраль</t>
        </is>
      </c>
      <c r="H3665" s="264" t="n">
        <v>2500</v>
      </c>
      <c r="I3665" s="637" t="n">
        <v>32</v>
      </c>
      <c r="J3665" s="637" t="inlineStr">
        <is>
          <t>MSK_NM_0032</t>
        </is>
      </c>
      <c r="K3665" s="791" t="n">
        <v>2</v>
      </c>
      <c r="L3665" s="791" t="n">
        <v>1</v>
      </c>
      <c r="M3665" s="265" t="inlineStr">
        <is>
          <t>Samsung 32" вертикальный</t>
        </is>
      </c>
      <c r="N3665" s="640" t="n"/>
      <c r="O3665" s="640">
        <f>IF(AND(N3665=1,L3665=1),K3665,"")</f>
        <v/>
      </c>
      <c r="P3665" s="642" t="inlineStr">
        <is>
          <t xml:space="preserve"> г Москва, Волгоградский проспект, д 166, кор2</t>
        </is>
      </c>
      <c r="Q3665" s="640" t="n">
        <v>55.694089</v>
      </c>
      <c r="R3665" s="494" t="n">
        <v>37.811393</v>
      </c>
      <c r="Z3665" s="1" t="n"/>
    </row>
    <row r="3666" hidden="1">
      <c r="A3666" s="125" t="n">
        <v>4345</v>
      </c>
      <c r="B3666" s="791" t="n"/>
      <c r="C3666" s="125" t="inlineStr">
        <is>
          <t>Москва</t>
        </is>
      </c>
      <c r="D3666" s="125" t="inlineStr">
        <is>
          <t>Москва</t>
        </is>
      </c>
      <c r="E3666" s="791" t="n"/>
      <c r="F3666" s="125" t="inlineStr">
        <is>
          <t>АЗС</t>
        </is>
      </c>
      <c r="G3666" s="87" t="inlineStr">
        <is>
          <t>Нефтьмагистраль</t>
        </is>
      </c>
      <c r="H3666" s="264" t="n">
        <v>1500</v>
      </c>
      <c r="I3666" s="637" t="n">
        <v>33</v>
      </c>
      <c r="J3666" s="637" t="inlineStr">
        <is>
          <t>MSK_NM_0033</t>
        </is>
      </c>
      <c r="K3666" s="791" t="n">
        <v>2</v>
      </c>
      <c r="L3666" s="791" t="n">
        <v>1</v>
      </c>
      <c r="M3666" s="265" t="inlineStr">
        <is>
          <t>Samsung 32" вертикальный</t>
        </is>
      </c>
      <c r="N3666" s="640" t="n"/>
      <c r="O3666" s="640">
        <f>IF(AND(N3666=1,L3666=1),K3666,"")</f>
        <v/>
      </c>
      <c r="P3666" s="642" t="inlineStr">
        <is>
          <t xml:space="preserve"> г Москва, п Щаповское, вблизи д Троицкое ( г Москва, п Щаповское, квартал № 212)</t>
        </is>
      </c>
      <c r="Q3666" s="640" t="n">
        <v>55.391359</v>
      </c>
      <c r="R3666" s="494" t="n">
        <v>37.425514</v>
      </c>
      <c r="Z3666" s="1" t="n"/>
    </row>
    <row r="3667" hidden="1">
      <c r="A3667" s="125" t="n">
        <v>4346</v>
      </c>
      <c r="B3667" s="791" t="n"/>
      <c r="C3667" s="125" t="inlineStr">
        <is>
          <t>Москва</t>
        </is>
      </c>
      <c r="D3667" s="125" t="inlineStr">
        <is>
          <t>Москва</t>
        </is>
      </c>
      <c r="E3667" s="791" t="n"/>
      <c r="F3667" s="125" t="inlineStr">
        <is>
          <t>АЗС</t>
        </is>
      </c>
      <c r="G3667" s="87" t="inlineStr">
        <is>
          <t>Нефтьмагистраль</t>
        </is>
      </c>
      <c r="H3667" s="264" t="n">
        <v>1600</v>
      </c>
      <c r="I3667" s="637" t="n">
        <v>34</v>
      </c>
      <c r="J3667" s="637" t="inlineStr">
        <is>
          <t>MSK_NM_0034</t>
        </is>
      </c>
      <c r="K3667" s="791" t="n">
        <v>2</v>
      </c>
      <c r="L3667" s="791" t="n">
        <v>1</v>
      </c>
      <c r="M3667" s="265" t="inlineStr">
        <is>
          <t>Samsung 32" вертикальный</t>
        </is>
      </c>
      <c r="N3667" s="640" t="n"/>
      <c r="O3667" s="640">
        <f>IF(AND(N3667=1,L3667=1),K3667,"")</f>
        <v/>
      </c>
      <c r="P3667" s="642" t="inlineStr">
        <is>
          <t xml:space="preserve"> г Москва, 41 км + 200 м Киевского шоссе (левая сторона)</t>
        </is>
      </c>
      <c r="Q3667" s="640" t="n">
        <v>55.550469</v>
      </c>
      <c r="R3667" s="494" t="n">
        <v>37.131499</v>
      </c>
      <c r="Z3667" s="1" t="n"/>
    </row>
    <row r="3668" hidden="1">
      <c r="A3668" s="125" t="n">
        <v>4347</v>
      </c>
      <c r="B3668" s="791" t="n"/>
      <c r="C3668" s="125" t="inlineStr">
        <is>
          <t>Москва</t>
        </is>
      </c>
      <c r="D3668" s="125" t="inlineStr">
        <is>
          <t>Москва</t>
        </is>
      </c>
      <c r="E3668" s="791" t="n"/>
      <c r="F3668" s="125" t="inlineStr">
        <is>
          <t>АЗС</t>
        </is>
      </c>
      <c r="G3668" s="87" t="inlineStr">
        <is>
          <t>Нефтьмагистраль</t>
        </is>
      </c>
      <c r="H3668" s="264" t="n">
        <v>700</v>
      </c>
      <c r="I3668" s="637" t="n">
        <v>35</v>
      </c>
      <c r="J3668" s="637" t="inlineStr">
        <is>
          <t>MSK_NM_0035</t>
        </is>
      </c>
      <c r="K3668" s="791" t="n">
        <v>1</v>
      </c>
      <c r="L3668" s="791" t="n">
        <v>1</v>
      </c>
      <c r="M3668" s="265" t="inlineStr">
        <is>
          <t>Samsung 32" вертикальный</t>
        </is>
      </c>
      <c r="N3668" s="640" t="n"/>
      <c r="O3668" s="640">
        <f>IF(AND(N3668=1,L3668=1),K3668,"")</f>
        <v/>
      </c>
      <c r="P3668" s="642" t="inlineStr">
        <is>
          <t xml:space="preserve"> г Москва, п Щаповское, п Щапово, ул Садовый квартал, вл 5А, строен 1</t>
        </is>
      </c>
      <c r="Q3668" s="640" t="n">
        <v>55.421848</v>
      </c>
      <c r="R3668" s="494" t="n">
        <v>37.403029</v>
      </c>
      <c r="Z3668" s="1" t="n"/>
    </row>
    <row r="3669" hidden="1">
      <c r="A3669" s="125" t="n">
        <v>4348</v>
      </c>
      <c r="B3669" s="791" t="n"/>
      <c r="C3669" s="125" t="inlineStr">
        <is>
          <t>Москва</t>
        </is>
      </c>
      <c r="D3669" s="125" t="inlineStr">
        <is>
          <t>Москва</t>
        </is>
      </c>
      <c r="E3669" s="791" t="n"/>
      <c r="F3669" s="125" t="inlineStr">
        <is>
          <t>АЗС</t>
        </is>
      </c>
      <c r="G3669" s="87" t="inlineStr">
        <is>
          <t>Нефтьмагистраль</t>
        </is>
      </c>
      <c r="H3669" s="264" t="n">
        <v>1100</v>
      </c>
      <c r="I3669" s="637" t="n">
        <v>36</v>
      </c>
      <c r="J3669" s="637" t="inlineStr">
        <is>
          <t>MSK_NM_0036</t>
        </is>
      </c>
      <c r="K3669" s="791" t="n">
        <v>2</v>
      </c>
      <c r="L3669" s="791" t="n">
        <v>1</v>
      </c>
      <c r="M3669" s="265" t="inlineStr">
        <is>
          <t>Samsung 32" вертикальный</t>
        </is>
      </c>
      <c r="N3669" s="640" t="n"/>
      <c r="O3669" s="640">
        <f>IF(AND(N3669=1,L3669=1),K3669,"")</f>
        <v/>
      </c>
      <c r="P3669" s="642" t="inlineStr">
        <is>
          <t xml:space="preserve"> г Москва, г Троицк, Калужское ш, д21</t>
        </is>
      </c>
      <c r="Q3669" s="640" t="n">
        <v>55.4713</v>
      </c>
      <c r="R3669" s="494" t="n">
        <v>37.309003</v>
      </c>
      <c r="Z3669" s="1" t="n"/>
    </row>
    <row r="3670" hidden="1">
      <c r="A3670" s="125" t="n">
        <v>4349</v>
      </c>
      <c r="B3670" s="791" t="n"/>
      <c r="C3670" s="125" t="inlineStr">
        <is>
          <t>Москва</t>
        </is>
      </c>
      <c r="D3670" s="125" t="inlineStr">
        <is>
          <t>Москва</t>
        </is>
      </c>
      <c r="E3670" s="791" t="n"/>
      <c r="F3670" s="125" t="inlineStr">
        <is>
          <t>АЗС</t>
        </is>
      </c>
      <c r="G3670" s="87" t="inlineStr">
        <is>
          <t>Нефтьмагистраль</t>
        </is>
      </c>
      <c r="H3670" s="264" t="n">
        <v>750</v>
      </c>
      <c r="I3670" s="637" t="n">
        <v>37</v>
      </c>
      <c r="J3670" s="637" t="inlineStr">
        <is>
          <t>MSK_NM_0037</t>
        </is>
      </c>
      <c r="K3670" s="791" t="n">
        <v>1</v>
      </c>
      <c r="L3670" s="791" t="n">
        <v>1</v>
      </c>
      <c r="M3670" s="265" t="inlineStr">
        <is>
          <t>Samsung 32" вертикальный</t>
        </is>
      </c>
      <c r="N3670" s="640" t="n"/>
      <c r="O3670" s="640">
        <f>IF(AND(N3670=1,L3670=1),K3670,"")</f>
        <v/>
      </c>
      <c r="P3670" s="642" t="inlineStr">
        <is>
          <t xml:space="preserve"> г Москва, п Сосенское, в р-не Николо-Хованского кладбища уч570</t>
        </is>
      </c>
      <c r="Q3670" s="640" t="n">
        <v>55.606769</v>
      </c>
      <c r="R3670" s="494" t="n">
        <v>37.45346</v>
      </c>
      <c r="Z3670" s="1" t="n"/>
    </row>
    <row r="3671" hidden="1">
      <c r="A3671" s="125" t="n">
        <v>4350</v>
      </c>
      <c r="B3671" s="791" t="n"/>
      <c r="C3671" s="125" t="inlineStr">
        <is>
          <t>Москва</t>
        </is>
      </c>
      <c r="D3671" s="125" t="inlineStr">
        <is>
          <t>Москва</t>
        </is>
      </c>
      <c r="E3671" s="791" t="n"/>
      <c r="F3671" s="125" t="inlineStr">
        <is>
          <t>АЗС</t>
        </is>
      </c>
      <c r="G3671" s="87" t="inlineStr">
        <is>
          <t>Нефтьмагистраль</t>
        </is>
      </c>
      <c r="H3671" s="264" t="n">
        <v>450</v>
      </c>
      <c r="I3671" s="637" t="n">
        <v>38</v>
      </c>
      <c r="J3671" s="637" t="inlineStr">
        <is>
          <t>MSK_NM_0038</t>
        </is>
      </c>
      <c r="K3671" s="791" t="n">
        <v>1</v>
      </c>
      <c r="L3671" s="791" t="n">
        <v>1</v>
      </c>
      <c r="M3671" s="265" t="inlineStr">
        <is>
          <t>Samsung 32" вертикальный</t>
        </is>
      </c>
      <c r="N3671" s="640" t="n"/>
      <c r="O3671" s="640">
        <f>IF(AND(N3671=1,L3671=1),K3671,"")</f>
        <v/>
      </c>
      <c r="P3671" s="642" t="inlineStr">
        <is>
          <t xml:space="preserve"> г Москва, Костомаровский пер, вл10</t>
        </is>
      </c>
      <c r="Q3671" s="640" t="n">
        <v>55.750489</v>
      </c>
      <c r="R3671" s="494" t="n">
        <v>37.665363</v>
      </c>
      <c r="Z3671" s="1" t="n"/>
    </row>
    <row r="3672" hidden="1">
      <c r="A3672" s="125" t="n">
        <v>4351</v>
      </c>
      <c r="B3672" s="791" t="n"/>
      <c r="C3672" s="125" t="inlineStr">
        <is>
          <t>Москва</t>
        </is>
      </c>
      <c r="D3672" s="125" t="inlineStr">
        <is>
          <t>Московская область</t>
        </is>
      </c>
      <c r="E3672" s="791" t="n"/>
      <c r="F3672" s="125" t="inlineStr">
        <is>
          <t>АЗС</t>
        </is>
      </c>
      <c r="G3672" s="87" t="inlineStr">
        <is>
          <t>Нефтьмагистраль</t>
        </is>
      </c>
      <c r="H3672" s="264" t="n">
        <v>577</v>
      </c>
      <c r="I3672" s="637" t="inlineStr">
        <is>
          <t>О1</t>
        </is>
      </c>
      <c r="J3672" s="637" t="inlineStr">
        <is>
          <t>MSK_NM_O_0001</t>
        </is>
      </c>
      <c r="K3672" s="791" t="n">
        <v>1</v>
      </c>
      <c r="L3672" s="791" t="n">
        <v>1</v>
      </c>
      <c r="M3672" s="265" t="inlineStr">
        <is>
          <t>Samsung 32" вертикальный</t>
        </is>
      </c>
      <c r="N3672" s="640" t="n"/>
      <c r="O3672" s="640">
        <f>IF(AND(N3672=1,L3672=1),K3672,"")</f>
        <v/>
      </c>
      <c r="P3672" s="642" t="inlineStr">
        <is>
          <t xml:space="preserve"> МО, Люберецкий р-он, поселок Жилино-1, 1-й км Быковского шоссе, стр2</t>
        </is>
      </c>
      <c r="Q3672" s="640" t="n">
        <v>55.633302</v>
      </c>
      <c r="R3672" s="494" t="n">
        <v>37.957688</v>
      </c>
      <c r="Z3672" s="1" t="n"/>
    </row>
    <row r="3673" hidden="1">
      <c r="A3673" s="125" t="n">
        <v>4352</v>
      </c>
      <c r="B3673" s="791" t="n"/>
      <c r="C3673" s="125" t="inlineStr">
        <is>
          <t>Москва</t>
        </is>
      </c>
      <c r="D3673" s="130" t="inlineStr">
        <is>
          <t>Московская область</t>
        </is>
      </c>
      <c r="E3673" s="791" t="n"/>
      <c r="F3673" s="125" t="inlineStr">
        <is>
          <t>АЗС</t>
        </is>
      </c>
      <c r="G3673" s="87" t="inlineStr">
        <is>
          <t>Нефтьмагистраль</t>
        </is>
      </c>
      <c r="H3673" s="264" t="n">
        <v>350</v>
      </c>
      <c r="I3673" s="637" t="inlineStr">
        <is>
          <t>О2</t>
        </is>
      </c>
      <c r="J3673" s="637" t="inlineStr">
        <is>
          <t>MSK_NM_O_0002</t>
        </is>
      </c>
      <c r="K3673" s="791" t="n">
        <v>3</v>
      </c>
      <c r="L3673" s="791" t="n">
        <v>1</v>
      </c>
      <c r="M3673" s="265" t="inlineStr">
        <is>
          <t>Samsung 32" вертикальный</t>
        </is>
      </c>
      <c r="N3673" s="640" t="n"/>
      <c r="O3673" s="640">
        <f>IF(AND(N3673=1,L3673=1),K3673,"")</f>
        <v/>
      </c>
      <c r="P3673" s="642" t="inlineStr">
        <is>
          <t>МО, г. Электросталь, ул. Северная, д.3</t>
        </is>
      </c>
      <c r="Q3673" s="640" t="n">
        <v>55.814356</v>
      </c>
      <c r="R3673" s="494" t="n">
        <v>38.434842</v>
      </c>
      <c r="Z3673" s="1" t="n"/>
    </row>
    <row r="3674" hidden="1" ht="20.4" customHeight="1">
      <c r="A3674" s="125" t="n">
        <v>4353</v>
      </c>
      <c r="B3674" s="791" t="n"/>
      <c r="C3674" s="125" t="inlineStr">
        <is>
          <t>Москва</t>
        </is>
      </c>
      <c r="D3674" s="130" t="inlineStr">
        <is>
          <t>Московская область</t>
        </is>
      </c>
      <c r="E3674" s="791" t="n"/>
      <c r="F3674" s="125" t="inlineStr">
        <is>
          <t>АЗС</t>
        </is>
      </c>
      <c r="G3674" s="87" t="inlineStr">
        <is>
          <t>Нефтьмагистраль</t>
        </is>
      </c>
      <c r="H3674" s="264" t="n">
        <v>1000</v>
      </c>
      <c r="I3674" s="637" t="inlineStr">
        <is>
          <t>О3</t>
        </is>
      </c>
      <c r="J3674" s="637" t="inlineStr">
        <is>
          <t>MSK_NM_O_0003</t>
        </is>
      </c>
      <c r="K3674" s="791" t="n">
        <v>1</v>
      </c>
      <c r="L3674" s="791" t="n">
        <v>1</v>
      </c>
      <c r="M3674" s="265" t="inlineStr">
        <is>
          <t>Samsung 32" вертикальный</t>
        </is>
      </c>
      <c r="N3674" s="640" t="n"/>
      <c r="O3674" s="640">
        <f>IF(AND(N3674=1,L3674=1),K3674,"")</f>
        <v/>
      </c>
      <c r="P3674" s="642" t="inlineStr">
        <is>
          <t>МО, Раменский р-он, пос Родники, ул Большая Учительская ( МО, Раменский р-он, пос Родники, ул Большая Учительская 23)</t>
        </is>
      </c>
      <c r="Q3674" s="640" t="n">
        <v>55.651184</v>
      </c>
      <c r="R3674" s="494" t="n">
        <v>38.056346</v>
      </c>
      <c r="Z3674" s="1" t="n"/>
    </row>
    <row r="3675" hidden="1">
      <c r="A3675" s="125" t="n">
        <v>4354</v>
      </c>
      <c r="B3675" s="791" t="n"/>
      <c r="C3675" s="125" t="inlineStr">
        <is>
          <t>Москва</t>
        </is>
      </c>
      <c r="D3675" s="130" t="inlineStr">
        <is>
          <t>Московская область</t>
        </is>
      </c>
      <c r="E3675" s="791" t="n"/>
      <c r="F3675" s="125" t="inlineStr">
        <is>
          <t>АЗС</t>
        </is>
      </c>
      <c r="G3675" s="87" t="inlineStr">
        <is>
          <t>Нефтьмагистраль</t>
        </is>
      </c>
      <c r="H3675" s="264" t="n">
        <v>800</v>
      </c>
      <c r="I3675" s="637" t="inlineStr">
        <is>
          <t>О4</t>
        </is>
      </c>
      <c r="J3675" s="637" t="inlineStr">
        <is>
          <t>MSK_NM_O_0004</t>
        </is>
      </c>
      <c r="K3675" s="791" t="n">
        <v>1</v>
      </c>
      <c r="L3675" s="791" t="n">
        <v>1</v>
      </c>
      <c r="M3675" s="265" t="inlineStr">
        <is>
          <t>Samsung 32" вертикальный</t>
        </is>
      </c>
      <c r="N3675" s="640" t="n"/>
      <c r="O3675" s="640">
        <f>IF(AND(N3675=1,L3675=1),K3675,"")</f>
        <v/>
      </c>
      <c r="P3675" s="642" t="inlineStr">
        <is>
          <t xml:space="preserve"> МО, Пушкинский р-он, д Лепешки, д 1а</t>
        </is>
      </c>
      <c r="Q3675" s="640" t="n">
        <v>56.093905</v>
      </c>
      <c r="R3675" s="494" t="n">
        <v>38.117347</v>
      </c>
      <c r="Z3675" s="1" t="n"/>
    </row>
    <row r="3676" hidden="1">
      <c r="A3676" s="125" t="n">
        <v>4355</v>
      </c>
      <c r="B3676" s="791" t="n"/>
      <c r="C3676" s="125" t="inlineStr">
        <is>
          <t>Москва</t>
        </is>
      </c>
      <c r="D3676" s="130" t="inlineStr">
        <is>
          <t>Московская область</t>
        </is>
      </c>
      <c r="E3676" s="791" t="n"/>
      <c r="F3676" s="125" t="inlineStr">
        <is>
          <t>АЗС</t>
        </is>
      </c>
      <c r="G3676" s="87" t="inlineStr">
        <is>
          <t>Нефтьмагистраль</t>
        </is>
      </c>
      <c r="H3676" s="264" t="n">
        <v>800</v>
      </c>
      <c r="I3676" s="637" t="inlineStr">
        <is>
          <t>О5</t>
        </is>
      </c>
      <c r="J3676" s="637" t="inlineStr">
        <is>
          <t>MSK_NM_O_0005</t>
        </is>
      </c>
      <c r="K3676" s="791" t="n">
        <v>1</v>
      </c>
      <c r="L3676" s="791" t="n">
        <v>1</v>
      </c>
      <c r="M3676" s="265" t="inlineStr">
        <is>
          <t>Samsung 32" вертикальный</t>
        </is>
      </c>
      <c r="N3676" s="640" t="n"/>
      <c r="O3676" s="640">
        <f>IF(AND(N3676=1,L3676=1),K3676,"")</f>
        <v/>
      </c>
      <c r="P3676" s="642" t="inlineStr">
        <is>
          <t xml:space="preserve"> МО, г Коломна, ул Астахова, д 2в</t>
        </is>
      </c>
      <c r="Q3676" s="640" t="n">
        <v>55.070107</v>
      </c>
      <c r="R3676" s="494" t="n">
        <v>38.758693</v>
      </c>
      <c r="Z3676" s="1" t="n"/>
    </row>
    <row r="3677" hidden="1">
      <c r="A3677" s="125" t="n">
        <v>4356</v>
      </c>
      <c r="B3677" s="791" t="n"/>
      <c r="C3677" s="125" t="inlineStr">
        <is>
          <t>Москва</t>
        </is>
      </c>
      <c r="D3677" s="130" t="inlineStr">
        <is>
          <t>Московская область</t>
        </is>
      </c>
      <c r="E3677" s="791" t="n"/>
      <c r="F3677" s="125" t="inlineStr">
        <is>
          <t>АЗС</t>
        </is>
      </c>
      <c r="G3677" s="87" t="inlineStr">
        <is>
          <t>Нефтьмагистраль</t>
        </is>
      </c>
      <c r="H3677" s="264" t="n">
        <v>750</v>
      </c>
      <c r="I3677" s="637" t="inlineStr">
        <is>
          <t>О7</t>
        </is>
      </c>
      <c r="J3677" s="637" t="inlineStr">
        <is>
          <t>MSK_NM_O_0007</t>
        </is>
      </c>
      <c r="K3677" s="791" t="n">
        <v>1</v>
      </c>
      <c r="L3677" s="791" t="n">
        <v>1</v>
      </c>
      <c r="M3677" s="265" t="inlineStr">
        <is>
          <t>Samsung 32" вертикальный</t>
        </is>
      </c>
      <c r="N3677" s="640" t="n"/>
      <c r="O3677" s="640">
        <f>IF(AND(N3677=1,L3677=1),K3677,"")</f>
        <v/>
      </c>
      <c r="P3677" s="642" t="inlineStr">
        <is>
          <t xml:space="preserve"> МО, Одинцовский р-он, г Кубинка, Минское шоссе, стр 81-а</t>
        </is>
      </c>
      <c r="Q3677" s="640" t="n">
        <v>55.560381</v>
      </c>
      <c r="R3677" s="494" t="n">
        <v>36.606386</v>
      </c>
      <c r="Z3677" s="1" t="n"/>
    </row>
    <row r="3678" hidden="1">
      <c r="A3678" s="125" t="n">
        <v>4357</v>
      </c>
      <c r="B3678" s="791" t="n"/>
      <c r="C3678" s="125" t="inlineStr">
        <is>
          <t>Москва</t>
        </is>
      </c>
      <c r="D3678" s="130" t="inlineStr">
        <is>
          <t>Московская область</t>
        </is>
      </c>
      <c r="E3678" s="791" t="n"/>
      <c r="F3678" s="125" t="inlineStr">
        <is>
          <t>АЗС</t>
        </is>
      </c>
      <c r="G3678" s="87" t="inlineStr">
        <is>
          <t>Нефтьмагистраль</t>
        </is>
      </c>
      <c r="H3678" s="264" t="n">
        <v>850</v>
      </c>
      <c r="I3678" s="637" t="inlineStr">
        <is>
          <t>О8</t>
        </is>
      </c>
      <c r="J3678" s="637" t="inlineStr">
        <is>
          <t>MSK_NM_O_0008</t>
        </is>
      </c>
      <c r="K3678" s="791" t="n">
        <v>1</v>
      </c>
      <c r="L3678" s="791" t="n">
        <v>1</v>
      </c>
      <c r="M3678" s="265" t="inlineStr">
        <is>
          <t>Samsung 32" вертикальный</t>
        </is>
      </c>
      <c r="N3678" s="640" t="n"/>
      <c r="O3678" s="640">
        <f>IF(AND(N3678=1,L3678=1),K3678,"")</f>
        <v/>
      </c>
      <c r="P3678" s="642" t="inlineStr">
        <is>
          <t xml:space="preserve"> МО, Солнечногорский р-он, сп Луневское, д Черная Грязь, стр 2а</t>
        </is>
      </c>
      <c r="Q3678" s="640" t="n">
        <v>55.975238</v>
      </c>
      <c r="R3678" s="494" t="n">
        <v>37.310279</v>
      </c>
      <c r="Z3678" s="1" t="n"/>
    </row>
    <row r="3679" hidden="1" ht="20.4" customHeight="1">
      <c r="A3679" s="125" t="n">
        <v>4358</v>
      </c>
      <c r="B3679" s="791" t="n"/>
      <c r="C3679" s="125" t="inlineStr">
        <is>
          <t>Москва</t>
        </is>
      </c>
      <c r="D3679" s="130" t="inlineStr">
        <is>
          <t>Московская область</t>
        </is>
      </c>
      <c r="E3679" s="791" t="n"/>
      <c r="F3679" s="125" t="inlineStr">
        <is>
          <t>АЗС</t>
        </is>
      </c>
      <c r="G3679" s="87" t="inlineStr">
        <is>
          <t>Нефтьмагистраль</t>
        </is>
      </c>
      <c r="H3679" s="264" t="n">
        <v>620</v>
      </c>
      <c r="I3679" s="637" t="inlineStr">
        <is>
          <t>О9</t>
        </is>
      </c>
      <c r="J3679" s="637" t="inlineStr">
        <is>
          <t>MSK_NM_O_0009</t>
        </is>
      </c>
      <c r="K3679" s="791" t="n">
        <v>1</v>
      </c>
      <c r="L3679" s="791" t="n">
        <v>1</v>
      </c>
      <c r="M3679" s="265" t="inlineStr">
        <is>
          <t>Samsung 32" вертикальный</t>
        </is>
      </c>
      <c r="N3679" s="640" t="n"/>
      <c r="O3679" s="640">
        <f>IF(AND(N3679=1,L3679=1),K3679,"")</f>
        <v/>
      </c>
      <c r="P3679" s="642" t="inlineStr">
        <is>
          <t xml:space="preserve"> МО, Солнечногорский р-он, сп Луневское, д Черная Грязь ( МО, Солнечногорский р-он, сп Луневское, д Черная Грязь 2А)</t>
        </is>
      </c>
      <c r="Q3679" s="640" t="n">
        <v>55.97256</v>
      </c>
      <c r="R3679" s="494" t="n">
        <v>37.311127</v>
      </c>
      <c r="Z3679" s="1" t="n"/>
    </row>
    <row r="3680" hidden="1">
      <c r="A3680" s="125" t="n">
        <v>4359</v>
      </c>
      <c r="B3680" s="791" t="n"/>
      <c r="C3680" s="125" t="inlineStr">
        <is>
          <t>Москва</t>
        </is>
      </c>
      <c r="D3680" s="130" t="inlineStr">
        <is>
          <t>Московская область</t>
        </is>
      </c>
      <c r="E3680" s="791" t="n"/>
      <c r="F3680" s="125" t="inlineStr">
        <is>
          <t>АЗС</t>
        </is>
      </c>
      <c r="G3680" s="87" t="inlineStr">
        <is>
          <t>Нефтьмагистраль</t>
        </is>
      </c>
      <c r="H3680" s="264" t="n">
        <v>900</v>
      </c>
      <c r="I3680" s="637" t="inlineStr">
        <is>
          <t>О10</t>
        </is>
      </c>
      <c r="J3680" s="637" t="inlineStr">
        <is>
          <t>MSK_NM_O_0010</t>
        </is>
      </c>
      <c r="K3680" s="791" t="n">
        <v>1</v>
      </c>
      <c r="L3680" s="791" t="n">
        <v>1</v>
      </c>
      <c r="M3680" s="265" t="inlineStr">
        <is>
          <t>Samsung 32" вертикальный</t>
        </is>
      </c>
      <c r="N3680" s="640" t="n"/>
      <c r="O3680" s="640">
        <f>IF(AND(N3680=1,L3680=1),K3680,"")</f>
        <v/>
      </c>
      <c r="P3680" s="642" t="inlineStr">
        <is>
          <t xml:space="preserve"> МО, г Химки, мкр-н Сходня, ул Железнодорожная, д11</t>
        </is>
      </c>
      <c r="Q3680" s="640" t="n">
        <v>55.94931</v>
      </c>
      <c r="R3680" s="494" t="n">
        <v>37.309299</v>
      </c>
      <c r="Z3680" s="1" t="n"/>
    </row>
    <row r="3681" hidden="1">
      <c r="A3681" s="125" t="n">
        <v>4360</v>
      </c>
      <c r="B3681" s="791" t="n"/>
      <c r="C3681" s="125" t="inlineStr">
        <is>
          <t>Москва</t>
        </is>
      </c>
      <c r="D3681" s="130" t="inlineStr">
        <is>
          <t>Московская область</t>
        </is>
      </c>
      <c r="E3681" s="791" t="n"/>
      <c r="F3681" s="125" t="inlineStr">
        <is>
          <t>АЗС</t>
        </is>
      </c>
      <c r="G3681" s="87" t="inlineStr">
        <is>
          <t>Нефтьмагистраль</t>
        </is>
      </c>
      <c r="H3681" s="264" t="n">
        <v>870</v>
      </c>
      <c r="I3681" s="637" t="inlineStr">
        <is>
          <t>О11</t>
        </is>
      </c>
      <c r="J3681" s="637" t="inlineStr">
        <is>
          <t>MSK_NM_O_0011</t>
        </is>
      </c>
      <c r="K3681" s="791" t="n">
        <v>1</v>
      </c>
      <c r="L3681" s="791" t="n">
        <v>1</v>
      </c>
      <c r="M3681" s="265" t="inlineStr">
        <is>
          <t>Samsung 32" вертикальный</t>
        </is>
      </c>
      <c r="N3681" s="640" t="n"/>
      <c r="O3681" s="640">
        <f>IF(AND(N3681=1,L3681=1),K3681,"")</f>
        <v/>
      </c>
      <c r="P3681" s="642" t="inlineStr">
        <is>
          <t xml:space="preserve"> МО, Одинцовский р-он, г Голицыно, 46-й км Федеральной автодороги М-1 Беларусь, вл1</t>
        </is>
      </c>
      <c r="Q3681" s="640" t="n">
        <v>55.601766</v>
      </c>
      <c r="R3681" s="494" t="n">
        <v>36.986695</v>
      </c>
      <c r="Z3681" s="1" t="n"/>
    </row>
    <row r="3682" hidden="1">
      <c r="A3682" s="125" t="n">
        <v>4361</v>
      </c>
      <c r="B3682" s="791" t="n"/>
      <c r="C3682" s="125" t="inlineStr">
        <is>
          <t>Москва</t>
        </is>
      </c>
      <c r="D3682" s="130" t="inlineStr">
        <is>
          <t>Московская область</t>
        </is>
      </c>
      <c r="E3682" s="791" t="n"/>
      <c r="F3682" s="125" t="inlineStr">
        <is>
          <t>АЗС</t>
        </is>
      </c>
      <c r="G3682" s="87" t="inlineStr">
        <is>
          <t>Нефтьмагистраль</t>
        </is>
      </c>
      <c r="H3682" s="264" t="n">
        <v>820</v>
      </c>
      <c r="I3682" s="637" t="inlineStr">
        <is>
          <t>О12</t>
        </is>
      </c>
      <c r="J3682" s="637" t="inlineStr">
        <is>
          <t>MSK_NM_O_0012</t>
        </is>
      </c>
      <c r="K3682" s="791" t="n">
        <v>1</v>
      </c>
      <c r="L3682" s="791" t="n">
        <v>1</v>
      </c>
      <c r="M3682" s="265" t="inlineStr">
        <is>
          <t>Samsung 32" вертикальный</t>
        </is>
      </c>
      <c r="N3682" s="640" t="n"/>
      <c r="O3682" s="640">
        <f>IF(AND(N3682=1,L3682=1),K3682,"")</f>
        <v/>
      </c>
      <c r="P3682" s="642" t="inlineStr">
        <is>
          <t xml:space="preserve"> МО, Солнечногорский р-он, сп Кутузовское, д Юрлово (13-й км Пятницкого шоссе)</t>
        </is>
      </c>
      <c r="Q3682" s="640" t="n">
        <v>55.905582</v>
      </c>
      <c r="R3682" s="494" t="n">
        <v>37.254655</v>
      </c>
      <c r="Z3682" s="1" t="n"/>
    </row>
    <row r="3683" hidden="1" ht="20.4" customHeight="1">
      <c r="A3683" s="125" t="n">
        <v>4362</v>
      </c>
      <c r="B3683" s="791" t="n"/>
      <c r="C3683" s="125" t="inlineStr">
        <is>
          <t>Москва</t>
        </is>
      </c>
      <c r="D3683" s="130" t="inlineStr">
        <is>
          <t>Московская область</t>
        </is>
      </c>
      <c r="E3683" s="791" t="n"/>
      <c r="F3683" s="125" t="inlineStr">
        <is>
          <t>АЗС</t>
        </is>
      </c>
      <c r="G3683" s="87" t="inlineStr">
        <is>
          <t>Нефтьмагистраль</t>
        </is>
      </c>
      <c r="H3683" s="264" t="n">
        <v>1350</v>
      </c>
      <c r="I3683" s="637" t="inlineStr">
        <is>
          <t>О13</t>
        </is>
      </c>
      <c r="J3683" s="637" t="inlineStr">
        <is>
          <t>MSK_NM_O_0013</t>
        </is>
      </c>
      <c r="K3683" s="791" t="n">
        <v>1</v>
      </c>
      <c r="L3683" s="791" t="n">
        <v>1</v>
      </c>
      <c r="M3683" s="265" t="inlineStr">
        <is>
          <t>Samsung 32" вертикальный</t>
        </is>
      </c>
      <c r="N3683" s="640" t="n"/>
      <c r="O3683" s="640">
        <f>IF(AND(N3683=1,L3683=1),K3683,"")</f>
        <v/>
      </c>
      <c r="P3683" s="642" t="inlineStr">
        <is>
          <t xml:space="preserve"> МО, Одинцовский р-он, в районе д Солманово, 32 км автодороги Москва-Минск (левая сторона), стр1</t>
        </is>
      </c>
      <c r="Q3683" s="640" t="n">
        <v>55.625638</v>
      </c>
      <c r="R3683" s="494" t="n">
        <v>37.19452</v>
      </c>
      <c r="Z3683" s="1" t="n"/>
    </row>
    <row r="3684" hidden="1">
      <c r="A3684" s="125" t="n">
        <v>4363</v>
      </c>
      <c r="B3684" s="791" t="n"/>
      <c r="C3684" s="125" t="inlineStr">
        <is>
          <t>Москва</t>
        </is>
      </c>
      <c r="D3684" s="130" t="inlineStr">
        <is>
          <t>Московская область</t>
        </is>
      </c>
      <c r="E3684" s="791" t="n"/>
      <c r="F3684" s="125" t="inlineStr">
        <is>
          <t>АЗС</t>
        </is>
      </c>
      <c r="G3684" s="87" t="inlineStr">
        <is>
          <t>Нефтьмагистраль</t>
        </is>
      </c>
      <c r="H3684" s="264" t="n">
        <v>650</v>
      </c>
      <c r="I3684" s="637" t="inlineStr">
        <is>
          <t>О14</t>
        </is>
      </c>
      <c r="J3684" s="637" t="inlineStr">
        <is>
          <t>MSK_NM_O_0014</t>
        </is>
      </c>
      <c r="K3684" s="791" t="n">
        <v>1</v>
      </c>
      <c r="L3684" s="791" t="n">
        <v>1</v>
      </c>
      <c r="M3684" s="265" t="inlineStr">
        <is>
          <t>Samsung 32" вертикальный</t>
        </is>
      </c>
      <c r="N3684" s="640" t="n"/>
      <c r="O3684" s="640">
        <f>IF(AND(N3684=1,L3684=1),K3684,"")</f>
        <v/>
      </c>
      <c r="P3684" s="642" t="inlineStr">
        <is>
          <t xml:space="preserve"> МО, Дмитровский р-он, д Дубровки, стр300</t>
        </is>
      </c>
      <c r="Q3684" s="640" t="n">
        <v>56.198979</v>
      </c>
      <c r="R3684" s="494" t="n">
        <v>37.560587</v>
      </c>
      <c r="Z3684" s="1" t="n"/>
    </row>
    <row r="3685" hidden="1">
      <c r="A3685" s="125" t="n">
        <v>4364</v>
      </c>
      <c r="B3685" s="791" t="n"/>
      <c r="C3685" s="125" t="inlineStr">
        <is>
          <t>Москва</t>
        </is>
      </c>
      <c r="D3685" s="130" t="inlineStr">
        <is>
          <t>Московская область</t>
        </is>
      </c>
      <c r="E3685" s="791" t="n"/>
      <c r="F3685" s="125" t="inlineStr">
        <is>
          <t>АЗС</t>
        </is>
      </c>
      <c r="G3685" s="87" t="inlineStr">
        <is>
          <t>Нефтьмагистраль</t>
        </is>
      </c>
      <c r="H3685" s="264" t="n">
        <v>800</v>
      </c>
      <c r="I3685" s="637" t="inlineStr">
        <is>
          <t>О15</t>
        </is>
      </c>
      <c r="J3685" s="637" t="inlineStr">
        <is>
          <t>MSK_NM_O_0015</t>
        </is>
      </c>
      <c r="K3685" s="791" t="n">
        <v>1</v>
      </c>
      <c r="L3685" s="791" t="n">
        <v>1</v>
      </c>
      <c r="M3685" s="265" t="inlineStr">
        <is>
          <t>Samsung 32" вертикальный</t>
        </is>
      </c>
      <c r="N3685" s="640" t="n"/>
      <c r="O3685" s="640">
        <f>IF(AND(N3685=1,L3685=1),K3685,"")</f>
        <v/>
      </c>
      <c r="P3685" s="642" t="inlineStr">
        <is>
          <t xml:space="preserve"> МО, Дмитровский р-он, д Дубровки, стр301</t>
        </is>
      </c>
      <c r="Q3685" s="640" t="n">
        <v>56.198415</v>
      </c>
      <c r="R3685" s="494" t="n">
        <v>37.558591</v>
      </c>
      <c r="Z3685" s="1" t="n"/>
    </row>
    <row r="3686" hidden="1">
      <c r="A3686" s="125" t="n">
        <v>4365</v>
      </c>
      <c r="B3686" s="791" t="n"/>
      <c r="C3686" s="125" t="inlineStr">
        <is>
          <t>Москва</t>
        </is>
      </c>
      <c r="D3686" s="130" t="inlineStr">
        <is>
          <t>Московская область</t>
        </is>
      </c>
      <c r="E3686" s="791" t="n"/>
      <c r="F3686" s="125" t="inlineStr">
        <is>
          <t>АЗС</t>
        </is>
      </c>
      <c r="G3686" s="87" t="inlineStr">
        <is>
          <t>Нефтьмагистраль</t>
        </is>
      </c>
      <c r="H3686" s="264" t="n">
        <v>800</v>
      </c>
      <c r="I3686" s="637" t="inlineStr">
        <is>
          <t>О16</t>
        </is>
      </c>
      <c r="J3686" s="637" t="inlineStr">
        <is>
          <t>MSK_NM_O_0016</t>
        </is>
      </c>
      <c r="K3686" s="791" t="n">
        <v>1</v>
      </c>
      <c r="L3686" s="791" t="n">
        <v>1</v>
      </c>
      <c r="M3686" s="265" t="inlineStr">
        <is>
          <t>Samsung 32" вертикальный</t>
        </is>
      </c>
      <c r="N3686" s="640" t="n"/>
      <c r="O3686" s="640">
        <f>IF(AND(N3686=1,L3686=1),K3686,"")</f>
        <v/>
      </c>
      <c r="P3686" s="642" t="inlineStr">
        <is>
          <t xml:space="preserve"> МО, г Подольск, Домодедовское шоссе, д20а</t>
        </is>
      </c>
      <c r="Q3686" s="640" t="n">
        <v>55.434762</v>
      </c>
      <c r="R3686" s="494" t="n">
        <v>37.594346</v>
      </c>
      <c r="Z3686" s="1" t="n"/>
    </row>
    <row r="3687" hidden="1">
      <c r="A3687" s="125" t="n">
        <v>4366</v>
      </c>
      <c r="B3687" s="791" t="n"/>
      <c r="C3687" s="125" t="inlineStr">
        <is>
          <t>Москва</t>
        </is>
      </c>
      <c r="D3687" s="130" t="inlineStr">
        <is>
          <t>Московская область</t>
        </is>
      </c>
      <c r="E3687" s="791" t="n"/>
      <c r="F3687" s="125" t="inlineStr">
        <is>
          <t>АЗС</t>
        </is>
      </c>
      <c r="G3687" s="87" t="inlineStr">
        <is>
          <t>Нефтьмагистраль</t>
        </is>
      </c>
      <c r="H3687" s="264" t="n">
        <v>1200</v>
      </c>
      <c r="I3687" s="637" t="inlineStr">
        <is>
          <t>О18</t>
        </is>
      </c>
      <c r="J3687" s="637" t="inlineStr">
        <is>
          <t>MSK_NM_O_0018</t>
        </is>
      </c>
      <c r="K3687" s="791" t="n">
        <v>1</v>
      </c>
      <c r="L3687" s="791" t="n">
        <v>1</v>
      </c>
      <c r="M3687" s="265" t="inlineStr">
        <is>
          <t>Samsung 32" вертикальный</t>
        </is>
      </c>
      <c r="N3687" s="640" t="n"/>
      <c r="O3687" s="640">
        <f>IF(AND(N3687=1,L3687=1),K3687,"")</f>
        <v/>
      </c>
      <c r="P3687" s="642" t="inlineStr">
        <is>
          <t xml:space="preserve"> МО, г Подольск, проспект Юных Ленинцев, д 1в</t>
        </is>
      </c>
      <c r="Q3687" s="640" t="n">
        <v>55.466121</v>
      </c>
      <c r="R3687" s="494" t="n">
        <v>37.559927</v>
      </c>
      <c r="Z3687" s="1" t="n"/>
    </row>
    <row r="3688" hidden="1">
      <c r="A3688" s="125" t="n">
        <v>4367</v>
      </c>
      <c r="B3688" s="791" t="n"/>
      <c r="C3688" s="125" t="inlineStr">
        <is>
          <t>Москва</t>
        </is>
      </c>
      <c r="D3688" s="130" t="inlineStr">
        <is>
          <t>Московская область</t>
        </is>
      </c>
      <c r="E3688" s="791" t="n"/>
      <c r="F3688" s="125" t="inlineStr">
        <is>
          <t>АЗС</t>
        </is>
      </c>
      <c r="G3688" s="87" t="inlineStr">
        <is>
          <t>Нефтьмагистраль</t>
        </is>
      </c>
      <c r="H3688" s="264" t="n">
        <v>800</v>
      </c>
      <c r="I3688" s="637" t="inlineStr">
        <is>
          <t>О19</t>
        </is>
      </c>
      <c r="J3688" s="637" t="inlineStr">
        <is>
          <t>MSK_NM_O_0019</t>
        </is>
      </c>
      <c r="K3688" s="791" t="n">
        <v>1</v>
      </c>
      <c r="L3688" s="791" t="n">
        <v>1</v>
      </c>
      <c r="M3688" s="265" t="inlineStr">
        <is>
          <t>Samsung 32" вертикальный</t>
        </is>
      </c>
      <c r="N3688" s="640" t="n"/>
      <c r="O3688" s="640">
        <f>IF(AND(N3688=1,L3688=1),K3688,"")</f>
        <v/>
      </c>
      <c r="P3688" s="642" t="inlineStr">
        <is>
          <t xml:space="preserve"> МО, Подольский р-он, Сынковский со, вблизи д Новоселки, 5 км 2-го бетонного кольца</t>
        </is>
      </c>
      <c r="Q3688" s="640" t="n">
        <v>55.330747</v>
      </c>
      <c r="R3688" s="494" t="n">
        <v>37.612455</v>
      </c>
      <c r="Z3688" s="1" t="n"/>
    </row>
    <row r="3689" hidden="1">
      <c r="A3689" s="125" t="n">
        <v>4368</v>
      </c>
      <c r="B3689" s="791" t="n"/>
      <c r="C3689" s="125" t="inlineStr">
        <is>
          <t>Москва</t>
        </is>
      </c>
      <c r="D3689" s="130" t="inlineStr">
        <is>
          <t>Московская область</t>
        </is>
      </c>
      <c r="E3689" s="791" t="n"/>
      <c r="F3689" s="125" t="inlineStr">
        <is>
          <t>АЗС</t>
        </is>
      </c>
      <c r="G3689" s="87" t="inlineStr">
        <is>
          <t>Нефтьмагистраль</t>
        </is>
      </c>
      <c r="H3689" s="264" t="n">
        <v>2100</v>
      </c>
      <c r="I3689" s="637" t="inlineStr">
        <is>
          <t>О20</t>
        </is>
      </c>
      <c r="J3689" s="637" t="inlineStr">
        <is>
          <t>MSK_NM_O_0020</t>
        </is>
      </c>
      <c r="K3689" s="791" t="n">
        <v>3</v>
      </c>
      <c r="L3689" s="791" t="n">
        <v>1</v>
      </c>
      <c r="M3689" s="265" t="inlineStr">
        <is>
          <t>Samsung 32" вертикальный</t>
        </is>
      </c>
      <c r="N3689" s="640" t="n"/>
      <c r="O3689" s="640">
        <f>IF(AND(N3689=1,L3689=1),K3689,"")</f>
        <v/>
      </c>
      <c r="P3689" s="642" t="inlineStr">
        <is>
          <t xml:space="preserve"> МО, г Долгопрудный, Старо-Дмитровское шоссе, д8</t>
        </is>
      </c>
      <c r="Q3689" s="640" t="n">
        <v>55.96045</v>
      </c>
      <c r="R3689" s="494" t="n">
        <v>37.532074</v>
      </c>
      <c r="Z3689" s="1" t="n"/>
    </row>
    <row r="3690" hidden="1">
      <c r="A3690" s="125" t="n">
        <v>4369</v>
      </c>
      <c r="B3690" s="791" t="n"/>
      <c r="C3690" s="125" t="inlineStr">
        <is>
          <t>Москва</t>
        </is>
      </c>
      <c r="D3690" s="130" t="inlineStr">
        <is>
          <t>Московская область</t>
        </is>
      </c>
      <c r="E3690" s="791" t="n"/>
      <c r="F3690" s="125" t="inlineStr">
        <is>
          <t>АЗС</t>
        </is>
      </c>
      <c r="G3690" s="87" t="inlineStr">
        <is>
          <t>Нефтьмагистраль</t>
        </is>
      </c>
      <c r="H3690" s="264" t="n">
        <v>1000</v>
      </c>
      <c r="I3690" s="637" t="inlineStr">
        <is>
          <t>О21</t>
        </is>
      </c>
      <c r="J3690" s="637" t="inlineStr">
        <is>
          <t>MSK_NM_O_0021</t>
        </is>
      </c>
      <c r="K3690" s="791" t="n">
        <v>1</v>
      </c>
      <c r="L3690" s="791" t="n">
        <v>1</v>
      </c>
      <c r="M3690" s="265" t="inlineStr">
        <is>
          <t>Samsung 32" вертикальный</t>
        </is>
      </c>
      <c r="N3690" s="640" t="n"/>
      <c r="O3690" s="640">
        <f>IF(AND(N3690=1,L3690=1),K3690,"")</f>
        <v/>
      </c>
      <c r="P3690" s="642" t="inlineStr">
        <is>
          <t xml:space="preserve"> МО, Подольский р-он, п Львовский, ул Московская, д3</t>
        </is>
      </c>
      <c r="Q3690" s="640" t="n">
        <v>55.316515</v>
      </c>
      <c r="R3690" s="494" t="n">
        <v>37.529159</v>
      </c>
      <c r="Z3690" s="1" t="n"/>
    </row>
    <row r="3691" hidden="1">
      <c r="A3691" s="125" t="n">
        <v>4370</v>
      </c>
      <c r="B3691" s="791" t="n"/>
      <c r="C3691" s="125" t="inlineStr">
        <is>
          <t>Москва</t>
        </is>
      </c>
      <c r="D3691" s="130" t="inlineStr">
        <is>
          <t>Московская область</t>
        </is>
      </c>
      <c r="E3691" s="791" t="n"/>
      <c r="F3691" s="125" t="inlineStr">
        <is>
          <t>АЗС</t>
        </is>
      </c>
      <c r="G3691" s="87" t="inlineStr">
        <is>
          <t>Нефтьмагистраль</t>
        </is>
      </c>
      <c r="H3691" s="264" t="n">
        <v>650</v>
      </c>
      <c r="I3691" s="637" t="inlineStr">
        <is>
          <t>О22</t>
        </is>
      </c>
      <c r="J3691" s="637" t="inlineStr">
        <is>
          <t>MSK_NM_O_0022</t>
        </is>
      </c>
      <c r="K3691" s="791" t="n">
        <v>1</v>
      </c>
      <c r="L3691" s="791" t="n">
        <v>1</v>
      </c>
      <c r="M3691" s="265" t="inlineStr">
        <is>
          <t>Samsung 32" вертикальный</t>
        </is>
      </c>
      <c r="N3691" s="640" t="n"/>
      <c r="O3691" s="640">
        <f>IF(AND(N3691=1,L3691=1),K3691,"")</f>
        <v/>
      </c>
      <c r="P3691" s="642" t="inlineStr">
        <is>
          <t xml:space="preserve"> МО, г Котельники, Дзержинское шоссе, д28</t>
        </is>
      </c>
      <c r="Q3691" s="640" t="n">
        <v>55.662683</v>
      </c>
      <c r="R3691" s="494" t="n">
        <v>37.875331</v>
      </c>
      <c r="Z3691" s="1" t="n"/>
    </row>
    <row r="3692" hidden="1">
      <c r="A3692" s="125" t="n">
        <v>4371</v>
      </c>
      <c r="B3692" s="791" t="n"/>
      <c r="C3692" s="125" t="inlineStr">
        <is>
          <t>Москва</t>
        </is>
      </c>
      <c r="D3692" s="130" t="inlineStr">
        <is>
          <t>Московская область</t>
        </is>
      </c>
      <c r="E3692" s="791" t="n"/>
      <c r="F3692" s="125" t="inlineStr">
        <is>
          <t>АЗС</t>
        </is>
      </c>
      <c r="G3692" s="87" t="inlineStr">
        <is>
          <t>Нефтьмагистраль</t>
        </is>
      </c>
      <c r="H3692" s="264" t="n">
        <v>1100</v>
      </c>
      <c r="I3692" s="637" t="inlineStr">
        <is>
          <t>О23</t>
        </is>
      </c>
      <c r="J3692" s="637" t="inlineStr">
        <is>
          <t>MSK_NM_O_0023</t>
        </is>
      </c>
      <c r="K3692" s="791" t="n">
        <v>1</v>
      </c>
      <c r="L3692" s="791" t="n">
        <v>1</v>
      </c>
      <c r="M3692" s="265" t="inlineStr">
        <is>
          <t>Samsung 32" вертикальный</t>
        </is>
      </c>
      <c r="N3692" s="640" t="n"/>
      <c r="O3692" s="640">
        <f>IF(AND(N3692=1,L3692=1),K3692,"")</f>
        <v/>
      </c>
      <c r="P3692" s="642" t="inlineStr">
        <is>
          <t xml:space="preserve"> МО, г Котельники, 19-й км Новорязанского шоссе, стр2</t>
        </is>
      </c>
      <c r="Q3692" s="640" t="n">
        <v>55.676312</v>
      </c>
      <c r="R3692" s="494" t="n">
        <v>37.853976</v>
      </c>
      <c r="Z3692" s="1" t="n"/>
    </row>
    <row r="3693" hidden="1">
      <c r="A3693" s="125" t="n">
        <v>4372</v>
      </c>
      <c r="B3693" s="791" t="n"/>
      <c r="C3693" s="125" t="inlineStr">
        <is>
          <t>Москва</t>
        </is>
      </c>
      <c r="D3693" s="130" t="inlineStr">
        <is>
          <t>Московская область</t>
        </is>
      </c>
      <c r="E3693" s="791" t="n"/>
      <c r="F3693" s="125" t="inlineStr">
        <is>
          <t>АЗС</t>
        </is>
      </c>
      <c r="G3693" s="87" t="inlineStr">
        <is>
          <t>Нефтьмагистраль</t>
        </is>
      </c>
      <c r="H3693" s="264" t="n">
        <v>1200</v>
      </c>
      <c r="I3693" s="637" t="inlineStr">
        <is>
          <t>О24</t>
        </is>
      </c>
      <c r="J3693" s="637" t="inlineStr">
        <is>
          <t>MSK_NM_O_0024</t>
        </is>
      </c>
      <c r="K3693" s="791" t="n">
        <v>2</v>
      </c>
      <c r="L3693" s="791" t="n">
        <v>1</v>
      </c>
      <c r="M3693" s="265" t="inlineStr">
        <is>
          <t>Samsung 32" вертикальный</t>
        </is>
      </c>
      <c r="N3693" s="640" t="n"/>
      <c r="O3693" s="640">
        <f>IF(AND(N3693=1,L3693=1),K3693,"")</f>
        <v/>
      </c>
      <c r="P3693" s="642" t="inlineStr">
        <is>
          <t xml:space="preserve"> МО, го Подольск, автодорога М-2 Крым, 30-й километр, дом 2, строение 1</t>
        </is>
      </c>
      <c r="Q3693" s="640" t="n">
        <v>55.492391</v>
      </c>
      <c r="R3693" s="494" t="n">
        <v>37.612456</v>
      </c>
      <c r="Z3693" s="1" t="n"/>
    </row>
    <row r="3694" hidden="1">
      <c r="A3694" s="125" t="n">
        <v>4373</v>
      </c>
      <c r="B3694" s="791" t="n"/>
      <c r="C3694" s="125" t="inlineStr">
        <is>
          <t>Москва</t>
        </is>
      </c>
      <c r="D3694" s="130" t="inlineStr">
        <is>
          <t>Московская область</t>
        </is>
      </c>
      <c r="E3694" s="791" t="n"/>
      <c r="F3694" s="125" t="inlineStr">
        <is>
          <t>АЗС</t>
        </is>
      </c>
      <c r="G3694" s="87" t="inlineStr">
        <is>
          <t>Нефтьмагистраль</t>
        </is>
      </c>
      <c r="H3694" s="264" t="n">
        <v>2000</v>
      </c>
      <c r="I3694" s="637" t="inlineStr">
        <is>
          <t>О25</t>
        </is>
      </c>
      <c r="J3694" s="637" t="inlineStr">
        <is>
          <t>MSK_NM_O_0025</t>
        </is>
      </c>
      <c r="K3694" s="791" t="n">
        <v>2</v>
      </c>
      <c r="L3694" s="791" t="n">
        <v>1</v>
      </c>
      <c r="M3694" s="265" t="inlineStr">
        <is>
          <t>Samsung 32" вертикальный</t>
        </is>
      </c>
      <c r="N3694" s="640" t="n"/>
      <c r="O3694" s="640">
        <f>IF(AND(N3694=1,L3694=1),K3694,"")</f>
        <v/>
      </c>
      <c r="P3694" s="642" t="inlineStr">
        <is>
          <t xml:space="preserve"> МО, г Домодедово, мкр-н Востряково, ул Заборье, д 1г</t>
        </is>
      </c>
      <c r="Q3694" s="640" t="n">
        <v>55.368358</v>
      </c>
      <c r="R3694" s="494" t="n">
        <v>37.784433</v>
      </c>
      <c r="Z3694" s="1" t="n"/>
    </row>
    <row r="3695" hidden="1">
      <c r="A3695" s="125" t="n">
        <v>4374</v>
      </c>
      <c r="B3695" s="791" t="n"/>
      <c r="C3695" s="125" t="inlineStr">
        <is>
          <t>Москва</t>
        </is>
      </c>
      <c r="D3695" s="130" t="inlineStr">
        <is>
          <t>Московская область</t>
        </is>
      </c>
      <c r="E3695" s="791" t="n"/>
      <c r="F3695" s="125" t="inlineStr">
        <is>
          <t>АЗС</t>
        </is>
      </c>
      <c r="G3695" s="87" t="inlineStr">
        <is>
          <t>Нефтьмагистраль</t>
        </is>
      </c>
      <c r="H3695" s="264" t="n">
        <v>1300</v>
      </c>
      <c r="I3695" s="637" t="inlineStr">
        <is>
          <t>О26</t>
        </is>
      </c>
      <c r="J3695" s="637" t="inlineStr">
        <is>
          <t>MSK_NM_O_0026</t>
        </is>
      </c>
      <c r="K3695" s="791" t="n">
        <v>2</v>
      </c>
      <c r="L3695" s="791" t="n">
        <v>1</v>
      </c>
      <c r="M3695" s="265" t="inlineStr">
        <is>
          <t>Samsung 32" вертикальный</t>
        </is>
      </c>
      <c r="N3695" s="640" t="n"/>
      <c r="O3695" s="640">
        <f>IF(AND(N3695=1,L3695=1),K3695,"")</f>
        <v/>
      </c>
      <c r="P3695" s="642" t="inlineStr">
        <is>
          <t xml:space="preserve"> МО, г Мытищи, ул Силикатная, д10 А</t>
        </is>
      </c>
      <c r="Q3695" s="640" t="n">
        <v>55.925516</v>
      </c>
      <c r="R3695" s="494" t="n">
        <v>37.772898</v>
      </c>
      <c r="Z3695" s="1" t="n"/>
    </row>
    <row r="3696" hidden="1">
      <c r="A3696" s="125" t="n">
        <v>4375</v>
      </c>
      <c r="B3696" s="791" t="n"/>
      <c r="C3696" s="125" t="inlineStr">
        <is>
          <t>Москва</t>
        </is>
      </c>
      <c r="D3696" s="130" t="inlineStr">
        <is>
          <t>Московская область</t>
        </is>
      </c>
      <c r="E3696" s="791" t="n"/>
      <c r="F3696" s="125" t="inlineStr">
        <is>
          <t>АЗС</t>
        </is>
      </c>
      <c r="G3696" s="87" t="inlineStr">
        <is>
          <t>Нефтьмагистраль</t>
        </is>
      </c>
      <c r="H3696" s="264" t="n">
        <v>3200</v>
      </c>
      <c r="I3696" s="637" t="inlineStr">
        <is>
          <t>О27</t>
        </is>
      </c>
      <c r="J3696" s="637" t="inlineStr">
        <is>
          <t>MSK_NM_O_0027</t>
        </is>
      </c>
      <c r="K3696" s="791" t="n">
        <v>3</v>
      </c>
      <c r="L3696" s="791" t="n">
        <v>1</v>
      </c>
      <c r="M3696" s="265" t="inlineStr">
        <is>
          <t>Samsung 32" вертикальный</t>
        </is>
      </c>
      <c r="N3696" s="640" t="n"/>
      <c r="O3696" s="640">
        <f>IF(AND(N3696=1,L3696=1),K3696,"")</f>
        <v/>
      </c>
      <c r="P3696" s="642" t="inlineStr">
        <is>
          <t>МО, г Балашиха, 20-й км автомагистрали М-7 "Волга" (левая сторона)</t>
        </is>
      </c>
      <c r="Q3696" s="640" t="n">
        <v>55.794104</v>
      </c>
      <c r="R3696" s="494" t="n">
        <v>37.914464</v>
      </c>
      <c r="Z3696" s="1" t="n"/>
    </row>
    <row r="3697" hidden="1">
      <c r="A3697" s="125" t="n">
        <v>4376</v>
      </c>
      <c r="B3697" s="791" t="n"/>
      <c r="C3697" s="125" t="inlineStr">
        <is>
          <t>Москва</t>
        </is>
      </c>
      <c r="D3697" s="130" t="inlineStr">
        <is>
          <t>Московская область</t>
        </is>
      </c>
      <c r="E3697" s="791" t="n"/>
      <c r="F3697" s="125" t="inlineStr">
        <is>
          <t>АЗС</t>
        </is>
      </c>
      <c r="G3697" s="87" t="inlineStr">
        <is>
          <t>Нефтьмагистраль</t>
        </is>
      </c>
      <c r="H3697" s="264" t="n"/>
      <c r="I3697" s="637" t="inlineStr">
        <is>
          <t>О27Г</t>
        </is>
      </c>
      <c r="J3697" s="637" t="inlineStr">
        <is>
          <t>MSK_NM_O_0027G</t>
        </is>
      </c>
      <c r="K3697" s="791" t="n">
        <v>1</v>
      </c>
      <c r="L3697" s="791" t="n">
        <v>1</v>
      </c>
      <c r="M3697" s="265" t="inlineStr">
        <is>
          <t>Samsung 32" вертикальный</t>
        </is>
      </c>
      <c r="N3697" s="640" t="n"/>
      <c r="O3697" s="640">
        <f>IF(AND(N3697=1,L3697=1),K3697,"")</f>
        <v/>
      </c>
      <c r="P3697" s="642" t="inlineStr">
        <is>
          <t>МО, г Балашиха, 20-й км автомагистрали М-7 "Волга" (левая сторона)</t>
        </is>
      </c>
      <c r="Q3697" s="640" t="n">
        <v>55.794104</v>
      </c>
      <c r="R3697" s="494" t="n">
        <v>37.914464</v>
      </c>
      <c r="Z3697" s="1" t="n"/>
    </row>
    <row r="3698" hidden="1">
      <c r="A3698" s="125" t="n">
        <v>4377</v>
      </c>
      <c r="B3698" s="791" t="n"/>
      <c r="C3698" s="125" t="inlineStr">
        <is>
          <t>Москва</t>
        </is>
      </c>
      <c r="D3698" s="125" t="inlineStr">
        <is>
          <t>Московская область</t>
        </is>
      </c>
      <c r="E3698" s="791" t="n"/>
      <c r="F3698" s="125" t="inlineStr">
        <is>
          <t>АЗС</t>
        </is>
      </c>
      <c r="G3698" s="87" t="inlineStr">
        <is>
          <t>Нефтьмагистраль</t>
        </is>
      </c>
      <c r="H3698" s="264" t="n">
        <v>800</v>
      </c>
      <c r="I3698" s="637" t="inlineStr">
        <is>
          <t>О28</t>
        </is>
      </c>
      <c r="J3698" s="637" t="inlineStr">
        <is>
          <t>MSK_NM_O_0028</t>
        </is>
      </c>
      <c r="K3698" s="791" t="n">
        <v>1</v>
      </c>
      <c r="L3698" s="791" t="n">
        <v>1</v>
      </c>
      <c r="M3698" s="265" t="inlineStr">
        <is>
          <t>Samsung 32" вертикальный</t>
        </is>
      </c>
      <c r="N3698" s="640" t="n"/>
      <c r="O3698" s="640">
        <f>IF(AND(N3698=1,L3698=1),K3698,"")</f>
        <v/>
      </c>
      <c r="P3698" s="642" t="inlineStr">
        <is>
          <t>МО, г Мытищи, ул Попова д6</t>
        </is>
      </c>
      <c r="Q3698" s="640" t="n">
        <v>55.92489</v>
      </c>
      <c r="R3698" s="494" t="n">
        <v>37.791107</v>
      </c>
      <c r="Z3698" s="1" t="n"/>
    </row>
    <row r="3699" hidden="1">
      <c r="A3699" s="125" t="n">
        <v>4378</v>
      </c>
      <c r="B3699" s="791" t="n"/>
      <c r="C3699" s="125" t="inlineStr">
        <is>
          <t>Москва</t>
        </is>
      </c>
      <c r="D3699" s="125" t="inlineStr">
        <is>
          <t>Московская область</t>
        </is>
      </c>
      <c r="E3699" s="791" t="n"/>
      <c r="F3699" s="125" t="inlineStr">
        <is>
          <t>АЗС</t>
        </is>
      </c>
      <c r="G3699" s="87" t="inlineStr">
        <is>
          <t>Нефтьмагистраль</t>
        </is>
      </c>
      <c r="H3699" s="264" t="n">
        <v>780</v>
      </c>
      <c r="I3699" s="637" t="inlineStr">
        <is>
          <t>О29</t>
        </is>
      </c>
      <c r="J3699" s="637" t="inlineStr">
        <is>
          <t>MSK_NM_O_0029</t>
        </is>
      </c>
      <c r="K3699" s="791" t="n">
        <v>1</v>
      </c>
      <c r="L3699" s="791" t="n">
        <v>1</v>
      </c>
      <c r="M3699" s="265" t="inlineStr">
        <is>
          <t>Samsung 32" вертикальный</t>
        </is>
      </c>
      <c r="N3699" s="640" t="n"/>
      <c r="O3699" s="640">
        <f>IF(AND(N3699=1,L3699=1),K3699,"")</f>
        <v/>
      </c>
      <c r="P3699" s="642" t="inlineStr">
        <is>
          <t xml:space="preserve"> МО, Сергиево-Посадский муниципальный р-он, городское поселение Сергиев-Посад, с Мишутино</t>
        </is>
      </c>
      <c r="Q3699" s="640" t="n">
        <v>56.375971</v>
      </c>
      <c r="R3699" s="494" t="n">
        <v>38.108696</v>
      </c>
      <c r="Z3699" s="1" t="n"/>
    </row>
    <row r="3700" hidden="1">
      <c r="A3700" s="125" t="n">
        <v>4379</v>
      </c>
      <c r="B3700" s="791" t="n"/>
      <c r="C3700" s="125" t="inlineStr">
        <is>
          <t>Москва</t>
        </is>
      </c>
      <c r="D3700" s="125" t="inlineStr">
        <is>
          <t>Московская область</t>
        </is>
      </c>
      <c r="E3700" s="791" t="n"/>
      <c r="F3700" s="125" t="inlineStr">
        <is>
          <t>АЗС</t>
        </is>
      </c>
      <c r="G3700" s="87" t="inlineStr">
        <is>
          <t>Нефтьмагистраль</t>
        </is>
      </c>
      <c r="H3700" s="264" t="n">
        <v>520</v>
      </c>
      <c r="I3700" s="637" t="inlineStr">
        <is>
          <t>О30</t>
        </is>
      </c>
      <c r="J3700" s="637" t="inlineStr">
        <is>
          <t>MSK_NM_O_0030</t>
        </is>
      </c>
      <c r="K3700" s="791" t="n">
        <v>1</v>
      </c>
      <c r="L3700" s="791" t="n">
        <v>1</v>
      </c>
      <c r="M3700" s="265" t="inlineStr">
        <is>
          <t>Samsung 32" вертикальный</t>
        </is>
      </c>
      <c r="N3700" s="640" t="n"/>
      <c r="O3700" s="640">
        <f>IF(AND(N3700=1,L3700=1),K3700,"")</f>
        <v/>
      </c>
      <c r="P3700" s="642" t="inlineStr">
        <is>
          <t xml:space="preserve"> МО, Сергиево-Посадский муниципальный р-он, городское поселение Сергиев-Посад, с Деулино</t>
        </is>
      </c>
      <c r="Q3700" s="640" t="n">
        <v>56.350221</v>
      </c>
      <c r="R3700" s="494" t="n">
        <v>38.117206</v>
      </c>
      <c r="Z3700" s="1" t="n"/>
    </row>
    <row r="3701" hidden="1">
      <c r="A3701" s="125" t="n">
        <v>4380</v>
      </c>
      <c r="B3701" s="791" t="n"/>
      <c r="C3701" s="125" t="inlineStr">
        <is>
          <t>Москва</t>
        </is>
      </c>
      <c r="D3701" s="125" t="inlineStr">
        <is>
          <t>Московская область</t>
        </is>
      </c>
      <c r="E3701" s="791" t="n"/>
      <c r="F3701" s="125" t="inlineStr">
        <is>
          <t>АЗС</t>
        </is>
      </c>
      <c r="G3701" s="87" t="inlineStr">
        <is>
          <t>Нефтьмагистраль</t>
        </is>
      </c>
      <c r="H3701" s="264" t="n">
        <v>1100</v>
      </c>
      <c r="I3701" s="637" t="inlineStr">
        <is>
          <t>О31</t>
        </is>
      </c>
      <c r="J3701" s="637" t="inlineStr">
        <is>
          <t>MSK_NM_O_0031</t>
        </is>
      </c>
      <c r="K3701" s="791" t="n">
        <v>2</v>
      </c>
      <c r="L3701" s="791" t="n">
        <v>1</v>
      </c>
      <c r="M3701" s="265" t="inlineStr">
        <is>
          <t>Samsung 32" вертикальный</t>
        </is>
      </c>
      <c r="N3701" s="640" t="n"/>
      <c r="O3701" s="640">
        <f>IF(AND(N3701=1,L3701=1),K3701,"")</f>
        <v/>
      </c>
      <c r="P3701" s="642" t="inlineStr">
        <is>
          <t xml:space="preserve"> МО, Мытищинский р-он, д Пирогово, ул Центральная, д 100 А</t>
        </is>
      </c>
      <c r="Q3701" s="640" t="n">
        <v>55.988258</v>
      </c>
      <c r="R3701" s="494" t="n">
        <v>37.727756</v>
      </c>
      <c r="Z3701" s="1" t="n"/>
    </row>
    <row r="3702" hidden="1">
      <c r="A3702" s="125" t="n">
        <v>4381</v>
      </c>
      <c r="B3702" s="791" t="n"/>
      <c r="C3702" s="125" t="inlineStr">
        <is>
          <t>Москва</t>
        </is>
      </c>
      <c r="D3702" s="125" t="inlineStr">
        <is>
          <t>Московская область</t>
        </is>
      </c>
      <c r="E3702" s="791" t="n"/>
      <c r="F3702" s="125" t="inlineStr">
        <is>
          <t>АЗС</t>
        </is>
      </c>
      <c r="G3702" s="87" t="inlineStr">
        <is>
          <t>Нефтьмагистраль</t>
        </is>
      </c>
      <c r="H3702" s="264" t="n">
        <v>850</v>
      </c>
      <c r="I3702" s="637" t="inlineStr">
        <is>
          <t>О33</t>
        </is>
      </c>
      <c r="J3702" s="637" t="inlineStr">
        <is>
          <t>MSK_NM_O_0033</t>
        </is>
      </c>
      <c r="K3702" s="791" t="n">
        <v>1</v>
      </c>
      <c r="L3702" s="791" t="n">
        <v>1</v>
      </c>
      <c r="M3702" s="265" t="inlineStr">
        <is>
          <t>Samsung 32" вертикальный</t>
        </is>
      </c>
      <c r="N3702" s="640" t="n"/>
      <c r="O3702" s="640">
        <f>IF(AND(N3702=1,L3702=1),K3702,"")</f>
        <v/>
      </c>
      <c r="P3702" s="642" t="inlineStr">
        <is>
          <t xml:space="preserve"> МО, Пушкинский р-он, г Пушкино, Красноармейского шоссе</t>
        </is>
      </c>
      <c r="Q3702" s="640" t="n">
        <v>56.012432</v>
      </c>
      <c r="R3702" s="494" t="n">
        <v>37.874228</v>
      </c>
      <c r="Z3702" s="1" t="n"/>
    </row>
    <row r="3703" hidden="1">
      <c r="A3703" s="125" t="n">
        <v>4382</v>
      </c>
      <c r="B3703" s="791" t="n"/>
      <c r="C3703" s="125" t="inlineStr">
        <is>
          <t>Москва</t>
        </is>
      </c>
      <c r="D3703" s="125" t="inlineStr">
        <is>
          <t>Московская область</t>
        </is>
      </c>
      <c r="E3703" s="791" t="n"/>
      <c r="F3703" s="125" t="inlineStr">
        <is>
          <t>АЗС</t>
        </is>
      </c>
      <c r="G3703" s="87" t="inlineStr">
        <is>
          <t>Нефтьмагистраль</t>
        </is>
      </c>
      <c r="H3703" s="264" t="n">
        <v>1400</v>
      </c>
      <c r="I3703" s="637" t="inlineStr">
        <is>
          <t>О34</t>
        </is>
      </c>
      <c r="J3703" s="637" t="inlineStr">
        <is>
          <t>MSK_NM_O_0034</t>
        </is>
      </c>
      <c r="K3703" s="791" t="n">
        <v>2</v>
      </c>
      <c r="L3703" s="791" t="n">
        <v>1</v>
      </c>
      <c r="M3703" s="265" t="inlineStr">
        <is>
          <t>Samsung 32" вертикальный</t>
        </is>
      </c>
      <c r="N3703" s="640" t="n"/>
      <c r="O3703" s="640">
        <f>IF(AND(N3703=1,L3703=1),K3703,"")</f>
        <v/>
      </c>
      <c r="P3703" s="642" t="inlineStr">
        <is>
          <t xml:space="preserve"> МО, Пушкинский р-он, рп Лесной, 41 км а/д "Холмогоры" (слева)</t>
        </is>
      </c>
      <c r="Q3703" s="640" t="n">
        <v>56.066102</v>
      </c>
      <c r="R3703" s="494" t="n">
        <v>37.901861</v>
      </c>
      <c r="Z3703" s="1" t="n"/>
    </row>
    <row r="3704" hidden="1">
      <c r="A3704" s="125" t="n">
        <v>4383</v>
      </c>
      <c r="B3704" s="791" t="n"/>
      <c r="C3704" s="125" t="inlineStr">
        <is>
          <t>Москва</t>
        </is>
      </c>
      <c r="D3704" s="125" t="inlineStr">
        <is>
          <t>Московская область</t>
        </is>
      </c>
      <c r="E3704" s="791" t="n"/>
      <c r="F3704" s="125" t="inlineStr">
        <is>
          <t>АЗС</t>
        </is>
      </c>
      <c r="G3704" s="87" t="inlineStr">
        <is>
          <t>Нефтьмагистраль</t>
        </is>
      </c>
      <c r="H3704" s="264" t="n">
        <v>1100</v>
      </c>
      <c r="I3704" s="637" t="inlineStr">
        <is>
          <t>О35</t>
        </is>
      </c>
      <c r="J3704" s="637" t="inlineStr">
        <is>
          <t>MSK_NM_O_0035</t>
        </is>
      </c>
      <c r="K3704" s="791" t="n">
        <v>1</v>
      </c>
      <c r="L3704" s="791" t="n">
        <v>1</v>
      </c>
      <c r="M3704" s="265" t="inlineStr">
        <is>
          <t>Samsung 32" вертикальный</t>
        </is>
      </c>
      <c r="N3704" s="640" t="n"/>
      <c r="O3704" s="640">
        <f>IF(AND(N3704=1,L3704=1),K3704,"")</f>
        <v/>
      </c>
      <c r="P3704" s="642" t="inlineStr">
        <is>
          <t xml:space="preserve"> МО, Ногинский р-он, г Старая Купавна, Акрихиновское ш, уч14</t>
        </is>
      </c>
      <c r="Q3704" s="640" t="n">
        <v>55.820039</v>
      </c>
      <c r="R3704" s="494" t="n">
        <v>38.177566</v>
      </c>
      <c r="Z3704" s="1" t="n"/>
    </row>
    <row r="3705" hidden="1">
      <c r="A3705" s="125" t="n">
        <v>4384</v>
      </c>
      <c r="B3705" s="791" t="n"/>
      <c r="C3705" s="125" t="inlineStr">
        <is>
          <t>Москва</t>
        </is>
      </c>
      <c r="D3705" s="125" t="inlineStr">
        <is>
          <t>Московская область</t>
        </is>
      </c>
      <c r="E3705" s="791" t="n"/>
      <c r="F3705" s="125" t="inlineStr">
        <is>
          <t>АЗС</t>
        </is>
      </c>
      <c r="G3705" s="87" t="inlineStr">
        <is>
          <t>Нефтьмагистраль</t>
        </is>
      </c>
      <c r="H3705" s="264" t="n">
        <v>1400</v>
      </c>
      <c r="I3705" s="637" t="inlineStr">
        <is>
          <t>О36</t>
        </is>
      </c>
      <c r="J3705" s="637" t="inlineStr">
        <is>
          <t>MSK_NM_O_0036</t>
        </is>
      </c>
      <c r="K3705" s="791" t="n">
        <v>2</v>
      </c>
      <c r="L3705" s="791" t="n">
        <v>1</v>
      </c>
      <c r="M3705" s="265" t="inlineStr">
        <is>
          <t>Samsung 32" вертикальный</t>
        </is>
      </c>
      <c r="N3705" s="640" t="n"/>
      <c r="O3705" s="640">
        <f>IF(AND(N3705=1,L3705=1),K3705,"")</f>
        <v/>
      </c>
      <c r="P3705" s="642" t="inlineStr">
        <is>
          <t xml:space="preserve"> МО, Ногинский р-он, 33 км автомагистрали "Москва-Нижний Новгород" (левая сторона)</t>
        </is>
      </c>
      <c r="Q3705" s="640" t="n">
        <v>55.818275</v>
      </c>
      <c r="R3705" s="494" t="n">
        <v>38.146396</v>
      </c>
      <c r="Z3705" s="1" t="n"/>
    </row>
    <row r="3706" hidden="1">
      <c r="A3706" s="125" t="n">
        <v>4385</v>
      </c>
      <c r="B3706" s="791" t="n"/>
      <c r="C3706" s="125" t="inlineStr">
        <is>
          <t>Москва</t>
        </is>
      </c>
      <c r="D3706" s="125" t="inlineStr">
        <is>
          <t>Московская область</t>
        </is>
      </c>
      <c r="E3706" s="791" t="n"/>
      <c r="F3706" s="125" t="inlineStr">
        <is>
          <t>АЗС</t>
        </is>
      </c>
      <c r="G3706" s="87" t="inlineStr">
        <is>
          <t>Нефтьмагистраль</t>
        </is>
      </c>
      <c r="H3706" s="264" t="n">
        <v>1400</v>
      </c>
      <c r="I3706" s="637" t="inlineStr">
        <is>
          <t>О37</t>
        </is>
      </c>
      <c r="J3706" s="637" t="inlineStr">
        <is>
          <t>MSK_NM_O_0037</t>
        </is>
      </c>
      <c r="K3706" s="791" t="n">
        <v>1</v>
      </c>
      <c r="L3706" s="791" t="n">
        <v>1</v>
      </c>
      <c r="M3706" s="265" t="inlineStr">
        <is>
          <t>Samsung 32" вертикальный</t>
        </is>
      </c>
      <c r="N3706" s="640" t="n"/>
      <c r="O3706" s="640">
        <f>IF(AND(N3706=1,L3706=1),K3706,"")</f>
        <v/>
      </c>
      <c r="P3706" s="642" t="inlineStr">
        <is>
          <t xml:space="preserve"> МО, г Химки, Международное шоссе, в сторону аэропорта Шереметьево-2</t>
        </is>
      </c>
      <c r="Q3706" s="640" t="n">
        <v>55.920682</v>
      </c>
      <c r="R3706" s="494" t="n">
        <v>37.395038</v>
      </c>
      <c r="Z3706" s="1" t="n"/>
    </row>
    <row r="3707" hidden="1">
      <c r="A3707" s="125" t="n">
        <v>4386</v>
      </c>
      <c r="B3707" s="791" t="n"/>
      <c r="C3707" s="125" t="inlineStr">
        <is>
          <t>Москва</t>
        </is>
      </c>
      <c r="D3707" s="125" t="inlineStr">
        <is>
          <t>Московская область</t>
        </is>
      </c>
      <c r="E3707" s="791" t="n"/>
      <c r="F3707" s="125" t="inlineStr">
        <is>
          <t>АЗС</t>
        </is>
      </c>
      <c r="G3707" s="87" t="inlineStr">
        <is>
          <t>Нефтьмагистраль</t>
        </is>
      </c>
      <c r="H3707" s="264" t="n">
        <v>1400</v>
      </c>
      <c r="I3707" s="637" t="inlineStr">
        <is>
          <t>О38</t>
        </is>
      </c>
      <c r="J3707" s="637" t="inlineStr">
        <is>
          <t>MSK_NM_O_0038</t>
        </is>
      </c>
      <c r="K3707" s="791" t="n">
        <v>1</v>
      </c>
      <c r="L3707" s="791" t="n">
        <v>1</v>
      </c>
      <c r="M3707" s="265" t="inlineStr">
        <is>
          <t>Samsung 32" вертикальный</t>
        </is>
      </c>
      <c r="N3707" s="640" t="n"/>
      <c r="O3707" s="640">
        <f>IF(AND(N3707=1,L3707=1),K3707,"")</f>
        <v/>
      </c>
      <c r="P3707" s="642" t="inlineStr">
        <is>
          <t xml:space="preserve"> МО, г Электросталь, Ногинское шоссе, 38б</t>
        </is>
      </c>
      <c r="Q3707" s="640" t="n">
        <v>55.815748</v>
      </c>
      <c r="R3707" s="494" t="n">
        <v>38.426723</v>
      </c>
      <c r="Z3707" s="1" t="n"/>
    </row>
    <row r="3708" hidden="1">
      <c r="A3708" s="125" t="n">
        <v>4387</v>
      </c>
      <c r="B3708" s="791" t="n"/>
      <c r="C3708" s="125" t="inlineStr">
        <is>
          <t>Москва</t>
        </is>
      </c>
      <c r="D3708" s="125" t="inlineStr">
        <is>
          <t>Московская область</t>
        </is>
      </c>
      <c r="E3708" s="791" t="n"/>
      <c r="F3708" s="125" t="inlineStr">
        <is>
          <t>АЗС</t>
        </is>
      </c>
      <c r="G3708" s="87" t="inlineStr">
        <is>
          <t>Нефтьмагистраль</t>
        </is>
      </c>
      <c r="H3708" s="264" t="n">
        <v>1574</v>
      </c>
      <c r="I3708" s="637" t="inlineStr">
        <is>
          <t>О39</t>
        </is>
      </c>
      <c r="J3708" s="637" t="inlineStr">
        <is>
          <t>MSK_NM_O_0039</t>
        </is>
      </c>
      <c r="K3708" s="791" t="n">
        <v>2</v>
      </c>
      <c r="L3708" s="791" t="n">
        <v>1</v>
      </c>
      <c r="M3708" s="265" t="inlineStr">
        <is>
          <t>Samsung 32" вертикальный</t>
        </is>
      </c>
      <c r="N3708" s="640" t="n"/>
      <c r="O3708" s="640">
        <f>IF(AND(N3708=1,L3708=1),K3708,"")</f>
        <v/>
      </c>
      <c r="P3708" s="642" t="inlineStr">
        <is>
          <t xml:space="preserve"> МО, го Подольск, в р-не д Бережки, 42-й км автомагистрали М-2 Крым, д2</t>
        </is>
      </c>
      <c r="Q3708" s="640" t="n">
        <v>55.394423</v>
      </c>
      <c r="R3708" s="494" t="n">
        <v>37.606296</v>
      </c>
      <c r="Z3708" s="1" t="n"/>
    </row>
    <row r="3709" hidden="1">
      <c r="A3709" s="125" t="n">
        <v>4388</v>
      </c>
      <c r="B3709" s="791" t="n"/>
      <c r="C3709" s="125" t="inlineStr">
        <is>
          <t>Москва</t>
        </is>
      </c>
      <c r="D3709" s="125" t="inlineStr">
        <is>
          <t>Московская область</t>
        </is>
      </c>
      <c r="E3709" s="791" t="n"/>
      <c r="F3709" s="125" t="inlineStr">
        <is>
          <t>АЗС</t>
        </is>
      </c>
      <c r="G3709" s="87" t="inlineStr">
        <is>
          <t>Нефтьмагистраль</t>
        </is>
      </c>
      <c r="H3709" s="264" t="n">
        <v>2500</v>
      </c>
      <c r="I3709" s="637" t="inlineStr">
        <is>
          <t>О40</t>
        </is>
      </c>
      <c r="J3709" s="637" t="inlineStr">
        <is>
          <t>MSK_NM_O_0040</t>
        </is>
      </c>
      <c r="K3709" s="791" t="n">
        <v>2</v>
      </c>
      <c r="L3709" s="791" t="n">
        <v>1</v>
      </c>
      <c r="M3709" s="265" t="inlineStr">
        <is>
          <t>Samsung 32" вертикальный</t>
        </is>
      </c>
      <c r="N3709" s="640" t="n"/>
      <c r="O3709" s="640">
        <f>IF(AND(N3709=1,L3709=1),K3709,"")</f>
        <v/>
      </c>
      <c r="P3709" s="642" t="inlineStr">
        <is>
          <t xml:space="preserve"> МО, го Подольск, 51-й км автомагистрали М-2 "Крым", дом 1 (Алтухово)</t>
        </is>
      </c>
      <c r="Q3709" s="640" t="n">
        <v>55.317732</v>
      </c>
      <c r="R3709" s="494" t="n">
        <v>37.555291</v>
      </c>
      <c r="Z3709" s="1" t="n"/>
    </row>
    <row r="3710" hidden="1">
      <c r="A3710" s="125" t="n">
        <v>4389</v>
      </c>
      <c r="B3710" s="791" t="n"/>
      <c r="C3710" s="125" t="inlineStr">
        <is>
          <t>Москва</t>
        </is>
      </c>
      <c r="D3710" s="125" t="inlineStr">
        <is>
          <t>Московская область</t>
        </is>
      </c>
      <c r="E3710" s="791" t="n"/>
      <c r="F3710" s="125" t="inlineStr">
        <is>
          <t>АЗС</t>
        </is>
      </c>
      <c r="G3710" s="87" t="inlineStr">
        <is>
          <t>Нефтьмагистраль</t>
        </is>
      </c>
      <c r="H3710" s="264" t="n">
        <v>650</v>
      </c>
      <c r="I3710" s="637" t="inlineStr">
        <is>
          <t>О41</t>
        </is>
      </c>
      <c r="J3710" s="637" t="inlineStr">
        <is>
          <t>MSK_NM_O_0041</t>
        </is>
      </c>
      <c r="K3710" s="791" t="n">
        <v>1</v>
      </c>
      <c r="L3710" s="791" t="n">
        <v>1</v>
      </c>
      <c r="M3710" s="265" t="inlineStr">
        <is>
          <t>Samsung 32" вертикальный</t>
        </is>
      </c>
      <c r="N3710" s="640" t="n"/>
      <c r="O3710" s="640">
        <f>IF(AND(N3710=1,L3710=1),K3710,"")</f>
        <v/>
      </c>
      <c r="P3710" s="642" t="inlineStr">
        <is>
          <t xml:space="preserve"> МО, г Климовск, ул Симферопольская, д6</t>
        </is>
      </c>
      <c r="Q3710" s="640" t="n">
        <v>55.382122</v>
      </c>
      <c r="R3710" s="494" t="n">
        <v>37.536006</v>
      </c>
      <c r="Z3710" s="1" t="n"/>
    </row>
    <row r="3711" hidden="1">
      <c r="A3711" s="125" t="n">
        <v>4390</v>
      </c>
      <c r="B3711" s="791" t="n"/>
      <c r="C3711" s="125" t="inlineStr">
        <is>
          <t>Москва</t>
        </is>
      </c>
      <c r="D3711" s="125" t="inlineStr">
        <is>
          <t>Московская область</t>
        </is>
      </c>
      <c r="E3711" s="791" t="n"/>
      <c r="F3711" s="125" t="inlineStr">
        <is>
          <t>АЗС</t>
        </is>
      </c>
      <c r="G3711" s="87" t="inlineStr">
        <is>
          <t>Нефтьмагистраль</t>
        </is>
      </c>
      <c r="H3711" s="264" t="n">
        <v>1200</v>
      </c>
      <c r="I3711" s="637" t="inlineStr">
        <is>
          <t>О42</t>
        </is>
      </c>
      <c r="J3711" s="637" t="inlineStr">
        <is>
          <t>MSK_NM_O_0042</t>
        </is>
      </c>
      <c r="K3711" s="791" t="n">
        <v>2</v>
      </c>
      <c r="L3711" s="791" t="n">
        <v>1</v>
      </c>
      <c r="M3711" s="265" t="inlineStr">
        <is>
          <t>Samsung 32" вертикальный</t>
        </is>
      </c>
      <c r="N3711" s="640" t="n"/>
      <c r="O3711" s="640">
        <f>IF(AND(N3711=1,L3711=1),K3711,"")</f>
        <v/>
      </c>
      <c r="P3711" s="642" t="inlineStr">
        <is>
          <t xml:space="preserve"> МО, го Домодедово, территория М-4 «Дон», 62-й км, соор1</t>
        </is>
      </c>
      <c r="Q3711" s="640" t="n">
        <v>55.235384</v>
      </c>
      <c r="R3711" s="494" t="n">
        <v>37.871119</v>
      </c>
      <c r="Z3711" s="1" t="n"/>
    </row>
    <row r="3712" hidden="1">
      <c r="A3712" s="125" t="n">
        <v>4391</v>
      </c>
      <c r="B3712" s="791" t="n"/>
      <c r="C3712" s="125" t="inlineStr">
        <is>
          <t>Москва</t>
        </is>
      </c>
      <c r="D3712" s="125" t="inlineStr">
        <is>
          <t>Московская область</t>
        </is>
      </c>
      <c r="E3712" s="791" t="n"/>
      <c r="F3712" s="125" t="inlineStr">
        <is>
          <t>АЗС</t>
        </is>
      </c>
      <c r="G3712" s="87" t="inlineStr">
        <is>
          <t>Нефтьмагистраль</t>
        </is>
      </c>
      <c r="H3712" s="264" t="n">
        <v>2100</v>
      </c>
      <c r="I3712" s="637" t="inlineStr">
        <is>
          <t>О43</t>
        </is>
      </c>
      <c r="J3712" s="637" t="inlineStr">
        <is>
          <t>MSK_NM_O_0043</t>
        </is>
      </c>
      <c r="K3712" s="791" t="n">
        <v>2</v>
      </c>
      <c r="L3712" s="791" t="n">
        <v>1</v>
      </c>
      <c r="M3712" s="265" t="inlineStr">
        <is>
          <t>Samsung 32" вертикальный</t>
        </is>
      </c>
      <c r="N3712" s="640" t="n"/>
      <c r="O3712" s="640">
        <f>IF(AND(N3712=1,L3712=1),K3712,"")</f>
        <v/>
      </c>
      <c r="P3712" s="642" t="inlineStr">
        <is>
          <t xml:space="preserve"> МО, го Подольск, п Сосновый бор, ул Объездная дорога, д 1в</t>
        </is>
      </c>
      <c r="Q3712" s="640" t="n">
        <v>55.390356</v>
      </c>
      <c r="R3712" s="494" t="n">
        <v>37.557898</v>
      </c>
      <c r="Z3712" s="1" t="n"/>
    </row>
    <row r="3713" hidden="1">
      <c r="A3713" s="125" t="n">
        <v>4392</v>
      </c>
      <c r="B3713" s="791" t="n"/>
      <c r="C3713" s="125" t="inlineStr">
        <is>
          <t>Москва</t>
        </is>
      </c>
      <c r="D3713" s="125" t="inlineStr">
        <is>
          <t>Московская область</t>
        </is>
      </c>
      <c r="E3713" s="791" t="n"/>
      <c r="F3713" s="125" t="inlineStr">
        <is>
          <t>АЗС</t>
        </is>
      </c>
      <c r="G3713" s="87" t="inlineStr">
        <is>
          <t>Нефтьмагистраль</t>
        </is>
      </c>
      <c r="H3713" s="264" t="n">
        <v>1400</v>
      </c>
      <c r="I3713" s="637" t="inlineStr">
        <is>
          <t>О44</t>
        </is>
      </c>
      <c r="J3713" s="637" t="inlineStr">
        <is>
          <t>MSK_NM_O_0044</t>
        </is>
      </c>
      <c r="K3713" s="791" t="n">
        <v>1</v>
      </c>
      <c r="L3713" s="791" t="n">
        <v>1</v>
      </c>
      <c r="M3713" s="265" t="inlineStr">
        <is>
          <t>Samsung 32" вертикальный</t>
        </is>
      </c>
      <c r="N3713" s="640" t="n"/>
      <c r="O3713" s="640">
        <f>IF(AND(N3713=1,L3713=1),K3713,"")</f>
        <v/>
      </c>
      <c r="P3713" s="642" t="inlineStr">
        <is>
          <t xml:space="preserve"> МО, Ногинский р-он, п Зеленый, ул Школьная, д 3А</t>
        </is>
      </c>
      <c r="Q3713" s="640" t="n">
        <v>55.811696</v>
      </c>
      <c r="R3713" s="494" t="n">
        <v>38.102376</v>
      </c>
      <c r="Z3713" s="1" t="n"/>
    </row>
    <row r="3714" hidden="1">
      <c r="A3714" s="125" t="n">
        <v>4393</v>
      </c>
      <c r="B3714" s="791" t="n"/>
      <c r="C3714" s="125" t="inlineStr">
        <is>
          <t>Москва</t>
        </is>
      </c>
      <c r="D3714" s="125" t="inlineStr">
        <is>
          <t>Московская область</t>
        </is>
      </c>
      <c r="E3714" s="791" t="n"/>
      <c r="F3714" s="125" t="inlineStr">
        <is>
          <t>АЗС</t>
        </is>
      </c>
      <c r="G3714" s="87" t="inlineStr">
        <is>
          <t>Нефтьмагистраль</t>
        </is>
      </c>
      <c r="H3714" s="264" t="n">
        <v>1300</v>
      </c>
      <c r="I3714" s="637" t="inlineStr">
        <is>
          <t>О45</t>
        </is>
      </c>
      <c r="J3714" s="637" t="inlineStr">
        <is>
          <t>MSK_NM_O_0045</t>
        </is>
      </c>
      <c r="K3714" s="791" t="n">
        <v>2</v>
      </c>
      <c r="L3714" s="791" t="n">
        <v>1</v>
      </c>
      <c r="M3714" s="265" t="inlineStr">
        <is>
          <t>Samsung 32" вертикальный</t>
        </is>
      </c>
      <c r="N3714" s="640" t="n"/>
      <c r="O3714" s="640">
        <f>IF(AND(N3714=1,L3714=1),K3714,"")</f>
        <v/>
      </c>
      <c r="P3714" s="642" t="inlineStr">
        <is>
          <t xml:space="preserve"> МО, Подольский р-он, вблизи с Покров, 37 км а/д "Крым"</t>
        </is>
      </c>
      <c r="Q3714" s="640" t="n">
        <v>55.440121</v>
      </c>
      <c r="R3714" s="494" t="n">
        <v>37.614997</v>
      </c>
      <c r="Z3714" s="1" t="n"/>
    </row>
    <row r="3715" hidden="1">
      <c r="A3715" s="125" t="n">
        <v>4394</v>
      </c>
      <c r="B3715" s="791" t="n"/>
      <c r="C3715" s="125" t="inlineStr">
        <is>
          <t>Москва</t>
        </is>
      </c>
      <c r="D3715" s="125" t="inlineStr">
        <is>
          <t>Московская область</t>
        </is>
      </c>
      <c r="E3715" s="791" t="n"/>
      <c r="F3715" s="125" t="inlineStr">
        <is>
          <t>АЗС</t>
        </is>
      </c>
      <c r="G3715" s="87" t="inlineStr">
        <is>
          <t>Нефтьмагистраль</t>
        </is>
      </c>
      <c r="H3715" s="264" t="n">
        <v>800</v>
      </c>
      <c r="I3715" s="637" t="inlineStr">
        <is>
          <t>О46</t>
        </is>
      </c>
      <c r="J3715" s="637" t="inlineStr">
        <is>
          <t>MSK_NM_O_0046</t>
        </is>
      </c>
      <c r="K3715" s="791" t="n">
        <v>1</v>
      </c>
      <c r="L3715" s="791" t="n">
        <v>1</v>
      </c>
      <c r="M3715" s="265" t="inlineStr">
        <is>
          <t>Samsung 32" вертикальный</t>
        </is>
      </c>
      <c r="N3715" s="640" t="n"/>
      <c r="O3715" s="640">
        <f>IF(AND(N3715=1,L3715=1),K3715,"")</f>
        <v/>
      </c>
      <c r="P3715" s="642" t="inlineStr">
        <is>
          <t xml:space="preserve"> МО, Ногинский р-он, 44 км автодороги М-7 "Волга", четная сторона, д2</t>
        </is>
      </c>
      <c r="Q3715" s="640" t="n">
        <v>55.829528</v>
      </c>
      <c r="R3715" s="494" t="n">
        <v>38.291359</v>
      </c>
      <c r="Z3715" s="1" t="n"/>
    </row>
    <row r="3716" hidden="1">
      <c r="A3716" s="125" t="n">
        <v>4395</v>
      </c>
      <c r="B3716" s="791" t="n"/>
      <c r="C3716" s="125" t="inlineStr">
        <is>
          <t>Москва</t>
        </is>
      </c>
      <c r="D3716" s="125" t="inlineStr">
        <is>
          <t>Московская область</t>
        </is>
      </c>
      <c r="E3716" s="791" t="n"/>
      <c r="F3716" s="125" t="inlineStr">
        <is>
          <t>АЗС</t>
        </is>
      </c>
      <c r="G3716" s="87" t="inlineStr">
        <is>
          <t>Нефтьмагистраль</t>
        </is>
      </c>
      <c r="H3716" s="264" t="n">
        <v>1100</v>
      </c>
      <c r="I3716" s="637" t="inlineStr">
        <is>
          <t>О47</t>
        </is>
      </c>
      <c r="J3716" s="637" t="inlineStr">
        <is>
          <t>MSK_NM_O_0047</t>
        </is>
      </c>
      <c r="K3716" s="791" t="n">
        <v>1</v>
      </c>
      <c r="L3716" s="791" t="n">
        <v>1</v>
      </c>
      <c r="M3716" s="265" t="inlineStr">
        <is>
          <t>Samsung 32" вертикальный</t>
        </is>
      </c>
      <c r="N3716" s="640" t="n"/>
      <c r="O3716" s="640">
        <f>IF(AND(N3716=1,L3716=1),K3716,"")</f>
        <v/>
      </c>
      <c r="P3716" s="642" t="inlineStr">
        <is>
          <t xml:space="preserve"> МО, Ногинский р-он, 57 км автодороги М-7 "Волга", нечетная сторона, д1</t>
        </is>
      </c>
      <c r="Q3716" s="640" t="n">
        <v>55.842235</v>
      </c>
      <c r="R3716" s="494" t="n">
        <v>38.479512</v>
      </c>
      <c r="Z3716" s="1" t="n"/>
    </row>
    <row r="3717" hidden="1">
      <c r="A3717" s="125" t="n">
        <v>4396</v>
      </c>
      <c r="B3717" s="791" t="n"/>
      <c r="C3717" s="125" t="inlineStr">
        <is>
          <t>Москва</t>
        </is>
      </c>
      <c r="D3717" s="125" t="inlineStr">
        <is>
          <t>Московская область</t>
        </is>
      </c>
      <c r="E3717" s="791" t="n"/>
      <c r="F3717" s="125" t="inlineStr">
        <is>
          <t>АЗС</t>
        </is>
      </c>
      <c r="G3717" s="87" t="inlineStr">
        <is>
          <t>Нефтьмагистраль</t>
        </is>
      </c>
      <c r="H3717" s="264" t="n">
        <v>800</v>
      </c>
      <c r="I3717" s="637" t="inlineStr">
        <is>
          <t>О48</t>
        </is>
      </c>
      <c r="J3717" s="637" t="inlineStr">
        <is>
          <t>MSK_NM_O_0048</t>
        </is>
      </c>
      <c r="K3717" s="791" t="n">
        <v>1</v>
      </c>
      <c r="L3717" s="791" t="n">
        <v>1</v>
      </c>
      <c r="M3717" s="265" t="inlineStr">
        <is>
          <t>Samsung 32" вертикальный</t>
        </is>
      </c>
      <c r="N3717" s="640" t="n"/>
      <c r="O3717" s="640">
        <f>IF(AND(N3717=1,L3717=1),K3717,"")</f>
        <v/>
      </c>
      <c r="P3717" s="642" t="inlineStr">
        <is>
          <t xml:space="preserve"> МО, Ногинский р-он, г Старая Купавна, ул Магистральная, д8</t>
        </is>
      </c>
      <c r="Q3717" s="640" t="n">
        <v>55.819378</v>
      </c>
      <c r="R3717" s="494" t="n">
        <v>38.171923</v>
      </c>
      <c r="Z3717" s="1" t="n"/>
    </row>
    <row r="3718" hidden="1">
      <c r="A3718" s="125" t="n">
        <v>4397</v>
      </c>
      <c r="B3718" s="791" t="n"/>
      <c r="C3718" s="125" t="inlineStr">
        <is>
          <t>Москва</t>
        </is>
      </c>
      <c r="D3718" s="125" t="inlineStr">
        <is>
          <t>Московская область</t>
        </is>
      </c>
      <c r="E3718" s="791" t="n"/>
      <c r="F3718" s="125" t="inlineStr">
        <is>
          <t>АЗС</t>
        </is>
      </c>
      <c r="G3718" s="87" t="inlineStr">
        <is>
          <t>Нефтьмагистраль</t>
        </is>
      </c>
      <c r="H3718" s="264" t="n">
        <v>1000</v>
      </c>
      <c r="I3718" s="637" t="inlineStr">
        <is>
          <t>О49</t>
        </is>
      </c>
      <c r="J3718" s="637" t="inlineStr">
        <is>
          <t>MSK_NM_O_0049</t>
        </is>
      </c>
      <c r="K3718" s="791" t="n">
        <v>1</v>
      </c>
      <c r="L3718" s="791" t="n">
        <v>1</v>
      </c>
      <c r="M3718" s="265" t="inlineStr">
        <is>
          <t>Samsung 32" вертикальный</t>
        </is>
      </c>
      <c r="N3718" s="640" t="n"/>
      <c r="O3718" s="640">
        <f>IF(AND(N3718=1,L3718=1),K3718,"")</f>
        <v/>
      </c>
      <c r="P3718" s="642" t="inlineStr">
        <is>
          <t xml:space="preserve"> МО, г Балашиха, Объездное шоссе, вл10</t>
        </is>
      </c>
      <c r="Q3718" s="640" t="n">
        <v>55.80155</v>
      </c>
      <c r="R3718" s="494" t="n">
        <v>37.899426</v>
      </c>
      <c r="Z3718" s="1" t="n"/>
    </row>
    <row r="3719" hidden="1">
      <c r="A3719" s="125" t="n">
        <v>4398</v>
      </c>
      <c r="B3719" s="791" t="n"/>
      <c r="C3719" s="125" t="inlineStr">
        <is>
          <t>Москва</t>
        </is>
      </c>
      <c r="D3719" s="125" t="inlineStr">
        <is>
          <t>Московская область</t>
        </is>
      </c>
      <c r="E3719" s="791" t="n"/>
      <c r="F3719" s="125" t="inlineStr">
        <is>
          <t>АЗС</t>
        </is>
      </c>
      <c r="G3719" s="87" t="inlineStr">
        <is>
          <t>Нефтьмагистраль</t>
        </is>
      </c>
      <c r="H3719" s="264" t="n">
        <v>1500</v>
      </c>
      <c r="I3719" s="637" t="inlineStr">
        <is>
          <t>О50</t>
        </is>
      </c>
      <c r="J3719" s="637" t="inlineStr">
        <is>
          <t>MSK_NM_O_0050</t>
        </is>
      </c>
      <c r="K3719" s="791" t="n">
        <v>2</v>
      </c>
      <c r="L3719" s="791" t="n">
        <v>1</v>
      </c>
      <c r="M3719" s="265" t="inlineStr">
        <is>
          <t>Samsung 32" вертикальный</t>
        </is>
      </c>
      <c r="N3719" s="640" t="n"/>
      <c r="O3719" s="640">
        <f>IF(AND(N3719=1,L3719=1),K3719,"")</f>
        <v/>
      </c>
      <c r="P3719" s="642" t="inlineStr">
        <is>
          <t xml:space="preserve"> МО, г Балашиха, ш Энтузиастов, вл82</t>
        </is>
      </c>
      <c r="Q3719" s="640" t="n">
        <v>55.79846</v>
      </c>
      <c r="R3719" s="494" t="n">
        <v>37.988711</v>
      </c>
      <c r="Z3719" s="1" t="n"/>
    </row>
    <row r="3720" hidden="1">
      <c r="A3720" s="125" t="n">
        <v>4399</v>
      </c>
      <c r="B3720" s="791" t="n"/>
      <c r="C3720" s="125" t="inlineStr">
        <is>
          <t>Москва</t>
        </is>
      </c>
      <c r="D3720" s="125" t="inlineStr">
        <is>
          <t>Московская область</t>
        </is>
      </c>
      <c r="E3720" s="791" t="n"/>
      <c r="F3720" s="125" t="inlineStr">
        <is>
          <t>АЗС</t>
        </is>
      </c>
      <c r="G3720" s="87" t="inlineStr">
        <is>
          <t>Нефтьмагистраль</t>
        </is>
      </c>
      <c r="H3720" s="264" t="n">
        <v>1700</v>
      </c>
      <c r="I3720" s="637" t="inlineStr">
        <is>
          <t>О51</t>
        </is>
      </c>
      <c r="J3720" s="637" t="inlineStr">
        <is>
          <t>MSK_NM_O_0051</t>
        </is>
      </c>
      <c r="K3720" s="791" t="n">
        <v>2</v>
      </c>
      <c r="L3720" s="791" t="n">
        <v>1</v>
      </c>
      <c r="M3720" s="265" t="inlineStr">
        <is>
          <t>Samsung 32" вертикальный</t>
        </is>
      </c>
      <c r="N3720" s="640" t="n"/>
      <c r="O3720" s="640">
        <f>IF(AND(N3720=1,L3720=1),K3720,"")</f>
        <v/>
      </c>
      <c r="P3720" s="642" t="inlineStr">
        <is>
          <t xml:space="preserve"> МО, Ленинский район, г Видное, 25 км Каширского шоссе</t>
        </is>
      </c>
      <c r="Q3720" s="640" t="n">
        <v>55.558853</v>
      </c>
      <c r="R3720" s="494" t="n">
        <v>37.775665</v>
      </c>
      <c r="Z3720" s="1" t="n"/>
    </row>
    <row r="3721" hidden="1">
      <c r="A3721" s="125" t="n">
        <v>4400</v>
      </c>
      <c r="B3721" s="791" t="n"/>
      <c r="C3721" s="125" t="inlineStr">
        <is>
          <t>Москва</t>
        </is>
      </c>
      <c r="D3721" s="125" t="inlineStr">
        <is>
          <t>Московская область</t>
        </is>
      </c>
      <c r="E3721" s="791" t="n"/>
      <c r="F3721" s="125" t="inlineStr">
        <is>
          <t>АЗС</t>
        </is>
      </c>
      <c r="G3721" s="87" t="inlineStr">
        <is>
          <t>Нефтьмагистраль</t>
        </is>
      </c>
      <c r="H3721" s="264" t="n">
        <v>890</v>
      </c>
      <c r="I3721" s="637" t="inlineStr">
        <is>
          <t>О52</t>
        </is>
      </c>
      <c r="J3721" s="637" t="inlineStr">
        <is>
          <t>MSK_NM_O_0052</t>
        </is>
      </c>
      <c r="K3721" s="791" t="n">
        <v>1</v>
      </c>
      <c r="L3721" s="791" t="n">
        <v>1</v>
      </c>
      <c r="M3721" s="265" t="inlineStr">
        <is>
          <t>Samsung 32" вертикальный</t>
        </is>
      </c>
      <c r="N3721" s="640" t="n"/>
      <c r="O3721" s="640">
        <f>IF(AND(N3721=1,L3721=1),K3721,"")</f>
        <v/>
      </c>
      <c r="P3721" s="642" t="inlineStr">
        <is>
          <t xml:space="preserve"> МО, г Балашиха, микрорайон Керамик, Носовихинское шоссе, д25</t>
        </is>
      </c>
      <c r="Q3721" s="640" t="n">
        <v>55.749853</v>
      </c>
      <c r="R3721" s="494" t="n">
        <v>37.966278</v>
      </c>
      <c r="Z3721" s="1" t="n"/>
    </row>
    <row r="3722" hidden="1">
      <c r="A3722" s="125" t="n">
        <v>4401</v>
      </c>
      <c r="B3722" s="791" t="n"/>
      <c r="C3722" s="125" t="inlineStr">
        <is>
          <t>Москва</t>
        </is>
      </c>
      <c r="D3722" s="125" t="inlineStr">
        <is>
          <t>Московская область</t>
        </is>
      </c>
      <c r="E3722" s="791" t="n"/>
      <c r="F3722" s="125" t="inlineStr">
        <is>
          <t>АЗС</t>
        </is>
      </c>
      <c r="G3722" s="87" t="inlineStr">
        <is>
          <t>Нефтьмагистраль</t>
        </is>
      </c>
      <c r="H3722" s="264" t="n">
        <v>900</v>
      </c>
      <c r="I3722" s="637" t="inlineStr">
        <is>
          <t>О53</t>
        </is>
      </c>
      <c r="J3722" s="637" t="inlineStr">
        <is>
          <t>MSK_NM_O_0053</t>
        </is>
      </c>
      <c r="K3722" s="791" t="n">
        <v>1</v>
      </c>
      <c r="L3722" s="791" t="n">
        <v>1</v>
      </c>
      <c r="M3722" s="265" t="inlineStr">
        <is>
          <t>Samsung 32" вертикальный</t>
        </is>
      </c>
      <c r="N3722" s="640" t="n"/>
      <c r="O3722" s="640">
        <f>IF(AND(N3722=1,L3722=1),K3722,"")</f>
        <v/>
      </c>
      <c r="P3722" s="642" t="inlineStr">
        <is>
          <t xml:space="preserve"> МО, г Щелково, ул Фряновское шоссе, вблизи ДРСУ</t>
        </is>
      </c>
      <c r="Q3722" s="640" t="n">
        <v>55.932737</v>
      </c>
      <c r="R3722" s="494" t="n">
        <v>38.018876</v>
      </c>
      <c r="Z3722" s="1" t="n"/>
    </row>
    <row r="3723" hidden="1">
      <c r="A3723" s="125" t="n">
        <v>4402</v>
      </c>
      <c r="B3723" s="791" t="n"/>
      <c r="C3723" s="125" t="inlineStr">
        <is>
          <t>Москва</t>
        </is>
      </c>
      <c r="D3723" s="125" t="inlineStr">
        <is>
          <t>Московская область</t>
        </is>
      </c>
      <c r="E3723" s="791" t="n"/>
      <c r="F3723" s="125" t="inlineStr">
        <is>
          <t>АЗС</t>
        </is>
      </c>
      <c r="G3723" s="87" t="inlineStr">
        <is>
          <t>Нефтьмагистраль</t>
        </is>
      </c>
      <c r="H3723" s="264" t="n">
        <v>1100</v>
      </c>
      <c r="I3723" s="637" t="inlineStr">
        <is>
          <t>О54</t>
        </is>
      </c>
      <c r="J3723" s="637" t="inlineStr">
        <is>
          <t>MSK_NM_O_0054</t>
        </is>
      </c>
      <c r="K3723" s="791" t="n">
        <v>2</v>
      </c>
      <c r="L3723" s="791" t="n">
        <v>1</v>
      </c>
      <c r="M3723" s="265" t="inlineStr">
        <is>
          <t>Samsung 32" вертикальный</t>
        </is>
      </c>
      <c r="N3723" s="640" t="n"/>
      <c r="O3723" s="640">
        <f>IF(AND(N3723=1,L3723=1),K3723,"")</f>
        <v/>
      </c>
      <c r="P3723" s="642" t="inlineStr">
        <is>
          <t xml:space="preserve"> МО, го Домодедово, территория М-4 Дон, 67-й км, соор 1г</t>
        </is>
      </c>
      <c r="Q3723" s="640" t="n">
        <v>55.192779</v>
      </c>
      <c r="R3723" s="494" t="n">
        <v>37.892746</v>
      </c>
      <c r="Z3723" s="1" t="n"/>
    </row>
    <row r="3724" hidden="1">
      <c r="A3724" s="125" t="n">
        <v>4403</v>
      </c>
      <c r="B3724" s="791" t="n"/>
      <c r="C3724" s="125" t="inlineStr">
        <is>
          <t>Москва</t>
        </is>
      </c>
      <c r="D3724" s="125" t="inlineStr">
        <is>
          <t>Московская область</t>
        </is>
      </c>
      <c r="E3724" s="791" t="n"/>
      <c r="F3724" s="125" t="inlineStr">
        <is>
          <t>АЗС</t>
        </is>
      </c>
      <c r="G3724" s="87" t="inlineStr">
        <is>
          <t>Нефтьмагистраль</t>
        </is>
      </c>
      <c r="H3724" s="264" t="n">
        <v>850</v>
      </c>
      <c r="I3724" s="637" t="inlineStr">
        <is>
          <t>О56</t>
        </is>
      </c>
      <c r="J3724" s="637" t="inlineStr">
        <is>
          <t>MSK_NM_O_0056</t>
        </is>
      </c>
      <c r="K3724" s="791" t="n">
        <v>2</v>
      </c>
      <c r="L3724" s="791" t="n">
        <v>1</v>
      </c>
      <c r="M3724" s="265" t="inlineStr">
        <is>
          <t>Samsung 32" вертикальный</t>
        </is>
      </c>
      <c r="N3724" s="640" t="n"/>
      <c r="O3724" s="640">
        <f>IF(AND(N3724=1,L3724=1),K3724,"")</f>
        <v/>
      </c>
      <c r="P3724" s="642" t="inlineStr">
        <is>
          <t xml:space="preserve"> МО, г Подольск, п Железнодорожный, д., 10а</t>
        </is>
      </c>
      <c r="Q3724" s="640" t="n">
        <v>55.391259</v>
      </c>
      <c r="R3724" s="494" t="n">
        <v>37.555212</v>
      </c>
      <c r="Z3724" s="1" t="n"/>
    </row>
    <row r="3725" hidden="1">
      <c r="A3725" s="125" t="n">
        <v>4404</v>
      </c>
      <c r="B3725" s="791" t="n"/>
      <c r="C3725" s="125" t="inlineStr">
        <is>
          <t>Москва</t>
        </is>
      </c>
      <c r="D3725" s="125" t="inlineStr">
        <is>
          <t>Московская область</t>
        </is>
      </c>
      <c r="E3725" s="791" t="n"/>
      <c r="F3725" s="125" t="inlineStr">
        <is>
          <t>АЗС</t>
        </is>
      </c>
      <c r="G3725" s="87" t="inlineStr">
        <is>
          <t>Нефтьмагистраль</t>
        </is>
      </c>
      <c r="H3725" s="264" t="n">
        <v>1500</v>
      </c>
      <c r="I3725" s="637" t="inlineStr">
        <is>
          <t>О57</t>
        </is>
      </c>
      <c r="J3725" s="637" t="inlineStr">
        <is>
          <t>MSK_NM_O_0057</t>
        </is>
      </c>
      <c r="K3725" s="791" t="n">
        <v>2</v>
      </c>
      <c r="L3725" s="791" t="n">
        <v>1</v>
      </c>
      <c r="M3725" s="265" t="inlineStr">
        <is>
          <t>Samsung 32" вертикальный</t>
        </is>
      </c>
      <c r="N3725" s="640" t="n"/>
      <c r="O3725" s="640">
        <f>IF(AND(N3725=1,L3725=1),K3725,"")</f>
        <v/>
      </c>
      <c r="P3725" s="642" t="inlineStr">
        <is>
          <t xml:space="preserve"> МО, Мытищинский район, с/п Федоскинское, д Троице-Сельцо</t>
        </is>
      </c>
      <c r="Q3725" s="640" t="n">
        <v>56.062261</v>
      </c>
      <c r="R3725" s="494" t="n">
        <v>37.523944</v>
      </c>
      <c r="Z3725" s="1" t="n"/>
    </row>
    <row r="3726" hidden="1">
      <c r="A3726" s="125" t="n">
        <v>4405</v>
      </c>
      <c r="B3726" s="791" t="n"/>
      <c r="C3726" s="125" t="inlineStr">
        <is>
          <t>Москва</t>
        </is>
      </c>
      <c r="D3726" s="125" t="inlineStr">
        <is>
          <t>Московская область</t>
        </is>
      </c>
      <c r="E3726" s="791" t="n"/>
      <c r="F3726" s="125" t="inlineStr">
        <is>
          <t>АЗС</t>
        </is>
      </c>
      <c r="G3726" s="87" t="inlineStr">
        <is>
          <t>Нефтьмагистраль</t>
        </is>
      </c>
      <c r="H3726" s="264" t="n">
        <v>1300</v>
      </c>
      <c r="I3726" s="637" t="inlineStr">
        <is>
          <t>О59</t>
        </is>
      </c>
      <c r="J3726" s="637" t="inlineStr">
        <is>
          <t>MSK_NM_O_0059</t>
        </is>
      </c>
      <c r="K3726" s="791" t="n">
        <v>2</v>
      </c>
      <c r="L3726" s="791" t="n">
        <v>1</v>
      </c>
      <c r="M3726" s="265" t="inlineStr">
        <is>
          <t>Samsung 32" вертикальный</t>
        </is>
      </c>
      <c r="N3726" s="640" t="n"/>
      <c r="O3726" s="640">
        <f>IF(AND(N3726=1,L3726=1),K3726,"")</f>
        <v/>
      </c>
      <c r="P3726" s="642" t="inlineStr">
        <is>
          <t xml:space="preserve"> МО, Истринский р-он, сп Костровское, 70 км автодороги «Балтия»</t>
        </is>
      </c>
      <c r="Q3726" s="640" t="n">
        <v>55.899794</v>
      </c>
      <c r="R3726" s="494" t="n">
        <v>36.633583</v>
      </c>
      <c r="Z3726" s="1" t="n"/>
    </row>
    <row r="3727" hidden="1">
      <c r="A3727" s="125" t="n">
        <v>4406</v>
      </c>
      <c r="B3727" s="791" t="n"/>
      <c r="C3727" s="125" t="inlineStr">
        <is>
          <t>Москва</t>
        </is>
      </c>
      <c r="D3727" s="125" t="inlineStr">
        <is>
          <t>Московская область</t>
        </is>
      </c>
      <c r="E3727" s="791" t="n"/>
      <c r="F3727" s="125" t="inlineStr">
        <is>
          <t>АЗС</t>
        </is>
      </c>
      <c r="G3727" s="87" t="inlineStr">
        <is>
          <t>Нефтьмагистраль</t>
        </is>
      </c>
      <c r="H3727" s="264" t="n">
        <v>1250</v>
      </c>
      <c r="I3727" s="637" t="inlineStr">
        <is>
          <t>О61</t>
        </is>
      </c>
      <c r="J3727" s="637" t="inlineStr">
        <is>
          <t>MSK_NM_O_0061</t>
        </is>
      </c>
      <c r="K3727" s="791" t="n">
        <v>2</v>
      </c>
      <c r="L3727" s="791" t="n">
        <v>1</v>
      </c>
      <c r="M3727" s="265" t="inlineStr">
        <is>
          <t>Samsung 32" вертикальный</t>
        </is>
      </c>
      <c r="N3727" s="640" t="n"/>
      <c r="O3727" s="640">
        <f>IF(AND(N3727=1,L3727=1),K3727,"")</f>
        <v/>
      </c>
      <c r="P3727" s="642" t="inlineStr">
        <is>
          <t xml:space="preserve"> МО, го Истра, д Фроловское, территория квартала №0060140, здание №53, 67 км а/д Москва-Рига</t>
        </is>
      </c>
      <c r="Q3727" s="640" t="n">
        <v>55.88543</v>
      </c>
      <c r="R3727" s="494" t="n">
        <v>36.664443</v>
      </c>
      <c r="Z3727" s="1" t="n"/>
    </row>
    <row r="3728" hidden="1">
      <c r="A3728" s="125" t="n">
        <v>4407</v>
      </c>
      <c r="B3728" s="791" t="n"/>
      <c r="C3728" s="125" t="inlineStr">
        <is>
          <t>Москва</t>
        </is>
      </c>
      <c r="D3728" s="125" t="inlineStr">
        <is>
          <t>Московская область</t>
        </is>
      </c>
      <c r="E3728" s="791" t="n"/>
      <c r="F3728" s="125" t="inlineStr">
        <is>
          <t>АЗС</t>
        </is>
      </c>
      <c r="G3728" s="87" t="inlineStr">
        <is>
          <t>Нефтьмагистраль</t>
        </is>
      </c>
      <c r="H3728" s="264" t="n">
        <v>900</v>
      </c>
      <c r="I3728" s="637" t="inlineStr">
        <is>
          <t>О62</t>
        </is>
      </c>
      <c r="J3728" s="637" t="inlineStr">
        <is>
          <t>MSK_NM_O_0062</t>
        </is>
      </c>
      <c r="K3728" s="791" t="n">
        <v>1</v>
      </c>
      <c r="L3728" s="791" t="n">
        <v>1</v>
      </c>
      <c r="M3728" s="265" t="inlineStr">
        <is>
          <t>Samsung 32" вертикальный</t>
        </is>
      </c>
      <c r="N3728" s="640" t="n"/>
      <c r="O3728" s="640">
        <f>IF(AND(N3728=1,L3728=1),K3728,"")</f>
        <v/>
      </c>
      <c r="P3728" s="642" t="inlineStr">
        <is>
          <t xml:space="preserve"> МО, го Истра, д Садки, зд 1Г/1 (1Г/2, 1Г/3)</t>
        </is>
      </c>
      <c r="Q3728" s="640" t="n">
        <v>55.880011</v>
      </c>
      <c r="R3728" s="494" t="n">
        <v>37.082653</v>
      </c>
      <c r="Z3728" s="1" t="n"/>
    </row>
    <row r="3729" hidden="1">
      <c r="A3729" s="125" t="n">
        <v>4408</v>
      </c>
      <c r="B3729" s="791" t="n"/>
      <c r="C3729" s="125" t="inlineStr">
        <is>
          <t>Москва</t>
        </is>
      </c>
      <c r="D3729" s="125" t="inlineStr">
        <is>
          <t>Московская область</t>
        </is>
      </c>
      <c r="E3729" s="791" t="n"/>
      <c r="F3729" s="125" t="inlineStr">
        <is>
          <t>АЗС</t>
        </is>
      </c>
      <c r="G3729" s="87" t="inlineStr">
        <is>
          <t>Нефтьмагистраль</t>
        </is>
      </c>
      <c r="H3729" s="264" t="n">
        <v>1400</v>
      </c>
      <c r="I3729" s="637" t="inlineStr">
        <is>
          <t>О63</t>
        </is>
      </c>
      <c r="J3729" s="637" t="inlineStr">
        <is>
          <t>MSK_NM_O_0063</t>
        </is>
      </c>
      <c r="K3729" s="791" t="n">
        <v>2</v>
      </c>
      <c r="L3729" s="791" t="n">
        <v>1</v>
      </c>
      <c r="M3729" s="265" t="inlineStr">
        <is>
          <t>Samsung 32" вертикальный</t>
        </is>
      </c>
      <c r="N3729" s="640" t="n"/>
      <c r="O3729" s="640">
        <f>IF(AND(N3729=1,L3729=1),K3729,"")</f>
        <v/>
      </c>
      <c r="P3729" s="642" t="inlineStr">
        <is>
          <t xml:space="preserve"> МО, г Истра, 46 км а/д Москва-Рига</t>
        </is>
      </c>
      <c r="Q3729" s="640" t="n">
        <v>55.819223</v>
      </c>
      <c r="R3729" s="494" t="n">
        <v>36.9625</v>
      </c>
      <c r="Z3729" s="1" t="n"/>
    </row>
    <row r="3730" hidden="1">
      <c r="A3730" s="125" t="n">
        <v>4409</v>
      </c>
      <c r="B3730" s="791" t="n"/>
      <c r="C3730" s="125" t="inlineStr">
        <is>
          <t>Москва</t>
        </is>
      </c>
      <c r="D3730" s="125" t="inlineStr">
        <is>
          <t>Московская область</t>
        </is>
      </c>
      <c r="E3730" s="791" t="n"/>
      <c r="F3730" s="125" t="inlineStr">
        <is>
          <t>АЗС</t>
        </is>
      </c>
      <c r="G3730" s="87" t="inlineStr">
        <is>
          <t>Нефтьмагистраль</t>
        </is>
      </c>
      <c r="H3730" s="264" t="n">
        <v>1100</v>
      </c>
      <c r="I3730" s="637" t="inlineStr">
        <is>
          <t>О64</t>
        </is>
      </c>
      <c r="J3730" s="637" t="inlineStr">
        <is>
          <t>MSK_NM_O_0064</t>
        </is>
      </c>
      <c r="K3730" s="791" t="n">
        <v>2</v>
      </c>
      <c r="L3730" s="791" t="n">
        <v>1</v>
      </c>
      <c r="M3730" s="265" t="inlineStr">
        <is>
          <t>Samsung 32" вертикальный</t>
        </is>
      </c>
      <c r="N3730" s="640" t="n"/>
      <c r="O3730" s="640">
        <f>IF(AND(N3730=1,L3730=1),K3730,"")</f>
        <v/>
      </c>
      <c r="P3730" s="642" t="inlineStr">
        <is>
          <t xml:space="preserve"> МО, го Мытищи, д Троице-Сельцо, вл 1, стр 1А</t>
        </is>
      </c>
      <c r="Q3730" s="640" t="n">
        <v>56.065785</v>
      </c>
      <c r="R3730" s="494" t="n">
        <v>37.517372</v>
      </c>
      <c r="Z3730" s="1" t="n"/>
    </row>
    <row r="3731" hidden="1">
      <c r="A3731" s="125" t="n">
        <v>4410</v>
      </c>
      <c r="B3731" s="791" t="n"/>
      <c r="C3731" s="125" t="inlineStr">
        <is>
          <t>Москва</t>
        </is>
      </c>
      <c r="D3731" s="125" t="inlineStr">
        <is>
          <t>Московская область</t>
        </is>
      </c>
      <c r="E3731" s="791" t="n"/>
      <c r="F3731" s="125" t="inlineStr">
        <is>
          <t>АЗС</t>
        </is>
      </c>
      <c r="G3731" s="87" t="inlineStr">
        <is>
          <t>Нефтьмагистраль</t>
        </is>
      </c>
      <c r="H3731" s="264" t="n">
        <v>750</v>
      </c>
      <c r="I3731" s="637" t="inlineStr">
        <is>
          <t>О65</t>
        </is>
      </c>
      <c r="J3731" s="637" t="inlineStr">
        <is>
          <t>MSK_NM_O_0065</t>
        </is>
      </c>
      <c r="K3731" s="791" t="n">
        <v>1</v>
      </c>
      <c r="L3731" s="791" t="n">
        <v>1</v>
      </c>
      <c r="M3731" s="265" t="inlineStr">
        <is>
          <t>Samsung 32" вертикальный</t>
        </is>
      </c>
      <c r="N3731" s="640" t="n"/>
      <c r="O3731" s="640">
        <f>IF(AND(N3731=1,L3731=1),K3731,"")</f>
        <v/>
      </c>
      <c r="P3731" s="642" t="inlineStr">
        <is>
          <t xml:space="preserve"> МО, Ленинский р-н, сп Молоковское, с Молоково, стр 2П</t>
        </is>
      </c>
      <c r="Q3731" s="640" t="n">
        <v>55.56136</v>
      </c>
      <c r="R3731" s="494" t="n">
        <v>37.852446</v>
      </c>
      <c r="Z3731" s="1" t="n"/>
    </row>
    <row r="3732" hidden="1">
      <c r="A3732" s="125" t="n">
        <v>4411</v>
      </c>
      <c r="B3732" s="791" t="n"/>
      <c r="C3732" s="125" t="inlineStr">
        <is>
          <t>Москва</t>
        </is>
      </c>
      <c r="D3732" s="125" t="inlineStr">
        <is>
          <t>Московская область</t>
        </is>
      </c>
      <c r="E3732" s="791" t="n"/>
      <c r="F3732" s="125" t="inlineStr">
        <is>
          <t>АЗС</t>
        </is>
      </c>
      <c r="G3732" s="87" t="inlineStr">
        <is>
          <t>Нефтьмагистраль</t>
        </is>
      </c>
      <c r="H3732" s="264" t="n">
        <v>630</v>
      </c>
      <c r="I3732" s="637" t="inlineStr">
        <is>
          <t>О66</t>
        </is>
      </c>
      <c r="J3732" s="637" t="inlineStr">
        <is>
          <t>MSK_NM_O_0066</t>
        </is>
      </c>
      <c r="K3732" s="791" t="n">
        <v>1</v>
      </c>
      <c r="L3732" s="791" t="n">
        <v>1</v>
      </c>
      <c r="M3732" s="265" t="inlineStr">
        <is>
          <t>Samsung 32" вертикальный</t>
        </is>
      </c>
      <c r="N3732" s="640" t="n"/>
      <c r="O3732" s="640">
        <f>IF(AND(N3732=1,L3732=1),K3732,"")</f>
        <v/>
      </c>
      <c r="P3732" s="642" t="inlineStr">
        <is>
          <t xml:space="preserve"> МО, г Подольск, в районе поселка Быково (МО, г Подольск,  46Н-08900)</t>
        </is>
      </c>
      <c r="Q3732" s="640" t="n">
        <v>55.46827</v>
      </c>
      <c r="R3732" s="494" t="n">
        <v>37.596804</v>
      </c>
      <c r="Z3732" s="1" t="n"/>
    </row>
    <row r="3733" hidden="1">
      <c r="A3733" s="125" t="n">
        <v>4412</v>
      </c>
      <c r="B3733" s="791" t="n"/>
      <c r="C3733" s="125" t="inlineStr">
        <is>
          <t>Москва</t>
        </is>
      </c>
      <c r="D3733" s="125" t="inlineStr">
        <is>
          <t>Московская область</t>
        </is>
      </c>
      <c r="E3733" s="791" t="n"/>
      <c r="F3733" s="125" t="inlineStr">
        <is>
          <t>АЗС</t>
        </is>
      </c>
      <c r="G3733" s="87" t="inlineStr">
        <is>
          <t>Нефтьмагистраль</t>
        </is>
      </c>
      <c r="H3733" s="264" t="n">
        <v>520</v>
      </c>
      <c r="I3733" s="637" t="inlineStr">
        <is>
          <t>О67</t>
        </is>
      </c>
      <c r="J3733" s="637" t="inlineStr">
        <is>
          <t>MSK_NM_O_0067</t>
        </is>
      </c>
      <c r="K3733" s="791" t="n">
        <v>2</v>
      </c>
      <c r="L3733" s="791" t="n">
        <v>1</v>
      </c>
      <c r="M3733" s="265" t="inlineStr">
        <is>
          <t>Samsung 32" вертикальный</t>
        </is>
      </c>
      <c r="N3733" s="640" t="n"/>
      <c r="O3733" s="640">
        <f>IF(AND(N3733=1,L3733=1),K3733,"")</f>
        <v/>
      </c>
      <c r="P3733" s="642" t="inlineStr">
        <is>
          <t xml:space="preserve"> МО, Ленинский р-он, гп Горки Ленинские, 30 км Каширского шоссе, левая сторона</t>
        </is>
      </c>
      <c r="Q3733" s="640" t="n">
        <v>55.522503</v>
      </c>
      <c r="R3733" s="494" t="n">
        <v>37.765385</v>
      </c>
      <c r="Z3733" s="1" t="n"/>
    </row>
    <row r="3734" hidden="1">
      <c r="A3734" s="125" t="n">
        <v>4413</v>
      </c>
      <c r="B3734" s="791" t="n"/>
      <c r="C3734" s="125" t="inlineStr">
        <is>
          <t>Санкт-Петербург</t>
        </is>
      </c>
      <c r="D3734" s="125" t="inlineStr">
        <is>
          <t>Санкт-Петербург</t>
        </is>
      </c>
      <c r="E3734" s="791" t="n"/>
      <c r="F3734" s="125" t="inlineStr">
        <is>
          <t>АЗС</t>
        </is>
      </c>
      <c r="G3734" s="125" t="inlineStr">
        <is>
          <t>Газпромнефть</t>
        </is>
      </c>
      <c r="H3734" s="791" t="n"/>
      <c r="I3734" s="637" t="n">
        <v>10118</v>
      </c>
      <c r="J3734" s="637" t="inlineStr">
        <is>
          <t>GPN_10118</t>
        </is>
      </c>
      <c r="K3734" s="791" t="n">
        <v>3</v>
      </c>
      <c r="L3734" s="422" t="n">
        <v>1</v>
      </c>
      <c r="M3734" s="623" t="n">
        <v>5</v>
      </c>
      <c r="N3734" s="640" t="n"/>
      <c r="O3734" s="640">
        <f>IF(AND(N3734=1,L3734=1),K3734,"")</f>
        <v/>
      </c>
      <c r="P3734" s="642" t="inlineStr">
        <is>
          <t>г. Санкт-Петербург, Дорога на Турухтанные острова, д. 10, корпус 3, сооружение 1</t>
        </is>
      </c>
      <c r="Q3734" s="640" t="inlineStr">
        <is>
          <t>59.86851</t>
        </is>
      </c>
      <c r="R3734" s="494" t="inlineStr">
        <is>
          <t>30.24896</t>
        </is>
      </c>
      <c r="W3734" s="387">
        <f>IF(AND(N3734=1,O3734&lt;&gt;""),C3734,"")</f>
        <v/>
      </c>
      <c r="Z3734" s="1" t="n"/>
    </row>
    <row r="3735" hidden="1">
      <c r="A3735" s="125" t="n">
        <v>4414</v>
      </c>
      <c r="B3735" s="791" t="n"/>
      <c r="C3735" s="125" t="inlineStr">
        <is>
          <t>Санкт-Петербург</t>
        </is>
      </c>
      <c r="D3735" s="125" t="inlineStr">
        <is>
          <t>Санкт-Петербург</t>
        </is>
      </c>
      <c r="E3735" s="791" t="n"/>
      <c r="F3735" s="130" t="inlineStr">
        <is>
          <t>АЗС</t>
        </is>
      </c>
      <c r="G3735" s="130" t="inlineStr">
        <is>
          <t>Газпромнефть</t>
        </is>
      </c>
      <c r="H3735" s="791" t="n"/>
      <c r="I3735" s="637" t="n">
        <v>10119</v>
      </c>
      <c r="J3735" s="637" t="inlineStr">
        <is>
          <t>GPN_10119</t>
        </is>
      </c>
      <c r="K3735" s="791" t="n">
        <v>3</v>
      </c>
      <c r="L3735" s="640" t="n">
        <v>1</v>
      </c>
      <c r="M3735" s="624" t="n">
        <v>3</v>
      </c>
      <c r="N3735" s="640" t="n"/>
      <c r="O3735" s="640">
        <f>IF(AND(N3735=1,L3735=1),K3735,"")</f>
        <v/>
      </c>
      <c r="P3735" s="642" t="inlineStr">
        <is>
          <t>г. Санкт-Петербург, г. Колпино, ул. Культуры, д. 19, лит. А</t>
        </is>
      </c>
      <c r="Q3735" s="640" t="inlineStr">
        <is>
          <t>59.7524</t>
        </is>
      </c>
      <c r="R3735" s="494" t="inlineStr">
        <is>
          <t>30.608</t>
        </is>
      </c>
      <c r="W3735" s="387">
        <f>IF(AND(N3735=1,O3735&lt;&gt;""),C3735,"")</f>
        <v/>
      </c>
      <c r="Z3735" s="1" t="n"/>
    </row>
    <row r="3736" hidden="1">
      <c r="A3736" s="125" t="n">
        <v>4415</v>
      </c>
      <c r="B3736" s="791" t="n"/>
      <c r="C3736" s="125" t="inlineStr">
        <is>
          <t>Санкт-Петербург</t>
        </is>
      </c>
      <c r="D3736" s="125" t="inlineStr">
        <is>
          <t>Санкт-Петербург</t>
        </is>
      </c>
      <c r="E3736" s="791" t="n"/>
      <c r="F3736" s="130" t="inlineStr">
        <is>
          <t>АЗС</t>
        </is>
      </c>
      <c r="G3736" s="130" t="inlineStr">
        <is>
          <t>Газпромнефть</t>
        </is>
      </c>
      <c r="H3736" s="791" t="n"/>
      <c r="I3736" s="637" t="n">
        <v>10126</v>
      </c>
      <c r="J3736" s="637" t="inlineStr">
        <is>
          <t>GPN_10126</t>
        </is>
      </c>
      <c r="K3736" s="791" t="n">
        <v>2</v>
      </c>
      <c r="L3736" s="640" t="n">
        <v>1</v>
      </c>
      <c r="M3736" s="624" t="n">
        <v>2</v>
      </c>
      <c r="N3736" s="640" t="n"/>
      <c r="O3736" s="640">
        <f>IF(AND(N3736=1,L3736=1),K3736,"")</f>
        <v/>
      </c>
      <c r="P3736" s="642" t="inlineStr">
        <is>
          <t>Санкт-Петербург, Шушары, Пулковское ш. 120 к.2 А</t>
        </is>
      </c>
      <c r="Q3736" s="640" t="inlineStr">
        <is>
          <t>59.74917</t>
        </is>
      </c>
      <c r="R3736" s="494" t="inlineStr">
        <is>
          <t>30.31573</t>
        </is>
      </c>
      <c r="W3736" s="387">
        <f>IF(AND(N3736=1,O3736&lt;&gt;""),C3736,"")</f>
        <v/>
      </c>
      <c r="Z3736" s="1" t="n"/>
    </row>
    <row r="3737" hidden="1">
      <c r="A3737" s="125" t="n">
        <v>4416</v>
      </c>
      <c r="B3737" s="791" t="n"/>
      <c r="C3737" s="125" t="inlineStr">
        <is>
          <t>Санкт-Петербург</t>
        </is>
      </c>
      <c r="D3737" s="125" t="inlineStr">
        <is>
          <t>Ленинградская область</t>
        </is>
      </c>
      <c r="E3737" s="791" t="n"/>
      <c r="F3737" s="130" t="inlineStr">
        <is>
          <t>АЗС</t>
        </is>
      </c>
      <c r="G3737" s="130" t="inlineStr">
        <is>
          <t>Газпромнефть</t>
        </is>
      </c>
      <c r="H3737" s="791" t="n"/>
      <c r="I3737" s="637" t="n">
        <v>10128</v>
      </c>
      <c r="J3737" s="637" t="inlineStr">
        <is>
          <t>GPN_10128</t>
        </is>
      </c>
      <c r="K3737" s="791" t="n">
        <v>3</v>
      </c>
      <c r="L3737" s="640" t="n">
        <v>1</v>
      </c>
      <c r="M3737" s="624" t="n">
        <v>3</v>
      </c>
      <c r="N3737" s="640" t="n"/>
      <c r="O3737" s="640">
        <f>IF(AND(N3737=1,L3737=1),K3737,"")</f>
        <v/>
      </c>
      <c r="P3737" s="642" t="inlineStr">
        <is>
          <t>Ленинградская обл., г.п. Кузьмоловский, Ленинградское шоссе, д. 1-А</t>
        </is>
      </c>
      <c r="Q3737" s="640" t="inlineStr">
        <is>
          <t>60.10767</t>
        </is>
      </c>
      <c r="R3737" s="494" t="inlineStr">
        <is>
          <t>30.50122</t>
        </is>
      </c>
      <c r="W3737" s="387">
        <f>IF(AND(N3737=1,O3737&lt;&gt;""),C3737,"")</f>
        <v/>
      </c>
      <c r="Z3737" s="1" t="n"/>
    </row>
    <row r="3738" hidden="1">
      <c r="A3738" s="125" t="n">
        <v>4417</v>
      </c>
      <c r="B3738" s="791" t="n"/>
      <c r="C3738" s="125" t="inlineStr">
        <is>
          <t>Санкт-Петербург</t>
        </is>
      </c>
      <c r="D3738" s="130" t="inlineStr">
        <is>
          <t>Санкт-Петербург</t>
        </is>
      </c>
      <c r="E3738" s="791" t="n"/>
      <c r="F3738" s="130" t="inlineStr">
        <is>
          <t>АЗС</t>
        </is>
      </c>
      <c r="G3738" s="130" t="inlineStr">
        <is>
          <t>Газпромнефть</t>
        </is>
      </c>
      <c r="H3738" s="791" t="n"/>
      <c r="I3738" s="637" t="n">
        <v>10129</v>
      </c>
      <c r="J3738" s="637" t="inlineStr">
        <is>
          <t>GPN_10129</t>
        </is>
      </c>
      <c r="K3738" s="640" t="n">
        <v>2</v>
      </c>
      <c r="L3738" s="640" t="n">
        <v>1</v>
      </c>
      <c r="M3738" s="623" t="n">
        <v>2</v>
      </c>
      <c r="N3738" s="640" t="n"/>
      <c r="O3738" s="640">
        <f>IF(AND(N3738=1,L3738=1),K3738,"")</f>
        <v/>
      </c>
      <c r="P3738" s="642" t="inlineStr">
        <is>
          <t>Санкт-Петербург, ул. Школьная 100 А</t>
        </is>
      </c>
      <c r="Q3738" s="640" t="inlineStr">
        <is>
          <t xml:space="preserve">59.99063 </t>
        </is>
      </c>
      <c r="R3738" s="494" t="inlineStr">
        <is>
          <t>30.22163</t>
        </is>
      </c>
      <c r="W3738" s="387">
        <f>IF(AND(N3738=1,O3738&lt;&gt;""),C3738,"")</f>
        <v/>
      </c>
      <c r="Z3738" s="1" t="n"/>
    </row>
    <row r="3739" hidden="1">
      <c r="A3739" s="125" t="n">
        <v>4418</v>
      </c>
      <c r="B3739" s="791" t="n"/>
      <c r="C3739" s="125" t="inlineStr">
        <is>
          <t>Санкт-Петербург</t>
        </is>
      </c>
      <c r="D3739" s="125" t="inlineStr">
        <is>
          <t>Санкт-Петербург</t>
        </is>
      </c>
      <c r="E3739" s="791" t="n"/>
      <c r="F3739" s="130" t="inlineStr">
        <is>
          <t>АЗС</t>
        </is>
      </c>
      <c r="G3739" s="130" t="inlineStr">
        <is>
          <t>Газпромнефть</t>
        </is>
      </c>
      <c r="H3739" s="791" t="n"/>
      <c r="I3739" s="637" t="n">
        <v>10136</v>
      </c>
      <c r="J3739" s="637" t="inlineStr">
        <is>
          <t>GPN_10136</t>
        </is>
      </c>
      <c r="K3739" s="791" t="n">
        <v>3</v>
      </c>
      <c r="L3739" s="640" t="n">
        <v>1</v>
      </c>
      <c r="M3739" s="623" t="n">
        <v>3</v>
      </c>
      <c r="N3739" s="640" t="n"/>
      <c r="O3739" s="640">
        <f>IF(AND(N3739=1,L3739=1),K3739,"")</f>
        <v/>
      </c>
      <c r="P3739" s="642" t="inlineStr">
        <is>
          <t>г. Санкт-Петербург, г.Пушкин, Пулковское шоссе д.147 лит.А</t>
        </is>
      </c>
      <c r="Q3739" s="640" t="inlineStr">
        <is>
          <t>59.68207</t>
        </is>
      </c>
      <c r="R3739" s="422" t="inlineStr">
        <is>
          <t>30.24376</t>
        </is>
      </c>
      <c r="W3739" s="387">
        <f>IF(AND(N3739=1,O3739&lt;&gt;""),C3739,"")</f>
        <v/>
      </c>
      <c r="Z3739" s="1" t="n"/>
    </row>
    <row r="3740" hidden="1">
      <c r="A3740" s="125" t="n">
        <v>4419</v>
      </c>
      <c r="B3740" s="791" t="n"/>
      <c r="C3740" s="125" t="inlineStr">
        <is>
          <t>Москва</t>
        </is>
      </c>
      <c r="D3740" s="125" t="inlineStr">
        <is>
          <t>Московская область</t>
        </is>
      </c>
      <c r="E3740" s="791" t="n"/>
      <c r="F3740" s="130" t="inlineStr">
        <is>
          <t>АЗС</t>
        </is>
      </c>
      <c r="G3740" s="130" t="inlineStr">
        <is>
          <t>Газпромнефть</t>
        </is>
      </c>
      <c r="H3740" s="791" t="n"/>
      <c r="I3740" s="637" t="n">
        <v>12352</v>
      </c>
      <c r="J3740" s="637" t="inlineStr">
        <is>
          <t>GPN_12352</t>
        </is>
      </c>
      <c r="K3740" s="791" t="n">
        <v>3</v>
      </c>
      <c r="L3740" s="640" t="n">
        <v>1</v>
      </c>
      <c r="M3740" s="623" t="n">
        <v>5</v>
      </c>
      <c r="N3740" s="640" t="n"/>
      <c r="O3740" s="640">
        <f>IF(AND(N3740=1,L3740=1),K3740,"")</f>
        <v/>
      </c>
      <c r="P3740" s="642" t="inlineStr">
        <is>
          <t>Московская обл., Истринский р-н, д.Лешково, д.185/1</t>
        </is>
      </c>
      <c r="Q3740" s="640" t="inlineStr">
        <is>
          <t>55.81153</t>
        </is>
      </c>
      <c r="R3740" s="494" t="inlineStr">
        <is>
          <t>37.12197</t>
        </is>
      </c>
      <c r="W3740" s="387">
        <f>IF(AND(N3740=1,O3740&lt;&gt;""),C3740,"")</f>
        <v/>
      </c>
      <c r="Z3740" s="1" t="n"/>
    </row>
    <row r="3741" hidden="1">
      <c r="A3741" s="125" t="n">
        <v>4420</v>
      </c>
      <c r="B3741" s="791" t="n"/>
      <c r="C3741" s="125" t="inlineStr">
        <is>
          <t>Омск</t>
        </is>
      </c>
      <c r="D3741" s="130" t="inlineStr">
        <is>
          <t>Омская область</t>
        </is>
      </c>
      <c r="E3741" s="791" t="n"/>
      <c r="F3741" s="130" t="inlineStr">
        <is>
          <t>АЗС</t>
        </is>
      </c>
      <c r="G3741" s="130" t="inlineStr">
        <is>
          <t>Газпромнефть</t>
        </is>
      </c>
      <c r="H3741" s="791" t="n"/>
      <c r="I3741" s="637" t="n">
        <v>31086</v>
      </c>
      <c r="J3741" s="637" t="inlineStr">
        <is>
          <t>GPN_31086</t>
        </is>
      </c>
      <c r="K3741" s="791" t="n">
        <v>3</v>
      </c>
      <c r="L3741" s="640" t="n">
        <v>1</v>
      </c>
      <c r="M3741" s="623" t="n">
        <v>5</v>
      </c>
      <c r="N3741" s="640" t="n"/>
      <c r="O3741" s="640">
        <f>IF(AND(N3741=1,L3741=1),K3741,"")</f>
        <v/>
      </c>
      <c r="P3741" s="642" t="inlineStr">
        <is>
          <t>Омская область., Тюкалинский р-н, г. Тюкалинск, ул. 1-я Магистральная, д. 53</t>
        </is>
      </c>
      <c r="Q3741" s="640" t="inlineStr">
        <is>
          <t>55.86432</t>
        </is>
      </c>
      <c r="R3741" s="494" t="inlineStr">
        <is>
          <t>72.21237</t>
        </is>
      </c>
      <c r="W3741" s="387">
        <f>IF(AND(N3741=1,O3741&lt;&gt;""),C3741,"")</f>
        <v/>
      </c>
      <c r="Z3741" s="1" t="n"/>
    </row>
    <row r="3742" hidden="1">
      <c r="A3742" s="125" t="n">
        <v>4421</v>
      </c>
      <c r="B3742" s="791" t="n"/>
      <c r="C3742" s="125" t="inlineStr">
        <is>
          <t>Москва</t>
        </is>
      </c>
      <c r="D3742" s="130" t="inlineStr">
        <is>
          <t>Московская область</t>
        </is>
      </c>
      <c r="E3742" s="125" t="inlineStr">
        <is>
          <t>ЦКАД</t>
        </is>
      </c>
      <c r="F3742" s="130" t="inlineStr">
        <is>
          <t>Платная трасса</t>
        </is>
      </c>
      <c r="G3742" s="130" t="inlineStr">
        <is>
          <t>Автодор</t>
        </is>
      </c>
      <c r="H3742" s="421" t="inlineStr">
        <is>
          <t>179км</t>
        </is>
      </c>
      <c r="I3742" s="637" t="inlineStr">
        <is>
          <t>CKAD_S07</t>
        </is>
      </c>
      <c r="J3742" s="637" t="inlineStr">
        <is>
          <t>AVD_CKAD_S07_179</t>
        </is>
      </c>
      <c r="K3742" s="422" t="n">
        <v>1</v>
      </c>
      <c r="L3742" s="640" t="n">
        <v>0</v>
      </c>
      <c r="M3742" s="640" t="inlineStr">
        <is>
          <t>Samsung 43" горизонтальный</t>
        </is>
      </c>
      <c r="N3742" s="640" t="n"/>
      <c r="O3742" s="640">
        <f>IF(AND(N3742=1,L3742=1),K3742,"")</f>
        <v/>
      </c>
      <c r="P3742" s="642" t="inlineStr">
        <is>
          <t xml:space="preserve">Россия, Московская обл., г.о. Раменский,  пос. Ганусово, 179 км ЦКАД </t>
        </is>
      </c>
      <c r="Q3742" s="640" t="inlineStr">
        <is>
          <t>55.355867</t>
        </is>
      </c>
      <c r="R3742" s="422" t="inlineStr">
        <is>
          <t>38.155821</t>
        </is>
      </c>
      <c r="Z3742" s="1" t="n"/>
    </row>
    <row r="3743" hidden="1">
      <c r="A3743" s="125" t="n">
        <v>4422</v>
      </c>
      <c r="B3743" s="791" t="n"/>
      <c r="C3743" s="130" t="inlineStr">
        <is>
          <t>Москва</t>
        </is>
      </c>
      <c r="D3743" s="130" t="inlineStr">
        <is>
          <t>Московская область</t>
        </is>
      </c>
      <c r="E3743" s="151" t="n"/>
      <c r="F3743" s="130" t="inlineStr">
        <is>
          <t>АЗС</t>
        </is>
      </c>
      <c r="G3743" s="439" t="inlineStr">
        <is>
          <t>Нефтьмагистраль</t>
        </is>
      </c>
      <c r="H3743" s="262" t="n">
        <v>900</v>
      </c>
      <c r="I3743" s="637" t="inlineStr">
        <is>
          <t>О60</t>
        </is>
      </c>
      <c r="J3743" s="440" t="inlineStr">
        <is>
          <t>MSK_NM_O_0060</t>
        </is>
      </c>
      <c r="K3743" s="151" t="n">
        <v>6</v>
      </c>
      <c r="L3743" s="640" t="n">
        <v>1</v>
      </c>
      <c r="M3743" s="265" t="inlineStr">
        <is>
          <t>Samsung 32" вертикальный</t>
        </is>
      </c>
      <c r="N3743" s="640" t="n"/>
      <c r="O3743" s="640">
        <f>IF(AND(N3743=1,L3743=1),K3743,"")</f>
        <v/>
      </c>
      <c r="P3743" s="642" t="inlineStr">
        <is>
          <t>МО Котельники МКАД 12км дом 1</t>
        </is>
      </c>
      <c r="Q3743" s="640" t="inlineStr">
        <is>
          <t>55.675004</t>
        </is>
      </c>
      <c r="R3743" s="494" t="inlineStr">
        <is>
          <t>37.836776</t>
        </is>
      </c>
      <c r="Z3743" s="1" t="n"/>
    </row>
    <row r="3744" hidden="1">
      <c r="A3744" s="125" t="n">
        <v>4424</v>
      </c>
      <c r="B3744" s="791" t="n"/>
      <c r="C3744" s="125" t="inlineStr">
        <is>
          <t>Москва</t>
        </is>
      </c>
      <c r="D3744" s="125" t="inlineStr">
        <is>
          <t>Московская область</t>
        </is>
      </c>
      <c r="E3744" s="791" t="n"/>
      <c r="F3744" s="125" t="inlineStr">
        <is>
          <t>АЗС</t>
        </is>
      </c>
      <c r="G3744" s="125" t="inlineStr">
        <is>
          <t>Газпромнефть</t>
        </is>
      </c>
      <c r="H3744" s="791" t="n"/>
      <c r="I3744" s="637" t="n">
        <v>12356</v>
      </c>
      <c r="J3744" s="441" t="inlineStr">
        <is>
          <t>GPN_12356</t>
        </is>
      </c>
      <c r="K3744" s="791" t="n">
        <v>3</v>
      </c>
      <c r="L3744" s="640" t="n">
        <v>1</v>
      </c>
      <c r="M3744" s="265" t="n">
        <v>5</v>
      </c>
      <c r="N3744" s="640" t="n"/>
      <c r="O3744" s="640">
        <f>IF(AND(N3744=1,L3744=1),K3744,"")</f>
        <v/>
      </c>
      <c r="P3744" s="642" t="inlineStr">
        <is>
          <t>Московская обл., г. Подольск, д. Малое Толбино</t>
        </is>
      </c>
      <c r="Q3744" s="640" t="n">
        <v>55.33369</v>
      </c>
      <c r="R3744" s="494" t="n">
        <v>37.49225</v>
      </c>
      <c r="W3744" s="387">
        <f>IF(AND(N3744=1,O3744&lt;&gt;""),C3744,"")</f>
        <v/>
      </c>
      <c r="Z3744" s="1" t="n"/>
    </row>
    <row r="3745" hidden="1">
      <c r="A3745" s="125" t="n">
        <v>4423</v>
      </c>
      <c r="B3745" s="791" t="n"/>
      <c r="C3745" s="125" t="inlineStr">
        <is>
          <t>Москва</t>
        </is>
      </c>
      <c r="D3745" s="125" t="inlineStr">
        <is>
          <t>Московская область</t>
        </is>
      </c>
      <c r="E3745" s="791" t="n"/>
      <c r="F3745" s="125" t="inlineStr">
        <is>
          <t>АЗС</t>
        </is>
      </c>
      <c r="G3745" s="130" t="inlineStr">
        <is>
          <t>Татнефть</t>
        </is>
      </c>
      <c r="H3745" s="131" t="n"/>
      <c r="I3745" s="637" t="inlineStr">
        <is>
          <t>154 (HOR)</t>
        </is>
      </c>
      <c r="J3745" s="637" t="inlineStr">
        <is>
          <t>TATN_154</t>
        </is>
      </c>
      <c r="K3745" s="791" t="n">
        <v>1</v>
      </c>
      <c r="L3745" s="640" t="n">
        <v>0</v>
      </c>
      <c r="M3745" s="265" t="inlineStr">
        <is>
          <t>Samsung 32" горизонтальный</t>
        </is>
      </c>
      <c r="N3745" s="640" t="n"/>
      <c r="O3745" s="640">
        <f>IF(AND(N3745=1,L3745=1),K3745,"")</f>
        <v/>
      </c>
      <c r="P3745" s="642" t="inlineStr">
        <is>
          <t>МО. Подольский р-н, вблизи д.Гривно 47км а/м "Крым"</t>
        </is>
      </c>
      <c r="Q3745" s="640" t="inlineStr">
        <is>
          <t>55.337929</t>
        </is>
      </c>
      <c r="R3745" s="422" t="inlineStr">
        <is>
          <t>37.577873</t>
        </is>
      </c>
      <c r="X3745" s="1" t="n"/>
      <c r="Y3745" s="1" t="n"/>
      <c r="Z3745" s="1" t="n"/>
    </row>
    <row r="3746" hidden="1">
      <c r="A3746" s="125" t="n">
        <v>4425</v>
      </c>
      <c r="B3746" s="791" t="n"/>
      <c r="C3746" s="125" t="inlineStr">
        <is>
          <t>Москва</t>
        </is>
      </c>
      <c r="D3746" s="125" t="inlineStr">
        <is>
          <t>Московская область</t>
        </is>
      </c>
      <c r="E3746" s="791" t="n"/>
      <c r="F3746" s="130" t="inlineStr">
        <is>
          <t>АЗС</t>
        </is>
      </c>
      <c r="G3746" s="130" t="inlineStr">
        <is>
          <t>Газпромнефть</t>
        </is>
      </c>
      <c r="H3746" s="791" t="n"/>
      <c r="I3746" s="637" t="n">
        <v>12357</v>
      </c>
      <c r="J3746" s="637" t="inlineStr">
        <is>
          <t>GPN_12357</t>
        </is>
      </c>
      <c r="K3746" s="791" t="n">
        <v>3</v>
      </c>
      <c r="L3746" s="640" t="n">
        <v>1</v>
      </c>
      <c r="M3746" s="265" t="n">
        <v>5</v>
      </c>
      <c r="N3746" s="640" t="n"/>
      <c r="O3746" s="640">
        <f>IF(AND(N3746=1,L3746=1),K3746,"")</f>
        <v/>
      </c>
      <c r="P3746" s="642" t="inlineStr">
        <is>
          <t>Московская обл., 60 км. М-7 «Волга» (справа), Ногинск ул.бензоколонка</t>
        </is>
      </c>
      <c r="Q3746" s="640" t="n">
        <v>55.85579</v>
      </c>
      <c r="R3746" s="494" t="n">
        <v>38.53235</v>
      </c>
      <c r="W3746" s="387">
        <f>IF(AND(N3746=1,O3746&lt;&gt;""),C3746,"")</f>
        <v/>
      </c>
      <c r="Z3746" s="1" t="n"/>
    </row>
    <row r="3747" hidden="1">
      <c r="A3747" s="125" t="n">
        <v>4426</v>
      </c>
      <c r="B3747" s="791" t="n"/>
      <c r="C3747" s="125" t="inlineStr">
        <is>
          <t>Санкт-Петербург</t>
        </is>
      </c>
      <c r="D3747" s="125" t="inlineStr">
        <is>
          <t>Новгородская область</t>
        </is>
      </c>
      <c r="E3747" s="791" t="n"/>
      <c r="F3747" s="125" t="inlineStr">
        <is>
          <t>АЗС</t>
        </is>
      </c>
      <c r="G3747" s="125" t="inlineStr">
        <is>
          <t>Газпромнефть</t>
        </is>
      </c>
      <c r="H3747" s="791" t="n"/>
      <c r="I3747" s="637" t="n">
        <v>10137</v>
      </c>
      <c r="J3747" s="637" t="inlineStr">
        <is>
          <t>GPN_10137</t>
        </is>
      </c>
      <c r="K3747" s="791" t="n">
        <v>3</v>
      </c>
      <c r="L3747" s="640" t="n">
        <v>1</v>
      </c>
      <c r="M3747" s="265" t="n">
        <v>6</v>
      </c>
      <c r="N3747" s="640" t="n"/>
      <c r="O3747" s="640">
        <f>IF(AND(N3747=1,L3747=1),K3747,"")</f>
        <v/>
      </c>
      <c r="P3747" s="642" t="inlineStr">
        <is>
          <t>Новгородская область, ФАД М-11, 477 км, слева (от Москвы)</t>
        </is>
      </c>
      <c r="Q3747" s="640" t="inlineStr">
        <is>
          <t>58.56182</t>
        </is>
      </c>
      <c r="R3747" s="494" t="inlineStr">
        <is>
          <t>32.51539</t>
        </is>
      </c>
      <c r="W3747" s="387">
        <f>IF(AND(N3747=1,O3747&lt;&gt;""),C3747,"")</f>
        <v/>
      </c>
      <c r="Z3747" s="1" t="n"/>
    </row>
    <row r="3748" hidden="1">
      <c r="A3748" s="125" t="n">
        <v>4427</v>
      </c>
      <c r="B3748" s="791" t="n"/>
      <c r="C3748" s="130" t="inlineStr">
        <is>
          <t>Ярославль</t>
        </is>
      </c>
      <c r="D3748" s="130" t="inlineStr">
        <is>
          <t>Вологодская область</t>
        </is>
      </c>
      <c r="E3748" s="791" t="n"/>
      <c r="F3748" s="125" t="inlineStr">
        <is>
          <t>АЗС</t>
        </is>
      </c>
      <c r="G3748" s="125" t="inlineStr">
        <is>
          <t>Газпромнефть</t>
        </is>
      </c>
      <c r="H3748" s="791" t="n"/>
      <c r="I3748" s="637" t="n">
        <v>13031</v>
      </c>
      <c r="J3748" s="637" t="inlineStr">
        <is>
          <t>GPN_13031</t>
        </is>
      </c>
      <c r="K3748" s="791" t="n">
        <v>3</v>
      </c>
      <c r="L3748" s="640" t="n">
        <v>1</v>
      </c>
      <c r="M3748" s="265" t="n">
        <v>5</v>
      </c>
      <c r="N3748" s="640" t="n"/>
      <c r="O3748" s="640">
        <f>IF(AND(N3748=1,L3748=1),K3748,"")</f>
        <v/>
      </c>
      <c r="P3748" s="642" t="inlineStr">
        <is>
          <t>Вологодская область, г. Вологда Окружное шоссе, пересечение с ул. Ильюшина</t>
        </is>
      </c>
      <c r="Q3748" s="640" t="inlineStr">
        <is>
          <t>59.20829</t>
        </is>
      </c>
      <c r="R3748" s="494" t="inlineStr">
        <is>
          <t>39.81184</t>
        </is>
      </c>
      <c r="W3748" s="387">
        <f>IF(AND(N3748=1,O3748&lt;&gt;""),C3748,"")</f>
        <v/>
      </c>
      <c r="Z3748" s="1" t="n"/>
    </row>
    <row r="3749" hidden="1">
      <c r="A3749" s="125" t="n">
        <v>4428</v>
      </c>
      <c r="B3749" s="791" t="n"/>
      <c r="C3749" s="130" t="inlineStr">
        <is>
          <t>Санкт-Петербург</t>
        </is>
      </c>
      <c r="D3749" s="130" t="inlineStr">
        <is>
          <t>Санкт-Петербург</t>
        </is>
      </c>
      <c r="E3749" s="125" t="inlineStr">
        <is>
          <t>B+</t>
        </is>
      </c>
      <c r="F3749" s="125" t="inlineStr">
        <is>
          <t>Бизнес центр</t>
        </is>
      </c>
      <c r="G3749" s="125" t="inlineStr">
        <is>
          <t>Бизнес центр</t>
        </is>
      </c>
      <c r="H3749" s="421" t="n">
        <v>10075</v>
      </c>
      <c r="I3749" s="637" t="inlineStr">
        <is>
          <t>Полюс</t>
        </is>
      </c>
      <c r="J3749" s="637" t="inlineStr">
        <is>
          <t>SPB_BC_Polus</t>
        </is>
      </c>
      <c r="K3749" s="422" t="n">
        <v>2</v>
      </c>
      <c r="L3749" s="640" t="n">
        <v>1</v>
      </c>
      <c r="M3749" s="265" t="inlineStr">
        <is>
          <t>LED/32'/верт</t>
        </is>
      </c>
      <c r="N3749" s="640" t="n"/>
      <c r="O3749" s="640">
        <f>IF(AND(N3749=1,L3749=1),K3749,"")</f>
        <v/>
      </c>
      <c r="P3749" s="642" t="inlineStr">
        <is>
          <t>Санкт-Петербург, Полюстровский пр., д. 43</t>
        </is>
      </c>
      <c r="Q3749" s="640" t="inlineStr">
        <is>
          <t>59.968583</t>
        </is>
      </c>
      <c r="R3749" s="494" t="inlineStr">
        <is>
          <t>30.388991</t>
        </is>
      </c>
      <c r="S3749" s="387">
        <f>'Цены|Скидки'!$E$25</f>
        <v/>
      </c>
      <c r="T3749" s="387">
        <f>IF(N3749=1,S3749*O3749,0)</f>
        <v/>
      </c>
      <c r="Z3749" s="1" t="n"/>
    </row>
    <row r="3750" hidden="1">
      <c r="A3750" s="125" t="n">
        <v>4429</v>
      </c>
      <c r="B3750" s="791" t="n"/>
      <c r="C3750" s="130" t="inlineStr">
        <is>
          <t>Санкт-Петербург</t>
        </is>
      </c>
      <c r="D3750" s="130" t="inlineStr">
        <is>
          <t>Санкт-Петербург</t>
        </is>
      </c>
      <c r="E3750" s="130" t="inlineStr">
        <is>
          <t>A</t>
        </is>
      </c>
      <c r="F3750" s="130" t="inlineStr">
        <is>
          <t>Бизнес центр</t>
        </is>
      </c>
      <c r="G3750" s="130" t="inlineStr">
        <is>
          <t>Бизнес центр</t>
        </is>
      </c>
      <c r="H3750" s="131" t="n">
        <v>12275</v>
      </c>
      <c r="I3750" s="637" t="inlineStr">
        <is>
          <t>СЕНАТОР Б.Морская 22-24</t>
        </is>
      </c>
      <c r="J3750" s="637" t="inlineStr">
        <is>
          <t>SPB_BC_SENATOR_na_B.Morskaya_22_24</t>
        </is>
      </c>
      <c r="K3750" s="640" t="n">
        <v>3</v>
      </c>
      <c r="L3750" s="640" t="n">
        <v>1</v>
      </c>
      <c r="M3750" s="265" t="inlineStr">
        <is>
          <t>LED/32'/верт</t>
        </is>
      </c>
      <c r="N3750" s="640" t="n"/>
      <c r="O3750" s="640">
        <f>IF(AND(N3750=1,L3750=1),K3750,"")</f>
        <v/>
      </c>
      <c r="P3750" s="642" t="inlineStr">
        <is>
          <t>Санкт-Петербург, Большая Морская ул. д. 22-24</t>
        </is>
      </c>
      <c r="Q3750" s="640" t="inlineStr">
        <is>
          <t>59.934434</t>
        </is>
      </c>
      <c r="R3750" s="494" t="inlineStr">
        <is>
          <t>30.314835</t>
        </is>
      </c>
      <c r="S3750" s="387">
        <f>'Цены|Скидки'!$E$25</f>
        <v/>
      </c>
      <c r="T3750" s="387">
        <f>IF(N3750=1,S3750*O3750,0)</f>
        <v/>
      </c>
      <c r="Z3750" s="1" t="n"/>
    </row>
    <row r="3751" hidden="1">
      <c r="A3751" s="125" t="n">
        <v>4430</v>
      </c>
      <c r="B3751" s="791" t="n"/>
      <c r="C3751" s="130" t="inlineStr">
        <is>
          <t>Москва</t>
        </is>
      </c>
      <c r="D3751" s="130" t="inlineStr">
        <is>
          <t>Москва</t>
        </is>
      </c>
      <c r="E3751" s="130" t="inlineStr">
        <is>
          <t>B+</t>
        </is>
      </c>
      <c r="F3751" s="130" t="inlineStr">
        <is>
          <t>Бизнес центр</t>
        </is>
      </c>
      <c r="G3751" s="130" t="inlineStr">
        <is>
          <t>Бизнес центр</t>
        </is>
      </c>
      <c r="H3751" s="131" t="n">
        <v>18000</v>
      </c>
      <c r="I3751" s="637" t="inlineStr">
        <is>
          <t>Таганский</t>
        </is>
      </c>
      <c r="J3751" s="637" t="inlineStr">
        <is>
          <t>MSK_BC_Taganskiy</t>
        </is>
      </c>
      <c r="K3751" s="640" t="n">
        <v>1</v>
      </c>
      <c r="L3751" s="640" t="n">
        <v>0</v>
      </c>
      <c r="M3751" s="265" t="inlineStr">
        <is>
          <t>Samsung 43" вертикальный</t>
        </is>
      </c>
      <c r="N3751" s="640" t="n"/>
      <c r="O3751" s="640">
        <f>IF(AND(N3751=1,L3751=1),K3751,"")</f>
        <v/>
      </c>
      <c r="P3751" s="642" t="inlineStr">
        <is>
          <t>Большой Ватин пер., д. 3</t>
        </is>
      </c>
      <c r="Q3751" s="640" t="inlineStr">
        <is>
          <t>55.747277</t>
        </is>
      </c>
      <c r="R3751" s="422" t="inlineStr">
        <is>
          <t>37.645726</t>
        </is>
      </c>
      <c r="S3751" s="387">
        <f>'Цены|Скидки'!$D$25</f>
        <v/>
      </c>
      <c r="T3751" s="387">
        <f>IF(N3751=1,S3751*O3751,0)</f>
        <v/>
      </c>
      <c r="Z3751" s="1" t="n"/>
    </row>
    <row r="3752" hidden="1">
      <c r="A3752" s="125" t="n">
        <v>4431</v>
      </c>
      <c r="B3752" s="791" t="n"/>
      <c r="C3752" s="125" t="inlineStr">
        <is>
          <t>Москва</t>
        </is>
      </c>
      <c r="D3752" s="125" t="inlineStr">
        <is>
          <t>Москва</t>
        </is>
      </c>
      <c r="E3752" s="130" t="inlineStr">
        <is>
          <t>B+</t>
        </is>
      </c>
      <c r="F3752" s="130" t="inlineStr">
        <is>
          <t>Бизнес центр</t>
        </is>
      </c>
      <c r="G3752" s="130" t="inlineStr">
        <is>
          <t>Бизнес центр</t>
        </is>
      </c>
      <c r="H3752" s="131" t="n">
        <v>13000</v>
      </c>
      <c r="I3752" s="637" t="inlineStr">
        <is>
          <t>Сириус парк</t>
        </is>
      </c>
      <c r="J3752" s="637" t="inlineStr">
        <is>
          <t>MSK_BC_Sirius_Park</t>
        </is>
      </c>
      <c r="K3752" s="640" t="n">
        <v>3</v>
      </c>
      <c r="L3752" s="640" t="n">
        <v>1</v>
      </c>
      <c r="M3752" s="265" t="inlineStr">
        <is>
          <t>Samsung 43" вертикальный</t>
        </is>
      </c>
      <c r="N3752" s="640" t="n"/>
      <c r="O3752" s="640">
        <f>IF(AND(N3752=1,L3752=1),K3752,"")</f>
        <v/>
      </c>
      <c r="P3752" s="642" t="inlineStr">
        <is>
          <t>Москва, Каширское шоссе, д. 3, корп. 2, стр. 4</t>
        </is>
      </c>
      <c r="Q3752" s="640" t="inlineStr">
        <is>
          <t>55.672488</t>
        </is>
      </c>
      <c r="R3752" s="494" t="inlineStr">
        <is>
          <t>37.631460</t>
        </is>
      </c>
      <c r="S3752" s="387">
        <f>'Цены|Скидки'!$D$25</f>
        <v/>
      </c>
      <c r="T3752" s="387">
        <f>IF(N3752=1,S3752*O3752,0)</f>
        <v/>
      </c>
      <c r="Z3752" s="1" t="n"/>
    </row>
    <row r="3753" hidden="1">
      <c r="A3753" s="125" t="n">
        <v>4432</v>
      </c>
      <c r="B3753" s="791" t="n"/>
      <c r="C3753" s="125" t="inlineStr">
        <is>
          <t>Москва</t>
        </is>
      </c>
      <c r="D3753" s="125" t="inlineStr">
        <is>
          <t>Москва</t>
        </is>
      </c>
      <c r="E3753" s="130" t="inlineStr">
        <is>
          <t>A</t>
        </is>
      </c>
      <c r="F3753" s="130" t="inlineStr">
        <is>
          <t>Бизнес центр</t>
        </is>
      </c>
      <c r="G3753" s="130" t="inlineStr">
        <is>
          <t>Бизнес центр</t>
        </is>
      </c>
      <c r="H3753" s="131" t="n">
        <v>11466</v>
      </c>
      <c r="I3753" s="637" t="inlineStr">
        <is>
          <t>Чайка Плаза 10</t>
        </is>
      </c>
      <c r="J3753" s="637" t="inlineStr">
        <is>
          <t>MSK_BC_Chayka_Plaza_10</t>
        </is>
      </c>
      <c r="K3753" s="640" t="n">
        <v>4</v>
      </c>
      <c r="L3753" s="640" t="n">
        <v>1</v>
      </c>
      <c r="M3753" s="265" t="inlineStr">
        <is>
          <t>Samsung 43" вертикальный</t>
        </is>
      </c>
      <c r="N3753" s="640" t="n"/>
      <c r="O3753" s="640">
        <f>IF(AND(N3753=1,L3753=1),K3753,"")</f>
        <v/>
      </c>
      <c r="P3753" s="642" t="inlineStr">
        <is>
          <t>Москва, Варшавское шоссе д.25А стр. 6</t>
        </is>
      </c>
      <c r="Q3753" s="640" t="inlineStr">
        <is>
          <t>55.693551</t>
        </is>
      </c>
      <c r="R3753" s="494" t="inlineStr">
        <is>
          <t>37.625118</t>
        </is>
      </c>
      <c r="S3753" s="387">
        <f>'Цены|Скидки'!$D$25</f>
        <v/>
      </c>
      <c r="T3753" s="387">
        <f>IF(N3753=1,S3753*O3753,0)</f>
        <v/>
      </c>
      <c r="Z3753" s="1" t="n"/>
    </row>
    <row r="3754" hidden="1">
      <c r="A3754" s="125" t="n">
        <v>4434</v>
      </c>
      <c r="B3754" s="791" t="n"/>
      <c r="C3754" s="125" t="inlineStr">
        <is>
          <t>Москва</t>
        </is>
      </c>
      <c r="D3754" s="125" t="inlineStr">
        <is>
          <t>Москва</t>
        </is>
      </c>
      <c r="E3754" s="130" t="inlineStr">
        <is>
          <t>B+</t>
        </is>
      </c>
      <c r="F3754" s="130" t="inlineStr">
        <is>
          <t>Бизнес центр</t>
        </is>
      </c>
      <c r="G3754" s="130" t="inlineStr">
        <is>
          <t>Бизнес центр</t>
        </is>
      </c>
      <c r="H3754" s="131" t="n">
        <v>12500</v>
      </c>
      <c r="I3754" s="637" t="inlineStr">
        <is>
          <t>Даниловская мануфактура</t>
        </is>
      </c>
      <c r="J3754" s="637" t="inlineStr">
        <is>
          <t>MSK_BC_Danilovskaya_Manufaktura</t>
        </is>
      </c>
      <c r="K3754" s="640" t="n">
        <v>4</v>
      </c>
      <c r="L3754" s="640" t="n">
        <v>1</v>
      </c>
      <c r="M3754" s="265" t="inlineStr">
        <is>
          <t>Samsung 43" вертикальный</t>
        </is>
      </c>
      <c r="N3754" s="640" t="n"/>
      <c r="O3754" s="640">
        <f>IF(AND(N3754=1,L3754=1),K3754,"")</f>
        <v/>
      </c>
      <c r="P3754" s="642" t="inlineStr">
        <is>
          <t>Москва, Варшавское шоссе, д. 9, стр. 1Б</t>
        </is>
      </c>
      <c r="Q3754" s="640" t="inlineStr">
        <is>
          <t>55.700035</t>
        </is>
      </c>
      <c r="R3754" s="494" t="inlineStr">
        <is>
          <t>37.623690</t>
        </is>
      </c>
      <c r="S3754" s="387">
        <f>'Цены|Скидки'!$D$25</f>
        <v/>
      </c>
      <c r="T3754" s="387">
        <f>IF(N3754=1,S3754*O3754,0)</f>
        <v/>
      </c>
      <c r="Z3754" s="1" t="n"/>
    </row>
    <row r="3755" hidden="1">
      <c r="A3755" s="125" t="n">
        <v>4433</v>
      </c>
      <c r="B3755" s="791" t="n"/>
      <c r="C3755" s="130" t="inlineStr">
        <is>
          <t>Краснодар</t>
        </is>
      </c>
      <c r="D3755" s="130" t="inlineStr">
        <is>
          <t>Краснодар</t>
        </is>
      </c>
      <c r="E3755" s="130" t="n"/>
      <c r="F3755" s="130" t="inlineStr">
        <is>
          <t>АЗС</t>
        </is>
      </c>
      <c r="G3755" s="130" t="inlineStr">
        <is>
          <t>Лукойл</t>
        </is>
      </c>
      <c r="H3755" s="131" t="inlineStr">
        <is>
          <t>№50</t>
        </is>
      </c>
      <c r="I3755" s="637" t="n">
        <v>23119</v>
      </c>
      <c r="J3755" s="637" t="inlineStr">
        <is>
          <t>KDR_LUK_23119</t>
        </is>
      </c>
      <c r="K3755" s="640" t="n">
        <v>1</v>
      </c>
      <c r="L3755" s="640" t="n">
        <v>0</v>
      </c>
      <c r="M3755" s="265" t="inlineStr">
        <is>
          <t>Samsung 32" вертикальный</t>
        </is>
      </c>
      <c r="N3755" s="640" t="n"/>
      <c r="O3755" s="640">
        <f>IF(AND(N3755=1,L3755=1),K3755,"")</f>
        <v/>
      </c>
      <c r="P3755" s="642" t="inlineStr">
        <is>
          <t>г. Краснодар, ул. Автолюбителей, 32</t>
        </is>
      </c>
      <c r="Q3755" s="640" t="inlineStr">
        <is>
          <t>45.005054</t>
        </is>
      </c>
      <c r="R3755" s="422" t="inlineStr">
        <is>
          <t>39.068181</t>
        </is>
      </c>
      <c r="X3755" s="1" t="n"/>
      <c r="Y3755" s="1" t="n"/>
      <c r="Z3755" s="1" t="n"/>
    </row>
    <row r="3756" hidden="1">
      <c r="A3756" s="125" t="n">
        <v>4435</v>
      </c>
      <c r="B3756" s="791" t="n"/>
      <c r="C3756" s="125" t="inlineStr">
        <is>
          <t>Москва</t>
        </is>
      </c>
      <c r="D3756" s="125" t="inlineStr">
        <is>
          <t>Москва</t>
        </is>
      </c>
      <c r="E3756" s="130" t="inlineStr">
        <is>
          <t>B+</t>
        </is>
      </c>
      <c r="F3756" s="130" t="inlineStr">
        <is>
          <t>Бизнес центр</t>
        </is>
      </c>
      <c r="G3756" s="130" t="inlineStr">
        <is>
          <t>Бизнес центр</t>
        </is>
      </c>
      <c r="H3756" s="131" t="n">
        <v>1430</v>
      </c>
      <c r="I3756" s="637" t="inlineStr">
        <is>
          <t>The Yard</t>
        </is>
      </c>
      <c r="J3756" s="637" t="inlineStr">
        <is>
          <t>MSK_BC_The_Yard</t>
        </is>
      </c>
      <c r="K3756" s="640" t="n">
        <v>2</v>
      </c>
      <c r="L3756" s="640" t="n">
        <v>1</v>
      </c>
      <c r="M3756" s="265" t="inlineStr">
        <is>
          <t>Samsung 43" вертикальный</t>
        </is>
      </c>
      <c r="N3756" s="640" t="n"/>
      <c r="O3756" s="640">
        <f>IF(AND(N3756=1,L3756=1),K3756,"")</f>
        <v/>
      </c>
      <c r="P3756" s="642" t="inlineStr">
        <is>
          <t>Москва, 1-й Магистральный тупик, дом 11, стр. 1</t>
        </is>
      </c>
      <c r="Q3756" s="640" t="inlineStr">
        <is>
          <t>55.766283</t>
        </is>
      </c>
      <c r="R3756" s="494" t="inlineStr">
        <is>
          <t>37.526851</t>
        </is>
      </c>
      <c r="S3756" s="387">
        <f>'Цены|Скидки'!$D$25</f>
        <v/>
      </c>
      <c r="T3756" s="387">
        <f>IF(N3756=1,S3756*O3756,0)</f>
        <v/>
      </c>
      <c r="Z3756" s="1" t="n"/>
    </row>
    <row r="3757" hidden="1" ht="15" customHeight="1">
      <c r="A3757" s="125" t="n">
        <v>4436</v>
      </c>
      <c r="B3757" s="791" t="n"/>
      <c r="C3757" s="125" t="inlineStr">
        <is>
          <t>Москва</t>
        </is>
      </c>
      <c r="D3757" s="125" t="inlineStr">
        <is>
          <t>Москва</t>
        </is>
      </c>
      <c r="E3757" s="130" t="n"/>
      <c r="F3757" s="130" t="inlineStr">
        <is>
          <t>Супермаркет</t>
        </is>
      </c>
      <c r="G3757" s="130" t="inlineStr">
        <is>
          <t>Азбука Вкуса</t>
        </is>
      </c>
      <c r="H3757" s="131" t="n"/>
      <c r="I3757" s="637" t="n">
        <v>169</v>
      </c>
      <c r="J3757" s="637" t="inlineStr">
        <is>
          <t>MSK_A_169</t>
        </is>
      </c>
      <c r="K3757" s="640" t="n">
        <v>1</v>
      </c>
      <c r="L3757" s="640" t="n">
        <v>1</v>
      </c>
      <c r="M3757" s="265" t="inlineStr">
        <is>
          <t>Samsung 43" вертикальный</t>
        </is>
      </c>
      <c r="N3757" s="640" t="n"/>
      <c r="O3757" s="640">
        <f>IF(AND(N3757=1,L3757=1),K3757,"")</f>
        <v/>
      </c>
      <c r="P3757" s="642" t="inlineStr">
        <is>
          <t>г. Москва, Ленинградский проспект, д. 76</t>
        </is>
      </c>
      <c r="Q3757" s="640" t="inlineStr">
        <is>
          <t>55.805727</t>
        </is>
      </c>
      <c r="R3757" s="494" t="inlineStr">
        <is>
          <t>37.515427</t>
        </is>
      </c>
      <c r="S3757" s="387" t="n">
        <v>24</v>
      </c>
      <c r="T3757" s="436">
        <f>IF(N3757=1,O3757*S3757,"")</f>
        <v/>
      </c>
      <c r="Z3757" s="1" t="n"/>
    </row>
    <row r="3758" hidden="1">
      <c r="A3758" s="125" t="n">
        <v>4437</v>
      </c>
      <c r="B3758" s="125" t="n"/>
      <c r="C3758" s="130" t="inlineStr">
        <is>
          <t>Москва</t>
        </is>
      </c>
      <c r="D3758" s="130" t="inlineStr">
        <is>
          <t>Москва</t>
        </is>
      </c>
      <c r="E3758" s="130" t="n"/>
      <c r="F3758" s="130" t="inlineStr">
        <is>
          <t>АЗС</t>
        </is>
      </c>
      <c r="G3758" s="130" t="inlineStr">
        <is>
          <t>Лукойл</t>
        </is>
      </c>
      <c r="H3758" s="637" t="n">
        <v>169</v>
      </c>
      <c r="I3758" s="637" t="n">
        <v>77768</v>
      </c>
      <c r="J3758" s="637" t="inlineStr">
        <is>
          <t>MSK_EKA_169</t>
        </is>
      </c>
      <c r="K3758" s="640" t="n">
        <v>1</v>
      </c>
      <c r="L3758" s="640" t="n">
        <v>0</v>
      </c>
      <c r="M3758" s="265" t="inlineStr">
        <is>
          <t>Экран 24" вертикальный</t>
        </is>
      </c>
      <c r="N3758" s="640" t="n"/>
      <c r="O3758" s="640">
        <f>IF(AND(N3758=1,L3758=1),K3758,"")</f>
        <v/>
      </c>
      <c r="P3758" s="642" t="inlineStr">
        <is>
          <t>г. Москва, Обручева ул., влд. 23А, соор.1</t>
        </is>
      </c>
      <c r="Q3758" s="640" t="inlineStr">
        <is>
          <t>55.657097</t>
        </is>
      </c>
      <c r="R3758" s="422" t="inlineStr">
        <is>
          <t>37.531305</t>
        </is>
      </c>
      <c r="U3758" s="436" t="n">
        <v>1</v>
      </c>
      <c r="V3758" s="438">
        <f>IF(AND(N3758=1,U3758=1),C3758,"")</f>
        <v/>
      </c>
      <c r="Z3758" s="1" t="n"/>
    </row>
    <row r="3759" hidden="1">
      <c r="A3759" s="125" t="n">
        <v>4438</v>
      </c>
      <c r="B3759" s="125" t="n"/>
      <c r="C3759" s="130" t="inlineStr">
        <is>
          <t>Москва</t>
        </is>
      </c>
      <c r="D3759" s="130" t="inlineStr">
        <is>
          <t>Москва</t>
        </is>
      </c>
      <c r="E3759" s="130" t="n"/>
      <c r="F3759" s="130" t="inlineStr">
        <is>
          <t>АЗС</t>
        </is>
      </c>
      <c r="G3759" s="130" t="inlineStr">
        <is>
          <t>Лукойл (ЕКА)</t>
        </is>
      </c>
      <c r="H3759" s="637" t="n">
        <v>42</v>
      </c>
      <c r="I3759" s="637" t="n">
        <v>77742</v>
      </c>
      <c r="J3759" s="637" t="inlineStr">
        <is>
          <t>MSK_EKA_042</t>
        </is>
      </c>
      <c r="K3759" s="640" t="n">
        <v>1</v>
      </c>
      <c r="L3759" s="640" t="n">
        <v>0</v>
      </c>
      <c r="M3759" s="265" t="inlineStr">
        <is>
          <t>Экран 24" вертикальный</t>
        </is>
      </c>
      <c r="N3759" s="640" t="n"/>
      <c r="O3759" s="640">
        <f>IF(AND(N3759=1,L3759=1),K3759,"")</f>
        <v/>
      </c>
      <c r="P3759" s="642" t="inlineStr">
        <is>
          <t>г. Москва, Химкинский б-р влд.15а соор.1</t>
        </is>
      </c>
      <c r="Q3759" s="640" t="inlineStr">
        <is>
          <t>55.851164</t>
        </is>
      </c>
      <c r="R3759" s="422" t="inlineStr">
        <is>
          <t>37.446489</t>
        </is>
      </c>
      <c r="Z3759" s="1" t="n"/>
    </row>
    <row r="3760" hidden="1">
      <c r="A3760" s="125" t="n">
        <v>4439</v>
      </c>
      <c r="B3760" s="125" t="n"/>
      <c r="C3760" s="130" t="inlineStr">
        <is>
          <t>Москва</t>
        </is>
      </c>
      <c r="D3760" s="130" t="inlineStr">
        <is>
          <t>Московская область</t>
        </is>
      </c>
      <c r="E3760" s="130" t="n"/>
      <c r="F3760" s="130" t="inlineStr">
        <is>
          <t>АЗС</t>
        </is>
      </c>
      <c r="G3760" s="130" t="inlineStr">
        <is>
          <t>Газпромнефть</t>
        </is>
      </c>
      <c r="H3760" s="131" t="n"/>
      <c r="I3760" s="637" t="n">
        <v>12313</v>
      </c>
      <c r="J3760" s="637" t="inlineStr">
        <is>
          <t>GPN_12313</t>
        </is>
      </c>
      <c r="K3760" s="640" t="n">
        <v>3</v>
      </c>
      <c r="L3760" s="640" t="n">
        <v>1</v>
      </c>
      <c r="M3760" s="265" t="n">
        <v>3</v>
      </c>
      <c r="N3760" s="640" t="n"/>
      <c r="O3760" s="640">
        <f>IF(AND(N3760=1,L3760=1),K3760,"")</f>
        <v/>
      </c>
      <c r="P3760" s="443" t="inlineStr">
        <is>
          <t>МО, г. Климовск, ул. Индустриальная, д. 2А</t>
        </is>
      </c>
      <c r="Q3760" s="640" t="inlineStr">
        <is>
          <t xml:space="preserve">55.3723 </t>
        </is>
      </c>
      <c r="R3760" s="494" t="inlineStr">
        <is>
          <t>37.5228</t>
        </is>
      </c>
      <c r="W3760" s="387">
        <f>IF(AND(N3760=1,O3760&lt;&gt;""),C3760,"")</f>
        <v/>
      </c>
      <c r="Z3760" s="1" t="n"/>
    </row>
    <row r="3761" hidden="1">
      <c r="A3761" s="125" t="n">
        <v>4440</v>
      </c>
      <c r="B3761" s="420" t="n"/>
      <c r="C3761" s="125" t="inlineStr">
        <is>
          <t>Москва</t>
        </is>
      </c>
      <c r="D3761" s="130" t="inlineStr">
        <is>
          <t>Московская область</t>
        </is>
      </c>
      <c r="E3761" s="791" t="n"/>
      <c r="F3761" s="125" t="inlineStr">
        <is>
          <t>АЗС</t>
        </is>
      </c>
      <c r="G3761" s="125" t="inlineStr">
        <is>
          <t>Газпромнефть</t>
        </is>
      </c>
      <c r="H3761" s="791" t="n"/>
      <c r="I3761" s="637" t="n">
        <v>12317</v>
      </c>
      <c r="J3761" s="637" t="inlineStr">
        <is>
          <t>GPN_12317</t>
        </is>
      </c>
      <c r="K3761" s="791" t="n">
        <v>3</v>
      </c>
      <c r="L3761" s="640" t="n">
        <v>1</v>
      </c>
      <c r="M3761" s="265" t="n">
        <v>3</v>
      </c>
      <c r="N3761" s="640" t="n"/>
      <c r="O3761" s="640">
        <f>IF(AND(N3761=1,L3761=1),K3761,"")</f>
        <v/>
      </c>
      <c r="P3761" s="419" t="inlineStr">
        <is>
          <t>МО, г. Солнечногорск, шоссе Ленинградское, 67 км а/д Москва-Санкт-Петербург</t>
        </is>
      </c>
      <c r="Q3761" s="640" t="inlineStr">
        <is>
          <t xml:space="preserve">56.2042 </t>
        </is>
      </c>
      <c r="R3761" s="494" t="inlineStr">
        <is>
          <t>36.9522</t>
        </is>
      </c>
      <c r="W3761" s="387">
        <f>IF(AND(N3761=1,O3761&lt;&gt;""),C3761,"")</f>
        <v/>
      </c>
      <c r="Z3761" s="1" t="n"/>
    </row>
    <row r="3762" hidden="1">
      <c r="A3762" s="125" t="n">
        <v>4441</v>
      </c>
      <c r="B3762" s="125" t="n"/>
      <c r="C3762" s="125" t="inlineStr">
        <is>
          <t>Москва</t>
        </is>
      </c>
      <c r="D3762" s="130" t="inlineStr">
        <is>
          <t>Московская область</t>
        </is>
      </c>
      <c r="E3762" s="791" t="n"/>
      <c r="F3762" s="125" t="inlineStr">
        <is>
          <t>АЗС</t>
        </is>
      </c>
      <c r="G3762" s="125" t="inlineStr">
        <is>
          <t>Газпромнефть</t>
        </is>
      </c>
      <c r="H3762" s="791" t="n"/>
      <c r="I3762" s="637" t="n">
        <v>12328</v>
      </c>
      <c r="J3762" s="637" t="inlineStr">
        <is>
          <t>GPN_12328</t>
        </is>
      </c>
      <c r="K3762" s="791" t="n">
        <v>3</v>
      </c>
      <c r="L3762" s="640" t="n">
        <v>1</v>
      </c>
      <c r="M3762" s="265" t="n">
        <v>4</v>
      </c>
      <c r="N3762" s="640" t="n"/>
      <c r="O3762" s="640">
        <f>IF(AND(N3762=1,L3762=1),K3762,"")</f>
        <v/>
      </c>
      <c r="P3762" s="419" t="inlineStr">
        <is>
          <t>Московская область, г. Бронницы, ул. Льва Толстого, д. 16</t>
        </is>
      </c>
      <c r="Q3762" s="640" t="inlineStr">
        <is>
          <t>55.4148</t>
        </is>
      </c>
      <c r="R3762" s="494" t="inlineStr">
        <is>
          <t>38.264</t>
        </is>
      </c>
      <c r="W3762" s="387">
        <f>IF(AND(N3762=1,O3762&lt;&gt;""),C3762,"")</f>
        <v/>
      </c>
      <c r="Z3762" s="1" t="n"/>
    </row>
    <row r="3763" hidden="1" ht="27.6" customHeight="1">
      <c r="A3763" s="125" t="n">
        <v>4442</v>
      </c>
      <c r="B3763" s="420" t="n"/>
      <c r="C3763" s="125" t="inlineStr">
        <is>
          <t>Москва</t>
        </is>
      </c>
      <c r="D3763" s="130" t="inlineStr">
        <is>
          <t>Московская область</t>
        </is>
      </c>
      <c r="E3763" s="791" t="n"/>
      <c r="F3763" s="125" t="inlineStr">
        <is>
          <t>АЗС</t>
        </is>
      </c>
      <c r="G3763" s="125" t="inlineStr">
        <is>
          <t>Газпромнефть</t>
        </is>
      </c>
      <c r="H3763" s="791" t="n"/>
      <c r="I3763" s="637" t="n">
        <v>12332</v>
      </c>
      <c r="J3763" s="637" t="inlineStr">
        <is>
          <t>GPN_12332</t>
        </is>
      </c>
      <c r="K3763" s="791" t="n">
        <v>3</v>
      </c>
      <c r="L3763" s="640" t="n">
        <v>1</v>
      </c>
      <c r="M3763" s="265" t="n">
        <v>3</v>
      </c>
      <c r="N3763" s="640" t="n"/>
      <c r="O3763" s="640">
        <f>IF(AND(N3763=1,L3763=1),K3763,"")</f>
        <v/>
      </c>
      <c r="P3763" s="419" t="inlineStr">
        <is>
          <t>Московская область, Клинский р-н, пос. Нудоль, МБК, ВолоколамскоЛенинградское шоссе, 10 км. + 400 м (левая сторона)</t>
        </is>
      </c>
      <c r="Q3763" s="640" t="inlineStr">
        <is>
          <t xml:space="preserve">56.0795 </t>
        </is>
      </c>
      <c r="R3763" s="494" t="inlineStr">
        <is>
          <t>36.5132</t>
        </is>
      </c>
      <c r="W3763" s="387">
        <f>IF(AND(N3763=1,O3763&lt;&gt;""),C3763,"")</f>
        <v/>
      </c>
      <c r="Z3763" s="1" t="n"/>
    </row>
    <row r="3764" hidden="1">
      <c r="A3764" s="125" t="n">
        <v>4443</v>
      </c>
      <c r="B3764" s="125" t="n"/>
      <c r="C3764" s="125" t="inlineStr">
        <is>
          <t>Москва</t>
        </is>
      </c>
      <c r="D3764" s="130" t="inlineStr">
        <is>
          <t>Московская область</t>
        </is>
      </c>
      <c r="E3764" s="791" t="n"/>
      <c r="F3764" s="125" t="inlineStr">
        <is>
          <t>АЗС</t>
        </is>
      </c>
      <c r="G3764" s="125" t="inlineStr">
        <is>
          <t>Газпромнефть</t>
        </is>
      </c>
      <c r="H3764" s="791" t="n"/>
      <c r="I3764" s="637" t="n">
        <v>12335</v>
      </c>
      <c r="J3764" s="637" t="inlineStr">
        <is>
          <t>GPN_12335</t>
        </is>
      </c>
      <c r="K3764" s="791" t="n">
        <v>3</v>
      </c>
      <c r="L3764" s="640" t="n">
        <v>1</v>
      </c>
      <c r="M3764" s="265" t="n">
        <v>3</v>
      </c>
      <c r="N3764" s="640" t="n"/>
      <c r="O3764" s="640">
        <f>IF(AND(N3764=1,L3764=1),K3764,"")</f>
        <v/>
      </c>
      <c r="P3764" s="419" t="inlineStr">
        <is>
          <t>МО, Клинский район, д. Малеевка, д. 90</t>
        </is>
      </c>
      <c r="Q3764" s="640" t="inlineStr">
        <is>
          <t xml:space="preserve">56.2054 </t>
        </is>
      </c>
      <c r="R3764" s="494" t="inlineStr">
        <is>
          <t>36.6335</t>
        </is>
      </c>
      <c r="W3764" s="387">
        <f>IF(AND(N3764=1,O3764&lt;&gt;""),C3764,"")</f>
        <v/>
      </c>
      <c r="Z3764" s="1" t="n"/>
    </row>
    <row r="3765" hidden="1">
      <c r="A3765" s="125" t="n">
        <v>4444</v>
      </c>
      <c r="B3765" s="420" t="n"/>
      <c r="C3765" s="125" t="inlineStr">
        <is>
          <t>Москва</t>
        </is>
      </c>
      <c r="D3765" s="130" t="inlineStr">
        <is>
          <t>Московская область</t>
        </is>
      </c>
      <c r="E3765" s="791" t="n"/>
      <c r="F3765" s="125" t="inlineStr">
        <is>
          <t>АЗС</t>
        </is>
      </c>
      <c r="G3765" s="125" t="inlineStr">
        <is>
          <t>Газпромнефть</t>
        </is>
      </c>
      <c r="H3765" s="791" t="n"/>
      <c r="I3765" s="637" t="n">
        <v>12337</v>
      </c>
      <c r="J3765" s="637" t="inlineStr">
        <is>
          <t>GPN_12337</t>
        </is>
      </c>
      <c r="K3765" s="791" t="n">
        <v>3</v>
      </c>
      <c r="L3765" s="640" t="n">
        <v>1</v>
      </c>
      <c r="M3765" s="265" t="n">
        <v>3</v>
      </c>
      <c r="N3765" s="640" t="n"/>
      <c r="O3765" s="640">
        <f>IF(AND(N3765=1,L3765=1),K3765,"")</f>
        <v/>
      </c>
      <c r="P3765" s="419" t="inlineStr">
        <is>
          <t>МО, г. Электросталь, ул. Красная, д. 50</t>
        </is>
      </c>
      <c r="Q3765" s="640" t="inlineStr">
        <is>
          <t xml:space="preserve">55.7794 </t>
        </is>
      </c>
      <c r="R3765" s="494" t="inlineStr">
        <is>
          <t>38.454</t>
        </is>
      </c>
      <c r="W3765" s="387">
        <f>IF(AND(N3765=1,O3765&lt;&gt;""),C3765,"")</f>
        <v/>
      </c>
      <c r="Z3765" s="1" t="n"/>
    </row>
    <row r="3766" hidden="1">
      <c r="A3766" s="125" t="n">
        <v>4445</v>
      </c>
      <c r="B3766" s="125" t="n"/>
      <c r="C3766" s="125" t="inlineStr">
        <is>
          <t>Ярославль</t>
        </is>
      </c>
      <c r="D3766" s="130" t="inlineStr">
        <is>
          <t>Ярославская область</t>
        </is>
      </c>
      <c r="E3766" s="791" t="n"/>
      <c r="F3766" s="125" t="inlineStr">
        <is>
          <t>АЗС</t>
        </is>
      </c>
      <c r="G3766" s="125" t="inlineStr">
        <is>
          <t>Газпромнефть</t>
        </is>
      </c>
      <c r="H3766" s="791" t="n"/>
      <c r="I3766" s="637" t="n">
        <v>13010</v>
      </c>
      <c r="J3766" s="637" t="inlineStr">
        <is>
          <t>GPN_13010</t>
        </is>
      </c>
      <c r="K3766" s="791" t="n">
        <v>2</v>
      </c>
      <c r="L3766" s="640" t="n">
        <v>1</v>
      </c>
      <c r="M3766" s="265" t="n">
        <v>2</v>
      </c>
      <c r="N3766" s="640" t="n"/>
      <c r="O3766" s="640">
        <f>IF(AND(N3766=1,L3766=1),K3766,"")</f>
        <v/>
      </c>
      <c r="P3766" s="419" t="inlineStr">
        <is>
          <t>Рыбинск, ул. 9 Мая д. 45</t>
        </is>
      </c>
      <c r="Q3766" s="640" t="inlineStr">
        <is>
          <t xml:space="preserve">58.0433 </t>
        </is>
      </c>
      <c r="R3766" s="494" t="inlineStr">
        <is>
          <t>38.7946</t>
        </is>
      </c>
      <c r="W3766" s="387">
        <f>IF(AND(N3766=1,O3766&lt;&gt;""),C3766,"")</f>
        <v/>
      </c>
      <c r="Z3766" s="1" t="n"/>
    </row>
    <row r="3767" hidden="1">
      <c r="A3767" s="125" t="n">
        <v>4446</v>
      </c>
      <c r="B3767" s="420" t="n"/>
      <c r="C3767" s="130" t="inlineStr">
        <is>
          <t>Ярославль</t>
        </is>
      </c>
      <c r="D3767" s="130" t="inlineStr">
        <is>
          <t>Ярославская область</t>
        </is>
      </c>
      <c r="E3767" s="791" t="n"/>
      <c r="F3767" s="125" t="inlineStr">
        <is>
          <t>АЗС</t>
        </is>
      </c>
      <c r="G3767" s="125" t="inlineStr">
        <is>
          <t>Газпромнефть</t>
        </is>
      </c>
      <c r="H3767" s="791" t="n"/>
      <c r="I3767" s="637" t="n">
        <v>13027</v>
      </c>
      <c r="J3767" s="637" t="inlineStr">
        <is>
          <t>GPN_13027</t>
        </is>
      </c>
      <c r="K3767" s="791" t="n">
        <v>3</v>
      </c>
      <c r="L3767" s="640" t="n">
        <v>1</v>
      </c>
      <c r="M3767" s="265" t="n">
        <v>5</v>
      </c>
      <c r="N3767" s="640" t="n"/>
      <c r="O3767" s="640">
        <f>IF(AND(N3767=1,L3767=1),K3767,"")</f>
        <v/>
      </c>
      <c r="P3767" s="419" t="inlineStr">
        <is>
          <t>Рыбинск, ул. Труда д. 116</t>
        </is>
      </c>
      <c r="Q3767" s="640" t="inlineStr">
        <is>
          <t xml:space="preserve">58.0335 </t>
        </is>
      </c>
      <c r="R3767" s="494" t="inlineStr">
        <is>
          <t>38.8053</t>
        </is>
      </c>
      <c r="W3767" s="387">
        <f>IF(AND(N3767=1,O3767&lt;&gt;""),C3767,"")</f>
        <v/>
      </c>
      <c r="Z3767" s="1" t="n"/>
    </row>
    <row r="3768" hidden="1">
      <c r="A3768" s="125" t="n">
        <v>4447</v>
      </c>
      <c r="B3768" s="125" t="n"/>
      <c r="C3768" s="130" t="inlineStr">
        <is>
          <t>Ярославль</t>
        </is>
      </c>
      <c r="D3768" s="130" t="inlineStr">
        <is>
          <t>Ярославская область</t>
        </is>
      </c>
      <c r="E3768" s="791" t="n"/>
      <c r="F3768" s="125" t="inlineStr">
        <is>
          <t>АЗС</t>
        </is>
      </c>
      <c r="G3768" s="125" t="inlineStr">
        <is>
          <t>Газпромнефть</t>
        </is>
      </c>
      <c r="H3768" s="791" t="n"/>
      <c r="I3768" s="637" t="n">
        <v>13050</v>
      </c>
      <c r="J3768" s="637" t="inlineStr">
        <is>
          <t>GPN_13050</t>
        </is>
      </c>
      <c r="K3768" s="791" t="n">
        <v>3</v>
      </c>
      <c r="L3768" s="640" t="n">
        <v>1</v>
      </c>
      <c r="M3768" s="265" t="n">
        <v>3</v>
      </c>
      <c r="N3768" s="640" t="n"/>
      <c r="O3768" s="640">
        <f>IF(AND(N3768=1,L3768=1),K3768,"")</f>
        <v/>
      </c>
      <c r="P3768" s="419" t="inlineStr">
        <is>
          <t>Даниловский р-он, д. Мутыкалово, Трасса М-8 «Холмогоры» (слева) 333 км</t>
        </is>
      </c>
      <c r="Q3768" s="640" t="inlineStr">
        <is>
          <t xml:space="preserve">58.203 </t>
        </is>
      </c>
      <c r="R3768" s="494" t="inlineStr">
        <is>
          <t>40.1315</t>
        </is>
      </c>
      <c r="W3768" s="387">
        <f>IF(AND(N3768=1,O3768&lt;&gt;""),C3768,"")</f>
        <v/>
      </c>
      <c r="Z3768" s="1" t="n"/>
    </row>
    <row r="3769" hidden="1">
      <c r="A3769" s="125" t="n">
        <v>4448</v>
      </c>
      <c r="B3769" s="420" t="n"/>
      <c r="C3769" s="130" t="inlineStr">
        <is>
          <t>Ярославль</t>
        </is>
      </c>
      <c r="D3769" s="130" t="inlineStr">
        <is>
          <t>Ярославская область</t>
        </is>
      </c>
      <c r="E3769" s="791" t="n"/>
      <c r="F3769" s="125" t="inlineStr">
        <is>
          <t>АЗС</t>
        </is>
      </c>
      <c r="G3769" s="125" t="inlineStr">
        <is>
          <t>Газпромнефть</t>
        </is>
      </c>
      <c r="H3769" s="791" t="n"/>
      <c r="I3769" s="637" t="n">
        <v>13070</v>
      </c>
      <c r="J3769" s="637" t="inlineStr">
        <is>
          <t>GPN_13070</t>
        </is>
      </c>
      <c r="K3769" s="791" t="n">
        <v>2</v>
      </c>
      <c r="L3769" s="640" t="n">
        <v>1</v>
      </c>
      <c r="M3769" s="265" t="n">
        <v>2</v>
      </c>
      <c r="N3769" s="640" t="n"/>
      <c r="O3769" s="640">
        <f>IF(AND(N3769=1,L3769=1),K3769,"")</f>
        <v/>
      </c>
      <c r="P3769" s="419" t="inlineStr">
        <is>
          <t>г. Пошехонье, а/д Калязин-Череповец, 316 км</t>
        </is>
      </c>
      <c r="Q3769" s="640" t="inlineStr">
        <is>
          <t xml:space="preserve">58.5124 </t>
        </is>
      </c>
      <c r="R3769" s="494" t="inlineStr">
        <is>
          <t>39.1082</t>
        </is>
      </c>
      <c r="W3769" s="387">
        <f>IF(AND(N3769=1,O3769&lt;&gt;""),C3769,"")</f>
        <v/>
      </c>
      <c r="Z3769" s="1" t="n"/>
    </row>
    <row r="3770" hidden="1">
      <c r="A3770" s="125" t="n">
        <v>4449</v>
      </c>
      <c r="B3770" s="125" t="n"/>
      <c r="C3770" s="130" t="inlineStr">
        <is>
          <t>Санкт-Петербург</t>
        </is>
      </c>
      <c r="D3770" s="130" t="inlineStr">
        <is>
          <t>Санкт-Петербург</t>
        </is>
      </c>
      <c r="E3770" s="791" t="n"/>
      <c r="F3770" s="125" t="inlineStr">
        <is>
          <t>АЗС</t>
        </is>
      </c>
      <c r="G3770" s="125" t="inlineStr">
        <is>
          <t>Газпромнефть</t>
        </is>
      </c>
      <c r="H3770" s="791" t="n"/>
      <c r="I3770" s="637" t="n">
        <v>10122</v>
      </c>
      <c r="J3770" s="637" t="inlineStr">
        <is>
          <t>GPN_10122</t>
        </is>
      </c>
      <c r="K3770" s="791" t="n">
        <v>3</v>
      </c>
      <c r="L3770" s="640" t="n">
        <v>1</v>
      </c>
      <c r="M3770" s="265" t="n">
        <v>4</v>
      </c>
      <c r="N3770" s="640" t="n"/>
      <c r="O3770" s="640">
        <f>IF(AND(N3770=1,L3770=1),K3770,"")</f>
        <v/>
      </c>
      <c r="P3770" s="419" t="inlineStr">
        <is>
          <t>г. Санкт-Петербург, ул. Софийская 85 А</t>
        </is>
      </c>
      <c r="Q3770" s="640" t="inlineStr">
        <is>
          <t xml:space="preserve">59.8456 </t>
        </is>
      </c>
      <c r="R3770" s="494" t="inlineStr">
        <is>
          <t>30.4302</t>
        </is>
      </c>
      <c r="W3770" s="387">
        <f>IF(AND(N3770=1,O3770&lt;&gt;""),C3770,"")</f>
        <v/>
      </c>
      <c r="Z3770" s="1" t="n"/>
    </row>
    <row r="3771" hidden="1">
      <c r="A3771" s="125" t="n">
        <v>4450</v>
      </c>
      <c r="B3771" s="420" t="n"/>
      <c r="C3771" s="125" t="inlineStr">
        <is>
          <t>Санкт-Петербург</t>
        </is>
      </c>
      <c r="D3771" s="130" t="inlineStr">
        <is>
          <t>Санкт-Петербург</t>
        </is>
      </c>
      <c r="E3771" s="791" t="n"/>
      <c r="F3771" s="125" t="inlineStr">
        <is>
          <t>АЗС</t>
        </is>
      </c>
      <c r="G3771" s="125" t="inlineStr">
        <is>
          <t>Газпромнефть</t>
        </is>
      </c>
      <c r="H3771" s="791" t="n"/>
      <c r="I3771" s="637" t="n">
        <v>10123</v>
      </c>
      <c r="J3771" s="637" t="inlineStr">
        <is>
          <t>GPN_10123</t>
        </is>
      </c>
      <c r="K3771" s="791" t="n">
        <v>3</v>
      </c>
      <c r="L3771" s="640" t="n">
        <v>1</v>
      </c>
      <c r="M3771" s="265" t="n">
        <v>4</v>
      </c>
      <c r="N3771" s="640" t="n"/>
      <c r="O3771" s="640">
        <f>IF(AND(N3771=1,L3771=1),K3771,"")</f>
        <v/>
      </c>
      <c r="P3771" s="419" t="inlineStr">
        <is>
          <t>г. Санкт-Петербург, ул. Циолковского 18 А</t>
        </is>
      </c>
      <c r="Q3771" s="640" t="inlineStr">
        <is>
          <t>59.9098</t>
        </is>
      </c>
      <c r="R3771" s="494" t="inlineStr">
        <is>
          <t xml:space="preserve"> 30.2894</t>
        </is>
      </c>
      <c r="W3771" s="387">
        <f>IF(AND(N3771=1,O3771&lt;&gt;""),C3771,"")</f>
        <v/>
      </c>
      <c r="Z3771" s="1" t="n"/>
    </row>
    <row r="3772" hidden="1">
      <c r="A3772" s="125" t="n">
        <v>4451</v>
      </c>
      <c r="B3772" s="125" t="n"/>
      <c r="C3772" s="125" t="inlineStr">
        <is>
          <t>Санкт-Петербург</t>
        </is>
      </c>
      <c r="D3772" s="130" t="inlineStr">
        <is>
          <t>Санкт-Петербург</t>
        </is>
      </c>
      <c r="E3772" s="791" t="n"/>
      <c r="F3772" s="125" t="inlineStr">
        <is>
          <t>АЗС</t>
        </is>
      </c>
      <c r="G3772" s="125" t="inlineStr">
        <is>
          <t>Газпромнефть</t>
        </is>
      </c>
      <c r="H3772" s="791" t="n"/>
      <c r="I3772" s="637" t="n">
        <v>10124</v>
      </c>
      <c r="J3772" s="637" t="inlineStr">
        <is>
          <t>GPN_10124</t>
        </is>
      </c>
      <c r="K3772" s="791" t="n">
        <v>3</v>
      </c>
      <c r="L3772" s="640" t="n">
        <v>1</v>
      </c>
      <c r="M3772" s="265" t="n">
        <v>4</v>
      </c>
      <c r="N3772" s="640" t="n"/>
      <c r="O3772" s="640">
        <f>IF(AND(N3772=1,L3772=1),K3772,"")</f>
        <v/>
      </c>
      <c r="P3772" s="419" t="inlineStr">
        <is>
          <t>г. Санкт-Петербург, ул. Земледельческая 5 А</t>
        </is>
      </c>
      <c r="Q3772" s="640" t="inlineStr">
        <is>
          <t xml:space="preserve">59.9898 </t>
        </is>
      </c>
      <c r="R3772" s="494" t="inlineStr">
        <is>
          <t>30.3257</t>
        </is>
      </c>
      <c r="W3772" s="387">
        <f>IF(AND(N3772=1,O3772&lt;&gt;""),C3772,"")</f>
        <v/>
      </c>
      <c r="Z3772" s="1" t="n"/>
    </row>
    <row r="3773" hidden="1">
      <c r="A3773" s="125" t="n">
        <v>4452</v>
      </c>
      <c r="B3773" s="420" t="n"/>
      <c r="C3773" s="125" t="inlineStr">
        <is>
          <t>Санкт-Петербург</t>
        </is>
      </c>
      <c r="D3773" s="130" t="inlineStr">
        <is>
          <t>Санкт-Петербург</t>
        </is>
      </c>
      <c r="E3773" s="791" t="n"/>
      <c r="F3773" s="125" t="inlineStr">
        <is>
          <t>АЗС</t>
        </is>
      </c>
      <c r="G3773" s="125" t="inlineStr">
        <is>
          <t>Газпромнефть</t>
        </is>
      </c>
      <c r="H3773" s="791" t="n"/>
      <c r="I3773" s="637" t="n">
        <v>10127</v>
      </c>
      <c r="J3773" s="637" t="inlineStr">
        <is>
          <t>GPN_10127</t>
        </is>
      </c>
      <c r="K3773" s="791" t="n">
        <v>3</v>
      </c>
      <c r="L3773" s="640" t="n">
        <v>1</v>
      </c>
      <c r="M3773" s="265" t="n">
        <v>4</v>
      </c>
      <c r="N3773" s="640" t="n"/>
      <c r="O3773" s="640">
        <f>IF(AND(N3773=1,L3773=1),K3773,"")</f>
        <v/>
      </c>
      <c r="P3773" s="419" t="inlineStr">
        <is>
          <t>г. Санкт-Петербург, ул. Верхняя, д. 10, лит. А</t>
        </is>
      </c>
      <c r="Q3773" s="640" t="inlineStr">
        <is>
          <t>60.0576</t>
        </is>
      </c>
      <c r="R3773" s="494" t="inlineStr">
        <is>
          <t xml:space="preserve"> 30.3652</t>
        </is>
      </c>
      <c r="W3773" s="387">
        <f>IF(AND(N3773=1,O3773&lt;&gt;""),C3773,"")</f>
        <v/>
      </c>
      <c r="Z3773" s="1" t="n"/>
    </row>
    <row r="3774" hidden="1">
      <c r="A3774" s="125" t="n">
        <v>4453</v>
      </c>
      <c r="B3774" s="125" t="n"/>
      <c r="C3774" s="125" t="inlineStr">
        <is>
          <t>Санкт-Петербург</t>
        </is>
      </c>
      <c r="D3774" s="130" t="inlineStr">
        <is>
          <t>Ленинградская область</t>
        </is>
      </c>
      <c r="E3774" s="791" t="n"/>
      <c r="F3774" s="125" t="inlineStr">
        <is>
          <t>АЗС</t>
        </is>
      </c>
      <c r="G3774" s="125" t="inlineStr">
        <is>
          <t>Газпромнефть</t>
        </is>
      </c>
      <c r="H3774" s="791" t="n"/>
      <c r="I3774" s="637" t="n">
        <v>10130</v>
      </c>
      <c r="J3774" s="637" t="inlineStr">
        <is>
          <t>GPN_10130</t>
        </is>
      </c>
      <c r="K3774" s="791" t="n">
        <v>3</v>
      </c>
      <c r="L3774" s="640" t="n">
        <v>1</v>
      </c>
      <c r="M3774" s="265" t="n">
        <v>4</v>
      </c>
      <c r="N3774" s="640" t="n"/>
      <c r="O3774" s="640">
        <f>IF(AND(N3774=1,L3774=1),K3774,"")</f>
        <v/>
      </c>
      <c r="P3774" s="419" t="inlineStr">
        <is>
          <t>Ленинградская обл., Рощинское городское поселение, массив Победа, проезд Речной, 3</t>
        </is>
      </c>
      <c r="Q3774" s="640" t="inlineStr">
        <is>
          <t xml:space="preserve">60.3627 </t>
        </is>
      </c>
      <c r="R3774" s="494" t="inlineStr">
        <is>
          <t>29.5068</t>
        </is>
      </c>
      <c r="W3774" s="387">
        <f>IF(AND(N3774=1,O3774&lt;&gt;""),C3774,"")</f>
        <v/>
      </c>
      <c r="Z3774" s="1" t="n"/>
    </row>
    <row r="3775" hidden="1" ht="27.6" customHeight="1">
      <c r="A3775" s="125" t="n">
        <v>4454</v>
      </c>
      <c r="B3775" s="420" t="n"/>
      <c r="C3775" s="125" t="inlineStr">
        <is>
          <t>Санкт-Петербург</t>
        </is>
      </c>
      <c r="D3775" s="130" t="inlineStr">
        <is>
          <t>Ленинградская область</t>
        </is>
      </c>
      <c r="E3775" s="791" t="n"/>
      <c r="F3775" s="125" t="inlineStr">
        <is>
          <t>АЗС</t>
        </is>
      </c>
      <c r="G3775" s="125" t="inlineStr">
        <is>
          <t>Газпромнефть</t>
        </is>
      </c>
      <c r="H3775" s="791" t="n"/>
      <c r="I3775" s="637" t="n">
        <v>10131</v>
      </c>
      <c r="J3775" s="637" t="inlineStr">
        <is>
          <t>GPN_10131</t>
        </is>
      </c>
      <c r="K3775" s="791" t="n">
        <v>3</v>
      </c>
      <c r="L3775" s="640" t="n">
        <v>1</v>
      </c>
      <c r="M3775" s="265" t="n">
        <v>3</v>
      </c>
      <c r="N3775" s="640" t="n"/>
      <c r="O3775" s="640">
        <f>IF(AND(N3775=1,L3775=1),K3775,"")</f>
        <v/>
      </c>
      <c r="P3775" s="419" t="inlineStr">
        <is>
          <t>Ленинградская обл., г. Сосновый Бор, пересечение улицы Ленинградской и дороги на Биостанцию</t>
        </is>
      </c>
      <c r="Q3775" s="640" t="inlineStr">
        <is>
          <t>59.9022</t>
        </is>
      </c>
      <c r="R3775" s="494" t="inlineStr">
        <is>
          <t xml:space="preserve"> 29.0673</t>
        </is>
      </c>
      <c r="W3775" s="387">
        <f>IF(AND(N3775=1,O3775&lt;&gt;""),C3775,"")</f>
        <v/>
      </c>
      <c r="Z3775" s="1" t="n"/>
    </row>
    <row r="3776" hidden="1">
      <c r="A3776" s="125" t="n">
        <v>4455</v>
      </c>
      <c r="B3776" s="125" t="n"/>
      <c r="C3776" s="125" t="inlineStr">
        <is>
          <t>Санкт-Петербург</t>
        </is>
      </c>
      <c r="D3776" s="130" t="inlineStr">
        <is>
          <t>Санкт-Петербург</t>
        </is>
      </c>
      <c r="E3776" s="791" t="n"/>
      <c r="F3776" s="125" t="inlineStr">
        <is>
          <t>АЗС</t>
        </is>
      </c>
      <c r="G3776" s="125" t="inlineStr">
        <is>
          <t>Газпромнефть</t>
        </is>
      </c>
      <c r="H3776" s="791" t="n"/>
      <c r="I3776" s="637" t="n">
        <v>10133</v>
      </c>
      <c r="J3776" s="637" t="inlineStr">
        <is>
          <t>GPN_10133</t>
        </is>
      </c>
      <c r="K3776" s="791" t="n">
        <v>3</v>
      </c>
      <c r="L3776" s="640" t="n">
        <v>1</v>
      </c>
      <c r="M3776" s="265" t="n">
        <v>3</v>
      </c>
      <c r="N3776" s="640" t="n"/>
      <c r="O3776" s="640">
        <f>IF(AND(N3776=1,L3776=1),K3776,"")</f>
        <v/>
      </c>
      <c r="P3776" s="419" t="inlineStr">
        <is>
          <t>г. Санкт-Петербург, ул. Савушкина 110 А</t>
        </is>
      </c>
      <c r="Q3776" s="640" t="inlineStr">
        <is>
          <t>59.9848</t>
        </is>
      </c>
      <c r="R3776" s="494" t="inlineStr">
        <is>
          <t xml:space="preserve"> 30.2284</t>
        </is>
      </c>
      <c r="W3776" s="387">
        <f>IF(AND(N3776=1,O3776&lt;&gt;""),C3776,"")</f>
        <v/>
      </c>
      <c r="Z3776" s="1" t="n"/>
    </row>
    <row r="3777" hidden="1">
      <c r="A3777" s="125" t="n">
        <v>4456</v>
      </c>
      <c r="B3777" s="420" t="n"/>
      <c r="C3777" s="125" t="inlineStr">
        <is>
          <t>Санкт-Петербург</t>
        </is>
      </c>
      <c r="D3777" s="130" t="inlineStr">
        <is>
          <t>Санкт-Петербург</t>
        </is>
      </c>
      <c r="E3777" s="791" t="n"/>
      <c r="F3777" s="125" t="inlineStr">
        <is>
          <t>АЗС</t>
        </is>
      </c>
      <c r="G3777" s="125" t="inlineStr">
        <is>
          <t>Газпромнефть</t>
        </is>
      </c>
      <c r="H3777" s="791" t="n"/>
      <c r="I3777" s="637" t="n">
        <v>10135</v>
      </c>
      <c r="J3777" s="637" t="inlineStr">
        <is>
          <t>GPN_10135</t>
        </is>
      </c>
      <c r="K3777" s="791" t="n">
        <v>3</v>
      </c>
      <c r="L3777" s="640" t="n">
        <v>1</v>
      </c>
      <c r="M3777" s="265" t="n">
        <v>4</v>
      </c>
      <c r="N3777" s="640" t="n"/>
      <c r="O3777" s="640">
        <f>IF(AND(N3777=1,L3777=1),K3777,"")</f>
        <v/>
      </c>
      <c r="P3777" s="419" t="inlineStr">
        <is>
          <t>г. Санкт-Петербург, Волхонское шоссе д.115 к.5 лит.А</t>
        </is>
      </c>
      <c r="Q3777" s="640" t="inlineStr">
        <is>
          <t xml:space="preserve">59.806 </t>
        </is>
      </c>
      <c r="R3777" s="494" t="inlineStr">
        <is>
          <t>30.1382</t>
        </is>
      </c>
      <c r="W3777" s="387">
        <f>IF(AND(N3777=1,O3777&lt;&gt;""),C3777,"")</f>
        <v/>
      </c>
      <c r="Z3777" s="1" t="n"/>
    </row>
    <row r="3778" hidden="1" ht="27.6" customHeight="1">
      <c r="A3778" s="125" t="n">
        <v>4457</v>
      </c>
      <c r="B3778" s="125" t="n"/>
      <c r="C3778" s="125" t="inlineStr">
        <is>
          <t>Москва</t>
        </is>
      </c>
      <c r="D3778" s="130" t="inlineStr">
        <is>
          <t>Московская область</t>
        </is>
      </c>
      <c r="E3778" s="791" t="n"/>
      <c r="F3778" s="125" t="inlineStr">
        <is>
          <t>АЗС</t>
        </is>
      </c>
      <c r="G3778" s="125" t="inlineStr">
        <is>
          <t>Газпромнефть</t>
        </is>
      </c>
      <c r="H3778" s="791" t="n"/>
      <c r="I3778" s="637" t="n">
        <v>12319</v>
      </c>
      <c r="J3778" s="637" t="inlineStr">
        <is>
          <t>GPN_12319</t>
        </is>
      </c>
      <c r="K3778" s="791" t="n">
        <v>3</v>
      </c>
      <c r="L3778" s="640" t="n">
        <v>1</v>
      </c>
      <c r="M3778" s="265" t="n">
        <v>3</v>
      </c>
      <c r="N3778" s="640" t="n"/>
      <c r="O3778" s="640">
        <f>IF(AND(N3778=1,L3778=1),K3778,"")</f>
        <v/>
      </c>
      <c r="P3778" s="419" t="inlineStr">
        <is>
          <t>МО, Ногинский район, г. Ногинск, 56 км автодороги «Москва - Нижний Новгород» (левая сторона)</t>
        </is>
      </c>
      <c r="Q3778" s="640" t="inlineStr">
        <is>
          <t xml:space="preserve">55.8355 </t>
        </is>
      </c>
      <c r="R3778" s="494" t="inlineStr">
        <is>
          <t>38.4604</t>
        </is>
      </c>
      <c r="W3778" s="387">
        <f>IF(AND(N3778=1,O3778&lt;&gt;""),C3778,"")</f>
        <v/>
      </c>
      <c r="Z3778" s="1" t="n"/>
    </row>
    <row r="3779" hidden="1">
      <c r="A3779" s="125" t="n">
        <v>4458</v>
      </c>
      <c r="B3779" s="420" t="n"/>
      <c r="C3779" s="125" t="inlineStr">
        <is>
          <t>Москва</t>
        </is>
      </c>
      <c r="D3779" s="130" t="inlineStr">
        <is>
          <t>Московская область</t>
        </is>
      </c>
      <c r="E3779" s="791" t="n"/>
      <c r="F3779" s="125" t="inlineStr">
        <is>
          <t>АЗС</t>
        </is>
      </c>
      <c r="G3779" s="125" t="inlineStr">
        <is>
          <t>Газпромнефть</t>
        </is>
      </c>
      <c r="H3779" s="791" t="n"/>
      <c r="I3779" s="637" t="n">
        <v>12320</v>
      </c>
      <c r="J3779" s="637" t="inlineStr">
        <is>
          <t>GPN_12320</t>
        </is>
      </c>
      <c r="K3779" s="791" t="n">
        <v>3</v>
      </c>
      <c r="L3779" s="640" t="n">
        <v>1</v>
      </c>
      <c r="M3779" s="265" t="n">
        <v>3</v>
      </c>
      <c r="N3779" s="640" t="n"/>
      <c r="O3779" s="640">
        <f>IF(AND(N3779=1,L3779=1),K3779,"")</f>
        <v/>
      </c>
      <c r="P3779" s="419" t="inlineStr">
        <is>
          <t>МО, Ногинский район, городское поселение Ногинск, г. Ногинск, Электростальское ш.</t>
        </is>
      </c>
      <c r="Q3779" s="640" t="inlineStr">
        <is>
          <t>55.833</t>
        </is>
      </c>
      <c r="R3779" s="494" t="inlineStr">
        <is>
          <t xml:space="preserve"> 38.428</t>
        </is>
      </c>
      <c r="W3779" s="387">
        <f>IF(AND(N3779=1,O3779&lt;&gt;""),C3779,"")</f>
        <v/>
      </c>
      <c r="Z3779" s="1" t="n"/>
    </row>
    <row r="3780" hidden="1" ht="27.6" customHeight="1">
      <c r="A3780" s="125" t="n">
        <v>4459</v>
      </c>
      <c r="B3780" s="125" t="n"/>
      <c r="C3780" s="125" t="inlineStr">
        <is>
          <t>Москва</t>
        </is>
      </c>
      <c r="D3780" s="130" t="inlineStr">
        <is>
          <t>Московская область</t>
        </is>
      </c>
      <c r="E3780" s="791" t="n"/>
      <c r="F3780" s="125" t="inlineStr">
        <is>
          <t>АЗС</t>
        </is>
      </c>
      <c r="G3780" s="125" t="inlineStr">
        <is>
          <t>Газпромнефть</t>
        </is>
      </c>
      <c r="H3780" s="791" t="n"/>
      <c r="I3780" s="637" t="n">
        <v>12339</v>
      </c>
      <c r="J3780" s="637" t="inlineStr">
        <is>
          <t>GPN_12339</t>
        </is>
      </c>
      <c r="K3780" s="791" t="n">
        <v>3</v>
      </c>
      <c r="L3780" s="640" t="n">
        <v>1</v>
      </c>
      <c r="M3780" s="265" t="n">
        <v>3</v>
      </c>
      <c r="N3780" s="640" t="n"/>
      <c r="O3780" s="640">
        <f>IF(AND(N3780=1,L3780=1),K3780,"")</f>
        <v/>
      </c>
      <c r="P3780" s="419" t="inlineStr">
        <is>
          <t>МО, Сергиево-Посадский муниципальный р-н, рабочий поселок Ско-ропусковский, производственная зона, д. 89</t>
        </is>
      </c>
      <c r="Q3780" s="640" t="inlineStr">
        <is>
          <t>56.3779</t>
        </is>
      </c>
      <c r="R3780" s="494" t="inlineStr">
        <is>
          <t xml:space="preserve"> 38.1092</t>
        </is>
      </c>
      <c r="W3780" s="387">
        <f>IF(AND(N3780=1,O3780&lt;&gt;""),C3780,"")</f>
        <v/>
      </c>
      <c r="Z3780" s="1" t="n"/>
    </row>
    <row r="3781" hidden="1">
      <c r="A3781" s="125" t="n">
        <v>4460</v>
      </c>
      <c r="B3781" s="420" t="n"/>
      <c r="C3781" s="125" t="inlineStr">
        <is>
          <t>Москва</t>
        </is>
      </c>
      <c r="D3781" s="130" t="inlineStr">
        <is>
          <t>Московская область</t>
        </is>
      </c>
      <c r="E3781" s="791" t="n"/>
      <c r="F3781" s="125" t="inlineStr">
        <is>
          <t>АЗС</t>
        </is>
      </c>
      <c r="G3781" s="125" t="inlineStr">
        <is>
          <t>Газпромнефть</t>
        </is>
      </c>
      <c r="H3781" s="791" t="n"/>
      <c r="I3781" s="637" t="n">
        <v>12546</v>
      </c>
      <c r="J3781" s="637" t="inlineStr">
        <is>
          <t>GPN_12546</t>
        </is>
      </c>
      <c r="K3781" s="791" t="n">
        <v>3</v>
      </c>
      <c r="L3781" s="640" t="n">
        <v>0</v>
      </c>
      <c r="M3781" s="265" t="n">
        <v>4</v>
      </c>
      <c r="N3781" s="640" t="n"/>
      <c r="O3781" s="640">
        <f>IF(AND(N3781=1,L3781=1),K3781,"")</f>
        <v/>
      </c>
      <c r="P3781" s="419" t="inlineStr">
        <is>
          <t>МО, г. Дзержинский ул. Дзержинская д. 46</t>
        </is>
      </c>
      <c r="Q3781" s="640" t="inlineStr">
        <is>
          <t>55.6243</t>
        </is>
      </c>
      <c r="R3781" s="422" t="inlineStr">
        <is>
          <t xml:space="preserve"> 37.866</t>
        </is>
      </c>
      <c r="W3781" s="387">
        <f>IF(AND(N3781=1,O3781&lt;&gt;""),C3781,"")</f>
        <v/>
      </c>
      <c r="Z3781" s="1" t="n"/>
    </row>
    <row r="3782" hidden="1">
      <c r="A3782" s="125" t="n">
        <v>4461</v>
      </c>
      <c r="B3782" s="125" t="n"/>
      <c r="C3782" s="125" t="inlineStr">
        <is>
          <t>Екатеринбург</t>
        </is>
      </c>
      <c r="D3782" s="130" t="inlineStr">
        <is>
          <t>Свердловская область</t>
        </is>
      </c>
      <c r="E3782" s="791" t="n"/>
      <c r="F3782" s="125" t="inlineStr">
        <is>
          <t>АЗС</t>
        </is>
      </c>
      <c r="G3782" s="125" t="inlineStr">
        <is>
          <t>Газпромнефть</t>
        </is>
      </c>
      <c r="H3782" s="791" t="n"/>
      <c r="I3782" s="637" t="n">
        <v>20017</v>
      </c>
      <c r="J3782" s="637" t="inlineStr">
        <is>
          <t>GPN_20017</t>
        </is>
      </c>
      <c r="K3782" s="791" t="n">
        <v>2</v>
      </c>
      <c r="L3782" s="640" t="n">
        <v>1</v>
      </c>
      <c r="M3782" s="265" t="n">
        <v>2</v>
      </c>
      <c r="N3782" s="640" t="n"/>
      <c r="O3782" s="640">
        <f>IF(AND(N3782=1,L3782=1),K3782,"")</f>
        <v/>
      </c>
      <c r="P3782" s="419" t="inlineStr">
        <is>
          <t>Свердловская обл., п. Кашино, ул. Ленина 2в</t>
        </is>
      </c>
      <c r="Q3782" s="640" t="inlineStr">
        <is>
          <t xml:space="preserve">56.5266 </t>
        </is>
      </c>
      <c r="R3782" s="494" t="inlineStr">
        <is>
          <t>60.8709</t>
        </is>
      </c>
      <c r="W3782" s="387">
        <f>IF(AND(N3782=1,O3782&lt;&gt;""),C3782,"")</f>
        <v/>
      </c>
      <c r="Z3782" s="1" t="n"/>
    </row>
    <row r="3783" hidden="1">
      <c r="A3783" s="125" t="n">
        <v>4462</v>
      </c>
      <c r="B3783" s="420" t="n"/>
      <c r="C3783" s="130" t="inlineStr">
        <is>
          <t>Екатеринбург</t>
        </is>
      </c>
      <c r="D3783" s="130" t="inlineStr">
        <is>
          <t>Свердловская область</t>
        </is>
      </c>
      <c r="E3783" s="791" t="n"/>
      <c r="F3783" s="125" t="inlineStr">
        <is>
          <t>АЗС</t>
        </is>
      </c>
      <c r="G3783" s="125" t="inlineStr">
        <is>
          <t>Газпромнефть</t>
        </is>
      </c>
      <c r="H3783" s="791" t="n"/>
      <c r="I3783" s="637" t="n">
        <v>25049</v>
      </c>
      <c r="J3783" s="637" t="inlineStr">
        <is>
          <t>GPN_25049</t>
        </is>
      </c>
      <c r="K3783" s="791" t="n">
        <v>1</v>
      </c>
      <c r="L3783" s="640" t="n">
        <v>1</v>
      </c>
      <c r="M3783" s="265" t="n">
        <v>1</v>
      </c>
      <c r="N3783" s="640" t="n"/>
      <c r="O3783" s="640">
        <f>IF(AND(N3783=1,L3783=1),K3783,"")</f>
        <v/>
      </c>
      <c r="P3783" s="419" t="inlineStr">
        <is>
          <t>г. Заречный, ул. Химиков, 17</t>
        </is>
      </c>
      <c r="Q3783" s="640" t="inlineStr">
        <is>
          <t xml:space="preserve">56.7736 </t>
        </is>
      </c>
      <c r="R3783" s="494" t="inlineStr">
        <is>
          <t>61.3288</t>
        </is>
      </c>
      <c r="W3783" s="387">
        <f>IF(AND(N3783=1,O3783&lt;&gt;""),C3783,"")</f>
        <v/>
      </c>
      <c r="Z3783" s="1" t="n"/>
    </row>
    <row r="3784" hidden="1">
      <c r="A3784" s="125" t="n">
        <v>4463</v>
      </c>
      <c r="B3784" s="125" t="n"/>
      <c r="C3784" s="130" t="inlineStr">
        <is>
          <t>Екатеринбург</t>
        </is>
      </c>
      <c r="D3784" s="130" t="inlineStr">
        <is>
          <t>Свердловская область</t>
        </is>
      </c>
      <c r="E3784" s="791" t="n"/>
      <c r="F3784" s="125" t="inlineStr">
        <is>
          <t>АЗС</t>
        </is>
      </c>
      <c r="G3784" s="125" t="inlineStr">
        <is>
          <t>Газпромнефть</t>
        </is>
      </c>
      <c r="H3784" s="791" t="n"/>
      <c r="I3784" s="637" t="n">
        <v>25129</v>
      </c>
      <c r="J3784" s="637" t="inlineStr">
        <is>
          <t>GPN_25129</t>
        </is>
      </c>
      <c r="K3784" s="791" t="n">
        <v>3</v>
      </c>
      <c r="L3784" s="640" t="n">
        <v>1</v>
      </c>
      <c r="M3784" s="265" t="n">
        <v>3</v>
      </c>
      <c r="N3784" s="640" t="n"/>
      <c r="O3784" s="640">
        <f>IF(AND(N3784=1,L3784=1),K3784,"")</f>
        <v/>
      </c>
      <c r="P3784" s="419" t="inlineStr">
        <is>
          <t>транзит г. Екатеринбург-Пермь 105 км, Бисерть</t>
        </is>
      </c>
      <c r="Q3784" s="640" t="inlineStr">
        <is>
          <t xml:space="preserve">56.8294 </t>
        </is>
      </c>
      <c r="R3784" s="494" t="inlineStr">
        <is>
          <t>59.0418</t>
        </is>
      </c>
      <c r="W3784" s="387">
        <f>IF(AND(N3784=1,O3784&lt;&gt;""),C3784,"")</f>
        <v/>
      </c>
      <c r="Z3784" s="1" t="n"/>
    </row>
    <row r="3785" hidden="1">
      <c r="A3785" s="125" t="n">
        <v>4464</v>
      </c>
      <c r="B3785" s="125" t="n"/>
      <c r="C3785" s="130" t="inlineStr">
        <is>
          <t>Новосибирск</t>
        </is>
      </c>
      <c r="D3785" s="130" t="inlineStr">
        <is>
          <t>Новосибирская область</t>
        </is>
      </c>
      <c r="E3785" s="791" t="n"/>
      <c r="F3785" s="125" t="inlineStr">
        <is>
          <t>АЗС</t>
        </is>
      </c>
      <c r="G3785" s="125" t="inlineStr">
        <is>
          <t>Газпромнефть</t>
        </is>
      </c>
      <c r="H3785" s="791" t="n"/>
      <c r="I3785" s="637" t="n">
        <v>30097</v>
      </c>
      <c r="J3785" s="637" t="inlineStr">
        <is>
          <t>GPN_30097</t>
        </is>
      </c>
      <c r="K3785" s="791" t="n">
        <v>3</v>
      </c>
      <c r="L3785" s="640" t="n">
        <v>1</v>
      </c>
      <c r="M3785" s="265" t="n">
        <v>4</v>
      </c>
      <c r="N3785" s="640" t="n"/>
      <c r="O3785" s="640">
        <f>IF(AND(N3785=1,L3785=1),K3785,"")</f>
        <v/>
      </c>
      <c r="P3785" s="419" t="inlineStr">
        <is>
          <t>г. Искитим, м-н Южный, 70д</t>
        </is>
      </c>
      <c r="Q3785" s="640" t="inlineStr">
        <is>
          <t xml:space="preserve">54.6109 </t>
        </is>
      </c>
      <c r="R3785" s="494" t="inlineStr">
        <is>
          <t>83.2831</t>
        </is>
      </c>
      <c r="W3785" s="387">
        <f>IF(AND(N3785=1,O3785&lt;&gt;""),C3785,"")</f>
        <v/>
      </c>
      <c r="Z3785" s="1" t="n"/>
    </row>
    <row r="3786" hidden="1">
      <c r="A3786" s="125" t="n">
        <v>4465</v>
      </c>
      <c r="B3786" s="125" t="n"/>
      <c r="C3786" s="130" t="inlineStr">
        <is>
          <t>Рязань</t>
        </is>
      </c>
      <c r="D3786" s="130" t="inlineStr">
        <is>
          <t>Рязанская область</t>
        </is>
      </c>
      <c r="E3786" s="125" t="n"/>
      <c r="F3786" s="125" t="inlineStr">
        <is>
          <t>АЗС</t>
        </is>
      </c>
      <c r="G3786" s="125" t="inlineStr">
        <is>
          <t>Роснефть</t>
        </is>
      </c>
      <c r="H3786" s="421" t="n"/>
      <c r="I3786" s="637" t="n">
        <v>101</v>
      </c>
      <c r="J3786" s="637" t="inlineStr">
        <is>
          <t>RZN_RN_101</t>
        </is>
      </c>
      <c r="K3786" s="422" t="n">
        <v>1</v>
      </c>
      <c r="L3786" s="640" t="n">
        <v>1</v>
      </c>
      <c r="M3786" s="265" t="inlineStr">
        <is>
          <t>Samsung 32" вертикальный</t>
        </is>
      </c>
      <c r="N3786" s="640" t="n"/>
      <c r="O3786" s="640">
        <f>IF(AND(N3786=1,L3786=1),K3786,"")</f>
        <v/>
      </c>
      <c r="P3786" s="419" t="inlineStr">
        <is>
          <t>Рязанская область г. Скопин ул Пушкинская д88б</t>
        </is>
      </c>
      <c r="Q3786" s="640" t="n">
        <v>53.82913</v>
      </c>
      <c r="R3786" s="494" t="n">
        <v>39.57422</v>
      </c>
      <c r="Z3786" s="1" t="n"/>
    </row>
    <row r="3787" hidden="1">
      <c r="A3787" s="125" t="n">
        <v>4466</v>
      </c>
      <c r="B3787" s="125" t="n"/>
      <c r="C3787" s="130" t="inlineStr">
        <is>
          <t>Рязань</t>
        </is>
      </c>
      <c r="D3787" s="130" t="inlineStr">
        <is>
          <t>Рязанская область</t>
        </is>
      </c>
      <c r="E3787" s="130" t="n"/>
      <c r="F3787" s="130" t="inlineStr">
        <is>
          <t>АЗС</t>
        </is>
      </c>
      <c r="G3787" s="130" t="inlineStr">
        <is>
          <t>Роснефть</t>
        </is>
      </c>
      <c r="H3787" s="131" t="n"/>
      <c r="I3787" s="637" t="n">
        <v>106</v>
      </c>
      <c r="J3787" s="637" t="inlineStr">
        <is>
          <t>RZN_RN_106</t>
        </is>
      </c>
      <c r="K3787" s="640" t="n">
        <v>1</v>
      </c>
      <c r="L3787" s="640" t="n">
        <v>0</v>
      </c>
      <c r="M3787" s="265" t="inlineStr">
        <is>
          <t>Samsung 32" вертикальный</t>
        </is>
      </c>
      <c r="N3787" s="640" t="n"/>
      <c r="O3787" s="640">
        <f>IF(AND(N3787=1,L3787=1),K3787,"")</f>
        <v/>
      </c>
      <c r="P3787" s="419" t="inlineStr">
        <is>
          <t>Рязанская область, Пронский р-н, г. Новомичуринск, Микрорайон "Д"</t>
        </is>
      </c>
      <c r="Q3787" s="640" t="n">
        <v>54.03253</v>
      </c>
      <c r="R3787" s="494" t="n">
        <v>39.74261</v>
      </c>
      <c r="Z3787" s="1" t="n"/>
    </row>
    <row r="3788" hidden="1">
      <c r="A3788" s="125" t="n">
        <v>4467</v>
      </c>
      <c r="B3788" s="125" t="n"/>
      <c r="C3788" s="130" t="inlineStr">
        <is>
          <t>Рязань</t>
        </is>
      </c>
      <c r="D3788" s="130" t="inlineStr">
        <is>
          <t>Рязанская область</t>
        </is>
      </c>
      <c r="E3788" s="130" t="n"/>
      <c r="F3788" s="130" t="inlineStr">
        <is>
          <t>АЗС</t>
        </is>
      </c>
      <c r="G3788" s="130" t="inlineStr">
        <is>
          <t>Роснефть</t>
        </is>
      </c>
      <c r="H3788" s="131" t="n"/>
      <c r="I3788" s="637" t="n">
        <v>41</v>
      </c>
      <c r="J3788" s="637" t="inlineStr">
        <is>
          <t>RZN_RN_041</t>
        </is>
      </c>
      <c r="K3788" s="640" t="n">
        <v>1</v>
      </c>
      <c r="L3788" s="640" t="n">
        <v>1</v>
      </c>
      <c r="M3788" s="265" t="inlineStr">
        <is>
          <t>Samsung 32" вертикальный</t>
        </is>
      </c>
      <c r="N3788" s="640" t="n"/>
      <c r="O3788" s="640">
        <f>IF(AND(N3788=1,L3788=1),K3788,"")</f>
        <v/>
      </c>
      <c r="P3788" s="419" t="inlineStr">
        <is>
          <t>Рязанская область г. Касимов ул.Звгородная 12</t>
        </is>
      </c>
      <c r="Q3788" s="640" t="n">
        <v>54.95383</v>
      </c>
      <c r="R3788" s="494" t="n">
        <v>41.35329</v>
      </c>
      <c r="Z3788" s="1" t="n"/>
    </row>
    <row r="3789" hidden="1">
      <c r="A3789" s="125" t="n">
        <v>4468</v>
      </c>
      <c r="B3789" s="125" t="n"/>
      <c r="C3789" s="130" t="inlineStr">
        <is>
          <t>Рязань</t>
        </is>
      </c>
      <c r="D3789" s="130" t="inlineStr">
        <is>
          <t>Рязанская область</t>
        </is>
      </c>
      <c r="E3789" s="130" t="n"/>
      <c r="F3789" s="130" t="inlineStr">
        <is>
          <t>АЗС</t>
        </is>
      </c>
      <c r="G3789" s="130" t="inlineStr">
        <is>
          <t>Роснефть</t>
        </is>
      </c>
      <c r="H3789" s="131" t="n"/>
      <c r="I3789" s="637" t="n">
        <v>141</v>
      </c>
      <c r="J3789" s="637" t="inlineStr">
        <is>
          <t>RZN_RN_141</t>
        </is>
      </c>
      <c r="K3789" s="640" t="n">
        <v>1</v>
      </c>
      <c r="L3789" s="640" t="n">
        <v>1</v>
      </c>
      <c r="M3789" s="265" t="inlineStr">
        <is>
          <t>Samsung 32" вертикальный</t>
        </is>
      </c>
      <c r="N3789" s="640" t="n"/>
      <c r="O3789" s="640">
        <f>IF(AND(N3789=1,L3789=1),K3789,"")</f>
        <v/>
      </c>
      <c r="P3789" s="419" t="inlineStr">
        <is>
          <t>Рязанская область п. Шилово ул. Рязанская</t>
        </is>
      </c>
      <c r="Q3789" s="640" t="n">
        <v>54.29871</v>
      </c>
      <c r="R3789" s="422" t="n">
        <v>40.85775</v>
      </c>
      <c r="Z3789" s="1" t="n"/>
    </row>
    <row r="3790" hidden="1">
      <c r="A3790" s="125" t="n">
        <v>4469</v>
      </c>
      <c r="B3790" s="125" t="n"/>
      <c r="C3790" s="130" t="inlineStr">
        <is>
          <t>Рязань</t>
        </is>
      </c>
      <c r="D3790" s="130" t="inlineStr">
        <is>
          <t>Рязанская область</t>
        </is>
      </c>
      <c r="E3790" s="130" t="n"/>
      <c r="F3790" s="130" t="inlineStr">
        <is>
          <t>АЗС</t>
        </is>
      </c>
      <c r="G3790" s="130" t="inlineStr">
        <is>
          <t>Роснефть</t>
        </is>
      </c>
      <c r="H3790" s="131" t="n"/>
      <c r="I3790" s="637" t="n">
        <v>71</v>
      </c>
      <c r="J3790" s="637" t="inlineStr">
        <is>
          <t>RZN_RN_071</t>
        </is>
      </c>
      <c r="K3790" s="640" t="n">
        <v>1</v>
      </c>
      <c r="L3790" s="640" t="n">
        <v>0</v>
      </c>
      <c r="M3790" s="265" t="inlineStr">
        <is>
          <t>Samsung 32" вертикальный</t>
        </is>
      </c>
      <c r="N3790" s="640" t="n"/>
      <c r="O3790" s="640">
        <f>IF(AND(N3790=1,L3790=1),K3790,"")</f>
        <v/>
      </c>
      <c r="P3790" s="419" t="inlineStr">
        <is>
          <t>Рязанская область, Михайловский р-н, г. Михайлов, а/д М6 'Каспий', 206 км, справа</t>
        </is>
      </c>
      <c r="Q3790" s="640" t="n">
        <v>54.225896</v>
      </c>
      <c r="R3790" s="422" t="n">
        <v>38.991378</v>
      </c>
      <c r="Z3790" s="1" t="n"/>
    </row>
    <row r="3791" hidden="1" ht="15" customHeight="1">
      <c r="A3791" s="125" t="n">
        <v>4470</v>
      </c>
      <c r="B3791" s="125" t="n"/>
      <c r="C3791" s="130" t="inlineStr">
        <is>
          <t>Санкт-Петербург</t>
        </is>
      </c>
      <c r="D3791" s="130" t="inlineStr">
        <is>
          <t>Санкт-Петербург</t>
        </is>
      </c>
      <c r="E3791" s="130" t="n"/>
      <c r="F3791" s="130" t="inlineStr">
        <is>
          <t>Супермаркет</t>
        </is>
      </c>
      <c r="G3791" s="130" t="inlineStr">
        <is>
          <t>Азбука Вкуса</t>
        </is>
      </c>
      <c r="H3791" s="131" t="n"/>
      <c r="I3791" s="637" t="inlineStr">
        <is>
          <t>SPB_015</t>
        </is>
      </c>
      <c r="J3791" s="637" t="inlineStr">
        <is>
          <t>SPB_A_015</t>
        </is>
      </c>
      <c r="K3791" s="640" t="n">
        <v>3</v>
      </c>
      <c r="L3791" s="640" t="n">
        <v>1</v>
      </c>
      <c r="M3791" s="623" t="inlineStr">
        <is>
          <t>Samsung 43" вертикальный</t>
        </is>
      </c>
      <c r="N3791" s="640" t="n"/>
      <c r="O3791" s="640">
        <f>IF(AND(N3791=1,L3791=1),K3791,"")</f>
        <v/>
      </c>
      <c r="P3791" s="419" t="inlineStr">
        <is>
          <t>г. Санкт-Петербург Лахтинский проспект 85  Гарден Сити</t>
        </is>
      </c>
      <c r="Q3791" s="640" t="n">
        <v>59.994171</v>
      </c>
      <c r="R3791" s="494" t="n">
        <v>30.147569</v>
      </c>
      <c r="S3791" s="387" t="n">
        <v>24</v>
      </c>
      <c r="T3791" s="436">
        <f>IF(N3791=1,O3791*S3791,"")</f>
        <v/>
      </c>
      <c r="Z3791" s="1" t="n"/>
    </row>
    <row r="3792" hidden="1">
      <c r="A3792" s="125" t="n">
        <v>4471</v>
      </c>
      <c r="B3792" s="125" t="n"/>
      <c r="C3792" s="125" t="inlineStr">
        <is>
          <t>Санкт-Петербург</t>
        </is>
      </c>
      <c r="D3792" s="130" t="inlineStr">
        <is>
          <t>Санкт-Петербург</t>
        </is>
      </c>
      <c r="E3792" s="130" t="inlineStr">
        <is>
          <t>B</t>
        </is>
      </c>
      <c r="F3792" s="130" t="inlineStr">
        <is>
          <t>Бизнес центр</t>
        </is>
      </c>
      <c r="G3792" s="130" t="inlineStr">
        <is>
          <t>Бизнес центр</t>
        </is>
      </c>
      <c r="H3792" s="131" t="n">
        <v>4200</v>
      </c>
      <c r="I3792" s="637" t="inlineStr">
        <is>
          <t>ТВ-Полис</t>
        </is>
      </c>
      <c r="J3792" s="637" t="inlineStr">
        <is>
          <t>SPB_BC_TV_Polis</t>
        </is>
      </c>
      <c r="K3792" s="640" t="n">
        <v>1</v>
      </c>
      <c r="L3792" s="640" t="n">
        <v>0</v>
      </c>
      <c r="M3792" s="265" t="inlineStr">
        <is>
          <t>LED/65'/верт</t>
        </is>
      </c>
      <c r="N3792" s="640" t="n"/>
      <c r="O3792" s="640">
        <f>IF(AND(N3792=1,L3792=1),K3792,"")</f>
        <v/>
      </c>
      <c r="P3792" s="419" t="inlineStr">
        <is>
          <t>ул. Чапыгина, д. 6П</t>
        </is>
      </c>
      <c r="Q3792" s="640" t="n">
        <v>59.89966</v>
      </c>
      <c r="R3792" s="422" t="n">
        <v>30.40129</v>
      </c>
      <c r="S3792" s="387">
        <f>'Цены|Скидки'!$D$25</f>
        <v/>
      </c>
      <c r="T3792" s="387">
        <f>IF(N3792=1,S3792*O3792,0)</f>
        <v/>
      </c>
      <c r="U3792" s="436" t="n">
        <v>1</v>
      </c>
      <c r="V3792" s="438">
        <f>IF(AND(N3792=1,U3792=1),C3792,"")</f>
        <v/>
      </c>
      <c r="Z3792" s="1" t="n"/>
    </row>
    <row r="3793" hidden="1">
      <c r="A3793" s="125" t="n">
        <v>4472</v>
      </c>
      <c r="B3793" s="125" t="n"/>
      <c r="C3793" s="130" t="inlineStr">
        <is>
          <t>Ярославль</t>
        </is>
      </c>
      <c r="D3793" s="130" t="inlineStr">
        <is>
          <t>Ростов</t>
        </is>
      </c>
      <c r="E3793" s="130" t="n"/>
      <c r="F3793" s="130" t="inlineStr">
        <is>
          <t>АЗС</t>
        </is>
      </c>
      <c r="G3793" s="130" t="inlineStr">
        <is>
          <t>Роснефть</t>
        </is>
      </c>
      <c r="H3793" s="131" t="n"/>
      <c r="I3793" s="637" t="inlineStr">
        <is>
          <t>TNK_35</t>
        </is>
      </c>
      <c r="J3793" s="637" t="inlineStr">
        <is>
          <t>YAR_TNK_035</t>
        </is>
      </c>
      <c r="K3793" s="640" t="n">
        <v>1</v>
      </c>
      <c r="L3793" s="640" t="n">
        <v>1</v>
      </c>
      <c r="M3793" s="265" t="inlineStr">
        <is>
          <t>Samsung 32" вертикальный</t>
        </is>
      </c>
      <c r="N3793" s="640" t="n"/>
      <c r="O3793" s="640">
        <f>IF(AND(N3793=1,L3793=1),K3793,"")</f>
        <v/>
      </c>
      <c r="P3793" s="419" t="inlineStr">
        <is>
          <t>Ярославская область г.Ростов, ул Московское шоссе, 8</t>
        </is>
      </c>
      <c r="Q3793" s="640" t="n">
        <v>57.181841</v>
      </c>
      <c r="R3793" s="494" t="n">
        <v>39.382897</v>
      </c>
      <c r="Z3793" s="1" t="n"/>
    </row>
    <row r="3794" hidden="1">
      <c r="A3794" s="125" t="n">
        <v>4473</v>
      </c>
      <c r="B3794" s="125" t="n"/>
      <c r="C3794" s="130" t="inlineStr">
        <is>
          <t>Санкт-Петербург</t>
        </is>
      </c>
      <c r="D3794" s="130" t="inlineStr">
        <is>
          <t>Санкт-Петербург</t>
        </is>
      </c>
      <c r="E3794" s="130" t="n"/>
      <c r="F3794" s="130" t="inlineStr">
        <is>
          <t>АЗС</t>
        </is>
      </c>
      <c r="G3794" s="130" t="inlineStr">
        <is>
          <t>Роснефть</t>
        </is>
      </c>
      <c r="H3794" s="131" t="n">
        <v>410</v>
      </c>
      <c r="I3794" s="637" t="inlineStr">
        <is>
          <t>410 Первомайское</t>
        </is>
      </c>
      <c r="J3794" s="637" t="inlineStr">
        <is>
          <t>SPB_RN_P_410</t>
        </is>
      </c>
      <c r="K3794" s="640" t="n">
        <v>2</v>
      </c>
      <c r="L3794" s="640" t="n">
        <v>1</v>
      </c>
      <c r="M3794" s="265" t="inlineStr">
        <is>
          <t>Samsung 32" вертикальный</t>
        </is>
      </c>
      <c r="N3794" s="640" t="n"/>
      <c r="O3794" s="640">
        <f>IF(AND(N3794=1,L3794=1),K3794,"")</f>
        <v/>
      </c>
      <c r="P3794" s="419" t="inlineStr">
        <is>
          <t>Ленинградская область м.р-н Выборгский, п. Первомайское, ул. Ленина, д. 51А</t>
        </is>
      </c>
      <c r="Q3794" s="640" t="n">
        <v>60.365089</v>
      </c>
      <c r="R3794" s="494" t="n">
        <v>29.728787</v>
      </c>
    </row>
    <row r="3795" hidden="1" ht="15" customHeight="1">
      <c r="A3795" s="125" t="n">
        <v>4474</v>
      </c>
      <c r="B3795" s="125" t="n"/>
      <c r="C3795" s="130" t="inlineStr">
        <is>
          <t>Санкт-Петербург</t>
        </is>
      </c>
      <c r="D3795" s="130" t="inlineStr">
        <is>
          <t>Ленинградская область</t>
        </is>
      </c>
      <c r="E3795" s="130" t="n"/>
      <c r="F3795" s="130" t="inlineStr">
        <is>
          <t>АЗС</t>
        </is>
      </c>
      <c r="G3795" s="130" t="inlineStr">
        <is>
          <t>Роснефть</t>
        </is>
      </c>
      <c r="H3795" s="131" t="n">
        <v>138</v>
      </c>
      <c r="I3795" s="637" t="inlineStr">
        <is>
          <t>138 Трубников Бор-1</t>
        </is>
      </c>
      <c r="J3795" s="637" t="inlineStr">
        <is>
          <t>SPB_TNK_Trubnikov_Bor_1</t>
        </is>
      </c>
      <c r="K3795" s="640" t="n">
        <v>1</v>
      </c>
      <c r="L3795" s="640" t="n">
        <v>1</v>
      </c>
      <c r="M3795" s="265" t="inlineStr">
        <is>
          <t>Samsung 32" вертикальный</t>
        </is>
      </c>
      <c r="N3795" s="640" t="n"/>
      <c r="O3795" s="640">
        <f>IF(AND(N3795=1,L3795=1),K3795,"")</f>
        <v/>
      </c>
      <c r="P3795" s="419" t="inlineStr">
        <is>
          <t>Ленинградская область, Тосненский район, а/д Россия, 601км+800м  (право)</t>
        </is>
      </c>
      <c r="Q3795" s="640" t="inlineStr">
        <is>
          <t>59.25932</t>
        </is>
      </c>
      <c r="R3795" s="494" t="inlineStr">
        <is>
          <t>31.401309</t>
        </is>
      </c>
      <c r="S3795" s="436" t="n"/>
      <c r="T3795" s="436" t="n"/>
    </row>
    <row r="3796" hidden="1">
      <c r="A3796" s="125" t="n">
        <v>4475</v>
      </c>
      <c r="B3796" s="125" t="n"/>
      <c r="C3796" s="130" t="inlineStr">
        <is>
          <t>Рязань</t>
        </is>
      </c>
      <c r="D3796" s="130" t="inlineStr">
        <is>
          <t>Рязанская область</t>
        </is>
      </c>
      <c r="E3796" s="130" t="n"/>
      <c r="F3796" s="130" t="inlineStr">
        <is>
          <t>АЗС</t>
        </is>
      </c>
      <c r="G3796" s="130" t="inlineStr">
        <is>
          <t>Роснефть</t>
        </is>
      </c>
      <c r="H3796" s="131" t="n"/>
      <c r="I3796" s="637" t="n">
        <v>73</v>
      </c>
      <c r="J3796" s="637" t="inlineStr">
        <is>
          <t>RZN_RN_073</t>
        </is>
      </c>
      <c r="K3796" s="640" t="n">
        <v>1</v>
      </c>
      <c r="L3796" s="640" t="n">
        <v>1</v>
      </c>
      <c r="M3796" s="265" t="inlineStr">
        <is>
          <t>Samsung 32" вертикальный</t>
        </is>
      </c>
      <c r="N3796" s="640" t="n"/>
      <c r="O3796" s="640">
        <f>IF(AND(N3796=1,L3796=1),K3796,"")</f>
        <v/>
      </c>
      <c r="P3796" s="419" t="inlineStr">
        <is>
          <t>Рязанская обл., г. Михайлов, а/д Рязань-Астрахань Р-132, обход Михайлова, 71-й км</t>
        </is>
      </c>
      <c r="Q3796" s="640" t="n">
        <v>54.257201</v>
      </c>
      <c r="R3796" s="494" t="n">
        <v>38.991685</v>
      </c>
    </row>
    <row r="3797" hidden="1">
      <c r="A3797" s="125" t="n">
        <v>4476</v>
      </c>
      <c r="B3797" s="125" t="n"/>
      <c r="C3797" s="130" t="inlineStr">
        <is>
          <t>Москва</t>
        </is>
      </c>
      <c r="D3797" s="130" t="inlineStr">
        <is>
          <t>Москва</t>
        </is>
      </c>
      <c r="E3797" s="130" t="n"/>
      <c r="F3797" s="130" t="inlineStr">
        <is>
          <t>Супермаркет</t>
        </is>
      </c>
      <c r="G3797" s="130" t="inlineStr">
        <is>
          <t>Азбука Вкуса</t>
        </is>
      </c>
      <c r="H3797" s="131" t="n"/>
      <c r="I3797" s="637" t="n">
        <v>170</v>
      </c>
      <c r="J3797" s="637" t="inlineStr">
        <is>
          <t>MSK_A_170</t>
        </is>
      </c>
      <c r="K3797" s="640" t="n">
        <v>2</v>
      </c>
      <c r="L3797" s="640" t="n">
        <v>1</v>
      </c>
      <c r="M3797" s="265" t="inlineStr">
        <is>
          <t>Samsung 43" вертикальный</t>
        </is>
      </c>
      <c r="N3797" s="640" t="n"/>
      <c r="O3797" s="640">
        <f>IF(AND(N3797=1,L3797=1),K3797,"")</f>
        <v/>
      </c>
      <c r="P3797" s="419" t="inlineStr">
        <is>
          <t>ул. Гжатская 9</t>
        </is>
      </c>
      <c r="Q3797" s="640" t="n">
        <v>55.714703</v>
      </c>
      <c r="R3797" s="494" t="n">
        <v>37.436706</v>
      </c>
      <c r="S3797" s="387" t="n">
        <v>24</v>
      </c>
      <c r="T3797" s="436">
        <f>IF(N3797=1,O3797*S3797,"")</f>
        <v/>
      </c>
      <c r="U3797" s="436" t="n">
        <v>1</v>
      </c>
      <c r="V3797" s="438">
        <f>IF(AND(N3797=1,U3797=1),C3797,"")</f>
        <v/>
      </c>
    </row>
    <row r="3798" hidden="1">
      <c r="A3798" s="125" t="n">
        <v>4477</v>
      </c>
      <c r="B3798" s="125" t="n"/>
      <c r="C3798" s="125" t="inlineStr">
        <is>
          <t>Москва</t>
        </is>
      </c>
      <c r="D3798" s="125" t="inlineStr">
        <is>
          <t>Московская область</t>
        </is>
      </c>
      <c r="E3798" s="791" t="n"/>
      <c r="F3798" s="125" t="inlineStr">
        <is>
          <t>АЗС</t>
        </is>
      </c>
      <c r="G3798" s="87" t="inlineStr">
        <is>
          <t>Нефтьмагистраль</t>
        </is>
      </c>
      <c r="H3798" s="264" t="n">
        <v>850</v>
      </c>
      <c r="I3798" s="637" t="inlineStr">
        <is>
          <t>О55</t>
        </is>
      </c>
      <c r="J3798" s="412" t="inlineStr">
        <is>
          <t>MSK_NM_O_0055</t>
        </is>
      </c>
      <c r="K3798" s="640" t="n">
        <v>2</v>
      </c>
      <c r="L3798" s="640" t="n">
        <v>1</v>
      </c>
      <c r="M3798" s="265" t="inlineStr">
        <is>
          <t>Samsung 32" вертикальный</t>
        </is>
      </c>
      <c r="N3798" s="640" t="n"/>
      <c r="O3798" s="640">
        <f>IF(AND(N3798=1,L3798=1),K3798,"")</f>
        <v/>
      </c>
      <c r="P3798" s="419" t="inlineStr">
        <is>
          <t>МО Подольск, Железнодорожная улица, 18Б</t>
        </is>
      </c>
      <c r="Q3798" s="640" t="n">
        <v>55.42437</v>
      </c>
      <c r="R3798" s="494" t="n">
        <v>37.566107</v>
      </c>
    </row>
    <row r="3799" hidden="1">
      <c r="A3799" s="125" t="n">
        <v>4478</v>
      </c>
      <c r="B3799" s="125" t="n"/>
      <c r="C3799" s="125" t="inlineStr">
        <is>
          <t>Москва</t>
        </is>
      </c>
      <c r="D3799" s="125" t="inlineStr">
        <is>
          <t>Московская область</t>
        </is>
      </c>
      <c r="E3799" s="791" t="n"/>
      <c r="F3799" s="125" t="inlineStr">
        <is>
          <t>АЗС</t>
        </is>
      </c>
      <c r="G3799" s="87" t="inlineStr">
        <is>
          <t>Нефтьмагистраль</t>
        </is>
      </c>
      <c r="H3799" s="264" t="n">
        <v>520</v>
      </c>
      <c r="I3799" s="637" t="inlineStr">
        <is>
          <t>О32</t>
        </is>
      </c>
      <c r="J3799" s="637" t="inlineStr">
        <is>
          <t>MSK_NM_O_0032</t>
        </is>
      </c>
      <c r="K3799" s="640" t="n">
        <v>1</v>
      </c>
      <c r="L3799" s="640" t="n">
        <v>1</v>
      </c>
      <c r="M3799" s="265" t="inlineStr">
        <is>
          <t>Samsung 32" вертикальный</t>
        </is>
      </c>
      <c r="N3799" s="640" t="n"/>
      <c r="O3799" s="640">
        <f>IF(AND(N3799=1,L3799=1),K3799,"")</f>
        <v/>
      </c>
      <c r="P3799" s="419" t="inlineStr">
        <is>
          <t>МО Богородский район деревня Клюшниково</t>
        </is>
      </c>
      <c r="Q3799" s="640" t="n">
        <v>55.829257</v>
      </c>
      <c r="R3799" s="494" t="n">
        <v>38.425714</v>
      </c>
    </row>
    <row r="3800" hidden="1">
      <c r="A3800" s="125" t="n">
        <v>4479</v>
      </c>
      <c r="B3800" s="125" t="n"/>
      <c r="C3800" s="130" t="inlineStr">
        <is>
          <t>Санкт-Петербург</t>
        </is>
      </c>
      <c r="D3800" s="130" t="inlineStr">
        <is>
          <t>Всеволожский</t>
        </is>
      </c>
      <c r="E3800" s="130" t="n"/>
      <c r="F3800" s="130" t="inlineStr">
        <is>
          <t>АЗС</t>
        </is>
      </c>
      <c r="G3800" s="130" t="inlineStr">
        <is>
          <t>Татнефть</t>
        </is>
      </c>
      <c r="H3800" s="131" t="n"/>
      <c r="I3800" s="637" t="n">
        <v>378</v>
      </c>
      <c r="J3800" s="637" t="inlineStr">
        <is>
          <t>TATN_378</t>
        </is>
      </c>
      <c r="K3800" s="640" t="n">
        <v>2</v>
      </c>
      <c r="L3800" s="640" t="n">
        <v>0</v>
      </c>
      <c r="M3800" s="265" t="inlineStr">
        <is>
          <t>Samsung 32" вертикальный</t>
        </is>
      </c>
      <c r="N3800" s="640" t="n"/>
      <c r="O3800" s="640">
        <f>IF(AND(N3800=1,L3800=1),K3800,"")</f>
        <v/>
      </c>
      <c r="P3800" s="419" t="inlineStr">
        <is>
          <t xml:space="preserve">Ленинградская обл., Кингисеппский р-он, д. Косколово, А180, 134 км </t>
        </is>
      </c>
      <c r="Q3800" s="640" t="inlineStr">
        <is>
          <t>59.664621</t>
        </is>
      </c>
      <c r="R3800" s="494" t="inlineStr">
        <is>
          <t>28.450886</t>
        </is>
      </c>
    </row>
    <row r="3801" hidden="1" ht="27.6" customHeight="1">
      <c r="A3801" s="125" t="n">
        <v>4480</v>
      </c>
      <c r="B3801" s="125" t="n"/>
      <c r="C3801" s="130" t="inlineStr">
        <is>
          <t>Санкт-Петербург</t>
        </is>
      </c>
      <c r="D3801" s="130" t="inlineStr">
        <is>
          <t>Всеволожский</t>
        </is>
      </c>
      <c r="E3801" s="130" t="n"/>
      <c r="F3801" s="130" t="inlineStr">
        <is>
          <t>АЗС</t>
        </is>
      </c>
      <c r="G3801" s="130" t="inlineStr">
        <is>
          <t>Татнефть</t>
        </is>
      </c>
      <c r="H3801" s="131" t="n"/>
      <c r="I3801" s="637" t="n">
        <v>355</v>
      </c>
      <c r="J3801" s="637" t="inlineStr">
        <is>
          <t>TATN_355</t>
        </is>
      </c>
      <c r="K3801" s="640" t="n">
        <v>2</v>
      </c>
      <c r="L3801" s="640" t="n">
        <v>0</v>
      </c>
      <c r="M3801" s="265" t="inlineStr">
        <is>
          <t>Samsung 32" вертикальный</t>
        </is>
      </c>
      <c r="N3801" s="640" t="n"/>
      <c r="O3801" s="640">
        <f>IF(AND(N3801=1,L3801=1),K3801,"")</f>
        <v/>
      </c>
      <c r="P3801" s="419" t="inlineStr">
        <is>
          <t>Ленинградская обл., Кингисеппский р-он, Опольевская волость, д. Тикопись, А180, 116 км, справа</t>
        </is>
      </c>
      <c r="Q3801" s="640" t="inlineStr">
        <is>
          <t>59.410293</t>
        </is>
      </c>
      <c r="R3801" s="494" t="inlineStr">
        <is>
          <t>28.728974</t>
        </is>
      </c>
    </row>
    <row r="3802" hidden="1">
      <c r="A3802" s="125" t="n">
        <v>4481</v>
      </c>
      <c r="B3802" s="125" t="n"/>
      <c r="C3802" s="130" t="inlineStr">
        <is>
          <t>Санкт-Петербург</t>
        </is>
      </c>
      <c r="D3802" s="130" t="inlineStr">
        <is>
          <t>Всеволожский</t>
        </is>
      </c>
      <c r="E3802" s="130" t="n"/>
      <c r="F3802" s="130" t="inlineStr">
        <is>
          <t>АЗС</t>
        </is>
      </c>
      <c r="G3802" s="130" t="inlineStr">
        <is>
          <t>Татнефть</t>
        </is>
      </c>
      <c r="H3802" s="131" t="n"/>
      <c r="I3802" s="637" t="n">
        <v>495</v>
      </c>
      <c r="J3802" s="637" t="inlineStr">
        <is>
          <t>TATN_495</t>
        </is>
      </c>
      <c r="K3802" s="640" t="n">
        <v>2</v>
      </c>
      <c r="L3802" s="640" t="n">
        <v>0</v>
      </c>
      <c r="M3802" s="265" t="inlineStr">
        <is>
          <t>Samsung 32" вертикальный</t>
        </is>
      </c>
      <c r="N3802" s="640" t="n"/>
      <c r="O3802" s="640">
        <f>IF(AND(N3802=1,L3802=1),K3802,"")</f>
        <v/>
      </c>
      <c r="P3802" s="419" t="inlineStr">
        <is>
          <t>Ленинградская обл., Ломоносовский р-он, д. Подозванье, 1А</t>
        </is>
      </c>
      <c r="Q3802" s="640" t="inlineStr">
        <is>
          <t>59.411795</t>
        </is>
      </c>
      <c r="R3802" s="494" t="inlineStr">
        <is>
          <t>28.727803</t>
        </is>
      </c>
    </row>
    <row r="3803" hidden="1">
      <c r="A3803" s="125" t="n">
        <v>4482</v>
      </c>
      <c r="B3803" s="125" t="n"/>
      <c r="C3803" s="125" t="inlineStr">
        <is>
          <t>Москва</t>
        </is>
      </c>
      <c r="D3803" s="125" t="inlineStr">
        <is>
          <t>Москва</t>
        </is>
      </c>
      <c r="E3803" s="791" t="n"/>
      <c r="F3803" s="125" t="inlineStr">
        <is>
          <t>АЗС</t>
        </is>
      </c>
      <c r="G3803" s="87" t="inlineStr">
        <is>
          <t>Нефтьмагистраль</t>
        </is>
      </c>
      <c r="H3803" s="264" t="n">
        <v>520</v>
      </c>
      <c r="I3803" s="637" t="n">
        <v>22</v>
      </c>
      <c r="J3803" s="637" t="inlineStr">
        <is>
          <t>MSK_NM_0022</t>
        </is>
      </c>
      <c r="K3803" s="640" t="n">
        <v>1</v>
      </c>
      <c r="L3803" s="640" t="n">
        <v>1</v>
      </c>
      <c r="M3803" s="265" t="inlineStr">
        <is>
          <t>Samsung 32" вертикальный</t>
        </is>
      </c>
      <c r="N3803" s="640" t="n"/>
      <c r="O3803" s="640">
        <f>IF(AND(N3803=1,L3803=1),K3803,"")</f>
        <v/>
      </c>
      <c r="P3803" s="419" t="inlineStr">
        <is>
          <t>г. Москва, Пятницкое шоссе вл.28</t>
        </is>
      </c>
      <c r="Q3803" s="640" t="n">
        <v>55.848303</v>
      </c>
      <c r="R3803" s="494" t="n">
        <v>37.375257</v>
      </c>
    </row>
    <row r="3804" hidden="1">
      <c r="A3804" s="125" t="n">
        <v>4483</v>
      </c>
      <c r="B3804" s="125" t="n"/>
      <c r="C3804" s="130" t="inlineStr">
        <is>
          <t>Санкт-Петербург</t>
        </is>
      </c>
      <c r="D3804" s="130" t="inlineStr">
        <is>
          <t>Санкт-Петербург</t>
        </is>
      </c>
      <c r="E3804" s="791" t="n"/>
      <c r="F3804" s="125" t="inlineStr">
        <is>
          <t>АЗС</t>
        </is>
      </c>
      <c r="G3804" s="125" t="inlineStr">
        <is>
          <t>Газпромнефть</t>
        </is>
      </c>
      <c r="H3804" s="791" t="n"/>
      <c r="I3804" s="637" t="n">
        <v>10141</v>
      </c>
      <c r="J3804" s="637" t="inlineStr">
        <is>
          <t>GPN_10141</t>
        </is>
      </c>
      <c r="K3804" s="791" t="n">
        <v>3</v>
      </c>
      <c r="L3804" s="640" t="n">
        <v>1</v>
      </c>
      <c r="M3804" s="265" t="n">
        <v>3</v>
      </c>
      <c r="N3804" s="640" t="n"/>
      <c r="O3804" s="640">
        <f>IF(AND(N3804=1,L3804=1),K3804,"")</f>
        <v/>
      </c>
      <c r="P3804" s="419" t="inlineStr">
        <is>
          <t>г. Санкт-Петербург, пр. Коломяжский, 31 А</t>
        </is>
      </c>
      <c r="Q3804" s="640" t="inlineStr">
        <is>
          <t xml:space="preserve">60.01409 </t>
        </is>
      </c>
      <c r="R3804" s="494" t="inlineStr">
        <is>
          <t>30.29493</t>
        </is>
      </c>
      <c r="W3804" s="387">
        <f>IF(AND(N3804=1,O3804&lt;&gt;""),C3804,"")</f>
        <v/>
      </c>
    </row>
    <row r="3805" hidden="1">
      <c r="A3805" s="125" t="n">
        <v>4484</v>
      </c>
      <c r="B3805" s="125" t="n"/>
      <c r="C3805" s="130" t="inlineStr">
        <is>
          <t>Санкт-Петербург</t>
        </is>
      </c>
      <c r="D3805" s="130" t="inlineStr">
        <is>
          <t>Санкт-Петербург</t>
        </is>
      </c>
      <c r="E3805" s="791" t="n"/>
      <c r="F3805" s="125" t="inlineStr">
        <is>
          <t>АЗС</t>
        </is>
      </c>
      <c r="G3805" s="125" t="inlineStr">
        <is>
          <t>Газпромнефть</t>
        </is>
      </c>
      <c r="H3805" s="791" t="n"/>
      <c r="I3805" s="637" t="n">
        <v>10142</v>
      </c>
      <c r="J3805" s="637" t="inlineStr">
        <is>
          <t>GPN_10142</t>
        </is>
      </c>
      <c r="K3805" s="791" t="n">
        <v>3</v>
      </c>
      <c r="L3805" s="640" t="n">
        <v>1</v>
      </c>
      <c r="M3805" s="265" t="n">
        <v>3</v>
      </c>
      <c r="N3805" s="640" t="n"/>
      <c r="O3805" s="640">
        <f>IF(AND(N3805=1,L3805=1),K3805,"")</f>
        <v/>
      </c>
      <c r="P3805" s="419" t="inlineStr">
        <is>
          <t>г. Санкт-Петербург, ул. Возрождения 36 Б</t>
        </is>
      </c>
      <c r="Q3805" s="640" t="inlineStr">
        <is>
          <t xml:space="preserve">59.8797 </t>
        </is>
      </c>
      <c r="R3805" s="494" t="inlineStr">
        <is>
          <t>30.27948</t>
        </is>
      </c>
      <c r="W3805" s="387">
        <f>IF(AND(N3805=1,O3805&lt;&gt;""),C3805,"")</f>
        <v/>
      </c>
    </row>
    <row r="3806" hidden="1">
      <c r="A3806" s="125" t="n">
        <v>4485</v>
      </c>
      <c r="B3806" s="125" t="n"/>
      <c r="C3806" s="130" t="inlineStr">
        <is>
          <t>Санкт-Петербург</t>
        </is>
      </c>
      <c r="D3806" s="130" t="inlineStr">
        <is>
          <t>Санкт-Петербург</t>
        </is>
      </c>
      <c r="E3806" s="791" t="n"/>
      <c r="F3806" s="125" t="inlineStr">
        <is>
          <t>АЗС</t>
        </is>
      </c>
      <c r="G3806" s="125" t="inlineStr">
        <is>
          <t>Газпромнефть</t>
        </is>
      </c>
      <c r="H3806" s="791" t="n"/>
      <c r="I3806" s="637" t="n">
        <v>10144</v>
      </c>
      <c r="J3806" s="637" t="inlineStr">
        <is>
          <t>GPN_10144</t>
        </is>
      </c>
      <c r="K3806" s="791" t="n">
        <v>3</v>
      </c>
      <c r="L3806" s="640" t="n">
        <v>1</v>
      </c>
      <c r="M3806" s="265" t="n">
        <v>3</v>
      </c>
      <c r="N3806" s="640" t="n"/>
      <c r="O3806" s="640">
        <f>IF(AND(N3806=1,L3806=1),K3806,"")</f>
        <v/>
      </c>
      <c r="P3806" s="419" t="inlineStr">
        <is>
          <t>г. Санкт-Петербург, пр. Пискаревский 4</t>
        </is>
      </c>
      <c r="Q3806" s="640" t="inlineStr">
        <is>
          <t xml:space="preserve">59.96054 </t>
        </is>
      </c>
      <c r="R3806" s="494" t="inlineStr">
        <is>
          <t>30.40674</t>
        </is>
      </c>
      <c r="W3806" s="387">
        <f>IF(AND(N3806=1,O3806&lt;&gt;""),C3806,"")</f>
        <v/>
      </c>
    </row>
    <row r="3807" hidden="1" ht="27.6" customHeight="1">
      <c r="A3807" s="125" t="n">
        <v>4486</v>
      </c>
      <c r="B3807" s="125" t="n"/>
      <c r="C3807" s="130" t="inlineStr">
        <is>
          <t>Санкт-Петербург</t>
        </is>
      </c>
      <c r="D3807" s="130" t="inlineStr">
        <is>
          <t>Ленинградская область</t>
        </is>
      </c>
      <c r="E3807" s="791" t="n"/>
      <c r="F3807" s="125" t="inlineStr">
        <is>
          <t>АЗС</t>
        </is>
      </c>
      <c r="G3807" s="125" t="inlineStr">
        <is>
          <t>Газпромнефть</t>
        </is>
      </c>
      <c r="H3807" s="791" t="n"/>
      <c r="I3807" s="637" t="n">
        <v>10145</v>
      </c>
      <c r="J3807" s="637" t="inlineStr">
        <is>
          <t>GPN_10145</t>
        </is>
      </c>
      <c r="K3807" s="791" t="n">
        <v>3</v>
      </c>
      <c r="L3807" s="640" t="n">
        <v>1</v>
      </c>
      <c r="M3807" s="265" t="n">
        <v>4</v>
      </c>
      <c r="N3807" s="640" t="n"/>
      <c r="O3807" s="640">
        <f>IF(AND(N3807=1,L3807=1),K3807,"")</f>
        <v/>
      </c>
      <c r="P3807" s="419" t="inlineStr">
        <is>
          <t>Ленинградская обл., Кировский муниципальный район, Путиловское сельское поселение, автодорога Кола 70 км, д.1 корпус 1</t>
        </is>
      </c>
      <c r="Q3807" s="640" t="inlineStr">
        <is>
          <t xml:space="preserve">59.8817 </t>
        </is>
      </c>
      <c r="R3807" s="494" t="inlineStr">
        <is>
          <t>31.45361</t>
        </is>
      </c>
      <c r="W3807" s="387">
        <f>IF(AND(N3807=1,O3807&lt;&gt;""),C3807,"")</f>
        <v/>
      </c>
    </row>
    <row r="3808" hidden="1">
      <c r="A3808" s="125" t="n">
        <v>4487</v>
      </c>
      <c r="B3808" s="125" t="n"/>
      <c r="C3808" s="125" t="inlineStr">
        <is>
          <t>Москва</t>
        </is>
      </c>
      <c r="D3808" s="130" t="inlineStr">
        <is>
          <t>Московская область</t>
        </is>
      </c>
      <c r="E3808" s="791" t="n"/>
      <c r="F3808" s="125" t="inlineStr">
        <is>
          <t>АЗС</t>
        </is>
      </c>
      <c r="G3808" s="125" t="inlineStr">
        <is>
          <t>Газпромнефть</t>
        </is>
      </c>
      <c r="H3808" s="791" t="n"/>
      <c r="I3808" s="637" t="n">
        <v>12312</v>
      </c>
      <c r="J3808" s="637" t="inlineStr">
        <is>
          <t>GPN_12312</t>
        </is>
      </c>
      <c r="K3808" s="791" t="n">
        <v>3</v>
      </c>
      <c r="L3808" s="640" t="n">
        <v>1</v>
      </c>
      <c r="M3808" s="265" t="n">
        <v>3</v>
      </c>
      <c r="N3808" s="640" t="n"/>
      <c r="O3808" s="640">
        <f>IF(AND(N3808=1,L3808=1),K3808,"")</f>
        <v/>
      </c>
      <c r="P3808" s="419" t="inlineStr">
        <is>
          <t>МО, Дмитровский р-н, городское поселение Деденево, д. Варварино, д. 41</t>
        </is>
      </c>
      <c r="Q3808" s="640" t="inlineStr">
        <is>
          <t xml:space="preserve">56.20288 </t>
        </is>
      </c>
      <c r="R3808" s="494" t="inlineStr">
        <is>
          <t>37.52273</t>
        </is>
      </c>
      <c r="W3808" s="387">
        <f>IF(AND(N3808=1,O3808&lt;&gt;""),C3808,"")</f>
        <v/>
      </c>
    </row>
    <row r="3809" hidden="1" ht="27.6" customHeight="1">
      <c r="A3809" s="125" t="n">
        <v>4488</v>
      </c>
      <c r="B3809" s="125" t="n"/>
      <c r="C3809" s="125" t="inlineStr">
        <is>
          <t>Москва</t>
        </is>
      </c>
      <c r="D3809" s="130" t="inlineStr">
        <is>
          <t>Московская область</t>
        </is>
      </c>
      <c r="E3809" s="791" t="n"/>
      <c r="F3809" s="125" t="inlineStr">
        <is>
          <t>АЗС</t>
        </is>
      </c>
      <c r="G3809" s="125" t="inlineStr">
        <is>
          <t>Газпромнефть</t>
        </is>
      </c>
      <c r="H3809" s="791" t="n"/>
      <c r="I3809" s="637" t="n">
        <v>12359</v>
      </c>
      <c r="J3809" s="637" t="inlineStr">
        <is>
          <t>GPN_12359</t>
        </is>
      </c>
      <c r="K3809" s="791" t="n">
        <v>3</v>
      </c>
      <c r="L3809" s="640" t="n">
        <v>1</v>
      </c>
      <c r="M3809" s="265" t="n">
        <v>5</v>
      </c>
      <c r="N3809" s="640" t="n"/>
      <c r="O3809" s="640">
        <f>IF(AND(N3809=1,L3809=1),K3809,"")</f>
        <v/>
      </c>
      <c r="P3809" s="419" t="inlineStr">
        <is>
          <t>Московская обл., Истринский р-н, Новорижское шоссе, 76 км, М-9 "Балтия", левая сторона направление в москву</t>
        </is>
      </c>
      <c r="Q3809" s="640" t="inlineStr">
        <is>
          <t xml:space="preserve">55.93803 </t>
        </is>
      </c>
      <c r="R3809" s="494" t="inlineStr">
        <is>
          <t>36.54649</t>
        </is>
      </c>
      <c r="W3809" s="387">
        <f>IF(AND(N3809=1,O3809&lt;&gt;""),C3809,"")</f>
        <v/>
      </c>
    </row>
    <row r="3810" hidden="1">
      <c r="A3810" s="125" t="n">
        <v>4489</v>
      </c>
      <c r="B3810" s="125" t="n"/>
      <c r="C3810" s="125" t="inlineStr">
        <is>
          <t>Москва</t>
        </is>
      </c>
      <c r="D3810" s="130" t="inlineStr">
        <is>
          <t>Московская область</t>
        </is>
      </c>
      <c r="E3810" s="791" t="n"/>
      <c r="F3810" s="125" t="inlineStr">
        <is>
          <t>АЗС</t>
        </is>
      </c>
      <c r="G3810" s="125" t="inlineStr">
        <is>
          <t>Газпромнефть</t>
        </is>
      </c>
      <c r="H3810" s="791" t="n"/>
      <c r="I3810" s="637" t="n">
        <v>12360</v>
      </c>
      <c r="J3810" s="637" t="inlineStr">
        <is>
          <t>GPN_12360</t>
        </is>
      </c>
      <c r="K3810" s="791" t="n">
        <v>3</v>
      </c>
      <c r="L3810" s="640" t="n">
        <v>1</v>
      </c>
      <c r="M3810" s="265" t="n">
        <v>5</v>
      </c>
      <c r="N3810" s="640" t="n"/>
      <c r="O3810" s="640">
        <f>IF(AND(N3810=1,L3810=1),K3810,"")</f>
        <v/>
      </c>
      <c r="P3810" s="419" t="inlineStr">
        <is>
          <t>Красногорск, ул. Игоря Мерлушкина, 5 стр 1</t>
        </is>
      </c>
      <c r="Q3810" s="640" t="inlineStr">
        <is>
          <t xml:space="preserve">55.8355 </t>
        </is>
      </c>
      <c r="R3810" s="422" t="inlineStr">
        <is>
          <t>37.2668</t>
        </is>
      </c>
      <c r="W3810" s="387">
        <f>IF(AND(N3810=1,O3810&lt;&gt;""),C3810,"")</f>
        <v/>
      </c>
    </row>
    <row r="3811" hidden="1" ht="51" customHeight="1">
      <c r="A3811" s="125" t="n">
        <v>4490</v>
      </c>
      <c r="B3811" s="125" t="n"/>
      <c r="C3811" s="416" t="inlineStr">
        <is>
          <t>ЦФО (Калуга, Тула, Тверь, Рязань,Смоленск,Владимир,Воронеж, Ярославль)</t>
        </is>
      </c>
      <c r="D3811" s="130" t="inlineStr">
        <is>
          <t>Тульская область</t>
        </is>
      </c>
      <c r="E3811" s="791" t="n"/>
      <c r="F3811" s="125" t="inlineStr">
        <is>
          <t>АЗС</t>
        </is>
      </c>
      <c r="G3811" s="125" t="inlineStr">
        <is>
          <t>Газпромнефть</t>
        </is>
      </c>
      <c r="H3811" s="791" t="n"/>
      <c r="I3811" s="637" t="n">
        <v>12361</v>
      </c>
      <c r="J3811" s="637" t="inlineStr">
        <is>
          <t>GPN_12361</t>
        </is>
      </c>
      <c r="K3811" s="791" t="n">
        <v>3</v>
      </c>
      <c r="L3811" s="640" t="n">
        <v>1</v>
      </c>
      <c r="M3811" s="265" t="n">
        <v>5</v>
      </c>
      <c r="N3811" s="640" t="n"/>
      <c r="O3811" s="640">
        <f>IF(AND(N3811=1,L3811=1),K3811,"")</f>
        <v/>
      </c>
      <c r="P3811" s="419" t="inlineStr">
        <is>
          <t>Тульская область, 151км ФАД М-2</t>
        </is>
      </c>
      <c r="Q3811" s="640" t="inlineStr">
        <is>
          <t xml:space="preserve">54.44797 </t>
        </is>
      </c>
      <c r="R3811" s="494" t="inlineStr">
        <is>
          <t>37.50964</t>
        </is>
      </c>
      <c r="W3811" s="387">
        <f>IF(AND(N3811=1,O3811&lt;&gt;""),C3811,"")</f>
        <v/>
      </c>
    </row>
    <row r="3812" hidden="1" ht="51" customHeight="1">
      <c r="A3812" s="125" t="n">
        <v>4491</v>
      </c>
      <c r="B3812" s="125" t="n"/>
      <c r="C3812" s="416" t="inlineStr">
        <is>
          <t>ЦФО (Калуга, Тула, Тверь, Рязань,Смоленск,Владимир,Воронеж, Ярославль)</t>
        </is>
      </c>
      <c r="D3812" s="130" t="inlineStr">
        <is>
          <t>Тульская область</t>
        </is>
      </c>
      <c r="E3812" s="791" t="n"/>
      <c r="F3812" s="125" t="inlineStr">
        <is>
          <t>АЗС</t>
        </is>
      </c>
      <c r="G3812" s="125" t="inlineStr">
        <is>
          <t>Газпромнефть</t>
        </is>
      </c>
      <c r="H3812" s="791" t="n"/>
      <c r="I3812" s="637" t="n">
        <v>12362</v>
      </c>
      <c r="J3812" s="637" t="inlineStr">
        <is>
          <t>GPN_12362</t>
        </is>
      </c>
      <c r="K3812" s="791" t="n">
        <v>3</v>
      </c>
      <c r="L3812" s="640" t="n">
        <v>1</v>
      </c>
      <c r="M3812" s="265" t="n">
        <v>5</v>
      </c>
      <c r="N3812" s="640" t="n"/>
      <c r="O3812" s="640">
        <f>IF(AND(N3812=1,L3812=1),K3812,"")</f>
        <v/>
      </c>
      <c r="P3812" s="419" t="inlineStr">
        <is>
          <t>Тульская область, Ленинский район, автодорога «Москва-Харьков» 165 км + 900 м</t>
        </is>
      </c>
      <c r="Q3812" s="640" t="inlineStr">
        <is>
          <t xml:space="preserve">54.36837 </t>
        </is>
      </c>
      <c r="R3812" s="494" t="inlineStr">
        <is>
          <t>37.52476</t>
        </is>
      </c>
      <c r="W3812" s="387">
        <f>IF(AND(N3812=1,O3812&lt;&gt;""),C3812,"")</f>
        <v/>
      </c>
    </row>
    <row r="3813" hidden="1">
      <c r="A3813" s="125" t="n">
        <v>4492</v>
      </c>
      <c r="B3813" s="125" t="n"/>
      <c r="C3813" s="125" t="inlineStr">
        <is>
          <t>Москва</t>
        </is>
      </c>
      <c r="D3813" s="130" t="inlineStr">
        <is>
          <t>Московская область</t>
        </is>
      </c>
      <c r="E3813" s="791" t="n"/>
      <c r="F3813" s="125" t="inlineStr">
        <is>
          <t>АЗС</t>
        </is>
      </c>
      <c r="G3813" s="125" t="inlineStr">
        <is>
          <t>Газпромнефть</t>
        </is>
      </c>
      <c r="H3813" s="791" t="n"/>
      <c r="I3813" s="637" t="n">
        <v>12364</v>
      </c>
      <c r="J3813" s="637" t="inlineStr">
        <is>
          <t>GPN_12364</t>
        </is>
      </c>
      <c r="K3813" s="791" t="n">
        <v>3</v>
      </c>
      <c r="L3813" s="640" t="n">
        <v>1</v>
      </c>
      <c r="M3813" s="265" t="n">
        <v>5</v>
      </c>
      <c r="N3813" s="640" t="n"/>
      <c r="O3813" s="640">
        <f>IF(AND(N3813=1,L3813=1),K3813,"")</f>
        <v/>
      </c>
      <c r="P3813" s="419" t="inlineStr">
        <is>
          <t>МО, Перхушково</t>
        </is>
      </c>
      <c r="Q3813" s="640" t="inlineStr">
        <is>
          <t xml:space="preserve">55.65797 </t>
        </is>
      </c>
      <c r="R3813" s="494" t="inlineStr">
        <is>
          <t>37.17932</t>
        </is>
      </c>
      <c r="W3813" s="387">
        <f>IF(AND(N3813=1,O3813&lt;&gt;""),C3813,"")</f>
        <v/>
      </c>
    </row>
    <row r="3814" hidden="1">
      <c r="A3814" s="125" t="n">
        <v>4493</v>
      </c>
      <c r="B3814" s="125" t="n"/>
      <c r="C3814" s="125" t="inlineStr">
        <is>
          <t>Москва</t>
        </is>
      </c>
      <c r="D3814" s="130" t="inlineStr">
        <is>
          <t>Московская область</t>
        </is>
      </c>
      <c r="E3814" s="791" t="n"/>
      <c r="F3814" s="125" t="inlineStr">
        <is>
          <t>АЗС</t>
        </is>
      </c>
      <c r="G3814" s="125" t="inlineStr">
        <is>
          <t>Газпромнефть</t>
        </is>
      </c>
      <c r="H3814" s="791" t="n"/>
      <c r="I3814" s="637" t="n">
        <v>12366</v>
      </c>
      <c r="J3814" s="637" t="inlineStr">
        <is>
          <t>GPN_12366</t>
        </is>
      </c>
      <c r="K3814" s="791" t="n">
        <v>3</v>
      </c>
      <c r="L3814" s="640" t="n">
        <v>1</v>
      </c>
      <c r="M3814" s="265" t="n">
        <v>5</v>
      </c>
      <c r="N3814" s="640" t="n"/>
      <c r="O3814" s="640">
        <f>IF(AND(N3814=1,L3814=1),K3814,"")</f>
        <v/>
      </c>
      <c r="P3814" s="419" t="inlineStr">
        <is>
          <t>М12 51 км справа</t>
        </is>
      </c>
      <c r="Q3814" s="640" t="inlineStr">
        <is>
          <t xml:space="preserve">55.83029 </t>
        </is>
      </c>
      <c r="R3814" s="494" t="inlineStr">
        <is>
          <t>38.67567</t>
        </is>
      </c>
      <c r="W3814" s="387">
        <f>IF(AND(N3814=1,O3814&lt;&gt;""),C3814,"")</f>
        <v/>
      </c>
    </row>
    <row r="3815" hidden="1">
      <c r="A3815" s="125" t="n">
        <v>4494</v>
      </c>
      <c r="B3815" s="125" t="n"/>
      <c r="C3815" s="125" t="inlineStr">
        <is>
          <t>Москва</t>
        </is>
      </c>
      <c r="D3815" s="130" t="inlineStr">
        <is>
          <t>Московская область</t>
        </is>
      </c>
      <c r="E3815" s="791" t="n"/>
      <c r="F3815" s="125" t="inlineStr">
        <is>
          <t>АЗС</t>
        </is>
      </c>
      <c r="G3815" s="125" t="inlineStr">
        <is>
          <t>Газпромнефть</t>
        </is>
      </c>
      <c r="H3815" s="791" t="n"/>
      <c r="I3815" s="637" t="n">
        <v>12367</v>
      </c>
      <c r="J3815" s="637" t="inlineStr">
        <is>
          <t>GPN_12367</t>
        </is>
      </c>
      <c r="K3815" s="791" t="n">
        <v>3</v>
      </c>
      <c r="L3815" s="640" t="n">
        <v>1</v>
      </c>
      <c r="M3815" s="265" t="n">
        <v>5</v>
      </c>
      <c r="N3815" s="640" t="n"/>
      <c r="O3815" s="640">
        <f>IF(AND(N3815=1,L3815=1),K3815,"")</f>
        <v/>
      </c>
      <c r="P3815" s="419" t="inlineStr">
        <is>
          <t>Московская область, 51 км ФАД М-12 «Москва-Казань», слева</t>
        </is>
      </c>
      <c r="Q3815" s="640" t="inlineStr">
        <is>
          <t xml:space="preserve">55.83173 </t>
        </is>
      </c>
      <c r="R3815" s="494" t="inlineStr">
        <is>
          <t>38.67272</t>
        </is>
      </c>
      <c r="W3815" s="387">
        <f>IF(AND(N3815=1,O3815&lt;&gt;""),C3815,"")</f>
        <v/>
      </c>
    </row>
    <row r="3816" hidden="1">
      <c r="A3816" s="125" t="n">
        <v>4495</v>
      </c>
      <c r="B3816" s="125" t="n"/>
      <c r="C3816" s="125" t="inlineStr">
        <is>
          <t>Москва</t>
        </is>
      </c>
      <c r="D3816" s="130" t="inlineStr">
        <is>
          <t>Московская область</t>
        </is>
      </c>
      <c r="E3816" s="791" t="n"/>
      <c r="F3816" s="125" t="inlineStr">
        <is>
          <t>АЗС</t>
        </is>
      </c>
      <c r="G3816" s="125" t="inlineStr">
        <is>
          <t>Газпромнефть</t>
        </is>
      </c>
      <c r="H3816" s="791" t="n"/>
      <c r="I3816" s="637" t="n">
        <v>12368</v>
      </c>
      <c r="J3816" s="637" t="inlineStr">
        <is>
          <t>GPN_12368</t>
        </is>
      </c>
      <c r="K3816" s="791" t="n">
        <v>3</v>
      </c>
      <c r="L3816" s="640" t="n">
        <v>1</v>
      </c>
      <c r="M3816" s="265" t="n">
        <v>5</v>
      </c>
      <c r="N3816" s="640" t="n"/>
      <c r="O3816" s="640">
        <f>IF(AND(N3816=1,L3816=1),K3816,"")</f>
        <v/>
      </c>
      <c r="P3816" s="419" t="inlineStr">
        <is>
          <t>Московская обл., Ногинский район, п. Зеленый</t>
        </is>
      </c>
      <c r="Q3816" s="640" t="inlineStr">
        <is>
          <t xml:space="preserve">55.8115 </t>
        </is>
      </c>
      <c r="R3816" s="494" t="inlineStr">
        <is>
          <t>38.09675</t>
        </is>
      </c>
      <c r="W3816" s="387">
        <f>IF(AND(N3816=1,O3816&lt;&gt;""),C3816,"")</f>
        <v/>
      </c>
    </row>
    <row r="3817" hidden="1">
      <c r="A3817" s="125" t="n">
        <v>4496</v>
      </c>
      <c r="B3817" s="125" t="n"/>
      <c r="C3817" s="130" t="inlineStr">
        <is>
          <t>Ярославль</t>
        </is>
      </c>
      <c r="D3817" s="130" t="inlineStr">
        <is>
          <t>Вологодская область</t>
        </is>
      </c>
      <c r="E3817" s="791" t="n"/>
      <c r="F3817" s="125" t="inlineStr">
        <is>
          <t>АЗС</t>
        </is>
      </c>
      <c r="G3817" s="125" t="inlineStr">
        <is>
          <t>Газпромнефть</t>
        </is>
      </c>
      <c r="H3817" s="791" t="n"/>
      <c r="I3817" s="637" t="n">
        <v>13036</v>
      </c>
      <c r="J3817" s="637" t="inlineStr">
        <is>
          <t>GPN_13036</t>
        </is>
      </c>
      <c r="K3817" s="791" t="n">
        <v>3</v>
      </c>
      <c r="L3817" s="640" t="n">
        <v>1</v>
      </c>
      <c r="M3817" s="265" t="n">
        <v>5</v>
      </c>
      <c r="N3817" s="640" t="n"/>
      <c r="O3817" s="640">
        <f>IF(AND(N3817=1,L3817=1),K3817,"")</f>
        <v/>
      </c>
      <c r="P3817" s="419" t="inlineStr">
        <is>
          <t>Вологодская область, Череповецкий район, Яргомжское сельское поселение с/мо., д.Ботово</t>
        </is>
      </c>
      <c r="Q3817" s="640" t="inlineStr">
        <is>
          <t xml:space="preserve">59.2505 </t>
        </is>
      </c>
      <c r="R3817" s="494" t="inlineStr">
        <is>
          <t>37.97296</t>
        </is>
      </c>
      <c r="W3817" s="387">
        <f>IF(AND(N3817=1,O3817&lt;&gt;""),C3817,"")</f>
        <v/>
      </c>
    </row>
    <row r="3818" hidden="1">
      <c r="A3818" s="125" t="n">
        <v>4497</v>
      </c>
      <c r="B3818" s="125" t="n"/>
      <c r="C3818" s="130" t="inlineStr">
        <is>
          <t>Екатеринбург</t>
        </is>
      </c>
      <c r="D3818" s="130" t="inlineStr">
        <is>
          <t>Свердловская область</t>
        </is>
      </c>
      <c r="E3818" s="791" t="n"/>
      <c r="F3818" s="125" t="inlineStr">
        <is>
          <t>АЗС</t>
        </is>
      </c>
      <c r="G3818" s="125" t="inlineStr">
        <is>
          <t>Газпромнефть</t>
        </is>
      </c>
      <c r="H3818" s="791" t="n"/>
      <c r="I3818" s="637" t="n">
        <v>20193</v>
      </c>
      <c r="J3818" s="637" t="inlineStr">
        <is>
          <t>GPN_20193</t>
        </is>
      </c>
      <c r="K3818" s="791" t="n">
        <v>3</v>
      </c>
      <c r="L3818" s="640" t="n">
        <v>1</v>
      </c>
      <c r="M3818" s="265" t="n">
        <v>5</v>
      </c>
      <c r="N3818" s="640" t="n"/>
      <c r="O3818" s="640">
        <f>IF(AND(N3818=1,L3818=1),K3818,"")</f>
        <v/>
      </c>
      <c r="P3818" s="419" t="inlineStr">
        <is>
          <t>Свердловская область, г. Екатеринбург, Кольцовский тракт, д.51</t>
        </is>
      </c>
      <c r="Q3818" s="640" t="inlineStr">
        <is>
          <t xml:space="preserve">56.79031 </t>
        </is>
      </c>
      <c r="R3818" s="494" t="inlineStr">
        <is>
          <t>60.66811</t>
        </is>
      </c>
      <c r="W3818" s="387">
        <f>IF(AND(N3818=1,O3818&lt;&gt;""),C3818,"")</f>
        <v/>
      </c>
    </row>
    <row r="3819" hidden="1">
      <c r="A3819" s="125" t="n">
        <v>4498</v>
      </c>
      <c r="B3819" s="125" t="n"/>
      <c r="C3819" s="130" t="inlineStr">
        <is>
          <t>Екатеринбург</t>
        </is>
      </c>
      <c r="D3819" s="130" t="inlineStr">
        <is>
          <t>Свердловская область</t>
        </is>
      </c>
      <c r="E3819" s="791" t="n"/>
      <c r="F3819" s="125" t="inlineStr">
        <is>
          <t>АЗС</t>
        </is>
      </c>
      <c r="G3819" s="125" t="inlineStr">
        <is>
          <t>Газпромнефть</t>
        </is>
      </c>
      <c r="H3819" s="791" t="n"/>
      <c r="I3819" s="637" t="n">
        <v>25045</v>
      </c>
      <c r="J3819" s="637" t="inlineStr">
        <is>
          <t>GPN_25045</t>
        </is>
      </c>
      <c r="K3819" s="791" t="n">
        <v>1</v>
      </c>
      <c r="L3819" s="640" t="n">
        <v>1</v>
      </c>
      <c r="M3819" s="265" t="n">
        <v>1</v>
      </c>
      <c r="N3819" s="640" t="n"/>
      <c r="O3819" s="640">
        <f>IF(AND(N3819=1,L3819=1),K3819,"")</f>
        <v/>
      </c>
      <c r="P3819" s="419" t="inlineStr">
        <is>
          <t>г. Богданович, ул. Кунавина, 1</t>
        </is>
      </c>
      <c r="Q3819" s="640" t="inlineStr">
        <is>
          <t xml:space="preserve">56.77495 </t>
        </is>
      </c>
      <c r="R3819" s="494" t="inlineStr">
        <is>
          <t>62.03509</t>
        </is>
      </c>
      <c r="W3819" s="387">
        <f>IF(AND(N3819=1,O3819&lt;&gt;""),C3819,"")</f>
        <v/>
      </c>
    </row>
    <row r="3820" hidden="1">
      <c r="A3820" s="125" t="n">
        <v>4499</v>
      </c>
      <c r="B3820" s="125" t="n"/>
      <c r="C3820" s="130" t="inlineStr">
        <is>
          <t>Екатеринбург</t>
        </is>
      </c>
      <c r="D3820" s="130" t="inlineStr">
        <is>
          <t>Свердловская область</t>
        </is>
      </c>
      <c r="E3820" s="791" t="n"/>
      <c r="F3820" s="125" t="inlineStr">
        <is>
          <t>АЗС</t>
        </is>
      </c>
      <c r="G3820" s="125" t="inlineStr">
        <is>
          <t>Газпромнефть</t>
        </is>
      </c>
      <c r="H3820" s="791" t="n"/>
      <c r="I3820" s="637" t="n">
        <v>25047</v>
      </c>
      <c r="J3820" s="637" t="inlineStr">
        <is>
          <t>GPN_25047</t>
        </is>
      </c>
      <c r="K3820" s="791" t="n">
        <v>3</v>
      </c>
      <c r="L3820" s="640" t="n">
        <v>1</v>
      </c>
      <c r="M3820" s="265" t="n">
        <v>6</v>
      </c>
      <c r="N3820" s="640" t="n"/>
      <c r="O3820" s="640">
        <f>IF(AND(N3820=1,L3820=1),K3820,"")</f>
        <v/>
      </c>
      <c r="P3820" s="419" t="inlineStr">
        <is>
          <t>г. Богданович, Пионерская, 82</t>
        </is>
      </c>
      <c r="Q3820" s="640" t="inlineStr">
        <is>
          <t xml:space="preserve">56.75403 </t>
        </is>
      </c>
      <c r="R3820" s="494" t="inlineStr">
        <is>
          <t>62.0943</t>
        </is>
      </c>
      <c r="W3820" s="387">
        <f>IF(AND(N3820=1,O3820&lt;&gt;""),C3820,"")</f>
        <v/>
      </c>
    </row>
    <row r="3821" hidden="1">
      <c r="A3821" s="125" t="n">
        <v>4500</v>
      </c>
      <c r="B3821" s="125" t="n"/>
      <c r="C3821" s="130" t="inlineStr">
        <is>
          <t>Екатеринбург</t>
        </is>
      </c>
      <c r="D3821" s="130" t="inlineStr">
        <is>
          <t>Свердловская область</t>
        </is>
      </c>
      <c r="E3821" s="791" t="n"/>
      <c r="F3821" s="125" t="inlineStr">
        <is>
          <t>АЗС</t>
        </is>
      </c>
      <c r="G3821" s="125" t="inlineStr">
        <is>
          <t>Газпромнефть</t>
        </is>
      </c>
      <c r="H3821" s="791" t="n"/>
      <c r="I3821" s="637" t="n">
        <v>25052</v>
      </c>
      <c r="J3821" s="637" t="inlineStr">
        <is>
          <t>GPN_25052</t>
        </is>
      </c>
      <c r="K3821" s="791" t="n">
        <v>3</v>
      </c>
      <c r="L3821" s="640" t="n">
        <v>1</v>
      </c>
      <c r="M3821" s="265" t="n">
        <v>3</v>
      </c>
      <c r="N3821" s="640" t="n"/>
      <c r="O3821" s="640">
        <f>IF(AND(N3821=1,L3821=1),K3821,"")</f>
        <v/>
      </c>
      <c r="P3821" s="419" t="inlineStr">
        <is>
          <t>г. Богданович, Сибирский тр., 91км</t>
        </is>
      </c>
      <c r="Q3821" s="640" t="inlineStr">
        <is>
          <t xml:space="preserve">56.77666 </t>
        </is>
      </c>
      <c r="R3821" s="494" t="inlineStr">
        <is>
          <t>61.98826</t>
        </is>
      </c>
      <c r="W3821" s="387">
        <f>IF(AND(N3821=1,O3821&lt;&gt;""),C3821,"")</f>
        <v/>
      </c>
    </row>
    <row r="3822" hidden="1">
      <c r="A3822" s="125" t="n">
        <v>4501</v>
      </c>
      <c r="B3822" s="125" t="n"/>
      <c r="C3822" s="130" t="inlineStr">
        <is>
          <t>Екатеринбург</t>
        </is>
      </c>
      <c r="D3822" s="130" t="inlineStr">
        <is>
          <t>Свердловская область</t>
        </is>
      </c>
      <c r="E3822" s="791" t="n"/>
      <c r="F3822" s="125" t="inlineStr">
        <is>
          <t>АЗС</t>
        </is>
      </c>
      <c r="G3822" s="125" t="inlineStr">
        <is>
          <t>Газпромнефть</t>
        </is>
      </c>
      <c r="H3822" s="791" t="n"/>
      <c r="I3822" s="637" t="n">
        <v>25063</v>
      </c>
      <c r="J3822" s="637" t="inlineStr">
        <is>
          <t>GPN_25063</t>
        </is>
      </c>
      <c r="K3822" s="791" t="n">
        <v>1</v>
      </c>
      <c r="L3822" s="640" t="n">
        <v>1</v>
      </c>
      <c r="M3822" s="265" t="n">
        <v>1</v>
      </c>
      <c r="N3822" s="640" t="n"/>
      <c r="O3822" s="640">
        <f>IF(AND(N3822=1,L3822=1),K3822,"")</f>
        <v/>
      </c>
      <c r="P3822" s="419" t="inlineStr">
        <is>
          <t>г. Ирбит, Камышловский тракт</t>
        </is>
      </c>
      <c r="Q3822" s="640" t="inlineStr">
        <is>
          <t xml:space="preserve">57.67494 </t>
        </is>
      </c>
      <c r="R3822" s="494" t="inlineStr">
        <is>
          <t>63.00661</t>
        </is>
      </c>
      <c r="W3822" s="387">
        <f>IF(AND(N3822=1,O3822&lt;&gt;""),C3822,"")</f>
        <v/>
      </c>
    </row>
    <row r="3823" hidden="1">
      <c r="A3823" s="125" t="n">
        <v>4502</v>
      </c>
      <c r="B3823" s="125" t="n"/>
      <c r="C3823" s="130" t="inlineStr">
        <is>
          <t>Екатеринбург</t>
        </is>
      </c>
      <c r="D3823" s="130" t="inlineStr">
        <is>
          <t>Свердловская область</t>
        </is>
      </c>
      <c r="E3823" s="791" t="n"/>
      <c r="F3823" s="125" t="inlineStr">
        <is>
          <t>АЗС</t>
        </is>
      </c>
      <c r="G3823" s="125" t="inlineStr">
        <is>
          <t>Газпромнефть</t>
        </is>
      </c>
      <c r="H3823" s="791" t="n"/>
      <c r="I3823" s="637" t="n">
        <v>25064</v>
      </c>
      <c r="J3823" s="637" t="inlineStr">
        <is>
          <t>GPN_25064</t>
        </is>
      </c>
      <c r="K3823" s="791" t="n">
        <v>1</v>
      </c>
      <c r="L3823" s="640" t="n">
        <v>1</v>
      </c>
      <c r="M3823" s="265" t="n">
        <v>1</v>
      </c>
      <c r="N3823" s="640" t="n"/>
      <c r="O3823" s="640">
        <f>IF(AND(N3823=1,L3823=1),K3823,"")</f>
        <v/>
      </c>
      <c r="P3823" s="419" t="inlineStr">
        <is>
          <t>г. Камышлов,Энгельса, 29а</t>
        </is>
      </c>
      <c r="Q3823" s="640" t="inlineStr">
        <is>
          <t xml:space="preserve">56.84768 </t>
        </is>
      </c>
      <c r="R3823" s="494" t="inlineStr">
        <is>
          <t>62.66044</t>
        </is>
      </c>
      <c r="W3823" s="387">
        <f>IF(AND(N3823=1,O3823&lt;&gt;""),C3823,"")</f>
        <v/>
      </c>
    </row>
    <row r="3824" hidden="1">
      <c r="A3824" s="125" t="n">
        <v>4503</v>
      </c>
      <c r="B3824" s="125" t="n"/>
      <c r="C3824" s="130" t="inlineStr">
        <is>
          <t>Екатеринбург</t>
        </is>
      </c>
      <c r="D3824" s="130" t="inlineStr">
        <is>
          <t>Свердловская область</t>
        </is>
      </c>
      <c r="E3824" s="791" t="n"/>
      <c r="F3824" s="125" t="inlineStr">
        <is>
          <t>АЗС</t>
        </is>
      </c>
      <c r="G3824" s="125" t="inlineStr">
        <is>
          <t>Газпромнефть</t>
        </is>
      </c>
      <c r="H3824" s="791" t="n"/>
      <c r="I3824" s="637" t="n">
        <v>25071</v>
      </c>
      <c r="J3824" s="637" t="inlineStr">
        <is>
          <t>GPN_25071</t>
        </is>
      </c>
      <c r="K3824" s="791" t="n">
        <v>2</v>
      </c>
      <c r="L3824" s="640" t="n">
        <v>1</v>
      </c>
      <c r="M3824" s="265" t="n">
        <v>2</v>
      </c>
      <c r="N3824" s="640" t="n"/>
      <c r="O3824" s="640">
        <f>IF(AND(N3824=1,L3824=1),K3824,"")</f>
        <v/>
      </c>
      <c r="P3824" s="419" t="inlineStr">
        <is>
          <t>г .Красноуфимск ул. Спартака, 11</t>
        </is>
      </c>
      <c r="Q3824" s="640" t="inlineStr">
        <is>
          <t xml:space="preserve">56.60188 </t>
        </is>
      </c>
      <c r="R3824" s="494" t="inlineStr">
        <is>
          <t>57.80886</t>
        </is>
      </c>
      <c r="W3824" s="387">
        <f>IF(AND(N3824=1,O3824&lt;&gt;""),C3824,"")</f>
        <v/>
      </c>
    </row>
    <row r="3825" hidden="1">
      <c r="A3825" s="125" t="n">
        <v>4504</v>
      </c>
      <c r="B3825" s="125" t="n"/>
      <c r="C3825" s="130" t="inlineStr">
        <is>
          <t>Екатеринбург</t>
        </is>
      </c>
      <c r="D3825" s="130" t="inlineStr">
        <is>
          <t>Свердловская область</t>
        </is>
      </c>
      <c r="E3825" s="791" t="n"/>
      <c r="F3825" s="125" t="inlineStr">
        <is>
          <t>АЗС</t>
        </is>
      </c>
      <c r="G3825" s="125" t="inlineStr">
        <is>
          <t>Газпромнефть</t>
        </is>
      </c>
      <c r="H3825" s="791" t="n"/>
      <c r="I3825" s="637" t="n">
        <v>25081</v>
      </c>
      <c r="J3825" s="637" t="inlineStr">
        <is>
          <t>GPN_25081</t>
        </is>
      </c>
      <c r="K3825" s="791" t="n">
        <v>2</v>
      </c>
      <c r="L3825" s="640" t="n">
        <v>1</v>
      </c>
      <c r="M3825" s="265" t="n">
        <v>2</v>
      </c>
      <c r="N3825" s="640" t="n"/>
      <c r="O3825" s="640">
        <f>IF(AND(N3825=1,L3825=1),K3825,"")</f>
        <v/>
      </c>
      <c r="P3825" s="419" t="inlineStr">
        <is>
          <t>г. Нижний Тагил, Фестивальная, 78</t>
        </is>
      </c>
      <c r="Q3825" s="640" t="inlineStr">
        <is>
          <t xml:space="preserve">57.90555 </t>
        </is>
      </c>
      <c r="R3825" s="494" t="inlineStr">
        <is>
          <t>60.0108</t>
        </is>
      </c>
      <c r="W3825" s="387">
        <f>IF(AND(N3825=1,O3825&lt;&gt;""),C3825,"")</f>
        <v/>
      </c>
    </row>
    <row r="3826" hidden="1">
      <c r="A3826" s="125" t="n">
        <v>4505</v>
      </c>
      <c r="B3826" s="125" t="n"/>
      <c r="C3826" s="130" t="inlineStr">
        <is>
          <t>Екатеринбург</t>
        </is>
      </c>
      <c r="D3826" s="130" t="inlineStr">
        <is>
          <t>Свердловская область</t>
        </is>
      </c>
      <c r="E3826" s="791" t="n"/>
      <c r="F3826" s="125" t="inlineStr">
        <is>
          <t>АЗС</t>
        </is>
      </c>
      <c r="G3826" s="125" t="inlineStr">
        <is>
          <t>Газпромнефть</t>
        </is>
      </c>
      <c r="H3826" s="791" t="n"/>
      <c r="I3826" s="637" t="n">
        <v>25094</v>
      </c>
      <c r="J3826" s="637" t="inlineStr">
        <is>
          <t>GPN_25094</t>
        </is>
      </c>
      <c r="K3826" s="791" t="n">
        <v>3</v>
      </c>
      <c r="L3826" s="640" t="n">
        <v>1</v>
      </c>
      <c r="M3826" s="265" t="n">
        <v>6</v>
      </c>
      <c r="N3826" s="640" t="n"/>
      <c r="O3826" s="640">
        <f>IF(AND(N3826=1,L3826=1),K3826,"")</f>
        <v/>
      </c>
      <c r="P3826" s="419" t="inlineStr">
        <is>
          <t>Свердловская обл., Ачитский р-н, 185 км а/д Екатеринбург-Пермь (справа)</t>
        </is>
      </c>
      <c r="Q3826" s="640" t="inlineStr">
        <is>
          <t>56.78281</t>
        </is>
      </c>
      <c r="R3826" s="494" t="inlineStr">
        <is>
          <t xml:space="preserve"> 57.90966</t>
        </is>
      </c>
      <c r="W3826" s="387">
        <f>IF(AND(N3826=1,O3826&lt;&gt;""),C3826,"")</f>
        <v/>
      </c>
    </row>
    <row r="3827" hidden="1">
      <c r="A3827" s="125" t="n">
        <v>4506</v>
      </c>
      <c r="B3827" s="125" t="n"/>
      <c r="C3827" s="130" t="inlineStr">
        <is>
          <t>Екатеринбург</t>
        </is>
      </c>
      <c r="D3827" s="130" t="inlineStr">
        <is>
          <t>Свердловская область</t>
        </is>
      </c>
      <c r="E3827" s="791" t="n"/>
      <c r="F3827" s="125" t="inlineStr">
        <is>
          <t>АЗС</t>
        </is>
      </c>
      <c r="G3827" s="125" t="inlineStr">
        <is>
          <t>Газпромнефть</t>
        </is>
      </c>
      <c r="H3827" s="791" t="n"/>
      <c r="I3827" s="637" t="n">
        <v>25194</v>
      </c>
      <c r="J3827" s="637" t="inlineStr">
        <is>
          <t>GPN_25194</t>
        </is>
      </c>
      <c r="K3827" s="791" t="n">
        <v>3</v>
      </c>
      <c r="L3827" s="640" t="n">
        <v>1</v>
      </c>
      <c r="M3827" s="265" t="n">
        <v>5</v>
      </c>
      <c r="N3827" s="640" t="n"/>
      <c r="O3827" s="640">
        <f>IF(AND(N3827=1,L3827=1),K3827,"")</f>
        <v/>
      </c>
      <c r="P3827" s="419" t="inlineStr">
        <is>
          <t>Свердловская область,  г. Серов, а/д Екатеринбург-Серов</t>
        </is>
      </c>
      <c r="Q3827" s="640" t="inlineStr">
        <is>
          <t xml:space="preserve">59.54098 </t>
        </is>
      </c>
      <c r="R3827" s="494" t="inlineStr">
        <is>
          <t>60.55152</t>
        </is>
      </c>
      <c r="W3827" s="387">
        <f>IF(AND(N3827=1,O3827&lt;&gt;""),C3827,"")</f>
        <v/>
      </c>
    </row>
    <row r="3828" hidden="1">
      <c r="A3828" s="125" t="n">
        <v>4507</v>
      </c>
      <c r="B3828" s="125" t="n"/>
      <c r="C3828" s="130" t="inlineStr">
        <is>
          <t>Новосибирск</t>
        </is>
      </c>
      <c r="D3828" s="130" t="inlineStr">
        <is>
          <t>Новосибирская область</t>
        </is>
      </c>
      <c r="E3828" s="791" t="n"/>
      <c r="F3828" s="125" t="inlineStr">
        <is>
          <t>АЗС</t>
        </is>
      </c>
      <c r="G3828" s="125" t="inlineStr">
        <is>
          <t>Газпромнефть</t>
        </is>
      </c>
      <c r="H3828" s="791" t="n"/>
      <c r="I3828" s="637" t="n">
        <v>30044</v>
      </c>
      <c r="J3828" s="637" t="inlineStr">
        <is>
          <t>GPN_30044</t>
        </is>
      </c>
      <c r="K3828" s="791" t="n">
        <v>3</v>
      </c>
      <c r="L3828" s="640" t="n">
        <v>1</v>
      </c>
      <c r="M3828" s="265" t="n">
        <v>3</v>
      </c>
      <c r="N3828" s="640" t="n"/>
      <c r="O3828" s="640">
        <f>IF(AND(N3828=1,L3828=1),K3828,"")</f>
        <v/>
      </c>
      <c r="P3828" s="419" t="inlineStr">
        <is>
          <t>г. Барабинск, 1142км тр. «Байкал»</t>
        </is>
      </c>
      <c r="Q3828" s="640" t="inlineStr">
        <is>
          <t xml:space="preserve">55.29682 </t>
        </is>
      </c>
      <c r="R3828" s="494" t="inlineStr">
        <is>
          <t>78.26331</t>
        </is>
      </c>
      <c r="W3828" s="387">
        <f>IF(AND(N3828=1,O3828&lt;&gt;""),C3828,"")</f>
        <v/>
      </c>
    </row>
    <row r="3829" hidden="1">
      <c r="A3829" s="125" t="n">
        <v>4508</v>
      </c>
      <c r="B3829" s="125" t="n"/>
      <c r="C3829" s="130" t="inlineStr">
        <is>
          <t>Новосибирск</t>
        </is>
      </c>
      <c r="D3829" s="130" t="inlineStr">
        <is>
          <t>Новосибирск</t>
        </is>
      </c>
      <c r="E3829" s="791" t="n"/>
      <c r="F3829" s="125" t="inlineStr">
        <is>
          <t>АЗС</t>
        </is>
      </c>
      <c r="G3829" s="125" t="inlineStr">
        <is>
          <t>Газпромнефть</t>
        </is>
      </c>
      <c r="H3829" s="791" t="n"/>
      <c r="I3829" s="637" t="n">
        <v>30562</v>
      </c>
      <c r="J3829" s="637" t="inlineStr">
        <is>
          <t>GPN_30562</t>
        </is>
      </c>
      <c r="K3829" s="791" t="n">
        <v>3</v>
      </c>
      <c r="L3829" s="640" t="n">
        <v>1</v>
      </c>
      <c r="M3829" s="265" t="n">
        <v>6</v>
      </c>
      <c r="N3829" s="640" t="n"/>
      <c r="O3829" s="640">
        <f>IF(AND(N3829=1,L3829=1),K3829,"")</f>
        <v/>
      </c>
      <c r="P3829" s="419" t="inlineStr">
        <is>
          <t>Новосибирск, ул. Ватутина 38 Ватутина</t>
        </is>
      </c>
      <c r="Q3829" s="640" t="inlineStr">
        <is>
          <t xml:space="preserve">54.96841 </t>
        </is>
      </c>
      <c r="R3829" s="494" t="inlineStr">
        <is>
          <t>82.92177</t>
        </is>
      </c>
      <c r="W3829" s="387">
        <f>IF(AND(N3829=1,O3829&lt;&gt;""),C3829,"")</f>
        <v/>
      </c>
    </row>
    <row r="3830" hidden="1">
      <c r="A3830" s="125" t="n">
        <v>4509</v>
      </c>
      <c r="B3830" s="125" t="n"/>
      <c r="C3830" s="125" t="inlineStr">
        <is>
          <t>Москва</t>
        </is>
      </c>
      <c r="D3830" s="130" t="inlineStr">
        <is>
          <t>Московская область</t>
        </is>
      </c>
      <c r="E3830" s="791" t="n"/>
      <c r="F3830" s="125" t="inlineStr">
        <is>
          <t>АЗС</t>
        </is>
      </c>
      <c r="G3830" s="125" t="inlineStr">
        <is>
          <t>Газпромнефть</t>
        </is>
      </c>
      <c r="H3830" s="791" t="n"/>
      <c r="I3830" s="637" t="inlineStr">
        <is>
          <t>12001-2</t>
        </is>
      </c>
      <c r="J3830" s="637" t="inlineStr">
        <is>
          <t>GPN_12001-2</t>
        </is>
      </c>
      <c r="K3830" s="791" t="n">
        <v>3</v>
      </c>
      <c r="L3830" s="640" t="n">
        <v>1</v>
      </c>
      <c r="M3830" s="265" t="n">
        <v>5</v>
      </c>
      <c r="N3830" s="640" t="n"/>
      <c r="O3830" s="640">
        <f>IF(AND(N3830=1,L3830=1),K3830,"")</f>
        <v/>
      </c>
      <c r="P3830" s="419" t="inlineStr">
        <is>
          <t>Московская обл.,  г. Люберцы, ул. 8 марта, д. 54А</t>
        </is>
      </c>
      <c r="Q3830" s="640" t="inlineStr">
        <is>
          <t xml:space="preserve">55.70674 </t>
        </is>
      </c>
      <c r="R3830" s="494" t="inlineStr">
        <is>
          <t>37.90612</t>
        </is>
      </c>
      <c r="W3830" s="387">
        <f>IF(AND(N3830=1,O3830&lt;&gt;""),C3830,"")</f>
        <v/>
      </c>
    </row>
    <row r="3831" hidden="1">
      <c r="A3831" s="125" t="n">
        <v>4510</v>
      </c>
      <c r="B3831" s="125" t="n"/>
      <c r="C3831" s="125" t="inlineStr">
        <is>
          <t>Москва</t>
        </is>
      </c>
      <c r="D3831" s="130" t="inlineStr">
        <is>
          <t>Московская область</t>
        </is>
      </c>
      <c r="E3831" s="791" t="n"/>
      <c r="F3831" s="125" t="inlineStr">
        <is>
          <t>АЗС</t>
        </is>
      </c>
      <c r="G3831" s="125" t="inlineStr">
        <is>
          <t>Газпромнефть</t>
        </is>
      </c>
      <c r="H3831" s="791" t="n"/>
      <c r="I3831" s="637" t="n">
        <v>12004</v>
      </c>
      <c r="J3831" s="637" t="inlineStr">
        <is>
          <t>GPN_12004</t>
        </is>
      </c>
      <c r="K3831" s="791" t="n">
        <v>3</v>
      </c>
      <c r="L3831" s="640" t="n">
        <v>1</v>
      </c>
      <c r="M3831" s="265" t="n">
        <v>5</v>
      </c>
      <c r="N3831" s="640" t="n"/>
      <c r="O3831" s="640">
        <f>IF(AND(N3831=1,L3831=1),K3831,"")</f>
        <v/>
      </c>
      <c r="P3831" s="419" t="inlineStr">
        <is>
          <t>Московская обл., п. Красково, Егорьевское шоссе, д.3</t>
        </is>
      </c>
      <c r="Q3831" s="640" t="inlineStr">
        <is>
          <t xml:space="preserve">55.66372 </t>
        </is>
      </c>
      <c r="R3831" s="494" t="inlineStr">
        <is>
          <t>38.00477</t>
        </is>
      </c>
      <c r="W3831" s="387">
        <f>IF(AND(N3831=1,O3831&lt;&gt;""),C3831,"")</f>
        <v/>
      </c>
    </row>
    <row r="3832" hidden="1">
      <c r="A3832" s="125" t="n">
        <v>4511</v>
      </c>
      <c r="B3832" s="125" t="n"/>
      <c r="C3832" s="125" t="inlineStr">
        <is>
          <t>Москва</t>
        </is>
      </c>
      <c r="D3832" s="130" t="inlineStr">
        <is>
          <t>Московская область</t>
        </is>
      </c>
      <c r="E3832" s="791" t="n"/>
      <c r="F3832" s="125" t="inlineStr">
        <is>
          <t>АЗС</t>
        </is>
      </c>
      <c r="G3832" s="125" t="inlineStr">
        <is>
          <t>Газпромнефть</t>
        </is>
      </c>
      <c r="H3832" s="791" t="n"/>
      <c r="I3832" s="637" t="n">
        <v>12005</v>
      </c>
      <c r="J3832" s="637" t="inlineStr">
        <is>
          <t>GPN_12005</t>
        </is>
      </c>
      <c r="K3832" s="791" t="n">
        <v>3</v>
      </c>
      <c r="L3832" s="640" t="n">
        <v>1</v>
      </c>
      <c r="M3832" s="265" t="n">
        <v>5</v>
      </c>
      <c r="N3832" s="640" t="n"/>
      <c r="O3832" s="640">
        <f>IF(AND(N3832=1,L3832=1),K3832,"")</f>
        <v/>
      </c>
      <c r="P3832" s="419" t="inlineStr">
        <is>
          <t>Московская обл.,  г. Люберцы, ул.Карла Маркса,  д.2В</t>
        </is>
      </c>
      <c r="Q3832" s="640" t="inlineStr">
        <is>
          <t xml:space="preserve">55.65977 </t>
        </is>
      </c>
      <c r="R3832" s="494" t="inlineStr">
        <is>
          <t>37.97289</t>
        </is>
      </c>
      <c r="W3832" s="387">
        <f>IF(AND(N3832=1,O3832&lt;&gt;""),C3832,"")</f>
        <v/>
      </c>
    </row>
    <row r="3833" hidden="1">
      <c r="A3833" s="125" t="n">
        <v>4512</v>
      </c>
      <c r="B3833" s="125" t="n"/>
      <c r="C3833" s="125" t="inlineStr">
        <is>
          <t>Москва</t>
        </is>
      </c>
      <c r="D3833" s="130" t="inlineStr">
        <is>
          <t>Московская область</t>
        </is>
      </c>
      <c r="E3833" s="791" t="n"/>
      <c r="F3833" s="125" t="inlineStr">
        <is>
          <t>АЗС</t>
        </is>
      </c>
      <c r="G3833" s="125" t="inlineStr">
        <is>
          <t>Газпромнефть</t>
        </is>
      </c>
      <c r="H3833" s="791" t="n"/>
      <c r="I3833" s="637" t="n">
        <v>12006</v>
      </c>
      <c r="J3833" s="637" t="inlineStr">
        <is>
          <t>GPN_12006</t>
        </is>
      </c>
      <c r="K3833" s="791" t="n">
        <v>3</v>
      </c>
      <c r="L3833" s="640" t="n">
        <v>0</v>
      </c>
      <c r="M3833" s="265" t="n">
        <v>5</v>
      </c>
      <c r="N3833" s="640" t="n"/>
      <c r="O3833" s="640">
        <f>IF(AND(N3833=1,L3833=1),K3833,"")</f>
        <v/>
      </c>
      <c r="P3833" s="419" t="inlineStr">
        <is>
          <t>Московская обл., г. Пушкино, Ярославское шоссе (40-й км), д.1</t>
        </is>
      </c>
      <c r="Q3833" s="640" t="inlineStr">
        <is>
          <t xml:space="preserve">56.05827 </t>
        </is>
      </c>
      <c r="R3833" s="422" t="inlineStr">
        <is>
          <t>37.8984</t>
        </is>
      </c>
      <c r="W3833" s="387">
        <f>IF(AND(N3833=1,O3833&lt;&gt;""),C3833,"")</f>
        <v/>
      </c>
    </row>
    <row r="3834" hidden="1">
      <c r="A3834" s="125" t="n">
        <v>4513</v>
      </c>
      <c r="B3834" s="125" t="n"/>
      <c r="C3834" s="125" t="inlineStr">
        <is>
          <t>Москва</t>
        </is>
      </c>
      <c r="D3834" s="130" t="inlineStr">
        <is>
          <t>Московская область</t>
        </is>
      </c>
      <c r="E3834" s="791" t="n"/>
      <c r="F3834" s="125" t="inlineStr">
        <is>
          <t>АЗС</t>
        </is>
      </c>
      <c r="G3834" s="125" t="inlineStr">
        <is>
          <t>Газпромнефть</t>
        </is>
      </c>
      <c r="H3834" s="791" t="n"/>
      <c r="I3834" s="637" t="n">
        <v>12007</v>
      </c>
      <c r="J3834" s="637" t="inlineStr">
        <is>
          <t>GPN_12007</t>
        </is>
      </c>
      <c r="K3834" s="791" t="n">
        <v>3</v>
      </c>
      <c r="L3834" s="640" t="n">
        <v>1</v>
      </c>
      <c r="M3834" s="265" t="n">
        <v>6</v>
      </c>
      <c r="N3834" s="640" t="n"/>
      <c r="O3834" s="640">
        <f>IF(AND(N3834=1,L3834=1),K3834,"")</f>
        <v/>
      </c>
      <c r="P3834" s="419" t="inlineStr">
        <is>
          <t>Московская обл., п. Малаховка, Быковское ш., 55А</t>
        </is>
      </c>
      <c r="Q3834" s="640" t="inlineStr">
        <is>
          <t xml:space="preserve">55.63174 </t>
        </is>
      </c>
      <c r="R3834" s="494" t="inlineStr">
        <is>
          <t>37.97718</t>
        </is>
      </c>
      <c r="W3834" s="387">
        <f>IF(AND(N3834=1,O3834&lt;&gt;""),C3834,"")</f>
        <v/>
      </c>
    </row>
    <row r="3835" hidden="1">
      <c r="A3835" s="125" t="n">
        <v>4514</v>
      </c>
      <c r="B3835" s="125" t="n"/>
      <c r="C3835" s="125" t="inlineStr">
        <is>
          <t>Москва</t>
        </is>
      </c>
      <c r="D3835" s="130" t="inlineStr">
        <is>
          <t>Московская область</t>
        </is>
      </c>
      <c r="E3835" s="791" t="n"/>
      <c r="F3835" s="125" t="inlineStr">
        <is>
          <t>АЗС</t>
        </is>
      </c>
      <c r="G3835" s="125" t="inlineStr">
        <is>
          <t>Газпромнефть</t>
        </is>
      </c>
      <c r="H3835" s="791" t="n"/>
      <c r="I3835" s="637" t="n">
        <v>12485</v>
      </c>
      <c r="J3835" s="637" t="inlineStr">
        <is>
          <t>GPN_12485</t>
        </is>
      </c>
      <c r="K3835" s="791" t="n">
        <v>3</v>
      </c>
      <c r="L3835" s="640" t="n">
        <v>1</v>
      </c>
      <c r="M3835" s="265" t="n">
        <v>5</v>
      </c>
      <c r="N3835" s="640" t="n"/>
      <c r="O3835" s="640">
        <f>IF(AND(N3835=1,L3835=1),K3835,"")</f>
        <v/>
      </c>
      <c r="P3835" s="419" t="inlineStr">
        <is>
          <t>г. Москва, пос. Щаповское, д. Троицкое, д. 2Б</t>
        </is>
      </c>
      <c r="Q3835" s="640" t="inlineStr">
        <is>
          <t>55.39001</t>
        </is>
      </c>
      <c r="R3835" s="494" t="inlineStr">
        <is>
          <t xml:space="preserve"> 37.42468</t>
        </is>
      </c>
      <c r="W3835" s="387">
        <f>IF(AND(N3835=1,O3835&lt;&gt;""),C3835,"")</f>
        <v/>
      </c>
    </row>
    <row r="3836" hidden="1">
      <c r="A3836" s="125" t="n">
        <v>4515</v>
      </c>
      <c r="B3836" s="125" t="n"/>
      <c r="C3836" s="125" t="inlineStr">
        <is>
          <t>Москва</t>
        </is>
      </c>
      <c r="D3836" s="130" t="inlineStr">
        <is>
          <t>Московская область</t>
        </is>
      </c>
      <c r="E3836" s="791" t="n"/>
      <c r="F3836" s="125" t="inlineStr">
        <is>
          <t>АЗС</t>
        </is>
      </c>
      <c r="G3836" s="125" t="inlineStr">
        <is>
          <t>Газпромнефть</t>
        </is>
      </c>
      <c r="H3836" s="791" t="n"/>
      <c r="I3836" s="637" t="n">
        <v>12486</v>
      </c>
      <c r="J3836" s="637" t="inlineStr">
        <is>
          <t>GPN_12486</t>
        </is>
      </c>
      <c r="K3836" s="791" t="n">
        <v>3</v>
      </c>
      <c r="L3836" s="640" t="n">
        <v>1</v>
      </c>
      <c r="M3836" s="265" t="n">
        <v>5</v>
      </c>
      <c r="N3836" s="640" t="n"/>
      <c r="O3836" s="640">
        <f>IF(AND(N3836=1,L3836=1),K3836,"")</f>
        <v/>
      </c>
      <c r="P3836" s="419" t="inlineStr">
        <is>
          <t>Московская обл., Домодедовский район, дер. Заболотье, корп. стр. 1</t>
        </is>
      </c>
      <c r="Q3836" s="640" t="inlineStr">
        <is>
          <t>55.45592</t>
        </is>
      </c>
      <c r="R3836" s="494" t="inlineStr">
        <is>
          <t xml:space="preserve"> 37.68127</t>
        </is>
      </c>
      <c r="W3836" s="387">
        <f>IF(AND(N3836=1,O3836&lt;&gt;""),C3836,"")</f>
        <v/>
      </c>
    </row>
    <row r="3837" hidden="1">
      <c r="A3837" s="125" t="n">
        <v>4516</v>
      </c>
      <c r="B3837" s="125" t="n"/>
      <c r="C3837" s="125" t="inlineStr">
        <is>
          <t>Москва</t>
        </is>
      </c>
      <c r="D3837" s="130" t="inlineStr">
        <is>
          <t>Московская область</t>
        </is>
      </c>
      <c r="E3837" s="791" t="n"/>
      <c r="F3837" s="125" t="inlineStr">
        <is>
          <t>АЗС</t>
        </is>
      </c>
      <c r="G3837" s="125" t="inlineStr">
        <is>
          <t>Газпромнефть</t>
        </is>
      </c>
      <c r="H3837" s="791" t="n"/>
      <c r="I3837" s="637" t="n">
        <v>12487</v>
      </c>
      <c r="J3837" s="637" t="inlineStr">
        <is>
          <t>GPN_12487</t>
        </is>
      </c>
      <c r="K3837" s="791" t="n">
        <v>3</v>
      </c>
      <c r="L3837" s="640" t="n">
        <v>1</v>
      </c>
      <c r="M3837" s="265" t="n">
        <v>5</v>
      </c>
      <c r="N3837" s="640" t="n"/>
      <c r="O3837" s="640">
        <f>IF(AND(N3837=1,L3837=1),K3837,"")</f>
        <v/>
      </c>
      <c r="P3837" s="419" t="inlineStr">
        <is>
          <t>Московская обл., Раменский район, с.пос. Островецкое, дер. Островцы, ул. Молодежная, д.50.</t>
        </is>
      </c>
      <c r="Q3837" s="640" t="inlineStr">
        <is>
          <t xml:space="preserve">55.60161 </t>
        </is>
      </c>
      <c r="R3837" s="494" t="inlineStr">
        <is>
          <t>37.98247</t>
        </is>
      </c>
      <c r="W3837" s="387">
        <f>IF(AND(N3837=1,O3837&lt;&gt;""),C3837,"")</f>
        <v/>
      </c>
    </row>
    <row r="3838" hidden="1" ht="27.6" customHeight="1">
      <c r="A3838" s="125" t="n">
        <v>4517</v>
      </c>
      <c r="B3838" s="125" t="n"/>
      <c r="C3838" s="125" t="inlineStr">
        <is>
          <t>Москва</t>
        </is>
      </c>
      <c r="D3838" s="130" t="inlineStr">
        <is>
          <t>Московская область</t>
        </is>
      </c>
      <c r="E3838" s="791" t="n"/>
      <c r="F3838" s="125" t="inlineStr">
        <is>
          <t>АЗС</t>
        </is>
      </c>
      <c r="G3838" s="125" t="inlineStr">
        <is>
          <t>Газпромнефть</t>
        </is>
      </c>
      <c r="H3838" s="791" t="n"/>
      <c r="I3838" s="637" t="n">
        <v>12488</v>
      </c>
      <c r="J3838" s="637" t="inlineStr">
        <is>
          <t>GPN_12488</t>
        </is>
      </c>
      <c r="K3838" s="791" t="n">
        <v>3</v>
      </c>
      <c r="L3838" s="640" t="n">
        <v>1</v>
      </c>
      <c r="M3838" s="265" t="n">
        <v>5</v>
      </c>
      <c r="N3838" s="640" t="n"/>
      <c r="O3838" s="640">
        <f>IF(AND(N3838=1,L3838=1),K3838,"")</f>
        <v/>
      </c>
      <c r="P3838" s="419" t="inlineStr">
        <is>
          <t>Московская область, Одинцовский район, г.п.Лесной городок, д.Бородки, 28 км ФАД М-1 справа</t>
        </is>
      </c>
      <c r="Q3838" s="640" t="inlineStr">
        <is>
          <t xml:space="preserve">55.64668 </t>
        </is>
      </c>
      <c r="R3838" s="494" t="inlineStr">
        <is>
          <t>37.24481</t>
        </is>
      </c>
      <c r="W3838" s="387">
        <f>IF(AND(N3838=1,O3838&lt;&gt;""),C3838,"")</f>
        <v/>
      </c>
    </row>
    <row r="3839" hidden="1">
      <c r="A3839" s="125" t="n">
        <v>4518</v>
      </c>
      <c r="B3839" s="125" t="n"/>
      <c r="C3839" s="125" t="inlineStr">
        <is>
          <t>Москва</t>
        </is>
      </c>
      <c r="D3839" s="130" t="inlineStr">
        <is>
          <t>Московская область</t>
        </is>
      </c>
      <c r="E3839" s="791" t="n"/>
      <c r="F3839" s="125" t="inlineStr">
        <is>
          <t>АЗС</t>
        </is>
      </c>
      <c r="G3839" s="125" t="inlineStr">
        <is>
          <t>Газпромнефть</t>
        </is>
      </c>
      <c r="H3839" s="791" t="n"/>
      <c r="I3839" s="637" t="n">
        <v>12547</v>
      </c>
      <c r="J3839" s="637" t="inlineStr">
        <is>
          <t>GPN_12547</t>
        </is>
      </c>
      <c r="K3839" s="791" t="n">
        <v>3</v>
      </c>
      <c r="L3839" s="640" t="n">
        <v>1</v>
      </c>
      <c r="M3839" s="265" t="n">
        <v>4</v>
      </c>
      <c r="N3839" s="640" t="n"/>
      <c r="O3839" s="640">
        <f>IF(AND(N3839=1,L3839=1),K3839,"")</f>
        <v/>
      </c>
      <c r="P3839" s="419" t="inlineStr">
        <is>
          <t xml:space="preserve"> Московская обл., г.о. Наро-Фоминский, г.п. Калининец, с. Петровское, вл. 95Д</t>
        </is>
      </c>
      <c r="Q3839" s="640" t="inlineStr">
        <is>
          <t xml:space="preserve">55.53912 </t>
        </is>
      </c>
      <c r="R3839" s="494" t="inlineStr">
        <is>
          <t>36.99069</t>
        </is>
      </c>
      <c r="W3839" s="387">
        <f>IF(AND(N3839=1,O3839&lt;&gt;""),C3839,"")</f>
        <v/>
      </c>
    </row>
    <row r="3840" hidden="1">
      <c r="A3840" s="125" t="n">
        <v>4519</v>
      </c>
      <c r="B3840" s="125" t="n"/>
      <c r="C3840" s="125" t="inlineStr">
        <is>
          <t>Москва</t>
        </is>
      </c>
      <c r="D3840" s="130" t="inlineStr">
        <is>
          <t>Московская область</t>
        </is>
      </c>
      <c r="E3840" s="791" t="n"/>
      <c r="F3840" s="125" t="inlineStr">
        <is>
          <t>АЗС</t>
        </is>
      </c>
      <c r="G3840" s="125" t="inlineStr">
        <is>
          <t>Газпромнефть</t>
        </is>
      </c>
      <c r="H3840" s="791" t="n"/>
      <c r="I3840" s="637" t="n">
        <v>12576</v>
      </c>
      <c r="J3840" s="637" t="inlineStr">
        <is>
          <t>GPN_12576</t>
        </is>
      </c>
      <c r="K3840" s="791" t="n">
        <v>3</v>
      </c>
      <c r="L3840" s="640" t="n">
        <v>1</v>
      </c>
      <c r="M3840" s="265" t="n">
        <v>5</v>
      </c>
      <c r="N3840" s="640" t="n"/>
      <c r="O3840" s="640">
        <f>IF(AND(N3840=1,L3840=1),K3840,"")</f>
        <v/>
      </c>
      <c r="P3840" s="419" t="inlineStr">
        <is>
          <t>Московская обл., г. Люберцы, Юбилейная, 8А</t>
        </is>
      </c>
      <c r="Q3840" s="640" t="inlineStr">
        <is>
          <t>55.66823</t>
        </is>
      </c>
      <c r="R3840" s="494" t="inlineStr">
        <is>
          <t xml:space="preserve"> 37.8753</t>
        </is>
      </c>
      <c r="W3840" s="387">
        <f>IF(AND(N3840=1,O3840&lt;&gt;""),C3840,"")</f>
        <v/>
      </c>
    </row>
    <row r="3841" hidden="1">
      <c r="A3841" s="125" t="n">
        <v>4520</v>
      </c>
      <c r="B3841" s="125" t="n"/>
      <c r="C3841" s="125" t="inlineStr">
        <is>
          <t>Хакасия</t>
        </is>
      </c>
      <c r="D3841" s="125" t="inlineStr">
        <is>
          <t>Абакан</t>
        </is>
      </c>
      <c r="E3841" s="791" t="n"/>
      <c r="F3841" s="125" t="inlineStr">
        <is>
          <t>АЗС</t>
        </is>
      </c>
      <c r="G3841" s="125" t="inlineStr">
        <is>
          <t>Роснефть</t>
        </is>
      </c>
      <c r="H3841" s="791" t="n"/>
      <c r="I3841" s="637" t="n">
        <v>81</v>
      </c>
      <c r="J3841" s="637" t="inlineStr">
        <is>
          <t>HKS_RN_081</t>
        </is>
      </c>
      <c r="K3841" s="791" t="n">
        <v>2</v>
      </c>
      <c r="L3841" s="791" t="n">
        <v>1</v>
      </c>
      <c r="M3841" s="265" t="inlineStr">
        <is>
          <t>Samsung 32" вертикальный</t>
        </is>
      </c>
      <c r="N3841" s="640" t="n"/>
      <c r="O3841" s="640">
        <f>IF(AND(N3841=1,L3841=1),K3841,"")</f>
        <v/>
      </c>
      <c r="P3841" s="419" t="inlineStr">
        <is>
          <t>Республика Хакасия, г. Абакан, ул. Молодежная, 24</t>
        </is>
      </c>
      <c r="Q3841" s="640" t="n">
        <v>53.700042</v>
      </c>
      <c r="R3841" s="494" t="n">
        <v>91.504227</v>
      </c>
    </row>
    <row r="3842" hidden="1">
      <c r="A3842" s="125" t="n">
        <v>4521</v>
      </c>
      <c r="B3842" s="125" t="n"/>
      <c r="C3842" s="125" t="inlineStr">
        <is>
          <t>Хакасия</t>
        </is>
      </c>
      <c r="D3842" s="125" t="inlineStr">
        <is>
          <t>Абакан</t>
        </is>
      </c>
      <c r="E3842" s="791" t="n"/>
      <c r="F3842" s="125" t="inlineStr">
        <is>
          <t>АЗС</t>
        </is>
      </c>
      <c r="G3842" s="125" t="inlineStr">
        <is>
          <t>Роснефть</t>
        </is>
      </c>
      <c r="H3842" s="791" t="n"/>
      <c r="I3842" s="637" t="n">
        <v>23</v>
      </c>
      <c r="J3842" s="637" t="inlineStr">
        <is>
          <t>HKS_RN_023</t>
        </is>
      </c>
      <c r="K3842" s="791" t="n">
        <v>2</v>
      </c>
      <c r="L3842" s="791" t="n">
        <v>1</v>
      </c>
      <c r="M3842" s="265" t="inlineStr">
        <is>
          <t>Samsung 32" вертикальный</t>
        </is>
      </c>
      <c r="N3842" s="640" t="n"/>
      <c r="O3842" s="640">
        <f>IF(AND(N3842=1,L3842=1),K3842,"")</f>
        <v/>
      </c>
      <c r="P3842" s="419" t="inlineStr">
        <is>
          <t>Республика Хакасия, г. Абакан, ул. Железнодорожная, 18А</t>
        </is>
      </c>
      <c r="Q3842" s="640" t="n">
        <v>53.709445</v>
      </c>
      <c r="R3842" s="494" t="n">
        <v>91.44727399999999</v>
      </c>
    </row>
    <row r="3843" hidden="1" ht="27.6" customHeight="1">
      <c r="A3843" s="125" t="n">
        <v>4522</v>
      </c>
      <c r="B3843" s="125" t="n"/>
      <c r="C3843" s="125" t="inlineStr">
        <is>
          <t>Хакасия</t>
        </is>
      </c>
      <c r="D3843" s="125" t="inlineStr">
        <is>
          <t>Усть-Абаканский район</t>
        </is>
      </c>
      <c r="E3843" s="791" t="n"/>
      <c r="F3843" s="125" t="inlineStr">
        <is>
          <t>АЗС</t>
        </is>
      </c>
      <c r="G3843" s="125" t="inlineStr">
        <is>
          <t>Роснефть</t>
        </is>
      </c>
      <c r="H3843" s="791" t="n"/>
      <c r="I3843" s="637" t="n">
        <v>1</v>
      </c>
      <c r="J3843" s="637" t="inlineStr">
        <is>
          <t>HKS_RN_001</t>
        </is>
      </c>
      <c r="K3843" s="791" t="n">
        <v>2</v>
      </c>
      <c r="L3843" s="791" t="n">
        <v>1</v>
      </c>
      <c r="M3843" s="265" t="inlineStr">
        <is>
          <t>Samsung 32" вертикальный</t>
        </is>
      </c>
      <c r="N3843" s="640" t="n"/>
      <c r="O3843" s="640">
        <f>IF(AND(N3843=1,L3843=1),K3843,"")</f>
        <v/>
      </c>
      <c r="P3843" s="419" t="inlineStr">
        <is>
          <t>Республика Хакасия, Усть-Абаканский район, пгт. Усть-Абакан, развилка автодорог "Енисей-Усть-Абакан-Черногорск"</t>
        </is>
      </c>
      <c r="Q3843" s="640" t="n">
        <v>53.773852</v>
      </c>
      <c r="R3843" s="494" t="n">
        <v>91.39511899999999</v>
      </c>
    </row>
    <row r="3844" hidden="1">
      <c r="A3844" s="125" t="n">
        <v>4523</v>
      </c>
      <c r="B3844" s="125" t="n"/>
      <c r="C3844" s="125" t="inlineStr">
        <is>
          <t>Хакасия</t>
        </is>
      </c>
      <c r="D3844" s="125" t="inlineStr">
        <is>
          <t>Алтайский район</t>
        </is>
      </c>
      <c r="E3844" s="791" t="n"/>
      <c r="F3844" s="125" t="inlineStr">
        <is>
          <t>АЗС</t>
        </is>
      </c>
      <c r="G3844" s="125" t="inlineStr">
        <is>
          <t>Роснефть</t>
        </is>
      </c>
      <c r="H3844" s="791" t="n"/>
      <c r="I3844" s="637" t="n">
        <v>70</v>
      </c>
      <c r="J3844" s="637" t="inlineStr">
        <is>
          <t>HKS_RN_070</t>
        </is>
      </c>
      <c r="K3844" s="791" t="n">
        <v>2</v>
      </c>
      <c r="L3844" s="791" t="n">
        <v>1</v>
      </c>
      <c r="M3844" s="265" t="inlineStr">
        <is>
          <t>Samsung 32" вертикальный</t>
        </is>
      </c>
      <c r="N3844" s="640" t="n"/>
      <c r="O3844" s="640">
        <f>IF(AND(N3844=1,L3844=1),K3844,"")</f>
        <v/>
      </c>
      <c r="P3844" s="419" t="inlineStr">
        <is>
          <t>Республика Хакасия, Алтайский район, с. Белый Яр, ул. Ленина, 244</t>
        </is>
      </c>
      <c r="Q3844" s="640" t="n">
        <v>53.616614</v>
      </c>
      <c r="R3844" s="494" t="n">
        <v>91.41034000000001</v>
      </c>
    </row>
    <row r="3845" hidden="1">
      <c r="A3845" s="125" t="n">
        <v>4524</v>
      </c>
      <c r="B3845" s="125" t="n"/>
      <c r="C3845" s="125" t="inlineStr">
        <is>
          <t>Хакасия</t>
        </is>
      </c>
      <c r="D3845" s="125" t="inlineStr">
        <is>
          <t>Усть-Абаканский район</t>
        </is>
      </c>
      <c r="E3845" s="791" t="n"/>
      <c r="F3845" s="125" t="inlineStr">
        <is>
          <t>АЗС</t>
        </is>
      </c>
      <c r="G3845" s="125" t="inlineStr">
        <is>
          <t>Роснефть</t>
        </is>
      </c>
      <c r="H3845" s="791" t="n"/>
      <c r="I3845" s="637" t="n">
        <v>112</v>
      </c>
      <c r="J3845" s="637" t="inlineStr">
        <is>
          <t>HKS_RN_112</t>
        </is>
      </c>
      <c r="K3845" s="791" t="n">
        <v>2</v>
      </c>
      <c r="L3845" s="791" t="n">
        <v>1</v>
      </c>
      <c r="M3845" s="265" t="inlineStr">
        <is>
          <t>Samsung 32" вертикальный</t>
        </is>
      </c>
      <c r="N3845" s="640" t="n"/>
      <c r="O3845" s="640">
        <f>IF(AND(N3845=1,L3845=1),K3845,"")</f>
        <v/>
      </c>
      <c r="P3845" s="419" t="inlineStr">
        <is>
          <t>Республика Хакасия, Усть-Абаканский район, 404 км трассы «Енисей»</t>
        </is>
      </c>
      <c r="Q3845" s="640" t="n">
        <v>53.741503</v>
      </c>
      <c r="R3845" s="494" t="n">
        <v>91.42666</v>
      </c>
    </row>
    <row r="3846" hidden="1">
      <c r="A3846" s="125" t="n">
        <v>4525</v>
      </c>
      <c r="B3846" s="125" t="n"/>
      <c r="C3846" s="125" t="inlineStr">
        <is>
          <t>Хакасия</t>
        </is>
      </c>
      <c r="D3846" s="125" t="inlineStr">
        <is>
          <t>Абакан</t>
        </is>
      </c>
      <c r="E3846" s="791" t="n"/>
      <c r="F3846" s="125" t="inlineStr">
        <is>
          <t>АЗС</t>
        </is>
      </c>
      <c r="G3846" s="125" t="inlineStr">
        <is>
          <t>Роснефть</t>
        </is>
      </c>
      <c r="H3846" s="791" t="n"/>
      <c r="I3846" s="637" t="n">
        <v>21</v>
      </c>
      <c r="J3846" s="637" t="inlineStr">
        <is>
          <t>HKS_RN_021</t>
        </is>
      </c>
      <c r="K3846" s="791" t="n">
        <v>2</v>
      </c>
      <c r="L3846" s="791" t="n">
        <v>1</v>
      </c>
      <c r="M3846" s="265" t="inlineStr">
        <is>
          <t>Samsung 32" вертикальный</t>
        </is>
      </c>
      <c r="N3846" s="640" t="n"/>
      <c r="O3846" s="640">
        <f>IF(AND(N3846=1,L3846=1),K3846,"")</f>
        <v/>
      </c>
      <c r="P3846" s="419" t="inlineStr">
        <is>
          <t>Республика Хакасия, г. Абакан, пр. Дружбы Народов, 55</t>
        </is>
      </c>
      <c r="Q3846" s="640" t="n">
        <v>53.746771</v>
      </c>
      <c r="R3846" s="494" t="n">
        <v>91.41521299999999</v>
      </c>
    </row>
    <row r="3847" hidden="1">
      <c r="A3847" s="125" t="n">
        <v>4526</v>
      </c>
      <c r="B3847" s="125" t="n"/>
      <c r="C3847" s="125" t="inlineStr">
        <is>
          <t>Хакасия</t>
        </is>
      </c>
      <c r="D3847" s="125" t="inlineStr">
        <is>
          <t>Абакан</t>
        </is>
      </c>
      <c r="E3847" s="791" t="n"/>
      <c r="F3847" s="125" t="inlineStr">
        <is>
          <t>АЗС</t>
        </is>
      </c>
      <c r="G3847" s="125" t="inlineStr">
        <is>
          <t>Роснефть</t>
        </is>
      </c>
      <c r="H3847" s="791" t="n"/>
      <c r="I3847" s="637" t="n">
        <v>62</v>
      </c>
      <c r="J3847" s="637" t="inlineStr">
        <is>
          <t>HKS_RN_062</t>
        </is>
      </c>
      <c r="K3847" s="791" t="n">
        <v>2</v>
      </c>
      <c r="L3847" s="791" t="n">
        <v>0</v>
      </c>
      <c r="M3847" s="265" t="inlineStr">
        <is>
          <t>Samsung 32" вертикальный</t>
        </is>
      </c>
      <c r="N3847" s="640" t="n"/>
      <c r="O3847" s="640">
        <f>IF(AND(N3847=1,L3847=1),K3847,"")</f>
        <v/>
      </c>
      <c r="P3847" s="419" t="inlineStr">
        <is>
          <t>Республика Хакасия, г. Абакан, ул. Аскизская, 150А</t>
        </is>
      </c>
      <c r="Q3847" s="640" t="n">
        <v>53.698262</v>
      </c>
      <c r="R3847" s="494" t="n">
        <v>91.41521299999999</v>
      </c>
    </row>
    <row r="3848" hidden="1">
      <c r="A3848" s="125" t="n">
        <v>4527</v>
      </c>
      <c r="B3848" s="125" t="n"/>
      <c r="C3848" s="125" t="inlineStr">
        <is>
          <t>Хакасия</t>
        </is>
      </c>
      <c r="D3848" s="125" t="inlineStr">
        <is>
          <t>Абакан</t>
        </is>
      </c>
      <c r="E3848" s="791" t="n"/>
      <c r="F3848" s="125" t="inlineStr">
        <is>
          <t>АЗС</t>
        </is>
      </c>
      <c r="G3848" s="125" t="inlineStr">
        <is>
          <t>Роснефть</t>
        </is>
      </c>
      <c r="H3848" s="791" t="n"/>
      <c r="I3848" s="637" t="n">
        <v>9</v>
      </c>
      <c r="J3848" s="637" t="inlineStr">
        <is>
          <t>HKS_RN_009</t>
        </is>
      </c>
      <c r="K3848" s="791" t="n">
        <v>2</v>
      </c>
      <c r="L3848" s="791" t="n">
        <v>0</v>
      </c>
      <c r="M3848" s="265" t="inlineStr">
        <is>
          <t>Samsung 32" вертикальный</t>
        </is>
      </c>
      <c r="N3848" s="640" t="n"/>
      <c r="O3848" s="640">
        <f>IF(AND(N3848=1,L3848=1),K3848,"")</f>
        <v/>
      </c>
      <c r="P3848" s="419" t="inlineStr">
        <is>
          <t>Республика Хакасия, г. Абакан, ул. Тельмана, 92А</t>
        </is>
      </c>
      <c r="Q3848" s="640" t="n">
        <v>53.730618</v>
      </c>
      <c r="R3848" s="494" t="n">
        <v>91.43242499999999</v>
      </c>
    </row>
    <row r="3849" hidden="1">
      <c r="A3849" s="125" t="n">
        <v>4528</v>
      </c>
      <c r="B3849" s="125" t="n"/>
      <c r="C3849" s="130" t="inlineStr">
        <is>
          <t>Владимир</t>
        </is>
      </c>
      <c r="D3849" s="130" t="inlineStr">
        <is>
          <t>Владимир</t>
        </is>
      </c>
      <c r="E3849" s="130" t="inlineStr">
        <is>
          <t>ЦКАД</t>
        </is>
      </c>
      <c r="F3849" s="130" t="inlineStr">
        <is>
          <t>Платная трасса</t>
        </is>
      </c>
      <c r="G3849" s="130" t="inlineStr">
        <is>
          <t>Автодор</t>
        </is>
      </c>
      <c r="H3849" s="131" t="inlineStr">
        <is>
          <t>Офис Владимир</t>
        </is>
      </c>
      <c r="I3849" s="637" t="inlineStr">
        <is>
          <t>AVD_M12_VLA</t>
        </is>
      </c>
      <c r="J3849" s="637" t="inlineStr">
        <is>
          <t>AVD_M12_VLA</t>
        </is>
      </c>
      <c r="K3849" s="640" t="n">
        <v>1</v>
      </c>
      <c r="L3849" s="640" t="n">
        <v>0</v>
      </c>
      <c r="M3849" s="265" t="inlineStr">
        <is>
          <t>Samsung 43" горизонтальный</t>
        </is>
      </c>
      <c r="N3849" s="640" t="n"/>
      <c r="O3849" s="640">
        <f>IF(AND(N3849=1,L3849=1),K3849,"")</f>
        <v/>
      </c>
      <c r="P3849" s="642" t="inlineStr">
        <is>
          <t>г. Владимир, Московское ш., д. 6а</t>
        </is>
      </c>
      <c r="Q3849" s="640" t="n">
        <v>56.112618</v>
      </c>
      <c r="R3849" s="422" t="n">
        <v>40.327284</v>
      </c>
    </row>
    <row r="3850" hidden="1">
      <c r="A3850" s="125" t="n">
        <v>4529</v>
      </c>
      <c r="B3850" s="125" t="n"/>
      <c r="C3850" s="125" t="inlineStr">
        <is>
          <t>Санкт-Петербург</t>
        </is>
      </c>
      <c r="D3850" s="130" t="inlineStr">
        <is>
          <t>Санкт-Петербург</t>
        </is>
      </c>
      <c r="E3850" s="130" t="inlineStr">
        <is>
          <t>A</t>
        </is>
      </c>
      <c r="F3850" s="130" t="inlineStr">
        <is>
          <t>Бизнес центр</t>
        </is>
      </c>
      <c r="G3850" s="130" t="inlineStr">
        <is>
          <t>Бизнес центр</t>
        </is>
      </c>
      <c r="H3850" s="131" t="n">
        <v>6200</v>
      </c>
      <c r="I3850" s="637" t="inlineStr">
        <is>
          <t>18_Феррум</t>
        </is>
      </c>
      <c r="J3850" s="637" t="inlineStr">
        <is>
          <t>SPB_BC_Ferrum</t>
        </is>
      </c>
      <c r="K3850" s="640" t="n">
        <v>4</v>
      </c>
      <c r="L3850" s="640" t="n">
        <v>1</v>
      </c>
      <c r="M3850" s="265" t="inlineStr">
        <is>
          <t xml:space="preserve">LED/18'/верт </t>
        </is>
      </c>
      <c r="N3850" s="640" t="n"/>
      <c r="O3850" s="640">
        <f>IF(AND(N3850=1,L3850=1),K3850,"")</f>
        <v/>
      </c>
      <c r="P3850" s="642" t="inlineStr">
        <is>
          <t>Санкт-Петербург, СПб, Свердловская наб., д. 44, Калининский район</t>
        </is>
      </c>
      <c r="Q3850" s="640" t="n">
        <v>59.960827</v>
      </c>
      <c r="R3850" s="494" t="n">
        <v>30.403589</v>
      </c>
      <c r="S3850" s="387">
        <f>'Цены|Скидки'!$E$25</f>
        <v/>
      </c>
      <c r="T3850" s="387">
        <f>IF(N3850=1,S3850*O3850,0)</f>
        <v/>
      </c>
      <c r="Z3850" s="1" t="n"/>
    </row>
    <row r="3851" hidden="1">
      <c r="A3851" s="125" t="n">
        <v>4530</v>
      </c>
      <c r="B3851" s="125" t="n"/>
      <c r="C3851" s="125" t="inlineStr">
        <is>
          <t>Санкт-Петербург</t>
        </is>
      </c>
      <c r="D3851" s="130" t="inlineStr">
        <is>
          <t>Санкт-Петербург</t>
        </is>
      </c>
      <c r="E3851" s="130" t="inlineStr">
        <is>
          <t>A</t>
        </is>
      </c>
      <c r="F3851" s="130" t="inlineStr">
        <is>
          <t>Бизнес центр</t>
        </is>
      </c>
      <c r="G3851" s="130" t="inlineStr">
        <is>
          <t>Бизнес центр</t>
        </is>
      </c>
      <c r="H3851" s="131" t="n">
        <v>8531</v>
      </c>
      <c r="I3851" s="637" t="inlineStr">
        <is>
          <t>Сенатор на Одоевского</t>
        </is>
      </c>
      <c r="J3851" s="637" t="inlineStr">
        <is>
          <t>SPB_BC_Senator_na_Odoevskogo</t>
        </is>
      </c>
      <c r="K3851" s="640" t="n">
        <v>2</v>
      </c>
      <c r="L3851" s="640" t="n">
        <v>1</v>
      </c>
      <c r="M3851" s="265" t="inlineStr">
        <is>
          <t>LED/32'/верт</t>
        </is>
      </c>
      <c r="N3851" s="640" t="n"/>
      <c r="O3851" s="640">
        <f>IF(AND(N3851=1,L3851=1),K3851,"")</f>
        <v/>
      </c>
      <c r="P3851" s="642" t="inlineStr">
        <is>
          <t>Санкт-Петербург, ул. Одоевского, д. 24, корп.1</t>
        </is>
      </c>
      <c r="Q3851" s="640" t="inlineStr">
        <is>
          <t>59.948658</t>
        </is>
      </c>
      <c r="R3851" s="494" t="inlineStr">
        <is>
          <t>30.245467</t>
        </is>
      </c>
      <c r="S3851" s="387">
        <f>'Цены|Скидки'!$E$25</f>
        <v/>
      </c>
      <c r="T3851" s="387">
        <f>IF(N3851=1,S3851*O3851,0)</f>
        <v/>
      </c>
      <c r="Z3851" s="1" t="n"/>
    </row>
    <row r="3852" hidden="1">
      <c r="A3852" s="125" t="n">
        <v>4531</v>
      </c>
      <c r="B3852" s="125" t="n"/>
      <c r="C3852" s="130" t="inlineStr">
        <is>
          <t>Москва</t>
        </is>
      </c>
      <c r="D3852" s="130" t="inlineStr">
        <is>
          <t>Москва</t>
        </is>
      </c>
      <c r="E3852" s="130" t="inlineStr">
        <is>
          <t>PREMIUM</t>
        </is>
      </c>
      <c r="F3852" s="130" t="inlineStr">
        <is>
          <t>Фитнес</t>
        </is>
      </c>
      <c r="G3852" s="130" t="inlineStr">
        <is>
          <t>С.С.С.Р</t>
        </is>
      </c>
      <c r="H3852" s="131" t="n">
        <v>9000</v>
      </c>
      <c r="I3852" s="637" t="inlineStr">
        <is>
          <t>СССР Видное</t>
        </is>
      </c>
      <c r="J3852" s="637" t="inlineStr">
        <is>
          <t>MSC_FC_Vidnoe</t>
        </is>
      </c>
      <c r="K3852" s="640" t="n">
        <v>1</v>
      </c>
      <c r="L3852" s="640" t="n">
        <v>1</v>
      </c>
      <c r="M3852" s="265" t="inlineStr">
        <is>
          <t>ФОТО</t>
        </is>
      </c>
      <c r="N3852" s="640" t="n"/>
      <c r="O3852" s="640">
        <f>IF(AND(N3852=1,L3852=1),K3852,"")</f>
        <v/>
      </c>
      <c r="P3852" s="642" t="inlineStr">
        <is>
          <t>Москва, г. Видное, проспект Ленинского Комсомола, дом 41 (БЦ Астро Плаза)</t>
        </is>
      </c>
      <c r="Q3852" s="640" t="inlineStr">
        <is>
          <t>55.544168</t>
        </is>
      </c>
      <c r="R3852" s="494" t="inlineStr">
        <is>
          <t>37.701080</t>
        </is>
      </c>
      <c r="S3852" s="387">
        <f>'Цены|Скидки'!$G$18</f>
        <v/>
      </c>
      <c r="T3852" s="387">
        <f>IF(N3852=1,S3852*O3852,0)</f>
        <v/>
      </c>
      <c r="Z3852" s="1" t="n"/>
    </row>
    <row r="3853" hidden="1">
      <c r="A3853" s="125" t="n">
        <v>4532</v>
      </c>
      <c r="B3853" s="125" t="n"/>
      <c r="C3853" s="130" t="inlineStr">
        <is>
          <t>Сургут</t>
        </is>
      </c>
      <c r="D3853" s="130" t="inlineStr">
        <is>
          <t>Сургут</t>
        </is>
      </c>
      <c r="E3853" s="130" t="n"/>
      <c r="F3853" s="130" t="inlineStr">
        <is>
          <t>АЗС</t>
        </is>
      </c>
      <c r="G3853" s="130" t="inlineStr">
        <is>
          <t>Эталон</t>
        </is>
      </c>
      <c r="H3853" s="131" t="n"/>
      <c r="I3853" s="637" t="n">
        <v>8</v>
      </c>
      <c r="J3853" s="637" t="inlineStr">
        <is>
          <t>SUR_ET_8</t>
        </is>
      </c>
      <c r="K3853" s="640" t="n">
        <v>2</v>
      </c>
      <c r="L3853" s="640" t="n">
        <v>0</v>
      </c>
      <c r="M3853" s="265" t="inlineStr">
        <is>
          <t>Samsung 43" горизонтальный</t>
        </is>
      </c>
      <c r="N3853" s="640" t="n"/>
      <c r="O3853" s="640">
        <f>IF(AND(N3853=1,L3853=1),K3853,"")</f>
        <v/>
      </c>
      <c r="P3853" s="642" t="inlineStr">
        <is>
          <t>г.Сургут, ул.Крылова 16</t>
        </is>
      </c>
      <c r="Q3853" s="640" t="inlineStr">
        <is>
          <t>61.284119</t>
        </is>
      </c>
      <c r="R3853" s="494" t="inlineStr">
        <is>
          <t>73.334238</t>
        </is>
      </c>
    </row>
    <row r="3854" hidden="1">
      <c r="A3854" s="125" t="n">
        <v>4533</v>
      </c>
      <c r="B3854" s="125" t="n"/>
      <c r="C3854" s="130" t="inlineStr">
        <is>
          <t>Сургут</t>
        </is>
      </c>
      <c r="D3854" s="130" t="inlineStr">
        <is>
          <t>Сургут</t>
        </is>
      </c>
      <c r="E3854" s="130" t="n"/>
      <c r="F3854" s="130" t="inlineStr">
        <is>
          <t>АЗС</t>
        </is>
      </c>
      <c r="G3854" s="130" t="inlineStr">
        <is>
          <t>Эталон</t>
        </is>
      </c>
      <c r="H3854" s="131" t="n"/>
      <c r="I3854" s="637" t="n">
        <v>15</v>
      </c>
      <c r="J3854" s="637" t="inlineStr">
        <is>
          <t>SUR_ET_15</t>
        </is>
      </c>
      <c r="K3854" s="640" t="n">
        <v>2</v>
      </c>
      <c r="L3854" s="640" t="n">
        <v>1</v>
      </c>
      <c r="M3854" s="265" t="inlineStr">
        <is>
          <t>Samsung 43" горизонтальный</t>
        </is>
      </c>
      <c r="N3854" s="640" t="n"/>
      <c r="O3854" s="640">
        <f>IF(AND(N3854=1,L3854=1),K3854,"")</f>
        <v/>
      </c>
      <c r="P3854" s="642" t="inlineStr">
        <is>
          <t>г.Сургут, ул. Профсоюзов 15/1 стр.1</t>
        </is>
      </c>
      <c r="Q3854" s="640" t="inlineStr">
        <is>
          <t>61.268289</t>
        </is>
      </c>
      <c r="R3854" s="494" t="inlineStr">
        <is>
          <t>73.389295</t>
        </is>
      </c>
    </row>
    <row r="3855" hidden="1">
      <c r="A3855" s="125" t="n">
        <v>4534</v>
      </c>
      <c r="B3855" s="125" t="n"/>
      <c r="C3855" s="130" t="inlineStr">
        <is>
          <t>Санкт-Петербург</t>
        </is>
      </c>
      <c r="D3855" s="130" t="inlineStr">
        <is>
          <t>Санкт-Петербург</t>
        </is>
      </c>
      <c r="E3855" s="130" t="n"/>
      <c r="F3855" s="130" t="inlineStr">
        <is>
          <t>АЗС</t>
        </is>
      </c>
      <c r="G3855" s="125" t="inlineStr">
        <is>
          <t>Газпромнефть</t>
        </is>
      </c>
      <c r="H3855" s="131" t="n"/>
      <c r="I3855" s="637" t="n">
        <v>10138</v>
      </c>
      <c r="J3855" s="637" t="inlineStr">
        <is>
          <t>GPN_10138</t>
        </is>
      </c>
      <c r="K3855" s="791" t="n">
        <v>3</v>
      </c>
      <c r="L3855" s="640" t="n">
        <v>1</v>
      </c>
      <c r="M3855" s="265" t="n">
        <v>6</v>
      </c>
      <c r="N3855" s="640" t="n"/>
      <c r="O3855" s="640">
        <f>IF(AND(N3855=1,L3855=1),K3855,"")</f>
        <v/>
      </c>
      <c r="P3855" s="642" t="inlineStr">
        <is>
          <t>Новгородская область, ФАД М-11, 477 км, справа (от Москвы)</t>
        </is>
      </c>
      <c r="Q3855" s="640" t="inlineStr">
        <is>
          <t xml:space="preserve">58.56357 </t>
        </is>
      </c>
      <c r="R3855" s="494" t="inlineStr">
        <is>
          <t>32.51472</t>
        </is>
      </c>
      <c r="W3855" s="387">
        <f>IF(AND(N3855=1,O3855&lt;&gt;""),C3855,"")</f>
        <v/>
      </c>
    </row>
    <row r="3856" hidden="1">
      <c r="A3856" s="125" t="n">
        <v>4535</v>
      </c>
      <c r="B3856" s="125" t="n"/>
      <c r="C3856" s="130" t="inlineStr">
        <is>
          <t>Санкт-Петербург</t>
        </is>
      </c>
      <c r="D3856" s="130" t="inlineStr">
        <is>
          <t>Санкт-Петербург</t>
        </is>
      </c>
      <c r="E3856" s="130" t="n"/>
      <c r="F3856" s="130" t="inlineStr">
        <is>
          <t>АЗС</t>
        </is>
      </c>
      <c r="G3856" s="125" t="inlineStr">
        <is>
          <t>Газпромнефть</t>
        </is>
      </c>
      <c r="H3856" s="131" t="n"/>
      <c r="I3856" s="637" t="n">
        <v>10143</v>
      </c>
      <c r="J3856" s="637" t="inlineStr">
        <is>
          <t>GPN_10143</t>
        </is>
      </c>
      <c r="K3856" s="791" t="n">
        <v>3</v>
      </c>
      <c r="L3856" s="640" t="n">
        <v>1</v>
      </c>
      <c r="M3856" s="265" t="n">
        <v>4</v>
      </c>
      <c r="N3856" s="640" t="n"/>
      <c r="O3856" s="640">
        <f>IF(AND(N3856=1,L3856=1),K3856,"")</f>
        <v/>
      </c>
      <c r="P3856" s="415" t="inlineStr">
        <is>
          <t>Ленинградская обл., а/д Скандинавия, 84 км, справа</t>
        </is>
      </c>
      <c r="Q3856" s="422" t="inlineStr">
        <is>
          <t xml:space="preserve">60.36702 </t>
        </is>
      </c>
      <c r="R3856" s="494" t="inlineStr">
        <is>
          <t>29.49792</t>
        </is>
      </c>
      <c r="W3856" s="387">
        <f>IF(AND(N3856=1,O3856&lt;&gt;""),C3856,"")</f>
        <v/>
      </c>
    </row>
    <row r="3857" hidden="1">
      <c r="A3857" s="125" t="n">
        <v>4536</v>
      </c>
      <c r="B3857" s="125" t="n"/>
      <c r="C3857" s="130" t="inlineStr">
        <is>
          <t>Москва</t>
        </is>
      </c>
      <c r="D3857" s="130" t="inlineStr">
        <is>
          <t>Москва</t>
        </is>
      </c>
      <c r="E3857" s="130" t="n"/>
      <c r="F3857" s="130" t="inlineStr">
        <is>
          <t>АЗС</t>
        </is>
      </c>
      <c r="G3857" s="125" t="inlineStr">
        <is>
          <t>Газпромнефть</t>
        </is>
      </c>
      <c r="H3857" s="131" t="n"/>
      <c r="I3857" s="637" t="inlineStr">
        <is>
          <t>12006.1</t>
        </is>
      </c>
      <c r="J3857" s="637" t="inlineStr">
        <is>
          <t>GPN_12006.1</t>
        </is>
      </c>
      <c r="K3857" s="791" t="n">
        <v>3</v>
      </c>
      <c r="L3857" s="640" t="n">
        <v>1</v>
      </c>
      <c r="M3857" s="265" t="n">
        <v>5</v>
      </c>
      <c r="N3857" s="640" t="n"/>
      <c r="O3857" s="640">
        <f>IF(AND(N3857=1,L3857=1),K3857,"")</f>
        <v/>
      </c>
      <c r="P3857" s="415" t="inlineStr">
        <is>
          <t>Московская обл., г. Пушкино, Ярославское шоссе (40-й км), д.1</t>
        </is>
      </c>
      <c r="Q3857" s="422" t="inlineStr">
        <is>
          <t xml:space="preserve">56.05827 </t>
        </is>
      </c>
      <c r="R3857" s="494" t="inlineStr">
        <is>
          <t>37.8984</t>
        </is>
      </c>
      <c r="W3857" s="387">
        <f>IF(AND(N3857=1,O3857&lt;&gt;""),C3857,"")</f>
        <v/>
      </c>
    </row>
    <row r="3858" hidden="1">
      <c r="A3858" s="125" t="n">
        <v>4537</v>
      </c>
      <c r="B3858" s="125" t="n"/>
      <c r="C3858" s="130" t="inlineStr">
        <is>
          <t>Москва</t>
        </is>
      </c>
      <c r="D3858" s="130" t="inlineStr">
        <is>
          <t>Москва</t>
        </is>
      </c>
      <c r="E3858" s="130" t="n"/>
      <c r="F3858" s="130" t="inlineStr">
        <is>
          <t>АЗС</t>
        </is>
      </c>
      <c r="G3858" s="125" t="inlineStr">
        <is>
          <t>Газпромнефть</t>
        </is>
      </c>
      <c r="H3858" s="131" t="n"/>
      <c r="I3858" s="637" t="n">
        <v>12404</v>
      </c>
      <c r="J3858" s="637" t="inlineStr">
        <is>
          <t>GPN_12404</t>
        </is>
      </c>
      <c r="K3858" s="791" t="n">
        <v>3</v>
      </c>
      <c r="L3858" s="640" t="n">
        <v>1</v>
      </c>
      <c r="M3858" s="265" t="n">
        <v>5</v>
      </c>
      <c r="N3858" s="640" t="n"/>
      <c r="O3858" s="640">
        <f>IF(AND(N3858=1,L3858=1),K3858,"")</f>
        <v/>
      </c>
      <c r="P3858" s="415" t="inlineStr">
        <is>
          <t>МО, г.Черноголовка, ул.Центральная д.25а</t>
        </is>
      </c>
      <c r="Q3858" s="422" t="inlineStr">
        <is>
          <t xml:space="preserve">56.00875 </t>
        </is>
      </c>
      <c r="R3858" s="494" t="inlineStr">
        <is>
          <t>38.36933</t>
        </is>
      </c>
      <c r="W3858" s="387">
        <f>IF(AND(N3858=1,O3858&lt;&gt;""),C3858,"")</f>
        <v/>
      </c>
    </row>
    <row r="3859" hidden="1">
      <c r="A3859" s="125" t="n">
        <v>4538</v>
      </c>
      <c r="B3859" s="125" t="n"/>
      <c r="C3859" s="130" t="inlineStr">
        <is>
          <t>Тюмень</t>
        </is>
      </c>
      <c r="D3859" s="130" t="inlineStr">
        <is>
          <t>Тюмень</t>
        </is>
      </c>
      <c r="E3859" s="130" t="n"/>
      <c r="F3859" s="130" t="inlineStr">
        <is>
          <t>АЗС</t>
        </is>
      </c>
      <c r="G3859" s="125" t="inlineStr">
        <is>
          <t>Газпромнефть</t>
        </is>
      </c>
      <c r="H3859" s="131" t="n"/>
      <c r="I3859" s="637" t="n">
        <v>21320</v>
      </c>
      <c r="J3859" s="637" t="inlineStr">
        <is>
          <t>GPN_21320</t>
        </is>
      </c>
      <c r="K3859" s="791" t="n">
        <v>3</v>
      </c>
      <c r="L3859" s="640" t="n">
        <v>1</v>
      </c>
      <c r="M3859" s="265" t="n">
        <v>3</v>
      </c>
      <c r="N3859" s="640" t="n"/>
      <c r="O3859" s="640">
        <f>IF(AND(N3859=1,L3859=1),K3859,"")</f>
        <v/>
      </c>
      <c r="P3859" s="415" t="inlineStr">
        <is>
          <t>Тюменская обл., Заводоуковский р-он, 121 км а/д Тюмень-Ишим-Омск (№20)</t>
        </is>
      </c>
      <c r="Q3859" s="422" t="inlineStr">
        <is>
          <t xml:space="preserve">56.49472 </t>
        </is>
      </c>
      <c r="R3859" s="494" t="inlineStr">
        <is>
          <t>66.87685</t>
        </is>
      </c>
      <c r="W3859" s="387">
        <f>IF(AND(N3859=1,O3859&lt;&gt;""),C3859,"")</f>
        <v/>
      </c>
    </row>
    <row r="3860" hidden="1">
      <c r="A3860" s="125" t="n">
        <v>4539</v>
      </c>
      <c r="B3860" s="125" t="n"/>
      <c r="C3860" s="130" t="inlineStr">
        <is>
          <t>Тюмень</t>
        </is>
      </c>
      <c r="D3860" s="130" t="inlineStr">
        <is>
          <t>Тобольск</t>
        </is>
      </c>
      <c r="E3860" s="130" t="n"/>
      <c r="F3860" s="130" t="inlineStr">
        <is>
          <t>АЗС</t>
        </is>
      </c>
      <c r="G3860" s="125" t="inlineStr">
        <is>
          <t>Газпромнефть</t>
        </is>
      </c>
      <c r="H3860" s="131" t="n"/>
      <c r="I3860" s="637" t="n">
        <v>21352</v>
      </c>
      <c r="J3860" s="637" t="inlineStr">
        <is>
          <t>GPN_21352</t>
        </is>
      </c>
      <c r="K3860" s="791" t="n">
        <v>3</v>
      </c>
      <c r="L3860" s="640" t="n">
        <v>1</v>
      </c>
      <c r="M3860" s="265" t="n">
        <v>4</v>
      </c>
      <c r="N3860" s="640" t="n"/>
      <c r="O3860" s="640">
        <f>IF(AND(N3860=1,L3860=1),K3860,"")</f>
        <v/>
      </c>
      <c r="P3860" s="415" t="inlineStr">
        <is>
          <t>Тюменская обл., г. Тобольск,  240,9 км Федерал а/ дороги Тюмень-Ханты-Мансийск</t>
        </is>
      </c>
      <c r="Q3860" s="422" t="inlineStr">
        <is>
          <t>58.19972</t>
        </is>
      </c>
      <c r="R3860" s="494" t="inlineStr">
        <is>
          <t xml:space="preserve"> 68.35342</t>
        </is>
      </c>
      <c r="W3860" s="387">
        <f>IF(AND(N3860=1,O3860&lt;&gt;""),C3860,"")</f>
        <v/>
      </c>
    </row>
    <row r="3861" hidden="1">
      <c r="A3861" s="125" t="n">
        <v>4540</v>
      </c>
      <c r="B3861" s="125" t="n"/>
      <c r="C3861" s="130" t="inlineStr">
        <is>
          <t>Тюмень</t>
        </is>
      </c>
      <c r="D3861" s="130" t="inlineStr">
        <is>
          <t>Нефтеюганск</t>
        </is>
      </c>
      <c r="E3861" s="130" t="n"/>
      <c r="F3861" s="130" t="inlineStr">
        <is>
          <t>АЗС</t>
        </is>
      </c>
      <c r="G3861" s="125" t="inlineStr">
        <is>
          <t>Газпромнефть</t>
        </is>
      </c>
      <c r="H3861" s="131" t="n"/>
      <c r="I3861" s="637" t="n">
        <v>24439</v>
      </c>
      <c r="J3861" s="637" t="inlineStr">
        <is>
          <t>GPN_24439</t>
        </is>
      </c>
      <c r="K3861" s="791" t="n">
        <v>3</v>
      </c>
      <c r="L3861" s="640" t="n">
        <v>1</v>
      </c>
      <c r="M3861" s="265" t="n">
        <v>5</v>
      </c>
      <c r="N3861" s="640" t="n"/>
      <c r="O3861" s="640">
        <f>IF(AND(N3861=1,L3861=1),K3861,"")</f>
        <v/>
      </c>
      <c r="P3861" s="415" t="inlineStr">
        <is>
          <t>Нефтеюганск, Сургутская, 24</t>
        </is>
      </c>
      <c r="Q3861" s="422" t="inlineStr">
        <is>
          <t xml:space="preserve">61.11703 </t>
        </is>
      </c>
      <c r="R3861" s="494" t="inlineStr">
        <is>
          <t>72.60077</t>
        </is>
      </c>
      <c r="W3861" s="387">
        <f>IF(AND(N3861=1,O3861&lt;&gt;""),C3861,"")</f>
        <v/>
      </c>
    </row>
    <row r="3862" hidden="1">
      <c r="A3862" s="125" t="n">
        <v>4541</v>
      </c>
      <c r="B3862" s="125" t="n"/>
      <c r="C3862" s="130" t="inlineStr">
        <is>
          <t>Тюмень</t>
        </is>
      </c>
      <c r="D3862" s="130" t="inlineStr">
        <is>
          <t>Новый уренгой</t>
        </is>
      </c>
      <c r="E3862" s="130" t="n"/>
      <c r="F3862" s="130" t="inlineStr">
        <is>
          <t>АЗС</t>
        </is>
      </c>
      <c r="G3862" s="125" t="inlineStr">
        <is>
          <t>Газпромнефть</t>
        </is>
      </c>
      <c r="H3862" s="131" t="n"/>
      <c r="I3862" s="637" t="n">
        <v>24471</v>
      </c>
      <c r="J3862" s="637" t="inlineStr">
        <is>
          <t>GPN_24471</t>
        </is>
      </c>
      <c r="K3862" s="791" t="n">
        <v>3</v>
      </c>
      <c r="L3862" s="640" t="n">
        <v>1</v>
      </c>
      <c r="M3862" s="265" t="n">
        <v>3</v>
      </c>
      <c r="N3862" s="640" t="n"/>
      <c r="O3862" s="640">
        <f>IF(AND(N3862=1,L3862=1),K3862,"")</f>
        <v/>
      </c>
      <c r="P3862" s="415" t="inlineStr">
        <is>
          <t>Пурпе, Железнодорожная, 1</t>
        </is>
      </c>
      <c r="Q3862" s="422" t="inlineStr">
        <is>
          <t xml:space="preserve">64.49007 </t>
        </is>
      </c>
      <c r="R3862" s="494" t="inlineStr">
        <is>
          <t>76.73314</t>
        </is>
      </c>
      <c r="W3862" s="387">
        <f>IF(AND(N3862=1,O3862&lt;&gt;""),C3862,"")</f>
        <v/>
      </c>
    </row>
    <row r="3863" hidden="1">
      <c r="A3863" s="125" t="n">
        <v>4542</v>
      </c>
      <c r="B3863" s="125" t="n"/>
      <c r="C3863" s="130" t="inlineStr">
        <is>
          <t>Тюмень</t>
        </is>
      </c>
      <c r="D3863" s="130" t="inlineStr">
        <is>
          <t>Новый уренгой</t>
        </is>
      </c>
      <c r="E3863" s="130" t="n"/>
      <c r="F3863" s="130" t="inlineStr">
        <is>
          <t>АЗС</t>
        </is>
      </c>
      <c r="G3863" s="125" t="inlineStr">
        <is>
          <t>Газпромнефть</t>
        </is>
      </c>
      <c r="H3863" s="131" t="n"/>
      <c r="I3863" s="637" t="n">
        <v>24473</v>
      </c>
      <c r="J3863" s="637" t="inlineStr">
        <is>
          <t>GPN_24473</t>
        </is>
      </c>
      <c r="K3863" s="791" t="n">
        <v>3</v>
      </c>
      <c r="L3863" s="640" t="n">
        <v>1</v>
      </c>
      <c r="M3863" s="265" t="n">
        <v>6</v>
      </c>
      <c r="N3863" s="640" t="n"/>
      <c r="O3863" s="640">
        <f>IF(AND(N3863=1,L3863=1),K3863,"")</f>
        <v/>
      </c>
      <c r="P3863" s="415" t="inlineStr">
        <is>
          <t>ЯНАО, Коротчаево, ул. Шоссейная, 3</t>
        </is>
      </c>
      <c r="Q3863" s="422" t="inlineStr">
        <is>
          <t xml:space="preserve">65.91146 </t>
        </is>
      </c>
      <c r="R3863" s="494" t="inlineStr">
        <is>
          <t>78.18688</t>
        </is>
      </c>
      <c r="W3863" s="387">
        <f>IF(AND(N3863=1,O3863&lt;&gt;""),C3863,"")</f>
        <v/>
      </c>
    </row>
    <row r="3864" hidden="1">
      <c r="A3864" s="125" t="n">
        <v>4543</v>
      </c>
      <c r="B3864" s="125" t="n"/>
      <c r="C3864" s="130" t="inlineStr">
        <is>
          <t>Омск</t>
        </is>
      </c>
      <c r="D3864" s="130" t="inlineStr">
        <is>
          <t>Омск</t>
        </is>
      </c>
      <c r="E3864" s="130" t="n"/>
      <c r="F3864" s="130" t="inlineStr">
        <is>
          <t>АЗС</t>
        </is>
      </c>
      <c r="G3864" s="125" t="inlineStr">
        <is>
          <t>Газпромнефть</t>
        </is>
      </c>
      <c r="H3864" s="131" t="n"/>
      <c r="I3864" s="637" t="n">
        <v>31001</v>
      </c>
      <c r="J3864" s="637" t="inlineStr">
        <is>
          <t>GPN_31001</t>
        </is>
      </c>
      <c r="K3864" s="791" t="n">
        <v>3</v>
      </c>
      <c r="L3864" s="640" t="n">
        <v>1</v>
      </c>
      <c r="M3864" s="265" t="n">
        <v>5</v>
      </c>
      <c r="N3864" s="640" t="n"/>
      <c r="O3864" s="640">
        <f>IF(AND(N3864=1,L3864=1),K3864,"")</f>
        <v/>
      </c>
      <c r="P3864" s="415" t="inlineStr">
        <is>
          <t>г. Омск, ул. Маршала Жукова, д. 154, корп. 1</t>
        </is>
      </c>
      <c r="Q3864" s="422" t="inlineStr">
        <is>
          <t xml:space="preserve">54.96439 </t>
        </is>
      </c>
      <c r="R3864" s="494" t="inlineStr">
        <is>
          <t>73.39282</t>
        </is>
      </c>
      <c r="W3864" s="387">
        <f>IF(AND(N3864=1,O3864&lt;&gt;""),C3864,"")</f>
        <v/>
      </c>
    </row>
    <row r="3865" hidden="1">
      <c r="A3865" s="125" t="n">
        <v>4544</v>
      </c>
      <c r="B3865" s="125" t="n"/>
      <c r="C3865" s="130" t="inlineStr">
        <is>
          <t>Тверь</t>
        </is>
      </c>
      <c r="D3865" s="130" t="inlineStr">
        <is>
          <t>Тверская область</t>
        </is>
      </c>
      <c r="E3865" s="130" t="n"/>
      <c r="F3865" s="130" t="inlineStr">
        <is>
          <t>АЗС</t>
        </is>
      </c>
      <c r="G3865" s="130" t="inlineStr">
        <is>
          <t>Роснефть</t>
        </is>
      </c>
      <c r="H3865" s="131" t="n"/>
      <c r="I3865" s="637" t="n">
        <v>19</v>
      </c>
      <c r="J3865" s="637" t="inlineStr">
        <is>
          <t>TVE_RN_0019</t>
        </is>
      </c>
      <c r="K3865" s="640" t="n">
        <v>1</v>
      </c>
      <c r="L3865" s="640" t="n">
        <v>1</v>
      </c>
      <c r="M3865" s="623" t="inlineStr">
        <is>
          <t>Samsung 32" вертикальный</t>
        </is>
      </c>
      <c r="N3865" s="640" t="n"/>
      <c r="O3865" s="640">
        <f>IF(AND(N3865=1,L3865=1),K3865,"")</f>
        <v/>
      </c>
      <c r="P3865" s="415" t="inlineStr">
        <is>
          <t>Тверская область, трасса М10, Деревня Зызино 247 км Мск- СПб</t>
        </is>
      </c>
      <c r="Q3865" s="422" t="inlineStr">
        <is>
          <t>57.199254</t>
        </is>
      </c>
      <c r="R3865" s="494" t="inlineStr">
        <is>
          <t>34.939967</t>
        </is>
      </c>
    </row>
    <row r="3866" hidden="1">
      <c r="A3866" s="125" t="n">
        <v>4545</v>
      </c>
      <c r="B3866" s="125" t="n"/>
      <c r="C3866" s="130" t="inlineStr">
        <is>
          <t>Сахалинская область</t>
        </is>
      </c>
      <c r="D3866" s="130" t="inlineStr">
        <is>
          <t>Ю-Сахалинск</t>
        </is>
      </c>
      <c r="E3866" s="130" t="n"/>
      <c r="F3866" s="130" t="inlineStr">
        <is>
          <t>АЗС</t>
        </is>
      </c>
      <c r="G3866" s="130" t="inlineStr">
        <is>
          <t>Роснефть</t>
        </is>
      </c>
      <c r="H3866" s="131" t="n">
        <v>551</v>
      </c>
      <c r="I3866" s="637" t="n">
        <v>551</v>
      </c>
      <c r="J3866" s="637" t="inlineStr">
        <is>
          <t>VLV_RN_551</t>
        </is>
      </c>
      <c r="K3866" s="640" t="n">
        <v>1</v>
      </c>
      <c r="L3866" s="640" t="n">
        <v>0</v>
      </c>
      <c r="M3866" s="265" t="inlineStr">
        <is>
          <t>Samsung 32" вертикальный</t>
        </is>
      </c>
      <c r="N3866" s="640" t="n"/>
      <c r="O3866" s="640">
        <f>IF(AND(N3866=1,L3866=1),K3866,"")</f>
        <v/>
      </c>
      <c r="P3866" s="642" t="inlineStr">
        <is>
          <t>693022, Сахалинская область, г. Южно-Сахалинск, п/р Луговое, ул. Дружбы, 121</t>
        </is>
      </c>
      <c r="Q3866" s="640" t="inlineStr">
        <is>
          <t>47.023425</t>
        </is>
      </c>
      <c r="R3866" s="494" t="inlineStr">
        <is>
          <t>142.713094</t>
        </is>
      </c>
    </row>
    <row r="3867" hidden="1">
      <c r="A3867" s="125" t="n">
        <v>4546</v>
      </c>
      <c r="B3867" s="791" t="n"/>
      <c r="C3867" s="125" t="inlineStr">
        <is>
          <t>Москва</t>
        </is>
      </c>
      <c r="D3867" s="130" t="inlineStr">
        <is>
          <t>Москва</t>
        </is>
      </c>
      <c r="E3867" s="791" t="n"/>
      <c r="F3867" s="125" t="inlineStr">
        <is>
          <t>Супермаркет</t>
        </is>
      </c>
      <c r="G3867" s="125" t="inlineStr">
        <is>
          <t>Азбука Вкуса</t>
        </is>
      </c>
      <c r="H3867" s="791" t="n"/>
      <c r="I3867" s="637" t="n">
        <v>171</v>
      </c>
      <c r="J3867" s="637" t="inlineStr">
        <is>
          <t>MSK_A_171</t>
        </is>
      </c>
      <c r="K3867" s="640" t="n">
        <v>3</v>
      </c>
      <c r="L3867" s="640" t="n">
        <v>1</v>
      </c>
      <c r="M3867" s="265" t="inlineStr">
        <is>
          <t>Samsung 43" вертикальный</t>
        </is>
      </c>
      <c r="N3867" s="640" t="n"/>
      <c r="O3867" s="640">
        <f>IF(AND(N3867=1,L3867=1),K3867,"")</f>
        <v/>
      </c>
      <c r="P3867" s="415" t="inlineStr">
        <is>
          <t>Москва, Старые сосенки д.4</t>
        </is>
      </c>
      <c r="Q3867" s="494" t="inlineStr">
        <is>
          <t>55.565564</t>
        </is>
      </c>
      <c r="R3867" s="494" t="inlineStr">
        <is>
          <t>37.443979</t>
        </is>
      </c>
      <c r="S3867" s="387" t="n">
        <v>24</v>
      </c>
      <c r="T3867" s="436">
        <f>IF(N3867=1,O3867*S3867,"")</f>
        <v/>
      </c>
    </row>
    <row r="3868" hidden="1">
      <c r="A3868" s="125" t="n">
        <v>4547</v>
      </c>
      <c r="B3868" s="791" t="n"/>
      <c r="C3868" s="125" t="inlineStr">
        <is>
          <t>Москва</t>
        </is>
      </c>
      <c r="D3868" s="130" t="inlineStr">
        <is>
          <t>Москва</t>
        </is>
      </c>
      <c r="E3868" s="791" t="n"/>
      <c r="F3868" s="125" t="inlineStr">
        <is>
          <t>Супермаркет</t>
        </is>
      </c>
      <c r="G3868" s="125" t="inlineStr">
        <is>
          <t>Энотека АВ</t>
        </is>
      </c>
      <c r="H3868" s="791" t="n"/>
      <c r="I3868" s="637" t="n">
        <v>171</v>
      </c>
      <c r="J3868" s="637" t="inlineStr">
        <is>
          <t>MSK_E_171</t>
        </is>
      </c>
      <c r="K3868" s="640" t="n">
        <v>1</v>
      </c>
      <c r="L3868" s="640" t="n">
        <v>1</v>
      </c>
      <c r="M3868" s="265" t="inlineStr">
        <is>
          <t>Samsung 43" вертикальный</t>
        </is>
      </c>
      <c r="N3868" s="640" t="n"/>
      <c r="O3868" s="640">
        <f>IF(AND(N3868=1,L3868=1),K3868,"")</f>
        <v/>
      </c>
      <c r="P3868" s="415" t="inlineStr">
        <is>
          <t>Москва, Старые сосенки д.4</t>
        </is>
      </c>
      <c r="Q3868" s="494" t="inlineStr">
        <is>
          <t>55.565564</t>
        </is>
      </c>
      <c r="R3868" s="494" t="inlineStr">
        <is>
          <t>37.443979</t>
        </is>
      </c>
      <c r="S3868" s="387" t="n">
        <v>24</v>
      </c>
      <c r="T3868" s="529">
        <f>S3868*O3868</f>
        <v/>
      </c>
      <c r="U3868" s="436" t="n">
        <v>1</v>
      </c>
    </row>
    <row r="3869" hidden="1">
      <c r="A3869" s="125" t="n">
        <v>4548</v>
      </c>
      <c r="B3869" s="791" t="n"/>
      <c r="C3869" s="130" t="inlineStr">
        <is>
          <t>Краснодар</t>
        </is>
      </c>
      <c r="D3869" s="130" t="inlineStr">
        <is>
          <t>Краснодарский край</t>
        </is>
      </c>
      <c r="E3869" s="791" t="n"/>
      <c r="F3869" s="130" t="inlineStr">
        <is>
          <t>АЗС</t>
        </is>
      </c>
      <c r="G3869" s="130" t="inlineStr">
        <is>
          <t>Роснефть</t>
        </is>
      </c>
      <c r="H3869" s="791" t="n"/>
      <c r="I3869" s="637" t="inlineStr">
        <is>
          <t>RN_120/1</t>
        </is>
      </c>
      <c r="J3869" s="637" t="inlineStr">
        <is>
          <t>KDR_RN_0120_1</t>
        </is>
      </c>
      <c r="K3869" s="640" t="n">
        <v>1</v>
      </c>
      <c r="L3869" s="640" t="n">
        <v>0</v>
      </c>
      <c r="M3869" s="265" t="inlineStr">
        <is>
          <t>Samsung 32" вертикальный</t>
        </is>
      </c>
      <c r="N3869" s="640" t="n"/>
      <c r="O3869" s="640">
        <f>IF(AND(N3869=1,L3869=1),K3869,"")</f>
        <v/>
      </c>
      <c r="P3869" s="642" t="inlineStr">
        <is>
          <t>Анапский р-н, х.Рассвет, ул.Солнечная, 59/1</t>
        </is>
      </c>
      <c r="Q3869" s="494" t="inlineStr">
        <is>
          <t>44.895091</t>
        </is>
      </c>
      <c r="R3869" s="494" t="inlineStr">
        <is>
          <t>37.471486</t>
        </is>
      </c>
    </row>
    <row r="3870" hidden="1">
      <c r="A3870" s="125" t="n">
        <v>4549</v>
      </c>
      <c r="B3870" s="791" t="n"/>
      <c r="C3870" s="130" t="inlineStr">
        <is>
          <t>Ставрополь</t>
        </is>
      </c>
      <c r="D3870" s="130" t="inlineStr">
        <is>
          <t>Ставрополь</t>
        </is>
      </c>
      <c r="E3870" s="130" t="n"/>
      <c r="F3870" s="130" t="inlineStr">
        <is>
          <t>АЗС</t>
        </is>
      </c>
      <c r="G3870" s="130" t="inlineStr">
        <is>
          <t>Роснефть</t>
        </is>
      </c>
      <c r="H3870" s="131" t="n"/>
      <c r="I3870" s="637" t="n">
        <v>14</v>
      </c>
      <c r="J3870" s="637" t="inlineStr">
        <is>
          <t>STW_RN_014</t>
        </is>
      </c>
      <c r="K3870" s="640" t="n">
        <v>1</v>
      </c>
      <c r="L3870" s="640" t="n">
        <v>1</v>
      </c>
      <c r="M3870" s="265" t="inlineStr">
        <is>
          <t>Samsung 32" вертикальный</t>
        </is>
      </c>
      <c r="N3870" s="640" t="n"/>
      <c r="O3870" s="640">
        <f>IF(AND(N3870=1,L3870=1),K3870,"")</f>
        <v/>
      </c>
      <c r="P3870" s="642" t="inlineStr">
        <is>
          <t>Ставрополь, ул.Северный обход, 613 квартал, 1</t>
        </is>
      </c>
      <c r="Q3870" s="494" t="inlineStr">
        <is>
          <t>45.108831</t>
        </is>
      </c>
      <c r="R3870" s="494" t="inlineStr">
        <is>
          <t>41.955249</t>
        </is>
      </c>
    </row>
    <row r="3871" hidden="1">
      <c r="A3871" s="125" t="n">
        <v>4550</v>
      </c>
      <c r="B3871" s="791" t="n"/>
      <c r="C3871" s="130" t="inlineStr">
        <is>
          <t>Ставрополь</t>
        </is>
      </c>
      <c r="D3871" s="130" t="inlineStr">
        <is>
          <t>Ставропольский край</t>
        </is>
      </c>
      <c r="E3871" s="130" t="n"/>
      <c r="F3871" s="130" t="inlineStr">
        <is>
          <t>АЗС</t>
        </is>
      </c>
      <c r="G3871" s="130" t="inlineStr">
        <is>
          <t>Роснефть</t>
        </is>
      </c>
      <c r="H3871" s="131" t="n"/>
      <c r="I3871" s="637" t="n">
        <v>9</v>
      </c>
      <c r="J3871" s="637" t="inlineStr">
        <is>
          <t>STW_RN_009</t>
        </is>
      </c>
      <c r="K3871" s="640" t="n">
        <v>1</v>
      </c>
      <c r="L3871" s="640" t="n">
        <v>1</v>
      </c>
      <c r="M3871" s="265" t="inlineStr">
        <is>
          <t>Samsung 32" вертикальный</t>
        </is>
      </c>
      <c r="N3871" s="640" t="n"/>
      <c r="O3871" s="640">
        <f>IF(AND(N3871=1,L3871=1),K3871,"")</f>
        <v/>
      </c>
      <c r="P3871" s="642" t="inlineStr">
        <is>
          <t>Шпаковский р-н, с. Надежда, ул. Мира, 139</t>
        </is>
      </c>
      <c r="Q3871" s="494" t="inlineStr">
        <is>
          <t>45.061894</t>
        </is>
      </c>
      <c r="R3871" s="494" t="inlineStr">
        <is>
          <t>42.123323</t>
        </is>
      </c>
    </row>
    <row r="3872" hidden="1">
      <c r="A3872" s="125" t="n">
        <v>4551</v>
      </c>
      <c r="B3872" s="791" t="n"/>
      <c r="C3872" s="416" t="inlineStr">
        <is>
          <t>Алтайский край</t>
        </is>
      </c>
      <c r="D3872" s="130" t="inlineStr">
        <is>
          <t>Кемерово</t>
        </is>
      </c>
      <c r="E3872" s="130" t="n"/>
      <c r="F3872" s="130" t="inlineStr">
        <is>
          <t>АЗС</t>
        </is>
      </c>
      <c r="G3872" s="125" t="inlineStr">
        <is>
          <t>Газпромнефть</t>
        </is>
      </c>
      <c r="H3872" s="131" t="n"/>
      <c r="I3872" s="637" t="n">
        <v>33091</v>
      </c>
      <c r="J3872" s="637" t="inlineStr">
        <is>
          <t>GPN_33091</t>
        </is>
      </c>
      <c r="K3872" s="640" t="n">
        <v>2</v>
      </c>
      <c r="L3872" s="640" t="n">
        <v>1</v>
      </c>
      <c r="M3872" s="265" t="n">
        <v>2</v>
      </c>
      <c r="N3872" s="640" t="n"/>
      <c r="O3872" s="640">
        <f>IF(AND(N3872=1,L3872=1),K3872,"")</f>
        <v/>
      </c>
      <c r="P3872" s="415" t="inlineStr">
        <is>
          <t>Новокузнецк, ул. Вокзальная, 69</t>
        </is>
      </c>
      <c r="Q3872" s="494" t="inlineStr">
        <is>
          <t xml:space="preserve">53.7423 </t>
        </is>
      </c>
      <c r="R3872" s="494" t="inlineStr">
        <is>
          <t>87.11949</t>
        </is>
      </c>
    </row>
    <row r="3873" hidden="1">
      <c r="A3873" s="125" t="n">
        <v>4552</v>
      </c>
      <c r="B3873" s="791" t="n"/>
      <c r="C3873" s="130" t="inlineStr">
        <is>
          <t>Москва</t>
        </is>
      </c>
      <c r="D3873" s="130" t="inlineStr">
        <is>
          <t>Московская область</t>
        </is>
      </c>
      <c r="E3873" s="130" t="n"/>
      <c r="F3873" s="130" t="inlineStr">
        <is>
          <t>АЗС</t>
        </is>
      </c>
      <c r="G3873" s="125" t="inlineStr">
        <is>
          <t>Газпромнефть</t>
        </is>
      </c>
      <c r="H3873" s="131" t="n"/>
      <c r="I3873" s="637" t="n">
        <v>12052</v>
      </c>
      <c r="J3873" s="637" t="inlineStr">
        <is>
          <t>GPN_12052</t>
        </is>
      </c>
      <c r="K3873" s="640" t="n">
        <v>3</v>
      </c>
      <c r="L3873" s="640" t="n">
        <v>1</v>
      </c>
      <c r="M3873" s="265" t="n">
        <v>4</v>
      </c>
      <c r="N3873" s="640" t="n"/>
      <c r="O3873" s="640">
        <f>IF(AND(N3873=1,L3873=1),K3873,"")</f>
        <v/>
      </c>
      <c r="P3873" s="415" t="inlineStr">
        <is>
          <t>Московская обл., Клинский р-н, д.Головково, 108 км а/д "Россия" слева</t>
        </is>
      </c>
      <c r="Q3873" s="494" t="inlineStr">
        <is>
          <t xml:space="preserve">56.35374 </t>
        </is>
      </c>
      <c r="R3873" s="494" t="inlineStr">
        <is>
          <t>36.74772</t>
        </is>
      </c>
    </row>
    <row r="3874" hidden="1">
      <c r="A3874" s="125" t="n">
        <v>4553</v>
      </c>
      <c r="B3874" s="791" t="n"/>
      <c r="C3874" s="130" t="inlineStr">
        <is>
          <t>Санкт-Петербург</t>
        </is>
      </c>
      <c r="D3874" s="130" t="inlineStr">
        <is>
          <t>Санкт-Петербург</t>
        </is>
      </c>
      <c r="E3874" s="130" t="n"/>
      <c r="F3874" s="130" t="inlineStr">
        <is>
          <t>АЗС</t>
        </is>
      </c>
      <c r="G3874" s="125" t="inlineStr">
        <is>
          <t>Газпромнефть</t>
        </is>
      </c>
      <c r="H3874" s="131" t="n"/>
      <c r="I3874" s="637" t="n">
        <v>10134</v>
      </c>
      <c r="J3874" s="637" t="inlineStr">
        <is>
          <t>GPN_10134</t>
        </is>
      </c>
      <c r="K3874" s="640" t="n">
        <v>3</v>
      </c>
      <c r="L3874" s="640" t="n">
        <v>1</v>
      </c>
      <c r="M3874" s="265" t="n">
        <v>5</v>
      </c>
      <c r="N3874" s="640" t="n"/>
      <c r="O3874" s="640">
        <f>IF(AND(N3874=1,L3874=1),K3874,"")</f>
        <v/>
      </c>
      <c r="P3874" s="415" t="inlineStr">
        <is>
          <t xml:space="preserve">г. Санкт-Петербург, Лахтинский проспект 2, корп 2 </t>
        </is>
      </c>
      <c r="Q3874" s="494" t="inlineStr">
        <is>
          <t xml:space="preserve">59.98877 </t>
        </is>
      </c>
      <c r="R3874" s="494" t="inlineStr">
        <is>
          <t>30.17568</t>
        </is>
      </c>
    </row>
    <row r="3875" hidden="1">
      <c r="A3875" s="125" t="n">
        <v>4554</v>
      </c>
      <c r="B3875" s="791" t="n"/>
      <c r="C3875" s="130" t="inlineStr">
        <is>
          <t>Санкт-Петербург</t>
        </is>
      </c>
      <c r="D3875" s="130" t="inlineStr">
        <is>
          <t>Санкт-Петербург</t>
        </is>
      </c>
      <c r="E3875" s="130" t="inlineStr">
        <is>
          <t>B+</t>
        </is>
      </c>
      <c r="F3875" s="130" t="inlineStr">
        <is>
          <t>Бизнес центр</t>
        </is>
      </c>
      <c r="G3875" s="130" t="inlineStr">
        <is>
          <t>Бизнес центр</t>
        </is>
      </c>
      <c r="H3875" s="131" t="n">
        <v>6542</v>
      </c>
      <c r="I3875" s="637" t="inlineStr">
        <is>
          <t>18_H2О</t>
        </is>
      </c>
      <c r="J3875" s="637" t="inlineStr">
        <is>
          <t>SPB_BC_18_H2O</t>
        </is>
      </c>
      <c r="K3875" s="640" t="n">
        <v>3</v>
      </c>
      <c r="L3875" s="640" t="n">
        <v>1</v>
      </c>
      <c r="M3875" s="265" t="inlineStr">
        <is>
          <t xml:space="preserve">LED/18'/верт </t>
        </is>
      </c>
      <c r="N3875" s="640" t="n"/>
      <c r="O3875" s="640">
        <f>IF(AND(N3875=1,L3875=1),K3875,"")</f>
        <v/>
      </c>
      <c r="P3875" s="642" t="inlineStr">
        <is>
          <t>Санкт-Петербург, ул. Химиков, д. 28 АС</t>
        </is>
      </c>
      <c r="Q3875" s="494" t="inlineStr">
        <is>
          <t>59.9727182</t>
        </is>
      </c>
      <c r="R3875" s="494" t="inlineStr">
        <is>
          <t>30.4809527</t>
        </is>
      </c>
      <c r="S3875" s="387">
        <f>'Цены|Скидки'!$E$25</f>
        <v/>
      </c>
      <c r="T3875" s="387">
        <f>IF(N3875=1,S3875*O3875,0)</f>
        <v/>
      </c>
      <c r="Z3875" s="1" t="n"/>
    </row>
    <row r="3876" hidden="1">
      <c r="A3876" s="125" t="n">
        <v>4555</v>
      </c>
      <c r="B3876" s="125" t="n"/>
      <c r="C3876" s="130" t="inlineStr">
        <is>
          <t>Смоленск</t>
        </is>
      </c>
      <c r="D3876" s="130" t="inlineStr">
        <is>
          <t>Смоленская область</t>
        </is>
      </c>
      <c r="E3876" s="130" t="n"/>
      <c r="F3876" s="130" t="inlineStr">
        <is>
          <t>АЗС</t>
        </is>
      </c>
      <c r="G3876" s="130" t="inlineStr">
        <is>
          <t>Роснефть</t>
        </is>
      </c>
      <c r="H3876" s="131" t="n">
        <v>45</v>
      </c>
      <c r="I3876" s="637" t="n">
        <v>45</v>
      </c>
      <c r="J3876" s="637" t="inlineStr">
        <is>
          <t>SMO_RN_0045</t>
        </is>
      </c>
      <c r="K3876" s="640" t="n">
        <v>2</v>
      </c>
      <c r="L3876" s="640" t="n">
        <v>1</v>
      </c>
      <c r="M3876" s="623" t="inlineStr">
        <is>
          <t>Samsung 32" вертикальный</t>
        </is>
      </c>
      <c r="N3876" s="640" t="n"/>
      <c r="O3876" s="640">
        <f>IF(AND(N3876=1,L3876=1),K3876,"")</f>
        <v/>
      </c>
      <c r="P3876" s="642" t="inlineStr">
        <is>
          <t>Смоленская область, г. Ярцево, ул. Кузнецова, д.58</t>
        </is>
      </c>
      <c r="Q3876" s="494" t="inlineStr">
        <is>
          <t>55.076432</t>
        </is>
      </c>
      <c r="R3876" s="494" t="inlineStr">
        <is>
          <t>32.667536</t>
        </is>
      </c>
    </row>
    <row r="3877" hidden="1">
      <c r="A3877" s="125" t="n">
        <v>4556</v>
      </c>
      <c r="B3877" s="125" t="n"/>
      <c r="C3877" s="130" t="inlineStr">
        <is>
          <t>Смоленск</t>
        </is>
      </c>
      <c r="D3877" s="130" t="inlineStr">
        <is>
          <t>Смоленская область</t>
        </is>
      </c>
      <c r="E3877" s="130" t="n"/>
      <c r="F3877" s="130" t="inlineStr">
        <is>
          <t>АЗС</t>
        </is>
      </c>
      <c r="G3877" s="130" t="inlineStr">
        <is>
          <t>Роснефть</t>
        </is>
      </c>
      <c r="H3877" s="131" t="n">
        <v>60</v>
      </c>
      <c r="I3877" s="637" t="n">
        <v>60</v>
      </c>
      <c r="J3877" s="637" t="inlineStr">
        <is>
          <t>SMO_RN_0060</t>
        </is>
      </c>
      <c r="K3877" s="640" t="n">
        <v>2</v>
      </c>
      <c r="L3877" s="640" t="n">
        <v>1</v>
      </c>
      <c r="M3877" s="623" t="inlineStr">
        <is>
          <t>Samsung 32" вертикальный</t>
        </is>
      </c>
      <c r="N3877" s="640" t="n"/>
      <c r="O3877" s="640">
        <f>IF(AND(N3877=1,L3877=1),K3877,"")</f>
        <v/>
      </c>
      <c r="P3877" s="642" t="inlineStr">
        <is>
          <t>Смоленская область, Вяземский р-н, с.п. Новосельское, 225км а/д Москва - Минск</t>
        </is>
      </c>
      <c r="Q3877" s="494" t="inlineStr">
        <is>
          <t>55.247925</t>
        </is>
      </c>
      <c r="R3877" s="494" t="inlineStr">
        <is>
          <t>34.333499</t>
        </is>
      </c>
    </row>
    <row r="3878" hidden="1">
      <c r="A3878" s="125" t="n">
        <v>4557</v>
      </c>
      <c r="B3878" s="125" t="n"/>
      <c r="C3878" s="130" t="inlineStr">
        <is>
          <t>Смоленск</t>
        </is>
      </c>
      <c r="D3878" s="130" t="inlineStr">
        <is>
          <t>Смоленская область</t>
        </is>
      </c>
      <c r="E3878" s="130" t="n"/>
      <c r="F3878" s="130" t="inlineStr">
        <is>
          <t>АЗС</t>
        </is>
      </c>
      <c r="G3878" s="130" t="inlineStr">
        <is>
          <t>Роснефть</t>
        </is>
      </c>
      <c r="H3878" s="131" t="n">
        <v>19</v>
      </c>
      <c r="I3878" s="637" t="n">
        <v>19</v>
      </c>
      <c r="J3878" s="637" t="inlineStr">
        <is>
          <t>SMO_RN_0019</t>
        </is>
      </c>
      <c r="K3878" s="640" t="n">
        <v>2</v>
      </c>
      <c r="L3878" s="640" t="n">
        <v>1</v>
      </c>
      <c r="M3878" s="623" t="inlineStr">
        <is>
          <t>Samsung 32" вертикальный</t>
        </is>
      </c>
      <c r="N3878" s="640" t="n"/>
      <c r="O3878" s="640">
        <f>IF(AND(N3878=1,L3878=1),K3878,"")</f>
        <v/>
      </c>
      <c r="P3878" s="642" t="inlineStr">
        <is>
          <t>Смоленская область, г. Ярцево, ул. Кузнецова, д.60</t>
        </is>
      </c>
      <c r="Q3878" s="494" t="inlineStr">
        <is>
          <t>55.077039</t>
        </is>
      </c>
      <c r="R3878" s="494" t="inlineStr">
        <is>
          <t>32.666097</t>
        </is>
      </c>
    </row>
    <row r="3879" hidden="1">
      <c r="A3879" s="125" t="n">
        <v>4558</v>
      </c>
      <c r="B3879" s="791" t="n"/>
      <c r="C3879" s="130" t="inlineStr">
        <is>
          <t>Калуга</t>
        </is>
      </c>
      <c r="D3879" s="130" t="inlineStr">
        <is>
          <t>Калужская область</t>
        </is>
      </c>
      <c r="F3879" s="130" t="inlineStr">
        <is>
          <t>АЗС</t>
        </is>
      </c>
      <c r="G3879" s="130" t="inlineStr">
        <is>
          <t>Роснефть</t>
        </is>
      </c>
      <c r="I3879" s="637" t="inlineStr">
        <is>
          <t>TNK_22</t>
        </is>
      </c>
      <c r="J3879" s="637" t="inlineStr">
        <is>
          <t>KLG_TNK_022</t>
        </is>
      </c>
      <c r="K3879" s="640" t="n">
        <v>2</v>
      </c>
      <c r="L3879" s="640" t="n">
        <v>1</v>
      </c>
      <c r="M3879" s="265" t="inlineStr">
        <is>
          <t>Samsung 32" вертикальный</t>
        </is>
      </c>
      <c r="N3879" s="640" t="n"/>
      <c r="O3879" s="640">
        <f>IF(AND(N3879=1,L3879=1),K3879,"")</f>
        <v/>
      </c>
      <c r="P3879" s="642" t="inlineStr">
        <is>
          <t>Калужская область г.Калуга с.Сосновый бор д.11</t>
        </is>
      </c>
      <c r="Q3879" s="494" t="inlineStr">
        <is>
          <t>54.569841</t>
        </is>
      </c>
      <c r="R3879" s="494" t="inlineStr">
        <is>
          <t>36.055968</t>
        </is>
      </c>
    </row>
    <row r="3880" hidden="1">
      <c r="A3880" s="125" t="n">
        <v>4559</v>
      </c>
      <c r="B3880" s="791" t="n"/>
      <c r="C3880" s="125" t="inlineStr">
        <is>
          <t>Москва</t>
        </is>
      </c>
      <c r="D3880" s="125" t="inlineStr">
        <is>
          <t>Московская область</t>
        </is>
      </c>
      <c r="E3880" s="791" t="n"/>
      <c r="F3880" s="125" t="inlineStr">
        <is>
          <t>АЗС</t>
        </is>
      </c>
      <c r="G3880" s="87" t="inlineStr">
        <is>
          <t>Нефтьмагистраль</t>
        </is>
      </c>
      <c r="H3880" s="264" t="n">
        <v>1000</v>
      </c>
      <c r="I3880" s="637" t="inlineStr">
        <is>
          <t>O58</t>
        </is>
      </c>
      <c r="J3880" s="637" t="inlineStr">
        <is>
          <t>MSK_NM_O_0058</t>
        </is>
      </c>
      <c r="K3880" s="640" t="n">
        <v>2</v>
      </c>
      <c r="L3880" s="640" t="n">
        <v>1</v>
      </c>
      <c r="M3880" s="265" t="inlineStr">
        <is>
          <t>Samsung 32" вертикальный</t>
        </is>
      </c>
      <c r="N3880" s="640" t="n"/>
      <c r="O3880" s="640">
        <f>IF(AND(N3880=1,L3880=1),K3880,"")</f>
        <v/>
      </c>
      <c r="P3880" s="419" t="inlineStr">
        <is>
          <t>городское поселение Ашукино, городской округ Пушкинский, Московская область</t>
        </is>
      </c>
      <c r="Q3880" s="494" t="inlineStr">
        <is>
          <t>56.155854</t>
        </is>
      </c>
      <c r="R3880" s="494" t="inlineStr">
        <is>
          <t>38.011713</t>
        </is>
      </c>
    </row>
    <row r="3881" hidden="1">
      <c r="A3881" s="125" t="n">
        <v>4560</v>
      </c>
      <c r="B3881" s="791" t="n"/>
      <c r="C3881" s="130" t="inlineStr">
        <is>
          <t>Самара</t>
        </is>
      </c>
      <c r="D3881" s="130" t="inlineStr">
        <is>
          <t>Самара</t>
        </is>
      </c>
      <c r="E3881" s="130" t="n"/>
      <c r="F3881" s="130" t="inlineStr">
        <is>
          <t>АЗС</t>
        </is>
      </c>
      <c r="G3881" s="130" t="inlineStr">
        <is>
          <t>Роснефть</t>
        </is>
      </c>
      <c r="H3881" s="131" t="n"/>
      <c r="I3881" s="637" t="inlineStr">
        <is>
          <t>RN_19</t>
        </is>
      </c>
      <c r="J3881" s="637" t="inlineStr">
        <is>
          <t>SMR_RN_0019</t>
        </is>
      </c>
      <c r="K3881" s="640" t="n">
        <v>2</v>
      </c>
      <c r="L3881" s="640" t="n">
        <v>1</v>
      </c>
      <c r="M3881" s="265" t="inlineStr">
        <is>
          <t>Samsung 32" вертикальный</t>
        </is>
      </c>
      <c r="N3881" s="640" t="n"/>
      <c r="O3881" s="640">
        <f>IF(AND(N3881=1,L3881=1),K3881,"")</f>
        <v/>
      </c>
      <c r="P3881" s="642" t="inlineStr">
        <is>
          <t>г.Самара, ул. Демократическая,69</t>
        </is>
      </c>
      <c r="Q3881" s="494" t="inlineStr">
        <is>
          <t>53.288657</t>
        </is>
      </c>
      <c r="R3881" s="494" t="inlineStr">
        <is>
          <t>50.225552</t>
        </is>
      </c>
    </row>
    <row r="3882" hidden="1">
      <c r="A3882" s="125" t="n">
        <v>4561</v>
      </c>
      <c r="B3882" s="791" t="n"/>
      <c r="C3882" s="130" t="inlineStr">
        <is>
          <t>Липецк</t>
        </is>
      </c>
      <c r="D3882" s="130" t="inlineStr">
        <is>
          <t>Липецкая область</t>
        </is>
      </c>
      <c r="E3882" s="130" t="n"/>
      <c r="F3882" s="130" t="inlineStr">
        <is>
          <t>АЗС</t>
        </is>
      </c>
      <c r="G3882" s="130" t="inlineStr">
        <is>
          <t>Роснефть</t>
        </is>
      </c>
      <c r="H3882" s="131" t="n"/>
      <c r="I3882" s="637" t="inlineStr">
        <is>
          <t>RN_203</t>
        </is>
      </c>
      <c r="J3882" s="637" t="inlineStr">
        <is>
          <t>LIP_RN_0203</t>
        </is>
      </c>
      <c r="K3882" s="640" t="n">
        <v>2</v>
      </c>
      <c r="L3882" s="640" t="n">
        <v>0</v>
      </c>
      <c r="M3882" s="265" t="inlineStr">
        <is>
          <t>Samsung 32" вертикальный</t>
        </is>
      </c>
      <c r="N3882" s="640" t="n"/>
      <c r="O3882" s="640">
        <f>IF(AND(N3882=1,L3882=1),K3882,"")</f>
        <v/>
      </c>
      <c r="P3882" s="642" t="inlineStr">
        <is>
          <t>Липецкая область, Липецкий район, с.Сырское, шоссе Воронежское, д.2</t>
        </is>
      </c>
      <c r="Q3882" s="494" t="inlineStr">
        <is>
          <t>52.569826</t>
        </is>
      </c>
      <c r="R3882" s="494" t="inlineStr">
        <is>
          <t>39.512108</t>
        </is>
      </c>
    </row>
    <row r="3883" hidden="1">
      <c r="A3883" s="125" t="n">
        <v>4562</v>
      </c>
      <c r="B3883" s="791" t="n"/>
      <c r="C3883" s="130" t="inlineStr">
        <is>
          <t>Липецк</t>
        </is>
      </c>
      <c r="D3883" s="130" t="inlineStr">
        <is>
          <t>Липецкая область</t>
        </is>
      </c>
      <c r="E3883" s="130" t="n"/>
      <c r="F3883" s="130" t="inlineStr">
        <is>
          <t>АЗС</t>
        </is>
      </c>
      <c r="G3883" s="130" t="inlineStr">
        <is>
          <t>Роснефть</t>
        </is>
      </c>
      <c r="H3883" s="131" t="n"/>
      <c r="I3883" s="637" t="inlineStr">
        <is>
          <t>RN_222</t>
        </is>
      </c>
      <c r="J3883" s="637" t="inlineStr">
        <is>
          <t>LIP_RN_0222</t>
        </is>
      </c>
      <c r="K3883" s="640" t="n">
        <v>2</v>
      </c>
      <c r="L3883" s="640" t="n">
        <v>0</v>
      </c>
      <c r="M3883" s="265" t="inlineStr">
        <is>
          <t>Samsung 32" вертикальный</t>
        </is>
      </c>
      <c r="N3883" s="640" t="n"/>
      <c r="O3883" s="640">
        <f>IF(AND(N3883=1,L3883=1),K3883,"")</f>
        <v/>
      </c>
      <c r="P3883" s="642" t="inlineStr">
        <is>
          <t>г. Липецк, ул. Московская, д.81А</t>
        </is>
      </c>
      <c r="Q3883" s="494" t="inlineStr">
        <is>
          <t>52.606904</t>
        </is>
      </c>
      <c r="R3883" s="494" t="inlineStr">
        <is>
          <t>39.526218</t>
        </is>
      </c>
    </row>
    <row r="3884" hidden="1">
      <c r="A3884" s="125" t="n">
        <v>4563</v>
      </c>
      <c r="B3884" s="791" t="n"/>
      <c r="C3884" s="130" t="inlineStr">
        <is>
          <t>Санкт-Петербург</t>
        </is>
      </c>
      <c r="D3884" s="130" t="inlineStr">
        <is>
          <t>Санкт-Петербург</t>
        </is>
      </c>
      <c r="E3884" s="130" t="inlineStr">
        <is>
          <t>A</t>
        </is>
      </c>
      <c r="F3884" s="130" t="inlineStr">
        <is>
          <t>Бизнес центр</t>
        </is>
      </c>
      <c r="G3884" s="130" t="inlineStr">
        <is>
          <t>Бизнес центр</t>
        </is>
      </c>
      <c r="H3884" s="131" t="n">
        <v>9984</v>
      </c>
      <c r="I3884" s="637" t="inlineStr">
        <is>
          <t>СЕНАТОР Миллионная 5</t>
        </is>
      </c>
      <c r="J3884" s="637" t="inlineStr">
        <is>
          <t>SPB_BC_SENATOR_Millionnaya5</t>
        </is>
      </c>
      <c r="K3884" s="640" t="n">
        <v>2</v>
      </c>
      <c r="L3884" s="640" t="n">
        <v>1</v>
      </c>
      <c r="M3884" s="265" t="inlineStr">
        <is>
          <t>LED/32'/верт</t>
        </is>
      </c>
      <c r="N3884" s="640" t="n"/>
      <c r="O3884" s="640">
        <f>IF(AND(N3884=1,L3884=1),K3884,"")</f>
        <v/>
      </c>
      <c r="P3884" s="642" t="inlineStr">
        <is>
          <t>Санкт-Петербург, ул. Миллионная д. 5</t>
        </is>
      </c>
      <c r="Q3884" s="494" t="inlineStr">
        <is>
          <t>59.945382</t>
        </is>
      </c>
      <c r="R3884" s="494" t="inlineStr">
        <is>
          <t>30.328822</t>
        </is>
      </c>
      <c r="S3884" s="387">
        <f>'Цены|Скидки'!$E$25</f>
        <v/>
      </c>
      <c r="T3884" s="387">
        <f>IF(N3884=1,S3884*O3884,0)</f>
        <v/>
      </c>
      <c r="Z3884" s="1" t="n"/>
    </row>
    <row r="3885" hidden="1">
      <c r="A3885" s="125" t="n">
        <v>4564</v>
      </c>
      <c r="B3885" s="791" t="n"/>
      <c r="C3885" s="130" t="inlineStr">
        <is>
          <t>Санкт-Петербург</t>
        </is>
      </c>
      <c r="D3885" s="130" t="inlineStr">
        <is>
          <t>Санкт-Петербург</t>
        </is>
      </c>
      <c r="E3885" s="130" t="inlineStr">
        <is>
          <t>A</t>
        </is>
      </c>
      <c r="F3885" s="130" t="inlineStr">
        <is>
          <t>Бизнес центр</t>
        </is>
      </c>
      <c r="G3885" s="130" t="inlineStr">
        <is>
          <t>Бизнес центр</t>
        </is>
      </c>
      <c r="H3885" s="131" t="n">
        <v>12240</v>
      </c>
      <c r="I3885" s="637" t="inlineStr">
        <is>
          <t>СЕНАТОР Миллионная 6</t>
        </is>
      </c>
      <c r="J3885" s="637" t="inlineStr">
        <is>
          <t>SPB_BC_SENATOR_Millionnaya6</t>
        </is>
      </c>
      <c r="K3885" s="640" t="n">
        <v>3</v>
      </c>
      <c r="L3885" s="640" t="n">
        <v>1</v>
      </c>
      <c r="M3885" s="265" t="inlineStr">
        <is>
          <t>LED/32'/верт</t>
        </is>
      </c>
      <c r="N3885" s="640" t="n"/>
      <c r="O3885" s="640">
        <f>IF(AND(N3885=1,L3885=1),K3885,"")</f>
        <v/>
      </c>
      <c r="P3885" s="642" t="inlineStr">
        <is>
          <t>Санкт-Петербург, ул. Миллионная д. 6</t>
        </is>
      </c>
      <c r="Q3885" s="494" t="inlineStr">
        <is>
          <t>59.943629</t>
        </is>
      </c>
      <c r="R3885" s="494" t="inlineStr">
        <is>
          <t>30.324618</t>
        </is>
      </c>
      <c r="S3885" s="387">
        <f>'Цены|Скидки'!$E$25</f>
        <v/>
      </c>
      <c r="T3885" s="387">
        <f>IF(N3885=1,S3885*O3885,0)</f>
        <v/>
      </c>
      <c r="Z3885" s="1" t="n"/>
    </row>
    <row r="3886" hidden="1">
      <c r="A3886" s="125" t="n">
        <v>4565</v>
      </c>
      <c r="B3886" s="791" t="n"/>
      <c r="C3886" s="130" t="inlineStr">
        <is>
          <t>Ростов-на-Дону</t>
        </is>
      </c>
      <c r="D3886" s="130" t="inlineStr">
        <is>
          <t>Ростовская область</t>
        </is>
      </c>
      <c r="E3886" s="130" t="n"/>
      <c r="F3886" s="130" t="inlineStr">
        <is>
          <t>АЗС</t>
        </is>
      </c>
      <c r="G3886" s="130" t="inlineStr">
        <is>
          <t>Роснефть</t>
        </is>
      </c>
      <c r="H3886" s="131" t="n"/>
      <c r="I3886" s="637" t="n">
        <v>5</v>
      </c>
      <c r="J3886" s="637" t="inlineStr">
        <is>
          <t>RND_RN_0005</t>
        </is>
      </c>
      <c r="K3886" s="640" t="n">
        <v>1</v>
      </c>
      <c r="L3886" s="640" t="n">
        <v>1</v>
      </c>
      <c r="M3886" s="623" t="inlineStr">
        <is>
          <t>Samsung 32" вертикальный</t>
        </is>
      </c>
      <c r="N3886" s="640" t="n"/>
      <c r="O3886" s="640">
        <f>IF(AND(N3886=1,L3886=1),K3886,"")</f>
        <v/>
      </c>
      <c r="P3886" s="642" t="inlineStr">
        <is>
          <t>г. Ростов-наДону, Кировский р-н, ул. Красноармейская, 105а</t>
        </is>
      </c>
      <c r="Q3886" s="494" t="inlineStr">
        <is>
          <t>47.231410</t>
        </is>
      </c>
      <c r="R3886" s="494" t="inlineStr">
        <is>
          <t>39.726844</t>
        </is>
      </c>
    </row>
    <row r="3887" hidden="1">
      <c r="A3887" s="125" t="n">
        <v>4566</v>
      </c>
      <c r="B3887" s="791" t="n"/>
      <c r="C3887" s="130" t="inlineStr">
        <is>
          <t>Тамбов</t>
        </is>
      </c>
      <c r="D3887" s="130" t="inlineStr">
        <is>
          <t>Тамбов</t>
        </is>
      </c>
      <c r="E3887" s="130" t="n"/>
      <c r="F3887" s="130" t="inlineStr">
        <is>
          <t>АЗС</t>
        </is>
      </c>
      <c r="G3887" s="130" t="inlineStr">
        <is>
          <t>Роснефть</t>
        </is>
      </c>
      <c r="H3887" s="131" t="n"/>
      <c r="I3887" s="637" t="inlineStr">
        <is>
          <t>RN_19</t>
        </is>
      </c>
      <c r="J3887" s="637" t="inlineStr">
        <is>
          <t>TMB_RN_0019</t>
        </is>
      </c>
      <c r="K3887" s="640" t="n">
        <v>1</v>
      </c>
      <c r="L3887" s="640" t="n">
        <v>1</v>
      </c>
      <c r="M3887" s="623" t="inlineStr">
        <is>
          <t>Samsung 32" вертикальный</t>
        </is>
      </c>
      <c r="N3887" s="640" t="n"/>
      <c r="O3887" s="640">
        <f>IF(AND(N3887=1,L3887=1),K3887,"")</f>
        <v/>
      </c>
      <c r="P3887" s="642" t="inlineStr">
        <is>
          <t>Тамбовская обл., Мичуринский р-н, г. Мичуринск, ул.Украинская, д. 19</t>
        </is>
      </c>
      <c r="Q3887" s="494" t="inlineStr">
        <is>
          <t>52.895401</t>
        </is>
      </c>
      <c r="R3887" s="494" t="inlineStr">
        <is>
          <t>40.509851</t>
        </is>
      </c>
    </row>
    <row r="3888" hidden="1" ht="51" customHeight="1">
      <c r="A3888" s="125" t="n">
        <v>4567</v>
      </c>
      <c r="B3888" s="791" t="n"/>
      <c r="C3888" s="416" t="inlineStr">
        <is>
          <t>ЦФО (Калуга, Тула, Тверь, Рязань,Смоленск,Владимир,Воронеж, Ярославль)</t>
        </is>
      </c>
      <c r="D3888" s="130" t="inlineStr">
        <is>
          <t>Липецкая область</t>
        </is>
      </c>
      <c r="E3888" s="130" t="n"/>
      <c r="F3888" s="130" t="inlineStr">
        <is>
          <t>АЗС</t>
        </is>
      </c>
      <c r="G3888" s="130" t="inlineStr">
        <is>
          <t>Газпромнефть</t>
        </is>
      </c>
      <c r="H3888" s="131" t="n"/>
      <c r="I3888" s="637" t="n">
        <v>12035</v>
      </c>
      <c r="J3888" s="637" t="inlineStr">
        <is>
          <t>GPN_12035</t>
        </is>
      </c>
      <c r="K3888" s="640" t="n">
        <v>3</v>
      </c>
      <c r="L3888" s="640" t="n">
        <v>1</v>
      </c>
      <c r="M3888" s="265" t="n">
        <v>6</v>
      </c>
      <c r="N3888" s="640" t="n"/>
      <c r="O3888" s="640">
        <f>IF(AND(N3888=1,L3888=1),K3888,"")</f>
        <v/>
      </c>
      <c r="P3888" s="642" t="inlineStr">
        <is>
          <t>Липецкая область, Задонский р-н, 430 км</t>
        </is>
      </c>
      <c r="Q3888" s="494" t="inlineStr">
        <is>
          <t>52.343656</t>
        </is>
      </c>
      <c r="R3888" s="494" t="inlineStr">
        <is>
          <t>38.955616</t>
        </is>
      </c>
    </row>
    <row r="3889" hidden="1" ht="51" customHeight="1">
      <c r="A3889" s="125" t="n">
        <v>4568</v>
      </c>
      <c r="B3889" s="791" t="n"/>
      <c r="C3889" s="416" t="inlineStr">
        <is>
          <t>ЦФО (Калуга, Тула, Тверь, Рязань,Смоленск,Владимир,Воронеж, Ярославль)</t>
        </is>
      </c>
      <c r="D3889" s="130" t="inlineStr">
        <is>
          <t>Тверская область</t>
        </is>
      </c>
      <c r="E3889" s="130" t="n"/>
      <c r="F3889" s="130" t="inlineStr">
        <is>
          <t>АЗС</t>
        </is>
      </c>
      <c r="G3889" s="130" t="inlineStr">
        <is>
          <t>Газпромнефть</t>
        </is>
      </c>
      <c r="H3889" s="131" t="n"/>
      <c r="I3889" s="637" t="n">
        <v>12068</v>
      </c>
      <c r="J3889" s="637" t="inlineStr">
        <is>
          <t>GPN_12068</t>
        </is>
      </c>
      <c r="K3889" s="640" t="n">
        <v>3</v>
      </c>
      <c r="L3889" s="640" t="n">
        <v>1</v>
      </c>
      <c r="M3889" s="265" t="n">
        <v>5</v>
      </c>
      <c r="N3889" s="640" t="n"/>
      <c r="O3889" s="640">
        <f>IF(AND(N3889=1,L3889=1),K3889,"")</f>
        <v/>
      </c>
      <c r="P3889" s="642" t="inlineStr">
        <is>
          <t>Тверская область, Калининский р-н. Никулинское с\п д.Кривцово</t>
        </is>
      </c>
      <c r="Q3889" s="494" t="inlineStr">
        <is>
          <t>56.806157</t>
        </is>
      </c>
      <c r="R3889" s="494" t="inlineStr">
        <is>
          <t>35.870517</t>
        </is>
      </c>
    </row>
    <row r="3890" hidden="1">
      <c r="A3890" s="125" t="n">
        <v>4569</v>
      </c>
      <c r="B3890" s="791" t="n"/>
      <c r="C3890" s="130" t="inlineStr">
        <is>
          <t>Санкт-Петербург</t>
        </is>
      </c>
      <c r="D3890" s="130" t="inlineStr">
        <is>
          <t>Санкт-Петербург</t>
        </is>
      </c>
      <c r="E3890" s="130" t="n"/>
      <c r="F3890" s="130" t="inlineStr">
        <is>
          <t>АЗС</t>
        </is>
      </c>
      <c r="G3890" s="125" t="inlineStr">
        <is>
          <t>Газпромнефть</t>
        </is>
      </c>
      <c r="H3890" s="131" t="n"/>
      <c r="I3890" s="637" t="n">
        <v>10150</v>
      </c>
      <c r="J3890" s="637" t="inlineStr">
        <is>
          <t>GPN_10150</t>
        </is>
      </c>
      <c r="K3890" s="640" t="n">
        <v>3</v>
      </c>
      <c r="L3890" s="640" t="n">
        <v>1</v>
      </c>
      <c r="M3890" s="265" t="n">
        <v>3</v>
      </c>
      <c r="N3890" s="640" t="n"/>
      <c r="O3890" s="640">
        <f>IF(AND(N3890=1,L3890=1),K3890,"")</f>
        <v/>
      </c>
      <c r="P3890" s="415" t="inlineStr">
        <is>
          <t>г. Санкт-Петербург, Зотовский пр., д. 9, лит.А</t>
        </is>
      </c>
      <c r="Q3890" s="494" t="inlineStr">
        <is>
          <t>59.98321</t>
        </is>
      </c>
      <c r="R3890" s="494" t="inlineStr">
        <is>
          <t>30.45653</t>
        </is>
      </c>
    </row>
    <row r="3891" hidden="1" ht="51" customHeight="1">
      <c r="A3891" s="125" t="n">
        <v>4570</v>
      </c>
      <c r="B3891" s="791" t="n"/>
      <c r="C3891" s="416" t="inlineStr">
        <is>
          <t>ЦФО (Калуга, Тула, Тверь, Рязань,Смоленск,Владимир,Воронеж, Ярославль)</t>
        </is>
      </c>
      <c r="D3891" s="130" t="inlineStr">
        <is>
          <t>Воронежская область</t>
        </is>
      </c>
      <c r="E3891" s="791" t="n"/>
      <c r="F3891" s="125" t="inlineStr">
        <is>
          <t>АЗС</t>
        </is>
      </c>
      <c r="G3891" s="125" t="inlineStr">
        <is>
          <t>Газпромнефть</t>
        </is>
      </c>
      <c r="H3891" s="791" t="n"/>
      <c r="I3891" s="637" t="n">
        <v>12033</v>
      </c>
      <c r="J3891" s="637" t="inlineStr">
        <is>
          <t>GPN_12033</t>
        </is>
      </c>
      <c r="K3891" s="640" t="n">
        <v>3</v>
      </c>
      <c r="L3891" s="640" t="n">
        <v>1</v>
      </c>
      <c r="M3891" s="265" t="n">
        <v>6</v>
      </c>
      <c r="N3891" s="640" t="n"/>
      <c r="O3891" s="640">
        <f>IF(AND(N3891=1,L3891=1),K3891,"")</f>
        <v/>
      </c>
      <c r="P3891" s="642" t="inlineStr">
        <is>
          <t>Воронежская область, Каширский р-н, 575 км автодороги М4  (Ильича)</t>
        </is>
      </c>
      <c r="Q3891" s="494" t="inlineStr">
        <is>
          <t>51.222315</t>
        </is>
      </c>
      <c r="R3891" s="494" t="inlineStr">
        <is>
          <t>39.675453</t>
        </is>
      </c>
    </row>
    <row r="3892" hidden="1">
      <c r="A3892" s="125" t="n">
        <v>4571</v>
      </c>
      <c r="B3892" s="791" t="n"/>
      <c r="C3892" s="125" t="inlineStr">
        <is>
          <t>Москва</t>
        </is>
      </c>
      <c r="D3892" s="130" t="inlineStr">
        <is>
          <t>Московская область</t>
        </is>
      </c>
      <c r="E3892" s="791" t="n"/>
      <c r="F3892" s="125" t="inlineStr">
        <is>
          <t>АЗС</t>
        </is>
      </c>
      <c r="G3892" s="125" t="inlineStr">
        <is>
          <t>Газпромнефть</t>
        </is>
      </c>
      <c r="H3892" s="791" t="n"/>
      <c r="I3892" s="637" t="n">
        <v>12369</v>
      </c>
      <c r="J3892" s="637" t="inlineStr">
        <is>
          <t>GPN_12369</t>
        </is>
      </c>
      <c r="K3892" s="640" t="n">
        <v>3</v>
      </c>
      <c r="L3892" s="640" t="n">
        <v>1</v>
      </c>
      <c r="M3892" s="265" t="n">
        <v>5</v>
      </c>
      <c r="N3892" s="640" t="n"/>
      <c r="O3892" s="640">
        <f>IF(AND(N3892=1,L3892=1),K3892,"")</f>
        <v/>
      </c>
      <c r="P3892" s="642" t="inlineStr">
        <is>
          <t>МО, Рузский муниципальный район, с.п. Волковское, вблизи Федчино</t>
        </is>
      </c>
      <c r="Q3892" s="494" t="inlineStr">
        <is>
          <t>55.841528</t>
        </is>
      </c>
      <c r="R3892" s="494" t="inlineStr">
        <is>
          <t>36.334610</t>
        </is>
      </c>
    </row>
    <row r="3893" hidden="1">
      <c r="A3893" s="125" t="n">
        <v>4572</v>
      </c>
      <c r="B3893" s="791" t="n"/>
      <c r="C3893" s="125" t="inlineStr">
        <is>
          <t>Москва</t>
        </is>
      </c>
      <c r="D3893" s="130" t="inlineStr">
        <is>
          <t>Московская область</t>
        </is>
      </c>
      <c r="E3893" s="791" t="n"/>
      <c r="F3893" s="125" t="inlineStr">
        <is>
          <t>АЗС</t>
        </is>
      </c>
      <c r="G3893" s="125" t="inlineStr">
        <is>
          <t>Газпромнефть</t>
        </is>
      </c>
      <c r="H3893" s="791" t="n"/>
      <c r="I3893" s="637" t="n">
        <v>12373</v>
      </c>
      <c r="J3893" s="637" t="inlineStr">
        <is>
          <t>GPN_12373</t>
        </is>
      </c>
      <c r="K3893" s="640" t="n">
        <v>3</v>
      </c>
      <c r="L3893" s="640" t="n">
        <v>1</v>
      </c>
      <c r="M3893" s="265" t="n">
        <v>6</v>
      </c>
      <c r="N3893" s="640" t="n"/>
      <c r="O3893" s="640">
        <f>IF(AND(N3893=1,L3893=1),K3893,"")</f>
        <v/>
      </c>
      <c r="P3893" s="642" t="inlineStr">
        <is>
          <t>Московская область, М-11, 63 км слева</t>
        </is>
      </c>
      <c r="Q3893" s="494" t="inlineStr">
        <is>
          <t>56.14093</t>
        </is>
      </c>
      <c r="R3893" s="494" t="inlineStr">
        <is>
          <t>36.96503</t>
        </is>
      </c>
    </row>
    <row r="3894" hidden="1">
      <c r="A3894" s="125" t="n">
        <v>4573</v>
      </c>
      <c r="B3894" s="791" t="n"/>
      <c r="C3894" s="125" t="inlineStr">
        <is>
          <t>Москва</t>
        </is>
      </c>
      <c r="D3894" s="130" t="inlineStr">
        <is>
          <t>Московская область</t>
        </is>
      </c>
      <c r="E3894" s="791" t="n"/>
      <c r="F3894" s="125" t="inlineStr">
        <is>
          <t>АЗС</t>
        </is>
      </c>
      <c r="G3894" s="125" t="inlineStr">
        <is>
          <t>Газпромнефть</t>
        </is>
      </c>
      <c r="H3894" s="791" t="n"/>
      <c r="I3894" s="637" t="n">
        <v>12548</v>
      </c>
      <c r="J3894" s="637" t="inlineStr">
        <is>
          <t>GPN_12548</t>
        </is>
      </c>
      <c r="K3894" s="640" t="n">
        <v>3</v>
      </c>
      <c r="L3894" s="640" t="n">
        <v>1</v>
      </c>
      <c r="M3894" s="265" t="n">
        <v>5</v>
      </c>
      <c r="N3894" s="640" t="n"/>
      <c r="O3894" s="640">
        <f>IF(AND(N3894=1,L3894=1),K3894,"")</f>
        <v/>
      </c>
      <c r="P3894" s="642" t="inlineStr">
        <is>
          <t>Московская область, район Ногинский, р.п  Воровского, ул. Воровского, 11.</t>
        </is>
      </c>
      <c r="Q3894" s="494" t="inlineStr">
        <is>
          <t>55.721978</t>
        </is>
      </c>
      <c r="R3894" s="494" t="inlineStr">
        <is>
          <t>38.339200</t>
        </is>
      </c>
    </row>
    <row r="3895" hidden="1">
      <c r="A3895" s="125" t="n">
        <v>4574</v>
      </c>
      <c r="B3895" s="791" t="n"/>
      <c r="C3895" s="125" t="inlineStr">
        <is>
          <t>Москва</t>
        </is>
      </c>
      <c r="D3895" s="130" t="inlineStr">
        <is>
          <t>Московская область</t>
        </is>
      </c>
      <c r="E3895" s="791" t="n"/>
      <c r="F3895" s="125" t="inlineStr">
        <is>
          <t>АЗС</t>
        </is>
      </c>
      <c r="G3895" s="125" t="inlineStr">
        <is>
          <t>Газпромнефть</t>
        </is>
      </c>
      <c r="H3895" s="791" t="n"/>
      <c r="I3895" s="637" t="n">
        <v>12549</v>
      </c>
      <c r="J3895" s="637" t="inlineStr">
        <is>
          <t>GPN_12549</t>
        </is>
      </c>
      <c r="K3895" s="640" t="n">
        <v>3</v>
      </c>
      <c r="L3895" s="640" t="n">
        <v>1</v>
      </c>
      <c r="M3895" s="265" t="n">
        <v>5</v>
      </c>
      <c r="N3895" s="640" t="n"/>
      <c r="O3895" s="640">
        <f>IF(AND(N3895=1,L3895=1),K3895,"")</f>
        <v/>
      </c>
      <c r="P3895" s="642" t="inlineStr">
        <is>
          <t>Московская область, Рузский район, п. Колюбакино, ул. Майора Алексеева, д. 17</t>
        </is>
      </c>
      <c r="Q3895" s="494" t="inlineStr">
        <is>
          <t>55.673635</t>
        </is>
      </c>
      <c r="R3895" s="494" t="inlineStr">
        <is>
          <t>36.541958</t>
        </is>
      </c>
    </row>
    <row r="3896" hidden="1" ht="51" customHeight="1">
      <c r="A3896" s="125" t="n">
        <v>4575</v>
      </c>
      <c r="B3896" s="791" t="n"/>
      <c r="C3896" s="416" t="inlineStr">
        <is>
          <t>ЦФО (Калуга, Тула, Тверь, Рязань,Смоленск,Владимир,Воронеж, Ярославль)</t>
        </is>
      </c>
      <c r="D3896" s="130" t="inlineStr">
        <is>
          <t>Владимирская область</t>
        </is>
      </c>
      <c r="E3896" s="791" t="n"/>
      <c r="F3896" s="125" t="inlineStr">
        <is>
          <t>АЗС</t>
        </is>
      </c>
      <c r="G3896" s="125" t="inlineStr">
        <is>
          <t>Газпромнефть</t>
        </is>
      </c>
      <c r="H3896" s="791" t="n"/>
      <c r="I3896" s="637" t="n">
        <v>13577</v>
      </c>
      <c r="J3896" s="637" t="inlineStr">
        <is>
          <t>GPN_13577</t>
        </is>
      </c>
      <c r="K3896" s="640" t="n">
        <v>3</v>
      </c>
      <c r="L3896" s="640" t="n">
        <v>1</v>
      </c>
      <c r="M3896" s="265" t="n">
        <v>5</v>
      </c>
      <c r="N3896" s="640" t="n"/>
      <c r="O3896" s="640">
        <f>IF(AND(N3896=1,L3896=1),K3896,"")</f>
        <v/>
      </c>
      <c r="P3896" s="642" t="inlineStr">
        <is>
          <t>Владимирская область, г.Кольчугино (городское поселение), ул.Колхозная</t>
        </is>
      </c>
      <c r="Q3896" s="494" t="inlineStr">
        <is>
          <t>56.291813</t>
        </is>
      </c>
      <c r="R3896" s="494" t="inlineStr">
        <is>
          <t>39.333449</t>
        </is>
      </c>
    </row>
    <row r="3897" hidden="1" ht="20.4" customHeight="1">
      <c r="A3897" s="125" t="n">
        <v>4576</v>
      </c>
      <c r="B3897" s="791" t="n"/>
      <c r="C3897" s="130" t="inlineStr">
        <is>
          <t>Тюмень</t>
        </is>
      </c>
      <c r="D3897" s="130" t="inlineStr">
        <is>
          <t>ЯНАО</t>
        </is>
      </c>
      <c r="E3897" s="791" t="n"/>
      <c r="F3897" s="125" t="inlineStr">
        <is>
          <t>АЗС</t>
        </is>
      </c>
      <c r="G3897" s="125" t="inlineStr">
        <is>
          <t>Газпромнефть</t>
        </is>
      </c>
      <c r="H3897" s="791" t="n"/>
      <c r="I3897" s="637" t="n">
        <v>24474</v>
      </c>
      <c r="J3897" s="637" t="inlineStr">
        <is>
          <t>GPN_24474</t>
        </is>
      </c>
      <c r="K3897" s="640" t="n">
        <v>3</v>
      </c>
      <c r="L3897" s="640" t="n">
        <v>1</v>
      </c>
      <c r="M3897" s="265" t="n">
        <v>5</v>
      </c>
      <c r="N3897" s="640" t="n"/>
      <c r="O3897" s="640">
        <f>IF(AND(N3897=1,L3897=1),K3897,"")</f>
        <v/>
      </c>
      <c r="P3897" s="642" t="inlineStr">
        <is>
          <t>Ямало-Ненецкий автономный округ,
Пуровский район, г. Тарко-Сале, ул. Промышленная</t>
        </is>
      </c>
      <c r="Q3897" s="494" t="inlineStr">
        <is>
          <t>64.90713</t>
        </is>
      </c>
      <c r="R3897" s="494" t="inlineStr">
        <is>
          <t>77.7486</t>
        </is>
      </c>
    </row>
    <row r="3898" hidden="1" ht="51" customHeight="1">
      <c r="A3898" s="125" t="n">
        <v>4577</v>
      </c>
      <c r="B3898" s="791" t="n"/>
      <c r="C3898" s="416" t="inlineStr">
        <is>
          <t>ЦФО (Калуга, Тула, Тверь, Рязань,Смоленск,Владимир,Воронеж, Ярославль)</t>
        </is>
      </c>
      <c r="D3898" s="130" t="inlineStr">
        <is>
          <t>Воронежская область</t>
        </is>
      </c>
      <c r="E3898" s="791" t="n"/>
      <c r="F3898" s="125" t="inlineStr">
        <is>
          <t>АЗС</t>
        </is>
      </c>
      <c r="G3898" s="125" t="inlineStr">
        <is>
          <t>Газпромнефть</t>
        </is>
      </c>
      <c r="H3898" s="791" t="n"/>
      <c r="I3898" s="637" t="n">
        <v>36032</v>
      </c>
      <c r="J3898" s="637" t="inlineStr">
        <is>
          <t>GPN_36032</t>
        </is>
      </c>
      <c r="K3898" s="640" t="n">
        <v>3</v>
      </c>
      <c r="L3898" s="640" t="n">
        <v>1</v>
      </c>
      <c r="M3898" s="265" t="n">
        <v>6</v>
      </c>
      <c r="N3898" s="640" t="n"/>
      <c r="O3898" s="640">
        <f>IF(AND(N3898=1,L3898=1),K3898,"")</f>
        <v/>
      </c>
      <c r="P3898" s="642" t="inlineStr">
        <is>
          <t>Воронежская область,Богучарский р-н, х. Батовка, ул. Садовая, 17</t>
        </is>
      </c>
      <c r="Q3898" s="494" t="inlineStr">
        <is>
          <t>49.60241</t>
        </is>
      </c>
      <c r="R3898" s="494" t="inlineStr">
        <is>
          <t>40.54965</t>
        </is>
      </c>
    </row>
    <row r="3899" hidden="1" ht="51" customHeight="1">
      <c r="A3899" s="125" t="n">
        <v>4578</v>
      </c>
      <c r="B3899" s="791" t="n"/>
      <c r="C3899" s="416" t="inlineStr">
        <is>
          <t>ЦФО (Калуга, Тула, Тверь, Рязань,Смоленск,Владимир,Воронеж, Ярославль)</t>
        </is>
      </c>
      <c r="D3899" s="130" t="inlineStr">
        <is>
          <t>Владимирская область</t>
        </is>
      </c>
      <c r="E3899" s="791" t="n"/>
      <c r="F3899" s="125" t="inlineStr">
        <is>
          <t>АЗС</t>
        </is>
      </c>
      <c r="G3899" s="125" t="inlineStr">
        <is>
          <t>Газпромнефть</t>
        </is>
      </c>
      <c r="H3899" s="791" t="n"/>
      <c r="I3899" s="637" t="n">
        <v>13127</v>
      </c>
      <c r="J3899" s="637" t="inlineStr">
        <is>
          <t>GPN_13127</t>
        </is>
      </c>
      <c r="K3899" s="640" t="n">
        <v>3</v>
      </c>
      <c r="L3899" s="640" t="n">
        <v>1</v>
      </c>
      <c r="M3899" s="265" t="n">
        <v>6</v>
      </c>
      <c r="N3899" s="640" t="n"/>
      <c r="O3899" s="640">
        <f>IF(AND(N3899=1,L3899=1),K3899,"")</f>
        <v/>
      </c>
      <c r="P3899" s="642" t="inlineStr">
        <is>
          <t>Владимирская область, трасса М-12 220 км, справа</t>
        </is>
      </c>
      <c r="Q3899" s="494" t="inlineStr">
        <is>
          <t>55.63851</t>
        </is>
      </c>
      <c r="R3899" s="494" t="inlineStr">
        <is>
          <t>41.95335</t>
        </is>
      </c>
    </row>
    <row r="3900" hidden="1" ht="51" customHeight="1">
      <c r="A3900" s="125" t="n">
        <v>4579</v>
      </c>
      <c r="B3900" s="791" t="n"/>
      <c r="C3900" s="416" t="inlineStr">
        <is>
          <t>ЦФО (Калуга, Тула, Тверь, Рязань,Смоленск,Владимир,Воронеж, Ярославль)</t>
        </is>
      </c>
      <c r="D3900" s="130" t="inlineStr">
        <is>
          <t>Владимирская область</t>
        </is>
      </c>
      <c r="E3900" s="791" t="n"/>
      <c r="F3900" s="125" t="inlineStr">
        <is>
          <t>АЗС</t>
        </is>
      </c>
      <c r="G3900" s="125" t="inlineStr">
        <is>
          <t>Газпромнефть</t>
        </is>
      </c>
      <c r="H3900" s="791" t="n"/>
      <c r="I3900" s="637" t="n">
        <v>13126</v>
      </c>
      <c r="J3900" s="637" t="inlineStr">
        <is>
          <t>GPN_13126</t>
        </is>
      </c>
      <c r="K3900" s="640" t="n">
        <v>3</v>
      </c>
      <c r="L3900" s="640" t="n">
        <v>1</v>
      </c>
      <c r="M3900" s="265" t="n">
        <v>6</v>
      </c>
      <c r="N3900" s="640" t="n"/>
      <c r="O3900" s="640">
        <f>IF(AND(N3900=1,L3900=1),K3900,"")</f>
        <v/>
      </c>
      <c r="P3900" s="642" t="inlineStr">
        <is>
          <t>Владимирская область, трасса М-12 220 км, слева</t>
        </is>
      </c>
      <c r="Q3900" s="494" t="inlineStr">
        <is>
          <t>55.63897</t>
        </is>
      </c>
      <c r="R3900" s="494" t="inlineStr">
        <is>
          <t>41.95093</t>
        </is>
      </c>
    </row>
    <row r="3901" hidden="1" ht="51" customHeight="1">
      <c r="A3901" s="125" t="n">
        <v>4580</v>
      </c>
      <c r="B3901" s="791" t="n"/>
      <c r="C3901" s="416" t="inlineStr">
        <is>
          <t>ЦФО (Калуга, Тула, Тверь, Рязань,Смоленск,Владимир,Воронеж, Ярославль)</t>
        </is>
      </c>
      <c r="D3901" s="130" t="inlineStr">
        <is>
          <t>Липецкая область</t>
        </is>
      </c>
      <c r="E3901" s="791" t="n"/>
      <c r="F3901" s="125" t="inlineStr">
        <is>
          <t>АЗС</t>
        </is>
      </c>
      <c r="G3901" s="125" t="inlineStr">
        <is>
          <t>Газпромнефть</t>
        </is>
      </c>
      <c r="H3901" s="791" t="n"/>
      <c r="I3901" s="637" t="inlineStr">
        <is>
          <t>12034</t>
        </is>
      </c>
      <c r="J3901" s="637" t="inlineStr">
        <is>
          <t>GPN_12034</t>
        </is>
      </c>
      <c r="K3901" s="640" t="n">
        <v>3</v>
      </c>
      <c r="L3901" s="640" t="n">
        <v>1</v>
      </c>
      <c r="M3901" s="265" t="n">
        <v>6</v>
      </c>
      <c r="N3901" s="640" t="n"/>
      <c r="O3901" s="640">
        <f>IF(AND(N3901=1,L3901=1),K3901,"")</f>
        <v/>
      </c>
      <c r="P3901" s="642" t="inlineStr">
        <is>
          <t xml:space="preserve">Липецкая область, Задонский р-н, 430 км
(лево)автодороги М4  </t>
        </is>
      </c>
      <c r="Q3901" s="494" t="inlineStr">
        <is>
          <t>52.347308</t>
        </is>
      </c>
      <c r="R3901" s="494" t="inlineStr">
        <is>
          <t>38.952542</t>
        </is>
      </c>
    </row>
    <row r="3902" hidden="1">
      <c r="A3902" s="125" t="n">
        <v>4581</v>
      </c>
      <c r="B3902" s="791" t="n"/>
      <c r="C3902" s="125" t="inlineStr">
        <is>
          <t>Екатеринбург</t>
        </is>
      </c>
      <c r="D3902" s="130" t="inlineStr">
        <is>
          <t>Пермский край</t>
        </is>
      </c>
      <c r="E3902" s="791" t="n"/>
      <c r="F3902" s="125" t="inlineStr">
        <is>
          <t>АЗС</t>
        </is>
      </c>
      <c r="G3902" s="125" t="inlineStr">
        <is>
          <t>Газпромнефть</t>
        </is>
      </c>
      <c r="H3902" s="791" t="n"/>
      <c r="I3902" s="637" t="n">
        <v>20506</v>
      </c>
      <c r="J3902" s="637" t="inlineStr">
        <is>
          <t>GPN_20506</t>
        </is>
      </c>
      <c r="K3902" s="640" t="n">
        <v>3</v>
      </c>
      <c r="L3902" s="640" t="n">
        <v>1</v>
      </c>
      <c r="M3902" s="265" t="n">
        <v>5</v>
      </c>
      <c r="N3902" s="640" t="n"/>
      <c r="O3902" s="640">
        <f>IF(AND(N3902=1,L3902=1),K3902,"")</f>
        <v/>
      </c>
      <c r="P3902" s="642" t="inlineStr">
        <is>
          <t>Пермский край, Пермский район, Фроловское с/п, 13 км автодороги "Пермь-Екатеринбург"</t>
        </is>
      </c>
      <c r="Q3902" s="494" t="inlineStr">
        <is>
          <t>57.90286</t>
        </is>
      </c>
      <c r="R3902" s="494" t="inlineStr">
        <is>
          <t>56.26466</t>
        </is>
      </c>
    </row>
    <row r="3903" hidden="1">
      <c r="A3903" s="125" t="n">
        <v>4582</v>
      </c>
      <c r="B3903" s="791" t="n"/>
      <c r="C3903" s="125" t="inlineStr">
        <is>
          <t>Екатеринбург</t>
        </is>
      </c>
      <c r="D3903" s="130" t="inlineStr">
        <is>
          <t>Пермский край</t>
        </is>
      </c>
      <c r="E3903" s="791" t="n"/>
      <c r="F3903" s="125" t="inlineStr">
        <is>
          <t>АЗС</t>
        </is>
      </c>
      <c r="G3903" s="125" t="inlineStr">
        <is>
          <t>Газпромнефть</t>
        </is>
      </c>
      <c r="H3903" s="791" t="n"/>
      <c r="I3903" s="637" t="n">
        <v>20514</v>
      </c>
      <c r="J3903" s="637" t="inlineStr">
        <is>
          <t>GPN_20514</t>
        </is>
      </c>
      <c r="K3903" s="640" t="n">
        <v>3</v>
      </c>
      <c r="L3903" s="640" t="n">
        <v>1</v>
      </c>
      <c r="M3903" s="265" t="n">
        <v>5</v>
      </c>
      <c r="N3903" s="640" t="n"/>
      <c r="O3903" s="640">
        <f>IF(AND(N3903=1,L3903=1),K3903,"")</f>
        <v/>
      </c>
      <c r="P3903" s="642" t="inlineStr">
        <is>
          <t>Пермский край, Пермский р-н, дер. Замулянка, Фроловская с/п, ул. Сибирская,72</t>
        </is>
      </c>
      <c r="Q3903" s="494" t="inlineStr">
        <is>
          <t>57.90759</t>
        </is>
      </c>
      <c r="R3903" s="494" t="inlineStr">
        <is>
          <t>56.26675</t>
        </is>
      </c>
    </row>
    <row r="3904" hidden="1">
      <c r="A3904" s="125" t="n">
        <v>4583</v>
      </c>
      <c r="B3904" s="791" t="n"/>
      <c r="C3904" s="130" t="inlineStr">
        <is>
          <t>Санкт-Петербург</t>
        </is>
      </c>
      <c r="D3904" s="130" t="inlineStr">
        <is>
          <t>Псковская область</t>
        </is>
      </c>
      <c r="E3904" s="791" t="n"/>
      <c r="F3904" s="125" t="inlineStr">
        <is>
          <t>АЗС</t>
        </is>
      </c>
      <c r="G3904" s="125" t="inlineStr">
        <is>
          <t>Газпромнефть</t>
        </is>
      </c>
      <c r="H3904" s="791" t="n"/>
      <c r="I3904" s="637" t="n">
        <v>10066</v>
      </c>
      <c r="J3904" s="637" t="inlineStr">
        <is>
          <t>GPN_10066</t>
        </is>
      </c>
      <c r="K3904" s="640" t="n">
        <v>3</v>
      </c>
      <c r="L3904" s="640" t="n">
        <v>1</v>
      </c>
      <c r="M3904" s="265" t="n">
        <v>6</v>
      </c>
      <c r="N3904" s="640" t="n"/>
      <c r="O3904" s="640">
        <f>IF(AND(N3904=1,L3904=1),K3904,"")</f>
        <v/>
      </c>
      <c r="P3904" s="642" t="inlineStr">
        <is>
          <t>Псков Крестовское ш. 48, лит. а</t>
        </is>
      </c>
      <c r="Q3904" s="494" t="inlineStr">
        <is>
          <t>57.80188</t>
        </is>
      </c>
      <c r="R3904" s="494" t="inlineStr">
        <is>
          <t>28.39261</t>
        </is>
      </c>
    </row>
    <row r="3905" hidden="1">
      <c r="A3905" s="125" t="n">
        <v>4584</v>
      </c>
      <c r="B3905" s="791" t="n"/>
      <c r="C3905" s="125" t="inlineStr">
        <is>
          <t>Москва</t>
        </is>
      </c>
      <c r="D3905" s="130" t="inlineStr">
        <is>
          <t>Московская область</t>
        </is>
      </c>
      <c r="E3905" s="791" t="n"/>
      <c r="F3905" s="125" t="inlineStr">
        <is>
          <t>АЗС</t>
        </is>
      </c>
      <c r="G3905" s="125" t="inlineStr">
        <is>
          <t>Газпромнефть</t>
        </is>
      </c>
      <c r="H3905" s="791" t="n"/>
      <c r="I3905" s="637" t="n">
        <v>12257</v>
      </c>
      <c r="J3905" s="637" t="inlineStr">
        <is>
          <t>GPN_12257</t>
        </is>
      </c>
      <c r="K3905" s="640" t="n">
        <v>3</v>
      </c>
      <c r="L3905" s="640" t="n">
        <v>1</v>
      </c>
      <c r="M3905" s="265" t="n">
        <v>6</v>
      </c>
      <c r="N3905" s="640" t="n"/>
      <c r="O3905" s="640">
        <f>IF(AND(N3905=1,L3905=1),K3905,"")</f>
        <v/>
      </c>
      <c r="P3905" s="642" t="inlineStr">
        <is>
          <t>д. Тверитино (А-108 «МБК»)</t>
        </is>
      </c>
      <c r="Q3905" s="494" t="inlineStr">
        <is>
          <t>54.98649</t>
        </is>
      </c>
      <c r="R3905" s="494" t="inlineStr">
        <is>
          <t>37.31851</t>
        </is>
      </c>
    </row>
    <row r="3906" hidden="1" ht="20.4" customHeight="1">
      <c r="A3906" s="125" t="n">
        <v>4585</v>
      </c>
      <c r="B3906" s="791" t="n"/>
      <c r="C3906" s="130" t="inlineStr">
        <is>
          <t>Челябинск</t>
        </is>
      </c>
      <c r="D3906" s="130" t="inlineStr">
        <is>
          <t>Челябинская область</t>
        </is>
      </c>
      <c r="E3906" s="791" t="n"/>
      <c r="F3906" s="125" t="inlineStr">
        <is>
          <t>АЗС</t>
        </is>
      </c>
      <c r="G3906" s="125" t="inlineStr">
        <is>
          <t>Газпромнефть</t>
        </is>
      </c>
      <c r="H3906" s="791" t="n"/>
      <c r="I3906" s="637" t="n">
        <v>22277</v>
      </c>
      <c r="J3906" s="637" t="inlineStr">
        <is>
          <t>GPN_22277</t>
        </is>
      </c>
      <c r="K3906" s="640" t="n">
        <v>3</v>
      </c>
      <c r="L3906" s="640" t="n">
        <v>1</v>
      </c>
      <c r="M3906" s="265" t="n">
        <v>6</v>
      </c>
      <c r="N3906" s="640" t="n"/>
      <c r="O3906" s="640">
        <f>IF(AND(N3906=1,L3906=1),K3906,"")</f>
        <v/>
      </c>
      <c r="P3906" s="642" t="inlineStr">
        <is>
          <t>Челябинская область, г. Усть-Катав в 35 м на юг от перекрестка а/д Москва-Челябинск и Усть-Катав - Орловка</t>
        </is>
      </c>
      <c r="Q3906" s="494" t="inlineStr">
        <is>
          <t>54.908500</t>
        </is>
      </c>
      <c r="R3906" s="494" t="inlineStr">
        <is>
          <t>58.100366</t>
        </is>
      </c>
    </row>
    <row r="3907" hidden="1">
      <c r="A3907" s="125" t="n">
        <v>4586</v>
      </c>
      <c r="B3907" s="791" t="n"/>
      <c r="C3907" s="130" t="inlineStr">
        <is>
          <t>Челябинск</t>
        </is>
      </c>
      <c r="D3907" s="130" t="inlineStr">
        <is>
          <t>Челябинская область</t>
        </is>
      </c>
      <c r="E3907" s="791" t="n"/>
      <c r="F3907" s="125" t="inlineStr">
        <is>
          <t>АЗС</t>
        </is>
      </c>
      <c r="G3907" s="125" t="inlineStr">
        <is>
          <t>Газпромнефть</t>
        </is>
      </c>
      <c r="H3907" s="791" t="n"/>
      <c r="I3907" s="637" t="n">
        <v>22292</v>
      </c>
      <c r="J3907" s="637" t="inlineStr">
        <is>
          <t>GPN_22292</t>
        </is>
      </c>
      <c r="K3907" s="640" t="n">
        <v>3</v>
      </c>
      <c r="L3907" s="640" t="n">
        <v>1</v>
      </c>
      <c r="M3907" s="265" t="n">
        <v>5</v>
      </c>
      <c r="N3907" s="640" t="n"/>
      <c r="O3907" s="640">
        <f>IF(AND(N3907=1,L3907=1),K3907,"")</f>
        <v/>
      </c>
      <c r="P3907" s="642" t="inlineStr">
        <is>
          <t>г.Южноуральск,ул.Победы 3</t>
        </is>
      </c>
      <c r="Q3907" s="494" t="inlineStr">
        <is>
          <t>54.460935</t>
        </is>
      </c>
      <c r="R3907" s="494" t="inlineStr">
        <is>
          <t>61.280826</t>
        </is>
      </c>
    </row>
    <row r="3908" hidden="1">
      <c r="A3908" s="125" t="n">
        <v>4587</v>
      </c>
      <c r="B3908" s="791" t="n"/>
      <c r="C3908" s="130" t="inlineStr">
        <is>
          <t>Тюмень</t>
        </is>
      </c>
      <c r="D3908" s="130" t="inlineStr">
        <is>
          <t>ХМАО</t>
        </is>
      </c>
      <c r="E3908" s="791" t="n"/>
      <c r="F3908" s="125" t="inlineStr">
        <is>
          <t>АЗС</t>
        </is>
      </c>
      <c r="G3908" s="125" t="inlineStr">
        <is>
          <t>Газпромнефть</t>
        </is>
      </c>
      <c r="H3908" s="791" t="n"/>
      <c r="I3908" s="637" t="n">
        <v>24447</v>
      </c>
      <c r="J3908" s="637" t="inlineStr">
        <is>
          <t>GPN_24447</t>
        </is>
      </c>
      <c r="K3908" s="640" t="n">
        <v>3</v>
      </c>
      <c r="L3908" s="640" t="n">
        <v>1</v>
      </c>
      <c r="M3908" s="265" t="n">
        <v>5</v>
      </c>
      <c r="N3908" s="640" t="n"/>
      <c r="O3908" s="640">
        <f>IF(AND(N3908=1,L3908=1),K3908,"")</f>
        <v/>
      </c>
      <c r="P3908" s="642" t="inlineStr">
        <is>
          <t>г.Ханты-Мансийск, ул.Тобольский тракт,2</t>
        </is>
      </c>
      <c r="Q3908" s="494" t="inlineStr">
        <is>
          <t>61.02385</t>
        </is>
      </c>
      <c r="R3908" s="494" t="inlineStr">
        <is>
          <t>69.10579</t>
        </is>
      </c>
    </row>
    <row r="3909" hidden="1">
      <c r="A3909" s="125" t="n">
        <v>4588</v>
      </c>
      <c r="B3909" s="791" t="n"/>
      <c r="C3909" s="416" t="inlineStr">
        <is>
          <t>Алтайский край</t>
        </is>
      </c>
      <c r="D3909" s="130" t="inlineStr">
        <is>
          <t>Кемеровская область</t>
        </is>
      </c>
      <c r="E3909" s="791" t="n"/>
      <c r="F3909" s="125" t="inlineStr">
        <is>
          <t>АЗС</t>
        </is>
      </c>
      <c r="G3909" s="125" t="inlineStr">
        <is>
          <t>Газпромнефть</t>
        </is>
      </c>
      <c r="H3909" s="791" t="n"/>
      <c r="I3909" s="637" t="n">
        <v>33057</v>
      </c>
      <c r="J3909" s="637" t="inlineStr">
        <is>
          <t>GPN_33057</t>
        </is>
      </c>
      <c r="K3909" s="640" t="n">
        <v>3</v>
      </c>
      <c r="L3909" s="640" t="n">
        <v>1</v>
      </c>
      <c r="M3909" s="265" t="n">
        <v>4</v>
      </c>
      <c r="N3909" s="640" t="n"/>
      <c r="O3909" s="640">
        <f>IF(AND(N3909=1,L3909=1),K3909,"")</f>
        <v/>
      </c>
      <c r="P3909" s="642" t="inlineStr">
        <is>
          <t>г.Междуреченск, ул.Горького 1 (АТП Междуреченска)</t>
        </is>
      </c>
      <c r="Q3909" s="494" t="inlineStr">
        <is>
          <t>53.6793</t>
        </is>
      </c>
      <c r="R3909" s="494" t="inlineStr">
        <is>
          <t>88.05253</t>
        </is>
      </c>
    </row>
    <row r="3910" hidden="1">
      <c r="A3910" s="125" t="n">
        <v>4589</v>
      </c>
      <c r="B3910" s="791" t="n"/>
      <c r="C3910" s="416" t="inlineStr">
        <is>
          <t>Алтайский край</t>
        </is>
      </c>
      <c r="D3910" s="130" t="inlineStr">
        <is>
          <t>Кемеровская область</t>
        </is>
      </c>
      <c r="E3910" s="791" t="n"/>
      <c r="F3910" s="125" t="inlineStr">
        <is>
          <t>АЗС</t>
        </is>
      </c>
      <c r="G3910" s="125" t="inlineStr">
        <is>
          <t>Газпромнефть</t>
        </is>
      </c>
      <c r="H3910" s="791" t="n"/>
      <c r="I3910" s="637" t="n">
        <v>33143</v>
      </c>
      <c r="J3910" s="637" t="inlineStr">
        <is>
          <t>GPN_33143</t>
        </is>
      </c>
      <c r="K3910" s="640" t="n">
        <v>3</v>
      </c>
      <c r="L3910" s="640" t="n">
        <v>1</v>
      </c>
      <c r="M3910" s="265" t="n">
        <v>4</v>
      </c>
      <c r="N3910" s="640" t="n"/>
      <c r="O3910" s="640">
        <f>IF(AND(N3910=1,L3910=1),K3910,"")</f>
        <v/>
      </c>
      <c r="P3910" s="642" t="inlineStr">
        <is>
          <t>г. Новокузнецк, ул. Туркменская, 1А</t>
        </is>
      </c>
      <c r="Q3910" s="494" t="inlineStr">
        <is>
          <t>53.71186</t>
        </is>
      </c>
      <c r="R3910" s="494" t="inlineStr">
        <is>
          <t>87.1231</t>
        </is>
      </c>
    </row>
    <row r="3911" hidden="1" ht="51" customHeight="1">
      <c r="A3911" s="125" t="n">
        <v>4590</v>
      </c>
      <c r="B3911" s="791" t="n"/>
      <c r="C3911" s="416" t="inlineStr">
        <is>
          <t>ЦФО (Калуга, Тула, Тверь, Рязань,Смоленск,Владимир,Воронеж, Ярославль)</t>
        </is>
      </c>
      <c r="D3911" s="130" t="inlineStr">
        <is>
          <t>Владимирская область</t>
        </is>
      </c>
      <c r="E3911" s="791" t="n"/>
      <c r="F3911" s="125" t="inlineStr">
        <is>
          <t>АЗС</t>
        </is>
      </c>
      <c r="G3911" s="125" t="inlineStr">
        <is>
          <t>Газпромнефть</t>
        </is>
      </c>
      <c r="H3911" s="791" t="n"/>
      <c r="I3911" s="637" t="n">
        <v>13595</v>
      </c>
      <c r="J3911" s="637" t="inlineStr">
        <is>
          <t>GPN_13595</t>
        </is>
      </c>
      <c r="K3911" s="640" t="n">
        <v>3</v>
      </c>
      <c r="L3911" s="640" t="n">
        <v>1</v>
      </c>
      <c r="M3911" s="265" t="n">
        <v>6</v>
      </c>
      <c r="N3911" s="640" t="n"/>
      <c r="O3911" s="640">
        <f>IF(AND(N3911=1,L3911=1),K3911,"")</f>
        <v/>
      </c>
      <c r="P3911" s="642" t="inlineStr">
        <is>
          <t>Владимирская область, Киржачский район, МО Филиппское (сельское поселение), с.Филиппское, Кольцевое шоссе, д.1</t>
        </is>
      </c>
      <c r="Q3911" s="494" t="inlineStr">
        <is>
          <t>56.11164</t>
        </is>
      </c>
      <c r="R3911" s="494" t="inlineStr">
        <is>
          <t xml:space="preserve"> 38.61555</t>
        </is>
      </c>
    </row>
    <row r="3912" hidden="1">
      <c r="A3912" s="125" t="n">
        <v>4591</v>
      </c>
      <c r="B3912" s="791" t="n"/>
      <c r="C3912" s="130" t="inlineStr">
        <is>
          <t>Тюмень</t>
        </is>
      </c>
      <c r="D3912" s="130" t="inlineStr">
        <is>
          <t>ХМАО</t>
        </is>
      </c>
      <c r="E3912" s="791" t="n"/>
      <c r="F3912" s="125" t="inlineStr">
        <is>
          <t>АЗС</t>
        </is>
      </c>
      <c r="G3912" s="125" t="inlineStr">
        <is>
          <t>Газпромнефть</t>
        </is>
      </c>
      <c r="H3912" s="791" t="n"/>
      <c r="I3912" s="637" t="n">
        <v>24410</v>
      </c>
      <c r="J3912" s="637" t="inlineStr">
        <is>
          <t>GPN_24410</t>
        </is>
      </c>
      <c r="K3912" s="640" t="n">
        <v>3</v>
      </c>
      <c r="L3912" s="640" t="n">
        <v>1</v>
      </c>
      <c r="M3912" s="265" t="n">
        <v>4</v>
      </c>
      <c r="N3912" s="640" t="n"/>
      <c r="O3912" s="640">
        <f>IF(AND(N3912=1,L3912=1),K3912,"")</f>
        <v/>
      </c>
      <c r="P3912" s="642" t="inlineStr">
        <is>
          <t>г. Пыть -Ях промзона магистральная 82</t>
        </is>
      </c>
      <c r="Q3912" s="494" t="inlineStr">
        <is>
          <t>60.74832</t>
        </is>
      </c>
      <c r="R3912" s="494" t="inlineStr">
        <is>
          <t>72.81399</t>
        </is>
      </c>
    </row>
    <row r="3913" hidden="1">
      <c r="A3913" s="125" t="n">
        <v>4592</v>
      </c>
      <c r="B3913" s="791" t="n"/>
      <c r="C3913" s="130" t="inlineStr">
        <is>
          <t>Тюмень</t>
        </is>
      </c>
      <c r="D3913" s="130" t="inlineStr">
        <is>
          <t>ХМАО</t>
        </is>
      </c>
      <c r="E3913" s="791" t="n"/>
      <c r="F3913" s="125" t="inlineStr">
        <is>
          <t>АЗС</t>
        </is>
      </c>
      <c r="G3913" s="125" t="inlineStr">
        <is>
          <t>Газпромнефть</t>
        </is>
      </c>
      <c r="H3913" s="791" t="n"/>
      <c r="I3913" s="637" t="n">
        <v>24448</v>
      </c>
      <c r="J3913" s="637" t="inlineStr">
        <is>
          <t>GPN_24448</t>
        </is>
      </c>
      <c r="K3913" s="640" t="n">
        <v>3</v>
      </c>
      <c r="L3913" s="640" t="n">
        <v>1</v>
      </c>
      <c r="M3913" s="265" t="n">
        <v>5</v>
      </c>
      <c r="N3913" s="640" t="n"/>
      <c r="O3913" s="640">
        <f>IF(AND(N3913=1,L3913=1),K3913,"")</f>
        <v/>
      </c>
      <c r="P3913" s="642" t="inlineStr">
        <is>
          <t>г.Ханты-Мансийск, объездная а/д ориентир д.115 пр.Мира</t>
        </is>
      </c>
      <c r="Q3913" s="494" t="inlineStr">
        <is>
          <t>61.00866</t>
        </is>
      </c>
      <c r="R3913" s="494" t="inlineStr">
        <is>
          <t>69.06437</t>
        </is>
      </c>
    </row>
    <row r="3914" hidden="1">
      <c r="A3914" s="125" t="n">
        <v>4593</v>
      </c>
      <c r="B3914" s="791" t="n"/>
      <c r="C3914" s="130" t="inlineStr">
        <is>
          <t>Екатеринбург</t>
        </is>
      </c>
      <c r="D3914" s="130" t="inlineStr">
        <is>
          <t>Свердловская область</t>
        </is>
      </c>
      <c r="E3914" s="791" t="n"/>
      <c r="F3914" s="125" t="inlineStr">
        <is>
          <t>АЗС</t>
        </is>
      </c>
      <c r="G3914" s="125" t="inlineStr">
        <is>
          <t>Газпромнефть</t>
        </is>
      </c>
      <c r="H3914" s="791" t="n"/>
      <c r="I3914" s="637" t="n">
        <v>25090</v>
      </c>
      <c r="J3914" s="637" t="inlineStr">
        <is>
          <t>GPN_25090</t>
        </is>
      </c>
      <c r="K3914" s="640" t="n">
        <v>3</v>
      </c>
      <c r="L3914" s="640" t="n">
        <v>1</v>
      </c>
      <c r="M3914" s="265" t="n">
        <v>4</v>
      </c>
      <c r="N3914" s="640" t="n"/>
      <c r="O3914" s="640">
        <f>IF(AND(N3914=1,L3914=1),K3914,"")</f>
        <v/>
      </c>
      <c r="P3914" s="642" t="inlineStr">
        <is>
          <t>г. Североуральск, Рудничная,6а</t>
        </is>
      </c>
      <c r="Q3914" s="494" t="inlineStr">
        <is>
          <t>60.17308</t>
        </is>
      </c>
      <c r="R3914" s="494" t="inlineStr">
        <is>
          <t>59.96295</t>
        </is>
      </c>
    </row>
    <row r="3915" hidden="1">
      <c r="A3915" s="125" t="n">
        <v>4594</v>
      </c>
      <c r="B3915" s="791" t="n"/>
      <c r="C3915" s="130" t="inlineStr">
        <is>
          <t>Екатеринбург</t>
        </is>
      </c>
      <c r="D3915" s="130" t="inlineStr">
        <is>
          <t>Свердловская область</t>
        </is>
      </c>
      <c r="E3915" s="791" t="n"/>
      <c r="F3915" s="125" t="inlineStr">
        <is>
          <t>АЗС</t>
        </is>
      </c>
      <c r="G3915" s="125" t="inlineStr">
        <is>
          <t>Газпромнефть</t>
        </is>
      </c>
      <c r="H3915" s="791" t="n"/>
      <c r="I3915" s="637" t="n">
        <v>25095</v>
      </c>
      <c r="J3915" s="637" t="inlineStr">
        <is>
          <t>GPN_25095</t>
        </is>
      </c>
      <c r="K3915" s="640" t="n">
        <v>3</v>
      </c>
      <c r="L3915" s="640" t="n">
        <v>1</v>
      </c>
      <c r="M3915" s="265" t="n">
        <v>3</v>
      </c>
      <c r="N3915" s="640" t="n"/>
      <c r="O3915" s="640">
        <f>IF(AND(N3915=1,L3915=1),K3915,"")</f>
        <v/>
      </c>
      <c r="P3915" s="642" t="inlineStr">
        <is>
          <t>г. Карпинск Серов-Североуральск, справа 44 км</t>
        </is>
      </c>
      <c r="Q3915" s="494" t="inlineStr">
        <is>
          <t>59.75785</t>
        </is>
      </c>
      <c r="R3915" s="494" t="inlineStr">
        <is>
          <t>60.05382</t>
        </is>
      </c>
    </row>
    <row r="3916" hidden="1">
      <c r="A3916" s="125" t="n">
        <v>4595</v>
      </c>
      <c r="B3916" s="791" t="n"/>
      <c r="C3916" s="416" t="inlineStr">
        <is>
          <t>Алтайский край</t>
        </is>
      </c>
      <c r="D3916" s="130" t="inlineStr">
        <is>
          <t>Алтайский край</t>
        </is>
      </c>
      <c r="E3916" s="791" t="n"/>
      <c r="F3916" s="125" t="inlineStr">
        <is>
          <t>АЗС</t>
        </is>
      </c>
      <c r="G3916" s="125" t="inlineStr">
        <is>
          <t>Газпромнефть</t>
        </is>
      </c>
      <c r="H3916" s="791" t="n"/>
      <c r="I3916" s="637" t="n">
        <v>32217</v>
      </c>
      <c r="J3916" s="637" t="inlineStr">
        <is>
          <t>GPN_32217</t>
        </is>
      </c>
      <c r="K3916" s="640" t="n">
        <v>3</v>
      </c>
      <c r="L3916" s="640" t="n">
        <v>1</v>
      </c>
      <c r="M3916" s="265" t="n">
        <v>5</v>
      </c>
      <c r="N3916" s="640" t="n"/>
      <c r="O3916" s="640">
        <f>IF(AND(N3916=1,L3916=1),K3916,"")</f>
        <v/>
      </c>
      <c r="P3916" s="642" t="inlineStr">
        <is>
          <t>Алтайский край, Первомайский район, поселок Покровка, 223-й километр</t>
        </is>
      </c>
      <c r="Q3916" s="494" t="inlineStr">
        <is>
          <t>53.34486</t>
        </is>
      </c>
      <c r="R3916" s="494" t="inlineStr">
        <is>
          <t>84.14001</t>
        </is>
      </c>
    </row>
    <row r="3917" hidden="1">
      <c r="A3917" s="125" t="n">
        <v>4596</v>
      </c>
      <c r="B3917" s="791" t="n"/>
      <c r="C3917" s="416" t="inlineStr">
        <is>
          <t>Алтайский край</t>
        </is>
      </c>
      <c r="D3917" s="130" t="inlineStr">
        <is>
          <t>Кемеровская область</t>
        </is>
      </c>
      <c r="E3917" s="791" t="n"/>
      <c r="F3917" s="125" t="inlineStr">
        <is>
          <t>АЗС</t>
        </is>
      </c>
      <c r="G3917" s="125" t="inlineStr">
        <is>
          <t>Газпромнефть</t>
        </is>
      </c>
      <c r="H3917" s="791" t="n"/>
      <c r="I3917" s="637" t="n">
        <v>33039</v>
      </c>
      <c r="J3917" s="637" t="inlineStr">
        <is>
          <t>GPN_33039</t>
        </is>
      </c>
      <c r="K3917" s="640" t="n">
        <v>3</v>
      </c>
      <c r="L3917" s="640" t="n">
        <v>1</v>
      </c>
      <c r="M3917" s="265" t="n">
        <v>4</v>
      </c>
      <c r="N3917" s="640" t="n"/>
      <c r="O3917" s="640">
        <f>IF(AND(N3917=1,L3917=1),K3917,"")</f>
        <v/>
      </c>
      <c r="P3917" s="642" t="inlineStr">
        <is>
          <t>г. Ленинск-Кузнецкий ул. Пригородная 2 А</t>
        </is>
      </c>
      <c r="Q3917" s="494" t="inlineStr">
        <is>
          <t>54.71595</t>
        </is>
      </c>
      <c r="R3917" s="494" t="inlineStr">
        <is>
          <t>86.20836</t>
        </is>
      </c>
    </row>
    <row r="3918" hidden="1">
      <c r="A3918" s="125" t="n">
        <v>4597</v>
      </c>
      <c r="B3918" s="791" t="n"/>
      <c r="C3918" s="130" t="inlineStr">
        <is>
          <t>Красноярск</t>
        </is>
      </c>
      <c r="D3918" s="130" t="inlineStr">
        <is>
          <t>Красноярский край</t>
        </is>
      </c>
      <c r="E3918" s="791" t="n"/>
      <c r="F3918" s="125" t="inlineStr">
        <is>
          <t>АЗС</t>
        </is>
      </c>
      <c r="G3918" s="125" t="inlineStr">
        <is>
          <t>Газпромнефть</t>
        </is>
      </c>
      <c r="H3918" s="791" t="n"/>
      <c r="I3918" s="637" t="n">
        <v>34221</v>
      </c>
      <c r="J3918" s="637" t="inlineStr">
        <is>
          <t>GPN_34221</t>
        </is>
      </c>
      <c r="K3918" s="640" t="n">
        <v>3</v>
      </c>
      <c r="L3918" s="640" t="n">
        <v>1</v>
      </c>
      <c r="M3918" s="265" t="n">
        <v>5</v>
      </c>
      <c r="N3918" s="640" t="n"/>
      <c r="O3918" s="640">
        <f>IF(AND(N3918=1,L3918=1),K3918,"")</f>
        <v/>
      </c>
      <c r="P3918" s="642" t="inlineStr">
        <is>
          <t>г.Канск, ул.Проточная 10 а</t>
        </is>
      </c>
      <c r="Q3918" s="494" t="inlineStr">
        <is>
          <t>56.21442</t>
        </is>
      </c>
      <c r="R3918" s="494" t="inlineStr">
        <is>
          <t>95.71387</t>
        </is>
      </c>
    </row>
    <row r="3919" hidden="1" ht="20.4" customHeight="1">
      <c r="A3919" s="125" t="n">
        <v>4598</v>
      </c>
      <c r="B3919" s="791" t="n"/>
      <c r="C3919" s="125" t="inlineStr">
        <is>
          <t>Москва</t>
        </is>
      </c>
      <c r="D3919" s="130" t="inlineStr">
        <is>
          <t>Московская область</t>
        </is>
      </c>
      <c r="E3919" s="791" t="n"/>
      <c r="F3919" s="125" t="inlineStr">
        <is>
          <t>АЗС</t>
        </is>
      </c>
      <c r="G3919" s="125" t="inlineStr">
        <is>
          <t>Газпромнефть</t>
        </is>
      </c>
      <c r="H3919" s="791" t="n"/>
      <c r="I3919" s="637" t="n">
        <v>12559</v>
      </c>
      <c r="J3919" s="637" t="inlineStr">
        <is>
          <t>GPN_12559</t>
        </is>
      </c>
      <c r="K3919" s="640" t="n">
        <v>3</v>
      </c>
      <c r="L3919" s="640" t="n">
        <v>1</v>
      </c>
      <c r="M3919" s="265" t="n">
        <v>5</v>
      </c>
      <c r="N3919" s="640" t="n"/>
      <c r="O3919" s="640">
        <f>IF(AND(N3919=1,L3919=1),K3919,"")</f>
        <v/>
      </c>
      <c r="P3919" s="642" t="inlineStr">
        <is>
          <t xml:space="preserve"> Московская область, Дмитровский городской округ, п. Новосиньково
56.372256, 37.344834</t>
        </is>
      </c>
      <c r="Q3919" s="494" t="inlineStr">
        <is>
          <t>56.37261</t>
        </is>
      </c>
      <c r="R3919" s="494" t="inlineStr">
        <is>
          <t>37.34502</t>
        </is>
      </c>
    </row>
    <row r="3920" hidden="1">
      <c r="A3920" s="125" t="n">
        <v>4599</v>
      </c>
      <c r="B3920" s="791" t="n"/>
      <c r="C3920" s="125" t="inlineStr">
        <is>
          <t>Москва</t>
        </is>
      </c>
      <c r="D3920" s="130" t="inlineStr">
        <is>
          <t>Московская область</t>
        </is>
      </c>
      <c r="E3920" s="791" t="n"/>
      <c r="F3920" s="125" t="inlineStr">
        <is>
          <t>АЗС</t>
        </is>
      </c>
      <c r="G3920" s="125" t="inlineStr">
        <is>
          <t>Газпромнефть</t>
        </is>
      </c>
      <c r="H3920" s="791" t="n"/>
      <c r="I3920" s="637" t="n">
        <v>12321</v>
      </c>
      <c r="J3920" s="637" t="inlineStr">
        <is>
          <t>GPN_12321</t>
        </is>
      </c>
      <c r="K3920" s="640" t="n">
        <v>3</v>
      </c>
      <c r="L3920" s="640" t="n">
        <v>1</v>
      </c>
      <c r="M3920" s="265" t="n">
        <v>5</v>
      </c>
      <c r="N3920" s="640" t="n"/>
      <c r="O3920" s="640">
        <f>IF(AND(N3920=1,L3920=1),K3920,"")</f>
        <v/>
      </c>
      <c r="P3920" s="642" t="inlineStr">
        <is>
          <t>МО, г.Клин, а/д М-10 "Россия" 88 км+850, правая сторона</t>
        </is>
      </c>
      <c r="Q3920" s="494" t="inlineStr">
        <is>
          <t>56.346270</t>
        </is>
      </c>
      <c r="R3920" s="494" t="inlineStr">
        <is>
          <t>36.709350</t>
        </is>
      </c>
    </row>
    <row r="3921" hidden="1">
      <c r="A3921" s="125" t="n">
        <v>4600</v>
      </c>
      <c r="B3921" s="791" t="n"/>
      <c r="C3921" s="130" t="inlineStr">
        <is>
          <t>Екатеринбург</t>
        </is>
      </c>
      <c r="D3921" s="130" t="inlineStr">
        <is>
          <t>Свердловская область</t>
        </is>
      </c>
      <c r="E3921" s="791" t="n"/>
      <c r="F3921" s="125" t="inlineStr">
        <is>
          <t>АЗС</t>
        </is>
      </c>
      <c r="G3921" s="125" t="inlineStr">
        <is>
          <t>Газпромнефть</t>
        </is>
      </c>
      <c r="H3921" s="791" t="n"/>
      <c r="I3921" s="637" t="n">
        <v>20032</v>
      </c>
      <c r="J3921" s="637" t="inlineStr">
        <is>
          <t>GPN_20032</t>
        </is>
      </c>
      <c r="K3921" s="640" t="n">
        <v>2</v>
      </c>
      <c r="L3921" s="640" t="n">
        <v>1</v>
      </c>
      <c r="M3921" s="265" t="n">
        <v>2</v>
      </c>
      <c r="N3921" s="640" t="n"/>
      <c r="O3921" s="640">
        <f>IF(AND(N3921=1,L3921=1),K3921,"")</f>
        <v/>
      </c>
      <c r="P3921" s="642" t="inlineStr">
        <is>
          <t>г. Первоуральск, п. Талица</t>
        </is>
      </c>
      <c r="Q3921" s="494" t="inlineStr">
        <is>
          <t>56.876811</t>
        </is>
      </c>
      <c r="R3921" s="494" t="inlineStr">
        <is>
          <t>60.023812</t>
        </is>
      </c>
    </row>
    <row r="3922" hidden="1">
      <c r="A3922" s="125" t="n">
        <v>4601</v>
      </c>
      <c r="B3922" s="791" t="n"/>
      <c r="C3922" s="130" t="inlineStr">
        <is>
          <t>Екатеринбург</t>
        </is>
      </c>
      <c r="D3922" s="130" t="inlineStr">
        <is>
          <t>Екатеринбург</t>
        </is>
      </c>
      <c r="E3922" s="791" t="n"/>
      <c r="F3922" s="125" t="inlineStr">
        <is>
          <t>АЗС</t>
        </is>
      </c>
      <c r="G3922" s="125" t="inlineStr">
        <is>
          <t>Газпромнефть</t>
        </is>
      </c>
      <c r="H3922" s="791" t="n"/>
      <c r="I3922" s="637" t="n">
        <v>20148</v>
      </c>
      <c r="J3922" s="637" t="inlineStr">
        <is>
          <t>GPN_20148</t>
        </is>
      </c>
      <c r="K3922" s="640" t="n">
        <v>2</v>
      </c>
      <c r="L3922" s="640" t="n">
        <v>1</v>
      </c>
      <c r="M3922" s="265" t="n">
        <v>2</v>
      </c>
      <c r="N3922" s="640" t="n"/>
      <c r="O3922" s="640">
        <f>IF(AND(N3922=1,L3922=1),K3922,"")</f>
        <v/>
      </c>
      <c r="P3922" s="642" t="inlineStr">
        <is>
          <t>г. Екатеринбург, Раевского 9/1</t>
        </is>
      </c>
      <c r="Q3922" s="494" t="inlineStr">
        <is>
          <t>56.859684</t>
        </is>
      </c>
      <c r="R3922" s="494" t="inlineStr">
        <is>
          <t>60.663085</t>
        </is>
      </c>
    </row>
    <row r="3923" hidden="1">
      <c r="A3923" s="125" t="n">
        <v>4602</v>
      </c>
      <c r="B3923" s="791" t="n"/>
      <c r="C3923" s="130" t="inlineStr">
        <is>
          <t>Омск</t>
        </is>
      </c>
      <c r="D3923" s="130" t="inlineStr">
        <is>
          <t>Омская область</t>
        </is>
      </c>
      <c r="E3923" s="791" t="n"/>
      <c r="F3923" s="125" t="inlineStr">
        <is>
          <t>АЗС</t>
        </is>
      </c>
      <c r="G3923" s="125" t="inlineStr">
        <is>
          <t>Газпромнефть</t>
        </is>
      </c>
      <c r="H3923" s="791" t="n"/>
      <c r="I3923" s="637" t="n">
        <v>31043</v>
      </c>
      <c r="J3923" s="637" t="inlineStr">
        <is>
          <t>GPN_31043</t>
        </is>
      </c>
      <c r="K3923" s="640" t="n">
        <v>2</v>
      </c>
      <c r="L3923" s="640" t="n">
        <v>1</v>
      </c>
      <c r="M3923" s="265" t="n">
        <v>2</v>
      </c>
      <c r="N3923" s="640" t="n"/>
      <c r="O3923" s="640">
        <f>IF(AND(N3923=1,L3923=1),K3923,"")</f>
        <v/>
      </c>
      <c r="P3923" s="642" t="inlineStr">
        <is>
          <t>Россия 644012 г. Омск, пр. Королева, № 20</t>
        </is>
      </c>
      <c r="Q3923" s="494" t="inlineStr">
        <is>
          <t>55.034636</t>
        </is>
      </c>
      <c r="R3923" s="494" t="inlineStr">
        <is>
          <t>73.316886</t>
        </is>
      </c>
    </row>
    <row r="3924" hidden="1">
      <c r="A3924" s="125" t="n">
        <v>4603</v>
      </c>
      <c r="B3924" s="791" t="n"/>
      <c r="C3924" s="416" t="inlineStr">
        <is>
          <t>Алтайский край</t>
        </is>
      </c>
      <c r="D3924" s="130" t="inlineStr">
        <is>
          <t>Барнаул</t>
        </is>
      </c>
      <c r="E3924" s="791" t="n"/>
      <c r="F3924" s="125" t="inlineStr">
        <is>
          <t>АЗС</t>
        </is>
      </c>
      <c r="G3924" s="125" t="inlineStr">
        <is>
          <t>Газпромнефть</t>
        </is>
      </c>
      <c r="H3924" s="791" t="n"/>
      <c r="I3924" s="637" t="n">
        <v>32201</v>
      </c>
      <c r="J3924" s="637" t="inlineStr">
        <is>
          <t>GPN_32201</t>
        </is>
      </c>
      <c r="K3924" s="640" t="n">
        <v>1</v>
      </c>
      <c r="L3924" s="640" t="n">
        <v>1</v>
      </c>
      <c r="M3924" s="265" t="n">
        <v>1</v>
      </c>
      <c r="N3924" s="640" t="n"/>
      <c r="O3924" s="640">
        <f>IF(AND(N3924=1,L3924=1),K3924,"")</f>
        <v/>
      </c>
      <c r="P3924" s="642" t="inlineStr">
        <is>
          <t>г.Барнаул,ул. 1-я Западная,57</t>
        </is>
      </c>
      <c r="Q3924" s="494" t="inlineStr">
        <is>
          <t>53.382996</t>
        </is>
      </c>
      <c r="R3924" s="494" t="inlineStr">
        <is>
          <t>83.732235</t>
        </is>
      </c>
    </row>
    <row r="3925" hidden="1">
      <c r="A3925" s="125" t="n">
        <v>4604</v>
      </c>
      <c r="B3925" s="791" t="n"/>
      <c r="C3925" s="416" t="inlineStr">
        <is>
          <t>Алтайский край</t>
        </is>
      </c>
      <c r="D3925" s="130" t="inlineStr">
        <is>
          <t>Кемеровская область</t>
        </is>
      </c>
      <c r="E3925" s="791" t="n"/>
      <c r="F3925" s="125" t="inlineStr">
        <is>
          <t>АЗС</t>
        </is>
      </c>
      <c r="G3925" s="125" t="inlineStr">
        <is>
          <t>Газпромнефть</t>
        </is>
      </c>
      <c r="H3925" s="791" t="n"/>
      <c r="I3925" s="637" t="n">
        <v>33047</v>
      </c>
      <c r="J3925" s="637" t="inlineStr">
        <is>
          <t>GPN_33047</t>
        </is>
      </c>
      <c r="K3925" s="640" t="n">
        <v>1</v>
      </c>
      <c r="L3925" s="640" t="n">
        <v>1</v>
      </c>
      <c r="M3925" s="265" t="n">
        <v>1</v>
      </c>
      <c r="N3925" s="640" t="n"/>
      <c r="O3925" s="640">
        <f>IF(AND(N3925=1,L3925=1),K3925,"")</f>
        <v/>
      </c>
      <c r="P3925" s="642" t="inlineStr">
        <is>
          <t>г.Новокузнецк, пос.Бунгур ул. Гончарова 85 (пост ГАИ)</t>
        </is>
      </c>
      <c r="Q3925" s="494" t="inlineStr">
        <is>
          <t>53.752028</t>
        </is>
      </c>
      <c r="R3925" s="494" t="inlineStr">
        <is>
          <t>87.005922</t>
        </is>
      </c>
    </row>
    <row r="3926" hidden="1">
      <c r="A3926" s="125" t="n">
        <v>4605</v>
      </c>
      <c r="B3926" s="791" t="n"/>
      <c r="C3926" s="416" t="inlineStr">
        <is>
          <t>Алтайский край</t>
        </is>
      </c>
      <c r="D3926" s="130" t="inlineStr">
        <is>
          <t>Кемеровская область</t>
        </is>
      </c>
      <c r="E3926" s="791" t="n"/>
      <c r="F3926" s="125" t="inlineStr">
        <is>
          <t>АЗС</t>
        </is>
      </c>
      <c r="G3926" s="125" t="inlineStr">
        <is>
          <t>Газпромнефть</t>
        </is>
      </c>
      <c r="H3926" s="791" t="n"/>
      <c r="I3926" s="637" t="n">
        <v>33131</v>
      </c>
      <c r="J3926" s="637" t="inlineStr">
        <is>
          <t>GPN_33131</t>
        </is>
      </c>
      <c r="K3926" s="640" t="n">
        <v>1</v>
      </c>
      <c r="L3926" s="640" t="n">
        <v>1</v>
      </c>
      <c r="M3926" s="265" t="n">
        <v>1</v>
      </c>
      <c r="N3926" s="640" t="n"/>
      <c r="O3926" s="640">
        <f>IF(AND(N3926=1,L3926=1),K3926,"")</f>
        <v/>
      </c>
      <c r="P3926" s="642" t="inlineStr">
        <is>
          <t>г.Новокузнецк, Бызовское шоссе</t>
        </is>
      </c>
      <c r="Q3926" s="494" t="inlineStr">
        <is>
          <t>53.863455</t>
        </is>
      </c>
      <c r="R3926" s="494" t="inlineStr">
        <is>
          <t>87.198189</t>
        </is>
      </c>
    </row>
    <row r="3927" hidden="1">
      <c r="A3927" s="125" t="n">
        <v>4606</v>
      </c>
      <c r="B3927" s="791" t="n"/>
      <c r="C3927" s="130" t="inlineStr">
        <is>
          <t>Красноярск</t>
        </is>
      </c>
      <c r="D3927" s="130" t="inlineStr">
        <is>
          <t>Хакасия</t>
        </is>
      </c>
      <c r="E3927" s="791" t="n"/>
      <c r="F3927" s="125" t="inlineStr">
        <is>
          <t>АЗС</t>
        </is>
      </c>
      <c r="G3927" s="125" t="inlineStr">
        <is>
          <t>Газпромнефть</t>
        </is>
      </c>
      <c r="H3927" s="791" t="n"/>
      <c r="I3927" s="637" t="n">
        <v>34272</v>
      </c>
      <c r="J3927" s="637" t="inlineStr">
        <is>
          <t>GPN_34272</t>
        </is>
      </c>
      <c r="K3927" s="640" t="n">
        <v>3</v>
      </c>
      <c r="L3927" s="640" t="n">
        <v>1</v>
      </c>
      <c r="M3927" s="265" t="n">
        <v>3</v>
      </c>
      <c r="N3927" s="640" t="n"/>
      <c r="O3927" s="640">
        <f>IF(AND(N3927=1,L3927=1),K3927,"")</f>
        <v/>
      </c>
      <c r="P3927" s="642" t="inlineStr">
        <is>
          <t>Республика Хакасия, Р-257 Енисей, 401-й километр</t>
        </is>
      </c>
      <c r="Q3927" s="494" t="inlineStr">
        <is>
          <t>53.786624</t>
        </is>
      </c>
      <c r="R3927" s="494" t="inlineStr">
        <is>
          <t>91.357823</t>
        </is>
      </c>
    </row>
    <row r="3928" hidden="1" ht="40.8" customHeight="1">
      <c r="A3928" s="125" t="n">
        <v>4607</v>
      </c>
      <c r="B3928" s="791" t="n"/>
      <c r="C3928" s="125" t="inlineStr">
        <is>
          <t>Москва</t>
        </is>
      </c>
      <c r="D3928" s="130" t="inlineStr">
        <is>
          <t>Московская область</t>
        </is>
      </c>
      <c r="E3928" s="791" t="n"/>
      <c r="F3928" s="125" t="inlineStr">
        <is>
          <t>АЗС</t>
        </is>
      </c>
      <c r="G3928" s="125" t="inlineStr">
        <is>
          <t>Газпромнефть</t>
        </is>
      </c>
      <c r="H3928" s="791" t="n"/>
      <c r="I3928" s="637" t="n">
        <v>12325</v>
      </c>
      <c r="J3928" s="637" t="inlineStr">
        <is>
          <t>GPN_12325</t>
        </is>
      </c>
      <c r="K3928" s="640" t="n">
        <v>3</v>
      </c>
      <c r="L3928" s="640" t="n">
        <v>0</v>
      </c>
      <c r="M3928" s="265" t="n">
        <v>3</v>
      </c>
      <c r="N3928" s="640" t="n"/>
      <c r="O3928" s="640">
        <f>IF(AND(N3928=1,L3928=1),K3928,"")</f>
        <v/>
      </c>
      <c r="P3928" s="642" t="inlineStr">
        <is>
          <t>Московская обл., Наро-Фоминский р-н, г/пос. 
 Селятино, вблизи раб. пос. Селятино, 
 52 км + 100 (правая сторона) 
 Федеральной автодороги «Украина», уч. 1</t>
        </is>
      </c>
      <c r="Q3928" s="494" t="inlineStr">
        <is>
          <t>55.50456</t>
        </is>
      </c>
      <c r="R3928" s="494" t="inlineStr">
        <is>
          <t>36.9763</t>
        </is>
      </c>
    </row>
    <row r="3929" hidden="1">
      <c r="A3929" s="125" t="n">
        <v>4608</v>
      </c>
      <c r="B3929" s="791" t="n"/>
      <c r="C3929" s="130" t="inlineStr">
        <is>
          <t>Тюмень</t>
        </is>
      </c>
      <c r="D3929" s="130" t="inlineStr">
        <is>
          <t>Тюменская область</t>
        </is>
      </c>
      <c r="E3929" s="791" t="n"/>
      <c r="F3929" s="125" t="inlineStr">
        <is>
          <t>АЗС</t>
        </is>
      </c>
      <c r="G3929" s="125" t="inlineStr">
        <is>
          <t>Газпромнефть</t>
        </is>
      </c>
      <c r="H3929" s="791" t="n"/>
      <c r="I3929" s="637" t="n">
        <v>21419</v>
      </c>
      <c r="J3929" s="637" t="inlineStr">
        <is>
          <t> </t>
        </is>
      </c>
      <c r="K3929" s="640" t="n">
        <v>1</v>
      </c>
      <c r="L3929" s="640" t="n">
        <v>1</v>
      </c>
      <c r="M3929" s="265" t="n">
        <v>1</v>
      </c>
      <c r="N3929" s="640" t="n"/>
      <c r="O3929" s="640">
        <f>IF(AND(N3929=1,L3929=1),K3929,"")</f>
        <v/>
      </c>
      <c r="P3929" s="642">
        <f>IFERROR(__xludf.DUMMYFUNCTION("""COMPUTED_VALUE"""),"Тюменская область, Тобольский район, Р-404, 228-й километр, 2")</f>
        <v/>
      </c>
      <c r="Q3929" s="494" t="inlineStr">
        <is>
          <t>58.11826</t>
        </is>
      </c>
      <c r="R3929" s="494" t="inlineStr">
        <is>
          <t>68.27304</t>
        </is>
      </c>
    </row>
    <row r="3930" hidden="1">
      <c r="A3930" s="125" t="n">
        <v>4609</v>
      </c>
      <c r="B3930" s="791" t="n"/>
      <c r="C3930" s="130" t="inlineStr">
        <is>
          <t>Москва</t>
        </is>
      </c>
      <c r="D3930" s="130" t="inlineStr">
        <is>
          <t>Москва</t>
        </is>
      </c>
      <c r="E3930" s="130" t="n"/>
      <c r="F3930" s="130" t="inlineStr">
        <is>
          <t>ТРЦ</t>
        </is>
      </c>
      <c r="G3930" s="130" t="inlineStr">
        <is>
          <t>ТРЦ</t>
        </is>
      </c>
      <c r="H3930" s="131" t="n">
        <v>73770</v>
      </c>
      <c r="I3930" s="637" t="inlineStr">
        <is>
          <t xml:space="preserve">Афимолл Сити </t>
        </is>
      </c>
      <c r="J3930" s="637" t="inlineStr">
        <is>
          <t>MSK_TRC_Afimoll_Siti_6</t>
        </is>
      </c>
      <c r="K3930" s="640" t="n">
        <v>2</v>
      </c>
      <c r="L3930" s="640" t="n">
        <v>1</v>
      </c>
      <c r="M3930" s="265" t="inlineStr">
        <is>
          <t>1-й ярус: 150,72х2,08м 
2-й ярус: 159,04х2,08м</t>
        </is>
      </c>
      <c r="N3930" s="640" t="n"/>
      <c r="O3930" s="640">
        <f>IF(AND(N3930=1,L3930=1),K3930,"")</f>
        <v/>
      </c>
      <c r="P3930" s="642" t="inlineStr">
        <is>
          <t>г. Москва, Пресненская набережная, 2</t>
        </is>
      </c>
      <c r="Q3930" s="494" t="inlineStr">
        <is>
          <t>55.749157</t>
        </is>
      </c>
      <c r="R3930" s="494" t="inlineStr">
        <is>
          <t>37.539742</t>
        </is>
      </c>
    </row>
    <row r="3931" hidden="1" ht="20.4" customHeight="1">
      <c r="A3931" s="125" t="n">
        <v>4610</v>
      </c>
      <c r="B3931" s="791" t="n"/>
      <c r="C3931" s="130" t="inlineStr">
        <is>
          <t>Москва</t>
        </is>
      </c>
      <c r="D3931" s="130" t="inlineStr">
        <is>
          <t>Московская область</t>
        </is>
      </c>
      <c r="E3931" s="125" t="n"/>
      <c r="F3931" s="125" t="inlineStr">
        <is>
          <t>АЗС</t>
        </is>
      </c>
      <c r="G3931" s="125" t="inlineStr">
        <is>
          <t>Газпромнефть</t>
        </is>
      </c>
      <c r="H3931" s="421" t="n"/>
      <c r="I3931" s="637" t="n">
        <v>12311</v>
      </c>
      <c r="J3931" s="637" t="inlineStr">
        <is>
          <t>GPN_12311</t>
        </is>
      </c>
      <c r="K3931" s="640" t="n">
        <v>3</v>
      </c>
      <c r="L3931" s="640" t="n">
        <v>1</v>
      </c>
      <c r="M3931" s="265" t="n">
        <v>3</v>
      </c>
      <c r="N3931" s="640" t="n"/>
      <c r="O3931" s="640">
        <f>IF(AND(N3931=1,L3931=1),K3931,"")</f>
        <v/>
      </c>
      <c r="P3931" s="642" t="inlineStr">
        <is>
          <t>МО, Волоколамский р-н, городское поселение Волоколамск, д.Хворостинино, 121-й км а/д "Москва-Балтия"</t>
        </is>
      </c>
      <c r="Q3931" s="494" t="inlineStr">
        <is>
          <t>56.029700</t>
        </is>
      </c>
      <c r="R3931" s="494" t="inlineStr">
        <is>
          <t>35.911760</t>
        </is>
      </c>
    </row>
    <row r="3932" hidden="1" ht="30" customHeight="1">
      <c r="A3932" s="125" t="n">
        <v>4611</v>
      </c>
      <c r="B3932" s="791" t="n"/>
      <c r="C3932" s="416" t="inlineStr">
        <is>
          <t>ЦФО (Калуга, Тула, Тверь, Рязань,Смоленск,Владимир,Воронеж, Ярославль)</t>
        </is>
      </c>
      <c r="D3932" s="130" t="inlineStr">
        <is>
          <t>Калужская область</t>
        </is>
      </c>
      <c r="E3932" s="125" t="n"/>
      <c r="F3932" s="125" t="inlineStr">
        <is>
          <t>АЗС</t>
        </is>
      </c>
      <c r="G3932" s="125" t="inlineStr">
        <is>
          <t>Газпромнефть</t>
        </is>
      </c>
      <c r="H3932" s="421" t="n"/>
      <c r="I3932" s="637" t="n">
        <v>12363</v>
      </c>
      <c r="J3932" s="637" t="inlineStr">
        <is>
          <t>GPN_12363</t>
        </is>
      </c>
      <c r="K3932" s="640" t="n">
        <v>3</v>
      </c>
      <c r="L3932" s="640" t="n">
        <v>1</v>
      </c>
      <c r="M3932" s="265" t="n">
        <v>3</v>
      </c>
      <c r="N3932" s="640" t="n"/>
      <c r="O3932" s="640">
        <f>IF(AND(N3932=1,L3932=1),K3932,"")</f>
        <v/>
      </c>
      <c r="P3932" s="642" t="inlineStr">
        <is>
          <t>Калужская область, р-н Козельский, д. Новое Казачье ул. Буканова 18А</t>
        </is>
      </c>
      <c r="Q3932" s="494" t="inlineStr">
        <is>
          <t>54.055541</t>
        </is>
      </c>
      <c r="R3932" s="494" t="inlineStr">
        <is>
          <t>35.788234</t>
        </is>
      </c>
    </row>
    <row r="3933" hidden="1">
      <c r="A3933" s="125" t="n">
        <v>4612</v>
      </c>
      <c r="B3933" s="791" t="n"/>
      <c r="C3933" s="130" t="inlineStr">
        <is>
          <t>Екатеринбург</t>
        </is>
      </c>
      <c r="D3933" s="130" t="inlineStr">
        <is>
          <t>Курганская область</t>
        </is>
      </c>
      <c r="E3933" s="125" t="n"/>
      <c r="F3933" s="125" t="inlineStr">
        <is>
          <t>АЗС</t>
        </is>
      </c>
      <c r="G3933" s="125" t="inlineStr">
        <is>
          <t>Газпромнефть</t>
        </is>
      </c>
      <c r="H3933" s="421" t="n"/>
      <c r="I3933" s="637" t="n">
        <v>21332</v>
      </c>
      <c r="J3933" s="637" t="inlineStr">
        <is>
          <t>GPN_21332</t>
        </is>
      </c>
      <c r="K3933" s="640" t="n">
        <v>3</v>
      </c>
      <c r="L3933" s="640" t="n">
        <v>1</v>
      </c>
      <c r="M3933" s="265" t="n">
        <v>5</v>
      </c>
      <c r="N3933" s="640" t="n"/>
      <c r="O3933" s="640">
        <f>IF(AND(N3933=1,L3933=1),K3933,"")</f>
        <v/>
      </c>
      <c r="P3933" s="642" t="inlineStr">
        <is>
          <t xml:space="preserve">Курганская обл, г.Курган, ул.Бурова-Петрова, д.111А </t>
        </is>
      </c>
      <c r="Q3933" s="494" t="inlineStr">
        <is>
          <t>55.475294</t>
        </is>
      </c>
      <c r="R3933" s="494" t="inlineStr">
        <is>
          <t>65.336666</t>
        </is>
      </c>
    </row>
    <row r="3934" hidden="1">
      <c r="A3934" s="125" t="n">
        <v>4613</v>
      </c>
      <c r="B3934" s="791" t="n"/>
      <c r="C3934" s="130" t="inlineStr">
        <is>
          <t>Екатеринбург</t>
        </is>
      </c>
      <c r="D3934" s="130" t="inlineStr">
        <is>
          <t>Свердловская область</t>
        </is>
      </c>
      <c r="E3934" s="125" t="n"/>
      <c r="F3934" s="125" t="inlineStr">
        <is>
          <t>АЗС</t>
        </is>
      </c>
      <c r="G3934" s="125" t="inlineStr">
        <is>
          <t>Газпромнефть</t>
        </is>
      </c>
      <c r="H3934" s="421" t="n"/>
      <c r="I3934" s="637" t="n">
        <v>25076</v>
      </c>
      <c r="J3934" s="637" t="inlineStr">
        <is>
          <t>GPN_25076</t>
        </is>
      </c>
      <c r="K3934" s="640" t="n">
        <v>3</v>
      </c>
      <c r="L3934" s="640" t="n">
        <v>1</v>
      </c>
      <c r="M3934" s="265" t="n">
        <v>3</v>
      </c>
      <c r="N3934" s="640" t="n"/>
      <c r="O3934" s="640">
        <f>IF(AND(N3934=1,L3934=1),K3934,"")</f>
        <v/>
      </c>
      <c r="P3934" s="642" t="inlineStr">
        <is>
          <t>г. Кировград,Коммунаров,1а</t>
        </is>
      </c>
      <c r="Q3934" s="494" t="inlineStr">
        <is>
          <t>57.423627</t>
        </is>
      </c>
      <c r="R3934" s="494" t="inlineStr">
        <is>
          <t>60.059682</t>
        </is>
      </c>
    </row>
    <row r="3935" hidden="1">
      <c r="A3935" s="125" t="n">
        <v>4614</v>
      </c>
      <c r="B3935" s="791" t="n"/>
      <c r="C3935" s="130" t="inlineStr">
        <is>
          <t>Новосибирск</t>
        </is>
      </c>
      <c r="D3935" s="130" t="inlineStr">
        <is>
          <t>Новосибирская область</t>
        </is>
      </c>
      <c r="E3935" s="125" t="n"/>
      <c r="F3935" s="125" t="inlineStr">
        <is>
          <t>АЗС</t>
        </is>
      </c>
      <c r="G3935" s="125" t="inlineStr">
        <is>
          <t>Газпромнефть</t>
        </is>
      </c>
      <c r="H3935" s="421" t="n"/>
      <c r="I3935" s="637" t="n">
        <v>30141</v>
      </c>
      <c r="J3935" s="637" t="inlineStr">
        <is>
          <t>GPN_30141</t>
        </is>
      </c>
      <c r="K3935" s="640" t="n">
        <v>3</v>
      </c>
      <c r="L3935" s="640" t="n">
        <v>1</v>
      </c>
      <c r="M3935" s="265" t="n">
        <v>5</v>
      </c>
      <c r="N3935" s="640" t="n"/>
      <c r="O3935" s="640">
        <f>IF(AND(N3935=1,L3935=1),K3935,"")</f>
        <v/>
      </c>
      <c r="P3935" s="642" t="inlineStr">
        <is>
          <t>Новосибирская область, Мошковский район, Р-255 Сибирь, 63-й километр</t>
        </is>
      </c>
      <c r="Q3935" s="494" t="inlineStr">
        <is>
          <t>55.31775</t>
        </is>
      </c>
      <c r="R3935" s="494" t="inlineStr">
        <is>
          <t>83.60683</t>
        </is>
      </c>
    </row>
    <row r="3936" hidden="1">
      <c r="A3936" s="125" t="n">
        <v>4615</v>
      </c>
      <c r="B3936" s="791" t="n"/>
      <c r="C3936" s="416" t="inlineStr">
        <is>
          <t>Алтайский край</t>
        </is>
      </c>
      <c r="D3936" s="130" t="inlineStr">
        <is>
          <t>Барнаул</t>
        </is>
      </c>
      <c r="E3936" s="791" t="n"/>
      <c r="F3936" s="125" t="inlineStr">
        <is>
          <t>АЗС</t>
        </is>
      </c>
      <c r="G3936" s="125" t="inlineStr">
        <is>
          <t>Газпромнефть</t>
        </is>
      </c>
      <c r="H3936" s="791" t="n"/>
      <c r="I3936" s="637" t="n">
        <v>32208</v>
      </c>
      <c r="J3936" s="637" t="inlineStr">
        <is>
          <t>GPN_32208</t>
        </is>
      </c>
      <c r="K3936" s="640" t="n">
        <v>2</v>
      </c>
      <c r="L3936" s="640" t="n">
        <v>1</v>
      </c>
      <c r="M3936" s="265" t="n">
        <v>2</v>
      </c>
      <c r="N3936" s="640" t="n"/>
      <c r="O3936" s="640">
        <f>IF(AND(N3936=1,L3936=1),K3936,"")</f>
        <v/>
      </c>
      <c r="P3936" s="642" t="inlineStr">
        <is>
          <t>г.Барнаул, ул.Попова,204а</t>
        </is>
      </c>
      <c r="Q3936" s="494" t="inlineStr">
        <is>
          <t>53.333753</t>
        </is>
      </c>
      <c r="R3936" s="494" t="inlineStr">
        <is>
          <t>83.667696</t>
        </is>
      </c>
    </row>
    <row r="3937" hidden="1">
      <c r="A3937" s="125" t="n">
        <v>4616</v>
      </c>
      <c r="B3937" s="791" t="n"/>
      <c r="C3937" s="416" t="inlineStr">
        <is>
          <t>Алтайский край</t>
        </is>
      </c>
      <c r="D3937" s="130" t="inlineStr">
        <is>
          <t>Кемеровская область</t>
        </is>
      </c>
      <c r="E3937" s="791" t="n"/>
      <c r="F3937" s="125" t="inlineStr">
        <is>
          <t>АЗС</t>
        </is>
      </c>
      <c r="G3937" s="125" t="inlineStr">
        <is>
          <t>Газпромнефть</t>
        </is>
      </c>
      <c r="H3937" s="791" t="n"/>
      <c r="I3937" s="637" t="n">
        <v>33056</v>
      </c>
      <c r="J3937" s="637" t="inlineStr">
        <is>
          <t>GPN_33056</t>
        </is>
      </c>
      <c r="K3937" s="640" t="n">
        <v>2</v>
      </c>
      <c r="L3937" s="640" t="n">
        <v>1</v>
      </c>
      <c r="M3937" s="265" t="n">
        <v>2</v>
      </c>
      <c r="N3937" s="640" t="n"/>
      <c r="O3937" s="640">
        <f>IF(AND(N3937=1,L3937=1),K3937,"")</f>
        <v/>
      </c>
      <c r="P3937" s="642" t="inlineStr">
        <is>
          <t>г.Новокузнецк, ул.Обнорского, пр. Технический, 31(район магазина Практик)</t>
        </is>
      </c>
      <c r="Q3937" s="494" t="inlineStr">
        <is>
          <t>53.778216</t>
        </is>
      </c>
      <c r="R3937" s="494" t="inlineStr">
        <is>
          <t>87.222007</t>
        </is>
      </c>
    </row>
    <row r="3938" hidden="1">
      <c r="A3938" s="125" t="n">
        <v>4617</v>
      </c>
      <c r="B3938" s="791" t="n"/>
      <c r="C3938" s="130" t="inlineStr">
        <is>
          <t>Красноярск</t>
        </is>
      </c>
      <c r="D3938" s="130" t="inlineStr">
        <is>
          <t>Красноярский край</t>
        </is>
      </c>
      <c r="E3938" s="791" t="n"/>
      <c r="F3938" s="125" t="inlineStr">
        <is>
          <t>АЗС</t>
        </is>
      </c>
      <c r="G3938" s="125" t="inlineStr">
        <is>
          <t>Газпромнефть</t>
        </is>
      </c>
      <c r="H3938" s="791" t="n"/>
      <c r="I3938" s="637" t="n">
        <v>34223</v>
      </c>
      <c r="J3938" s="637" t="inlineStr">
        <is>
          <t>GPN_34223</t>
        </is>
      </c>
      <c r="K3938" s="640" t="n">
        <v>3</v>
      </c>
      <c r="L3938" s="640" t="n">
        <v>1</v>
      </c>
      <c r="M3938" s="265" t="n">
        <v>5</v>
      </c>
      <c r="N3938" s="640" t="n"/>
      <c r="O3938" s="640">
        <f>IF(AND(N3938=1,L3938=1),K3938,"")</f>
        <v/>
      </c>
      <c r="P3938" s="642" t="inlineStr">
        <is>
          <t>Красноярский край, Канский район, Р-255 Сибирь, 1044-й километр</t>
        </is>
      </c>
      <c r="Q3938" s="494" t="inlineStr">
        <is>
          <t>56.141509</t>
        </is>
      </c>
      <c r="R3938" s="494" t="inlineStr">
        <is>
          <t>95.659515</t>
        </is>
      </c>
    </row>
    <row r="3939" hidden="1">
      <c r="A3939" s="125" t="n">
        <v>4618</v>
      </c>
      <c r="B3939" s="791" t="n"/>
      <c r="C3939" s="130" t="inlineStr">
        <is>
          <t>Красноярск</t>
        </is>
      </c>
      <c r="D3939" s="130" t="inlineStr">
        <is>
          <t>Красноярский край</t>
        </is>
      </c>
      <c r="E3939" s="791" t="n"/>
      <c r="F3939" s="125" t="inlineStr">
        <is>
          <t>АЗС</t>
        </is>
      </c>
      <c r="G3939" s="125" t="inlineStr">
        <is>
          <t>Газпромнефть</t>
        </is>
      </c>
      <c r="H3939" s="791" t="n"/>
      <c r="I3939" s="637" t="n">
        <v>34276</v>
      </c>
      <c r="J3939" s="637" t="inlineStr">
        <is>
          <t>GPN_34276</t>
        </is>
      </c>
      <c r="K3939" s="640" t="n">
        <v>3</v>
      </c>
      <c r="L3939" s="640" t="n">
        <v>1</v>
      </c>
      <c r="M3939" s="265" t="n">
        <v>3</v>
      </c>
      <c r="N3939" s="640" t="n"/>
      <c r="O3939" s="640">
        <f>IF(AND(N3939=1,L3939=1),K3939,"")</f>
        <v/>
      </c>
      <c r="P3939" s="642" t="inlineStr">
        <is>
          <t>Зеленое пересечение автодороги "Енисей"-село Зеленое</t>
        </is>
      </c>
      <c r="Q3939" s="494" t="inlineStr">
        <is>
          <t>53.781272</t>
        </is>
      </c>
      <c r="R3939" s="494" t="inlineStr">
        <is>
          <t>91.359798</t>
        </is>
      </c>
    </row>
    <row r="3940" hidden="1">
      <c r="A3940" s="125" t="n">
        <v>4619</v>
      </c>
      <c r="B3940" s="791" t="n"/>
      <c r="C3940" s="125" t="inlineStr">
        <is>
          <t>Москва</t>
        </is>
      </c>
      <c r="D3940" s="125" t="inlineStr">
        <is>
          <t>Москва</t>
        </is>
      </c>
      <c r="E3940" s="130" t="inlineStr">
        <is>
          <t>B+</t>
        </is>
      </c>
      <c r="F3940" s="130" t="inlineStr">
        <is>
          <t>Бизнес центр</t>
        </is>
      </c>
      <c r="G3940" s="130" t="inlineStr">
        <is>
          <t>Бизнес центр</t>
        </is>
      </c>
      <c r="I3940" s="637" t="inlineStr">
        <is>
          <t>Смольный</t>
        </is>
      </c>
      <c r="J3940" s="637" t="inlineStr">
        <is>
          <t>MSK_BC_Smolniy</t>
        </is>
      </c>
      <c r="K3940" s="640" t="n">
        <v>2</v>
      </c>
      <c r="L3940" s="640" t="n">
        <v>1</v>
      </c>
      <c r="M3940" s="265" t="inlineStr">
        <is>
          <t>Samsung 43" вертикальный</t>
        </is>
      </c>
      <c r="N3940" s="640" t="n"/>
      <c r="O3940" s="640">
        <f>IF(AND(N3940=1,L3940=1),K3940,"")</f>
        <v/>
      </c>
      <c r="P3940" s="642" t="inlineStr">
        <is>
          <t>Москва, Смольная улица, 14</t>
        </is>
      </c>
      <c r="Q3940" s="494" t="inlineStr">
        <is>
          <t>55.850838</t>
        </is>
      </c>
      <c r="R3940" s="494" t="inlineStr">
        <is>
          <t>37.495509</t>
        </is>
      </c>
      <c r="S3940" s="387">
        <f>'Цены|Скидки'!$D$25</f>
        <v/>
      </c>
      <c r="T3940" s="387">
        <f>IF(N3940=1,S3940*O3940,0)</f>
        <v/>
      </c>
      <c r="Z3940" s="1" t="n"/>
    </row>
    <row r="3941" hidden="1">
      <c r="A3941" s="125" t="n">
        <v>4620</v>
      </c>
      <c r="B3941" s="791" t="n"/>
      <c r="C3941" s="130" t="inlineStr">
        <is>
          <t>Смоленск</t>
        </is>
      </c>
      <c r="D3941" s="130" t="inlineStr">
        <is>
          <t>Смоленская область</t>
        </is>
      </c>
      <c r="E3941" s="130" t="n"/>
      <c r="F3941" s="130" t="inlineStr">
        <is>
          <t>АЗС</t>
        </is>
      </c>
      <c r="G3941" s="130" t="inlineStr">
        <is>
          <t>Роснефть</t>
        </is>
      </c>
      <c r="H3941" s="421" t="n">
        <v>19</v>
      </c>
      <c r="I3941" s="637" t="inlineStr">
        <is>
          <t>70</t>
        </is>
      </c>
      <c r="J3941" s="637" t="inlineStr">
        <is>
          <t>SMO_RN_0070</t>
        </is>
      </c>
      <c r="K3941" s="640" t="n">
        <v>1</v>
      </c>
      <c r="L3941" s="640" t="n">
        <v>1</v>
      </c>
      <c r="M3941" s="265" t="inlineStr">
        <is>
          <t>Samsung 32" вертикальный</t>
        </is>
      </c>
      <c r="N3941" s="640" t="n"/>
      <c r="O3941" s="640">
        <f>IF(AND(N3941=1,L3941=1),K3941,"")</f>
        <v/>
      </c>
      <c r="P3941" s="642" t="inlineStr">
        <is>
          <t>Смоленская обл., Смоленский р-н, с.Талашкино</t>
        </is>
      </c>
      <c r="Q3941" s="494" t="inlineStr">
        <is>
          <t>54.657534</t>
        </is>
      </c>
      <c r="R3941" s="494" t="inlineStr">
        <is>
          <t>32.162761</t>
        </is>
      </c>
    </row>
    <row r="3942" hidden="1">
      <c r="A3942" s="125" t="n">
        <v>4621</v>
      </c>
      <c r="B3942" s="791" t="n"/>
      <c r="C3942" s="125" t="inlineStr">
        <is>
          <t>Москва</t>
        </is>
      </c>
      <c r="D3942" s="130" t="inlineStr">
        <is>
          <t>Москва</t>
        </is>
      </c>
      <c r="E3942" s="791" t="n"/>
      <c r="F3942" s="125" t="inlineStr">
        <is>
          <t>Супермаркет</t>
        </is>
      </c>
      <c r="G3942" s="125" t="inlineStr">
        <is>
          <t>Азбука Вкуса</t>
        </is>
      </c>
      <c r="H3942" s="791" t="n"/>
      <c r="I3942" s="637" t="inlineStr">
        <is>
          <t>172_Daily</t>
        </is>
      </c>
      <c r="J3942" s="637" t="inlineStr">
        <is>
          <t>MSK_D_172</t>
        </is>
      </c>
      <c r="K3942" s="640" t="n">
        <v>2</v>
      </c>
      <c r="L3942" s="640" t="n">
        <v>1</v>
      </c>
      <c r="M3942" s="265" t="inlineStr">
        <is>
          <t>Samsung 43" вертикальный</t>
        </is>
      </c>
      <c r="N3942" s="640" t="n"/>
      <c r="O3942" s="640">
        <f>IF(AND(N3942=1,L3942=1),K3942,"")</f>
        <v/>
      </c>
      <c r="P3942" s="642" t="inlineStr">
        <is>
          <t>Москва, Кутузовский проспект, 32 к.1</t>
        </is>
      </c>
      <c r="Q3942" s="494" t="inlineStr">
        <is>
          <t>55.741256</t>
        </is>
      </c>
      <c r="R3942" s="494" t="inlineStr">
        <is>
          <t>37.532044</t>
        </is>
      </c>
      <c r="S3942" s="387" t="n">
        <v>24</v>
      </c>
      <c r="T3942" s="436">
        <f>IF(N3942=1,O3942*S3942,"")</f>
        <v/>
      </c>
    </row>
    <row r="3943" hidden="1">
      <c r="A3943" s="125" t="n">
        <v>4622</v>
      </c>
      <c r="B3943" s="791" t="n"/>
      <c r="C3943" s="125" t="inlineStr">
        <is>
          <t>Москва</t>
        </is>
      </c>
      <c r="D3943" s="130" t="inlineStr">
        <is>
          <t>Москва</t>
        </is>
      </c>
      <c r="E3943" s="791" t="n"/>
      <c r="F3943" s="125" t="inlineStr">
        <is>
          <t>Супермаркет</t>
        </is>
      </c>
      <c r="G3943" s="125" t="inlineStr">
        <is>
          <t>Азбука Вкуса</t>
        </is>
      </c>
      <c r="H3943" s="791" t="n"/>
      <c r="I3943" s="637" t="n">
        <v>173</v>
      </c>
      <c r="J3943" s="637" t="inlineStr">
        <is>
          <t>MSK_A_173</t>
        </is>
      </c>
      <c r="K3943" s="640" t="n">
        <v>3</v>
      </c>
      <c r="L3943" s="640" t="n">
        <v>1</v>
      </c>
      <c r="M3943" s="265" t="inlineStr">
        <is>
          <t>Samsung 43" вертикальный</t>
        </is>
      </c>
      <c r="N3943" s="640" t="n"/>
      <c r="O3943" s="640">
        <f>IF(AND(N3943=1,L3943=1),K3943,"")</f>
        <v/>
      </c>
      <c r="P3943" s="642" t="inlineStr">
        <is>
          <t>Москва, Академика Пилюгина 10</t>
        </is>
      </c>
      <c r="Q3943" s="494" t="inlineStr">
        <is>
          <t>55.668935</t>
        </is>
      </c>
      <c r="R3943" s="494" t="inlineStr">
        <is>
          <t>37.539796</t>
        </is>
      </c>
      <c r="S3943" s="387" t="n">
        <v>24</v>
      </c>
      <c r="T3943" s="436">
        <f>IF(N3943=1,O3943*S3943,"")</f>
        <v/>
      </c>
    </row>
    <row r="3944" hidden="1">
      <c r="A3944" s="125" t="n">
        <v>4623</v>
      </c>
      <c r="B3944" s="125" t="n"/>
      <c r="C3944" s="130" t="inlineStr">
        <is>
          <t>Самара</t>
        </is>
      </c>
      <c r="D3944" s="130" t="inlineStr">
        <is>
          <t>Тольятти</t>
        </is>
      </c>
      <c r="E3944" s="130" t="n"/>
      <c r="F3944" s="130" t="inlineStr">
        <is>
          <t>АЗС</t>
        </is>
      </c>
      <c r="G3944" s="130" t="inlineStr">
        <is>
          <t>Роснефть</t>
        </is>
      </c>
      <c r="H3944" s="131" t="inlineStr">
        <is>
          <t>АЗК № 48</t>
        </is>
      </c>
      <c r="I3944" s="637" t="inlineStr">
        <is>
          <t>RN_48</t>
        </is>
      </c>
      <c r="J3944" s="637" t="inlineStr">
        <is>
          <t>SMR_RN_0048</t>
        </is>
      </c>
      <c r="K3944" s="640" t="n">
        <v>2</v>
      </c>
      <c r="L3944" s="640" t="n">
        <v>1</v>
      </c>
      <c r="M3944" s="265" t="inlineStr">
        <is>
          <t>Samsung 32" вертикальный</t>
        </is>
      </c>
      <c r="N3944" s="640" t="n"/>
      <c r="O3944" s="640">
        <f>IF(AND(N3944=1,L3944=1),K3944,"")</f>
        <v/>
      </c>
      <c r="P3944" s="642" t="inlineStr">
        <is>
          <t>г. Тольятти, Самарская обл.,Цетральный р-н,  ул. Новозаводская д. 41 Б</t>
        </is>
      </c>
      <c r="Q3944" s="494" t="inlineStr">
        <is>
          <t>53.534640</t>
        </is>
      </c>
      <c r="R3944" s="494" t="inlineStr">
        <is>
          <t>49.438817</t>
        </is>
      </c>
    </row>
    <row r="3945" hidden="1">
      <c r="A3945" s="125" t="n">
        <v>4624</v>
      </c>
      <c r="B3945" s="791" t="n"/>
      <c r="C3945" s="130" t="inlineStr">
        <is>
          <t>Алтайский край</t>
        </is>
      </c>
      <c r="D3945" s="130" t="inlineStr">
        <is>
          <t>Алтайский край</t>
        </is>
      </c>
      <c r="E3945" s="791" t="n"/>
      <c r="F3945" s="125" t="inlineStr">
        <is>
          <t>АЗС</t>
        </is>
      </c>
      <c r="G3945" s="125" t="inlineStr">
        <is>
          <t>Газпромнефть</t>
        </is>
      </c>
      <c r="H3945" s="791" t="n"/>
      <c r="I3945" s="637" t="n">
        <v>32196</v>
      </c>
      <c r="J3945" s="637" t="inlineStr">
        <is>
          <t>GPN_32196</t>
        </is>
      </c>
      <c r="K3945" s="640" t="n">
        <v>3</v>
      </c>
      <c r="L3945" s="640" t="n">
        <v>1</v>
      </c>
      <c r="M3945" s="265" t="n">
        <v>5</v>
      </c>
      <c r="N3945" s="640" t="n"/>
      <c r="O3945" s="640">
        <f>IF(AND(N3945=1,L3945=1),K3945,"")</f>
        <v/>
      </c>
      <c r="P3945" s="642" t="inlineStr">
        <is>
          <t>Алтайский край, Тальменский район, трасса Новосибирск-Ташанта, в 480 м от Тальменского КДС</t>
        </is>
      </c>
      <c r="Q3945" s="494" t="inlineStr">
        <is>
          <t>53.8078</t>
        </is>
      </c>
      <c r="R3945" s="494" t="inlineStr">
        <is>
          <t xml:space="preserve"> 83.50832</t>
        </is>
      </c>
    </row>
    <row r="3946" hidden="1">
      <c r="A3946" s="125" t="n">
        <v>4625</v>
      </c>
      <c r="B3946" s="791" t="n"/>
      <c r="C3946" s="130" t="inlineStr">
        <is>
          <t>Алтайский край</t>
        </is>
      </c>
      <c r="D3946" s="130" t="inlineStr">
        <is>
          <t>Алтайский край</t>
        </is>
      </c>
      <c r="E3946" s="791" t="n"/>
      <c r="F3946" s="125" t="inlineStr">
        <is>
          <t>АЗС</t>
        </is>
      </c>
      <c r="G3946" s="125" t="inlineStr">
        <is>
          <t>Газпромнефть</t>
        </is>
      </c>
      <c r="H3946" s="791" t="n"/>
      <c r="I3946" s="637" t="n">
        <v>32565</v>
      </c>
      <c r="J3946" s="637" t="inlineStr">
        <is>
          <t>GPN_32565</t>
        </is>
      </c>
      <c r="K3946" s="640" t="n">
        <v>3</v>
      </c>
      <c r="L3946" s="640" t="n">
        <v>1</v>
      </c>
      <c r="M3946" s="265" t="n">
        <v>5</v>
      </c>
      <c r="N3946" s="640" t="n"/>
      <c r="O3946" s="640">
        <f>IF(AND(N3946=1,L3946=1),K3946,"")</f>
        <v/>
      </c>
      <c r="P3946" s="642" t="inlineStr">
        <is>
          <t xml:space="preserve">Алтайский край, г. Бийск, в 40 м западнее жилого дома по ул. Дубильная, 8 </t>
        </is>
      </c>
      <c r="Q3946" s="494" t="inlineStr">
        <is>
          <t xml:space="preserve">52.50043 </t>
        </is>
      </c>
      <c r="R3946" s="494" t="inlineStr">
        <is>
          <t>85.179</t>
        </is>
      </c>
    </row>
    <row r="3947" hidden="1">
      <c r="A3947" s="125" t="n">
        <v>4626</v>
      </c>
      <c r="B3947" s="791" t="n"/>
      <c r="C3947" s="130" t="inlineStr">
        <is>
          <t>Красноярск</t>
        </is>
      </c>
      <c r="D3947" s="130" t="inlineStr">
        <is>
          <t>Красноярский край</t>
        </is>
      </c>
      <c r="E3947" s="791" t="n"/>
      <c r="F3947" s="125" t="inlineStr">
        <is>
          <t>АЗС</t>
        </is>
      </c>
      <c r="G3947" s="125" t="inlineStr">
        <is>
          <t>Газпромнефть</t>
        </is>
      </c>
      <c r="H3947" s="791" t="n"/>
      <c r="I3947" s="637" t="n">
        <v>34195</v>
      </c>
      <c r="J3947" s="637" t="inlineStr">
        <is>
          <t>GPN_34195</t>
        </is>
      </c>
      <c r="K3947" s="640" t="n">
        <v>3</v>
      </c>
      <c r="L3947" s="640" t="n">
        <v>1</v>
      </c>
      <c r="M3947" s="265" t="n">
        <v>5</v>
      </c>
      <c r="N3947" s="640" t="n"/>
      <c r="O3947" s="640">
        <f>IF(AND(N3947=1,L3947=1),K3947,"")</f>
        <v/>
      </c>
      <c r="P3947" s="642" t="inlineStr">
        <is>
          <t>Красноярскай край, г. Минусинск, ул. Чайковского, д. 59</t>
        </is>
      </c>
      <c r="Q3947" s="494" t="inlineStr">
        <is>
          <t xml:space="preserve">53.68404 </t>
        </is>
      </c>
      <c r="R3947" s="494" t="inlineStr">
        <is>
          <t>91.69709</t>
        </is>
      </c>
    </row>
    <row r="3948" hidden="1">
      <c r="A3948" s="125" t="n">
        <v>4627</v>
      </c>
      <c r="B3948" s="791" t="n"/>
      <c r="C3948" s="130" t="inlineStr">
        <is>
          <t>Алтайский край</t>
        </is>
      </c>
      <c r="D3948" s="130" t="inlineStr">
        <is>
          <t>Томская область</t>
        </is>
      </c>
      <c r="E3948" s="791" t="n"/>
      <c r="F3948" s="125" t="inlineStr">
        <is>
          <t>АЗС</t>
        </is>
      </c>
      <c r="G3948" s="125" t="inlineStr">
        <is>
          <t>Газпромнефть</t>
        </is>
      </c>
      <c r="H3948" s="791" t="n"/>
      <c r="I3948" s="637" t="n">
        <v>33104</v>
      </c>
      <c r="J3948" s="637" t="inlineStr">
        <is>
          <t>GPN_33104</t>
        </is>
      </c>
      <c r="K3948" s="640" t="n">
        <v>3</v>
      </c>
      <c r="L3948" s="640" t="n">
        <v>1</v>
      </c>
      <c r="M3948" s="265" t="n">
        <v>4</v>
      </c>
      <c r="N3948" s="640" t="n"/>
      <c r="O3948" s="640">
        <f>IF(AND(N3948=1,L3948=1),K3948,"")</f>
        <v/>
      </c>
      <c r="P3948" s="642" t="inlineStr">
        <is>
          <t>Томская обл. с.Тимирязево</t>
        </is>
      </c>
      <c r="Q3948" s="494" t="inlineStr">
        <is>
          <t xml:space="preserve">56.48411 </t>
        </is>
      </c>
      <c r="R3948" s="494" t="inlineStr">
        <is>
          <t>84.86702</t>
        </is>
      </c>
    </row>
    <row r="3949" hidden="1">
      <c r="A3949" s="125" t="n">
        <v>4628</v>
      </c>
      <c r="B3949" s="791" t="n"/>
      <c r="C3949" s="130" t="inlineStr">
        <is>
          <t>Новосибирск</t>
        </is>
      </c>
      <c r="D3949" s="130" t="inlineStr">
        <is>
          <t>Новосибирская область</t>
        </is>
      </c>
      <c r="E3949" s="791" t="n"/>
      <c r="F3949" s="125" t="inlineStr">
        <is>
          <t>АЗС</t>
        </is>
      </c>
      <c r="G3949" s="125" t="inlineStr">
        <is>
          <t>Газпромнефть</t>
        </is>
      </c>
      <c r="H3949" s="791" t="n"/>
      <c r="I3949" s="637" t="n">
        <v>30109</v>
      </c>
      <c r="J3949" s="637" t="inlineStr">
        <is>
          <t>GPN_30109</t>
        </is>
      </c>
      <c r="K3949" s="640" t="n">
        <v>3</v>
      </c>
      <c r="L3949" s="640" t="n">
        <v>1</v>
      </c>
      <c r="M3949" s="265" t="n">
        <v>3</v>
      </c>
      <c r="N3949" s="640" t="n"/>
      <c r="O3949" s="640">
        <f>IF(AND(N3949=1,L3949=1),K3949,"")</f>
        <v/>
      </c>
      <c r="P3949" s="642" t="inlineStr">
        <is>
          <t>р.п. Колывань, ул. Мира, 14</t>
        </is>
      </c>
      <c r="Q3949" s="494" t="inlineStr">
        <is>
          <t>55.317295</t>
        </is>
      </c>
      <c r="R3949" s="494" t="inlineStr">
        <is>
          <t>82.735500</t>
        </is>
      </c>
    </row>
    <row r="3950" hidden="1">
      <c r="A3950" s="125" t="n">
        <v>4629</v>
      </c>
      <c r="B3950" s="791" t="n"/>
      <c r="C3950" s="130" t="inlineStr">
        <is>
          <t>Санкт-Петербург</t>
        </is>
      </c>
      <c r="D3950" s="130" t="inlineStr">
        <is>
          <t>Ленинградская область</t>
        </is>
      </c>
      <c r="E3950" s="791" t="n"/>
      <c r="F3950" s="125" t="inlineStr">
        <is>
          <t>АЗС</t>
        </is>
      </c>
      <c r="G3950" s="125" t="inlineStr">
        <is>
          <t>Газпромнефть</t>
        </is>
      </c>
      <c r="H3950" s="791" t="n"/>
      <c r="I3950" s="637" t="n">
        <v>10146</v>
      </c>
      <c r="J3950" s="637" t="inlineStr">
        <is>
          <t>GPN_10146</t>
        </is>
      </c>
      <c r="K3950" s="640" t="n">
        <v>3</v>
      </c>
      <c r="L3950" s="640" t="n">
        <v>1</v>
      </c>
      <c r="M3950" s="265" t="n">
        <v>3</v>
      </c>
      <c r="N3950" s="640" t="n"/>
      <c r="O3950" s="640">
        <f>IF(AND(N3950=1,L3950=1),K3950,"")</f>
        <v/>
      </c>
      <c r="P3950" s="642" t="inlineStr">
        <is>
          <t>ЛО, Гатчинский р-н, д.Антелево, д.33, лит.А</t>
        </is>
      </c>
      <c r="Q3950" s="494" t="inlineStr">
        <is>
          <t>59.605570</t>
        </is>
      </c>
      <c r="R3950" s="494" t="inlineStr">
        <is>
          <t>30.343203</t>
        </is>
      </c>
    </row>
    <row r="3951" hidden="1">
      <c r="A3951" s="125" t="n">
        <v>4630</v>
      </c>
      <c r="B3951" s="791" t="n"/>
      <c r="C3951" s="130" t="inlineStr">
        <is>
          <t>Санкт-Петербург</t>
        </is>
      </c>
      <c r="D3951" s="130" t="inlineStr">
        <is>
          <t>Ленинградская область</t>
        </is>
      </c>
      <c r="E3951" s="791" t="n"/>
      <c r="F3951" s="125" t="inlineStr">
        <is>
          <t>АЗС</t>
        </is>
      </c>
      <c r="G3951" s="125" t="inlineStr">
        <is>
          <t>Газпромнефть</t>
        </is>
      </c>
      <c r="H3951" s="791" t="n"/>
      <c r="I3951" s="637" t="n">
        <v>10147</v>
      </c>
      <c r="J3951" s="637" t="inlineStr">
        <is>
          <t>GPN_10147</t>
        </is>
      </c>
      <c r="K3951" s="640" t="n">
        <v>2</v>
      </c>
      <c r="L3951" s="640" t="n">
        <v>1</v>
      </c>
      <c r="M3951" s="265" t="n">
        <v>2</v>
      </c>
      <c r="N3951" s="640" t="n"/>
      <c r="O3951" s="640">
        <f>IF(AND(N3951=1,L3951=1),K3951,"")</f>
        <v/>
      </c>
      <c r="P3951" s="642" t="inlineStr">
        <is>
          <t>Ленинградская обл., г.Гатчина, ул.Ополченцев-Балтийцев, д.42Б</t>
        </is>
      </c>
      <c r="Q3951" s="494" t="inlineStr">
        <is>
          <t>59.542987</t>
        </is>
      </c>
      <c r="R3951" s="494" t="inlineStr">
        <is>
          <t>30.138921</t>
        </is>
      </c>
    </row>
    <row r="3952" hidden="1">
      <c r="A3952" s="125" t="n">
        <v>4631</v>
      </c>
      <c r="B3952" s="791" t="n"/>
      <c r="C3952" s="130" t="inlineStr">
        <is>
          <t>Санкт-Петербург</t>
        </is>
      </c>
      <c r="D3952" s="130" t="inlineStr">
        <is>
          <t>Санкт-Петербург</t>
        </is>
      </c>
      <c r="E3952" s="791" t="n"/>
      <c r="F3952" s="125" t="inlineStr">
        <is>
          <t>АЗС</t>
        </is>
      </c>
      <c r="G3952" s="125" t="inlineStr">
        <is>
          <t>Газпромнефть</t>
        </is>
      </c>
      <c r="H3952" s="791" t="n"/>
      <c r="I3952" s="637" t="n">
        <v>10151</v>
      </c>
      <c r="J3952" s="637" t="inlineStr">
        <is>
          <t>GPN_10151</t>
        </is>
      </c>
      <c r="K3952" s="640" t="n">
        <v>3</v>
      </c>
      <c r="L3952" s="640" t="n">
        <v>1</v>
      </c>
      <c r="M3952" s="265" t="n">
        <v>5</v>
      </c>
      <c r="N3952" s="640" t="n"/>
      <c r="O3952" s="640">
        <f>IF(AND(N3952=1,L3952=1),K3952,"")</f>
        <v/>
      </c>
      <c r="P3952" s="642" t="inlineStr">
        <is>
          <t>г. Санкт-Петербург, Химический пер. 1/ 1</t>
        </is>
      </c>
      <c r="Q3952" s="494" t="inlineStr">
        <is>
          <t>59.890954</t>
        </is>
      </c>
      <c r="R3952" s="494" t="inlineStr">
        <is>
          <t>30.280744</t>
        </is>
      </c>
    </row>
    <row r="3953" hidden="1">
      <c r="A3953" s="125" t="n">
        <v>4632</v>
      </c>
      <c r="B3953" s="791" t="n"/>
      <c r="C3953" s="130" t="inlineStr">
        <is>
          <t>Санкт-Петербург</t>
        </is>
      </c>
      <c r="D3953" s="130" t="inlineStr">
        <is>
          <t>Мурманск</t>
        </is>
      </c>
      <c r="E3953" s="791" t="n"/>
      <c r="F3953" s="125" t="inlineStr">
        <is>
          <t>АЗС</t>
        </is>
      </c>
      <c r="G3953" s="125" t="inlineStr">
        <is>
          <t>Газпромнефть</t>
        </is>
      </c>
      <c r="H3953" s="791" t="n"/>
      <c r="I3953" s="637" t="n">
        <v>10153</v>
      </c>
      <c r="J3953" s="637" t="inlineStr">
        <is>
          <t>GPN_10153</t>
        </is>
      </c>
      <c r="K3953" s="640" t="n">
        <v>3</v>
      </c>
      <c r="L3953" s="640" t="n">
        <v>1</v>
      </c>
      <c r="M3953" s="265" t="n">
        <v>3</v>
      </c>
      <c r="N3953" s="640" t="n"/>
      <c r="O3953" s="640">
        <f>IF(AND(N3953=1,L3953=1),K3953,"")</f>
        <v/>
      </c>
      <c r="P3953" s="642" t="inlineStr">
        <is>
          <t>г.Мурманск, Нижне-Ростинское ш., 6</t>
        </is>
      </c>
      <c r="Q3953" s="494" t="inlineStr">
        <is>
          <t>68.983314</t>
        </is>
      </c>
      <c r="R3953" s="494" t="inlineStr">
        <is>
          <t>33.076052</t>
        </is>
      </c>
    </row>
    <row r="3954" hidden="1">
      <c r="A3954" s="125" t="n">
        <v>4633</v>
      </c>
      <c r="B3954" s="791" t="n"/>
      <c r="C3954" s="130" t="inlineStr">
        <is>
          <t>Санкт-Петербург</t>
        </is>
      </c>
      <c r="D3954" s="130" t="inlineStr">
        <is>
          <t>Мурманск</t>
        </is>
      </c>
      <c r="E3954" s="791" t="n"/>
      <c r="F3954" s="125" t="inlineStr">
        <is>
          <t>АЗС</t>
        </is>
      </c>
      <c r="G3954" s="125" t="inlineStr">
        <is>
          <t>Газпромнефть</t>
        </is>
      </c>
      <c r="H3954" s="791" t="n"/>
      <c r="I3954" s="637" t="n">
        <v>10154</v>
      </c>
      <c r="J3954" s="637" t="inlineStr">
        <is>
          <t>GPN_10154</t>
        </is>
      </c>
      <c r="K3954" s="640" t="n">
        <v>3</v>
      </c>
      <c r="L3954" s="640" t="n">
        <v>1</v>
      </c>
      <c r="M3954" s="265" t="n">
        <v>3</v>
      </c>
      <c r="N3954" s="640" t="n"/>
      <c r="O3954" s="640">
        <f>IF(AND(N3954=1,L3954=1),K3954,"")</f>
        <v/>
      </c>
      <c r="P3954" s="642" t="inlineStr">
        <is>
          <t>г. Мурманск, Верхне-Ростинское ш., 31</t>
        </is>
      </c>
      <c r="Q3954" s="494" t="inlineStr">
        <is>
          <t>68.983023</t>
        </is>
      </c>
      <c r="R3954" s="494" t="inlineStr">
        <is>
          <t>33.109813</t>
        </is>
      </c>
    </row>
    <row r="3955" hidden="1">
      <c r="A3955" s="125" t="n">
        <v>4634</v>
      </c>
      <c r="B3955" s="791" t="n"/>
      <c r="C3955" s="130" t="inlineStr">
        <is>
          <t>Санкт-Петербург</t>
        </is>
      </c>
      <c r="D3955" s="130" t="inlineStr">
        <is>
          <t>Мурманск</t>
        </is>
      </c>
      <c r="E3955" s="791" t="n"/>
      <c r="F3955" s="125" t="inlineStr">
        <is>
          <t>АЗС</t>
        </is>
      </c>
      <c r="G3955" s="125" t="inlineStr">
        <is>
          <t>Газпромнефть</t>
        </is>
      </c>
      <c r="H3955" s="791" t="n"/>
      <c r="I3955" s="637" t="n">
        <v>10155</v>
      </c>
      <c r="J3955" s="637" t="inlineStr">
        <is>
          <t>GPN_10155</t>
        </is>
      </c>
      <c r="K3955" s="640" t="n">
        <v>3</v>
      </c>
      <c r="L3955" s="640" t="n">
        <v>1</v>
      </c>
      <c r="M3955" s="265" t="n">
        <v>3</v>
      </c>
      <c r="N3955" s="640" t="n"/>
      <c r="O3955" s="640">
        <f>IF(AND(N3955=1,L3955=1),K3955,"")</f>
        <v/>
      </c>
      <c r="P3955" s="642" t="inlineStr">
        <is>
          <t>г. Мурманск, ул. Подгорная, 136</t>
        </is>
      </c>
      <c r="Q3955" s="494" t="inlineStr">
        <is>
          <t>68.926449</t>
        </is>
      </c>
      <c r="R3955" s="494" t="inlineStr">
        <is>
          <t>33.047133</t>
        </is>
      </c>
    </row>
    <row r="3956" hidden="1">
      <c r="A3956" s="125" t="n">
        <v>4635</v>
      </c>
      <c r="B3956" s="791" t="n"/>
      <c r="C3956" s="130" t="inlineStr">
        <is>
          <t>Санкт-Петербург</t>
        </is>
      </c>
      <c r="D3956" s="130" t="inlineStr">
        <is>
          <t>Мурманская область</t>
        </is>
      </c>
      <c r="E3956" s="791" t="n"/>
      <c r="F3956" s="125" t="inlineStr">
        <is>
          <t>АЗС</t>
        </is>
      </c>
      <c r="G3956" s="125" t="inlineStr">
        <is>
          <t>Газпромнефть</t>
        </is>
      </c>
      <c r="H3956" s="791" t="n"/>
      <c r="I3956" s="637" t="n">
        <v>10156</v>
      </c>
      <c r="J3956" s="637" t="inlineStr">
        <is>
          <t>GPN_10156</t>
        </is>
      </c>
      <c r="K3956" s="640" t="n">
        <v>3</v>
      </c>
      <c r="L3956" s="640" t="n">
        <v>1</v>
      </c>
      <c r="M3956" s="265" t="n">
        <v>4</v>
      </c>
      <c r="N3956" s="640" t="n"/>
      <c r="O3956" s="640">
        <f>IF(AND(N3956=1,L3956=1),K3956,"")</f>
        <v/>
      </c>
      <c r="P3956" s="642" t="inlineStr">
        <is>
          <t>г.Кола, Заводская ул., 3а</t>
        </is>
      </c>
      <c r="Q3956" s="494" t="inlineStr">
        <is>
          <t>68.879544</t>
        </is>
      </c>
      <c r="R3956" s="494" t="inlineStr">
        <is>
          <t>33.040770</t>
        </is>
      </c>
    </row>
    <row r="3957" hidden="1">
      <c r="A3957" s="125" t="n">
        <v>4636</v>
      </c>
      <c r="B3957" s="791" t="n"/>
      <c r="C3957" s="130" t="inlineStr">
        <is>
          <t>Санкт-Петербург</t>
        </is>
      </c>
      <c r="D3957" s="130" t="inlineStr">
        <is>
          <t>Мурманск</t>
        </is>
      </c>
      <c r="E3957" s="791" t="n"/>
      <c r="F3957" s="125" t="inlineStr">
        <is>
          <t>АЗС</t>
        </is>
      </c>
      <c r="G3957" s="125" t="inlineStr">
        <is>
          <t>Газпромнефть</t>
        </is>
      </c>
      <c r="H3957" s="791" t="n"/>
      <c r="I3957" s="637" t="n">
        <v>10162</v>
      </c>
      <c r="J3957" s="637" t="inlineStr">
        <is>
          <t>GPN_10162</t>
        </is>
      </c>
      <c r="K3957" s="640" t="n">
        <v>3</v>
      </c>
      <c r="L3957" s="640" t="n">
        <v>1</v>
      </c>
      <c r="M3957" s="265" t="n">
        <v>3</v>
      </c>
      <c r="N3957" s="640" t="n"/>
      <c r="O3957" s="640">
        <f>IF(AND(N3957=1,L3957=1),K3957,"")</f>
        <v/>
      </c>
      <c r="P3957" s="642" t="inlineStr">
        <is>
          <t>г.Мурманск, пр.Героев-Североморцев, 40</t>
        </is>
      </c>
      <c r="Q3957" s="494" t="inlineStr">
        <is>
          <t>69.002262</t>
        </is>
      </c>
      <c r="R3957" s="494" t="inlineStr">
        <is>
          <t>33.095624</t>
        </is>
      </c>
    </row>
    <row r="3958" hidden="1">
      <c r="A3958" s="125" t="n">
        <v>4637</v>
      </c>
      <c r="B3958" s="791" t="n"/>
      <c r="C3958" s="130" t="inlineStr">
        <is>
          <t>Санкт-Петербург</t>
        </is>
      </c>
      <c r="D3958" s="130" t="inlineStr">
        <is>
          <t>Мурманск</t>
        </is>
      </c>
      <c r="E3958" s="791" t="n"/>
      <c r="F3958" s="125" t="inlineStr">
        <is>
          <t>АЗС</t>
        </is>
      </c>
      <c r="G3958" s="125" t="inlineStr">
        <is>
          <t>Газпромнефть</t>
        </is>
      </c>
      <c r="H3958" s="791" t="n"/>
      <c r="I3958" s="637" t="n">
        <v>10163</v>
      </c>
      <c r="J3958" s="637" t="inlineStr">
        <is>
          <t>GPN_10163</t>
        </is>
      </c>
      <c r="K3958" s="640" t="n">
        <v>3</v>
      </c>
      <c r="L3958" s="640" t="n">
        <v>1</v>
      </c>
      <c r="M3958" s="265" t="n">
        <v>3</v>
      </c>
      <c r="N3958" s="640" t="n"/>
      <c r="O3958" s="640">
        <f>IF(AND(N3958=1,L3958=1),K3958,"")</f>
        <v/>
      </c>
      <c r="P3958" s="642" t="inlineStr">
        <is>
          <t>г.Мурманск, просп. Героев-Североморцев, 100</t>
        </is>
      </c>
      <c r="Q3958" s="494" t="inlineStr">
        <is>
          <t>69.018382</t>
        </is>
      </c>
      <c r="R3958" s="494" t="inlineStr">
        <is>
          <t>33.111827</t>
        </is>
      </c>
    </row>
    <row r="3959" hidden="1">
      <c r="A3959" s="125" t="n">
        <v>4638</v>
      </c>
      <c r="B3959" s="791" t="n"/>
      <c r="C3959" s="130" t="inlineStr">
        <is>
          <t>Санкт-Петербург</t>
        </is>
      </c>
      <c r="D3959" s="130" t="inlineStr">
        <is>
          <t>Санкт-Петербург</t>
        </is>
      </c>
      <c r="E3959" s="791" t="n"/>
      <c r="F3959" s="125" t="inlineStr">
        <is>
          <t>АЗС</t>
        </is>
      </c>
      <c r="G3959" s="125" t="inlineStr">
        <is>
          <t>Газпромнефть</t>
        </is>
      </c>
      <c r="H3959" s="791" t="n"/>
      <c r="I3959" s="637" t="n">
        <v>10165</v>
      </c>
      <c r="J3959" s="637" t="inlineStr">
        <is>
          <t>GPN_10165</t>
        </is>
      </c>
      <c r="K3959" s="640" t="n">
        <v>3</v>
      </c>
      <c r="L3959" s="640" t="n">
        <v>1</v>
      </c>
      <c r="M3959" s="265" t="n">
        <v>4</v>
      </c>
      <c r="N3959" s="640" t="n"/>
      <c r="O3959" s="640">
        <f>IF(AND(N3959=1,L3959=1),K3959,"")</f>
        <v/>
      </c>
      <c r="P3959" s="642" t="inlineStr">
        <is>
          <t>г. Санкт-Петербург ул. Витебский проспект 130</t>
        </is>
      </c>
      <c r="Q3959" s="494" t="inlineStr">
        <is>
          <t>59.792224</t>
        </is>
      </c>
      <c r="R3959" s="494" t="inlineStr">
        <is>
          <t>30.393787</t>
        </is>
      </c>
    </row>
    <row r="3960" hidden="1">
      <c r="A3960" s="125" t="n">
        <v>4639</v>
      </c>
      <c r="B3960" s="791" t="n"/>
      <c r="C3960" s="130" t="inlineStr">
        <is>
          <t>Екатеринбург</t>
        </is>
      </c>
      <c r="D3960" s="130" t="inlineStr">
        <is>
          <t>Пермь</t>
        </is>
      </c>
      <c r="E3960" s="791" t="n"/>
      <c r="F3960" s="125" t="inlineStr">
        <is>
          <t>АЗС</t>
        </is>
      </c>
      <c r="G3960" s="125" t="inlineStr">
        <is>
          <t>Газпромнефть</t>
        </is>
      </c>
      <c r="H3960" s="791" t="n"/>
      <c r="I3960" s="637" t="n">
        <v>20508</v>
      </c>
      <c r="J3960" s="637" t="inlineStr">
        <is>
          <t>GPN_20508</t>
        </is>
      </c>
      <c r="K3960" s="640" t="n">
        <v>3</v>
      </c>
      <c r="L3960" s="640" t="n">
        <v>1</v>
      </c>
      <c r="M3960" s="265" t="n">
        <v>3</v>
      </c>
      <c r="N3960" s="640" t="n"/>
      <c r="O3960" s="640">
        <f>IF(AND(N3960=1,L3960=1),K3960,"")</f>
        <v/>
      </c>
      <c r="P3960" s="642" t="inlineStr">
        <is>
          <t>г. Пермь, Кондратовское с/п, д. Берег Камы</t>
        </is>
      </c>
      <c r="Q3960" s="494" t="inlineStr">
        <is>
          <t>58.00387</t>
        </is>
      </c>
      <c r="R3960" s="494" t="inlineStr">
        <is>
          <t>56.05546</t>
        </is>
      </c>
    </row>
    <row r="3961" hidden="1">
      <c r="A3961" s="125" t="n">
        <v>4640</v>
      </c>
      <c r="B3961" s="791" t="n"/>
      <c r="C3961" s="130" t="inlineStr">
        <is>
          <t>Екатеринбург</t>
        </is>
      </c>
      <c r="D3961" s="130" t="inlineStr">
        <is>
          <t>Пермь</t>
        </is>
      </c>
      <c r="E3961" s="791" t="n"/>
      <c r="F3961" s="125" t="inlineStr">
        <is>
          <t>АЗС</t>
        </is>
      </c>
      <c r="G3961" s="125" t="inlineStr">
        <is>
          <t>Газпромнефть</t>
        </is>
      </c>
      <c r="H3961" s="791" t="n"/>
      <c r="I3961" s="637" t="n">
        <v>20515</v>
      </c>
      <c r="J3961" s="637" t="inlineStr">
        <is>
          <t>GPN_20515</t>
        </is>
      </c>
      <c r="K3961" s="640" t="n">
        <v>3</v>
      </c>
      <c r="L3961" s="640" t="n">
        <v>0</v>
      </c>
      <c r="M3961" s="265" t="n">
        <v>3</v>
      </c>
      <c r="N3961" s="640" t="n"/>
      <c r="O3961" s="640">
        <f>IF(AND(N3961=1,L3961=1),K3961,"")</f>
        <v/>
      </c>
      <c r="P3961" s="642" t="inlineStr">
        <is>
          <t>г. Пермь, шоссе Космонавтов 19а</t>
        </is>
      </c>
      <c r="Q3961" s="494" t="inlineStr">
        <is>
          <t>57.999940</t>
        </is>
      </c>
      <c r="R3961" s="494" t="inlineStr">
        <is>
          <t>56.230665</t>
        </is>
      </c>
    </row>
    <row r="3962" hidden="1">
      <c r="A3962" s="125" t="n">
        <v>4641</v>
      </c>
      <c r="B3962" s="791" t="n"/>
      <c r="C3962" s="130" t="inlineStr">
        <is>
          <t>Екатеринбург</t>
        </is>
      </c>
      <c r="D3962" s="130" t="inlineStr">
        <is>
          <t>Пермь</t>
        </is>
      </c>
      <c r="E3962" s="791" t="n"/>
      <c r="F3962" s="125" t="inlineStr">
        <is>
          <t>АЗС</t>
        </is>
      </c>
      <c r="G3962" s="125" t="inlineStr">
        <is>
          <t>Газпромнефть</t>
        </is>
      </c>
      <c r="H3962" s="791" t="n"/>
      <c r="I3962" s="637" t="n">
        <v>20550</v>
      </c>
      <c r="J3962" s="637" t="inlineStr">
        <is>
          <t>GPN_20550</t>
        </is>
      </c>
      <c r="K3962" s="640" t="n">
        <v>3</v>
      </c>
      <c r="L3962" s="640" t="n">
        <v>1</v>
      </c>
      <c r="M3962" s="265" t="n">
        <v>3</v>
      </c>
      <c r="N3962" s="640" t="n"/>
      <c r="O3962" s="640">
        <f>IF(AND(N3962=1,L3962=1),K3962,"")</f>
        <v/>
      </c>
      <c r="P3962" s="642" t="inlineStr">
        <is>
          <t>г.Пермь; шоссе. Космонавтов 310</t>
        </is>
      </c>
      <c r="Q3962" s="494" t="inlineStr">
        <is>
          <t>57.953364</t>
        </is>
      </c>
      <c r="R3962" s="494" t="inlineStr">
        <is>
          <t>56.110075</t>
        </is>
      </c>
    </row>
    <row r="3963" hidden="1">
      <c r="A3963" s="125" t="n">
        <v>4642</v>
      </c>
      <c r="B3963" s="791" t="n"/>
      <c r="C3963" s="130" t="inlineStr">
        <is>
          <t>Приволжье (Нижний Новгород, Казань)</t>
        </is>
      </c>
      <c r="D3963" s="130" t="inlineStr">
        <is>
          <t>Казань</t>
        </is>
      </c>
      <c r="E3963" s="791" t="n"/>
      <c r="F3963" s="125" t="inlineStr">
        <is>
          <t>АЗС</t>
        </is>
      </c>
      <c r="G3963" s="125" t="inlineStr">
        <is>
          <t>Газпромнефть</t>
        </is>
      </c>
      <c r="H3963" s="791" t="n"/>
      <c r="I3963" s="637" t="n">
        <v>20602</v>
      </c>
      <c r="J3963" s="637" t="inlineStr">
        <is>
          <t>GPN_20602</t>
        </is>
      </c>
      <c r="K3963" s="640" t="n">
        <v>2</v>
      </c>
      <c r="L3963" s="640" t="n">
        <v>1</v>
      </c>
      <c r="M3963" s="265" t="n">
        <v>2</v>
      </c>
      <c r="N3963" s="640" t="n"/>
      <c r="O3963" s="640">
        <f>IF(AND(N3963=1,L3963=1),K3963,"")</f>
        <v/>
      </c>
      <c r="P3963" s="642" t="inlineStr">
        <is>
          <t>Республика Татарстан, Казань, ул. Сибирский тракт 36 е</t>
        </is>
      </c>
      <c r="Q3963" s="494" t="inlineStr">
        <is>
          <t>55.817250</t>
        </is>
      </c>
      <c r="R3963" s="494" t="inlineStr">
        <is>
          <t>49.180333</t>
        </is>
      </c>
    </row>
    <row r="3964" hidden="1">
      <c r="A3964" s="125" t="n">
        <v>4643</v>
      </c>
      <c r="B3964" s="791" t="n"/>
      <c r="C3964" s="130" t="inlineStr">
        <is>
          <t>Тюмень</t>
        </is>
      </c>
      <c r="D3964" s="130" t="inlineStr">
        <is>
          <t>Тюменская область</t>
        </is>
      </c>
      <c r="E3964" s="791" t="n"/>
      <c r="F3964" s="125" t="inlineStr">
        <is>
          <t>АЗС</t>
        </is>
      </c>
      <c r="G3964" s="125" t="inlineStr">
        <is>
          <t>Газпромнефть</t>
        </is>
      </c>
      <c r="H3964" s="791" t="n"/>
      <c r="I3964" s="637" t="n">
        <v>21316</v>
      </c>
      <c r="J3964" s="637" t="inlineStr">
        <is>
          <t>GPN_21316</t>
        </is>
      </c>
      <c r="K3964" s="640" t="n">
        <v>1</v>
      </c>
      <c r="L3964" s="640" t="n">
        <v>1</v>
      </c>
      <c r="M3964" s="265" t="n">
        <v>1</v>
      </c>
      <c r="N3964" s="640" t="n"/>
      <c r="O3964" s="640">
        <f>IF(AND(N3964=1,L3964=1),K3964,"")</f>
        <v/>
      </c>
      <c r="P3964" s="642" t="inlineStr">
        <is>
          <t>Тюм. обл., г. Тобольск, 6 МКР ,72</t>
        </is>
      </c>
      <c r="Q3964" s="494" t="inlineStr">
        <is>
          <t>58.218210</t>
        </is>
      </c>
      <c r="R3964" s="494" t="inlineStr">
        <is>
          <t xml:space="preserve"> 68.273740</t>
        </is>
      </c>
    </row>
    <row r="3965" hidden="1">
      <c r="A3965" s="125" t="n">
        <v>4644</v>
      </c>
      <c r="B3965" s="791" t="n"/>
      <c r="C3965" s="130" t="inlineStr">
        <is>
          <t>Тюмень</t>
        </is>
      </c>
      <c r="D3965" s="130" t="inlineStr">
        <is>
          <t>Тюменская область</t>
        </is>
      </c>
      <c r="E3965" s="791" t="n"/>
      <c r="F3965" s="125" t="inlineStr">
        <is>
          <t>АЗС</t>
        </is>
      </c>
      <c r="G3965" s="125" t="inlineStr">
        <is>
          <t>Газпромнефть</t>
        </is>
      </c>
      <c r="H3965" s="791" t="n"/>
      <c r="I3965" s="637" t="n">
        <v>21318</v>
      </c>
      <c r="J3965" s="637" t="inlineStr">
        <is>
          <t>GPN_21318</t>
        </is>
      </c>
      <c r="K3965" s="640" t="n">
        <v>1</v>
      </c>
      <c r="L3965" s="640" t="n">
        <v>1</v>
      </c>
      <c r="M3965" s="265" t="n">
        <v>1</v>
      </c>
      <c r="N3965" s="640" t="n"/>
      <c r="O3965" s="640">
        <f>IF(AND(N3965=1,L3965=1),K3965,"")</f>
        <v/>
      </c>
      <c r="P3965" s="642" t="inlineStr">
        <is>
          <t>Тюменская область, городской округ Тобольск, Р-404, 253-й километр, с1</t>
        </is>
      </c>
      <c r="Q3965" s="494" t="inlineStr">
        <is>
          <t>58.30024</t>
        </is>
      </c>
      <c r="R3965" s="494" t="inlineStr">
        <is>
          <t>68.31435</t>
        </is>
      </c>
    </row>
    <row r="3966" hidden="1">
      <c r="A3966" s="125" t="n">
        <v>4645</v>
      </c>
      <c r="B3966" s="791" t="n"/>
      <c r="C3966" s="130" t="inlineStr">
        <is>
          <t>Тюмень</t>
        </is>
      </c>
      <c r="D3966" s="130" t="inlineStr">
        <is>
          <t>Тюменская область</t>
        </is>
      </c>
      <c r="E3966" s="791" t="n"/>
      <c r="F3966" s="125" t="inlineStr">
        <is>
          <t>АЗС</t>
        </is>
      </c>
      <c r="G3966" s="125" t="inlineStr">
        <is>
          <t>Газпромнефть</t>
        </is>
      </c>
      <c r="H3966" s="791" t="n"/>
      <c r="I3966" s="637" t="n">
        <v>21351</v>
      </c>
      <c r="J3966" s="637" t="inlineStr">
        <is>
          <t>GPN_21351</t>
        </is>
      </c>
      <c r="K3966" s="640" t="n">
        <v>1</v>
      </c>
      <c r="L3966" s="640" t="n">
        <v>1</v>
      </c>
      <c r="M3966" s="265" t="n">
        <v>1</v>
      </c>
      <c r="N3966" s="640" t="n"/>
      <c r="O3966" s="640">
        <f>IF(AND(N3966=1,L3966=1),K3966,"")</f>
        <v/>
      </c>
      <c r="P3966" s="642" t="inlineStr">
        <is>
          <t>Тюменская область, городской округ Тобольск, Р-404, 243-й километр</t>
        </is>
      </c>
      <c r="Q3966" s="494" t="inlineStr">
        <is>
          <t>58.21835</t>
        </is>
      </c>
      <c r="R3966" s="494" t="inlineStr">
        <is>
          <t>68.34478</t>
        </is>
      </c>
    </row>
    <row r="3967" hidden="1">
      <c r="A3967" s="125" t="n">
        <v>4646</v>
      </c>
      <c r="B3967" s="791" t="n"/>
      <c r="C3967" s="130" t="inlineStr">
        <is>
          <t>Екатеринбург</t>
        </is>
      </c>
      <c r="D3967" s="130" t="inlineStr">
        <is>
          <t>Свердловская область</t>
        </is>
      </c>
      <c r="E3967" s="791" t="n"/>
      <c r="F3967" s="125" t="inlineStr">
        <is>
          <t>АЗС</t>
        </is>
      </c>
      <c r="G3967" s="125" t="inlineStr">
        <is>
          <t>Газпромнефть</t>
        </is>
      </c>
      <c r="H3967" s="791" t="n"/>
      <c r="I3967" s="637" t="n">
        <v>25077</v>
      </c>
      <c r="J3967" s="637" t="inlineStr">
        <is>
          <t>GPN_25077</t>
        </is>
      </c>
      <c r="K3967" s="640" t="n">
        <v>1</v>
      </c>
      <c r="L3967" s="640" t="n">
        <v>1</v>
      </c>
      <c r="M3967" s="265" t="n">
        <v>1</v>
      </c>
      <c r="N3967" s="640" t="n"/>
      <c r="O3967" s="640">
        <f>IF(AND(N3967=1,L3967=1),K3967,"")</f>
        <v/>
      </c>
      <c r="P3967" s="642" t="inlineStr">
        <is>
          <t>г. Новоуральск,Шевченко,20</t>
        </is>
      </c>
      <c r="Q3967" s="494" t="inlineStr">
        <is>
          <t>57.265899</t>
        </is>
      </c>
      <c r="R3967" s="494" t="inlineStr">
        <is>
          <t>60.084892</t>
        </is>
      </c>
    </row>
    <row r="3968" hidden="1">
      <c r="A3968" s="125" t="n">
        <v>4647</v>
      </c>
      <c r="B3968" s="791" t="n"/>
      <c r="C3968" s="130" t="inlineStr">
        <is>
          <t>Екатеринбург</t>
        </is>
      </c>
      <c r="D3968" s="130" t="inlineStr">
        <is>
          <t>Свердловская область</t>
        </is>
      </c>
      <c r="E3968" s="791" t="n"/>
      <c r="F3968" s="125" t="inlineStr">
        <is>
          <t>АЗС</t>
        </is>
      </c>
      <c r="G3968" s="125" t="inlineStr">
        <is>
          <t>Газпромнефть</t>
        </is>
      </c>
      <c r="H3968" s="791" t="n"/>
      <c r="I3968" s="637" t="n">
        <v>25092</v>
      </c>
      <c r="J3968" s="637" t="inlineStr">
        <is>
          <t>GPN_25092</t>
        </is>
      </c>
      <c r="K3968" s="640" t="n">
        <v>1</v>
      </c>
      <c r="L3968" s="640" t="n">
        <v>1</v>
      </c>
      <c r="M3968" s="265" t="n">
        <v>1</v>
      </c>
      <c r="N3968" s="640" t="n"/>
      <c r="O3968" s="640">
        <f>IF(AND(N3968=1,L3968=1),K3968,"")</f>
        <v/>
      </c>
      <c r="P3968" s="642" t="inlineStr">
        <is>
          <t>г. Невьянск,Дзержинского,2в</t>
        </is>
      </c>
      <c r="Q3968" s="494" t="inlineStr">
        <is>
          <t>57.470801</t>
        </is>
      </c>
      <c r="R3968" s="494" t="inlineStr">
        <is>
          <t>60.205250</t>
        </is>
      </c>
    </row>
    <row r="3969" hidden="1">
      <c r="A3969" s="125" t="n">
        <v>4648</v>
      </c>
      <c r="B3969" s="791" t="n"/>
      <c r="C3969" s="130" t="inlineStr">
        <is>
          <t>Новосибирск</t>
        </is>
      </c>
      <c r="D3969" s="130" t="inlineStr">
        <is>
          <t>Новосибирская область</t>
        </is>
      </c>
      <c r="E3969" s="791" t="n"/>
      <c r="F3969" s="125" t="inlineStr">
        <is>
          <t>АЗС</t>
        </is>
      </c>
      <c r="G3969" s="125" t="inlineStr">
        <is>
          <t>Газпромнефть</t>
        </is>
      </c>
      <c r="H3969" s="791" t="n"/>
      <c r="I3969" s="637" t="n">
        <v>30045</v>
      </c>
      <c r="J3969" s="637" t="inlineStr">
        <is>
          <t>GPN_30045</t>
        </is>
      </c>
      <c r="K3969" s="640" t="n">
        <v>3</v>
      </c>
      <c r="L3969" s="640" t="n">
        <v>1</v>
      </c>
      <c r="M3969" s="265" t="n">
        <v>3</v>
      </c>
      <c r="N3969" s="640" t="n"/>
      <c r="O3969" s="640">
        <f>IF(AND(N3969=1,L3969=1),K3969,"")</f>
        <v/>
      </c>
      <c r="P3969" s="642" t="inlineStr">
        <is>
          <t>г. Искитим, ул. Киевская, 2в</t>
        </is>
      </c>
      <c r="Q3969" s="494" t="inlineStr">
        <is>
          <t>54.65575</t>
        </is>
      </c>
      <c r="R3969" s="494" t="inlineStr">
        <is>
          <t>83.26703</t>
        </is>
      </c>
    </row>
    <row r="3970" hidden="1">
      <c r="A3970" s="125" t="n">
        <v>4649</v>
      </c>
      <c r="B3970" s="791" t="n"/>
      <c r="C3970" s="130" t="inlineStr">
        <is>
          <t>Новосибирск</t>
        </is>
      </c>
      <c r="D3970" s="130" t="inlineStr">
        <is>
          <t>Новосибирская область</t>
        </is>
      </c>
      <c r="E3970" s="791" t="n"/>
      <c r="F3970" s="125" t="inlineStr">
        <is>
          <t>АЗС</t>
        </is>
      </c>
      <c r="G3970" s="125" t="inlineStr">
        <is>
          <t>Газпромнефть</t>
        </is>
      </c>
      <c r="H3970" s="791" t="n"/>
      <c r="I3970" s="637" t="n">
        <v>30052</v>
      </c>
      <c r="J3970" s="637" t="inlineStr">
        <is>
          <t>GPN_30052</t>
        </is>
      </c>
      <c r="K3970" s="640" t="n">
        <v>3</v>
      </c>
      <c r="L3970" s="640" t="n">
        <v>1</v>
      </c>
      <c r="M3970" s="265" t="n">
        <v>3</v>
      </c>
      <c r="N3970" s="640" t="n"/>
      <c r="O3970" s="640">
        <f>IF(AND(N3970=1,L3970=1),K3970,"")</f>
        <v/>
      </c>
      <c r="P3970" s="642" t="inlineStr">
        <is>
          <t>Новосибирская область, рабочий посёлок Коченёво, улица Пушкина, 132</t>
        </is>
      </c>
      <c r="Q3970" s="494" t="inlineStr">
        <is>
          <t>55.04405</t>
        </is>
      </c>
      <c r="R3970" s="494" t="inlineStr">
        <is>
          <t>82.22955</t>
        </is>
      </c>
    </row>
    <row r="3971" hidden="1">
      <c r="A3971" s="125" t="n">
        <v>4650</v>
      </c>
      <c r="B3971" s="791" t="n"/>
      <c r="C3971" s="130" t="inlineStr">
        <is>
          <t>Новосибирск</t>
        </is>
      </c>
      <c r="D3971" s="130" t="inlineStr">
        <is>
          <t>Новосибирская область</t>
        </is>
      </c>
      <c r="E3971" s="791" t="n"/>
      <c r="F3971" s="125" t="inlineStr">
        <is>
          <t>АЗС</t>
        </is>
      </c>
      <c r="G3971" s="125" t="inlineStr">
        <is>
          <t>Газпромнефть</t>
        </is>
      </c>
      <c r="H3971" s="791" t="n"/>
      <c r="I3971" s="637" t="n">
        <v>30134</v>
      </c>
      <c r="J3971" s="637" t="inlineStr">
        <is>
          <t>GPN_30134</t>
        </is>
      </c>
      <c r="K3971" s="640" t="n">
        <v>3</v>
      </c>
      <c r="L3971" s="640" t="n">
        <v>1</v>
      </c>
      <c r="M3971" s="265" t="n">
        <v>5</v>
      </c>
      <c r="N3971" s="640" t="n"/>
      <c r="O3971" s="640">
        <f>IF(AND(N3971=1,L3971=1),K3971,"")</f>
        <v/>
      </c>
      <c r="P3971" s="642" t="inlineStr">
        <is>
          <t>Колыванский район, с. Б. Оеш</t>
        </is>
      </c>
      <c r="Q3971" s="494" t="inlineStr">
        <is>
          <t>55.28816</t>
        </is>
      </c>
      <c r="R3971" s="494" t="inlineStr">
        <is>
          <t>82.71171</t>
        </is>
      </c>
    </row>
    <row r="3972" hidden="1">
      <c r="A3972" s="125" t="n">
        <v>4651</v>
      </c>
      <c r="B3972" s="791" t="n"/>
      <c r="C3972" s="130" t="inlineStr">
        <is>
          <t>Новосибирск</t>
        </is>
      </c>
      <c r="D3972" s="130" t="inlineStr">
        <is>
          <t>Новосибирская область</t>
        </is>
      </c>
      <c r="E3972" s="791" t="n"/>
      <c r="F3972" s="125" t="inlineStr">
        <is>
          <t>АЗС</t>
        </is>
      </c>
      <c r="G3972" s="125" t="inlineStr">
        <is>
          <t>Газпромнефть</t>
        </is>
      </c>
      <c r="H3972" s="791" t="n"/>
      <c r="I3972" s="637" t="n">
        <v>30140</v>
      </c>
      <c r="J3972" s="637" t="inlineStr">
        <is>
          <t>GPN_30140</t>
        </is>
      </c>
      <c r="K3972" s="640" t="n">
        <v>3</v>
      </c>
      <c r="L3972" s="640" t="n">
        <v>1</v>
      </c>
      <c r="M3972" s="265" t="n">
        <v>3</v>
      </c>
      <c r="N3972" s="640" t="n"/>
      <c r="O3972" s="640">
        <f>IF(AND(N3972=1,L3972=1),K3972,"")</f>
        <v/>
      </c>
      <c r="P3972" s="642" t="inlineStr">
        <is>
          <t>Новосибирская область, Мошковский район, деревня Вороново, Школьная улица, 4</t>
        </is>
      </c>
      <c r="Q3972" s="494" t="inlineStr">
        <is>
          <t>55.47755</t>
        </is>
      </c>
      <c r="R3972" s="494" t="inlineStr">
        <is>
          <t>83.79165</t>
        </is>
      </c>
    </row>
    <row r="3973" hidden="1">
      <c r="A3973" s="125" t="n">
        <v>4652</v>
      </c>
      <c r="B3973" s="791" t="n"/>
      <c r="C3973" s="130" t="inlineStr">
        <is>
          <t>Омск</t>
        </is>
      </c>
      <c r="D3973" s="130" t="inlineStr">
        <is>
          <t>Омская область</t>
        </is>
      </c>
      <c r="E3973" s="791" t="n"/>
      <c r="F3973" s="125" t="inlineStr">
        <is>
          <t>АЗС</t>
        </is>
      </c>
      <c r="G3973" s="125" t="inlineStr">
        <is>
          <t>Газпромнефть</t>
        </is>
      </c>
      <c r="H3973" s="791" t="n"/>
      <c r="I3973" s="637" t="n">
        <v>31039</v>
      </c>
      <c r="J3973" s="637" t="inlineStr">
        <is>
          <t>GPN_31039</t>
        </is>
      </c>
      <c r="K3973" s="640" t="n">
        <v>1</v>
      </c>
      <c r="L3973" s="640" t="n">
        <v>1</v>
      </c>
      <c r="M3973" s="265" t="n">
        <v>1</v>
      </c>
      <c r="N3973" s="640" t="n"/>
      <c r="O3973" s="640">
        <f>IF(AND(N3973=1,L3973=1),K3973,"")</f>
        <v/>
      </c>
      <c r="P3973" s="642" t="inlineStr">
        <is>
          <t>Омская область., Марьяновский район, р.п. Марьяновка</t>
        </is>
      </c>
      <c r="Q3973" s="494" t="inlineStr">
        <is>
          <t>54.985716</t>
        </is>
      </c>
      <c r="R3973" s="494" t="inlineStr">
        <is>
          <t>72.633436</t>
        </is>
      </c>
    </row>
    <row r="3974" hidden="1">
      <c r="A3974" s="125" t="n">
        <v>4653</v>
      </c>
      <c r="B3974" s="791" t="n"/>
      <c r="C3974" s="130" t="inlineStr">
        <is>
          <t>Алтайский край</t>
        </is>
      </c>
      <c r="D3974" s="130" t="inlineStr">
        <is>
          <t>Барнаул</t>
        </is>
      </c>
      <c r="E3974" s="791" t="n"/>
      <c r="F3974" s="125" t="inlineStr">
        <is>
          <t>АЗС</t>
        </is>
      </c>
      <c r="G3974" s="125" t="inlineStr">
        <is>
          <t>Газпромнефть</t>
        </is>
      </c>
      <c r="H3974" s="791" t="n"/>
      <c r="I3974" s="637" t="n">
        <v>32203</v>
      </c>
      <c r="J3974" s="637" t="inlineStr">
        <is>
          <t>GPN_32203</t>
        </is>
      </c>
      <c r="K3974" s="640" t="n">
        <v>1</v>
      </c>
      <c r="L3974" s="640" t="n">
        <v>1</v>
      </c>
      <c r="M3974" s="265" t="n">
        <v>1</v>
      </c>
      <c r="N3974" s="640" t="n"/>
      <c r="O3974" s="640">
        <f>IF(AND(N3974=1,L3974=1),K3974,"")</f>
        <v/>
      </c>
      <c r="P3974" s="642" t="inlineStr">
        <is>
          <t>г.Барнаул, Змеиногорский тр-т,118</t>
        </is>
      </c>
      <c r="Q3974" s="494" t="inlineStr">
        <is>
          <t>53.269782</t>
        </is>
      </c>
      <c r="R3974" s="494" t="inlineStr">
        <is>
          <t>83.730712</t>
        </is>
      </c>
    </row>
    <row r="3975" hidden="1">
      <c r="A3975" s="125" t="n">
        <v>4654</v>
      </c>
      <c r="B3975" s="791" t="n"/>
      <c r="C3975" s="130" t="inlineStr">
        <is>
          <t>Алтайский край</t>
        </is>
      </c>
      <c r="D3975" s="130" t="inlineStr">
        <is>
          <t>Кемеровская область</t>
        </is>
      </c>
      <c r="E3975" s="791" t="n"/>
      <c r="F3975" s="125" t="inlineStr">
        <is>
          <t>АЗС</t>
        </is>
      </c>
      <c r="G3975" s="125" t="inlineStr">
        <is>
          <t>Газпромнефть</t>
        </is>
      </c>
      <c r="H3975" s="791" t="n"/>
      <c r="I3975" s="637" t="n">
        <v>33059</v>
      </c>
      <c r="J3975" s="637" t="inlineStr">
        <is>
          <t>GPN_33059</t>
        </is>
      </c>
      <c r="K3975" s="640" t="n">
        <v>3</v>
      </c>
      <c r="L3975" s="640" t="n">
        <v>1</v>
      </c>
      <c r="M3975" s="265" t="n">
        <v>4</v>
      </c>
      <c r="N3975" s="640" t="n"/>
      <c r="O3975" s="640">
        <f>IF(AND(N3975=1,L3975=1),K3975,"")</f>
        <v/>
      </c>
      <c r="P3975" s="642" t="inlineStr">
        <is>
          <t>г.Новокузнецк, ул.Транспортная,20 (Церковь)</t>
        </is>
      </c>
      <c r="Q3975" s="494" t="inlineStr">
        <is>
          <t>53.740871</t>
        </is>
      </c>
      <c r="R3975" s="494" t="inlineStr">
        <is>
          <t>87.144362</t>
        </is>
      </c>
    </row>
    <row r="3976" hidden="1">
      <c r="A3976" s="125" t="n">
        <v>4655</v>
      </c>
      <c r="B3976" s="791" t="n"/>
      <c r="C3976" s="130" t="inlineStr">
        <is>
          <t>Алтайский край</t>
        </is>
      </c>
      <c r="D3976" s="130" t="inlineStr">
        <is>
          <t>Кемеровская область</t>
        </is>
      </c>
      <c r="E3976" s="791" t="n"/>
      <c r="F3976" s="125" t="inlineStr">
        <is>
          <t>АЗС</t>
        </is>
      </c>
      <c r="G3976" s="125" t="inlineStr">
        <is>
          <t>Газпромнефть</t>
        </is>
      </c>
      <c r="H3976" s="791" t="n"/>
      <c r="I3976" s="637" t="n">
        <v>33071</v>
      </c>
      <c r="J3976" s="637" t="inlineStr">
        <is>
          <t>GPN_33071</t>
        </is>
      </c>
      <c r="K3976" s="640" t="n">
        <v>3</v>
      </c>
      <c r="L3976" s="640" t="n">
        <v>1</v>
      </c>
      <c r="M3976" s="265" t="n">
        <v>4</v>
      </c>
      <c r="N3976" s="640" t="n"/>
      <c r="O3976" s="640">
        <f>IF(AND(N3976=1,L3976=1),K3976,"")</f>
        <v/>
      </c>
      <c r="P3976" s="642" t="inlineStr">
        <is>
          <t>г. Юрга ул. Интернациональная 73</t>
        </is>
      </c>
      <c r="Q3976" s="494" t="inlineStr">
        <is>
          <t>55.704390</t>
        </is>
      </c>
      <c r="R3976" s="494" t="inlineStr">
        <is>
          <t>84.832941</t>
        </is>
      </c>
    </row>
    <row r="3977" hidden="1">
      <c r="A3977" s="125" t="n">
        <v>4656</v>
      </c>
      <c r="B3977" s="791" t="n"/>
      <c r="C3977" s="130" t="inlineStr">
        <is>
          <t>Алтайский край</t>
        </is>
      </c>
      <c r="D3977" s="130" t="inlineStr">
        <is>
          <t>Кемеровская область</t>
        </is>
      </c>
      <c r="E3977" s="791" t="n"/>
      <c r="F3977" s="125" t="inlineStr">
        <is>
          <t>АЗС</t>
        </is>
      </c>
      <c r="G3977" s="125" t="inlineStr">
        <is>
          <t>Газпромнефть</t>
        </is>
      </c>
      <c r="H3977" s="791" t="n"/>
      <c r="I3977" s="637" t="n">
        <v>33120</v>
      </c>
      <c r="J3977" s="637" t="inlineStr">
        <is>
          <t>GPN_33120</t>
        </is>
      </c>
      <c r="K3977" s="640" t="n">
        <v>3</v>
      </c>
      <c r="L3977" s="640" t="n">
        <v>1</v>
      </c>
      <c r="M3977" s="265" t="n">
        <v>3</v>
      </c>
      <c r="N3977" s="640" t="n"/>
      <c r="O3977" s="640">
        <f>IF(AND(N3977=1,L3977=1),K3977,"")</f>
        <v/>
      </c>
      <c r="P3977" s="642" t="inlineStr">
        <is>
          <t>г.Мыски, пос.Притомский, ул. Ноградская, 2а</t>
        </is>
      </c>
      <c r="Q3977" s="494" t="inlineStr">
        <is>
          <t>53.76472</t>
        </is>
      </c>
      <c r="R3977" s="494" t="inlineStr">
        <is>
          <t>87.60008</t>
        </is>
      </c>
    </row>
    <row r="3978" hidden="1">
      <c r="A3978" s="125" t="n">
        <v>4657</v>
      </c>
      <c r="B3978" s="791" t="n"/>
      <c r="C3978" s="130" t="inlineStr">
        <is>
          <t>Алтайский край</t>
        </is>
      </c>
      <c r="D3978" s="130" t="inlineStr">
        <is>
          <t>Кемеровская область</t>
        </is>
      </c>
      <c r="E3978" s="791" t="n"/>
      <c r="F3978" s="125" t="inlineStr">
        <is>
          <t>АЗС</t>
        </is>
      </c>
      <c r="G3978" s="125" t="inlineStr">
        <is>
          <t>Газпромнефть</t>
        </is>
      </c>
      <c r="H3978" s="791" t="n"/>
      <c r="I3978" s="637" t="n">
        <v>33135</v>
      </c>
      <c r="J3978" s="637" t="inlineStr">
        <is>
          <t>GPN_33135</t>
        </is>
      </c>
      <c r="K3978" s="640" t="n">
        <v>2</v>
      </c>
      <c r="L3978" s="640" t="n">
        <v>1</v>
      </c>
      <c r="M3978" s="265" t="n">
        <v>2</v>
      </c>
      <c r="N3978" s="640" t="n"/>
      <c r="O3978" s="640">
        <f>IF(AND(N3978=1,L3978=1),K3978,"")</f>
        <v/>
      </c>
      <c r="P3978" s="642" t="inlineStr">
        <is>
          <t>г. Новокузнецк, ул. Гончарова, 151А</t>
        </is>
      </c>
      <c r="Q3978" s="494" t="inlineStr">
        <is>
          <t>53.758020</t>
        </is>
      </c>
      <c r="R3978" s="494" t="inlineStr">
        <is>
          <t>87.002057</t>
        </is>
      </c>
    </row>
    <row r="3979" hidden="1">
      <c r="A3979" s="125" t="n">
        <v>4658</v>
      </c>
      <c r="B3979" s="791" t="n"/>
      <c r="C3979" s="130" t="inlineStr">
        <is>
          <t>Красноярск</t>
        </is>
      </c>
      <c r="D3979" s="130" t="inlineStr">
        <is>
          <t>Красноярский край</t>
        </is>
      </c>
      <c r="E3979" s="791" t="n"/>
      <c r="F3979" s="125" t="inlineStr">
        <is>
          <t>АЗС</t>
        </is>
      </c>
      <c r="G3979" s="125" t="inlineStr">
        <is>
          <t>Газпромнефть</t>
        </is>
      </c>
      <c r="H3979" s="791" t="n"/>
      <c r="I3979" s="637" t="n">
        <v>34233</v>
      </c>
      <c r="J3979" s="637" t="inlineStr">
        <is>
          <t>GPN_34233</t>
        </is>
      </c>
      <c r="K3979" s="640" t="n">
        <v>3</v>
      </c>
      <c r="L3979" s="640" t="n">
        <v>1</v>
      </c>
      <c r="M3979" s="265" t="n">
        <v>3</v>
      </c>
      <c r="N3979" s="640" t="n"/>
      <c r="O3979" s="640">
        <f>IF(AND(N3979=1,L3979=1),K3979,"")</f>
        <v/>
      </c>
      <c r="P3979" s="642" t="inlineStr">
        <is>
          <t>Красноярский край, Ачинск, Красноярское шоссе, 12</t>
        </is>
      </c>
      <c r="Q3979" s="494" t="inlineStr">
        <is>
          <t>56.272410</t>
        </is>
      </c>
      <c r="R3979" s="494" t="inlineStr">
        <is>
          <t>90.559526</t>
        </is>
      </c>
    </row>
    <row r="3980" hidden="1">
      <c r="A3980" s="125" t="n">
        <v>4659</v>
      </c>
      <c r="B3980" s="791" t="n"/>
      <c r="C3980" s="130" t="inlineStr">
        <is>
          <t>Красноярск</t>
        </is>
      </c>
      <c r="D3980" s="130" t="inlineStr">
        <is>
          <t>Красноярский край</t>
        </is>
      </c>
      <c r="E3980" s="791" t="n"/>
      <c r="F3980" s="125" t="inlineStr">
        <is>
          <t>АЗС</t>
        </is>
      </c>
      <c r="G3980" s="125" t="inlineStr">
        <is>
          <t>Газпромнефть</t>
        </is>
      </c>
      <c r="H3980" s="791" t="n"/>
      <c r="I3980" s="637" t="n">
        <v>34234</v>
      </c>
      <c r="J3980" s="637" t="inlineStr">
        <is>
          <t>GPN_34234</t>
        </is>
      </c>
      <c r="K3980" s="640" t="n">
        <v>3</v>
      </c>
      <c r="L3980" s="640" t="n">
        <v>1</v>
      </c>
      <c r="M3980" s="265" t="n">
        <v>3</v>
      </c>
      <c r="N3980" s="640" t="n"/>
      <c r="O3980" s="640">
        <f>IF(AND(N3980=1,L3980=1),K3980,"")</f>
        <v/>
      </c>
      <c r="P3980" s="415" t="inlineStr">
        <is>
          <t>Красноярский край, Ачинск, шоссе Байкал, 644-й км</t>
        </is>
      </c>
      <c r="Q3980" s="494" t="inlineStr">
        <is>
          <t>56.253319</t>
        </is>
      </c>
      <c r="R3980" s="494" t="inlineStr">
        <is>
          <t>90.431630</t>
        </is>
      </c>
    </row>
    <row r="3981" hidden="1">
      <c r="A3981" s="125" t="n">
        <v>4660</v>
      </c>
      <c r="B3981" s="791" t="n"/>
      <c r="C3981" s="130" t="inlineStr">
        <is>
          <t>Красноярск</t>
        </is>
      </c>
      <c r="D3981" s="130" t="inlineStr">
        <is>
          <t>Хакасия</t>
        </is>
      </c>
      <c r="E3981" s="791" t="n"/>
      <c r="F3981" s="125" t="inlineStr">
        <is>
          <t>АЗС</t>
        </is>
      </c>
      <c r="G3981" s="125" t="inlineStr">
        <is>
          <t>Газпромнефть</t>
        </is>
      </c>
      <c r="H3981" s="791" t="n"/>
      <c r="I3981" s="637" t="n">
        <v>34270</v>
      </c>
      <c r="J3981" s="637" t="inlineStr">
        <is>
          <t>GPN_34270</t>
        </is>
      </c>
      <c r="K3981" s="640" t="n">
        <v>3</v>
      </c>
      <c r="L3981" s="640" t="n">
        <v>1</v>
      </c>
      <c r="M3981" s="265" t="n">
        <v>3</v>
      </c>
      <c r="N3981" s="640" t="n"/>
      <c r="O3981" s="640">
        <f>IF(AND(N3981=1,L3981=1),K3981,"")</f>
        <v/>
      </c>
      <c r="P3981" s="415" t="inlineStr">
        <is>
          <t>Республика Хакасия, г. Абакан, ул. Крылова, 130</t>
        </is>
      </c>
      <c r="Q3981" s="494" t="inlineStr">
        <is>
          <t>53.732341</t>
        </is>
      </c>
      <c r="R3981" s="494" t="inlineStr">
        <is>
          <t xml:space="preserve"> 91.412937</t>
        </is>
      </c>
    </row>
    <row r="3982" hidden="1">
      <c r="A3982" s="125" t="n">
        <v>4661</v>
      </c>
      <c r="B3982" s="791" t="n"/>
      <c r="C3982" s="130" t="inlineStr">
        <is>
          <t>Тюмень</t>
        </is>
      </c>
      <c r="D3982" s="130" t="inlineStr">
        <is>
          <t>Тюменская область</t>
        </is>
      </c>
      <c r="E3982" s="791" t="n"/>
      <c r="F3982" s="125" t="inlineStr">
        <is>
          <t>АЗС</t>
        </is>
      </c>
      <c r="G3982" s="125" t="inlineStr">
        <is>
          <t>Газпромнефть</t>
        </is>
      </c>
      <c r="H3982" s="791" t="n"/>
      <c r="I3982" s="637" t="n">
        <v>20109</v>
      </c>
      <c r="J3982" s="637" t="inlineStr">
        <is>
          <t>GPN_21109</t>
        </is>
      </c>
      <c r="K3982" s="640" t="n">
        <v>3</v>
      </c>
      <c r="L3982" s="640" t="n">
        <v>1</v>
      </c>
      <c r="M3982" s="265" t="n">
        <v>5</v>
      </c>
      <c r="N3982" s="640" t="n"/>
      <c r="O3982" s="640">
        <f>IF(AND(N3982=1,L3982=1),K3982,"")</f>
        <v/>
      </c>
      <c r="P3982" s="415" t="inlineStr">
        <is>
          <t>п. Тугулым, Восточная ,25</t>
        </is>
      </c>
      <c r="Q3982" s="494" t="inlineStr">
        <is>
          <t>57.073441</t>
        </is>
      </c>
      <c r="R3982" s="494" t="inlineStr">
        <is>
          <t>64.563424</t>
        </is>
      </c>
    </row>
    <row r="3983" hidden="1" ht="20.4" customHeight="1">
      <c r="A3983" s="125" t="n">
        <v>4662</v>
      </c>
      <c r="B3983" s="125" t="n"/>
      <c r="C3983" s="130" t="inlineStr">
        <is>
          <t>Москва</t>
        </is>
      </c>
      <c r="D3983" s="130" t="inlineStr">
        <is>
          <t>Москва</t>
        </is>
      </c>
      <c r="E3983" s="130" t="n"/>
      <c r="F3983" s="130" t="inlineStr">
        <is>
          <t>АЗС</t>
        </is>
      </c>
      <c r="G3983" s="130" t="inlineStr">
        <is>
          <t>Лукойл</t>
        </is>
      </c>
      <c r="H3983" s="637" t="n">
        <v>44</v>
      </c>
      <c r="I3983" s="637" t="n">
        <v>77744</v>
      </c>
      <c r="J3983" s="637" t="inlineStr">
        <is>
          <t>MSK_EKA_044</t>
        </is>
      </c>
      <c r="K3983" s="640" t="n">
        <v>1</v>
      </c>
      <c r="L3983" s="640" t="n">
        <v>0</v>
      </c>
      <c r="M3983" s="623" t="inlineStr">
        <is>
          <t>Экран 24" вертикальный</t>
        </is>
      </c>
      <c r="N3983" s="640" t="n"/>
      <c r="O3983" s="640">
        <f>IF(AND(N3983=1,L3983=1),K3983,"")</f>
        <v/>
      </c>
      <c r="P3983" s="642" t="inlineStr">
        <is>
          <t>Москва, внутригородская территория муниципальный округ Нагатинский Затон, Нагатинская набережная, соор. 72А</t>
        </is>
      </c>
      <c r="Q3983" s="640" t="inlineStr">
        <is>
          <t>55.690841</t>
        </is>
      </c>
      <c r="R3983" s="422" t="inlineStr">
        <is>
          <t>37.696022</t>
        </is>
      </c>
    </row>
    <row r="3984" hidden="1">
      <c r="A3984" s="125" t="n">
        <v>4663</v>
      </c>
      <c r="B3984" s="125" t="n"/>
      <c r="C3984" s="130" t="inlineStr">
        <is>
          <t>Москва</t>
        </is>
      </c>
      <c r="D3984" s="130" t="inlineStr">
        <is>
          <t>Москва</t>
        </is>
      </c>
      <c r="E3984" s="130" t="n"/>
      <c r="F3984" s="130" t="inlineStr">
        <is>
          <t>АЗС</t>
        </is>
      </c>
      <c r="G3984" s="130" t="inlineStr">
        <is>
          <t>Лукойл</t>
        </is>
      </c>
      <c r="H3984" s="441" t="n">
        <v>68</v>
      </c>
      <c r="I3984" s="637" t="n">
        <v>77768</v>
      </c>
      <c r="J3984" s="637" t="inlineStr">
        <is>
          <t>MSK_EKA_068</t>
        </is>
      </c>
      <c r="K3984" s="640" t="n">
        <v>1</v>
      </c>
      <c r="L3984" s="640" t="n">
        <v>0</v>
      </c>
      <c r="M3984" s="623" t="inlineStr">
        <is>
          <t>Экран 24" вертикальный</t>
        </is>
      </c>
      <c r="N3984" s="640" t="n"/>
      <c r="O3984" s="640">
        <f>IF(AND(N3984=1,L3984=1),K3984,"")</f>
        <v/>
      </c>
      <c r="P3984" s="642" t="inlineStr">
        <is>
          <t>Москва, Обручева ул., влд. 23А, соор.1</t>
        </is>
      </c>
      <c r="Q3984" s="640" t="inlineStr">
        <is>
          <t>55.657103</t>
        </is>
      </c>
      <c r="R3984" s="422" t="inlineStr">
        <is>
          <t>37.531334</t>
        </is>
      </c>
    </row>
    <row r="3985" hidden="1">
      <c r="A3985" s="125" t="n">
        <v>4664</v>
      </c>
      <c r="B3985" s="125" t="n"/>
      <c r="C3985" s="130" t="inlineStr">
        <is>
          <t>Санкт-Петербург</t>
        </is>
      </c>
      <c r="D3985" s="130" t="inlineStr">
        <is>
          <t>Санкт-Петербург</t>
        </is>
      </c>
      <c r="E3985" s="791" t="n"/>
      <c r="F3985" s="125" t="inlineStr">
        <is>
          <t>АЗС</t>
        </is>
      </c>
      <c r="G3985" s="125" t="inlineStr">
        <is>
          <t>Газпромнефть</t>
        </is>
      </c>
      <c r="H3985" s="791" t="n"/>
      <c r="I3985" s="637" t="n">
        <v>10125</v>
      </c>
      <c r="J3985" s="637" t="inlineStr">
        <is>
          <t>GPN_10125</t>
        </is>
      </c>
      <c r="K3985" s="640" t="n">
        <v>3</v>
      </c>
      <c r="L3985" s="640" t="n">
        <v>1</v>
      </c>
      <c r="M3985" s="265" t="n">
        <v>4</v>
      </c>
      <c r="N3985" s="640" t="n"/>
      <c r="O3985" s="640">
        <f>IF(AND(N3985=1,L3985=1),K3985,"")</f>
        <v/>
      </c>
      <c r="P3985" s="642" t="inlineStr">
        <is>
          <t>г. Санкт-Петербург, пр. Культуры 33 А</t>
        </is>
      </c>
      <c r="Q3985" s="494" t="inlineStr">
        <is>
          <t>60.051711</t>
        </is>
      </c>
      <c r="R3985" s="494" t="inlineStr">
        <is>
          <t>30.382748</t>
        </is>
      </c>
    </row>
    <row r="3986" hidden="1">
      <c r="A3986" s="125" t="n">
        <v>4665</v>
      </c>
      <c r="B3986" s="125" t="n"/>
      <c r="C3986" s="130" t="inlineStr">
        <is>
          <t>Санкт-Петербург</t>
        </is>
      </c>
      <c r="D3986" s="130" t="inlineStr">
        <is>
          <t>Санкт-Петербург</t>
        </is>
      </c>
      <c r="E3986" s="791" t="n"/>
      <c r="F3986" s="125" t="inlineStr">
        <is>
          <t>АЗС</t>
        </is>
      </c>
      <c r="G3986" s="125" t="inlineStr">
        <is>
          <t>Газпромнефть</t>
        </is>
      </c>
      <c r="H3986" s="791" t="n"/>
      <c r="I3986" s="637" t="n">
        <v>10148</v>
      </c>
      <c r="J3986" s="637" t="inlineStr">
        <is>
          <t>GPN_10148</t>
        </is>
      </c>
      <c r="K3986" s="640" t="n">
        <v>3</v>
      </c>
      <c r="L3986" s="640" t="n">
        <v>1</v>
      </c>
      <c r="M3986" s="265" t="n">
        <v>5</v>
      </c>
      <c r="N3986" s="640" t="n"/>
      <c r="O3986" s="640">
        <f>IF(AND(N3986=1,L3986=1),K3986,"")</f>
        <v/>
      </c>
      <c r="P3986" s="642" t="inlineStr">
        <is>
          <t>г. Санкт-Петербург, ул. Кубинская, 82/3, лит. А</t>
        </is>
      </c>
      <c r="Q3986" s="494" t="inlineStr">
        <is>
          <t>59.837607</t>
        </is>
      </c>
      <c r="R3986" s="494" t="inlineStr">
        <is>
          <t>30.303848</t>
        </is>
      </c>
    </row>
    <row r="3987" hidden="1">
      <c r="A3987" s="125" t="n">
        <v>4666</v>
      </c>
      <c r="B3987" s="125" t="n"/>
      <c r="C3987" s="130" t="inlineStr">
        <is>
          <t>Санкт-Петербург</t>
        </is>
      </c>
      <c r="D3987" s="130" t="inlineStr">
        <is>
          <t>Санкт-Петербург</t>
        </is>
      </c>
      <c r="E3987" s="791" t="n"/>
      <c r="F3987" s="125" t="inlineStr">
        <is>
          <t>АЗС</t>
        </is>
      </c>
      <c r="G3987" s="125" t="inlineStr">
        <is>
          <t>Газпромнефть</t>
        </is>
      </c>
      <c r="H3987" s="791" t="n"/>
      <c r="I3987" s="637" t="n">
        <v>10149</v>
      </c>
      <c r="J3987" s="637" t="inlineStr">
        <is>
          <t>GPN_10149</t>
        </is>
      </c>
      <c r="K3987" s="640" t="n">
        <v>3</v>
      </c>
      <c r="L3987" s="640" t="n">
        <v>1</v>
      </c>
      <c r="M3987" s="265" t="n">
        <v>6</v>
      </c>
      <c r="N3987" s="640" t="n"/>
      <c r="O3987" s="640">
        <f>IF(AND(N3987=1,L3987=1),K3987,"")</f>
        <v/>
      </c>
      <c r="P3987" s="642" t="inlineStr">
        <is>
          <t>г. Санкт-Петербург, Пулковское шоссе, 68/2</t>
        </is>
      </c>
      <c r="Q3987" s="494" t="inlineStr">
        <is>
          <t>59.783736</t>
        </is>
      </c>
      <c r="R3987" s="494" t="inlineStr">
        <is>
          <t>30.327398</t>
        </is>
      </c>
    </row>
    <row r="3988" hidden="1">
      <c r="A3988" s="125" t="n">
        <v>4667</v>
      </c>
      <c r="B3988" s="125" t="n"/>
      <c r="C3988" s="130" t="inlineStr">
        <is>
          <t>ЦФО (Калуга, Тула, Тверь, Рязань,Смоленск,Владимир,Воронеж, Ярославль)</t>
        </is>
      </c>
      <c r="D3988" s="130" t="inlineStr">
        <is>
          <t>Калуга</t>
        </is>
      </c>
      <c r="E3988" s="791" t="n"/>
      <c r="F3988" s="125" t="inlineStr">
        <is>
          <t>АЗС</t>
        </is>
      </c>
      <c r="G3988" s="125" t="inlineStr">
        <is>
          <t>Газпромнефть</t>
        </is>
      </c>
      <c r="H3988" s="791" t="n"/>
      <c r="I3988" s="637" t="n">
        <v>12077</v>
      </c>
      <c r="J3988" s="637" t="inlineStr">
        <is>
          <t>GPN_12077</t>
        </is>
      </c>
      <c r="K3988" s="640" t="n">
        <v>2</v>
      </c>
      <c r="L3988" s="640" t="n">
        <v>1</v>
      </c>
      <c r="M3988" s="265" t="n">
        <v>2</v>
      </c>
      <c r="N3988" s="640" t="n"/>
      <c r="O3988" s="640">
        <f>IF(AND(N3988=1,L3988=1),K3988,"")</f>
        <v/>
      </c>
      <c r="P3988" s="642" t="inlineStr">
        <is>
          <t>Калуга, д. Мстихино, ул. Центральная д. 48, корп. 2</t>
        </is>
      </c>
      <c r="Q3988" s="494" t="inlineStr">
        <is>
          <t>54.568310</t>
        </is>
      </c>
      <c r="R3988" s="494" t="inlineStr">
        <is>
          <t>36.119380</t>
        </is>
      </c>
    </row>
    <row r="3989" hidden="1">
      <c r="A3989" s="125" t="n">
        <v>4668</v>
      </c>
      <c r="B3989" s="125" t="n"/>
      <c r="C3989" s="130" t="inlineStr">
        <is>
          <t>ЦФО (Калуга, Тула, Тверь, Рязань,Смоленск,Владимир,Воронеж, Ярославль)</t>
        </is>
      </c>
      <c r="D3989" s="130" t="inlineStr">
        <is>
          <t>Калужская область</t>
        </is>
      </c>
      <c r="E3989" s="791" t="n"/>
      <c r="F3989" s="125" t="inlineStr">
        <is>
          <t>АЗС</t>
        </is>
      </c>
      <c r="G3989" s="125" t="inlineStr">
        <is>
          <t>Газпромнефть</t>
        </is>
      </c>
      <c r="H3989" s="791" t="n"/>
      <c r="I3989" s="637" t="n">
        <v>12078</v>
      </c>
      <c r="J3989" s="637" t="inlineStr">
        <is>
          <t>GPN_12078</t>
        </is>
      </c>
      <c r="K3989" s="640" t="n">
        <v>2</v>
      </c>
      <c r="L3989" s="640" t="n">
        <v>1</v>
      </c>
      <c r="M3989" s="265" t="n">
        <v>2</v>
      </c>
      <c r="N3989" s="640" t="n"/>
      <c r="O3989" s="640">
        <f>IF(AND(N3989=1,L3989=1),K3989,"")</f>
        <v/>
      </c>
      <c r="P3989" s="642" t="inlineStr">
        <is>
          <t>КО, Малоярославецкий р-н, д. Торбеево, 158 км а/д "Украина"</t>
        </is>
      </c>
      <c r="Q3989" s="494" t="inlineStr">
        <is>
          <t>54.710740</t>
        </is>
      </c>
      <c r="R3989" s="494" t="inlineStr">
        <is>
          <t>36.162390</t>
        </is>
      </c>
    </row>
    <row r="3990" hidden="1">
      <c r="A3990" s="125" t="n">
        <v>4669</v>
      </c>
      <c r="B3990" s="125" t="n"/>
      <c r="C3990" s="130" t="inlineStr">
        <is>
          <t>Москва</t>
        </is>
      </c>
      <c r="D3990" s="130" t="inlineStr">
        <is>
          <t>Московская область</t>
        </is>
      </c>
      <c r="E3990" s="791" t="n"/>
      <c r="F3990" s="125" t="inlineStr">
        <is>
          <t>АЗС</t>
        </is>
      </c>
      <c r="G3990" s="125" t="inlineStr">
        <is>
          <t>Газпромнефть</t>
        </is>
      </c>
      <c r="H3990" s="791" t="n"/>
      <c r="I3990" s="637" t="n">
        <v>12314</v>
      </c>
      <c r="J3990" s="637" t="inlineStr">
        <is>
          <t>GPN_12314</t>
        </is>
      </c>
      <c r="K3990" s="640" t="n">
        <v>3</v>
      </c>
      <c r="L3990" s="640" t="n">
        <v>1</v>
      </c>
      <c r="M3990" s="265" t="n">
        <v>5</v>
      </c>
      <c r="N3990" s="640" t="n"/>
      <c r="O3990" s="640">
        <f>IF(AND(N3990=1,L3990=1),K3990,"")</f>
        <v/>
      </c>
      <c r="P3990" s="642" t="inlineStr">
        <is>
          <t>МО, г. Сергиев-Посад, Скобяное ш., д. 7а</t>
        </is>
      </c>
      <c r="Q3990" s="494" t="inlineStr">
        <is>
          <t xml:space="preserve">56.289750 </t>
        </is>
      </c>
      <c r="R3990" s="494" t="inlineStr">
        <is>
          <t>38.132910</t>
        </is>
      </c>
    </row>
    <row r="3991" hidden="1">
      <c r="A3991" s="125" t="n">
        <v>4670</v>
      </c>
      <c r="B3991" s="125" t="n"/>
      <c r="C3991" s="130" t="inlineStr">
        <is>
          <t>Приволжье (Нижний Новгород, Казань)</t>
        </is>
      </c>
      <c r="D3991" s="130" t="inlineStr">
        <is>
          <t>Казань</t>
        </is>
      </c>
      <c r="E3991" s="791" t="n"/>
      <c r="F3991" s="125" t="inlineStr">
        <is>
          <t>АЗС</t>
        </is>
      </c>
      <c r="G3991" s="125" t="inlineStr">
        <is>
          <t>Газпромнефть</t>
        </is>
      </c>
      <c r="H3991" s="791" t="n"/>
      <c r="I3991" s="637" t="n">
        <v>20601</v>
      </c>
      <c r="J3991" s="637" t="inlineStr">
        <is>
          <t>GPN_20601</t>
        </is>
      </c>
      <c r="K3991" s="640" t="n">
        <v>2</v>
      </c>
      <c r="L3991" s="640" t="n">
        <v>1</v>
      </c>
      <c r="M3991" s="265" t="n">
        <v>2</v>
      </c>
      <c r="N3991" s="640" t="n"/>
      <c r="O3991" s="640">
        <f>IF(AND(N3991=1,L3991=1),K3991,"")</f>
        <v/>
      </c>
      <c r="P3991" s="642" t="inlineStr">
        <is>
          <t>Республика Татарстан, Казань, ул. Магистральная 33, к2</t>
        </is>
      </c>
      <c r="Q3991" s="494" t="inlineStr">
        <is>
          <t xml:space="preserve">55.75437 </t>
        </is>
      </c>
      <c r="R3991" s="494" t="inlineStr">
        <is>
          <t>49.10599</t>
        </is>
      </c>
    </row>
    <row r="3992" hidden="1" ht="20.4" customHeight="1">
      <c r="A3992" s="125" t="n">
        <v>4671</v>
      </c>
      <c r="B3992" s="125" t="n"/>
      <c r="C3992" s="130" t="inlineStr">
        <is>
          <t>Екатеринбург</t>
        </is>
      </c>
      <c r="D3992" s="130" t="inlineStr">
        <is>
          <t>Курганская область</t>
        </is>
      </c>
      <c r="E3992" s="791" t="n"/>
      <c r="F3992" s="125" t="inlineStr">
        <is>
          <t>АЗС</t>
        </is>
      </c>
      <c r="G3992" s="125" t="inlineStr">
        <is>
          <t>Газпромнефть</t>
        </is>
      </c>
      <c r="H3992" s="791" t="n"/>
      <c r="I3992" s="637" t="n">
        <v>21322</v>
      </c>
      <c r="J3992" s="637" t="inlineStr">
        <is>
          <t>GPN_21322</t>
        </is>
      </c>
      <c r="K3992" s="640" t="n">
        <v>3</v>
      </c>
      <c r="L3992" s="640" t="n">
        <v>1</v>
      </c>
      <c r="M3992" s="265" t="n">
        <v>5</v>
      </c>
      <c r="N3992" s="640" t="n"/>
      <c r="O3992" s="640">
        <f>IF(AND(N3992=1,L3992=1),K3992,"")</f>
        <v/>
      </c>
      <c r="P3992" s="642" t="inlineStr">
        <is>
          <t>Курганская обл., Кетовский р-н,500м на северо-восток от пересечения а/д Курган-Екатеринбург и трассы М-51 "Байкал"</t>
        </is>
      </c>
      <c r="Q3992" s="494" t="inlineStr">
        <is>
          <t xml:space="preserve">55.505980 </t>
        </is>
      </c>
      <c r="R3992" s="494" t="inlineStr">
        <is>
          <t>65.263870</t>
        </is>
      </c>
    </row>
    <row r="3993" hidden="1">
      <c r="A3993" s="125" t="n">
        <v>4672</v>
      </c>
      <c r="B3993" s="125" t="n"/>
      <c r="C3993" s="130" t="inlineStr">
        <is>
          <t>Тюмень</t>
        </is>
      </c>
      <c r="D3993" s="130" t="inlineStr">
        <is>
          <t>ЯНАО</t>
        </is>
      </c>
      <c r="E3993" s="791" t="n"/>
      <c r="F3993" s="125" t="inlineStr">
        <is>
          <t>АЗС</t>
        </is>
      </c>
      <c r="G3993" s="125" t="inlineStr">
        <is>
          <t>Газпромнефть</t>
        </is>
      </c>
      <c r="H3993" s="791" t="n"/>
      <c r="I3993" s="637" t="n">
        <v>24452</v>
      </c>
      <c r="J3993" s="637" t="inlineStr">
        <is>
          <t>GPN_24452</t>
        </is>
      </c>
      <c r="K3993" s="640" t="n">
        <v>1</v>
      </c>
      <c r="L3993" s="640" t="n">
        <v>1</v>
      </c>
      <c r="M3993" s="265" t="n">
        <v>1</v>
      </c>
      <c r="N3993" s="640" t="n"/>
      <c r="O3993" s="640">
        <f>IF(AND(N3993=1,L3993=1),K3993,"")</f>
        <v/>
      </c>
      <c r="P3993" s="642" t="inlineStr">
        <is>
          <t>Тюм. обл., ЯНАО, г.Ноябрьск, ул. Советская</t>
        </is>
      </c>
      <c r="Q3993" s="494" t="inlineStr">
        <is>
          <t xml:space="preserve">63.202258 </t>
        </is>
      </c>
      <c r="R3993" s="494" t="inlineStr">
        <is>
          <t>75.464339</t>
        </is>
      </c>
    </row>
    <row r="3994" hidden="1">
      <c r="A3994" s="125" t="n">
        <v>4673</v>
      </c>
      <c r="B3994" s="125" t="n"/>
      <c r="C3994" s="130" t="inlineStr">
        <is>
          <t>Новосибирск</t>
        </is>
      </c>
      <c r="D3994" s="130" t="inlineStr">
        <is>
          <t>Новосибирская область</t>
        </is>
      </c>
      <c r="E3994" s="791" t="n"/>
      <c r="F3994" s="125" t="inlineStr">
        <is>
          <t>АЗС</t>
        </is>
      </c>
      <c r="G3994" s="125" t="inlineStr">
        <is>
          <t>Газпромнефть</t>
        </is>
      </c>
      <c r="H3994" s="791" t="n"/>
      <c r="I3994" s="637" t="n">
        <v>30006</v>
      </c>
      <c r="J3994" s="637" t="inlineStr">
        <is>
          <t>GPN_30006</t>
        </is>
      </c>
      <c r="K3994" s="640" t="n">
        <v>1</v>
      </c>
      <c r="L3994" s="640" t="n">
        <v>1</v>
      </c>
      <c r="M3994" s="265" t="n">
        <v>1</v>
      </c>
      <c r="N3994" s="640" t="n"/>
      <c r="O3994" s="640">
        <f>IF(AND(N3994=1,L3994=1),K3994,"")</f>
        <v/>
      </c>
      <c r="P3994" s="642" t="inlineStr">
        <is>
          <t>г. Бердск, ул. Промышленная, 2</t>
        </is>
      </c>
      <c r="Q3994" s="494" t="inlineStr">
        <is>
          <t xml:space="preserve">54.753060 </t>
        </is>
      </c>
      <c r="R3994" s="494" t="inlineStr">
        <is>
          <t>83.128606</t>
        </is>
      </c>
    </row>
    <row r="3995" hidden="1">
      <c r="A3995" s="125" t="n">
        <v>4674</v>
      </c>
      <c r="B3995" s="125" t="n"/>
      <c r="C3995" s="130" t="inlineStr">
        <is>
          <t>Алтайский край</t>
        </is>
      </c>
      <c r="D3995" s="130" t="inlineStr">
        <is>
          <t>Кемеровская область</t>
        </is>
      </c>
      <c r="E3995" s="791" t="n"/>
      <c r="F3995" s="125" t="inlineStr">
        <is>
          <t>АЗС</t>
        </is>
      </c>
      <c r="G3995" s="125" t="inlineStr">
        <is>
          <t>Газпромнефть</t>
        </is>
      </c>
      <c r="H3995" s="791" t="n"/>
      <c r="I3995" s="637" t="n">
        <v>33028</v>
      </c>
      <c r="J3995" s="637" t="inlineStr">
        <is>
          <t>GPN_33028</t>
        </is>
      </c>
      <c r="K3995" s="640" t="n">
        <v>1</v>
      </c>
      <c r="L3995" s="640" t="n">
        <v>1</v>
      </c>
      <c r="M3995" s="265" t="n">
        <v>1</v>
      </c>
      <c r="N3995" s="640" t="n"/>
      <c r="O3995" s="640">
        <f>IF(AND(N3995=1,L3995=1),K3995,"")</f>
        <v/>
      </c>
      <c r="P3995" s="642" t="inlineStr">
        <is>
          <t>г.Киселевск, ул.Привольная (р-н автохозяйства)</t>
        </is>
      </c>
      <c r="Q3995" s="494" t="inlineStr">
        <is>
          <t xml:space="preserve">54.016776 </t>
        </is>
      </c>
      <c r="R3995" s="494" t="inlineStr">
        <is>
          <t>86.683873</t>
        </is>
      </c>
    </row>
    <row r="3996" hidden="1">
      <c r="A3996" s="125" t="n">
        <v>4675</v>
      </c>
      <c r="B3996" s="125" t="n"/>
      <c r="C3996" s="130" t="inlineStr">
        <is>
          <t>Алтайский край</t>
        </is>
      </c>
      <c r="D3996" s="130" t="inlineStr">
        <is>
          <t>Томская область</t>
        </is>
      </c>
      <c r="E3996" s="791" t="n"/>
      <c r="F3996" s="125" t="inlineStr">
        <is>
          <t>АЗС</t>
        </is>
      </c>
      <c r="G3996" s="125" t="inlineStr">
        <is>
          <t>Газпромнефть</t>
        </is>
      </c>
      <c r="H3996" s="791" t="n"/>
      <c r="I3996" s="637" t="n">
        <v>33101</v>
      </c>
      <c r="J3996" s="637" t="inlineStr">
        <is>
          <t>GPN_33101</t>
        </is>
      </c>
      <c r="K3996" s="640" t="n">
        <v>3</v>
      </c>
      <c r="L3996" s="640" t="n">
        <v>1</v>
      </c>
      <c r="M3996" s="265" t="n">
        <v>3</v>
      </c>
      <c r="N3996" s="640" t="n"/>
      <c r="O3996" s="640">
        <f>IF(AND(N3996=1,L3996=1),K3996,"")</f>
        <v/>
      </c>
      <c r="P3996" s="642" t="inlineStr">
        <is>
          <t>г. Томск, пр-т.Ленина, 206-А</t>
        </is>
      </c>
      <c r="Q3996" s="494" t="inlineStr">
        <is>
          <t xml:space="preserve">56.512771 </t>
        </is>
      </c>
      <c r="R3996" s="494" t="inlineStr">
        <is>
          <t>84.941041</t>
        </is>
      </c>
    </row>
    <row r="3997" hidden="1">
      <c r="A3997" s="125" t="n">
        <v>4676</v>
      </c>
      <c r="B3997" s="125" t="n"/>
      <c r="C3997" s="130" t="inlineStr">
        <is>
          <t>Алтайский край</t>
        </is>
      </c>
      <c r="D3997" s="130" t="inlineStr">
        <is>
          <t>Томская область</t>
        </is>
      </c>
      <c r="E3997" s="791" t="n"/>
      <c r="F3997" s="125" t="inlineStr">
        <is>
          <t>АЗС</t>
        </is>
      </c>
      <c r="G3997" s="125" t="inlineStr">
        <is>
          <t>Газпромнефть</t>
        </is>
      </c>
      <c r="H3997" s="791" t="n"/>
      <c r="I3997" s="637" t="n">
        <v>33109</v>
      </c>
      <c r="J3997" s="637" t="inlineStr">
        <is>
          <t>GPN_33109</t>
        </is>
      </c>
      <c r="K3997" s="640" t="n">
        <v>3</v>
      </c>
      <c r="L3997" s="640" t="n">
        <v>1</v>
      </c>
      <c r="M3997" s="265" t="n">
        <v>4</v>
      </c>
      <c r="N3997" s="640" t="n"/>
      <c r="O3997" s="640">
        <f>IF(AND(N3997=1,L3997=1),K3997,"")</f>
        <v/>
      </c>
      <c r="P3997" s="642" t="inlineStr">
        <is>
          <t>г. Томск, пр-т Мира, 48</t>
        </is>
      </c>
      <c r="Q3997" s="494" t="inlineStr">
        <is>
          <t xml:space="preserve">56.516536 </t>
        </is>
      </c>
      <c r="R3997" s="494" t="inlineStr">
        <is>
          <t>84.977509</t>
        </is>
      </c>
    </row>
    <row r="3998" hidden="1">
      <c r="A3998" s="125" t="n">
        <v>4677</v>
      </c>
      <c r="B3998" s="125" t="n"/>
      <c r="C3998" s="130" t="inlineStr">
        <is>
          <t>Ростов-на-Дону</t>
        </is>
      </c>
      <c r="D3998" s="130" t="inlineStr">
        <is>
          <t>Ростовская область</t>
        </is>
      </c>
      <c r="E3998" s="130" t="n"/>
      <c r="F3998" s="130" t="inlineStr">
        <is>
          <t>АЗС</t>
        </is>
      </c>
      <c r="G3998" s="130" t="inlineStr">
        <is>
          <t>Роснефть</t>
        </is>
      </c>
      <c r="H3998" s="421" t="n"/>
      <c r="I3998" s="637" t="n">
        <v>161</v>
      </c>
      <c r="J3998" s="637" t="inlineStr">
        <is>
          <t>RND_RN_0161</t>
        </is>
      </c>
      <c r="K3998" s="640" t="n">
        <v>1</v>
      </c>
      <c r="L3998" s="640" t="n">
        <v>1</v>
      </c>
      <c r="M3998" s="623" t="inlineStr">
        <is>
          <t>Samsung 32" вертикальный</t>
        </is>
      </c>
      <c r="N3998" s="640" t="n"/>
      <c r="O3998" s="640">
        <f>IF(AND(N3998=1,L3998=1),K3998,"")</f>
        <v/>
      </c>
      <c r="P3998" s="642" t="inlineStr">
        <is>
          <t>г. Ростов-наДону, Лелюшенко 19г</t>
        </is>
      </c>
      <c r="Q3998" s="494" t="inlineStr">
        <is>
          <t>47.300123</t>
        </is>
      </c>
      <c r="R3998" s="494" t="inlineStr">
        <is>
          <t>39.751835</t>
        </is>
      </c>
    </row>
    <row r="3999" hidden="1">
      <c r="A3999" s="125" t="n">
        <v>4678</v>
      </c>
      <c r="B3999" s="125" t="n"/>
      <c r="C3999" s="130" t="inlineStr">
        <is>
          <t>Краснодар</t>
        </is>
      </c>
      <c r="D3999" s="130" t="inlineStr">
        <is>
          <t>Новороссийск</t>
        </is>
      </c>
      <c r="E3999" s="791" t="n"/>
      <c r="F3999" s="130" t="inlineStr">
        <is>
          <t>АЗС</t>
        </is>
      </c>
      <c r="G3999" s="130" t="inlineStr">
        <is>
          <t>Роснефть</t>
        </is>
      </c>
      <c r="H3999" s="791" t="n"/>
      <c r="I3999" s="637" t="inlineStr">
        <is>
          <t>RN_91</t>
        </is>
      </c>
      <c r="J3999" s="637" t="inlineStr">
        <is>
          <t>KDR_RN_0091</t>
        </is>
      </c>
      <c r="K3999" s="640" t="n">
        <v>1</v>
      </c>
      <c r="L3999" s="640" t="n">
        <v>1</v>
      </c>
      <c r="M3999" s="265" t="inlineStr">
        <is>
          <t>Samsung 32" вертикальный</t>
        </is>
      </c>
      <c r="N3999" s="640" t="n"/>
      <c r="O3999" s="640">
        <f>IF(AND(N3999=1,L3999=1),K3999,"")</f>
        <v/>
      </c>
      <c r="P3999" s="642" t="inlineStr">
        <is>
          <t>г.Новороссийск Станция северская</t>
        </is>
      </c>
      <c r="Q3999" s="640" t="inlineStr">
        <is>
          <t>44.836606</t>
        </is>
      </c>
      <c r="R3999" s="640" t="inlineStr">
        <is>
          <t>38.660265</t>
        </is>
      </c>
    </row>
    <row r="4000" hidden="1">
      <c r="A4000" s="125" t="n">
        <v>4679</v>
      </c>
      <c r="B4000" s="125" t="n"/>
      <c r="C4000" s="130" t="inlineStr">
        <is>
          <t>Краснодар</t>
        </is>
      </c>
      <c r="D4000" s="130" t="inlineStr">
        <is>
          <t>Анапа</t>
        </is>
      </c>
      <c r="E4000" s="791" t="n"/>
      <c r="F4000" s="130" t="inlineStr">
        <is>
          <t>АЗС</t>
        </is>
      </c>
      <c r="G4000" s="130" t="inlineStr">
        <is>
          <t>Роснефть</t>
        </is>
      </c>
      <c r="H4000" s="791" t="n"/>
      <c r="I4000" s="637" t="inlineStr">
        <is>
          <t>RN_38</t>
        </is>
      </c>
      <c r="J4000" s="637" t="inlineStr">
        <is>
          <t>KDR_RN_0038</t>
        </is>
      </c>
      <c r="K4000" s="640" t="n">
        <v>1</v>
      </c>
      <c r="L4000" s="640" t="n">
        <v>1</v>
      </c>
      <c r="M4000" s="265" t="inlineStr">
        <is>
          <t>Samsung 32" вертикальный</t>
        </is>
      </c>
      <c r="N4000" s="640" t="n"/>
      <c r="O4000" s="640">
        <f>IF(AND(N4000=1,L4000=1),K4000,"")</f>
        <v/>
      </c>
      <c r="P4000" s="642" t="inlineStr">
        <is>
          <t>г.Анапа с Джигинка Асфальтная улица, 2А</t>
        </is>
      </c>
      <c r="Q4000" s="640" t="inlineStr">
        <is>
          <t>45.126176</t>
        </is>
      </c>
      <c r="R4000" s="640" t="inlineStr">
        <is>
          <t>37.337460</t>
        </is>
      </c>
    </row>
    <row r="4001" hidden="1">
      <c r="A4001" s="125" t="n">
        <v>4680</v>
      </c>
      <c r="B4001" s="125" t="n"/>
      <c r="C4001" s="130" t="inlineStr">
        <is>
          <t>Ростов-на-Дону</t>
        </is>
      </c>
      <c r="D4001" s="130" t="inlineStr">
        <is>
          <t>Ростовская область</t>
        </is>
      </c>
      <c r="E4001" s="130" t="n"/>
      <c r="F4001" s="130" t="inlineStr">
        <is>
          <t>АЗС</t>
        </is>
      </c>
      <c r="G4001" s="130" t="inlineStr">
        <is>
          <t>Роснефть</t>
        </is>
      </c>
      <c r="H4001" s="131" t="n"/>
      <c r="I4001" s="637" t="n">
        <v>52</v>
      </c>
      <c r="J4001" s="637" t="inlineStr">
        <is>
          <t>RND_RN_0052</t>
        </is>
      </c>
      <c r="K4001" s="640" t="n">
        <v>1</v>
      </c>
      <c r="L4001" s="640" t="n">
        <v>1</v>
      </c>
      <c r="M4001" s="623" t="inlineStr">
        <is>
          <t>Samsung 32" вертикальный</t>
        </is>
      </c>
      <c r="N4001" s="640" t="n"/>
      <c r="O4001" s="640">
        <f>IF(AND(N4001=1,L4001=1),K4001,"")</f>
        <v/>
      </c>
      <c r="P4001" s="642" t="inlineStr">
        <is>
          <t>Ростовская область, г. Батайск, ул.Ленина, 168 б</t>
        </is>
      </c>
      <c r="Q4001" s="640" t="inlineStr">
        <is>
          <t>47.117102</t>
        </is>
      </c>
      <c r="R4001" s="640" t="inlineStr">
        <is>
          <t>39.746589</t>
        </is>
      </c>
    </row>
    <row r="4002" hidden="1">
      <c r="A4002" s="125" t="n">
        <v>4681</v>
      </c>
      <c r="B4002" s="125" t="n"/>
      <c r="C4002" s="130" t="inlineStr">
        <is>
          <t>Ростов-на-Дону</t>
        </is>
      </c>
      <c r="D4002" s="130" t="inlineStr">
        <is>
          <t>Ростовская область</t>
        </is>
      </c>
      <c r="E4002" s="130" t="n"/>
      <c r="F4002" s="130" t="inlineStr">
        <is>
          <t>АЗС</t>
        </is>
      </c>
      <c r="G4002" s="130" t="inlineStr">
        <is>
          <t>Роснефть</t>
        </is>
      </c>
      <c r="H4002" s="131" t="n"/>
      <c r="I4002" s="637" t="n">
        <v>38</v>
      </c>
      <c r="J4002" s="637" t="inlineStr">
        <is>
          <t>RND_RN_0038</t>
        </is>
      </c>
      <c r="K4002" s="640" t="n">
        <v>1</v>
      </c>
      <c r="L4002" s="640" t="n">
        <v>1</v>
      </c>
      <c r="M4002" s="623" t="inlineStr">
        <is>
          <t>Samsung 32" вертикальный</t>
        </is>
      </c>
      <c r="N4002" s="640" t="n"/>
      <c r="O4002" s="640">
        <f>IF(AND(N4002=1,L4002=1),K4002,"")</f>
        <v/>
      </c>
      <c r="P4002" s="642" t="inlineStr">
        <is>
          <t>Ростовская область, г.Батайск,ул. Коммунистическая, 184</t>
        </is>
      </c>
      <c r="Q4002" s="640" t="inlineStr">
        <is>
          <t>47.134367</t>
        </is>
      </c>
      <c r="R4002" s="640" t="inlineStr">
        <is>
          <t>39.763863</t>
        </is>
      </c>
    </row>
    <row r="4003" hidden="1">
      <c r="A4003" s="125" t="n">
        <v>4682</v>
      </c>
      <c r="B4003" s="125" t="n"/>
      <c r="C4003" s="130" t="inlineStr">
        <is>
          <t>Ростов-на-Дону</t>
        </is>
      </c>
      <c r="D4003" s="130" t="inlineStr">
        <is>
          <t>Ростовская область</t>
        </is>
      </c>
      <c r="E4003" s="130" t="n"/>
      <c r="F4003" s="130" t="inlineStr">
        <is>
          <t>АЗС</t>
        </is>
      </c>
      <c r="G4003" s="130" t="inlineStr">
        <is>
          <t>Роснефть</t>
        </is>
      </c>
      <c r="H4003" s="131" t="n"/>
      <c r="I4003" s="637" t="n">
        <v>39</v>
      </c>
      <c r="J4003" s="637" t="inlineStr">
        <is>
          <t>RND_RN_0039</t>
        </is>
      </c>
      <c r="K4003" s="640" t="n">
        <v>1</v>
      </c>
      <c r="L4003" s="640" t="n">
        <v>1</v>
      </c>
      <c r="M4003" s="623" t="inlineStr">
        <is>
          <t>Samsung 32" вертикальный</t>
        </is>
      </c>
      <c r="N4003" s="640" t="n"/>
      <c r="O4003" s="640">
        <f>IF(AND(N4003=1,L4003=1),K4003,"")</f>
        <v/>
      </c>
      <c r="P4003" s="642" t="inlineStr">
        <is>
          <t>Ростовская область, г. Таганрог,  ул. Дзержинского, 154/2</t>
        </is>
      </c>
      <c r="Q4003" s="640" t="inlineStr">
        <is>
          <t>47.252901</t>
        </is>
      </c>
      <c r="R4003" s="640" t="inlineStr">
        <is>
          <t>38.918450</t>
        </is>
      </c>
    </row>
    <row r="4004" hidden="1">
      <c r="A4004" s="125" t="n">
        <v>4683</v>
      </c>
      <c r="B4004" s="125" t="n"/>
      <c r="C4004" s="130" t="inlineStr">
        <is>
          <t>Ростов-на-Дону</t>
        </is>
      </c>
      <c r="D4004" s="130" t="inlineStr">
        <is>
          <t>Ростовская область</t>
        </is>
      </c>
      <c r="E4004" s="130" t="n"/>
      <c r="F4004" s="130" t="inlineStr">
        <is>
          <t>АЗС</t>
        </is>
      </c>
      <c r="G4004" s="130" t="inlineStr">
        <is>
          <t>Роснефть</t>
        </is>
      </c>
      <c r="H4004" s="131" t="n"/>
      <c r="I4004" s="637" t="n">
        <v>40</v>
      </c>
      <c r="J4004" s="637" t="inlineStr">
        <is>
          <t>RND_RN_0040</t>
        </is>
      </c>
      <c r="K4004" s="640" t="n">
        <v>1</v>
      </c>
      <c r="L4004" s="640" t="n">
        <v>1</v>
      </c>
      <c r="M4004" s="623" t="inlineStr">
        <is>
          <t>Samsung 32" вертикальный</t>
        </is>
      </c>
      <c r="N4004" s="640" t="n"/>
      <c r="O4004" s="640">
        <f>IF(AND(N4004=1,L4004=1),K4004,"")</f>
        <v/>
      </c>
      <c r="P4004" s="642" t="inlineStr">
        <is>
          <t>Ростовская область, г. Таганрог, ул. Марцевский треугольник, 5</t>
        </is>
      </c>
      <c r="Q4004" s="640" t="inlineStr">
        <is>
          <t>47.252100</t>
        </is>
      </c>
      <c r="R4004" s="640" t="inlineStr">
        <is>
          <t>38.893441</t>
        </is>
      </c>
    </row>
    <row r="4005" hidden="1">
      <c r="A4005" s="125" t="n">
        <v>4684</v>
      </c>
      <c r="B4005" s="125" t="n"/>
      <c r="C4005" s="130" t="inlineStr">
        <is>
          <t>Ставрополь</t>
        </is>
      </c>
      <c r="D4005" s="130" t="inlineStr">
        <is>
          <t>Ставропольский край</t>
        </is>
      </c>
      <c r="E4005" s="130" t="n"/>
      <c r="F4005" s="130" t="inlineStr">
        <is>
          <t>АЗС</t>
        </is>
      </c>
      <c r="G4005" s="130" t="inlineStr">
        <is>
          <t>Роснефть</t>
        </is>
      </c>
      <c r="H4005" s="131" t="n"/>
      <c r="I4005" s="637" t="n">
        <v>103</v>
      </c>
      <c r="J4005" s="637" t="inlineStr">
        <is>
          <t>STW_RN_103</t>
        </is>
      </c>
      <c r="K4005" s="640" t="n">
        <v>1</v>
      </c>
      <c r="L4005" s="640" t="n">
        <v>1</v>
      </c>
      <c r="M4005" s="265" t="inlineStr">
        <is>
          <t>Samsung 32" вертикальный</t>
        </is>
      </c>
      <c r="N4005" s="640" t="n"/>
      <c r="O4005" s="640">
        <f>IF(AND(N4005=1,L4005=1),K4005,"")</f>
        <v/>
      </c>
      <c r="P4005" s="642" t="inlineStr">
        <is>
          <t>г. Пятигорск,ул Бунимовича 15</t>
        </is>
      </c>
      <c r="Q4005" s="494" t="inlineStr">
        <is>
          <t>44.029653</t>
        </is>
      </c>
      <c r="R4005" s="494" t="inlineStr">
        <is>
          <t>43.070508</t>
        </is>
      </c>
    </row>
    <row r="4006" hidden="1">
      <c r="A4006" s="125" t="n">
        <v>4685</v>
      </c>
      <c r="B4006" s="125" t="n"/>
      <c r="C4006" s="130" t="inlineStr">
        <is>
          <t>Ставрополь</t>
        </is>
      </c>
      <c r="D4006" s="130" t="inlineStr">
        <is>
          <t>Ставропольский край</t>
        </is>
      </c>
      <c r="E4006" s="130" t="n"/>
      <c r="F4006" s="130" t="inlineStr">
        <is>
          <t>АЗС</t>
        </is>
      </c>
      <c r="G4006" s="130" t="inlineStr">
        <is>
          <t>Роснефть</t>
        </is>
      </c>
      <c r="H4006" s="131" t="n"/>
      <c r="I4006" s="637" t="n">
        <v>100</v>
      </c>
      <c r="J4006" s="637" t="inlineStr">
        <is>
          <t>STW_RN_100</t>
        </is>
      </c>
      <c r="K4006" s="640" t="n">
        <v>1</v>
      </c>
      <c r="L4006" s="640" t="n">
        <v>1</v>
      </c>
      <c r="M4006" s="265" t="inlineStr">
        <is>
          <t>Samsung 32" вертикальный</t>
        </is>
      </c>
      <c r="N4006" s="640" t="n"/>
      <c r="O4006" s="640">
        <f>IF(AND(N4006=1,L4006=1),K4006,"")</f>
        <v/>
      </c>
      <c r="P4006" s="642" t="inlineStr">
        <is>
          <t>г. Пятигорск, район Лермонтавского разъезда Бештаугорское шоссе, 16/1</t>
        </is>
      </c>
      <c r="Q4006" s="494" t="inlineStr">
        <is>
          <t>44.061029</t>
        </is>
      </c>
      <c r="R4006" s="494" t="inlineStr">
        <is>
          <t>43.046262</t>
        </is>
      </c>
    </row>
    <row r="4007" hidden="1">
      <c r="A4007" s="125" t="n">
        <v>4686</v>
      </c>
      <c r="B4007" s="125" t="n"/>
      <c r="C4007" s="130" t="inlineStr">
        <is>
          <t>Ставрополь</t>
        </is>
      </c>
      <c r="D4007" s="130" t="inlineStr">
        <is>
          <t>Ставропольский край</t>
        </is>
      </c>
      <c r="E4007" s="130" t="n"/>
      <c r="F4007" s="130" t="inlineStr">
        <is>
          <t>АЗС</t>
        </is>
      </c>
      <c r="G4007" s="130" t="inlineStr">
        <is>
          <t>Роснефть</t>
        </is>
      </c>
      <c r="H4007" s="131" t="n"/>
      <c r="I4007" s="637" t="n">
        <v>123</v>
      </c>
      <c r="J4007" s="637" t="inlineStr">
        <is>
          <t>STW_RN_123</t>
        </is>
      </c>
      <c r="K4007" s="640" t="n">
        <v>1</v>
      </c>
      <c r="L4007" s="640" t="n">
        <v>1</v>
      </c>
      <c r="M4007" s="265" t="inlineStr">
        <is>
          <t>Samsung 32" вертикальный</t>
        </is>
      </c>
      <c r="N4007" s="640" t="n"/>
      <c r="O4007" s="640">
        <f>IF(AND(N4007=1,L4007=1),K4007,"")</f>
        <v/>
      </c>
      <c r="P4007" s="642" t="inlineStr">
        <is>
          <t>г. Ессентуки станция Золотушка</t>
        </is>
      </c>
      <c r="Q4007" s="494" t="inlineStr">
        <is>
          <t>44.075063</t>
        </is>
      </c>
      <c r="R4007" s="494" t="inlineStr">
        <is>
          <t>42.911510</t>
        </is>
      </c>
    </row>
    <row r="4008" hidden="1">
      <c r="A4008" s="125" t="n">
        <v>4687</v>
      </c>
      <c r="B4008" s="125" t="n"/>
      <c r="C4008" s="130" t="inlineStr">
        <is>
          <t>Ставрополь</t>
        </is>
      </c>
      <c r="D4008" s="130" t="inlineStr">
        <is>
          <t>Ставропольский край</t>
        </is>
      </c>
      <c r="E4008" s="130" t="n"/>
      <c r="F4008" s="130" t="inlineStr">
        <is>
          <t>АЗС</t>
        </is>
      </c>
      <c r="G4008" s="130" t="inlineStr">
        <is>
          <t>Роснефть</t>
        </is>
      </c>
      <c r="H4008" s="131" t="n"/>
      <c r="I4008" s="637" t="n">
        <v>119</v>
      </c>
      <c r="J4008" s="637" t="inlineStr">
        <is>
          <t>STW_RN_119</t>
        </is>
      </c>
      <c r="K4008" s="640" t="n">
        <v>1</v>
      </c>
      <c r="L4008" s="640" t="n">
        <v>1</v>
      </c>
      <c r="M4008" s="265" t="inlineStr">
        <is>
          <t>Samsung 32" вертикальный</t>
        </is>
      </c>
      <c r="N4008" s="640" t="n"/>
      <c r="O4008" s="640">
        <f>IF(AND(N4008=1,L4008=1),K4008,"")</f>
        <v/>
      </c>
      <c r="P4008" s="642" t="inlineStr">
        <is>
          <t>Предгорный район 32км  автодорога Мин-Воды -Кисловодск</t>
        </is>
      </c>
      <c r="Q4008" s="494" t="inlineStr">
        <is>
          <t>44.038644</t>
        </is>
      </c>
      <c r="R4008" s="494" t="inlineStr">
        <is>
          <t>42.818623</t>
        </is>
      </c>
    </row>
    <row r="4009" hidden="1">
      <c r="A4009" s="125" t="n">
        <v>4688</v>
      </c>
      <c r="B4009" s="125" t="n"/>
      <c r="C4009" s="130" t="inlineStr">
        <is>
          <t>Ставрополь</t>
        </is>
      </c>
      <c r="D4009" s="130" t="inlineStr">
        <is>
          <t>Ставропольский край</t>
        </is>
      </c>
      <c r="E4009" s="130" t="n"/>
      <c r="F4009" s="130" t="inlineStr">
        <is>
          <t>АЗС</t>
        </is>
      </c>
      <c r="G4009" s="130" t="inlineStr">
        <is>
          <t>Роснефть</t>
        </is>
      </c>
      <c r="H4009" s="131" t="n"/>
      <c r="I4009" s="637" t="n">
        <v>126</v>
      </c>
      <c r="J4009" s="637" t="inlineStr">
        <is>
          <t>STW_RN_126</t>
        </is>
      </c>
      <c r="K4009" s="640" t="n">
        <v>1</v>
      </c>
      <c r="L4009" s="640" t="n">
        <v>1</v>
      </c>
      <c r="M4009" s="265" t="inlineStr">
        <is>
          <t>Samsung 32" вертикальный</t>
        </is>
      </c>
      <c r="N4009" s="640" t="n"/>
      <c r="O4009" s="640">
        <f>IF(AND(N4009=1,L4009=1),K4009,"")</f>
        <v/>
      </c>
      <c r="P4009" s="642" t="inlineStr">
        <is>
          <t>г. Кисловодск пр. Победы 151А</t>
        </is>
      </c>
      <c r="Q4009" s="494" t="inlineStr">
        <is>
          <t>43.937444</t>
        </is>
      </c>
      <c r="R4009" s="494" t="inlineStr">
        <is>
          <t>42.727079</t>
        </is>
      </c>
    </row>
    <row r="4010" hidden="1">
      <c r="A4010" s="125" t="n">
        <v>4689</v>
      </c>
      <c r="B4010" s="125" t="n"/>
      <c r="C4010" s="130" t="inlineStr">
        <is>
          <t>Ставрополь</t>
        </is>
      </c>
      <c r="D4010" s="130" t="inlineStr">
        <is>
          <t>Ставропольский край</t>
        </is>
      </c>
      <c r="E4010" s="130" t="n"/>
      <c r="F4010" s="130" t="inlineStr">
        <is>
          <t>АЗС</t>
        </is>
      </c>
      <c r="G4010" s="130" t="inlineStr">
        <is>
          <t>Роснефть</t>
        </is>
      </c>
      <c r="H4010" s="131" t="n"/>
      <c r="I4010" s="637" t="n">
        <v>89</v>
      </c>
      <c r="J4010" s="637" t="inlineStr">
        <is>
          <t>STW_RN_089</t>
        </is>
      </c>
      <c r="K4010" s="640" t="n">
        <v>1</v>
      </c>
      <c r="L4010" s="640" t="n">
        <v>1</v>
      </c>
      <c r="M4010" s="265" t="inlineStr">
        <is>
          <t>Samsung 32" вертикальный</t>
        </is>
      </c>
      <c r="N4010" s="640" t="n"/>
      <c r="O4010" s="640">
        <f>IF(AND(N4010=1,L4010=1),K4010,"")</f>
        <v/>
      </c>
      <c r="P4010" s="642" t="inlineStr">
        <is>
          <t>г. Кисловодск ул. Промышленная 1Б</t>
        </is>
      </c>
      <c r="Q4010" s="494" t="inlineStr">
        <is>
          <t>43.944739</t>
        </is>
      </c>
      <c r="R4010" s="494" t="inlineStr">
        <is>
          <t>42.730545</t>
        </is>
      </c>
    </row>
    <row r="4011" hidden="1">
      <c r="A4011" s="125" t="n">
        <v>4690</v>
      </c>
      <c r="B4011" s="125" t="n"/>
      <c r="C4011" s="130" t="inlineStr">
        <is>
          <t>Ставрополь</t>
        </is>
      </c>
      <c r="D4011" s="130" t="inlineStr">
        <is>
          <t>Ставропольский край</t>
        </is>
      </c>
      <c r="E4011" s="130" t="n"/>
      <c r="F4011" s="130" t="inlineStr">
        <is>
          <t>АЗС</t>
        </is>
      </c>
      <c r="G4011" s="130" t="inlineStr">
        <is>
          <t>Роснефть</t>
        </is>
      </c>
      <c r="H4011" s="131" t="n"/>
      <c r="I4011" s="637" t="n">
        <v>121</v>
      </c>
      <c r="J4011" s="637" t="inlineStr">
        <is>
          <t>STW_RN_121</t>
        </is>
      </c>
      <c r="K4011" s="640" t="n">
        <v>1</v>
      </c>
      <c r="L4011" s="640" t="n">
        <v>1</v>
      </c>
      <c r="M4011" s="265" t="inlineStr">
        <is>
          <t>Samsung 32" вертикальный</t>
        </is>
      </c>
      <c r="N4011" s="640" t="n"/>
      <c r="O4011" s="640">
        <f>IF(AND(N4011=1,L4011=1),K4011,"")</f>
        <v/>
      </c>
      <c r="P4011" s="642" t="inlineStr">
        <is>
          <t>г. Железноводск ул. Ленина 191а западный въезд в город</t>
        </is>
      </c>
      <c r="Q4011" s="494" t="inlineStr">
        <is>
          <t>44.146445</t>
        </is>
      </c>
      <c r="R4011" s="494" t="inlineStr">
        <is>
          <t>42.994314</t>
        </is>
      </c>
    </row>
    <row r="4012" hidden="1">
      <c r="A4012" s="125" t="n">
        <v>4691</v>
      </c>
      <c r="B4012" s="125" t="n"/>
      <c r="C4012" s="130" t="inlineStr">
        <is>
          <t>Ставрополь</t>
        </is>
      </c>
      <c r="D4012" s="130" t="inlineStr">
        <is>
          <t>Ставропольский край</t>
        </is>
      </c>
      <c r="E4012" s="130" t="n"/>
      <c r="F4012" s="130" t="inlineStr">
        <is>
          <t>АЗС</t>
        </is>
      </c>
      <c r="G4012" s="130" t="inlineStr">
        <is>
          <t>Роснефть</t>
        </is>
      </c>
      <c r="H4012" s="131" t="n"/>
      <c r="I4012" s="637" t="n">
        <v>108</v>
      </c>
      <c r="J4012" s="637" t="inlineStr">
        <is>
          <t>STW_RN_108</t>
        </is>
      </c>
      <c r="K4012" s="640" t="n">
        <v>1</v>
      </c>
      <c r="L4012" s="640" t="n">
        <v>0</v>
      </c>
      <c r="M4012" s="265" t="inlineStr">
        <is>
          <t>Samsung 32" вертикальный</t>
        </is>
      </c>
      <c r="N4012" s="640" t="n"/>
      <c r="O4012" s="640">
        <f>IF(AND(N4012=1,L4012=1),K4012,"")</f>
        <v/>
      </c>
      <c r="P4012" s="642" t="inlineStr">
        <is>
          <t>Предгорный район автодорога Мин-Воды -Кисловодск 10+800 право</t>
        </is>
      </c>
      <c r="Q4012" s="494" t="inlineStr">
        <is>
          <t>44.168419</t>
        </is>
      </c>
      <c r="R4012" s="494" t="inlineStr">
        <is>
          <t>42.989640</t>
        </is>
      </c>
    </row>
    <row r="4013" hidden="1" ht="20.4" customHeight="1">
      <c r="A4013" s="125" t="n">
        <v>4692</v>
      </c>
      <c r="B4013" s="125" t="n"/>
      <c r="C4013" s="130" t="inlineStr">
        <is>
          <t>Ставрополь</t>
        </is>
      </c>
      <c r="D4013" s="130" t="inlineStr">
        <is>
          <t>Ставропольский край</t>
        </is>
      </c>
      <c r="E4013" s="130" t="n"/>
      <c r="F4013" s="130" t="inlineStr">
        <is>
          <t>АЗС</t>
        </is>
      </c>
      <c r="G4013" s="130" t="inlineStr">
        <is>
          <t>Роснефть</t>
        </is>
      </c>
      <c r="H4013" s="131" t="n"/>
      <c r="I4013" s="637" t="n">
        <v>107</v>
      </c>
      <c r="J4013" s="637" t="inlineStr">
        <is>
          <t>STW_RN_107</t>
        </is>
      </c>
      <c r="K4013" s="640" t="n">
        <v>1</v>
      </c>
      <c r="L4013" s="640" t="n">
        <v>1</v>
      </c>
      <c r="M4013" s="265" t="inlineStr">
        <is>
          <t>Samsung 32" вертикальный</t>
        </is>
      </c>
      <c r="N4013" s="640" t="n"/>
      <c r="O4013" s="640">
        <f>IF(AND(N4013=1,L4013=1),K4013,"")</f>
        <v/>
      </c>
      <c r="P4013" s="642" t="inlineStr">
        <is>
          <t>Предгорный район автодорога Мин-Воды -Кисловодск в границах мо Пригородного сельсовета 9км +800м</t>
        </is>
      </c>
      <c r="Q4013" s="494" t="inlineStr">
        <is>
          <t>44.160785</t>
        </is>
      </c>
      <c r="R4013" s="494" t="inlineStr">
        <is>
          <t>42.982398</t>
        </is>
      </c>
    </row>
    <row r="4014" hidden="1">
      <c r="A4014" s="125" t="n">
        <v>4693</v>
      </c>
      <c r="B4014" s="125" t="n"/>
      <c r="C4014" s="130" t="inlineStr">
        <is>
          <t>Москва</t>
        </is>
      </c>
      <c r="D4014" s="130" t="inlineStr">
        <is>
          <t>Московская область</t>
        </is>
      </c>
      <c r="E4014" s="130" t="n"/>
      <c r="F4014" s="130" t="inlineStr">
        <is>
          <t>АЗС</t>
        </is>
      </c>
      <c r="G4014" s="125" t="inlineStr">
        <is>
          <t>Газпромнефть</t>
        </is>
      </c>
      <c r="H4014" s="131" t="n"/>
      <c r="I4014" s="637" t="n">
        <v>12331</v>
      </c>
      <c r="J4014" s="637" t="inlineStr">
        <is>
          <t>GPN_12331</t>
        </is>
      </c>
      <c r="K4014" s="640" t="n">
        <v>3</v>
      </c>
      <c r="L4014" s="640" t="n">
        <v>1</v>
      </c>
      <c r="M4014" s="265" t="n">
        <v>4</v>
      </c>
      <c r="N4014" s="640" t="n"/>
      <c r="O4014" s="640">
        <f>IF(AND(N4014=1,L4014=1),K4014,"")</f>
        <v/>
      </c>
      <c r="P4014" s="642" t="inlineStr">
        <is>
          <t>МО, г. Пушкино, м/н Звягино, ул. Школьная, вл. 5-г, стр. 1</t>
        </is>
      </c>
      <c r="Q4014" s="494" t="inlineStr">
        <is>
          <t>55.981090</t>
        </is>
      </c>
      <c r="R4014" s="494" t="inlineStr">
        <is>
          <t>37.795100</t>
        </is>
      </c>
    </row>
    <row r="4015" hidden="1">
      <c r="A4015" s="125" t="n">
        <v>4694</v>
      </c>
      <c r="B4015" s="125" t="n"/>
      <c r="C4015" s="130" t="inlineStr">
        <is>
          <t>Москва</t>
        </is>
      </c>
      <c r="D4015" s="130" t="inlineStr">
        <is>
          <t>Московская область</t>
        </is>
      </c>
      <c r="E4015" s="130" t="n"/>
      <c r="F4015" s="130" t="inlineStr">
        <is>
          <t>АЗС</t>
        </is>
      </c>
      <c r="G4015" s="125" t="inlineStr">
        <is>
          <t>Газпромнефть</t>
        </is>
      </c>
      <c r="H4015" s="131" t="n"/>
      <c r="I4015" s="637" t="n">
        <v>12372</v>
      </c>
      <c r="J4015" s="637" t="inlineStr">
        <is>
          <t>GPN_12372</t>
        </is>
      </c>
      <c r="K4015" s="640" t="n">
        <v>3</v>
      </c>
      <c r="L4015" s="640" t="n">
        <v>1</v>
      </c>
      <c r="M4015" s="265" t="n">
        <v>6</v>
      </c>
      <c r="N4015" s="640" t="n"/>
      <c r="O4015" s="640">
        <f>IF(AND(N4015=1,L4015=1),K4015,"")</f>
        <v/>
      </c>
      <c r="P4015" s="642" t="inlineStr">
        <is>
          <t>Московская область, М-11, 75 км справа</t>
        </is>
      </c>
      <c r="Q4015" s="494" t="inlineStr">
        <is>
          <t>56.206907</t>
        </is>
      </c>
      <c r="R4015" s="494" t="inlineStr">
        <is>
          <t>36.815752</t>
        </is>
      </c>
    </row>
    <row r="4016" hidden="1" ht="20.4" customHeight="1">
      <c r="A4016" s="125" t="n">
        <v>4695</v>
      </c>
      <c r="B4016" s="125" t="n"/>
      <c r="C4016" s="130" t="inlineStr">
        <is>
          <t>Приволжье (Нижний Новгород, Казань)</t>
        </is>
      </c>
      <c r="D4016" s="130" t="inlineStr">
        <is>
          <t>Чувашская республика</t>
        </is>
      </c>
      <c r="E4016" s="130" t="n"/>
      <c r="F4016" s="130" t="inlineStr">
        <is>
          <t>АЗС</t>
        </is>
      </c>
      <c r="G4016" s="125" t="inlineStr">
        <is>
          <t>Газпромнефть</t>
        </is>
      </c>
      <c r="H4016" s="131" t="n"/>
      <c r="I4016" s="637" t="n">
        <v>14541</v>
      </c>
      <c r="J4016" s="637" t="inlineStr">
        <is>
          <t>GPN_14541</t>
        </is>
      </c>
      <c r="K4016" s="640" t="n">
        <v>3</v>
      </c>
      <c r="L4016" s="640" t="n">
        <v>1</v>
      </c>
      <c r="M4016" s="265" t="n">
        <v>5</v>
      </c>
      <c r="N4016" s="640" t="n"/>
      <c r="O4016" s="640">
        <f>IF(AND(N4016=1,L4016=1),K4016,"")</f>
        <v/>
      </c>
      <c r="P4016" s="642" t="inlineStr">
        <is>
          <t>Большеалгашинское сельское поселение, Шумерлинский муниципальный округ, Чувашская Республика, Трасса М-12 522 км справа.</t>
        </is>
      </c>
      <c r="Q4016" s="494" t="inlineStr">
        <is>
          <t>55.404706</t>
        </is>
      </c>
      <c r="R4016" s="494" t="inlineStr">
        <is>
          <t>46.535868</t>
        </is>
      </c>
    </row>
    <row r="4017" hidden="1">
      <c r="A4017" s="125" t="n">
        <v>4696</v>
      </c>
      <c r="B4017" s="125" t="n"/>
      <c r="C4017" s="130" t="inlineStr">
        <is>
          <t>Екатеринбург</t>
        </is>
      </c>
      <c r="D4017" s="130" t="inlineStr">
        <is>
          <t>Свердловская область</t>
        </is>
      </c>
      <c r="E4017" s="130" t="n"/>
      <c r="F4017" s="130" t="inlineStr">
        <is>
          <t>АЗС</t>
        </is>
      </c>
      <c r="G4017" s="125" t="inlineStr">
        <is>
          <t>Газпромнефть</t>
        </is>
      </c>
      <c r="H4017" s="131" t="n"/>
      <c r="I4017" s="637" t="n">
        <v>20109</v>
      </c>
      <c r="J4017" s="637" t="inlineStr">
        <is>
          <t>GPN_20109</t>
        </is>
      </c>
      <c r="K4017" s="640" t="n">
        <v>3</v>
      </c>
      <c r="L4017" s="640" t="n">
        <v>1</v>
      </c>
      <c r="M4017" s="265" t="n">
        <v>5</v>
      </c>
      <c r="N4017" s="640" t="n"/>
      <c r="O4017" s="640">
        <f>IF(AND(N4017=1,L4017=1),K4017,"")</f>
        <v/>
      </c>
      <c r="P4017" s="642" t="inlineStr">
        <is>
          <t>п. Тугулым, Восточная ,25</t>
        </is>
      </c>
      <c r="Q4017" s="494" t="inlineStr">
        <is>
          <t>57.073441</t>
        </is>
      </c>
      <c r="R4017" s="494" t="inlineStr">
        <is>
          <t>64.563424</t>
        </is>
      </c>
    </row>
    <row r="4018" hidden="1">
      <c r="A4018" s="125" t="n">
        <v>4697</v>
      </c>
      <c r="B4018" s="125" t="n"/>
      <c r="C4018" s="130" t="inlineStr">
        <is>
          <t>Екатеринбург</t>
        </is>
      </c>
      <c r="D4018" s="130" t="inlineStr">
        <is>
          <t>Пермь</t>
        </is>
      </c>
      <c r="E4018" s="130" t="n"/>
      <c r="F4018" s="130" t="inlineStr">
        <is>
          <t>АЗС</t>
        </is>
      </c>
      <c r="G4018" s="125" t="inlineStr">
        <is>
          <t>Газпромнефть</t>
        </is>
      </c>
      <c r="H4018" s="131" t="n"/>
      <c r="I4018" s="637" t="n">
        <v>20502</v>
      </c>
      <c r="J4018" s="637" t="inlineStr">
        <is>
          <t>GPN_20502</t>
        </is>
      </c>
      <c r="K4018" s="640" t="n">
        <v>3</v>
      </c>
      <c r="L4018" s="640" t="n">
        <v>1</v>
      </c>
      <c r="M4018" s="265" t="n">
        <v>3</v>
      </c>
      <c r="N4018" s="640" t="n"/>
      <c r="O4018" s="640">
        <f>IF(AND(N4018=1,L4018=1),K4018,"")</f>
        <v/>
      </c>
      <c r="P4018" s="642" t="inlineStr">
        <is>
          <t>г. Пермь, ул. Цимлянская, 40</t>
        </is>
      </c>
      <c r="Q4018" s="494" t="inlineStr">
        <is>
          <t>58.133123</t>
        </is>
      </c>
      <c r="R4018" s="494" t="inlineStr">
        <is>
          <t>56.404543</t>
        </is>
      </c>
    </row>
    <row r="4019" hidden="1">
      <c r="A4019" s="125" t="n">
        <v>4698</v>
      </c>
      <c r="B4019" s="125" t="n"/>
      <c r="C4019" s="130" t="inlineStr">
        <is>
          <t>Екатеринбург</t>
        </is>
      </c>
      <c r="D4019" s="130" t="inlineStr">
        <is>
          <t>Пермь</t>
        </is>
      </c>
      <c r="E4019" s="130" t="n"/>
      <c r="F4019" s="130" t="inlineStr">
        <is>
          <t>АЗС</t>
        </is>
      </c>
      <c r="G4019" s="125" t="inlineStr">
        <is>
          <t>Газпромнефть</t>
        </is>
      </c>
      <c r="H4019" s="131" t="n"/>
      <c r="I4019" s="637" t="n">
        <v>20509</v>
      </c>
      <c r="J4019" s="637" t="inlineStr">
        <is>
          <t>GPN_20509</t>
        </is>
      </c>
      <c r="K4019" s="640" t="n">
        <v>3</v>
      </c>
      <c r="L4019" s="640" t="n">
        <v>1</v>
      </c>
      <c r="M4019" s="265" t="n">
        <v>3</v>
      </c>
      <c r="N4019" s="640" t="n"/>
      <c r="O4019" s="640">
        <f>IF(AND(N4019=1,L4019=1),K4019,"")</f>
        <v/>
      </c>
      <c r="P4019" s="642" t="inlineStr">
        <is>
          <t>Пермский край, г. Пермь, Свердловский район, пос. Новые Ляды, ул. 40-летия Победы, 22</t>
        </is>
      </c>
      <c r="Q4019" s="494" t="inlineStr">
        <is>
          <t>58.0477</t>
        </is>
      </c>
      <c r="R4019" s="494" t="inlineStr">
        <is>
          <t>56.57794</t>
        </is>
      </c>
    </row>
    <row r="4020" hidden="1">
      <c r="A4020" s="125" t="n">
        <v>4699</v>
      </c>
      <c r="B4020" s="125" t="n"/>
      <c r="C4020" s="130" t="inlineStr">
        <is>
          <t>Екатеринбург</t>
        </is>
      </c>
      <c r="D4020" s="130" t="inlineStr">
        <is>
          <t>Пермь</t>
        </is>
      </c>
      <c r="E4020" s="130" t="n"/>
      <c r="F4020" s="130" t="inlineStr">
        <is>
          <t>АЗС</t>
        </is>
      </c>
      <c r="G4020" s="125" t="inlineStr">
        <is>
          <t>Газпромнефть</t>
        </is>
      </c>
      <c r="H4020" s="131" t="n"/>
      <c r="I4020" s="637" t="n">
        <v>20512</v>
      </c>
      <c r="J4020" s="637" t="inlineStr">
        <is>
          <t>GPN_20512</t>
        </is>
      </c>
      <c r="K4020" s="640" t="n">
        <v>3</v>
      </c>
      <c r="L4020" s="640" t="n">
        <v>1</v>
      </c>
      <c r="M4020" s="265" t="n">
        <v>3</v>
      </c>
      <c r="N4020" s="640" t="n"/>
      <c r="O4020" s="640">
        <f>IF(AND(N4020=1,L4020=1),K4020,"")</f>
        <v/>
      </c>
      <c r="P4020" s="642" t="inlineStr">
        <is>
          <t>Пермь Космонавта Леонова 80</t>
        </is>
      </c>
      <c r="Q4020" s="494" t="inlineStr">
        <is>
          <t>57.959611</t>
        </is>
      </c>
      <c r="R4020" s="494" t="inlineStr">
        <is>
          <t>56.18141</t>
        </is>
      </c>
    </row>
    <row r="4021" hidden="1">
      <c r="A4021" s="125" t="n">
        <v>4700</v>
      </c>
      <c r="B4021" s="125" t="n"/>
      <c r="C4021" s="130" t="inlineStr">
        <is>
          <t>Тюмень</t>
        </is>
      </c>
      <c r="D4021" s="130" t="inlineStr">
        <is>
          <t>ЯНАО</t>
        </is>
      </c>
      <c r="E4021" s="130" t="n"/>
      <c r="F4021" s="130" t="inlineStr">
        <is>
          <t>АЗС</t>
        </is>
      </c>
      <c r="G4021" s="125" t="inlineStr">
        <is>
          <t>Газпромнефть</t>
        </is>
      </c>
      <c r="H4021" s="131" t="n"/>
      <c r="I4021" s="637" t="n">
        <v>24451</v>
      </c>
      <c r="J4021" s="637" t="inlineStr">
        <is>
          <t>GPN_24451</t>
        </is>
      </c>
      <c r="K4021" s="640" t="n">
        <v>2</v>
      </c>
      <c r="L4021" s="640" t="n">
        <v>1</v>
      </c>
      <c r="M4021" s="265" t="n">
        <v>2</v>
      </c>
      <c r="N4021" s="640" t="n"/>
      <c r="O4021" s="640">
        <f>IF(AND(N4021=1,L4021=1),K4021,"")</f>
        <v/>
      </c>
      <c r="P4021" s="642" t="inlineStr">
        <is>
          <t>Тюм. обл., ЯНАО, г.Ноябрьск, ул.Муравленко</t>
        </is>
      </c>
      <c r="Q4021" s="494" t="inlineStr">
        <is>
          <t>63.191452</t>
        </is>
      </c>
      <c r="R4021" s="494" t="inlineStr">
        <is>
          <t>75.403874</t>
        </is>
      </c>
    </row>
    <row r="4022" hidden="1">
      <c r="A4022" s="125" t="n">
        <v>4701</v>
      </c>
      <c r="B4022" s="125" t="n"/>
      <c r="C4022" s="130" t="inlineStr">
        <is>
          <t>Тюмень</t>
        </is>
      </c>
      <c r="D4022" s="130" t="inlineStr">
        <is>
          <t>ЯНАО</t>
        </is>
      </c>
      <c r="E4022" s="130" t="n"/>
      <c r="F4022" s="130" t="inlineStr">
        <is>
          <t>АЗС</t>
        </is>
      </c>
      <c r="G4022" s="125" t="inlineStr">
        <is>
          <t>Газпромнефть</t>
        </is>
      </c>
      <c r="H4022" s="131" t="n"/>
      <c r="I4022" s="637" t="n">
        <v>24455</v>
      </c>
      <c r="J4022" s="637" t="inlineStr">
        <is>
          <t>GPN_24455</t>
        </is>
      </c>
      <c r="K4022" s="640" t="n">
        <v>1</v>
      </c>
      <c r="L4022" s="640" t="n">
        <v>1</v>
      </c>
      <c r="M4022" s="265" t="n">
        <v>1</v>
      </c>
      <c r="N4022" s="640" t="n"/>
      <c r="O4022" s="640">
        <f>IF(AND(N4022=1,L4022=1),K4022,"")</f>
        <v/>
      </c>
      <c r="P4022" s="642" t="inlineStr">
        <is>
          <t>Тюм. обл., ЯНАО, г.Ноябрьск, промзона, ст.Ноябрьская</t>
        </is>
      </c>
      <c r="Q4022" s="494" t="inlineStr">
        <is>
          <t>63.130548</t>
        </is>
      </c>
      <c r="R4022" s="494" t="inlineStr">
        <is>
          <t>75.347432</t>
        </is>
      </c>
    </row>
    <row r="4023" hidden="1">
      <c r="A4023" s="125" t="n">
        <v>4702</v>
      </c>
      <c r="B4023" s="125" t="n"/>
      <c r="C4023" s="130" t="inlineStr">
        <is>
          <t>Тюмень</t>
        </is>
      </c>
      <c r="D4023" s="130" t="inlineStr">
        <is>
          <t>ЯНАО</t>
        </is>
      </c>
      <c r="E4023" s="130" t="n"/>
      <c r="F4023" s="130" t="inlineStr">
        <is>
          <t>АЗС</t>
        </is>
      </c>
      <c r="G4023" s="125" t="inlineStr">
        <is>
          <t>Газпромнефть</t>
        </is>
      </c>
      <c r="H4023" s="131" t="n"/>
      <c r="I4023" s="637" t="n">
        <v>24462</v>
      </c>
      <c r="J4023" s="637" t="inlineStr">
        <is>
          <t>GPN_24462</t>
        </is>
      </c>
      <c r="K4023" s="640" t="n">
        <v>3</v>
      </c>
      <c r="L4023" s="640" t="n">
        <v>1</v>
      </c>
      <c r="M4023" s="265" t="n">
        <v>3</v>
      </c>
      <c r="N4023" s="640" t="n"/>
      <c r="O4023" s="640">
        <f>IF(AND(N4023=1,L4023=1),K4023,"")</f>
        <v/>
      </c>
      <c r="P4023" s="642" t="inlineStr">
        <is>
          <t>Ямало-Ненецкий АО, г.Ноябрьск, Промзона, панель II</t>
        </is>
      </c>
      <c r="Q4023" s="494" t="inlineStr">
        <is>
          <t>63.197229</t>
        </is>
      </c>
      <c r="R4023" s="494" t="inlineStr">
        <is>
          <t>75.491698</t>
        </is>
      </c>
    </row>
    <row r="4024" hidden="1">
      <c r="A4024" s="125" t="n">
        <v>4703</v>
      </c>
      <c r="B4024" s="125" t="n"/>
      <c r="C4024" s="130" t="inlineStr">
        <is>
          <t>Новосибирск</t>
        </is>
      </c>
      <c r="D4024" s="130" t="inlineStr">
        <is>
          <t>Новосибирская область</t>
        </is>
      </c>
      <c r="E4024" s="130" t="n"/>
      <c r="F4024" s="130" t="inlineStr">
        <is>
          <t>АЗС</t>
        </is>
      </c>
      <c r="G4024" s="125" t="inlineStr">
        <is>
          <t>Газпромнефть</t>
        </is>
      </c>
      <c r="H4024" s="131" t="n"/>
      <c r="I4024" s="637" t="n">
        <v>30042</v>
      </c>
      <c r="J4024" s="637" t="inlineStr">
        <is>
          <t>GPN_30042</t>
        </is>
      </c>
      <c r="K4024" s="640" t="n">
        <v>3</v>
      </c>
      <c r="L4024" s="640" t="n">
        <v>1</v>
      </c>
      <c r="M4024" s="265" t="n">
        <v>3</v>
      </c>
      <c r="N4024" s="640" t="n"/>
      <c r="O4024" s="640">
        <f>IF(AND(N4024=1,L4024=1),K4024,"")</f>
        <v/>
      </c>
      <c r="P4024" s="642" t="inlineStr">
        <is>
          <t>г. Искитим, пр-т Юбилейный, 1г</t>
        </is>
      </c>
      <c r="Q4024" s="494" t="inlineStr">
        <is>
          <t>54.625413</t>
        </is>
      </c>
      <c r="R4024" s="494" t="inlineStr">
        <is>
          <t>83.289544</t>
        </is>
      </c>
    </row>
    <row r="4025" hidden="1">
      <c r="A4025" s="125" t="n">
        <v>4704</v>
      </c>
      <c r="B4025" s="125" t="n"/>
      <c r="C4025" s="130" t="inlineStr">
        <is>
          <t>Алтайский край</t>
        </is>
      </c>
      <c r="D4025" s="130" t="inlineStr">
        <is>
          <t>Кемеровская область</t>
        </is>
      </c>
      <c r="E4025" s="130" t="n"/>
      <c r="F4025" s="130" t="inlineStr">
        <is>
          <t>АЗС</t>
        </is>
      </c>
      <c r="G4025" s="125" t="inlineStr">
        <is>
          <t>Газпромнефть</t>
        </is>
      </c>
      <c r="H4025" s="131" t="n"/>
      <c r="I4025" s="637" t="n">
        <v>33064</v>
      </c>
      <c r="J4025" s="637" t="inlineStr">
        <is>
          <t>GPN_33064</t>
        </is>
      </c>
      <c r="K4025" s="640" t="n">
        <v>3</v>
      </c>
      <c r="L4025" s="640" t="n">
        <v>1</v>
      </c>
      <c r="M4025" s="265" t="n">
        <v>3</v>
      </c>
      <c r="N4025" s="640" t="n"/>
      <c r="O4025" s="640">
        <f>IF(AND(N4025=1,L4025=1),K4025,"")</f>
        <v/>
      </c>
      <c r="P4025" s="642" t="inlineStr">
        <is>
          <t>г.Топки, микрорайон "Красная горка", ул.Горная</t>
        </is>
      </c>
      <c r="Q4025" s="494" t="inlineStr">
        <is>
          <t>55.285059</t>
        </is>
      </c>
      <c r="R4025" s="494" t="inlineStr">
        <is>
          <t>85.648808</t>
        </is>
      </c>
    </row>
    <row r="4026" hidden="1">
      <c r="A4026" s="125" t="n">
        <v>4705</v>
      </c>
      <c r="B4026" s="125" t="n"/>
      <c r="C4026" s="130" t="inlineStr">
        <is>
          <t>Алтайский край</t>
        </is>
      </c>
      <c r="D4026" s="130" t="inlineStr">
        <is>
          <t>Кемеровская область</t>
        </is>
      </c>
      <c r="E4026" s="130" t="n"/>
      <c r="F4026" s="130" t="inlineStr">
        <is>
          <t>АЗС</t>
        </is>
      </c>
      <c r="G4026" s="125" t="inlineStr">
        <is>
          <t>Газпромнефть</t>
        </is>
      </c>
      <c r="H4026" s="131" t="n"/>
      <c r="I4026" s="637" t="n">
        <v>33137</v>
      </c>
      <c r="J4026" s="637" t="inlineStr">
        <is>
          <t>GPN_33137</t>
        </is>
      </c>
      <c r="K4026" s="640" t="n">
        <v>3</v>
      </c>
      <c r="L4026" s="640" t="n">
        <v>1</v>
      </c>
      <c r="M4026" s="265" t="n">
        <v>3</v>
      </c>
      <c r="N4026" s="640" t="n"/>
      <c r="O4026" s="640">
        <f>IF(AND(N4026=1,L4026=1),K4026,"")</f>
        <v/>
      </c>
      <c r="P4026" s="642" t="inlineStr">
        <is>
          <t>г. Киселевск, ул. Транспортная, 35</t>
        </is>
      </c>
      <c r="Q4026" s="494" t="inlineStr">
        <is>
          <t>54.01035</t>
        </is>
      </c>
      <c r="R4026" s="494" t="inlineStr">
        <is>
          <t>86.65204</t>
        </is>
      </c>
    </row>
    <row r="4027" hidden="1">
      <c r="A4027" s="125" t="n">
        <v>4706</v>
      </c>
      <c r="B4027" s="125" t="n"/>
      <c r="C4027" s="130" t="inlineStr">
        <is>
          <t>Алтайский край</t>
        </is>
      </c>
      <c r="D4027" s="130" t="inlineStr">
        <is>
          <t>Кемеровская область</t>
        </is>
      </c>
      <c r="E4027" s="130" t="n"/>
      <c r="F4027" s="130" t="inlineStr">
        <is>
          <t>АЗС</t>
        </is>
      </c>
      <c r="G4027" s="125" t="inlineStr">
        <is>
          <t>Газпромнефть</t>
        </is>
      </c>
      <c r="H4027" s="131" t="n"/>
      <c r="I4027" s="637" t="n">
        <v>33147</v>
      </c>
      <c r="J4027" s="637" t="inlineStr">
        <is>
          <t>GPN_33147</t>
        </is>
      </c>
      <c r="K4027" s="640" t="n">
        <v>3</v>
      </c>
      <c r="L4027" s="640" t="n">
        <v>1</v>
      </c>
      <c r="M4027" s="265" t="n">
        <v>3</v>
      </c>
      <c r="N4027" s="640" t="n"/>
      <c r="O4027" s="640">
        <f>IF(AND(N4027=1,L4027=1),K4027,"")</f>
        <v/>
      </c>
      <c r="P4027" s="642" t="inlineStr">
        <is>
          <t>г.Прокопьевск, ул. Вокзальная, 1</t>
        </is>
      </c>
      <c r="Q4027" s="494" t="inlineStr">
        <is>
          <t>53.89823</t>
        </is>
      </c>
      <c r="R4027" s="494" t="inlineStr">
        <is>
          <t>86.74581</t>
        </is>
      </c>
    </row>
    <row r="4028" hidden="1">
      <c r="A4028" s="125" t="n">
        <v>4707</v>
      </c>
      <c r="B4028" s="125" t="n"/>
      <c r="C4028" s="130" t="inlineStr">
        <is>
          <t>Красноярск</t>
        </is>
      </c>
      <c r="D4028" s="130" t="inlineStr">
        <is>
          <t>Красноярский край</t>
        </is>
      </c>
      <c r="E4028" s="130" t="n"/>
      <c r="F4028" s="130" t="inlineStr">
        <is>
          <t>АЗС</t>
        </is>
      </c>
      <c r="G4028" s="125" t="inlineStr">
        <is>
          <t>Газпромнефть</t>
        </is>
      </c>
      <c r="H4028" s="131" t="n"/>
      <c r="I4028" s="637" t="n">
        <v>34271</v>
      </c>
      <c r="J4028" s="637" t="inlineStr">
        <is>
          <t>GPN_34271</t>
        </is>
      </c>
      <c r="K4028" s="640" t="n">
        <v>3</v>
      </c>
      <c r="L4028" s="640" t="n">
        <v>1</v>
      </c>
      <c r="M4028" s="265" t="n">
        <v>3</v>
      </c>
      <c r="N4028" s="640" t="n"/>
      <c r="O4028" s="640">
        <f>IF(AND(N4028=1,L4028=1),K4028,"")</f>
        <v/>
      </c>
      <c r="P4028" s="642" t="inlineStr">
        <is>
          <t>Красноярский край, г. Минусинск, Абаканская ул., д. 90</t>
        </is>
      </c>
      <c r="Q4028" s="494" t="inlineStr">
        <is>
          <t>53.686129</t>
        </is>
      </c>
      <c r="R4028" s="494" t="inlineStr">
        <is>
          <t>91.654456</t>
        </is>
      </c>
    </row>
    <row r="4029" hidden="1">
      <c r="A4029" s="125" t="n">
        <v>4708</v>
      </c>
      <c r="B4029" s="125" t="n"/>
      <c r="C4029" s="130" t="inlineStr">
        <is>
          <t>Татарстан</t>
        </is>
      </c>
      <c r="D4029" s="130" t="inlineStr">
        <is>
          <t>Казань</t>
        </is>
      </c>
      <c r="E4029" s="791" t="n"/>
      <c r="F4029" s="125" t="inlineStr">
        <is>
          <t>АЗС</t>
        </is>
      </c>
      <c r="G4029" s="125" t="inlineStr">
        <is>
          <t>ТАИФ</t>
        </is>
      </c>
      <c r="H4029" s="131" t="inlineStr">
        <is>
          <t>ТАИФ_143</t>
        </is>
      </c>
      <c r="I4029" s="637" t="inlineStr">
        <is>
          <t>ТАИФ_143</t>
        </is>
      </c>
      <c r="J4029" s="637" t="inlineStr">
        <is>
          <t>KAZ_TAIF_0143</t>
        </is>
      </c>
      <c r="K4029" s="640" t="n">
        <v>1</v>
      </c>
      <c r="L4029" s="640" t="n">
        <v>1</v>
      </c>
      <c r="M4029" s="623" t="inlineStr">
        <is>
          <t>Samsung 32" вертикальный</t>
        </is>
      </c>
      <c r="N4029" s="640" t="n"/>
      <c r="O4029" s="640">
        <f>IF(AND(N4029=1,L4029=1),K4029,"")</f>
        <v/>
      </c>
      <c r="P4029" s="642" t="inlineStr">
        <is>
          <t>Республика Татарстан, Зеленодольский район,Зеленодольск, Столичная улица, 43Б</t>
        </is>
      </c>
      <c r="Q4029" s="640" t="inlineStr">
        <is>
          <t>55.850026</t>
        </is>
      </c>
      <c r="R4029" s="640" t="inlineStr">
        <is>
          <t>48.565395</t>
        </is>
      </c>
    </row>
    <row r="4030" hidden="1">
      <c r="A4030" s="125" t="n">
        <v>4709</v>
      </c>
      <c r="B4030" s="125" t="n"/>
      <c r="C4030" s="130" t="inlineStr">
        <is>
          <t>Татарстан</t>
        </is>
      </c>
      <c r="D4030" s="130" t="inlineStr">
        <is>
          <t>Казань</t>
        </is>
      </c>
      <c r="E4030" s="791" t="n"/>
      <c r="F4030" s="125" t="inlineStr">
        <is>
          <t>АЗС</t>
        </is>
      </c>
      <c r="G4030" s="125" t="inlineStr">
        <is>
          <t>ТАИФ</t>
        </is>
      </c>
      <c r="H4030" s="131" t="inlineStr">
        <is>
          <t>ТАИФ_117</t>
        </is>
      </c>
      <c r="I4030" s="637" t="inlineStr">
        <is>
          <t>ТАИФ_117</t>
        </is>
      </c>
      <c r="J4030" s="637" t="inlineStr">
        <is>
          <t>KAZ_TAIF_0117</t>
        </is>
      </c>
      <c r="K4030" s="640" t="n">
        <v>1</v>
      </c>
      <c r="L4030" s="640" t="n">
        <v>1</v>
      </c>
      <c r="M4030" s="623" t="inlineStr">
        <is>
          <t>Samsung 32" вертикальный</t>
        </is>
      </c>
      <c r="N4030" s="640" t="n"/>
      <c r="O4030" s="640">
        <f>IF(AND(N4030=1,L4030=1),K4030,"")</f>
        <v/>
      </c>
      <c r="P4030" s="642" t="inlineStr">
        <is>
          <t>Казань улица Горьковское Шоссе, 49В</t>
        </is>
      </c>
      <c r="Q4030" s="640" t="inlineStr">
        <is>
          <t>55.826879</t>
        </is>
      </c>
      <c r="R4030" s="640" t="inlineStr">
        <is>
          <t>49.019086</t>
        </is>
      </c>
    </row>
    <row r="4031" hidden="1">
      <c r="A4031" s="125" t="n">
        <v>4710</v>
      </c>
      <c r="B4031" s="125" t="n"/>
      <c r="C4031" s="130" t="inlineStr">
        <is>
          <t>Татарстан</t>
        </is>
      </c>
      <c r="D4031" s="130" t="inlineStr">
        <is>
          <t>Казань</t>
        </is>
      </c>
      <c r="E4031" s="791" t="n"/>
      <c r="F4031" s="125" t="inlineStr">
        <is>
          <t>АЗС</t>
        </is>
      </c>
      <c r="G4031" s="125" t="inlineStr">
        <is>
          <t>ТАИФ</t>
        </is>
      </c>
      <c r="H4031" s="131" t="inlineStr">
        <is>
          <t>ТАИФ_172</t>
        </is>
      </c>
      <c r="I4031" s="637" t="inlineStr">
        <is>
          <t>ТАИФ_172</t>
        </is>
      </c>
      <c r="J4031" s="637" t="inlineStr">
        <is>
          <t>KAZ_TAIF_0172</t>
        </is>
      </c>
      <c r="K4031" s="640" t="n">
        <v>1</v>
      </c>
      <c r="L4031" s="640" t="n">
        <v>1</v>
      </c>
      <c r="M4031" s="623" t="inlineStr">
        <is>
          <t>Samsung 32" вертикальный</t>
        </is>
      </c>
      <c r="N4031" s="640" t="n"/>
      <c r="O4031" s="640">
        <f>IF(AND(N4031=1,L4031=1),K4031,"")</f>
        <v/>
      </c>
      <c r="P4031" s="642" t="inlineStr">
        <is>
          <t>Высокогорский район, Семиозерское сельское поселение, деревня Макаровка, Берёзовая улица</t>
        </is>
      </c>
      <c r="Q4031" s="640" t="inlineStr">
        <is>
          <t>55.915560</t>
        </is>
      </c>
      <c r="R4031" s="640" t="inlineStr">
        <is>
          <t>49.115458</t>
        </is>
      </c>
    </row>
    <row r="4032" hidden="1">
      <c r="A4032" s="125" t="n">
        <v>4711</v>
      </c>
      <c r="B4032" s="125" t="n"/>
      <c r="C4032" s="130" t="inlineStr">
        <is>
          <t>Татарстан</t>
        </is>
      </c>
      <c r="D4032" s="130" t="inlineStr">
        <is>
          <t>Казань</t>
        </is>
      </c>
      <c r="E4032" s="791" t="n"/>
      <c r="F4032" s="125" t="inlineStr">
        <is>
          <t>АЗС</t>
        </is>
      </c>
      <c r="G4032" s="125" t="inlineStr">
        <is>
          <t>ТАИФ</t>
        </is>
      </c>
      <c r="H4032" s="131" t="inlineStr">
        <is>
          <t>ТАИФ_151</t>
        </is>
      </c>
      <c r="I4032" s="637" t="inlineStr">
        <is>
          <t>ТАИФ_151</t>
        </is>
      </c>
      <c r="J4032" s="637" t="inlineStr">
        <is>
          <t>KAZ_TAIF_0151</t>
        </is>
      </c>
      <c r="K4032" s="640" t="n">
        <v>1</v>
      </c>
      <c r="L4032" s="640" t="n">
        <v>1</v>
      </c>
      <c r="M4032" s="623" t="inlineStr">
        <is>
          <t>Samsung 32" вертикальный</t>
        </is>
      </c>
      <c r="N4032" s="640" t="n"/>
      <c r="O4032" s="640">
        <f>IF(AND(N4032=1,L4032=1),K4032,"")</f>
        <v/>
      </c>
      <c r="P4032" s="642" t="inlineStr">
        <is>
          <t>Казань Приволжский район жилой массив Ферма-2, 90А</t>
        </is>
      </c>
      <c r="Q4032" s="640" t="inlineStr">
        <is>
          <t>55.721485</t>
        </is>
      </c>
      <c r="R4032" s="640" t="inlineStr">
        <is>
          <t>49.172244</t>
        </is>
      </c>
    </row>
    <row r="4033" hidden="1">
      <c r="A4033" s="125" t="n">
        <v>4712</v>
      </c>
      <c r="B4033" s="125" t="n"/>
      <c r="C4033" s="130" t="inlineStr">
        <is>
          <t>Татарстан</t>
        </is>
      </c>
      <c r="D4033" s="130" t="inlineStr">
        <is>
          <t>Казань</t>
        </is>
      </c>
      <c r="E4033" s="791" t="n"/>
      <c r="F4033" s="125" t="inlineStr">
        <is>
          <t>АЗС</t>
        </is>
      </c>
      <c r="G4033" s="125" t="inlineStr">
        <is>
          <t>ТАИФ</t>
        </is>
      </c>
      <c r="H4033" s="131" t="inlineStr">
        <is>
          <t>ТАИФ_132</t>
        </is>
      </c>
      <c r="I4033" s="637" t="inlineStr">
        <is>
          <t>ТАИФ_132</t>
        </is>
      </c>
      <c r="J4033" s="637" t="inlineStr">
        <is>
          <t>KAZ_TAIF_0132</t>
        </is>
      </c>
      <c r="K4033" s="640" t="n">
        <v>1</v>
      </c>
      <c r="L4033" s="640" t="n">
        <v>1</v>
      </c>
      <c r="M4033" s="623" t="inlineStr">
        <is>
          <t>Samsung 32" вертикальный</t>
        </is>
      </c>
      <c r="N4033" s="640" t="n"/>
      <c r="O4033" s="640">
        <f>IF(AND(N4033=1,L4033=1),K4033,"")</f>
        <v/>
      </c>
      <c r="P4033" s="642" t="inlineStr">
        <is>
          <t>Казань Приволжский район микрорайон Горки-3 Дубравная улица, 2А</t>
        </is>
      </c>
      <c r="Q4033" s="640" t="inlineStr">
        <is>
          <t>55.740174</t>
        </is>
      </c>
      <c r="R4033" s="640" t="inlineStr">
        <is>
          <t>49.224910</t>
        </is>
      </c>
    </row>
    <row r="4034" hidden="1" ht="21.6" customHeight="1">
      <c r="A4034" s="125" t="n">
        <v>4713</v>
      </c>
      <c r="B4034" s="125" t="n"/>
      <c r="C4034" s="130" t="inlineStr">
        <is>
          <t>Москва</t>
        </is>
      </c>
      <c r="D4034" s="130" t="inlineStr">
        <is>
          <t>Московская область</t>
        </is>
      </c>
      <c r="E4034" s="791" t="n"/>
      <c r="F4034" s="125" t="inlineStr">
        <is>
          <t>АЗС</t>
        </is>
      </c>
      <c r="G4034" s="125" t="inlineStr">
        <is>
          <t>Газпромнефть</t>
        </is>
      </c>
      <c r="H4034" s="791" t="n"/>
      <c r="I4034" s="637" t="n">
        <v>12340</v>
      </c>
      <c r="J4034" s="637" t="inlineStr">
        <is>
          <t>GPN_12340</t>
        </is>
      </c>
      <c r="K4034" s="640" t="n">
        <v>3</v>
      </c>
      <c r="L4034" s="640" t="n">
        <v>1</v>
      </c>
      <c r="M4034" s="641" t="n">
        <v>6</v>
      </c>
      <c r="N4034" s="640" t="n"/>
      <c r="O4034" s="640">
        <f>IF(AND(N4034=1,L4034=1),K4034,"")</f>
        <v/>
      </c>
      <c r="P4034" s="642" t="inlineStr">
        <is>
          <t>Московская область, городской округ Домодедово, территория А-105, километр 37-й, строение 5 г. вблизи д. Воеводино</t>
        </is>
      </c>
      <c r="Q4034" s="640" t="inlineStr">
        <is>
          <t>55.477825</t>
        </is>
      </c>
      <c r="R4034" s="640" t="inlineStr">
        <is>
          <t>37.852966</t>
        </is>
      </c>
    </row>
    <row r="4035" hidden="1">
      <c r="A4035" s="125" t="n">
        <v>4714</v>
      </c>
      <c r="B4035" s="125" t="n"/>
      <c r="C4035" s="130" t="inlineStr">
        <is>
          <t>Москва</t>
        </is>
      </c>
      <c r="D4035" s="130" t="inlineStr">
        <is>
          <t>Московская область</t>
        </is>
      </c>
      <c r="E4035" s="791" t="n"/>
      <c r="F4035" s="125" t="inlineStr">
        <is>
          <t>АЗС</t>
        </is>
      </c>
      <c r="G4035" s="125" t="inlineStr">
        <is>
          <t>Газпромнефть</t>
        </is>
      </c>
      <c r="H4035" s="791" t="n"/>
      <c r="I4035" s="637" t="n">
        <v>12581</v>
      </c>
      <c r="J4035" s="637" t="inlineStr">
        <is>
          <t>GPN_12581</t>
        </is>
      </c>
      <c r="K4035" s="640" t="n">
        <v>3</v>
      </c>
      <c r="L4035" s="640" t="n">
        <v>1</v>
      </c>
      <c r="M4035" s="641" t="n">
        <v>5</v>
      </c>
      <c r="N4035" s="640" t="n"/>
      <c r="O4035" s="640">
        <f>IF(AND(N4035=1,L4035=1),K4035,"")</f>
        <v/>
      </c>
      <c r="P4035" s="642" t="inlineStr">
        <is>
          <t>Московская обл, Дмитровский р-н, Целеевский с/о, 55 км Дмитровского шоссе</t>
        </is>
      </c>
      <c r="Q4035" s="640" t="inlineStr">
        <is>
          <t>56.204698</t>
        </is>
      </c>
      <c r="R4035" s="640" t="inlineStr">
        <is>
          <t>37.524540</t>
        </is>
      </c>
    </row>
    <row r="4036" hidden="1">
      <c r="A4036" s="125" t="n">
        <v>4715</v>
      </c>
      <c r="B4036" s="125" t="n"/>
      <c r="C4036" s="130" t="inlineStr">
        <is>
          <t>Москва</t>
        </is>
      </c>
      <c r="D4036" s="130" t="inlineStr">
        <is>
          <t>Московская область</t>
        </is>
      </c>
      <c r="E4036" s="791" t="n"/>
      <c r="F4036" s="125" t="inlineStr">
        <is>
          <t>АЗС</t>
        </is>
      </c>
      <c r="G4036" s="125" t="inlineStr">
        <is>
          <t>Газпромнефть</t>
        </is>
      </c>
      <c r="H4036" s="791" t="n"/>
      <c r="I4036" s="637" t="n">
        <v>12607</v>
      </c>
      <c r="J4036" s="637" t="inlineStr">
        <is>
          <t>GPN_12607</t>
        </is>
      </c>
      <c r="K4036" s="640" t="n">
        <v>3</v>
      </c>
      <c r="L4036" s="640" t="n">
        <v>1</v>
      </c>
      <c r="M4036" s="641" t="n">
        <v>5</v>
      </c>
      <c r="N4036" s="640" t="n"/>
      <c r="O4036" s="640">
        <f>IF(AND(N4036=1,L4036=1),K4036,"")</f>
        <v/>
      </c>
      <c r="P4036" s="642" t="inlineStr">
        <is>
          <t>Можайское шоссе, 167, Одинцово, Московская область</t>
        </is>
      </c>
      <c r="Q4036" s="640" t="inlineStr">
        <is>
          <t>55.687279</t>
        </is>
      </c>
      <c r="R4036" s="640" t="inlineStr">
        <is>
          <t>37.308471</t>
        </is>
      </c>
    </row>
    <row r="4037" hidden="1">
      <c r="A4037" s="125" t="n">
        <v>4716</v>
      </c>
      <c r="B4037" s="125" t="n"/>
      <c r="C4037" s="130" t="inlineStr">
        <is>
          <t>Москва</t>
        </is>
      </c>
      <c r="D4037" s="130" t="inlineStr">
        <is>
          <t>Московская область</t>
        </is>
      </c>
      <c r="E4037" s="791" t="n"/>
      <c r="F4037" s="125" t="inlineStr">
        <is>
          <t>АЗС</t>
        </is>
      </c>
      <c r="G4037" s="125" t="inlineStr">
        <is>
          <t>Газпромнефть</t>
        </is>
      </c>
      <c r="H4037" s="791" t="n"/>
      <c r="I4037" s="637" t="n">
        <v>12618</v>
      </c>
      <c r="J4037" s="637" t="inlineStr">
        <is>
          <t>GPN_12618</t>
        </is>
      </c>
      <c r="K4037" s="640" t="n">
        <v>3</v>
      </c>
      <c r="L4037" s="640" t="n">
        <v>1</v>
      </c>
      <c r="M4037" s="641" t="n">
        <v>5</v>
      </c>
      <c r="N4037" s="640" t="n"/>
      <c r="O4037" s="640">
        <f>IF(AND(N4037=1,L4037=1),K4037,"")</f>
        <v/>
      </c>
      <c r="P4037" s="642" t="inlineStr">
        <is>
          <t>Московская область, г.Лобня, Шереметьевское шоссе, д.8</t>
        </is>
      </c>
      <c r="Q4037" s="640" t="inlineStr">
        <is>
          <t>56.005604</t>
        </is>
      </c>
      <c r="R4037" s="640" t="inlineStr">
        <is>
          <t>37.434122</t>
        </is>
      </c>
    </row>
    <row r="4038" hidden="1" ht="21.6" customHeight="1">
      <c r="A4038" s="125" t="n">
        <v>4717</v>
      </c>
      <c r="B4038" s="125" t="n"/>
      <c r="C4038" s="130" t="inlineStr">
        <is>
          <t>Приволжье (Нижний Новгород, Казань)</t>
        </is>
      </c>
      <c r="D4038" s="130" t="inlineStr">
        <is>
          <t>Чувашская республика</t>
        </is>
      </c>
      <c r="E4038" s="791" t="n"/>
      <c r="F4038" s="125" t="inlineStr">
        <is>
          <t>АЗС</t>
        </is>
      </c>
      <c r="G4038" s="125" t="inlineStr">
        <is>
          <t>Газпромнефть</t>
        </is>
      </c>
      <c r="H4038" s="791" t="n"/>
      <c r="I4038" s="637" t="n">
        <v>14540</v>
      </c>
      <c r="J4038" s="637" t="inlineStr">
        <is>
          <t>GPN_14540</t>
        </is>
      </c>
      <c r="K4038" s="640" t="n">
        <v>3</v>
      </c>
      <c r="L4038" s="640" t="n">
        <v>1</v>
      </c>
      <c r="M4038" s="641" t="n">
        <v>5</v>
      </c>
      <c r="N4038" s="640" t="n"/>
      <c r="O4038" s="640">
        <f>IF(AND(N4038=1,L4038=1),K4038,"")</f>
        <v/>
      </c>
      <c r="P4038" s="642" t="inlineStr">
        <is>
          <t>Большеалгашинское сельское поселение, Шумерлинский муниципальный округ, Чувашская Республика, Трасса М-12 522 км слева</t>
        </is>
      </c>
      <c r="Q4038" s="640" t="inlineStr">
        <is>
          <t>55.405518</t>
        </is>
      </c>
      <c r="R4038" s="640" t="inlineStr">
        <is>
          <t>46.536472</t>
        </is>
      </c>
    </row>
    <row r="4039" hidden="1">
      <c r="A4039" s="125" t="n">
        <v>4718</v>
      </c>
      <c r="B4039" s="125" t="n"/>
      <c r="C4039" s="130" t="inlineStr">
        <is>
          <t>Екатеринбург</t>
        </is>
      </c>
      <c r="D4039" s="130" t="inlineStr">
        <is>
          <t>Свердловская область</t>
        </is>
      </c>
      <c r="E4039" s="791" t="n"/>
      <c r="F4039" s="125" t="inlineStr">
        <is>
          <t>АЗС</t>
        </is>
      </c>
      <c r="G4039" s="125" t="inlineStr">
        <is>
          <t>Газпромнефть</t>
        </is>
      </c>
      <c r="H4039" s="791" t="n"/>
      <c r="I4039" s="637" t="n">
        <v>20199</v>
      </c>
      <c r="J4039" s="637" t="inlineStr">
        <is>
          <t>GPN_20199</t>
        </is>
      </c>
      <c r="K4039" s="640" t="n">
        <v>3</v>
      </c>
      <c r="L4039" s="640" t="n">
        <v>1</v>
      </c>
      <c r="M4039" s="641" t="n">
        <v>5</v>
      </c>
      <c r="N4039" s="640" t="n"/>
      <c r="O4039" s="640">
        <f>IF(AND(N4039=1,L4039=1),K4039,"")</f>
        <v/>
      </c>
      <c r="P4039" s="642" t="inlineStr">
        <is>
          <t>Свердловская область, Березовский городской округ, г. Березовский</t>
        </is>
      </c>
      <c r="Q4039" s="640" t="inlineStr">
        <is>
          <t>60.797331</t>
        </is>
      </c>
      <c r="R4039" s="640" t="inlineStr">
        <is>
          <t>56.869677</t>
        </is>
      </c>
    </row>
    <row r="4040" hidden="1">
      <c r="A4040" s="125" t="n">
        <v>4719</v>
      </c>
      <c r="B4040" s="125" t="n"/>
      <c r="C4040" s="130" t="inlineStr">
        <is>
          <t>Приволжье (Нижний Новгород, Казань)</t>
        </is>
      </c>
      <c r="D4040" s="130" t="inlineStr">
        <is>
          <t>Казань</t>
        </is>
      </c>
      <c r="E4040" s="791" t="n"/>
      <c r="F4040" s="125" t="inlineStr">
        <is>
          <t>АЗС</t>
        </is>
      </c>
      <c r="G4040" s="125" t="inlineStr">
        <is>
          <t>Газпромнефть</t>
        </is>
      </c>
      <c r="H4040" s="791" t="n"/>
      <c r="I4040" s="637" t="n">
        <v>20606</v>
      </c>
      <c r="J4040" s="637" t="inlineStr">
        <is>
          <t>GPN_20606</t>
        </is>
      </c>
      <c r="K4040" s="640" t="n">
        <v>3</v>
      </c>
      <c r="L4040" s="640" t="n">
        <v>1</v>
      </c>
      <c r="M4040" s="641" t="n">
        <v>5</v>
      </c>
      <c r="N4040" s="640" t="n"/>
      <c r="O4040" s="640">
        <f>IF(AND(N4040=1,L4040=1),K4040,"")</f>
        <v/>
      </c>
      <c r="P4040" s="642" t="inlineStr">
        <is>
          <t>Республика Татарстан, 686 км ФАД М-12 «Восток» (слева)</t>
        </is>
      </c>
      <c r="Q4040" s="640" t="inlineStr">
        <is>
          <t>55.587130</t>
        </is>
      </c>
      <c r="R4040" s="640" t="inlineStr">
        <is>
          <t>48.877211</t>
        </is>
      </c>
    </row>
    <row r="4041" hidden="1">
      <c r="A4041" s="125" t="n">
        <v>4720</v>
      </c>
      <c r="B4041" s="125" t="n"/>
      <c r="C4041" s="130" t="inlineStr">
        <is>
          <t>Приволжье (Нижний Новгород, Казань)</t>
        </is>
      </c>
      <c r="D4041" s="130" t="inlineStr">
        <is>
          <t>Казань</t>
        </is>
      </c>
      <c r="E4041" s="791" t="n"/>
      <c r="F4041" s="125" t="inlineStr">
        <is>
          <t>АЗС</t>
        </is>
      </c>
      <c r="G4041" s="125" t="inlineStr">
        <is>
          <t>Газпромнефть</t>
        </is>
      </c>
      <c r="H4041" s="791" t="n"/>
      <c r="I4041" s="637" t="n">
        <v>20607</v>
      </c>
      <c r="J4041" s="637" t="inlineStr">
        <is>
          <t>GPN_20607</t>
        </is>
      </c>
      <c r="K4041" s="640" t="n">
        <v>3</v>
      </c>
      <c r="L4041" s="640" t="n">
        <v>1</v>
      </c>
      <c r="M4041" s="641" t="n">
        <v>5</v>
      </c>
      <c r="N4041" s="640" t="n"/>
      <c r="O4041" s="640">
        <f>IF(AND(N4041=1,L4041=1),K4041,"")</f>
        <v/>
      </c>
      <c r="P4041" s="642" t="inlineStr">
        <is>
          <t>Республика Татарстан, 686 км ФАД М-12 «Восток» (справа)</t>
        </is>
      </c>
      <c r="Q4041" s="640" t="inlineStr">
        <is>
          <t>55.587130</t>
        </is>
      </c>
      <c r="R4041" s="640" t="inlineStr">
        <is>
          <t>48.877211</t>
        </is>
      </c>
    </row>
    <row r="4042" hidden="1" ht="21.6" customHeight="1">
      <c r="A4042" s="125" t="n">
        <v>4721</v>
      </c>
      <c r="B4042" s="125" t="n"/>
      <c r="C4042" s="130" t="inlineStr">
        <is>
          <t>Алтайский край</t>
        </is>
      </c>
      <c r="D4042" s="130" t="inlineStr">
        <is>
          <t>Республика Алтай</t>
        </is>
      </c>
      <c r="E4042" s="791" t="n"/>
      <c r="F4042" s="125" t="inlineStr">
        <is>
          <t>АЗС</t>
        </is>
      </c>
      <c r="G4042" s="125" t="inlineStr">
        <is>
          <t>Газпромнефть</t>
        </is>
      </c>
      <c r="H4042" s="791" t="n"/>
      <c r="I4042" s="637" t="n">
        <v>32609</v>
      </c>
      <c r="J4042" s="637" t="inlineStr">
        <is>
          <t>GPN_32609</t>
        </is>
      </c>
      <c r="K4042" s="640" t="n">
        <v>3</v>
      </c>
      <c r="L4042" s="640" t="n">
        <v>1</v>
      </c>
      <c r="M4042" s="641" t="n">
        <v>6</v>
      </c>
      <c r="N4042" s="640" t="n"/>
      <c r="O4042" s="640">
        <f>IF(AND(N4042=1,L4042=1),K4042,"")</f>
        <v/>
      </c>
      <c r="P4042" s="642" t="inlineStr">
        <is>
          <t>Республика Алтай, Майминский р-н, Майминское с.п., ориентир в придорожной полосе с левой стороны автомобильной дороги М-52 «Чуйский тракт» км 448+100</t>
        </is>
      </c>
      <c r="Q4042" s="640" t="inlineStr">
        <is>
          <t xml:space="preserve">51.94739 </t>
        </is>
      </c>
      <c r="R4042" s="640" t="inlineStr">
        <is>
          <t>85.84879</t>
        </is>
      </c>
    </row>
    <row r="4043" hidden="1">
      <c r="A4043" s="125" t="n">
        <v>4722</v>
      </c>
      <c r="B4043" s="125" t="n"/>
      <c r="C4043" s="130" t="inlineStr">
        <is>
          <t>Алтайский край</t>
        </is>
      </c>
      <c r="D4043" s="130" t="inlineStr">
        <is>
          <t>Кемеровская область</t>
        </is>
      </c>
      <c r="E4043" s="791" t="n"/>
      <c r="F4043" s="125" t="inlineStr">
        <is>
          <t>АЗС</t>
        </is>
      </c>
      <c r="G4043" s="125" t="inlineStr">
        <is>
          <t>Газпромнефть</t>
        </is>
      </c>
      <c r="H4043" s="791" t="n"/>
      <c r="I4043" s="637" t="n">
        <v>33033</v>
      </c>
      <c r="J4043" s="637" t="inlineStr">
        <is>
          <t>GPN_33033</t>
        </is>
      </c>
      <c r="K4043" s="640" t="n">
        <v>3</v>
      </c>
      <c r="L4043" s="640" t="n">
        <v>1</v>
      </c>
      <c r="M4043" s="641" t="n">
        <v>3</v>
      </c>
      <c r="N4043" s="640" t="n"/>
      <c r="O4043" s="640">
        <f>IF(AND(N4043=1,L4043=1),K4043,"")</f>
        <v/>
      </c>
      <c r="P4043" s="642" t="inlineStr">
        <is>
          <t>г.Прокопьевск, Тырган ул. Ноградская (Налоговая)</t>
        </is>
      </c>
      <c r="Q4043" s="640" t="inlineStr">
        <is>
          <t>53.87435</t>
        </is>
      </c>
      <c r="R4043" s="640" t="inlineStr">
        <is>
          <t>86.62865</t>
        </is>
      </c>
    </row>
    <row r="4044" hidden="1">
      <c r="A4044" s="125" t="n">
        <v>4723</v>
      </c>
      <c r="B4044" s="125" t="n"/>
      <c r="C4044" s="130" t="inlineStr">
        <is>
          <t>Алтайский край</t>
        </is>
      </c>
      <c r="D4044" s="130" t="inlineStr">
        <is>
          <t>Кемеровская область</t>
        </is>
      </c>
      <c r="E4044" s="791" t="n"/>
      <c r="F4044" s="125" t="inlineStr">
        <is>
          <t>АЗС</t>
        </is>
      </c>
      <c r="G4044" s="125" t="inlineStr">
        <is>
          <t>Газпромнефть</t>
        </is>
      </c>
      <c r="H4044" s="791" t="n"/>
      <c r="I4044" s="637" t="n">
        <v>33065</v>
      </c>
      <c r="J4044" s="637" t="inlineStr">
        <is>
          <t>GPN_33065</t>
        </is>
      </c>
      <c r="K4044" s="640" t="n">
        <v>1</v>
      </c>
      <c r="L4044" s="640" t="n">
        <v>1</v>
      </c>
      <c r="M4044" s="641" t="n">
        <v>1</v>
      </c>
      <c r="N4044" s="640" t="n"/>
      <c r="O4044" s="640">
        <f>IF(AND(N4044=1,L4044=1),K4044,"")</f>
        <v/>
      </c>
      <c r="P4044" s="642" t="inlineStr">
        <is>
          <t>Кемеровская область, Топкинский муниципальный округ, Р-255 Сибирь, 211-й километр</t>
        </is>
      </c>
      <c r="Q4044" s="640" t="inlineStr">
        <is>
          <t>55.357173</t>
        </is>
      </c>
      <c r="R4044" s="640" t="inlineStr">
        <is>
          <t>85.449997</t>
        </is>
      </c>
    </row>
    <row r="4045" hidden="1">
      <c r="A4045" s="125" t="n">
        <v>4724</v>
      </c>
      <c r="B4045" s="125" t="n"/>
      <c r="C4045" s="130" t="inlineStr">
        <is>
          <t>Алтайский край</t>
        </is>
      </c>
      <c r="D4045" s="130" t="inlineStr">
        <is>
          <t>Кемеровская область</t>
        </is>
      </c>
      <c r="E4045" s="791" t="n"/>
      <c r="F4045" s="125" t="inlineStr">
        <is>
          <t>АЗС</t>
        </is>
      </c>
      <c r="G4045" s="125" t="inlineStr">
        <is>
          <t>Газпромнефть</t>
        </is>
      </c>
      <c r="H4045" s="791" t="n"/>
      <c r="I4045" s="637" t="n">
        <v>33144</v>
      </c>
      <c r="J4045" s="637" t="inlineStr">
        <is>
          <t>GPN_33144</t>
        </is>
      </c>
      <c r="K4045" s="640" t="n">
        <v>3</v>
      </c>
      <c r="L4045" s="640" t="n">
        <v>1</v>
      </c>
      <c r="M4045" s="641" t="n">
        <v>3</v>
      </c>
      <c r="N4045" s="640" t="n"/>
      <c r="O4045" s="640">
        <f>IF(AND(N4045=1,L4045=1),K4045,"")</f>
        <v/>
      </c>
      <c r="P4045" s="642" t="inlineStr">
        <is>
          <t>Кемеровская область, Промышленовский р-н, с. Журавлево, ул.Центральная,96</t>
        </is>
      </c>
      <c r="Q4045" s="640" t="inlineStr">
        <is>
          <t>54.776074</t>
        </is>
      </c>
      <c r="R4045" s="640" t="inlineStr">
        <is>
          <t>85.077151</t>
        </is>
      </c>
    </row>
    <row r="4046" hidden="1">
      <c r="A4046" s="125" t="n">
        <v>4725</v>
      </c>
      <c r="B4046" s="125" t="n"/>
      <c r="C4046" s="130" t="inlineStr">
        <is>
          <t>Алтайский край</t>
        </is>
      </c>
      <c r="D4046" s="130" t="inlineStr">
        <is>
          <t>Кемеровская область</t>
        </is>
      </c>
      <c r="E4046" s="791" t="n"/>
      <c r="F4046" s="125" t="inlineStr">
        <is>
          <t>АЗС</t>
        </is>
      </c>
      <c r="G4046" s="125" t="inlineStr">
        <is>
          <t>Газпромнефть</t>
        </is>
      </c>
      <c r="H4046" s="791" t="n"/>
      <c r="I4046" s="637" t="n">
        <v>33146</v>
      </c>
      <c r="J4046" s="637" t="inlineStr">
        <is>
          <t>GPN_33146</t>
        </is>
      </c>
      <c r="K4046" s="640" t="n">
        <v>3</v>
      </c>
      <c r="L4046" s="640" t="n">
        <v>1</v>
      </c>
      <c r="M4046" s="641" t="n">
        <v>4</v>
      </c>
      <c r="N4046" s="640" t="n"/>
      <c r="O4046" s="640">
        <f>IF(AND(N4046=1,L4046=1),K4046,"")</f>
        <v/>
      </c>
      <c r="P4046" s="642" t="inlineStr">
        <is>
          <t>Кемеровская область, г. Прокопьевск, ул. Правды,3</t>
        </is>
      </c>
      <c r="Q4046" s="640" t="inlineStr">
        <is>
          <t>53.94422</t>
        </is>
      </c>
      <c r="R4046" s="640" t="inlineStr">
        <is>
          <t>86.7248</t>
        </is>
      </c>
    </row>
    <row r="4047" hidden="1">
      <c r="A4047" s="125" t="n">
        <v>4726</v>
      </c>
      <c r="B4047" s="125" t="n"/>
      <c r="C4047" s="125" t="inlineStr">
        <is>
          <t>Москва</t>
        </is>
      </c>
      <c r="D4047" s="130" t="inlineStr">
        <is>
          <t>Москва</t>
        </is>
      </c>
      <c r="E4047" s="791" t="n"/>
      <c r="F4047" s="125" t="inlineStr">
        <is>
          <t>Супермаркет</t>
        </is>
      </c>
      <c r="G4047" s="125" t="inlineStr">
        <is>
          <t>Азбука Вкуса</t>
        </is>
      </c>
      <c r="H4047" s="791" t="n"/>
      <c r="I4047" s="637" t="inlineStr">
        <is>
          <t>174_Daily</t>
        </is>
      </c>
      <c r="J4047" s="637" t="inlineStr">
        <is>
          <t>MSK_D_174</t>
        </is>
      </c>
      <c r="K4047" s="640" t="n">
        <v>2</v>
      </c>
      <c r="L4047" s="640" t="n">
        <v>1</v>
      </c>
      <c r="M4047" s="265" t="inlineStr">
        <is>
          <t>Samsung 43" вертикальный</t>
        </is>
      </c>
      <c r="N4047" s="640" t="n"/>
      <c r="O4047" s="640">
        <f>IF(AND(N4047=1,L4047=1),K4047,"")</f>
        <v/>
      </c>
      <c r="P4047" s="642" t="inlineStr">
        <is>
          <t>Москва, Мантулинская 9к3</t>
        </is>
      </c>
      <c r="Q4047" s="494" t="inlineStr">
        <is>
          <t>55.754284</t>
        </is>
      </c>
      <c r="R4047" s="494" t="inlineStr">
        <is>
          <t>37.544773</t>
        </is>
      </c>
      <c r="S4047" s="387" t="n">
        <v>24</v>
      </c>
      <c r="T4047" s="436">
        <f>IF(N4047=1,O4047*S4047,"")</f>
        <v/>
      </c>
    </row>
    <row r="4048" hidden="1">
      <c r="A4048" s="125" t="n">
        <v>4727</v>
      </c>
      <c r="B4048" s="125" t="n"/>
      <c r="C4048" s="125" t="inlineStr">
        <is>
          <t>Москва</t>
        </is>
      </c>
      <c r="D4048" s="130" t="inlineStr">
        <is>
          <t>Москва</t>
        </is>
      </c>
      <c r="E4048" s="791" t="n"/>
      <c r="F4048" s="125" t="inlineStr">
        <is>
          <t>Супермаркет</t>
        </is>
      </c>
      <c r="G4048" s="125" t="inlineStr">
        <is>
          <t>Азбука Вкуса</t>
        </is>
      </c>
      <c r="H4048" s="791" t="n"/>
      <c r="I4048" s="637" t="inlineStr">
        <is>
          <t>175_Daily</t>
        </is>
      </c>
      <c r="J4048" s="637" t="inlineStr">
        <is>
          <t>MSK_D_175</t>
        </is>
      </c>
      <c r="K4048" s="640" t="n">
        <v>3</v>
      </c>
      <c r="L4048" s="640" t="n">
        <v>1</v>
      </c>
      <c r="M4048" s="265" t="inlineStr">
        <is>
          <t>Samsung 43" вертикальный</t>
        </is>
      </c>
      <c r="N4048" s="640" t="n"/>
      <c r="O4048" s="640">
        <f>IF(AND(N4048=1,L4048=1),K4048,"")</f>
        <v/>
      </c>
      <c r="P4048" s="642" t="inlineStr">
        <is>
          <t>Москва, Дубининская ул., д. 59 стр.2</t>
        </is>
      </c>
      <c r="Q4048" s="494" t="inlineStr">
        <is>
          <t>55.718486</t>
        </is>
      </c>
      <c r="R4048" s="494" t="inlineStr">
        <is>
          <t>37.637093</t>
        </is>
      </c>
      <c r="S4048" s="387" t="n">
        <v>24</v>
      </c>
      <c r="T4048" s="436">
        <f>IF(N4048=1,O4048*S4048,"")</f>
        <v/>
      </c>
    </row>
    <row r="4049" hidden="1">
      <c r="A4049" s="125" t="n">
        <v>4728</v>
      </c>
      <c r="B4049" s="125" t="n"/>
      <c r="C4049" s="130" t="inlineStr">
        <is>
          <t>Москва</t>
        </is>
      </c>
      <c r="D4049" s="130" t="inlineStr">
        <is>
          <t>Московская область</t>
        </is>
      </c>
      <c r="E4049" s="791" t="n"/>
      <c r="F4049" s="125" t="inlineStr">
        <is>
          <t>АЗС</t>
        </is>
      </c>
      <c r="G4049" s="125" t="inlineStr">
        <is>
          <t>Газпромнефть</t>
        </is>
      </c>
      <c r="H4049" s="791" t="n"/>
      <c r="I4049" s="637" t="n">
        <v>12376</v>
      </c>
      <c r="J4049" s="637" t="inlineStr">
        <is>
          <t>GPN_12376</t>
        </is>
      </c>
      <c r="K4049" s="640" t="n">
        <v>3</v>
      </c>
      <c r="L4049" s="640" t="n">
        <v>1</v>
      </c>
      <c r="M4049" s="641" t="n">
        <v>5</v>
      </c>
      <c r="N4049" s="640" t="n"/>
      <c r="O4049" s="640">
        <f>IF(AND(N4049=1,L4049=1),K4049,"")</f>
        <v/>
      </c>
      <c r="P4049" s="642" t="inlineStr">
        <is>
          <t>Московская область, ЦКАД 226 км,ПК 2637, слева</t>
        </is>
      </c>
      <c r="Q4049" s="640" t="inlineStr">
        <is>
          <t>55.341960</t>
        </is>
      </c>
      <c r="R4049" s="640" t="inlineStr">
        <is>
          <t>37.476310</t>
        </is>
      </c>
    </row>
    <row r="4050" hidden="1">
      <c r="A4050" s="125" t="n">
        <v>4729</v>
      </c>
      <c r="B4050" s="125" t="n"/>
      <c r="C4050" s="130" t="inlineStr">
        <is>
          <t>Москва</t>
        </is>
      </c>
      <c r="D4050" s="130" t="inlineStr">
        <is>
          <t>Московская область</t>
        </is>
      </c>
      <c r="E4050" s="791" t="n"/>
      <c r="F4050" s="125" t="inlineStr">
        <is>
          <t>АЗС</t>
        </is>
      </c>
      <c r="G4050" s="125" t="inlineStr">
        <is>
          <t>Газпромнефть</t>
        </is>
      </c>
      <c r="H4050" s="791" t="n"/>
      <c r="I4050" s="637" t="n">
        <v>12377</v>
      </c>
      <c r="J4050" s="637" t="inlineStr">
        <is>
          <t>GPN_12377</t>
        </is>
      </c>
      <c r="K4050" s="640" t="n">
        <v>3</v>
      </c>
      <c r="L4050" s="640" t="n">
        <v>1</v>
      </c>
      <c r="M4050" s="641" t="n">
        <v>5</v>
      </c>
      <c r="N4050" s="640" t="n"/>
      <c r="O4050" s="640">
        <f>IF(AND(N4050=1,L4050=1),K4050,"")</f>
        <v/>
      </c>
      <c r="P4050" s="642" t="inlineStr">
        <is>
          <t>Московская область, ЦКАД 226 км,ПК 2633, справа</t>
        </is>
      </c>
      <c r="Q4050" s="640" t="inlineStr">
        <is>
          <t>55.342716</t>
        </is>
      </c>
      <c r="R4050" s="640" t="inlineStr">
        <is>
          <t>37.477744</t>
        </is>
      </c>
    </row>
    <row r="4051" hidden="1">
      <c r="A4051" s="125" t="n">
        <v>4730</v>
      </c>
      <c r="B4051" s="125" t="n"/>
      <c r="C4051" s="130" t="inlineStr">
        <is>
          <t>Москва</t>
        </is>
      </c>
      <c r="D4051" s="130" t="inlineStr">
        <is>
          <t>Московская область</t>
        </is>
      </c>
      <c r="E4051" s="791" t="n"/>
      <c r="F4051" s="125" t="inlineStr">
        <is>
          <t>АЗС</t>
        </is>
      </c>
      <c r="G4051" s="125" t="inlineStr">
        <is>
          <t>Газпромнефть</t>
        </is>
      </c>
      <c r="H4051" s="791" t="n"/>
      <c r="I4051" s="637" t="n">
        <v>12380</v>
      </c>
      <c r="J4051" s="637" t="inlineStr">
        <is>
          <t>GPN_12380</t>
        </is>
      </c>
      <c r="K4051" s="640" t="n">
        <v>3</v>
      </c>
      <c r="L4051" s="640" t="n">
        <v>1</v>
      </c>
      <c r="M4051" s="641" t="n">
        <v>4</v>
      </c>
      <c r="N4051" s="640" t="n"/>
      <c r="O4051" s="640">
        <f>IF(AND(N4051=1,L4051=1),K4051,"")</f>
        <v/>
      </c>
      <c r="P4051" s="642" t="inlineStr">
        <is>
          <t>Московская область, г. Дубна,проспект Конструктора Селезнева</t>
        </is>
      </c>
      <c r="Q4051" s="640" t="inlineStr">
        <is>
          <t>56.752807</t>
        </is>
      </c>
      <c r="R4051" s="640" t="inlineStr">
        <is>
          <t>37.160168</t>
        </is>
      </c>
    </row>
    <row r="4052" hidden="1">
      <c r="A4052" s="125" t="n">
        <v>4731</v>
      </c>
      <c r="B4052" s="125" t="n"/>
      <c r="C4052" s="130" t="inlineStr">
        <is>
          <t>Москва</t>
        </is>
      </c>
      <c r="D4052" s="130" t="inlineStr">
        <is>
          <t>Московская область</t>
        </is>
      </c>
      <c r="E4052" s="791" t="n"/>
      <c r="F4052" s="125" t="inlineStr">
        <is>
          <t>АЗС</t>
        </is>
      </c>
      <c r="G4052" s="125" t="inlineStr">
        <is>
          <t>Газпромнефть</t>
        </is>
      </c>
      <c r="H4052" s="791" t="n"/>
      <c r="I4052" s="637" t="n">
        <v>12622</v>
      </c>
      <c r="J4052" s="637" t="inlineStr">
        <is>
          <t>GPN_12622</t>
        </is>
      </c>
      <c r="K4052" s="640" t="n">
        <v>3</v>
      </c>
      <c r="L4052" s="640" t="n">
        <v>1</v>
      </c>
      <c r="M4052" s="641" t="n">
        <v>5</v>
      </c>
      <c r="N4052" s="640" t="n"/>
      <c r="O4052" s="640">
        <f>IF(AND(N4052=1,L4052=1),K4052,"")</f>
        <v/>
      </c>
      <c r="P4052" s="642" t="inlineStr">
        <is>
          <t>Московская область, Рузский городской округ, рабочий посёлок Тучково, ул. Кирова, 14А</t>
        </is>
      </c>
      <c r="Q4052" s="640" t="inlineStr">
        <is>
          <t xml:space="preserve">55.600709 </t>
        </is>
      </c>
      <c r="R4052" s="640" t="inlineStr">
        <is>
          <t>36.482497</t>
        </is>
      </c>
    </row>
    <row r="4053" hidden="1">
      <c r="A4053" s="125" t="n">
        <v>4732</v>
      </c>
      <c r="B4053" s="125" t="n"/>
      <c r="C4053" s="130" t="inlineStr">
        <is>
          <t>Екатеринбург</t>
        </is>
      </c>
      <c r="D4053" s="130" t="inlineStr">
        <is>
          <t>Свердловская область</t>
        </is>
      </c>
      <c r="E4053" s="791" t="n"/>
      <c r="F4053" s="125" t="inlineStr">
        <is>
          <t>АЗС</t>
        </is>
      </c>
      <c r="G4053" s="125" t="inlineStr">
        <is>
          <t>Газпромнефть</t>
        </is>
      </c>
      <c r="H4053" s="791" t="n"/>
      <c r="I4053" s="637" t="n">
        <v>25079</v>
      </c>
      <c r="J4053" s="637" t="inlineStr">
        <is>
          <t>GPN_25079</t>
        </is>
      </c>
      <c r="K4053" s="640" t="n">
        <v>3</v>
      </c>
      <c r="L4053" s="640" t="n">
        <v>1</v>
      </c>
      <c r="M4053" s="641" t="n">
        <v>3</v>
      </c>
      <c r="N4053" s="640" t="n"/>
      <c r="O4053" s="640">
        <f>IF(AND(N4053=1,L4053=1),K4053,"")</f>
        <v/>
      </c>
      <c r="P4053" s="642" t="inlineStr">
        <is>
          <t>Свердл. обл., Серовский тракт, 82км</t>
        </is>
      </c>
      <c r="Q4053" s="640" t="inlineStr">
        <is>
          <t xml:space="preserve">57.435687 </t>
        </is>
      </c>
      <c r="R4053" s="640" t="inlineStr">
        <is>
          <t>60.205886</t>
        </is>
      </c>
    </row>
    <row r="4054" hidden="1">
      <c r="A4054" s="125" t="n">
        <v>4733</v>
      </c>
      <c r="B4054" s="125" t="n"/>
      <c r="C4054" s="130" t="inlineStr">
        <is>
          <t>Екатеринбург</t>
        </is>
      </c>
      <c r="D4054" s="130" t="inlineStr">
        <is>
          <t>Свердловская область</t>
        </is>
      </c>
      <c r="E4054" s="791" t="n"/>
      <c r="F4054" s="125" t="inlineStr">
        <is>
          <t>АЗС</t>
        </is>
      </c>
      <c r="G4054" s="125" t="inlineStr">
        <is>
          <t>Газпромнефть</t>
        </is>
      </c>
      <c r="H4054" s="791" t="n"/>
      <c r="I4054" s="637" t="n">
        <v>25125</v>
      </c>
      <c r="J4054" s="637" t="inlineStr">
        <is>
          <t>GPN_25125</t>
        </is>
      </c>
      <c r="K4054" s="640" t="n">
        <v>3</v>
      </c>
      <c r="L4054" s="640" t="n">
        <v>1</v>
      </c>
      <c r="M4054" s="641" t="n">
        <v>3</v>
      </c>
      <c r="N4054" s="640" t="n"/>
      <c r="O4054" s="640">
        <f>IF(AND(N4054=1,L4054=1),K4054,"")</f>
        <v/>
      </c>
      <c r="P4054" s="642" t="inlineStr">
        <is>
          <t>Свердл. обл., г.Н-Тагил, Черноисточинское ш. 64д</t>
        </is>
      </c>
      <c r="Q4054" s="640" t="inlineStr">
        <is>
          <t xml:space="preserve">57.881865 </t>
        </is>
      </c>
      <c r="R4054" s="640" t="inlineStr">
        <is>
          <t>59.939034</t>
        </is>
      </c>
    </row>
    <row r="4055" hidden="1">
      <c r="A4055" s="125" t="n">
        <v>4734</v>
      </c>
      <c r="B4055" s="125" t="n"/>
      <c r="C4055" s="130" t="inlineStr">
        <is>
          <t>Омск</t>
        </is>
      </c>
      <c r="D4055" s="130" t="inlineStr">
        <is>
          <t>Омская область</t>
        </is>
      </c>
      <c r="E4055" s="791" t="n"/>
      <c r="F4055" s="125" t="inlineStr">
        <is>
          <t>АЗС</t>
        </is>
      </c>
      <c r="G4055" s="125" t="inlineStr">
        <is>
          <t>Газпромнефть</t>
        </is>
      </c>
      <c r="H4055" s="791" t="n"/>
      <c r="I4055" s="637" t="n">
        <v>31099</v>
      </c>
      <c r="J4055" s="637" t="inlineStr">
        <is>
          <t>GPN_31099</t>
        </is>
      </c>
      <c r="K4055" s="640" t="n">
        <v>3</v>
      </c>
      <c r="L4055" s="640" t="n">
        <v>1</v>
      </c>
      <c r="M4055" s="641" t="n">
        <v>3</v>
      </c>
      <c r="N4055" s="640" t="n"/>
      <c r="O4055" s="640">
        <f>IF(AND(N4055=1,L4055=1),K4055,"")</f>
        <v/>
      </c>
      <c r="P4055" s="642" t="inlineStr">
        <is>
          <t>Омская область, Саргатский район, п.г.т. Саргатское, ул. Жукова, 13</t>
        </is>
      </c>
      <c r="Q4055" s="640" t="inlineStr">
        <is>
          <t xml:space="preserve">55.589231 </t>
        </is>
      </c>
      <c r="R4055" s="640" t="inlineStr">
        <is>
          <t>73.484361</t>
        </is>
      </c>
    </row>
    <row r="4056" hidden="1">
      <c r="A4056" s="125" t="n">
        <v>4735</v>
      </c>
      <c r="B4056" s="125" t="n"/>
      <c r="C4056" s="125" t="inlineStr">
        <is>
          <t>Москва</t>
        </is>
      </c>
      <c r="D4056" s="125" t="inlineStr">
        <is>
          <t>Московская область</t>
        </is>
      </c>
      <c r="E4056" s="791" t="n"/>
      <c r="F4056" s="125" t="inlineStr">
        <is>
          <t>АЗС</t>
        </is>
      </c>
      <c r="G4056" s="87" t="inlineStr">
        <is>
          <t>Нефтьмагистраль</t>
        </is>
      </c>
      <c r="H4056" s="264" t="n"/>
      <c r="I4056" s="637" t="inlineStr">
        <is>
          <t>O68</t>
        </is>
      </c>
      <c r="J4056" s="637" t="inlineStr">
        <is>
          <t>MSK_NM_O_0068</t>
        </is>
      </c>
      <c r="K4056" s="640" t="n">
        <v>2</v>
      </c>
      <c r="L4056" s="640" t="n">
        <v>1</v>
      </c>
      <c r="M4056" s="265" t="inlineStr">
        <is>
          <t>Samsung 32" вертикальный</t>
        </is>
      </c>
      <c r="N4056" s="640" t="n"/>
      <c r="O4056" s="640">
        <f>IF(AND(N4056=1,L4056=1),K4056,"")</f>
        <v/>
      </c>
      <c r="P4056" s="419" t="inlineStr">
        <is>
          <t>МО, село Ямкино, Богородский городской округ, Московская область</t>
        </is>
      </c>
      <c r="Q4056" s="494" t="inlineStr">
        <is>
          <t>55.932111</t>
        </is>
      </c>
      <c r="R4056" s="494" t="inlineStr">
        <is>
          <t>38.401395</t>
        </is>
      </c>
    </row>
  </sheetData>
  <autoFilter ref="A19:T4056">
    <filterColumn colId="2" hiddenButton="0" showButton="1">
      <filters>
        <filter val="Москва"/>
      </filters>
    </filterColumn>
    <filterColumn colId="11" hiddenButton="0" showButton="1">
      <filters>
        <filter val="1"/>
      </filters>
    </filterColumn>
    <filterColumn colId="13" hiddenButton="0" showButton="1">
      <customFilters>
        <customFilter val=" " operator="notEqual"/>
      </customFilters>
    </filterColumn>
    <sortState ref="A3636:T3880">
      <sortCondition ref="A19:A3940"/>
    </sortState>
  </autoFilter>
  <mergeCells count="30">
    <mergeCell ref="C10:H10"/>
    <mergeCell ref="C16:H16"/>
    <mergeCell ref="I6:P6"/>
    <mergeCell ref="I15:P15"/>
    <mergeCell ref="C15:G15"/>
    <mergeCell ref="C9:H9"/>
    <mergeCell ref="I11:P11"/>
    <mergeCell ref="I2:P2"/>
    <mergeCell ref="C14:G14"/>
    <mergeCell ref="C12:H12"/>
    <mergeCell ref="C11:H11"/>
    <mergeCell ref="C2:H2"/>
    <mergeCell ref="I7:P7"/>
    <mergeCell ref="I16:P16"/>
    <mergeCell ref="C8:H8"/>
    <mergeCell ref="C7:H7"/>
    <mergeCell ref="I12:P12"/>
    <mergeCell ref="I3:P3"/>
    <mergeCell ref="C13:H13"/>
    <mergeCell ref="C3:H3"/>
    <mergeCell ref="I14:P14"/>
    <mergeCell ref="I5:P5"/>
    <mergeCell ref="I8:P8"/>
    <mergeCell ref="C6:H6"/>
    <mergeCell ref="I4:P4"/>
    <mergeCell ref="C5:H5"/>
    <mergeCell ref="I10:P10"/>
    <mergeCell ref="C4:H4"/>
    <mergeCell ref="I13:P13"/>
    <mergeCell ref="I9:P9"/>
  </mergeCells>
  <conditionalFormatting sqref="A20:R4012 A4013:M4048 A4049:B4056 E4049:H4055 K4049:L4055 N4013:N4055 O4013:R4048 O4049:O4055">
    <cfRule type="expression" priority="7" dxfId="0">
      <formula>$N20=1</formula>
    </cfRule>
  </conditionalFormatting>
  <conditionalFormatting sqref="I4049:J4055">
    <cfRule type="expression" priority="6" dxfId="0">
      <formula>$N4049=1</formula>
    </cfRule>
  </conditionalFormatting>
  <conditionalFormatting sqref="M4049:M4055">
    <cfRule type="expression" priority="5" dxfId="0">
      <formula>$N4049=1</formula>
    </cfRule>
  </conditionalFormatting>
  <conditionalFormatting sqref="Q4049:R4055">
    <cfRule type="expression" priority="4" dxfId="0">
      <formula>$N4049=1</formula>
    </cfRule>
  </conditionalFormatting>
  <conditionalFormatting sqref="C4049:D4055">
    <cfRule type="expression" priority="3" dxfId="0">
      <formula>$N4049=1</formula>
    </cfRule>
  </conditionalFormatting>
  <conditionalFormatting sqref="P4049:P4055">
    <cfRule type="expression" priority="2" dxfId="0">
      <formula>$N4049=1</formula>
    </cfRule>
  </conditionalFormatting>
  <conditionalFormatting sqref="C4056:R4056">
    <cfRule type="expression" priority="1" dxfId="0">
      <formula>$N4056=1</formula>
    </cfRule>
  </conditionalFormatting>
  <hyperlinks>
    <hyperlink xmlns:r="http://schemas.openxmlformats.org/officeDocument/2006/relationships" ref="M2935" r:id="rId1"/>
    <hyperlink xmlns:r="http://schemas.openxmlformats.org/officeDocument/2006/relationships" ref="M2938" display="http://www.clumba.ru/WORLDCLASS/FITNESS_LED/MSC_FC59_TV01.jpg" r:id="rId2"/>
    <hyperlink xmlns:r="http://schemas.openxmlformats.org/officeDocument/2006/relationships" ref="M2939" display="http://www.clumba.ru/WORLDCLASS/FITNESS_LED/MO_FC19_TV01.jpg" r:id="rId3"/>
    <hyperlink xmlns:r="http://schemas.openxmlformats.org/officeDocument/2006/relationships" ref="M2940" display="http://www.clumba.ru/WORLDCLASS/FITNESS_LED/MSC_FC58_TV01.jpg" r:id="rId4"/>
    <hyperlink xmlns:r="http://schemas.openxmlformats.org/officeDocument/2006/relationships" ref="M2941" display="http://www.clumba.ru/WORLDCLASS/FITNESS_LED/MSC_FC37_TV01.jpg" r:id="rId5"/>
    <hyperlink xmlns:r="http://schemas.openxmlformats.org/officeDocument/2006/relationships" ref="M2942" display="http://www.clumba.ru/WORLDCLASS/FITNESS_LED/MO_FC09_TV01.jpg" r:id="rId6"/>
    <hyperlink xmlns:r="http://schemas.openxmlformats.org/officeDocument/2006/relationships" ref="M2943" display="http://www.clumba.ru/WORLDCLASS/FITNESS_LED/MO_FC16_TV01.jpg" r:id="rId7"/>
    <hyperlink xmlns:r="http://schemas.openxmlformats.org/officeDocument/2006/relationships" ref="M2944" r:id="rId8"/>
    <hyperlink xmlns:r="http://schemas.openxmlformats.org/officeDocument/2006/relationships" ref="M2945" r:id="rId9"/>
    <hyperlink xmlns:r="http://schemas.openxmlformats.org/officeDocument/2006/relationships" ref="M2946" r:id="rId10"/>
    <hyperlink xmlns:r="http://schemas.openxmlformats.org/officeDocument/2006/relationships" ref="M2947" display="http://www.clumba.ru/WORLDCLASS/FITNESS_LED/MO_FC17_TV01.jpg" r:id="rId11"/>
    <hyperlink xmlns:r="http://schemas.openxmlformats.org/officeDocument/2006/relationships" ref="M2948" display="http://www.clumba.ru/WORLDCLASS/FITNESS_LED/MSC_FC48_TV01.jpg" r:id="rId12"/>
    <hyperlink xmlns:r="http://schemas.openxmlformats.org/officeDocument/2006/relationships" ref="M2949" r:id="rId13"/>
    <hyperlink xmlns:r="http://schemas.openxmlformats.org/officeDocument/2006/relationships" ref="M2950" r:id="rId14"/>
    <hyperlink xmlns:r="http://schemas.openxmlformats.org/officeDocument/2006/relationships" ref="M2951" display="http://www.clumba.ru/WORLDCLASS/FITNESS_LED/MSC_FC51_TV01.jpg" r:id="rId15"/>
    <hyperlink xmlns:r="http://schemas.openxmlformats.org/officeDocument/2006/relationships" ref="M2952" display="http://www.clumba.ru/WORLDCLASS/FITNESS_LED/MSC_FC50_TV01.jpg" r:id="rId16"/>
    <hyperlink xmlns:r="http://schemas.openxmlformats.org/officeDocument/2006/relationships" ref="M2953" display="http://www.clumba.ru/WORLDCLASS/BASE_LED/MSC_WC35_TV01.jpeg" r:id="rId17"/>
    <hyperlink xmlns:r="http://schemas.openxmlformats.org/officeDocument/2006/relationships" ref="M2954" display="http://www.clumba.ru/WORLDCLASS/FITNESS_LED/MSC_FC46_TV01.jpg" r:id="rId18"/>
    <hyperlink xmlns:r="http://schemas.openxmlformats.org/officeDocument/2006/relationships" ref="M2955" r:id="rId19"/>
    <hyperlink xmlns:r="http://schemas.openxmlformats.org/officeDocument/2006/relationships" ref="M2956" display="https://img.clumba.ru/mediaplan/WCL/all/Atlantic_all.jfif" r:id="rId20"/>
    <hyperlink xmlns:r="http://schemas.openxmlformats.org/officeDocument/2006/relationships" ref="M2957" display="https://img.clumba.ru/mediaplan/WCL/all/VorobyovyGory_all.JPG" r:id="rId21"/>
    <hyperlink xmlns:r="http://schemas.openxmlformats.org/officeDocument/2006/relationships" ref="M2958" display="https://img.clumba.ru/mediaplan/WCL/all/Varshavka_all.JPG" r:id="rId22"/>
    <hyperlink xmlns:r="http://schemas.openxmlformats.org/officeDocument/2006/relationships" ref="M2959" display="https://img.clumba.ru/mediaplan/WCL/all/Vlasova_all.JPG" r:id="rId23"/>
    <hyperlink xmlns:r="http://schemas.openxmlformats.org/officeDocument/2006/relationships" ref="M2960" display="https://img.clumba.ru/mediaplan/WCL/all/GorodStolits_all.JPG" r:id="rId24"/>
    <hyperlink xmlns:r="http://schemas.openxmlformats.org/officeDocument/2006/relationships" ref="M2961" display="https://img.clumba.ru/mediaplan/WCL/all/Zhitnaya_all.JPG" r:id="rId25"/>
    <hyperlink xmlns:r="http://schemas.openxmlformats.org/officeDocument/2006/relationships" ref="M2962" display="http://www.clumba.ru/WORLDCLASS/BASE_LED/ZIA_WC01_TV01.JPG" r:id="rId26"/>
    <hyperlink xmlns:r="http://schemas.openxmlformats.org/officeDocument/2006/relationships" ref="M2963" display="https://img.clumba.ru/mediaplan/WCL/all/ladys_all.jfif" r:id="rId27"/>
    <hyperlink xmlns:r="http://schemas.openxmlformats.org/officeDocument/2006/relationships" ref="M2964" display="https://img.clumba.ru/mediaplan/WCL/all/Kapitoliy_all.JPG" r:id="rId28"/>
    <hyperlink xmlns:r="http://schemas.openxmlformats.org/officeDocument/2006/relationships" ref="M2965" display="https://img.clumba.ru/mediaplan/WCL/all/ZemlyanoyVal_all.JPG" r:id="rId29"/>
    <hyperlink xmlns:r="http://schemas.openxmlformats.org/officeDocument/2006/relationships" ref="M2966" r:id="rId30"/>
    <hyperlink xmlns:r="http://schemas.openxmlformats.org/officeDocument/2006/relationships" ref="M2967" display="https://img.clumba.ru/mediaplan/WCL/all/Krestovskiy_all.jfif" r:id="rId31"/>
    <hyperlink xmlns:r="http://schemas.openxmlformats.org/officeDocument/2006/relationships" ref="M2968" display="https://img.clumba.ru/mediaplan/WCL/all/Kuntsevo_all.JPG" r:id="rId32"/>
    <hyperlink xmlns:r="http://schemas.openxmlformats.org/officeDocument/2006/relationships" ref="M2969" display="https://img.clumba.ru/mediaplan/WCL/all/SmolenskiyPassazh_all.JPG" r:id="rId33"/>
    <hyperlink xmlns:r="http://schemas.openxmlformats.org/officeDocument/2006/relationships" ref="M2970" display="http://www.clumba.ru/WORLDCLASS/FITNESS_LED/MSC_WC32_TV01.jpg" r:id="rId34"/>
    <hyperlink xmlns:r="http://schemas.openxmlformats.org/officeDocument/2006/relationships" ref="M2971" display="https://img.clumba.ru/mediaplan/WCL/all/Lodochnaya_all.JPG" r:id="rId35"/>
    <hyperlink xmlns:r="http://schemas.openxmlformats.org/officeDocument/2006/relationships" ref="M2972" display="https://img.clumba.ru/mediaplan/WCL/all/Metropolis_all.JPG" r:id="rId36"/>
    <hyperlink xmlns:r="http://schemas.openxmlformats.org/officeDocument/2006/relationships" ref="M2973" display="https://img.clumba.ru/mediaplan/WCL/all/Mitino_all.JPG" r:id="rId37"/>
    <hyperlink xmlns:r="http://schemas.openxmlformats.org/officeDocument/2006/relationships" ref="M2974" display="https://img.clumba.ru/mediaplan/WCL/all/Nametkina_all.jpg" r:id="rId38"/>
    <hyperlink xmlns:r="http://schemas.openxmlformats.org/officeDocument/2006/relationships" ref="M2975" display="http://www.clumba.ru/WORLDCLASS/BASE_LED/MSC_WC30_TV01.JPG" r:id="rId39"/>
    <hyperlink xmlns:r="http://schemas.openxmlformats.org/officeDocument/2006/relationships" ref="M2976" r:id="rId40"/>
    <hyperlink xmlns:r="http://schemas.openxmlformats.org/officeDocument/2006/relationships" ref="M2977" display="https://img.clumba.ru/mediaplan/WCL/all/Polezhaevskaya_all.JPG" r:id="rId41"/>
    <hyperlink xmlns:r="http://schemas.openxmlformats.org/officeDocument/2006/relationships" ref="M2978" display="https://img.clumba.ru/mediaplan/WCL/all/Romanov_all.JPG" r:id="rId42"/>
    <hyperlink xmlns:r="http://schemas.openxmlformats.org/officeDocument/2006/relationships" ref="M2979" display="https://img.clumba.ru/mediaplan/WCL/all/Sevastopolskiy_all.JPG" r:id="rId43"/>
    <hyperlink xmlns:r="http://schemas.openxmlformats.org/officeDocument/2006/relationships" ref="M2980" display="https://img.clumba.ru/mediaplan/WCL/all/Sennaya_all.jfif" r:id="rId44"/>
    <hyperlink xmlns:r="http://schemas.openxmlformats.org/officeDocument/2006/relationships" ref="M2981" display="https://img.clumba.ru/mediaplan/WCL/all/Stachek_all.jfif" r:id="rId45"/>
    <hyperlink xmlns:r="http://schemas.openxmlformats.org/officeDocument/2006/relationships" ref="M2982" display="https://img.clumba.ru/mediaplan/WCL/all/Strogino_all.JPG" r:id="rId46"/>
    <hyperlink xmlns:r="http://schemas.openxmlformats.org/officeDocument/2006/relationships" ref="M2983" display="https://img.clumba.ru/mediaplan/WCL/all/Taganskiy_all.jpg" r:id="rId47"/>
    <hyperlink xmlns:r="http://schemas.openxmlformats.org/officeDocument/2006/relationships" ref="M2984" display="https://img.clumba.ru/mediaplan/WCL/all/Tverskaya_all.JPG" r:id="rId48"/>
    <hyperlink xmlns:r="http://schemas.openxmlformats.org/officeDocument/2006/relationships" ref="M2985" display="https://img.clumba.ru/mediaplan/WCL/all/Trikolor_all.jpeg" r:id="rId49"/>
    <hyperlink xmlns:r="http://schemas.openxmlformats.org/officeDocument/2006/relationships" ref="M2986" display="https://img.clumba.ru/mediaplan/WCL/all/TriumfPalas_all.JPG" r:id="rId50"/>
    <hyperlink xmlns:r="http://schemas.openxmlformats.org/officeDocument/2006/relationships" ref="M2987" display="https://img.clumba.ru/mediaplan/WCL/all/Tulskaya_all.JPG" r:id="rId51"/>
    <hyperlink xmlns:r="http://schemas.openxmlformats.org/officeDocument/2006/relationships" ref="M2988" display="http://www.clumba.ru/WORLDCLASS/BASE_LED/UFA_WC01_TV01.JPG" r:id="rId52"/>
    <hyperlink xmlns:r="http://schemas.openxmlformats.org/officeDocument/2006/relationships" ref="M2989" r:id="rId53"/>
    <hyperlink xmlns:r="http://schemas.openxmlformats.org/officeDocument/2006/relationships" ref="M2990" r:id="rId54"/>
    <hyperlink xmlns:r="http://schemas.openxmlformats.org/officeDocument/2006/relationships" ref="M2991" display="https://img.clumba.ru/mediaplan/WCL/all/Yartsevskaya_all.JPG" r:id="rId55"/>
    <hyperlink xmlns:r="http://schemas.openxmlformats.org/officeDocument/2006/relationships" ref="M2992" display="http://www.clumba.ru/WORLDCLASS/FITNESS_LED/MSC_FC33_TV01.jpg" r:id="rId56"/>
    <hyperlink xmlns:r="http://schemas.openxmlformats.org/officeDocument/2006/relationships" ref="M2993" display="http://www.clumba.ru/WORLDCLASS/FITNESS_LED/MSC_FC10_TV01.jpg" r:id="rId57"/>
    <hyperlink xmlns:r="http://schemas.openxmlformats.org/officeDocument/2006/relationships" ref="M2994" display="http://www.clumba.ru/WORLDCLASS/FITNESS_LED/MSC_FC01_TV01.jpg" r:id="rId58"/>
    <hyperlink xmlns:r="http://schemas.openxmlformats.org/officeDocument/2006/relationships" ref="M2995" display="http://www.clumba.ru/WORLDCLASS/FITNESS_LED/MSC_FC16_TV01.jpg" r:id="rId59"/>
    <hyperlink xmlns:r="http://schemas.openxmlformats.org/officeDocument/2006/relationships" ref="M2996" display="http://www.clumba.ru/WORLDCLASS/FITNESS_LED/MSC_FC02_TV01.jpg" r:id="rId60"/>
    <hyperlink xmlns:r="http://schemas.openxmlformats.org/officeDocument/2006/relationships" ref="M2997" display="http://www.clumba.ru/WORLDCLASS/FITNESS_LED/MSC_FC08_TV01.jpg" r:id="rId61"/>
    <hyperlink xmlns:r="http://schemas.openxmlformats.org/officeDocument/2006/relationships" ref="M2998" display="http://www.clumba.ru/WORLDCLASS/FITNESS_LED/MSC_FC18_TV01.jpg" r:id="rId62"/>
    <hyperlink xmlns:r="http://schemas.openxmlformats.org/officeDocument/2006/relationships" ref="M2999" display="http://www.clumba.ru/WORLDCLASS/FITNESS_LED/MO_FC01_TV01.jpg" r:id="rId63"/>
    <hyperlink xmlns:r="http://schemas.openxmlformats.org/officeDocument/2006/relationships" ref="M3000" display="http://www.clumba.ru/WORLDCLASS/FITNESS_LED/MSC_FC03_TV01.jpg" r:id="rId64"/>
    <hyperlink xmlns:r="http://schemas.openxmlformats.org/officeDocument/2006/relationships" ref="M3001" display="http://www.clumba.ru/WORLDCLASS/FITNESS_LED/MSC_FC17_TV01.JPG" r:id="rId65"/>
    <hyperlink xmlns:r="http://schemas.openxmlformats.org/officeDocument/2006/relationships" ref="M3002" display="http://www.clumba.ru/WORLDCLASS/FITNESS_LED/MSC_FC04_TV01.jpg" r:id="rId66"/>
    <hyperlink xmlns:r="http://schemas.openxmlformats.org/officeDocument/2006/relationships" ref="M3003" display="http://www.clumba.ru/WORLDCLASS/FITNESS_LED/MO_FC02_TV01.jpg" r:id="rId67"/>
    <hyperlink xmlns:r="http://schemas.openxmlformats.org/officeDocument/2006/relationships" ref="M3004" display="http://www.clumba.ru/WORLDCLASS/FITNESS_LED/MO_FC07_TV01.jpg" r:id="rId68"/>
    <hyperlink xmlns:r="http://schemas.openxmlformats.org/officeDocument/2006/relationships" ref="M3005" display="http://www.clumba.ru/WORLDCLASS/FITNESS_LED/MSC_FC74_TV01.jpeg" r:id="rId69"/>
    <hyperlink xmlns:r="http://schemas.openxmlformats.org/officeDocument/2006/relationships" ref="M3006" display="http://www.clumba.ru/WORLDCLASS/FITNESS_LED/MSC_FC72_TV01.jpeg" r:id="rId70"/>
    <hyperlink xmlns:r="http://schemas.openxmlformats.org/officeDocument/2006/relationships" ref="M3007" display="http://www.clumba.ru/WORLDCLASS/FITNESS_LED/MSC_FC31_TV01.jpg" r:id="rId71"/>
    <hyperlink xmlns:r="http://schemas.openxmlformats.org/officeDocument/2006/relationships" ref="M3008" display="http://www.clumba.ru/WORLDCLASS/FITNESS_LED/MSC_FC32_TV01.jpg" r:id="rId72"/>
    <hyperlink xmlns:r="http://schemas.openxmlformats.org/officeDocument/2006/relationships" ref="M3009" display="http://www.clumba.ru/WORLDCLASS/FITNESS_LED/MO_FC06_TV01.jpg" r:id="rId73"/>
    <hyperlink xmlns:r="http://schemas.openxmlformats.org/officeDocument/2006/relationships" ref="M3010" display="http://www.clumba.ru/WORLDCLASS/FITNESS_LED/MO_FC21_TV01.jpeg" r:id="rId74"/>
    <hyperlink xmlns:r="http://schemas.openxmlformats.org/officeDocument/2006/relationships" ref="M3011" display="http://www.clumba.ru/WORLDCLASS/FITNESS_LED/MO_FC04_TV01.jpg" r:id="rId75"/>
    <hyperlink xmlns:r="http://schemas.openxmlformats.org/officeDocument/2006/relationships" ref="M3012" display="http://www.clumba.ru/WORLDCLASS/FITNESS_LED/MSC_FC39_TV01.jpg" r:id="rId76"/>
    <hyperlink xmlns:r="http://schemas.openxmlformats.org/officeDocument/2006/relationships" ref="M3013" display="http://www.clumba.ru/WORLDCLASS/FITNESS_LED/MSC_FC38_TV01.jpg" r:id="rId77"/>
    <hyperlink xmlns:r="http://schemas.openxmlformats.org/officeDocument/2006/relationships" ref="M3014" display="http://www.clumba.ru/WORLDCLASS/FITNESS_LED/MSC_FC23_TV01.jpg" r:id="rId78"/>
    <hyperlink xmlns:r="http://schemas.openxmlformats.org/officeDocument/2006/relationships" ref="M3015" display="http://www.clumba.ru/WORLDCLASS/FITNESS_LED/MSC_FC73_TV01.jpeg" r:id="rId79"/>
    <hyperlink xmlns:r="http://schemas.openxmlformats.org/officeDocument/2006/relationships" ref="M3016" display="http://www.clumba.ru/WORLDCLASS/FITNESS_LED/MSC_FC25_TV01.jpg" r:id="rId80"/>
    <hyperlink xmlns:r="http://schemas.openxmlformats.org/officeDocument/2006/relationships" ref="M3017" display="http://www.clumba.ru/WORLDCLASS/FITNESS_LED/MSC_FC24_TV01.jpg" r:id="rId81"/>
    <hyperlink xmlns:r="http://schemas.openxmlformats.org/officeDocument/2006/relationships" ref="M3018" display="http://www.clumba.ru/WORLDCLASS/FITNESS_LED/MSC_FC28_TV01.jpg" r:id="rId82"/>
    <hyperlink xmlns:r="http://schemas.openxmlformats.org/officeDocument/2006/relationships" ref="M3019" display="http://www.clumba.ru/WORLDCLASS/FITNESS_LED/MSC_FC30_TV01.jpg" r:id="rId83"/>
    <hyperlink xmlns:r="http://schemas.openxmlformats.org/officeDocument/2006/relationships" ref="M3020" display="http://www.clumba.ru/WORLDCLASS/FITNESS_LED/MSC_FC34_TV01.jpg" r:id="rId84"/>
    <hyperlink xmlns:r="http://schemas.openxmlformats.org/officeDocument/2006/relationships" ref="M3021" display="http://www.clumba.ru/WORLDCLASS/FITNESS_LED/MSC_FC22_TV01.jpg" r:id="rId85"/>
    <hyperlink xmlns:r="http://schemas.openxmlformats.org/officeDocument/2006/relationships" ref="M3022" display="http://www.clumba.ru/WORLDCLASS/FITNESS_LED/MSC_FC29_TV01.jpg" r:id="rId86"/>
    <hyperlink xmlns:r="http://schemas.openxmlformats.org/officeDocument/2006/relationships" ref="M3023" display="http://www.clumba.ru/WORLDCLASS/FITNESS_LED/MSC_FC27_TV01.jpg" r:id="rId87"/>
    <hyperlink xmlns:r="http://schemas.openxmlformats.org/officeDocument/2006/relationships" ref="M3024" display="http://www.clumba.ru/WORLDCLASS/FITNESS_LED/MO_FC05_TV01.jpg" r:id="rId88"/>
    <hyperlink xmlns:r="http://schemas.openxmlformats.org/officeDocument/2006/relationships" ref="M3025" display="http://www.clumba.ru/WORLDCLASS/FITNESS_LED/MO_FC10_TV01.jpg" r:id="rId89"/>
    <hyperlink xmlns:r="http://schemas.openxmlformats.org/officeDocument/2006/relationships" ref="M3026" display="http://www.clumba.ru/WORLDCLASS/FITNESS_LED/MSC_FC71_TV01.jpeg" r:id="rId90"/>
    <hyperlink xmlns:r="http://schemas.openxmlformats.org/officeDocument/2006/relationships" ref="M3027" r:id="rId91"/>
    <hyperlink xmlns:r="http://schemas.openxmlformats.org/officeDocument/2006/relationships" ref="M3028" display="http://www.clumba.ru/WORLDCLASS/FITNESS_LED/MO_FC08_TV01.jpg" r:id="rId92"/>
    <hyperlink xmlns:r="http://schemas.openxmlformats.org/officeDocument/2006/relationships" ref="M3029" display="http://www.clumba.ru/WORLDCLASS/FITNESS_LED/MSC_FC26_TV01.jpg" r:id="rId93"/>
    <hyperlink xmlns:r="http://schemas.openxmlformats.org/officeDocument/2006/relationships" ref="M3030" display="http://www.clumba.ru/mediaplan/BC/PhotoAll/GoldenGate_all.jpg" r:id="rId94"/>
    <hyperlink xmlns:r="http://schemas.openxmlformats.org/officeDocument/2006/relationships" ref="M3031" display="https://img.clumba.ru/mediaplan/BC/overall/AlekseyevskayaBashnya_overall.jpg" r:id="rId95"/>
    <hyperlink xmlns:r="http://schemas.openxmlformats.org/officeDocument/2006/relationships" ref="I3032" r:id="rId96"/>
    <hyperlink xmlns:r="http://schemas.openxmlformats.org/officeDocument/2006/relationships" ref="M3032" display="https://img.clumba.ru/mediaplan/BC/overall/Aeroport_overall.jpg" r:id="rId97"/>
    <hyperlink xmlns:r="http://schemas.openxmlformats.org/officeDocument/2006/relationships" ref="M3033" display="https://img.clumba.ru/mediaplan/BC/overall/BetaCenter_overall.jpg" r:id="rId98"/>
    <hyperlink xmlns:r="http://schemas.openxmlformats.org/officeDocument/2006/relationships" ref="M3034" display="https://img.clumba.ru/mediaplan/BC/overall/BrentCity_overall.jpg" r:id="rId99"/>
    <hyperlink xmlns:r="http://schemas.openxmlformats.org/officeDocument/2006/relationships" ref="I3035" r:id="rId100"/>
    <hyperlink xmlns:r="http://schemas.openxmlformats.org/officeDocument/2006/relationships" ref="M3035" display="https://img.clumba.ru/mediaplan/BC/overall/ViktoriPlaza_overall.jpg" r:id="rId101"/>
    <hyperlink xmlns:r="http://schemas.openxmlformats.org/officeDocument/2006/relationships" ref="M3036" display="https://img.clumba.ru/mediaplan/BC/overall/Brigantina_overall.jpg" r:id="rId102"/>
    <hyperlink xmlns:r="http://schemas.openxmlformats.org/officeDocument/2006/relationships" ref="I3037" r:id="rId103"/>
    <hyperlink xmlns:r="http://schemas.openxmlformats.org/officeDocument/2006/relationships" ref="M3037" display="https://img.clumba.ru/mediaplan/BC/overall/VoltCentere_overall.jpg" r:id="rId104"/>
    <hyperlink xmlns:r="http://schemas.openxmlformats.org/officeDocument/2006/relationships" ref="I3038" r:id="rId105"/>
    <hyperlink xmlns:r="http://schemas.openxmlformats.org/officeDocument/2006/relationships" ref="M3038" display="https://img.clumba.ru/mediaplan/BC/overall/DanilovPlaza_overall.jpg" r:id="rId106"/>
    <hyperlink xmlns:r="http://schemas.openxmlformats.org/officeDocument/2006/relationships" ref="M3039" display="https://img.clumba.ru/mediaplan/BC/overall/Krasnopresnenskiy_overall.jpg" r:id="rId107"/>
    <hyperlink xmlns:r="http://schemas.openxmlformats.org/officeDocument/2006/relationships" ref="M3040" display="https://img.clumba.ru/mediaplan/BC/overall/DanilovskiyFort_overall.jpg" r:id="rId108"/>
    <hyperlink xmlns:r="http://schemas.openxmlformats.org/officeDocument/2006/relationships" ref="M3041" display="https://img.clumba.ru/mediaplan/BC/overall/IFD_overall.jpg" r:id="rId109"/>
    <hyperlink xmlns:r="http://schemas.openxmlformats.org/officeDocument/2006/relationships" ref="M3042" display="https://img.clumba.ru/mediaplan/BC/overall/Kaleidoscope_overall.jpg" r:id="rId110"/>
    <hyperlink xmlns:r="http://schemas.openxmlformats.org/officeDocument/2006/relationships" ref="M3043" display="https://img.clumba.ru/mediaplan/BC/overall/KvartalCity_overall.jpg" r:id="rId111"/>
    <hyperlink xmlns:r="http://schemas.openxmlformats.org/officeDocument/2006/relationships" ref="M3044" display="https://img.clumba.ru/mediaplan/BC/overall/KarakorumPlaza_overall.jpg" r:id="rId112"/>
    <hyperlink xmlns:r="http://schemas.openxmlformats.org/officeDocument/2006/relationships" ref="M3045" display="https://img.clumba.ru/mediaplan/BC/overall/KitayGorod_overall.jpg" r:id="rId113"/>
    <hyperlink xmlns:r="http://schemas.openxmlformats.org/officeDocument/2006/relationships" ref="M3046" display="https://img.clumba.ru/mediaplan/BC/overall/KrutitskiyVal_overall.jpg" r:id="rId114"/>
    <hyperlink xmlns:r="http://schemas.openxmlformats.org/officeDocument/2006/relationships" ref="M3047" display="https://img.clumba.ru/mediaplan/BC/overall/KrimskiyVal_overall.jpg" r:id="rId115"/>
    <hyperlink xmlns:r="http://schemas.openxmlformats.org/officeDocument/2006/relationships" ref="M3048" display="https://img.clumba.ru/mediaplan/BC/overall/naArgunovskoy_overall.jpg" r:id="rId116"/>
    <hyperlink xmlns:r="http://schemas.openxmlformats.org/officeDocument/2006/relationships" ref="M3049" display="https://img.clumba.ru/mediaplan/BC/overall/naTsvetnom_overall.jpg" r:id="rId117"/>
    <hyperlink xmlns:r="http://schemas.openxmlformats.org/officeDocument/2006/relationships" ref="M3050" display="https://img.clumba.ru/mediaplan/BC/overall/Novoslobodskiy_overall.jpg" r:id="rId118"/>
    <hyperlink xmlns:r="http://schemas.openxmlformats.org/officeDocument/2006/relationships" ref="M3051" display="https://img.clumba.ru/mediaplan/BC/overall/naShirokoy_overall.jpg" r:id="rId119"/>
    <hyperlink xmlns:r="http://schemas.openxmlformats.org/officeDocument/2006/relationships" ref="M3052" display="https://img.clumba.ru/mediaplan/BC/overall/Novosuschevsky_overall.jpg" r:id="rId120"/>
    <hyperlink xmlns:r="http://schemas.openxmlformats.org/officeDocument/2006/relationships" ref="M3053" display="https://img.clumba.ru/mediaplan/BC/overall/OOC_overall.jpg" r:id="rId121"/>
    <hyperlink xmlns:r="http://schemas.openxmlformats.org/officeDocument/2006/relationships" ref="M3054" display="http://www.clumba.ru/mediaplan/BC/PhotoAll/RezidentsiaNaRublevke_all.jpg" r:id="rId122"/>
    <hyperlink xmlns:r="http://schemas.openxmlformats.org/officeDocument/2006/relationships" ref="M3055" display="https://img.clumba.ru/mediaplan/BC/overall/SAFA_overall.jpg" r:id="rId123"/>
    <hyperlink xmlns:r="http://schemas.openxmlformats.org/officeDocument/2006/relationships" ref="M3056" display="https://img.clumba.ru/mediaplan/BC/overall/Stantsiya_overall.jpg" r:id="rId124"/>
    <hyperlink xmlns:r="http://schemas.openxmlformats.org/officeDocument/2006/relationships" ref="M3057" display="ФОТО" r:id="rId125"/>
    <hyperlink xmlns:r="http://schemas.openxmlformats.org/officeDocument/2006/relationships" ref="I3058" r:id="rId126"/>
    <hyperlink xmlns:r="http://schemas.openxmlformats.org/officeDocument/2006/relationships" ref="M3058" display="ФОТО" r:id="rId127"/>
    <hyperlink xmlns:r="http://schemas.openxmlformats.org/officeDocument/2006/relationships" ref="M3059" display="https://img.clumba.ru/mediaplan/BC/overall/LegendaTsvetnogo_overall.jpg" r:id="rId128"/>
    <hyperlink xmlns:r="http://schemas.openxmlformats.org/officeDocument/2006/relationships" ref="M3060" display="https://img.clumba.ru/mediaplan/BC/overall/Puteyskiy_overall.jpg" r:id="rId129"/>
    <hyperlink xmlns:r="http://schemas.openxmlformats.org/officeDocument/2006/relationships" ref="I3061" r:id="rId130"/>
    <hyperlink xmlns:r="http://schemas.openxmlformats.org/officeDocument/2006/relationships" ref="M3061" display="https://img.clumba.ru/mediaplan/BC/overall/RiverPlace_overall.jpg" r:id="rId131"/>
    <hyperlink xmlns:r="http://schemas.openxmlformats.org/officeDocument/2006/relationships" ref="M3062" display="https://img.clumba.ru/mediaplan/BC/overall/Svyatogor4_overall.jpg" r:id="rId132"/>
    <hyperlink xmlns:r="http://schemas.openxmlformats.org/officeDocument/2006/relationships" ref="M3063" display="https://img.clumba.ru/mediaplan/BC/overall/Kozhevnicheskiy_overall.jpg" r:id="rId133"/>
    <hyperlink xmlns:r="http://schemas.openxmlformats.org/officeDocument/2006/relationships" ref="I3064" r:id="rId134"/>
    <hyperlink xmlns:r="http://schemas.openxmlformats.org/officeDocument/2006/relationships" ref="M3064" display="https://img.clumba.ru/mediaplan/BC/overall/DezhnevPlaza_overall.jpg" r:id="rId135"/>
    <hyperlink xmlns:r="http://schemas.openxmlformats.org/officeDocument/2006/relationships" ref="M3065" display="http://www.clumba.ru/mediaplan/BC/PhotoAll/SokolPlaza_all.jpg" r:id="rId136"/>
    <hyperlink xmlns:r="http://schemas.openxmlformats.org/officeDocument/2006/relationships" ref="M3066" display="https://img.clumba.ru/mediaplan/BC/overall/DaimondHall_overall.jpg" r:id="rId137"/>
    <hyperlink xmlns:r="http://schemas.openxmlformats.org/officeDocument/2006/relationships" ref="I3067" r:id="rId138"/>
    <hyperlink xmlns:r="http://schemas.openxmlformats.org/officeDocument/2006/relationships" ref="M3067" display="https://img.clumba.ru/mediaplan/BC/overall/Akademicheskiy_overall.jpg" r:id="rId139"/>
    <hyperlink xmlns:r="http://schemas.openxmlformats.org/officeDocument/2006/relationships" ref="M3068" display="http://www.clumba.ru/mediaplan/BC/PhotoAll/Kalibr_all.jpg" r:id="rId140"/>
    <hyperlink xmlns:r="http://schemas.openxmlformats.org/officeDocument/2006/relationships" ref="M3069" display="http://www.clumba.ru/mediaplan/BC/PhotoAll/Rubin_all.jpg" r:id="rId141"/>
    <hyperlink xmlns:r="http://schemas.openxmlformats.org/officeDocument/2006/relationships" ref="M3070" display="https://img.clumba.ru/mediaplan/BC/overall/Neverovskogo_overall.jpg" r:id="rId142"/>
    <hyperlink xmlns:r="http://schemas.openxmlformats.org/officeDocument/2006/relationships" ref="I3071" r:id="rId143"/>
    <hyperlink xmlns:r="http://schemas.openxmlformats.org/officeDocument/2006/relationships" ref="M3071" display="https://img.clumba.ru/mediaplan/BC/overall/CapitalTower_overall.jpg" r:id="rId144"/>
    <hyperlink xmlns:r="http://schemas.openxmlformats.org/officeDocument/2006/relationships" ref="M3072" display="https://img.clumba.ru/mediaplan/BC/overall/MidlandPlazaa_overall.jpg" r:id="rId145"/>
    <hyperlink xmlns:r="http://schemas.openxmlformats.org/officeDocument/2006/relationships" ref="M3073" display="https://img.clumba.ru/mediaplan/BC/overall/CRUP_overall.jpg" r:id="rId146"/>
    <hyperlink xmlns:r="http://schemas.openxmlformats.org/officeDocument/2006/relationships" ref="M3074" display="https://img.clumba.ru/mediaplan/BC/overall/Liniya_overall.jpg" r:id="rId147"/>
    <hyperlink xmlns:r="http://schemas.openxmlformats.org/officeDocument/2006/relationships" ref="M3075" display="https://img.clumba.ru/BC/Kolskaya/1.jpg" r:id="rId148"/>
    <hyperlink xmlns:r="http://schemas.openxmlformats.org/officeDocument/2006/relationships" ref="M3076" display="https://img.clumba.ru/mediaplan/BC/overall/Taganskiy_overall.jpg" r:id="rId149"/>
    <hyperlink xmlns:r="http://schemas.openxmlformats.org/officeDocument/2006/relationships" ref="M3077" display="https://img.clumba.ru/mediaplan/BC/overall/Varshavskiy_overall.jpg" r:id="rId150"/>
    <hyperlink xmlns:r="http://schemas.openxmlformats.org/officeDocument/2006/relationships" ref="M3078" display="https://img.clumba.ru/mediaplan/BC/overall/Nagatinskiy_overall.jpg" r:id="rId151"/>
    <hyperlink xmlns:r="http://schemas.openxmlformats.org/officeDocument/2006/relationships" ref="M3079" display="https://img.clumba.ru/mediaplan/BC/overall/SavelovGrad_overall.jpg" r:id="rId152"/>
    <hyperlink xmlns:r="http://schemas.openxmlformats.org/officeDocument/2006/relationships" ref="M3080" display="https://img.clumba.ru/mediaplan/BC/overall/ZemlyanoyVal_overall.jpg" r:id="rId153"/>
    <hyperlink xmlns:r="http://schemas.openxmlformats.org/officeDocument/2006/relationships" ref="M3081" display="https://img.clumba.ru/mediaplan/BC/overall/FerroPlaza_overall.jpg" r:id="rId154"/>
    <hyperlink xmlns:r="http://schemas.openxmlformats.org/officeDocument/2006/relationships" ref="I3082" r:id="rId155"/>
    <hyperlink xmlns:r="http://schemas.openxmlformats.org/officeDocument/2006/relationships" ref="M3082" display="https://img.clumba.ru/mediaplan/BC/overall/GasField_overall.jpg" r:id="rId156"/>
    <hyperlink xmlns:r="http://schemas.openxmlformats.org/officeDocument/2006/relationships" ref="I3083" r:id="rId157"/>
    <hyperlink xmlns:r="http://schemas.openxmlformats.org/officeDocument/2006/relationships" ref="M3083" display="https://img.clumba.ru/mediaplan/BC/overall/A1_overall.jpg" r:id="rId158"/>
    <hyperlink xmlns:r="http://schemas.openxmlformats.org/officeDocument/2006/relationships" ref="M3084" display="https://img.clumba.ru/mediaplan/BC/overall/Svyatogor1_overall.jpg" r:id="rId159"/>
    <hyperlink xmlns:r="http://schemas.openxmlformats.org/officeDocument/2006/relationships" ref="M3085" display="https://img.clumba.ru/mediaplan/BC/overall/Svyatogor2_overall.jpg" r:id="rId160"/>
    <hyperlink xmlns:r="http://schemas.openxmlformats.org/officeDocument/2006/relationships" ref="M3086" display="https://img.clumba.ru/mediaplan/BC/overall/KaskadMebel_overall.jpg" r:id="rId161"/>
    <hyperlink xmlns:r="http://schemas.openxmlformats.org/officeDocument/2006/relationships" ref="M3087" display="https://img.clumba.ru/mediaplan/BC/overall/Pollars_overall.jpg" r:id="rId162"/>
    <hyperlink xmlns:r="http://schemas.openxmlformats.org/officeDocument/2006/relationships" ref="M3088" display="http://www.clumba.ru/mediaplan/BC/PhotoAll/NordPlazaa_all.jpg" r:id="rId163"/>
    <hyperlink xmlns:r="http://schemas.openxmlformats.org/officeDocument/2006/relationships" ref="M3089" display="https://img.clumba.ru/mediaplan/BC/overall/PallayNK_overall.jpg" r:id="rId164"/>
    <hyperlink xmlns:r="http://schemas.openxmlformats.org/officeDocument/2006/relationships" ref="M3090" display="https://img.clumba.ru/mediaplan/BC/overall/SibirskiyAlyans_overall.jpg" r:id="rId165"/>
    <hyperlink xmlns:r="http://schemas.openxmlformats.org/officeDocument/2006/relationships" ref="M3091" display="https://img.clumba.ru/mediaplan/BC/overall/DerbenevskayaPlaza_overall.jpg" r:id="rId166"/>
    <hyperlink xmlns:r="http://schemas.openxmlformats.org/officeDocument/2006/relationships" ref="M3092" display="http://www.clumba.ru/mediaplan/BC/PhotoAll/naBakuninskoy_all.jpg" r:id="rId167"/>
    <hyperlink xmlns:r="http://schemas.openxmlformats.org/officeDocument/2006/relationships" ref="M3093" display="http://www.clumba.ru/mediaplan/BC/PhotoAll/naKozhevnicheskoy_all.jpg" r:id="rId168"/>
    <hyperlink xmlns:r="http://schemas.openxmlformats.org/officeDocument/2006/relationships" ref="M3094" display="http://www.clumba.ru/mediaplan/BC/PhotoAll/CityResurs_all.jpg" r:id="rId169"/>
    <hyperlink xmlns:r="http://schemas.openxmlformats.org/officeDocument/2006/relationships" ref="M3095" display="https://img.clumba.ru/mediaplan/BC/overall/Verond_overall.jpg" r:id="rId170"/>
    <hyperlink xmlns:r="http://schemas.openxmlformats.org/officeDocument/2006/relationships" ref="M3096" display="https://img.clumba.ru/mediaplan/BC/overall/TeplyStan_overall.jpg" r:id="rId171"/>
    <hyperlink xmlns:r="http://schemas.openxmlformats.org/officeDocument/2006/relationships" ref="M3097" display="https://img.clumba.ru/mediaplan/BC/overall/MondPlaza_overall.jpg" r:id="rId172"/>
    <hyperlink xmlns:r="http://schemas.openxmlformats.org/officeDocument/2006/relationships" ref="M3098" display="http://www.clumba.ru/mediaplan/BC/PhotoAll/KrasniyBogatirr_al.jpg" r:id="rId173"/>
    <hyperlink xmlns:r="http://schemas.openxmlformats.org/officeDocument/2006/relationships" ref="M3099" display="http://www.clumba.ru/mediaplan/BC/PhotoAll/ISKRI_all.jpg" r:id="rId174"/>
    <hyperlink xmlns:r="http://schemas.openxmlformats.org/officeDocument/2006/relationships" ref="I3100" r:id="rId175"/>
    <hyperlink xmlns:r="http://schemas.openxmlformats.org/officeDocument/2006/relationships" ref="M3100" display="https://img.clumba.ru/mediaplan/BC/overall/DCISKRA_overall.jpg" r:id="rId176"/>
    <hyperlink xmlns:r="http://schemas.openxmlformats.org/officeDocument/2006/relationships" ref="M3101" display="https://img.clumba.ru/mediaplan/BC/overall/Atmosphera_overall2.jpg" r:id="rId177"/>
    <hyperlink xmlns:r="http://schemas.openxmlformats.org/officeDocument/2006/relationships" ref="I3102" r:id="rId178"/>
    <hyperlink xmlns:r="http://schemas.openxmlformats.org/officeDocument/2006/relationships" ref="M3102" display="https://img.clumba.ru/mediaplan/BC/overall/Velka_overall.jpg" r:id="rId179"/>
    <hyperlink xmlns:r="http://schemas.openxmlformats.org/officeDocument/2006/relationships" ref="M3103" display="http://www.clumba.ru/mediaplan/BC/PhotoAll/RyazanskiyProsoekt_all.jpg" r:id="rId180"/>
    <hyperlink xmlns:r="http://schemas.openxmlformats.org/officeDocument/2006/relationships" ref="M3104" display="https://img.clumba.ru/mediaplan/BC/overall/Rostek_overall.jpg" r:id="rId181"/>
    <hyperlink xmlns:r="http://schemas.openxmlformats.org/officeDocument/2006/relationships" ref="I3105" r:id="rId182"/>
    <hyperlink xmlns:r="http://schemas.openxmlformats.org/officeDocument/2006/relationships" ref="M3105" display="https://img.clumba.ru/mediaplan/BC/overall/1kilometr_overall.jpg" r:id="rId183"/>
    <hyperlink xmlns:r="http://schemas.openxmlformats.org/officeDocument/2006/relationships" ref="M3106" display="https://img.clumba.ru/mediaplan/BC/overall/BashniRyazanka_overall.jpg" r:id="rId184"/>
    <hyperlink xmlns:r="http://schemas.openxmlformats.org/officeDocument/2006/relationships" ref="M3107" display="https://img.clumba.ru/mediaplan/BC/overall/Vavilon_overall.jpg" r:id="rId185"/>
    <hyperlink xmlns:r="http://schemas.openxmlformats.org/officeDocument/2006/relationships" ref="M3108" display="http://www.clumba.ru/mediaplan/BC/PhotoAll/Hameleon_all.jpg" r:id="rId186"/>
    <hyperlink xmlns:r="http://schemas.openxmlformats.org/officeDocument/2006/relationships" ref="M3109" display="http://www.clumba.ru/mediaplan/BC/PhotoAll/Dzhoul_all.jpg" r:id="rId187"/>
    <hyperlink xmlns:r="http://schemas.openxmlformats.org/officeDocument/2006/relationships" ref="M3110" display="https://img.clumba.ru/mediaplan/BC/overall/naBarabannom3_overall.jpg" r:id="rId188"/>
    <hyperlink xmlns:r="http://schemas.openxmlformats.org/officeDocument/2006/relationships" ref="M3111" display="https://img.clumba.ru/mediaplan/BC/overall/MscShelk_overall.jpg" r:id="rId189"/>
    <hyperlink xmlns:r="http://schemas.openxmlformats.org/officeDocument/2006/relationships" ref="M3112" display="http://www.clumba.ru/mediaplan/BC/PhotoAll/Lubyanskiy_all.jpeg.jpg" r:id="rId190"/>
    <hyperlink xmlns:r="http://schemas.openxmlformats.org/officeDocument/2006/relationships" ref="M3113" display="https://img.clumba.ru/mediaplan/BC/overall/Sizons_overall.jpg" r:id="rId191"/>
    <hyperlink xmlns:r="http://schemas.openxmlformats.org/officeDocument/2006/relationships" ref="M3114" display="https://img.clumba.ru/mediaplan/BC/overall/Alterkom_overall.jpg" r:id="rId192"/>
    <hyperlink xmlns:r="http://schemas.openxmlformats.org/officeDocument/2006/relationships" ref="M3115" display="https://img.clumba.ru/mediaplan/BC/overall/PokrovkaM_overall.jpg" r:id="rId193"/>
    <hyperlink xmlns:r="http://schemas.openxmlformats.org/officeDocument/2006/relationships" ref="I3116" r:id="rId194"/>
    <hyperlink xmlns:r="http://schemas.openxmlformats.org/officeDocument/2006/relationships" ref="M3116" display="http://www.clumba.ru/mediaplan/BC/PhotoAll/imidzh_all.jpg" r:id="rId195"/>
    <hyperlink xmlns:r="http://schemas.openxmlformats.org/officeDocument/2006/relationships" ref="I3117" r:id="rId196"/>
    <hyperlink xmlns:r="http://schemas.openxmlformats.org/officeDocument/2006/relationships" ref="M3117" display="https://img.clumba.ru/mediaplan/BC/overall/Alkor_overall.jpg" r:id="rId197"/>
    <hyperlink xmlns:r="http://schemas.openxmlformats.org/officeDocument/2006/relationships" ref="I3118" r:id="rId198"/>
    <hyperlink xmlns:r="http://schemas.openxmlformats.org/officeDocument/2006/relationships" ref="M3118" display="https://img.clumba.ru/mediaplan/BC/overall/KantryPark_overall.jpg" r:id="rId199"/>
    <hyperlink xmlns:r="http://schemas.openxmlformats.org/officeDocument/2006/relationships" ref="I3119" r:id="rId200"/>
    <hyperlink xmlns:r="http://schemas.openxmlformats.org/officeDocument/2006/relationships" ref="M3119" display="https://img.clumba.ru/mediaplan/BC/overall/Gefest_overall.jpg" r:id="rId201"/>
    <hyperlink xmlns:r="http://schemas.openxmlformats.org/officeDocument/2006/relationships" ref="M3120" display="http://www.clumba.ru/mediaplan/BC/PhotoAll/PersonaGrata_all.jpg" r:id="rId202"/>
    <hyperlink xmlns:r="http://schemas.openxmlformats.org/officeDocument/2006/relationships" ref="M3121" display="http://www.clumba.ru/mediaplan/BC/PhotoAll/NordHaus_all.jpg" r:id="rId203"/>
    <hyperlink xmlns:r="http://schemas.openxmlformats.org/officeDocument/2006/relationships" ref="I3122" r:id="rId204"/>
    <hyperlink xmlns:r="http://schemas.openxmlformats.org/officeDocument/2006/relationships" ref="M3122" display="https://img.clumba.ru/mediaplan/BC/overall/ABC_overall.jpg" r:id="rId205"/>
    <hyperlink xmlns:r="http://schemas.openxmlformats.org/officeDocument/2006/relationships" ref="M3123" display="https://img.clumba.ru/mediaplan/BC/overall/Kolibris_overall.jpg" r:id="rId206"/>
    <hyperlink xmlns:r="http://schemas.openxmlformats.org/officeDocument/2006/relationships" ref="I3124" r:id="rId207"/>
    <hyperlink xmlns:r="http://schemas.openxmlformats.org/officeDocument/2006/relationships" ref="M3124" display="https://img.clumba.ru/mediaplan/BC/overall/Vega_overall.jpg" r:id="rId208"/>
    <hyperlink xmlns:r="http://schemas.openxmlformats.org/officeDocument/2006/relationships" ref="M3125" display="http://www.clumba.ru/mediaplan/BC/PhotoAll/Linkor_all.jpg" r:id="rId209"/>
    <hyperlink xmlns:r="http://schemas.openxmlformats.org/officeDocument/2006/relationships" ref="M3126" display="http://www.clumba.ru/mediaplan/BC/PhotoAll/Tavolga_TV1_32.jpeg" r:id="rId210"/>
    <hyperlink xmlns:r="http://schemas.openxmlformats.org/officeDocument/2006/relationships" ref="I3127" r:id="rId211"/>
    <hyperlink xmlns:r="http://schemas.openxmlformats.org/officeDocument/2006/relationships" ref="M3127" display="https://img.clumba.ru/mediaplan/BC/overall/GorodTDK_overall.jpg" r:id="rId212"/>
    <hyperlink xmlns:r="http://schemas.openxmlformats.org/officeDocument/2006/relationships" ref="M3128" display="https://img.clumba.ru/mediaplan/BC/overall/Telegraf_overall.jpg" r:id="rId213"/>
    <hyperlink xmlns:r="http://schemas.openxmlformats.org/officeDocument/2006/relationships" ref="I3129" r:id="rId214"/>
    <hyperlink xmlns:r="http://schemas.openxmlformats.org/officeDocument/2006/relationships" ref="M3129" display="https://img.clumba.ru/mediaplan/BC/overall/WestEast_overall.jpg" r:id="rId215"/>
    <hyperlink xmlns:r="http://schemas.openxmlformats.org/officeDocument/2006/relationships" ref="M3130" display="https://img.clumba.ru/mediaplan/BC/overall/LesnoyCity_overall.jpg" r:id="rId216"/>
    <hyperlink xmlns:r="http://schemas.openxmlformats.org/officeDocument/2006/relationships" ref="M3131" display="http://www.clumba.ru/mediaplan/BC/PhotoAll/BusinessDepo_all.jpg" r:id="rId217"/>
    <hyperlink xmlns:r="http://schemas.openxmlformats.org/officeDocument/2006/relationships" ref="M3132" display="https://img.clumba.ru/mediaplan/BC/overall/Velka_overall.jpg" r:id="rId218"/>
    <hyperlink xmlns:r="http://schemas.openxmlformats.org/officeDocument/2006/relationships" ref="M3133" display="https://img.clumba.ru/mediaplan/BC/overall/Volgogradskiy_overall.jpg" r:id="rId219"/>
    <hyperlink xmlns:r="http://schemas.openxmlformats.org/officeDocument/2006/relationships" ref="M3134" display="https://img.clumba.ru/mediaplan/BC/overall/OlimpicPark_overall.jpg" r:id="rId220"/>
    <hyperlink xmlns:r="http://schemas.openxmlformats.org/officeDocument/2006/relationships" ref="M3135" display="http://www.clumba.ru/mediaplan/BC/PhotoAll/Alyans_all.jpg" r:id="rId221"/>
    <hyperlink xmlns:r="http://schemas.openxmlformats.org/officeDocument/2006/relationships" ref="M3136" display="http://www.clumba.ru/mediaplan/BC/PhotoAll/Mayak_all.jpeg" r:id="rId222"/>
    <hyperlink xmlns:r="http://schemas.openxmlformats.org/officeDocument/2006/relationships" ref="M3137" display="http://www.clumba.ru/mediaplan/BC/PhotoAll/Molodezhnaya48_all.jpeg" r:id="rId223"/>
    <hyperlink xmlns:r="http://schemas.openxmlformats.org/officeDocument/2006/relationships" ref="M3138" display="https://img.clumba.ru/mediaplan/BC/overall/Nauchniy13_overall.jpg" r:id="rId224"/>
    <hyperlink xmlns:r="http://schemas.openxmlformats.org/officeDocument/2006/relationships" ref="M3139" display="http://img.clumba.ru//mediaplan/BC/Photo/SmartPark_all.jpeg" r:id="rId225"/>
    <hyperlink xmlns:r="http://schemas.openxmlformats.org/officeDocument/2006/relationships" ref="M3140" display="http://img.clumba.ru//mediaplan/BC/Photo/Uley_all.jpeg" r:id="rId226"/>
    <hyperlink xmlns:r="http://schemas.openxmlformats.org/officeDocument/2006/relationships" ref="M3141" display="http://img.clumba.ru//mediaplan/BC/Photo/Strelbishchenskiy_all.jpeg" r:id="rId227"/>
    <hyperlink xmlns:r="http://schemas.openxmlformats.org/officeDocument/2006/relationships" ref="M3142" display="https://img.clumba.ru/mediaplan/BC/Photo/PoklonkaPlace_all.jpg" r:id="rId228"/>
    <hyperlink xmlns:r="http://schemas.openxmlformats.org/officeDocument/2006/relationships" ref="M3143" display="http://www.clumba.ru/mediaplan/BC/PhotoAll/Pravda_all.jpg" r:id="rId229"/>
    <hyperlink xmlns:r="http://schemas.openxmlformats.org/officeDocument/2006/relationships" ref="I3144" r:id="rId230"/>
    <hyperlink xmlns:r="http://schemas.openxmlformats.org/officeDocument/2006/relationships" ref="M3144" display="https://img.clumba.ru/mediaplan/BC/overall/Butirskiy_overall.jpg" r:id="rId231"/>
    <hyperlink xmlns:r="http://schemas.openxmlformats.org/officeDocument/2006/relationships" ref="M3145" display="http://www.clumba.ru/mediaplan/BC/PhotoAll/naMaslovke_all.jpg" r:id="rId232"/>
    <hyperlink xmlns:r="http://schemas.openxmlformats.org/officeDocument/2006/relationships" ref="M3146" display="https://img.clumba.ru/mediaplan/BC/overall/naYauze_overall.jpg" r:id="rId233"/>
    <hyperlink xmlns:r="http://schemas.openxmlformats.org/officeDocument/2006/relationships" ref="M3147" display="http://www.clumba.ru/mediaplan/BC/PhotoAll/Skakovay_all.jpg" r:id="rId234"/>
    <hyperlink xmlns:r="http://schemas.openxmlformats.org/officeDocument/2006/relationships" ref="M3148" display="https://img.clumba.ru/mediaplan/BC/overall/YamskoePole_overall.jpg" r:id="rId235"/>
    <hyperlink xmlns:r="http://schemas.openxmlformats.org/officeDocument/2006/relationships" ref="M3149" display="https://img.clumba.ru/mediaplan/BC/overall/Pravdi8_overall.jpg" r:id="rId236"/>
    <hyperlink xmlns:r="http://schemas.openxmlformats.org/officeDocument/2006/relationships" ref="M3150" display="http://www.clumba.ru/mediaplan/BC/PhotoAll/OrlikovPlaza_all.jpg" r:id="rId237"/>
    <hyperlink xmlns:r="http://schemas.openxmlformats.org/officeDocument/2006/relationships" ref="I3151" r:id="rId238"/>
    <hyperlink xmlns:r="http://schemas.openxmlformats.org/officeDocument/2006/relationships" ref="M3151" display="https://img.clumba.ru/mediaplan/BC/overall/Agat_overall.jpg" r:id="rId239"/>
    <hyperlink xmlns:r="http://schemas.openxmlformats.org/officeDocument/2006/relationships" ref="M3152" display="https://img.clumba.ru/mediaplan/BC/overall/LoftVil_overall.jpg" r:id="rId240"/>
    <hyperlink xmlns:r="http://schemas.openxmlformats.org/officeDocument/2006/relationships" ref="I3153" r:id="rId241"/>
    <hyperlink xmlns:r="http://schemas.openxmlformats.org/officeDocument/2006/relationships" ref="M3153" display="http://www.clumba.ru/mediaplan/BC/PhotoAll/CenterT_all.jpg" r:id="rId242"/>
    <hyperlink xmlns:r="http://schemas.openxmlformats.org/officeDocument/2006/relationships" ref="M3154" display="http://www.clumba.ru/mediaplan/BC/PhotoAll/Petrovskiy_TV1_32.jpg" r:id="rId243"/>
    <hyperlink xmlns:r="http://schemas.openxmlformats.org/officeDocument/2006/relationships" ref="M3155" display="https://img.clumba.ru/mediaplan/BC/overall/KUB_overall.jpg" r:id="rId244"/>
    <hyperlink xmlns:r="http://schemas.openxmlformats.org/officeDocument/2006/relationships" ref="M3156" display="http://www.clumba.ru/mediaplan/BC/PhotoAll/VostochVorota_all.jpg" r:id="rId245"/>
    <hyperlink xmlns:r="http://schemas.openxmlformats.org/officeDocument/2006/relationships" ref="I3157" r:id="rId246"/>
    <hyperlink xmlns:r="http://schemas.openxmlformats.org/officeDocument/2006/relationships" ref="M3157" display="https://img.clumba.ru/mediaplan/BC/overall/AuRum_overall.jpg" r:id="rId247"/>
    <hyperlink xmlns:r="http://schemas.openxmlformats.org/officeDocument/2006/relationships" ref="M3158" display="http://www.clumba.ru/mediaplan/BC/PhotoAll/Seligerskaya_All.jpg" r:id="rId248"/>
    <hyperlink xmlns:r="http://schemas.openxmlformats.org/officeDocument/2006/relationships" ref="M3159" display="http://www.clumba.ru/mediaplan/BC/PhotoAll/Favorit_all.jpg" r:id="rId249"/>
    <hyperlink xmlns:r="http://schemas.openxmlformats.org/officeDocument/2006/relationships" ref="M3160" display="https://img.clumba.ru/mediaplan/BC/overall/Stendal_overall.jpg" r:id="rId250"/>
    <hyperlink xmlns:r="http://schemas.openxmlformats.org/officeDocument/2006/relationships" ref="M3161" display="https://img.clumba.ru/mediaplan/BC/overall/ProgressPlaza_overall.jpg" r:id="rId251"/>
    <hyperlink xmlns:r="http://schemas.openxmlformats.org/officeDocument/2006/relationships" ref="M3162" display="http://www.clumba.ru/mediaplan/BC/PhotoAll/Nizhegorodskiy_all.jpg" r:id="rId252"/>
    <hyperlink xmlns:r="http://schemas.openxmlformats.org/officeDocument/2006/relationships" ref="I3163" r:id="rId253"/>
    <hyperlink xmlns:r="http://schemas.openxmlformats.org/officeDocument/2006/relationships" ref="M3163" display="https://img.clumba.ru/mediaplan/BC/overall/Vyatka_overall.jpg" r:id="rId254"/>
    <hyperlink xmlns:r="http://schemas.openxmlformats.org/officeDocument/2006/relationships" ref="M3164" display="http://www.clumba.ru/mediaplan/BC/PhotoAll/Smirnovskiy_all.jpg" r:id="rId255"/>
    <hyperlink xmlns:r="http://schemas.openxmlformats.org/officeDocument/2006/relationships" ref="I3165" r:id="rId256"/>
    <hyperlink xmlns:r="http://schemas.openxmlformats.org/officeDocument/2006/relationships" ref="M3165" display="https://img.clumba.ru/mediaplan/BC/overall/YauzaTower_overall.jpg" r:id="rId257"/>
    <hyperlink xmlns:r="http://schemas.openxmlformats.org/officeDocument/2006/relationships" ref="M3166" display="https://img.clumba.ru/mediaplan/BC/overall/Rostek_overall.jpg" r:id="rId258"/>
    <hyperlink xmlns:r="http://schemas.openxmlformats.org/officeDocument/2006/relationships" ref="I3167" r:id="rId259"/>
    <hyperlink xmlns:r="http://schemas.openxmlformats.org/officeDocument/2006/relationships" ref="M3167" display="https://img.clumba.ru/mediaplan/BC/overall/FourWinds_overall.jpg" r:id="rId260"/>
    <hyperlink xmlns:r="http://schemas.openxmlformats.org/officeDocument/2006/relationships" ref="M3168" display="http://img.clumba.ru/mediaplan/TI/1/145.jpg" r:id="rId261"/>
    <hyperlink xmlns:r="http://schemas.openxmlformats.org/officeDocument/2006/relationships" ref="M3169" display="http://img.clumba.ru/mediaplan/TI/1/99.jpg" r:id="rId262"/>
    <hyperlink xmlns:r="http://schemas.openxmlformats.org/officeDocument/2006/relationships" ref="M3170" display="http://img.clumba.ru/mediaplan/TI/1/100.jpg" r:id="rId263"/>
    <hyperlink xmlns:r="http://schemas.openxmlformats.org/officeDocument/2006/relationships" ref="M3171" display="http://img.clumba.ru/mediaplan/TI/1/101.jpg" r:id="rId264"/>
    <hyperlink xmlns:r="http://schemas.openxmlformats.org/officeDocument/2006/relationships" ref="M3172" display="http://img.clumba.ru/mediaplan/TI/1/146.jpg" r:id="rId265"/>
    <hyperlink xmlns:r="http://schemas.openxmlformats.org/officeDocument/2006/relationships" ref="M3173" display="http://img.clumba.ru/mediaplan/TI/1/102.jpg" r:id="rId266"/>
    <hyperlink xmlns:r="http://schemas.openxmlformats.org/officeDocument/2006/relationships" ref="M3174" display="http://img.clumba.ru/mediaplan/TI/1/147.jpg" r:id="rId267"/>
    <hyperlink xmlns:r="http://schemas.openxmlformats.org/officeDocument/2006/relationships" ref="M3175" display="http://img.clumba.ru/mediaplan/TI/1/148.jpg" r:id="rId268"/>
    <hyperlink xmlns:r="http://schemas.openxmlformats.org/officeDocument/2006/relationships" ref="M3176" display="http://img.clumba.ru/mediaplan/TI/1/149.jpg" r:id="rId269"/>
    <hyperlink xmlns:r="http://schemas.openxmlformats.org/officeDocument/2006/relationships" ref="M3177" display="http://img.clumba.ru/mediaplan/TI/1/103.jpg" r:id="rId270"/>
    <hyperlink xmlns:r="http://schemas.openxmlformats.org/officeDocument/2006/relationships" ref="M3178" display="http://img.clumba.ru/mediaplan/TI/1/150.jpg" r:id="rId271"/>
    <hyperlink xmlns:r="http://schemas.openxmlformats.org/officeDocument/2006/relationships" ref="M3179" display="http://img.clumba.ru/mediaplan/TI/1/151.jpg" r:id="rId272"/>
    <hyperlink xmlns:r="http://schemas.openxmlformats.org/officeDocument/2006/relationships" ref="M3180" display="http://img.clumba.ru/mediaplan/TI/1/104.jpg" r:id="rId273"/>
    <hyperlink xmlns:r="http://schemas.openxmlformats.org/officeDocument/2006/relationships" ref="M3181" display="http://img.clumba.ru/mediaplan/TI/1/105.jpg" r:id="rId274"/>
    <hyperlink xmlns:r="http://schemas.openxmlformats.org/officeDocument/2006/relationships" ref="M3182" display="http://img.clumba.ru/mediaplan/TI/1/106.jpg" r:id="rId275"/>
    <hyperlink xmlns:r="http://schemas.openxmlformats.org/officeDocument/2006/relationships" ref="M3183" display="http://img.clumba.ru/mediaplan/TI/1/153.jpg" r:id="rId276"/>
    <hyperlink xmlns:r="http://schemas.openxmlformats.org/officeDocument/2006/relationships" ref="M3184" display="http://img.clumba.ru/mediaplan/TI/1/107.jpg" r:id="rId277"/>
    <hyperlink xmlns:r="http://schemas.openxmlformats.org/officeDocument/2006/relationships" ref="M3185" display="http://img.clumba.ru/mediaplan/TI/1/154.jpg" r:id="rId278"/>
    <hyperlink xmlns:r="http://schemas.openxmlformats.org/officeDocument/2006/relationships" ref="M3186" display="http://img.clumba.ru/mediaplan/TI/1/155.jpg" r:id="rId279"/>
    <hyperlink xmlns:r="http://schemas.openxmlformats.org/officeDocument/2006/relationships" ref="M3187" display="http://img.clumba.ru/mediaplan/TI/1/156.jpg" r:id="rId280"/>
    <hyperlink xmlns:r="http://schemas.openxmlformats.org/officeDocument/2006/relationships" ref="M3188" display="http://img.clumba.ru/mediaplan/TI/1/108.jpg" r:id="rId281"/>
    <hyperlink xmlns:r="http://schemas.openxmlformats.org/officeDocument/2006/relationships" ref="M3189" display="http://img.clumba.ru/mediaplan/TI/1/157.jpg" r:id="rId282"/>
    <hyperlink xmlns:r="http://schemas.openxmlformats.org/officeDocument/2006/relationships" ref="M3190" display="http://img.clumba.ru/mediaplan/TI/1/109.jpg" r:id="rId283"/>
    <hyperlink xmlns:r="http://schemas.openxmlformats.org/officeDocument/2006/relationships" ref="M3191" display="http://img.clumba.ru/mediaplan/TI/1/158.jpg" r:id="rId284"/>
    <hyperlink xmlns:r="http://schemas.openxmlformats.org/officeDocument/2006/relationships" ref="M3192" display="http://img.clumba.ru/mediaplan/TI/1/159.jpg" r:id="rId285"/>
    <hyperlink xmlns:r="http://schemas.openxmlformats.org/officeDocument/2006/relationships" ref="M3193" display="http://img.clumba.ru/mediaplan/TI/1/110.jpg" r:id="rId286"/>
    <hyperlink xmlns:r="http://schemas.openxmlformats.org/officeDocument/2006/relationships" ref="M3194" display="http://img.clumba.ru/mediaplan/TI/1/160.jpg" r:id="rId287"/>
    <hyperlink xmlns:r="http://schemas.openxmlformats.org/officeDocument/2006/relationships" ref="M3195" display="http://img.clumba.ru/mediaplan/TI/1/161.jpg" r:id="rId288"/>
    <hyperlink xmlns:r="http://schemas.openxmlformats.org/officeDocument/2006/relationships" ref="M3196" display="http://img.clumba.ru/mediaplan/TI/1/111.jpg" r:id="rId289"/>
    <hyperlink xmlns:r="http://schemas.openxmlformats.org/officeDocument/2006/relationships" ref="M3197" display="http://img.clumba.ru/mediaplan/TI/1/162.jpg" r:id="rId290"/>
    <hyperlink xmlns:r="http://schemas.openxmlformats.org/officeDocument/2006/relationships" ref="M3198" display="http://img.clumba.ru/mediaplan/TI/1/163.jpg" r:id="rId291"/>
    <hyperlink xmlns:r="http://schemas.openxmlformats.org/officeDocument/2006/relationships" ref="M3199" display="http://img.clumba.ru/mediaplan/TI/1/112.jpg" r:id="rId292"/>
    <hyperlink xmlns:r="http://schemas.openxmlformats.org/officeDocument/2006/relationships" ref="M3200" display="http://img.clumba.ru/mediaplan/TI/1/164.jpg" r:id="rId293"/>
    <hyperlink xmlns:r="http://schemas.openxmlformats.org/officeDocument/2006/relationships" ref="M3201" display="http://img.clumba.ru/mediaplan/TI/1/114.jpg" r:id="rId294"/>
    <hyperlink xmlns:r="http://schemas.openxmlformats.org/officeDocument/2006/relationships" ref="M3202" display="http://img.clumba.ru/mediaplan/TI/1/165.jpg" r:id="rId295"/>
    <hyperlink xmlns:r="http://schemas.openxmlformats.org/officeDocument/2006/relationships" ref="M3203" display="http://img.clumba.ru/mediaplan/TI/1/115.jpg" r:id="rId296"/>
    <hyperlink xmlns:r="http://schemas.openxmlformats.org/officeDocument/2006/relationships" ref="M3204" display="http://img.clumba.ru/mediaplan/TI/1/166.jpg" r:id="rId297"/>
    <hyperlink xmlns:r="http://schemas.openxmlformats.org/officeDocument/2006/relationships" ref="M3205" display="http://img.clumba.ru/mediaplan/TI/1/167.jpg" r:id="rId298"/>
    <hyperlink xmlns:r="http://schemas.openxmlformats.org/officeDocument/2006/relationships" ref="M3206" display="http://img.clumba.ru/mediaplan/TI/1/168.jpg" r:id="rId299"/>
    <hyperlink xmlns:r="http://schemas.openxmlformats.org/officeDocument/2006/relationships" ref="M3207" display="http://img.clumba.ru/mediaplan/TI/1/169.jpg" r:id="rId300"/>
    <hyperlink xmlns:r="http://schemas.openxmlformats.org/officeDocument/2006/relationships" ref="M3208" display="http://img.clumba.ru/mediaplan/TI/1/170.jpg" r:id="rId301"/>
    <hyperlink xmlns:r="http://schemas.openxmlformats.org/officeDocument/2006/relationships" ref="M3209" display="http://img.clumba.ru/mediaplan/TI/1/171.jpg" r:id="rId302"/>
    <hyperlink xmlns:r="http://schemas.openxmlformats.org/officeDocument/2006/relationships" ref="M3210" display="http://img.clumba.ru/mediaplan/TI/1/172.jpg" r:id="rId303"/>
    <hyperlink xmlns:r="http://schemas.openxmlformats.org/officeDocument/2006/relationships" ref="M3211" display="http://img.clumba.ru/mediaplan/TI/1/173.jpg" r:id="rId304"/>
    <hyperlink xmlns:r="http://schemas.openxmlformats.org/officeDocument/2006/relationships" ref="M3212" display="http://img.clumba.ru/mediaplan/TI/1/174.jpg" r:id="rId305"/>
    <hyperlink xmlns:r="http://schemas.openxmlformats.org/officeDocument/2006/relationships" ref="M3213" display="http://img.clumba.ru/mediaplan/TI/1/116.jpg" r:id="rId306"/>
    <hyperlink xmlns:r="http://schemas.openxmlformats.org/officeDocument/2006/relationships" ref="M3214" display="http://img.clumba.ru/mediaplan/TI/1/117.jpg" r:id="rId307"/>
    <hyperlink xmlns:r="http://schemas.openxmlformats.org/officeDocument/2006/relationships" ref="M3215" display="http://img.clumba.ru/mediaplan/TI/1/176.jpg" r:id="rId308"/>
    <hyperlink xmlns:r="http://schemas.openxmlformats.org/officeDocument/2006/relationships" ref="M3216" display="http://img.clumba.ru/mediaplan/TI/1/118.jpg" r:id="rId309"/>
    <hyperlink xmlns:r="http://schemas.openxmlformats.org/officeDocument/2006/relationships" ref="M3217" display="http://img.clumba.ru/mediaplan/TI/1/119.jpg" r:id="rId310"/>
    <hyperlink xmlns:r="http://schemas.openxmlformats.org/officeDocument/2006/relationships" ref="M3218" display="http://img.clumba.ru/mediaplan/TI/1/177.jpg" r:id="rId311"/>
    <hyperlink xmlns:r="http://schemas.openxmlformats.org/officeDocument/2006/relationships" ref="M3219" display="http://img.clumba.ru/mediaplan/TI/1/178.jpg" r:id="rId312"/>
    <hyperlink xmlns:r="http://schemas.openxmlformats.org/officeDocument/2006/relationships" ref="M3220" display="http://img.clumba.ru/mediaplan/TI/1/179.jpg" r:id="rId313"/>
    <hyperlink xmlns:r="http://schemas.openxmlformats.org/officeDocument/2006/relationships" ref="M3221" display="http://img.clumba.ru/mediaplan/TI/1/120.jpg" r:id="rId314"/>
    <hyperlink xmlns:r="http://schemas.openxmlformats.org/officeDocument/2006/relationships" ref="M3222" display="http://img.clumba.ru/mediaplan/TI/1/180.jpg" r:id="rId315"/>
    <hyperlink xmlns:r="http://schemas.openxmlformats.org/officeDocument/2006/relationships" ref="M3223" display="http://img.clumba.ru/mediaplan/TI/1/181.jpg" r:id="rId316"/>
    <hyperlink xmlns:r="http://schemas.openxmlformats.org/officeDocument/2006/relationships" ref="M3224" display="http://img.clumba.ru/mediaplan/TI/1/121.jpg" r:id="rId317"/>
    <hyperlink xmlns:r="http://schemas.openxmlformats.org/officeDocument/2006/relationships" ref="M3225" display="http://img.clumba.ru/mediaplan/TI/1/182.jpg" r:id="rId318"/>
    <hyperlink xmlns:r="http://schemas.openxmlformats.org/officeDocument/2006/relationships" ref="M3226" display="http://img.clumba.ru/mediaplan/TI/1/122.jpg" r:id="rId319"/>
    <hyperlink xmlns:r="http://schemas.openxmlformats.org/officeDocument/2006/relationships" ref="M3227" display="http://img.clumba.ru/mediaplan/TI/1/183.jpg" r:id="rId320"/>
    <hyperlink xmlns:r="http://schemas.openxmlformats.org/officeDocument/2006/relationships" ref="M3228" display="ФОТО" r:id="rId321"/>
    <hyperlink xmlns:r="http://schemas.openxmlformats.org/officeDocument/2006/relationships" ref="M3229" display="http://img.clumba.ru/mediaplan/TI/1/185.jpg" r:id="rId322"/>
    <hyperlink xmlns:r="http://schemas.openxmlformats.org/officeDocument/2006/relationships" ref="M3230" display="http://img.clumba.ru/mediaplan/TI/3/186.jpg" r:id="rId323"/>
    <hyperlink xmlns:r="http://schemas.openxmlformats.org/officeDocument/2006/relationships" ref="M3231" display="http://img.clumba.ru/mediaplan/TI/1/187.jpg" r:id="rId324"/>
    <hyperlink xmlns:r="http://schemas.openxmlformats.org/officeDocument/2006/relationships" ref="M3232" display="http://img.clumba.ru/mediaplan/TI/1/188.jpg" r:id="rId325"/>
    <hyperlink xmlns:r="http://schemas.openxmlformats.org/officeDocument/2006/relationships" ref="M3233" display="http://img.clumba.ru/mediaplan/TI/1/189.jpg" r:id="rId326"/>
    <hyperlink xmlns:r="http://schemas.openxmlformats.org/officeDocument/2006/relationships" ref="M3234" display="http://img.clumba.ru/mediaplan/TI/1/190.jpg" r:id="rId327"/>
    <hyperlink xmlns:r="http://schemas.openxmlformats.org/officeDocument/2006/relationships" ref="M3235" display="http://img.clumba.ru/mediaplan/TI/1/123.jpg" r:id="rId328"/>
    <hyperlink xmlns:r="http://schemas.openxmlformats.org/officeDocument/2006/relationships" ref="M3236" display="http://img.clumba.ru/mediaplan/TI/1/191.jpg" r:id="rId329"/>
    <hyperlink xmlns:r="http://schemas.openxmlformats.org/officeDocument/2006/relationships" ref="M3237" display="http://img.clumba.ru/mediaplan/TI/1/192.jpg" r:id="rId330"/>
    <hyperlink xmlns:r="http://schemas.openxmlformats.org/officeDocument/2006/relationships" ref="M3238" display="http://img.clumba.ru/mediaplan/TI/1/124.jpg" r:id="rId331"/>
    <hyperlink xmlns:r="http://schemas.openxmlformats.org/officeDocument/2006/relationships" ref="M3239" display="http://img.clumba.ru/mediaplan/TI/1/193.jpg" r:id="rId332"/>
    <hyperlink xmlns:r="http://schemas.openxmlformats.org/officeDocument/2006/relationships" ref="M3240" display="http://img.clumba.ru/mediaplan/TI/1/125.jpg" r:id="rId333"/>
    <hyperlink xmlns:r="http://schemas.openxmlformats.org/officeDocument/2006/relationships" ref="M3241" display="http://img.clumba.ru/mediaplan/TI/1/126.jpg" r:id="rId334"/>
    <hyperlink xmlns:r="http://schemas.openxmlformats.org/officeDocument/2006/relationships" ref="M3242" display="http://img.clumba.ru/mediaplan/TI/1/194.jpg" r:id="rId335"/>
    <hyperlink xmlns:r="http://schemas.openxmlformats.org/officeDocument/2006/relationships" ref="M3243" display="http://img.clumba.ru/mediaplan/TI/1/195.jpg" r:id="rId336"/>
    <hyperlink xmlns:r="http://schemas.openxmlformats.org/officeDocument/2006/relationships" ref="M3244" display="http://img.clumba.ru/mediaplan/TI/1/196.jpg" r:id="rId337"/>
    <hyperlink xmlns:r="http://schemas.openxmlformats.org/officeDocument/2006/relationships" ref="M3245" display="http://img.clumba.ru/mediaplan/TI/1/197.jpg" r:id="rId338"/>
    <hyperlink xmlns:r="http://schemas.openxmlformats.org/officeDocument/2006/relationships" ref="M3246" display="http://img.clumba.ru/mediaplan/TI/1/199.jpg" r:id="rId339"/>
    <hyperlink xmlns:r="http://schemas.openxmlformats.org/officeDocument/2006/relationships" ref="M3247" display="http://img.clumba.ru/mediaplan/TI/1/198.jpg" r:id="rId340"/>
    <hyperlink xmlns:r="http://schemas.openxmlformats.org/officeDocument/2006/relationships" ref="M3248" display="http://img.clumba.ru/mediaplan/TI/1/127.jpg" r:id="rId341"/>
    <hyperlink xmlns:r="http://schemas.openxmlformats.org/officeDocument/2006/relationships" ref="M3249" display="http://img.clumba.ru/mediaplan/TI/1/128.jpg" r:id="rId342"/>
    <hyperlink xmlns:r="http://schemas.openxmlformats.org/officeDocument/2006/relationships" ref="M3250" display="http://img.clumba.ru/mediaplan/TI/1/200.jpg" r:id="rId343"/>
    <hyperlink xmlns:r="http://schemas.openxmlformats.org/officeDocument/2006/relationships" ref="M3251" display="http://img.clumba.ru/mediaplan/TI/1/129.jpg" r:id="rId344"/>
    <hyperlink xmlns:r="http://schemas.openxmlformats.org/officeDocument/2006/relationships" ref="M3252" display="http://img.clumba.ru/mediaplan/TI/1/201.jpg" r:id="rId345"/>
    <hyperlink xmlns:r="http://schemas.openxmlformats.org/officeDocument/2006/relationships" ref="M3253" display="http://img.clumba.ru/mediaplan/TI/1/202.jpg" r:id="rId346"/>
    <hyperlink xmlns:r="http://schemas.openxmlformats.org/officeDocument/2006/relationships" ref="M3254" display="http://img.clumba.ru/mediaplan/TI/1/130.jpg" r:id="rId347"/>
    <hyperlink xmlns:r="http://schemas.openxmlformats.org/officeDocument/2006/relationships" ref="M3255" display="http://img.clumba.ru/mediaplan/TI/1/131.jpg" r:id="rId348"/>
    <hyperlink xmlns:r="http://schemas.openxmlformats.org/officeDocument/2006/relationships" ref="M3256" display="http://img.clumba.ru/mediaplan/TI/1/132.jpg" r:id="rId349"/>
    <hyperlink xmlns:r="http://schemas.openxmlformats.org/officeDocument/2006/relationships" ref="M3257" display="http://img.clumba.ru/mediaplan/TI/1/203.jpg" r:id="rId350"/>
    <hyperlink xmlns:r="http://schemas.openxmlformats.org/officeDocument/2006/relationships" ref="M3258" display="http://img.clumba.ru/mediaplan/TI/1/133.jpg" r:id="rId351"/>
    <hyperlink xmlns:r="http://schemas.openxmlformats.org/officeDocument/2006/relationships" ref="M3259" display="http://img.clumba.ru/mediaplan/TI/1/134.jpg" r:id="rId352"/>
    <hyperlink xmlns:r="http://schemas.openxmlformats.org/officeDocument/2006/relationships" ref="M3260" display="http://img.clumba.ru/mediaplan/TI/1/136.jpg" r:id="rId353"/>
    <hyperlink xmlns:r="http://schemas.openxmlformats.org/officeDocument/2006/relationships" ref="M3261" display="http://img.clumba.ru/mediaplan/TI/1/135.jpg" r:id="rId354"/>
    <hyperlink xmlns:r="http://schemas.openxmlformats.org/officeDocument/2006/relationships" ref="M3262" display="http://img.clumba.ru/mediaplan/TI/1/204.jpg" r:id="rId355"/>
    <hyperlink xmlns:r="http://schemas.openxmlformats.org/officeDocument/2006/relationships" ref="M3263" display="http://img.clumba.ru/mediaplan/TI/1/205.jpg" r:id="rId356"/>
    <hyperlink xmlns:r="http://schemas.openxmlformats.org/officeDocument/2006/relationships" ref="M3264" display="http://img.clumba.ru/mediaplan/TI/1/137.jpg" r:id="rId357"/>
    <hyperlink xmlns:r="http://schemas.openxmlformats.org/officeDocument/2006/relationships" ref="M3265" display="http://img.clumba.ru/mediaplan/TI/1/206.jpg" r:id="rId358"/>
    <hyperlink xmlns:r="http://schemas.openxmlformats.org/officeDocument/2006/relationships" ref="M3266" display="http://img.clumba.ru/mediaplan/TI/1/138.jpg" r:id="rId359"/>
    <hyperlink xmlns:r="http://schemas.openxmlformats.org/officeDocument/2006/relationships" ref="M3267" display="http://img.clumba.ru/mediaplan/TI/1/207.jpg" r:id="rId360"/>
    <hyperlink xmlns:r="http://schemas.openxmlformats.org/officeDocument/2006/relationships" ref="M3268" display="http://img.clumba.ru/mediaplan/TI/1/208.jpg" r:id="rId361"/>
    <hyperlink xmlns:r="http://schemas.openxmlformats.org/officeDocument/2006/relationships" ref="M3269" display="http://img.clumba.ru/mediaplan/TI/1/209.jpg" r:id="rId362"/>
    <hyperlink xmlns:r="http://schemas.openxmlformats.org/officeDocument/2006/relationships" ref="M3270" display="http://img.clumba.ru/mediaplan/TI/1/139.jpg" r:id="rId363"/>
    <hyperlink xmlns:r="http://schemas.openxmlformats.org/officeDocument/2006/relationships" ref="M3271" display="http://img.clumba.ru/mediaplan/TI/1/210.jpg" r:id="rId364"/>
    <hyperlink xmlns:r="http://schemas.openxmlformats.org/officeDocument/2006/relationships" ref="M3272" display="http://img.clumba.ru/mediaplan/TI/1/144.jpg" r:id="rId365"/>
    <hyperlink xmlns:r="http://schemas.openxmlformats.org/officeDocument/2006/relationships" ref="M3273" display="http://img.clumba.ru/mediaplan/TI/1/211.jpg" r:id="rId366"/>
    <hyperlink xmlns:r="http://schemas.openxmlformats.org/officeDocument/2006/relationships" ref="M3274" display="http://img.clumba.ru/mediaplan/TI/1/212.jpg" r:id="rId367"/>
    <hyperlink xmlns:r="http://schemas.openxmlformats.org/officeDocument/2006/relationships" ref="M3275" display="http://img.clumba.ru/mediaplan/TI/1/213.jpg" r:id="rId368"/>
    <hyperlink xmlns:r="http://schemas.openxmlformats.org/officeDocument/2006/relationships" ref="M3276" display="http://img.clumba.ru/mediaplan/TI/1/214.jpg" r:id="rId369"/>
    <hyperlink xmlns:r="http://schemas.openxmlformats.org/officeDocument/2006/relationships" ref="M3277" display="http://img.clumba.ru/mediaplan/TI/1/215.jpg" r:id="rId370"/>
    <hyperlink xmlns:r="http://schemas.openxmlformats.org/officeDocument/2006/relationships" ref="M3278" display="http://img.clumba.ru/mediaplan/TI/1/216.jpg" r:id="rId371"/>
    <hyperlink xmlns:r="http://schemas.openxmlformats.org/officeDocument/2006/relationships" ref="M3279" display="http://img.clumba.ru/mediaplan/TI/1/217.jpg" r:id="rId372"/>
    <hyperlink xmlns:r="http://schemas.openxmlformats.org/officeDocument/2006/relationships" ref="M3280" display="http://img.clumba.ru/mediaplan/TI/1/218.jpg" r:id="rId373"/>
    <hyperlink xmlns:r="http://schemas.openxmlformats.org/officeDocument/2006/relationships" ref="M3281" display="http://img.clumba.ru/mediaplan/TI/1/141.jpg" r:id="rId374"/>
    <hyperlink xmlns:r="http://schemas.openxmlformats.org/officeDocument/2006/relationships" ref="M3282" display="http://img.clumba.ru/mediaplan/TI/1/219.jpg" r:id="rId375"/>
    <hyperlink xmlns:r="http://schemas.openxmlformats.org/officeDocument/2006/relationships" ref="M3283" display="http://img.clumba.ru/mediaplan/TI/1/221.jpg" r:id="rId376"/>
    <hyperlink xmlns:r="http://schemas.openxmlformats.org/officeDocument/2006/relationships" ref="M3284" display="http://img.clumba.ru/mediaplan/TI/1/220.jpg" r:id="rId377"/>
    <hyperlink xmlns:r="http://schemas.openxmlformats.org/officeDocument/2006/relationships" ref="M3285" display="http://img.clumba.ru/mediaplan/TI/1/222.jpg" r:id="rId378"/>
    <hyperlink xmlns:r="http://schemas.openxmlformats.org/officeDocument/2006/relationships" ref="M3286" display="http://img.clumba.ru/mediaplan/TI/1/223.jpg" r:id="rId379"/>
    <hyperlink xmlns:r="http://schemas.openxmlformats.org/officeDocument/2006/relationships" ref="M3287" display="http://img.clumba.ru/mediaplan/TI/1/224.jpg" r:id="rId380"/>
    <hyperlink xmlns:r="http://schemas.openxmlformats.org/officeDocument/2006/relationships" ref="M3288" display="ФОТО" r:id="rId381"/>
    <hyperlink xmlns:r="http://schemas.openxmlformats.org/officeDocument/2006/relationships" ref="M3289" display="http://img.clumba.ru/mediaplan/TI/1/226.jpg" r:id="rId382"/>
    <hyperlink xmlns:r="http://schemas.openxmlformats.org/officeDocument/2006/relationships" ref="M3290" display="http://img.clumba.ru/mediaplan/TI/1/227.jpg" r:id="rId383"/>
    <hyperlink xmlns:r="http://schemas.openxmlformats.org/officeDocument/2006/relationships" ref="M3291" display="http://img.clumba.ru/mediaplan/TI/1/142.jpg" r:id="rId384"/>
    <hyperlink xmlns:r="http://schemas.openxmlformats.org/officeDocument/2006/relationships" ref="M3292" display="http://img.clumba.ru/mediaplan/TI/1/228.jpg" r:id="rId385"/>
    <hyperlink xmlns:r="http://schemas.openxmlformats.org/officeDocument/2006/relationships" ref="M3293" display="http://img.clumba.ru/mediaplan/TI/1/143.jpg" r:id="rId386"/>
    <hyperlink xmlns:r="http://schemas.openxmlformats.org/officeDocument/2006/relationships" ref="M3294" display="http://img.clumba.ru/mediaplan/TI/1/229.jpg" r:id="rId387"/>
    <hyperlink xmlns:r="http://schemas.openxmlformats.org/officeDocument/2006/relationships" ref="M3295" display="http://img.clumba.ru/mediaplan/TI/1/.jpg" r:id="rId388"/>
    <hyperlink xmlns:r="http://schemas.openxmlformats.org/officeDocument/2006/relationships" ref="M3296" display="http://img.clumba.ru/mediaplan/TI/1/98.jpg" r:id="rId389"/>
    <hyperlink xmlns:r="http://schemas.openxmlformats.org/officeDocument/2006/relationships" ref="I3297" display="http://www.clumba.ru/mediaplan/TC/afimoll_1-new.jpg" r:id="rId390"/>
    <hyperlink xmlns:r="http://schemas.openxmlformats.org/officeDocument/2006/relationships" ref="I3298" display="http://www.clumba.ru/aizmedia/malls_photo_new/l153.jpg" r:id="rId391"/>
    <hyperlink xmlns:r="http://schemas.openxmlformats.org/officeDocument/2006/relationships" ref="I3299" display="http://www.clumba.ru/aizmedia/malls_photo_new/XL.jpg" r:id="rId392"/>
    <hyperlink xmlns:r="http://schemas.openxmlformats.org/officeDocument/2006/relationships" ref="I3300" display="http://www.clumba.ru/aizmedia/malls_photo_new/vesna_1.jpg" r:id="rId393"/>
    <hyperlink xmlns:r="http://schemas.openxmlformats.org/officeDocument/2006/relationships" ref="I3301" display="http://www.clumba.ru/aizmedia/malls_photo_new/vesna_2.jpg" r:id="rId394"/>
    <hyperlink xmlns:r="http://schemas.openxmlformats.org/officeDocument/2006/relationships" ref="I3302" display="http://www.clumba.ru/aizmedia/malls_photo_new/edelweys.jpg" r:id="rId395"/>
    <hyperlink xmlns:r="http://schemas.openxmlformats.org/officeDocument/2006/relationships" ref="I3303" display="http://www.clumba.ru/mediaplan/TC/afimoll_2-new-1.jpg" r:id="rId396"/>
    <hyperlink xmlns:r="http://schemas.openxmlformats.org/officeDocument/2006/relationships" ref="I3304" display="http://www.clumba.ru/mediaplan/TC/afimoll_3-new.jpg" r:id="rId397"/>
    <hyperlink xmlns:r="http://schemas.openxmlformats.org/officeDocument/2006/relationships" ref="I3305" display="http://www.clumba.ru/mediaplan/TC/afimol_new2_4.pdf" r:id="rId398"/>
    <hyperlink xmlns:r="http://schemas.openxmlformats.org/officeDocument/2006/relationships" ref="I3306" display="http://www.clumba.ru/mediaplan/TC/afimol_new2_5.pdf" r:id="rId399"/>
    <hyperlink xmlns:r="http://schemas.openxmlformats.org/officeDocument/2006/relationships" ref="I3308" display="http://www.clumba.ru/aizmedia/malls_photo_new/kapitoliy_leningrad.jpg" r:id="rId400"/>
    <hyperlink xmlns:r="http://schemas.openxmlformats.org/officeDocument/2006/relationships" ref="I3309" display="http://www.clumba.ru/mediaplan/TC/evropark_new.pdf" r:id="rId401"/>
    <hyperlink xmlns:r="http://schemas.openxmlformats.org/officeDocument/2006/relationships" ref="I3310" display="http://www.clumba.ru/aizmedia/malls_photo_new/okhotniy_ryad_1.jpg" r:id="rId402"/>
    <hyperlink xmlns:r="http://schemas.openxmlformats.org/officeDocument/2006/relationships" ref="I3311" display="http://www.clumba.ru/aizmedia/malls_photo_new/okhotniy_ryad_2.jpg" r:id="rId403"/>
    <hyperlink xmlns:r="http://schemas.openxmlformats.org/officeDocument/2006/relationships" ref="I3312" display="http://www.clumba.ru/aizmedia/malls_photo_new/gorod_ryazanka_1.jpg" r:id="rId404"/>
    <hyperlink xmlns:r="http://schemas.openxmlformats.org/officeDocument/2006/relationships" ref="I3313" display="http://www.clumba.ru/aizmedia/malls_photo_new/gorod_ryazanka_2.jpg" r:id="rId405"/>
    <hyperlink xmlns:r="http://schemas.openxmlformats.org/officeDocument/2006/relationships" ref="I3314" display="http://www.clumba.ru/mediaplan/TC/gorod_lefortovo_1.jpg" r:id="rId406"/>
    <hyperlink xmlns:r="http://schemas.openxmlformats.org/officeDocument/2006/relationships" ref="I3315" display="http://www.clumba.ru/mediaplan/TC/gorod_lefortovo_2.jpg" r:id="rId407"/>
    <hyperlink xmlns:r="http://schemas.openxmlformats.org/officeDocument/2006/relationships" ref="I3316" display="http://www.clumba.ru/aizmedia/malls_photo_new/rechnoy_1.jpg" r:id="rId408"/>
    <hyperlink xmlns:r="http://schemas.openxmlformats.org/officeDocument/2006/relationships" ref="I3317" display="http://www.clumba.ru/aizmedia/malls_photo_new/rechnoy_2.jpg" r:id="rId409"/>
    <hyperlink xmlns:r="http://schemas.openxmlformats.org/officeDocument/2006/relationships" ref="I3318" display="http://www.clumba.ru/mediaplan/TC/kaluzskiy_1_new.output-1.jpg" r:id="rId410"/>
    <hyperlink xmlns:r="http://schemas.openxmlformats.org/officeDocument/2006/relationships" ref="I3319" display="http://www.clumba.ru/mediaplan/TC/kaluzskiy_2_new (1)-1.jpg" r:id="rId411"/>
    <hyperlink xmlns:r="http://schemas.openxmlformats.org/officeDocument/2006/relationships" ref="I3320" display="http://www.clumba.ru/aizmedia/malls_photo_new/schokolad_1.jpg" r:id="rId412"/>
    <hyperlink xmlns:r="http://schemas.openxmlformats.org/officeDocument/2006/relationships" ref="I3321" display="http://www.clumba.ru/aizmedia/malls_photo_new/schokolad_2.jpg" r:id="rId413"/>
    <hyperlink xmlns:r="http://schemas.openxmlformats.org/officeDocument/2006/relationships" ref="I3322" display="http://www.clumba.ru/aizmedia/malls_photo_new/chas_pik.jpg" r:id="rId414"/>
    <hyperlink xmlns:r="http://schemas.openxmlformats.org/officeDocument/2006/relationships" ref="I3323" display="http://www.clumba.ru/aizmedia/malls_photo_new/nash_govorovo_1.jpg" r:id="rId415"/>
    <hyperlink xmlns:r="http://schemas.openxmlformats.org/officeDocument/2006/relationships" ref="I3324" display="http://www.clumba.ru/aizmedia/malls_photo_new/nash_govorovo_2.jpg" r:id="rId416"/>
    <hyperlink xmlns:r="http://schemas.openxmlformats.org/officeDocument/2006/relationships" ref="I3325" display="http://www.clumba.ru/aizmedia/malls_photo_new/nash_dmitr.jpg" r:id="rId417"/>
    <hyperlink xmlns:r="http://schemas.openxmlformats.org/officeDocument/2006/relationships" ref="I3326" display="http://www.clumba.ru/aizmedia/malls_photo_new/oblaka.jpg" r:id="rId418"/>
    <hyperlink xmlns:r="http://schemas.openxmlformats.org/officeDocument/2006/relationships" ref="I3327" display="http://www.clumba.ru/aizmedia/malls_photo_new/filion_1.jpg" r:id="rId419"/>
    <hyperlink xmlns:r="http://schemas.openxmlformats.org/officeDocument/2006/relationships" ref="I3328" display="http://www.clumba.ru/aizmedia/malls_photo_new/filion_2.jpg" r:id="rId420"/>
    <hyperlink xmlns:r="http://schemas.openxmlformats.org/officeDocument/2006/relationships" ref="I3329" display="http://www.clumba.ru/aizmedia/malls_photo_new/filion_3.jpg" r:id="rId421"/>
    <hyperlink xmlns:r="http://schemas.openxmlformats.org/officeDocument/2006/relationships" ref="I3425" display="http://www.clumba.ru/aizmedia/malls_photo_new/weypark.jpg" r:id="rId422"/>
    <hyperlink xmlns:r="http://schemas.openxmlformats.org/officeDocument/2006/relationships" ref="I3426" display="http://www.clumba.ru/aizmedia/malls_photo_new/gallerea_aeroport_1.jpg" r:id="rId423"/>
    <hyperlink xmlns:r="http://schemas.openxmlformats.org/officeDocument/2006/relationships" ref="I3427" display="http://www.clumba.ru/aizmedia/malls_photo_new/gallerea_aeroport_2.jpg" r:id="rId424"/>
    <hyperlink xmlns:r="http://schemas.openxmlformats.org/officeDocument/2006/relationships" ref="I3428" display="http://www.clumba.ru/aizmedia/malls_photo_new/dmd_1.jpg" r:id="rId425"/>
    <hyperlink xmlns:r="http://schemas.openxmlformats.org/officeDocument/2006/relationships" ref="I3429" display="http://www.clumba.ru/aizmedia/malls_photo_new/dmd_2.jpg" r:id="rId426"/>
    <hyperlink xmlns:r="http://schemas.openxmlformats.org/officeDocument/2006/relationships" ref="I3430" display="http://www.clumba.ru/aizmedia/malls_photo_new/erevan_plaza_1.jpg" r:id="rId427"/>
    <hyperlink xmlns:r="http://schemas.openxmlformats.org/officeDocument/2006/relationships" ref="I3431" display="http://www.clumba.ru/aizmedia/malls_photo_new/erevan_plaza_2.jpg" r:id="rId428"/>
    <hyperlink xmlns:r="http://schemas.openxmlformats.org/officeDocument/2006/relationships" ref="I3432" display="http://www.clumba.ru/aizmedia/malls_photo_new/kolomenskiy.jpg" r:id="rId429"/>
    <hyperlink xmlns:r="http://schemas.openxmlformats.org/officeDocument/2006/relationships" ref="I3433" display="http://www.clumba.ru/aizmedia/malls_photo_new/moskvorechie_1.jpg" r:id="rId430"/>
    <hyperlink xmlns:r="http://schemas.openxmlformats.org/officeDocument/2006/relationships" ref="I3434" display="http://www.clumba.ru/aizmedia/malls_photo_new/moskvorechie_2.jpg" r:id="rId431"/>
    <hyperlink xmlns:r="http://schemas.openxmlformats.org/officeDocument/2006/relationships" ref="I3435" display="http://www.clumba.ru/aizmedia/malls_photo_new/prajskiy_grad.jpg" r:id="rId432"/>
    <hyperlink xmlns:r="http://schemas.openxmlformats.org/officeDocument/2006/relationships" ref="I3436" display="http://www.clumba.ru/aizmedia/malls_photo_new/raykin_plaza_1.jpg" r:id="rId433"/>
    <hyperlink xmlns:r="http://schemas.openxmlformats.org/officeDocument/2006/relationships" ref="I3437" display="http://www.clumba.ru/aizmedia/malls_photo_new/raykin_plaza_2.jpg" r:id="rId434"/>
    <hyperlink xmlns:r="http://schemas.openxmlformats.org/officeDocument/2006/relationships" ref="I3438" display="http://www.clumba.ru/aizmedia/malls_photo_new/RIO_Sevastop.jpg" r:id="rId435"/>
    <hyperlink xmlns:r="http://schemas.openxmlformats.org/officeDocument/2006/relationships" ref="I3439" display="http://www.clumba.ru/aizmedia/malls_photo_new/riteyl_park.jpg" r:id="rId436"/>
    <hyperlink xmlns:r="http://schemas.openxmlformats.org/officeDocument/2006/relationships" ref="I3440" display="http://www.clumba.ru/aizmedia/malls_photo_new/troyka_1.jpg" r:id="rId437"/>
    <hyperlink xmlns:r="http://schemas.openxmlformats.org/officeDocument/2006/relationships" ref="I3441" display="http://www.clumba.ru/aizmedia/malls_photo_new/troyka_2.jpg" r:id="rId438"/>
    <hyperlink xmlns:r="http://schemas.openxmlformats.org/officeDocument/2006/relationships" ref="I3442" display="http://www.clumba.ru/aizmedia/malls_photo_new/tulskiy.jpg" r:id="rId439"/>
    <hyperlink xmlns:r="http://schemas.openxmlformats.org/officeDocument/2006/relationships" ref="M3443" display="ФОТО" r:id="rId440"/>
    <hyperlink xmlns:r="http://schemas.openxmlformats.org/officeDocument/2006/relationships" ref="M3444" display="ФОТО" r:id="rId441"/>
    <hyperlink xmlns:r="http://schemas.openxmlformats.org/officeDocument/2006/relationships" ref="M3445" display="ФОТО" r:id="rId442"/>
    <hyperlink xmlns:r="http://schemas.openxmlformats.org/officeDocument/2006/relationships" ref="M3446" display="ФОТО" r:id="rId443"/>
    <hyperlink xmlns:r="http://schemas.openxmlformats.org/officeDocument/2006/relationships" ref="M3447" display="ФОТО" r:id="rId444"/>
    <hyperlink xmlns:r="http://schemas.openxmlformats.org/officeDocument/2006/relationships" ref="M3448" display="ФОТО" r:id="rId445"/>
    <hyperlink xmlns:r="http://schemas.openxmlformats.org/officeDocument/2006/relationships" ref="M3449" display="ФОТО" r:id="rId446"/>
    <hyperlink xmlns:r="http://schemas.openxmlformats.org/officeDocument/2006/relationships" ref="M3450" display="ФОТО" r:id="rId447"/>
    <hyperlink xmlns:r="http://schemas.openxmlformats.org/officeDocument/2006/relationships" ref="M3451" display="ФОТО" r:id="rId448"/>
    <hyperlink xmlns:r="http://schemas.openxmlformats.org/officeDocument/2006/relationships" ref="M3452" display="ФОТО" r:id="rId449"/>
    <hyperlink xmlns:r="http://schemas.openxmlformats.org/officeDocument/2006/relationships" ref="M3453" display="ФОТО" r:id="rId450"/>
    <hyperlink xmlns:r="http://schemas.openxmlformats.org/officeDocument/2006/relationships" ref="M3469" display="ФОТО" r:id="rId451"/>
    <hyperlink xmlns:r="http://schemas.openxmlformats.org/officeDocument/2006/relationships" ref="M3470" display="ФОТО" r:id="rId452"/>
    <hyperlink xmlns:r="http://schemas.openxmlformats.org/officeDocument/2006/relationships" ref="M3471" display="ФОТО" r:id="rId453"/>
    <hyperlink xmlns:r="http://schemas.openxmlformats.org/officeDocument/2006/relationships" ref="M3472" display="ФОТО" r:id="rId454"/>
    <hyperlink xmlns:r="http://schemas.openxmlformats.org/officeDocument/2006/relationships" ref="M3473" display="ФОТО" r:id="rId455"/>
    <hyperlink xmlns:r="http://schemas.openxmlformats.org/officeDocument/2006/relationships" ref="M3474" display="ФОТО" r:id="rId456"/>
    <hyperlink xmlns:r="http://schemas.openxmlformats.org/officeDocument/2006/relationships" ref="M3475" display="ФОТО" r:id="rId457"/>
    <hyperlink xmlns:r="http://schemas.openxmlformats.org/officeDocument/2006/relationships" ref="M3476" display="ФОТО" r:id="rId458"/>
    <hyperlink xmlns:r="http://schemas.openxmlformats.org/officeDocument/2006/relationships" ref="M3477" display="ФОТО" r:id="rId459"/>
    <hyperlink xmlns:r="http://schemas.openxmlformats.org/officeDocument/2006/relationships" ref="M3478" display="ФОТО" r:id="rId460"/>
    <hyperlink xmlns:r="http://schemas.openxmlformats.org/officeDocument/2006/relationships" ref="M3479" r:id="rId461"/>
    <hyperlink xmlns:r="http://schemas.openxmlformats.org/officeDocument/2006/relationships" ref="M3480" display="ФОТО" r:id="rId462"/>
    <hyperlink xmlns:r="http://schemas.openxmlformats.org/officeDocument/2006/relationships" ref="M3481" display="ФОТО" r:id="rId463"/>
    <hyperlink xmlns:r="http://schemas.openxmlformats.org/officeDocument/2006/relationships" ref="M3484" display="ФОТО" r:id="rId464"/>
    <hyperlink xmlns:r="http://schemas.openxmlformats.org/officeDocument/2006/relationships" ref="M3488" display="ФОТО" r:id="rId465"/>
    <hyperlink xmlns:r="http://schemas.openxmlformats.org/officeDocument/2006/relationships" ref="M3489" display="ФОТО" r:id="rId466"/>
    <hyperlink xmlns:r="http://schemas.openxmlformats.org/officeDocument/2006/relationships" ref="M3490" display="ФОТО" r:id="rId467"/>
    <hyperlink xmlns:r="http://schemas.openxmlformats.org/officeDocument/2006/relationships" ref="M3492" display="ФОТО" r:id="rId468"/>
    <hyperlink xmlns:r="http://schemas.openxmlformats.org/officeDocument/2006/relationships" ref="M3493" display="ФОТО" r:id="rId469"/>
    <hyperlink xmlns:r="http://schemas.openxmlformats.org/officeDocument/2006/relationships" ref="M3494" display="ФОТО" r:id="rId470"/>
    <hyperlink xmlns:r="http://schemas.openxmlformats.org/officeDocument/2006/relationships" ref="M3496" display="ФОТО" r:id="rId471"/>
    <hyperlink xmlns:r="http://schemas.openxmlformats.org/officeDocument/2006/relationships" ref="M3497" display="ФОТО" r:id="rId472"/>
    <hyperlink xmlns:r="http://schemas.openxmlformats.org/officeDocument/2006/relationships" ref="M3498" r:id="rId473"/>
    <hyperlink xmlns:r="http://schemas.openxmlformats.org/officeDocument/2006/relationships" ref="M3500" display="ФОТО" r:id="rId474"/>
    <hyperlink xmlns:r="http://schemas.openxmlformats.org/officeDocument/2006/relationships" ref="M3501" display="ФОТО" r:id="rId475"/>
    <hyperlink xmlns:r="http://schemas.openxmlformats.org/officeDocument/2006/relationships" ref="M3502" display="ФОТО" r:id="rId476"/>
    <hyperlink xmlns:r="http://schemas.openxmlformats.org/officeDocument/2006/relationships" ref="M3750" display="ФОТО" r:id="rId477"/>
    <hyperlink xmlns:r="http://schemas.openxmlformats.org/officeDocument/2006/relationships" ref="M3792" display="ФОТО" r:id="rId478"/>
    <hyperlink xmlns:r="http://schemas.openxmlformats.org/officeDocument/2006/relationships" ref="M3850" r:id="rId479"/>
    <hyperlink xmlns:r="http://schemas.openxmlformats.org/officeDocument/2006/relationships" ref="M3851" display="ФОТО" r:id="rId480"/>
    <hyperlink xmlns:r="http://schemas.openxmlformats.org/officeDocument/2006/relationships" ref="M3852" r:id="rId481"/>
    <hyperlink xmlns:r="http://schemas.openxmlformats.org/officeDocument/2006/relationships" ref="M3875" r:id="rId482"/>
    <hyperlink xmlns:r="http://schemas.openxmlformats.org/officeDocument/2006/relationships" ref="M3884" r:id="rId483"/>
    <hyperlink xmlns:r="http://schemas.openxmlformats.org/officeDocument/2006/relationships" ref="M3885" r:id="rId484"/>
    <hyperlink xmlns:r="http://schemas.openxmlformats.org/officeDocument/2006/relationships" ref="I3930" display="http://www.clumba.ru/mediaplan/TC/afimol_new2_5.pdf" r:id="rId485"/>
  </hyperlinks>
  <pageMargins left="0.25" right="0.25" top="0.75" bottom="0.75" header="0.3" footer="0.3"/>
  <pageSetup orientation="portrait" paperSize="9" scale="42" fitToHeight="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codeName="Лист1">
    <outlinePr summaryBelow="1" summaryRight="1"/>
    <pageSetUpPr/>
  </sheetPr>
  <dimension ref="B7:I100"/>
  <sheetViews>
    <sheetView showGridLines="0" zoomScale="90" zoomScaleNormal="90" workbookViewId="0">
      <selection activeCell="B9" sqref="B9:C9"/>
    </sheetView>
  </sheetViews>
  <sheetFormatPr baseColWidth="8" defaultColWidth="11.44140625" defaultRowHeight="14.4"/>
  <cols>
    <col width="6.5546875" customWidth="1" min="1" max="1"/>
    <col width="27.5546875" customWidth="1" min="2" max="2"/>
    <col width="26.77734375" customWidth="1" min="3" max="3"/>
    <col width="18.21875" customWidth="1" min="4" max="4"/>
    <col width="14.77734375" customWidth="1" min="5" max="6"/>
    <col width="16.5546875" customWidth="1" min="7" max="7"/>
    <col width="17.21875" customWidth="1" min="8" max="8"/>
    <col width="18.77734375" customWidth="1" min="9" max="9"/>
    <col width="11.44140625" customWidth="1" min="10" max="10"/>
    <col width="16.77734375" customWidth="1" min="11" max="11"/>
    <col width="16.5546875" customWidth="1" min="12" max="12"/>
    <col width="16" customWidth="1" min="13" max="13"/>
    <col width="18.44140625" customWidth="1" min="14" max="14"/>
  </cols>
  <sheetData>
    <row r="7">
      <c r="B7" s="64" t="inlineStr">
        <is>
          <t>Базовая стоимость размещения видеорекламы на экранах сети Logic Media</t>
        </is>
      </c>
      <c r="C7" s="64" t="n"/>
      <c r="D7" s="26" t="n"/>
      <c r="E7" s="26" t="n"/>
      <c r="F7" s="26" t="n"/>
    </row>
    <row r="8">
      <c r="B8" s="26" t="n"/>
      <c r="C8" s="26" t="n"/>
      <c r="D8" s="26" t="n"/>
      <c r="E8" s="26" t="n"/>
      <c r="F8" s="26" t="n"/>
    </row>
    <row r="9" ht="49.5" customHeight="1">
      <c r="B9" s="834" t="inlineStr">
        <is>
          <t>Параметры размещения / площадка где размещены экраны</t>
        </is>
      </c>
      <c r="C9" s="856" t="n"/>
      <c r="D9" s="65" t="inlineStr">
        <is>
          <t xml:space="preserve"> АЗС и супермаркеты АВ Москвы и МО</t>
        </is>
      </c>
      <c r="E9" s="65" t="inlineStr">
        <is>
          <t xml:space="preserve"> АЗС и супермаркеты АВ СПб и ЛО</t>
        </is>
      </c>
      <c r="F9" s="65" t="inlineStr">
        <is>
          <t>АЗС другие города РФ</t>
        </is>
      </c>
      <c r="G9" s="65" t="inlineStr">
        <is>
          <t xml:space="preserve"> АЗС Газпромнефть Москвы и МО</t>
        </is>
      </c>
      <c r="H9" s="534" t="inlineStr">
        <is>
          <t xml:space="preserve"> АЗС Газпромнефть СПб и ЛО</t>
        </is>
      </c>
      <c r="I9" s="65" t="inlineStr">
        <is>
          <t>АЗС Газпромнефть другие города РФ</t>
        </is>
      </c>
    </row>
    <row r="10" ht="48" customHeight="1">
      <c r="B10" s="835" t="inlineStr">
        <is>
          <t>Базовая стоимость размещения 10 секундного ролика на 1 экране в течение 24 часов (максимальная продолжительность блока 3 минуты, кол-во повторов блока в сутки 480, трансляция 24 /7)*</t>
        </is>
      </c>
      <c r="C10" s="856" t="n"/>
      <c r="D10" s="1011" t="n">
        <v>370</v>
      </c>
      <c r="E10" s="1011" t="n">
        <v>280</v>
      </c>
      <c r="F10" s="1011" t="n">
        <v>184</v>
      </c>
      <c r="G10" s="1011" t="n">
        <v>346</v>
      </c>
      <c r="H10" s="1011" t="n">
        <v>277</v>
      </c>
      <c r="I10" s="1011" t="n">
        <v>158</v>
      </c>
    </row>
    <row r="11" ht="47.25" customHeight="1">
      <c r="B11" s="835" t="inlineStr">
        <is>
          <t>Базовая стоимость размещения 15 секундного ролика на 1 экране в течение 24 часов (максимальная продолжительность блока 3 минуты, кол-во повторов блока в сутки 480, трансляция 24 /7)*</t>
        </is>
      </c>
      <c r="C11" s="856" t="n"/>
      <c r="D11" s="1011">
        <f>D10/10*15</f>
        <v/>
      </c>
      <c r="E11" s="1011">
        <f>E10/10*15</f>
        <v/>
      </c>
      <c r="F11" s="1011">
        <f>F10/10*15</f>
        <v/>
      </c>
      <c r="G11" s="1011" t="n">
        <v>520</v>
      </c>
      <c r="H11" s="1011" t="n">
        <v>420</v>
      </c>
      <c r="I11" s="1011" t="n">
        <v>260</v>
      </c>
    </row>
    <row r="12">
      <c r="B12" s="36" t="inlineStr">
        <is>
          <t>* - стоимость без учёта НДС 20 %</t>
        </is>
      </c>
      <c r="C12" s="36" t="n"/>
      <c r="D12" s="36" t="n"/>
      <c r="E12" s="36" t="n"/>
      <c r="F12" s="36" t="n"/>
      <c r="G12" s="15" t="n"/>
    </row>
    <row r="13">
      <c r="B13" s="36" t="n"/>
      <c r="C13" s="36" t="n"/>
      <c r="D13" s="36" t="n"/>
      <c r="E13" s="36" t="n"/>
      <c r="F13" s="36" t="n"/>
      <c r="G13" s="15" t="n"/>
    </row>
    <row r="14">
      <c r="B14" s="64" t="inlineStr">
        <is>
          <t>Базовая стоимость размещения видеорекламы на экранах в фитнес центрах</t>
        </is>
      </c>
      <c r="C14" s="36" t="n"/>
      <c r="D14" s="36" t="n"/>
      <c r="E14" s="36" t="n"/>
      <c r="F14" s="36" t="n"/>
      <c r="G14" s="15" t="n"/>
    </row>
    <row r="15">
      <c r="B15" s="36" t="n"/>
      <c r="C15" s="36" t="n"/>
      <c r="D15" s="36" t="n"/>
      <c r="E15" s="36" t="n"/>
      <c r="F15" s="36" t="n"/>
      <c r="G15" s="15" t="n"/>
    </row>
    <row r="16" ht="60.75" customHeight="1">
      <c r="B16" s="834" t="inlineStr">
        <is>
          <t>Параметры размещения / площадка где размещены экраны</t>
        </is>
      </c>
      <c r="C16" s="856" t="n"/>
      <c r="D16" s="65" t="inlineStr">
        <is>
          <t>Фитнес центры World Class категории  EXCLUSIVE</t>
        </is>
      </c>
      <c r="E16" s="65" t="inlineStr">
        <is>
          <t>Фитнес центры категории  UPPER PREMIUM</t>
        </is>
      </c>
      <c r="F16" s="65" t="inlineStr">
        <is>
          <t xml:space="preserve">Фитнес центры World Class категории  PREMIUM </t>
        </is>
      </c>
      <c r="G16" s="65" t="inlineStr">
        <is>
          <t>Фитнес центры категории  PREMIUM</t>
        </is>
      </c>
      <c r="H16" s="65" t="inlineStr">
        <is>
          <t>Фитнес центры World Class категории  BUSINESS</t>
        </is>
      </c>
      <c r="I16" s="495" t="n"/>
    </row>
    <row r="17" ht="51.75" customHeight="1">
      <c r="B17" s="823" t="inlineStr">
        <is>
          <t>Базовая стоимость размещения 10 секундного ролика на 1 экране в течение 16 часов. Максимальная продолжительность блока 2 минуты</t>
        </is>
      </c>
      <c r="C17" s="856" t="n"/>
      <c r="D17" s="1011" t="n">
        <v>1000</v>
      </c>
      <c r="E17" s="1011" t="n">
        <v>770</v>
      </c>
      <c r="F17" s="1011" t="n">
        <v>450</v>
      </c>
      <c r="G17" s="1011" t="n">
        <v>390</v>
      </c>
      <c r="H17" s="1011" t="n">
        <v>390</v>
      </c>
      <c r="I17" s="1012" t="n"/>
    </row>
    <row r="18" ht="48" customHeight="1">
      <c r="B18" s="823" t="inlineStr">
        <is>
          <t>Базовая стоимость размещения 15 секундного ролика на 1 экране в течение 16 часов. Максимальная продолжительность блока 2 минуты</t>
        </is>
      </c>
      <c r="C18" s="856" t="n"/>
      <c r="D18" s="1011">
        <f>D17/10*15</f>
        <v/>
      </c>
      <c r="E18" s="1011">
        <f>E17/10*15</f>
        <v/>
      </c>
      <c r="F18" s="1011">
        <f>F17/10*15</f>
        <v/>
      </c>
      <c r="G18" s="1011">
        <f>G17/10*15</f>
        <v/>
      </c>
      <c r="H18" s="1011">
        <f>H17/10*15</f>
        <v/>
      </c>
      <c r="I18" s="1012" t="n"/>
    </row>
    <row r="19" ht="15.75" customHeight="1">
      <c r="B19" s="260" t="n"/>
      <c r="C19" s="36" t="n"/>
      <c r="D19" s="1012" t="n"/>
      <c r="E19" s="1012" t="n"/>
      <c r="F19" s="1012" t="n"/>
      <c r="G19" s="1012" t="n"/>
      <c r="H19" s="1012" t="n"/>
      <c r="I19" s="1012" t="n"/>
    </row>
    <row r="20" ht="15.75" customHeight="1">
      <c r="B20" s="260" t="n"/>
      <c r="C20" s="36" t="n"/>
      <c r="D20" s="1012" t="n"/>
      <c r="E20" s="1012" t="n"/>
      <c r="F20" s="1012" t="n"/>
      <c r="G20" s="1012" t="n"/>
      <c r="H20" s="1012" t="n"/>
      <c r="I20" s="1012" t="n"/>
    </row>
    <row r="21" ht="15.75" customHeight="1">
      <c r="B21" s="64" t="inlineStr">
        <is>
          <t>Базовая стоимость размещения видеорекламы на экранах в бизнес центрах</t>
        </is>
      </c>
      <c r="C21" s="36" t="n"/>
      <c r="D21" s="36" t="n"/>
      <c r="E21" s="36" t="n"/>
      <c r="F21" s="36" t="n"/>
      <c r="G21" s="1012" t="n"/>
      <c r="H21" s="1012" t="n"/>
      <c r="I21" s="1012" t="n"/>
    </row>
    <row r="22" ht="15.75" customHeight="1">
      <c r="B22" s="36" t="n"/>
      <c r="C22" s="36" t="n"/>
      <c r="D22" s="36" t="n"/>
      <c r="E22" s="36" t="n"/>
      <c r="F22" s="36" t="n"/>
      <c r="G22" s="1012" t="n"/>
      <c r="H22" s="1012" t="n"/>
      <c r="I22" s="1012" t="n"/>
    </row>
    <row r="23" ht="37.5" customHeight="1">
      <c r="B23" s="834" t="inlineStr">
        <is>
          <t>Параметры размещения / площадка где размещены экраны</t>
        </is>
      </c>
      <c r="C23" s="856" t="n"/>
      <c r="D23" s="65" t="inlineStr">
        <is>
          <t>Бизнес центры Москвы</t>
        </is>
      </c>
      <c r="E23" s="65" t="inlineStr">
        <is>
          <t>Бизнес центры СПб</t>
        </is>
      </c>
      <c r="F23" s="1012" t="n"/>
    </row>
    <row r="24" ht="51" customHeight="1">
      <c r="B24" s="823" t="inlineStr">
        <is>
          <t>Базовая стоимость размещения 10 секундного ролика на 1 экране в течение 12 часов. Максимальная продолжительность блока 2 минуты</t>
        </is>
      </c>
      <c r="C24" s="856" t="n"/>
      <c r="D24" s="1011">
        <f>D25/15*10</f>
        <v/>
      </c>
      <c r="E24" s="1011">
        <f>E25/15*10</f>
        <v/>
      </c>
      <c r="F24" s="1012" t="n"/>
    </row>
    <row r="25" ht="48.75" customHeight="1">
      <c r="B25" s="823" t="inlineStr">
        <is>
          <t>Базовая стоимость размещения 15 секундного ролика на 1 экране в течение 12 часов. Максимальная продолжительность блока 2 минуты</t>
        </is>
      </c>
      <c r="C25" s="856" t="n"/>
      <c r="D25" s="1011" t="n">
        <v>969</v>
      </c>
      <c r="E25" s="1011" t="n">
        <v>969</v>
      </c>
      <c r="F25" s="1012" t="n"/>
    </row>
    <row r="26">
      <c r="B26" s="18" t="n"/>
      <c r="C26" s="18" t="n"/>
      <c r="D26" s="246" t="n"/>
      <c r="E26" s="246" t="n"/>
      <c r="F26" s="246" t="n"/>
      <c r="G26" s="246" t="n"/>
      <c r="H26" s="246" t="n"/>
      <c r="I26" s="246" t="n"/>
    </row>
    <row r="27">
      <c r="B27" s="18" t="n"/>
      <c r="C27" s="18" t="n"/>
      <c r="D27" s="246" t="n"/>
      <c r="E27" s="246" t="n"/>
      <c r="F27" s="246" t="n"/>
      <c r="G27" s="246" t="n"/>
      <c r="H27" s="246" t="n"/>
      <c r="I27" s="246" t="n"/>
    </row>
    <row r="28">
      <c r="B28" s="276" t="n"/>
      <c r="C28" s="277" t="n"/>
      <c r="D28" s="1012" t="n"/>
      <c r="E28" s="1012" t="n"/>
      <c r="F28" s="1012" t="n"/>
      <c r="G28" s="246" t="n"/>
      <c r="H28" s="246" t="n"/>
      <c r="I28" s="246" t="n"/>
    </row>
    <row r="29">
      <c r="B29" s="66" t="inlineStr">
        <is>
          <t>Система скидок:</t>
        </is>
      </c>
      <c r="C29" s="36" t="n"/>
      <c r="D29" s="36" t="n"/>
      <c r="E29" s="36" t="n"/>
      <c r="F29" s="36" t="n"/>
      <c r="G29" s="36" t="n"/>
    </row>
    <row r="30" ht="36" customHeight="1">
      <c r="B30" s="65" t="inlineStr">
        <is>
          <t>% выборки от общего кол-ва экранов в городе/сети АВ</t>
        </is>
      </c>
      <c r="C30" s="65" t="inlineStr">
        <is>
          <t>Скидка за кол-во экранов</t>
        </is>
      </c>
      <c r="D30" s="19" t="n"/>
      <c r="E30" s="19" t="n"/>
    </row>
    <row r="31" ht="15" customHeight="1">
      <c r="B31" s="67" t="n">
        <v>1</v>
      </c>
      <c r="C31" s="68" t="n">
        <v>0.3</v>
      </c>
      <c r="D31" s="20" t="n"/>
      <c r="E31" s="20" t="n"/>
    </row>
    <row r="32" ht="15" customHeight="1">
      <c r="B32" s="70" t="n">
        <v>0.7</v>
      </c>
      <c r="C32" s="71" t="n">
        <v>0.2</v>
      </c>
      <c r="D32" s="20" t="n"/>
      <c r="E32" s="20" t="n"/>
    </row>
    <row r="33" ht="15.6" customHeight="1">
      <c r="B33" s="67" t="n">
        <v>0.5</v>
      </c>
      <c r="C33" s="68" t="n">
        <v>0.15</v>
      </c>
      <c r="D33" s="20" t="n"/>
      <c r="E33" s="20" t="n"/>
    </row>
    <row r="34" ht="15.6" customHeight="1">
      <c r="B34" s="70" t="n">
        <v>0.25</v>
      </c>
      <c r="C34" s="71" t="n">
        <v>0.1</v>
      </c>
      <c r="D34" s="20" t="n"/>
      <c r="E34" s="20" t="n"/>
    </row>
    <row r="35" ht="15.6" customHeight="1">
      <c r="B35" s="67" t="n">
        <v>0.1</v>
      </c>
      <c r="C35" s="73" t="n">
        <v>0.05</v>
      </c>
      <c r="D35" s="20" t="n"/>
      <c r="E35" s="20" t="n"/>
    </row>
    <row r="36" ht="15.6" customHeight="1">
      <c r="B36" s="70" t="n">
        <v>0.05</v>
      </c>
      <c r="C36" s="74" t="n">
        <v>0</v>
      </c>
      <c r="D36" s="20" t="n"/>
      <c r="E36" s="20" t="n"/>
    </row>
    <row r="37" ht="15.6" customHeight="1">
      <c r="B37" s="75" t="inlineStr">
        <is>
          <t>Скидка 5% действует только в Москве и Санкт-Петербурге</t>
        </is>
      </c>
      <c r="C37" s="76" t="n"/>
      <c r="D37" s="77" t="n"/>
      <c r="E37" s="26" t="n"/>
      <c r="F37" s="26" t="n"/>
      <c r="G37" s="78" t="n"/>
      <c r="H37" s="20" t="n"/>
      <c r="I37" s="20" t="n"/>
    </row>
    <row r="38" ht="15.6" customHeight="1">
      <c r="B38" s="75" t="n"/>
      <c r="C38" s="76" t="n"/>
      <c r="D38" s="77" t="n"/>
      <c r="E38" s="26" t="n"/>
      <c r="F38" s="26" t="n"/>
      <c r="G38" s="78" t="n"/>
      <c r="H38" s="20" t="n"/>
      <c r="I38" s="20" t="n"/>
    </row>
    <row r="39" ht="15.6" customHeight="1">
      <c r="B39" s="75" t="n"/>
      <c r="C39" s="76" t="n"/>
      <c r="D39" s="77" t="n"/>
      <c r="E39" s="26" t="n"/>
      <c r="F39" s="26" t="n"/>
      <c r="G39" s="78" t="n"/>
      <c r="H39" s="20" t="n"/>
      <c r="I39" s="20" t="n"/>
    </row>
    <row r="40" ht="15.6" customHeight="1">
      <c r="B40" s="75" t="n"/>
      <c r="C40" s="76" t="n"/>
      <c r="D40" s="77" t="n"/>
      <c r="E40" s="26" t="n"/>
      <c r="F40" s="26" t="n"/>
      <c r="G40" s="78" t="n"/>
      <c r="H40" s="20" t="n"/>
      <c r="I40" s="20" t="n"/>
    </row>
    <row r="41" ht="15.6" customHeight="1">
      <c r="B41" s="66" t="inlineStr">
        <is>
          <t>Система скидок сети Газпромнефть:</t>
        </is>
      </c>
      <c r="C41" s="36" t="n"/>
      <c r="D41" s="36" t="n"/>
      <c r="E41" s="36" t="n"/>
      <c r="F41" s="36" t="n"/>
      <c r="G41" s="36" t="n"/>
      <c r="H41" s="20" t="n"/>
      <c r="I41" s="20" t="n"/>
    </row>
    <row r="42" ht="20.4" customHeight="1">
      <c r="B42" s="65" t="inlineStr">
        <is>
          <t>% выборки от общего кол-ва экранов в регионе</t>
        </is>
      </c>
      <c r="C42" s="65" t="inlineStr">
        <is>
          <t>Скидка за кол-во экранов</t>
        </is>
      </c>
      <c r="D42" s="20" t="n"/>
      <c r="E42" s="20" t="n"/>
    </row>
    <row r="43" ht="15.6" customHeight="1">
      <c r="B43" s="67" t="n">
        <v>1</v>
      </c>
      <c r="C43" s="68" t="n">
        <v>0.3</v>
      </c>
      <c r="D43" s="557" t="n"/>
      <c r="E43" s="20" t="n"/>
    </row>
    <row r="44" ht="15.6" customHeight="1">
      <c r="B44" s="70" t="n">
        <v>0.65</v>
      </c>
      <c r="C44" s="71" t="n">
        <v>0.2</v>
      </c>
      <c r="D44" s="557" t="n"/>
      <c r="E44" s="20" t="n"/>
    </row>
    <row r="45" ht="15.6" customHeight="1">
      <c r="B45" s="67" t="n">
        <v>0.5</v>
      </c>
      <c r="C45" s="68" t="n">
        <v>0.15</v>
      </c>
      <c r="D45" s="557" t="n"/>
      <c r="E45" s="20" t="n"/>
    </row>
    <row r="46" ht="15.6" customHeight="1">
      <c r="B46" s="70" t="n">
        <v>0.3</v>
      </c>
      <c r="C46" s="71" t="n">
        <v>0.1</v>
      </c>
      <c r="D46" s="557" t="n"/>
      <c r="E46" s="20" t="n"/>
    </row>
    <row r="47" ht="15.6" customHeight="1">
      <c r="B47" s="67" t="n">
        <v>0.2</v>
      </c>
      <c r="C47" s="68" t="n">
        <v>0</v>
      </c>
      <c r="D47" s="557" t="n"/>
      <c r="E47" s="20" t="n"/>
    </row>
    <row r="48" ht="15.6" customHeight="1">
      <c r="B48" s="70" t="n">
        <v>0.15</v>
      </c>
      <c r="C48" s="68" t="n">
        <v>0</v>
      </c>
      <c r="D48" s="557" t="n"/>
      <c r="E48" s="20" t="n"/>
    </row>
    <row r="49" ht="15.6" customHeight="1">
      <c r="B49" s="75" t="n"/>
      <c r="C49" s="76" t="n"/>
      <c r="D49" s="77" t="n"/>
      <c r="E49" s="26" t="n"/>
      <c r="F49" s="26" t="n"/>
      <c r="G49" s="78" t="n"/>
      <c r="H49" s="20" t="n"/>
      <c r="I49" s="20" t="n"/>
    </row>
    <row r="50" ht="15.6" customHeight="1">
      <c r="B50" s="66" t="inlineStr">
        <is>
          <t>Система скидок в сетях фитнес центров, БЦ и ТРЦ:</t>
        </is>
      </c>
      <c r="C50" s="36" t="n"/>
      <c r="D50" s="77" t="n"/>
      <c r="E50" s="26" t="n"/>
      <c r="F50" s="26" t="n"/>
      <c r="G50" s="78" t="n"/>
      <c r="H50" s="20" t="n"/>
      <c r="I50" s="20" t="n"/>
    </row>
    <row r="51" ht="20.4" customHeight="1">
      <c r="B51" s="65" t="inlineStr">
        <is>
          <t>% выборки от общего кол-ва экранов в регионе</t>
        </is>
      </c>
      <c r="C51" s="65" t="inlineStr">
        <is>
          <t>Скидка за кол-во экранов</t>
        </is>
      </c>
      <c r="D51" s="77" t="n"/>
      <c r="E51" s="26" t="n"/>
      <c r="F51" s="26" t="n"/>
      <c r="G51" s="78" t="n"/>
      <c r="H51" s="20" t="n"/>
      <c r="I51" s="20" t="n"/>
    </row>
    <row r="52" ht="15.6" customHeight="1">
      <c r="B52" s="67" t="n">
        <v>1</v>
      </c>
      <c r="C52" s="68" t="n">
        <v>0.2</v>
      </c>
      <c r="D52" s="77" t="n"/>
      <c r="E52" s="26" t="n"/>
      <c r="F52" s="26" t="n"/>
      <c r="G52" s="78" t="n"/>
      <c r="H52" s="20" t="n"/>
      <c r="I52" s="20" t="n"/>
    </row>
    <row r="53" ht="15.6" customHeight="1">
      <c r="B53" s="70" t="n">
        <v>0.7</v>
      </c>
      <c r="C53" s="71" t="n">
        <v>0.15</v>
      </c>
      <c r="D53" s="77" t="n"/>
      <c r="E53" s="26" t="n"/>
      <c r="F53" s="26" t="n"/>
      <c r="G53" s="78" t="n"/>
      <c r="H53" s="20" t="n"/>
      <c r="I53" s="20" t="n"/>
    </row>
    <row r="54" ht="15.6" customHeight="1">
      <c r="B54" s="67" t="n">
        <v>0.5</v>
      </c>
      <c r="C54" s="68" t="n">
        <v>0.1</v>
      </c>
      <c r="D54" s="21" t="n"/>
      <c r="G54" s="22" t="n"/>
      <c r="H54" s="20" t="n"/>
      <c r="I54" s="20" t="n"/>
    </row>
    <row r="55" ht="15.6" customHeight="1">
      <c r="B55" s="70" t="n">
        <v>0.25</v>
      </c>
      <c r="C55" s="71" t="n">
        <v>0.05</v>
      </c>
      <c r="D55" s="21" t="n"/>
      <c r="G55" s="22" t="n"/>
      <c r="H55" s="20" t="n"/>
      <c r="I55" s="20" t="n"/>
    </row>
    <row r="56" ht="30" customHeight="1" thickBot="1">
      <c r="B56" s="79" t="inlineStr">
        <is>
          <t>Дополнительные условия на размещение:</t>
        </is>
      </c>
      <c r="C56" s="43" t="n"/>
      <c r="D56" s="43" t="n"/>
      <c r="E56" s="7" t="n"/>
    </row>
    <row r="57" ht="30" customHeight="1">
      <c r="B57" s="1013" t="inlineStr">
        <is>
          <t>Минимальная продолжительность ролика в блоке</t>
        </is>
      </c>
      <c r="C57" s="854" t="n"/>
      <c r="D57" s="80" t="inlineStr">
        <is>
          <t>10 сек</t>
        </is>
      </c>
      <c r="E57" s="7" t="n"/>
    </row>
    <row r="58" ht="30" customHeight="1">
      <c r="B58" s="1014" t="inlineStr">
        <is>
          <t>Минимальный период размещения ролика на 1 экране (более 25 экранов)</t>
        </is>
      </c>
      <c r="C58" s="855" t="n"/>
      <c r="D58" s="81" t="inlineStr">
        <is>
          <t>неделя</t>
        </is>
      </c>
      <c r="E58" s="7" t="n"/>
    </row>
    <row r="59">
      <c r="B59" s="1014" t="inlineStr">
        <is>
          <t>Минимальное кол-во экранов для трансляции (30 дней)</t>
        </is>
      </c>
      <c r="C59" s="855" t="n"/>
      <c r="D59" s="81" t="inlineStr">
        <is>
          <t>10 экранов</t>
        </is>
      </c>
      <c r="E59" s="7" t="n"/>
    </row>
    <row r="60">
      <c r="B60" s="1014" t="inlineStr">
        <is>
          <t>Адаптация рекламного контента для трансляции</t>
        </is>
      </c>
      <c r="C60" s="855" t="n"/>
      <c r="D60" s="1015" t="n">
        <v>11000</v>
      </c>
      <c r="E60" s="7" t="n"/>
    </row>
    <row r="61">
      <c r="B61" s="1014" t="inlineStr">
        <is>
          <t>Возможность изменения рекламного контента</t>
        </is>
      </c>
      <c r="C61" s="855" t="n"/>
      <c r="D61" s="81" t="inlineStr">
        <is>
          <t>1 раз в неделю</t>
        </is>
      </c>
      <c r="E61" s="7" t="n"/>
    </row>
    <row r="62" ht="27" customHeight="1" thickBot="1">
      <c r="B62" s="1016" t="inlineStr">
        <is>
          <t>Геолокация (размещение в ролике информации о ближайшем адресе клиента) стоимость за 1 адрес</t>
        </is>
      </c>
      <c r="C62" s="991" t="n"/>
      <c r="D62" s="1017" t="n">
        <v>1000</v>
      </c>
      <c r="E62" s="7" t="n"/>
    </row>
    <row r="63" ht="27" customHeight="1">
      <c r="B63" s="152" t="n"/>
      <c r="C63" s="152" t="n"/>
      <c r="D63" s="1018" t="n"/>
      <c r="E63" s="7" t="n"/>
    </row>
    <row r="64">
      <c r="B64" s="63" t="inlineStr">
        <is>
          <t>Скидка за региональный охват сети Газпромнефть:</t>
        </is>
      </c>
    </row>
    <row r="65">
      <c r="B65" s="65" t="inlineStr">
        <is>
          <t>Кол. Регионов</t>
        </is>
      </c>
      <c r="C65" s="65" t="inlineStr">
        <is>
          <t>скидка</t>
        </is>
      </c>
    </row>
    <row r="66">
      <c r="B66" s="69" t="n">
        <v>1</v>
      </c>
      <c r="C66" s="154" t="n">
        <v>0</v>
      </c>
    </row>
    <row r="67">
      <c r="B67" s="69" t="n">
        <v>2</v>
      </c>
      <c r="C67" s="1019" t="n">
        <v>0.005</v>
      </c>
    </row>
    <row r="68">
      <c r="B68" s="69" t="n">
        <v>3</v>
      </c>
      <c r="C68" s="154" t="n">
        <v>0.01</v>
      </c>
    </row>
    <row r="69">
      <c r="B69" s="69" t="n">
        <v>4</v>
      </c>
      <c r="C69" s="1019" t="n">
        <v>0.015</v>
      </c>
    </row>
    <row r="70">
      <c r="B70" s="69" t="n">
        <v>5</v>
      </c>
      <c r="C70" s="154" t="n">
        <v>0.02</v>
      </c>
    </row>
    <row r="71">
      <c r="B71" s="69" t="n">
        <v>6</v>
      </c>
      <c r="C71" s="1019" t="n">
        <v>0.025</v>
      </c>
    </row>
    <row r="72">
      <c r="B72" s="69" t="n">
        <v>7</v>
      </c>
      <c r="C72" s="154" t="n">
        <v>0.05</v>
      </c>
    </row>
    <row r="73">
      <c r="B73" s="69" t="n">
        <v>8</v>
      </c>
      <c r="C73" s="154" t="n">
        <v>0.06</v>
      </c>
    </row>
    <row r="74">
      <c r="B74" s="69" t="n">
        <v>9</v>
      </c>
      <c r="C74" s="154" t="n">
        <v>0.07000000000000001</v>
      </c>
    </row>
    <row r="75">
      <c r="B75" s="69" t="n">
        <v>10</v>
      </c>
      <c r="C75" s="154" t="n">
        <v>0.08</v>
      </c>
    </row>
    <row r="76">
      <c r="B76" s="69" t="n">
        <v>11</v>
      </c>
      <c r="C76" s="154" t="n">
        <v>0.09</v>
      </c>
    </row>
    <row r="77">
      <c r="B77" s="69" t="n">
        <v>12</v>
      </c>
      <c r="C77" s="154" t="n">
        <v>0.1</v>
      </c>
    </row>
    <row r="78">
      <c r="B78" s="69" t="n">
        <v>13</v>
      </c>
      <c r="C78" s="154" t="n">
        <v>0.1</v>
      </c>
    </row>
    <row r="79">
      <c r="B79" s="827" t="inlineStr">
        <is>
          <t>Скидка определяется на основании количества регионов участвующих в РК перечисленных Таблице №1. Скидка применяется при выборке экранов в регионе 30% и более</t>
        </is>
      </c>
      <c r="C79" s="964" t="n"/>
    </row>
    <row r="80">
      <c r="B80" s="1020" t="n"/>
      <c r="C80" s="1021" t="n"/>
    </row>
    <row r="81">
      <c r="B81" s="1020" t="n"/>
      <c r="C81" s="1021" t="n"/>
    </row>
    <row r="82">
      <c r="B82" s="965" t="n"/>
      <c r="C82" s="967" t="n"/>
    </row>
    <row r="83">
      <c r="B83" s="316" t="n"/>
      <c r="C83" s="316" t="n"/>
    </row>
    <row r="84">
      <c r="B84" s="64" t="inlineStr">
        <is>
          <t>Базовая стоимость размещения видеорекламы на экранах сети Metro C&amp;C</t>
        </is>
      </c>
      <c r="C84" s="316" t="n"/>
    </row>
    <row r="86" ht="42" customHeight="1">
      <c r="B86" s="834" t="inlineStr">
        <is>
          <t>Параметры размещения / площадка где размещены экраны</t>
        </is>
      </c>
      <c r="C86" s="856" t="n"/>
      <c r="D86" s="65" t="inlineStr">
        <is>
          <t>Посетителей 60 000 +</t>
        </is>
      </c>
      <c r="E86" s="65" t="inlineStr">
        <is>
          <t xml:space="preserve">Посетителей 60000-45000 </t>
        </is>
      </c>
      <c r="F86" s="65" t="inlineStr">
        <is>
          <t xml:space="preserve">Посетителей 45000-30000 </t>
        </is>
      </c>
      <c r="G86" s="65" t="inlineStr">
        <is>
          <t>Посетителей &lt; 30000</t>
        </is>
      </c>
    </row>
    <row r="87" ht="40.5" customHeight="1">
      <c r="B87" s="825" t="inlineStr">
        <is>
          <t>Базовая стоимость размещения 10 секундного ролика на 1 ТЦ(максимальная продолжительность блока 3 минуты, кол-во повторов блока в сутки 340)*</t>
        </is>
      </c>
      <c r="C87" s="856" t="n"/>
      <c r="D87" s="1011" t="n">
        <v>2666.666666666667</v>
      </c>
      <c r="E87" s="1011" t="n">
        <v>1866.666666666667</v>
      </c>
      <c r="F87" s="1011" t="n">
        <v>1333.333333333333</v>
      </c>
      <c r="G87" s="1011" t="n">
        <v>800</v>
      </c>
    </row>
    <row r="88" ht="43.5" customHeight="1">
      <c r="B88" s="825" t="inlineStr">
        <is>
          <t>Базовая стоимость размещения 15 секундного ролика на 1 ТЦ(максимальная продолжительность блока 3 минуты, кол-во повторов блока в сутки 340)*</t>
        </is>
      </c>
      <c r="C88" s="856" t="n"/>
      <c r="D88" s="1011" t="n">
        <v>4000</v>
      </c>
      <c r="E88" s="1011" t="n">
        <v>2800</v>
      </c>
      <c r="F88" s="1011" t="n">
        <v>2000</v>
      </c>
      <c r="G88" s="1011" t="n">
        <v>1200</v>
      </c>
    </row>
    <row r="89">
      <c r="B89" s="36" t="inlineStr">
        <is>
          <t>* - стоимость без учёта НДС 20 %</t>
        </is>
      </c>
      <c r="C89" s="36" t="n"/>
      <c r="D89" s="36" t="n"/>
      <c r="E89" s="36" t="n"/>
      <c r="F89" s="36" t="n"/>
      <c r="G89" s="36" t="n"/>
    </row>
    <row r="90">
      <c r="B90" s="18" t="n"/>
      <c r="C90" s="18" t="n"/>
      <c r="D90" s="18" t="n"/>
      <c r="E90" s="18" t="n"/>
      <c r="F90" s="15" t="n"/>
    </row>
    <row r="91">
      <c r="B91" s="66" t="inlineStr">
        <is>
          <t>Скидка за объем в сети Metro C&amp;C:</t>
        </is>
      </c>
      <c r="C91" s="36" t="n"/>
      <c r="D91" s="36" t="n"/>
      <c r="E91" s="36" t="n"/>
      <c r="F91" s="36" t="n"/>
    </row>
    <row r="92">
      <c r="B92" s="65" t="inlineStr">
        <is>
          <t>% выборки от общего кол-ва</t>
        </is>
      </c>
      <c r="C92" s="65" t="inlineStr">
        <is>
          <t>Скидка за кол-во тц</t>
        </is>
      </c>
    </row>
    <row r="93">
      <c r="B93" s="67" t="n">
        <v>1</v>
      </c>
      <c r="C93" s="68" t="n">
        <v>0.2</v>
      </c>
    </row>
    <row r="94">
      <c r="B94" s="70" t="n">
        <v>0.7</v>
      </c>
      <c r="C94" s="71" t="n">
        <v>0.15</v>
      </c>
    </row>
    <row r="95">
      <c r="B95" s="67" t="n">
        <v>0.5</v>
      </c>
      <c r="C95" s="68" t="n">
        <v>0.1</v>
      </c>
    </row>
    <row r="96">
      <c r="B96" s="70" t="n">
        <v>0.25</v>
      </c>
      <c r="C96" s="71" t="n">
        <v>0.05</v>
      </c>
    </row>
    <row r="97">
      <c r="B97" s="75" t="n"/>
      <c r="C97" s="76" t="n"/>
      <c r="D97" s="77" t="n"/>
      <c r="E97" s="26" t="n"/>
      <c r="F97" s="26" t="n"/>
    </row>
    <row r="98" ht="15" customHeight="1" thickBot="1">
      <c r="B98" s="63" t="inlineStr">
        <is>
          <t>Скидка за период размещения:</t>
        </is>
      </c>
      <c r="C98" s="26" t="n"/>
      <c r="D98" s="21" t="n"/>
    </row>
    <row r="99">
      <c r="B99" s="312" t="inlineStr">
        <is>
          <t>от 40-69 дней</t>
        </is>
      </c>
      <c r="C99" s="313" t="n">
        <v>0.05</v>
      </c>
      <c r="D99" s="21" t="n"/>
    </row>
    <row r="100">
      <c r="B100" s="314" t="inlineStr">
        <is>
          <t>от 70 дней</t>
        </is>
      </c>
      <c r="C100" s="315" t="n">
        <v>0.1</v>
      </c>
      <c r="D100" s="21" t="n"/>
    </row>
  </sheetData>
  <mergeCells count="19">
    <mergeCell ref="B62:C62"/>
    <mergeCell ref="B16:C16"/>
    <mergeCell ref="B25:C25"/>
    <mergeCell ref="B59:C59"/>
    <mergeCell ref="B18:C18"/>
    <mergeCell ref="B58:C58"/>
    <mergeCell ref="B86:C86"/>
    <mergeCell ref="B11:C11"/>
    <mergeCell ref="B23:C23"/>
    <mergeCell ref="B61:C61"/>
    <mergeCell ref="B60:C60"/>
    <mergeCell ref="B17:C17"/>
    <mergeCell ref="B88:C88"/>
    <mergeCell ref="B57:C57"/>
    <mergeCell ref="B79:C82"/>
    <mergeCell ref="B87:C87"/>
    <mergeCell ref="B10:C10"/>
    <mergeCell ref="B9:C9"/>
    <mergeCell ref="B24:C24"/>
  </mergeCells>
  <pageMargins left="0.75" right="0.75" top="1" bottom="1" header="0.5" footer="0.5"/>
  <pageSetup orientation="portrait" paperSize="9" horizontalDpi="4294967292" verticalDpi="4294967292"/>
</worksheet>
</file>

<file path=xl/worksheets/sheet13.xml><?xml version="1.0" encoding="utf-8"?>
<worksheet xmlns="http://schemas.openxmlformats.org/spreadsheetml/2006/main">
  <sheetPr codeName="Лист6">
    <outlinePr summaryBelow="1" summaryRight="1"/>
    <pageSetUpPr/>
  </sheetPr>
  <dimension ref="A1:L62"/>
  <sheetViews>
    <sheetView showGridLines="0" zoomScaleNormal="100" workbookViewId="0">
      <selection activeCell="A1" sqref="A1:L1"/>
    </sheetView>
  </sheetViews>
  <sheetFormatPr baseColWidth="8" defaultColWidth="11.44140625" defaultRowHeight="14.4"/>
  <sheetData>
    <row r="1" ht="18" customHeight="1">
      <c r="A1" s="837" t="inlineStr">
        <is>
          <t>Технические требования для контента, размещаемого на цифровых экранах Logic</t>
        </is>
      </c>
    </row>
    <row r="2">
      <c r="A2" s="507" t="n"/>
      <c r="B2" s="508" t="n"/>
      <c r="C2" s="508" t="n"/>
      <c r="D2" s="508" t="n"/>
      <c r="E2" s="508" t="n"/>
      <c r="F2" s="508" t="n"/>
      <c r="G2" s="508" t="n"/>
      <c r="H2" s="508" t="n"/>
      <c r="I2" s="508" t="n"/>
      <c r="J2" s="508" t="n"/>
      <c r="K2" s="508" t="n"/>
      <c r="L2" s="508" t="n"/>
    </row>
    <row r="3">
      <c r="A3" s="507" t="inlineStr">
        <is>
          <t>Для АЗС Роснефть (ТНК), ЕКА, ПТК, Нефтьмагистраль, Башнефть, ТАИФ, Эксон Ойл, а также для супермаркетов Азбука вкуса, Metro C&amp;C, фитнес клубов и бизнес центров требуется вертикальная ориентация контента (ВЕРТИКАЛЬНЫЕ ЭКРАНЫ)</t>
        </is>
      </c>
      <c r="B3" s="508" t="n"/>
      <c r="C3" s="508" t="n"/>
      <c r="D3" s="508" t="n"/>
      <c r="E3" s="508" t="n"/>
      <c r="F3" s="508" t="n"/>
      <c r="G3" s="508" t="n"/>
      <c r="H3" s="508" t="n"/>
      <c r="I3" s="508" t="n"/>
      <c r="J3" s="508" t="n"/>
      <c r="K3" s="508" t="n"/>
      <c r="L3" s="508" t="n"/>
    </row>
    <row r="4">
      <c r="A4" s="509" t="inlineStr">
        <is>
          <t>Статичные изображения:</t>
        </is>
      </c>
      <c r="B4" s="508" t="n"/>
      <c r="C4" s="508" t="n"/>
      <c r="D4" s="508" t="n"/>
      <c r="E4" s="508" t="n"/>
      <c r="F4" s="508" t="n"/>
      <c r="G4" s="508" t="n"/>
      <c r="H4" s="508" t="n"/>
      <c r="I4" s="508" t="n"/>
      <c r="J4" s="508" t="n"/>
      <c r="K4" s="508" t="n"/>
      <c r="L4" s="508" t="n"/>
    </row>
    <row r="5" ht="15.6" customHeight="1">
      <c r="A5" s="510" t="inlineStr">
        <is>
          <t>·       Разрешение для вертикальных экранов, пикселей: 1080 (горизонталь) х 1920 (вертикаль)</t>
        </is>
      </c>
      <c r="B5" s="508" t="n"/>
      <c r="C5" s="508" t="n"/>
      <c r="D5" s="508" t="n"/>
      <c r="E5" s="508" t="n"/>
      <c r="F5" s="508" t="n"/>
      <c r="G5" s="508" t="n"/>
      <c r="H5" s="508" t="n"/>
      <c r="I5" s="508" t="n"/>
      <c r="J5" s="508" t="n"/>
      <c r="K5" s="508" t="n"/>
      <c r="L5" s="508" t="n"/>
    </row>
    <row r="6" ht="15.6" customHeight="1">
      <c r="A6" s="510" t="inlineStr">
        <is>
          <t>·       Формат: только JPEG</t>
        </is>
      </c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</row>
    <row r="7" ht="15.6" customHeight="1">
      <c r="A7" s="510" t="inlineStr">
        <is>
          <t>·       Точек на дюйм: 72 DPI</t>
        </is>
      </c>
      <c r="B7" s="50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</row>
    <row r="8" ht="15.6" customHeight="1">
      <c r="A8" s="510" t="inlineStr">
        <is>
          <t>·       Цветовая схема: RGB</t>
        </is>
      </c>
      <c r="B8" s="508" t="n"/>
      <c r="C8" s="508" t="n"/>
      <c r="D8" s="508" t="n"/>
      <c r="E8" s="508" t="n"/>
      <c r="F8" s="508" t="n"/>
      <c r="G8" s="508" t="n"/>
      <c r="H8" s="508" t="n"/>
      <c r="I8" s="508" t="n"/>
      <c r="J8" s="508" t="n"/>
      <c r="K8" s="508" t="n"/>
      <c r="L8" s="508" t="n"/>
    </row>
    <row r="9">
      <c r="A9" s="509" t="inlineStr">
        <is>
          <t>Видео</t>
        </is>
      </c>
      <c r="B9" s="508" t="n"/>
      <c r="C9" s="508" t="n"/>
      <c r="D9" s="508" t="n"/>
      <c r="E9" s="508" t="n"/>
      <c r="F9" s="508" t="n"/>
      <c r="G9" s="508" t="n"/>
      <c r="H9" s="508" t="n"/>
      <c r="I9" s="508" t="n"/>
      <c r="J9" s="508" t="n"/>
      <c r="K9" s="508" t="n"/>
      <c r="L9" s="508" t="n"/>
    </row>
    <row r="10" ht="15.6" customHeight="1">
      <c r="A10" s="510" t="inlineStr">
        <is>
          <t xml:space="preserve">·       Соотношение сторон: 9:16 (для вертикальных экранов) </t>
        </is>
      </c>
      <c r="B10" s="508" t="n"/>
      <c r="C10" s="508" t="n"/>
      <c r="D10" s="508" t="n"/>
      <c r="E10" s="508" t="n"/>
      <c r="F10" s="508" t="n"/>
      <c r="G10" s="508" t="n"/>
      <c r="H10" s="508" t="n"/>
      <c r="I10" s="508" t="n"/>
      <c r="J10" s="508" t="n"/>
      <c r="K10" s="508" t="n"/>
      <c r="L10" s="508" t="n"/>
    </row>
    <row r="11" ht="15.6" customHeight="1">
      <c r="A11" s="510" t="inlineStr">
        <is>
          <t>·       Разрешение для вертикальных экранов, пикселей: 1080 (горизонталь) х 1920 (вертикаль)</t>
        </is>
      </c>
      <c r="B11" s="508" t="n"/>
      <c r="C11" s="508" t="n"/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</row>
    <row r="12" ht="15.6" customHeight="1">
      <c r="A12" s="510" t="inlineStr">
        <is>
          <t>·       Формат: MP4</t>
        </is>
      </c>
      <c r="B12" s="508" t="n"/>
      <c r="C12" s="508" t="n"/>
      <c r="D12" s="508" t="n"/>
      <c r="E12" s="508" t="n"/>
      <c r="F12" s="508" t="n"/>
      <c r="G12" s="508" t="n"/>
      <c r="H12" s="508" t="n"/>
      <c r="I12" s="508" t="n"/>
      <c r="J12" s="508" t="n"/>
      <c r="K12" s="508" t="n"/>
      <c r="L12" s="508" t="n"/>
    </row>
    <row r="13" ht="15.6" customHeight="1">
      <c r="A13" s="510" t="inlineStr">
        <is>
          <t>·       Кодек: H264</t>
        </is>
      </c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</row>
    <row r="14" ht="15.6" customHeight="1">
      <c r="A14" s="510" t="inlineStr">
        <is>
          <t>·       Количество кадров: 25 кадров в секунду</t>
        </is>
      </c>
      <c r="B14" s="508" t="n"/>
      <c r="C14" s="508" t="n"/>
      <c r="D14" s="508" t="n"/>
      <c r="E14" s="508" t="n"/>
      <c r="F14" s="508" t="n"/>
      <c r="G14" s="508" t="n"/>
      <c r="H14" s="508" t="n"/>
      <c r="I14" s="508" t="n"/>
      <c r="J14" s="508" t="n"/>
      <c r="K14" s="508" t="n"/>
      <c r="L14" s="508" t="n"/>
    </row>
    <row r="15" ht="15.6" customHeight="1">
      <c r="A15" s="510" t="inlineStr">
        <is>
          <t>·       Битрейт: не менее 3000 кбит в сек. но не более 5000 кбит в сек.</t>
        </is>
      </c>
      <c r="B15" s="508" t="n"/>
      <c r="C15" s="508" t="n"/>
      <c r="D15" s="508" t="n"/>
      <c r="E15" s="508" t="n"/>
      <c r="F15" s="508" t="n"/>
      <c r="G15" s="508" t="n"/>
      <c r="H15" s="508" t="n"/>
      <c r="I15" s="508" t="n"/>
      <c r="J15" s="508" t="n"/>
      <c r="K15" s="508" t="n"/>
      <c r="L15" s="508" t="n"/>
    </row>
    <row r="16" ht="15.6" customHeight="1">
      <c r="A16" s="510" t="inlineStr">
        <is>
          <t>·       Без звука</t>
        </is>
      </c>
      <c r="B16" s="508" t="n"/>
      <c r="C16" s="508" t="n"/>
      <c r="D16" s="508" t="n"/>
      <c r="E16" s="508" t="n"/>
      <c r="F16" s="508" t="n"/>
      <c r="G16" s="508" t="n"/>
      <c r="H16" s="508" t="n"/>
      <c r="I16" s="508" t="n"/>
      <c r="J16" s="508" t="n"/>
      <c r="K16" s="508" t="n"/>
      <c r="L16" s="508" t="n"/>
    </row>
    <row r="17" ht="15.6" customHeight="1">
      <c r="A17" s="510" t="n"/>
      <c r="B17" s="508" t="n"/>
      <c r="C17" s="508" t="n"/>
      <c r="D17" s="508" t="n"/>
      <c r="E17" s="508" t="n"/>
      <c r="F17" s="508" t="n"/>
      <c r="G17" s="508" t="n"/>
      <c r="H17" s="508" t="n"/>
      <c r="I17" s="508" t="n"/>
      <c r="J17" s="508" t="n"/>
      <c r="K17" s="508" t="n"/>
      <c r="L17" s="508" t="n"/>
    </row>
    <row r="18">
      <c r="A18" s="507" t="inlineStr">
        <is>
          <t>Для АЗС Газпромнефть, Neste, Татнефть, Эталон требуется горизонтальная ориентация контента (ГОРИЗОНТАЛЬНЫЕ ЭКРАНЫ)</t>
        </is>
      </c>
      <c r="B18" s="511" t="n"/>
      <c r="C18" s="508" t="n"/>
      <c r="D18" s="508" t="n"/>
      <c r="E18" s="508" t="n"/>
      <c r="F18" s="508" t="n"/>
      <c r="G18" s="508" t="n"/>
      <c r="H18" s="508" t="n"/>
      <c r="I18" s="508" t="n"/>
      <c r="J18" s="508" t="n"/>
      <c r="K18" s="508" t="n"/>
      <c r="L18" s="508" t="n"/>
    </row>
    <row r="19" ht="15.6" customHeight="1">
      <c r="A19" s="510" t="inlineStr">
        <is>
          <t>·       Соотношение сторон: 16:9</t>
        </is>
      </c>
      <c r="B19" s="511" t="n"/>
      <c r="C19" s="508" t="n"/>
      <c r="D19" s="508" t="n"/>
      <c r="E19" s="508" t="n"/>
      <c r="F19" s="508" t="n"/>
      <c r="G19" s="508" t="n"/>
      <c r="H19" s="508" t="n"/>
      <c r="I19" s="508" t="n"/>
      <c r="J19" s="508" t="n"/>
      <c r="K19" s="508" t="n"/>
      <c r="L19" s="508" t="n"/>
    </row>
    <row r="20" ht="15.6" customHeight="1">
      <c r="A20" s="510" t="inlineStr">
        <is>
          <t>·       Разрешение для горизонтальных экранов, пикселей: 1920 (горизонталь) х 1080 (вертикаль)</t>
        </is>
      </c>
      <c r="B20" s="511" t="n"/>
      <c r="C20" s="508" t="n"/>
      <c r="D20" s="508" t="n"/>
      <c r="E20" s="508" t="n"/>
      <c r="F20" s="508" t="n"/>
      <c r="G20" s="508" t="n"/>
      <c r="H20" s="508" t="n"/>
      <c r="I20" s="508" t="n"/>
      <c r="J20" s="508" t="n"/>
      <c r="K20" s="508" t="n"/>
      <c r="L20" s="508" t="n"/>
    </row>
    <row r="21" ht="15.6" customHeight="1">
      <c r="A21" s="510" t="inlineStr">
        <is>
          <t>·       Формат: AVI, MP4</t>
        </is>
      </c>
      <c r="B21" s="511" t="n"/>
      <c r="C21" s="508" t="n"/>
      <c r="D21" s="508" t="n"/>
      <c r="E21" s="508" t="n"/>
      <c r="F21" s="508" t="n"/>
      <c r="G21" s="508" t="n"/>
      <c r="H21" s="508" t="n"/>
      <c r="I21" s="508" t="n"/>
      <c r="J21" s="508" t="n"/>
      <c r="K21" s="508" t="n"/>
      <c r="L21" s="508" t="n"/>
    </row>
    <row r="22" ht="15.6" customHeight="1">
      <c r="A22" s="510" t="inlineStr">
        <is>
          <t>·       Кодек: Xvid, H264</t>
        </is>
      </c>
      <c r="B22" s="511" t="n"/>
      <c r="C22" s="508" t="n"/>
      <c r="D22" s="508" t="n"/>
      <c r="E22" s="508" t="n"/>
      <c r="F22" s="508" t="n"/>
      <c r="G22" s="508" t="n"/>
      <c r="H22" s="508" t="n"/>
      <c r="I22" s="508" t="n"/>
      <c r="J22" s="508" t="n"/>
      <c r="K22" s="508" t="n"/>
      <c r="L22" s="508" t="n"/>
    </row>
    <row r="23" ht="15.6" customHeight="1">
      <c r="A23" s="510" t="inlineStr">
        <is>
          <t>·       Максимальный размер файла: 15 Мб</t>
        </is>
      </c>
      <c r="B23" s="511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</row>
    <row r="24" ht="15.6" customHeight="1">
      <c r="A24" s="510" t="inlineStr">
        <is>
          <t>·       Битрейт: 5000 kbps</t>
        </is>
      </c>
      <c r="B24" s="511" t="n"/>
      <c r="C24" s="508" t="n"/>
      <c r="D24" s="508" t="n"/>
      <c r="E24" s="508" t="n"/>
      <c r="F24" s="508" t="n"/>
      <c r="G24" s="508" t="n"/>
      <c r="H24" s="508" t="n"/>
      <c r="I24" s="508" t="n"/>
      <c r="J24" s="508" t="n"/>
      <c r="K24" s="508" t="n"/>
      <c r="L24" s="508" t="n"/>
    </row>
    <row r="25" ht="15.6" customHeight="1">
      <c r="A25" s="510" t="inlineStr">
        <is>
          <t>·       Без звука</t>
        </is>
      </c>
      <c r="B25" s="511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</row>
    <row r="26" ht="15.6" customHeight="1">
      <c r="A26" s="510" t="n"/>
      <c r="B26" s="511" t="n"/>
      <c r="C26" s="508" t="n"/>
      <c r="D26" s="508" t="n"/>
      <c r="E26" s="508" t="n"/>
      <c r="F26" s="508" t="n"/>
      <c r="G26" s="508" t="n"/>
      <c r="H26" s="508" t="n"/>
      <c r="I26" s="508" t="n"/>
      <c r="J26" s="508" t="n"/>
      <c r="K26" s="508" t="n"/>
      <c r="L26" s="508" t="n"/>
    </row>
    <row r="27">
      <c r="A27" s="507" t="inlineStr">
        <is>
          <t>Для АЗС Газпромнефть при размещении одного креатива на ряд видео экранов:</t>
        </is>
      </c>
      <c r="B27" s="511" t="n"/>
      <c r="C27" s="508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</row>
    <row r="28">
      <c r="A28" s="512" t="inlineStr">
        <is>
          <t>·      2 экрана 3840х1080</t>
        </is>
      </c>
      <c r="B28" s="511" t="n"/>
      <c r="C28" s="508" t="n"/>
      <c r="D28" s="508" t="n"/>
      <c r="E28" s="508" t="n"/>
      <c r="F28" s="508" t="n"/>
      <c r="G28" s="508" t="n"/>
      <c r="H28" s="508" t="n"/>
      <c r="I28" s="508" t="n"/>
      <c r="J28" s="508" t="n"/>
      <c r="K28" s="508" t="n"/>
      <c r="L28" s="508" t="n"/>
    </row>
    <row r="29">
      <c r="A29" s="512" t="inlineStr">
        <is>
          <t>·      3 экрана 5760х1080</t>
        </is>
      </c>
      <c r="B29" s="508" t="n"/>
      <c r="C29" s="508" t="n"/>
      <c r="D29" s="508" t="n"/>
      <c r="E29" s="508" t="n"/>
      <c r="F29" s="508" t="n"/>
      <c r="G29" s="508" t="n"/>
      <c r="H29" s="508" t="n"/>
      <c r="I29" s="508" t="n"/>
      <c r="J29" s="508" t="n"/>
      <c r="K29" s="508" t="n"/>
      <c r="L29" s="508" t="n"/>
    </row>
    <row r="30">
      <c r="A30" s="512" t="inlineStr">
        <is>
          <t>·      4 экрана 7680х1080</t>
        </is>
      </c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</row>
    <row r="31">
      <c r="A31" s="512" t="inlineStr">
        <is>
          <t>·      5 экранов 9600х1080</t>
        </is>
      </c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</row>
    <row r="32">
      <c r="A32" s="512" t="inlineStr">
        <is>
          <t>·      6 экранов 11520х1080</t>
        </is>
      </c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</row>
    <row r="33">
      <c r="A33" s="513" t="inlineStr">
        <is>
          <t xml:space="preserve">·     Максимальный размер 50 МБ </t>
        </is>
      </c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</row>
    <row r="34">
      <c r="A34" s="513" t="inlineStr">
        <is>
          <t>·     Соотношение сторон: 16:9</t>
        </is>
      </c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</row>
    <row r="35">
      <c r="A35" s="513" t="inlineStr">
        <is>
          <t>·     Формат файла *.mp4</t>
        </is>
      </c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</row>
    <row r="36">
      <c r="A36" s="513" t="inlineStr">
        <is>
          <t>·     Кодек h264</t>
        </is>
      </c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</row>
    <row r="37">
      <c r="A37" s="513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</row>
    <row r="38">
      <c r="A38" s="507" t="inlineStr">
        <is>
          <t>Для ТРЦ Афимолл требуется горизонтальная ориентация контента (ГОРИЗОНТАЛЬНЫЕ ЭКРАНЫ)</t>
        </is>
      </c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</row>
    <row r="39">
      <c r="A39" s="509" t="inlineStr">
        <is>
          <t>Видеостены в атриумах:</t>
        </is>
      </c>
      <c r="B39" s="514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</row>
    <row r="40">
      <c r="A40" s="515" t="inlineStr">
        <is>
          <t>·      Разрешение видео (в пикселях): 1920х1080</t>
        </is>
      </c>
      <c r="B40" s="516" t="n"/>
      <c r="C40" s="516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</row>
    <row r="41">
      <c r="A41" s="515" t="inlineStr">
        <is>
          <t>·      Кадровая частота, PAR: 30 кадров в секунду, квадратный пиксель</t>
        </is>
      </c>
      <c r="B41" s="517" t="n"/>
      <c r="C41" s="517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</row>
    <row r="42">
      <c r="A42" s="515" t="inlineStr">
        <is>
          <t>·      Формат и качество видео: MP4 (кодек h264), битрейт не более 10Mbps</t>
        </is>
      </c>
      <c r="B42" s="517" t="n"/>
      <c r="C42" s="517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</row>
    <row r="43">
      <c r="A43" s="515" t="inlineStr">
        <is>
          <t>·      Без звука</t>
        </is>
      </c>
      <c r="B43" s="517" t="n"/>
      <c r="C43" s="517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</row>
    <row r="44">
      <c r="A44" s="515" t="n"/>
      <c r="B44" s="517" t="n"/>
      <c r="C44" s="517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</row>
    <row r="45">
      <c r="A45" s="509" t="inlineStr">
        <is>
          <t>Входная группа, узкие экраны (8х40)</t>
        </is>
      </c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</row>
    <row r="46">
      <c r="A46" s="518" t="inlineStr">
        <is>
          <t>·      Разрешение видео (в пикселях): 4096×910</t>
        </is>
      </c>
      <c r="B46" s="519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</row>
    <row r="47">
      <c r="A47" s="518" t="inlineStr">
        <is>
          <t>·      Кадровая частота, PAR: 25 кадров в секунду, квадратные пиксели</t>
        </is>
      </c>
      <c r="B47" s="514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</row>
    <row r="48">
      <c r="A48" s="518" t="inlineStr">
        <is>
          <t>·      Формат и качество видео: MP4 h.264 6Mbps</t>
        </is>
      </c>
      <c r="B48" s="520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</row>
    <row r="49">
      <c r="A49" s="518" t="inlineStr">
        <is>
          <t>·      Без звука</t>
        </is>
      </c>
      <c r="B49" s="514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</row>
    <row r="50">
      <c r="A50" s="521" t="inlineStr">
        <is>
          <t xml:space="preserve">Обязательно проверьте, чтобы важные элементы не попадали на стыки видеопанелей. </t>
        </is>
      </c>
      <c r="B50" s="514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</row>
    <row r="51">
      <c r="A51" s="522" t="inlineStr">
        <is>
          <t xml:space="preserve">Сетка мониторов (скачать здесь) </t>
        </is>
      </c>
      <c r="B51" s="514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</row>
    <row r="52">
      <c r="A52" s="523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</row>
    <row r="53" ht="15.6" customHeight="1">
      <c r="A53" s="524" t="inlineStr">
        <is>
          <t>Юридический текст должен быть читабельным, не менее 20 px. Если юридического текста много, выводите его отдельным слайдом длительностью не менее 3 сек.</t>
        </is>
      </c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</row>
    <row r="54" ht="15.6" customHeight="1">
      <c r="A54" s="524" t="inlineStr">
        <is>
          <t>Не прижимайте текст слишком близко друг к другу, расстояние между строками должно быть таким, чтобы его было комфортно читать.</t>
        </is>
      </c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</row>
    <row r="55">
      <c r="A55" s="838" t="inlineStr">
        <is>
          <t xml:space="preserve">Примеры размещений на Youtube </t>
        </is>
      </c>
      <c r="F55" s="508" t="n"/>
      <c r="G55" s="508" t="n"/>
      <c r="H55" s="508" t="n"/>
      <c r="I55" s="508" t="n"/>
      <c r="J55" s="508" t="n"/>
      <c r="K55" s="508" t="n"/>
      <c r="L55" s="508" t="n"/>
    </row>
    <row r="56">
      <c r="A56" s="525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</row>
    <row r="57">
      <c r="A57" s="526" t="inlineStr">
        <is>
          <t>Условия предоставления фотоотчета:</t>
        </is>
      </c>
      <c r="B57" s="511" t="n"/>
      <c r="C57" s="511" t="n"/>
      <c r="D57" s="511" t="n"/>
      <c r="E57" s="511" t="n"/>
      <c r="F57" s="511" t="n"/>
      <c r="G57" s="511" t="n"/>
      <c r="H57" s="511" t="n"/>
      <c r="I57" s="511" t="n"/>
      <c r="J57" s="511" t="n"/>
      <c r="K57" s="511" t="n"/>
      <c r="L57" s="511" t="n"/>
    </row>
    <row r="58">
      <c r="A58" s="527" t="inlineStr">
        <is>
          <t>1) 100 %  фототчет предоставляется при условии трансляции ролика в течении 30 дней. В случае трансляции более 7 дней, но менее 30 дней ф/о предоставляется по не менее 30% площадок адресной программы.</t>
        </is>
      </c>
      <c r="B58" s="511" t="n"/>
      <c r="C58" s="511" t="n"/>
      <c r="D58" s="511" t="n"/>
      <c r="E58" s="511" t="n"/>
      <c r="F58" s="511" t="n"/>
      <c r="G58" s="511" t="n"/>
      <c r="H58" s="511" t="n"/>
      <c r="I58" s="511" t="n"/>
      <c r="J58" s="511" t="n"/>
      <c r="K58" s="511" t="n"/>
      <c r="L58" s="511" t="n"/>
    </row>
    <row r="59">
      <c r="A59" s="527" t="inlineStr">
        <is>
          <t>2) 100 % фотоотчет предосавляется 1 раз в течении 30 дней, внезависмости от смены контента за период. В случае смены контента в период выездного мониторинга, предоставляется смешанный ф/о (часть  фото с одним контентом, часть фото с другим контентом)</t>
        </is>
      </c>
      <c r="B59" s="511" t="n"/>
      <c r="C59" s="511" t="n"/>
      <c r="D59" s="511" t="n"/>
      <c r="E59" s="511" t="n"/>
      <c r="F59" s="511" t="n"/>
      <c r="G59" s="511" t="n"/>
      <c r="H59" s="511" t="n"/>
      <c r="I59" s="511" t="n"/>
      <c r="J59" s="511" t="n"/>
      <c r="K59" s="511" t="n"/>
      <c r="L59" s="511" t="n"/>
    </row>
    <row r="60">
      <c r="A60" s="527" t="inlineStr">
        <is>
          <t>3) В случае если старт трансляции в регионах не попадает в период выездного мониторинга на продолжается до 15-го числа следующего месяца, то ф/о предоставляется до 20-го числа следующего месяц</t>
        </is>
      </c>
      <c r="B60" s="511" t="n"/>
      <c r="C60" s="511" t="n"/>
      <c r="D60" s="511" t="n"/>
      <c r="E60" s="511" t="n"/>
      <c r="F60" s="511" t="n"/>
      <c r="G60" s="511" t="n"/>
      <c r="H60" s="511" t="n"/>
      <c r="I60" s="511" t="n"/>
      <c r="J60" s="511" t="n"/>
      <c r="K60" s="511" t="n"/>
      <c r="L60" s="511" t="n"/>
    </row>
    <row r="61">
      <c r="A61" s="527" t="inlineStr">
        <is>
          <t>4) В случае если клиенту необходимо получить в периоды когда выездной мониторинг не проводиться, то он может заказать в компании дополнительную услуг на выезд на 1 АЗС. Стоимость данной услуги 300 руб. вкл НДС за 1 адрес, не менее 5 АЗС в городе.</t>
        </is>
      </c>
      <c r="B61" s="511" t="n"/>
      <c r="C61" s="511" t="n"/>
      <c r="D61" s="511" t="n"/>
      <c r="E61" s="511" t="n"/>
      <c r="F61" s="511" t="n"/>
      <c r="G61" s="511" t="n"/>
      <c r="H61" s="511" t="n"/>
      <c r="I61" s="511" t="n"/>
      <c r="J61" s="511" t="n"/>
      <c r="K61" s="511" t="n"/>
      <c r="L61" s="511" t="n"/>
    </row>
    <row r="62">
      <c r="A62" s="527" t="inlineStr">
        <is>
          <t>5) В январе и мае, в связи с праздниками периоды выездного мониторинга сдвигаются на +5 календарных дней.</t>
        </is>
      </c>
      <c r="B62" s="511" t="n"/>
      <c r="C62" s="511" t="n"/>
      <c r="D62" s="511" t="n"/>
      <c r="E62" s="511" t="n"/>
      <c r="F62" s="511" t="n"/>
      <c r="G62" s="511" t="n"/>
      <c r="H62" s="511" t="n"/>
      <c r="I62" s="511" t="n"/>
      <c r="J62" s="511" t="n"/>
      <c r="K62" s="511" t="n"/>
      <c r="L62" s="511" t="n"/>
    </row>
  </sheetData>
  <mergeCells count="2">
    <mergeCell ref="A55:E55"/>
    <mergeCell ref="A1:L1"/>
  </mergeCells>
  <hyperlinks>
    <hyperlink xmlns:r="http://schemas.openxmlformats.org/officeDocument/2006/relationships" ref="A51" display="сетку мониторов (скачать здесь) " r:id="rId1"/>
    <hyperlink xmlns:r="http://schemas.openxmlformats.org/officeDocument/2006/relationships" ref="A55" display="Примеры размещений на Youtube " r:id="rId2"/>
  </hyperlinks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U42" sqref="U42"/>
    </sheetView>
  </sheetViews>
  <sheetFormatPr baseColWidth="8" defaultRowHeight="14.4"/>
  <sheetData>
    <row r="1" ht="23.4" customHeight="1">
      <c r="E1" s="839" t="inlineStr">
        <is>
          <t>Центральный атриум Афимолл</t>
        </is>
      </c>
    </row>
    <row r="2" ht="15" customHeight="1">
      <c r="E2" s="839" t="n"/>
      <c r="F2" s="839" t="n"/>
      <c r="G2" s="839" t="n"/>
      <c r="H2" s="839" t="n"/>
      <c r="I2" s="839" t="n"/>
      <c r="J2" s="839" t="n"/>
      <c r="K2" s="839" t="n"/>
      <c r="L2" s="839" t="n"/>
    </row>
    <row r="3" ht="15" customHeight="1">
      <c r="E3" s="839" t="n"/>
      <c r="F3" s="839" t="n"/>
      <c r="G3" s="839" t="n"/>
      <c r="H3" s="839" t="n"/>
      <c r="I3" s="839" t="n"/>
      <c r="J3" s="839" t="n"/>
      <c r="K3" s="839" t="n"/>
      <c r="L3" s="839" t="n"/>
    </row>
    <row r="4" ht="15" customHeight="1">
      <c r="E4" s="839" t="n"/>
      <c r="F4" s="839" t="n"/>
      <c r="G4" s="839" t="n"/>
      <c r="H4" s="839" t="n"/>
      <c r="I4" s="839" t="n"/>
      <c r="J4" s="839" t="n"/>
      <c r="K4" s="839" t="n"/>
      <c r="L4" s="839" t="n"/>
    </row>
    <row r="5" ht="15" customHeight="1">
      <c r="E5" s="839" t="n"/>
      <c r="F5" s="839" t="n"/>
      <c r="G5" s="839" t="n"/>
      <c r="H5" s="839" t="n"/>
      <c r="I5" s="839" t="n"/>
      <c r="J5" s="839" t="n"/>
      <c r="K5" s="839" t="n"/>
      <c r="L5" s="839" t="n"/>
    </row>
    <row r="6" ht="15" customHeight="1">
      <c r="E6" s="839" t="n"/>
      <c r="F6" s="839" t="n"/>
      <c r="G6" s="839" t="n"/>
      <c r="H6" s="839" t="n"/>
      <c r="I6" s="839" t="n"/>
      <c r="J6" s="839" t="n"/>
      <c r="K6" s="839" t="n"/>
      <c r="L6" s="839" t="n"/>
    </row>
    <row r="7" ht="15" customHeight="1">
      <c r="E7" s="839" t="n"/>
      <c r="F7" s="839" t="n"/>
      <c r="G7" s="839" t="n"/>
      <c r="H7" s="839" t="n"/>
      <c r="I7" s="839" t="n"/>
      <c r="J7" s="839" t="n"/>
      <c r="K7" s="839" t="n"/>
      <c r="L7" s="839" t="n"/>
    </row>
    <row r="8" ht="15" customHeight="1">
      <c r="E8" s="839" t="n"/>
      <c r="F8" s="839" t="n"/>
      <c r="G8" s="839" t="n"/>
      <c r="H8" s="839" t="n"/>
      <c r="I8" s="839" t="n"/>
      <c r="J8" s="839" t="n"/>
      <c r="K8" s="839" t="n"/>
      <c r="L8" s="839" t="n"/>
    </row>
    <row r="9" ht="15" customHeight="1">
      <c r="E9" s="839" t="n"/>
      <c r="F9" s="839" t="n"/>
      <c r="G9" s="839" t="n"/>
      <c r="H9" s="839" t="n"/>
      <c r="I9" s="839" t="n"/>
      <c r="J9" s="839" t="n"/>
      <c r="K9" s="839" t="n"/>
      <c r="L9" s="839" t="n"/>
    </row>
    <row r="10" ht="15" customHeight="1">
      <c r="E10" s="839" t="n"/>
      <c r="F10" s="839" t="n"/>
      <c r="G10" s="839" t="n"/>
      <c r="H10" s="839" t="n"/>
      <c r="I10" s="839" t="n"/>
      <c r="J10" s="839" t="n"/>
      <c r="K10" s="839" t="n"/>
      <c r="L10" s="839" t="n"/>
    </row>
    <row r="11" ht="15" customHeight="1">
      <c r="E11" s="839" t="n"/>
      <c r="F11" s="839" t="n"/>
      <c r="G11" s="839" t="n"/>
      <c r="H11" s="839" t="n"/>
      <c r="I11" s="839" t="n"/>
      <c r="J11" s="839" t="n"/>
      <c r="K11" s="839" t="n"/>
      <c r="L11" s="839" t="n"/>
    </row>
    <row r="12" ht="15" customHeight="1">
      <c r="E12" s="839" t="n"/>
      <c r="F12" s="839" t="n"/>
      <c r="G12" s="839" t="n"/>
      <c r="H12" s="839" t="n"/>
      <c r="I12" s="839" t="n"/>
      <c r="J12" s="839" t="n"/>
      <c r="K12" s="839" t="n"/>
      <c r="L12" s="839" t="n"/>
    </row>
    <row r="13" ht="15" customHeight="1">
      <c r="E13" s="839" t="n"/>
      <c r="F13" s="839" t="n"/>
      <c r="G13" s="839" t="n"/>
      <c r="H13" s="839" t="n"/>
      <c r="I13" s="839" t="n"/>
      <c r="J13" s="839" t="n"/>
      <c r="K13" s="839" t="n"/>
      <c r="L13" s="839" t="n"/>
    </row>
    <row r="14" ht="15" customHeight="1">
      <c r="E14" s="839" t="n"/>
      <c r="F14" s="839" t="n"/>
      <c r="G14" s="839" t="n"/>
      <c r="H14" s="839" t="n"/>
      <c r="I14" s="839" t="n"/>
      <c r="J14" s="839" t="n"/>
      <c r="K14" s="839" t="n"/>
      <c r="L14" s="839" t="n"/>
    </row>
    <row r="15" ht="15" customHeight="1">
      <c r="E15" s="839" t="n"/>
      <c r="F15" s="839" t="n"/>
      <c r="G15" s="839" t="n"/>
      <c r="H15" s="839" t="n"/>
      <c r="I15" s="839" t="n"/>
      <c r="J15" s="839" t="n"/>
      <c r="K15" s="839" t="n"/>
      <c r="L15" s="839" t="n"/>
    </row>
    <row r="16" ht="15" customHeight="1">
      <c r="E16" s="839" t="n"/>
      <c r="F16" s="839" t="n"/>
      <c r="G16" s="839" t="n"/>
      <c r="H16" s="839" t="n"/>
      <c r="I16" s="839" t="n"/>
      <c r="J16" s="839" t="n"/>
      <c r="K16" s="839" t="n"/>
      <c r="L16" s="839" t="n"/>
    </row>
    <row r="17" ht="15" customHeight="1">
      <c r="E17" s="839" t="n"/>
      <c r="F17" s="839" t="n"/>
      <c r="G17" s="839" t="n"/>
      <c r="H17" s="839" t="n"/>
      <c r="I17" s="839" t="n"/>
      <c r="J17" s="839" t="n"/>
      <c r="K17" s="839" t="n"/>
      <c r="L17" s="839" t="n"/>
    </row>
    <row r="18" ht="15" customHeight="1">
      <c r="E18" s="839" t="n"/>
      <c r="F18" s="839" t="n"/>
      <c r="G18" s="839" t="n"/>
      <c r="H18" s="839" t="n"/>
      <c r="I18" s="839" t="n"/>
      <c r="J18" s="839" t="n"/>
      <c r="K18" s="839" t="n"/>
      <c r="L18" s="839" t="n"/>
    </row>
    <row r="19" ht="15" customHeight="1">
      <c r="E19" s="839" t="n"/>
      <c r="F19" s="839" t="n"/>
      <c r="G19" s="839" t="n"/>
      <c r="H19" s="839" t="n"/>
      <c r="I19" s="839" t="n"/>
      <c r="J19" s="839" t="n"/>
      <c r="K19" s="839" t="n"/>
      <c r="L19" s="839" t="n"/>
    </row>
    <row r="21" ht="16.8" customHeight="1">
      <c r="A21" s="659" t="inlineStr">
        <is>
          <t>Разрешение одного стандартного фрагмента видеостены 6656 х 676 px.</t>
        </is>
      </c>
    </row>
    <row r="25" ht="16.8" customHeight="1">
      <c r="A25" s="660" t="inlineStr">
        <is>
          <t>* Первая цифра означает номер уровня видеостены,</t>
        </is>
      </c>
    </row>
    <row r="26" ht="16.8" customHeight="1">
      <c r="A26" s="660" t="inlineStr">
        <is>
          <t>вторая цифра – номер фрагмента в видеостене.</t>
        </is>
      </c>
    </row>
    <row r="29" ht="16.8" customHeight="1">
      <c r="A29" s="661" t="inlineStr">
        <is>
          <t>Последовательность фрагментов в видеостенах</t>
        </is>
      </c>
    </row>
    <row r="30" ht="16.8" customHeight="1">
      <c r="A30" s="660" t="inlineStr">
        <is>
          <t>Верхний экран содержит 8 фрагментов</t>
        </is>
      </c>
    </row>
    <row r="31" ht="16.8" customHeight="1">
      <c r="A31" s="660" t="inlineStr">
        <is>
          <t>(общее разрешение верхнего кольца 51584 х 676 px).</t>
        </is>
      </c>
    </row>
    <row r="34" ht="16.8" customHeight="1">
      <c r="A34" s="659" t="inlineStr">
        <is>
          <t>Нижний экран содержит также 8 фрагментов</t>
        </is>
      </c>
    </row>
    <row r="35" ht="16.8" customHeight="1">
      <c r="A35" s="659" t="inlineStr">
        <is>
          <t>(общее разрешение нижнего кольца 49088 х 676 px)</t>
        </is>
      </c>
    </row>
    <row r="40" ht="16.8" customHeight="1">
      <c r="A40" s="662" t="inlineStr">
        <is>
          <t xml:space="preserve">Для размещения требуется два отдельных видеофайла с контентом, по одному для каждого ряда экранов. </t>
        </is>
      </c>
    </row>
    <row r="41">
      <c r="A41" t="inlineStr">
        <is>
          <t>Видеоплеер автоматически раскладывает фрагменты видеоконтента и отображает их на нужных сегментах видеостены.</t>
        </is>
      </c>
    </row>
    <row r="64" ht="16.8" customHeight="1">
      <c r="A64" s="661" t="inlineStr">
        <is>
          <t>Технические требования:</t>
        </is>
      </c>
    </row>
    <row r="65" ht="16.8" customHeight="1">
      <c r="A65" s="660" t="inlineStr">
        <is>
          <t>Изображение в ролике должно быть без каше и видимых искажений.</t>
        </is>
      </c>
    </row>
    <row r="66" ht="16.8" customHeight="1">
      <c r="A66" s="660" t="inlineStr">
        <is>
          <t>Изображения: .jpg, .png в цветовой модели RGB.</t>
        </is>
      </c>
    </row>
    <row r="67" ht="16.8" customHeight="1">
      <c r="A67" s="660" t="inlineStr">
        <is>
          <t>Формат: .mp4 или .mkv, кодек h264, битрейт не более 6000 kbps. Без звука.</t>
        </is>
      </c>
    </row>
    <row r="68" ht="16.8" customHeight="1">
      <c r="A68" s="660" t="inlineStr">
        <is>
          <t>Частота кадров – 25 кадров в секунду. Развертка – прогрессивная (построчная).</t>
        </is>
      </c>
    </row>
    <row r="69" ht="16.8" customHeight="1">
      <c r="A69" s="660" t="inlineStr">
        <is>
          <t>Пропорции пикселя – квадратные пиксели.</t>
        </is>
      </c>
    </row>
    <row r="70" ht="16.8" customHeight="1">
      <c r="A70" s="660" t="inlineStr">
        <is>
          <t>Хронометраж ролика должен составлять целое количество секунд.</t>
        </is>
      </c>
    </row>
    <row r="107" ht="15" customHeight="1">
      <c r="A107" s="663" t="inlineStr">
        <is>
          <t>Не размещайте важную информацию на крайнем левом участке фрагмента 1-1</t>
        </is>
      </c>
    </row>
    <row r="108" ht="15" customHeight="1">
      <c r="A108" s="663" t="inlineStr">
        <is>
          <t>и крайнем правом участке фрагмента 1-7 (крайние 1,5 метра нижнего ряда экранов за эскалаторами с обеих сторон).</t>
        </is>
      </c>
    </row>
    <row r="110" ht="23.4" customHeight="1">
      <c r="D110" s="839" t="inlineStr">
        <is>
          <t>Входная группа и малый атриум</t>
        </is>
      </c>
    </row>
    <row r="111" ht="15" customHeight="1">
      <c r="D111" s="839" t="n"/>
      <c r="E111" s="839" t="n"/>
      <c r="F111" s="839" t="n"/>
      <c r="G111" s="839" t="n"/>
      <c r="H111" s="839" t="n"/>
      <c r="I111" s="839" t="n"/>
      <c r="J111" s="839" t="n"/>
      <c r="K111" s="839" t="n"/>
      <c r="L111" s="839" t="n"/>
      <c r="M111" s="839" t="n"/>
    </row>
    <row r="112" ht="15" customHeight="1">
      <c r="D112" s="839" t="n"/>
      <c r="E112" s="839" t="n"/>
      <c r="F112" s="839" t="n"/>
      <c r="G112" s="839" t="n"/>
      <c r="H112" s="839" t="n"/>
      <c r="I112" s="839" t="n"/>
      <c r="J112" s="839" t="n"/>
      <c r="K112" s="839" t="n"/>
      <c r="L112" s="839" t="n"/>
      <c r="M112" s="839" t="n"/>
    </row>
    <row r="113" ht="15" customHeight="1">
      <c r="D113" s="839" t="n"/>
      <c r="E113" s="839" t="n"/>
      <c r="F113" s="839" t="n"/>
      <c r="G113" s="839" t="n"/>
      <c r="H113" s="839" t="n"/>
      <c r="I113" s="839" t="n"/>
      <c r="J113" s="839" t="n"/>
      <c r="K113" s="839" t="n"/>
      <c r="L113" s="839" t="n"/>
      <c r="M113" s="839" t="n"/>
    </row>
    <row r="114" ht="15" customHeight="1">
      <c r="D114" s="839" t="n"/>
      <c r="E114" s="839" t="n"/>
      <c r="F114" s="839" t="n"/>
      <c r="G114" s="839" t="n"/>
      <c r="H114" s="839" t="n"/>
      <c r="I114" s="839" t="n"/>
      <c r="J114" s="839" t="n"/>
      <c r="K114" s="839" t="n"/>
      <c r="L114" s="839" t="n"/>
      <c r="M114" s="839" t="n"/>
    </row>
    <row r="115" ht="15" customHeight="1">
      <c r="D115" s="839" t="n"/>
      <c r="E115" s="839" t="n"/>
      <c r="F115" s="839" t="n"/>
      <c r="G115" s="839" t="n"/>
      <c r="H115" s="839" t="n"/>
      <c r="I115" s="839" t="n"/>
      <c r="J115" s="839" t="n"/>
      <c r="K115" s="839" t="n"/>
      <c r="L115" s="839" t="n"/>
      <c r="M115" s="839" t="n"/>
    </row>
    <row r="116" ht="15" customHeight="1">
      <c r="D116" s="839" t="n"/>
      <c r="E116" s="839" t="n"/>
      <c r="F116" s="839" t="n"/>
      <c r="G116" s="839" t="n"/>
      <c r="H116" s="839" t="n"/>
      <c r="I116" s="839" t="n"/>
      <c r="J116" s="839" t="n"/>
      <c r="K116" s="839" t="n"/>
      <c r="L116" s="839" t="n"/>
      <c r="M116" s="839" t="n"/>
    </row>
    <row r="117" ht="15" customHeight="1">
      <c r="D117" s="839" t="n"/>
      <c r="E117" s="839" t="n"/>
      <c r="F117" s="839" t="n"/>
      <c r="G117" s="839" t="n"/>
      <c r="H117" s="839" t="n"/>
      <c r="I117" s="839" t="n"/>
      <c r="J117" s="839" t="n"/>
      <c r="K117" s="839" t="n"/>
      <c r="L117" s="839" t="n"/>
      <c r="M117" s="839" t="n"/>
    </row>
    <row r="118" ht="15" customHeight="1">
      <c r="D118" s="839" t="n"/>
      <c r="E118" s="839" t="n"/>
      <c r="F118" s="839" t="n"/>
      <c r="G118" s="839" t="n"/>
      <c r="H118" s="839" t="n"/>
      <c r="I118" s="839" t="n"/>
      <c r="J118" s="839" t="n"/>
      <c r="K118" s="839" t="n"/>
      <c r="L118" s="839" t="n"/>
      <c r="M118" s="839" t="n"/>
    </row>
    <row r="119" ht="15" customHeight="1">
      <c r="D119" s="839" t="n"/>
      <c r="E119" s="839" t="n"/>
      <c r="F119" s="839" t="n"/>
      <c r="G119" s="839" t="n"/>
      <c r="H119" s="839" t="n"/>
      <c r="I119" s="839" t="n"/>
      <c r="J119" s="839" t="n"/>
      <c r="K119" s="839" t="n"/>
      <c r="L119" s="839" t="n"/>
      <c r="M119" s="839" t="n"/>
    </row>
    <row r="120" ht="15" customHeight="1">
      <c r="D120" s="839" t="n"/>
      <c r="E120" s="839" t="n"/>
      <c r="F120" s="839" t="n"/>
      <c r="G120" s="839" t="n"/>
      <c r="H120" s="839" t="n"/>
      <c r="I120" s="839" t="n"/>
      <c r="J120" s="839" t="n"/>
      <c r="K120" s="839" t="n"/>
      <c r="L120" s="839" t="n"/>
      <c r="M120" s="839" t="n"/>
    </row>
    <row r="121" ht="15" customHeight="1">
      <c r="D121" s="839" t="n"/>
      <c r="E121" s="839" t="n"/>
      <c r="F121" s="839" t="n"/>
      <c r="G121" s="839" t="n"/>
      <c r="H121" s="839" t="n"/>
      <c r="I121" s="839" t="n"/>
      <c r="J121" s="839" t="n"/>
      <c r="K121" s="839" t="n"/>
      <c r="L121" s="839" t="n"/>
      <c r="M121" s="839" t="n"/>
    </row>
    <row r="122" ht="15" customHeight="1">
      <c r="D122" s="839" t="n"/>
      <c r="E122" s="839" t="n"/>
      <c r="F122" s="839" t="n"/>
      <c r="G122" s="839" t="n"/>
      <c r="H122" s="839" t="n"/>
      <c r="I122" s="839" t="n"/>
      <c r="J122" s="839" t="n"/>
      <c r="K122" s="839" t="n"/>
      <c r="L122" s="839" t="n"/>
      <c r="M122" s="839" t="n"/>
    </row>
    <row r="123" ht="15" customHeight="1">
      <c r="D123" s="839" t="n"/>
      <c r="E123" s="839" t="n"/>
      <c r="F123" s="839" t="n"/>
      <c r="G123" s="839" t="n"/>
      <c r="H123" s="839" t="n"/>
      <c r="I123" s="839" t="n"/>
      <c r="J123" s="839" t="n"/>
      <c r="K123" s="839" t="n"/>
      <c r="L123" s="839" t="n"/>
      <c r="M123" s="839" t="n"/>
    </row>
    <row r="124" ht="15" customHeight="1">
      <c r="D124" s="839" t="n"/>
      <c r="E124" s="839" t="n"/>
      <c r="F124" s="839" t="n"/>
      <c r="G124" s="839" t="n"/>
      <c r="H124" s="839" t="n"/>
      <c r="I124" s="839" t="n"/>
      <c r="J124" s="839" t="n"/>
      <c r="K124" s="839" t="n"/>
      <c r="L124" s="839" t="n"/>
      <c r="M124" s="839" t="n"/>
    </row>
    <row r="125" ht="15" customHeight="1">
      <c r="D125" s="839" t="n"/>
      <c r="E125" s="839" t="n"/>
      <c r="F125" s="839" t="n"/>
      <c r="G125" s="839" t="n"/>
      <c r="H125" s="839" t="n"/>
      <c r="I125" s="839" t="n"/>
      <c r="J125" s="839" t="n"/>
      <c r="K125" s="839" t="n"/>
      <c r="L125" s="839" t="n"/>
      <c r="M125" s="839" t="n"/>
    </row>
    <row r="126" ht="15" customHeight="1">
      <c r="D126" s="839" t="n"/>
      <c r="E126" s="839" t="n"/>
      <c r="F126" s="839" t="n"/>
      <c r="G126" s="839" t="n"/>
      <c r="H126" s="839" t="n"/>
      <c r="I126" s="839" t="n"/>
      <c r="J126" s="839" t="n"/>
      <c r="K126" s="839" t="n"/>
      <c r="L126" s="839" t="n"/>
      <c r="M126" s="839" t="n"/>
    </row>
    <row r="127" ht="15" customHeight="1">
      <c r="D127" s="839" t="n"/>
      <c r="E127" s="839" t="n"/>
      <c r="F127" s="839" t="n"/>
      <c r="G127" s="839" t="n"/>
      <c r="H127" s="839" t="n"/>
      <c r="I127" s="839" t="n"/>
      <c r="J127" s="839" t="n"/>
      <c r="K127" s="839" t="n"/>
      <c r="L127" s="839" t="n"/>
      <c r="M127" s="839" t="n"/>
    </row>
    <row r="128">
      <c r="A128" s="509" t="inlineStr">
        <is>
          <t>Видеостена в малом атриуме</t>
        </is>
      </c>
    </row>
    <row r="129">
      <c r="A129" s="515" t="inlineStr">
        <is>
          <t>·      Разрешение видео (в пикселях): 1920х1080</t>
        </is>
      </c>
    </row>
    <row r="130">
      <c r="A130" s="515" t="inlineStr">
        <is>
          <t>·      Кадровая частота, PAR: 30 кадров в секунду, квадратный пиксель</t>
        </is>
      </c>
    </row>
    <row r="131">
      <c r="A131" s="515" t="inlineStr">
        <is>
          <t>·      Формат и качество видео: MP4 (кодек h264), битрейт не более 10Mbps</t>
        </is>
      </c>
    </row>
    <row r="132">
      <c r="A132" s="515" t="inlineStr">
        <is>
          <t>·      Без звука</t>
        </is>
      </c>
    </row>
    <row r="133">
      <c r="A133" s="515" t="n"/>
    </row>
    <row r="134">
      <c r="A134" s="509" t="inlineStr">
        <is>
          <t>Входная группа, узкие экраны</t>
        </is>
      </c>
    </row>
    <row r="135">
      <c r="A135" s="518" t="inlineStr">
        <is>
          <t>·      Разрешение видео (в пикселях): 4096×910</t>
        </is>
      </c>
    </row>
    <row r="136">
      <c r="A136" s="518" t="inlineStr">
        <is>
          <t>·      Кадровая частота, PAR: 25 кадров в секунду, квадратные пиксели</t>
        </is>
      </c>
    </row>
    <row r="137">
      <c r="A137" s="518" t="inlineStr">
        <is>
          <t>·      Формат и качество видео: MP4 h.264 6Mbps</t>
        </is>
      </c>
    </row>
    <row r="138">
      <c r="A138" s="518" t="inlineStr">
        <is>
          <t>·      Без звука</t>
        </is>
      </c>
    </row>
    <row r="139">
      <c r="A139" s="521" t="inlineStr">
        <is>
          <t xml:space="preserve">Обязательно проверьте, чтобы важные элементы не попадали на стыки видеопанелей. </t>
        </is>
      </c>
    </row>
  </sheetData>
  <mergeCells count="2">
    <mergeCell ref="E1:L1"/>
    <mergeCell ref="D110:M1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Лист13">
    <outlinePr summaryBelow="1" summaryRight="1"/>
    <pageSetUpPr/>
  </sheetPr>
  <dimension ref="B1:AP26"/>
  <sheetViews>
    <sheetView showGridLines="0" zoomScale="90" zoomScaleNormal="90" workbookViewId="0">
      <selection activeCell="G35" sqref="G35"/>
    </sheetView>
  </sheetViews>
  <sheetFormatPr baseColWidth="8" defaultColWidth="8.77734375" defaultRowHeight="10.2"/>
  <cols>
    <col width="6.5546875" customWidth="1" style="701" min="1" max="1"/>
    <col width="20.77734375" customWidth="1" style="701" min="2" max="2"/>
    <col width="23.77734375" customWidth="1" style="701" min="3" max="3"/>
    <col width="20.21875" customWidth="1" style="701" min="4" max="4"/>
    <col outlineLevel="1" width="20.21875" customWidth="1" style="701" min="5" max="5"/>
    <col outlineLevel="1" width="18" customWidth="1" style="701" min="6" max="6"/>
    <col outlineLevel="1" width="14" customWidth="1" style="701" min="7" max="7"/>
    <col outlineLevel="1" width="11.5546875" customWidth="1" style="701" min="8" max="8"/>
    <col width="18.77734375" customWidth="1" style="701" min="9" max="9"/>
    <col width="20.44140625" customWidth="1" style="701" min="10" max="10"/>
    <col width="16.5546875" customWidth="1" style="701" min="11" max="11"/>
    <col outlineLevel="1" width="15.77734375" customWidth="1" style="701" min="12" max="12"/>
    <col outlineLevel="1" width="14.21875" customWidth="1" style="701" min="13" max="13"/>
    <col outlineLevel="1" width="15.77734375" customWidth="1" style="701" min="14" max="14"/>
    <col width="21.21875" customWidth="1" style="701" min="15" max="15"/>
    <col width="15" customWidth="1" style="701" min="16" max="16"/>
    <col width="8.77734375" customWidth="1" style="701" min="17" max="38"/>
    <col hidden="1" width="8.77734375" customWidth="1" style="334" min="39" max="39"/>
    <col hidden="1" width="9.21875" customWidth="1" style="334" min="40" max="42"/>
    <col width="8.77734375" customWidth="1" style="701" min="43" max="43"/>
    <col width="8.77734375" customWidth="1" style="701" min="44" max="16384"/>
  </cols>
  <sheetData>
    <row r="1" ht="37.5" customHeight="1">
      <c r="B1" s="238" t="n"/>
    </row>
    <row r="2" ht="22.5" customHeight="1" thickBot="1">
      <c r="B2" s="734" t="inlineStr">
        <is>
          <t>Сеть Автодор</t>
        </is>
      </c>
      <c r="E2" s="183" t="n"/>
      <c r="F2" s="183" t="n"/>
      <c r="G2" s="183" t="n"/>
      <c r="H2" s="183" t="n"/>
      <c r="I2" s="667" t="n"/>
      <c r="J2" s="15" t="n"/>
      <c r="K2" s="15" t="n"/>
      <c r="L2" s="183" t="n"/>
      <c r="M2" s="183" t="n"/>
      <c r="N2" s="183" t="n"/>
      <c r="AC2" s="202" t="n"/>
      <c r="AD2" s="239" t="n"/>
      <c r="AN2" s="335" t="inlineStr">
        <is>
          <t>ПК</t>
        </is>
      </c>
      <c r="AO2" s="336" t="n">
        <v>0</v>
      </c>
      <c r="AP2" s="335" t="n"/>
    </row>
    <row r="3" ht="15" customHeight="1">
      <c r="B3" s="719" t="inlineStr">
        <is>
          <t xml:space="preserve">Клиент:  </t>
        </is>
      </c>
      <c r="C3" s="854" t="n"/>
      <c r="D3" s="115" t="n"/>
      <c r="E3" s="183" t="n"/>
      <c r="F3" s="183" t="n"/>
      <c r="G3" s="183" t="n"/>
      <c r="H3" s="183" t="n"/>
      <c r="I3" s="723" t="inlineStr">
        <is>
          <t xml:space="preserve">Всего экранов:  </t>
        </is>
      </c>
      <c r="J3" s="879" t="n"/>
      <c r="K3" s="99">
        <f>D26</f>
        <v/>
      </c>
      <c r="L3" s="183" t="n"/>
      <c r="M3" s="183" t="n"/>
      <c r="N3" s="183" t="n"/>
      <c r="AC3" s="202" t="n"/>
      <c r="AD3" s="239" t="n"/>
      <c r="AN3" s="335" t="inlineStr">
        <is>
          <t>РА</t>
        </is>
      </c>
      <c r="AO3" s="336" t="n">
        <v>0.05</v>
      </c>
      <c r="AP3" s="335" t="inlineStr">
        <is>
          <t>Доп скидка</t>
        </is>
      </c>
    </row>
    <row r="4" ht="15" customHeight="1">
      <c r="B4" s="721" t="inlineStr">
        <is>
          <t xml:space="preserve">Бренд:  </t>
        </is>
      </c>
      <c r="C4" s="855" t="n"/>
      <c r="D4" s="116" t="n"/>
      <c r="E4" s="183" t="n"/>
      <c r="F4" s="183" t="n"/>
      <c r="G4" s="183" t="n"/>
      <c r="H4" s="183" t="n"/>
      <c r="I4" s="725" t="inlineStr">
        <is>
          <t>Часов работы одного экрана в сутки:</t>
        </is>
      </c>
      <c r="J4" s="856" t="n"/>
      <c r="K4" s="100" t="n">
        <v>12</v>
      </c>
      <c r="L4" s="183" t="n"/>
      <c r="M4" s="183" t="n"/>
      <c r="N4" s="183" t="n"/>
      <c r="AB4" s="844" t="n"/>
      <c r="AC4" s="844" t="n"/>
      <c r="AN4" s="335" t="n"/>
      <c r="AO4" s="336" t="n">
        <v>0.1</v>
      </c>
      <c r="AP4" s="335" t="inlineStr">
        <is>
          <t>Welcome скидка</t>
        </is>
      </c>
    </row>
    <row r="5" ht="15" customHeight="1">
      <c r="B5" s="714" t="inlineStr">
        <is>
          <t xml:space="preserve">Начало РК:  </t>
        </is>
      </c>
      <c r="C5" s="855" t="n"/>
      <c r="D5" s="206">
        <f>Общий!D5</f>
        <v/>
      </c>
      <c r="E5" s="183" t="n"/>
      <c r="F5" s="183" t="n"/>
      <c r="G5" s="183" t="n"/>
      <c r="H5" s="183" t="n"/>
      <c r="I5" s="697" t="inlineStr">
        <is>
          <t>Продолжительность блока в минутах:</t>
        </is>
      </c>
      <c r="J5" s="856" t="n"/>
      <c r="K5" s="101" t="n">
        <v>3</v>
      </c>
      <c r="L5" s="183" t="n"/>
      <c r="M5" s="183" t="n"/>
      <c r="N5" s="183" t="n"/>
      <c r="AN5" s="335" t="n"/>
      <c r="AO5" s="336" t="n">
        <v>0.15</v>
      </c>
      <c r="AP5" s="335" t="inlineStr">
        <is>
          <t>Сезонная скидка</t>
        </is>
      </c>
    </row>
    <row r="6" ht="15" customHeight="1">
      <c r="B6" s="714" t="inlineStr">
        <is>
          <t xml:space="preserve">Окончание РК:  </t>
        </is>
      </c>
      <c r="C6" s="855" t="n"/>
      <c r="D6" s="206">
        <f>Общий!D6</f>
        <v/>
      </c>
      <c r="E6" s="183" t="n"/>
      <c r="F6" s="183" t="n"/>
      <c r="G6" s="183" t="n"/>
      <c r="H6" s="183" t="n"/>
      <c r="I6" s="697" t="inlineStr">
        <is>
          <t>Блоков в сутки на одном экране:</t>
        </is>
      </c>
      <c r="J6" s="856" t="n"/>
      <c r="K6" s="101">
        <f>K4*60/K5</f>
        <v/>
      </c>
      <c r="L6" s="183" t="n"/>
      <c r="M6" s="183" t="n"/>
      <c r="N6" s="183" t="n"/>
      <c r="AN6" s="335" t="n"/>
      <c r="AO6" s="336" t="n">
        <v>0.2</v>
      </c>
      <c r="AP6" s="335" t="n"/>
    </row>
    <row r="7" ht="15" customHeight="1">
      <c r="B7" s="714" t="inlineStr">
        <is>
          <t xml:space="preserve">Ролик1, сек:  </t>
        </is>
      </c>
      <c r="C7" s="855" t="n"/>
      <c r="D7" s="117">
        <f>Общий!D7</f>
        <v/>
      </c>
      <c r="E7" s="183" t="n"/>
      <c r="F7" s="183" t="n"/>
      <c r="G7" s="183" t="n"/>
      <c r="H7" s="183" t="n"/>
      <c r="I7" s="697" t="inlineStr">
        <is>
          <t>Кол-во рабочих дней размещения:</t>
        </is>
      </c>
      <c r="J7" s="856" t="n"/>
      <c r="K7" s="102">
        <f>D6-D5+1</f>
        <v/>
      </c>
      <c r="L7" s="183" t="n"/>
      <c r="M7" s="183" t="n"/>
      <c r="N7" s="183" t="n"/>
      <c r="AN7" s="335" t="n"/>
      <c r="AO7" s="336" t="n">
        <v>0.25</v>
      </c>
      <c r="AP7" s="335" t="n"/>
    </row>
    <row r="8" ht="15" customHeight="1">
      <c r="B8" s="714" t="inlineStr">
        <is>
          <t xml:space="preserve">Ролик2, сек:  </t>
        </is>
      </c>
      <c r="C8" s="855" t="n"/>
      <c r="D8" s="117" t="n"/>
      <c r="E8" s="183" t="n"/>
      <c r="F8" s="183" t="n"/>
      <c r="G8" s="183" t="n"/>
      <c r="H8" s="183" t="n"/>
      <c r="I8" s="697" t="inlineStr">
        <is>
          <t>Кол-во роликов в блоке:</t>
        </is>
      </c>
      <c r="J8" s="856" t="n"/>
      <c r="K8" s="101">
        <f>COUNT(D$7,D$8,D$9)</f>
        <v/>
      </c>
      <c r="L8" s="183" t="n"/>
      <c r="M8" s="183" t="n"/>
      <c r="N8" s="183" t="n"/>
      <c r="AN8" s="335" t="n"/>
      <c r="AO8" s="335" t="n"/>
      <c r="AP8" s="335" t="n"/>
    </row>
    <row r="9" ht="15" customHeight="1" thickBot="1">
      <c r="B9" s="840" t="inlineStr">
        <is>
          <t>Карта охвата</t>
        </is>
      </c>
      <c r="D9" s="240" t="n"/>
      <c r="E9" s="183" t="n"/>
      <c r="F9" s="183" t="n"/>
      <c r="G9" s="183" t="n"/>
      <c r="H9" s="183" t="n"/>
      <c r="I9" s="697" t="inlineStr">
        <is>
          <t>Итого секунд в блоке:</t>
        </is>
      </c>
      <c r="J9" s="856" t="n"/>
      <c r="K9" s="102">
        <f>SUM(D7:D9)</f>
        <v/>
      </c>
      <c r="L9" s="183" t="n"/>
      <c r="M9" s="183" t="n"/>
      <c r="N9" s="183" t="n"/>
      <c r="AN9" s="335" t="n"/>
      <c r="AO9" s="335" t="n"/>
      <c r="AP9" s="335" t="n"/>
    </row>
    <row r="10" ht="15" customHeight="1">
      <c r="B10" s="930" t="inlineStr">
        <is>
          <t>Применяемые скидки (последовательно)</t>
        </is>
      </c>
      <c r="C10" s="880" t="n"/>
      <c r="D10" s="855" t="n"/>
      <c r="E10" s="183" t="n"/>
      <c r="F10" s="183" t="n"/>
      <c r="G10" s="183" t="n"/>
      <c r="H10" s="183" t="n"/>
      <c r="I10" s="697" t="inlineStr">
        <is>
          <t>Показов в день на одном экране:</t>
        </is>
      </c>
      <c r="J10" s="856" t="n"/>
      <c r="K10" s="101">
        <f>K6*K8</f>
        <v/>
      </c>
      <c r="L10" s="183" t="n"/>
      <c r="M10" s="183" t="n"/>
      <c r="N10" s="183" t="n"/>
      <c r="AN10" s="335" t="n"/>
      <c r="AO10" s="336" t="n">
        <v>0</v>
      </c>
      <c r="AP10" s="335" t="n"/>
    </row>
    <row r="11" ht="15" customHeight="1">
      <c r="B11" s="685" t="inlineStr">
        <is>
          <t>За кол-во экранов(средн):</t>
        </is>
      </c>
      <c r="C11" s="856" t="n"/>
      <c r="D11" s="118">
        <f>IF(SUMIFS('Адресная программа'!$O$20:$O$4940,'Адресная программа'!$L$20:$L$4940,1,'Адресная программа'!$G$20:$G$4940,"Автодор")=SUMIFS('Адресная программа'!$L$20:$L$4940,'Адресная программа'!$L$20:$L$4940,1,'Адресная программа'!$G$20:$G$4940,"Автодор"),'Цены|Скидки'!C52,IF(SUMIFS('Адресная программа'!$O$20:$O$4940,'Адресная программа'!$L$20:$L$4940,1,'Адресная программа'!$G$20:$G$4940,"Автодор")&gt;(SUMIFS('Адресная программа'!$L$20:$L$4940,'Адресная программа'!$L$20:$L$4940,1,'Адресная программа'!$G$20:$G$4940,"Автодор")*'Цены|Скидки'!B53-1),'Цены|Скидки'!C53,IF(SUMIFS('Адресная программа'!$O$20:$O$4940,'Адресная программа'!$L$20:$L$4940,1,'Адресная программа'!$G$20:$G$4940,"Автодор")&gt;(SUMIFS('Адресная программа'!$L$20:$L$4940,'Адресная программа'!$L$20:$L$4940,1,'Адресная программа'!$G$20:$G$4940,"Автодор")*'Цены|Скидки'!B54-1),'Цены|Скидки'!C54,IF(SUMIFS('Адресная программа'!$O$20:$O$4940,'Адресная программа'!$L$20:$L$4940,1,'Адресная программа'!$G$20:$G$4940,"Автодор")&gt;(SUMIFS('Адресная программа'!$L$20:$L$4940,'Адресная программа'!$L$20:$L$4940,1,'Адресная программа'!$G$20:$G$4940,"Автодор")*'Цены|Скидки'!B55-1),'Цены|Скидки'!C55,0%))))</f>
        <v/>
      </c>
      <c r="E11" s="183" t="n"/>
      <c r="F11" s="183" t="n"/>
      <c r="G11" s="183" t="n"/>
      <c r="H11" s="183" t="n"/>
      <c r="I11" s="697" t="inlineStr">
        <is>
          <t>Минут в день на одном экране:</t>
        </is>
      </c>
      <c r="J11" s="856" t="n"/>
      <c r="K11" s="101">
        <f>K6*K9/60</f>
        <v/>
      </c>
      <c r="L11" s="183" t="n"/>
      <c r="M11" s="183" t="n"/>
      <c r="N11" s="183" t="n"/>
      <c r="AN11" s="335" t="n"/>
      <c r="AO11" s="336" t="n">
        <v>0.05</v>
      </c>
      <c r="AP11" s="335" t="n"/>
    </row>
    <row r="12" ht="15" customHeight="1">
      <c r="B12" s="685" t="inlineStr">
        <is>
          <t>За период:</t>
        </is>
      </c>
      <c r="C12" s="856" t="n"/>
      <c r="D12" s="118">
        <f>IF(K7&lt;14,0%,IF(K7&lt;45,5%,IF(K7&lt;75,10%,10%)))</f>
        <v/>
      </c>
      <c r="E12" s="183" t="n"/>
      <c r="F12" s="183" t="n"/>
      <c r="G12" s="183" t="n"/>
      <c r="H12" s="183" t="n"/>
      <c r="I12" s="697" t="inlineStr">
        <is>
          <t>Показов на всех экранах за период:</t>
        </is>
      </c>
      <c r="J12" s="856" t="n"/>
      <c r="K12" s="103">
        <f>K10*K7*K3</f>
        <v/>
      </c>
      <c r="L12" s="183" t="n"/>
      <c r="M12" s="183" t="n"/>
      <c r="N12" s="183" t="n"/>
      <c r="AN12" s="335" t="n"/>
      <c r="AO12" s="336" t="n">
        <v>0.1</v>
      </c>
      <c r="AP12" s="335" t="n"/>
    </row>
    <row r="13" ht="15" customHeight="1">
      <c r="B13" s="685">
        <f>IF(AC2="РА","Скидка для РА:"," ")</f>
        <v/>
      </c>
      <c r="C13" s="856" t="n"/>
      <c r="D13" s="119">
        <f>IF(AC2="РА",AD2," ")</f>
        <v/>
      </c>
      <c r="E13" s="183" t="n"/>
      <c r="F13" s="183" t="n"/>
      <c r="G13" s="183" t="n"/>
      <c r="H13" s="183" t="n"/>
      <c r="I13" s="695" t="inlineStr">
        <is>
          <t>OTS:</t>
        </is>
      </c>
      <c r="J13" s="856" t="n"/>
      <c r="K13" s="122">
        <f>M26</f>
        <v/>
      </c>
      <c r="L13" s="183" t="n"/>
      <c r="M13" s="183" t="n"/>
      <c r="N13" s="183" t="n"/>
      <c r="AN13" s="335" t="n"/>
      <c r="AO13" s="336" t="n">
        <v>0.15</v>
      </c>
      <c r="AP13" s="335" t="n"/>
    </row>
    <row r="14" ht="15" customHeight="1">
      <c r="B14" s="697">
        <f>IF(AC3=0," ",AC3)</f>
        <v/>
      </c>
      <c r="C14" s="856" t="n"/>
      <c r="D14" s="207">
        <f>IF(OR(AC3="Доп скидка",AC3="Сезонная скидка",AC3="Welcome скидка")=TRUE,AD3," ")</f>
        <v/>
      </c>
      <c r="E14" s="183" t="n"/>
      <c r="F14" s="183" t="n"/>
      <c r="G14" s="183" t="n"/>
      <c r="H14" s="183" t="n"/>
      <c r="I14" s="695" t="inlineStr">
        <is>
          <t>CPT:</t>
        </is>
      </c>
      <c r="J14" s="856" t="n"/>
      <c r="K14" s="882">
        <f>N26</f>
        <v/>
      </c>
      <c r="L14" s="183" t="n"/>
      <c r="M14" s="183" t="n"/>
      <c r="N14" s="183" t="n"/>
      <c r="AN14" s="335" t="n"/>
      <c r="AO14" s="336" t="n">
        <v>0.2</v>
      </c>
      <c r="AP14" s="335" t="n"/>
    </row>
    <row r="15">
      <c r="B15" s="702" t="inlineStr">
        <is>
          <t>Стоимость размещения</t>
        </is>
      </c>
      <c r="C15" s="859" t="n"/>
      <c r="D15" s="856" t="n"/>
      <c r="E15" s="183" t="n"/>
      <c r="F15" s="183" t="n"/>
      <c r="G15" s="183" t="n"/>
      <c r="H15" s="183" t="n"/>
      <c r="I15" s="702" t="n"/>
      <c r="J15" s="859" t="n"/>
      <c r="K15" s="856" t="n"/>
      <c r="L15" s="183" t="n"/>
      <c r="M15" s="183" t="n"/>
      <c r="N15" s="183" t="n"/>
      <c r="AN15" s="335" t="n"/>
      <c r="AO15" s="336" t="n">
        <v>0.25</v>
      </c>
      <c r="AP15" s="335" t="n"/>
    </row>
    <row r="16" ht="15" customHeight="1">
      <c r="B16" s="695" t="inlineStr">
        <is>
          <t>Всего, руб. NET:</t>
        </is>
      </c>
      <c r="C16" s="856" t="n"/>
      <c r="D16" s="1022">
        <f>J26</f>
        <v/>
      </c>
      <c r="E16" s="183" t="n"/>
      <c r="F16" s="183" t="n"/>
      <c r="G16" s="183" t="n"/>
      <c r="H16" s="183" t="n"/>
      <c r="I16" s="709" t="inlineStr">
        <is>
          <t>Предоставление ролика до:</t>
        </is>
      </c>
      <c r="J16" s="856" t="n"/>
      <c r="K16" s="104">
        <f>D5-3</f>
        <v/>
      </c>
      <c r="L16" s="183" t="n"/>
      <c r="M16" s="183" t="n"/>
      <c r="N16" s="183" t="n"/>
      <c r="AN16" s="335" t="n"/>
      <c r="AO16" s="336" t="n"/>
      <c r="AP16" s="335" t="n"/>
    </row>
    <row r="17" ht="15" customHeight="1" thickBot="1">
      <c r="B17" s="713" t="inlineStr">
        <is>
          <t>Всего, руб. GROSS:</t>
        </is>
      </c>
      <c r="C17" s="858" t="n"/>
      <c r="D17" s="1023">
        <f>K26</f>
        <v/>
      </c>
      <c r="E17" s="208" t="n"/>
      <c r="F17" s="209" t="n"/>
      <c r="G17" s="210" t="n"/>
      <c r="H17" s="211" t="n"/>
      <c r="I17" s="711" t="inlineStr">
        <is>
          <t>Оплата до:</t>
        </is>
      </c>
      <c r="J17" s="858" t="n"/>
      <c r="K17" s="105">
        <f>D5-5</f>
        <v/>
      </c>
      <c r="L17" s="183" t="n"/>
      <c r="M17" s="183" t="n"/>
      <c r="N17" s="183" t="n"/>
      <c r="AN17" s="335" t="n"/>
      <c r="AO17" s="336" t="n"/>
      <c r="AP17" s="335" t="n"/>
    </row>
    <row r="18" ht="10.5" customHeight="1">
      <c r="B18" s="111" t="n"/>
      <c r="C18" s="183" t="n"/>
      <c r="D18" s="183" t="n"/>
      <c r="E18" s="111" t="n"/>
      <c r="F18" s="112" t="n"/>
      <c r="G18" s="210" t="n"/>
      <c r="H18" s="114" t="n"/>
      <c r="I18" s="183" t="n"/>
      <c r="J18" s="183" t="n"/>
      <c r="K18" s="183" t="n"/>
      <c r="L18" s="183" t="n"/>
      <c r="M18" s="183" t="n"/>
      <c r="N18" s="183" t="n"/>
      <c r="AN18" s="335" t="inlineStr">
        <is>
          <t>Автобренд</t>
        </is>
      </c>
      <c r="AO18" s="335" t="n"/>
      <c r="AP18" s="335" t="n"/>
    </row>
    <row r="19" ht="10.5" customHeight="1">
      <c r="B19" s="111" t="n"/>
      <c r="C19" s="183" t="n"/>
      <c r="D19" s="183" t="n"/>
      <c r="E19" s="111" t="n"/>
      <c r="F19" s="112" t="n"/>
      <c r="G19" s="210" t="n"/>
      <c r="H19" s="114" t="n"/>
      <c r="I19" s="183" t="n"/>
      <c r="J19" s="183" t="n"/>
      <c r="K19" s="183" t="n"/>
      <c r="L19" s="183" t="n"/>
      <c r="M19" s="183" t="n"/>
      <c r="N19" s="183" t="n"/>
      <c r="AN19" s="335" t="n"/>
      <c r="AO19" s="335" t="n"/>
      <c r="AP19" s="335" t="n"/>
    </row>
    <row r="20" ht="19.5" customFormat="1" customHeight="1" s="212" thickBot="1">
      <c r="B20" s="705" t="inlineStr">
        <is>
          <t>Расчет стоимости кампании в сети Автодор</t>
        </is>
      </c>
      <c r="C20" s="15" t="n"/>
      <c r="D20" s="15" t="n"/>
      <c r="E20" s="29" t="n"/>
      <c r="F20" s="29" t="n"/>
      <c r="G20" s="29" t="n"/>
      <c r="H20" s="185" t="n"/>
      <c r="I20" s="185" t="n"/>
      <c r="J20" s="185" t="n"/>
      <c r="K20" s="188" t="n"/>
      <c r="L20" s="188" t="n"/>
      <c r="M20" s="185" t="n"/>
      <c r="N20" s="185" t="n"/>
      <c r="AM20" s="339" t="n"/>
      <c r="AN20" s="339" t="n"/>
      <c r="AO20" s="339" t="n"/>
      <c r="AP20" s="339" t="n"/>
    </row>
    <row r="21" ht="49.5" customFormat="1" customHeight="1" s="212" thickBot="1">
      <c r="B21" s="106" t="inlineStr">
        <is>
          <t>Регион</t>
        </is>
      </c>
      <c r="C21" s="107" t="inlineStr">
        <is>
          <t>Сеть</t>
        </is>
      </c>
      <c r="D21" s="107" t="inlineStr">
        <is>
          <t>Количество     экранов</t>
        </is>
      </c>
      <c r="E21" s="107" t="inlineStr">
        <is>
          <t>Стоимость размещения в сутки на 1 экране, без НДС</t>
        </is>
      </c>
      <c r="F21" s="107" t="inlineStr">
        <is>
          <t>Стоимость размещения по выбранной АП за период, без НДС</t>
        </is>
      </c>
      <c r="G21" s="107" t="inlineStr">
        <is>
          <t>Скидка за кол-во экранов</t>
        </is>
      </c>
      <c r="H21" s="107" t="inlineStr">
        <is>
          <t>Скидка за период</t>
        </is>
      </c>
      <c r="I21" s="107" t="inlineStr">
        <is>
          <t>Итоговая скидка</t>
        </is>
      </c>
      <c r="J21" s="107" t="inlineStr">
        <is>
          <t xml:space="preserve"> Стоимость c учетом всех скидок, без НДС</t>
        </is>
      </c>
      <c r="K21" s="107" t="inlineStr">
        <is>
          <t xml:space="preserve"> Стоимость c учетом всех скидок, вкл. НДС</t>
        </is>
      </c>
      <c r="L21" s="107" t="inlineStr">
        <is>
          <t>Сумма НДС (20%)</t>
        </is>
      </c>
      <c r="M21" s="107" t="inlineStr">
        <is>
          <t>OTS</t>
        </is>
      </c>
      <c r="N21" s="109" t="inlineStr">
        <is>
          <t>CPT</t>
        </is>
      </c>
      <c r="AM21" s="339" t="n"/>
      <c r="AN21" s="339" t="n"/>
      <c r="AO21" s="339" t="n"/>
      <c r="AP21" s="339" t="n"/>
    </row>
    <row r="22" ht="12" customFormat="1" customHeight="1" s="212">
      <c r="B22" s="253" t="inlineStr">
        <is>
          <t>Москва</t>
        </is>
      </c>
      <c r="C22" s="262" t="inlineStr">
        <is>
          <t>Автодор</t>
        </is>
      </c>
      <c r="D22" s="255">
        <f>SUMIFS('Адресная программа'!$O$20:$O$4169,'Адресная программа'!$C$20:$C$4169,Автодор!B22,'Адресная программа'!$G$20:$G$4169,Автодор!C22)</f>
        <v/>
      </c>
      <c r="E22" s="932">
        <f>'Цены|Скидки'!#REF!/15*$K$9</f>
        <v/>
      </c>
      <c r="F22" s="942">
        <f>E22*$K$7*D22</f>
        <v/>
      </c>
      <c r="G22" s="156">
        <f>$D$11</f>
        <v/>
      </c>
      <c r="H22" s="156">
        <f>D$12</f>
        <v/>
      </c>
      <c r="I22" s="190">
        <f>IF(D22=0,0,1-J22/F22)</f>
        <v/>
      </c>
      <c r="J22" s="934">
        <f>F22*(1-G22)*(1-H22)*(1-IF($AC$2="РА",$AD$2,0))*(1-IF(OR($AC$3="Доп скидка",$AC$3="Сезонная скидка",$AC$3="Welcome скидка")=TRUE,$AD$3,0))</f>
        <v/>
      </c>
      <c r="K22" s="934">
        <f>J22+L22</f>
        <v/>
      </c>
      <c r="L22" s="934">
        <f>J22*0.2</f>
        <v/>
      </c>
      <c r="M22" s="159">
        <f>ROUND(60*D22*$K$7*3,2)</f>
        <v/>
      </c>
      <c r="N22" s="935">
        <f>IF(M22=0,0,J22/M22*1000)</f>
        <v/>
      </c>
      <c r="AM22" s="339" t="n"/>
      <c r="AN22" s="339" t="n"/>
      <c r="AO22" s="339" t="n"/>
      <c r="AP22" s="339" t="n"/>
    </row>
    <row r="23" ht="12" customFormat="1" customHeight="1" s="212">
      <c r="B23" s="253" t="inlineStr">
        <is>
          <t>Санкт-Петербург</t>
        </is>
      </c>
      <c r="C23" s="262" t="inlineStr">
        <is>
          <t>Автодор</t>
        </is>
      </c>
      <c r="D23" s="255">
        <f>SUMIFS('Адресная программа'!$O$20:$O$4169,'Адресная программа'!$C$20:$C$4169,"Санкт-Петербург",'Адресная программа'!$G$20:$G$4169,Автодор!C23)</f>
        <v/>
      </c>
      <c r="E23" s="932">
        <f>'Цены|Скидки'!#REF!/15*$K$9</f>
        <v/>
      </c>
      <c r="F23" s="942">
        <f>E23*$K$7*D23</f>
        <v/>
      </c>
      <c r="G23" s="156">
        <f>$D$11</f>
        <v/>
      </c>
      <c r="H23" s="156">
        <f>D$12</f>
        <v/>
      </c>
      <c r="I23" s="190">
        <f>IF(D23=0,0,1-J23/F23)</f>
        <v/>
      </c>
      <c r="J23" s="934">
        <f>F23*(1-G23)*(1-H23)*(1-IF($AC$2="РА",$AD$2,0))*(1-IF(OR($AC$3="Доп скидка",$AC$3="Сезонная скидка",$AC$3="Welcome скидка")=TRUE,$AD$3,0))</f>
        <v/>
      </c>
      <c r="K23" s="934">
        <f>J23+L23</f>
        <v/>
      </c>
      <c r="L23" s="934">
        <f>J23*0.2</f>
        <v/>
      </c>
      <c r="M23" s="159">
        <f>ROUND(50*D23*3*$K$7,2)</f>
        <v/>
      </c>
      <c r="N23" s="935">
        <f>IF(M23=0,0,J23/M23*1000)</f>
        <v/>
      </c>
      <c r="AM23" s="339" t="n"/>
      <c r="AN23" s="339" t="n"/>
      <c r="AO23" s="339" t="n"/>
      <c r="AP23" s="339" t="n"/>
    </row>
    <row r="24" ht="12" customFormat="1" customHeight="1" s="212">
      <c r="B24" s="253" t="inlineStr">
        <is>
          <t>Регионы</t>
        </is>
      </c>
      <c r="C24" s="262" t="inlineStr">
        <is>
          <t>Автодор</t>
        </is>
      </c>
      <c r="D24" s="255">
        <f>SUMIFS('Адресная программа'!$O$20:$O$4169,'Адресная программа'!$C$20:$C$4169,"&lt;&gt;Москва",'Адресная программа'!$C$20:$C$4169,"&lt;&gt;Санкт-Петербург",'Адресная программа'!$G$20:$G$4169,Автодор!C24)</f>
        <v/>
      </c>
      <c r="E24" s="932">
        <f>'Цены|Скидки'!#REF!/15*$K$9</f>
        <v/>
      </c>
      <c r="F24" s="942">
        <f>E24*$K$7*D24</f>
        <v/>
      </c>
      <c r="G24" s="156">
        <f>$D$11</f>
        <v/>
      </c>
      <c r="H24" s="156">
        <f>D$12</f>
        <v/>
      </c>
      <c r="I24" s="190">
        <f>IF(D24=0,0,1-J24/F24)</f>
        <v/>
      </c>
      <c r="J24" s="934">
        <f>F24*(1-G24)*(1-H24)*(1-IF($AC$2="РА",$AD$2,0))*(1-IF(OR($AC$3="Доп скидка",$AC$3="Сезонная скидка",$AC$3="Welcome скидка")=TRUE,$AD$3,0))</f>
        <v/>
      </c>
      <c r="K24" s="934">
        <f>J24+L24</f>
        <v/>
      </c>
      <c r="L24" s="934">
        <f>J24*0.2</f>
        <v/>
      </c>
      <c r="M24" s="159">
        <f>ROUND(100*D24*3*$K$7,2)</f>
        <v/>
      </c>
      <c r="N24" s="935">
        <f>IF(M24=0,0,J24/M24*1000)</f>
        <v/>
      </c>
      <c r="AM24" s="339" t="n"/>
      <c r="AN24" s="339" t="n"/>
      <c r="AO24" s="339" t="n"/>
      <c r="AP24" s="339" t="n"/>
    </row>
    <row r="25">
      <c r="M25" s="243" t="n"/>
    </row>
    <row r="26">
      <c r="D26" s="84">
        <f>SUBTOTAL(9,D22:D24)</f>
        <v/>
      </c>
      <c r="F26" s="941">
        <f>SUBTOTAL(9,F22:F24)</f>
        <v/>
      </c>
      <c r="J26" s="941">
        <f>SUBTOTAL(9,J22:J24)</f>
        <v/>
      </c>
      <c r="K26" s="940">
        <f>SUBTOTAL(9,K22:K24)</f>
        <v/>
      </c>
      <c r="L26" s="941">
        <f>SUBTOTAL(9,L22:L24)</f>
        <v/>
      </c>
      <c r="M26" s="259">
        <f>SUBTOTAL(9,M22:M24)</f>
        <v/>
      </c>
      <c r="N26" s="943">
        <f>IF(M26=0,0,J26/M26*1000)</f>
        <v/>
      </c>
    </row>
  </sheetData>
  <mergeCells count="33">
    <mergeCell ref="B16:C16"/>
    <mergeCell ref="I6:J6"/>
    <mergeCell ref="B7:C7"/>
    <mergeCell ref="B3:C3"/>
    <mergeCell ref="I11:J11"/>
    <mergeCell ref="B12:C12"/>
    <mergeCell ref="B10:D10"/>
    <mergeCell ref="I16:J16"/>
    <mergeCell ref="B11:C11"/>
    <mergeCell ref="I7:J7"/>
    <mergeCell ref="B14:C14"/>
    <mergeCell ref="B17:C17"/>
    <mergeCell ref="B15:D15"/>
    <mergeCell ref="B8:C8"/>
    <mergeCell ref="B20:D20"/>
    <mergeCell ref="I3:J3"/>
    <mergeCell ref="B13:C13"/>
    <mergeCell ref="I12:J12"/>
    <mergeCell ref="I5:J5"/>
    <mergeCell ref="I8:J8"/>
    <mergeCell ref="B9:C9"/>
    <mergeCell ref="I14:J14"/>
    <mergeCell ref="I17:J17"/>
    <mergeCell ref="I15:K15"/>
    <mergeCell ref="B6:C6"/>
    <mergeCell ref="I4:J4"/>
    <mergeCell ref="I2:K2"/>
    <mergeCell ref="I10:J10"/>
    <mergeCell ref="B5:C5"/>
    <mergeCell ref="I9:J9"/>
    <mergeCell ref="I13:J13"/>
    <mergeCell ref="B4:C4"/>
    <mergeCell ref="B2:D2"/>
  </mergeCells>
  <dataValidations count="2">
    <dataValidation sqref="AC3" showDropDown="0" showInputMessage="1" showErrorMessage="1" allowBlank="1" type="list">
      <formula1>$AP$3:$AP$5</formula1>
    </dataValidation>
    <dataValidation sqref="AC2" showDropDown="0" showInputMessage="1" showErrorMessage="1" allowBlank="1" type="list">
      <formula1>$AN$2:$AN$3</formula1>
    </dataValidation>
  </dataValidations>
  <hyperlinks>
    <hyperlink xmlns:r="http://schemas.openxmlformats.org/officeDocument/2006/relationships" ref="B9" display="Карта охвата" r:id="rId1"/>
  </hyperlinks>
  <pageMargins left="0.7" right="0.7" top="0.75" bottom="0.75" header="0.3" footer="0.3"/>
  <pageSetup orientation="portrait" paperSize="9" horizontalDpi="1200" verticalDpi="12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zoomScaleNormal="100" workbookViewId="0">
      <selection activeCell="A1" sqref="A1:L1"/>
    </sheetView>
  </sheetViews>
  <sheetFormatPr baseColWidth="8" defaultColWidth="11.44140625" defaultRowHeight="14.4"/>
  <sheetData>
    <row r="1" ht="18" customHeight="1">
      <c r="A1" s="842" t="inlineStr">
        <is>
          <t>Технические требования для контента, размещаемого на экранах Indoor Group</t>
        </is>
      </c>
    </row>
    <row r="2">
      <c r="A2" s="161" t="n"/>
      <c r="B2" s="162" t="n"/>
      <c r="C2" s="162" t="n"/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</row>
    <row r="3">
      <c r="A3" s="161" t="n"/>
      <c r="B3" s="162" t="n"/>
      <c r="C3" s="162" t="n"/>
      <c r="D3" s="162" t="n"/>
      <c r="E3" s="162" t="n"/>
      <c r="F3" s="162" t="n"/>
      <c r="G3" s="162" t="n"/>
      <c r="H3" s="162" t="n"/>
      <c r="I3" s="162" t="n"/>
      <c r="J3" s="162" t="n"/>
      <c r="K3" s="162" t="n"/>
      <c r="L3" s="162" t="n"/>
    </row>
    <row r="4" ht="15.6" customHeight="1">
      <c r="A4" s="163" t="inlineStr">
        <is>
          <t>Статичные изображения:</t>
        </is>
      </c>
      <c r="B4" s="162" t="n"/>
      <c r="C4" s="162" t="n"/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</row>
    <row r="5" ht="15.6" customHeight="1">
      <c r="A5" s="164" t="inlineStr">
        <is>
          <t>·       Разрешение для вертикальных экранов 32", 40" и 65", пикселей: 1080 (горизонталь) х 1920 (вертикаль)</t>
        </is>
      </c>
      <c r="B5" s="162" t="n"/>
      <c r="C5" s="162" t="n"/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</row>
    <row r="6" ht="15.6" customHeight="1">
      <c r="A6" s="164" t="inlineStr">
        <is>
          <t>·       Разрешение для вертикальных экранов 18", пикселей: 768 (горизонталь) х 1366 (вертикаль)</t>
        </is>
      </c>
      <c r="B6" s="162" t="n"/>
      <c r="C6" s="162" t="n"/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</row>
    <row r="7" ht="15.6" customHeight="1">
      <c r="A7" s="164" t="inlineStr">
        <is>
          <t>·       Формат: только JPEG</t>
        </is>
      </c>
      <c r="B7" s="162" t="n"/>
      <c r="C7" s="162" t="n"/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</row>
    <row r="8" ht="15.6" customHeight="1">
      <c r="A8" s="164" t="inlineStr">
        <is>
          <t>·       Точек на дюйм: 72-150 PPI</t>
        </is>
      </c>
      <c r="B8" s="162" t="n"/>
      <c r="C8" s="162" t="n"/>
      <c r="D8" s="162" t="n"/>
      <c r="E8" s="162" t="n"/>
      <c r="F8" s="162" t="n"/>
      <c r="G8" s="162" t="n"/>
      <c r="H8" s="162" t="n"/>
      <c r="I8" s="162" t="n"/>
      <c r="J8" s="162" t="n"/>
      <c r="K8" s="162" t="n"/>
      <c r="L8" s="162" t="n"/>
    </row>
    <row r="9" ht="15.6" customHeight="1">
      <c r="A9" s="164" t="inlineStr">
        <is>
          <t>·       Цветовая схема: RGB</t>
        </is>
      </c>
      <c r="B9" s="162" t="n"/>
      <c r="C9" s="162" t="n"/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</row>
    <row r="10" ht="15.6" customHeight="1">
      <c r="A10" s="163" t="inlineStr">
        <is>
          <t>Видео</t>
        </is>
      </c>
      <c r="B10" s="162" t="n"/>
      <c r="C10" s="162" t="n"/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</row>
    <row r="11" ht="15.6" customHeight="1">
      <c r="A11" s="164" t="inlineStr">
        <is>
          <t>·       Соотношение сторон: 9:16</t>
        </is>
      </c>
      <c r="B11" s="162" t="n"/>
      <c r="C11" s="162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</row>
    <row r="12" ht="15.6" customHeight="1">
      <c r="A12" s="164" t="inlineStr">
        <is>
          <t>·       Разрешение для вертикальных экранов 32", 40" и 65", пикселей: 1080 (горизонталь) х 1920 (вертикаль)</t>
        </is>
      </c>
      <c r="B12" s="162" t="n"/>
      <c r="C12" s="162" t="n"/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</row>
    <row r="13" ht="15.6" customHeight="1">
      <c r="A13" s="164" t="inlineStr">
        <is>
          <t>·       Разрешение для вертикальных экранов 18", пикселей: 768 (горизонталь) х 1366 (вертикаль)</t>
        </is>
      </c>
      <c r="B13" s="162" t="n"/>
      <c r="C13" s="162" t="n"/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</row>
    <row r="14" ht="15.6" customHeight="1">
      <c r="A14" s="164" t="inlineStr">
        <is>
          <t>·       Формат: MP4</t>
        </is>
      </c>
      <c r="B14" s="162" t="n"/>
      <c r="C14" s="162" t="n"/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</row>
    <row r="15" ht="15.6" customHeight="1">
      <c r="A15" s="164" t="inlineStr">
        <is>
          <t>·       Кодек: H264</t>
        </is>
      </c>
      <c r="B15" s="162" t="n"/>
      <c r="C15" s="162" t="n"/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</row>
    <row r="16" ht="15.6" customHeight="1">
      <c r="A16" s="164" t="inlineStr">
        <is>
          <t>·       Количество кадров: 25 кадров в секунду</t>
        </is>
      </c>
      <c r="B16" s="162" t="n"/>
      <c r="C16" s="162" t="n"/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</row>
    <row r="17" ht="15.6" customHeight="1">
      <c r="A17" s="164" t="inlineStr">
        <is>
          <t>·       Битрейт: не менее 3000 кбит в сек. но не более 5000 кбит в сек.</t>
        </is>
      </c>
      <c r="B17" s="162" t="n"/>
      <c r="C17" s="162" t="n"/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</row>
    <row r="18" ht="15.6" customHeight="1">
      <c r="A18" s="164" t="inlineStr">
        <is>
          <t>·       Без звука</t>
        </is>
      </c>
      <c r="B18" s="162" t="n"/>
      <c r="C18" s="162" t="n"/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</row>
    <row r="19" ht="15" customHeight="1">
      <c r="A19" s="164" t="n"/>
      <c r="B19" s="162" t="n"/>
      <c r="C19" s="162" t="n"/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</row>
    <row r="20">
      <c r="A20" s="162" t="inlineStr">
        <is>
          <t xml:space="preserve">Если необходимо разместить контент в другом формате или параметры контента не соответствуют перечисленным требованиям, то его необходимо конвертировать и привести в соответствие техническим требованиям. </t>
        </is>
      </c>
      <c r="B20" s="162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</row>
    <row r="21">
      <c r="A21" s="162" t="n"/>
      <c r="B21" s="162" t="n"/>
      <c r="C21" s="162" t="n"/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</row>
    <row r="22" ht="15.6" customHeight="1">
      <c r="A22" s="163" t="inlineStr">
        <is>
          <t>Общие правила и рекомендации</t>
        </is>
      </c>
      <c r="B22" s="162" t="n"/>
      <c r="C22" s="162" t="n"/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</row>
    <row r="23" ht="15.6" customHeight="1">
      <c r="A23" s="164" t="inlineStr">
        <is>
          <t>·       При возможности, если текста много, используйте шрифт без засечек, это позволит обеспечить лучшие результаты восприятия на цифровом экране.</t>
        </is>
      </c>
      <c r="B23" s="162" t="n"/>
      <c r="C23" s="162" t="n"/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</row>
    <row r="24" ht="15.6" customHeight="1">
      <c r="A24" s="164" t="inlineStr">
        <is>
          <t xml:space="preserve">·       Делайте текст крупным и различимым по цвету – он будет читаться с расстояния 2-5 метров, размер шрифта для основной информации не менее 60 пикселей. </t>
        </is>
      </c>
      <c r="B24" s="162" t="n"/>
      <c r="C24" s="162" t="n"/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</row>
    <row r="25" ht="15.6" customHeight="1">
      <c r="A25" s="164" t="inlineStr">
        <is>
          <t>·       Юридический текст должен быть читабельным, не менее 20 px. Если юридического текста много, выводите его отдельным слайдом длительностью не менее 3 сек.</t>
        </is>
      </c>
      <c r="B25" s="162" t="n"/>
      <c r="C25" s="162" t="n"/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</row>
    <row r="26" ht="15.6" customHeight="1">
      <c r="A26" s="164" t="inlineStr">
        <is>
          <t>·       Не прижимайте текст слишком близко друг к другу, расстояние между строками должно быть таким, чтобы его было комфортно читать.</t>
        </is>
      </c>
      <c r="B26" s="162" t="n"/>
      <c r="C26" s="162" t="n"/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</row>
    <row r="27" ht="15" customHeight="1">
      <c r="A27" s="164" t="n"/>
      <c r="B27" s="162" t="n"/>
      <c r="C27" s="162" t="n"/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</row>
    <row r="28" ht="15.6" customHeight="1">
      <c r="A28" s="163" t="n"/>
      <c r="B28" s="162" t="n"/>
      <c r="C28" s="162" t="n"/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</row>
    <row r="29" ht="15.6" customHeight="1">
      <c r="A29" s="163" t="n"/>
      <c r="B29" s="162" t="n"/>
      <c r="C29" s="162" t="n"/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</row>
    <row r="30">
      <c r="B30" s="162" t="n"/>
      <c r="C30" s="162" t="n"/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</row>
    <row r="31">
      <c r="A31" s="843" t="n"/>
      <c r="F31" s="162" t="n"/>
      <c r="G31" s="162" t="n"/>
      <c r="H31" s="162" t="n"/>
      <c r="I31" s="162" t="n"/>
      <c r="J31" s="162" t="n"/>
      <c r="K31" s="162" t="n"/>
      <c r="L31" s="162" t="n"/>
    </row>
    <row r="32">
      <c r="A32" s="168" t="n"/>
      <c r="B32" s="843" t="n"/>
      <c r="C32" s="843" t="n"/>
      <c r="D32" s="843" t="n"/>
      <c r="E32" s="843" t="n"/>
      <c r="F32" s="162" t="n"/>
      <c r="G32" s="162" t="n"/>
      <c r="H32" s="162" t="n"/>
      <c r="I32" s="162" t="n"/>
      <c r="J32" s="162" t="n"/>
      <c r="K32" s="162" t="n"/>
      <c r="L32" s="162" t="n"/>
    </row>
    <row r="33">
      <c r="A33" s="11" t="n"/>
      <c r="B33" s="162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</row>
    <row r="34">
      <c r="A34" s="165" t="n"/>
    </row>
    <row r="35">
      <c r="A35" s="165" t="n"/>
    </row>
    <row r="36">
      <c r="A36" s="165" t="n"/>
    </row>
    <row r="38" ht="15" customHeight="1">
      <c r="A38" s="164" t="n"/>
    </row>
    <row r="39" ht="15" customHeight="1">
      <c r="A39" s="164" t="n"/>
    </row>
    <row r="40" ht="15" customHeight="1">
      <c r="A40" s="164" t="n"/>
    </row>
    <row r="41" ht="15" customHeight="1">
      <c r="A41" s="164" t="n"/>
    </row>
    <row r="42" ht="15" customHeight="1">
      <c r="A42" s="164" t="n"/>
    </row>
    <row r="43" ht="15" customHeight="1">
      <c r="A43" s="164" t="n"/>
    </row>
    <row r="44" ht="15" customHeight="1">
      <c r="A44" s="164" t="n"/>
    </row>
    <row r="46">
      <c r="A46" s="166" t="n"/>
    </row>
    <row r="47">
      <c r="A47" s="166" t="n"/>
    </row>
    <row r="48">
      <c r="A48" s="166" t="n"/>
    </row>
    <row r="49">
      <c r="A49" s="166" t="n"/>
    </row>
    <row r="50">
      <c r="A50" s="166" t="n"/>
    </row>
  </sheetData>
  <mergeCells count="2">
    <mergeCell ref="A1:L1"/>
    <mergeCell ref="A31:E31"/>
  </mergeCells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AR32"/>
  <sheetViews>
    <sheetView showGridLines="0" zoomScale="90" zoomScaleNormal="90" workbookViewId="0">
      <selection activeCell="O11" sqref="O11"/>
    </sheetView>
  </sheetViews>
  <sheetFormatPr baseColWidth="8" defaultColWidth="8.77734375" defaultRowHeight="10.2"/>
  <cols>
    <col width="5" customWidth="1" style="701" min="1" max="1"/>
    <col width="22.44140625" customWidth="1" style="701" min="2" max="2"/>
    <col width="17.21875" customWidth="1" style="701" min="3" max="3"/>
    <col width="20.44140625" customWidth="1" style="701" min="4" max="4"/>
    <col outlineLevel="1" width="20.21875" customWidth="1" style="701" min="5" max="5"/>
    <col outlineLevel="1" width="20.77734375" customWidth="1" style="701" min="6" max="6"/>
    <col outlineLevel="1" width="12.77734375" customWidth="1" style="701" min="7" max="7"/>
    <col width="13.21875" customWidth="1" style="701" min="8" max="8"/>
    <col width="26.21875" customWidth="1" style="701" min="9" max="9"/>
    <col width="19.21875" customWidth="1" style="701" min="10" max="10"/>
    <col outlineLevel="1" width="17" customWidth="1" style="701" min="11" max="11"/>
    <col outlineLevel="1" width="15.77734375" customWidth="1" style="701" min="12" max="12"/>
    <col outlineLevel="1" width="11.44140625" customWidth="1" style="701" min="13" max="13"/>
    <col width="8.77734375" customWidth="1" style="701" min="14" max="37"/>
    <col width="8.77734375" customWidth="1" style="278" min="38" max="38"/>
    <col hidden="1" width="9.21875" customWidth="1" style="334" min="39" max="41"/>
    <col width="8.77734375" customWidth="1" style="278" min="42" max="43"/>
    <col width="8.77734375" customWidth="1" style="278" min="44" max="44"/>
    <col width="8.77734375" customWidth="1" style="701" min="45" max="16384"/>
  </cols>
  <sheetData>
    <row r="1" ht="42.75" customHeight="1">
      <c r="B1" s="175" t="n"/>
      <c r="O1" s="481" t="inlineStr">
        <is>
          <t>Продажа радио:</t>
        </is>
      </c>
      <c r="P1" s="482" t="inlineStr">
        <is>
          <t>Нет</t>
        </is>
      </c>
    </row>
    <row r="2" ht="22.5" customHeight="1" thickBot="1">
      <c r="B2" s="718" t="inlineStr">
        <is>
          <t>Аудиореклама в сети АЗС BP и Роснефть</t>
        </is>
      </c>
      <c r="E2" s="201" t="n"/>
      <c r="F2" s="201" t="n"/>
      <c r="G2" s="201" t="n"/>
      <c r="H2" s="727" t="n"/>
      <c r="I2" s="15" t="n"/>
      <c r="J2" s="15" t="n"/>
      <c r="K2" s="183" t="n"/>
      <c r="L2" s="183" t="n"/>
      <c r="M2" s="183" t="n"/>
      <c r="AA2" s="202" t="inlineStr">
        <is>
          <t>ПК</t>
        </is>
      </c>
      <c r="AB2" s="203" t="n">
        <v>0</v>
      </c>
      <c r="AM2" s="335" t="inlineStr">
        <is>
          <t>ПК</t>
        </is>
      </c>
      <c r="AN2" s="336" t="n">
        <v>0</v>
      </c>
      <c r="AO2" s="335" t="n"/>
    </row>
    <row r="3" ht="15" customHeight="1">
      <c r="B3" s="719" t="inlineStr">
        <is>
          <t xml:space="preserve">Клиент:  </t>
        </is>
      </c>
      <c r="C3" s="854" t="n"/>
      <c r="D3" s="115" t="n"/>
      <c r="E3" s="110" t="n"/>
      <c r="F3" s="110" t="n"/>
      <c r="G3" s="110" t="n"/>
      <c r="H3" s="723" t="inlineStr">
        <is>
          <t xml:space="preserve">Всего АЗС:  </t>
        </is>
      </c>
      <c r="I3" s="879" t="n"/>
      <c r="J3" s="99">
        <f>D25</f>
        <v/>
      </c>
      <c r="K3" s="183" t="n"/>
      <c r="L3" s="183" t="n"/>
      <c r="M3" s="183" t="n"/>
      <c r="AA3" s="202" t="n"/>
      <c r="AB3" s="203" t="n">
        <v>0</v>
      </c>
      <c r="AM3" s="335" t="inlineStr">
        <is>
          <t>РА</t>
        </is>
      </c>
      <c r="AN3" s="336" t="n">
        <v>0.05</v>
      </c>
      <c r="AO3" s="335" t="inlineStr">
        <is>
          <t>Доп скидка</t>
        </is>
      </c>
    </row>
    <row r="4" ht="15" customHeight="1">
      <c r="B4" s="721" t="inlineStr">
        <is>
          <t xml:space="preserve">Бренд:  </t>
        </is>
      </c>
      <c r="C4" s="855" t="n"/>
      <c r="D4" s="116" t="n"/>
      <c r="E4" s="110" t="n"/>
      <c r="F4" s="110" t="n"/>
      <c r="G4" s="110" t="n"/>
      <c r="H4" s="725" t="inlineStr">
        <is>
          <t>Время трансляции в часах:</t>
        </is>
      </c>
      <c r="I4" s="856" t="n"/>
      <c r="J4" s="100" t="n">
        <v>24</v>
      </c>
      <c r="K4" s="183" t="n"/>
      <c r="L4" s="183" t="n"/>
      <c r="M4" s="183" t="n"/>
      <c r="AA4" s="844" t="n"/>
      <c r="AB4" s="844" t="n"/>
      <c r="AM4" s="335" t="n"/>
      <c r="AN4" s="336" t="n">
        <v>0.1</v>
      </c>
      <c r="AO4" s="335" t="inlineStr">
        <is>
          <t>Welcome скидка</t>
        </is>
      </c>
    </row>
    <row r="5" ht="15" customHeight="1">
      <c r="B5" s="714" t="inlineStr">
        <is>
          <t xml:space="preserve">Начало РК:  </t>
        </is>
      </c>
      <c r="C5" s="855" t="n"/>
      <c r="D5" s="206" t="n">
        <v>44986</v>
      </c>
      <c r="E5" s="110" t="n"/>
      <c r="F5" s="110" t="n"/>
      <c r="G5" s="110" t="n"/>
      <c r="H5" s="697" t="inlineStr">
        <is>
          <t>Продолжительность блока в минутах:</t>
        </is>
      </c>
      <c r="I5" s="856" t="n"/>
      <c r="J5" s="101" t="n">
        <v>5</v>
      </c>
      <c r="K5" s="183" t="n"/>
      <c r="L5" s="183" t="n"/>
      <c r="M5" s="183" t="n"/>
      <c r="AM5" s="335" t="n"/>
      <c r="AN5" s="336" t="n">
        <v>0.15</v>
      </c>
      <c r="AO5" s="335" t="inlineStr">
        <is>
          <t>Сезонная скидка</t>
        </is>
      </c>
    </row>
    <row r="6" ht="15" customHeight="1">
      <c r="B6" s="714" t="inlineStr">
        <is>
          <t xml:space="preserve">Окончание РК:  </t>
        </is>
      </c>
      <c r="C6" s="855" t="n"/>
      <c r="D6" s="206" t="n">
        <v>44999</v>
      </c>
      <c r="E6" s="110" t="n"/>
      <c r="F6" s="110" t="n"/>
      <c r="G6" s="110" t="n"/>
      <c r="H6" s="697" t="inlineStr">
        <is>
          <t>Блоков в сутки на одной АЗС:</t>
        </is>
      </c>
      <c r="I6" s="856" t="n"/>
      <c r="J6" s="101">
        <f>J4*60/J5</f>
        <v/>
      </c>
      <c r="K6" s="183" t="n"/>
      <c r="L6" s="183" t="n"/>
      <c r="M6" s="183" t="n"/>
      <c r="AM6" s="335" t="n"/>
      <c r="AN6" s="336" t="n">
        <v>0.2</v>
      </c>
      <c r="AO6" s="335" t="n"/>
    </row>
    <row r="7" ht="15" customHeight="1">
      <c r="B7" s="714" t="inlineStr">
        <is>
          <t xml:space="preserve">Ролик1, сек:  </t>
        </is>
      </c>
      <c r="C7" s="855" t="n"/>
      <c r="D7" s="117" t="n">
        <v>15</v>
      </c>
      <c r="E7" s="110" t="n"/>
      <c r="F7" s="110" t="n"/>
      <c r="G7" s="110" t="n"/>
      <c r="H7" s="697" t="inlineStr">
        <is>
          <t>Кол-во дней размещения:</t>
        </is>
      </c>
      <c r="I7" s="856" t="n"/>
      <c r="J7" s="101">
        <f>D6-D5+1</f>
        <v/>
      </c>
      <c r="K7" s="183" t="n"/>
      <c r="L7" s="183" t="n"/>
      <c r="M7" s="183" t="n"/>
      <c r="AM7" s="335" t="n"/>
      <c r="AN7" s="336" t="n">
        <v>0.25</v>
      </c>
      <c r="AO7" s="335" t="n"/>
    </row>
    <row r="8" ht="15" customHeight="1">
      <c r="B8" s="714" t="inlineStr">
        <is>
          <t xml:space="preserve">Ролик2, сек:  </t>
        </is>
      </c>
      <c r="C8" s="855" t="n"/>
      <c r="D8" s="117" t="n"/>
      <c r="E8" s="110" t="n"/>
      <c r="F8" s="110" t="n"/>
      <c r="G8" s="110" t="n"/>
      <c r="H8" s="697" t="inlineStr">
        <is>
          <t>Кол-во аудиороликов в блоке:</t>
        </is>
      </c>
      <c r="I8" s="856" t="n"/>
      <c r="J8" s="101">
        <f>COUNT(D$7,D$8,D$9)</f>
        <v/>
      </c>
      <c r="K8" s="183" t="n"/>
      <c r="L8" s="183" t="n"/>
      <c r="M8" s="183" t="n"/>
      <c r="AM8" s="335" t="n"/>
      <c r="AN8" s="335" t="n"/>
      <c r="AO8" s="335" t="n"/>
    </row>
    <row r="9" ht="15" customHeight="1">
      <c r="B9" s="716" t="inlineStr">
        <is>
          <t>Карта охвата (ALL)</t>
        </is>
      </c>
      <c r="C9" s="855" t="n"/>
      <c r="D9" s="231" t="inlineStr">
        <is>
          <t>фото АЗС</t>
        </is>
      </c>
      <c r="E9" s="110" t="n"/>
      <c r="F9" s="110" t="n"/>
      <c r="G9" s="110" t="n"/>
      <c r="H9" s="697" t="inlineStr">
        <is>
          <t>Итого секунд в блоке:</t>
        </is>
      </c>
      <c r="I9" s="856" t="n"/>
      <c r="J9" s="102">
        <f>SUM(D7:D9)</f>
        <v/>
      </c>
      <c r="K9" s="183" t="n"/>
      <c r="L9" s="183" t="n"/>
      <c r="M9" s="183" t="n"/>
      <c r="AM9" s="335" t="n"/>
      <c r="AN9" s="335" t="n"/>
      <c r="AO9" s="335" t="n"/>
    </row>
    <row r="10" ht="15" customHeight="1">
      <c r="B10" s="706" t="inlineStr">
        <is>
          <t>Применяемые скидки (последовательно)</t>
        </is>
      </c>
      <c r="C10" s="880" t="n"/>
      <c r="D10" s="855" t="n"/>
      <c r="E10" s="110" t="n"/>
      <c r="F10" s="110" t="n"/>
      <c r="G10" s="110" t="n"/>
      <c r="H10" s="697" t="inlineStr">
        <is>
          <t>Воспроизведения в день на одной АЗС:</t>
        </is>
      </c>
      <c r="I10" s="856" t="n"/>
      <c r="J10" s="101">
        <f>J6*J8</f>
        <v/>
      </c>
      <c r="K10" s="183" t="n"/>
      <c r="L10" s="183" t="n"/>
      <c r="M10" s="183" t="n"/>
      <c r="AM10" s="335" t="n"/>
      <c r="AN10" s="336" t="n">
        <v>0</v>
      </c>
      <c r="AO10" s="335" t="n"/>
    </row>
    <row r="11" ht="15" customHeight="1">
      <c r="B11" s="685" t="inlineStr">
        <is>
          <t>За кол-во экранов(средн):</t>
        </is>
      </c>
      <c r="C11" s="856" t="n"/>
      <c r="D11" s="118">
        <f>SUBTOTAL(1,G21:G22)</f>
        <v/>
      </c>
      <c r="E11" s="110" t="n"/>
      <c r="F11" s="110" t="n"/>
      <c r="G11" s="110" t="n"/>
      <c r="H11" s="697" t="inlineStr">
        <is>
          <t>Минут в день на одной АЗС:</t>
        </is>
      </c>
      <c r="I11" s="856" t="n"/>
      <c r="J11" s="101">
        <f>J6*J9/60</f>
        <v/>
      </c>
      <c r="K11" s="183" t="n"/>
      <c r="L11" s="183" t="n"/>
      <c r="M11" s="183" t="n"/>
      <c r="AM11" s="335" t="n"/>
      <c r="AN11" s="336" t="n">
        <v>0.05</v>
      </c>
      <c r="AO11" s="335" t="n"/>
    </row>
    <row r="12" ht="15" customHeight="1">
      <c r="B12" s="685">
        <f>IF(AA2="РА","Скидка для РА:"," ")</f>
        <v/>
      </c>
      <c r="C12" s="856" t="n"/>
      <c r="D12" s="119">
        <f>IF(AA2="РА",AB2," ")</f>
        <v/>
      </c>
      <c r="E12" s="110" t="n"/>
      <c r="F12" s="110" t="n"/>
      <c r="G12" s="110" t="n"/>
      <c r="H12" s="697" t="inlineStr">
        <is>
          <t>Воспроизведений на всех АЗС за период:</t>
        </is>
      </c>
      <c r="I12" s="856" t="n"/>
      <c r="J12" s="103">
        <f>J10*J7*J3</f>
        <v/>
      </c>
      <c r="K12" s="183" t="n"/>
      <c r="L12" s="183" t="n"/>
      <c r="M12" s="183" t="n"/>
      <c r="AM12" s="335" t="n"/>
      <c r="AN12" s="336" t="n">
        <v>0.1</v>
      </c>
      <c r="AO12" s="335" t="n"/>
    </row>
    <row r="13" ht="15" customHeight="1">
      <c r="B13" s="697">
        <f>IF(AA3=0," ",AA3)</f>
        <v/>
      </c>
      <c r="C13" s="856" t="n"/>
      <c r="D13" s="207">
        <f>IF(OR(AA3="Доп скидка",AA3="Сезонная скидка",AA3="Welcome скидка")=TRUE,AB3," ")</f>
        <v/>
      </c>
      <c r="E13" s="110" t="n"/>
      <c r="F13" s="110" t="n"/>
      <c r="G13" s="110" t="n"/>
      <c r="H13" s="695" t="inlineStr">
        <is>
          <t>OTS:</t>
        </is>
      </c>
      <c r="I13" s="856" t="n"/>
      <c r="J13" s="122">
        <f>L25</f>
        <v/>
      </c>
      <c r="K13" s="183" t="n"/>
      <c r="L13" s="183" t="n"/>
      <c r="M13" s="183" t="n"/>
      <c r="AM13" s="335" t="n"/>
      <c r="AN13" s="336" t="n">
        <v>0.15</v>
      </c>
      <c r="AO13" s="335" t="n"/>
    </row>
    <row r="14" ht="15.75" customHeight="1">
      <c r="B14" s="702" t="inlineStr">
        <is>
          <t>Стоимость размещения</t>
        </is>
      </c>
      <c r="C14" s="859" t="n"/>
      <c r="D14" s="856" t="n"/>
      <c r="E14" s="110" t="n"/>
      <c r="F14" s="110" t="n"/>
      <c r="G14" s="110" t="n"/>
      <c r="H14" s="695" t="inlineStr">
        <is>
          <t>CPT*:</t>
        </is>
      </c>
      <c r="I14" s="856" t="n"/>
      <c r="J14" s="882">
        <f>M25</f>
        <v/>
      </c>
      <c r="K14" s="183" t="n"/>
      <c r="L14" s="183" t="n"/>
      <c r="M14" s="183" t="n"/>
      <c r="AM14" s="335" t="n"/>
      <c r="AN14" s="336" t="n">
        <v>0.2</v>
      </c>
      <c r="AO14" s="335" t="n"/>
    </row>
    <row r="15" ht="15" customHeight="1">
      <c r="B15" s="695" t="inlineStr">
        <is>
          <t>Всего, руб. NET:</t>
        </is>
      </c>
      <c r="C15" s="856" t="n"/>
      <c r="D15" s="883">
        <f>I25</f>
        <v/>
      </c>
      <c r="E15" s="110" t="n"/>
      <c r="F15" s="110" t="n"/>
      <c r="G15" s="110" t="n"/>
      <c r="H15" s="709" t="inlineStr">
        <is>
          <t>Предоставление ролика до:</t>
        </is>
      </c>
      <c r="I15" s="856" t="n"/>
      <c r="J15" s="104">
        <f>D5-3</f>
        <v/>
      </c>
      <c r="K15" s="183" t="n"/>
      <c r="L15" s="183" t="n"/>
      <c r="M15" s="183" t="n"/>
      <c r="AM15" s="335" t="n"/>
      <c r="AN15" s="336" t="n">
        <v>0.25</v>
      </c>
      <c r="AO15" s="335" t="n"/>
    </row>
    <row r="16" ht="15" customHeight="1" thickBot="1">
      <c r="B16" s="713" t="inlineStr">
        <is>
          <t>Всего, руб. GROSS:</t>
        </is>
      </c>
      <c r="C16" s="858" t="n"/>
      <c r="D16" s="884">
        <f>J25</f>
        <v/>
      </c>
      <c r="E16" s="111" t="n"/>
      <c r="F16" s="112" t="n"/>
      <c r="G16" s="113" t="n"/>
      <c r="H16" s="711" t="inlineStr">
        <is>
          <t>Оплата до:</t>
        </is>
      </c>
      <c r="I16" s="858" t="n"/>
      <c r="J16" s="105">
        <f>D5-5</f>
        <v/>
      </c>
      <c r="K16" s="183" t="n"/>
      <c r="L16" s="183" t="n"/>
      <c r="M16" s="183" t="n"/>
      <c r="AM16" s="335" t="n"/>
      <c r="AN16" s="336" t="n"/>
      <c r="AO16" s="335" t="n"/>
    </row>
    <row r="17" ht="10.5" customHeight="1">
      <c r="B17" s="208" t="n"/>
      <c r="C17" s="183" t="n"/>
      <c r="D17" s="183" t="n"/>
      <c r="E17" s="208" t="n"/>
      <c r="F17" s="209" t="n"/>
      <c r="G17" s="210" t="n"/>
      <c r="H17" s="183" t="n"/>
      <c r="I17" s="183" t="n"/>
      <c r="J17" s="183" t="n"/>
      <c r="K17" s="183" t="n"/>
      <c r="L17" s="183" t="n"/>
      <c r="M17" s="183" t="n"/>
      <c r="AM17" s="335" t="inlineStr">
        <is>
          <t>Автобренд</t>
        </is>
      </c>
      <c r="AN17" s="335" t="n"/>
      <c r="AO17" s="335" t="n"/>
    </row>
    <row r="18" ht="12.6" customFormat="1" customHeight="1" s="212">
      <c r="B18" s="705" t="inlineStr">
        <is>
          <t>Расчет стоимости кампании</t>
        </is>
      </c>
      <c r="C18" s="15" t="n"/>
      <c r="D18" s="15" t="n"/>
      <c r="E18" s="29" t="n"/>
      <c r="F18" s="29" t="n"/>
      <c r="G18" s="29" t="n"/>
      <c r="H18" s="185" t="n"/>
      <c r="I18" s="185" t="n"/>
      <c r="J18" s="188" t="n"/>
      <c r="K18" s="188" t="n"/>
      <c r="L18" s="185" t="n"/>
      <c r="M18" s="185" t="n"/>
      <c r="P18" s="701" t="n"/>
      <c r="AL18" s="216" t="n"/>
      <c r="AM18" s="339" t="n"/>
      <c r="AN18" s="339" t="n"/>
      <c r="AO18" s="339" t="n"/>
      <c r="AP18" s="216" t="n"/>
      <c r="AQ18" s="216" t="n"/>
      <c r="AR18" s="216" t="n"/>
    </row>
    <row r="19" ht="12" customFormat="1" customHeight="1" s="212" thickBot="1">
      <c r="B19" s="185" t="n"/>
      <c r="C19" s="185" t="n"/>
      <c r="D19" s="213" t="n"/>
      <c r="E19" s="29" t="n"/>
      <c r="F19" s="29" t="n"/>
      <c r="G19" s="29" t="n"/>
      <c r="H19" s="185" t="n"/>
      <c r="I19" s="185" t="n"/>
      <c r="J19" s="185" t="n"/>
      <c r="K19" s="185" t="n"/>
      <c r="L19" s="185" t="n"/>
      <c r="M19" s="185" t="n"/>
      <c r="AL19" s="216" t="n"/>
      <c r="AM19" s="339" t="n"/>
      <c r="AN19" s="339" t="n"/>
      <c r="AO19" s="339" t="n"/>
      <c r="AP19" s="216" t="n"/>
      <c r="AQ19" s="216" t="n"/>
      <c r="AR19" s="216" t="n"/>
    </row>
    <row r="20" ht="55.05" customFormat="1" customHeight="1" s="212">
      <c r="B20" s="547" t="inlineStr">
        <is>
          <t>Регион</t>
        </is>
      </c>
      <c r="C20" s="548" t="inlineStr">
        <is>
          <t>Сеть</t>
        </is>
      </c>
      <c r="D20" s="548" t="inlineStr">
        <is>
          <t>Количество АЗС</t>
        </is>
      </c>
      <c r="E20" s="548" t="inlineStr">
        <is>
          <t>Базовая стоимость размещения</t>
        </is>
      </c>
      <c r="F20" s="548" t="inlineStr">
        <is>
          <t>Стоимость размещения по выбранной АП за период, без НДС</t>
        </is>
      </c>
      <c r="G20" s="548" t="inlineStr">
        <is>
          <t>Скидка за кол-во экранов</t>
        </is>
      </c>
      <c r="H20" s="548" t="inlineStr">
        <is>
          <t>Итоговая скидка</t>
        </is>
      </c>
      <c r="I20" s="548" t="inlineStr">
        <is>
          <t xml:space="preserve"> Стоимость c учетом всех скидок, без НДС</t>
        </is>
      </c>
      <c r="J20" s="549" t="inlineStr">
        <is>
          <t xml:space="preserve"> Стоимость c учетом всех скидок, вкл. НДС</t>
        </is>
      </c>
      <c r="K20" s="550" t="inlineStr">
        <is>
          <t>Сумма НДС (20%)</t>
        </is>
      </c>
      <c r="L20" s="548" t="inlineStr">
        <is>
          <t>OTS</t>
        </is>
      </c>
      <c r="M20" s="549" t="inlineStr">
        <is>
          <t>CPT*</t>
        </is>
      </c>
      <c r="AL20" s="216" t="n"/>
      <c r="AM20" s="339" t="n"/>
      <c r="AN20" s="339" t="n"/>
      <c r="AO20" s="339" t="n"/>
      <c r="AP20" s="216" t="n"/>
      <c r="AQ20" s="216" t="n"/>
      <c r="AR20" s="216" t="n"/>
    </row>
    <row r="21" ht="16.05" customFormat="1" customHeight="1" s="212">
      <c r="B21" s="543" t="inlineStr">
        <is>
          <t>Москва</t>
        </is>
      </c>
      <c r="C21" s="214" t="inlineStr">
        <is>
          <t>Роснефть</t>
        </is>
      </c>
      <c r="D21" s="170">
        <f>IF(P1="Да",SUMIFS('Адресная программа'!N20:N4999,'Адресная программа'!C20:C4999,Радио!B21,'Адресная программа'!G20:G4999,Радио!C21,'Адресная программа'!L20:L4999,1),0)</f>
        <v/>
      </c>
      <c r="E21" s="870">
        <f>IF(D7=10,500,IF(D7=15,675,IF(D7=20,800,IF(D7=30,1050,0))))+IF(D8=10,500,IF(D8=15,675,IF(D8=20,800,IF(D8=30,1050,0))))</f>
        <v/>
      </c>
      <c r="F21" s="870">
        <f>E21*$J$7*D21</f>
        <v/>
      </c>
      <c r="G21" s="157">
        <f>IF(SUM($D$21:$D$21)=SUMIFS('Адресная программа'!L20:L4999,'Адресная программа'!C20:C4999,Радио!B21,'Адресная программа'!G20:G4999,Радио!C21,'Адресная программа'!L20:L4999,1),30%,IF(SUM(Радио!$D$21:$D$21)&gt;50,10%,0))</f>
        <v/>
      </c>
      <c r="H21" s="171">
        <f>IF(SUM($D$21)=0,0,1-SUM($I$21)/SUM($F$21))</f>
        <v/>
      </c>
      <c r="I21" s="870">
        <f>F21*(1-G21)*(1-IF($AA$2="РА",$AB$2,0))*(1-IF(OR($AA$3="Доп скидка",$AA$3="Сезонная скидка",$AA$3="Welcome скидка")=TRUE,$AB$3,0))</f>
        <v/>
      </c>
      <c r="J21" s="1024">
        <f>I21+K21</f>
        <v/>
      </c>
      <c r="K21" s="1025">
        <f>I21*0.2</f>
        <v/>
      </c>
      <c r="L21" s="413">
        <f>D21*$J$7*1210</f>
        <v/>
      </c>
      <c r="M21" s="886">
        <f>IF(L21=0,0,(I21/L21*1000)/($D$7+$D$8)*10)</f>
        <v/>
      </c>
      <c r="AL21" s="216" t="n"/>
      <c r="AM21" s="339" t="n"/>
      <c r="AN21" s="339" t="n"/>
      <c r="AO21" s="339" t="n"/>
      <c r="AP21" s="216" t="n"/>
      <c r="AQ21" s="216" t="n"/>
      <c r="AR21" s="216" t="n"/>
    </row>
    <row r="22" ht="16.05" customFormat="1" customHeight="1" s="212" thickBot="1">
      <c r="B22" s="535" t="inlineStr">
        <is>
          <t>Москва</t>
        </is>
      </c>
      <c r="C22" s="348" t="inlineStr">
        <is>
          <t>Нефтьмагистраль</t>
        </is>
      </c>
      <c r="D22" s="394">
        <f>IF(P1="Да",SUMIFS('Адресная программа'!N20:N4999,'Адресная программа'!C20:C4999,Радио!B22,'Адресная программа'!G20:G4999,Радио!C22,'Адресная программа'!L20:L4999,1),0)</f>
        <v/>
      </c>
      <c r="E22" s="874">
        <f>IF(D7=10,500,IF(D7=15,675,IF(D7=20,800,IF(D7=30,1050,0))))+IF(D8=10,500,IF(D8=15,675,IF(D8=20,800,IF(D8=30,1050,0))))</f>
        <v/>
      </c>
      <c r="F22" s="874">
        <f>E22*$J$7*D22</f>
        <v/>
      </c>
      <c r="G22" s="453">
        <f>IF(SUM($D$22)=SUMIFS('Адресная программа'!L20:L4999,'Адресная программа'!C20:C4999,Радио!B22,'Адресная программа'!G20:G4999,Радио!C22,'Адресная программа'!L20:L4999,1),30%,IF(SUM(Радио!$D$22)&gt;50,10%,0))</f>
        <v/>
      </c>
      <c r="H22" s="464">
        <f>IF(SUM($D$21)=0,0,1-SUM($I$21)/SUM($F$21))</f>
        <v/>
      </c>
      <c r="I22" s="874">
        <f>F22*(1-G22)*(1-IF($AA$2="РА",$AB$2,0))*(1-IF(OR($AA$3="Доп скидка",$AA$3="Сезонная скидка",$AA$3="Welcome скидка")=TRUE,$AB$3,0))</f>
        <v/>
      </c>
      <c r="J22" s="1026">
        <f>I22+K22</f>
        <v/>
      </c>
      <c r="K22" s="1027">
        <f>I22*0.2</f>
        <v/>
      </c>
      <c r="L22" s="536">
        <f>D22*$J$7*1210</f>
        <v/>
      </c>
      <c r="M22" s="1028">
        <f>IF(L22=0,0,(I22/L22*1000)/($D$7+$D$8)*10)</f>
        <v/>
      </c>
      <c r="AL22" s="216" t="n"/>
      <c r="AM22" s="339" t="n"/>
      <c r="AN22" s="339" t="n"/>
      <c r="AO22" s="339" t="n"/>
      <c r="AP22" s="216" t="n"/>
      <c r="AQ22" s="216" t="n"/>
      <c r="AR22" s="216" t="n"/>
    </row>
    <row r="23" ht="16.05" customFormat="1" customHeight="1" s="212">
      <c r="B23" s="539" t="n"/>
      <c r="C23" s="540" t="n"/>
      <c r="D23" s="541" t="n"/>
      <c r="E23" s="1029" t="n"/>
      <c r="F23" s="1029" t="n"/>
      <c r="G23" s="488" t="n"/>
      <c r="H23" s="489" t="n"/>
      <c r="I23" s="1029" t="n"/>
      <c r="J23" s="1029" t="n"/>
      <c r="AL23" s="216" t="n"/>
      <c r="AM23" s="339" t="n"/>
      <c r="AN23" s="339" t="n"/>
      <c r="AO23" s="339" t="n"/>
      <c r="AP23" s="216" t="n"/>
      <c r="AQ23" s="216" t="n"/>
      <c r="AR23" s="216" t="n"/>
    </row>
    <row r="24" ht="16.05" customFormat="1" customHeight="1" s="212" thickBot="1">
      <c r="B24" s="212" t="inlineStr">
        <is>
          <t>*CPT 10-секундного ролика</t>
        </is>
      </c>
      <c r="C24" s="216" t="n"/>
      <c r="D24" s="215" t="n"/>
      <c r="E24" s="216" t="n"/>
      <c r="F24" s="889" t="n"/>
      <c r="G24" s="890" t="n"/>
      <c r="H24" s="890" t="n"/>
      <c r="I24" s="889" t="n"/>
      <c r="J24" s="889" t="n"/>
      <c r="K24" s="889" t="n"/>
      <c r="L24" s="218" t="n"/>
      <c r="M24" s="891" t="n"/>
      <c r="AL24" s="216" t="n"/>
      <c r="AM24" s="339" t="n"/>
      <c r="AN24" s="339" t="n"/>
      <c r="AO24" s="339" t="n"/>
      <c r="AP24" s="216" t="n"/>
      <c r="AQ24" s="216" t="n"/>
      <c r="AR24" s="216" t="n"/>
    </row>
    <row r="25" ht="16.05" customFormat="1" customHeight="1" s="225" thickBot="1">
      <c r="B25" s="220" t="n"/>
      <c r="C25" s="221" t="inlineStr">
        <is>
          <t>Итого:</t>
        </is>
      </c>
      <c r="D25" s="222">
        <f>SUM(D21:D22)</f>
        <v/>
      </c>
      <c r="E25" s="220" t="n"/>
      <c r="F25" s="892">
        <f>SUM(F21:F22)</f>
        <v/>
      </c>
      <c r="G25" s="893" t="n"/>
      <c r="H25" s="893" t="n"/>
      <c r="I25" s="892">
        <f>SUM(I21:I22)</f>
        <v/>
      </c>
      <c r="J25" s="894">
        <f>SUM(J21:J22)</f>
        <v/>
      </c>
      <c r="K25" s="892">
        <f>SUM(K21:K22)</f>
        <v/>
      </c>
      <c r="L25" s="224">
        <f>SUM(L21:L22)</f>
        <v/>
      </c>
      <c r="M25" s="895">
        <f>IF(L25=0,0,I25/L25*1000/$D$7*10)</f>
        <v/>
      </c>
      <c r="AL25" s="216" t="n"/>
      <c r="AM25" s="339" t="n"/>
      <c r="AN25" s="339" t="n"/>
      <c r="AO25" s="339" t="n"/>
      <c r="AP25" s="220" t="n"/>
      <c r="AQ25" s="220" t="n"/>
      <c r="AR25" s="220" t="n"/>
    </row>
    <row r="27" customFormat="1" s="844">
      <c r="AL27" s="327" t="n"/>
      <c r="AM27" s="324" t="n"/>
      <c r="AN27" s="324" t="n"/>
      <c r="AO27" s="324" t="n"/>
      <c r="AP27" s="327" t="n"/>
      <c r="AQ27" s="327" t="n"/>
      <c r="AR27" s="327" t="n"/>
    </row>
    <row r="28" ht="13.8" customFormat="1" customHeight="1" s="844">
      <c r="C28" s="538" t="n"/>
      <c r="D28" s="701" t="n"/>
      <c r="E28" s="701" t="n"/>
      <c r="F28" s="701" t="n"/>
      <c r="G28" s="701" t="n"/>
      <c r="AL28" s="327" t="n"/>
      <c r="AM28" s="324" t="n"/>
      <c r="AN28" s="324" t="n"/>
      <c r="AO28" s="324" t="n"/>
      <c r="AP28" s="327" t="n"/>
      <c r="AQ28" s="327" t="n"/>
      <c r="AR28" s="327" t="n"/>
    </row>
    <row r="29" customFormat="1" s="844">
      <c r="C29" s="844" t="n"/>
      <c r="D29" s="896" t="n"/>
      <c r="AL29" s="327" t="n"/>
      <c r="AM29" s="324" t="n"/>
      <c r="AN29" s="324" t="n"/>
      <c r="AO29" s="324" t="n"/>
      <c r="AP29" s="327" t="n"/>
      <c r="AQ29" s="327" t="n"/>
      <c r="AR29" s="327" t="n"/>
    </row>
    <row r="30">
      <c r="C30" s="701" t="n"/>
    </row>
    <row r="31">
      <c r="B31" s="844" t="n"/>
    </row>
    <row r="32" ht="42.75" customHeight="1">
      <c r="B32" s="694" t="n"/>
      <c r="C32" s="896" t="n"/>
      <c r="D32" s="896" t="n"/>
      <c r="E32" s="896" t="n"/>
      <c r="F32" s="896" t="n"/>
      <c r="G32" s="896" t="n"/>
      <c r="H32" s="896" t="n"/>
      <c r="I32" s="896" t="n"/>
      <c r="J32" s="896" t="n"/>
      <c r="K32" s="896" t="n"/>
      <c r="L32" s="896" t="n"/>
      <c r="M32" s="896" t="n"/>
    </row>
  </sheetData>
  <autoFilter ref="B20:M21"/>
  <mergeCells count="34">
    <mergeCell ref="B16:C16"/>
    <mergeCell ref="B14:D14"/>
    <mergeCell ref="C30:D30"/>
    <mergeCell ref="B7:C7"/>
    <mergeCell ref="B3:C3"/>
    <mergeCell ref="H10:I10"/>
    <mergeCell ref="H4:I4"/>
    <mergeCell ref="H2:J2"/>
    <mergeCell ref="H9:I9"/>
    <mergeCell ref="B12:C12"/>
    <mergeCell ref="B10:D10"/>
    <mergeCell ref="C29:D29"/>
    <mergeCell ref="H6:I6"/>
    <mergeCell ref="B11:C11"/>
    <mergeCell ref="B8:C8"/>
    <mergeCell ref="B13:C13"/>
    <mergeCell ref="H11:I11"/>
    <mergeCell ref="H16:I16"/>
    <mergeCell ref="H7:I7"/>
    <mergeCell ref="B32:M32"/>
    <mergeCell ref="B9:C9"/>
    <mergeCell ref="H13:I13"/>
    <mergeCell ref="H3:I3"/>
    <mergeCell ref="B6:C6"/>
    <mergeCell ref="H12:I12"/>
    <mergeCell ref="H8:I8"/>
    <mergeCell ref="B15:C15"/>
    <mergeCell ref="B5:C5"/>
    <mergeCell ref="H15:I15"/>
    <mergeCell ref="B18:D18"/>
    <mergeCell ref="H5:I5"/>
    <mergeCell ref="H14:I14"/>
    <mergeCell ref="B4:C4"/>
    <mergeCell ref="B2:D2"/>
  </mergeCells>
  <dataValidations count="6">
    <dataValidation sqref="AB3" showDropDown="0" showInputMessage="1" showErrorMessage="1" allowBlank="1" type="list">
      <formula1>$AN$10:$AN$15</formula1>
    </dataValidation>
    <dataValidation sqref="D7:D8" showDropDown="0" showInputMessage="1" showErrorMessage="1" allowBlank="1" type="list">
      <formula1>"10,15,20,30"</formula1>
    </dataValidation>
    <dataValidation sqref="AA3" showDropDown="0" showInputMessage="1" showErrorMessage="1" allowBlank="1" type="list">
      <formula1>$AO$3:$AO$5</formula1>
    </dataValidation>
    <dataValidation sqref="AB2" showDropDown="0" showInputMessage="1" showErrorMessage="1" allowBlank="1" type="list">
      <formula1>$AN$2:$AN$7</formula1>
    </dataValidation>
    <dataValidation sqref="AA2" showDropDown="0" showInputMessage="1" showErrorMessage="1" allowBlank="1" type="list">
      <formula1>$AM$2:$AM$3</formula1>
    </dataValidation>
    <dataValidation sqref="P1" showDropDown="0" showInputMessage="1" showErrorMessage="1" allowBlank="1" type="list">
      <formula1>"Да,Нет"</formula1>
    </dataValidation>
  </dataValidations>
  <hyperlinks>
    <hyperlink xmlns:r="http://schemas.openxmlformats.org/officeDocument/2006/relationships" ref="B9" display="Карта охвата (ALL)" r:id="rId1"/>
    <hyperlink xmlns:r="http://schemas.openxmlformats.org/officeDocument/2006/relationships" ref="D9" r:id="rId2"/>
  </hyperlinks>
  <pageMargins left="0.7" right="0.7" top="0.75" bottom="0.75" header="0.3" footer="0.3"/>
  <pageSetup orientation="portrait" paperSize="9" horizontalDpi="1200" verticalDpi="1200"/>
</worksheet>
</file>

<file path=xl/worksheets/sheet18.xml><?xml version="1.0" encoding="utf-8"?>
<worksheet xmlns="http://schemas.openxmlformats.org/spreadsheetml/2006/main">
  <sheetPr filterMode="1">
    <outlinePr summaryBelow="1" summaryRight="1"/>
    <pageSetUpPr/>
  </sheetPr>
  <dimension ref="A1:I1065"/>
  <sheetViews>
    <sheetView zoomScaleNormal="100" workbookViewId="0">
      <selection activeCell="D1064" sqref="D1064"/>
    </sheetView>
  </sheetViews>
  <sheetFormatPr baseColWidth="8" defaultRowHeight="14.4"/>
  <cols>
    <col width="34" customWidth="1" style="126" min="1" max="1"/>
    <col width="17.5546875" customWidth="1" style="126" min="2" max="2"/>
    <col width="23.77734375" customWidth="1" style="126" min="3" max="3"/>
    <col width="27.77734375" customWidth="1" style="126" min="4" max="4"/>
    <col width="31.77734375" customWidth="1" style="503" min="5" max="5"/>
    <col width="17.5546875" customWidth="1" style="126" min="6" max="6"/>
  </cols>
  <sheetData>
    <row r="1">
      <c r="A1" s="619" t="inlineStr">
        <is>
          <t>Регион</t>
        </is>
      </c>
      <c r="B1" s="619" t="inlineStr">
        <is>
          <t>Сеть</t>
        </is>
      </c>
      <c r="C1" s="619" t="inlineStr">
        <is>
          <t>Название</t>
        </is>
      </c>
      <c r="D1" s="619" t="inlineStr">
        <is>
          <t>Метка</t>
        </is>
      </c>
      <c r="E1" s="620" t="inlineStr">
        <is>
          <t>Статус</t>
        </is>
      </c>
      <c r="F1" s="619" t="inlineStr">
        <is>
          <t>Дата</t>
        </is>
      </c>
    </row>
    <row r="2" hidden="1">
      <c r="A2" s="497" t="inlineStr">
        <is>
          <t>Краснодар</t>
        </is>
      </c>
      <c r="B2" s="497" t="inlineStr">
        <is>
          <t>Роснефть</t>
        </is>
      </c>
      <c r="C2" s="497" t="n">
        <v>22</v>
      </c>
      <c r="D2" s="500" t="inlineStr">
        <is>
          <t>KDR_RN_0022</t>
        </is>
      </c>
      <c r="E2" s="502" t="inlineStr">
        <is>
          <t>добавил</t>
        </is>
      </c>
      <c r="F2" s="498" t="n">
        <v>45019</v>
      </c>
    </row>
    <row r="3" hidden="1">
      <c r="A3" s="497" t="inlineStr">
        <is>
          <t>Краснодар</t>
        </is>
      </c>
      <c r="B3" s="497" t="inlineStr">
        <is>
          <t>Роснефть</t>
        </is>
      </c>
      <c r="C3" s="497" t="n">
        <v>79</v>
      </c>
      <c r="D3" s="500" t="inlineStr">
        <is>
          <t>KDR_RN_0079</t>
        </is>
      </c>
      <c r="E3" s="502" t="inlineStr">
        <is>
          <t>добавил</t>
        </is>
      </c>
      <c r="F3" s="498" t="n">
        <v>45019</v>
      </c>
    </row>
    <row r="4" hidden="1">
      <c r="A4" s="497" t="inlineStr">
        <is>
          <t>Краснодар</t>
        </is>
      </c>
      <c r="B4" s="497" t="inlineStr">
        <is>
          <t>Роснефть</t>
        </is>
      </c>
      <c r="C4" s="497" t="n">
        <v>233</v>
      </c>
      <c r="D4" s="500" t="inlineStr">
        <is>
          <t>KDR_RN_0233</t>
        </is>
      </c>
      <c r="E4" s="502" t="inlineStr">
        <is>
          <t>добавил</t>
        </is>
      </c>
      <c r="F4" s="498" t="n">
        <v>45019</v>
      </c>
    </row>
    <row r="5" hidden="1">
      <c r="A5" s="499" t="inlineStr">
        <is>
          <t>Ростов-на-Дону</t>
        </is>
      </c>
      <c r="B5" s="499" t="inlineStr">
        <is>
          <t>ТНК</t>
        </is>
      </c>
      <c r="C5" s="497" t="n">
        <v>27</v>
      </c>
      <c r="D5" s="500" t="inlineStr">
        <is>
          <t>RND_RN_0027</t>
        </is>
      </c>
      <c r="E5" s="502" t="inlineStr">
        <is>
          <t>реконструкция</t>
        </is>
      </c>
      <c r="F5" s="498" t="n">
        <v>45019</v>
      </c>
    </row>
    <row r="6" hidden="1">
      <c r="A6" s="499" t="inlineStr">
        <is>
          <t>Ростов-на-Дону</t>
        </is>
      </c>
      <c r="B6" s="497" t="inlineStr">
        <is>
          <t>Роснефть</t>
        </is>
      </c>
      <c r="C6" s="497" t="n">
        <v>116</v>
      </c>
      <c r="D6" s="500" t="inlineStr">
        <is>
          <t>RND_RN_0116</t>
        </is>
      </c>
      <c r="E6" s="502" t="inlineStr">
        <is>
          <t>реконструкция</t>
        </is>
      </c>
      <c r="F6" s="498" t="n">
        <v>45019</v>
      </c>
    </row>
    <row r="7" hidden="1">
      <c r="A7" s="499" t="inlineStr">
        <is>
          <t>Ростов-на-Дону</t>
        </is>
      </c>
      <c r="B7" s="497" t="inlineStr">
        <is>
          <t>Роснефть</t>
        </is>
      </c>
      <c r="C7" s="497" t="n">
        <v>118</v>
      </c>
      <c r="D7" s="500" t="inlineStr">
        <is>
          <t>RND_RN_0118</t>
        </is>
      </c>
      <c r="E7" s="502" t="inlineStr">
        <is>
          <t>реконструкция</t>
        </is>
      </c>
      <c r="F7" s="498" t="n">
        <v>45019</v>
      </c>
    </row>
    <row r="8" hidden="1">
      <c r="A8" s="499" t="inlineStr">
        <is>
          <t>Ростов-на-Дону</t>
        </is>
      </c>
      <c r="B8" s="497" t="inlineStr">
        <is>
          <t>Роснефть</t>
        </is>
      </c>
      <c r="C8" s="497" t="n">
        <v>129</v>
      </c>
      <c r="D8" s="500" t="inlineStr">
        <is>
          <t>RND_RN_0129</t>
        </is>
      </c>
      <c r="E8" s="502" t="inlineStr">
        <is>
          <t>реконструкция</t>
        </is>
      </c>
      <c r="F8" s="498" t="n">
        <v>45019</v>
      </c>
    </row>
    <row r="9" hidden="1">
      <c r="A9" s="497" t="inlineStr">
        <is>
          <t>Санкт-Петербург</t>
        </is>
      </c>
      <c r="B9" s="497" t="inlineStr">
        <is>
          <t>Neste</t>
        </is>
      </c>
      <c r="C9" s="497" t="n">
        <v>500</v>
      </c>
      <c r="D9" s="500" t="inlineStr">
        <is>
          <t>SPB_Neste_500</t>
        </is>
      </c>
      <c r="E9" s="502" t="inlineStr">
        <is>
          <t>добавил</t>
        </is>
      </c>
      <c r="F9" s="498" t="n">
        <v>45019</v>
      </c>
    </row>
    <row r="10" hidden="1">
      <c r="A10" s="497" t="inlineStr">
        <is>
          <t>ЦФО</t>
        </is>
      </c>
      <c r="B10" s="497" t="inlineStr">
        <is>
          <t>Газпромнефть</t>
        </is>
      </c>
      <c r="C10" s="497" t="n">
        <v>12082</v>
      </c>
      <c r="D10" s="500" t="inlineStr">
        <is>
          <t>GPN_12082</t>
        </is>
      </c>
      <c r="E10" s="502" t="inlineStr">
        <is>
          <t>добавил 2 экрана</t>
        </is>
      </c>
      <c r="F10" s="498" t="n">
        <v>45019</v>
      </c>
    </row>
    <row r="11" hidden="1">
      <c r="A11" s="497" t="inlineStr">
        <is>
          <t>Санкт-Петербург</t>
        </is>
      </c>
      <c r="B11" s="497" t="inlineStr">
        <is>
          <t>Газпромнефть</t>
        </is>
      </c>
      <c r="C11" s="497" t="n">
        <v>10072</v>
      </c>
      <c r="D11" s="402" t="inlineStr">
        <is>
          <t>GPN_10072</t>
        </is>
      </c>
      <c r="E11" s="640" t="inlineStr">
        <is>
          <t>кол-во эк: 3</t>
        </is>
      </c>
      <c r="F11" s="498" t="n">
        <v>45019</v>
      </c>
    </row>
    <row r="12" hidden="1">
      <c r="A12" s="497" t="inlineStr">
        <is>
          <t>Санкт-Петербург</t>
        </is>
      </c>
      <c r="B12" s="497" t="inlineStr">
        <is>
          <t>Газпромнефть</t>
        </is>
      </c>
      <c r="C12" s="497" t="n">
        <v>10074</v>
      </c>
      <c r="D12" s="402" t="inlineStr">
        <is>
          <t>GPN_10074</t>
        </is>
      </c>
      <c r="E12" s="640" t="inlineStr">
        <is>
          <t>кол-во эк: 3</t>
        </is>
      </c>
      <c r="F12" s="498" t="n">
        <v>45019</v>
      </c>
    </row>
    <row r="13" hidden="1">
      <c r="A13" s="497" t="inlineStr">
        <is>
          <t>Москва</t>
        </is>
      </c>
      <c r="B13" s="497" t="inlineStr">
        <is>
          <t>Газпромнефть</t>
        </is>
      </c>
      <c r="C13" s="497" t="n">
        <v>12258</v>
      </c>
      <c r="D13" s="402" t="inlineStr">
        <is>
          <t>GPN_12258</t>
        </is>
      </c>
      <c r="E13" s="640" t="inlineStr">
        <is>
          <t>кол-во эк: 3</t>
        </is>
      </c>
      <c r="F13" s="498" t="n">
        <v>45019</v>
      </c>
    </row>
    <row r="14" hidden="1">
      <c r="A14" s="497" t="inlineStr">
        <is>
          <t>Москва</t>
        </is>
      </c>
      <c r="B14" s="497" t="inlineStr">
        <is>
          <t>Газпромнефть</t>
        </is>
      </c>
      <c r="C14" s="497" t="n">
        <v>12250</v>
      </c>
      <c r="D14" s="402" t="inlineStr">
        <is>
          <t>GPN_12250</t>
        </is>
      </c>
      <c r="E14" s="640" t="inlineStr">
        <is>
          <t>кол-во эк: 3</t>
        </is>
      </c>
      <c r="F14" s="498" t="n">
        <v>45019</v>
      </c>
    </row>
    <row r="15" hidden="1">
      <c r="A15" s="497" t="inlineStr">
        <is>
          <t>Москва</t>
        </is>
      </c>
      <c r="B15" s="497" t="inlineStr">
        <is>
          <t>Газпромнефть</t>
        </is>
      </c>
      <c r="C15" s="497" t="n">
        <v>12067</v>
      </c>
      <c r="D15" s="402" t="inlineStr">
        <is>
          <t>GPN_12067</t>
        </is>
      </c>
      <c r="E15" s="640" t="inlineStr">
        <is>
          <t>кол-во эк: 3</t>
        </is>
      </c>
      <c r="F15" s="498" t="n">
        <v>45019</v>
      </c>
    </row>
    <row r="16" hidden="1">
      <c r="A16" s="497" t="inlineStr">
        <is>
          <t>Москва</t>
        </is>
      </c>
      <c r="B16" s="497" t="inlineStr">
        <is>
          <t>Газпромнефть</t>
        </is>
      </c>
      <c r="C16" s="497" t="n">
        <v>12069</v>
      </c>
      <c r="D16" s="402" t="inlineStr">
        <is>
          <t>GPN_12069</t>
        </is>
      </c>
      <c r="E16" s="640" t="inlineStr">
        <is>
          <t>кол-во эк: 3</t>
        </is>
      </c>
      <c r="F16" s="498" t="n">
        <v>45019</v>
      </c>
    </row>
    <row r="17" hidden="1">
      <c r="A17" s="497" t="inlineStr">
        <is>
          <t>Москва</t>
        </is>
      </c>
      <c r="B17" s="497" t="inlineStr">
        <is>
          <t>Газпромнефть</t>
        </is>
      </c>
      <c r="C17" s="497" t="n">
        <v>12043</v>
      </c>
      <c r="D17" s="402" t="inlineStr">
        <is>
          <t>GPN_12043</t>
        </is>
      </c>
      <c r="E17" s="640" t="inlineStr">
        <is>
          <t>кол-во эк: 2</t>
        </is>
      </c>
      <c r="F17" s="498" t="n">
        <v>45019</v>
      </c>
    </row>
    <row r="18" hidden="1">
      <c r="A18" s="497" t="inlineStr">
        <is>
          <t>Москва</t>
        </is>
      </c>
      <c r="B18" s="497" t="inlineStr">
        <is>
          <t>Газпромнефть</t>
        </is>
      </c>
      <c r="C18" s="497" t="n">
        <v>12059</v>
      </c>
      <c r="D18" s="402" t="inlineStr">
        <is>
          <t>GPN_12059</t>
        </is>
      </c>
      <c r="E18" s="640" t="inlineStr">
        <is>
          <t>кол-во эк: 3</t>
        </is>
      </c>
      <c r="F18" s="498" t="n">
        <v>45019</v>
      </c>
    </row>
    <row r="19" hidden="1">
      <c r="A19" s="497" t="inlineStr">
        <is>
          <t>ЦФО</t>
        </is>
      </c>
      <c r="B19" s="497" t="inlineStr">
        <is>
          <t>Газпромнефть</t>
        </is>
      </c>
      <c r="C19" s="497" t="n">
        <v>12089</v>
      </c>
      <c r="D19" s="402" t="inlineStr">
        <is>
          <t>GPN_12089</t>
        </is>
      </c>
      <c r="E19" s="640" t="inlineStr">
        <is>
          <t>кол-во эк: 3</t>
        </is>
      </c>
      <c r="F19" s="498" t="n">
        <v>45019</v>
      </c>
    </row>
    <row r="20" hidden="1">
      <c r="A20" s="497" t="inlineStr">
        <is>
          <t>Москва</t>
        </is>
      </c>
      <c r="B20" s="497" t="inlineStr">
        <is>
          <t>Газпромнефть</t>
        </is>
      </c>
      <c r="C20" s="497" t="n">
        <v>12220</v>
      </c>
      <c r="D20" s="402" t="inlineStr">
        <is>
          <t>GPN_12220</t>
        </is>
      </c>
      <c r="E20" s="640" t="inlineStr">
        <is>
          <t>кол-во эк: 3</t>
        </is>
      </c>
      <c r="F20" s="498" t="n">
        <v>45019</v>
      </c>
    </row>
    <row r="21" hidden="1">
      <c r="A21" s="497" t="inlineStr">
        <is>
          <t>Москва</t>
        </is>
      </c>
      <c r="B21" s="497" t="inlineStr">
        <is>
          <t>Газпромнефть</t>
        </is>
      </c>
      <c r="C21" s="497" t="n">
        <v>12179</v>
      </c>
      <c r="D21" s="402" t="inlineStr">
        <is>
          <t>GPN_12179</t>
        </is>
      </c>
      <c r="E21" s="640" t="inlineStr">
        <is>
          <t>кол-во эк: 3</t>
        </is>
      </c>
      <c r="F21" s="498" t="n">
        <v>45019</v>
      </c>
    </row>
    <row r="22" hidden="1">
      <c r="A22" s="497" t="inlineStr">
        <is>
          <t>Ярославль</t>
        </is>
      </c>
      <c r="B22" s="497" t="inlineStr">
        <is>
          <t>Газпромнефть</t>
        </is>
      </c>
      <c r="C22" s="497" t="n">
        <v>13007</v>
      </c>
      <c r="D22" s="402" t="inlineStr">
        <is>
          <t>GPN_13007</t>
        </is>
      </c>
      <c r="E22" s="640" t="inlineStr">
        <is>
          <t>кол-во эк: 2</t>
        </is>
      </c>
      <c r="F22" s="498" t="n">
        <v>45019</v>
      </c>
    </row>
    <row r="23" hidden="1">
      <c r="A23" s="497" t="inlineStr">
        <is>
          <t>Приволжье</t>
        </is>
      </c>
      <c r="B23" s="497" t="inlineStr">
        <is>
          <t>Газпромнефть</t>
        </is>
      </c>
      <c r="C23" s="497" t="n">
        <v>14205</v>
      </c>
      <c r="D23" s="402" t="inlineStr">
        <is>
          <t>GPN_14205</t>
        </is>
      </c>
      <c r="E23" s="640" t="inlineStr">
        <is>
          <t>кол-во эк: 3</t>
        </is>
      </c>
      <c r="F23" s="498" t="n">
        <v>45019</v>
      </c>
    </row>
    <row r="24" hidden="1">
      <c r="A24" s="497" t="inlineStr">
        <is>
          <t>Приволжье</t>
        </is>
      </c>
      <c r="B24" s="497" t="inlineStr">
        <is>
          <t>Газпромнефть</t>
        </is>
      </c>
      <c r="C24" s="497" t="n">
        <v>14208</v>
      </c>
      <c r="D24" s="402" t="inlineStr">
        <is>
          <t>GPN_14208</t>
        </is>
      </c>
      <c r="E24" s="640" t="inlineStr">
        <is>
          <t>кол-во эк: 3</t>
        </is>
      </c>
      <c r="F24" s="498" t="n">
        <v>45019</v>
      </c>
    </row>
    <row r="25" hidden="1">
      <c r="A25" s="497" t="inlineStr">
        <is>
          <t>Приволжье</t>
        </is>
      </c>
      <c r="B25" s="497" t="inlineStr">
        <is>
          <t>Газпромнефть</t>
        </is>
      </c>
      <c r="C25" s="497" t="n">
        <v>14209</v>
      </c>
      <c r="D25" s="402" t="inlineStr">
        <is>
          <t>GPN_14209</t>
        </is>
      </c>
      <c r="E25" s="640" t="inlineStr">
        <is>
          <t>кол-во эк: 3</t>
        </is>
      </c>
      <c r="F25" s="498" t="n">
        <v>45019</v>
      </c>
    </row>
    <row r="26" hidden="1">
      <c r="A26" s="497" t="inlineStr">
        <is>
          <t>Приволжье</t>
        </is>
      </c>
      <c r="B26" s="497" t="inlineStr">
        <is>
          <t>Газпромнефть</t>
        </is>
      </c>
      <c r="C26" s="497" t="n">
        <v>14210</v>
      </c>
      <c r="D26" s="402" t="inlineStr">
        <is>
          <t>GPN_14210</t>
        </is>
      </c>
      <c r="E26" s="640" t="inlineStr">
        <is>
          <t>кол-во эк: 2</t>
        </is>
      </c>
      <c r="F26" s="498" t="n">
        <v>45019</v>
      </c>
    </row>
    <row r="27" hidden="1">
      <c r="A27" s="497" t="inlineStr">
        <is>
          <t>Приволжье</t>
        </is>
      </c>
      <c r="B27" s="497" t="inlineStr">
        <is>
          <t>Газпромнефть</t>
        </is>
      </c>
      <c r="C27" s="497" t="n">
        <v>14211</v>
      </c>
      <c r="D27" s="402" t="inlineStr">
        <is>
          <t>GPN_14211</t>
        </is>
      </c>
      <c r="E27" s="640" t="inlineStr">
        <is>
          <t>кол-во эк: 1</t>
        </is>
      </c>
      <c r="F27" s="498" t="n">
        <v>45019</v>
      </c>
    </row>
    <row r="28" hidden="1">
      <c r="A28" s="497" t="inlineStr">
        <is>
          <t>Приволжье</t>
        </is>
      </c>
      <c r="B28" s="497" t="inlineStr">
        <is>
          <t>Газпромнефть</t>
        </is>
      </c>
      <c r="C28" s="497" t="n">
        <v>14213</v>
      </c>
      <c r="D28" s="402" t="inlineStr">
        <is>
          <t>GPN_14213</t>
        </is>
      </c>
      <c r="E28" s="640" t="inlineStr">
        <is>
          <t>кол-во эк: 2</t>
        </is>
      </c>
      <c r="F28" s="498" t="n">
        <v>45019</v>
      </c>
    </row>
    <row r="29" hidden="1">
      <c r="A29" s="497" t="inlineStr">
        <is>
          <t>Приволжье</t>
        </is>
      </c>
      <c r="B29" s="497" t="inlineStr">
        <is>
          <t>Газпромнефть</t>
        </is>
      </c>
      <c r="C29" s="497" t="n">
        <v>14216</v>
      </c>
      <c r="D29" s="402" t="inlineStr">
        <is>
          <t>GPN_14216</t>
        </is>
      </c>
      <c r="E29" s="640" t="inlineStr">
        <is>
          <t>кол-во эк: 3</t>
        </is>
      </c>
      <c r="F29" s="498" t="n">
        <v>45019</v>
      </c>
    </row>
    <row r="30" hidden="1">
      <c r="A30" s="497" t="inlineStr">
        <is>
          <t>Приволжье</t>
        </is>
      </c>
      <c r="B30" s="497" t="inlineStr">
        <is>
          <t>Газпромнефть</t>
        </is>
      </c>
      <c r="C30" s="497" t="n">
        <v>14232</v>
      </c>
      <c r="D30" s="402" t="inlineStr">
        <is>
          <t>GPN_14232</t>
        </is>
      </c>
      <c r="E30" s="640" t="inlineStr">
        <is>
          <t>кол-во эк: 3</t>
        </is>
      </c>
      <c r="F30" s="498" t="n">
        <v>45019</v>
      </c>
    </row>
    <row r="31" hidden="1">
      <c r="A31" s="497" t="inlineStr">
        <is>
          <t>Приволжье</t>
        </is>
      </c>
      <c r="B31" s="497" t="inlineStr">
        <is>
          <t>Газпромнефть</t>
        </is>
      </c>
      <c r="C31" s="497" t="n">
        <v>14236</v>
      </c>
      <c r="D31" s="402" t="inlineStr">
        <is>
          <t>GPN_14236</t>
        </is>
      </c>
      <c r="E31" s="640" t="inlineStr">
        <is>
          <t>кол-во эк: 3</t>
        </is>
      </c>
      <c r="F31" s="498" t="n">
        <v>45019</v>
      </c>
    </row>
    <row r="32" hidden="1">
      <c r="A32" s="497" t="inlineStr">
        <is>
          <t>Тюмень</t>
        </is>
      </c>
      <c r="B32" s="497" t="inlineStr">
        <is>
          <t>Газпромнефть</t>
        </is>
      </c>
      <c r="C32" s="497" t="n">
        <v>21302</v>
      </c>
      <c r="D32" s="402" t="inlineStr">
        <is>
          <t>GPN_21302</t>
        </is>
      </c>
      <c r="E32" s="640" t="inlineStr">
        <is>
          <t>кол-во эк: 3</t>
        </is>
      </c>
      <c r="F32" s="498" t="n">
        <v>45019</v>
      </c>
    </row>
    <row r="33" hidden="1">
      <c r="A33" s="497" t="inlineStr">
        <is>
          <t>Тюмень</t>
        </is>
      </c>
      <c r="B33" s="497" t="inlineStr">
        <is>
          <t>Газпромнефть</t>
        </is>
      </c>
      <c r="C33" s="497" t="n">
        <v>21350</v>
      </c>
      <c r="D33" s="402" t="inlineStr">
        <is>
          <t>GPN_21350</t>
        </is>
      </c>
      <c r="E33" s="640" t="inlineStr">
        <is>
          <t>кол-во эк: 3</t>
        </is>
      </c>
      <c r="F33" s="498" t="n">
        <v>45019</v>
      </c>
    </row>
    <row r="34" hidden="1">
      <c r="A34" s="497" t="inlineStr">
        <is>
          <t>Челябинск</t>
        </is>
      </c>
      <c r="B34" s="497" t="inlineStr">
        <is>
          <t>Газпромнефть</t>
        </is>
      </c>
      <c r="C34" s="497" t="n">
        <v>22224</v>
      </c>
      <c r="D34" s="402" t="inlineStr">
        <is>
          <t>GPN_22224</t>
        </is>
      </c>
      <c r="E34" s="640" t="inlineStr">
        <is>
          <t>кол-во эк: 3</t>
        </is>
      </c>
      <c r="F34" s="498" t="n">
        <v>45019</v>
      </c>
    </row>
    <row r="35" hidden="1">
      <c r="A35" s="497" t="inlineStr">
        <is>
          <t>Омск</t>
        </is>
      </c>
      <c r="B35" s="497" t="inlineStr">
        <is>
          <t>Газпромнефть</t>
        </is>
      </c>
      <c r="C35" s="497" t="n">
        <v>31037</v>
      </c>
      <c r="D35" s="402" t="inlineStr">
        <is>
          <t>GPN_31037</t>
        </is>
      </c>
      <c r="E35" s="640" t="inlineStr">
        <is>
          <t>кол-во эк: 2</t>
        </is>
      </c>
      <c r="F35" s="498" t="n">
        <v>45019</v>
      </c>
    </row>
    <row r="36" hidden="1">
      <c r="A36" s="497" t="inlineStr">
        <is>
          <t>Омск</t>
        </is>
      </c>
      <c r="B36" s="497" t="inlineStr">
        <is>
          <t>Газпромнефть</t>
        </is>
      </c>
      <c r="C36" s="497" t="n">
        <v>31090</v>
      </c>
      <c r="D36" s="402" t="inlineStr">
        <is>
          <t>GPN_31090</t>
        </is>
      </c>
      <c r="E36" s="640" t="inlineStr">
        <is>
          <t>кол-во эк: 3</t>
        </is>
      </c>
      <c r="F36" s="498" t="n">
        <v>45019</v>
      </c>
    </row>
    <row r="37" hidden="1">
      <c r="A37" s="497" t="inlineStr">
        <is>
          <t>Алтайский край</t>
        </is>
      </c>
      <c r="B37" s="497" t="inlineStr">
        <is>
          <t>Газпромнефть</t>
        </is>
      </c>
      <c r="C37" s="497" t="n">
        <v>33004</v>
      </c>
      <c r="D37" s="402" t="inlineStr">
        <is>
          <t>GPN_33004</t>
        </is>
      </c>
      <c r="E37" s="640" t="inlineStr">
        <is>
          <t>кол-во эк: 3</t>
        </is>
      </c>
      <c r="F37" s="498" t="n">
        <v>45019</v>
      </c>
    </row>
    <row r="38" hidden="1">
      <c r="A38" s="497" t="inlineStr">
        <is>
          <t>Алтайский край</t>
        </is>
      </c>
      <c r="B38" s="497" t="inlineStr">
        <is>
          <t>Газпромнефть</t>
        </is>
      </c>
      <c r="C38" s="497" t="n">
        <v>33127</v>
      </c>
      <c r="D38" s="402" t="inlineStr">
        <is>
          <t>GPN_33127</t>
        </is>
      </c>
      <c r="E38" s="640" t="inlineStr">
        <is>
          <t>кол-во эк: 2</t>
        </is>
      </c>
      <c r="F38" s="498" t="n">
        <v>45019</v>
      </c>
    </row>
    <row r="39" hidden="1">
      <c r="A39" s="497" t="inlineStr">
        <is>
          <t>Москва</t>
        </is>
      </c>
      <c r="B39" s="497" t="inlineStr">
        <is>
          <t>Газпромнефть</t>
        </is>
      </c>
      <c r="C39" s="497" t="n">
        <v>12181</v>
      </c>
      <c r="D39" s="402" t="inlineStr">
        <is>
          <t>GPN_12181</t>
        </is>
      </c>
      <c r="E39" s="640" t="inlineStr">
        <is>
          <t>кол-во эк: 3</t>
        </is>
      </c>
      <c r="F39" s="498" t="n">
        <v>45019</v>
      </c>
    </row>
    <row r="40" hidden="1">
      <c r="A40" s="497" t="inlineStr">
        <is>
          <t>Приволжье</t>
        </is>
      </c>
      <c r="B40" s="497" t="inlineStr">
        <is>
          <t>Газпромнефть</t>
        </is>
      </c>
      <c r="C40" s="497" t="n">
        <v>20605</v>
      </c>
      <c r="D40" s="402" t="inlineStr">
        <is>
          <t>GPN_20605</t>
        </is>
      </c>
      <c r="E40" s="640" t="inlineStr">
        <is>
          <t>кол-во эк: 1</t>
        </is>
      </c>
      <c r="F40" s="498" t="n">
        <v>45019</v>
      </c>
    </row>
    <row r="41" hidden="1">
      <c r="A41" s="125" t="inlineStr">
        <is>
          <t>Сургут</t>
        </is>
      </c>
      <c r="B41" s="125" t="inlineStr">
        <is>
          <t>Эталон</t>
        </is>
      </c>
      <c r="C41" s="845" t="n">
        <v>8</v>
      </c>
      <c r="D41" s="402" t="inlineStr">
        <is>
          <t>SUR_ET_8</t>
        </is>
      </c>
      <c r="E41" s="502" t="inlineStr">
        <is>
          <t>добавил</t>
        </is>
      </c>
      <c r="F41" s="498" t="n">
        <v>45021</v>
      </c>
    </row>
    <row r="42" hidden="1">
      <c r="A42" s="125" t="inlineStr">
        <is>
          <t>Сургут</t>
        </is>
      </c>
      <c r="B42" s="125" t="inlineStr">
        <is>
          <t>Эталон</t>
        </is>
      </c>
      <c r="C42" s="845" t="n">
        <v>15</v>
      </c>
      <c r="D42" s="402" t="inlineStr">
        <is>
          <t>SUR_ET_15</t>
        </is>
      </c>
      <c r="E42" s="502" t="inlineStr">
        <is>
          <t>добавил</t>
        </is>
      </c>
      <c r="F42" s="498" t="n">
        <v>45021</v>
      </c>
    </row>
    <row r="43" hidden="1">
      <c r="A43" s="130" t="inlineStr">
        <is>
          <t>Краснодар</t>
        </is>
      </c>
      <c r="B43" s="130" t="inlineStr">
        <is>
          <t>Роснефть</t>
        </is>
      </c>
      <c r="C43" s="497" t="n">
        <v>117</v>
      </c>
      <c r="D43" s="402" t="inlineStr">
        <is>
          <t>KDR_RN_0117</t>
        </is>
      </c>
      <c r="E43" s="502" t="inlineStr">
        <is>
          <t>реконструкция</t>
        </is>
      </c>
      <c r="F43" s="498" t="n">
        <v>45022</v>
      </c>
    </row>
    <row r="44" hidden="1">
      <c r="A44" s="130" t="inlineStr">
        <is>
          <t>Краснодар</t>
        </is>
      </c>
      <c r="B44" s="130" t="inlineStr">
        <is>
          <t>Роснефть</t>
        </is>
      </c>
      <c r="C44" s="497" t="n">
        <v>269</v>
      </c>
      <c r="D44" s="402" t="inlineStr">
        <is>
          <t>KDR_RN_0269</t>
        </is>
      </c>
      <c r="E44" s="502" t="inlineStr">
        <is>
          <t>реконструкция</t>
        </is>
      </c>
      <c r="F44" s="498" t="n">
        <v>45022</v>
      </c>
    </row>
    <row r="45" hidden="1">
      <c r="A45" s="130" t="inlineStr">
        <is>
          <t>Краснодар</t>
        </is>
      </c>
      <c r="B45" s="130" t="inlineStr">
        <is>
          <t>Роснефть</t>
        </is>
      </c>
      <c r="C45" s="497" t="n">
        <v>151</v>
      </c>
      <c r="D45" s="402" t="inlineStr">
        <is>
          <t>KDR_RN_0151</t>
        </is>
      </c>
      <c r="E45" s="502" t="inlineStr">
        <is>
          <t>реконструкция</t>
        </is>
      </c>
      <c r="F45" s="498" t="n">
        <v>45022</v>
      </c>
    </row>
    <row r="46" hidden="1">
      <c r="A46" s="130" t="inlineStr">
        <is>
          <t>Краснодар</t>
        </is>
      </c>
      <c r="B46" s="130" t="inlineStr">
        <is>
          <t>Роснефть</t>
        </is>
      </c>
      <c r="C46" s="497" t="n">
        <v>149</v>
      </c>
      <c r="D46" s="402" t="inlineStr">
        <is>
          <t>KDR_RN_0149</t>
        </is>
      </c>
      <c r="E46" s="502" t="inlineStr">
        <is>
          <t>реконструкция</t>
        </is>
      </c>
      <c r="F46" s="498" t="n">
        <v>45022</v>
      </c>
    </row>
    <row r="47" hidden="1">
      <c r="A47" s="130" t="inlineStr">
        <is>
          <t>Краснодар</t>
        </is>
      </c>
      <c r="B47" s="130" t="inlineStr">
        <is>
          <t>Роснефть</t>
        </is>
      </c>
      <c r="C47" s="497" t="n">
        <v>126</v>
      </c>
      <c r="D47" s="402" t="inlineStr">
        <is>
          <t>KDR_RN_0126</t>
        </is>
      </c>
      <c r="E47" s="502" t="inlineStr">
        <is>
          <t>реконструкция</t>
        </is>
      </c>
      <c r="F47" s="498" t="n">
        <v>45022</v>
      </c>
    </row>
    <row r="48" hidden="1">
      <c r="A48" s="130" t="inlineStr">
        <is>
          <t>Краснодар</t>
        </is>
      </c>
      <c r="B48" s="130" t="inlineStr">
        <is>
          <t>Роснефть</t>
        </is>
      </c>
      <c r="C48" s="497" t="n">
        <v>74</v>
      </c>
      <c r="D48" s="402" t="inlineStr">
        <is>
          <t>KDR_RN_0074</t>
        </is>
      </c>
      <c r="E48" s="502" t="inlineStr">
        <is>
          <t>реконструкция</t>
        </is>
      </c>
      <c r="F48" s="498" t="n">
        <v>45022</v>
      </c>
    </row>
    <row r="49" hidden="1">
      <c r="A49" s="130" t="inlineStr">
        <is>
          <t>Самара</t>
        </is>
      </c>
      <c r="B49" s="130" t="inlineStr">
        <is>
          <t>Роснефть</t>
        </is>
      </c>
      <c r="C49" s="497" t="n">
        <v>50</v>
      </c>
      <c r="D49" s="402" t="inlineStr">
        <is>
          <t>SMR_RN_0050</t>
        </is>
      </c>
      <c r="E49" s="502" t="inlineStr">
        <is>
          <t>реконструкция</t>
        </is>
      </c>
      <c r="F49" s="498" t="n">
        <v>45022</v>
      </c>
    </row>
    <row r="50" hidden="1">
      <c r="A50" s="130" t="inlineStr">
        <is>
          <t>Самара</t>
        </is>
      </c>
      <c r="B50" s="130" t="inlineStr">
        <is>
          <t>Роснефть</t>
        </is>
      </c>
      <c r="C50" s="497" t="n">
        <v>49</v>
      </c>
      <c r="D50" s="402" t="inlineStr">
        <is>
          <t>SMR_RN_0049</t>
        </is>
      </c>
      <c r="E50" s="502" t="inlineStr">
        <is>
          <t>реконструкция</t>
        </is>
      </c>
      <c r="F50" s="498" t="n">
        <v>45022</v>
      </c>
    </row>
    <row r="51" hidden="1">
      <c r="A51" s="130" t="inlineStr">
        <is>
          <t>Самара</t>
        </is>
      </c>
      <c r="B51" s="130" t="inlineStr">
        <is>
          <t>Роснефть</t>
        </is>
      </c>
      <c r="C51" s="497" t="n">
        <v>56</v>
      </c>
      <c r="D51" s="402" t="inlineStr">
        <is>
          <t>SMR_RN_0056</t>
        </is>
      </c>
      <c r="E51" s="502" t="inlineStr">
        <is>
          <t>реконструкция</t>
        </is>
      </c>
      <c r="F51" s="498" t="n">
        <v>45022</v>
      </c>
    </row>
    <row r="52" hidden="1">
      <c r="A52" s="497" t="inlineStr">
        <is>
          <t>Санкт-Петербург</t>
        </is>
      </c>
      <c r="B52" s="130" t="inlineStr">
        <is>
          <t>ПТК</t>
        </is>
      </c>
      <c r="C52" s="497" t="inlineStr">
        <is>
          <t>408 Генерала Хрулева</t>
        </is>
      </c>
      <c r="D52" s="402" t="inlineStr">
        <is>
          <t>PTK_0108</t>
        </is>
      </c>
      <c r="E52" s="502" t="inlineStr">
        <is>
          <t>реконструкция</t>
        </is>
      </c>
      <c r="F52" s="498" t="n">
        <v>45029</v>
      </c>
    </row>
    <row r="53" hidden="1">
      <c r="A53" s="130" t="inlineStr">
        <is>
          <t>Липецк</t>
        </is>
      </c>
      <c r="B53" s="130" t="inlineStr">
        <is>
          <t>Роснефть</t>
        </is>
      </c>
      <c r="C53" s="497" t="inlineStr">
        <is>
          <t>RN_60</t>
        </is>
      </c>
      <c r="D53" s="402" t="inlineStr">
        <is>
          <t>LIP_RN_0060</t>
        </is>
      </c>
      <c r="E53" s="502" t="inlineStr">
        <is>
          <t>реконструкция</t>
        </is>
      </c>
      <c r="F53" s="498" t="n">
        <v>45029</v>
      </c>
    </row>
    <row r="54" hidden="1">
      <c r="A54" s="130" t="inlineStr">
        <is>
          <t>Тамбов</t>
        </is>
      </c>
      <c r="B54" s="130" t="inlineStr">
        <is>
          <t>Роснефть</t>
        </is>
      </c>
      <c r="C54" s="497" t="inlineStr">
        <is>
          <t>RN_3</t>
        </is>
      </c>
      <c r="D54" s="402" t="inlineStr">
        <is>
          <t>TMB_RN_0003</t>
        </is>
      </c>
      <c r="E54" s="502" t="inlineStr">
        <is>
          <t>реконструкция</t>
        </is>
      </c>
      <c r="F54" s="498" t="n">
        <v>45029</v>
      </c>
    </row>
    <row r="55" hidden="1">
      <c r="A55" s="130" t="inlineStr">
        <is>
          <t>Тамбов</t>
        </is>
      </c>
      <c r="B55" s="130" t="inlineStr">
        <is>
          <t>Роснефть</t>
        </is>
      </c>
      <c r="C55" s="497" t="inlineStr">
        <is>
          <t>RN_4</t>
        </is>
      </c>
      <c r="D55" s="402" t="inlineStr">
        <is>
          <t>TMB_RN_0004</t>
        </is>
      </c>
      <c r="E55" s="502" t="inlineStr">
        <is>
          <t>реконструкция</t>
        </is>
      </c>
      <c r="F55" s="498" t="n">
        <v>45029</v>
      </c>
    </row>
    <row r="56" hidden="1">
      <c r="A56" s="497" t="inlineStr">
        <is>
          <t>Москва</t>
        </is>
      </c>
      <c r="B56" s="130" t="inlineStr">
        <is>
          <t>World Class</t>
        </is>
      </c>
      <c r="C56" s="402" t="inlineStr">
        <is>
          <t>World Class Тверская</t>
        </is>
      </c>
      <c r="D56" s="402" t="inlineStr">
        <is>
          <t>MSC_WC17_TV01</t>
        </is>
      </c>
      <c r="E56" s="502" t="inlineStr">
        <is>
          <t>реконструкция</t>
        </is>
      </c>
      <c r="F56" s="498" t="n">
        <v>45040</v>
      </c>
    </row>
    <row r="57" hidden="1">
      <c r="A57" s="497" t="inlineStr">
        <is>
          <t>Санкт-Петербург</t>
        </is>
      </c>
      <c r="B57" s="130" t="inlineStr">
        <is>
          <t>Роснефть</t>
        </is>
      </c>
      <c r="C57" s="402" t="inlineStr">
        <is>
          <t>371 Морозова</t>
        </is>
      </c>
      <c r="D57" s="402" t="inlineStr">
        <is>
          <t>SPB_RN_P_371</t>
        </is>
      </c>
      <c r="E57" s="502" t="inlineStr">
        <is>
          <t>добавил</t>
        </is>
      </c>
      <c r="F57" s="498" t="n">
        <v>45040</v>
      </c>
    </row>
    <row r="58" hidden="1">
      <c r="A58" s="497" t="inlineStr">
        <is>
          <t>Санкт-Петербург</t>
        </is>
      </c>
      <c r="B58" s="130" t="inlineStr">
        <is>
          <t>Роснефть</t>
        </is>
      </c>
      <c r="C58" s="402" t="inlineStr">
        <is>
          <t>376 Торфяная</t>
        </is>
      </c>
      <c r="D58" s="402" t="inlineStr">
        <is>
          <t>SPB_RN_P_376</t>
        </is>
      </c>
      <c r="E58" s="502" t="inlineStr">
        <is>
          <t>добавил</t>
        </is>
      </c>
      <c r="F58" s="498" t="n">
        <v>45040</v>
      </c>
    </row>
    <row r="59" hidden="1">
      <c r="A59" s="497" t="inlineStr">
        <is>
          <t>Санкт-Петербург</t>
        </is>
      </c>
      <c r="B59" s="130" t="inlineStr">
        <is>
          <t>Роснефть</t>
        </is>
      </c>
      <c r="C59" s="402" t="inlineStr">
        <is>
          <t>335 Балканская</t>
        </is>
      </c>
      <c r="D59" s="402" t="inlineStr">
        <is>
          <t>SPB_RN_P_335</t>
        </is>
      </c>
      <c r="E59" s="502" t="inlineStr">
        <is>
          <t>добавил</t>
        </is>
      </c>
      <c r="F59" s="498" t="n">
        <v>45040</v>
      </c>
    </row>
    <row r="60" hidden="1">
      <c r="A60" s="497" t="inlineStr">
        <is>
          <t>Санкт-Петербург</t>
        </is>
      </c>
      <c r="B60" s="130" t="inlineStr">
        <is>
          <t>Роснефть</t>
        </is>
      </c>
      <c r="C60" s="402" t="inlineStr">
        <is>
          <t>418 Маршала Жукова</t>
        </is>
      </c>
      <c r="D60" s="402" t="inlineStr">
        <is>
          <t>SPB_RN_P_418</t>
        </is>
      </c>
      <c r="E60" s="502" t="inlineStr">
        <is>
          <t>добавил</t>
        </is>
      </c>
      <c r="F60" s="498" t="n">
        <v>45040</v>
      </c>
    </row>
    <row r="61" hidden="1">
      <c r="A61" s="497" t="inlineStr">
        <is>
          <t>Санкт-Петербург</t>
        </is>
      </c>
      <c r="B61" s="130" t="inlineStr">
        <is>
          <t>Роснефть</t>
        </is>
      </c>
      <c r="C61" s="402" t="inlineStr">
        <is>
          <t>339 Рощинская</t>
        </is>
      </c>
      <c r="D61" s="402" t="inlineStr">
        <is>
          <t>SPB_RN_Р_339</t>
        </is>
      </c>
      <c r="E61" s="502" t="inlineStr">
        <is>
          <t>добавил</t>
        </is>
      </c>
      <c r="F61" s="498" t="n">
        <v>45040</v>
      </c>
    </row>
    <row r="62" hidden="1">
      <c r="A62" s="497" t="inlineStr">
        <is>
          <t>Санкт-Петербург</t>
        </is>
      </c>
      <c r="B62" s="130" t="inlineStr">
        <is>
          <t>Роснефть</t>
        </is>
      </c>
      <c r="C62" s="402" t="inlineStr">
        <is>
          <t>379 Всеволожск</t>
        </is>
      </c>
      <c r="D62" s="402" t="inlineStr">
        <is>
          <t>SPB_RN_P_379</t>
        </is>
      </c>
      <c r="E62" s="502" t="inlineStr">
        <is>
          <t>добавил</t>
        </is>
      </c>
      <c r="F62" s="498" t="n">
        <v>45040</v>
      </c>
    </row>
    <row r="63" hidden="1">
      <c r="A63" s="497" t="inlineStr">
        <is>
          <t>Санкт-Петербург</t>
        </is>
      </c>
      <c r="B63" s="130" t="inlineStr">
        <is>
          <t>Роснефть</t>
        </is>
      </c>
      <c r="C63" s="402" t="inlineStr">
        <is>
          <t>408 Генерала Хрулева</t>
        </is>
      </c>
      <c r="D63" s="402" t="inlineStr">
        <is>
          <t>SPB_RN_P_408</t>
        </is>
      </c>
      <c r="E63" s="502" t="inlineStr">
        <is>
          <t>добавил</t>
        </is>
      </c>
      <c r="F63" s="498" t="n">
        <v>45040</v>
      </c>
    </row>
    <row r="64" hidden="1">
      <c r="A64" s="497" t="inlineStr">
        <is>
          <t>Санкт-Петербург</t>
        </is>
      </c>
      <c r="B64" s="497" t="inlineStr">
        <is>
          <t>Газпромнефть</t>
        </is>
      </c>
      <c r="C64" s="402" t="n">
        <v>10103</v>
      </c>
      <c r="D64" s="402" t="inlineStr">
        <is>
          <t>GPN_10103</t>
        </is>
      </c>
      <c r="E64" s="502" t="inlineStr">
        <is>
          <t>добавил</t>
        </is>
      </c>
      <c r="F64" s="498" t="n">
        <v>45040</v>
      </c>
    </row>
    <row r="65" hidden="1">
      <c r="A65" s="416" t="inlineStr">
        <is>
          <t>Приволжье (Нижний Новгород, Казань)</t>
        </is>
      </c>
      <c r="B65" s="497" t="inlineStr">
        <is>
          <t>Газпромнефть</t>
        </is>
      </c>
      <c r="C65" s="402" t="n">
        <v>14207</v>
      </c>
      <c r="D65" s="402" t="inlineStr">
        <is>
          <t>GPN_14207</t>
        </is>
      </c>
      <c r="E65" s="502" t="inlineStr">
        <is>
          <t>добавил</t>
        </is>
      </c>
      <c r="F65" s="498" t="n">
        <v>45040</v>
      </c>
    </row>
    <row r="66" hidden="1">
      <c r="A66" s="130" t="inlineStr">
        <is>
          <t>Новосибирск</t>
        </is>
      </c>
      <c r="B66" s="497" t="inlineStr">
        <is>
          <t>Газпромнефть</t>
        </is>
      </c>
      <c r="C66" s="402" t="n">
        <v>30098</v>
      </c>
      <c r="D66" s="402" t="inlineStr">
        <is>
          <t>GPN_30098</t>
        </is>
      </c>
      <c r="E66" s="502" t="inlineStr">
        <is>
          <t>добавил</t>
        </is>
      </c>
      <c r="F66" s="498" t="n">
        <v>45040</v>
      </c>
    </row>
    <row r="67" hidden="1" ht="21.6" customHeight="1">
      <c r="A67" s="125" t="inlineStr">
        <is>
          <t>ЦФО (Калуга, Тула, Тверь, Рязань,Смоленск,Владимир,Воронеж, Ярославль)</t>
        </is>
      </c>
      <c r="B67" s="497" t="inlineStr">
        <is>
          <t>Газпромнефть</t>
        </is>
      </c>
      <c r="C67" s="504" t="n">
        <v>12279</v>
      </c>
      <c r="D67" s="504" t="inlineStr">
        <is>
          <t>GPN_12279</t>
        </is>
      </c>
      <c r="E67" s="502" t="inlineStr">
        <is>
          <t>Убрал из МСК и теперь относится к ЦФО</t>
        </is>
      </c>
      <c r="F67" s="498" t="n">
        <v>45040</v>
      </c>
    </row>
    <row r="68" hidden="1">
      <c r="A68" s="125" t="inlineStr">
        <is>
          <t>Ижевск</t>
        </is>
      </c>
      <c r="B68" s="125" t="inlineStr">
        <is>
          <t>Башнефть</t>
        </is>
      </c>
      <c r="C68" s="504" t="inlineStr">
        <is>
          <t>№18-040</t>
        </is>
      </c>
      <c r="D68" s="504" t="inlineStr">
        <is>
          <t>IZE_BASH_18040</t>
        </is>
      </c>
      <c r="E68" s="502" t="inlineStr">
        <is>
          <t>реконструкция</t>
        </is>
      </c>
      <c r="F68" s="498" t="n">
        <v>45051</v>
      </c>
    </row>
    <row r="69" hidden="1">
      <c r="A69" s="130" t="inlineStr">
        <is>
          <t>Оренбург</t>
        </is>
      </c>
      <c r="B69" s="125" t="inlineStr">
        <is>
          <t>Башнефть</t>
        </is>
      </c>
      <c r="C69" s="504" t="inlineStr">
        <is>
          <t>№56-034</t>
        </is>
      </c>
      <c r="D69" s="504" t="inlineStr">
        <is>
          <t>ORE_BASH_56034</t>
        </is>
      </c>
      <c r="E69" s="502" t="inlineStr">
        <is>
          <t>разбит экран</t>
        </is>
      </c>
      <c r="F69" s="498" t="n">
        <v>45051</v>
      </c>
    </row>
    <row r="70" hidden="1">
      <c r="A70" s="125" t="inlineStr">
        <is>
          <t>Санкт-Петербург</t>
        </is>
      </c>
      <c r="B70" s="125" t="inlineStr">
        <is>
          <t>Газпромнефть</t>
        </is>
      </c>
      <c r="C70" s="402" t="n">
        <v>10012</v>
      </c>
      <c r="D70" s="402" t="inlineStr">
        <is>
          <t>GPN_10012</t>
        </is>
      </c>
      <c r="E70" s="502" t="inlineStr">
        <is>
          <t>реконструкция</t>
        </is>
      </c>
      <c r="F70" s="498" t="n">
        <v>45056</v>
      </c>
    </row>
    <row r="71" hidden="1">
      <c r="A71" s="125" t="inlineStr">
        <is>
          <t>Санкт-Петербург</t>
        </is>
      </c>
      <c r="B71" s="125" t="inlineStr">
        <is>
          <t>Газпромнефть</t>
        </is>
      </c>
      <c r="C71" s="402" t="n">
        <v>10019</v>
      </c>
      <c r="D71" s="402" t="inlineStr">
        <is>
          <t>GPN_10019</t>
        </is>
      </c>
      <c r="E71" s="502" t="inlineStr">
        <is>
          <t>реконструкция</t>
        </is>
      </c>
      <c r="F71" s="498" t="n">
        <v>45056</v>
      </c>
    </row>
    <row r="72" hidden="1">
      <c r="A72" s="125" t="inlineStr">
        <is>
          <t>Санкт-Петербург</t>
        </is>
      </c>
      <c r="B72" s="125" t="inlineStr">
        <is>
          <t>Газпромнефть</t>
        </is>
      </c>
      <c r="C72" s="402" t="n">
        <v>10021</v>
      </c>
      <c r="D72" s="402" t="inlineStr">
        <is>
          <t>GPN_10021</t>
        </is>
      </c>
      <c r="E72" s="502" t="inlineStr">
        <is>
          <t>реконструкция</t>
        </is>
      </c>
      <c r="F72" s="498" t="n">
        <v>45056</v>
      </c>
    </row>
    <row r="73" hidden="1">
      <c r="A73" s="125" t="inlineStr">
        <is>
          <t>Санкт-Петербург</t>
        </is>
      </c>
      <c r="B73" s="125" t="inlineStr">
        <is>
          <t>Газпромнефть</t>
        </is>
      </c>
      <c r="C73" s="402" t="n">
        <v>10076</v>
      </c>
      <c r="D73" s="402" t="inlineStr">
        <is>
          <t>GPN_10076</t>
        </is>
      </c>
      <c r="E73" s="502" t="inlineStr">
        <is>
          <t>реконструкция</t>
        </is>
      </c>
      <c r="F73" s="498" t="n">
        <v>45056</v>
      </c>
    </row>
    <row r="74" hidden="1">
      <c r="A74" s="125" t="inlineStr">
        <is>
          <t>Москва</t>
        </is>
      </c>
      <c r="B74" s="125" t="inlineStr">
        <is>
          <t>Газпромнефть</t>
        </is>
      </c>
      <c r="C74" s="402" t="n">
        <v>12051</v>
      </c>
      <c r="D74" s="402" t="inlineStr">
        <is>
          <t>GPN_12051</t>
        </is>
      </c>
      <c r="E74" s="502" t="inlineStr">
        <is>
          <t>ликвидация</t>
        </is>
      </c>
      <c r="F74" s="498" t="n">
        <v>45056</v>
      </c>
    </row>
    <row r="75" hidden="1">
      <c r="A75" s="125" t="inlineStr">
        <is>
          <t>Омск</t>
        </is>
      </c>
      <c r="B75" s="125" t="inlineStr">
        <is>
          <t>Газпромнефть</t>
        </is>
      </c>
      <c r="C75" s="402" t="n">
        <v>31011</v>
      </c>
      <c r="D75" s="402" t="inlineStr">
        <is>
          <t>GPN_31011</t>
        </is>
      </c>
      <c r="E75" s="502" t="inlineStr">
        <is>
          <t>ликвидация</t>
        </is>
      </c>
      <c r="F75" s="498" t="n">
        <v>45056</v>
      </c>
    </row>
    <row r="76" hidden="1">
      <c r="A76" s="125" t="inlineStr">
        <is>
          <t>Краснодар</t>
        </is>
      </c>
      <c r="B76" s="125" t="inlineStr">
        <is>
          <t>Роснефть</t>
        </is>
      </c>
      <c r="C76" s="402" t="n">
        <v>155</v>
      </c>
      <c r="D76" s="402" t="inlineStr">
        <is>
          <t>KDR_RN_0155</t>
        </is>
      </c>
      <c r="E76" s="502" t="inlineStr">
        <is>
          <t>Изменение адреса</t>
        </is>
      </c>
      <c r="F76" s="498" t="n">
        <v>45056</v>
      </c>
    </row>
    <row r="77" hidden="1">
      <c r="A77" s="125" t="inlineStr">
        <is>
          <t>Санкт-Петербург</t>
        </is>
      </c>
      <c r="B77" s="130" t="inlineStr">
        <is>
          <t>Бизнес центр</t>
        </is>
      </c>
      <c r="C77" s="402" t="inlineStr">
        <is>
          <t>18_Эврика</t>
        </is>
      </c>
      <c r="D77" s="402" t="inlineStr">
        <is>
          <t>SPB_BC_18_Evrika</t>
        </is>
      </c>
      <c r="E77" s="502" t="inlineStr">
        <is>
          <t>6 экранов</t>
        </is>
      </c>
      <c r="F77" s="498" t="n">
        <v>45063</v>
      </c>
    </row>
    <row r="78" hidden="1">
      <c r="A78" s="130" t="inlineStr">
        <is>
          <t>Вологда</t>
        </is>
      </c>
      <c r="B78" s="130" t="inlineStr">
        <is>
          <t>Лукойл</t>
        </is>
      </c>
      <c r="C78" s="402" t="n">
        <v>35460</v>
      </c>
      <c r="D78" s="402" t="inlineStr">
        <is>
          <t>CHRV_LUK_35009</t>
        </is>
      </c>
      <c r="E78" s="502" t="inlineStr">
        <is>
          <t>Забрали экраны</t>
        </is>
      </c>
      <c r="F78" s="498" t="n">
        <v>45064</v>
      </c>
    </row>
    <row r="79" hidden="1">
      <c r="A79" s="130" t="inlineStr">
        <is>
          <t>Вологда</t>
        </is>
      </c>
      <c r="B79" s="130" t="inlineStr">
        <is>
          <t>Лукойл</t>
        </is>
      </c>
      <c r="C79" s="402" t="n">
        <v>35453</v>
      </c>
      <c r="D79" s="402" t="inlineStr">
        <is>
          <t>CHRV_LUK_35055</t>
        </is>
      </c>
      <c r="E79" s="502" t="inlineStr">
        <is>
          <t>Забрали экраны</t>
        </is>
      </c>
      <c r="F79" s="498" t="n">
        <v>45064</v>
      </c>
    </row>
    <row r="80" hidden="1">
      <c r="A80" s="130" t="inlineStr">
        <is>
          <t>Вологда</t>
        </is>
      </c>
      <c r="B80" s="130" t="inlineStr">
        <is>
          <t>Лукойл</t>
        </is>
      </c>
      <c r="C80" s="402" t="n">
        <v>35452</v>
      </c>
      <c r="D80" s="402" t="inlineStr">
        <is>
          <t>CHRV_LUK_35050</t>
        </is>
      </c>
      <c r="E80" s="502" t="inlineStr">
        <is>
          <t>Забрали экраны</t>
        </is>
      </c>
      <c r="F80" s="498" t="n">
        <v>45064</v>
      </c>
    </row>
    <row r="81" hidden="1">
      <c r="A81" s="130" t="inlineStr">
        <is>
          <t>Вологда</t>
        </is>
      </c>
      <c r="B81" s="130" t="inlineStr">
        <is>
          <t>Лукойл</t>
        </is>
      </c>
      <c r="C81" s="402" t="n">
        <v>35451</v>
      </c>
      <c r="D81" s="402" t="inlineStr">
        <is>
          <t>CHRV_LUK_35025</t>
        </is>
      </c>
      <c r="E81" s="502" t="inlineStr">
        <is>
          <t>Забрали экраны</t>
        </is>
      </c>
      <c r="F81" s="498" t="n">
        <v>45064</v>
      </c>
    </row>
    <row r="82" hidden="1">
      <c r="A82" s="130" t="inlineStr">
        <is>
          <t>Вологда</t>
        </is>
      </c>
      <c r="B82" s="130" t="inlineStr">
        <is>
          <t>Лукойл</t>
        </is>
      </c>
      <c r="C82" s="402" t="n">
        <v>35457</v>
      </c>
      <c r="D82" s="402" t="inlineStr">
        <is>
          <t>CHRV_LUK_35008</t>
        </is>
      </c>
      <c r="E82" s="502" t="inlineStr">
        <is>
          <t>Забрали экраны</t>
        </is>
      </c>
      <c r="F82" s="498" t="n">
        <v>45064</v>
      </c>
    </row>
    <row r="83" hidden="1">
      <c r="A83" s="130" t="inlineStr">
        <is>
          <t>Вологда</t>
        </is>
      </c>
      <c r="B83" s="130" t="inlineStr">
        <is>
          <t>Лукойл</t>
        </is>
      </c>
      <c r="C83" s="402" t="n">
        <v>35419</v>
      </c>
      <c r="D83" s="402" t="inlineStr">
        <is>
          <t>VGD_LUK_35021</t>
        </is>
      </c>
      <c r="E83" s="502" t="inlineStr">
        <is>
          <t>Забрали экраны</t>
        </is>
      </c>
      <c r="F83" s="498" t="n">
        <v>45064</v>
      </c>
    </row>
    <row r="84" hidden="1">
      <c r="A84" s="130" t="inlineStr">
        <is>
          <t>Вологда</t>
        </is>
      </c>
      <c r="B84" s="130" t="inlineStr">
        <is>
          <t>Лукойл</t>
        </is>
      </c>
      <c r="C84" s="402" t="n">
        <v>35429</v>
      </c>
      <c r="D84" s="402" t="inlineStr">
        <is>
          <t>VGD_LUK_35041</t>
        </is>
      </c>
      <c r="E84" s="502" t="inlineStr">
        <is>
          <t>Забрали экраны</t>
        </is>
      </c>
      <c r="F84" s="498" t="n">
        <v>45064</v>
      </c>
    </row>
    <row r="85" hidden="1">
      <c r="A85" s="130" t="inlineStr">
        <is>
          <t>Вологда</t>
        </is>
      </c>
      <c r="B85" s="130" t="inlineStr">
        <is>
          <t>Лукойл</t>
        </is>
      </c>
      <c r="C85" s="402" t="n">
        <v>35445</v>
      </c>
      <c r="D85" s="402" t="inlineStr">
        <is>
          <t>VGD_LUK_35006</t>
        </is>
      </c>
      <c r="E85" s="502" t="inlineStr">
        <is>
          <t>Забрали экраны</t>
        </is>
      </c>
      <c r="F85" s="498" t="n">
        <v>45064</v>
      </c>
    </row>
    <row r="86" hidden="1">
      <c r="A86" s="130" t="inlineStr">
        <is>
          <t>Вологда</t>
        </is>
      </c>
      <c r="B86" s="130" t="inlineStr">
        <is>
          <t>Лукойл</t>
        </is>
      </c>
      <c r="C86" s="402" t="n">
        <v>35441</v>
      </c>
      <c r="D86" s="402" t="inlineStr">
        <is>
          <t>VGD_LUK_35023</t>
        </is>
      </c>
      <c r="E86" s="502" t="inlineStr">
        <is>
          <t>Забрали экраны</t>
        </is>
      </c>
      <c r="F86" s="498" t="n">
        <v>45064</v>
      </c>
    </row>
    <row r="87" hidden="1">
      <c r="A87" s="130" t="inlineStr">
        <is>
          <t>Вологда</t>
        </is>
      </c>
      <c r="B87" s="130" t="inlineStr">
        <is>
          <t>Лукойл</t>
        </is>
      </c>
      <c r="C87" s="402" t="n">
        <v>35448</v>
      </c>
      <c r="D87" s="402" t="inlineStr">
        <is>
          <t>VGD_LUK_35078</t>
        </is>
      </c>
      <c r="E87" s="502" t="inlineStr">
        <is>
          <t>Забрали экраны</t>
        </is>
      </c>
      <c r="F87" s="498" t="n">
        <v>45064</v>
      </c>
    </row>
    <row r="88" hidden="1">
      <c r="A88" s="130" t="inlineStr">
        <is>
          <t>Вологда</t>
        </is>
      </c>
      <c r="B88" s="130" t="inlineStr">
        <is>
          <t>Лукойл</t>
        </is>
      </c>
      <c r="C88" s="402" t="n">
        <v>35408</v>
      </c>
      <c r="D88" s="402" t="inlineStr">
        <is>
          <t>VGD_LUK_35064</t>
        </is>
      </c>
      <c r="E88" s="502" t="inlineStr">
        <is>
          <t>Забрали экраны</t>
        </is>
      </c>
      <c r="F88" s="505" t="n">
        <v>45064</v>
      </c>
    </row>
    <row r="89" hidden="1">
      <c r="A89" s="130" t="inlineStr">
        <is>
          <t>Москва</t>
        </is>
      </c>
      <c r="B89" s="125" t="inlineStr">
        <is>
          <t>Газпромнефть</t>
        </is>
      </c>
      <c r="C89" s="402" t="n">
        <v>12246</v>
      </c>
      <c r="D89" s="402" t="inlineStr">
        <is>
          <t>GPN_12246</t>
        </is>
      </c>
      <c r="E89" s="502" t="inlineStr">
        <is>
          <t>кол-во эк: 3</t>
        </is>
      </c>
      <c r="F89" s="505" t="n">
        <v>45065</v>
      </c>
    </row>
    <row r="90" hidden="1">
      <c r="A90" s="130" t="inlineStr">
        <is>
          <t>Ярославль</t>
        </is>
      </c>
      <c r="B90" s="125" t="inlineStr">
        <is>
          <t>Газпромнефть</t>
        </is>
      </c>
      <c r="C90" s="402" t="n">
        <v>13007</v>
      </c>
      <c r="D90" s="402" t="inlineStr">
        <is>
          <t>GPN_13007</t>
        </is>
      </c>
      <c r="E90" s="502" t="inlineStr">
        <is>
          <t>кол-во эк: 3</t>
        </is>
      </c>
      <c r="F90" s="505" t="n">
        <v>45065</v>
      </c>
    </row>
    <row r="91" hidden="1">
      <c r="A91" s="416" t="inlineStr">
        <is>
          <t>Приволжье (Нижний Новгород, Казань)</t>
        </is>
      </c>
      <c r="B91" s="125" t="inlineStr">
        <is>
          <t>Газпромнефть</t>
        </is>
      </c>
      <c r="C91" s="402" t="n">
        <v>14210</v>
      </c>
      <c r="D91" s="402" t="inlineStr">
        <is>
          <t>GPN_14210</t>
        </is>
      </c>
      <c r="E91" s="502" t="inlineStr">
        <is>
          <t>кол-во эк: 3</t>
        </is>
      </c>
      <c r="F91" s="505" t="n">
        <v>45065</v>
      </c>
    </row>
    <row r="92" hidden="1">
      <c r="A92" s="130" t="inlineStr">
        <is>
          <t>Екатеринбург</t>
        </is>
      </c>
      <c r="B92" s="125" t="inlineStr">
        <is>
          <t>Газпромнефть</t>
        </is>
      </c>
      <c r="C92" s="402" t="n">
        <v>20030</v>
      </c>
      <c r="D92" s="402" t="inlineStr">
        <is>
          <t>GPN_20030</t>
        </is>
      </c>
      <c r="E92" s="502" t="inlineStr">
        <is>
          <t>кол-во эк: 3</t>
        </is>
      </c>
      <c r="F92" s="505" t="n">
        <v>45065</v>
      </c>
    </row>
    <row r="93" hidden="1">
      <c r="A93" s="130" t="inlineStr">
        <is>
          <t>Тюмень</t>
        </is>
      </c>
      <c r="B93" s="125" t="inlineStr">
        <is>
          <t>Газпромнефть</t>
        </is>
      </c>
      <c r="C93" s="402" t="n">
        <v>21308</v>
      </c>
      <c r="D93" s="402" t="inlineStr">
        <is>
          <t>GPN_21308</t>
        </is>
      </c>
      <c r="E93" s="502" t="inlineStr">
        <is>
          <t>кол-во эк: 3</t>
        </is>
      </c>
      <c r="F93" s="505" t="n">
        <v>45065</v>
      </c>
    </row>
    <row r="94" hidden="1">
      <c r="A94" s="130" t="inlineStr">
        <is>
          <t>Тюмень</t>
        </is>
      </c>
      <c r="B94" s="125" t="inlineStr">
        <is>
          <t>Газпромнефть</t>
        </is>
      </c>
      <c r="C94" s="402" t="n">
        <v>21310</v>
      </c>
      <c r="D94" s="402" t="inlineStr">
        <is>
          <t>GPN_21310</t>
        </is>
      </c>
      <c r="E94" s="502" t="inlineStr">
        <is>
          <t>кол-во эк: 3</t>
        </is>
      </c>
      <c r="F94" s="505" t="n">
        <v>45065</v>
      </c>
    </row>
    <row r="95" hidden="1">
      <c r="A95" s="130" t="inlineStr">
        <is>
          <t>Тюмень</t>
        </is>
      </c>
      <c r="B95" s="125" t="inlineStr">
        <is>
          <t>Газпромнефть</t>
        </is>
      </c>
      <c r="C95" s="402" t="n">
        <v>21314</v>
      </c>
      <c r="D95" s="402" t="inlineStr">
        <is>
          <t>GPN_21314</t>
        </is>
      </c>
      <c r="E95" s="502" t="inlineStr">
        <is>
          <t>кол-во эк: 3</t>
        </is>
      </c>
      <c r="F95" s="505" t="n">
        <v>45065</v>
      </c>
    </row>
    <row r="96" hidden="1">
      <c r="A96" s="130" t="inlineStr">
        <is>
          <t>Челябинск</t>
        </is>
      </c>
      <c r="B96" s="125" t="inlineStr">
        <is>
          <t>Газпромнефть</t>
        </is>
      </c>
      <c r="C96" s="402" t="n">
        <v>22225</v>
      </c>
      <c r="D96" s="402" t="inlineStr">
        <is>
          <t>GPN_22225</t>
        </is>
      </c>
      <c r="E96" s="502" t="inlineStr">
        <is>
          <t>кол-во эк: 2</t>
        </is>
      </c>
      <c r="F96" s="505" t="n">
        <v>45065</v>
      </c>
    </row>
    <row r="97" hidden="1">
      <c r="A97" s="130" t="inlineStr">
        <is>
          <t>Новосибирск</t>
        </is>
      </c>
      <c r="B97" s="125" t="inlineStr">
        <is>
          <t>Газпромнефть</t>
        </is>
      </c>
      <c r="C97" s="402" t="n">
        <v>30138</v>
      </c>
      <c r="D97" s="402" t="inlineStr">
        <is>
          <t>GPN_30138</t>
        </is>
      </c>
      <c r="E97" s="502" t="inlineStr">
        <is>
          <t>кол-во эк: 3</t>
        </is>
      </c>
      <c r="F97" s="505" t="n">
        <v>45065</v>
      </c>
    </row>
    <row r="98" hidden="1">
      <c r="A98" s="130" t="inlineStr">
        <is>
          <t>Москва</t>
        </is>
      </c>
      <c r="B98" s="125" t="inlineStr">
        <is>
          <t>Газпромнефть</t>
        </is>
      </c>
      <c r="C98" s="402" t="n">
        <v>12259</v>
      </c>
      <c r="D98" s="402" t="inlineStr">
        <is>
          <t>GPN_12259</t>
        </is>
      </c>
      <c r="E98" s="502" t="inlineStr">
        <is>
          <t>кол-во эк: 3</t>
        </is>
      </c>
      <c r="F98" s="505" t="n">
        <v>45065</v>
      </c>
    </row>
    <row r="99" hidden="1">
      <c r="A99" s="416" t="inlineStr">
        <is>
          <t>Приволжье (Нижний Новгород, Казань)</t>
        </is>
      </c>
      <c r="B99" s="125" t="inlineStr">
        <is>
          <t>Газпромнефть</t>
        </is>
      </c>
      <c r="C99" s="402" t="n">
        <v>20604</v>
      </c>
      <c r="D99" s="402" t="inlineStr">
        <is>
          <t>GPN_20604</t>
        </is>
      </c>
      <c r="E99" s="502" t="inlineStr">
        <is>
          <t>кол-во эк: 3</t>
        </is>
      </c>
      <c r="F99" s="505" t="n">
        <v>45065</v>
      </c>
    </row>
    <row r="100" hidden="1">
      <c r="A100" s="416" t="inlineStr">
        <is>
          <t>Приволжье (Нижний Новгород, Казань)</t>
        </is>
      </c>
      <c r="B100" s="125" t="inlineStr">
        <is>
          <t>Газпромнефть</t>
        </is>
      </c>
      <c r="C100" s="402" t="n">
        <v>20605</v>
      </c>
      <c r="D100" s="402" t="inlineStr">
        <is>
          <t>GPN_20605</t>
        </is>
      </c>
      <c r="E100" s="502" t="inlineStr">
        <is>
          <t>кол-во эк: 3</t>
        </is>
      </c>
      <c r="F100" s="505" t="n">
        <v>45065</v>
      </c>
    </row>
    <row r="101" hidden="1">
      <c r="A101" s="130" t="inlineStr">
        <is>
          <t>Москва</t>
        </is>
      </c>
      <c r="B101" s="125" t="inlineStr">
        <is>
          <t>Газпромнефть</t>
        </is>
      </c>
      <c r="C101" s="402" t="n">
        <v>11240</v>
      </c>
      <c r="D101" s="402" t="inlineStr">
        <is>
          <t>GPN_11240</t>
        </is>
      </c>
      <c r="E101" s="502" t="inlineStr">
        <is>
          <t>кол-во эк: 2</t>
        </is>
      </c>
      <c r="F101" s="505" t="n">
        <v>45065</v>
      </c>
    </row>
    <row r="102" hidden="1">
      <c r="A102" s="130" t="inlineStr">
        <is>
          <t>Москва</t>
        </is>
      </c>
      <c r="B102" s="125" t="inlineStr">
        <is>
          <t>Газпромнефть</t>
        </is>
      </c>
      <c r="C102" s="402" t="n">
        <v>11242</v>
      </c>
      <c r="D102" s="402" t="inlineStr">
        <is>
          <t>GPN_11242</t>
        </is>
      </c>
      <c r="E102" s="502" t="inlineStr">
        <is>
          <t>кол-во эк: 2</t>
        </is>
      </c>
      <c r="F102" s="505" t="n">
        <v>45065</v>
      </c>
    </row>
    <row r="103" hidden="1">
      <c r="A103" s="125" t="inlineStr">
        <is>
          <t>Ярославль</t>
        </is>
      </c>
      <c r="B103" s="125" t="inlineStr">
        <is>
          <t>Газпромнефть</t>
        </is>
      </c>
      <c r="C103" s="402" t="n">
        <v>13010</v>
      </c>
      <c r="D103" s="402" t="inlineStr">
        <is>
          <t>GPN_13010</t>
        </is>
      </c>
      <c r="E103" s="502" t="inlineStr">
        <is>
          <t>кол-во эк: 3</t>
        </is>
      </c>
      <c r="F103" s="505" t="n">
        <v>45065</v>
      </c>
    </row>
    <row r="104" hidden="1">
      <c r="A104" s="130" t="inlineStr">
        <is>
          <t>Ярославль</t>
        </is>
      </c>
      <c r="B104" s="125" t="inlineStr">
        <is>
          <t>Газпромнефть</t>
        </is>
      </c>
      <c r="C104" s="402" t="n">
        <v>13070</v>
      </c>
      <c r="D104" s="402" t="inlineStr">
        <is>
          <t>GPN_13070</t>
        </is>
      </c>
      <c r="E104" s="502" t="inlineStr">
        <is>
          <t>кол-во эк: 3</t>
        </is>
      </c>
      <c r="F104" s="505" t="n">
        <v>45065</v>
      </c>
    </row>
    <row r="105" hidden="1">
      <c r="A105" s="125" t="inlineStr">
        <is>
          <t>Екатеринбург</t>
        </is>
      </c>
      <c r="B105" s="125" t="inlineStr">
        <is>
          <t>Газпромнефть</t>
        </is>
      </c>
      <c r="C105" s="402" t="n">
        <v>20017</v>
      </c>
      <c r="D105" s="402" t="inlineStr">
        <is>
          <t>GPN_20017</t>
        </is>
      </c>
      <c r="E105" s="502" t="inlineStr">
        <is>
          <t>кол-во эк: 3</t>
        </is>
      </c>
      <c r="F105" s="505" t="n">
        <v>45065</v>
      </c>
    </row>
    <row r="106" hidden="1">
      <c r="A106" s="130" t="inlineStr">
        <is>
          <t>Екатеринбург</t>
        </is>
      </c>
      <c r="B106" s="125" t="inlineStr">
        <is>
          <t>Газпромнефть</t>
        </is>
      </c>
      <c r="C106" s="402" t="n">
        <v>25049</v>
      </c>
      <c r="D106" s="402" t="inlineStr">
        <is>
          <t>GPN_25049</t>
        </is>
      </c>
      <c r="E106" s="502" t="inlineStr">
        <is>
          <t>кол-во эк: 3</t>
        </is>
      </c>
      <c r="F106" s="505" t="n">
        <v>45065</v>
      </c>
    </row>
    <row r="107" hidden="1">
      <c r="A107" s="130" t="inlineStr">
        <is>
          <t>Екатеринбург</t>
        </is>
      </c>
      <c r="B107" s="125" t="inlineStr">
        <is>
          <t>Газпромнефть</t>
        </is>
      </c>
      <c r="C107" s="402" t="n">
        <v>25045</v>
      </c>
      <c r="D107" s="402" t="inlineStr">
        <is>
          <t>GPN_25045</t>
        </is>
      </c>
      <c r="E107" s="502" t="inlineStr">
        <is>
          <t>кол-во эк: 3</t>
        </is>
      </c>
      <c r="F107" s="505" t="n">
        <v>45065</v>
      </c>
    </row>
    <row r="108" hidden="1">
      <c r="A108" s="130" t="inlineStr">
        <is>
          <t>Екатеринбург</t>
        </is>
      </c>
      <c r="B108" s="125" t="inlineStr">
        <is>
          <t>Газпромнефть</t>
        </is>
      </c>
      <c r="C108" s="402" t="n">
        <v>25063</v>
      </c>
      <c r="D108" s="402" t="inlineStr">
        <is>
          <t>GPN_25063</t>
        </is>
      </c>
      <c r="E108" s="502" t="inlineStr">
        <is>
          <t>кол-во эк: 3</t>
        </is>
      </c>
      <c r="F108" s="505" t="n">
        <v>45065</v>
      </c>
    </row>
    <row r="109" hidden="1">
      <c r="A109" s="130" t="inlineStr">
        <is>
          <t>Екатеринбург</t>
        </is>
      </c>
      <c r="B109" s="125" t="inlineStr">
        <is>
          <t>Газпромнефть</t>
        </is>
      </c>
      <c r="C109" s="402" t="n">
        <v>25064</v>
      </c>
      <c r="D109" s="402" t="inlineStr">
        <is>
          <t>GPN_25064</t>
        </is>
      </c>
      <c r="E109" s="502" t="inlineStr">
        <is>
          <t>кол-во эк: 3</t>
        </is>
      </c>
      <c r="F109" s="505" t="n">
        <v>45065</v>
      </c>
    </row>
    <row r="110" hidden="1">
      <c r="A110" s="130" t="inlineStr">
        <is>
          <t>Екатеринбург</t>
        </is>
      </c>
      <c r="B110" s="125" t="inlineStr">
        <is>
          <t>Газпромнефть</t>
        </is>
      </c>
      <c r="C110" s="402" t="n">
        <v>25071</v>
      </c>
      <c r="D110" s="402" t="inlineStr">
        <is>
          <t>GPN_25071</t>
        </is>
      </c>
      <c r="E110" s="502" t="inlineStr">
        <is>
          <t>кол-во эк: 3</t>
        </is>
      </c>
      <c r="F110" s="505" t="n">
        <v>45065</v>
      </c>
    </row>
    <row r="111" hidden="1">
      <c r="A111" s="130" t="inlineStr">
        <is>
          <t>Екатеринбург</t>
        </is>
      </c>
      <c r="B111" s="125" t="inlineStr">
        <is>
          <t>Газпромнефть</t>
        </is>
      </c>
      <c r="C111" s="402" t="n">
        <v>25081</v>
      </c>
      <c r="D111" s="402" t="inlineStr">
        <is>
          <t>GPN_25081</t>
        </is>
      </c>
      <c r="E111" s="502" t="inlineStr">
        <is>
          <t>кол-во эк: 3</t>
        </is>
      </c>
      <c r="F111" s="498" t="n">
        <v>45065</v>
      </c>
    </row>
    <row r="112" hidden="1">
      <c r="A112" s="130" t="inlineStr">
        <is>
          <t>Алтайский край</t>
        </is>
      </c>
      <c r="B112" s="130" t="inlineStr">
        <is>
          <t>Роснефть</t>
        </is>
      </c>
      <c r="C112" s="402" t="n">
        <v>243</v>
      </c>
      <c r="D112" s="402" t="inlineStr">
        <is>
          <t>BRL_RN_0243</t>
        </is>
      </c>
      <c r="E112" s="502" t="inlineStr">
        <is>
          <t>реконструкция</t>
        </is>
      </c>
      <c r="F112" s="498" t="n">
        <v>45068</v>
      </c>
    </row>
    <row r="113" hidden="1">
      <c r="A113" s="130" t="inlineStr">
        <is>
          <t>Кострома</t>
        </is>
      </c>
      <c r="B113" s="130" t="inlineStr">
        <is>
          <t>ТНК</t>
        </is>
      </c>
      <c r="C113" s="402" t="inlineStr">
        <is>
          <t>TNK_202</t>
        </is>
      </c>
      <c r="D113" s="402" t="inlineStr">
        <is>
          <t>KRM_TNK_202</t>
        </is>
      </c>
      <c r="E113" s="502" t="inlineStr">
        <is>
          <t>реконструкция</t>
        </is>
      </c>
      <c r="F113" s="498" t="n">
        <v>45068</v>
      </c>
    </row>
    <row r="114" hidden="1">
      <c r="A114" s="130" t="inlineStr">
        <is>
          <t>Кострома</t>
        </is>
      </c>
      <c r="B114" s="130" t="inlineStr">
        <is>
          <t>ТНК</t>
        </is>
      </c>
      <c r="C114" s="402" t="inlineStr">
        <is>
          <t>TNK_207</t>
        </is>
      </c>
      <c r="D114" s="402" t="inlineStr">
        <is>
          <t>KRM_TNK_207</t>
        </is>
      </c>
      <c r="E114" s="502" t="inlineStr">
        <is>
          <t>реконструкция</t>
        </is>
      </c>
      <c r="F114" s="498" t="n">
        <v>45068</v>
      </c>
    </row>
    <row r="115" hidden="1">
      <c r="A115" s="130" t="inlineStr">
        <is>
          <t>Пенза</t>
        </is>
      </c>
      <c r="B115" s="130" t="inlineStr">
        <is>
          <t>Роснефть</t>
        </is>
      </c>
      <c r="C115" s="402" t="inlineStr">
        <is>
          <t>RN_8</t>
        </is>
      </c>
      <c r="D115" s="402" t="inlineStr">
        <is>
          <t>PNZ_RN_0008</t>
        </is>
      </c>
      <c r="E115" s="502" t="inlineStr">
        <is>
          <t>добавил</t>
        </is>
      </c>
      <c r="F115" s="498" t="n">
        <v>45068</v>
      </c>
    </row>
    <row r="116" hidden="1">
      <c r="A116" s="130" t="inlineStr">
        <is>
          <t>Пенза</t>
        </is>
      </c>
      <c r="B116" s="130" t="inlineStr">
        <is>
          <t>Роснефть</t>
        </is>
      </c>
      <c r="C116" s="402" t="inlineStr">
        <is>
          <t>RN_10</t>
        </is>
      </c>
      <c r="D116" s="402" t="inlineStr">
        <is>
          <t>PNZ_RN_0010</t>
        </is>
      </c>
      <c r="E116" s="502" t="inlineStr">
        <is>
          <t>добавил</t>
        </is>
      </c>
      <c r="F116" s="498" t="n">
        <v>45068</v>
      </c>
    </row>
    <row r="117" hidden="1">
      <c r="A117" s="130" t="inlineStr">
        <is>
          <t>Санкт-Петербург</t>
        </is>
      </c>
      <c r="B117" s="125" t="inlineStr">
        <is>
          <t>Газпромнефть</t>
        </is>
      </c>
      <c r="C117" s="402" t="n">
        <v>10138</v>
      </c>
      <c r="D117" s="402" t="inlineStr">
        <is>
          <t>GPN_10138</t>
        </is>
      </c>
      <c r="E117" s="502" t="inlineStr">
        <is>
          <t>добавил</t>
        </is>
      </c>
      <c r="F117" s="498" t="n">
        <v>45069</v>
      </c>
    </row>
    <row r="118" hidden="1">
      <c r="A118" s="130" t="inlineStr">
        <is>
          <t>Санкт-Петербург</t>
        </is>
      </c>
      <c r="B118" s="125" t="inlineStr">
        <is>
          <t>Газпромнефть</t>
        </is>
      </c>
      <c r="C118" s="402" t="n">
        <v>10143</v>
      </c>
      <c r="D118" s="402" t="inlineStr">
        <is>
          <t>GPN_10143</t>
        </is>
      </c>
      <c r="E118" s="502" t="inlineStr">
        <is>
          <t>добавил</t>
        </is>
      </c>
      <c r="F118" s="498" t="n">
        <v>45069</v>
      </c>
    </row>
    <row r="119" hidden="1">
      <c r="A119" s="130" t="inlineStr">
        <is>
          <t>Москва</t>
        </is>
      </c>
      <c r="B119" s="125" t="inlineStr">
        <is>
          <t>Газпромнефть</t>
        </is>
      </c>
      <c r="C119" s="402" t="inlineStr">
        <is>
          <t>12006.1</t>
        </is>
      </c>
      <c r="D119" s="402" t="inlineStr">
        <is>
          <t>GPN_12006.1</t>
        </is>
      </c>
      <c r="E119" s="502" t="inlineStr">
        <is>
          <t>добавил</t>
        </is>
      </c>
      <c r="F119" s="498" t="n">
        <v>45069</v>
      </c>
    </row>
    <row r="120" hidden="1">
      <c r="A120" s="130" t="inlineStr">
        <is>
          <t>Москва</t>
        </is>
      </c>
      <c r="B120" s="125" t="inlineStr">
        <is>
          <t>Газпромнефть</t>
        </is>
      </c>
      <c r="C120" s="402" t="n">
        <v>12404</v>
      </c>
      <c r="D120" s="402" t="inlineStr">
        <is>
          <t>GPN_12404</t>
        </is>
      </c>
      <c r="E120" s="502" t="inlineStr">
        <is>
          <t>добавил</t>
        </is>
      </c>
      <c r="F120" s="498" t="n">
        <v>45069</v>
      </c>
    </row>
    <row r="121" hidden="1">
      <c r="A121" s="130" t="inlineStr">
        <is>
          <t>Тюмень</t>
        </is>
      </c>
      <c r="B121" s="125" t="inlineStr">
        <is>
          <t>Газпромнефть</t>
        </is>
      </c>
      <c r="C121" s="402" t="n">
        <v>21320</v>
      </c>
      <c r="D121" s="402" t="inlineStr">
        <is>
          <t>GPN_21320</t>
        </is>
      </c>
      <c r="E121" s="502" t="inlineStr">
        <is>
          <t>добавил</t>
        </is>
      </c>
      <c r="F121" s="498" t="n">
        <v>45069</v>
      </c>
    </row>
    <row r="122" hidden="1">
      <c r="A122" s="130" t="inlineStr">
        <is>
          <t>Тюмень</t>
        </is>
      </c>
      <c r="B122" s="125" t="inlineStr">
        <is>
          <t>Газпромнефть</t>
        </is>
      </c>
      <c r="C122" s="402" t="n">
        <v>21352</v>
      </c>
      <c r="D122" s="402" t="inlineStr">
        <is>
          <t>GPN_21352</t>
        </is>
      </c>
      <c r="E122" s="502" t="inlineStr">
        <is>
          <t>добавил</t>
        </is>
      </c>
      <c r="F122" s="498" t="n">
        <v>45069</v>
      </c>
    </row>
    <row r="123" hidden="1">
      <c r="A123" s="130" t="inlineStr">
        <is>
          <t>Тюмень</t>
        </is>
      </c>
      <c r="B123" s="125" t="inlineStr">
        <is>
          <t>Газпромнефть</t>
        </is>
      </c>
      <c r="C123" s="402" t="n">
        <v>24439</v>
      </c>
      <c r="D123" s="402" t="inlineStr">
        <is>
          <t>GPN_24439</t>
        </is>
      </c>
      <c r="E123" s="502" t="inlineStr">
        <is>
          <t>добавил</t>
        </is>
      </c>
      <c r="F123" s="498" t="n">
        <v>45069</v>
      </c>
    </row>
    <row r="124" hidden="1">
      <c r="A124" s="130" t="inlineStr">
        <is>
          <t>Тюмень</t>
        </is>
      </c>
      <c r="B124" s="125" t="inlineStr">
        <is>
          <t>Газпромнефть</t>
        </is>
      </c>
      <c r="C124" s="402" t="n">
        <v>24471</v>
      </c>
      <c r="D124" s="402" t="inlineStr">
        <is>
          <t>GPN_24471</t>
        </is>
      </c>
      <c r="E124" s="502" t="inlineStr">
        <is>
          <t>добавил</t>
        </is>
      </c>
      <c r="F124" s="498" t="n">
        <v>45069</v>
      </c>
    </row>
    <row r="125" hidden="1">
      <c r="A125" s="130" t="inlineStr">
        <is>
          <t>Тюмень</t>
        </is>
      </c>
      <c r="B125" s="125" t="inlineStr">
        <is>
          <t>Газпромнефть</t>
        </is>
      </c>
      <c r="C125" s="402" t="n">
        <v>24473</v>
      </c>
      <c r="D125" s="402" t="inlineStr">
        <is>
          <t>GPN_24473</t>
        </is>
      </c>
      <c r="E125" s="502" t="inlineStr">
        <is>
          <t>добавил</t>
        </is>
      </c>
      <c r="F125" s="498" t="n">
        <v>45069</v>
      </c>
    </row>
    <row r="126" hidden="1">
      <c r="A126" s="130" t="inlineStr">
        <is>
          <t>Омск</t>
        </is>
      </c>
      <c r="B126" s="125" t="inlineStr">
        <is>
          <t>Газпромнефть</t>
        </is>
      </c>
      <c r="C126" s="402" t="n">
        <v>31001</v>
      </c>
      <c r="D126" s="402" t="inlineStr">
        <is>
          <t>GPN_31001</t>
        </is>
      </c>
      <c r="E126" s="502" t="inlineStr">
        <is>
          <t>добавил</t>
        </is>
      </c>
      <c r="F126" s="498" t="n">
        <v>45069</v>
      </c>
    </row>
    <row r="127" hidden="1">
      <c r="A127" s="130" t="inlineStr">
        <is>
          <t>Москва</t>
        </is>
      </c>
      <c r="B127" s="125" t="inlineStr">
        <is>
          <t>Газпромнефть</t>
        </is>
      </c>
      <c r="C127" s="402" t="n">
        <v>12546</v>
      </c>
      <c r="D127" s="402" t="inlineStr">
        <is>
          <t>GPN_12546</t>
        </is>
      </c>
      <c r="E127" s="502" t="inlineStr">
        <is>
          <t>добавил</t>
        </is>
      </c>
      <c r="F127" s="498" t="n">
        <v>45069</v>
      </c>
    </row>
    <row r="128" hidden="1">
      <c r="A128" s="130" t="inlineStr">
        <is>
          <t>Москва</t>
        </is>
      </c>
      <c r="B128" s="130" t="inlineStr">
        <is>
          <t>Бизнес центр</t>
        </is>
      </c>
      <c r="C128" s="402" t="inlineStr">
        <is>
          <t>Лофт Виль</t>
        </is>
      </c>
      <c r="D128" s="402" t="inlineStr">
        <is>
          <t>MSK_BC_Loft_Vil</t>
        </is>
      </c>
      <c r="E128" s="506" t="inlineStr">
        <is>
          <t>Переоформление договора</t>
        </is>
      </c>
      <c r="F128" s="498" t="n">
        <v>45070</v>
      </c>
    </row>
    <row r="129" hidden="1">
      <c r="A129" s="130" t="inlineStr">
        <is>
          <t>Тверь</t>
        </is>
      </c>
      <c r="B129" s="130" t="inlineStr">
        <is>
          <t>Роснефть</t>
        </is>
      </c>
      <c r="C129" s="402" t="n">
        <v>19</v>
      </c>
      <c r="D129" s="402" t="inlineStr">
        <is>
          <t>TVE_RN_0019</t>
        </is>
      </c>
      <c r="E129" s="502" t="inlineStr">
        <is>
          <t>Новая станция</t>
        </is>
      </c>
      <c r="F129" s="498" t="n">
        <v>45083</v>
      </c>
    </row>
    <row r="130" hidden="1">
      <c r="A130" s="130" t="inlineStr">
        <is>
          <t>Пермь</t>
        </is>
      </c>
      <c r="B130" s="130" t="inlineStr">
        <is>
          <t>Metro C&amp;C</t>
        </is>
      </c>
      <c r="C130" s="402" t="n">
        <v>35</v>
      </c>
      <c r="D130" s="402" t="inlineStr">
        <is>
          <t>Metro_35</t>
        </is>
      </c>
      <c r="E130" s="502" t="inlineStr">
        <is>
          <t>Экранов: 9</t>
        </is>
      </c>
      <c r="F130" s="498" t="n">
        <v>45083</v>
      </c>
    </row>
    <row r="131" hidden="1">
      <c r="A131" s="125" t="inlineStr">
        <is>
          <t>Пенза</t>
        </is>
      </c>
      <c r="B131" s="125" t="inlineStr">
        <is>
          <t>Роснефть</t>
        </is>
      </c>
      <c r="C131" s="504" t="inlineStr">
        <is>
          <t>RN_9</t>
        </is>
      </c>
      <c r="D131" s="402" t="inlineStr">
        <is>
          <t>PNZ_RN_0009</t>
        </is>
      </c>
      <c r="E131" s="502" t="inlineStr">
        <is>
          <t>добавил</t>
        </is>
      </c>
      <c r="F131" s="498" t="n">
        <v>45083</v>
      </c>
    </row>
    <row r="132" hidden="1">
      <c r="A132" s="125" t="inlineStr">
        <is>
          <t>Тверь</t>
        </is>
      </c>
      <c r="B132" s="125" t="inlineStr">
        <is>
          <t>ПТК</t>
        </is>
      </c>
      <c r="C132" s="402" t="inlineStr">
        <is>
          <t>ПТК_157</t>
        </is>
      </c>
      <c r="D132" s="402" t="inlineStr">
        <is>
          <t>PTK_0157</t>
        </is>
      </c>
      <c r="E132" s="502" t="inlineStr">
        <is>
          <t>реконструкция</t>
        </is>
      </c>
      <c r="F132" s="498" t="n">
        <v>45083</v>
      </c>
    </row>
    <row r="133" hidden="1">
      <c r="A133" s="125" t="inlineStr">
        <is>
          <t>Москва</t>
        </is>
      </c>
      <c r="B133" s="130" t="inlineStr">
        <is>
          <t>Бизнес центр</t>
        </is>
      </c>
      <c r="C133" s="402" t="inlineStr">
        <is>
          <t>Даниловская мануфактура</t>
        </is>
      </c>
      <c r="D133" s="402" t="inlineStr">
        <is>
          <t>MSK_BC_Danilovskaya_Manufaktura</t>
        </is>
      </c>
      <c r="E133" s="502" t="inlineStr">
        <is>
          <t>Экранов: 4</t>
        </is>
      </c>
      <c r="F133" s="498" t="n">
        <v>45084</v>
      </c>
    </row>
    <row r="134" hidden="1">
      <c r="A134" s="130" t="inlineStr">
        <is>
          <t>Брянск</t>
        </is>
      </c>
      <c r="B134" s="130" t="inlineStr">
        <is>
          <t>Роснефть</t>
        </is>
      </c>
      <c r="C134" s="402" t="inlineStr">
        <is>
          <t>RN_3</t>
        </is>
      </c>
      <c r="D134" s="402" t="inlineStr">
        <is>
          <t>BRN_RN_0003</t>
        </is>
      </c>
      <c r="E134" s="502" t="inlineStr">
        <is>
          <t>реконструкция</t>
        </is>
      </c>
      <c r="F134" s="498" t="n">
        <v>45104</v>
      </c>
    </row>
    <row r="135" hidden="1">
      <c r="A135" s="130" t="inlineStr">
        <is>
          <t>Брянск</t>
        </is>
      </c>
      <c r="B135" s="130" t="inlineStr">
        <is>
          <t>Роснефть</t>
        </is>
      </c>
      <c r="C135" s="402" t="inlineStr">
        <is>
          <t>RN_36</t>
        </is>
      </c>
      <c r="D135" s="402" t="inlineStr">
        <is>
          <t>BRN_RN_0036</t>
        </is>
      </c>
      <c r="E135" s="502" t="inlineStr">
        <is>
          <t>реконструкция</t>
        </is>
      </c>
      <c r="F135" s="498" t="n">
        <v>45104</v>
      </c>
    </row>
    <row r="136" hidden="1">
      <c r="A136" s="125" t="inlineStr">
        <is>
          <t>Томск</t>
        </is>
      </c>
      <c r="B136" s="130" t="inlineStr">
        <is>
          <t>Роснефть</t>
        </is>
      </c>
      <c r="C136" s="402" t="inlineStr">
        <is>
          <t>RN_3</t>
        </is>
      </c>
      <c r="D136" s="402" t="inlineStr">
        <is>
          <t>TMS_RN_003</t>
        </is>
      </c>
      <c r="E136" s="502" t="inlineStr">
        <is>
          <t>реконструкция</t>
        </is>
      </c>
      <c r="F136" s="498" t="n">
        <v>45104</v>
      </c>
    </row>
    <row r="137" hidden="1">
      <c r="A137" s="125" t="inlineStr">
        <is>
          <t>Томск</t>
        </is>
      </c>
      <c r="B137" s="130" t="inlineStr">
        <is>
          <t>Роснефть</t>
        </is>
      </c>
      <c r="C137" s="402" t="inlineStr">
        <is>
          <t>RN_6</t>
        </is>
      </c>
      <c r="D137" s="402" t="inlineStr">
        <is>
          <t>TMS_RN_006</t>
        </is>
      </c>
      <c r="E137" s="502" t="inlineStr">
        <is>
          <t>реконструкция</t>
        </is>
      </c>
      <c r="F137" s="498" t="n">
        <v>45104</v>
      </c>
    </row>
    <row r="138" hidden="1">
      <c r="A138" s="125" t="inlineStr">
        <is>
          <t>Томск</t>
        </is>
      </c>
      <c r="B138" s="130" t="inlineStr">
        <is>
          <t>Роснефть</t>
        </is>
      </c>
      <c r="C138" s="402" t="inlineStr">
        <is>
          <t>RN_24</t>
        </is>
      </c>
      <c r="D138" s="402" t="inlineStr">
        <is>
          <t>TMS_RN_024</t>
        </is>
      </c>
      <c r="E138" s="502" t="inlineStr">
        <is>
          <t>реконструкция</t>
        </is>
      </c>
      <c r="F138" s="498" t="n">
        <v>45104</v>
      </c>
    </row>
    <row r="139" hidden="1">
      <c r="A139" s="130" t="inlineStr">
        <is>
          <t>Москва</t>
        </is>
      </c>
      <c r="B139" s="130" t="inlineStr">
        <is>
          <t>Бизнес центр</t>
        </is>
      </c>
      <c r="C139" s="402" t="inlineStr">
        <is>
          <t>Таганский</t>
        </is>
      </c>
      <c r="D139" s="402" t="inlineStr">
        <is>
          <t>MSK_BC_Taganskiy</t>
        </is>
      </c>
      <c r="E139" s="502" t="inlineStr">
        <is>
          <t>Закрылся насовсем</t>
        </is>
      </c>
      <c r="F139" s="498" t="n">
        <v>45104</v>
      </c>
    </row>
    <row r="140" hidden="1">
      <c r="A140" s="130" t="inlineStr">
        <is>
          <t>Москва</t>
        </is>
      </c>
      <c r="B140" s="130" t="inlineStr">
        <is>
          <t>Лукойл</t>
        </is>
      </c>
      <c r="C140" s="402" t="n">
        <v>77621</v>
      </c>
      <c r="D140" s="402" t="inlineStr">
        <is>
          <t>MSK_LUK_0621</t>
        </is>
      </c>
      <c r="E140" s="502" t="inlineStr">
        <is>
          <t>Закрылся насовсем</t>
        </is>
      </c>
      <c r="F140" s="498" t="n">
        <v>45104</v>
      </c>
    </row>
    <row r="141" hidden="1">
      <c r="A141" s="130" t="inlineStr">
        <is>
          <t>Москва</t>
        </is>
      </c>
      <c r="B141" s="130" t="inlineStr">
        <is>
          <t>ЕКА</t>
        </is>
      </c>
      <c r="C141" s="402" t="n">
        <v>77710</v>
      </c>
      <c r="D141" s="402" t="inlineStr">
        <is>
          <t>MSK_EKA_010</t>
        </is>
      </c>
      <c r="E141" s="502" t="inlineStr">
        <is>
          <t>Закрылся насовсем</t>
        </is>
      </c>
      <c r="F141" s="498" t="n">
        <v>45104</v>
      </c>
    </row>
    <row r="142" hidden="1">
      <c r="A142" s="130" t="inlineStr">
        <is>
          <t>Москва</t>
        </is>
      </c>
      <c r="B142" s="130" t="inlineStr">
        <is>
          <t>ЕКА</t>
        </is>
      </c>
      <c r="C142" s="402" t="n">
        <v>77752</v>
      </c>
      <c r="D142" s="402" t="inlineStr">
        <is>
          <t>MSK_EKA_052</t>
        </is>
      </c>
      <c r="E142" s="502" t="inlineStr">
        <is>
          <t>Закрылся насовсем</t>
        </is>
      </c>
      <c r="F142" s="498" t="n">
        <v>45104</v>
      </c>
    </row>
    <row r="143" hidden="1">
      <c r="A143" s="130" t="inlineStr">
        <is>
          <t>Москва</t>
        </is>
      </c>
      <c r="B143" s="130" t="inlineStr">
        <is>
          <t>ЕКА</t>
        </is>
      </c>
      <c r="C143" s="402" t="n">
        <v>77755</v>
      </c>
      <c r="D143" s="402" t="inlineStr">
        <is>
          <t>MSK_EKA_055</t>
        </is>
      </c>
      <c r="E143" s="502" t="inlineStr">
        <is>
          <t>Закрылся насовсем</t>
        </is>
      </c>
      <c r="F143" s="498" t="n">
        <v>45104</v>
      </c>
    </row>
    <row r="144" hidden="1">
      <c r="A144" s="130" t="inlineStr">
        <is>
          <t>Москва</t>
        </is>
      </c>
      <c r="B144" s="130" t="inlineStr">
        <is>
          <t>ЕКА</t>
        </is>
      </c>
      <c r="C144" s="402" t="n">
        <v>77792</v>
      </c>
      <c r="D144" s="402" t="inlineStr">
        <is>
          <t>MSK_EKA_118</t>
        </is>
      </c>
      <c r="E144" s="502" t="inlineStr">
        <is>
          <t>Закрылся насовсем</t>
        </is>
      </c>
      <c r="F144" s="498" t="n">
        <v>45104</v>
      </c>
    </row>
    <row r="145" hidden="1">
      <c r="A145" s="130" t="inlineStr">
        <is>
          <t>Москва</t>
        </is>
      </c>
      <c r="B145" s="130" t="inlineStr">
        <is>
          <t>ЕКА</t>
        </is>
      </c>
      <c r="C145" s="402" t="n">
        <v>77764</v>
      </c>
      <c r="D145" s="402" t="inlineStr">
        <is>
          <t>MSK_EKA_119</t>
        </is>
      </c>
      <c r="E145" s="502" t="inlineStr">
        <is>
          <t>Закрылся насовсем</t>
        </is>
      </c>
      <c r="F145" s="498" t="n">
        <v>45104</v>
      </c>
    </row>
    <row r="146" hidden="1">
      <c r="A146" s="130" t="inlineStr">
        <is>
          <t>Москва</t>
        </is>
      </c>
      <c r="B146" s="130" t="inlineStr">
        <is>
          <t>ЕКА</t>
        </is>
      </c>
      <c r="C146" s="402" t="n">
        <v>77725</v>
      </c>
      <c r="D146" s="402" t="inlineStr">
        <is>
          <t>MSK_EKA_025</t>
        </is>
      </c>
      <c r="E146" s="502" t="inlineStr">
        <is>
          <t>Закрылся насовсем</t>
        </is>
      </c>
      <c r="F146" s="498" t="n">
        <v>45104</v>
      </c>
    </row>
    <row r="147" hidden="1">
      <c r="A147" s="130" t="inlineStr">
        <is>
          <t>Москва</t>
        </is>
      </c>
      <c r="B147" s="130" t="inlineStr">
        <is>
          <t>ЕКА</t>
        </is>
      </c>
      <c r="C147" s="402" t="n">
        <v>77770</v>
      </c>
      <c r="D147" s="402" t="inlineStr">
        <is>
          <t>MSK_EKA_205</t>
        </is>
      </c>
      <c r="E147" s="502" t="inlineStr">
        <is>
          <t>Закрылся насовсем</t>
        </is>
      </c>
      <c r="F147" s="498" t="n">
        <v>45104</v>
      </c>
    </row>
    <row r="148" hidden="1">
      <c r="A148" s="130" t="inlineStr">
        <is>
          <t>Москва</t>
        </is>
      </c>
      <c r="B148" s="130" t="inlineStr">
        <is>
          <t>ЕКА</t>
        </is>
      </c>
      <c r="C148" s="402" t="n">
        <v>50712</v>
      </c>
      <c r="D148" s="402" t="inlineStr">
        <is>
          <t>MSK_EKA_312</t>
        </is>
      </c>
      <c r="E148" s="502" t="inlineStr">
        <is>
          <t>Закрылся насовсем</t>
        </is>
      </c>
      <c r="F148" s="498" t="n">
        <v>45104</v>
      </c>
    </row>
    <row r="149" hidden="1">
      <c r="A149" s="130" t="inlineStr">
        <is>
          <t>Москва</t>
        </is>
      </c>
      <c r="B149" s="130" t="inlineStr">
        <is>
          <t>ЕКА</t>
        </is>
      </c>
      <c r="C149" s="402" t="n">
        <v>50704</v>
      </c>
      <c r="D149" s="402" t="inlineStr">
        <is>
          <t>MSK_EKA_304</t>
        </is>
      </c>
      <c r="E149" s="502" t="inlineStr">
        <is>
          <t>Закрылся насовсем</t>
        </is>
      </c>
      <c r="F149" s="498" t="n">
        <v>45104</v>
      </c>
    </row>
    <row r="150" hidden="1">
      <c r="A150" s="130" t="inlineStr">
        <is>
          <t>Москва</t>
        </is>
      </c>
      <c r="B150" s="130" t="inlineStr">
        <is>
          <t>ЕКА</t>
        </is>
      </c>
      <c r="C150" s="402" t="n">
        <v>50709</v>
      </c>
      <c r="D150" s="402" t="inlineStr">
        <is>
          <t>MSK_EKA_309</t>
        </is>
      </c>
      <c r="E150" s="502" t="inlineStr">
        <is>
          <t>Закрылся насовсем</t>
        </is>
      </c>
      <c r="F150" s="498" t="n">
        <v>45104</v>
      </c>
    </row>
    <row r="151" hidden="1">
      <c r="A151" s="130" t="inlineStr">
        <is>
          <t>Москва</t>
        </is>
      </c>
      <c r="B151" s="130" t="inlineStr">
        <is>
          <t>Роснефть</t>
        </is>
      </c>
      <c r="C151" s="402" t="inlineStr">
        <is>
          <t>Клин</t>
        </is>
      </c>
      <c r="D151" s="402" t="inlineStr">
        <is>
          <t>MSK_BP_Klin</t>
        </is>
      </c>
      <c r="E151" s="502" t="inlineStr">
        <is>
          <t>1 экран</t>
        </is>
      </c>
      <c r="F151" s="498" t="n">
        <v>45104</v>
      </c>
    </row>
    <row r="152" hidden="1">
      <c r="A152" s="130" t="inlineStr">
        <is>
          <t>Москва</t>
        </is>
      </c>
      <c r="B152" s="130" t="inlineStr">
        <is>
          <t>Фитнес</t>
        </is>
      </c>
      <c r="C152" s="402" t="inlineStr">
        <is>
          <t>СССР Кожуховская</t>
        </is>
      </c>
      <c r="D152" s="402" t="inlineStr">
        <is>
          <t>MSC_FC39_TV01</t>
        </is>
      </c>
      <c r="E152" s="502" t="inlineStr">
        <is>
          <t>Закрылся насовсем</t>
        </is>
      </c>
      <c r="F152" s="498" t="n">
        <v>45106</v>
      </c>
    </row>
    <row r="153" hidden="1">
      <c r="A153" s="130" t="inlineStr">
        <is>
          <t>Сахалинская область</t>
        </is>
      </c>
      <c r="B153" s="130" t="inlineStr">
        <is>
          <t>Роснефть</t>
        </is>
      </c>
      <c r="C153" s="402" t="n">
        <v>551</v>
      </c>
      <c r="D153" s="402" t="inlineStr">
        <is>
          <t>VLV_RN_551</t>
        </is>
      </c>
      <c r="E153" s="502" t="inlineStr">
        <is>
          <t>Новая станция</t>
        </is>
      </c>
      <c r="F153" s="498" t="n">
        <v>45106</v>
      </c>
    </row>
    <row r="154" hidden="1">
      <c r="A154" s="130" t="inlineStr">
        <is>
          <t>Ульяновск</t>
        </is>
      </c>
      <c r="B154" s="130" t="inlineStr">
        <is>
          <t>Роснефть</t>
        </is>
      </c>
      <c r="C154" s="402" t="inlineStr">
        <is>
          <t>RN_7</t>
        </is>
      </c>
      <c r="D154" s="402" t="inlineStr">
        <is>
          <t>ULN_RN_0007</t>
        </is>
      </c>
      <c r="E154" s="502" t="inlineStr">
        <is>
          <t>добавил</t>
        </is>
      </c>
      <c r="F154" s="498" t="n">
        <v>45106</v>
      </c>
    </row>
    <row r="155" hidden="1">
      <c r="A155" s="130" t="inlineStr">
        <is>
          <t>Ульяновск</t>
        </is>
      </c>
      <c r="B155" s="130" t="inlineStr">
        <is>
          <t>Роснефть</t>
        </is>
      </c>
      <c r="C155" s="402" t="inlineStr">
        <is>
          <t>RN_46</t>
        </is>
      </c>
      <c r="D155" s="402" t="inlineStr">
        <is>
          <t>ULN_RN_0046</t>
        </is>
      </c>
      <c r="E155" s="502" t="inlineStr">
        <is>
          <t>добавил</t>
        </is>
      </c>
      <c r="F155" s="498" t="n">
        <v>45106</v>
      </c>
    </row>
    <row r="156" hidden="1">
      <c r="A156" s="130" t="inlineStr">
        <is>
          <t>Все</t>
        </is>
      </c>
      <c r="B156" s="130" t="inlineStr">
        <is>
          <t>Автодор</t>
        </is>
      </c>
      <c r="C156" s="402" t="inlineStr">
        <is>
          <t>Все</t>
        </is>
      </c>
      <c r="D156" s="402" t="inlineStr">
        <is>
          <t>Все</t>
        </is>
      </c>
      <c r="E156" s="502" t="inlineStr">
        <is>
          <t>Убрал сеть Автодор</t>
        </is>
      </c>
      <c r="F156" s="498" t="n">
        <v>45107</v>
      </c>
    </row>
    <row r="157" hidden="1">
      <c r="A157" s="130" t="inlineStr">
        <is>
          <t>Липецк</t>
        </is>
      </c>
      <c r="B157" s="130" t="inlineStr">
        <is>
          <t>Роснефть</t>
        </is>
      </c>
      <c r="C157" s="402" t="inlineStr">
        <is>
          <t>RN_28</t>
        </is>
      </c>
      <c r="D157" s="402" t="inlineStr">
        <is>
          <t>LIP_RN_0028</t>
        </is>
      </c>
      <c r="E157" s="502" t="inlineStr">
        <is>
          <t>реконструкция</t>
        </is>
      </c>
      <c r="F157" s="498" t="n">
        <v>45107</v>
      </c>
    </row>
    <row r="158" hidden="1">
      <c r="A158" s="130" t="inlineStr">
        <is>
          <t>Санкт-Петербург</t>
        </is>
      </c>
      <c r="B158" s="130" t="inlineStr">
        <is>
          <t>Газпромнефть</t>
        </is>
      </c>
      <c r="C158" s="402" t="n">
        <v>10012</v>
      </c>
      <c r="D158" s="402" t="inlineStr">
        <is>
          <t>GPN_10012</t>
        </is>
      </c>
      <c r="E158" s="502" t="inlineStr">
        <is>
          <t>добавил</t>
        </is>
      </c>
      <c r="F158" s="498" t="n">
        <v>45107</v>
      </c>
    </row>
    <row r="159" hidden="1">
      <c r="A159" s="130" t="inlineStr">
        <is>
          <t>Санкт-Петербург</t>
        </is>
      </c>
      <c r="B159" s="130" t="inlineStr">
        <is>
          <t>Газпромнефть</t>
        </is>
      </c>
      <c r="C159" s="402" t="n">
        <v>10021</v>
      </c>
      <c r="D159" s="402" t="inlineStr">
        <is>
          <t>GPN_10021</t>
        </is>
      </c>
      <c r="E159" s="502" t="inlineStr">
        <is>
          <t>добавил</t>
        </is>
      </c>
      <c r="F159" s="498" t="n">
        <v>45107</v>
      </c>
    </row>
    <row r="160" hidden="1">
      <c r="A160" s="125" t="inlineStr">
        <is>
          <t>Москва</t>
        </is>
      </c>
      <c r="B160" s="130" t="inlineStr">
        <is>
          <t>Газпромнефть</t>
        </is>
      </c>
      <c r="C160" s="402" t="n">
        <v>12006</v>
      </c>
      <c r="D160" s="402" t="inlineStr">
        <is>
          <t>GPN_12006</t>
        </is>
      </c>
      <c r="E160" s="502" t="inlineStr">
        <is>
          <t>Убрал</t>
        </is>
      </c>
      <c r="F160" s="498" t="n">
        <v>45107</v>
      </c>
    </row>
    <row r="161" hidden="1">
      <c r="A161" s="125" t="inlineStr">
        <is>
          <t>Москва</t>
        </is>
      </c>
      <c r="B161" s="130" t="inlineStr">
        <is>
          <t>С.С.С.Р</t>
        </is>
      </c>
      <c r="C161" s="402" t="inlineStr">
        <is>
          <t>СССР Волгоградский проспект</t>
        </is>
      </c>
      <c r="D161" s="402" t="inlineStr">
        <is>
          <t>MSC_FC32_TV01</t>
        </is>
      </c>
      <c r="E161" s="502" t="inlineStr">
        <is>
          <t>2 экрана</t>
        </is>
      </c>
      <c r="F161" s="498" t="n">
        <v>45110</v>
      </c>
    </row>
    <row r="162" hidden="1">
      <c r="A162" s="125" t="inlineStr">
        <is>
          <t>Москва</t>
        </is>
      </c>
      <c r="B162" s="130" t="inlineStr">
        <is>
          <t>Бизнес центр</t>
        </is>
      </c>
      <c r="C162" s="402" t="inlineStr">
        <is>
          <t>Новосущевский</t>
        </is>
      </c>
      <c r="D162" s="402" t="inlineStr">
        <is>
          <t>MSK_BC_Novosuschevskiy</t>
        </is>
      </c>
      <c r="E162" s="502" t="inlineStr">
        <is>
          <t>реконструкция</t>
        </is>
      </c>
      <c r="F162" s="498" t="n">
        <v>45110</v>
      </c>
    </row>
    <row r="163" hidden="1">
      <c r="A163" s="125" t="inlineStr">
        <is>
          <t>Москва</t>
        </is>
      </c>
      <c r="B163" s="130" t="inlineStr">
        <is>
          <t>Бизнес центр</t>
        </is>
      </c>
      <c r="C163" s="402" t="inlineStr">
        <is>
          <t>Орликов Плаза</t>
        </is>
      </c>
      <c r="D163" s="402" t="inlineStr">
        <is>
          <t>MSK_BC_Orlikov_Plaza</t>
        </is>
      </c>
      <c r="E163" s="502" t="inlineStr">
        <is>
          <t>1 экран</t>
        </is>
      </c>
      <c r="F163" s="498" t="n">
        <v>45110</v>
      </c>
    </row>
    <row r="164" hidden="1">
      <c r="A164" s="130" t="inlineStr">
        <is>
          <t>Санкт-Петербург</t>
        </is>
      </c>
      <c r="B164" s="130" t="inlineStr">
        <is>
          <t>ПТК</t>
        </is>
      </c>
      <c r="C164" s="402" t="inlineStr">
        <is>
          <t>348 Южное-2</t>
        </is>
      </c>
      <c r="D164" s="402" t="inlineStr">
        <is>
          <t>PTK_0048</t>
        </is>
      </c>
      <c r="E164" s="502" t="inlineStr">
        <is>
          <t>реконструкция</t>
        </is>
      </c>
      <c r="F164" s="498" t="n">
        <v>45112</v>
      </c>
    </row>
    <row r="165" hidden="1">
      <c r="A165" s="130" t="inlineStr">
        <is>
          <t>Москва</t>
        </is>
      </c>
      <c r="B165" s="125" t="inlineStr">
        <is>
          <t>Азбука Вкуса</t>
        </is>
      </c>
      <c r="C165" s="402" t="n">
        <v>171</v>
      </c>
      <c r="D165" s="402" t="inlineStr">
        <is>
          <t>MSK_A_171</t>
        </is>
      </c>
      <c r="E165" s="502" t="inlineStr">
        <is>
          <t>добавил</t>
        </is>
      </c>
      <c r="F165" s="498" t="n">
        <v>45118</v>
      </c>
    </row>
    <row r="166" hidden="1">
      <c r="A166" s="130" t="inlineStr">
        <is>
          <t>Москва</t>
        </is>
      </c>
      <c r="B166" s="125" t="inlineStr">
        <is>
          <t>Энотека АВ</t>
        </is>
      </c>
      <c r="C166" s="402" t="n">
        <v>171</v>
      </c>
      <c r="D166" s="402" t="inlineStr">
        <is>
          <t>MSK_E_171</t>
        </is>
      </c>
      <c r="E166" s="502" t="inlineStr">
        <is>
          <t>добавил</t>
        </is>
      </c>
      <c r="F166" s="498" t="n">
        <v>45118</v>
      </c>
    </row>
    <row r="167" hidden="1">
      <c r="A167" s="130" t="inlineStr">
        <is>
          <t>Томск</t>
        </is>
      </c>
      <c r="B167" s="130" t="inlineStr">
        <is>
          <t>Роснефть</t>
        </is>
      </c>
      <c r="C167" s="402" t="inlineStr">
        <is>
          <t>RN_5</t>
        </is>
      </c>
      <c r="D167" s="402" t="inlineStr">
        <is>
          <t>TMS_RN_005</t>
        </is>
      </c>
      <c r="E167" s="502" t="inlineStr">
        <is>
          <t>реконструкция</t>
        </is>
      </c>
      <c r="F167" s="498" t="n">
        <v>45120</v>
      </c>
    </row>
    <row r="168" hidden="1">
      <c r="A168" s="130" t="inlineStr">
        <is>
          <t>Краснодар</t>
        </is>
      </c>
      <c r="B168" s="130" t="inlineStr">
        <is>
          <t>Роснефть</t>
        </is>
      </c>
      <c r="C168" s="402" t="inlineStr">
        <is>
          <t>RN_120/1</t>
        </is>
      </c>
      <c r="D168" s="402" t="inlineStr">
        <is>
          <t>KDR_RN_0120_1</t>
        </is>
      </c>
      <c r="E168" s="502" t="inlineStr">
        <is>
          <t>Новая станция</t>
        </is>
      </c>
      <c r="F168" s="498" t="n">
        <v>45120</v>
      </c>
    </row>
    <row r="169" hidden="1">
      <c r="A169" s="130" t="inlineStr">
        <is>
          <t>Краснодар</t>
        </is>
      </c>
      <c r="B169" s="130" t="inlineStr">
        <is>
          <t>Роснефть</t>
        </is>
      </c>
      <c r="C169" s="402" t="inlineStr">
        <is>
          <t>RN_126</t>
        </is>
      </c>
      <c r="D169" s="402" t="inlineStr">
        <is>
          <t>KDR_RN_0126</t>
        </is>
      </c>
      <c r="E169" s="502" t="inlineStr">
        <is>
          <t>Добавил</t>
        </is>
      </c>
      <c r="F169" s="498" t="n">
        <v>45131</v>
      </c>
    </row>
    <row r="170" hidden="1">
      <c r="A170" s="130" t="inlineStr">
        <is>
          <t>Краснодар</t>
        </is>
      </c>
      <c r="B170" s="130" t="inlineStr">
        <is>
          <t>Роснефть</t>
        </is>
      </c>
      <c r="C170" s="402" t="inlineStr">
        <is>
          <t>RN_233</t>
        </is>
      </c>
      <c r="D170" s="402" t="inlineStr">
        <is>
          <t>KDR_RN_0233</t>
        </is>
      </c>
      <c r="E170" s="502" t="inlineStr">
        <is>
          <t>2 экрана</t>
        </is>
      </c>
      <c r="F170" s="498" t="n">
        <v>45131</v>
      </c>
    </row>
    <row r="171" hidden="1">
      <c r="A171" s="130" t="inlineStr">
        <is>
          <t>Ростов-на-Дону</t>
        </is>
      </c>
      <c r="B171" s="130" t="inlineStr">
        <is>
          <t>Роснефть</t>
        </is>
      </c>
      <c r="C171" s="402" t="n">
        <v>27</v>
      </c>
      <c r="D171" s="402" t="inlineStr">
        <is>
          <t>RND_RN_0027</t>
        </is>
      </c>
      <c r="E171" s="502" t="inlineStr">
        <is>
          <t>Добавил</t>
        </is>
      </c>
      <c r="F171" s="498" t="n">
        <v>45131</v>
      </c>
    </row>
    <row r="172" hidden="1">
      <c r="A172" s="130" t="inlineStr">
        <is>
          <t>Ростов-на-Дону</t>
        </is>
      </c>
      <c r="B172" s="130" t="inlineStr">
        <is>
          <t>Роснефть</t>
        </is>
      </c>
      <c r="C172" s="402" t="n">
        <v>112</v>
      </c>
      <c r="D172" s="402" t="inlineStr">
        <is>
          <t>RND_RN_0112</t>
        </is>
      </c>
      <c r="E172" s="502" t="inlineStr">
        <is>
          <t>реконструкция</t>
        </is>
      </c>
      <c r="F172" s="498" t="n">
        <v>45131</v>
      </c>
    </row>
    <row r="173" hidden="1">
      <c r="A173" s="130" t="inlineStr">
        <is>
          <t>Ростов-на-Дону</t>
        </is>
      </c>
      <c r="B173" s="130" t="inlineStr">
        <is>
          <t>Роснефть</t>
        </is>
      </c>
      <c r="C173" s="402" t="n">
        <v>115</v>
      </c>
      <c r="D173" s="402" t="inlineStr">
        <is>
          <t>RND_RN_0115</t>
        </is>
      </c>
      <c r="E173" s="502" t="inlineStr">
        <is>
          <t>Добавил</t>
        </is>
      </c>
      <c r="F173" s="498" t="n">
        <v>45131</v>
      </c>
    </row>
    <row r="174" hidden="1">
      <c r="A174" s="130" t="inlineStr">
        <is>
          <t>Ставрополь</t>
        </is>
      </c>
      <c r="B174" s="130" t="inlineStr">
        <is>
          <t>Роснефть</t>
        </is>
      </c>
      <c r="C174" s="402" t="n">
        <v>14</v>
      </c>
      <c r="D174" s="402" t="inlineStr">
        <is>
          <t>STW_RN_014</t>
        </is>
      </c>
      <c r="E174" s="502" t="inlineStr">
        <is>
          <t>Новая станция</t>
        </is>
      </c>
      <c r="F174" s="498" t="n">
        <v>45131</v>
      </c>
    </row>
    <row r="175" hidden="1">
      <c r="A175" s="130" t="inlineStr">
        <is>
          <t>Ставрополь</t>
        </is>
      </c>
      <c r="B175" s="130" t="inlineStr">
        <is>
          <t>Роснефть</t>
        </is>
      </c>
      <c r="C175" s="402" t="n">
        <v>9</v>
      </c>
      <c r="D175" s="402" t="inlineStr">
        <is>
          <t>STW_RN_009</t>
        </is>
      </c>
      <c r="E175" s="502" t="inlineStr">
        <is>
          <t>Новая станция</t>
        </is>
      </c>
      <c r="F175" s="498" t="n">
        <v>45131</v>
      </c>
    </row>
    <row r="176" hidden="1">
      <c r="A176" s="130" t="inlineStr">
        <is>
          <t>Ставрополь</t>
        </is>
      </c>
      <c r="B176" s="130" t="inlineStr">
        <is>
          <t>Роснефть</t>
        </is>
      </c>
      <c r="C176" s="402" t="n">
        <v>44</v>
      </c>
      <c r="D176" s="402" t="inlineStr">
        <is>
          <t>STW_RN_044</t>
        </is>
      </c>
      <c r="E176" s="502" t="inlineStr">
        <is>
          <t>Добавил</t>
        </is>
      </c>
      <c r="F176" s="498" t="n">
        <v>45131</v>
      </c>
    </row>
    <row r="177" hidden="1">
      <c r="A177" s="130" t="inlineStr">
        <is>
          <t>Краснодар</t>
        </is>
      </c>
      <c r="B177" s="130" t="inlineStr">
        <is>
          <t>Роснефть</t>
        </is>
      </c>
      <c r="C177" s="402" t="inlineStr">
        <is>
          <t>RN_119</t>
        </is>
      </c>
      <c r="D177" s="402" t="inlineStr">
        <is>
          <t>KDR_RN_0119</t>
        </is>
      </c>
      <c r="E177" s="502" t="inlineStr">
        <is>
          <t>реконструкция</t>
        </is>
      </c>
      <c r="F177" s="498" t="n">
        <v>45131</v>
      </c>
    </row>
    <row r="178" hidden="1">
      <c r="A178" s="130" t="inlineStr">
        <is>
          <t>Белгород</t>
        </is>
      </c>
      <c r="B178" s="130" t="inlineStr">
        <is>
          <t>Роснефть</t>
        </is>
      </c>
      <c r="C178" s="402" t="n">
        <v>1</v>
      </c>
      <c r="D178" s="402" t="inlineStr">
        <is>
          <t>BGD_RN_001</t>
        </is>
      </c>
      <c r="E178" s="502" t="inlineStr">
        <is>
          <t>Добавил</t>
        </is>
      </c>
      <c r="F178" s="498" t="n">
        <v>45131</v>
      </c>
    </row>
    <row r="179" hidden="1">
      <c r="A179" s="130" t="inlineStr">
        <is>
          <t>Краснодар</t>
        </is>
      </c>
      <c r="B179" s="130" t="inlineStr">
        <is>
          <t>Роснефть</t>
        </is>
      </c>
      <c r="C179" s="402" t="inlineStr">
        <is>
          <t>RN_153</t>
        </is>
      </c>
      <c r="D179" s="402" t="inlineStr">
        <is>
          <t>KDR_RN_0153</t>
        </is>
      </c>
      <c r="E179" s="502" t="inlineStr">
        <is>
          <t>реконструкция</t>
        </is>
      </c>
      <c r="F179" s="498" t="n">
        <v>45131</v>
      </c>
    </row>
    <row r="180" hidden="1">
      <c r="A180" s="130" t="inlineStr">
        <is>
          <t>Краснодар</t>
        </is>
      </c>
      <c r="B180" s="130" t="inlineStr">
        <is>
          <t>Роснефть</t>
        </is>
      </c>
      <c r="C180" s="402" t="inlineStr">
        <is>
          <t>RN_155</t>
        </is>
      </c>
      <c r="D180" s="402" t="inlineStr">
        <is>
          <t>KDR_RN_0155</t>
        </is>
      </c>
      <c r="E180" s="502" t="inlineStr">
        <is>
          <t>реконструкция</t>
        </is>
      </c>
      <c r="F180" s="498" t="n">
        <v>45131</v>
      </c>
    </row>
    <row r="181" hidden="1">
      <c r="A181" s="130" t="inlineStr">
        <is>
          <t>Краснодар</t>
        </is>
      </c>
      <c r="B181" s="130" t="inlineStr">
        <is>
          <t>Роснефть</t>
        </is>
      </c>
      <c r="C181" s="402" t="inlineStr">
        <is>
          <t>RN_157</t>
        </is>
      </c>
      <c r="D181" s="402" t="inlineStr">
        <is>
          <t>KDR_RN_0157</t>
        </is>
      </c>
      <c r="E181" s="502" t="inlineStr">
        <is>
          <t>реконструкция</t>
        </is>
      </c>
      <c r="F181" s="498" t="n">
        <v>45131</v>
      </c>
    </row>
    <row r="182" hidden="1">
      <c r="A182" s="130" t="inlineStr">
        <is>
          <t>Краснодар</t>
        </is>
      </c>
      <c r="B182" s="130" t="inlineStr">
        <is>
          <t>Роснефть</t>
        </is>
      </c>
      <c r="C182" s="402" t="inlineStr">
        <is>
          <t>RN_269</t>
        </is>
      </c>
      <c r="D182" s="402" t="inlineStr">
        <is>
          <t>KDR_RN_0269</t>
        </is>
      </c>
      <c r="E182" s="502" t="inlineStr">
        <is>
          <t>Добавил</t>
        </is>
      </c>
      <c r="F182" s="498" t="n">
        <v>45131</v>
      </c>
    </row>
    <row r="183" hidden="1">
      <c r="A183" s="130" t="inlineStr">
        <is>
          <t>Краснодар</t>
        </is>
      </c>
      <c r="B183" s="130" t="inlineStr">
        <is>
          <t>Роснефть</t>
        </is>
      </c>
      <c r="C183" s="402" t="inlineStr">
        <is>
          <t>RN_117</t>
        </is>
      </c>
      <c r="D183" s="402" t="inlineStr">
        <is>
          <t>KDR_RN_0117</t>
        </is>
      </c>
      <c r="E183" s="502" t="inlineStr">
        <is>
          <t>Добавил. 2 экрана</t>
        </is>
      </c>
      <c r="F183" s="498" t="n">
        <v>45131</v>
      </c>
    </row>
    <row r="184" hidden="1">
      <c r="A184" s="130" t="inlineStr">
        <is>
          <t>Москва</t>
        </is>
      </c>
      <c r="B184" s="125" t="inlineStr">
        <is>
          <t>Газпромнефть</t>
        </is>
      </c>
      <c r="C184" s="402" t="n">
        <v>12546</v>
      </c>
      <c r="D184" s="402" t="inlineStr">
        <is>
          <t>GPN_12546</t>
        </is>
      </c>
      <c r="E184" s="502" t="inlineStr">
        <is>
          <t>реконструкция</t>
        </is>
      </c>
      <c r="F184" s="498" t="n">
        <v>45134</v>
      </c>
    </row>
    <row r="185" hidden="1">
      <c r="A185" s="130" t="inlineStr">
        <is>
          <t>Краснодар</t>
        </is>
      </c>
      <c r="B185" s="130" t="inlineStr">
        <is>
          <t>Роснефть</t>
        </is>
      </c>
      <c r="C185" s="402" t="inlineStr">
        <is>
          <t>RN_116/1</t>
        </is>
      </c>
      <c r="D185" s="402" t="inlineStr">
        <is>
          <t>KDR_RN_0116_1</t>
        </is>
      </c>
      <c r="E185" s="502" t="inlineStr">
        <is>
          <t>реконструкция</t>
        </is>
      </c>
      <c r="F185" s="498" t="n">
        <v>45134</v>
      </c>
    </row>
    <row r="186" hidden="1">
      <c r="A186" s="130" t="inlineStr">
        <is>
          <t>Краснодар</t>
        </is>
      </c>
      <c r="B186" s="130" t="inlineStr">
        <is>
          <t>Роснефть</t>
        </is>
      </c>
      <c r="C186" s="402" t="inlineStr">
        <is>
          <t>RN_143/1</t>
        </is>
      </c>
      <c r="D186" s="402" t="inlineStr">
        <is>
          <t>KDR_RN_0143_1</t>
        </is>
      </c>
      <c r="E186" s="502" t="inlineStr">
        <is>
          <t>реконструкция</t>
        </is>
      </c>
      <c r="F186" s="498" t="n">
        <v>45134</v>
      </c>
    </row>
    <row r="187" hidden="1">
      <c r="A187" s="125" t="inlineStr">
        <is>
          <t>Тверь</t>
        </is>
      </c>
      <c r="B187" s="125" t="inlineStr">
        <is>
          <t>Роснефть</t>
        </is>
      </c>
      <c r="C187" s="402" t="inlineStr">
        <is>
          <t>RN_7</t>
        </is>
      </c>
      <c r="D187" s="402" t="inlineStr">
        <is>
          <t>TVE_RN_0007</t>
        </is>
      </c>
      <c r="E187" s="502" t="inlineStr">
        <is>
          <t>2 экрана</t>
        </is>
      </c>
      <c r="F187" s="498" t="n">
        <v>45134</v>
      </c>
    </row>
    <row r="188" hidden="1">
      <c r="A188" s="125" t="inlineStr">
        <is>
          <t>Тверь</t>
        </is>
      </c>
      <c r="B188" s="125" t="inlineStr">
        <is>
          <t>Роснефть</t>
        </is>
      </c>
      <c r="C188" s="402" t="inlineStr">
        <is>
          <t>RN_3</t>
        </is>
      </c>
      <c r="D188" s="402" t="inlineStr">
        <is>
          <t>TVE_RN_0003</t>
        </is>
      </c>
      <c r="E188" s="502" t="inlineStr">
        <is>
          <t>2 экрана</t>
        </is>
      </c>
      <c r="F188" s="498" t="n">
        <v>45134</v>
      </c>
    </row>
    <row r="189" hidden="1">
      <c r="A189" s="130" t="inlineStr">
        <is>
          <t>Самара</t>
        </is>
      </c>
      <c r="B189" s="125" t="inlineStr">
        <is>
          <t>Роснефть</t>
        </is>
      </c>
      <c r="C189" s="402" t="inlineStr">
        <is>
          <t>RN_50</t>
        </is>
      </c>
      <c r="D189" s="402" t="inlineStr">
        <is>
          <t>SMR_RN_0050</t>
        </is>
      </c>
      <c r="E189" s="502" t="inlineStr">
        <is>
          <t>Добавил. 2 экрана</t>
        </is>
      </c>
      <c r="F189" s="498" t="n">
        <v>45140</v>
      </c>
    </row>
    <row r="190" hidden="1">
      <c r="A190" s="130" t="inlineStr">
        <is>
          <t>Самара</t>
        </is>
      </c>
      <c r="B190" s="125" t="inlineStr">
        <is>
          <t>Роснефть</t>
        </is>
      </c>
      <c r="C190" s="402" t="inlineStr">
        <is>
          <t>RN_56</t>
        </is>
      </c>
      <c r="D190" s="402" t="inlineStr">
        <is>
          <t>SMR_RN_0056</t>
        </is>
      </c>
      <c r="E190" s="502" t="inlineStr">
        <is>
          <t>Добавил. 2 экрана</t>
        </is>
      </c>
      <c r="F190" s="498" t="n">
        <v>45140</v>
      </c>
    </row>
    <row r="191" hidden="1">
      <c r="A191" s="130" t="inlineStr">
        <is>
          <t>Самара</t>
        </is>
      </c>
      <c r="B191" s="125" t="inlineStr">
        <is>
          <t>Роснефть</t>
        </is>
      </c>
      <c r="C191" s="402" t="inlineStr">
        <is>
          <t>RN_49</t>
        </is>
      </c>
      <c r="D191" s="402" t="inlineStr">
        <is>
          <t>SMR_RN_0049</t>
        </is>
      </c>
      <c r="E191" s="502" t="inlineStr">
        <is>
          <t>Добавил. 2 экрана</t>
        </is>
      </c>
      <c r="F191" s="498" t="n">
        <v>45140</v>
      </c>
    </row>
    <row r="192" hidden="1">
      <c r="A192" s="130" t="inlineStr">
        <is>
          <t>Санкт-Петербург</t>
        </is>
      </c>
      <c r="B192" s="130" t="inlineStr">
        <is>
          <t>Газпромнефть</t>
        </is>
      </c>
      <c r="C192" s="402" t="n">
        <v>10023</v>
      </c>
      <c r="D192" s="402" t="inlineStr">
        <is>
          <t>GPN_10023</t>
        </is>
      </c>
      <c r="E192" s="502" t="inlineStr">
        <is>
          <t>реконструкция</t>
        </is>
      </c>
      <c r="F192" s="498" t="n">
        <v>45140</v>
      </c>
    </row>
    <row r="193" hidden="1">
      <c r="A193" s="130" t="inlineStr">
        <is>
          <t>Санкт-Петербург</t>
        </is>
      </c>
      <c r="B193" s="130" t="inlineStr">
        <is>
          <t>Газпромнефть</t>
        </is>
      </c>
      <c r="C193" s="402" t="n">
        <v>10036</v>
      </c>
      <c r="D193" s="402" t="inlineStr">
        <is>
          <t>GPN_10036</t>
        </is>
      </c>
      <c r="E193" s="502" t="inlineStr">
        <is>
          <t>реконструкция</t>
        </is>
      </c>
      <c r="F193" s="498" t="n">
        <v>45140</v>
      </c>
    </row>
    <row r="194" hidden="1">
      <c r="A194" s="130" t="inlineStr">
        <is>
          <t>Санкт-Петербург</t>
        </is>
      </c>
      <c r="B194" s="130" t="inlineStr">
        <is>
          <t>Газпромнефть</t>
        </is>
      </c>
      <c r="C194" s="402" t="n">
        <v>10038</v>
      </c>
      <c r="D194" s="402" t="inlineStr">
        <is>
          <t>GPN_10038</t>
        </is>
      </c>
      <c r="E194" s="502" t="inlineStr">
        <is>
          <t>реконструкция</t>
        </is>
      </c>
      <c r="F194" s="498" t="n">
        <v>45140</v>
      </c>
    </row>
    <row r="195" hidden="1">
      <c r="A195" s="130" t="inlineStr">
        <is>
          <t>Санкт-Петербург</t>
        </is>
      </c>
      <c r="B195" s="130" t="inlineStr">
        <is>
          <t>Газпромнефть</t>
        </is>
      </c>
      <c r="C195" s="402" t="n">
        <v>10063</v>
      </c>
      <c r="D195" s="402" t="inlineStr">
        <is>
          <t>GPN_10063</t>
        </is>
      </c>
      <c r="E195" s="502" t="inlineStr">
        <is>
          <t>реконструкция</t>
        </is>
      </c>
      <c r="F195" s="498" t="n">
        <v>45140</v>
      </c>
    </row>
    <row r="196" hidden="1">
      <c r="A196" s="130" t="inlineStr">
        <is>
          <t>Санкт-Петербург</t>
        </is>
      </c>
      <c r="B196" s="130" t="inlineStr">
        <is>
          <t>Газпромнефть</t>
        </is>
      </c>
      <c r="C196" s="402" t="n">
        <v>10075</v>
      </c>
      <c r="D196" s="402" t="inlineStr">
        <is>
          <t>GPN_10075</t>
        </is>
      </c>
      <c r="E196" s="502" t="inlineStr">
        <is>
          <t>реконструкция</t>
        </is>
      </c>
      <c r="F196" s="498" t="n">
        <v>45140</v>
      </c>
    </row>
    <row r="197" hidden="1">
      <c r="A197" s="130" t="inlineStr">
        <is>
          <t>Санкт-Петербург</t>
        </is>
      </c>
      <c r="B197" s="130" t="inlineStr">
        <is>
          <t>Газпромнефть</t>
        </is>
      </c>
      <c r="C197" s="402" t="n">
        <v>10019</v>
      </c>
      <c r="D197" s="402" t="inlineStr">
        <is>
          <t>GPN_10019</t>
        </is>
      </c>
      <c r="E197" s="502" t="inlineStr">
        <is>
          <t>Добавил</t>
        </is>
      </c>
      <c r="F197" s="498" t="n">
        <v>45140</v>
      </c>
    </row>
    <row r="198" hidden="1">
      <c r="A198" s="130" t="inlineStr">
        <is>
          <t>Санкт-Петербург</t>
        </is>
      </c>
      <c r="B198" s="130" t="inlineStr">
        <is>
          <t>Газпромнефть</t>
        </is>
      </c>
      <c r="C198" s="402" t="n">
        <v>10076</v>
      </c>
      <c r="D198" s="402" t="inlineStr">
        <is>
          <t>GPN_10076</t>
        </is>
      </c>
      <c r="E198" s="502" t="inlineStr">
        <is>
          <t>Добавил</t>
        </is>
      </c>
      <c r="F198" s="498" t="n">
        <v>45140</v>
      </c>
    </row>
    <row r="199" hidden="1">
      <c r="A199" s="416" t="inlineStr">
        <is>
          <t>Алтайский край</t>
        </is>
      </c>
      <c r="B199" s="130" t="inlineStr">
        <is>
          <t>Газпромнефть</t>
        </is>
      </c>
      <c r="C199" s="402" t="n">
        <v>33091</v>
      </c>
      <c r="D199" s="402" t="inlineStr">
        <is>
          <t>GPN_33091</t>
        </is>
      </c>
      <c r="E199" s="502" t="inlineStr">
        <is>
          <t>Новая станция</t>
        </is>
      </c>
      <c r="F199" s="498" t="n">
        <v>45140</v>
      </c>
    </row>
    <row r="200" hidden="1">
      <c r="A200" s="130" t="inlineStr">
        <is>
          <t>Москва</t>
        </is>
      </c>
      <c r="B200" s="130" t="inlineStr">
        <is>
          <t>Газпромнефть</t>
        </is>
      </c>
      <c r="C200" s="402" t="n">
        <v>12052</v>
      </c>
      <c r="D200" s="402" t="inlineStr">
        <is>
          <t>GPN_12052</t>
        </is>
      </c>
      <c r="E200" s="502" t="inlineStr">
        <is>
          <t>Новая станция</t>
        </is>
      </c>
      <c r="F200" s="498" t="n">
        <v>45140</v>
      </c>
    </row>
    <row r="201" hidden="1">
      <c r="A201" s="130" t="inlineStr">
        <is>
          <t>Санкт-Петербург</t>
        </is>
      </c>
      <c r="B201" s="130" t="inlineStr">
        <is>
          <t>Газпромнефть</t>
        </is>
      </c>
      <c r="C201" s="402" t="n">
        <v>10134</v>
      </c>
      <c r="D201" s="402" t="inlineStr">
        <is>
          <t>GPN_10134</t>
        </is>
      </c>
      <c r="E201" s="502" t="inlineStr">
        <is>
          <t>Новая станция</t>
        </is>
      </c>
      <c r="F201" s="498" t="n">
        <v>45140</v>
      </c>
    </row>
    <row r="202" hidden="1">
      <c r="A202" s="130" t="inlineStr">
        <is>
          <t>Белгород</t>
        </is>
      </c>
      <c r="B202" s="130" t="inlineStr">
        <is>
          <t>Роснефть</t>
        </is>
      </c>
      <c r="C202" s="402" t="n">
        <v>180</v>
      </c>
      <c r="D202" s="402" t="inlineStr">
        <is>
          <t>BGD_RN_180</t>
        </is>
      </c>
      <c r="E202" s="502" t="inlineStr">
        <is>
          <t>реконструкция</t>
        </is>
      </c>
      <c r="F202" s="498" t="n">
        <v>45145</v>
      </c>
    </row>
    <row r="203" hidden="1">
      <c r="A203" s="416" t="inlineStr">
        <is>
          <t>Санкт-Петербург</t>
        </is>
      </c>
      <c r="B203" s="416" t="inlineStr">
        <is>
          <t>ПТК</t>
        </is>
      </c>
      <c r="C203" s="502" t="inlineStr">
        <is>
          <t>все</t>
        </is>
      </c>
      <c r="D203" s="502" t="inlineStr">
        <is>
          <t>все</t>
        </is>
      </c>
      <c r="E203" s="502" t="inlineStr">
        <is>
          <t>Заменил на Роснефть</t>
        </is>
      </c>
      <c r="F203" s="498" t="n">
        <v>45145</v>
      </c>
    </row>
    <row r="204" hidden="1">
      <c r="A204" s="130" t="inlineStr">
        <is>
          <t>Тула</t>
        </is>
      </c>
      <c r="B204" s="125" t="inlineStr">
        <is>
          <t>Роснефть</t>
        </is>
      </c>
      <c r="C204" s="402" t="inlineStr">
        <is>
          <t>RN_64</t>
        </is>
      </c>
      <c r="D204" s="402" t="inlineStr">
        <is>
          <t>TUL_RN_064</t>
        </is>
      </c>
      <c r="E204" s="502" t="inlineStr">
        <is>
          <t>реконструкция</t>
        </is>
      </c>
      <c r="F204" s="498" t="n">
        <v>45147</v>
      </c>
    </row>
    <row r="205" hidden="1">
      <c r="A205" s="130" t="inlineStr">
        <is>
          <t>Тула</t>
        </is>
      </c>
      <c r="B205" s="125" t="inlineStr">
        <is>
          <t>Роснефть</t>
        </is>
      </c>
      <c r="C205" s="402" t="inlineStr">
        <is>
          <t>RN_65</t>
        </is>
      </c>
      <c r="D205" s="402" t="inlineStr">
        <is>
          <t>TUL_RN_065</t>
        </is>
      </c>
      <c r="E205" s="502" t="inlineStr">
        <is>
          <t>реконструкция</t>
        </is>
      </c>
      <c r="F205" s="498" t="n">
        <v>45147</v>
      </c>
    </row>
    <row r="206" hidden="1">
      <c r="A206" s="130" t="inlineStr">
        <is>
          <t>Ростов-на-Дону</t>
        </is>
      </c>
      <c r="B206" s="125" t="inlineStr">
        <is>
          <t>Роснефть</t>
        </is>
      </c>
      <c r="C206" s="402" t="n">
        <v>114</v>
      </c>
      <c r="D206" s="402" t="inlineStr">
        <is>
          <t>RND_RN_0114</t>
        </is>
      </c>
      <c r="E206" s="502" t="inlineStr">
        <is>
          <t>реконструкция</t>
        </is>
      </c>
      <c r="F206" s="498" t="n">
        <v>45147</v>
      </c>
    </row>
    <row r="207" hidden="1">
      <c r="A207" s="130" t="inlineStr">
        <is>
          <t>Белгород</t>
        </is>
      </c>
      <c r="B207" s="125" t="inlineStr">
        <is>
          <t>Роснефть</t>
        </is>
      </c>
      <c r="C207" s="402" t="n">
        <v>48</v>
      </c>
      <c r="D207" s="402" t="inlineStr">
        <is>
          <t>BGD_RN_048</t>
        </is>
      </c>
      <c r="E207" s="502" t="inlineStr">
        <is>
          <t>реконструкция</t>
        </is>
      </c>
      <c r="F207" s="498" t="n">
        <v>45147</v>
      </c>
    </row>
    <row r="208" hidden="1">
      <c r="A208" s="125" t="inlineStr">
        <is>
          <t>Москва</t>
        </is>
      </c>
      <c r="B208" s="130" t="inlineStr">
        <is>
          <t>Газпромнефть</t>
        </is>
      </c>
      <c r="C208" s="402" t="n">
        <v>12360</v>
      </c>
      <c r="D208" s="402" t="inlineStr">
        <is>
          <t>GPN_12360</t>
        </is>
      </c>
      <c r="E208" s="502" t="inlineStr">
        <is>
          <t>реконструкция</t>
        </is>
      </c>
      <c r="F208" s="498" t="n">
        <v>45147</v>
      </c>
    </row>
    <row r="209" hidden="1">
      <c r="A209" s="125" t="inlineStr">
        <is>
          <t>Москва</t>
        </is>
      </c>
      <c r="B209" s="125" t="inlineStr">
        <is>
          <t>Лукойл</t>
        </is>
      </c>
      <c r="C209" s="402" t="inlineStr">
        <is>
          <t>Сибур</t>
        </is>
      </c>
      <c r="D209" s="402" t="inlineStr">
        <is>
          <t>Сибур</t>
        </is>
      </c>
      <c r="E209" s="502" t="inlineStr">
        <is>
          <t>Забрали экраны</t>
        </is>
      </c>
      <c r="F209" s="498" t="n">
        <v>45159</v>
      </c>
    </row>
    <row r="210" hidden="1">
      <c r="A210" s="130" t="inlineStr">
        <is>
          <t>Краснодар</t>
        </is>
      </c>
      <c r="B210" s="125" t="inlineStr">
        <is>
          <t>Роснефть</t>
        </is>
      </c>
      <c r="C210" s="402" t="inlineStr">
        <is>
          <t>RN_149</t>
        </is>
      </c>
      <c r="D210" s="402" t="inlineStr">
        <is>
          <t>KDR_RN_0149</t>
        </is>
      </c>
      <c r="E210" s="502" t="inlineStr">
        <is>
          <t>добавил</t>
        </is>
      </c>
      <c r="F210" s="498" t="n">
        <v>45159</v>
      </c>
    </row>
    <row r="211" hidden="1">
      <c r="A211" s="130" t="inlineStr">
        <is>
          <t>Краснодар</t>
        </is>
      </c>
      <c r="B211" s="125" t="inlineStr">
        <is>
          <t>Роснефть</t>
        </is>
      </c>
      <c r="C211" s="402" t="inlineStr">
        <is>
          <t>RN_151</t>
        </is>
      </c>
      <c r="D211" s="402" t="inlineStr">
        <is>
          <t>KDR_RN_0151</t>
        </is>
      </c>
      <c r="E211" s="502" t="inlineStr">
        <is>
          <t>добавил</t>
        </is>
      </c>
      <c r="F211" s="498" t="n">
        <v>45159</v>
      </c>
    </row>
    <row r="212" hidden="1">
      <c r="A212" s="130" t="inlineStr">
        <is>
          <t>Москва</t>
        </is>
      </c>
      <c r="B212" s="130" t="inlineStr">
        <is>
          <t>Газпромнефть</t>
        </is>
      </c>
      <c r="C212" s="402" t="n">
        <v>11242</v>
      </c>
      <c r="D212" s="402" t="inlineStr">
        <is>
          <t>GPN_11242</t>
        </is>
      </c>
      <c r="E212" s="502" t="inlineStr">
        <is>
          <t>1 экран</t>
        </is>
      </c>
      <c r="F212" s="498" t="n">
        <v>45159</v>
      </c>
    </row>
    <row r="213" hidden="1">
      <c r="A213" s="130" t="inlineStr">
        <is>
          <t>Краснодар</t>
        </is>
      </c>
      <c r="B213" s="125" t="inlineStr">
        <is>
          <t>Роснефть</t>
        </is>
      </c>
      <c r="C213" s="402" t="inlineStr">
        <is>
          <t>RN_74</t>
        </is>
      </c>
      <c r="D213" s="402" t="inlineStr">
        <is>
          <t>KDR_RN_0074</t>
        </is>
      </c>
      <c r="E213" s="502" t="inlineStr">
        <is>
          <t>добавил</t>
        </is>
      </c>
      <c r="F213" s="498" t="n">
        <v>45159</v>
      </c>
    </row>
    <row r="214" hidden="1">
      <c r="A214" s="130" t="inlineStr">
        <is>
          <t>Москва</t>
        </is>
      </c>
      <c r="B214" s="130" t="inlineStr">
        <is>
          <t>ЕКА</t>
        </is>
      </c>
      <c r="C214" s="402" t="n">
        <v>50707</v>
      </c>
      <c r="D214" s="402" t="inlineStr">
        <is>
          <t>MSK_EKA_307</t>
        </is>
      </c>
      <c r="E214" s="502" t="inlineStr">
        <is>
          <t>Забрали экраны</t>
        </is>
      </c>
      <c r="F214" s="498" t="n">
        <v>45159</v>
      </c>
    </row>
    <row r="215" hidden="1">
      <c r="A215" s="130" t="inlineStr">
        <is>
          <t>Москва</t>
        </is>
      </c>
      <c r="B215" s="130" t="inlineStr">
        <is>
          <t>Газпромнефть</t>
        </is>
      </c>
      <c r="C215" s="402" t="n">
        <v>11240</v>
      </c>
      <c r="D215" s="402" t="inlineStr">
        <is>
          <t>GPN_11240</t>
        </is>
      </c>
      <c r="E215" s="502" t="inlineStr">
        <is>
          <t>1 экран</t>
        </is>
      </c>
      <c r="F215" s="498" t="n">
        <v>45161</v>
      </c>
    </row>
    <row r="216" hidden="1">
      <c r="A216" s="130" t="inlineStr">
        <is>
          <t>Москва</t>
        </is>
      </c>
      <c r="B216" s="130" t="inlineStr">
        <is>
          <t>Бизнес центр</t>
        </is>
      </c>
      <c r="C216" s="402" t="inlineStr">
        <is>
          <t>КУБ</t>
        </is>
      </c>
      <c r="D216" s="402" t="inlineStr">
        <is>
          <t>MSK_BC_KUB</t>
        </is>
      </c>
      <c r="E216" s="502" t="inlineStr">
        <is>
          <t>Закончился договор</t>
        </is>
      </c>
      <c r="F216" s="498" t="n">
        <v>45161</v>
      </c>
    </row>
    <row r="217" hidden="1">
      <c r="A217" s="416" t="inlineStr">
        <is>
          <t>Приволжье (Нижний Новгород, Казань)</t>
        </is>
      </c>
      <c r="B217" s="130" t="inlineStr">
        <is>
          <t>Газпромнефть</t>
        </is>
      </c>
      <c r="C217" s="402" t="n">
        <v>14210</v>
      </c>
      <c r="D217" s="402" t="inlineStr">
        <is>
          <t>GPN_14210</t>
        </is>
      </c>
      <c r="E217" s="502" t="inlineStr">
        <is>
          <t>2 экрана</t>
        </is>
      </c>
      <c r="F217" s="498" t="n">
        <v>45168</v>
      </c>
    </row>
    <row r="218" hidden="1">
      <c r="A218" s="130" t="inlineStr">
        <is>
          <t>Москва</t>
        </is>
      </c>
      <c r="B218" s="130" t="inlineStr">
        <is>
          <t>Роснефть</t>
        </is>
      </c>
      <c r="C218" s="402" t="inlineStr">
        <is>
          <t>Мытищи</t>
        </is>
      </c>
      <c r="D218" s="402" t="inlineStr">
        <is>
          <t>MSK_BP_Mytishi</t>
        </is>
      </c>
      <c r="E218" s="502" t="inlineStr">
        <is>
          <t>реконструкция</t>
        </is>
      </c>
      <c r="F218" s="498" t="n">
        <v>45173</v>
      </c>
    </row>
    <row r="219" hidden="1">
      <c r="A219" s="130" t="inlineStr">
        <is>
          <t>Москва</t>
        </is>
      </c>
      <c r="B219" s="130" t="inlineStr">
        <is>
          <t>Роснефть</t>
        </is>
      </c>
      <c r="C219" s="402" t="inlineStr">
        <is>
          <t>Владимирская</t>
        </is>
      </c>
      <c r="D219" s="402" t="inlineStr">
        <is>
          <t>MSK_BP_Vladimirskaya</t>
        </is>
      </c>
      <c r="E219" s="502" t="inlineStr">
        <is>
          <t>реконструкция</t>
        </is>
      </c>
      <c r="F219" s="498" t="n">
        <v>45173</v>
      </c>
    </row>
    <row r="220" hidden="1">
      <c r="A220" s="130" t="inlineStr">
        <is>
          <t>Москва</t>
        </is>
      </c>
      <c r="B220" s="130" t="inlineStr">
        <is>
          <t>Роснефть</t>
        </is>
      </c>
      <c r="C220" s="402" t="inlineStr">
        <is>
          <t>Новокосино</t>
        </is>
      </c>
      <c r="D220" s="402" t="inlineStr">
        <is>
          <t>MSK_BP_Novokosino</t>
        </is>
      </c>
      <c r="E220" s="502" t="inlineStr">
        <is>
          <t>реконструкция</t>
        </is>
      </c>
      <c r="F220" s="498" t="n">
        <v>45173</v>
      </c>
    </row>
    <row r="221" hidden="1">
      <c r="A221" s="130" t="inlineStr">
        <is>
          <t>Санкт-Петербург</t>
        </is>
      </c>
      <c r="B221" s="130" t="inlineStr">
        <is>
          <t>Бизнес центр</t>
        </is>
      </c>
      <c r="C221" s="402" t="inlineStr">
        <is>
          <t>18_H2О</t>
        </is>
      </c>
      <c r="D221" s="402" t="inlineStr">
        <is>
          <t>SPB_BC_18_H2O</t>
        </is>
      </c>
      <c r="E221" s="502" t="inlineStr">
        <is>
          <t>Добал 3 внутрилифтовых экрана</t>
        </is>
      </c>
      <c r="F221" s="498" t="n">
        <v>45173</v>
      </c>
    </row>
    <row r="222" hidden="1">
      <c r="A222" s="125" t="inlineStr">
        <is>
          <t>Санкт-Петербург</t>
        </is>
      </c>
      <c r="B222" s="130" t="inlineStr">
        <is>
          <t>Газпромнефть</t>
        </is>
      </c>
      <c r="C222" s="402" t="n">
        <v>10136</v>
      </c>
      <c r="D222" s="402" t="inlineStr">
        <is>
          <t>GPN_10136</t>
        </is>
      </c>
      <c r="E222" s="502" t="inlineStr">
        <is>
          <t>реконструкция</t>
        </is>
      </c>
      <c r="F222" s="498" t="n">
        <v>45175</v>
      </c>
    </row>
    <row r="223" hidden="1">
      <c r="A223" s="130" t="inlineStr">
        <is>
          <t>Москва</t>
        </is>
      </c>
      <c r="B223" s="130" t="inlineStr">
        <is>
          <t>Газпромнефть</t>
        </is>
      </c>
      <c r="C223" s="402" t="n">
        <v>11020</v>
      </c>
      <c r="D223" s="402" t="inlineStr">
        <is>
          <t>GPN_11020</t>
        </is>
      </c>
      <c r="E223" s="502" t="inlineStr">
        <is>
          <t>реконструкция</t>
        </is>
      </c>
      <c r="F223" s="498" t="n">
        <v>45175</v>
      </c>
      <c r="H223" t="inlineStr">
        <is>
          <t> </t>
        </is>
      </c>
    </row>
    <row r="224" hidden="1">
      <c r="A224" s="130" t="inlineStr">
        <is>
          <t>Татарстан</t>
        </is>
      </c>
      <c r="B224" s="130" t="inlineStr">
        <is>
          <t>ТАИФ</t>
        </is>
      </c>
      <c r="C224" s="402" t="inlineStr">
        <is>
          <t>ТАИФ_136</t>
        </is>
      </c>
      <c r="D224" s="402" t="inlineStr">
        <is>
          <t>KAZ_TAIF_0136</t>
        </is>
      </c>
      <c r="E224" s="502" t="inlineStr">
        <is>
          <t>реконструкция</t>
        </is>
      </c>
      <c r="F224" s="498" t="n">
        <v>45175</v>
      </c>
    </row>
    <row r="225" hidden="1">
      <c r="A225" s="130" t="inlineStr">
        <is>
          <t>Все</t>
        </is>
      </c>
      <c r="B225" s="130" t="inlineStr">
        <is>
          <t>Газпромнефть</t>
        </is>
      </c>
      <c r="C225" s="402" t="inlineStr">
        <is>
          <t>все</t>
        </is>
      </c>
      <c r="D225" s="402" t="inlineStr">
        <is>
          <t>все</t>
        </is>
      </c>
      <c r="E225" s="502" t="inlineStr">
        <is>
          <t>Изменения в количестве экранов</t>
        </is>
      </c>
      <c r="F225" s="498" t="n">
        <v>45175</v>
      </c>
    </row>
    <row r="226" hidden="1">
      <c r="A226" s="130" t="inlineStr">
        <is>
          <t>Рязань</t>
        </is>
      </c>
      <c r="B226" s="130" t="inlineStr">
        <is>
          <t>Роснефть</t>
        </is>
      </c>
      <c r="C226" s="402" t="n">
        <v>141</v>
      </c>
      <c r="D226" s="402" t="inlineStr">
        <is>
          <t>RZN_RN_141</t>
        </is>
      </c>
      <c r="E226" s="502" t="inlineStr">
        <is>
          <t>Забрали экран</t>
        </is>
      </c>
      <c r="F226" s="498" t="n">
        <v>45175</v>
      </c>
    </row>
    <row r="227" hidden="1">
      <c r="A227" s="130" t="inlineStr">
        <is>
          <t>Рязань</t>
        </is>
      </c>
      <c r="B227" s="130" t="inlineStr">
        <is>
          <t>Роснефть</t>
        </is>
      </c>
      <c r="C227" s="402" t="n">
        <v>71</v>
      </c>
      <c r="D227" s="402" t="inlineStr">
        <is>
          <t>RZN_RN_071</t>
        </is>
      </c>
      <c r="E227" s="502" t="inlineStr">
        <is>
          <t>Забрали экран</t>
        </is>
      </c>
      <c r="F227" s="498" t="n">
        <v>45175</v>
      </c>
    </row>
    <row r="228" hidden="1">
      <c r="A228" s="130" t="inlineStr">
        <is>
          <t>Ростов-на-Дону</t>
        </is>
      </c>
      <c r="B228" s="130" t="inlineStr">
        <is>
          <t>ТНК</t>
        </is>
      </c>
      <c r="C228" s="402" t="n">
        <v>99</v>
      </c>
      <c r="D228" s="402" t="inlineStr">
        <is>
          <t>RND_RN_0099</t>
        </is>
      </c>
      <c r="E228" s="502" t="inlineStr">
        <is>
          <t>реконструкция</t>
        </is>
      </c>
      <c r="F228" s="498" t="n">
        <v>45176</v>
      </c>
    </row>
    <row r="229" hidden="1">
      <c r="A229" s="130" t="inlineStr">
        <is>
          <t>Ростов-на-Дону</t>
        </is>
      </c>
      <c r="B229" s="130" t="inlineStr">
        <is>
          <t>Роснефть</t>
        </is>
      </c>
      <c r="C229" s="402" t="n">
        <v>128</v>
      </c>
      <c r="D229" s="402" t="inlineStr">
        <is>
          <t>RND_RN_0128</t>
        </is>
      </c>
      <c r="E229" s="502" t="inlineStr">
        <is>
          <t>реконструкция</t>
        </is>
      </c>
      <c r="F229" s="498" t="n">
        <v>45176</v>
      </c>
    </row>
    <row r="230" hidden="1">
      <c r="A230" s="130" t="inlineStr">
        <is>
          <t>Ростов-на-Дону</t>
        </is>
      </c>
      <c r="B230" s="130" t="inlineStr">
        <is>
          <t>Роснефть</t>
        </is>
      </c>
      <c r="C230" s="402" t="n">
        <v>121</v>
      </c>
      <c r="D230" s="402" t="inlineStr">
        <is>
          <t>RND_RN_0121</t>
        </is>
      </c>
      <c r="E230" s="502" t="inlineStr">
        <is>
          <t>реконструкция</t>
        </is>
      </c>
      <c r="F230" s="498" t="n">
        <v>45176</v>
      </c>
    </row>
    <row r="231" hidden="1">
      <c r="A231" s="130" t="inlineStr">
        <is>
          <t>Тамбов</t>
        </is>
      </c>
      <c r="B231" s="130" t="inlineStr">
        <is>
          <t>Роснефть</t>
        </is>
      </c>
      <c r="C231" s="402" t="inlineStr">
        <is>
          <t>RN_2</t>
        </is>
      </c>
      <c r="D231" s="402" t="inlineStr">
        <is>
          <t>TMB_RN_0002</t>
        </is>
      </c>
      <c r="E231" s="502" t="inlineStr">
        <is>
          <t>реконструкция</t>
        </is>
      </c>
      <c r="F231" s="498" t="n">
        <v>45176</v>
      </c>
    </row>
    <row r="232" hidden="1">
      <c r="A232" s="130" t="inlineStr">
        <is>
          <t>Тамбов</t>
        </is>
      </c>
      <c r="B232" s="130" t="inlineStr">
        <is>
          <t>Роснефть</t>
        </is>
      </c>
      <c r="C232" s="402" t="inlineStr">
        <is>
          <t>RN_82</t>
        </is>
      </c>
      <c r="D232" s="402" t="inlineStr">
        <is>
          <t>TMB_RN_0082</t>
        </is>
      </c>
      <c r="E232" s="502" t="inlineStr">
        <is>
          <t>реконструкция</t>
        </is>
      </c>
      <c r="F232" s="498" t="n">
        <v>45176</v>
      </c>
    </row>
    <row r="233" hidden="1">
      <c r="A233" s="130" t="inlineStr">
        <is>
          <t>Тамбов</t>
        </is>
      </c>
      <c r="B233" s="130" t="inlineStr">
        <is>
          <t>Роснефть</t>
        </is>
      </c>
      <c r="C233" s="402" t="inlineStr">
        <is>
          <t>RN_83</t>
        </is>
      </c>
      <c r="D233" s="402" t="inlineStr">
        <is>
          <t>TMB_RN_0083</t>
        </is>
      </c>
      <c r="E233" s="502" t="inlineStr">
        <is>
          <t>реконструкция</t>
        </is>
      </c>
      <c r="F233" s="498" t="n">
        <v>45176</v>
      </c>
    </row>
    <row r="234" hidden="1">
      <c r="A234" s="130" t="inlineStr">
        <is>
          <t>Тамбов</t>
        </is>
      </c>
      <c r="B234" s="130" t="inlineStr">
        <is>
          <t>Роснефть</t>
        </is>
      </c>
      <c r="C234" s="402" t="inlineStr">
        <is>
          <t>RN_8</t>
        </is>
      </c>
      <c r="D234" s="402" t="inlineStr">
        <is>
          <t>TMB_RN_0008</t>
        </is>
      </c>
      <c r="E234" s="502" t="inlineStr">
        <is>
          <t>реконструкция</t>
        </is>
      </c>
      <c r="F234" s="498" t="n">
        <v>45176</v>
      </c>
    </row>
    <row r="235" hidden="1">
      <c r="A235" s="130" t="inlineStr">
        <is>
          <t>Белгород</t>
        </is>
      </c>
      <c r="B235" s="130" t="inlineStr">
        <is>
          <t>Роснефть</t>
        </is>
      </c>
      <c r="C235" s="402" t="n">
        <v>2</v>
      </c>
      <c r="D235" s="402" t="inlineStr">
        <is>
          <t>BGD_RN_002</t>
        </is>
      </c>
      <c r="E235" s="502" t="inlineStr">
        <is>
          <t>реконструкция</t>
        </is>
      </c>
      <c r="F235" s="498" t="n">
        <v>45176</v>
      </c>
    </row>
    <row r="236" hidden="1">
      <c r="A236" s="130" t="inlineStr">
        <is>
          <t>Брянск</t>
        </is>
      </c>
      <c r="B236" s="130" t="inlineStr">
        <is>
          <t>Роснефть</t>
        </is>
      </c>
      <c r="C236" s="402" t="inlineStr">
        <is>
          <t>RN_7</t>
        </is>
      </c>
      <c r="D236" s="402" t="inlineStr">
        <is>
          <t>BRN_RN_0007</t>
        </is>
      </c>
      <c r="E236" s="502" t="inlineStr">
        <is>
          <t>реконструкция</t>
        </is>
      </c>
      <c r="F236" s="498" t="n">
        <v>45176</v>
      </c>
    </row>
    <row r="237" hidden="1">
      <c r="A237" s="130" t="inlineStr">
        <is>
          <t>Кострома</t>
        </is>
      </c>
      <c r="B237" s="130" t="inlineStr">
        <is>
          <t>ТНК</t>
        </is>
      </c>
      <c r="C237" s="402" t="inlineStr">
        <is>
          <t>TNK_207</t>
        </is>
      </c>
      <c r="D237" s="402" t="inlineStr">
        <is>
          <t>KRM_TNK_207</t>
        </is>
      </c>
      <c r="E237" s="502" t="inlineStr">
        <is>
          <t>добавил</t>
        </is>
      </c>
      <c r="F237" s="498" t="n">
        <v>45176</v>
      </c>
    </row>
    <row r="238" hidden="1">
      <c r="A238" s="130" t="inlineStr">
        <is>
          <t>Алтайский край</t>
        </is>
      </c>
      <c r="B238" s="130" t="inlineStr">
        <is>
          <t>Роснефть</t>
        </is>
      </c>
      <c r="C238" s="402" t="n">
        <v>5</v>
      </c>
      <c r="D238" s="402" t="inlineStr">
        <is>
          <t>BRL_RN_0005</t>
        </is>
      </c>
      <c r="E238" s="502" t="inlineStr">
        <is>
          <t>реконструкция</t>
        </is>
      </c>
      <c r="F238" s="498" t="n">
        <v>45177</v>
      </c>
    </row>
    <row r="239" hidden="1">
      <c r="A239" s="130" t="inlineStr">
        <is>
          <t>Алтайский край</t>
        </is>
      </c>
      <c r="B239" s="130" t="inlineStr">
        <is>
          <t>Роснефть</t>
        </is>
      </c>
      <c r="C239" s="402" t="n">
        <v>240</v>
      </c>
      <c r="D239" s="402" t="inlineStr">
        <is>
          <t>BRL_RN_0240</t>
        </is>
      </c>
      <c r="E239" s="502" t="inlineStr">
        <is>
          <t>реконструкция</t>
        </is>
      </c>
      <c r="F239" s="498" t="n">
        <v>45177</v>
      </c>
    </row>
    <row r="240" hidden="1">
      <c r="A240" s="130" t="inlineStr">
        <is>
          <t>Алтайский край</t>
        </is>
      </c>
      <c r="B240" s="130" t="inlineStr">
        <is>
          <t>Роснефть</t>
        </is>
      </c>
      <c r="C240" s="402" t="n">
        <v>241</v>
      </c>
      <c r="D240" s="402" t="inlineStr">
        <is>
          <t>BRL_RN_0241</t>
        </is>
      </c>
      <c r="E240" s="502" t="inlineStr">
        <is>
          <t>реконструкция</t>
        </is>
      </c>
      <c r="F240" s="498" t="n">
        <v>45177</v>
      </c>
    </row>
    <row r="241" hidden="1">
      <c r="A241" s="130" t="inlineStr">
        <is>
          <t>Алтайский край</t>
        </is>
      </c>
      <c r="B241" s="130" t="inlineStr">
        <is>
          <t>Роснефть</t>
        </is>
      </c>
      <c r="C241" s="402" t="n">
        <v>242</v>
      </c>
      <c r="D241" s="402" t="inlineStr">
        <is>
          <t>BRL_RN_0242</t>
        </is>
      </c>
      <c r="E241" s="502" t="inlineStr">
        <is>
          <t>реконструкция</t>
        </is>
      </c>
      <c r="F241" s="498" t="n">
        <v>45177</v>
      </c>
    </row>
    <row r="242" hidden="1">
      <c r="A242" s="130" t="inlineStr">
        <is>
          <t>Калуга</t>
        </is>
      </c>
      <c r="B242" s="130" t="inlineStr">
        <is>
          <t>Роснефть</t>
        </is>
      </c>
      <c r="C242" s="402" t="inlineStr">
        <is>
          <t>TNK_71</t>
        </is>
      </c>
      <c r="D242" s="402" t="inlineStr">
        <is>
          <t>KLG_TNK_071</t>
        </is>
      </c>
      <c r="E242" s="502" t="inlineStr">
        <is>
          <t>реконструкция</t>
        </is>
      </c>
      <c r="F242" s="498" t="n">
        <v>45177</v>
      </c>
    </row>
    <row r="243" hidden="1">
      <c r="A243" s="130" t="inlineStr">
        <is>
          <t>Липецк</t>
        </is>
      </c>
      <c r="B243" s="130" t="inlineStr">
        <is>
          <t>Роснефть</t>
        </is>
      </c>
      <c r="C243" s="402" t="inlineStr">
        <is>
          <t>RN_11</t>
        </is>
      </c>
      <c r="D243" s="402" t="inlineStr">
        <is>
          <t>LIP_RN_0011</t>
        </is>
      </c>
      <c r="E243" s="502" t="inlineStr">
        <is>
          <t>реконструкция</t>
        </is>
      </c>
      <c r="F243" s="498" t="n">
        <v>45177</v>
      </c>
    </row>
    <row r="244" hidden="1">
      <c r="A244" s="130" t="inlineStr">
        <is>
          <t>Липецк</t>
        </is>
      </c>
      <c r="B244" s="130" t="inlineStr">
        <is>
          <t>Роснефть</t>
        </is>
      </c>
      <c r="C244" s="402" t="inlineStr">
        <is>
          <t>RN_61</t>
        </is>
      </c>
      <c r="D244" s="402" t="inlineStr">
        <is>
          <t>LIP_RN_0061</t>
        </is>
      </c>
      <c r="E244" s="502" t="inlineStr">
        <is>
          <t>реконструкция</t>
        </is>
      </c>
      <c r="F244" s="498" t="n">
        <v>45177</v>
      </c>
    </row>
    <row r="245" hidden="1">
      <c r="A245" s="130" t="inlineStr">
        <is>
          <t>Пенза</t>
        </is>
      </c>
      <c r="B245" s="130" t="inlineStr">
        <is>
          <t>Роснефть</t>
        </is>
      </c>
      <c r="C245" s="402" t="inlineStr">
        <is>
          <t>RN_103</t>
        </is>
      </c>
      <c r="D245" s="402" t="inlineStr">
        <is>
          <t>PNZ_RN_0103</t>
        </is>
      </c>
      <c r="E245" s="502" t="inlineStr">
        <is>
          <t>реконструкция</t>
        </is>
      </c>
      <c r="F245" s="498" t="n">
        <v>45177</v>
      </c>
    </row>
    <row r="246" hidden="1">
      <c r="A246" s="130" t="inlineStr">
        <is>
          <t>Пенза</t>
        </is>
      </c>
      <c r="B246" s="130" t="inlineStr">
        <is>
          <t>Роснефть</t>
        </is>
      </c>
      <c r="C246" s="402" t="inlineStr">
        <is>
          <t>RN_108</t>
        </is>
      </c>
      <c r="D246" s="402" t="inlineStr">
        <is>
          <t>PNZ_RN_0108</t>
        </is>
      </c>
      <c r="E246" s="502" t="inlineStr">
        <is>
          <t>реконструкция</t>
        </is>
      </c>
      <c r="F246" s="498" t="n">
        <v>45177</v>
      </c>
    </row>
    <row r="247" hidden="1">
      <c r="A247" s="130" t="inlineStr">
        <is>
          <t>Ростов-на-Дону</t>
        </is>
      </c>
      <c r="B247" s="130" t="inlineStr">
        <is>
          <t>Роснефть</t>
        </is>
      </c>
      <c r="C247" s="402" t="n">
        <v>107</v>
      </c>
      <c r="D247" s="402" t="inlineStr">
        <is>
          <t>RND_RN_0107</t>
        </is>
      </c>
      <c r="E247" s="502" t="inlineStr">
        <is>
          <t>реконструкция</t>
        </is>
      </c>
      <c r="F247" s="498" t="n">
        <v>45177</v>
      </c>
    </row>
    <row r="248" hidden="1">
      <c r="A248" s="130" t="inlineStr">
        <is>
          <t>Ростов-на-Дону</t>
        </is>
      </c>
      <c r="B248" s="130" t="inlineStr">
        <is>
          <t>Роснефть</t>
        </is>
      </c>
      <c r="C248" s="402" t="n">
        <v>109</v>
      </c>
      <c r="D248" s="402" t="inlineStr">
        <is>
          <t>RND_RN_0109</t>
        </is>
      </c>
      <c r="E248" s="502" t="inlineStr">
        <is>
          <t>реконструкция</t>
        </is>
      </c>
      <c r="F248" s="498" t="n">
        <v>45177</v>
      </c>
    </row>
    <row r="249" hidden="1">
      <c r="A249" s="130" t="inlineStr">
        <is>
          <t>Самара</t>
        </is>
      </c>
      <c r="B249" s="130" t="inlineStr">
        <is>
          <t>Роснефть</t>
        </is>
      </c>
      <c r="C249" s="402" t="inlineStr">
        <is>
          <t>RN_50</t>
        </is>
      </c>
      <c r="D249" s="402" t="inlineStr">
        <is>
          <t>SMR_RN_0050</t>
        </is>
      </c>
      <c r="E249" s="502" t="inlineStr">
        <is>
          <t>реконструкция</t>
        </is>
      </c>
      <c r="F249" s="498" t="n">
        <v>45177</v>
      </c>
    </row>
    <row r="250" hidden="1">
      <c r="A250" s="130" t="inlineStr">
        <is>
          <t>Самара</t>
        </is>
      </c>
      <c r="B250" s="130" t="inlineStr">
        <is>
          <t>Роснефть</t>
        </is>
      </c>
      <c r="C250" s="402" t="inlineStr">
        <is>
          <t>RN_56</t>
        </is>
      </c>
      <c r="D250" s="402" t="inlineStr">
        <is>
          <t>SMR_RN_0056</t>
        </is>
      </c>
      <c r="E250" s="502" t="inlineStr">
        <is>
          <t>реконструкция</t>
        </is>
      </c>
      <c r="F250" s="498" t="n">
        <v>45177</v>
      </c>
    </row>
    <row r="251" hidden="1">
      <c r="A251" s="130" t="inlineStr">
        <is>
          <t>Санкт-Петербург</t>
        </is>
      </c>
      <c r="B251" s="130" t="inlineStr">
        <is>
          <t>Роснефть</t>
        </is>
      </c>
      <c r="C251" s="402" t="inlineStr">
        <is>
          <t>342 Пискаревский-2</t>
        </is>
      </c>
      <c r="D251" s="402" t="inlineStr">
        <is>
          <t>SPB_RN_P_342</t>
        </is>
      </c>
      <c r="E251" s="502" t="inlineStr">
        <is>
          <t>реконструкция</t>
        </is>
      </c>
      <c r="F251" s="498" t="n">
        <v>45177</v>
      </c>
    </row>
    <row r="252" hidden="1">
      <c r="A252" s="130" t="inlineStr">
        <is>
          <t>Саратов</t>
        </is>
      </c>
      <c r="B252" s="130" t="inlineStr">
        <is>
          <t>Роснефть</t>
        </is>
      </c>
      <c r="C252" s="402" t="inlineStr">
        <is>
          <t>TNK_24</t>
        </is>
      </c>
      <c r="D252" s="402" t="inlineStr">
        <is>
          <t>SRT_TNK_0024</t>
        </is>
      </c>
      <c r="E252" s="502" t="inlineStr">
        <is>
          <t>реконструкция</t>
        </is>
      </c>
      <c r="F252" s="498" t="n">
        <v>45177</v>
      </c>
    </row>
    <row r="253" hidden="1">
      <c r="A253" s="130" t="inlineStr">
        <is>
          <t>Саратов</t>
        </is>
      </c>
      <c r="B253" s="130" t="inlineStr">
        <is>
          <t>Роснефть</t>
        </is>
      </c>
      <c r="C253" s="402" t="inlineStr">
        <is>
          <t>TNK_59</t>
        </is>
      </c>
      <c r="D253" s="402" t="inlineStr">
        <is>
          <t>SRT_TNK_0059</t>
        </is>
      </c>
      <c r="E253" s="502" t="inlineStr">
        <is>
          <t>реконструкция</t>
        </is>
      </c>
      <c r="F253" s="498" t="n">
        <v>45177</v>
      </c>
    </row>
    <row r="254" hidden="1">
      <c r="A254" s="130" t="inlineStr">
        <is>
          <t>Улан-Удэ</t>
        </is>
      </c>
      <c r="B254" s="130" t="inlineStr">
        <is>
          <t>Роснефть</t>
        </is>
      </c>
      <c r="C254" s="402" t="inlineStr">
        <is>
          <t>RN_6</t>
        </is>
      </c>
      <c r="D254" s="402" t="inlineStr">
        <is>
          <t>UDE_RN_0006</t>
        </is>
      </c>
      <c r="E254" s="502" t="inlineStr">
        <is>
          <t>реконструкция</t>
        </is>
      </c>
      <c r="F254" s="498" t="n">
        <v>45177</v>
      </c>
    </row>
    <row r="255" hidden="1">
      <c r="A255" s="130" t="inlineStr">
        <is>
          <t>Улан-Удэ</t>
        </is>
      </c>
      <c r="B255" s="130" t="inlineStr">
        <is>
          <t>Роснефть</t>
        </is>
      </c>
      <c r="C255" s="402" t="inlineStr">
        <is>
          <t>RN_10</t>
        </is>
      </c>
      <c r="D255" s="402" t="inlineStr">
        <is>
          <t>UDE_RN_0010</t>
        </is>
      </c>
      <c r="E255" s="502" t="inlineStr">
        <is>
          <t>реконструкция</t>
        </is>
      </c>
      <c r="F255" s="498" t="n">
        <v>45177</v>
      </c>
    </row>
    <row r="256" hidden="1">
      <c r="A256" s="130" t="inlineStr">
        <is>
          <t>Улан-Удэ</t>
        </is>
      </c>
      <c r="B256" s="130" t="inlineStr">
        <is>
          <t>Роснефть</t>
        </is>
      </c>
      <c r="C256" s="402" t="inlineStr">
        <is>
          <t>RN_12</t>
        </is>
      </c>
      <c r="D256" s="402" t="inlineStr">
        <is>
          <t>UDE_RN_0012</t>
        </is>
      </c>
      <c r="E256" s="502" t="inlineStr">
        <is>
          <t>реконструкция</t>
        </is>
      </c>
      <c r="F256" s="498" t="n">
        <v>45177</v>
      </c>
    </row>
    <row r="257" hidden="1">
      <c r="A257" s="130" t="inlineStr">
        <is>
          <t>Ульяновск</t>
        </is>
      </c>
      <c r="B257" s="130" t="inlineStr">
        <is>
          <t>Роснефть</t>
        </is>
      </c>
      <c r="C257" s="402" t="inlineStr">
        <is>
          <t>RN_1</t>
        </is>
      </c>
      <c r="D257" s="402" t="inlineStr">
        <is>
          <t>ULN_RN_0001</t>
        </is>
      </c>
      <c r="E257" s="502" t="inlineStr">
        <is>
          <t>реконструкция</t>
        </is>
      </c>
      <c r="F257" s="498" t="n">
        <v>45177</v>
      </c>
    </row>
    <row r="258" hidden="1">
      <c r="A258" s="130" t="inlineStr">
        <is>
          <t>Ульяновск</t>
        </is>
      </c>
      <c r="B258" s="130" t="inlineStr">
        <is>
          <t>Роснефть</t>
        </is>
      </c>
      <c r="C258" s="402" t="inlineStr">
        <is>
          <t>RN_42</t>
        </is>
      </c>
      <c r="D258" s="402" t="inlineStr">
        <is>
          <t>ULN_RN_0042</t>
        </is>
      </c>
      <c r="E258" s="502" t="inlineStr">
        <is>
          <t>реконструкция</t>
        </is>
      </c>
      <c r="F258" s="498" t="n">
        <v>45177</v>
      </c>
    </row>
    <row r="259" hidden="1">
      <c r="A259" s="130" t="inlineStr">
        <is>
          <t>Москва</t>
        </is>
      </c>
      <c r="B259" s="130" t="inlineStr">
        <is>
          <t>ЕКА</t>
        </is>
      </c>
      <c r="C259" s="402" t="n">
        <v>50705</v>
      </c>
      <c r="D259" s="402" t="inlineStr">
        <is>
          <t>MSK_EKA_305</t>
        </is>
      </c>
      <c r="E259" s="502" t="inlineStr">
        <is>
          <t>реконструкция</t>
        </is>
      </c>
      <c r="F259" s="498" t="n">
        <v>45184</v>
      </c>
    </row>
    <row r="260" hidden="1">
      <c r="A260" s="130" t="inlineStr">
        <is>
          <t>Москва</t>
        </is>
      </c>
      <c r="B260" s="130" t="inlineStr">
        <is>
          <t>ЕКА</t>
        </is>
      </c>
      <c r="C260" s="402" t="n">
        <v>50708</v>
      </c>
      <c r="D260" s="402" t="inlineStr">
        <is>
          <t>MSK_EKA_308</t>
        </is>
      </c>
      <c r="E260" s="502" t="inlineStr">
        <is>
          <t>реконструкция</t>
        </is>
      </c>
      <c r="F260" s="498" t="n">
        <v>45184</v>
      </c>
    </row>
    <row r="261" hidden="1">
      <c r="A261" s="130" t="inlineStr">
        <is>
          <t>Москва</t>
        </is>
      </c>
      <c r="B261" s="130" t="inlineStr">
        <is>
          <t>ЕКА</t>
        </is>
      </c>
      <c r="C261" s="402" t="n">
        <v>50727</v>
      </c>
      <c r="D261" s="402" t="inlineStr">
        <is>
          <t>MSK_EKA_027</t>
        </is>
      </c>
      <c r="E261" s="502" t="inlineStr">
        <is>
          <t>реконструкция</t>
        </is>
      </c>
      <c r="F261" s="498" t="n">
        <v>45184</v>
      </c>
    </row>
    <row r="262" hidden="1">
      <c r="A262" s="130" t="inlineStr">
        <is>
          <t>Москва</t>
        </is>
      </c>
      <c r="B262" s="130" t="inlineStr">
        <is>
          <t>ЕКА</t>
        </is>
      </c>
      <c r="C262" s="402" t="n">
        <v>77720</v>
      </c>
      <c r="D262" s="402" t="inlineStr">
        <is>
          <t>MSK_EKA_020</t>
        </is>
      </c>
      <c r="E262" s="502" t="inlineStr">
        <is>
          <t>реконструкция</t>
        </is>
      </c>
      <c r="F262" s="498" t="n">
        <v>45184</v>
      </c>
    </row>
    <row r="263" hidden="1">
      <c r="A263" s="130" t="inlineStr">
        <is>
          <t>Москва</t>
        </is>
      </c>
      <c r="B263" s="130" t="inlineStr">
        <is>
          <t>ЕКА</t>
        </is>
      </c>
      <c r="C263" s="402" t="n">
        <v>77726</v>
      </c>
      <c r="D263" s="402" t="inlineStr">
        <is>
          <t>MSK_EKA_026</t>
        </is>
      </c>
      <c r="E263" s="502" t="inlineStr">
        <is>
          <t>реконструкция</t>
        </is>
      </c>
      <c r="F263" s="498" t="n">
        <v>45184</v>
      </c>
    </row>
    <row r="264" hidden="1">
      <c r="A264" s="130" t="inlineStr">
        <is>
          <t>Москва</t>
        </is>
      </c>
      <c r="B264" s="130" t="inlineStr">
        <is>
          <t>ЕКА</t>
        </is>
      </c>
      <c r="C264" s="402" t="n">
        <v>77737</v>
      </c>
      <c r="D264" s="402" t="inlineStr">
        <is>
          <t>MSK_EKA_037</t>
        </is>
      </c>
      <c r="E264" s="502" t="inlineStr">
        <is>
          <t>реконструкция</t>
        </is>
      </c>
      <c r="F264" s="498" t="n">
        <v>45184</v>
      </c>
    </row>
    <row r="265" hidden="1">
      <c r="A265" s="130" t="inlineStr">
        <is>
          <t>Москва</t>
        </is>
      </c>
      <c r="B265" s="130" t="inlineStr">
        <is>
          <t>ЕКА</t>
        </is>
      </c>
      <c r="C265" s="402" t="n">
        <v>77763</v>
      </c>
      <c r="D265" s="402" t="inlineStr">
        <is>
          <t>MSK_EKA_117</t>
        </is>
      </c>
      <c r="E265" s="502" t="inlineStr">
        <is>
          <t>реконструкция</t>
        </is>
      </c>
      <c r="F265" s="498" t="n">
        <v>45184</v>
      </c>
    </row>
    <row r="266" hidden="1">
      <c r="A266" s="130" t="inlineStr">
        <is>
          <t>Москва</t>
        </is>
      </c>
      <c r="B266" s="130" t="inlineStr">
        <is>
          <t>ЕКА</t>
        </is>
      </c>
      <c r="C266" s="402" t="n">
        <v>77767</v>
      </c>
      <c r="D266" s="402" t="inlineStr">
        <is>
          <t>MSK_EKA_150</t>
        </is>
      </c>
      <c r="E266" s="502" t="inlineStr">
        <is>
          <t>реконструкция</t>
        </is>
      </c>
      <c r="F266" s="498" t="n">
        <v>45184</v>
      </c>
    </row>
    <row r="267" hidden="1">
      <c r="A267" s="130" t="inlineStr">
        <is>
          <t>Москва</t>
        </is>
      </c>
      <c r="B267" s="130" t="inlineStr">
        <is>
          <t>ЕКА</t>
        </is>
      </c>
      <c r="C267" s="402" t="n">
        <v>77701</v>
      </c>
      <c r="D267" s="402" t="inlineStr">
        <is>
          <t>MSK_EKA_001</t>
        </is>
      </c>
      <c r="E267" s="502" t="inlineStr">
        <is>
          <t>реконструкция</t>
        </is>
      </c>
      <c r="F267" s="498" t="n">
        <v>45184</v>
      </c>
    </row>
    <row r="268" hidden="1">
      <c r="A268" s="130" t="inlineStr">
        <is>
          <t>Москва</t>
        </is>
      </c>
      <c r="B268" s="130" t="inlineStr">
        <is>
          <t>ЕКА</t>
        </is>
      </c>
      <c r="C268" s="402" t="n">
        <v>77712</v>
      </c>
      <c r="D268" s="402" t="inlineStr">
        <is>
          <t>MSK_EKA_012</t>
        </is>
      </c>
      <c r="E268" s="502" t="inlineStr">
        <is>
          <t>реконструкция</t>
        </is>
      </c>
      <c r="F268" s="498" t="n">
        <v>45184</v>
      </c>
    </row>
    <row r="269" hidden="1">
      <c r="A269" s="130" t="inlineStr">
        <is>
          <t>Москва</t>
        </is>
      </c>
      <c r="B269" s="130" t="inlineStr">
        <is>
          <t>ЕКА</t>
        </is>
      </c>
      <c r="C269" s="402" t="n">
        <v>77714</v>
      </c>
      <c r="D269" s="402" t="inlineStr">
        <is>
          <t>MSK_EKA_014</t>
        </is>
      </c>
      <c r="E269" s="502" t="inlineStr">
        <is>
          <t>реконструкция</t>
        </is>
      </c>
      <c r="F269" s="498" t="n">
        <v>45184</v>
      </c>
    </row>
    <row r="270" hidden="1">
      <c r="A270" s="130" t="inlineStr">
        <is>
          <t>Москва</t>
        </is>
      </c>
      <c r="B270" s="130" t="inlineStr">
        <is>
          <t>ЕКА</t>
        </is>
      </c>
      <c r="C270" s="402" t="n">
        <v>77717</v>
      </c>
      <c r="D270" s="402" t="inlineStr">
        <is>
          <t>MSK_EKA_017</t>
        </is>
      </c>
      <c r="E270" s="502" t="inlineStr">
        <is>
          <t>реконструкция</t>
        </is>
      </c>
      <c r="F270" s="498" t="n">
        <v>45184</v>
      </c>
    </row>
    <row r="271" hidden="1">
      <c r="A271" s="130" t="inlineStr">
        <is>
          <t>Москва</t>
        </is>
      </c>
      <c r="B271" s="130" t="inlineStr">
        <is>
          <t>ЕКА</t>
        </is>
      </c>
      <c r="C271" s="402" t="n">
        <v>77719</v>
      </c>
      <c r="D271" s="402" t="inlineStr">
        <is>
          <t>MSK_EKA_019</t>
        </is>
      </c>
      <c r="E271" s="502" t="inlineStr">
        <is>
          <t>реконструкция</t>
        </is>
      </c>
      <c r="F271" s="498" t="n">
        <v>45184</v>
      </c>
    </row>
    <row r="272" hidden="1">
      <c r="A272" s="130" t="inlineStr">
        <is>
          <t>Москва</t>
        </is>
      </c>
      <c r="B272" s="130" t="inlineStr">
        <is>
          <t>ЕКА</t>
        </is>
      </c>
      <c r="C272" s="402" t="n">
        <v>77721</v>
      </c>
      <c r="D272" s="402" t="inlineStr">
        <is>
          <t>MSK_EKA_021</t>
        </is>
      </c>
      <c r="E272" s="502" t="inlineStr">
        <is>
          <t>реконструкция</t>
        </is>
      </c>
      <c r="F272" s="498" t="n">
        <v>45184</v>
      </c>
    </row>
    <row r="273" hidden="1">
      <c r="A273" s="130" t="inlineStr">
        <is>
          <t>Москва</t>
        </is>
      </c>
      <c r="B273" s="130" t="inlineStr">
        <is>
          <t>ЕКА</t>
        </is>
      </c>
      <c r="C273" s="402" t="n">
        <v>77723</v>
      </c>
      <c r="D273" s="402" t="inlineStr">
        <is>
          <t>MSK_EKA_023</t>
        </is>
      </c>
      <c r="E273" s="502" t="inlineStr">
        <is>
          <t>реконструкция</t>
        </is>
      </c>
      <c r="F273" s="498" t="n">
        <v>45184</v>
      </c>
    </row>
    <row r="274" hidden="1">
      <c r="A274" s="130" t="inlineStr">
        <is>
          <t>Москва</t>
        </is>
      </c>
      <c r="B274" s="130" t="inlineStr">
        <is>
          <t>ЕКА</t>
        </is>
      </c>
      <c r="C274" s="402" t="n">
        <v>77732</v>
      </c>
      <c r="D274" s="402" t="inlineStr">
        <is>
          <t>MSK_EKA_032</t>
        </is>
      </c>
      <c r="E274" s="502" t="inlineStr">
        <is>
          <t>реконструкция</t>
        </is>
      </c>
      <c r="F274" s="498" t="n">
        <v>45184</v>
      </c>
    </row>
    <row r="275" hidden="1">
      <c r="A275" s="130" t="inlineStr">
        <is>
          <t>Москва</t>
        </is>
      </c>
      <c r="B275" s="130" t="inlineStr">
        <is>
          <t>ЕКА</t>
        </is>
      </c>
      <c r="C275" s="402" t="n">
        <v>77772</v>
      </c>
      <c r="D275" s="402" t="inlineStr">
        <is>
          <t>MSK_EKA_224</t>
        </is>
      </c>
      <c r="E275" s="502" t="inlineStr">
        <is>
          <t>реконструкция</t>
        </is>
      </c>
      <c r="F275" s="498" t="n">
        <v>45184</v>
      </c>
    </row>
    <row r="276" hidden="1">
      <c r="A276" s="130" t="inlineStr">
        <is>
          <t>Москва</t>
        </is>
      </c>
      <c r="B276" s="130" t="inlineStr">
        <is>
          <t>ЕКА</t>
        </is>
      </c>
      <c r="C276" s="402" t="n">
        <v>77716</v>
      </c>
      <c r="D276" s="402" t="inlineStr">
        <is>
          <t>MSK_EKA_116</t>
        </is>
      </c>
      <c r="E276" s="502" t="inlineStr">
        <is>
          <t>реконструкция</t>
        </is>
      </c>
      <c r="F276" s="498" t="n">
        <v>45184</v>
      </c>
    </row>
    <row r="277" hidden="1">
      <c r="A277" s="130" t="inlineStr">
        <is>
          <t>Москва</t>
        </is>
      </c>
      <c r="B277" s="130" t="inlineStr">
        <is>
          <t>Бизнес центр</t>
        </is>
      </c>
      <c r="C277" s="402" t="inlineStr">
        <is>
          <t>Калибр</t>
        </is>
      </c>
      <c r="D277" s="402" t="inlineStr">
        <is>
          <t>MSK_BC_Kalibr</t>
        </is>
      </c>
      <c r="E277" s="502" t="inlineStr">
        <is>
          <t xml:space="preserve"> -1 экран, ремонт</t>
        </is>
      </c>
      <c r="F277" s="498" t="n">
        <v>45184</v>
      </c>
    </row>
    <row r="278" hidden="1">
      <c r="A278" s="130" t="inlineStr">
        <is>
          <t>Томск</t>
        </is>
      </c>
      <c r="B278" s="130" t="inlineStr">
        <is>
          <t>Роснефть</t>
        </is>
      </c>
      <c r="C278" s="402" t="inlineStr">
        <is>
          <t>RN_3</t>
        </is>
      </c>
      <c r="D278" s="402" t="inlineStr">
        <is>
          <t>TMS_RN_003</t>
        </is>
      </c>
      <c r="E278" s="502" t="inlineStr">
        <is>
          <t>Добавил</t>
        </is>
      </c>
      <c r="F278" s="498" t="n">
        <v>45184</v>
      </c>
    </row>
    <row r="279" hidden="1">
      <c r="A279" s="130" t="inlineStr">
        <is>
          <t>Томск</t>
        </is>
      </c>
      <c r="B279" s="130" t="inlineStr">
        <is>
          <t>Роснефть</t>
        </is>
      </c>
      <c r="C279" s="402" t="inlineStr">
        <is>
          <t>RN_24</t>
        </is>
      </c>
      <c r="D279" s="402" t="inlineStr">
        <is>
          <t>TMS_RN_024</t>
        </is>
      </c>
      <c r="E279" s="502" t="inlineStr">
        <is>
          <t>Добавил</t>
        </is>
      </c>
      <c r="F279" s="498" t="n">
        <v>45184</v>
      </c>
    </row>
    <row r="280" hidden="1">
      <c r="A280" s="130" t="inlineStr">
        <is>
          <t>Томск</t>
        </is>
      </c>
      <c r="B280" s="130" t="inlineStr">
        <is>
          <t>Роснефть</t>
        </is>
      </c>
      <c r="C280" s="402" t="inlineStr">
        <is>
          <t>RN_52</t>
        </is>
      </c>
      <c r="D280" s="402" t="inlineStr">
        <is>
          <t>TMS_RN_052</t>
        </is>
      </c>
      <c r="E280" s="502" t="inlineStr">
        <is>
          <t>Добавил</t>
        </is>
      </c>
      <c r="F280" s="498" t="n">
        <v>45184</v>
      </c>
    </row>
    <row r="281" hidden="1">
      <c r="A281" s="130" t="inlineStr">
        <is>
          <t>Москва</t>
        </is>
      </c>
      <c r="B281" s="130" t="inlineStr">
        <is>
          <t>ЕКА</t>
        </is>
      </c>
      <c r="C281" s="402" t="n">
        <v>77742</v>
      </c>
      <c r="D281" s="402" t="inlineStr">
        <is>
          <t>MSK_EKA_042</t>
        </is>
      </c>
      <c r="E281" s="502" t="inlineStr">
        <is>
          <t>реконструкция</t>
        </is>
      </c>
      <c r="F281" s="498" t="n">
        <v>45187</v>
      </c>
    </row>
    <row r="282" hidden="1">
      <c r="A282" s="130" t="inlineStr">
        <is>
          <t>Санкт-Петербург</t>
        </is>
      </c>
      <c r="B282" s="130" t="inlineStr">
        <is>
          <t>Роснефть</t>
        </is>
      </c>
      <c r="C282" s="402" t="inlineStr">
        <is>
          <t>332 Непокоренных-2</t>
        </is>
      </c>
      <c r="D282" s="402" t="inlineStr">
        <is>
          <t>SPB_RN_P_332</t>
        </is>
      </c>
      <c r="E282" s="502" t="inlineStr">
        <is>
          <t>реконструкция</t>
        </is>
      </c>
      <c r="F282" s="498" t="n">
        <v>45189</v>
      </c>
    </row>
    <row r="283" hidden="1">
      <c r="A283" s="130" t="inlineStr">
        <is>
          <t>Санкт-Петербург</t>
        </is>
      </c>
      <c r="B283" s="130" t="inlineStr">
        <is>
          <t>Азбука Вкуса</t>
        </is>
      </c>
      <c r="C283" s="402" t="inlineStr">
        <is>
          <t>SPB_006_Daily</t>
        </is>
      </c>
      <c r="D283" s="402" t="inlineStr">
        <is>
          <t>SPB_D_006</t>
        </is>
      </c>
      <c r="E283" s="502" t="inlineStr">
        <is>
          <t>Закрытие навсегда</t>
        </is>
      </c>
      <c r="F283" s="498" t="n">
        <v>45189</v>
      </c>
    </row>
    <row r="284" hidden="1">
      <c r="A284" s="130" t="inlineStr">
        <is>
          <t>Санкт-Петербург</t>
        </is>
      </c>
      <c r="B284" s="130" t="inlineStr">
        <is>
          <t>Роснефть</t>
        </is>
      </c>
      <c r="C284" s="402" t="inlineStr">
        <is>
          <t>394 Руставели-2</t>
        </is>
      </c>
      <c r="D284" s="402" t="inlineStr">
        <is>
          <t>SPB_RN_P_394</t>
        </is>
      </c>
      <c r="E284" s="502" t="inlineStr">
        <is>
          <t>реконструкция</t>
        </is>
      </c>
      <c r="F284" s="498" t="n">
        <v>45194</v>
      </c>
    </row>
    <row r="285" hidden="1">
      <c r="A285" s="130" t="inlineStr">
        <is>
          <t>Москва</t>
        </is>
      </c>
      <c r="B285" s="130" t="inlineStr">
        <is>
          <t>Роснефть</t>
        </is>
      </c>
      <c r="C285" s="402" t="inlineStr">
        <is>
          <t>Трехгорка</t>
        </is>
      </c>
      <c r="D285" s="402" t="inlineStr">
        <is>
          <t>MSK_BP_Trehgorka</t>
        </is>
      </c>
      <c r="E285" s="502" t="inlineStr">
        <is>
          <t>реконструкция</t>
        </is>
      </c>
      <c r="F285" s="498" t="n">
        <v>45196</v>
      </c>
    </row>
    <row r="286" hidden="1">
      <c r="A286" s="130" t="inlineStr">
        <is>
          <t>Москва</t>
        </is>
      </c>
      <c r="B286" s="130" t="inlineStr">
        <is>
          <t>Роснефть</t>
        </is>
      </c>
      <c r="C286" s="402" t="inlineStr">
        <is>
          <t>Тропарево</t>
        </is>
      </c>
      <c r="D286" s="402" t="inlineStr">
        <is>
          <t>MSK_BP_Troparevo</t>
        </is>
      </c>
      <c r="E286" s="502" t="inlineStr">
        <is>
          <t>реконструкция</t>
        </is>
      </c>
      <c r="F286" s="498" t="n">
        <v>45196</v>
      </c>
    </row>
    <row r="287" hidden="1">
      <c r="A287" s="130" t="inlineStr">
        <is>
          <t>Москва</t>
        </is>
      </c>
      <c r="B287" s="130" t="inlineStr">
        <is>
          <t>Роснефть</t>
        </is>
      </c>
      <c r="C287" s="402" t="inlineStr">
        <is>
          <t>Донская</t>
        </is>
      </c>
      <c r="D287" s="402" t="inlineStr">
        <is>
          <t>MSK_BP_Donskaya</t>
        </is>
      </c>
      <c r="E287" s="502" t="inlineStr">
        <is>
          <t>реконструкция</t>
        </is>
      </c>
      <c r="F287" s="498" t="n">
        <v>45196</v>
      </c>
    </row>
    <row r="288" hidden="1">
      <c r="A288" s="130" t="inlineStr">
        <is>
          <t>Москва</t>
        </is>
      </c>
      <c r="B288" s="130" t="inlineStr">
        <is>
          <t>Роснефть</t>
        </is>
      </c>
      <c r="C288" s="402" t="inlineStr">
        <is>
          <t>RN_033</t>
        </is>
      </c>
      <c r="D288" s="402" t="inlineStr">
        <is>
          <t>MSK_RN_0033</t>
        </is>
      </c>
      <c r="E288" s="502" t="inlineStr">
        <is>
          <t>реконструкция</t>
        </is>
      </c>
      <c r="F288" s="498" t="n">
        <v>45196</v>
      </c>
    </row>
    <row r="289" hidden="1">
      <c r="A289" s="130" t="inlineStr">
        <is>
          <t>Москва</t>
        </is>
      </c>
      <c r="B289" s="130" t="inlineStr">
        <is>
          <t>Роснефть</t>
        </is>
      </c>
      <c r="C289" s="402" t="inlineStr">
        <is>
          <t>Нахабино</t>
        </is>
      </c>
      <c r="D289" s="402" t="inlineStr">
        <is>
          <t>MSK_BP_Nakhabino</t>
        </is>
      </c>
      <c r="E289" s="502" t="inlineStr">
        <is>
          <t>реконструкция</t>
        </is>
      </c>
      <c r="F289" s="498" t="n">
        <v>45196</v>
      </c>
    </row>
    <row r="290" hidden="1">
      <c r="A290" s="130" t="inlineStr">
        <is>
          <t>Москва</t>
        </is>
      </c>
      <c r="B290" s="130" t="inlineStr">
        <is>
          <t>Роснефть</t>
        </is>
      </c>
      <c r="C290" s="402" t="inlineStr">
        <is>
          <t>RN_074</t>
        </is>
      </c>
      <c r="D290" s="402" t="inlineStr">
        <is>
          <t>MSK_RN_0074</t>
        </is>
      </c>
      <c r="E290" s="502" t="inlineStr">
        <is>
          <t>реконструкция</t>
        </is>
      </c>
      <c r="F290" s="498" t="n">
        <v>45196</v>
      </c>
    </row>
    <row r="291" hidden="1">
      <c r="A291" s="130" t="inlineStr">
        <is>
          <t>Москва</t>
        </is>
      </c>
      <c r="B291" s="130" t="inlineStr">
        <is>
          <t>Роснефть</t>
        </is>
      </c>
      <c r="C291" s="402" t="inlineStr">
        <is>
          <t>RN_085</t>
        </is>
      </c>
      <c r="D291" s="402" t="inlineStr">
        <is>
          <t>MSK_RN_0085</t>
        </is>
      </c>
      <c r="E291" s="502" t="inlineStr">
        <is>
          <t>реконструкция</t>
        </is>
      </c>
      <c r="F291" s="498" t="n">
        <v>45196</v>
      </c>
    </row>
    <row r="292" hidden="1">
      <c r="A292" s="130" t="inlineStr">
        <is>
          <t>Калуга</t>
        </is>
      </c>
      <c r="B292" s="130" t="inlineStr">
        <is>
          <t>Роснефть</t>
        </is>
      </c>
      <c r="C292" s="402" t="inlineStr">
        <is>
          <t>TNK_71</t>
        </is>
      </c>
      <c r="D292" s="402" t="inlineStr">
        <is>
          <t>KLG_TNK_071</t>
        </is>
      </c>
      <c r="E292" s="502" t="inlineStr">
        <is>
          <t>Добавил</t>
        </is>
      </c>
      <c r="F292" s="498" t="n">
        <v>45198</v>
      </c>
    </row>
    <row r="293" hidden="1">
      <c r="A293" s="130" t="inlineStr">
        <is>
          <t>Смоленск</t>
        </is>
      </c>
      <c r="B293" s="130" t="inlineStr">
        <is>
          <t>Роснефть</t>
        </is>
      </c>
      <c r="C293" s="402" t="inlineStr">
        <is>
          <t>RN_45</t>
        </is>
      </c>
      <c r="D293" s="402" t="inlineStr">
        <is>
          <t>SMO_RN_0045</t>
        </is>
      </c>
      <c r="E293" s="502" t="inlineStr">
        <is>
          <t>Добавил, новая АЗС</t>
        </is>
      </c>
      <c r="F293" s="498" t="n">
        <v>45198</v>
      </c>
    </row>
    <row r="294" hidden="1">
      <c r="A294" s="130" t="inlineStr">
        <is>
          <t>Ростов-на-Дону</t>
        </is>
      </c>
      <c r="B294" s="130" t="inlineStr">
        <is>
          <t>Роснефть</t>
        </is>
      </c>
      <c r="C294" s="402" t="n">
        <v>114</v>
      </c>
      <c r="D294" s="402" t="inlineStr">
        <is>
          <t>RND_RN_0114</t>
        </is>
      </c>
      <c r="E294" s="502" t="inlineStr">
        <is>
          <t>Добавил</t>
        </is>
      </c>
      <c r="F294" s="498" t="n">
        <v>45208</v>
      </c>
    </row>
    <row r="295" hidden="1">
      <c r="A295" s="130" t="inlineStr">
        <is>
          <t>Ростов-на-Дону</t>
        </is>
      </c>
      <c r="B295" s="130" t="inlineStr">
        <is>
          <t>Роснефть</t>
        </is>
      </c>
      <c r="C295" s="402" t="n">
        <v>129</v>
      </c>
      <c r="D295" s="402" t="inlineStr">
        <is>
          <t>RND_RN_0129</t>
        </is>
      </c>
      <c r="E295" s="502" t="inlineStr">
        <is>
          <t>Добавил</t>
        </is>
      </c>
      <c r="F295" s="498" t="n">
        <v>45208</v>
      </c>
    </row>
    <row r="296" hidden="1">
      <c r="A296" s="130" t="inlineStr">
        <is>
          <t>Смоленск</t>
        </is>
      </c>
      <c r="B296" s="130" t="inlineStr">
        <is>
          <t>Роснефть</t>
        </is>
      </c>
      <c r="C296" s="402" t="inlineStr">
        <is>
          <t>RN_60</t>
        </is>
      </c>
      <c r="D296" s="402" t="inlineStr">
        <is>
          <t>SMO_RN_0060</t>
        </is>
      </c>
      <c r="E296" s="502" t="inlineStr">
        <is>
          <t>Добавил, новая АЗС</t>
        </is>
      </c>
      <c r="F296" s="498" t="n">
        <v>45208</v>
      </c>
    </row>
    <row r="297" hidden="1">
      <c r="A297" s="130" t="inlineStr">
        <is>
          <t>Ульяновск</t>
        </is>
      </c>
      <c r="B297" s="130" t="inlineStr">
        <is>
          <t>Роснефть</t>
        </is>
      </c>
      <c r="C297" s="402" t="inlineStr">
        <is>
          <t>RN_15</t>
        </is>
      </c>
      <c r="D297" s="402" t="inlineStr">
        <is>
          <t>ULN_RN_0015</t>
        </is>
      </c>
      <c r="E297" s="502" t="inlineStr">
        <is>
          <t>реконструкция</t>
        </is>
      </c>
      <c r="F297" s="498" t="n">
        <v>45208</v>
      </c>
    </row>
    <row r="298" hidden="1">
      <c r="A298" s="130" t="inlineStr">
        <is>
          <t>Ульяновск</t>
        </is>
      </c>
      <c r="B298" s="130" t="inlineStr">
        <is>
          <t>Роснефть</t>
        </is>
      </c>
      <c r="C298" s="402" t="inlineStr">
        <is>
          <t>RN_17</t>
        </is>
      </c>
      <c r="D298" s="402" t="inlineStr">
        <is>
          <t>ULN_RN_0017</t>
        </is>
      </c>
      <c r="E298" s="502" t="inlineStr">
        <is>
          <t>реконструкция</t>
        </is>
      </c>
      <c r="F298" s="498" t="n">
        <v>45208</v>
      </c>
    </row>
    <row r="299" hidden="1">
      <c r="A299" s="130" t="inlineStr">
        <is>
          <t>Санкт-Петербург</t>
        </is>
      </c>
      <c r="B299" s="125" t="inlineStr">
        <is>
          <t>Бизнес центр</t>
        </is>
      </c>
      <c r="C299" s="402" t="inlineStr">
        <is>
          <t>18_Эврика</t>
        </is>
      </c>
      <c r="D299" s="402" t="inlineStr">
        <is>
          <t>SPB_BC_18_Evrika</t>
        </is>
      </c>
      <c r="E299" s="502" t="inlineStr">
        <is>
          <t xml:space="preserve"> +2 экрана</t>
        </is>
      </c>
      <c r="F299" s="498" t="n">
        <v>45208</v>
      </c>
    </row>
    <row r="300" hidden="1">
      <c r="A300" s="130" t="inlineStr">
        <is>
          <t>Москва</t>
        </is>
      </c>
      <c r="B300" s="130" t="inlineStr">
        <is>
          <t>Metro C&amp;C</t>
        </is>
      </c>
      <c r="C300" s="402" t="n">
        <v>67</v>
      </c>
      <c r="D300" s="402" t="inlineStr">
        <is>
          <t>Metro_67</t>
        </is>
      </c>
      <c r="E300" s="502" t="inlineStr">
        <is>
          <t xml:space="preserve"> -1 экран</t>
        </is>
      </c>
      <c r="F300" s="498" t="n">
        <v>45208</v>
      </c>
    </row>
    <row r="301" hidden="1">
      <c r="A301" s="130" t="inlineStr">
        <is>
          <t>Москва</t>
        </is>
      </c>
      <c r="B301" s="125" t="inlineStr">
        <is>
          <t>Бизнес центр</t>
        </is>
      </c>
      <c r="C301" s="402" t="inlineStr">
        <is>
          <t>Лофт Виль</t>
        </is>
      </c>
      <c r="D301" s="402" t="inlineStr">
        <is>
          <t>MSK_BC_Loft_Vil</t>
        </is>
      </c>
      <c r="E301" s="502" t="inlineStr">
        <is>
          <t>Добавил</t>
        </is>
      </c>
      <c r="F301" s="498" t="n">
        <v>45208</v>
      </c>
    </row>
    <row r="302" hidden="1">
      <c r="A302" s="130" t="inlineStr">
        <is>
          <t>Брянск</t>
        </is>
      </c>
      <c r="B302" s="130" t="inlineStr">
        <is>
          <t>Роснефть</t>
        </is>
      </c>
      <c r="C302" s="402" t="inlineStr">
        <is>
          <t>RN_5</t>
        </is>
      </c>
      <c r="D302" s="402" t="inlineStr">
        <is>
          <t>BRN_RN_0005</t>
        </is>
      </c>
      <c r="E302" s="502" t="inlineStr">
        <is>
          <t>реконструкция</t>
        </is>
      </c>
      <c r="F302" s="498" t="n">
        <v>45208</v>
      </c>
    </row>
    <row r="303" hidden="1">
      <c r="A303" s="130" t="inlineStr">
        <is>
          <t>Брянск</t>
        </is>
      </c>
      <c r="B303" s="130" t="inlineStr">
        <is>
          <t>Роснефть</t>
        </is>
      </c>
      <c r="C303" s="402" t="inlineStr">
        <is>
          <t>RN_24</t>
        </is>
      </c>
      <c r="D303" s="402" t="inlineStr">
        <is>
          <t>BRN_RN_0024</t>
        </is>
      </c>
      <c r="E303" s="502" t="inlineStr">
        <is>
          <t>реконструкция</t>
        </is>
      </c>
      <c r="F303" s="498" t="n">
        <v>45208</v>
      </c>
    </row>
    <row r="304" hidden="1">
      <c r="A304" s="130" t="inlineStr">
        <is>
          <t>Тамбов</t>
        </is>
      </c>
      <c r="B304" s="130" t="inlineStr">
        <is>
          <t>Роснефть</t>
        </is>
      </c>
      <c r="C304" s="402" t="inlineStr">
        <is>
          <t>RN_170</t>
        </is>
      </c>
      <c r="D304" s="402" t="inlineStr">
        <is>
          <t>TMB_RN_0170</t>
        </is>
      </c>
      <c r="E304" s="502" t="inlineStr">
        <is>
          <t>реконструкция</t>
        </is>
      </c>
      <c r="F304" s="498" t="n">
        <v>45208</v>
      </c>
    </row>
    <row r="305" hidden="1">
      <c r="A305" s="130" t="inlineStr">
        <is>
          <t>Ижевск</t>
        </is>
      </c>
      <c r="B305" s="130" t="inlineStr">
        <is>
          <t>Башнефть</t>
        </is>
      </c>
      <c r="C305" s="402" t="inlineStr">
        <is>
          <t>№18-040</t>
        </is>
      </c>
      <c r="D305" s="402" t="inlineStr">
        <is>
          <t>IZE_BASH_18040</t>
        </is>
      </c>
      <c r="E305" s="502" t="inlineStr">
        <is>
          <t>Добавил</t>
        </is>
      </c>
      <c r="F305" s="498" t="n">
        <v>45209</v>
      </c>
    </row>
    <row r="306" hidden="1">
      <c r="A306" s="130" t="inlineStr">
        <is>
          <t>Санкт-Петербург</t>
        </is>
      </c>
      <c r="B306" s="130" t="inlineStr">
        <is>
          <t>Роснефть</t>
        </is>
      </c>
      <c r="C306" s="402" t="inlineStr">
        <is>
          <t>003 Витебский</t>
        </is>
      </c>
      <c r="D306" s="402" t="inlineStr">
        <is>
          <t>SPB_RN_0003</t>
        </is>
      </c>
      <c r="E306" s="502" t="inlineStr">
        <is>
          <t>реконструкция</t>
        </is>
      </c>
      <c r="F306" s="498" t="n">
        <v>45210</v>
      </c>
    </row>
    <row r="307" hidden="1">
      <c r="A307" s="130" t="inlineStr">
        <is>
          <t>Ростов-на-Дону</t>
        </is>
      </c>
      <c r="B307" s="130" t="inlineStr">
        <is>
          <t>Роснефть</t>
        </is>
      </c>
      <c r="C307" s="402" t="n">
        <v>58</v>
      </c>
      <c r="D307" s="402" t="inlineStr">
        <is>
          <t>RND_RN_0058</t>
        </is>
      </c>
      <c r="E307" s="502" t="inlineStr">
        <is>
          <t>реконструкция</t>
        </is>
      </c>
      <c r="F307" s="498" t="n">
        <v>45212</v>
      </c>
    </row>
    <row r="308" hidden="1">
      <c r="A308" s="130" t="inlineStr">
        <is>
          <t>Ростов-на-Дону</t>
        </is>
      </c>
      <c r="B308" s="130" t="inlineStr">
        <is>
          <t>Роснефть</t>
        </is>
      </c>
      <c r="C308" s="402" t="n">
        <v>80</v>
      </c>
      <c r="D308" s="402" t="inlineStr">
        <is>
          <t>RND_RN_0080</t>
        </is>
      </c>
      <c r="E308" s="502" t="inlineStr">
        <is>
          <t>реконструкция</t>
        </is>
      </c>
      <c r="F308" s="498" t="n">
        <v>45212</v>
      </c>
    </row>
    <row r="309" hidden="1">
      <c r="A309" s="130" t="inlineStr">
        <is>
          <t>Краснодар</t>
        </is>
      </c>
      <c r="B309" s="130" t="inlineStr">
        <is>
          <t>Роснефть</t>
        </is>
      </c>
      <c r="C309" s="402" t="inlineStr">
        <is>
          <t>RN_94</t>
        </is>
      </c>
      <c r="D309" s="402" t="inlineStr">
        <is>
          <t>KDR_RN_0094</t>
        </is>
      </c>
      <c r="E309" s="502" t="inlineStr">
        <is>
          <t>реконструкция</t>
        </is>
      </c>
      <c r="F309" s="498" t="n">
        <v>45212</v>
      </c>
    </row>
    <row r="310" hidden="1">
      <c r="A310" s="130" t="inlineStr">
        <is>
          <t>Краснодар</t>
        </is>
      </c>
      <c r="B310" s="130" t="inlineStr">
        <is>
          <t>Роснефть</t>
        </is>
      </c>
      <c r="C310" s="402" t="inlineStr">
        <is>
          <t>RN_104/1</t>
        </is>
      </c>
      <c r="D310" s="402" t="inlineStr">
        <is>
          <t>KDR_RN_0104_1</t>
        </is>
      </c>
      <c r="E310" s="502" t="inlineStr">
        <is>
          <t>реконструкция</t>
        </is>
      </c>
      <c r="F310" s="498" t="n">
        <v>45212</v>
      </c>
    </row>
    <row r="311" hidden="1">
      <c r="A311" s="130" t="inlineStr">
        <is>
          <t>Москва</t>
        </is>
      </c>
      <c r="B311" s="130" t="inlineStr">
        <is>
          <t>Газпромнефть</t>
        </is>
      </c>
      <c r="C311" s="402" t="n">
        <v>12086</v>
      </c>
      <c r="D311" s="402" t="inlineStr">
        <is>
          <t>GPN_12086</t>
        </is>
      </c>
      <c r="E311" s="502" t="inlineStr">
        <is>
          <t>реконструкция</t>
        </is>
      </c>
      <c r="F311" s="498" t="n">
        <v>45212</v>
      </c>
    </row>
    <row r="312" hidden="1">
      <c r="A312" s="130" t="inlineStr">
        <is>
          <t>Москва</t>
        </is>
      </c>
      <c r="B312" s="130" t="inlineStr">
        <is>
          <t>ЕКА</t>
        </is>
      </c>
      <c r="C312" s="402" t="n">
        <v>50702</v>
      </c>
      <c r="D312" s="402" t="inlineStr">
        <is>
          <t>MSK_EKA_302</t>
        </is>
      </c>
      <c r="E312" s="502" t="inlineStr">
        <is>
          <t>реконструкция</t>
        </is>
      </c>
      <c r="F312" s="498" t="n">
        <v>45212</v>
      </c>
    </row>
    <row r="313" hidden="1">
      <c r="A313" s="130" t="inlineStr">
        <is>
          <t>Тамбов</t>
        </is>
      </c>
      <c r="B313" s="130" t="inlineStr">
        <is>
          <t>Роснефть</t>
        </is>
      </c>
      <c r="C313" s="402" t="inlineStr">
        <is>
          <t>RN_168</t>
        </is>
      </c>
      <c r="D313" s="402" t="inlineStr">
        <is>
          <t>TMB_RN_0168</t>
        </is>
      </c>
      <c r="E313" s="502" t="inlineStr">
        <is>
          <t>реконструкция</t>
        </is>
      </c>
      <c r="F313" s="498" t="n">
        <v>45212</v>
      </c>
    </row>
    <row r="314" hidden="1">
      <c r="A314" s="130" t="inlineStr">
        <is>
          <t>Москва</t>
        </is>
      </c>
      <c r="B314" s="130" t="inlineStr">
        <is>
          <t>Газпромнефть</t>
        </is>
      </c>
      <c r="C314" s="402" t="n">
        <v>11020</v>
      </c>
      <c r="D314" s="402" t="inlineStr">
        <is>
          <t>GPN_11020</t>
        </is>
      </c>
      <c r="E314" s="502" t="inlineStr">
        <is>
          <t>Добавил</t>
        </is>
      </c>
      <c r="F314" s="498" t="n">
        <v>45212</v>
      </c>
    </row>
    <row r="315" hidden="1">
      <c r="A315" s="130" t="inlineStr">
        <is>
          <t>Санкт-Петербург</t>
        </is>
      </c>
      <c r="B315" s="130" t="inlineStr">
        <is>
          <t>Роснефть</t>
        </is>
      </c>
      <c r="C315" s="402" t="inlineStr">
        <is>
          <t>301 Волковский</t>
        </is>
      </c>
      <c r="D315" s="402" t="inlineStr">
        <is>
          <t>SPB_RN_P_301</t>
        </is>
      </c>
      <c r="E315" s="502" t="inlineStr">
        <is>
          <t>реконструкция</t>
        </is>
      </c>
      <c r="F315" s="498" t="n">
        <v>45222</v>
      </c>
    </row>
    <row r="316" hidden="1">
      <c r="A316" s="130" t="inlineStr">
        <is>
          <t>Санкт-Петербург</t>
        </is>
      </c>
      <c r="B316" s="130" t="inlineStr">
        <is>
          <t>Бизнес центр</t>
        </is>
      </c>
      <c r="C316" s="402" t="inlineStr">
        <is>
          <t>18_Обухов-Центр</t>
        </is>
      </c>
      <c r="D316" s="402" t="inlineStr">
        <is>
          <t>SPB_BC_18_Obukhov_Tsentr</t>
        </is>
      </c>
      <c r="E316" s="502" t="inlineStr">
        <is>
          <t xml:space="preserve"> -1 экран лифтовой экран</t>
        </is>
      </c>
      <c r="F316" s="498" t="n">
        <v>45222</v>
      </c>
    </row>
    <row r="317" hidden="1">
      <c r="A317" s="130" t="inlineStr">
        <is>
          <t>Самара</t>
        </is>
      </c>
      <c r="B317" s="130" t="inlineStr">
        <is>
          <t>Роснефть</t>
        </is>
      </c>
      <c r="C317" s="402" t="inlineStr">
        <is>
          <t>RN_74</t>
        </is>
      </c>
      <c r="D317" s="402" t="inlineStr">
        <is>
          <t>SMR_RN_0074</t>
        </is>
      </c>
      <c r="E317" s="502" t="inlineStr">
        <is>
          <t>реконструкция</t>
        </is>
      </c>
      <c r="F317" s="498" t="n">
        <v>45222</v>
      </c>
    </row>
    <row r="318" hidden="1">
      <c r="A318" s="130" t="inlineStr">
        <is>
          <t>Москва</t>
        </is>
      </c>
      <c r="B318" s="130" t="inlineStr">
        <is>
          <t>Роснефть</t>
        </is>
      </c>
      <c r="C318" s="402" t="inlineStr">
        <is>
          <t>RN_104</t>
        </is>
      </c>
      <c r="D318" s="402" t="inlineStr">
        <is>
          <t>MSK_RN_0104</t>
        </is>
      </c>
      <c r="E318" s="502" t="inlineStr">
        <is>
          <t>реконструкция с ноября</t>
        </is>
      </c>
      <c r="F318" s="498" t="n">
        <v>45222</v>
      </c>
    </row>
    <row r="319" hidden="1">
      <c r="A319" s="130" t="inlineStr">
        <is>
          <t>Москва</t>
        </is>
      </c>
      <c r="B319" s="130" t="inlineStr">
        <is>
          <t>Роснефть</t>
        </is>
      </c>
      <c r="C319" s="402" t="inlineStr">
        <is>
          <t>RN_086</t>
        </is>
      </c>
      <c r="D319" s="402" t="inlineStr">
        <is>
          <t>MSK_RN_0086</t>
        </is>
      </c>
      <c r="E319" s="502" t="inlineStr">
        <is>
          <t>реконструкция с ноября</t>
        </is>
      </c>
      <c r="F319" s="498" t="n">
        <v>45222</v>
      </c>
    </row>
    <row r="320" hidden="1">
      <c r="A320" s="130" t="inlineStr">
        <is>
          <t>Москва</t>
        </is>
      </c>
      <c r="B320" s="130" t="inlineStr">
        <is>
          <t>Роснефть</t>
        </is>
      </c>
      <c r="C320" s="402" t="inlineStr">
        <is>
          <t>RN_073</t>
        </is>
      </c>
      <c r="D320" s="402" t="inlineStr">
        <is>
          <t>MSK_RN_0073</t>
        </is>
      </c>
      <c r="E320" s="502" t="inlineStr">
        <is>
          <t>реконструкция с ноября</t>
        </is>
      </c>
      <c r="F320" s="498" t="n">
        <v>45222</v>
      </c>
    </row>
    <row r="321" hidden="1">
      <c r="A321" s="130" t="inlineStr">
        <is>
          <t>Москва</t>
        </is>
      </c>
      <c r="B321" s="130" t="inlineStr">
        <is>
          <t>Роснефть</t>
        </is>
      </c>
      <c r="C321" s="402" t="inlineStr">
        <is>
          <t>RN_009</t>
        </is>
      </c>
      <c r="D321" s="402" t="inlineStr">
        <is>
          <t>MSK_RN_0009</t>
        </is>
      </c>
      <c r="E321" s="502" t="inlineStr">
        <is>
          <t>реконструкция с ноября</t>
        </is>
      </c>
      <c r="F321" s="498" t="n">
        <v>45222</v>
      </c>
    </row>
    <row r="322" hidden="1">
      <c r="A322" s="130" t="inlineStr">
        <is>
          <t>Москва</t>
        </is>
      </c>
      <c r="B322" s="130" t="inlineStr">
        <is>
          <t>Роснефть</t>
        </is>
      </c>
      <c r="C322" s="402" t="inlineStr">
        <is>
          <t>Краснознаменская</t>
        </is>
      </c>
      <c r="D322" s="402" t="inlineStr">
        <is>
          <t>MSK_BP_Krasnoznamenskaya</t>
        </is>
      </c>
      <c r="E322" s="502" t="inlineStr">
        <is>
          <t>реконструкция с ноября</t>
        </is>
      </c>
      <c r="F322" s="498" t="n">
        <v>45222</v>
      </c>
    </row>
    <row r="323" hidden="1">
      <c r="A323" s="130" t="inlineStr">
        <is>
          <t>Москва</t>
        </is>
      </c>
      <c r="B323" s="130" t="inlineStr">
        <is>
          <t>Роснефть</t>
        </is>
      </c>
      <c r="C323" s="402" t="inlineStr">
        <is>
          <t>Дон-1</t>
        </is>
      </c>
      <c r="D323" s="402" t="inlineStr">
        <is>
          <t>MSK_BP_Don_1</t>
        </is>
      </c>
      <c r="E323" s="502" t="inlineStr">
        <is>
          <t>реконструкция с ноября</t>
        </is>
      </c>
      <c r="F323" s="498" t="n">
        <v>45222</v>
      </c>
    </row>
    <row r="324" hidden="1">
      <c r="A324" s="130" t="inlineStr">
        <is>
          <t>Москва</t>
        </is>
      </c>
      <c r="B324" s="130" t="inlineStr">
        <is>
          <t>Роснефть</t>
        </is>
      </c>
      <c r="C324" s="402" t="inlineStr">
        <is>
          <t>Взлетная</t>
        </is>
      </c>
      <c r="D324" s="402" t="inlineStr">
        <is>
          <t>MSK_BP_Vzletnaya</t>
        </is>
      </c>
      <c r="E324" s="502" t="inlineStr">
        <is>
          <t>реконструкция с ноября</t>
        </is>
      </c>
      <c r="F324" s="498" t="n">
        <v>45222</v>
      </c>
    </row>
    <row r="325" hidden="1">
      <c r="A325" s="130" t="inlineStr">
        <is>
          <t>Москва</t>
        </is>
      </c>
      <c r="B325" s="130" t="inlineStr">
        <is>
          <t>Роснефть</t>
        </is>
      </c>
      <c r="C325" s="402" t="inlineStr">
        <is>
          <t>Немчиновка</t>
        </is>
      </c>
      <c r="D325" s="402" t="inlineStr">
        <is>
          <t>MSK_BP_Nemchinovka</t>
        </is>
      </c>
      <c r="E325" s="502" t="inlineStr">
        <is>
          <t>реконструкция с ноября</t>
        </is>
      </c>
      <c r="F325" s="498" t="n">
        <v>45222</v>
      </c>
    </row>
    <row r="326" hidden="1">
      <c r="A326" s="130" t="inlineStr">
        <is>
          <t>Москва</t>
        </is>
      </c>
      <c r="B326" s="130" t="inlineStr">
        <is>
          <t>Роснефть</t>
        </is>
      </c>
      <c r="C326" s="402" t="inlineStr">
        <is>
          <t>Новорижская</t>
        </is>
      </c>
      <c r="D326" s="402" t="inlineStr">
        <is>
          <t>MSK_BP_Novorizhskaya</t>
        </is>
      </c>
      <c r="E326" s="502" t="inlineStr">
        <is>
          <t>реконструкция с ноября</t>
        </is>
      </c>
      <c r="F326" s="498" t="n">
        <v>45222</v>
      </c>
    </row>
    <row r="327" hidden="1">
      <c r="A327" s="130" t="inlineStr">
        <is>
          <t>Москва</t>
        </is>
      </c>
      <c r="B327" s="130" t="inlineStr">
        <is>
          <t>Роснефть</t>
        </is>
      </c>
      <c r="C327" s="402" t="inlineStr">
        <is>
          <t>Бутырская</t>
        </is>
      </c>
      <c r="D327" s="402" t="inlineStr">
        <is>
          <t>MSK_BP_Butyrskaya</t>
        </is>
      </c>
      <c r="E327" s="502" t="inlineStr">
        <is>
          <t>реконструкция с ноября</t>
        </is>
      </c>
      <c r="F327" s="498" t="n">
        <v>45222</v>
      </c>
    </row>
    <row r="328" hidden="1">
      <c r="A328" s="130" t="inlineStr">
        <is>
          <t>Самара</t>
        </is>
      </c>
      <c r="B328" s="130" t="inlineStr">
        <is>
          <t>Роснефть</t>
        </is>
      </c>
      <c r="C328" s="402" t="inlineStr">
        <is>
          <t>RN_7</t>
        </is>
      </c>
      <c r="D328" s="402" t="inlineStr">
        <is>
          <t>SMR_RN_0007</t>
        </is>
      </c>
      <c r="E328" s="502" t="inlineStr">
        <is>
          <t>реконструкция</t>
        </is>
      </c>
      <c r="F328" s="498" t="n">
        <v>45225</v>
      </c>
    </row>
    <row r="329" hidden="1">
      <c r="A329" s="130" t="inlineStr">
        <is>
          <t>Самара</t>
        </is>
      </c>
      <c r="B329" s="130" t="inlineStr">
        <is>
          <t>Роснефть</t>
        </is>
      </c>
      <c r="C329" s="402" t="inlineStr">
        <is>
          <t>RN_108</t>
        </is>
      </c>
      <c r="D329" s="402" t="inlineStr">
        <is>
          <t>SMR_RN_0108</t>
        </is>
      </c>
      <c r="E329" s="502" t="inlineStr">
        <is>
          <t>реконструкция</t>
        </is>
      </c>
      <c r="F329" s="498" t="n">
        <v>45225</v>
      </c>
    </row>
    <row r="330" hidden="1">
      <c r="A330" s="130" t="inlineStr">
        <is>
          <t>Москва</t>
        </is>
      </c>
      <c r="B330" s="130" t="inlineStr">
        <is>
          <t>Бизнес центр</t>
        </is>
      </c>
      <c r="C330" s="402" t="inlineStr">
        <is>
          <t>КУБ</t>
        </is>
      </c>
      <c r="D330" s="402" t="inlineStr">
        <is>
          <t>MSK_BC_KUB</t>
        </is>
      </c>
      <c r="E330" s="502" t="inlineStr">
        <is>
          <t>Добавил</t>
        </is>
      </c>
      <c r="F330" s="498" t="n">
        <v>45225</v>
      </c>
    </row>
    <row r="331" hidden="1">
      <c r="A331" s="130" t="inlineStr">
        <is>
          <t>Санкт-Петербург</t>
        </is>
      </c>
      <c r="B331" s="130" t="inlineStr">
        <is>
          <t>Бизнес центр</t>
        </is>
      </c>
      <c r="C331" s="402" t="inlineStr">
        <is>
          <t>18_Обухов-Центр</t>
        </is>
      </c>
      <c r="D331" s="402" t="inlineStr">
        <is>
          <t>SPB_BC_18_Obukhov_Tsentr</t>
        </is>
      </c>
      <c r="E331" s="502" t="inlineStr">
        <is>
          <t>добавил экран</t>
        </is>
      </c>
      <c r="F331" s="498" t="n">
        <v>45230</v>
      </c>
    </row>
    <row r="332" hidden="1">
      <c r="A332" s="130" t="inlineStr">
        <is>
          <t>Алтайский край</t>
        </is>
      </c>
      <c r="B332" s="130" t="inlineStr">
        <is>
          <t>Роснефть</t>
        </is>
      </c>
      <c r="C332" s="402" t="n">
        <v>243</v>
      </c>
      <c r="D332" s="402" t="inlineStr">
        <is>
          <t>BRL_RN_0243</t>
        </is>
      </c>
      <c r="E332" s="502" t="inlineStr">
        <is>
          <t>Добавил</t>
        </is>
      </c>
      <c r="F332" s="498" t="n">
        <v>45232</v>
      </c>
    </row>
    <row r="333" hidden="1">
      <c r="A333" s="130" t="inlineStr">
        <is>
          <t>Алтайский край</t>
        </is>
      </c>
      <c r="B333" s="130" t="inlineStr">
        <is>
          <t>Роснефть</t>
        </is>
      </c>
      <c r="C333" s="402" t="n">
        <v>250</v>
      </c>
      <c r="D333" s="402" t="inlineStr">
        <is>
          <t>BRL_RN_0250</t>
        </is>
      </c>
      <c r="E333" s="502" t="inlineStr">
        <is>
          <t>Добавил</t>
        </is>
      </c>
      <c r="F333" s="498" t="n">
        <v>45232</v>
      </c>
    </row>
    <row r="334" hidden="1">
      <c r="A334" s="130" t="inlineStr">
        <is>
          <t>Москва</t>
        </is>
      </c>
      <c r="B334" s="87" t="inlineStr">
        <is>
          <t>Нефтьмагистраль</t>
        </is>
      </c>
      <c r="C334" s="402" t="n">
        <v>2</v>
      </c>
      <c r="D334" s="402" t="inlineStr">
        <is>
          <t>MSK_NM_0002</t>
        </is>
      </c>
      <c r="E334" s="502" t="inlineStr">
        <is>
          <t>реконструкция</t>
        </is>
      </c>
      <c r="F334" s="498" t="n">
        <v>45238</v>
      </c>
    </row>
    <row r="335" hidden="1">
      <c r="A335" s="130" t="inlineStr">
        <is>
          <t>Москва</t>
        </is>
      </c>
      <c r="B335" s="130" t="inlineStr">
        <is>
          <t>ЕКА</t>
        </is>
      </c>
      <c r="C335" s="402" t="n">
        <v>77703</v>
      </c>
      <c r="D335" s="402" t="inlineStr">
        <is>
          <t>MSK_EKA_003</t>
        </is>
      </c>
      <c r="E335" s="502" t="inlineStr">
        <is>
          <t>реконструкция</t>
        </is>
      </c>
      <c r="F335" s="498" t="n">
        <v>45238</v>
      </c>
    </row>
    <row r="336" hidden="1">
      <c r="A336" s="130" t="inlineStr">
        <is>
          <t>Москва</t>
        </is>
      </c>
      <c r="B336" s="130" t="inlineStr">
        <is>
          <t>ЕКА</t>
        </is>
      </c>
      <c r="C336" s="402" t="n">
        <v>77709</v>
      </c>
      <c r="D336" s="402" t="inlineStr">
        <is>
          <t>MSK_EKA_009</t>
        </is>
      </c>
      <c r="E336" s="502" t="inlineStr">
        <is>
          <t>реконструкция</t>
        </is>
      </c>
      <c r="F336" s="498" t="n">
        <v>45238</v>
      </c>
    </row>
    <row r="337" hidden="1">
      <c r="A337" s="130" t="inlineStr">
        <is>
          <t>Москва</t>
        </is>
      </c>
      <c r="B337" s="130" t="inlineStr">
        <is>
          <t>ЕКА</t>
        </is>
      </c>
      <c r="C337" s="402" t="n">
        <v>77711</v>
      </c>
      <c r="D337" s="402" t="inlineStr">
        <is>
          <t>MSK_EKA_011</t>
        </is>
      </c>
      <c r="E337" s="502" t="inlineStr">
        <is>
          <t>реконструкция</t>
        </is>
      </c>
      <c r="F337" s="498" t="n">
        <v>45238</v>
      </c>
    </row>
    <row r="338" hidden="1">
      <c r="A338" s="130" t="inlineStr">
        <is>
          <t>Москва</t>
        </is>
      </c>
      <c r="B338" s="130" t="inlineStr">
        <is>
          <t>ЕКА</t>
        </is>
      </c>
      <c r="C338" s="402" t="n">
        <v>77724</v>
      </c>
      <c r="D338" s="402" t="inlineStr">
        <is>
          <t>MSK_EKA_024</t>
        </is>
      </c>
      <c r="E338" s="502" t="inlineStr">
        <is>
          <t>реконструкция</t>
        </is>
      </c>
      <c r="F338" s="498" t="n">
        <v>45238</v>
      </c>
    </row>
    <row r="339" hidden="1">
      <c r="A339" s="130" t="inlineStr">
        <is>
          <t>Москва</t>
        </is>
      </c>
      <c r="B339" s="130" t="inlineStr">
        <is>
          <t>ЕКА</t>
        </is>
      </c>
      <c r="C339" s="402" t="n">
        <v>77746</v>
      </c>
      <c r="D339" s="402" t="inlineStr">
        <is>
          <t>MSK_EKA_046</t>
        </is>
      </c>
      <c r="E339" s="502" t="inlineStr">
        <is>
          <t>реконструкция</t>
        </is>
      </c>
      <c r="F339" s="498" t="n">
        <v>45238</v>
      </c>
    </row>
    <row r="340" hidden="1">
      <c r="A340" s="130" t="inlineStr">
        <is>
          <t>Москва</t>
        </is>
      </c>
      <c r="B340" s="130" t="inlineStr">
        <is>
          <t>ЕКА</t>
        </is>
      </c>
      <c r="C340" s="402" t="n">
        <v>77747</v>
      </c>
      <c r="D340" s="402" t="inlineStr">
        <is>
          <t>MSK_EKA_047</t>
        </is>
      </c>
      <c r="E340" s="502" t="inlineStr">
        <is>
          <t>реконструкция</t>
        </is>
      </c>
      <c r="F340" s="498" t="n">
        <v>45238</v>
      </c>
    </row>
    <row r="341" hidden="1">
      <c r="A341" s="130" t="inlineStr">
        <is>
          <t>Москва</t>
        </is>
      </c>
      <c r="B341" s="130" t="inlineStr">
        <is>
          <t>ЕКА</t>
        </is>
      </c>
      <c r="C341" s="402" t="n">
        <v>77749</v>
      </c>
      <c r="D341" s="402" t="inlineStr">
        <is>
          <t>MSK_EKA_049</t>
        </is>
      </c>
      <c r="E341" s="502" t="inlineStr">
        <is>
          <t>реконструкция</t>
        </is>
      </c>
      <c r="F341" s="498" t="n">
        <v>45238</v>
      </c>
    </row>
    <row r="342" hidden="1">
      <c r="A342" s="130" t="inlineStr">
        <is>
          <t>Москва</t>
        </is>
      </c>
      <c r="B342" s="130" t="inlineStr">
        <is>
          <t>ЕКА</t>
        </is>
      </c>
      <c r="C342" s="402" t="n">
        <v>77757</v>
      </c>
      <c r="D342" s="402" t="inlineStr">
        <is>
          <t>MSK_EKA_057</t>
        </is>
      </c>
      <c r="E342" s="502" t="inlineStr">
        <is>
          <t>реконструкция</t>
        </is>
      </c>
      <c r="F342" s="498" t="n">
        <v>45238</v>
      </c>
    </row>
    <row r="343" hidden="1">
      <c r="A343" s="130" t="inlineStr">
        <is>
          <t>Москва</t>
        </is>
      </c>
      <c r="B343" s="130" t="inlineStr">
        <is>
          <t>ЕКА</t>
        </is>
      </c>
      <c r="C343" s="402" t="n">
        <v>77760</v>
      </c>
      <c r="D343" s="402" t="inlineStr">
        <is>
          <t>MSK_EKA_060</t>
        </is>
      </c>
      <c r="E343" s="502" t="inlineStr">
        <is>
          <t>реконструкция</t>
        </is>
      </c>
      <c r="F343" s="498" t="n">
        <v>45238</v>
      </c>
    </row>
    <row r="344" hidden="1">
      <c r="A344" s="130" t="inlineStr">
        <is>
          <t>Москва</t>
        </is>
      </c>
      <c r="B344" s="130" t="inlineStr">
        <is>
          <t>ЕКА</t>
        </is>
      </c>
      <c r="C344" s="402" t="n">
        <v>77762</v>
      </c>
      <c r="D344" s="402" t="inlineStr">
        <is>
          <t>MSK_EKA_082</t>
        </is>
      </c>
      <c r="E344" s="502" t="inlineStr">
        <is>
          <t>реконструкция</t>
        </is>
      </c>
      <c r="F344" s="498" t="n">
        <v>45238</v>
      </c>
    </row>
    <row r="345" hidden="1">
      <c r="A345" s="130" t="inlineStr">
        <is>
          <t>Москва</t>
        </is>
      </c>
      <c r="B345" s="130" t="inlineStr">
        <is>
          <t>ЕКА</t>
        </is>
      </c>
      <c r="C345" s="402" t="n">
        <v>77765</v>
      </c>
      <c r="D345" s="402" t="inlineStr">
        <is>
          <t>MSK_EKA_121</t>
        </is>
      </c>
      <c r="E345" s="502" t="inlineStr">
        <is>
          <t>реконструкция</t>
        </is>
      </c>
      <c r="F345" s="498" t="n">
        <v>45238</v>
      </c>
    </row>
    <row r="346" hidden="1">
      <c r="A346" s="130" t="inlineStr">
        <is>
          <t>Москва</t>
        </is>
      </c>
      <c r="B346" s="130" t="inlineStr">
        <is>
          <t>ЕКА</t>
        </is>
      </c>
      <c r="C346" s="402" t="n">
        <v>77722</v>
      </c>
      <c r="D346" s="402" t="inlineStr">
        <is>
          <t>MSK_EKA_122</t>
        </is>
      </c>
      <c r="E346" s="502" t="inlineStr">
        <is>
          <t>реконструкция</t>
        </is>
      </c>
      <c r="F346" s="498" t="n">
        <v>45238</v>
      </c>
    </row>
    <row r="347" hidden="1">
      <c r="A347" s="130" t="inlineStr">
        <is>
          <t>Москва</t>
        </is>
      </c>
      <c r="B347" s="130" t="inlineStr">
        <is>
          <t>ЕКА</t>
        </is>
      </c>
      <c r="C347" s="402" t="n">
        <v>77734</v>
      </c>
      <c r="D347" s="402" t="inlineStr">
        <is>
          <t>MSK_EKA_134</t>
        </is>
      </c>
      <c r="E347" s="502" t="inlineStr">
        <is>
          <t>реконструкция</t>
        </is>
      </c>
      <c r="F347" s="498" t="n">
        <v>45238</v>
      </c>
    </row>
    <row r="348" hidden="1">
      <c r="A348" s="130" t="inlineStr">
        <is>
          <t>Москва</t>
        </is>
      </c>
      <c r="B348" s="130" t="inlineStr">
        <is>
          <t>ЕКА</t>
        </is>
      </c>
      <c r="C348" s="402" t="n">
        <v>77766</v>
      </c>
      <c r="D348" s="402" t="inlineStr">
        <is>
          <t>MSK_EKA_140</t>
        </is>
      </c>
      <c r="E348" s="502" t="inlineStr">
        <is>
          <t>реконструкция</t>
        </is>
      </c>
      <c r="F348" s="498" t="n">
        <v>45238</v>
      </c>
    </row>
    <row r="349" hidden="1">
      <c r="A349" s="130" t="inlineStr">
        <is>
          <t>Москва</t>
        </is>
      </c>
      <c r="B349" s="130" t="inlineStr">
        <is>
          <t>ЕКА</t>
        </is>
      </c>
      <c r="C349" s="402" t="n">
        <v>77769</v>
      </c>
      <c r="D349" s="402" t="inlineStr">
        <is>
          <t>MSK_EKA_195</t>
        </is>
      </c>
      <c r="E349" s="502" t="inlineStr">
        <is>
          <t>реконструкция</t>
        </is>
      </c>
      <c r="F349" s="498" t="n">
        <v>45238</v>
      </c>
    </row>
    <row r="350" hidden="1">
      <c r="A350" s="130" t="inlineStr">
        <is>
          <t>Москва</t>
        </is>
      </c>
      <c r="B350" s="130" t="inlineStr">
        <is>
          <t>ЕКА</t>
        </is>
      </c>
      <c r="C350" s="402" t="n">
        <v>50701</v>
      </c>
      <c r="D350" s="402" t="inlineStr">
        <is>
          <t>MSK_EKA_301</t>
        </is>
      </c>
      <c r="E350" s="502" t="inlineStr">
        <is>
          <t>реконструкция</t>
        </is>
      </c>
      <c r="F350" s="498" t="n">
        <v>45238</v>
      </c>
    </row>
    <row r="351" hidden="1">
      <c r="A351" s="130" t="inlineStr">
        <is>
          <t>Москва</t>
        </is>
      </c>
      <c r="B351" s="130" t="inlineStr">
        <is>
          <t>ЕКА</t>
        </is>
      </c>
      <c r="C351" s="402" t="n">
        <v>50706</v>
      </c>
      <c r="D351" s="402" t="inlineStr">
        <is>
          <t>MSK_EKA_306</t>
        </is>
      </c>
      <c r="E351" s="502" t="inlineStr">
        <is>
          <t>реконструкция</t>
        </is>
      </c>
      <c r="F351" s="498" t="n">
        <v>45238</v>
      </c>
    </row>
    <row r="352" hidden="1">
      <c r="A352" s="130" t="inlineStr">
        <is>
          <t>Москва</t>
        </is>
      </c>
      <c r="B352" s="130" t="inlineStr">
        <is>
          <t>ЕКА</t>
        </is>
      </c>
      <c r="C352" s="402" t="n">
        <v>50710</v>
      </c>
      <c r="D352" s="402" t="inlineStr">
        <is>
          <t>MSK_EKA_310</t>
        </is>
      </c>
      <c r="E352" s="502" t="inlineStr">
        <is>
          <t>реконструкция</t>
        </is>
      </c>
      <c r="F352" s="498" t="n">
        <v>45238</v>
      </c>
    </row>
    <row r="353" hidden="1">
      <c r="A353" s="130" t="inlineStr">
        <is>
          <t>Москва</t>
        </is>
      </c>
      <c r="B353" s="130" t="inlineStr">
        <is>
          <t>ЕКА</t>
        </is>
      </c>
      <c r="C353" s="402" t="n">
        <v>77768</v>
      </c>
      <c r="D353" s="402" t="inlineStr">
        <is>
          <t>MSK_EKA_169</t>
        </is>
      </c>
      <c r="E353" s="502" t="inlineStr">
        <is>
          <t>реконструкция</t>
        </is>
      </c>
      <c r="F353" s="498" t="n">
        <v>45238</v>
      </c>
    </row>
    <row r="354" hidden="1">
      <c r="A354" s="130" t="inlineStr">
        <is>
          <t>Москва</t>
        </is>
      </c>
      <c r="B354" s="130" t="inlineStr">
        <is>
          <t>Бизнес центр</t>
        </is>
      </c>
      <c r="C354" s="402" t="inlineStr">
        <is>
          <t>Diamond Hall</t>
        </is>
      </c>
      <c r="D354" s="402" t="inlineStr">
        <is>
          <t>MSK_BC_Diamond_Hall</t>
        </is>
      </c>
      <c r="E354" s="502" t="inlineStr">
        <is>
          <t>Закрытие навсегда</t>
        </is>
      </c>
      <c r="F354" s="498" t="n">
        <v>45239</v>
      </c>
    </row>
    <row r="355" hidden="1">
      <c r="A355" s="130" t="inlineStr">
        <is>
          <t>Алтайский край</t>
        </is>
      </c>
      <c r="B355" s="130" t="inlineStr">
        <is>
          <t>Роснефть</t>
        </is>
      </c>
      <c r="C355" s="402" t="n">
        <v>240</v>
      </c>
      <c r="D355" s="402" t="inlineStr">
        <is>
          <t>BRL_RN_0240</t>
        </is>
      </c>
      <c r="E355" s="502" t="inlineStr">
        <is>
          <t>Добавил</t>
        </is>
      </c>
      <c r="F355" s="498" t="n">
        <v>45243</v>
      </c>
    </row>
    <row r="356" hidden="1">
      <c r="A356" s="130" t="inlineStr">
        <is>
          <t>Алтайский край</t>
        </is>
      </c>
      <c r="B356" s="130" t="inlineStr">
        <is>
          <t>Роснефть</t>
        </is>
      </c>
      <c r="C356" s="402" t="inlineStr">
        <is>
          <t>RN_36</t>
        </is>
      </c>
      <c r="D356" s="402" t="inlineStr">
        <is>
          <t>BRN_RN_0036</t>
        </is>
      </c>
      <c r="E356" s="502" t="inlineStr">
        <is>
          <t>Добавил</t>
        </is>
      </c>
      <c r="F356" s="498" t="n">
        <v>45253</v>
      </c>
    </row>
    <row r="357" hidden="1">
      <c r="A357" s="130" t="inlineStr">
        <is>
          <t>Москва</t>
        </is>
      </c>
      <c r="B357" s="87" t="inlineStr">
        <is>
          <t>Нефтьмагистраль</t>
        </is>
      </c>
      <c r="C357" s="402" t="inlineStr">
        <is>
          <t>О32</t>
        </is>
      </c>
      <c r="D357" s="402" t="inlineStr">
        <is>
          <t>MSK_NM_O_0032</t>
        </is>
      </c>
      <c r="E357" s="502" t="inlineStr">
        <is>
          <t>1 экран</t>
        </is>
      </c>
      <c r="F357" s="498" t="n">
        <v>45253</v>
      </c>
    </row>
    <row r="358" hidden="1">
      <c r="A358" s="130" t="inlineStr">
        <is>
          <t>Москва</t>
        </is>
      </c>
      <c r="B358" s="130" t="inlineStr">
        <is>
          <t>Газпромнефть</t>
        </is>
      </c>
      <c r="C358" s="402" t="n">
        <v>12326</v>
      </c>
      <c r="D358" s="402" t="inlineStr">
        <is>
          <t>GPN_12326</t>
        </is>
      </c>
      <c r="E358" s="502" t="inlineStr">
        <is>
          <t>1 экран</t>
        </is>
      </c>
      <c r="F358" s="498" t="n">
        <v>45253</v>
      </c>
    </row>
    <row r="359" hidden="1">
      <c r="A359" s="130" t="inlineStr">
        <is>
          <t>Калуга</t>
        </is>
      </c>
      <c r="B359" s="130" t="inlineStr">
        <is>
          <t>Роснефть</t>
        </is>
      </c>
      <c r="C359" s="402" t="inlineStr">
        <is>
          <t>TNK_22</t>
        </is>
      </c>
      <c r="D359" s="402" t="inlineStr">
        <is>
          <t>KLG_TNK_022</t>
        </is>
      </c>
      <c r="E359" s="502" t="inlineStr">
        <is>
          <t>Новая АЗС</t>
        </is>
      </c>
      <c r="F359" s="498" t="n">
        <v>45253</v>
      </c>
    </row>
    <row r="360" hidden="1">
      <c r="A360" s="130" t="inlineStr">
        <is>
          <t>Липецк</t>
        </is>
      </c>
      <c r="B360" s="130" t="inlineStr">
        <is>
          <t>Роснефть</t>
        </is>
      </c>
      <c r="C360" s="402" t="inlineStr">
        <is>
          <t>RN_61</t>
        </is>
      </c>
      <c r="D360" s="402" t="inlineStr">
        <is>
          <t>LIP_RN_0061</t>
        </is>
      </c>
      <c r="E360" s="502" t="inlineStr">
        <is>
          <t>Добавил</t>
        </is>
      </c>
      <c r="F360" s="498" t="n">
        <v>45253</v>
      </c>
    </row>
    <row r="361" hidden="1">
      <c r="A361" s="130" t="inlineStr">
        <is>
          <t>Тула</t>
        </is>
      </c>
      <c r="B361" s="130" t="inlineStr">
        <is>
          <t>Роснефть</t>
        </is>
      </c>
      <c r="C361" s="402" t="inlineStr">
        <is>
          <t>RN_64</t>
        </is>
      </c>
      <c r="D361" s="402" t="inlineStr">
        <is>
          <t>TUL_RN_064</t>
        </is>
      </c>
      <c r="E361" s="502" t="inlineStr">
        <is>
          <t>Добавил</t>
        </is>
      </c>
      <c r="F361" s="498" t="n">
        <v>45261</v>
      </c>
    </row>
    <row r="362" hidden="1">
      <c r="A362" s="130" t="inlineStr">
        <is>
          <t>Тула</t>
        </is>
      </c>
      <c r="B362" s="130" t="inlineStr">
        <is>
          <t>Роснефть</t>
        </is>
      </c>
      <c r="C362" s="402" t="inlineStr">
        <is>
          <t>RN_65</t>
        </is>
      </c>
      <c r="D362" s="402" t="inlineStr">
        <is>
          <t>TUL_RN_065</t>
        </is>
      </c>
      <c r="E362" s="502" t="inlineStr">
        <is>
          <t>Добавил</t>
        </is>
      </c>
      <c r="F362" s="498" t="n">
        <v>45261</v>
      </c>
    </row>
    <row r="363" hidden="1">
      <c r="A363" s="130" t="inlineStr">
        <is>
          <t>Москва</t>
        </is>
      </c>
      <c r="B363" s="130" t="inlineStr">
        <is>
          <t>Нефтьмагистраль</t>
        </is>
      </c>
      <c r="C363" s="402" t="inlineStr">
        <is>
          <t>O58</t>
        </is>
      </c>
      <c r="D363" s="402" t="inlineStr">
        <is>
          <t>MSK_NM_O_0058</t>
        </is>
      </c>
      <c r="E363" s="502" t="inlineStr">
        <is>
          <t>Добавил</t>
        </is>
      </c>
      <c r="F363" s="498" t="n">
        <v>45266</v>
      </c>
    </row>
    <row r="364" hidden="1">
      <c r="A364" s="130" t="inlineStr">
        <is>
          <t>Белгорд</t>
        </is>
      </c>
      <c r="B364" s="130" t="inlineStr">
        <is>
          <t>Роснефть</t>
        </is>
      </c>
      <c r="C364" s="402" t="n">
        <v>2</v>
      </c>
      <c r="D364" s="402" t="inlineStr">
        <is>
          <t>BGD_RN_002</t>
        </is>
      </c>
      <c r="E364" s="502" t="inlineStr">
        <is>
          <t>Добавил</t>
        </is>
      </c>
      <c r="F364" s="498" t="n">
        <v>45266</v>
      </c>
    </row>
    <row r="365" hidden="1">
      <c r="A365" s="130" t="inlineStr">
        <is>
          <t>Самара</t>
        </is>
      </c>
      <c r="B365" s="130" t="inlineStr">
        <is>
          <t>Роснефть</t>
        </is>
      </c>
      <c r="C365" s="402" t="inlineStr">
        <is>
          <t>RN_115</t>
        </is>
      </c>
      <c r="D365" s="402" t="inlineStr">
        <is>
          <t>SMR_RN_0115</t>
        </is>
      </c>
      <c r="E365" s="502" t="inlineStr">
        <is>
          <t>реконструкция</t>
        </is>
      </c>
      <c r="F365" s="498" t="n">
        <v>45266</v>
      </c>
    </row>
    <row r="366" hidden="1">
      <c r="A366" s="130" t="inlineStr">
        <is>
          <t>Белгорд</t>
        </is>
      </c>
      <c r="B366" s="130" t="inlineStr">
        <is>
          <t>Роснефть</t>
        </is>
      </c>
      <c r="C366" s="402" t="n">
        <v>48</v>
      </c>
      <c r="D366" s="402" t="inlineStr">
        <is>
          <t>BGD_RN_048</t>
        </is>
      </c>
      <c r="E366" s="502" t="inlineStr">
        <is>
          <t>Добавил</t>
        </is>
      </c>
      <c r="F366" s="498" t="n">
        <v>45267</v>
      </c>
    </row>
    <row r="367" hidden="1">
      <c r="A367" s="130" t="inlineStr">
        <is>
          <t>Самара</t>
        </is>
      </c>
      <c r="B367" s="130" t="inlineStr">
        <is>
          <t>Роснефть</t>
        </is>
      </c>
      <c r="C367" s="402" t="inlineStr">
        <is>
          <t>RN_1</t>
        </is>
      </c>
      <c r="D367" s="402" t="inlineStr">
        <is>
          <t>SMR_RN_0001</t>
        </is>
      </c>
      <c r="E367" s="502" t="inlineStr">
        <is>
          <t>реконструкция</t>
        </is>
      </c>
      <c r="F367" s="498" t="n">
        <v>45272</v>
      </c>
    </row>
    <row r="368" hidden="1">
      <c r="A368" s="130" t="inlineStr">
        <is>
          <t>Самара</t>
        </is>
      </c>
      <c r="B368" s="130" t="inlineStr">
        <is>
          <t>Роснефть</t>
        </is>
      </c>
      <c r="C368" s="402" t="inlineStr">
        <is>
          <t>RN_19</t>
        </is>
      </c>
      <c r="D368" s="402" t="inlineStr">
        <is>
          <t>SMR_RN_0019</t>
        </is>
      </c>
      <c r="E368" s="502" t="inlineStr">
        <is>
          <t>Добавил</t>
        </is>
      </c>
      <c r="F368" s="498" t="n">
        <v>45284</v>
      </c>
    </row>
    <row r="369" hidden="1">
      <c r="A369" s="130" t="inlineStr">
        <is>
          <t>Липецк</t>
        </is>
      </c>
      <c r="B369" s="130" t="inlineStr">
        <is>
          <t>Роснефть</t>
        </is>
      </c>
      <c r="C369" s="402" t="inlineStr">
        <is>
          <t>RN_203</t>
        </is>
      </c>
      <c r="D369" s="402" t="inlineStr">
        <is>
          <t>LIP_RN_0203</t>
        </is>
      </c>
      <c r="E369" s="502" t="inlineStr">
        <is>
          <t>Добавил</t>
        </is>
      </c>
      <c r="F369" s="498" t="n">
        <v>45287</v>
      </c>
    </row>
    <row r="370" hidden="1">
      <c r="A370" s="130" t="inlineStr">
        <is>
          <t>Липецк</t>
        </is>
      </c>
      <c r="B370" s="130" t="inlineStr">
        <is>
          <t>Роснефть</t>
        </is>
      </c>
      <c r="C370" s="402" t="inlineStr">
        <is>
          <t>RN_222</t>
        </is>
      </c>
      <c r="D370" s="402" t="inlineStr">
        <is>
          <t>LIP_RN_0222</t>
        </is>
      </c>
      <c r="E370" s="502" t="inlineStr">
        <is>
          <t>Добавил</t>
        </is>
      </c>
      <c r="F370" s="498" t="n">
        <v>45287</v>
      </c>
    </row>
    <row r="371" hidden="1">
      <c r="A371" s="130" t="inlineStr">
        <is>
          <t>Брянск</t>
        </is>
      </c>
      <c r="B371" s="130" t="inlineStr">
        <is>
          <t>Роснефть</t>
        </is>
      </c>
      <c r="C371" s="402" t="inlineStr">
        <is>
          <t>RN_24</t>
        </is>
      </c>
      <c r="D371" s="402" t="inlineStr">
        <is>
          <t>BRN_RN_0024</t>
        </is>
      </c>
      <c r="E371" s="502" t="inlineStr">
        <is>
          <t>Добавил</t>
        </is>
      </c>
      <c r="F371" s="498" t="n">
        <v>45287</v>
      </c>
    </row>
    <row r="372" hidden="1">
      <c r="A372" s="130" t="inlineStr">
        <is>
          <t>Тверь</t>
        </is>
      </c>
      <c r="B372" s="130" t="inlineStr">
        <is>
          <t>Роснефть</t>
        </is>
      </c>
      <c r="C372" s="402" t="inlineStr">
        <is>
          <t>RN_6</t>
        </is>
      </c>
      <c r="D372" s="402" t="inlineStr">
        <is>
          <t>TVE_RN_0006</t>
        </is>
      </c>
      <c r="E372" s="502" t="inlineStr">
        <is>
          <t>реконструкция</t>
        </is>
      </c>
      <c r="F372" s="498" t="n">
        <v>45300</v>
      </c>
    </row>
    <row r="373" hidden="1">
      <c r="A373" s="130" t="inlineStr">
        <is>
          <t>Санкт-Петербург</t>
        </is>
      </c>
      <c r="B373" s="130" t="inlineStr">
        <is>
          <t>Бизнес центр</t>
        </is>
      </c>
      <c r="C373" s="402" t="inlineStr">
        <is>
          <t>СЕНАТОР Миллионная 5</t>
        </is>
      </c>
      <c r="D373" s="402" t="inlineStr">
        <is>
          <t>SPB_BC_SENATOR_Millionnaya5</t>
        </is>
      </c>
      <c r="E373" s="502" t="inlineStr">
        <is>
          <t>Новый БЦ</t>
        </is>
      </c>
      <c r="F373" s="498" t="n">
        <v>45303</v>
      </c>
    </row>
    <row r="374" hidden="1">
      <c r="A374" s="130" t="inlineStr">
        <is>
          <t>Санкт-Петербург</t>
        </is>
      </c>
      <c r="B374" s="130" t="inlineStr">
        <is>
          <t>Бизнес центр</t>
        </is>
      </c>
      <c r="C374" s="402" t="inlineStr">
        <is>
          <t>СЕНАТОР Миллионная 6</t>
        </is>
      </c>
      <c r="D374" s="402" t="inlineStr">
        <is>
          <t>SPB_BC_SENATOR_Millionnaya6</t>
        </is>
      </c>
      <c r="E374" s="502" t="inlineStr">
        <is>
          <t>Новый БЦ</t>
        </is>
      </c>
      <c r="F374" s="498" t="n">
        <v>45303</v>
      </c>
    </row>
    <row r="375" hidden="1">
      <c r="A375" s="130" t="inlineStr">
        <is>
          <t>Воронеж</t>
        </is>
      </c>
      <c r="B375" s="130" t="inlineStr">
        <is>
          <t>Роснефть</t>
        </is>
      </c>
      <c r="C375" s="637" t="inlineStr">
        <is>
          <t>RN_001</t>
        </is>
      </c>
      <c r="D375" s="637" t="inlineStr">
        <is>
          <t>VRN_RN_0001</t>
        </is>
      </c>
      <c r="E375" s="502" t="inlineStr">
        <is>
          <t>реконструкция</t>
        </is>
      </c>
      <c r="F375" s="498" t="n">
        <v>45303</v>
      </c>
    </row>
    <row r="376" hidden="1">
      <c r="A376" s="130" t="inlineStr">
        <is>
          <t>Воронеж</t>
        </is>
      </c>
      <c r="B376" s="130" t="inlineStr">
        <is>
          <t>Роснефть</t>
        </is>
      </c>
      <c r="C376" s="637" t="inlineStr">
        <is>
          <t>RN_067</t>
        </is>
      </c>
      <c r="D376" s="637" t="inlineStr">
        <is>
          <t>VRN_RN_0067</t>
        </is>
      </c>
      <c r="E376" s="502" t="inlineStr">
        <is>
          <t>реконструкция</t>
        </is>
      </c>
      <c r="F376" s="498" t="n">
        <v>45303</v>
      </c>
    </row>
    <row r="377" hidden="1">
      <c r="A377" s="130" t="inlineStr">
        <is>
          <t>Тамбов</t>
        </is>
      </c>
      <c r="B377" s="130" t="inlineStr">
        <is>
          <t>Роснефть</t>
        </is>
      </c>
      <c r="C377" s="637" t="inlineStr">
        <is>
          <t>RN_168</t>
        </is>
      </c>
      <c r="D377" s="637" t="inlineStr">
        <is>
          <t>TMB_RN_0168</t>
        </is>
      </c>
      <c r="E377" s="560" t="inlineStr">
        <is>
          <t>Добавил</t>
        </is>
      </c>
      <c r="F377" s="498" t="n">
        <v>45309</v>
      </c>
    </row>
    <row r="378" hidden="1">
      <c r="A378" s="130" t="inlineStr">
        <is>
          <t>Тамбов</t>
        </is>
      </c>
      <c r="B378" s="130" t="inlineStr">
        <is>
          <t>Роснефть</t>
        </is>
      </c>
      <c r="C378" s="637" t="inlineStr">
        <is>
          <t>RN_170</t>
        </is>
      </c>
      <c r="D378" s="637" t="inlineStr">
        <is>
          <t>TMB_RN_0170</t>
        </is>
      </c>
      <c r="E378" s="502" t="inlineStr">
        <is>
          <t>Добавил</t>
        </is>
      </c>
      <c r="F378" s="498" t="n">
        <v>45309</v>
      </c>
    </row>
    <row r="379" hidden="1">
      <c r="A379" s="130" t="inlineStr">
        <is>
          <t>Липецк</t>
        </is>
      </c>
      <c r="B379" s="130" t="inlineStr">
        <is>
          <t>Роснефть</t>
        </is>
      </c>
      <c r="C379" s="637" t="inlineStr">
        <is>
          <t>RN_3</t>
        </is>
      </c>
      <c r="D379" s="637" t="inlineStr">
        <is>
          <t>LIP_RN_0003</t>
        </is>
      </c>
      <c r="E379" s="503" t="inlineStr">
        <is>
          <t>2 экрана</t>
        </is>
      </c>
      <c r="F379" s="498" t="n">
        <v>45309</v>
      </c>
    </row>
    <row r="380" hidden="1">
      <c r="A380" s="130" t="inlineStr">
        <is>
          <t>Липецк</t>
        </is>
      </c>
      <c r="B380" s="130" t="inlineStr">
        <is>
          <t>Роснефть</t>
        </is>
      </c>
      <c r="C380" s="637" t="inlineStr">
        <is>
          <t>RN_11</t>
        </is>
      </c>
      <c r="D380" s="637" t="inlineStr">
        <is>
          <t>LIP_RN_0011</t>
        </is>
      </c>
      <c r="E380" s="502" t="inlineStr">
        <is>
          <t>Добавил</t>
        </is>
      </c>
      <c r="F380" s="498" t="n">
        <v>45309</v>
      </c>
    </row>
    <row r="381" hidden="1">
      <c r="A381" s="130" t="inlineStr">
        <is>
          <t>Липецк</t>
        </is>
      </c>
      <c r="B381" s="130" t="inlineStr">
        <is>
          <t>Роснефть</t>
        </is>
      </c>
      <c r="C381" s="637" t="inlineStr">
        <is>
          <t>RN_22</t>
        </is>
      </c>
      <c r="D381" s="637" t="inlineStr">
        <is>
          <t>LIP_RN_0022</t>
        </is>
      </c>
      <c r="E381" s="555" t="inlineStr">
        <is>
          <t>2 экрана</t>
        </is>
      </c>
      <c r="F381" s="498" t="n">
        <v>45309</v>
      </c>
    </row>
    <row r="382" hidden="1">
      <c r="A382" s="130" t="inlineStr">
        <is>
          <t>Липецк</t>
        </is>
      </c>
      <c r="B382" s="130" t="inlineStr">
        <is>
          <t>Роснефть</t>
        </is>
      </c>
      <c r="C382" s="637" t="inlineStr">
        <is>
          <t>RN_28</t>
        </is>
      </c>
      <c r="D382" s="637" t="inlineStr">
        <is>
          <t>LIP_RN_0028</t>
        </is>
      </c>
      <c r="E382" s="502" t="inlineStr">
        <is>
          <t>Добавил</t>
        </is>
      </c>
      <c r="F382" s="498" t="n">
        <v>45309</v>
      </c>
    </row>
    <row r="383" hidden="1">
      <c r="A383" s="130" t="inlineStr">
        <is>
          <t>Липецк</t>
        </is>
      </c>
      <c r="B383" s="130" t="inlineStr">
        <is>
          <t>Роснефть</t>
        </is>
      </c>
      <c r="C383" s="637" t="inlineStr">
        <is>
          <t>RN_60</t>
        </is>
      </c>
      <c r="D383" s="637" t="inlineStr">
        <is>
          <t>LIP_RN_0060</t>
        </is>
      </c>
      <c r="E383" s="502" t="inlineStr">
        <is>
          <t>Добавил</t>
        </is>
      </c>
      <c r="F383" s="498" t="n">
        <v>45309</v>
      </c>
    </row>
    <row r="384" hidden="1">
      <c r="A384" s="130" t="inlineStr">
        <is>
          <t>Липецк</t>
        </is>
      </c>
      <c r="B384" s="130" t="inlineStr">
        <is>
          <t>Роснефть</t>
        </is>
      </c>
      <c r="C384" s="637" t="inlineStr">
        <is>
          <t>RN_92</t>
        </is>
      </c>
      <c r="D384" s="637" t="inlineStr">
        <is>
          <t>LIP_RN_0092</t>
        </is>
      </c>
      <c r="E384" s="502" t="inlineStr">
        <is>
          <t>Добавил</t>
        </is>
      </c>
      <c r="F384" s="498" t="n">
        <v>45309</v>
      </c>
    </row>
    <row r="385" hidden="1">
      <c r="A385" s="130" t="inlineStr">
        <is>
          <t>Тамбов</t>
        </is>
      </c>
      <c r="B385" s="130" t="inlineStr">
        <is>
          <t>Роснефть</t>
        </is>
      </c>
      <c r="C385" s="637" t="inlineStr">
        <is>
          <t>RN_19</t>
        </is>
      </c>
      <c r="D385" s="637" t="inlineStr">
        <is>
          <t>TMB_RN_0019</t>
        </is>
      </c>
      <c r="E385" s="502" t="inlineStr">
        <is>
          <t>Новая АЗС</t>
        </is>
      </c>
      <c r="F385" s="498" t="n">
        <v>45309</v>
      </c>
    </row>
    <row r="386" hidden="1">
      <c r="A386" s="130" t="inlineStr">
        <is>
          <t>Пенза</t>
        </is>
      </c>
      <c r="B386" s="130" t="inlineStr">
        <is>
          <t>Роснефть</t>
        </is>
      </c>
      <c r="C386" s="637" t="inlineStr">
        <is>
          <t>RN_1</t>
        </is>
      </c>
      <c r="D386" s="637" t="inlineStr">
        <is>
          <t>PNZ_RN_0001</t>
        </is>
      </c>
      <c r="E386" s="502" t="inlineStr">
        <is>
          <t>реконструкция</t>
        </is>
      </c>
      <c r="F386" s="498" t="n">
        <v>45309</v>
      </c>
    </row>
    <row r="387" hidden="1">
      <c r="A387" s="130" t="inlineStr">
        <is>
          <t>Пенза</t>
        </is>
      </c>
      <c r="B387" s="130" t="inlineStr">
        <is>
          <t>Роснефть</t>
        </is>
      </c>
      <c r="C387" s="637" t="inlineStr">
        <is>
          <t>RN_3</t>
        </is>
      </c>
      <c r="D387" s="637" t="inlineStr">
        <is>
          <t>PNZ_RN_0003</t>
        </is>
      </c>
      <c r="E387" s="502" t="inlineStr">
        <is>
          <t>реконструкция</t>
        </is>
      </c>
      <c r="F387" s="498" t="n">
        <v>45309</v>
      </c>
    </row>
    <row r="388" hidden="1">
      <c r="A388" s="130" t="inlineStr">
        <is>
          <t>Пенза</t>
        </is>
      </c>
      <c r="B388" s="130" t="inlineStr">
        <is>
          <t>Роснефть</t>
        </is>
      </c>
      <c r="C388" s="637" t="inlineStr">
        <is>
          <t>RN_22</t>
        </is>
      </c>
      <c r="D388" s="637" t="inlineStr">
        <is>
          <t>PNZ_RN_0022</t>
        </is>
      </c>
      <c r="E388" s="502" t="inlineStr">
        <is>
          <t>реконструкция</t>
        </is>
      </c>
      <c r="F388" s="498" t="n">
        <v>45309</v>
      </c>
    </row>
    <row r="389" hidden="1">
      <c r="A389" s="130" t="inlineStr">
        <is>
          <t>Пенза</t>
        </is>
      </c>
      <c r="B389" s="130" t="inlineStr">
        <is>
          <t>Роснефть</t>
        </is>
      </c>
      <c r="C389" s="637" t="inlineStr">
        <is>
          <t>RN_39</t>
        </is>
      </c>
      <c r="D389" s="637" t="inlineStr">
        <is>
          <t>PNZ_RN_0039</t>
        </is>
      </c>
      <c r="E389" s="502" t="inlineStr">
        <is>
          <t>реконструкция</t>
        </is>
      </c>
      <c r="F389" s="498" t="n">
        <v>45309</v>
      </c>
    </row>
    <row r="390" hidden="1">
      <c r="A390" s="130" t="inlineStr">
        <is>
          <t>Пенза</t>
        </is>
      </c>
      <c r="B390" s="130" t="inlineStr">
        <is>
          <t>Роснефть</t>
        </is>
      </c>
      <c r="C390" s="637" t="inlineStr">
        <is>
          <t>RN_89</t>
        </is>
      </c>
      <c r="D390" s="637" t="inlineStr">
        <is>
          <t>PNZ_RN_0089</t>
        </is>
      </c>
      <c r="E390" s="502" t="inlineStr">
        <is>
          <t>реконструкция</t>
        </is>
      </c>
      <c r="F390" s="498" t="n">
        <v>45309</v>
      </c>
    </row>
    <row r="391" hidden="1">
      <c r="A391" s="130" t="inlineStr">
        <is>
          <t>Пенза</t>
        </is>
      </c>
      <c r="B391" s="130" t="inlineStr">
        <is>
          <t>Роснефть</t>
        </is>
      </c>
      <c r="C391" s="637" t="inlineStr">
        <is>
          <t>RN_98</t>
        </is>
      </c>
      <c r="D391" s="441" t="inlineStr">
        <is>
          <t>PNZ_RN_0098</t>
        </is>
      </c>
      <c r="E391" s="502" t="inlineStr">
        <is>
          <t>реконструкция</t>
        </is>
      </c>
      <c r="F391" s="498" t="n">
        <v>45309</v>
      </c>
    </row>
    <row r="392" hidden="1">
      <c r="A392" s="130" t="inlineStr">
        <is>
          <t>Пенза</t>
        </is>
      </c>
      <c r="B392" s="130" t="inlineStr">
        <is>
          <t>Роснефть</t>
        </is>
      </c>
      <c r="C392" s="637" t="inlineStr">
        <is>
          <t>RN_94</t>
        </is>
      </c>
      <c r="D392" s="637" t="inlineStr">
        <is>
          <t>PNZ_RN_0094</t>
        </is>
      </c>
      <c r="E392" s="502" t="inlineStr">
        <is>
          <t>реконструкция</t>
        </is>
      </c>
      <c r="F392" s="498" t="n">
        <v>45309</v>
      </c>
    </row>
    <row r="393" hidden="1">
      <c r="A393" s="130" t="inlineStr">
        <is>
          <t>Пенза</t>
        </is>
      </c>
      <c r="B393" s="130" t="inlineStr">
        <is>
          <t>Роснефть</t>
        </is>
      </c>
      <c r="C393" s="637" t="inlineStr">
        <is>
          <t>RN_108</t>
        </is>
      </c>
      <c r="D393" s="637" t="inlineStr">
        <is>
          <t>PNZ_RN_0108</t>
        </is>
      </c>
      <c r="E393" s="555" t="inlineStr">
        <is>
          <t>2 экрана</t>
        </is>
      </c>
      <c r="F393" s="498" t="n">
        <v>45309</v>
      </c>
    </row>
    <row r="394" hidden="1">
      <c r="A394" s="130" t="inlineStr">
        <is>
          <t>Ростов-на-Дону</t>
        </is>
      </c>
      <c r="B394" s="130" t="inlineStr">
        <is>
          <t>Роснефть</t>
        </is>
      </c>
      <c r="C394" s="637" t="n">
        <v>5</v>
      </c>
      <c r="D394" s="637" t="inlineStr">
        <is>
          <t>RND_RN_0005</t>
        </is>
      </c>
      <c r="E394" s="502" t="inlineStr">
        <is>
          <t>Новая АЗС</t>
        </is>
      </c>
      <c r="F394" s="498" t="n">
        <v>45309</v>
      </c>
    </row>
    <row r="395" hidden="1">
      <c r="A395" s="130" t="inlineStr">
        <is>
          <t>Ростов-на-Дону</t>
        </is>
      </c>
      <c r="B395" s="130" t="inlineStr">
        <is>
          <t>Роснефть</t>
        </is>
      </c>
      <c r="C395" s="637" t="n">
        <v>58</v>
      </c>
      <c r="D395" s="637" t="inlineStr">
        <is>
          <t>RND_RN_0058</t>
        </is>
      </c>
      <c r="E395" s="502" t="inlineStr">
        <is>
          <t>Добавил</t>
        </is>
      </c>
      <c r="F395" s="498" t="n">
        <v>45309</v>
      </c>
    </row>
    <row r="396" hidden="1">
      <c r="A396" s="130" t="inlineStr">
        <is>
          <t>Ростов-на-Дону</t>
        </is>
      </c>
      <c r="B396" s="130" t="inlineStr">
        <is>
          <t>Роснефть</t>
        </is>
      </c>
      <c r="C396" s="637" t="n">
        <v>80</v>
      </c>
      <c r="D396" s="637" t="inlineStr">
        <is>
          <t>RND_RN_0080</t>
        </is>
      </c>
      <c r="E396" s="502" t="inlineStr">
        <is>
          <t>Добавил</t>
        </is>
      </c>
      <c r="F396" s="498" t="n">
        <v>45309</v>
      </c>
    </row>
    <row r="397" hidden="1">
      <c r="A397" s="130" t="inlineStr">
        <is>
          <t>Ростов-на-Дону</t>
        </is>
      </c>
      <c r="B397" s="130" t="inlineStr">
        <is>
          <t>Роснефть</t>
        </is>
      </c>
      <c r="C397" s="637" t="n">
        <v>99</v>
      </c>
      <c r="D397" s="637" t="inlineStr">
        <is>
          <t>RND_RN_0099</t>
        </is>
      </c>
      <c r="E397" s="502" t="inlineStr">
        <is>
          <t>Добавил</t>
        </is>
      </c>
      <c r="F397" s="498" t="n">
        <v>45309</v>
      </c>
    </row>
    <row r="398" hidden="1">
      <c r="A398" s="130" t="inlineStr">
        <is>
          <t>Ростов-на-Дону</t>
        </is>
      </c>
      <c r="B398" s="130" t="inlineStr">
        <is>
          <t>Роснефть</t>
        </is>
      </c>
      <c r="C398" s="637" t="n">
        <v>109</v>
      </c>
      <c r="D398" s="637" t="inlineStr">
        <is>
          <t>RND_RN_0109</t>
        </is>
      </c>
      <c r="E398" s="502" t="inlineStr">
        <is>
          <t>Добавил</t>
        </is>
      </c>
      <c r="F398" s="498" t="n">
        <v>45309</v>
      </c>
    </row>
    <row r="399" hidden="1">
      <c r="A399" s="130" t="inlineStr">
        <is>
          <t>Ростов-на-Дону</t>
        </is>
      </c>
      <c r="B399" s="130" t="inlineStr">
        <is>
          <t>Роснефть</t>
        </is>
      </c>
      <c r="C399" s="637" t="n">
        <v>112</v>
      </c>
      <c r="D399" s="637" t="inlineStr">
        <is>
          <t>RND_RN_0112</t>
        </is>
      </c>
      <c r="E399" s="502" t="inlineStr">
        <is>
          <t>Добавил</t>
        </is>
      </c>
      <c r="F399" s="498" t="n">
        <v>45309</v>
      </c>
    </row>
    <row r="400" hidden="1">
      <c r="A400" s="130" t="inlineStr">
        <is>
          <t>Ростов-на-Дону</t>
        </is>
      </c>
      <c r="B400" s="130" t="inlineStr">
        <is>
          <t>Роснефть</t>
        </is>
      </c>
      <c r="C400" s="637" t="n">
        <v>116</v>
      </c>
      <c r="D400" s="637" t="inlineStr">
        <is>
          <t>RND_RN_0116</t>
        </is>
      </c>
      <c r="E400" s="502" t="inlineStr">
        <is>
          <t>Добавил</t>
        </is>
      </c>
      <c r="F400" s="498" t="n">
        <v>45309</v>
      </c>
    </row>
    <row r="401" hidden="1">
      <c r="A401" s="130" t="inlineStr">
        <is>
          <t>Брянск</t>
        </is>
      </c>
      <c r="B401" s="130" t="inlineStr">
        <is>
          <t>Роснефть</t>
        </is>
      </c>
      <c r="C401" s="637" t="inlineStr">
        <is>
          <t>RN_3</t>
        </is>
      </c>
      <c r="D401" s="637" t="inlineStr">
        <is>
          <t>BRN_RN_0003</t>
        </is>
      </c>
      <c r="E401" s="502" t="inlineStr">
        <is>
          <t>Добавил</t>
        </is>
      </c>
      <c r="F401" s="498" t="n">
        <v>45309</v>
      </c>
    </row>
    <row r="402" hidden="1">
      <c r="A402" s="130" t="inlineStr">
        <is>
          <t>Брянск</t>
        </is>
      </c>
      <c r="B402" s="130" t="inlineStr">
        <is>
          <t>Роснефть</t>
        </is>
      </c>
      <c r="C402" s="637" t="inlineStr">
        <is>
          <t>RN_5</t>
        </is>
      </c>
      <c r="D402" s="637" t="inlineStr">
        <is>
          <t>BRN_RN_0005</t>
        </is>
      </c>
      <c r="E402" s="502" t="inlineStr">
        <is>
          <t>Добавил</t>
        </is>
      </c>
      <c r="F402" s="498" t="n">
        <v>45309</v>
      </c>
    </row>
    <row r="403" hidden="1">
      <c r="A403" s="130" t="inlineStr">
        <is>
          <t>Брянск</t>
        </is>
      </c>
      <c r="B403" s="130" t="inlineStr">
        <is>
          <t>Роснефть</t>
        </is>
      </c>
      <c r="C403" s="637" t="inlineStr">
        <is>
          <t>RN_7</t>
        </is>
      </c>
      <c r="D403" s="637" t="inlineStr">
        <is>
          <t>BRN_RN_0007</t>
        </is>
      </c>
      <c r="E403" s="502" t="inlineStr">
        <is>
          <t>Добавил</t>
        </is>
      </c>
      <c r="F403" s="498" t="n">
        <v>45309</v>
      </c>
    </row>
    <row r="404" hidden="1">
      <c r="A404" s="130" t="inlineStr">
        <is>
          <t>Алтайский край</t>
        </is>
      </c>
      <c r="B404" s="130" t="inlineStr">
        <is>
          <t>Роснефть</t>
        </is>
      </c>
      <c r="C404" s="637" t="n">
        <v>5</v>
      </c>
      <c r="D404" s="637" t="inlineStr">
        <is>
          <t>BRL_RN_0005</t>
        </is>
      </c>
      <c r="E404" s="502" t="inlineStr">
        <is>
          <t>Добавил</t>
        </is>
      </c>
      <c r="F404" s="498" t="n">
        <v>45309</v>
      </c>
    </row>
    <row r="405" hidden="1">
      <c r="A405" s="130" t="inlineStr">
        <is>
          <t>Краснодар</t>
        </is>
      </c>
      <c r="B405" s="130" t="inlineStr">
        <is>
          <t>Роснефть</t>
        </is>
      </c>
      <c r="C405" s="637" t="inlineStr">
        <is>
          <t>RN_94</t>
        </is>
      </c>
      <c r="D405" s="637" t="inlineStr">
        <is>
          <t>KDR_RN_0094</t>
        </is>
      </c>
      <c r="E405" s="502" t="inlineStr">
        <is>
          <t>Добавил</t>
        </is>
      </c>
      <c r="F405" s="498" t="n">
        <v>45309</v>
      </c>
    </row>
    <row r="406" hidden="1">
      <c r="A406" s="130" t="inlineStr">
        <is>
          <t>Краснодар</t>
        </is>
      </c>
      <c r="B406" s="130" t="inlineStr">
        <is>
          <t>Роснефть</t>
        </is>
      </c>
      <c r="C406" s="637" t="inlineStr">
        <is>
          <t>RN_104/1</t>
        </is>
      </c>
      <c r="D406" s="637" t="inlineStr">
        <is>
          <t>KDR_RN_0104_1</t>
        </is>
      </c>
      <c r="E406" s="502" t="inlineStr">
        <is>
          <t>Добавил</t>
        </is>
      </c>
      <c r="F406" s="498" t="n">
        <v>45309</v>
      </c>
    </row>
    <row r="407" hidden="1">
      <c r="A407" s="130" t="inlineStr">
        <is>
          <t>Краснодар</t>
        </is>
      </c>
      <c r="B407" s="130" t="inlineStr">
        <is>
          <t>Роснефть</t>
        </is>
      </c>
      <c r="C407" s="637" t="inlineStr">
        <is>
          <t>RN_153</t>
        </is>
      </c>
      <c r="D407" s="637" t="inlineStr">
        <is>
          <t>KDR_RN_0153</t>
        </is>
      </c>
      <c r="E407" s="502" t="inlineStr">
        <is>
          <t>Добавил</t>
        </is>
      </c>
      <c r="F407" s="498" t="n">
        <v>45309</v>
      </c>
    </row>
    <row r="408" hidden="1">
      <c r="A408" s="130" t="inlineStr">
        <is>
          <t>Москва</t>
        </is>
      </c>
      <c r="B408" s="130" t="inlineStr">
        <is>
          <t>Бизнес центр</t>
        </is>
      </c>
      <c r="C408" s="637" t="inlineStr">
        <is>
          <t>КУБ</t>
        </is>
      </c>
      <c r="D408" s="637" t="inlineStr">
        <is>
          <t>MSK_BC_KUB</t>
        </is>
      </c>
      <c r="E408" s="502" t="inlineStr">
        <is>
          <t>Убрал</t>
        </is>
      </c>
      <c r="F408" s="498" t="n">
        <v>45315</v>
      </c>
    </row>
    <row r="409" hidden="1">
      <c r="A409" s="130" t="inlineStr">
        <is>
          <t>Москва</t>
        </is>
      </c>
      <c r="B409" s="130" t="inlineStr">
        <is>
          <t>Бизнес центр</t>
        </is>
      </c>
      <c r="C409" s="637" t="inlineStr">
        <is>
          <t>Лубянский</t>
        </is>
      </c>
      <c r="D409" s="637" t="inlineStr">
        <is>
          <t>MSK_BC_Lubyanskiy</t>
        </is>
      </c>
      <c r="E409" s="502" t="inlineStr">
        <is>
          <t>1 экран</t>
        </is>
      </c>
      <c r="F409" s="498" t="n">
        <v>45315</v>
      </c>
    </row>
    <row r="410" hidden="1">
      <c r="A410" s="130" t="inlineStr">
        <is>
          <t>Москва</t>
        </is>
      </c>
      <c r="B410" s="130" t="inlineStr">
        <is>
          <t>Бизнес центр</t>
        </is>
      </c>
      <c r="C410" s="637" t="inlineStr">
        <is>
          <t>West plaza 2</t>
        </is>
      </c>
      <c r="D410" s="637" t="inlineStr">
        <is>
          <t>MSK_BC_West_Plaza_2</t>
        </is>
      </c>
      <c r="E410" s="502" t="inlineStr">
        <is>
          <t>Убрал</t>
        </is>
      </c>
      <c r="F410" s="498" t="n">
        <v>45315</v>
      </c>
    </row>
    <row r="411" hidden="1">
      <c r="A411" s="130" t="inlineStr">
        <is>
          <t>Ярославль</t>
        </is>
      </c>
      <c r="B411" s="130" t="inlineStr">
        <is>
          <t>Газпромнефть</t>
        </is>
      </c>
      <c r="C411" s="637" t="n">
        <v>13108</v>
      </c>
      <c r="D411" s="637" t="inlineStr">
        <is>
          <t>GPN_13108</t>
        </is>
      </c>
      <c r="E411" s="502" t="inlineStr">
        <is>
          <t>максимум 5 экранов</t>
        </is>
      </c>
      <c r="F411" s="498" t="n">
        <v>45315</v>
      </c>
    </row>
    <row r="412" hidden="1">
      <c r="A412" s="130" t="inlineStr">
        <is>
          <t>Москва</t>
        </is>
      </c>
      <c r="B412" s="130" t="inlineStr">
        <is>
          <t>Газпромнефть</t>
        </is>
      </c>
      <c r="C412" s="637" t="n">
        <v>11145</v>
      </c>
      <c r="D412" s="637" t="inlineStr">
        <is>
          <t>GPN_11145</t>
        </is>
      </c>
      <c r="E412" s="502" t="inlineStr">
        <is>
          <t>максимум 5 экранов</t>
        </is>
      </c>
      <c r="F412" s="498" t="n">
        <v>45315</v>
      </c>
    </row>
    <row r="413" hidden="1">
      <c r="A413" s="130" t="inlineStr">
        <is>
          <t>Москва</t>
        </is>
      </c>
      <c r="B413" s="130" t="inlineStr">
        <is>
          <t>Газпромнефть</t>
        </is>
      </c>
      <c r="C413" s="637" t="n">
        <v>12191</v>
      </c>
      <c r="D413" s="637" t="inlineStr">
        <is>
          <t>GPN_11191</t>
        </is>
      </c>
      <c r="E413" s="502" t="inlineStr">
        <is>
          <t>максимум 5 экранов</t>
        </is>
      </c>
      <c r="F413" s="498" t="n">
        <v>45315</v>
      </c>
    </row>
    <row r="414" hidden="1">
      <c r="A414" s="130" t="inlineStr">
        <is>
          <t>Санкт-Петербург</t>
        </is>
      </c>
      <c r="B414" s="130" t="inlineStr">
        <is>
          <t>Газпромнефть</t>
        </is>
      </c>
      <c r="C414" s="637" t="n">
        <v>10055</v>
      </c>
      <c r="D414" s="637" t="inlineStr">
        <is>
          <t>GPN_10055</t>
        </is>
      </c>
      <c r="E414" s="502" t="inlineStr">
        <is>
          <t>максимум 5 экранов</t>
        </is>
      </c>
      <c r="F414" s="498" t="n">
        <v>45315</v>
      </c>
    </row>
    <row r="415" hidden="1">
      <c r="A415" s="130" t="inlineStr">
        <is>
          <t>Санкт-Петербург</t>
        </is>
      </c>
      <c r="B415" s="130" t="inlineStr">
        <is>
          <t>Газпромнефть</t>
        </is>
      </c>
      <c r="C415" s="637" t="n">
        <v>10060</v>
      </c>
      <c r="D415" s="637" t="inlineStr">
        <is>
          <t>GPN_10060</t>
        </is>
      </c>
      <c r="E415" s="502" t="inlineStr">
        <is>
          <t>максимум 5 экранов</t>
        </is>
      </c>
      <c r="F415" s="498" t="n">
        <v>45315</v>
      </c>
    </row>
    <row r="416" hidden="1">
      <c r="A416" s="130" t="inlineStr">
        <is>
          <t>Челябинск</t>
        </is>
      </c>
      <c r="B416" s="130" t="inlineStr">
        <is>
          <t>Газпромнефть</t>
        </is>
      </c>
      <c r="C416" s="637" t="n">
        <v>22221</v>
      </c>
      <c r="D416" s="637" t="inlineStr">
        <is>
          <t>GPN_22221</t>
        </is>
      </c>
      <c r="E416" s="502" t="inlineStr">
        <is>
          <t>максимум 5 экранов</t>
        </is>
      </c>
      <c r="F416" s="498" t="n">
        <v>45315</v>
      </c>
    </row>
    <row r="417" hidden="1">
      <c r="A417" s="130" t="inlineStr">
        <is>
          <t>Челябинск</t>
        </is>
      </c>
      <c r="B417" s="130" t="inlineStr">
        <is>
          <t>Газпромнефть</t>
        </is>
      </c>
      <c r="C417" s="637" t="n">
        <v>22230</v>
      </c>
      <c r="D417" s="637" t="inlineStr">
        <is>
          <t>GPN_22230</t>
        </is>
      </c>
      <c r="E417" s="502" t="inlineStr">
        <is>
          <t>максимум 5 экранов</t>
        </is>
      </c>
      <c r="F417" s="498" t="n">
        <v>45315</v>
      </c>
    </row>
    <row r="418" hidden="1">
      <c r="A418" s="416" t="inlineStr">
        <is>
          <t>Приволжье (Нижний Новгород, Казань)</t>
        </is>
      </c>
      <c r="B418" s="130" t="inlineStr">
        <is>
          <t>Газпромнефть</t>
        </is>
      </c>
      <c r="C418" s="637" t="n">
        <v>14213</v>
      </c>
      <c r="D418" s="637" t="inlineStr">
        <is>
          <t>GPN_14213</t>
        </is>
      </c>
      <c r="E418" s="502" t="inlineStr">
        <is>
          <t>максимум 5 экранов</t>
        </is>
      </c>
      <c r="F418" s="498" t="n">
        <v>45315</v>
      </c>
    </row>
    <row r="419" hidden="1">
      <c r="A419" s="130" t="inlineStr">
        <is>
          <t>Москва</t>
        </is>
      </c>
      <c r="B419" s="130" t="inlineStr">
        <is>
          <t>Газпромнефть</t>
        </is>
      </c>
      <c r="C419" s="637" t="n">
        <v>11093</v>
      </c>
      <c r="D419" s="637" t="inlineStr">
        <is>
          <t>GPN_11093</t>
        </is>
      </c>
      <c r="E419" s="502" t="inlineStr">
        <is>
          <t>максимум 5 экранов</t>
        </is>
      </c>
      <c r="F419" s="498" t="n">
        <v>45315</v>
      </c>
    </row>
    <row r="420" hidden="1" ht="31.8" customHeight="1">
      <c r="A420" s="416" t="inlineStr">
        <is>
          <t>ЦФО (Калуга, Тула, Тверь, Рязань,Смоленск,Владимир,Воронеж, Ярославль)</t>
        </is>
      </c>
      <c r="B420" s="130" t="inlineStr">
        <is>
          <t>Газпромнефть</t>
        </is>
      </c>
      <c r="C420" s="637" t="n">
        <v>12035</v>
      </c>
      <c r="D420" s="637" t="inlineStr">
        <is>
          <t>GPN_12035</t>
        </is>
      </c>
      <c r="E420" s="502" t="inlineStr">
        <is>
          <t>Новая АЗС</t>
        </is>
      </c>
      <c r="F420" s="498" t="n">
        <v>45315</v>
      </c>
    </row>
    <row r="421" hidden="1" ht="31.8" customHeight="1">
      <c r="A421" s="416" t="inlineStr">
        <is>
          <t>ЦФО (Калуга, Тула, Тверь, Рязань,Смоленск,Владимир,Воронеж, Ярославль)</t>
        </is>
      </c>
      <c r="B421" s="130" t="inlineStr">
        <is>
          <t>Газпромнефть</t>
        </is>
      </c>
      <c r="C421" s="637" t="n">
        <v>12068</v>
      </c>
      <c r="D421" s="637" t="inlineStr">
        <is>
          <t>GPN_12068</t>
        </is>
      </c>
      <c r="E421" s="502" t="inlineStr">
        <is>
          <t>Новая АЗС</t>
        </is>
      </c>
      <c r="F421" s="498" t="n">
        <v>45315</v>
      </c>
    </row>
    <row r="422" hidden="1">
      <c r="A422" s="130" t="inlineStr">
        <is>
          <t>Санкт-Петербург</t>
        </is>
      </c>
      <c r="B422" s="130" t="inlineStr">
        <is>
          <t>Газпромнефть</t>
        </is>
      </c>
      <c r="C422" s="637" t="n">
        <v>10150</v>
      </c>
      <c r="D422" s="637" t="inlineStr">
        <is>
          <t>GPN_10150</t>
        </is>
      </c>
      <c r="E422" s="502" t="inlineStr">
        <is>
          <t>Новая АЗС</t>
        </is>
      </c>
      <c r="F422" s="498" t="n">
        <v>45315</v>
      </c>
    </row>
    <row r="423" hidden="1">
      <c r="A423" s="130" t="inlineStr">
        <is>
          <t>Ульяновск</t>
        </is>
      </c>
      <c r="B423" s="130" t="inlineStr">
        <is>
          <t>Роснефть</t>
        </is>
      </c>
      <c r="C423" s="637" t="inlineStr">
        <is>
          <t>RN_17</t>
        </is>
      </c>
      <c r="D423" s="637" t="inlineStr">
        <is>
          <t>ULN_RN_0017</t>
        </is>
      </c>
      <c r="E423" s="502" t="inlineStr">
        <is>
          <t>Добавил</t>
        </is>
      </c>
      <c r="F423" s="498" t="n">
        <v>45315</v>
      </c>
    </row>
    <row r="424" hidden="1">
      <c r="A424" s="130" t="inlineStr">
        <is>
          <t>Ульяновск</t>
        </is>
      </c>
      <c r="B424" s="130" t="inlineStr">
        <is>
          <t>Роснефть</t>
        </is>
      </c>
      <c r="C424" s="637" t="inlineStr">
        <is>
          <t>RN_15</t>
        </is>
      </c>
      <c r="D424" s="637" t="inlineStr">
        <is>
          <t>ULN_RN_0015</t>
        </is>
      </c>
      <c r="E424" s="502" t="inlineStr">
        <is>
          <t>Добавил</t>
        </is>
      </c>
      <c r="F424" s="498" t="n">
        <v>45315</v>
      </c>
    </row>
    <row r="425" hidden="1">
      <c r="A425" s="130" t="inlineStr">
        <is>
          <t>Самара</t>
        </is>
      </c>
      <c r="B425" s="130" t="inlineStr">
        <is>
          <t>Роснефть</t>
        </is>
      </c>
      <c r="C425" s="637" t="inlineStr">
        <is>
          <t>RN_74</t>
        </is>
      </c>
      <c r="D425" s="637" t="inlineStr">
        <is>
          <t>SMR_RN_0074</t>
        </is>
      </c>
      <c r="E425" s="502" t="inlineStr">
        <is>
          <t>Добавил</t>
        </is>
      </c>
      <c r="F425" s="498" t="n">
        <v>45315</v>
      </c>
    </row>
    <row r="426" hidden="1">
      <c r="A426" s="130" t="inlineStr">
        <is>
          <t>Алтайский край</t>
        </is>
      </c>
      <c r="B426" s="125" t="inlineStr">
        <is>
          <t>Роснефть</t>
        </is>
      </c>
      <c r="C426" s="637" t="n">
        <v>242</v>
      </c>
      <c r="D426" s="637" t="inlineStr">
        <is>
          <t>BRL_RN_0242</t>
        </is>
      </c>
      <c r="E426" s="502" t="inlineStr">
        <is>
          <t>Добавил</t>
        </is>
      </c>
      <c r="F426" s="498" t="n">
        <v>45315</v>
      </c>
    </row>
    <row r="427" hidden="1">
      <c r="A427" s="130" t="inlineStr">
        <is>
          <t>Алтайский край</t>
        </is>
      </c>
      <c r="B427" s="125" t="inlineStr">
        <is>
          <t>Роснефть</t>
        </is>
      </c>
      <c r="C427" s="637" t="n">
        <v>241</v>
      </c>
      <c r="D427" s="637" t="inlineStr">
        <is>
          <t>BRL_RN_0241</t>
        </is>
      </c>
      <c r="E427" s="502" t="inlineStr">
        <is>
          <t>Добавил</t>
        </is>
      </c>
      <c r="F427" s="498" t="n">
        <v>45315</v>
      </c>
    </row>
    <row r="428" hidden="1">
      <c r="A428" s="130" t="inlineStr">
        <is>
          <t>Москва</t>
        </is>
      </c>
      <c r="B428" s="845" t="inlineStr">
        <is>
          <t>ТРЦ</t>
        </is>
      </c>
      <c r="C428" s="637" t="inlineStr">
        <is>
          <t xml:space="preserve">Афимолл Сити </t>
        </is>
      </c>
      <c r="D428" s="637" t="inlineStr">
        <is>
          <t>MSK_TRC_Afimoll_Siti_1</t>
        </is>
      </c>
      <c r="E428" s="502" t="inlineStr">
        <is>
          <t>Демонтаж</t>
        </is>
      </c>
      <c r="F428" s="498" t="n">
        <v>45324</v>
      </c>
    </row>
    <row r="429" hidden="1">
      <c r="A429" s="130" t="inlineStr">
        <is>
          <t>Москва</t>
        </is>
      </c>
      <c r="B429" s="559" t="inlineStr">
        <is>
          <t>ТРЦ</t>
        </is>
      </c>
      <c r="C429" s="637" t="inlineStr">
        <is>
          <t xml:space="preserve">Афимолл Сити </t>
        </is>
      </c>
      <c r="D429" s="637" t="inlineStr">
        <is>
          <t>MSK_TRC_Afimoll_Siti_2</t>
        </is>
      </c>
      <c r="E429" s="502" t="inlineStr">
        <is>
          <t>Демонтаж</t>
        </is>
      </c>
      <c r="F429" s="498" t="n">
        <v>45324</v>
      </c>
    </row>
    <row r="430" hidden="1">
      <c r="A430" s="130" t="inlineStr">
        <is>
          <t>Москва</t>
        </is>
      </c>
      <c r="B430" s="130" t="inlineStr">
        <is>
          <t>Лукойл (ЕКА)</t>
        </is>
      </c>
      <c r="C430" s="637" t="n">
        <v>77714</v>
      </c>
      <c r="D430" s="637" t="inlineStr">
        <is>
          <t>MSK_EKA_014</t>
        </is>
      </c>
      <c r="E430" s="502" t="inlineStr">
        <is>
          <t>Добавил</t>
        </is>
      </c>
      <c r="F430" s="498" t="n">
        <v>45324</v>
      </c>
    </row>
    <row r="431" hidden="1">
      <c r="A431" s="130" t="inlineStr">
        <is>
          <t>Москва</t>
        </is>
      </c>
      <c r="B431" s="130" t="inlineStr">
        <is>
          <t>Лукойл (ЕКА)</t>
        </is>
      </c>
      <c r="C431" s="637" t="n">
        <v>77767</v>
      </c>
      <c r="D431" s="637" t="inlineStr">
        <is>
          <t>MSK_EKA_150</t>
        </is>
      </c>
      <c r="E431" s="502" t="inlineStr">
        <is>
          <t>Добавил</t>
        </is>
      </c>
      <c r="F431" s="498" t="n">
        <v>45324</v>
      </c>
    </row>
    <row r="432" hidden="1">
      <c r="A432" s="130" t="inlineStr">
        <is>
          <t>Москва</t>
        </is>
      </c>
      <c r="B432" s="130" t="inlineStr">
        <is>
          <t>Роснефть</t>
        </is>
      </c>
      <c r="C432" s="637" t="inlineStr">
        <is>
          <t>Новокосино</t>
        </is>
      </c>
      <c r="D432" s="637" t="inlineStr">
        <is>
          <t>MSK_BP_Novokosino</t>
        </is>
      </c>
      <c r="E432" s="502" t="inlineStr">
        <is>
          <t>Добавил</t>
        </is>
      </c>
      <c r="F432" s="498" t="n">
        <v>45324</v>
      </c>
    </row>
    <row r="433" hidden="1">
      <c r="A433" s="130" t="inlineStr">
        <is>
          <t>Москва</t>
        </is>
      </c>
      <c r="B433" s="130" t="inlineStr">
        <is>
          <t>Роснефть</t>
        </is>
      </c>
      <c r="C433" s="637" t="inlineStr">
        <is>
          <t>Владимирская</t>
        </is>
      </c>
      <c r="D433" s="637" t="inlineStr">
        <is>
          <t>MSK_BP_Vladimirskaya</t>
        </is>
      </c>
      <c r="E433" s="502" t="inlineStr">
        <is>
          <t>Добавил</t>
        </is>
      </c>
      <c r="F433" s="498" t="n">
        <v>45324</v>
      </c>
    </row>
    <row r="434" hidden="1">
      <c r="A434" s="130" t="inlineStr">
        <is>
          <t>Москва</t>
        </is>
      </c>
      <c r="B434" s="130" t="inlineStr">
        <is>
          <t>Роснефть</t>
        </is>
      </c>
      <c r="C434" s="637" t="inlineStr">
        <is>
          <t>Мытищи</t>
        </is>
      </c>
      <c r="D434" s="637" t="inlineStr">
        <is>
          <t>MSK_BP_Mytishi</t>
        </is>
      </c>
      <c r="E434" s="502" t="inlineStr">
        <is>
          <t>Добавил</t>
        </is>
      </c>
      <c r="F434" s="498" t="n">
        <v>45324</v>
      </c>
    </row>
    <row r="435" hidden="1">
      <c r="A435" s="130" t="inlineStr">
        <is>
          <t>Москва</t>
        </is>
      </c>
      <c r="B435" s="130" t="inlineStr">
        <is>
          <t>Лукойл (ЕКА)</t>
        </is>
      </c>
      <c r="C435" s="637" t="n">
        <v>50705</v>
      </c>
      <c r="D435" s="637" t="inlineStr">
        <is>
          <t>MSK_EKA_305</t>
        </is>
      </c>
      <c r="E435" s="502" t="inlineStr">
        <is>
          <t>Добавил</t>
        </is>
      </c>
      <c r="F435" s="498" t="n">
        <v>45324</v>
      </c>
    </row>
    <row r="436" hidden="1">
      <c r="A436" s="130" t="inlineStr">
        <is>
          <t>Москва</t>
        </is>
      </c>
      <c r="B436" s="130" t="inlineStr">
        <is>
          <t>Лукойл (ЕКА)</t>
        </is>
      </c>
      <c r="C436" s="637" t="n">
        <v>50707</v>
      </c>
      <c r="D436" s="637" t="inlineStr">
        <is>
          <t>MSK_EKA_307</t>
        </is>
      </c>
      <c r="E436" s="502" t="inlineStr">
        <is>
          <t>Добавил</t>
        </is>
      </c>
      <c r="F436" s="498" t="n">
        <v>45324</v>
      </c>
    </row>
    <row r="437" hidden="1">
      <c r="A437" s="130" t="inlineStr">
        <is>
          <t>Москва</t>
        </is>
      </c>
      <c r="B437" s="130" t="inlineStr">
        <is>
          <t>Лукойл (ЕКА)</t>
        </is>
      </c>
      <c r="C437" s="637" t="n">
        <v>77726</v>
      </c>
      <c r="D437" s="637" t="inlineStr">
        <is>
          <t>MSK_EKA_026</t>
        </is>
      </c>
      <c r="E437" s="502" t="inlineStr">
        <is>
          <t>Добавил</t>
        </is>
      </c>
      <c r="F437" s="498" t="n">
        <v>45324</v>
      </c>
    </row>
    <row r="438" hidden="1">
      <c r="A438" s="130" t="inlineStr">
        <is>
          <t>Москва</t>
        </is>
      </c>
      <c r="B438" s="130" t="inlineStr">
        <is>
          <t>Лукойл (ЕКА)</t>
        </is>
      </c>
      <c r="C438" s="637" t="n">
        <v>77716</v>
      </c>
      <c r="D438" s="637" t="inlineStr">
        <is>
          <t>MSK_EKA_116</t>
        </is>
      </c>
      <c r="E438" s="502" t="inlineStr">
        <is>
          <t>Добавил</t>
        </is>
      </c>
      <c r="F438" s="498" t="n">
        <v>45324</v>
      </c>
    </row>
    <row r="439" hidden="1">
      <c r="A439" s="130" t="inlineStr">
        <is>
          <t>Москва</t>
        </is>
      </c>
      <c r="B439" s="130" t="inlineStr">
        <is>
          <t>Лукойл (ЕКА)</t>
        </is>
      </c>
      <c r="C439" s="637" t="n">
        <v>77712</v>
      </c>
      <c r="D439" s="637" t="inlineStr">
        <is>
          <t>MSK_EKA_012</t>
        </is>
      </c>
      <c r="E439" s="502" t="inlineStr">
        <is>
          <t>Добавил</t>
        </is>
      </c>
      <c r="F439" s="498" t="n">
        <v>45324</v>
      </c>
    </row>
    <row r="440" hidden="1">
      <c r="A440" s="130" t="inlineStr">
        <is>
          <t>Москва</t>
        </is>
      </c>
      <c r="B440" s="130" t="inlineStr">
        <is>
          <t>Лукойл (ЕКА)</t>
        </is>
      </c>
      <c r="C440" s="637" t="n">
        <v>77737</v>
      </c>
      <c r="D440" s="637" t="inlineStr">
        <is>
          <t>MSK_EKA_037</t>
        </is>
      </c>
      <c r="E440" s="502" t="inlineStr">
        <is>
          <t>Добавил</t>
        </is>
      </c>
      <c r="F440" s="498" t="n">
        <v>45324</v>
      </c>
    </row>
    <row r="441" hidden="1">
      <c r="A441" s="130" t="inlineStr">
        <is>
          <t>Москва</t>
        </is>
      </c>
      <c r="B441" s="130" t="inlineStr">
        <is>
          <t>Лукойл (ЕКА)</t>
        </is>
      </c>
      <c r="C441" s="637" t="n">
        <v>77701</v>
      </c>
      <c r="D441" s="637" t="inlineStr">
        <is>
          <t>MSK_EKA_001</t>
        </is>
      </c>
      <c r="E441" s="502" t="inlineStr">
        <is>
          <t>Добавил</t>
        </is>
      </c>
      <c r="F441" s="498" t="n">
        <v>45324</v>
      </c>
    </row>
    <row r="442" hidden="1">
      <c r="A442" s="130" t="inlineStr">
        <is>
          <t>Москва</t>
        </is>
      </c>
      <c r="B442" s="130" t="inlineStr">
        <is>
          <t>Лукойл (ЕКА)</t>
        </is>
      </c>
      <c r="C442" s="637" t="n">
        <v>77723</v>
      </c>
      <c r="D442" s="637" t="inlineStr">
        <is>
          <t>MSK_EKA_023</t>
        </is>
      </c>
      <c r="E442" s="502" t="inlineStr">
        <is>
          <t>Добавил</t>
        </is>
      </c>
      <c r="F442" s="498" t="n">
        <v>45330</v>
      </c>
    </row>
    <row r="443" hidden="1">
      <c r="A443" s="130" t="inlineStr">
        <is>
          <t>Москва</t>
        </is>
      </c>
      <c r="B443" s="130" t="inlineStr">
        <is>
          <t>Лукойл (ЕКА)</t>
        </is>
      </c>
      <c r="C443" s="637" t="n">
        <v>77720</v>
      </c>
      <c r="D443" s="637" t="inlineStr">
        <is>
          <t>MSK_EKA_020</t>
        </is>
      </c>
      <c r="E443" s="502" t="inlineStr">
        <is>
          <t>Добавил</t>
        </is>
      </c>
      <c r="F443" s="498" t="n">
        <v>45330</v>
      </c>
    </row>
    <row r="444" hidden="1">
      <c r="A444" s="130" t="inlineStr">
        <is>
          <t>Москва</t>
        </is>
      </c>
      <c r="B444" s="130" t="inlineStr">
        <is>
          <t>Лукойл (ЕКА)</t>
        </is>
      </c>
      <c r="C444" s="637" t="n">
        <v>77765</v>
      </c>
      <c r="D444" s="637" t="inlineStr">
        <is>
          <t>MSK_EKA_121</t>
        </is>
      </c>
      <c r="E444" s="502" t="inlineStr">
        <is>
          <t>Добавил</t>
        </is>
      </c>
      <c r="F444" s="498" t="n">
        <v>45330</v>
      </c>
    </row>
    <row r="445" hidden="1">
      <c r="A445" s="130" t="inlineStr">
        <is>
          <t>Москва</t>
        </is>
      </c>
      <c r="B445" s="130" t="inlineStr">
        <is>
          <t>Лукойл (ЕКА)</t>
        </is>
      </c>
      <c r="C445" s="637" t="n">
        <v>77717</v>
      </c>
      <c r="D445" s="637" t="inlineStr">
        <is>
          <t>MSK_EKA_017</t>
        </is>
      </c>
      <c r="E445" s="502" t="inlineStr">
        <is>
          <t>Добавил</t>
        </is>
      </c>
      <c r="F445" s="498" t="n">
        <v>45330</v>
      </c>
    </row>
    <row r="446" hidden="1">
      <c r="A446" s="130" t="inlineStr">
        <is>
          <t>Рязань</t>
        </is>
      </c>
      <c r="B446" s="130" t="inlineStr">
        <is>
          <t>Роснефть</t>
        </is>
      </c>
      <c r="C446" s="637" t="n">
        <v>141</v>
      </c>
      <c r="D446" s="637" t="inlineStr">
        <is>
          <t>RZN_RN_141</t>
        </is>
      </c>
      <c r="E446" s="502" t="inlineStr">
        <is>
          <t>Добавил</t>
        </is>
      </c>
      <c r="F446" s="498" t="n">
        <v>45330</v>
      </c>
    </row>
    <row r="447" hidden="1">
      <c r="A447" s="130" t="inlineStr">
        <is>
          <t>Москва</t>
        </is>
      </c>
      <c r="B447" s="130" t="inlineStr">
        <is>
          <t>Лукойл (ЕКА)</t>
        </is>
      </c>
      <c r="C447" s="637" t="n">
        <v>77719</v>
      </c>
      <c r="D447" s="637" t="inlineStr">
        <is>
          <t>MSK_EKA_019</t>
        </is>
      </c>
      <c r="E447" s="502" t="inlineStr">
        <is>
          <t>Добавил</t>
        </is>
      </c>
      <c r="F447" s="498" t="n">
        <v>45330</v>
      </c>
    </row>
    <row r="448" hidden="1">
      <c r="A448" s="130" t="inlineStr">
        <is>
          <t>Москва</t>
        </is>
      </c>
      <c r="B448" s="130" t="inlineStr">
        <is>
          <t>Лукойл (ЕКА)</t>
        </is>
      </c>
      <c r="C448" s="637" t="n">
        <v>77732</v>
      </c>
      <c r="D448" s="637" t="inlineStr">
        <is>
          <t>MSK_EKA_032</t>
        </is>
      </c>
      <c r="E448" s="502" t="inlineStr">
        <is>
          <t>Добавил</t>
        </is>
      </c>
      <c r="F448" s="498" t="n">
        <v>45330</v>
      </c>
    </row>
    <row r="449" hidden="1">
      <c r="A449" s="130" t="inlineStr">
        <is>
          <t>Москва</t>
        </is>
      </c>
      <c r="B449" s="130" t="inlineStr">
        <is>
          <t>Бизнес центр</t>
        </is>
      </c>
      <c r="C449" s="637" t="inlineStr">
        <is>
          <t>КУБ</t>
        </is>
      </c>
      <c r="D449" s="637" t="inlineStr">
        <is>
          <t>MSK_BC_KUB</t>
        </is>
      </c>
      <c r="E449" s="502" t="inlineStr">
        <is>
          <t>Добавил</t>
        </is>
      </c>
      <c r="F449" s="498" t="n">
        <v>45330</v>
      </c>
    </row>
    <row r="450" hidden="1">
      <c r="A450" s="130" t="inlineStr">
        <is>
          <t>Пенза</t>
        </is>
      </c>
      <c r="B450" s="130" t="inlineStr">
        <is>
          <t>Роснефть</t>
        </is>
      </c>
      <c r="C450" s="637" t="inlineStr">
        <is>
          <t>RN_7</t>
        </is>
      </c>
      <c r="D450" s="637" t="inlineStr">
        <is>
          <t>PNZ_RN_0007</t>
        </is>
      </c>
      <c r="E450" s="502" t="inlineStr">
        <is>
          <t>реконструкция</t>
        </is>
      </c>
      <c r="F450" s="498" t="n">
        <v>45336</v>
      </c>
    </row>
    <row r="451" hidden="1">
      <c r="A451" s="130" t="inlineStr">
        <is>
          <t>Пенза</t>
        </is>
      </c>
      <c r="B451" s="130" t="inlineStr">
        <is>
          <t>Роснефть</t>
        </is>
      </c>
      <c r="C451" s="637" t="inlineStr">
        <is>
          <t>RN_13</t>
        </is>
      </c>
      <c r="D451" s="637" t="inlineStr">
        <is>
          <t>PNZ_RN_0013</t>
        </is>
      </c>
      <c r="E451" s="502" t="inlineStr">
        <is>
          <t>реконструкция</t>
        </is>
      </c>
      <c r="F451" s="498" t="n">
        <v>45336</v>
      </c>
    </row>
    <row r="452" hidden="1">
      <c r="A452" s="130" t="inlineStr">
        <is>
          <t>Санкт-Петербург</t>
        </is>
      </c>
      <c r="B452" s="130" t="inlineStr">
        <is>
          <t>Роснефть</t>
        </is>
      </c>
      <c r="C452" s="637" t="inlineStr">
        <is>
          <t>312 Днепропетровская</t>
        </is>
      </c>
      <c r="D452" s="637" t="inlineStr">
        <is>
          <t>SPB_RN_P_312</t>
        </is>
      </c>
      <c r="E452" s="502" t="inlineStr">
        <is>
          <t>реконструкция</t>
        </is>
      </c>
      <c r="F452" s="498" t="n">
        <v>45336</v>
      </c>
    </row>
    <row r="453" hidden="1">
      <c r="A453" s="130" t="inlineStr">
        <is>
          <t>Санкт-Петербург</t>
        </is>
      </c>
      <c r="B453" s="130" t="inlineStr">
        <is>
          <t>Роснефть</t>
        </is>
      </c>
      <c r="C453" s="637" t="inlineStr">
        <is>
          <t>343 Советский</t>
        </is>
      </c>
      <c r="D453" s="637" t="inlineStr">
        <is>
          <t>SPB_RN_P_343</t>
        </is>
      </c>
      <c r="E453" s="502" t="inlineStr">
        <is>
          <t>реконструкция</t>
        </is>
      </c>
      <c r="F453" s="498" t="n">
        <v>45336</v>
      </c>
    </row>
    <row r="454" hidden="1">
      <c r="A454" s="130" t="inlineStr">
        <is>
          <t>Санкт-Петербург</t>
        </is>
      </c>
      <c r="B454" s="130" t="inlineStr">
        <is>
          <t>Роснефть</t>
        </is>
      </c>
      <c r="C454" s="637" t="inlineStr">
        <is>
          <t>330 Приморская</t>
        </is>
      </c>
      <c r="D454" s="637" t="inlineStr">
        <is>
          <t>SPB_RN_P_330</t>
        </is>
      </c>
      <c r="E454" s="502" t="inlineStr">
        <is>
          <t>реконструкция</t>
        </is>
      </c>
      <c r="F454" s="498" t="n">
        <v>45336</v>
      </c>
    </row>
    <row r="455" hidden="1">
      <c r="A455" s="130" t="inlineStr">
        <is>
          <t>Санкт-Петербург</t>
        </is>
      </c>
      <c r="B455" s="130" t="inlineStr">
        <is>
          <t>Роснефть</t>
        </is>
      </c>
      <c r="C455" s="637" t="inlineStr">
        <is>
          <t>390 Автобусная</t>
        </is>
      </c>
      <c r="D455" s="637" t="inlineStr">
        <is>
          <t>SPB_RN_P_390</t>
        </is>
      </c>
      <c r="E455" s="502" t="inlineStr">
        <is>
          <t>реконструкция</t>
        </is>
      </c>
      <c r="F455" s="498" t="n">
        <v>45336</v>
      </c>
    </row>
    <row r="456" hidden="1">
      <c r="A456" s="130" t="inlineStr">
        <is>
          <t>Самара</t>
        </is>
      </c>
      <c r="B456" s="130" t="inlineStr">
        <is>
          <t>Роснефть</t>
        </is>
      </c>
      <c r="C456" s="637" t="inlineStr">
        <is>
          <t>RN_107</t>
        </is>
      </c>
      <c r="D456" s="637" t="inlineStr">
        <is>
          <t>SMR_RN_0107</t>
        </is>
      </c>
      <c r="E456" s="502" t="inlineStr">
        <is>
          <t>реконструкция</t>
        </is>
      </c>
      <c r="F456" s="498" t="n">
        <v>45336</v>
      </c>
    </row>
    <row r="457" hidden="1">
      <c r="A457" s="130" t="inlineStr">
        <is>
          <t>Воронеж</t>
        </is>
      </c>
      <c r="B457" s="130" t="inlineStr">
        <is>
          <t>Роснефть</t>
        </is>
      </c>
      <c r="C457" s="637" t="inlineStr">
        <is>
          <t>RN_002</t>
        </is>
      </c>
      <c r="D457" s="637" t="inlineStr">
        <is>
          <t>VRN_RN_0002</t>
        </is>
      </c>
      <c r="E457" s="502" t="inlineStr">
        <is>
          <t>реконструкция</t>
        </is>
      </c>
      <c r="F457" s="498" t="n">
        <v>45336</v>
      </c>
    </row>
    <row r="458" hidden="1">
      <c r="A458" s="130" t="inlineStr">
        <is>
          <t>Воронеж</t>
        </is>
      </c>
      <c r="B458" s="130" t="inlineStr">
        <is>
          <t>Роснефть</t>
        </is>
      </c>
      <c r="C458" s="637" t="inlineStr">
        <is>
          <t>RN_003</t>
        </is>
      </c>
      <c r="D458" s="637" t="inlineStr">
        <is>
          <t>VRN_RN_0003</t>
        </is>
      </c>
      <c r="E458" s="502" t="inlineStr">
        <is>
          <t>реконструкция</t>
        </is>
      </c>
      <c r="F458" s="498" t="n">
        <v>45336</v>
      </c>
    </row>
    <row r="459" hidden="1">
      <c r="A459" s="130" t="inlineStr">
        <is>
          <t>Воронеж</t>
        </is>
      </c>
      <c r="B459" s="130" t="inlineStr">
        <is>
          <t>Роснефть</t>
        </is>
      </c>
      <c r="C459" s="637" t="inlineStr">
        <is>
          <t>RN_028</t>
        </is>
      </c>
      <c r="D459" s="637" t="inlineStr">
        <is>
          <t>VRN_RN_0028</t>
        </is>
      </c>
      <c r="E459" s="502" t="inlineStr">
        <is>
          <t>реконструкция</t>
        </is>
      </c>
      <c r="F459" s="498" t="n">
        <v>45336</v>
      </c>
    </row>
    <row r="460" hidden="1">
      <c r="A460" s="130" t="inlineStr">
        <is>
          <t>Воронеж</t>
        </is>
      </c>
      <c r="B460" s="130" t="inlineStr">
        <is>
          <t>Роснефть</t>
        </is>
      </c>
      <c r="C460" s="637" t="inlineStr">
        <is>
          <t>RN_181</t>
        </is>
      </c>
      <c r="D460" s="637" t="inlineStr">
        <is>
          <t>VRN_RN_0181</t>
        </is>
      </c>
      <c r="E460" s="502" t="inlineStr">
        <is>
          <t>реконструкция</t>
        </is>
      </c>
      <c r="F460" s="498" t="n">
        <v>45336</v>
      </c>
    </row>
    <row r="461" hidden="1">
      <c r="A461" s="130" t="inlineStr">
        <is>
          <t>Воронеж</t>
        </is>
      </c>
      <c r="B461" s="130" t="inlineStr">
        <is>
          <t>Роснефть</t>
        </is>
      </c>
      <c r="C461" s="637" t="inlineStr">
        <is>
          <t>RN_038</t>
        </is>
      </c>
      <c r="D461" s="637" t="inlineStr">
        <is>
          <t>VRN_RN_0038</t>
        </is>
      </c>
      <c r="E461" s="502" t="inlineStr">
        <is>
          <t>реконструкция</t>
        </is>
      </c>
      <c r="F461" s="498" t="n">
        <v>45336</v>
      </c>
    </row>
    <row r="462" hidden="1">
      <c r="A462" s="130" t="inlineStr">
        <is>
          <t>Самара</t>
        </is>
      </c>
      <c r="B462" s="130" t="inlineStr">
        <is>
          <t>Роснефть</t>
        </is>
      </c>
      <c r="C462" s="637" t="inlineStr">
        <is>
          <t>RN_7</t>
        </is>
      </c>
      <c r="D462" s="637" t="inlineStr">
        <is>
          <t>SMR_RN_0007</t>
        </is>
      </c>
      <c r="E462" s="502" t="inlineStr">
        <is>
          <t>Добавил</t>
        </is>
      </c>
      <c r="F462" s="498" t="n">
        <v>45336</v>
      </c>
    </row>
    <row r="463" hidden="1">
      <c r="A463" s="130" t="inlineStr">
        <is>
          <t>Самара</t>
        </is>
      </c>
      <c r="B463" s="130" t="inlineStr">
        <is>
          <t>Роснефть</t>
        </is>
      </c>
      <c r="C463" s="637" t="inlineStr">
        <is>
          <t>RN_108</t>
        </is>
      </c>
      <c r="D463" s="637" t="inlineStr">
        <is>
          <t>SMR_RN_0108</t>
        </is>
      </c>
      <c r="E463" s="502" t="inlineStr">
        <is>
          <t>Добавил</t>
        </is>
      </c>
      <c r="F463" s="498" t="n">
        <v>45336</v>
      </c>
    </row>
    <row r="464" hidden="1">
      <c r="A464" s="130" t="inlineStr">
        <is>
          <t xml:space="preserve">Санкт-Петербург </t>
        </is>
      </c>
      <c r="B464" s="130" t="inlineStr">
        <is>
          <t>Газпромнефть</t>
        </is>
      </c>
      <c r="C464" s="637" t="n">
        <v>10043</v>
      </c>
      <c r="D464" s="637" t="inlineStr">
        <is>
          <t>GPN_10043</t>
        </is>
      </c>
      <c r="E464" s="502" t="inlineStr">
        <is>
          <t>max 4 экрана</t>
        </is>
      </c>
      <c r="F464" s="498" t="n">
        <v>45337</v>
      </c>
    </row>
    <row r="465" hidden="1">
      <c r="A465" s="130" t="inlineStr">
        <is>
          <t>Санкт-Петербург</t>
        </is>
      </c>
      <c r="B465" s="130" t="inlineStr">
        <is>
          <t>Газпромнефть</t>
        </is>
      </c>
      <c r="C465" s="637" t="n">
        <v>10003</v>
      </c>
      <c r="D465" s="637" t="inlineStr">
        <is>
          <t>GPN_10003</t>
        </is>
      </c>
      <c r="E465" s="502" t="inlineStr">
        <is>
          <t>Добавил</t>
        </is>
      </c>
      <c r="F465" s="498" t="n">
        <v>45348</v>
      </c>
    </row>
    <row r="466" hidden="1">
      <c r="A466" s="130" t="inlineStr">
        <is>
          <t>Санкт-Петербург</t>
        </is>
      </c>
      <c r="B466" s="130" t="inlineStr">
        <is>
          <t>Газпромнефть</t>
        </is>
      </c>
      <c r="C466" s="637" t="n">
        <v>10023</v>
      </c>
      <c r="D466" s="637" t="inlineStr">
        <is>
          <t>GPN_10023</t>
        </is>
      </c>
      <c r="E466" s="502" t="inlineStr">
        <is>
          <t>Добавил</t>
        </is>
      </c>
      <c r="F466" s="498" t="n">
        <v>45348</v>
      </c>
    </row>
    <row r="467" hidden="1">
      <c r="A467" s="130" t="inlineStr">
        <is>
          <t>Санкт-Петербург</t>
        </is>
      </c>
      <c r="B467" s="130" t="inlineStr">
        <is>
          <t>Газпромнефть</t>
        </is>
      </c>
      <c r="C467" s="637" t="n">
        <v>10036</v>
      </c>
      <c r="D467" s="637" t="inlineStr">
        <is>
          <t>GPN_10036</t>
        </is>
      </c>
      <c r="E467" s="502" t="inlineStr">
        <is>
          <t>Добавил</t>
        </is>
      </c>
      <c r="F467" s="498" t="n">
        <v>45348</v>
      </c>
    </row>
    <row r="468" hidden="1">
      <c r="A468" s="130" t="inlineStr">
        <is>
          <t>Санкт-Петербург</t>
        </is>
      </c>
      <c r="B468" s="130" t="inlineStr">
        <is>
          <t>Газпромнефть</t>
        </is>
      </c>
      <c r="C468" s="637" t="n">
        <v>10038</v>
      </c>
      <c r="D468" s="637" t="inlineStr">
        <is>
          <t>GPN_10038</t>
        </is>
      </c>
      <c r="E468" s="502" t="inlineStr">
        <is>
          <t>Добавил</t>
        </is>
      </c>
      <c r="F468" s="498" t="n">
        <v>45348</v>
      </c>
    </row>
    <row r="469" hidden="1">
      <c r="A469" s="130" t="inlineStr">
        <is>
          <t>Санкт-Петербург</t>
        </is>
      </c>
      <c r="B469" s="130" t="inlineStr">
        <is>
          <t>Газпромнефть</t>
        </is>
      </c>
      <c r="C469" s="637" t="n">
        <v>10063</v>
      </c>
      <c r="D469" s="637" t="inlineStr">
        <is>
          <t>GPN_10063</t>
        </is>
      </c>
      <c r="E469" s="502" t="inlineStr">
        <is>
          <t>Добавил</t>
        </is>
      </c>
      <c r="F469" s="498" t="n">
        <v>45348</v>
      </c>
    </row>
    <row r="470" hidden="1">
      <c r="A470" s="130" t="inlineStr">
        <is>
          <t>Санкт-Петербург</t>
        </is>
      </c>
      <c r="B470" s="130" t="inlineStr">
        <is>
          <t>Газпромнефть</t>
        </is>
      </c>
      <c r="C470" s="637" t="n">
        <v>10075</v>
      </c>
      <c r="D470" s="637" t="inlineStr">
        <is>
          <t>GPN_10075</t>
        </is>
      </c>
      <c r="E470" s="502" t="inlineStr">
        <is>
          <t>Добавил</t>
        </is>
      </c>
      <c r="F470" s="498" t="n">
        <v>45348</v>
      </c>
    </row>
    <row r="471" hidden="1">
      <c r="A471" s="130" t="inlineStr">
        <is>
          <t>Санкт-Петербург</t>
        </is>
      </c>
      <c r="B471" s="130" t="inlineStr">
        <is>
          <t>Газпромнефть</t>
        </is>
      </c>
      <c r="C471" s="637" t="n">
        <v>10136</v>
      </c>
      <c r="D471" s="637" t="inlineStr">
        <is>
          <t>GPN_10136</t>
        </is>
      </c>
      <c r="E471" s="502" t="inlineStr">
        <is>
          <t>Добавил</t>
        </is>
      </c>
      <c r="F471" s="498" t="n">
        <v>45348</v>
      </c>
    </row>
    <row r="472" hidden="1">
      <c r="A472" s="130" t="inlineStr">
        <is>
          <t>Москва</t>
        </is>
      </c>
      <c r="B472" s="130" t="inlineStr">
        <is>
          <t>Газпромнефть</t>
        </is>
      </c>
      <c r="C472" s="637" t="n">
        <v>12034</v>
      </c>
      <c r="D472" s="637" t="inlineStr">
        <is>
          <t>GPN_11034</t>
        </is>
      </c>
      <c r="E472" s="502" t="inlineStr">
        <is>
          <t>Поменялся номер с 12034 на 11034</t>
        </is>
      </c>
      <c r="F472" s="498" t="n">
        <v>45348</v>
      </c>
    </row>
    <row r="473" hidden="1">
      <c r="A473" s="130" t="inlineStr">
        <is>
          <t>Москва</t>
        </is>
      </c>
      <c r="B473" s="130" t="inlineStr">
        <is>
          <t>Газпромнефть</t>
        </is>
      </c>
      <c r="C473" s="637" t="n">
        <v>12056</v>
      </c>
      <c r="D473" s="637" t="inlineStr">
        <is>
          <t>GPN_12056</t>
        </is>
      </c>
      <c r="E473" s="502" t="inlineStr">
        <is>
          <t>Добавил</t>
        </is>
      </c>
      <c r="F473" s="498" t="n">
        <v>45348</v>
      </c>
    </row>
    <row r="474" hidden="1">
      <c r="A474" s="130" t="inlineStr">
        <is>
          <t>Москва</t>
        </is>
      </c>
      <c r="B474" s="130" t="inlineStr">
        <is>
          <t>Газпромнефть</t>
        </is>
      </c>
      <c r="C474" s="637" t="n">
        <v>12086</v>
      </c>
      <c r="D474" s="637" t="inlineStr">
        <is>
          <t>GPN_12086</t>
        </is>
      </c>
      <c r="E474" s="502" t="inlineStr">
        <is>
          <t>Добавил</t>
        </is>
      </c>
      <c r="F474" s="498" t="n">
        <v>45348</v>
      </c>
    </row>
    <row r="475" hidden="1">
      <c r="A475" s="130" t="inlineStr">
        <is>
          <t>Москва</t>
        </is>
      </c>
      <c r="B475" s="130" t="inlineStr">
        <is>
          <t>Газпромнефть</t>
        </is>
      </c>
      <c r="C475" s="637" t="n">
        <v>11123</v>
      </c>
      <c r="D475" s="637" t="inlineStr">
        <is>
          <t>GPN_11123</t>
        </is>
      </c>
      <c r="E475" s="502" t="inlineStr">
        <is>
          <t>реконструкция</t>
        </is>
      </c>
      <c r="F475" s="498" t="n">
        <v>45348</v>
      </c>
    </row>
    <row r="476" hidden="1">
      <c r="A476" s="130" t="inlineStr">
        <is>
          <t>Москва</t>
        </is>
      </c>
      <c r="B476" s="130" t="inlineStr">
        <is>
          <t>Газпромнефть</t>
        </is>
      </c>
      <c r="C476" s="637" t="n">
        <v>12210</v>
      </c>
      <c r="D476" s="637" t="inlineStr">
        <is>
          <t>GPN_12210</t>
        </is>
      </c>
      <c r="E476" s="502" t="inlineStr">
        <is>
          <t>реконструкция</t>
        </is>
      </c>
      <c r="F476" s="498" t="n">
        <v>45348</v>
      </c>
    </row>
    <row r="477" hidden="1">
      <c r="A477" s="130" t="inlineStr">
        <is>
          <t>Новосибирск</t>
        </is>
      </c>
      <c r="B477" s="130" t="inlineStr">
        <is>
          <t>Газпромнефть</t>
        </is>
      </c>
      <c r="C477" s="637" t="n">
        <v>30091</v>
      </c>
      <c r="D477" s="637" t="inlineStr">
        <is>
          <t>GPN_30091</t>
        </is>
      </c>
      <c r="E477" s="502" t="inlineStr">
        <is>
          <t>реконструкция</t>
        </is>
      </c>
      <c r="F477" s="498" t="n">
        <v>45348</v>
      </c>
    </row>
    <row r="478" hidden="1">
      <c r="A478" s="416" t="inlineStr">
        <is>
          <t>Алтайский край</t>
        </is>
      </c>
      <c r="B478" s="130" t="inlineStr">
        <is>
          <t>Газпромнефть</t>
        </is>
      </c>
      <c r="C478" s="637" t="n">
        <v>32200</v>
      </c>
      <c r="D478" s="637" t="inlineStr">
        <is>
          <t>GPN_32200</t>
        </is>
      </c>
      <c r="E478" s="502" t="inlineStr">
        <is>
          <t>реконструкция</t>
        </is>
      </c>
      <c r="F478" s="498" t="n">
        <v>45348</v>
      </c>
    </row>
    <row r="479" hidden="1">
      <c r="A479" s="125" t="inlineStr">
        <is>
          <t>Омск</t>
        </is>
      </c>
      <c r="B479" s="130" t="inlineStr">
        <is>
          <t>Газпромнефть</t>
        </is>
      </c>
      <c r="C479" s="637" t="n">
        <v>31032</v>
      </c>
      <c r="D479" s="637" t="inlineStr">
        <is>
          <t>GPN_31032</t>
        </is>
      </c>
      <c r="E479" s="502" t="inlineStr">
        <is>
          <t>реконструкция</t>
        </is>
      </c>
      <c r="F479" s="498" t="n">
        <v>45348</v>
      </c>
    </row>
    <row r="480" hidden="1" ht="31.8" customHeight="1">
      <c r="A480" s="558" t="inlineStr">
        <is>
          <t>ЦФО (Калуга, Тула, Тверь, Рязань,Смоленск,Владимир,Воронеж, Ярославль)</t>
        </is>
      </c>
      <c r="B480" s="130" t="inlineStr">
        <is>
          <t>Газпромнефть</t>
        </is>
      </c>
      <c r="C480" s="637" t="n">
        <v>12033</v>
      </c>
      <c r="D480" s="637" t="inlineStr">
        <is>
          <t>GPN_12033</t>
        </is>
      </c>
      <c r="E480" s="502" t="inlineStr">
        <is>
          <t>Новая АЗС</t>
        </is>
      </c>
      <c r="F480" s="498" t="n">
        <v>45348</v>
      </c>
    </row>
    <row r="481" hidden="1">
      <c r="A481" s="125" t="inlineStr">
        <is>
          <t>Москва</t>
        </is>
      </c>
      <c r="B481" s="130" t="inlineStr">
        <is>
          <t>Газпромнефть</t>
        </is>
      </c>
      <c r="C481" s="637" t="n">
        <v>12369</v>
      </c>
      <c r="D481" s="637" t="inlineStr">
        <is>
          <t>GPN_12369</t>
        </is>
      </c>
      <c r="E481" s="502" t="inlineStr">
        <is>
          <t>Новая АЗС</t>
        </is>
      </c>
      <c r="F481" s="498" t="n">
        <v>45348</v>
      </c>
    </row>
    <row r="482" hidden="1">
      <c r="A482" s="125" t="inlineStr">
        <is>
          <t>Москва</t>
        </is>
      </c>
      <c r="B482" s="130" t="inlineStr">
        <is>
          <t>Газпромнефть</t>
        </is>
      </c>
      <c r="C482" s="637" t="n">
        <v>12373</v>
      </c>
      <c r="D482" s="637" t="inlineStr">
        <is>
          <t>GPN_12373</t>
        </is>
      </c>
      <c r="E482" s="502" t="inlineStr">
        <is>
          <t>Новая АЗС</t>
        </is>
      </c>
      <c r="F482" s="498" t="n">
        <v>45348</v>
      </c>
    </row>
    <row r="483" hidden="1">
      <c r="A483" s="130" t="inlineStr">
        <is>
          <t>Москва</t>
        </is>
      </c>
      <c r="B483" s="130" t="inlineStr">
        <is>
          <t>Газпромнефть</t>
        </is>
      </c>
      <c r="C483" s="637" t="n">
        <v>12548</v>
      </c>
      <c r="D483" s="637" t="inlineStr">
        <is>
          <t>GPN_12548</t>
        </is>
      </c>
      <c r="E483" s="502" t="inlineStr">
        <is>
          <t>Новая АЗС</t>
        </is>
      </c>
      <c r="F483" s="498" t="n">
        <v>45348</v>
      </c>
    </row>
    <row r="484" hidden="1">
      <c r="A484" s="130" t="inlineStr">
        <is>
          <t>Москва</t>
        </is>
      </c>
      <c r="B484" s="130" t="inlineStr">
        <is>
          <t>Газпромнефть</t>
        </is>
      </c>
      <c r="C484" s="637" t="n">
        <v>12549</v>
      </c>
      <c r="D484" s="637" t="inlineStr">
        <is>
          <t>GPN_12549</t>
        </is>
      </c>
      <c r="E484" s="502" t="inlineStr">
        <is>
          <t>Новая АЗС</t>
        </is>
      </c>
      <c r="F484" s="498" t="n">
        <v>45348</v>
      </c>
    </row>
    <row r="485" hidden="1" ht="31.8" customHeight="1">
      <c r="A485" s="416" t="inlineStr">
        <is>
          <t>ЦФО (Калуга, Тула, Тверь, Рязань,Смоленск,Владимир,Воронеж, Ярославль)</t>
        </is>
      </c>
      <c r="B485" s="130" t="inlineStr">
        <is>
          <t>Газпромнефть</t>
        </is>
      </c>
      <c r="C485" s="637" t="n">
        <v>13577</v>
      </c>
      <c r="D485" s="637" t="inlineStr">
        <is>
          <t>GPN_13577</t>
        </is>
      </c>
      <c r="E485" s="502" t="inlineStr">
        <is>
          <t>Новая АЗС</t>
        </is>
      </c>
      <c r="F485" s="498" t="n">
        <v>45348</v>
      </c>
    </row>
    <row r="486" hidden="1">
      <c r="A486" s="130" t="inlineStr">
        <is>
          <t>Тюмень</t>
        </is>
      </c>
      <c r="B486" s="130" t="inlineStr">
        <is>
          <t>Газпромнефть</t>
        </is>
      </c>
      <c r="C486" s="637" t="n">
        <v>24474</v>
      </c>
      <c r="D486" s="637" t="inlineStr">
        <is>
          <t>GPN_24474</t>
        </is>
      </c>
      <c r="E486" s="502" t="inlineStr">
        <is>
          <t>Новая АЗС</t>
        </is>
      </c>
      <c r="F486" s="498" t="n">
        <v>45348</v>
      </c>
    </row>
    <row r="487" hidden="1" ht="31.8" customHeight="1">
      <c r="A487" s="416" t="inlineStr">
        <is>
          <t>ЦФО (Калуга, Тула, Тверь, Рязань,Смоленск,Владимир,Воронеж, Ярославль)</t>
        </is>
      </c>
      <c r="B487" s="130" t="inlineStr">
        <is>
          <t>Газпромнефть</t>
        </is>
      </c>
      <c r="C487" s="637" t="n">
        <v>36032</v>
      </c>
      <c r="D487" s="637" t="inlineStr">
        <is>
          <t>GPN_36032</t>
        </is>
      </c>
      <c r="E487" s="502" t="inlineStr">
        <is>
          <t>Новая АЗС</t>
        </is>
      </c>
      <c r="F487" s="498" t="n">
        <v>45348</v>
      </c>
    </row>
    <row r="488" hidden="1" ht="31.8" customHeight="1">
      <c r="A488" s="416" t="inlineStr">
        <is>
          <t>ЦФО (Калуга, Тула, Тверь, Рязань,Смоленск,Владимир,Воронеж, Ярославль)</t>
        </is>
      </c>
      <c r="B488" s="130" t="inlineStr">
        <is>
          <t>Газпромнефть</t>
        </is>
      </c>
      <c r="C488" s="637" t="n">
        <v>13127</v>
      </c>
      <c r="D488" s="637" t="inlineStr">
        <is>
          <t>GPN_13127</t>
        </is>
      </c>
      <c r="E488" s="502" t="inlineStr">
        <is>
          <t>Новая АЗС</t>
        </is>
      </c>
      <c r="F488" s="498" t="n">
        <v>45348</v>
      </c>
    </row>
    <row r="489" hidden="1" ht="31.8" customHeight="1">
      <c r="A489" s="558" t="inlineStr">
        <is>
          <t>ЦФО (Калуга, Тула, Тверь, Рязань,Смоленск,Владимир,Воронеж, Ярославль)</t>
        </is>
      </c>
      <c r="B489" s="130" t="inlineStr">
        <is>
          <t>Газпромнефть</t>
        </is>
      </c>
      <c r="C489" s="637" t="n">
        <v>13126</v>
      </c>
      <c r="D489" s="637" t="inlineStr">
        <is>
          <t>GPN_13126</t>
        </is>
      </c>
      <c r="E489" s="502" t="inlineStr">
        <is>
          <t>Новая АЗС</t>
        </is>
      </c>
      <c r="F489" s="498" t="n">
        <v>45348</v>
      </c>
    </row>
    <row r="490" hidden="1" ht="31.8" customHeight="1">
      <c r="A490" s="558" t="inlineStr">
        <is>
          <t>ЦФО (Калуга, Тула, Тверь, Рязань,Смоленск,Владимир,Воронеж, Ярославль)</t>
        </is>
      </c>
      <c r="B490" s="130" t="inlineStr">
        <is>
          <t>Газпромнефть</t>
        </is>
      </c>
      <c r="C490" s="637" t="inlineStr">
        <is>
          <t>12034</t>
        </is>
      </c>
      <c r="D490" s="637" t="inlineStr">
        <is>
          <t>GPN_12034</t>
        </is>
      </c>
      <c r="E490" s="502" t="inlineStr">
        <is>
          <t>Новая АЗС</t>
        </is>
      </c>
      <c r="F490" s="498" t="n">
        <v>45348</v>
      </c>
    </row>
    <row r="491" hidden="1">
      <c r="A491" s="130" t="inlineStr">
        <is>
          <t>Екатеринбург</t>
        </is>
      </c>
      <c r="B491" s="130" t="inlineStr">
        <is>
          <t>Газпромнефть</t>
        </is>
      </c>
      <c r="C491" s="637" t="n">
        <v>20506</v>
      </c>
      <c r="D491" s="637" t="inlineStr">
        <is>
          <t>GPN_20506</t>
        </is>
      </c>
      <c r="E491" s="502" t="inlineStr">
        <is>
          <t>Новая АЗС</t>
        </is>
      </c>
      <c r="F491" s="498" t="n">
        <v>45348</v>
      </c>
    </row>
    <row r="492" hidden="1">
      <c r="A492" s="125" t="inlineStr">
        <is>
          <t>Екатеринбург</t>
        </is>
      </c>
      <c r="B492" s="130" t="inlineStr">
        <is>
          <t>Газпромнефть</t>
        </is>
      </c>
      <c r="C492" s="637" t="n">
        <v>20514</v>
      </c>
      <c r="D492" s="637" t="inlineStr">
        <is>
          <t>GPN_20514</t>
        </is>
      </c>
      <c r="E492" s="502" t="inlineStr">
        <is>
          <t>Новая АЗС</t>
        </is>
      </c>
      <c r="F492" s="498" t="n">
        <v>45348</v>
      </c>
    </row>
    <row r="493" hidden="1">
      <c r="A493" s="130" t="inlineStr">
        <is>
          <t>Санкт-Петербург</t>
        </is>
      </c>
      <c r="B493" s="130" t="inlineStr">
        <is>
          <t>Газпромнефть</t>
        </is>
      </c>
      <c r="C493" s="637" t="n">
        <v>10066</v>
      </c>
      <c r="D493" s="637" t="inlineStr">
        <is>
          <t>GPN_10066</t>
        </is>
      </c>
      <c r="E493" s="502" t="inlineStr">
        <is>
          <t>Новая АЗС</t>
        </is>
      </c>
      <c r="F493" s="498" t="n">
        <v>45348</v>
      </c>
    </row>
    <row r="494" hidden="1">
      <c r="A494" s="130" t="inlineStr">
        <is>
          <t>Москва</t>
        </is>
      </c>
      <c r="B494" s="130" t="inlineStr">
        <is>
          <t>Газпромнефть</t>
        </is>
      </c>
      <c r="C494" s="637" t="n">
        <v>12257</v>
      </c>
      <c r="D494" s="637" t="inlineStr">
        <is>
          <t>GPN_12257</t>
        </is>
      </c>
      <c r="E494" s="502" t="inlineStr">
        <is>
          <t>Новая АЗС</t>
        </is>
      </c>
      <c r="F494" s="498" t="n">
        <v>45348</v>
      </c>
    </row>
    <row r="495" hidden="1">
      <c r="A495" s="130" t="inlineStr">
        <is>
          <t>Челябинск</t>
        </is>
      </c>
      <c r="B495" s="130" t="inlineStr">
        <is>
          <t>Газпромнефть</t>
        </is>
      </c>
      <c r="C495" s="637" t="n">
        <v>22277</v>
      </c>
      <c r="D495" s="637" t="inlineStr">
        <is>
          <t>GPN_22277</t>
        </is>
      </c>
      <c r="E495" s="502" t="inlineStr">
        <is>
          <t>Новая АЗС</t>
        </is>
      </c>
      <c r="F495" s="498" t="n">
        <v>45348</v>
      </c>
    </row>
    <row r="496" hidden="1">
      <c r="A496" s="130" t="inlineStr">
        <is>
          <t>Челябинск</t>
        </is>
      </c>
      <c r="B496" s="130" t="inlineStr">
        <is>
          <t>Газпромнефть</t>
        </is>
      </c>
      <c r="C496" s="637" t="n">
        <v>22292</v>
      </c>
      <c r="D496" s="637" t="inlineStr">
        <is>
          <t>GPN_22292</t>
        </is>
      </c>
      <c r="E496" s="502" t="inlineStr">
        <is>
          <t>Новая АЗС</t>
        </is>
      </c>
      <c r="F496" s="498" t="n">
        <v>45348</v>
      </c>
    </row>
    <row r="497" hidden="1">
      <c r="A497" s="130" t="inlineStr">
        <is>
          <t>Тюмень</t>
        </is>
      </c>
      <c r="B497" s="130" t="inlineStr">
        <is>
          <t>Газпромнефть</t>
        </is>
      </c>
      <c r="C497" s="637" t="n">
        <v>24447</v>
      </c>
      <c r="D497" s="637" t="inlineStr">
        <is>
          <t>GPN_24447</t>
        </is>
      </c>
      <c r="E497" s="502" t="inlineStr">
        <is>
          <t>Новая АЗС</t>
        </is>
      </c>
      <c r="F497" s="498" t="n">
        <v>45348</v>
      </c>
    </row>
    <row r="498" hidden="1">
      <c r="A498" s="416" t="inlineStr">
        <is>
          <t>Алтайский край</t>
        </is>
      </c>
      <c r="B498" s="130" t="inlineStr">
        <is>
          <t>Газпромнефть</t>
        </is>
      </c>
      <c r="C498" s="637" t="n">
        <v>33057</v>
      </c>
      <c r="D498" s="637" t="inlineStr">
        <is>
          <t>GPN_33057</t>
        </is>
      </c>
      <c r="E498" s="502" t="inlineStr">
        <is>
          <t>Новая АЗС</t>
        </is>
      </c>
      <c r="F498" s="498" t="n">
        <v>45348</v>
      </c>
    </row>
    <row r="499" hidden="1">
      <c r="A499" s="416" t="inlineStr">
        <is>
          <t>Алтайский край</t>
        </is>
      </c>
      <c r="B499" s="130" t="inlineStr">
        <is>
          <t>Газпромнефть</t>
        </is>
      </c>
      <c r="C499" s="637" t="n">
        <v>33143</v>
      </c>
      <c r="D499" s="637" t="inlineStr">
        <is>
          <t>GPN_33143</t>
        </is>
      </c>
      <c r="E499" s="502" t="inlineStr">
        <is>
          <t>Новая АЗС</t>
        </is>
      </c>
      <c r="F499" s="498" t="n">
        <v>45348</v>
      </c>
    </row>
    <row r="500" hidden="1" ht="31.8" customHeight="1">
      <c r="A500" s="416" t="inlineStr">
        <is>
          <t>ЦФО (Калуга, Тула, Тверь, Рязань,Смоленск,Владимир,Воронеж, Ярославль)</t>
        </is>
      </c>
      <c r="B500" s="130" t="inlineStr">
        <is>
          <t>Газпромнефть</t>
        </is>
      </c>
      <c r="C500" s="637" t="n">
        <v>13595</v>
      </c>
      <c r="D500" s="637" t="inlineStr">
        <is>
          <t>GPN_13595</t>
        </is>
      </c>
      <c r="E500" s="502" t="inlineStr">
        <is>
          <t>Новая АЗС</t>
        </is>
      </c>
      <c r="F500" s="498" t="n">
        <v>45348</v>
      </c>
    </row>
    <row r="501" hidden="1">
      <c r="A501" s="130" t="inlineStr">
        <is>
          <t>Тюмень</t>
        </is>
      </c>
      <c r="B501" s="130" t="inlineStr">
        <is>
          <t>Газпромнефть</t>
        </is>
      </c>
      <c r="C501" s="637" t="n">
        <v>24410</v>
      </c>
      <c r="D501" s="637" t="inlineStr">
        <is>
          <t>GPN_24410</t>
        </is>
      </c>
      <c r="E501" s="502" t="inlineStr">
        <is>
          <t>Новая АЗС</t>
        </is>
      </c>
      <c r="F501" s="498" t="n">
        <v>45348</v>
      </c>
    </row>
    <row r="502" hidden="1">
      <c r="A502" s="130" t="inlineStr">
        <is>
          <t>Тюмень</t>
        </is>
      </c>
      <c r="B502" s="130" t="inlineStr">
        <is>
          <t>Газпромнефть</t>
        </is>
      </c>
      <c r="C502" s="637" t="n">
        <v>24448</v>
      </c>
      <c r="D502" s="637" t="inlineStr">
        <is>
          <t>GPN_24448</t>
        </is>
      </c>
      <c r="E502" s="502" t="inlineStr">
        <is>
          <t>Новая АЗС</t>
        </is>
      </c>
      <c r="F502" s="498" t="n">
        <v>45348</v>
      </c>
    </row>
    <row r="503" hidden="1">
      <c r="A503" s="130" t="inlineStr">
        <is>
          <t>Екатеринбург</t>
        </is>
      </c>
      <c r="B503" s="130" t="inlineStr">
        <is>
          <t>Газпромнефть</t>
        </is>
      </c>
      <c r="C503" s="637" t="n">
        <v>25090</v>
      </c>
      <c r="D503" s="637" t="inlineStr">
        <is>
          <t>GPN_25090</t>
        </is>
      </c>
      <c r="E503" s="502" t="inlineStr">
        <is>
          <t>Новая АЗС</t>
        </is>
      </c>
      <c r="F503" s="498" t="n">
        <v>45348</v>
      </c>
    </row>
    <row r="504" hidden="1">
      <c r="A504" s="130" t="inlineStr">
        <is>
          <t>Екатеринбург</t>
        </is>
      </c>
      <c r="B504" s="130" t="inlineStr">
        <is>
          <t>Газпромнефть</t>
        </is>
      </c>
      <c r="C504" s="637" t="n">
        <v>25095</v>
      </c>
      <c r="D504" s="637" t="inlineStr">
        <is>
          <t>GPN_25095</t>
        </is>
      </c>
      <c r="E504" s="502" t="inlineStr">
        <is>
          <t>Новая АЗС</t>
        </is>
      </c>
      <c r="F504" s="498" t="n">
        <v>45348</v>
      </c>
    </row>
    <row r="505" hidden="1">
      <c r="A505" s="416" t="inlineStr">
        <is>
          <t>Алтайский край</t>
        </is>
      </c>
      <c r="B505" s="130" t="inlineStr">
        <is>
          <t>Газпромнефть</t>
        </is>
      </c>
      <c r="C505" s="637" t="n">
        <v>32217</v>
      </c>
      <c r="D505" s="637" t="inlineStr">
        <is>
          <t>GPN_32217</t>
        </is>
      </c>
      <c r="E505" s="502" t="inlineStr">
        <is>
          <t>Новая АЗС</t>
        </is>
      </c>
      <c r="F505" s="498" t="n">
        <v>45348</v>
      </c>
    </row>
    <row r="506" hidden="1">
      <c r="A506" s="558" t="inlineStr">
        <is>
          <t>Алтайский край</t>
        </is>
      </c>
      <c r="B506" s="130" t="inlineStr">
        <is>
          <t>Газпромнефть</t>
        </is>
      </c>
      <c r="C506" s="637" t="n">
        <v>33039</v>
      </c>
      <c r="D506" s="637" t="inlineStr">
        <is>
          <t>GPN_33039</t>
        </is>
      </c>
      <c r="E506" s="502" t="inlineStr">
        <is>
          <t>Новая АЗС</t>
        </is>
      </c>
      <c r="F506" s="498" t="n">
        <v>45348</v>
      </c>
    </row>
    <row r="507" hidden="1">
      <c r="A507" s="125" t="inlineStr">
        <is>
          <t>Красноярск</t>
        </is>
      </c>
      <c r="B507" s="130" t="inlineStr">
        <is>
          <t>Газпромнефть</t>
        </is>
      </c>
      <c r="C507" s="637" t="n">
        <v>34221</v>
      </c>
      <c r="D507" s="637" t="inlineStr">
        <is>
          <t>GPN_34221</t>
        </is>
      </c>
      <c r="E507" s="502" t="inlineStr">
        <is>
          <t>Новая АЗС</t>
        </is>
      </c>
      <c r="F507" s="498" t="n">
        <v>45348</v>
      </c>
    </row>
    <row r="508" hidden="1">
      <c r="A508" s="130" t="inlineStr">
        <is>
          <t>Москва</t>
        </is>
      </c>
      <c r="B508" s="130" t="inlineStr">
        <is>
          <t>Газпромнефть</t>
        </is>
      </c>
      <c r="C508" s="637" t="n">
        <v>12559</v>
      </c>
      <c r="D508" s="637" t="inlineStr">
        <is>
          <t>GPN_12559</t>
        </is>
      </c>
      <c r="E508" s="502" t="inlineStr">
        <is>
          <t>Новая АЗС</t>
        </is>
      </c>
      <c r="F508" s="498" t="n">
        <v>45348</v>
      </c>
    </row>
    <row r="509" hidden="1">
      <c r="A509" s="130" t="inlineStr">
        <is>
          <t>Москва</t>
        </is>
      </c>
      <c r="B509" s="130" t="inlineStr">
        <is>
          <t>Газпромнефть</t>
        </is>
      </c>
      <c r="C509" s="637" t="n">
        <v>12321</v>
      </c>
      <c r="D509" s="637" t="inlineStr">
        <is>
          <t>GPN_12321</t>
        </is>
      </c>
      <c r="E509" s="502" t="inlineStr">
        <is>
          <t>Новая АЗС</t>
        </is>
      </c>
      <c r="F509" s="498" t="n">
        <v>45348</v>
      </c>
    </row>
    <row r="510" hidden="1">
      <c r="A510" s="130" t="inlineStr">
        <is>
          <t>Екатеринбург</t>
        </is>
      </c>
      <c r="B510" s="130" t="inlineStr">
        <is>
          <t>Газпромнефть</t>
        </is>
      </c>
      <c r="C510" s="637" t="n">
        <v>20032</v>
      </c>
      <c r="D510" s="637" t="inlineStr">
        <is>
          <t>GPN_20032</t>
        </is>
      </c>
      <c r="E510" s="502" t="inlineStr">
        <is>
          <t>Новая АЗС</t>
        </is>
      </c>
      <c r="F510" s="498" t="n">
        <v>45348</v>
      </c>
    </row>
    <row r="511" hidden="1">
      <c r="A511" s="130" t="inlineStr">
        <is>
          <t>Екатеринбург</t>
        </is>
      </c>
      <c r="B511" s="130" t="inlineStr">
        <is>
          <t>Газпромнефть</t>
        </is>
      </c>
      <c r="C511" s="637" t="n">
        <v>20148</v>
      </c>
      <c r="D511" s="637" t="inlineStr">
        <is>
          <t>GPN_20148</t>
        </is>
      </c>
      <c r="E511" s="502" t="inlineStr">
        <is>
          <t>Новая АЗС</t>
        </is>
      </c>
      <c r="F511" s="498" t="n">
        <v>45348</v>
      </c>
    </row>
    <row r="512" hidden="1">
      <c r="A512" s="130" t="inlineStr">
        <is>
          <t>Омск</t>
        </is>
      </c>
      <c r="B512" s="130" t="inlineStr">
        <is>
          <t>Газпромнефть</t>
        </is>
      </c>
      <c r="C512" s="637" t="n">
        <v>31043</v>
      </c>
      <c r="D512" s="637" t="inlineStr">
        <is>
          <t>GPN_31043</t>
        </is>
      </c>
      <c r="E512" s="502" t="inlineStr">
        <is>
          <t>Новая АЗС</t>
        </is>
      </c>
      <c r="F512" s="498" t="n">
        <v>45348</v>
      </c>
    </row>
    <row r="513" hidden="1">
      <c r="A513" s="416" t="inlineStr">
        <is>
          <t>Алтайский край</t>
        </is>
      </c>
      <c r="B513" s="130" t="inlineStr">
        <is>
          <t>Газпромнефть</t>
        </is>
      </c>
      <c r="C513" s="637" t="n">
        <v>32201</v>
      </c>
      <c r="D513" s="637" t="inlineStr">
        <is>
          <t>GPN_32201</t>
        </is>
      </c>
      <c r="E513" s="502" t="inlineStr">
        <is>
          <t>Новая АЗС</t>
        </is>
      </c>
      <c r="F513" s="498" t="n">
        <v>45348</v>
      </c>
    </row>
    <row r="514" hidden="1">
      <c r="A514" s="416" t="inlineStr">
        <is>
          <t>Алтайский край</t>
        </is>
      </c>
      <c r="B514" s="130" t="inlineStr">
        <is>
          <t>Газпромнефть</t>
        </is>
      </c>
      <c r="C514" s="637" t="n">
        <v>33047</v>
      </c>
      <c r="D514" s="637" t="inlineStr">
        <is>
          <t>GPN_33047</t>
        </is>
      </c>
      <c r="E514" s="502" t="inlineStr">
        <is>
          <t>Новая АЗС</t>
        </is>
      </c>
      <c r="F514" s="498" t="n">
        <v>45348</v>
      </c>
    </row>
    <row r="515" hidden="1">
      <c r="A515" s="558" t="inlineStr">
        <is>
          <t>Алтайский край</t>
        </is>
      </c>
      <c r="B515" s="130" t="inlineStr">
        <is>
          <t>Газпромнефть</t>
        </is>
      </c>
      <c r="C515" s="637" t="n">
        <v>33131</v>
      </c>
      <c r="D515" s="637" t="inlineStr">
        <is>
          <t>GPN_33131</t>
        </is>
      </c>
      <c r="E515" s="502" t="inlineStr">
        <is>
          <t>Новая АЗС</t>
        </is>
      </c>
      <c r="F515" s="498" t="n">
        <v>45348</v>
      </c>
    </row>
    <row r="516" hidden="1">
      <c r="A516" s="130" t="inlineStr">
        <is>
          <t>Красноярск</t>
        </is>
      </c>
      <c r="B516" s="130" t="inlineStr">
        <is>
          <t>Газпромнефть</t>
        </is>
      </c>
      <c r="C516" s="637" t="n">
        <v>34272</v>
      </c>
      <c r="D516" s="637" t="inlineStr">
        <is>
          <t>GPN_34272</t>
        </is>
      </c>
      <c r="E516" s="502" t="inlineStr">
        <is>
          <t>Новая АЗС</t>
        </is>
      </c>
      <c r="F516" s="498" t="n">
        <v>45348</v>
      </c>
    </row>
    <row r="517" hidden="1">
      <c r="A517" s="130" t="inlineStr">
        <is>
          <t>Москва</t>
        </is>
      </c>
      <c r="B517" s="130" t="inlineStr">
        <is>
          <t>Газпромнефть</t>
        </is>
      </c>
      <c r="C517" s="637" t="n">
        <v>12325</v>
      </c>
      <c r="D517" s="637" t="inlineStr">
        <is>
          <t>GPN_12325</t>
        </is>
      </c>
      <c r="E517" s="502" t="inlineStr">
        <is>
          <t>Новая АЗС</t>
        </is>
      </c>
      <c r="F517" s="498" t="n">
        <v>45348</v>
      </c>
    </row>
    <row r="518" hidden="1">
      <c r="A518" s="130" t="inlineStr">
        <is>
          <t>Тюмень</t>
        </is>
      </c>
      <c r="B518" s="130" t="inlineStr">
        <is>
          <t>Газпромнефть</t>
        </is>
      </c>
      <c r="C518" s="637" t="n">
        <v>21419</v>
      </c>
      <c r="D518" s="637" t="inlineStr">
        <is>
          <t>GPN_21419</t>
        </is>
      </c>
      <c r="E518" s="502" t="inlineStr">
        <is>
          <t>Новая АЗС</t>
        </is>
      </c>
      <c r="F518" s="498" t="n">
        <v>45348</v>
      </c>
    </row>
    <row r="519" hidden="1">
      <c r="A519" s="130" t="inlineStr">
        <is>
          <t>Иркутск</t>
        </is>
      </c>
      <c r="B519" s="130" t="inlineStr">
        <is>
          <t>Роснефть</t>
        </is>
      </c>
      <c r="C519" s="637" t="n">
        <v>2</v>
      </c>
      <c r="D519" s="637" t="inlineStr">
        <is>
          <t>IRK_RN_002</t>
        </is>
      </c>
      <c r="E519" s="502" t="inlineStr">
        <is>
          <t>реконструкция</t>
        </is>
      </c>
      <c r="F519" s="498" t="n">
        <v>45348</v>
      </c>
    </row>
    <row r="520" hidden="1">
      <c r="A520" s="130" t="inlineStr">
        <is>
          <t>Санкт-Петербург</t>
        </is>
      </c>
      <c r="B520" s="130" t="inlineStr">
        <is>
          <t>World Class</t>
        </is>
      </c>
      <c r="C520" s="637" t="inlineStr">
        <is>
          <t>World Class Атлантик</t>
        </is>
      </c>
      <c r="D520" s="637" t="inlineStr">
        <is>
          <t>SPB_WC01_TV01</t>
        </is>
      </c>
      <c r="E520" s="502" t="inlineStr">
        <is>
          <t>Закончился договор</t>
        </is>
      </c>
      <c r="F520" s="498" t="n">
        <v>45348</v>
      </c>
    </row>
    <row r="521" hidden="1">
      <c r="A521" s="130" t="inlineStr">
        <is>
          <t>Москва</t>
        </is>
      </c>
      <c r="B521" s="130" t="inlineStr">
        <is>
          <t>Бизнес центр</t>
        </is>
      </c>
      <c r="C521" s="637" t="inlineStr">
        <is>
          <t>River Place</t>
        </is>
      </c>
      <c r="D521" s="637" t="inlineStr">
        <is>
          <t>MSK_BC_River_Place</t>
        </is>
      </c>
      <c r="E521" s="502" t="inlineStr">
        <is>
          <t>Закончился договор</t>
        </is>
      </c>
      <c r="F521" s="498" t="n">
        <v>45351</v>
      </c>
    </row>
    <row r="522" hidden="1">
      <c r="A522" s="130" t="inlineStr">
        <is>
          <t>Липецк</t>
        </is>
      </c>
      <c r="B522" s="130" t="inlineStr">
        <is>
          <t>Роснефть</t>
        </is>
      </c>
      <c r="C522" s="637" t="inlineStr">
        <is>
          <t>RN_203</t>
        </is>
      </c>
      <c r="D522" s="637" t="inlineStr">
        <is>
          <t>LIP_RN_0203</t>
        </is>
      </c>
      <c r="E522" s="502" t="inlineStr">
        <is>
          <t>Убрал, задублировался</t>
        </is>
      </c>
      <c r="F522" s="498" t="n">
        <v>45351</v>
      </c>
    </row>
    <row r="523" hidden="1">
      <c r="A523" s="130" t="inlineStr">
        <is>
          <t>Липецк</t>
        </is>
      </c>
      <c r="B523" s="130" t="inlineStr">
        <is>
          <t>Роснефть</t>
        </is>
      </c>
      <c r="C523" s="637" t="inlineStr">
        <is>
          <t>RN_222</t>
        </is>
      </c>
      <c r="D523" s="637" t="inlineStr">
        <is>
          <t>LIP_RN_0222</t>
        </is>
      </c>
      <c r="E523" s="502" t="inlineStr">
        <is>
          <t>Убрал, задублировался</t>
        </is>
      </c>
      <c r="F523" s="498" t="n">
        <v>45351</v>
      </c>
    </row>
    <row r="524" hidden="1">
      <c r="A524" s="130" t="inlineStr">
        <is>
          <t>Москва</t>
        </is>
      </c>
      <c r="B524" s="87" t="inlineStr">
        <is>
          <t>Нефтьмагистраль</t>
        </is>
      </c>
      <c r="C524" s="637" t="inlineStr">
        <is>
          <t>О20</t>
        </is>
      </c>
      <c r="D524" s="637" t="inlineStr">
        <is>
          <t>MSK_NM_O_0020</t>
        </is>
      </c>
      <c r="E524" s="502" t="inlineStr">
        <is>
          <t>3 экрана</t>
        </is>
      </c>
      <c r="F524" s="498" t="n">
        <v>45366</v>
      </c>
    </row>
    <row r="525" hidden="1">
      <c r="A525" s="130" t="inlineStr">
        <is>
          <t>Ростов-на-Дону</t>
        </is>
      </c>
      <c r="B525" s="130" t="inlineStr">
        <is>
          <t>Роснефть</t>
        </is>
      </c>
      <c r="C525" s="637" t="n">
        <v>128</v>
      </c>
      <c r="D525" s="637" t="inlineStr">
        <is>
          <t>RND_RN_0128</t>
        </is>
      </c>
      <c r="E525" s="502" t="inlineStr">
        <is>
          <t>Добавил</t>
        </is>
      </c>
      <c r="F525" s="498" t="n">
        <v>45366</v>
      </c>
    </row>
    <row r="526" hidden="1">
      <c r="A526" s="130" t="inlineStr">
        <is>
          <t>Москва</t>
        </is>
      </c>
      <c r="B526" s="130" t="inlineStr">
        <is>
          <t>Роснефть</t>
        </is>
      </c>
      <c r="C526" s="637" t="inlineStr">
        <is>
          <t>RN_074</t>
        </is>
      </c>
      <c r="D526" s="637" t="inlineStr">
        <is>
          <t>MSK_RN_0074</t>
        </is>
      </c>
      <c r="E526" s="502" t="inlineStr">
        <is>
          <t>Добавил</t>
        </is>
      </c>
      <c r="F526" s="498" t="n">
        <v>45366</v>
      </c>
    </row>
    <row r="527" hidden="1">
      <c r="A527" s="130" t="inlineStr">
        <is>
          <t>Санкт-Петербург</t>
        </is>
      </c>
      <c r="B527" s="130" t="inlineStr">
        <is>
          <t>Азбука Вкуса</t>
        </is>
      </c>
      <c r="C527" s="637" t="inlineStr">
        <is>
          <t>SPB_010_Daily</t>
        </is>
      </c>
      <c r="D527" s="637" t="inlineStr">
        <is>
          <t>SPB_D_010</t>
        </is>
      </c>
      <c r="E527" s="502" t="inlineStr">
        <is>
          <t>Закрытие магазина</t>
        </is>
      </c>
      <c r="F527" s="498" t="n">
        <v>45366</v>
      </c>
    </row>
    <row r="528" hidden="1">
      <c r="A528" s="130" t="inlineStr">
        <is>
          <t>Томск</t>
        </is>
      </c>
      <c r="B528" s="130" t="inlineStr">
        <is>
          <t>Роснефть</t>
        </is>
      </c>
      <c r="C528" s="637" t="inlineStr">
        <is>
          <t>RN_21</t>
        </is>
      </c>
      <c r="D528" s="637" t="inlineStr">
        <is>
          <t>TMS_RN_021</t>
        </is>
      </c>
      <c r="E528" s="502" t="inlineStr">
        <is>
          <t>Нет экранов</t>
        </is>
      </c>
      <c r="F528" s="498" t="n">
        <v>45366</v>
      </c>
    </row>
    <row r="529" hidden="1">
      <c r="A529" s="130" t="inlineStr">
        <is>
          <t>Томск</t>
        </is>
      </c>
      <c r="B529" s="130" t="inlineStr">
        <is>
          <t>Роснефть</t>
        </is>
      </c>
      <c r="C529" s="637" t="inlineStr">
        <is>
          <t>RN_60</t>
        </is>
      </c>
      <c r="D529" s="637" t="inlineStr">
        <is>
          <t>TMS_RN_060</t>
        </is>
      </c>
      <c r="E529" s="502" t="inlineStr">
        <is>
          <t>Нет экранов</t>
        </is>
      </c>
      <c r="F529" s="498" t="n">
        <v>45366</v>
      </c>
    </row>
    <row r="530" hidden="1">
      <c r="A530" s="130" t="inlineStr">
        <is>
          <t>Самара</t>
        </is>
      </c>
      <c r="B530" s="130" t="inlineStr">
        <is>
          <t>Роснефть</t>
        </is>
      </c>
      <c r="C530" s="637" t="inlineStr">
        <is>
          <t>RN_28</t>
        </is>
      </c>
      <c r="D530" s="637" t="inlineStr">
        <is>
          <t>SMR_RN_0028</t>
        </is>
      </c>
      <c r="E530" s="502" t="inlineStr">
        <is>
          <t>реконструкция</t>
        </is>
      </c>
      <c r="F530" s="498" t="n">
        <v>45366</v>
      </c>
    </row>
    <row r="531" hidden="1">
      <c r="A531" s="130" t="inlineStr">
        <is>
          <t>Самара</t>
        </is>
      </c>
      <c r="B531" s="130" t="inlineStr">
        <is>
          <t>Роснефть</t>
        </is>
      </c>
      <c r="C531" s="637" t="inlineStr">
        <is>
          <t>RN_93</t>
        </is>
      </c>
      <c r="D531" s="637" t="inlineStr">
        <is>
          <t>SMR_RN_0093</t>
        </is>
      </c>
      <c r="E531" s="502" t="inlineStr">
        <is>
          <t>реконструкция</t>
        </is>
      </c>
      <c r="F531" s="498" t="n">
        <v>45366</v>
      </c>
    </row>
    <row r="532" hidden="1">
      <c r="A532" s="130" t="inlineStr">
        <is>
          <t>Самара</t>
        </is>
      </c>
      <c r="B532" s="130" t="inlineStr">
        <is>
          <t>Роснефть</t>
        </is>
      </c>
      <c r="C532" s="637" t="inlineStr">
        <is>
          <t>RN_94</t>
        </is>
      </c>
      <c r="D532" s="637" t="inlineStr">
        <is>
          <t>SMR_RN_0094</t>
        </is>
      </c>
      <c r="E532" s="502" t="inlineStr">
        <is>
          <t>реконструкция</t>
        </is>
      </c>
      <c r="F532" s="498" t="n">
        <v>45366</v>
      </c>
    </row>
    <row r="533" hidden="1">
      <c r="A533" s="130" t="inlineStr">
        <is>
          <t>Москва</t>
        </is>
      </c>
      <c r="B533" s="130" t="inlineStr">
        <is>
          <t>Metro C&amp;C</t>
        </is>
      </c>
      <c r="C533" s="637" t="n">
        <v>17</v>
      </c>
      <c r="D533" s="637" t="inlineStr">
        <is>
          <t>Metro_17</t>
        </is>
      </c>
      <c r="E533" s="502" t="inlineStr">
        <is>
          <t>9 экранов</t>
        </is>
      </c>
      <c r="F533" s="498" t="n">
        <v>45369</v>
      </c>
    </row>
    <row r="534" hidden="1">
      <c r="A534" s="130" t="inlineStr">
        <is>
          <t>Пенза</t>
        </is>
      </c>
      <c r="B534" s="130" t="inlineStr">
        <is>
          <t>Роснефть</t>
        </is>
      </c>
      <c r="C534" s="637" t="inlineStr">
        <is>
          <t>RN_99</t>
        </is>
      </c>
      <c r="D534" s="637" t="inlineStr">
        <is>
          <t>PNZ_RN_0099</t>
        </is>
      </c>
      <c r="E534" s="502" t="inlineStr">
        <is>
          <t>реконструкция</t>
        </is>
      </c>
      <c r="F534" s="498" t="n">
        <v>45369</v>
      </c>
    </row>
    <row r="535" hidden="1">
      <c r="A535" s="130" t="inlineStr">
        <is>
          <t>Москва</t>
        </is>
      </c>
      <c r="B535" s="130" t="inlineStr">
        <is>
          <t>Газпромнефть</t>
        </is>
      </c>
      <c r="C535" s="637" t="n">
        <v>11123</v>
      </c>
      <c r="D535" s="637" t="inlineStr">
        <is>
          <t>GPN_11123</t>
        </is>
      </c>
      <c r="E535" s="502" t="inlineStr">
        <is>
          <t>Добавил</t>
        </is>
      </c>
      <c r="F535" s="498" t="n">
        <v>45372</v>
      </c>
    </row>
    <row r="536" hidden="1">
      <c r="A536" s="130" t="inlineStr">
        <is>
          <t>Москва</t>
        </is>
      </c>
      <c r="B536" s="130" t="inlineStr">
        <is>
          <t>Газпромнефть</t>
        </is>
      </c>
      <c r="C536" s="637" t="n">
        <v>12210</v>
      </c>
      <c r="D536" s="637" t="inlineStr">
        <is>
          <t>GPN_12210</t>
        </is>
      </c>
      <c r="E536" s="502" t="inlineStr">
        <is>
          <t>Добавил</t>
        </is>
      </c>
      <c r="F536" s="498" t="n">
        <v>45372</v>
      </c>
    </row>
    <row r="537" hidden="1">
      <c r="A537" s="130" t="inlineStr">
        <is>
          <t>Новосибирск</t>
        </is>
      </c>
      <c r="B537" s="130" t="inlineStr">
        <is>
          <t>Газпромнефть</t>
        </is>
      </c>
      <c r="C537" s="637" t="n">
        <v>30091</v>
      </c>
      <c r="D537" s="637" t="inlineStr">
        <is>
          <t>GPN_30091</t>
        </is>
      </c>
      <c r="E537" s="502" t="inlineStr">
        <is>
          <t>Добавил</t>
        </is>
      </c>
      <c r="F537" s="498" t="n">
        <v>45372</v>
      </c>
    </row>
    <row r="538" hidden="1">
      <c r="A538" s="416" t="inlineStr">
        <is>
          <t>Алтайский край</t>
        </is>
      </c>
      <c r="B538" s="130" t="inlineStr">
        <is>
          <t>Газпромнефть</t>
        </is>
      </c>
      <c r="C538" s="637" t="n">
        <v>32200</v>
      </c>
      <c r="D538" s="637" t="inlineStr">
        <is>
          <t>GPN_32200</t>
        </is>
      </c>
      <c r="E538" s="502" t="inlineStr">
        <is>
          <t>Добавил</t>
        </is>
      </c>
      <c r="F538" s="498" t="n">
        <v>45372</v>
      </c>
    </row>
    <row r="539" hidden="1">
      <c r="A539" s="130" t="inlineStr">
        <is>
          <t>Москва</t>
        </is>
      </c>
      <c r="B539" s="130" t="inlineStr">
        <is>
          <t>Газпромнефть</t>
        </is>
      </c>
      <c r="C539" s="637" t="n">
        <v>11094</v>
      </c>
      <c r="D539" s="637" t="inlineStr">
        <is>
          <t>GPN_11094</t>
        </is>
      </c>
      <c r="E539" s="502" t="inlineStr">
        <is>
          <t>реконструкция</t>
        </is>
      </c>
      <c r="F539" s="498" t="n">
        <v>45372</v>
      </c>
    </row>
    <row r="540" hidden="1">
      <c r="A540" s="130" t="inlineStr">
        <is>
          <t>Москва</t>
        </is>
      </c>
      <c r="B540" s="130" t="inlineStr">
        <is>
          <t>Газпромнефть</t>
        </is>
      </c>
      <c r="C540" s="637" t="n">
        <v>11118</v>
      </c>
      <c r="D540" s="637" t="inlineStr">
        <is>
          <t>GPN_11118</t>
        </is>
      </c>
      <c r="E540" s="502" t="inlineStr">
        <is>
          <t>реконструкция</t>
        </is>
      </c>
      <c r="F540" s="498" t="n">
        <v>45372</v>
      </c>
    </row>
    <row r="541" hidden="1">
      <c r="A541" s="130" t="inlineStr">
        <is>
          <t>Москва</t>
        </is>
      </c>
      <c r="B541" s="130" t="inlineStr">
        <is>
          <t>Газпромнефть</t>
        </is>
      </c>
      <c r="C541" s="637" t="n">
        <v>11006</v>
      </c>
      <c r="D541" s="637" t="inlineStr">
        <is>
          <t>GPN_11006</t>
        </is>
      </c>
      <c r="E541" s="502" t="inlineStr">
        <is>
          <t>реконструкция</t>
        </is>
      </c>
      <c r="F541" s="498" t="n">
        <v>45372</v>
      </c>
    </row>
    <row r="542" hidden="1">
      <c r="A542" s="130" t="inlineStr">
        <is>
          <t>Москва</t>
        </is>
      </c>
      <c r="B542" s="130" t="inlineStr">
        <is>
          <t>Газпромнефть</t>
        </is>
      </c>
      <c r="C542" s="637" t="n">
        <v>11040</v>
      </c>
      <c r="D542" s="637" t="inlineStr">
        <is>
          <t>GPN_11040</t>
        </is>
      </c>
      <c r="E542" s="502" t="inlineStr">
        <is>
          <t>реконструкция</t>
        </is>
      </c>
      <c r="F542" s="498" t="n">
        <v>45372</v>
      </c>
    </row>
    <row r="543" hidden="1">
      <c r="A543" s="130" t="inlineStr">
        <is>
          <t>Москва</t>
        </is>
      </c>
      <c r="B543" s="130" t="inlineStr">
        <is>
          <t>Газпромнефть</t>
        </is>
      </c>
      <c r="C543" s="637" t="n">
        <v>12311</v>
      </c>
      <c r="D543" s="637" t="inlineStr">
        <is>
          <t>GPN_12311</t>
        </is>
      </c>
      <c r="E543" s="502" t="inlineStr">
        <is>
          <t>Новая АЗС</t>
        </is>
      </c>
      <c r="F543" s="498" t="n">
        <v>45372</v>
      </c>
    </row>
    <row r="544" hidden="1">
      <c r="A544" s="130" t="inlineStr">
        <is>
          <t>ЦФО (Калуга, Тула, Тверь, Рязань,Смоленск,Владимир,Воронеж, Ярославль)</t>
        </is>
      </c>
      <c r="B544" s="130" t="inlineStr">
        <is>
          <t>Газпромнефть</t>
        </is>
      </c>
      <c r="C544" s="637" t="n">
        <v>12363</v>
      </c>
      <c r="D544" s="637" t="inlineStr">
        <is>
          <t>GPN_12363</t>
        </is>
      </c>
      <c r="E544" s="502" t="inlineStr">
        <is>
          <t>Новая АЗС</t>
        </is>
      </c>
      <c r="F544" s="498" t="n">
        <v>45372</v>
      </c>
    </row>
    <row r="545" hidden="1">
      <c r="A545" s="130" t="inlineStr">
        <is>
          <t>Екатеринбург</t>
        </is>
      </c>
      <c r="B545" s="130" t="inlineStr">
        <is>
          <t>Газпромнефть</t>
        </is>
      </c>
      <c r="C545" s="637" t="n">
        <v>21332</v>
      </c>
      <c r="D545" s="637" t="inlineStr">
        <is>
          <t>GPN_21332</t>
        </is>
      </c>
      <c r="E545" s="502" t="inlineStr">
        <is>
          <t>Новая АЗС</t>
        </is>
      </c>
      <c r="F545" s="498" t="n">
        <v>45372</v>
      </c>
    </row>
    <row r="546" hidden="1">
      <c r="A546" s="130" t="inlineStr">
        <is>
          <t>Екатеринбург</t>
        </is>
      </c>
      <c r="B546" s="130" t="inlineStr">
        <is>
          <t>Газпромнефть</t>
        </is>
      </c>
      <c r="C546" s="637" t="n">
        <v>25076</v>
      </c>
      <c r="D546" s="637" t="inlineStr">
        <is>
          <t>GPN_25076</t>
        </is>
      </c>
      <c r="E546" s="502" t="inlineStr">
        <is>
          <t>Новая АЗС</t>
        </is>
      </c>
      <c r="F546" s="498" t="n">
        <v>45372</v>
      </c>
    </row>
    <row r="547" hidden="1">
      <c r="A547" s="130" t="inlineStr">
        <is>
          <t>Новосибирск</t>
        </is>
      </c>
      <c r="B547" s="130" t="inlineStr">
        <is>
          <t>Газпромнефть</t>
        </is>
      </c>
      <c r="C547" s="637" t="n">
        <v>30141</v>
      </c>
      <c r="D547" s="637" t="inlineStr">
        <is>
          <t>GPN_30141</t>
        </is>
      </c>
      <c r="E547" s="502" t="inlineStr">
        <is>
          <t>Новая АЗС</t>
        </is>
      </c>
      <c r="F547" s="498" t="n">
        <v>45372</v>
      </c>
    </row>
    <row r="548" hidden="1">
      <c r="A548" s="416" t="inlineStr">
        <is>
          <t>Алтайский край</t>
        </is>
      </c>
      <c r="B548" s="130" t="inlineStr">
        <is>
          <t>Газпромнефть</t>
        </is>
      </c>
      <c r="C548" s="637" t="n">
        <v>32208</v>
      </c>
      <c r="D548" s="637" t="inlineStr">
        <is>
          <t>GPN_32208</t>
        </is>
      </c>
      <c r="E548" s="502" t="inlineStr">
        <is>
          <t>Новая АЗС</t>
        </is>
      </c>
      <c r="F548" s="498" t="n">
        <v>45372</v>
      </c>
    </row>
    <row r="549" hidden="1">
      <c r="A549" s="416" t="inlineStr">
        <is>
          <t>Алтайский край</t>
        </is>
      </c>
      <c r="B549" s="130" t="inlineStr">
        <is>
          <t>Газпромнефть</t>
        </is>
      </c>
      <c r="C549" s="637" t="n">
        <v>33056</v>
      </c>
      <c r="D549" s="637" t="inlineStr">
        <is>
          <t>GPN_33056</t>
        </is>
      </c>
      <c r="E549" s="502" t="inlineStr">
        <is>
          <t>Новая АЗС</t>
        </is>
      </c>
      <c r="F549" s="498" t="n">
        <v>45372</v>
      </c>
    </row>
    <row r="550" hidden="1">
      <c r="A550" s="130" t="inlineStr">
        <is>
          <t>Красноярск</t>
        </is>
      </c>
      <c r="B550" s="130" t="inlineStr">
        <is>
          <t>Газпромнефть</t>
        </is>
      </c>
      <c r="C550" s="637" t="n">
        <v>34223</v>
      </c>
      <c r="D550" s="637" t="inlineStr">
        <is>
          <t>GPN_34223</t>
        </is>
      </c>
      <c r="E550" s="502" t="inlineStr">
        <is>
          <t>Новая АЗС</t>
        </is>
      </c>
      <c r="F550" s="498" t="n">
        <v>45372</v>
      </c>
    </row>
    <row r="551" hidden="1">
      <c r="A551" s="130" t="inlineStr">
        <is>
          <t>Красноярск</t>
        </is>
      </c>
      <c r="B551" s="130" t="inlineStr">
        <is>
          <t>Газпромнефть</t>
        </is>
      </c>
      <c r="C551" s="637" t="n">
        <v>34276</v>
      </c>
      <c r="D551" s="637" t="inlineStr">
        <is>
          <t>GPN_34276</t>
        </is>
      </c>
      <c r="E551" s="502" t="inlineStr">
        <is>
          <t>Новая АЗС</t>
        </is>
      </c>
      <c r="F551" s="498" t="n">
        <v>45372</v>
      </c>
    </row>
    <row r="552" hidden="1">
      <c r="A552" s="130" t="inlineStr">
        <is>
          <t>Омск</t>
        </is>
      </c>
      <c r="B552" s="130" t="inlineStr">
        <is>
          <t>Газпромнефть</t>
        </is>
      </c>
      <c r="C552" s="637" t="n">
        <v>31020</v>
      </c>
      <c r="D552" s="637" t="inlineStr">
        <is>
          <t>GPN_31020</t>
        </is>
      </c>
      <c r="E552" s="502" t="inlineStr">
        <is>
          <t>реконструкция</t>
        </is>
      </c>
      <c r="F552" s="498" t="n">
        <v>45372</v>
      </c>
    </row>
    <row r="553" hidden="1">
      <c r="A553" s="130" t="inlineStr">
        <is>
          <t>Москва</t>
        </is>
      </c>
      <c r="B553" s="130" t="inlineStr">
        <is>
          <t>Роснефть</t>
        </is>
      </c>
      <c r="C553" s="637" t="inlineStr">
        <is>
          <t>RN_085</t>
        </is>
      </c>
      <c r="D553" s="637" t="inlineStr">
        <is>
          <t>MSK_RN_0085</t>
        </is>
      </c>
      <c r="E553" s="502" t="inlineStr">
        <is>
          <t>Добавил - 2 экрана</t>
        </is>
      </c>
      <c r="F553" s="498" t="n">
        <v>45380</v>
      </c>
    </row>
    <row r="554" hidden="1" ht="62.4" customHeight="1">
      <c r="A554" s="87" t="inlineStr">
        <is>
          <t>Санкт-Петербург</t>
        </is>
      </c>
      <c r="B554" s="87" t="inlineStr">
        <is>
          <t>Neste</t>
        </is>
      </c>
      <c r="C554" s="629" t="n">
        <v>302</v>
      </c>
      <c r="D554" s="629" t="inlineStr">
        <is>
          <t>SPB_Neste_302</t>
        </is>
      </c>
      <c r="E554" s="502" t="inlineStr">
        <is>
          <t>С 9 апреля на АЗС 302 для рекламного контента будет установлен вертикальный двухсторонний монитор при входе. С 11 мая, работы закончатся и экраны будут работать в штатном режиме, как раньше 3 шт.</t>
        </is>
      </c>
      <c r="F554" s="628" t="n">
        <v>45380</v>
      </c>
      <c r="I554" s="166" t="n"/>
    </row>
    <row r="555" hidden="1" ht="52.2" customHeight="1">
      <c r="A555" s="87" t="inlineStr">
        <is>
          <t>Санкт-Петербург</t>
        </is>
      </c>
      <c r="B555" s="87" t="inlineStr">
        <is>
          <t>Neste</t>
        </is>
      </c>
      <c r="C555" s="627" t="n">
        <v>510</v>
      </c>
      <c r="D555" s="627" t="inlineStr">
        <is>
          <t>SPB_Neste_510</t>
        </is>
      </c>
      <c r="E555" s="502" t="inlineStr">
        <is>
          <t>С 23 апреля на АЗС 510 вместо 3х мониторов за спинами операторов останется 2 монитора для трансляции рекламного контента, с 23 мая вернется 3 экрана.</t>
        </is>
      </c>
      <c r="F555" s="628" t="n">
        <v>45380</v>
      </c>
    </row>
    <row r="556" hidden="1">
      <c r="A556" s="130" t="inlineStr">
        <is>
          <t>Москва</t>
        </is>
      </c>
      <c r="B556" s="130" t="inlineStr">
        <is>
          <t>Бизнес центр</t>
        </is>
      </c>
      <c r="C556" s="637" t="inlineStr">
        <is>
          <t>River Place</t>
        </is>
      </c>
      <c r="D556" s="637" t="inlineStr">
        <is>
          <t>MSK_BC_River_Place</t>
        </is>
      </c>
      <c r="E556" s="502" t="inlineStr">
        <is>
          <t>Добавил</t>
        </is>
      </c>
      <c r="F556" s="628" t="n">
        <v>45380</v>
      </c>
    </row>
    <row r="557" hidden="1">
      <c r="A557" s="130" t="inlineStr">
        <is>
          <t>Ульяновск</t>
        </is>
      </c>
      <c r="B557" s="130" t="inlineStr">
        <is>
          <t>Роснефть</t>
        </is>
      </c>
      <c r="C557" s="637" t="inlineStr">
        <is>
          <t>RN_1</t>
        </is>
      </c>
      <c r="D557" s="637" t="inlineStr">
        <is>
          <t>ULN_RN_0001</t>
        </is>
      </c>
      <c r="E557" s="502" t="inlineStr">
        <is>
          <t>Добавил</t>
        </is>
      </c>
      <c r="F557" s="628" t="n">
        <v>45380</v>
      </c>
    </row>
    <row r="558" hidden="1">
      <c r="A558" s="130" t="inlineStr">
        <is>
          <t>Ульяновск</t>
        </is>
      </c>
      <c r="B558" s="130" t="inlineStr">
        <is>
          <t>Роснефть</t>
        </is>
      </c>
      <c r="C558" s="637" t="inlineStr">
        <is>
          <t>RN_42</t>
        </is>
      </c>
      <c r="D558" s="637" t="inlineStr">
        <is>
          <t>ULN_RN_0042</t>
        </is>
      </c>
      <c r="E558" s="502" t="inlineStr">
        <is>
          <t>Добавил</t>
        </is>
      </c>
      <c r="F558" s="628" t="n">
        <v>45380</v>
      </c>
    </row>
    <row r="559" hidden="1">
      <c r="A559" s="130" t="inlineStr">
        <is>
          <t>Москва</t>
        </is>
      </c>
      <c r="B559" s="130" t="inlineStr">
        <is>
          <t>Роснефть</t>
        </is>
      </c>
      <c r="C559" s="637" t="inlineStr">
        <is>
          <t>Трехгорка</t>
        </is>
      </c>
      <c r="D559" s="637" t="inlineStr">
        <is>
          <t>MSK_BP_Trehgorka</t>
        </is>
      </c>
      <c r="E559" s="502" t="inlineStr">
        <is>
          <t>Добавил</t>
        </is>
      </c>
      <c r="F559" s="628" t="n">
        <v>45380</v>
      </c>
    </row>
    <row r="560" hidden="1">
      <c r="A560" s="130" t="inlineStr">
        <is>
          <t>Москва</t>
        </is>
      </c>
      <c r="B560" s="130" t="inlineStr">
        <is>
          <t>Лукойл</t>
        </is>
      </c>
      <c r="C560" s="637" t="n">
        <v>77711</v>
      </c>
      <c r="D560" s="637" t="inlineStr">
        <is>
          <t>MSK_EKA_011</t>
        </is>
      </c>
      <c r="E560" s="502" t="inlineStr">
        <is>
          <t>Добавил</t>
        </is>
      </c>
      <c r="F560" s="628" t="n">
        <v>45384</v>
      </c>
    </row>
    <row r="561" hidden="1">
      <c r="A561" s="130" t="inlineStr">
        <is>
          <t>Москва</t>
        </is>
      </c>
      <c r="B561" s="130" t="inlineStr">
        <is>
          <t>Лукойл</t>
        </is>
      </c>
      <c r="C561" s="637" t="n">
        <v>77721</v>
      </c>
      <c r="D561" s="637" t="inlineStr">
        <is>
          <t>MSK_EKA_021</t>
        </is>
      </c>
      <c r="E561" s="502" t="inlineStr">
        <is>
          <t>Добавил</t>
        </is>
      </c>
      <c r="F561" s="628" t="n">
        <v>45384</v>
      </c>
    </row>
    <row r="562" hidden="1">
      <c r="A562" s="130" t="inlineStr">
        <is>
          <t>Москва</t>
        </is>
      </c>
      <c r="B562" s="130" t="inlineStr">
        <is>
          <t>Лукойл</t>
        </is>
      </c>
      <c r="C562" s="637" t="n">
        <v>77724</v>
      </c>
      <c r="D562" s="637" t="inlineStr">
        <is>
          <t>MSK_EKA_024</t>
        </is>
      </c>
      <c r="E562" s="502" t="inlineStr">
        <is>
          <t>Добавил</t>
        </is>
      </c>
      <c r="F562" s="628" t="n">
        <v>45384</v>
      </c>
    </row>
    <row r="563" hidden="1">
      <c r="A563" s="130" t="inlineStr">
        <is>
          <t>Москва</t>
        </is>
      </c>
      <c r="B563" s="130" t="inlineStr">
        <is>
          <t>Лукойл</t>
        </is>
      </c>
      <c r="C563" s="637" t="n">
        <v>50727</v>
      </c>
      <c r="D563" s="637" t="inlineStr">
        <is>
          <t>MSK_EKA_027</t>
        </is>
      </c>
      <c r="E563" s="502" t="inlineStr">
        <is>
          <t>Добавил</t>
        </is>
      </c>
      <c r="F563" s="628" t="n">
        <v>45384</v>
      </c>
    </row>
    <row r="564" hidden="1">
      <c r="A564" s="130" t="inlineStr">
        <is>
          <t>Москва</t>
        </is>
      </c>
      <c r="B564" s="130" t="inlineStr">
        <is>
          <t>Лукойл</t>
        </is>
      </c>
      <c r="C564" s="637" t="n">
        <v>77747</v>
      </c>
      <c r="D564" s="637" t="inlineStr">
        <is>
          <t>MSK_EKA_047</t>
        </is>
      </c>
      <c r="E564" s="502" t="inlineStr">
        <is>
          <t>Добавил</t>
        </is>
      </c>
      <c r="F564" s="628" t="n">
        <v>45384</v>
      </c>
    </row>
    <row r="565" hidden="1">
      <c r="A565" s="130" t="inlineStr">
        <is>
          <t>Москва</t>
        </is>
      </c>
      <c r="B565" s="130" t="inlineStr">
        <is>
          <t>Лукойл</t>
        </is>
      </c>
      <c r="C565" s="637" t="n">
        <v>77757</v>
      </c>
      <c r="D565" s="637" t="inlineStr">
        <is>
          <t>MSK_EKA_057</t>
        </is>
      </c>
      <c r="E565" s="502" t="inlineStr">
        <is>
          <t>Добавил</t>
        </is>
      </c>
      <c r="F565" s="628" t="n">
        <v>45384</v>
      </c>
    </row>
    <row r="566" hidden="1">
      <c r="A566" s="130" t="inlineStr">
        <is>
          <t>Москва</t>
        </is>
      </c>
      <c r="B566" s="130" t="inlineStr">
        <is>
          <t>Лукойл</t>
        </is>
      </c>
      <c r="C566" s="637" t="n">
        <v>77762</v>
      </c>
      <c r="D566" s="637" t="inlineStr">
        <is>
          <t>MSK_EKA_082</t>
        </is>
      </c>
      <c r="E566" s="502" t="inlineStr">
        <is>
          <t>Добавил</t>
        </is>
      </c>
      <c r="F566" s="628" t="n">
        <v>45384</v>
      </c>
    </row>
    <row r="567" hidden="1">
      <c r="A567" s="130" t="inlineStr">
        <is>
          <t>Москва</t>
        </is>
      </c>
      <c r="B567" s="130" t="inlineStr">
        <is>
          <t>Лукойл</t>
        </is>
      </c>
      <c r="C567" s="637" t="n">
        <v>77763</v>
      </c>
      <c r="D567" s="637" t="inlineStr">
        <is>
          <t>MSK_EKA_117</t>
        </is>
      </c>
      <c r="E567" s="502" t="inlineStr">
        <is>
          <t>Добавил</t>
        </is>
      </c>
      <c r="F567" s="628" t="n">
        <v>45384</v>
      </c>
    </row>
    <row r="568" hidden="1">
      <c r="A568" s="130" t="inlineStr">
        <is>
          <t>Москва</t>
        </is>
      </c>
      <c r="B568" s="130" t="inlineStr">
        <is>
          <t>Лукойл</t>
        </is>
      </c>
      <c r="C568" s="637" t="n">
        <v>77722</v>
      </c>
      <c r="D568" s="637" t="inlineStr">
        <is>
          <t>MSK_EKA_122</t>
        </is>
      </c>
      <c r="E568" s="502" t="inlineStr">
        <is>
          <t>Добавил</t>
        </is>
      </c>
      <c r="F568" s="628" t="n">
        <v>45384</v>
      </c>
    </row>
    <row r="569" hidden="1">
      <c r="A569" s="130" t="inlineStr">
        <is>
          <t>Москва</t>
        </is>
      </c>
      <c r="B569" s="130" t="inlineStr">
        <is>
          <t>Лукойл</t>
        </is>
      </c>
      <c r="C569" s="637" t="n">
        <v>77734</v>
      </c>
      <c r="D569" s="637" t="inlineStr">
        <is>
          <t>MSK_EKA_134</t>
        </is>
      </c>
      <c r="E569" s="502" t="inlineStr">
        <is>
          <t>Добавил</t>
        </is>
      </c>
      <c r="F569" s="628" t="n">
        <v>45384</v>
      </c>
    </row>
    <row r="570" hidden="1">
      <c r="A570" s="130" t="inlineStr">
        <is>
          <t>Москва</t>
        </is>
      </c>
      <c r="B570" s="130" t="inlineStr">
        <is>
          <t>Лукойл</t>
        </is>
      </c>
      <c r="C570" s="637" t="n">
        <v>77766</v>
      </c>
      <c r="D570" s="637" t="inlineStr">
        <is>
          <t>MSK_EKA_140</t>
        </is>
      </c>
      <c r="E570" s="502" t="inlineStr">
        <is>
          <t>Добавил</t>
        </is>
      </c>
      <c r="F570" s="628" t="n">
        <v>45384</v>
      </c>
    </row>
    <row r="571" hidden="1">
      <c r="A571" s="130" t="inlineStr">
        <is>
          <t>Москва</t>
        </is>
      </c>
      <c r="B571" s="130" t="inlineStr">
        <is>
          <t>Лукойл</t>
        </is>
      </c>
      <c r="C571" s="637" t="n">
        <v>77769</v>
      </c>
      <c r="D571" s="637" t="inlineStr">
        <is>
          <t>MSK_EKA_195</t>
        </is>
      </c>
      <c r="E571" s="502" t="inlineStr">
        <is>
          <t>Добавил</t>
        </is>
      </c>
      <c r="F571" s="628" t="n">
        <v>45384</v>
      </c>
    </row>
    <row r="572" hidden="1">
      <c r="A572" s="130" t="inlineStr">
        <is>
          <t>Москва</t>
        </is>
      </c>
      <c r="B572" s="130" t="inlineStr">
        <is>
          <t>Лукойл</t>
        </is>
      </c>
      <c r="C572" s="637" t="n">
        <v>50710</v>
      </c>
      <c r="D572" s="637" t="inlineStr">
        <is>
          <t>MSK_EKA_310</t>
        </is>
      </c>
      <c r="E572" s="502" t="inlineStr">
        <is>
          <t>Добавил</t>
        </is>
      </c>
      <c r="F572" s="628" t="n">
        <v>45384</v>
      </c>
    </row>
    <row r="573" hidden="1">
      <c r="A573" s="130" t="inlineStr">
        <is>
          <t>Москва</t>
        </is>
      </c>
      <c r="B573" s="130" t="inlineStr">
        <is>
          <t>Лукойл</t>
        </is>
      </c>
      <c r="C573" s="637" t="n">
        <v>77703</v>
      </c>
      <c r="D573" s="637" t="inlineStr">
        <is>
          <t>MSK_EKA_003M</t>
        </is>
      </c>
      <c r="E573" s="502" t="inlineStr">
        <is>
          <t>Добавил</t>
        </is>
      </c>
      <c r="F573" s="628" t="n">
        <v>45384</v>
      </c>
    </row>
    <row r="574" hidden="1">
      <c r="A574" s="130" t="inlineStr">
        <is>
          <t>Санкт-Петербург</t>
        </is>
      </c>
      <c r="B574" s="130" t="inlineStr">
        <is>
          <t>Роснефть</t>
        </is>
      </c>
      <c r="C574" s="637" t="inlineStr">
        <is>
          <t>501 Чудская</t>
        </is>
      </c>
      <c r="D574" s="637" t="inlineStr">
        <is>
          <t>SPB_RN_0501</t>
        </is>
      </c>
      <c r="E574" s="502" t="inlineStr">
        <is>
          <t>Добавил</t>
        </is>
      </c>
      <c r="F574" s="628" t="n">
        <v>45384</v>
      </c>
    </row>
    <row r="575" hidden="1">
      <c r="A575" s="130" t="inlineStr">
        <is>
          <t>Москва</t>
        </is>
      </c>
      <c r="B575" s="130" t="inlineStr">
        <is>
          <t>Бизнес центр</t>
        </is>
      </c>
      <c r="C575" s="637" t="inlineStr">
        <is>
          <t>Смольный</t>
        </is>
      </c>
      <c r="D575" s="637" t="inlineStr">
        <is>
          <t>MSK_BC_Smolniy</t>
        </is>
      </c>
      <c r="E575" s="502" t="inlineStr">
        <is>
          <t>Новый БЦ</t>
        </is>
      </c>
      <c r="F575" s="628" t="n">
        <v>45384</v>
      </c>
    </row>
    <row r="576" hidden="1">
      <c r="A576" s="130" t="inlineStr">
        <is>
          <t>Самара</t>
        </is>
      </c>
      <c r="B576" s="130" t="inlineStr">
        <is>
          <t>Роснефть</t>
        </is>
      </c>
      <c r="C576" s="637" t="inlineStr">
        <is>
          <t>RN_124</t>
        </is>
      </c>
      <c r="D576" s="637" t="inlineStr">
        <is>
          <t>SMR_RN_0124</t>
        </is>
      </c>
      <c r="E576" s="502" t="inlineStr">
        <is>
          <t>реконструкция</t>
        </is>
      </c>
      <c r="F576" s="628" t="n">
        <v>45390</v>
      </c>
    </row>
    <row r="577" hidden="1">
      <c r="A577" s="130" t="inlineStr">
        <is>
          <t>Воронеж</t>
        </is>
      </c>
      <c r="B577" s="130" t="inlineStr">
        <is>
          <t>Роснефть</t>
        </is>
      </c>
      <c r="C577" s="637" t="inlineStr">
        <is>
          <t>RN_001</t>
        </is>
      </c>
      <c r="D577" s="637" t="inlineStr">
        <is>
          <t>VRN_RN_0001</t>
        </is>
      </c>
      <c r="E577" s="502" t="inlineStr">
        <is>
          <t>Добавил</t>
        </is>
      </c>
      <c r="F577" s="628" t="n">
        <v>45398</v>
      </c>
    </row>
    <row r="578" hidden="1">
      <c r="A578" s="130" t="inlineStr">
        <is>
          <t>Воронеж</t>
        </is>
      </c>
      <c r="B578" s="130" t="inlineStr">
        <is>
          <t>Роснефть</t>
        </is>
      </c>
      <c r="C578" s="637" t="inlineStr">
        <is>
          <t>RN_067</t>
        </is>
      </c>
      <c r="D578" s="637" t="inlineStr">
        <is>
          <t>VRN_RN_0067</t>
        </is>
      </c>
      <c r="E578" s="502" t="inlineStr">
        <is>
          <t>Добавил</t>
        </is>
      </c>
      <c r="F578" s="628" t="n">
        <v>45398</v>
      </c>
    </row>
    <row r="579" hidden="1">
      <c r="A579" s="130" t="inlineStr">
        <is>
          <t>Санкт-Петербург</t>
        </is>
      </c>
      <c r="B579" s="130" t="inlineStr">
        <is>
          <t>Neste</t>
        </is>
      </c>
      <c r="C579" s="637" t="n">
        <v>302</v>
      </c>
      <c r="D579" s="637" t="inlineStr">
        <is>
          <t>SPB_Neste_302</t>
        </is>
      </c>
      <c r="E579" s="502" t="inlineStr">
        <is>
          <t>реконструкция</t>
        </is>
      </c>
      <c r="F579" s="628" t="n">
        <v>45398</v>
      </c>
    </row>
    <row r="580" hidden="1">
      <c r="A580" s="125" t="inlineStr">
        <is>
          <t>Хакасия</t>
        </is>
      </c>
      <c r="B580" s="130" t="inlineStr">
        <is>
          <t>Роснефть</t>
        </is>
      </c>
      <c r="C580" s="637" t="n">
        <v>9</v>
      </c>
      <c r="D580" s="637" t="inlineStr">
        <is>
          <t>HKS_RN_009</t>
        </is>
      </c>
      <c r="E580" s="502" t="inlineStr">
        <is>
          <t>реконструкция</t>
        </is>
      </c>
      <c r="F580" s="628" t="n">
        <v>45398</v>
      </c>
    </row>
    <row r="581" hidden="1">
      <c r="A581" s="125" t="inlineStr">
        <is>
          <t>Хакасия</t>
        </is>
      </c>
      <c r="B581" s="130" t="inlineStr">
        <is>
          <t>Роснефть</t>
        </is>
      </c>
      <c r="C581" s="637" t="n">
        <v>62</v>
      </c>
      <c r="D581" s="637" t="inlineStr">
        <is>
          <t>HKS_RN_062</t>
        </is>
      </c>
      <c r="E581" s="502" t="inlineStr">
        <is>
          <t>реконструкция</t>
        </is>
      </c>
      <c r="F581" s="628" t="n">
        <v>45398</v>
      </c>
    </row>
    <row r="582" hidden="1">
      <c r="A582" s="130" t="inlineStr">
        <is>
          <t>Москва</t>
        </is>
      </c>
      <c r="B582" s="130" t="inlineStr">
        <is>
          <t>Роснефть</t>
        </is>
      </c>
      <c r="C582" s="637" t="inlineStr">
        <is>
          <t>Дон-1</t>
        </is>
      </c>
      <c r="D582" s="637" t="inlineStr">
        <is>
          <t>MSK_BP_Don_1</t>
        </is>
      </c>
      <c r="E582" s="502" t="inlineStr">
        <is>
          <t>Добавил</t>
        </is>
      </c>
      <c r="F582" s="628" t="n">
        <v>45408</v>
      </c>
    </row>
    <row r="583" hidden="1">
      <c r="A583" s="130" t="inlineStr">
        <is>
          <t>Москва</t>
        </is>
      </c>
      <c r="B583" s="130" t="inlineStr">
        <is>
          <t>Роснефть</t>
        </is>
      </c>
      <c r="C583" s="637" t="inlineStr">
        <is>
          <t>Нахабино</t>
        </is>
      </c>
      <c r="D583" s="637" t="inlineStr">
        <is>
          <t>MSK_BP_Nakhabino</t>
        </is>
      </c>
      <c r="E583" s="502" t="inlineStr">
        <is>
          <t>Добавил</t>
        </is>
      </c>
      <c r="F583" s="628" t="n">
        <v>45408</v>
      </c>
    </row>
    <row r="584" hidden="1">
      <c r="A584" s="130" t="inlineStr">
        <is>
          <t>Москва</t>
        </is>
      </c>
      <c r="B584" s="130" t="inlineStr">
        <is>
          <t>Роснефть</t>
        </is>
      </c>
      <c r="C584" s="637" t="inlineStr">
        <is>
          <t>RN_009</t>
        </is>
      </c>
      <c r="D584" s="637" t="inlineStr">
        <is>
          <t>MSK_RN_0009</t>
        </is>
      </c>
      <c r="E584" s="502" t="inlineStr">
        <is>
          <t>Добавил 2 экрана</t>
        </is>
      </c>
      <c r="F584" s="628" t="n">
        <v>45408</v>
      </c>
    </row>
    <row r="585" hidden="1">
      <c r="A585" s="130" t="inlineStr">
        <is>
          <t>Москва</t>
        </is>
      </c>
      <c r="B585" s="130" t="inlineStr">
        <is>
          <t>Роснефть</t>
        </is>
      </c>
      <c r="C585" s="637" t="inlineStr">
        <is>
          <t>RN_013</t>
        </is>
      </c>
      <c r="D585" s="637" t="inlineStr">
        <is>
          <t>MSK_RN_0013</t>
        </is>
      </c>
      <c r="E585" s="502" t="inlineStr">
        <is>
          <t>Добавил</t>
        </is>
      </c>
      <c r="F585" s="628" t="n">
        <v>45408</v>
      </c>
    </row>
    <row r="586" hidden="1">
      <c r="A586" s="130" t="inlineStr">
        <is>
          <t>Москва</t>
        </is>
      </c>
      <c r="B586" s="130" t="inlineStr">
        <is>
          <t>Роснефть</t>
        </is>
      </c>
      <c r="C586" s="637" t="inlineStr">
        <is>
          <t>RN_078</t>
        </is>
      </c>
      <c r="D586" s="637" t="inlineStr">
        <is>
          <t>MSK_RN_0078</t>
        </is>
      </c>
      <c r="E586" s="502" t="inlineStr">
        <is>
          <t>Добавил</t>
        </is>
      </c>
      <c r="F586" s="628" t="n">
        <v>45408</v>
      </c>
    </row>
    <row r="587" hidden="1">
      <c r="A587" s="130" t="inlineStr">
        <is>
          <t>Москва</t>
        </is>
      </c>
      <c r="B587" s="130" t="inlineStr">
        <is>
          <t>Роснефть</t>
        </is>
      </c>
      <c r="C587" s="637" t="inlineStr">
        <is>
          <t>RN_086</t>
        </is>
      </c>
      <c r="D587" s="637" t="inlineStr">
        <is>
          <t>MSK_RN_0086</t>
        </is>
      </c>
      <c r="E587" s="502" t="inlineStr">
        <is>
          <t>Добавил 2 экрана</t>
        </is>
      </c>
      <c r="F587" s="628" t="n">
        <v>45408</v>
      </c>
    </row>
    <row r="588" hidden="1">
      <c r="A588" s="130" t="inlineStr">
        <is>
          <t>Москва</t>
        </is>
      </c>
      <c r="B588" s="130" t="inlineStr">
        <is>
          <t>Роснефть</t>
        </is>
      </c>
      <c r="C588" s="637" t="inlineStr">
        <is>
          <t>RN_103</t>
        </is>
      </c>
      <c r="D588" s="637" t="inlineStr">
        <is>
          <t>MSK_RN_0103</t>
        </is>
      </c>
      <c r="E588" s="502" t="inlineStr">
        <is>
          <t>Добавил</t>
        </is>
      </c>
      <c r="F588" s="628" t="n">
        <v>45408</v>
      </c>
    </row>
    <row r="589" hidden="1">
      <c r="A589" s="130" t="inlineStr">
        <is>
          <t>Москва</t>
        </is>
      </c>
      <c r="B589" s="130" t="inlineStr">
        <is>
          <t>Роснефть</t>
        </is>
      </c>
      <c r="C589" s="637" t="inlineStr">
        <is>
          <t>RN_104</t>
        </is>
      </c>
      <c r="D589" s="637" t="inlineStr">
        <is>
          <t>MSK_RN_0104</t>
        </is>
      </c>
      <c r="E589" s="502" t="inlineStr">
        <is>
          <t>Добавил</t>
        </is>
      </c>
      <c r="F589" s="628" t="n">
        <v>45408</v>
      </c>
    </row>
    <row r="590" hidden="1">
      <c r="A590" s="130" t="inlineStr">
        <is>
          <t>Санкт-Петербург</t>
        </is>
      </c>
      <c r="B590" s="130" t="inlineStr">
        <is>
          <t>Neste</t>
        </is>
      </c>
      <c r="C590" s="637" t="n">
        <v>522</v>
      </c>
      <c r="D590" s="637" t="inlineStr">
        <is>
          <t>SPB_Neste_522</t>
        </is>
      </c>
      <c r="E590" s="502" t="inlineStr">
        <is>
          <t>2 вертикальных экрана</t>
        </is>
      </c>
      <c r="F590" s="628" t="n">
        <v>45408</v>
      </c>
    </row>
    <row r="591" hidden="1">
      <c r="A591" s="130" t="inlineStr">
        <is>
          <t>Санкт-Петербург</t>
        </is>
      </c>
      <c r="B591" s="130" t="inlineStr">
        <is>
          <t>Neste</t>
        </is>
      </c>
      <c r="C591" s="637" t="n">
        <v>524</v>
      </c>
      <c r="D591" s="637" t="inlineStr">
        <is>
          <t>SPB_Neste_524</t>
        </is>
      </c>
      <c r="E591" s="502" t="inlineStr">
        <is>
          <t>2 вертикальных экрана</t>
        </is>
      </c>
      <c r="F591" s="628" t="n">
        <v>45408</v>
      </c>
    </row>
    <row r="592" hidden="1">
      <c r="A592" s="130" t="inlineStr">
        <is>
          <t>Санкт-Петербург</t>
        </is>
      </c>
      <c r="B592" s="130" t="inlineStr">
        <is>
          <t>Neste</t>
        </is>
      </c>
      <c r="C592" s="637" t="n">
        <v>533</v>
      </c>
      <c r="D592" s="637" t="inlineStr">
        <is>
          <t>SPB_Neste_533</t>
        </is>
      </c>
      <c r="E592" s="502" t="inlineStr">
        <is>
          <t>2 вертикальных экрана</t>
        </is>
      </c>
      <c r="F592" s="628" t="n">
        <v>45408</v>
      </c>
    </row>
    <row r="593" hidden="1">
      <c r="A593" s="130" t="inlineStr">
        <is>
          <t>Санкт-Петербург</t>
        </is>
      </c>
      <c r="B593" s="130" t="inlineStr">
        <is>
          <t>Neste</t>
        </is>
      </c>
      <c r="C593" s="637" t="n">
        <v>538</v>
      </c>
      <c r="D593" s="637" t="inlineStr">
        <is>
          <t>SPB_Neste_538</t>
        </is>
      </c>
      <c r="E593" s="502" t="inlineStr">
        <is>
          <t>2 экрана</t>
        </is>
      </c>
      <c r="F593" s="628" t="n">
        <v>45408</v>
      </c>
    </row>
    <row r="594" hidden="1">
      <c r="A594" s="130" t="inlineStr">
        <is>
          <t>Санкт-Петербург</t>
        </is>
      </c>
      <c r="B594" s="130" t="inlineStr">
        <is>
          <t>Neste</t>
        </is>
      </c>
      <c r="C594" s="637" t="n">
        <v>520</v>
      </c>
      <c r="D594" s="637" t="inlineStr">
        <is>
          <t>SPB_Neste_520</t>
        </is>
      </c>
      <c r="E594" s="502" t="inlineStr">
        <is>
          <t>реконструкция с 14 мая</t>
        </is>
      </c>
      <c r="F594" s="628" t="n">
        <v>45408</v>
      </c>
    </row>
    <row r="595" hidden="1">
      <c r="A595" s="130" t="inlineStr">
        <is>
          <t>Санкт-Петербург</t>
        </is>
      </c>
      <c r="B595" s="130" t="inlineStr">
        <is>
          <t>Neste</t>
        </is>
      </c>
      <c r="C595" s="637" t="n">
        <v>511</v>
      </c>
      <c r="D595" s="637" t="inlineStr">
        <is>
          <t>SPB_Neste_511</t>
        </is>
      </c>
      <c r="E595" s="502" t="inlineStr">
        <is>
          <t>реконструкция с 28 мая</t>
        </is>
      </c>
      <c r="F595" s="628" t="n">
        <v>45408</v>
      </c>
    </row>
    <row r="596" hidden="1">
      <c r="A596" s="130" t="inlineStr">
        <is>
          <t>Санкт-Петербург</t>
        </is>
      </c>
      <c r="B596" s="130" t="inlineStr">
        <is>
          <t>Neste</t>
        </is>
      </c>
      <c r="C596" s="637" t="n">
        <v>541</v>
      </c>
      <c r="D596" s="637" t="inlineStr">
        <is>
          <t>SPB_Neste_541</t>
        </is>
      </c>
      <c r="E596" s="502" t="inlineStr">
        <is>
          <t>реконструкция</t>
        </is>
      </c>
      <c r="F596" s="628" t="n">
        <v>45408</v>
      </c>
    </row>
    <row r="597" hidden="1">
      <c r="A597" s="130" t="inlineStr">
        <is>
          <t>Санкт-Петербург</t>
        </is>
      </c>
      <c r="B597" s="130" t="inlineStr">
        <is>
          <t>Neste</t>
        </is>
      </c>
      <c r="C597" s="637" t="n">
        <v>510</v>
      </c>
      <c r="D597" s="637" t="inlineStr">
        <is>
          <t>SPB_Neste_510</t>
        </is>
      </c>
      <c r="E597" s="502" t="inlineStr">
        <is>
          <t>реконструкция</t>
        </is>
      </c>
      <c r="F597" s="628" t="n">
        <v>45408</v>
      </c>
    </row>
    <row r="598" hidden="1">
      <c r="A598" s="130" t="inlineStr">
        <is>
          <t>Санкт-Петербург</t>
        </is>
      </c>
      <c r="B598" s="130" t="inlineStr">
        <is>
          <t>Neste</t>
        </is>
      </c>
      <c r="C598" s="637" t="n">
        <v>518</v>
      </c>
      <c r="D598" s="637" t="inlineStr">
        <is>
          <t>SPB_Neste_518</t>
        </is>
      </c>
      <c r="E598" s="502" t="inlineStr">
        <is>
          <t>реконструкция</t>
        </is>
      </c>
      <c r="F598" s="628" t="n">
        <v>45408</v>
      </c>
    </row>
    <row r="599" hidden="1">
      <c r="A599" s="130" t="inlineStr">
        <is>
          <t>Сургут</t>
        </is>
      </c>
      <c r="B599" s="130" t="inlineStr">
        <is>
          <t>Эталон</t>
        </is>
      </c>
      <c r="C599" s="637" t="n">
        <v>8</v>
      </c>
      <c r="D599" s="637" t="inlineStr">
        <is>
          <t>SUR_ET_8</t>
        </is>
      </c>
      <c r="E599" s="502" t="inlineStr">
        <is>
          <t>Нет экранов</t>
        </is>
      </c>
      <c r="F599" s="628" t="n">
        <v>45408</v>
      </c>
    </row>
    <row r="600" hidden="1">
      <c r="A600" s="130" t="inlineStr">
        <is>
          <t>Самара</t>
        </is>
      </c>
      <c r="B600" s="130" t="inlineStr">
        <is>
          <t>Роснефть</t>
        </is>
      </c>
      <c r="C600" s="637" t="inlineStr">
        <is>
          <t>RN_1</t>
        </is>
      </c>
      <c r="D600" s="637" t="inlineStr">
        <is>
          <t>SMR_RN_0001</t>
        </is>
      </c>
      <c r="E600" s="502" t="inlineStr">
        <is>
          <t>Добавил</t>
        </is>
      </c>
      <c r="F600" s="628" t="n">
        <v>45408</v>
      </c>
    </row>
    <row r="601" hidden="1">
      <c r="A601" s="130" t="inlineStr">
        <is>
          <t>Самара</t>
        </is>
      </c>
      <c r="B601" s="130" t="inlineStr">
        <is>
          <t>Роснефть</t>
        </is>
      </c>
      <c r="C601" s="637" t="inlineStr">
        <is>
          <t>RN_107</t>
        </is>
      </c>
      <c r="D601" s="637" t="inlineStr">
        <is>
          <t>SMR_RN_0107</t>
        </is>
      </c>
      <c r="E601" s="502" t="inlineStr">
        <is>
          <t>Добавил</t>
        </is>
      </c>
      <c r="F601" s="628" t="n">
        <v>45408</v>
      </c>
    </row>
    <row r="602" hidden="1">
      <c r="A602" s="130" t="inlineStr">
        <is>
          <t>Смоленск</t>
        </is>
      </c>
      <c r="B602" s="130" t="inlineStr">
        <is>
          <t>Роснефть</t>
        </is>
      </c>
      <c r="C602" s="637" t="inlineStr">
        <is>
          <t>70</t>
        </is>
      </c>
      <c r="D602" s="637" t="inlineStr">
        <is>
          <t>SMO_RN_0070</t>
        </is>
      </c>
      <c r="E602" s="502" t="inlineStr">
        <is>
          <t>Новая АЗС</t>
        </is>
      </c>
      <c r="F602" s="628" t="n">
        <v>45408</v>
      </c>
    </row>
    <row r="603" hidden="1">
      <c r="A603" s="130" t="inlineStr">
        <is>
          <t>Санкт-Петербург</t>
        </is>
      </c>
      <c r="B603" s="130" t="inlineStr">
        <is>
          <t>Роснефть</t>
        </is>
      </c>
      <c r="C603" s="637" t="inlineStr">
        <is>
          <t>454 Кола-1</t>
        </is>
      </c>
      <c r="D603" s="637" t="inlineStr">
        <is>
          <t>SPB_RN_P_454</t>
        </is>
      </c>
      <c r="E603" s="502" t="inlineStr">
        <is>
          <t>реконструкция</t>
        </is>
      </c>
      <c r="F603" s="628" t="n">
        <v>45420</v>
      </c>
    </row>
    <row r="604" hidden="1">
      <c r="A604" s="130" t="inlineStr">
        <is>
          <t>Санкт-Петербург</t>
        </is>
      </c>
      <c r="B604" s="130" t="inlineStr">
        <is>
          <t>Роснефть</t>
        </is>
      </c>
      <c r="C604" s="637" t="inlineStr">
        <is>
          <t>455 Кола-2</t>
        </is>
      </c>
      <c r="D604" s="637" t="inlineStr">
        <is>
          <t>SPB_RN_P_455</t>
        </is>
      </c>
      <c r="E604" s="502" t="inlineStr">
        <is>
          <t>реконструкция</t>
        </is>
      </c>
      <c r="F604" s="628" t="n">
        <v>45420</v>
      </c>
    </row>
    <row r="605" hidden="1">
      <c r="A605" s="130" t="inlineStr">
        <is>
          <t>Санкт-Петербург</t>
        </is>
      </c>
      <c r="B605" s="130" t="inlineStr">
        <is>
          <t>Роснефть</t>
        </is>
      </c>
      <c r="C605" s="637" t="inlineStr">
        <is>
          <t>111 Косыгина</t>
        </is>
      </c>
      <c r="D605" s="637" t="inlineStr">
        <is>
          <t>SPB_TNK_Kosygino</t>
        </is>
      </c>
      <c r="E605" s="502" t="inlineStr">
        <is>
          <t>реконструкция</t>
        </is>
      </c>
      <c r="F605" s="628" t="n">
        <v>45420</v>
      </c>
    </row>
    <row r="606" hidden="1">
      <c r="A606" s="130" t="inlineStr">
        <is>
          <t>Иркутск</t>
        </is>
      </c>
      <c r="B606" s="130" t="inlineStr">
        <is>
          <t>Роснефть</t>
        </is>
      </c>
      <c r="C606" s="637" t="n">
        <v>2</v>
      </c>
      <c r="D606" s="637" t="inlineStr">
        <is>
          <t>IRK_RN_002</t>
        </is>
      </c>
      <c r="E606" s="502" t="inlineStr">
        <is>
          <t>Добавил</t>
        </is>
      </c>
      <c r="F606" s="628" t="n">
        <v>45425</v>
      </c>
    </row>
    <row r="607" hidden="1">
      <c r="A607" s="130" t="inlineStr">
        <is>
          <t>Москва</t>
        </is>
      </c>
      <c r="B607" s="130" t="inlineStr">
        <is>
          <t>Роснефть</t>
        </is>
      </c>
      <c r="C607" s="637" t="inlineStr">
        <is>
          <t>RN_033</t>
        </is>
      </c>
      <c r="D607" s="637" t="inlineStr">
        <is>
          <t>MSK_RN_0033</t>
        </is>
      </c>
      <c r="E607" s="502" t="inlineStr">
        <is>
          <t>Добавил (2 экрана)</t>
        </is>
      </c>
      <c r="F607" s="628" t="n">
        <v>45425</v>
      </c>
    </row>
    <row r="608" hidden="1">
      <c r="A608" s="130" t="inlineStr">
        <is>
          <t>Москва</t>
        </is>
      </c>
      <c r="B608" s="125" t="inlineStr">
        <is>
          <t>Азбука Вкуса</t>
        </is>
      </c>
      <c r="C608" s="637" t="n">
        <v>172</v>
      </c>
      <c r="D608" s="637" t="inlineStr">
        <is>
          <t>MSK_A_172</t>
        </is>
      </c>
      <c r="E608" s="502" t="inlineStr">
        <is>
          <t>Новый магазин</t>
        </is>
      </c>
      <c r="F608" s="628" t="n">
        <v>45425</v>
      </c>
    </row>
    <row r="609" hidden="1">
      <c r="A609" s="130" t="inlineStr">
        <is>
          <t>Москва</t>
        </is>
      </c>
      <c r="B609" s="125" t="inlineStr">
        <is>
          <t>Азбука Вкуса</t>
        </is>
      </c>
      <c r="C609" s="637" t="n">
        <v>173</v>
      </c>
      <c r="D609" s="637" t="inlineStr">
        <is>
          <t>MSK_A_173</t>
        </is>
      </c>
      <c r="E609" s="502" t="inlineStr">
        <is>
          <t>Новый магазин</t>
        </is>
      </c>
      <c r="F609" s="628" t="n">
        <v>45425</v>
      </c>
    </row>
    <row r="610" hidden="1">
      <c r="A610" s="130" t="inlineStr">
        <is>
          <t>Брянск</t>
        </is>
      </c>
      <c r="B610" s="130" t="inlineStr">
        <is>
          <t>Роснефть</t>
        </is>
      </c>
      <c r="C610" s="637" t="inlineStr">
        <is>
          <t>RN_1</t>
        </is>
      </c>
      <c r="D610" s="637" t="inlineStr">
        <is>
          <t>BRN_RN_0001</t>
        </is>
      </c>
      <c r="E610" s="502" t="inlineStr">
        <is>
          <t>реконструкция</t>
        </is>
      </c>
      <c r="F610" s="628" t="n">
        <v>45428</v>
      </c>
    </row>
    <row r="611" hidden="1">
      <c r="A611" s="130" t="inlineStr">
        <is>
          <t>Самара</t>
        </is>
      </c>
      <c r="B611" s="130" t="inlineStr">
        <is>
          <t>Роснефть</t>
        </is>
      </c>
      <c r="C611" s="637" t="inlineStr">
        <is>
          <t>RN_115</t>
        </is>
      </c>
      <c r="D611" s="637" t="inlineStr">
        <is>
          <t>SMR_RN_0115</t>
        </is>
      </c>
      <c r="E611" s="502" t="inlineStr">
        <is>
          <t>Добавил</t>
        </is>
      </c>
      <c r="F611" s="628" t="n">
        <v>45428</v>
      </c>
    </row>
    <row r="612" hidden="1">
      <c r="A612" s="130" t="inlineStr">
        <is>
          <t>Самара</t>
        </is>
      </c>
      <c r="B612" s="130" t="inlineStr">
        <is>
          <t>Роснефть</t>
        </is>
      </c>
      <c r="C612" s="637" t="inlineStr">
        <is>
          <t>RN_48</t>
        </is>
      </c>
      <c r="D612" s="637" t="inlineStr">
        <is>
          <t>SMR_RN_0048</t>
        </is>
      </c>
      <c r="E612" s="502" t="inlineStr">
        <is>
          <t>Новая АЗК</t>
        </is>
      </c>
      <c r="F612" s="628" t="n">
        <v>45428</v>
      </c>
    </row>
    <row r="613" hidden="1">
      <c r="A613" s="130" t="inlineStr">
        <is>
          <t xml:space="preserve">Санкт-Петербург </t>
        </is>
      </c>
      <c r="B613" s="130" t="inlineStr">
        <is>
          <t>Газпромнефть</t>
        </is>
      </c>
      <c r="C613" s="637" t="n">
        <v>10006</v>
      </c>
      <c r="D613" s="637" t="inlineStr">
        <is>
          <t>GPN_10006</t>
        </is>
      </c>
      <c r="E613" s="502" t="inlineStr">
        <is>
          <t>3 экрана</t>
        </is>
      </c>
      <c r="F613" s="628" t="n">
        <v>45432</v>
      </c>
    </row>
    <row r="614" hidden="1">
      <c r="A614" s="130" t="inlineStr">
        <is>
          <t xml:space="preserve">Санкт-Петербург </t>
        </is>
      </c>
      <c r="B614" s="130" t="inlineStr">
        <is>
          <t>Газпромнефть</t>
        </is>
      </c>
      <c r="C614" s="637" t="n">
        <v>10037</v>
      </c>
      <c r="D614" s="637" t="inlineStr">
        <is>
          <t>GPN_10037</t>
        </is>
      </c>
      <c r="E614" s="502" t="inlineStr">
        <is>
          <t>3 экрана</t>
        </is>
      </c>
      <c r="F614" s="628" t="n">
        <v>45432</v>
      </c>
    </row>
    <row r="615" hidden="1">
      <c r="A615" s="130" t="inlineStr">
        <is>
          <t xml:space="preserve">Санкт-Петербург </t>
        </is>
      </c>
      <c r="B615" s="130" t="inlineStr">
        <is>
          <t>Газпромнефть</t>
        </is>
      </c>
      <c r="C615" s="637" t="n">
        <v>10058</v>
      </c>
      <c r="D615" s="637" t="inlineStr">
        <is>
          <t>GPN_10058</t>
        </is>
      </c>
      <c r="E615" s="502" t="inlineStr">
        <is>
          <t>2 экрана</t>
        </is>
      </c>
      <c r="F615" s="628" t="n">
        <v>45432</v>
      </c>
    </row>
    <row r="616" hidden="1">
      <c r="A616" s="130" t="inlineStr">
        <is>
          <t xml:space="preserve">Санкт-Петербург </t>
        </is>
      </c>
      <c r="B616" s="130" t="inlineStr">
        <is>
          <t>Газпромнефть</t>
        </is>
      </c>
      <c r="C616" s="637" t="n">
        <v>10114</v>
      </c>
      <c r="D616" s="637" t="inlineStr">
        <is>
          <t>GPN_10114</t>
        </is>
      </c>
      <c r="E616" s="502" t="inlineStr">
        <is>
          <t>2 экрана</t>
        </is>
      </c>
      <c r="F616" s="628" t="n">
        <v>45432</v>
      </c>
    </row>
    <row r="617" hidden="1">
      <c r="A617" s="130" t="inlineStr">
        <is>
          <t>Москва</t>
        </is>
      </c>
      <c r="B617" s="130" t="inlineStr">
        <is>
          <t>Газпромнефть</t>
        </is>
      </c>
      <c r="C617" s="637" t="n">
        <v>12204</v>
      </c>
      <c r="D617" s="637" t="inlineStr">
        <is>
          <t>GPN_12204</t>
        </is>
      </c>
      <c r="E617" s="502" t="inlineStr">
        <is>
          <t>3 экрана</t>
        </is>
      </c>
      <c r="F617" s="628" t="n">
        <v>45432</v>
      </c>
    </row>
    <row r="618" hidden="1">
      <c r="A618" s="130" t="inlineStr">
        <is>
          <t>Москва</t>
        </is>
      </c>
      <c r="B618" s="130" t="inlineStr">
        <is>
          <t>Газпромнефть</t>
        </is>
      </c>
      <c r="C618" s="637" t="n">
        <v>12247</v>
      </c>
      <c r="D618" s="637" t="inlineStr">
        <is>
          <t>GPN_12247</t>
        </is>
      </c>
      <c r="E618" s="502" t="inlineStr">
        <is>
          <t>3 экрана</t>
        </is>
      </c>
      <c r="F618" s="628" t="n">
        <v>45432</v>
      </c>
    </row>
    <row r="619" hidden="1">
      <c r="A619" s="130" t="inlineStr">
        <is>
          <t>Москва</t>
        </is>
      </c>
      <c r="B619" s="130" t="inlineStr">
        <is>
          <t>Газпромнефть</t>
        </is>
      </c>
      <c r="C619" s="637" t="n">
        <v>12043</v>
      </c>
      <c r="D619" s="637" t="inlineStr">
        <is>
          <t>GPN_12043</t>
        </is>
      </c>
      <c r="E619" s="502" t="inlineStr">
        <is>
          <t>3 экрана</t>
        </is>
      </c>
      <c r="F619" s="628" t="n">
        <v>45432</v>
      </c>
    </row>
    <row r="620" hidden="1">
      <c r="A620" s="130" t="inlineStr">
        <is>
          <t>Москва</t>
        </is>
      </c>
      <c r="B620" s="130" t="inlineStr">
        <is>
          <t>Газпромнефть</t>
        </is>
      </c>
      <c r="C620" s="637" t="n">
        <v>12254</v>
      </c>
      <c r="D620" s="637" t="inlineStr">
        <is>
          <t>GPN_12254</t>
        </is>
      </c>
      <c r="E620" s="502" t="inlineStr">
        <is>
          <t>3 экрана</t>
        </is>
      </c>
      <c r="F620" s="628" t="n">
        <v>45432</v>
      </c>
    </row>
    <row r="621" hidden="1">
      <c r="A621" s="130" t="inlineStr">
        <is>
          <t>Ярославль</t>
        </is>
      </c>
      <c r="B621" s="130" t="inlineStr">
        <is>
          <t>Газпромнефть</t>
        </is>
      </c>
      <c r="C621" s="637" t="n">
        <v>13019</v>
      </c>
      <c r="D621" s="637" t="inlineStr">
        <is>
          <t>GPN_13019</t>
        </is>
      </c>
      <c r="E621" s="502" t="inlineStr">
        <is>
          <t>3 экрана</t>
        </is>
      </c>
      <c r="F621" s="628" t="n">
        <v>45432</v>
      </c>
    </row>
    <row r="622" hidden="1">
      <c r="A622" s="130" t="inlineStr">
        <is>
          <t>Приволжье (Нижний Новгород, Казань)</t>
        </is>
      </c>
      <c r="B622" s="130" t="inlineStr">
        <is>
          <t>Газпромнефть</t>
        </is>
      </c>
      <c r="C622" s="637" t="n">
        <v>14212</v>
      </c>
      <c r="D622" s="637" t="inlineStr">
        <is>
          <t>GPN_14212</t>
        </is>
      </c>
      <c r="E622" s="502" t="inlineStr">
        <is>
          <t>2 экрана</t>
        </is>
      </c>
      <c r="F622" s="628" t="n">
        <v>45432</v>
      </c>
    </row>
    <row r="623" hidden="1">
      <c r="A623" s="130" t="inlineStr">
        <is>
          <t>Приволжье (Нижний Новгород, Казань)</t>
        </is>
      </c>
      <c r="B623" s="130" t="inlineStr">
        <is>
          <t>Газпромнефть</t>
        </is>
      </c>
      <c r="C623" s="637" t="n">
        <v>14233</v>
      </c>
      <c r="D623" s="637" t="inlineStr">
        <is>
          <t>GPN_14233</t>
        </is>
      </c>
      <c r="E623" s="502" t="inlineStr">
        <is>
          <t>3 экрана</t>
        </is>
      </c>
      <c r="F623" s="628" t="n">
        <v>45432</v>
      </c>
    </row>
    <row r="624" hidden="1">
      <c r="A624" s="130" t="inlineStr">
        <is>
          <t>Омск</t>
        </is>
      </c>
      <c r="B624" s="130" t="inlineStr">
        <is>
          <t>Газпромнефть</t>
        </is>
      </c>
      <c r="C624" s="637" t="n">
        <v>31044</v>
      </c>
      <c r="D624" s="637" t="inlineStr">
        <is>
          <t>GPN_31044</t>
        </is>
      </c>
      <c r="E624" s="502" t="inlineStr">
        <is>
          <t>3 экрана</t>
        </is>
      </c>
      <c r="F624" s="628" t="n">
        <v>45432</v>
      </c>
    </row>
    <row r="625" hidden="1">
      <c r="A625" s="130" t="inlineStr">
        <is>
          <t>Москва</t>
        </is>
      </c>
      <c r="B625" s="130" t="inlineStr">
        <is>
          <t>Газпромнефть</t>
        </is>
      </c>
      <c r="C625" s="637" t="n">
        <v>11242</v>
      </c>
      <c r="D625" s="637" t="inlineStr">
        <is>
          <t>GPN_11242</t>
        </is>
      </c>
      <c r="E625" s="502" t="inlineStr">
        <is>
          <t>2 экрана</t>
        </is>
      </c>
      <c r="F625" s="628" t="n">
        <v>45432</v>
      </c>
    </row>
    <row r="626" hidden="1">
      <c r="A626" s="130" t="inlineStr">
        <is>
          <t>Москва</t>
        </is>
      </c>
      <c r="B626" s="130" t="inlineStr">
        <is>
          <t>Газпромнефть</t>
        </is>
      </c>
      <c r="C626" s="637" t="n">
        <v>11275</v>
      </c>
      <c r="D626" s="637" t="inlineStr">
        <is>
          <t>GPN_11275</t>
        </is>
      </c>
      <c r="E626" s="502" t="inlineStr">
        <is>
          <t>3 экрана</t>
        </is>
      </c>
      <c r="F626" s="628" t="n">
        <v>45432</v>
      </c>
    </row>
    <row r="627" hidden="1">
      <c r="A627" s="130" t="inlineStr">
        <is>
          <t>Москва</t>
        </is>
      </c>
      <c r="B627" s="130" t="inlineStr">
        <is>
          <t>Газпромнефть</t>
        </is>
      </c>
      <c r="C627" s="637" t="n">
        <v>11282</v>
      </c>
      <c r="D627" s="637" t="inlineStr">
        <is>
          <t>GPN_11282</t>
        </is>
      </c>
      <c r="E627" s="502" t="inlineStr">
        <is>
          <t>3 экрана</t>
        </is>
      </c>
      <c r="F627" s="628" t="n">
        <v>45432</v>
      </c>
    </row>
    <row r="628" hidden="1">
      <c r="A628" s="130" t="inlineStr">
        <is>
          <t>Москва</t>
        </is>
      </c>
      <c r="B628" s="130" t="inlineStr">
        <is>
          <t>Газпромнефть</t>
        </is>
      </c>
      <c r="C628" s="637" t="n">
        <v>12322</v>
      </c>
      <c r="D628" s="637" t="inlineStr">
        <is>
          <t>GPN_12322</t>
        </is>
      </c>
      <c r="E628" s="502" t="inlineStr">
        <is>
          <t>3 экрана</t>
        </is>
      </c>
      <c r="F628" s="628" t="n">
        <v>45432</v>
      </c>
    </row>
    <row r="629" hidden="1">
      <c r="A629" s="130" t="inlineStr">
        <is>
          <t>Москва</t>
        </is>
      </c>
      <c r="B629" s="130" t="inlineStr">
        <is>
          <t>Газпромнефть</t>
        </is>
      </c>
      <c r="C629" s="637" t="n">
        <v>12324</v>
      </c>
      <c r="D629" s="637" t="inlineStr">
        <is>
          <t>GPN_12324</t>
        </is>
      </c>
      <c r="E629" s="502" t="inlineStr">
        <is>
          <t>3 экрана</t>
        </is>
      </c>
      <c r="F629" s="628" t="n">
        <v>45432</v>
      </c>
    </row>
    <row r="630" hidden="1">
      <c r="A630" s="130" t="inlineStr">
        <is>
          <t>Москва</t>
        </is>
      </c>
      <c r="B630" s="130" t="inlineStr">
        <is>
          <t>Газпромнефть</t>
        </is>
      </c>
      <c r="C630" s="637" t="n">
        <v>12326</v>
      </c>
      <c r="D630" s="637" t="inlineStr">
        <is>
          <t>GPN_12326</t>
        </is>
      </c>
      <c r="E630" s="502" t="inlineStr">
        <is>
          <t>2 экрана</t>
        </is>
      </c>
      <c r="F630" s="628" t="n">
        <v>45432</v>
      </c>
    </row>
    <row r="631" hidden="1">
      <c r="A631" s="130" t="inlineStr">
        <is>
          <t xml:space="preserve">Санкт-Петербург </t>
        </is>
      </c>
      <c r="B631" s="130" t="inlineStr">
        <is>
          <t>Газпромнефть</t>
        </is>
      </c>
      <c r="C631" s="637" t="n">
        <v>10129</v>
      </c>
      <c r="D631" s="637" t="inlineStr">
        <is>
          <t>GPN_10129</t>
        </is>
      </c>
      <c r="E631" s="502" t="inlineStr">
        <is>
          <t>1 экран</t>
        </is>
      </c>
      <c r="F631" s="628" t="n">
        <v>45432</v>
      </c>
    </row>
    <row r="632" hidden="1">
      <c r="A632" s="130" t="inlineStr">
        <is>
          <t>Москва</t>
        </is>
      </c>
      <c r="B632" s="130" t="inlineStr">
        <is>
          <t>Газпромнефть</t>
        </is>
      </c>
      <c r="C632" s="637" t="n">
        <v>12328</v>
      </c>
      <c r="D632" s="637" t="inlineStr">
        <is>
          <t>GPN_12328</t>
        </is>
      </c>
      <c r="E632" s="502" t="inlineStr">
        <is>
          <t>2 экрана</t>
        </is>
      </c>
      <c r="F632" s="628" t="n">
        <v>45432</v>
      </c>
    </row>
    <row r="633" hidden="1">
      <c r="A633" s="130" t="inlineStr">
        <is>
          <t xml:space="preserve">Санкт-Петербург </t>
        </is>
      </c>
      <c r="B633" s="130" t="inlineStr">
        <is>
          <t>Газпромнефть</t>
        </is>
      </c>
      <c r="C633" s="637" t="n">
        <v>10122</v>
      </c>
      <c r="D633" s="637" t="inlineStr">
        <is>
          <t>GPN_10122</t>
        </is>
      </c>
      <c r="E633" s="502" t="inlineStr">
        <is>
          <t>2 экрана</t>
        </is>
      </c>
      <c r="F633" s="628" t="n">
        <v>45432</v>
      </c>
    </row>
    <row r="634" hidden="1">
      <c r="A634" s="130" t="inlineStr">
        <is>
          <t xml:space="preserve">Санкт-Петербург </t>
        </is>
      </c>
      <c r="B634" s="130" t="inlineStr">
        <is>
          <t>Газпромнефть</t>
        </is>
      </c>
      <c r="C634" s="637" t="n">
        <v>10131</v>
      </c>
      <c r="D634" s="637" t="inlineStr">
        <is>
          <t>GPN_10131</t>
        </is>
      </c>
      <c r="E634" s="502" t="inlineStr">
        <is>
          <t>2 экрана</t>
        </is>
      </c>
      <c r="F634" s="628" t="n">
        <v>45432</v>
      </c>
    </row>
    <row r="635" hidden="1">
      <c r="A635" s="130" t="inlineStr">
        <is>
          <t xml:space="preserve">Санкт-Петербург </t>
        </is>
      </c>
      <c r="B635" s="130" t="inlineStr">
        <is>
          <t>Газпромнефть</t>
        </is>
      </c>
      <c r="C635" s="637" t="n">
        <v>10135</v>
      </c>
      <c r="D635" s="637" t="inlineStr">
        <is>
          <t>GPN_10135</t>
        </is>
      </c>
      <c r="E635" s="502" t="inlineStr">
        <is>
          <t>2 экрана</t>
        </is>
      </c>
      <c r="F635" s="628" t="n">
        <v>45432</v>
      </c>
    </row>
    <row r="636" hidden="1">
      <c r="A636" s="130" t="inlineStr">
        <is>
          <t>Москва</t>
        </is>
      </c>
      <c r="B636" s="130" t="inlineStr">
        <is>
          <t>Газпромнефть</t>
        </is>
      </c>
      <c r="C636" s="637" t="n">
        <v>12319</v>
      </c>
      <c r="D636" s="637" t="inlineStr">
        <is>
          <t>GPN_12319</t>
        </is>
      </c>
      <c r="E636" s="502" t="inlineStr">
        <is>
          <t>2 экрана</t>
        </is>
      </c>
      <c r="F636" s="628" t="n">
        <v>45432</v>
      </c>
    </row>
    <row r="637" hidden="1">
      <c r="A637" s="130" t="inlineStr">
        <is>
          <t>Екатеринбург</t>
        </is>
      </c>
      <c r="B637" s="130" t="inlineStr">
        <is>
          <t>Газпромнефть</t>
        </is>
      </c>
      <c r="C637" s="637" t="n">
        <v>25049</v>
      </c>
      <c r="D637" s="637" t="inlineStr">
        <is>
          <t>GPN_25049</t>
        </is>
      </c>
      <c r="E637" s="502" t="inlineStr">
        <is>
          <t>1 экран</t>
        </is>
      </c>
      <c r="F637" s="628" t="n">
        <v>45432</v>
      </c>
    </row>
    <row r="638" hidden="1">
      <c r="A638" s="130" t="inlineStr">
        <is>
          <t>Екатеринбург</t>
        </is>
      </c>
      <c r="B638" s="130" t="inlineStr">
        <is>
          <t>Газпромнефть</t>
        </is>
      </c>
      <c r="C638" s="637" t="n">
        <v>25045</v>
      </c>
      <c r="D638" s="637" t="inlineStr">
        <is>
          <t>GPN_25045</t>
        </is>
      </c>
      <c r="E638" s="502" t="inlineStr">
        <is>
          <t>1 экран</t>
        </is>
      </c>
      <c r="F638" s="628" t="n">
        <v>45432</v>
      </c>
    </row>
    <row r="639" hidden="1">
      <c r="A639" s="130" t="inlineStr">
        <is>
          <t>Екатеринбург</t>
        </is>
      </c>
      <c r="B639" s="130" t="inlineStr">
        <is>
          <t>Газпромнефть</t>
        </is>
      </c>
      <c r="C639" s="637" t="n">
        <v>25063</v>
      </c>
      <c r="D639" s="637" t="inlineStr">
        <is>
          <t>GPN_25063</t>
        </is>
      </c>
      <c r="E639" s="502" t="inlineStr">
        <is>
          <t>1 экран</t>
        </is>
      </c>
      <c r="F639" s="628" t="n">
        <v>45432</v>
      </c>
    </row>
    <row r="640" hidden="1">
      <c r="A640" s="130" t="inlineStr">
        <is>
          <t>Екатеринбург</t>
        </is>
      </c>
      <c r="B640" s="130" t="inlineStr">
        <is>
          <t>Газпромнефть</t>
        </is>
      </c>
      <c r="C640" s="637" t="n">
        <v>25064</v>
      </c>
      <c r="D640" s="637" t="inlineStr">
        <is>
          <t>GPN_25064</t>
        </is>
      </c>
      <c r="E640" s="502" t="inlineStr">
        <is>
          <t>1 экран</t>
        </is>
      </c>
      <c r="F640" s="628" t="n">
        <v>45432</v>
      </c>
    </row>
    <row r="641" hidden="1">
      <c r="A641" s="130" t="inlineStr">
        <is>
          <t>Москва</t>
        </is>
      </c>
      <c r="B641" s="130" t="inlineStr">
        <is>
          <t>Газпромнефть</t>
        </is>
      </c>
      <c r="C641" s="637" t="n">
        <v>12052</v>
      </c>
      <c r="D641" s="637" t="inlineStr">
        <is>
          <t>GPN_12052</t>
        </is>
      </c>
      <c r="E641" s="502" t="inlineStr">
        <is>
          <t>3 экрана</t>
        </is>
      </c>
      <c r="F641" s="628" t="n">
        <v>45432</v>
      </c>
    </row>
    <row r="642" hidden="1">
      <c r="A642" s="130" t="inlineStr">
        <is>
          <t>Екатеринбург</t>
        </is>
      </c>
      <c r="B642" s="130" t="inlineStr">
        <is>
          <t>Газпромнефть</t>
        </is>
      </c>
      <c r="C642" s="637" t="n">
        <v>25090</v>
      </c>
      <c r="D642" s="637" t="inlineStr">
        <is>
          <t>GPN_25090</t>
        </is>
      </c>
      <c r="E642" s="502" t="inlineStr">
        <is>
          <t>2 экрана</t>
        </is>
      </c>
      <c r="F642" s="628" t="n">
        <v>45432</v>
      </c>
    </row>
    <row r="643" hidden="1">
      <c r="A643" s="130" t="inlineStr">
        <is>
          <t>Алтайский край</t>
        </is>
      </c>
      <c r="B643" s="130" t="inlineStr">
        <is>
          <t>Газпромнефть</t>
        </is>
      </c>
      <c r="C643" s="637" t="n">
        <v>32208</v>
      </c>
      <c r="D643" s="637" t="inlineStr">
        <is>
          <t>GPN_32208</t>
        </is>
      </c>
      <c r="E643" s="502" t="inlineStr">
        <is>
          <t>2 экрана</t>
        </is>
      </c>
      <c r="F643" s="628" t="n">
        <v>45432</v>
      </c>
    </row>
    <row r="644" hidden="1">
      <c r="A644" s="125" t="inlineStr">
        <is>
          <t>Москва</t>
        </is>
      </c>
      <c r="B644" s="130" t="inlineStr">
        <is>
          <t>Газпромнефть</t>
        </is>
      </c>
      <c r="C644" s="637" t="n">
        <v>12360</v>
      </c>
      <c r="D644" s="637" t="inlineStr">
        <is>
          <t>GPN_12360</t>
        </is>
      </c>
      <c r="E644" s="502" t="inlineStr">
        <is>
          <t>Добавил</t>
        </is>
      </c>
      <c r="F644" s="628" t="n">
        <v>45432</v>
      </c>
    </row>
    <row r="645" hidden="1">
      <c r="A645" s="130" t="inlineStr">
        <is>
          <t xml:space="preserve">Санкт-Петербург </t>
        </is>
      </c>
      <c r="B645" s="130" t="inlineStr">
        <is>
          <t>Газпромнефть</t>
        </is>
      </c>
      <c r="C645" s="637" t="n">
        <v>10020</v>
      </c>
      <c r="D645" s="637" t="inlineStr">
        <is>
          <t>GPN_10020</t>
        </is>
      </c>
      <c r="E645" s="502" t="inlineStr">
        <is>
          <t>Добавил</t>
        </is>
      </c>
      <c r="F645" s="628" t="n">
        <v>45432</v>
      </c>
    </row>
    <row r="646" hidden="1">
      <c r="A646" s="125" t="inlineStr">
        <is>
          <t>Москва</t>
        </is>
      </c>
      <c r="B646" s="130" t="inlineStr">
        <is>
          <t>Газпромнефть</t>
        </is>
      </c>
      <c r="C646" s="637" t="n">
        <v>11006</v>
      </c>
      <c r="D646" s="637" t="inlineStr">
        <is>
          <t>GPN_11006</t>
        </is>
      </c>
      <c r="E646" s="502" t="inlineStr">
        <is>
          <t>Добавил</t>
        </is>
      </c>
      <c r="F646" s="628" t="n">
        <v>45432</v>
      </c>
    </row>
    <row r="647" hidden="1">
      <c r="A647" s="130" t="inlineStr">
        <is>
          <t>Алтайский край</t>
        </is>
      </c>
      <c r="B647" s="130" t="inlineStr">
        <is>
          <t>Газпромнефть</t>
        </is>
      </c>
      <c r="C647" s="637" t="n">
        <v>32196</v>
      </c>
      <c r="D647" s="637" t="inlineStr">
        <is>
          <t>GPN_32196</t>
        </is>
      </c>
      <c r="E647" s="502" t="inlineStr">
        <is>
          <t>Новая АЗК</t>
        </is>
      </c>
      <c r="F647" s="628" t="n">
        <v>45432</v>
      </c>
    </row>
    <row r="648" hidden="1">
      <c r="A648" s="130" t="inlineStr">
        <is>
          <t>Алтайский край</t>
        </is>
      </c>
      <c r="B648" s="130" t="inlineStr">
        <is>
          <t>Газпромнефть</t>
        </is>
      </c>
      <c r="C648" s="637" t="n">
        <v>32565</v>
      </c>
      <c r="D648" s="637" t="inlineStr">
        <is>
          <t>GPN_32565</t>
        </is>
      </c>
      <c r="E648" s="502" t="inlineStr">
        <is>
          <t>Новая АЗК</t>
        </is>
      </c>
      <c r="F648" s="628" t="n">
        <v>45432</v>
      </c>
    </row>
    <row r="649" hidden="1">
      <c r="A649" s="130" t="inlineStr">
        <is>
          <t>Красноярск</t>
        </is>
      </c>
      <c r="B649" s="130" t="inlineStr">
        <is>
          <t>Газпромнефть</t>
        </is>
      </c>
      <c r="C649" s="637" t="n">
        <v>34195</v>
      </c>
      <c r="D649" s="637" t="inlineStr">
        <is>
          <t>GPN_34195</t>
        </is>
      </c>
      <c r="E649" s="502" t="inlineStr">
        <is>
          <t>Новая АЗК</t>
        </is>
      </c>
      <c r="F649" s="628" t="n">
        <v>45432</v>
      </c>
    </row>
    <row r="650" hidden="1">
      <c r="A650" s="130" t="inlineStr">
        <is>
          <t>Алтайский край</t>
        </is>
      </c>
      <c r="B650" s="130" t="inlineStr">
        <is>
          <t>Газпромнефть</t>
        </is>
      </c>
      <c r="C650" s="637" t="n">
        <v>33104</v>
      </c>
      <c r="D650" s="637" t="inlineStr">
        <is>
          <t>GPN_33104</t>
        </is>
      </c>
      <c r="E650" s="502" t="inlineStr">
        <is>
          <t>Новая АЗК</t>
        </is>
      </c>
      <c r="F650" s="628" t="n">
        <v>45432</v>
      </c>
    </row>
    <row r="651" hidden="1">
      <c r="A651" s="130" t="inlineStr">
        <is>
          <t>Новосибирск</t>
        </is>
      </c>
      <c r="B651" s="130" t="inlineStr">
        <is>
          <t>Газпромнефть</t>
        </is>
      </c>
      <c r="C651" s="637" t="n">
        <v>30109</v>
      </c>
      <c r="D651" s="637" t="inlineStr">
        <is>
          <t>GPN_30109</t>
        </is>
      </c>
      <c r="E651" s="502" t="inlineStr">
        <is>
          <t>Новая АЗК</t>
        </is>
      </c>
      <c r="F651" s="628" t="n">
        <v>45432</v>
      </c>
    </row>
    <row r="652" hidden="1">
      <c r="A652" s="130" t="inlineStr">
        <is>
          <t>Санкт-Петербург</t>
        </is>
      </c>
      <c r="B652" s="130" t="inlineStr">
        <is>
          <t>Газпромнефть</t>
        </is>
      </c>
      <c r="C652" s="637" t="n">
        <v>10146</v>
      </c>
      <c r="D652" s="637" t="inlineStr">
        <is>
          <t>GPN_10146</t>
        </is>
      </c>
      <c r="E652" s="502" t="inlineStr">
        <is>
          <t>Новая АЗК</t>
        </is>
      </c>
      <c r="F652" s="628" t="n">
        <v>45432</v>
      </c>
    </row>
    <row r="653" hidden="1">
      <c r="A653" s="130" t="inlineStr">
        <is>
          <t>Санкт-Петербург</t>
        </is>
      </c>
      <c r="B653" s="130" t="inlineStr">
        <is>
          <t>Газпромнефть</t>
        </is>
      </c>
      <c r="C653" s="637" t="n">
        <v>10147</v>
      </c>
      <c r="D653" s="637" t="inlineStr">
        <is>
          <t>GPN_10147</t>
        </is>
      </c>
      <c r="E653" s="502" t="inlineStr">
        <is>
          <t>Новая АЗК</t>
        </is>
      </c>
      <c r="F653" s="628" t="n">
        <v>45432</v>
      </c>
    </row>
    <row r="654" hidden="1">
      <c r="A654" s="130" t="inlineStr">
        <is>
          <t>Санкт-Петербург</t>
        </is>
      </c>
      <c r="B654" s="130" t="inlineStr">
        <is>
          <t>Газпромнефть</t>
        </is>
      </c>
      <c r="C654" s="637" t="n">
        <v>10151</v>
      </c>
      <c r="D654" s="637" t="inlineStr">
        <is>
          <t>GPN_10151</t>
        </is>
      </c>
      <c r="E654" s="502" t="inlineStr">
        <is>
          <t>Новая АЗК</t>
        </is>
      </c>
      <c r="F654" s="628" t="n">
        <v>45432</v>
      </c>
    </row>
    <row r="655" hidden="1">
      <c r="A655" s="130" t="inlineStr">
        <is>
          <t>Санкт-Петербург</t>
        </is>
      </c>
      <c r="B655" s="130" t="inlineStr">
        <is>
          <t>Газпромнефть</t>
        </is>
      </c>
      <c r="C655" s="637" t="n">
        <v>10153</v>
      </c>
      <c r="D655" s="637" t="inlineStr">
        <is>
          <t>GPN_10153</t>
        </is>
      </c>
      <c r="E655" s="502" t="inlineStr">
        <is>
          <t>Новая АЗК</t>
        </is>
      </c>
      <c r="F655" s="628" t="n">
        <v>45432</v>
      </c>
    </row>
    <row r="656" hidden="1">
      <c r="A656" s="130" t="inlineStr">
        <is>
          <t>Санкт-Петербург</t>
        </is>
      </c>
      <c r="B656" s="130" t="inlineStr">
        <is>
          <t>Газпромнефть</t>
        </is>
      </c>
      <c r="C656" s="637" t="n">
        <v>10154</v>
      </c>
      <c r="D656" s="637" t="inlineStr">
        <is>
          <t>GPN_10154</t>
        </is>
      </c>
      <c r="E656" s="502" t="inlineStr">
        <is>
          <t>Новая АЗК</t>
        </is>
      </c>
      <c r="F656" s="628" t="n">
        <v>45432</v>
      </c>
    </row>
    <row r="657" hidden="1">
      <c r="A657" s="130" t="inlineStr">
        <is>
          <t>Санкт-Петербург</t>
        </is>
      </c>
      <c r="B657" s="130" t="inlineStr">
        <is>
          <t>Газпромнефть</t>
        </is>
      </c>
      <c r="C657" s="637" t="n">
        <v>10155</v>
      </c>
      <c r="D657" s="637" t="inlineStr">
        <is>
          <t>GPN_10155</t>
        </is>
      </c>
      <c r="E657" s="502" t="inlineStr">
        <is>
          <t>Новая АЗК</t>
        </is>
      </c>
      <c r="F657" s="628" t="n">
        <v>45432</v>
      </c>
    </row>
    <row r="658" hidden="1">
      <c r="A658" s="130" t="inlineStr">
        <is>
          <t>Санкт-Петербург</t>
        </is>
      </c>
      <c r="B658" s="130" t="inlineStr">
        <is>
          <t>Газпромнефть</t>
        </is>
      </c>
      <c r="C658" s="637" t="n">
        <v>10156</v>
      </c>
      <c r="D658" s="637" t="inlineStr">
        <is>
          <t>GPN_10156</t>
        </is>
      </c>
      <c r="E658" s="502" t="inlineStr">
        <is>
          <t>Новая АЗК</t>
        </is>
      </c>
      <c r="F658" s="628" t="n">
        <v>45432</v>
      </c>
    </row>
    <row r="659" hidden="1">
      <c r="A659" s="130" t="inlineStr">
        <is>
          <t>Санкт-Петербург</t>
        </is>
      </c>
      <c r="B659" s="130" t="inlineStr">
        <is>
          <t>Газпромнефть</t>
        </is>
      </c>
      <c r="C659" s="637" t="n">
        <v>10162</v>
      </c>
      <c r="D659" s="637" t="inlineStr">
        <is>
          <t>GPN_10162</t>
        </is>
      </c>
      <c r="E659" s="502" t="inlineStr">
        <is>
          <t>Новая АЗК</t>
        </is>
      </c>
      <c r="F659" s="628" t="n">
        <v>45432</v>
      </c>
    </row>
    <row r="660" hidden="1">
      <c r="A660" s="130" t="inlineStr">
        <is>
          <t>Санкт-Петербург</t>
        </is>
      </c>
      <c r="B660" s="130" t="inlineStr">
        <is>
          <t>Газпромнефть</t>
        </is>
      </c>
      <c r="C660" s="637" t="n">
        <v>10163</v>
      </c>
      <c r="D660" s="637" t="inlineStr">
        <is>
          <t>GPN_10163</t>
        </is>
      </c>
      <c r="E660" s="502" t="inlineStr">
        <is>
          <t>Новая АЗК</t>
        </is>
      </c>
      <c r="F660" s="628" t="n">
        <v>45432</v>
      </c>
    </row>
    <row r="661" hidden="1">
      <c r="A661" s="130" t="inlineStr">
        <is>
          <t>Санкт-Петербург</t>
        </is>
      </c>
      <c r="B661" s="130" t="inlineStr">
        <is>
          <t>Газпромнефть</t>
        </is>
      </c>
      <c r="C661" s="637" t="n">
        <v>10165</v>
      </c>
      <c r="D661" s="637" t="inlineStr">
        <is>
          <t>GPN_10165</t>
        </is>
      </c>
      <c r="E661" s="502" t="inlineStr">
        <is>
          <t>Новая АЗК</t>
        </is>
      </c>
      <c r="F661" s="628" t="n">
        <v>45432</v>
      </c>
    </row>
    <row r="662" hidden="1">
      <c r="A662" s="130" t="inlineStr">
        <is>
          <t>Екатеринбург</t>
        </is>
      </c>
      <c r="B662" s="130" t="inlineStr">
        <is>
          <t>Газпромнефть</t>
        </is>
      </c>
      <c r="C662" s="637" t="n">
        <v>20508</v>
      </c>
      <c r="D662" s="637" t="inlineStr">
        <is>
          <t>GPN_20508</t>
        </is>
      </c>
      <c r="E662" s="502" t="inlineStr">
        <is>
          <t>Новая АЗК</t>
        </is>
      </c>
      <c r="F662" s="628" t="n">
        <v>45432</v>
      </c>
    </row>
    <row r="663" hidden="1">
      <c r="A663" s="130" t="inlineStr">
        <is>
          <t>Екатеринбург</t>
        </is>
      </c>
      <c r="B663" s="130" t="inlineStr">
        <is>
          <t>Газпромнефть</t>
        </is>
      </c>
      <c r="C663" s="637" t="n">
        <v>20515</v>
      </c>
      <c r="D663" s="637" t="inlineStr">
        <is>
          <t>GPN_20515</t>
        </is>
      </c>
      <c r="E663" s="502" t="inlineStr">
        <is>
          <t>Новая АЗК</t>
        </is>
      </c>
      <c r="F663" s="628" t="n">
        <v>45432</v>
      </c>
    </row>
    <row r="664" hidden="1">
      <c r="A664" s="130" t="inlineStr">
        <is>
          <t>Екатеринбург</t>
        </is>
      </c>
      <c r="B664" s="130" t="inlineStr">
        <is>
          <t>Газпромнефть</t>
        </is>
      </c>
      <c r="C664" s="637" t="n">
        <v>20550</v>
      </c>
      <c r="D664" s="637" t="inlineStr">
        <is>
          <t>GPN_20550</t>
        </is>
      </c>
      <c r="E664" s="502" t="inlineStr">
        <is>
          <t>Новая АЗК</t>
        </is>
      </c>
      <c r="F664" s="628" t="n">
        <v>45432</v>
      </c>
    </row>
    <row r="665" hidden="1">
      <c r="A665" s="130" t="inlineStr">
        <is>
          <t>Приволжье (Нижний Новгород, Казань)</t>
        </is>
      </c>
      <c r="B665" s="130" t="inlineStr">
        <is>
          <t>Газпромнефть</t>
        </is>
      </c>
      <c r="C665" s="637" t="n">
        <v>20602</v>
      </c>
      <c r="D665" s="637" t="inlineStr">
        <is>
          <t>GPN_20602</t>
        </is>
      </c>
      <c r="E665" s="502" t="inlineStr">
        <is>
          <t>Новая АЗК</t>
        </is>
      </c>
      <c r="F665" s="628" t="n">
        <v>45432</v>
      </c>
    </row>
    <row r="666" hidden="1">
      <c r="A666" s="130" t="inlineStr">
        <is>
          <t>Тюмень</t>
        </is>
      </c>
      <c r="B666" s="130" t="inlineStr">
        <is>
          <t>Газпромнефть</t>
        </is>
      </c>
      <c r="C666" s="637" t="n">
        <v>21316</v>
      </c>
      <c r="D666" s="637" t="inlineStr">
        <is>
          <t>GPN_21316</t>
        </is>
      </c>
      <c r="E666" s="502" t="inlineStr">
        <is>
          <t>Новая АЗК</t>
        </is>
      </c>
      <c r="F666" s="628" t="n">
        <v>45432</v>
      </c>
    </row>
    <row r="667" hidden="1">
      <c r="A667" s="130" t="inlineStr">
        <is>
          <t>Тюмень</t>
        </is>
      </c>
      <c r="B667" s="130" t="inlineStr">
        <is>
          <t>Газпромнефть</t>
        </is>
      </c>
      <c r="C667" s="637" t="n">
        <v>21318</v>
      </c>
      <c r="D667" s="637" t="inlineStr">
        <is>
          <t>GPN_21318</t>
        </is>
      </c>
      <c r="E667" s="502" t="inlineStr">
        <is>
          <t>Новая АЗК</t>
        </is>
      </c>
      <c r="F667" s="628" t="n">
        <v>45432</v>
      </c>
    </row>
    <row r="668" hidden="1">
      <c r="A668" s="130" t="inlineStr">
        <is>
          <t>Тюмень</t>
        </is>
      </c>
      <c r="B668" s="130" t="inlineStr">
        <is>
          <t>Газпромнефть</t>
        </is>
      </c>
      <c r="C668" s="637" t="n">
        <v>21351</v>
      </c>
      <c r="D668" s="637" t="inlineStr">
        <is>
          <t>GPN_21351</t>
        </is>
      </c>
      <c r="E668" s="502" t="inlineStr">
        <is>
          <t>Новая АЗК</t>
        </is>
      </c>
      <c r="F668" s="628" t="n">
        <v>45432</v>
      </c>
    </row>
    <row r="669" hidden="1">
      <c r="A669" s="130" t="inlineStr">
        <is>
          <t>Екатеринбург</t>
        </is>
      </c>
      <c r="B669" s="130" t="inlineStr">
        <is>
          <t>Газпромнефть</t>
        </is>
      </c>
      <c r="C669" s="637" t="n">
        <v>25077</v>
      </c>
      <c r="D669" s="637" t="inlineStr">
        <is>
          <t>GPN_25077</t>
        </is>
      </c>
      <c r="E669" s="502" t="inlineStr">
        <is>
          <t>Новая АЗК</t>
        </is>
      </c>
      <c r="F669" s="628" t="n">
        <v>45432</v>
      </c>
    </row>
    <row r="670" hidden="1">
      <c r="A670" s="130" t="inlineStr">
        <is>
          <t>Екатеринбург</t>
        </is>
      </c>
      <c r="B670" s="130" t="inlineStr">
        <is>
          <t>Газпромнефть</t>
        </is>
      </c>
      <c r="C670" s="637" t="n">
        <v>25092</v>
      </c>
      <c r="D670" s="637" t="inlineStr">
        <is>
          <t>GPN_25092</t>
        </is>
      </c>
      <c r="E670" s="502" t="inlineStr">
        <is>
          <t>Новая АЗК</t>
        </is>
      </c>
      <c r="F670" s="628" t="n">
        <v>45432</v>
      </c>
    </row>
    <row r="671" hidden="1">
      <c r="A671" s="130" t="inlineStr">
        <is>
          <t>Новосибирск</t>
        </is>
      </c>
      <c r="B671" s="130" t="inlineStr">
        <is>
          <t>Газпромнефть</t>
        </is>
      </c>
      <c r="C671" s="637" t="n">
        <v>30045</v>
      </c>
      <c r="D671" s="637" t="inlineStr">
        <is>
          <t>GPN_30045</t>
        </is>
      </c>
      <c r="E671" s="502" t="inlineStr">
        <is>
          <t>Новая АЗК</t>
        </is>
      </c>
      <c r="F671" s="628" t="n">
        <v>45432</v>
      </c>
    </row>
    <row r="672" hidden="1">
      <c r="A672" s="130" t="inlineStr">
        <is>
          <t>Новосибирск</t>
        </is>
      </c>
      <c r="B672" s="130" t="inlineStr">
        <is>
          <t>Газпромнефть</t>
        </is>
      </c>
      <c r="C672" s="637" t="n">
        <v>30052</v>
      </c>
      <c r="D672" s="637" t="inlineStr">
        <is>
          <t>GPN_30052</t>
        </is>
      </c>
      <c r="E672" s="502" t="inlineStr">
        <is>
          <t>Новая АЗК</t>
        </is>
      </c>
      <c r="F672" s="628" t="n">
        <v>45432</v>
      </c>
    </row>
    <row r="673" hidden="1">
      <c r="A673" s="130" t="inlineStr">
        <is>
          <t>Новосибирск</t>
        </is>
      </c>
      <c r="B673" s="130" t="inlineStr">
        <is>
          <t>Газпромнефть</t>
        </is>
      </c>
      <c r="C673" s="637" t="n">
        <v>30134</v>
      </c>
      <c r="D673" s="637" t="inlineStr">
        <is>
          <t>GPN_30134</t>
        </is>
      </c>
      <c r="E673" s="502" t="inlineStr">
        <is>
          <t>Новая АЗК</t>
        </is>
      </c>
      <c r="F673" s="628" t="n">
        <v>45432</v>
      </c>
    </row>
    <row r="674" hidden="1">
      <c r="A674" s="130" t="inlineStr">
        <is>
          <t>Новосибирск</t>
        </is>
      </c>
      <c r="B674" s="130" t="inlineStr">
        <is>
          <t>Газпромнефть</t>
        </is>
      </c>
      <c r="C674" s="637" t="n">
        <v>30140</v>
      </c>
      <c r="D674" s="637" t="inlineStr">
        <is>
          <t>GPN_30140</t>
        </is>
      </c>
      <c r="E674" s="502" t="inlineStr">
        <is>
          <t>Новая АЗК</t>
        </is>
      </c>
      <c r="F674" s="628" t="n">
        <v>45432</v>
      </c>
    </row>
    <row r="675" hidden="1">
      <c r="A675" s="130" t="inlineStr">
        <is>
          <t>Омск</t>
        </is>
      </c>
      <c r="B675" s="130" t="inlineStr">
        <is>
          <t>Газпромнефть</t>
        </is>
      </c>
      <c r="C675" s="637" t="n">
        <v>31039</v>
      </c>
      <c r="D675" s="637" t="inlineStr">
        <is>
          <t>GPN_31039</t>
        </is>
      </c>
      <c r="E675" s="502" t="inlineStr">
        <is>
          <t>Новая АЗК</t>
        </is>
      </c>
      <c r="F675" s="628" t="n">
        <v>45432</v>
      </c>
    </row>
    <row r="676" hidden="1">
      <c r="A676" s="130" t="inlineStr">
        <is>
          <t>Алтайский край</t>
        </is>
      </c>
      <c r="B676" s="130" t="inlineStr">
        <is>
          <t>Газпромнефть</t>
        </is>
      </c>
      <c r="C676" s="637" t="n">
        <v>32203</v>
      </c>
      <c r="D676" s="637" t="inlineStr">
        <is>
          <t>GPN_32203</t>
        </is>
      </c>
      <c r="E676" s="502" t="inlineStr">
        <is>
          <t>Новая АЗК</t>
        </is>
      </c>
      <c r="F676" s="628" t="n">
        <v>45432</v>
      </c>
    </row>
    <row r="677" hidden="1">
      <c r="A677" s="130" t="inlineStr">
        <is>
          <t>Алтайский край</t>
        </is>
      </c>
      <c r="B677" s="130" t="inlineStr">
        <is>
          <t>Газпромнефть</t>
        </is>
      </c>
      <c r="C677" s="637" t="n">
        <v>33059</v>
      </c>
      <c r="D677" s="637" t="inlineStr">
        <is>
          <t>GPN_33059</t>
        </is>
      </c>
      <c r="E677" s="502" t="inlineStr">
        <is>
          <t>Новая АЗК</t>
        </is>
      </c>
      <c r="F677" s="628" t="n">
        <v>45432</v>
      </c>
    </row>
    <row r="678" hidden="1">
      <c r="A678" s="130" t="inlineStr">
        <is>
          <t>Алтайский край</t>
        </is>
      </c>
      <c r="B678" s="130" t="inlineStr">
        <is>
          <t>Газпромнефть</t>
        </is>
      </c>
      <c r="C678" s="637" t="n">
        <v>33071</v>
      </c>
      <c r="D678" s="637" t="inlineStr">
        <is>
          <t>GPN_33071</t>
        </is>
      </c>
      <c r="E678" s="502" t="inlineStr">
        <is>
          <t>Новая АЗК</t>
        </is>
      </c>
      <c r="F678" s="628" t="n">
        <v>45432</v>
      </c>
    </row>
    <row r="679" hidden="1">
      <c r="A679" s="130" t="inlineStr">
        <is>
          <t>Алтайский край</t>
        </is>
      </c>
      <c r="B679" s="130" t="inlineStr">
        <is>
          <t>Газпромнефть</t>
        </is>
      </c>
      <c r="C679" s="637" t="n">
        <v>33120</v>
      </c>
      <c r="D679" s="637" t="inlineStr">
        <is>
          <t>GPN_33120</t>
        </is>
      </c>
      <c r="E679" s="502" t="inlineStr">
        <is>
          <t>Новая АЗК</t>
        </is>
      </c>
      <c r="F679" s="628" t="n">
        <v>45432</v>
      </c>
    </row>
    <row r="680" hidden="1">
      <c r="A680" s="130" t="inlineStr">
        <is>
          <t>Алтайский край</t>
        </is>
      </c>
      <c r="B680" s="130" t="inlineStr">
        <is>
          <t>Газпромнефть</t>
        </is>
      </c>
      <c r="C680" s="637" t="n">
        <v>33135</v>
      </c>
      <c r="D680" s="637" t="inlineStr">
        <is>
          <t>GPN_33135</t>
        </is>
      </c>
      <c r="E680" s="502" t="inlineStr">
        <is>
          <t>Новая АЗК</t>
        </is>
      </c>
      <c r="F680" s="628" t="n">
        <v>45432</v>
      </c>
    </row>
    <row r="681" hidden="1">
      <c r="A681" s="130" t="inlineStr">
        <is>
          <t>Красноярск</t>
        </is>
      </c>
      <c r="B681" s="130" t="inlineStr">
        <is>
          <t>Газпромнефть</t>
        </is>
      </c>
      <c r="C681" s="637" t="n">
        <v>34233</v>
      </c>
      <c r="D681" s="637" t="inlineStr">
        <is>
          <t>GPN_34233</t>
        </is>
      </c>
      <c r="E681" s="502" t="inlineStr">
        <is>
          <t>Новая АЗК</t>
        </is>
      </c>
      <c r="F681" s="628" t="n">
        <v>45432</v>
      </c>
    </row>
    <row r="682" hidden="1">
      <c r="A682" s="130" t="inlineStr">
        <is>
          <t>Красноярск</t>
        </is>
      </c>
      <c r="B682" s="130" t="inlineStr">
        <is>
          <t>Газпромнефть</t>
        </is>
      </c>
      <c r="C682" s="637" t="n">
        <v>34234</v>
      </c>
      <c r="D682" s="637" t="inlineStr">
        <is>
          <t>GPN_34234</t>
        </is>
      </c>
      <c r="E682" s="502" t="inlineStr">
        <is>
          <t>Новая АЗК</t>
        </is>
      </c>
      <c r="F682" s="628" t="n">
        <v>45432</v>
      </c>
    </row>
    <row r="683" hidden="1">
      <c r="A683" s="130" t="inlineStr">
        <is>
          <t>Красноярск</t>
        </is>
      </c>
      <c r="B683" s="130" t="inlineStr">
        <is>
          <t>Газпромнефть</t>
        </is>
      </c>
      <c r="C683" s="637" t="n">
        <v>34270</v>
      </c>
      <c r="D683" s="637" t="inlineStr">
        <is>
          <t>GPN_34270</t>
        </is>
      </c>
      <c r="E683" s="502" t="inlineStr">
        <is>
          <t>Новая АЗК</t>
        </is>
      </c>
      <c r="F683" s="628" t="n">
        <v>45432</v>
      </c>
    </row>
    <row r="684" hidden="1">
      <c r="A684" s="130" t="inlineStr">
        <is>
          <t>Тюмень</t>
        </is>
      </c>
      <c r="B684" s="130" t="inlineStr">
        <is>
          <t>Газпромнефть</t>
        </is>
      </c>
      <c r="C684" s="637" t="n">
        <v>21109</v>
      </c>
      <c r="D684" s="637" t="inlineStr">
        <is>
          <t>GPN_21109</t>
        </is>
      </c>
      <c r="E684" s="502" t="inlineStr">
        <is>
          <t>Новая АЗК</t>
        </is>
      </c>
      <c r="F684" s="628" t="n">
        <v>45432</v>
      </c>
    </row>
    <row r="685" hidden="1">
      <c r="A685" s="130" t="inlineStr">
        <is>
          <t>Воронеж</t>
        </is>
      </c>
      <c r="B685" s="130" t="inlineStr">
        <is>
          <t>Роснефть</t>
        </is>
      </c>
      <c r="C685" s="637" t="inlineStr">
        <is>
          <t>RN_038</t>
        </is>
      </c>
      <c r="D685" s="637" t="inlineStr">
        <is>
          <t>VRN_RN_0038</t>
        </is>
      </c>
      <c r="E685" s="502" t="inlineStr">
        <is>
          <t>Добавил</t>
        </is>
      </c>
      <c r="F685" s="628" t="n">
        <v>45446</v>
      </c>
    </row>
    <row r="686" hidden="1">
      <c r="A686" s="130" t="inlineStr">
        <is>
          <t>Воронеж</t>
        </is>
      </c>
      <c r="B686" s="130" t="inlineStr">
        <is>
          <t>Роснефть</t>
        </is>
      </c>
      <c r="C686" s="637" t="inlineStr">
        <is>
          <t>RN_028</t>
        </is>
      </c>
      <c r="D686" s="637" t="inlineStr">
        <is>
          <t>VRN_RN_0028</t>
        </is>
      </c>
      <c r="E686" s="502" t="inlineStr">
        <is>
          <t>Добавил</t>
        </is>
      </c>
      <c r="F686" s="628" t="n">
        <v>45446</v>
      </c>
    </row>
    <row r="687" hidden="1">
      <c r="A687" s="130" t="inlineStr">
        <is>
          <t>Алтайский край</t>
        </is>
      </c>
      <c r="B687" s="130" t="inlineStr">
        <is>
          <t>Роснефть</t>
        </is>
      </c>
      <c r="C687" s="637" t="n">
        <v>251</v>
      </c>
      <c r="D687" s="637" t="inlineStr">
        <is>
          <t>BRL_RN_0251</t>
        </is>
      </c>
      <c r="E687" s="502" t="inlineStr">
        <is>
          <t>Добавил</t>
        </is>
      </c>
      <c r="F687" s="628" t="n">
        <v>45446</v>
      </c>
    </row>
    <row r="688" hidden="1">
      <c r="A688" s="130" t="inlineStr">
        <is>
          <t>Москва</t>
        </is>
      </c>
      <c r="B688" s="130" t="inlineStr">
        <is>
          <t>Роснефть</t>
        </is>
      </c>
      <c r="C688" s="637" t="inlineStr">
        <is>
          <t>Дон-1</t>
        </is>
      </c>
      <c r="D688" s="637" t="inlineStr">
        <is>
          <t>MSK_BP_Don_1</t>
        </is>
      </c>
      <c r="E688" s="502" t="inlineStr">
        <is>
          <t>Реконструкция</t>
        </is>
      </c>
      <c r="F688" s="628" t="n">
        <v>45457</v>
      </c>
    </row>
    <row r="689" hidden="1">
      <c r="A689" s="130" t="inlineStr">
        <is>
          <t>Москва</t>
        </is>
      </c>
      <c r="B689" s="130" t="inlineStr">
        <is>
          <t>Роснефть</t>
        </is>
      </c>
      <c r="C689" s="637" t="inlineStr">
        <is>
          <t>RN_104</t>
        </is>
      </c>
      <c r="D689" s="637" t="inlineStr">
        <is>
          <t>MSK_RN_0104</t>
        </is>
      </c>
      <c r="E689" s="502" t="inlineStr">
        <is>
          <t>Реконструкция</t>
        </is>
      </c>
      <c r="F689" s="628" t="n">
        <v>45457</v>
      </c>
    </row>
    <row r="690" hidden="1">
      <c r="A690" s="130" t="inlineStr">
        <is>
          <t>Москва</t>
        </is>
      </c>
      <c r="B690" s="130" t="inlineStr">
        <is>
          <t>World Class</t>
        </is>
      </c>
      <c r="C690" s="637" t="inlineStr">
        <is>
          <t>World Class Лодочная</t>
        </is>
      </c>
      <c r="D690" s="637" t="inlineStr">
        <is>
          <t>MSC_WCLT25_TV01</t>
        </is>
      </c>
      <c r="E690" s="502" t="inlineStr">
        <is>
          <t>1 экран</t>
        </is>
      </c>
      <c r="F690" s="628" t="n">
        <v>45457</v>
      </c>
    </row>
    <row r="691" hidden="1">
      <c r="A691" s="130" t="inlineStr">
        <is>
          <t>Москва</t>
        </is>
      </c>
      <c r="B691" s="130" t="inlineStr">
        <is>
          <t>Бизнес центр</t>
        </is>
      </c>
      <c r="C691" s="637" t="inlineStr">
        <is>
          <t>Бутырский</t>
        </is>
      </c>
      <c r="D691" s="637" t="inlineStr">
        <is>
          <t>MSK_BC_Butyrskiy</t>
        </is>
      </c>
      <c r="E691" s="502" t="inlineStr">
        <is>
          <t>Реконструкция</t>
        </is>
      </c>
      <c r="F691" s="628" t="n">
        <v>45457</v>
      </c>
    </row>
    <row r="692" hidden="1">
      <c r="A692" s="130" t="inlineStr">
        <is>
          <t>Москва</t>
        </is>
      </c>
      <c r="B692" s="130" t="inlineStr">
        <is>
          <t>Азбука Вкуса</t>
        </is>
      </c>
      <c r="C692" s="637" t="n">
        <v>34</v>
      </c>
      <c r="D692" s="637" t="inlineStr">
        <is>
          <t>MSK_A_034</t>
        </is>
      </c>
      <c r="E692" s="502" t="inlineStr">
        <is>
          <t>Реконструкция</t>
        </is>
      </c>
      <c r="F692" s="628" t="n">
        <v>45457</v>
      </c>
    </row>
    <row r="693" hidden="1">
      <c r="A693" s="130" t="inlineStr">
        <is>
          <t>Москва</t>
        </is>
      </c>
      <c r="B693" s="130" t="inlineStr">
        <is>
          <t>Роснефть</t>
        </is>
      </c>
      <c r="C693" s="637" t="inlineStr">
        <is>
          <t>RN_073</t>
        </is>
      </c>
      <c r="D693" s="637" t="inlineStr">
        <is>
          <t>MSK_RN_0073</t>
        </is>
      </c>
      <c r="E693" s="502" t="inlineStr">
        <is>
          <t>Добавил</t>
        </is>
      </c>
      <c r="F693" s="628" t="n">
        <v>45457</v>
      </c>
    </row>
    <row r="694" hidden="1">
      <c r="A694" s="130" t="inlineStr">
        <is>
          <t>Москва</t>
        </is>
      </c>
      <c r="B694" s="130" t="inlineStr">
        <is>
          <t>Лукойл</t>
        </is>
      </c>
      <c r="C694" s="637" t="n">
        <v>77739</v>
      </c>
      <c r="D694" s="637" t="inlineStr">
        <is>
          <t>MSK_EKA_039</t>
        </is>
      </c>
      <c r="E694" s="502" t="inlineStr">
        <is>
          <t>Добавил</t>
        </is>
      </c>
      <c r="F694" s="628" t="n">
        <v>45463</v>
      </c>
    </row>
    <row r="695" hidden="1">
      <c r="A695" s="130" t="inlineStr">
        <is>
          <t>Москва</t>
        </is>
      </c>
      <c r="B695" s="130" t="inlineStr">
        <is>
          <t>Лукойл</t>
        </is>
      </c>
      <c r="C695" s="637" t="n">
        <v>77709</v>
      </c>
      <c r="D695" s="637" t="inlineStr">
        <is>
          <t>MSK_EKA_009</t>
        </is>
      </c>
      <c r="E695" s="502" t="inlineStr">
        <is>
          <t>Добавил</t>
        </is>
      </c>
      <c r="F695" s="628" t="n">
        <v>45463</v>
      </c>
    </row>
    <row r="696" hidden="1">
      <c r="A696" s="130" t="inlineStr">
        <is>
          <t>Москва</t>
        </is>
      </c>
      <c r="B696" s="130" t="inlineStr">
        <is>
          <t>Лукойл</t>
        </is>
      </c>
      <c r="C696" s="637" t="n">
        <v>77760</v>
      </c>
      <c r="D696" s="637" t="inlineStr">
        <is>
          <t>MSK_EKA_060</t>
        </is>
      </c>
      <c r="E696" s="502" t="inlineStr">
        <is>
          <t>Добавил</t>
        </is>
      </c>
      <c r="F696" s="628" t="n">
        <v>45463</v>
      </c>
    </row>
    <row r="697" hidden="1">
      <c r="A697" s="130" t="inlineStr">
        <is>
          <t>Москва</t>
        </is>
      </c>
      <c r="B697" s="130" t="inlineStr">
        <is>
          <t>Лукойл</t>
        </is>
      </c>
      <c r="C697" s="637" t="n">
        <v>77749</v>
      </c>
      <c r="D697" s="637" t="inlineStr">
        <is>
          <t>MSK_EKA_049</t>
        </is>
      </c>
      <c r="E697" s="502" t="inlineStr">
        <is>
          <t>Добавил</t>
        </is>
      </c>
      <c r="F697" s="628" t="n">
        <v>45463</v>
      </c>
    </row>
    <row r="698" hidden="1">
      <c r="A698" s="130" t="inlineStr">
        <is>
          <t>Москва</t>
        </is>
      </c>
      <c r="B698" s="130" t="inlineStr">
        <is>
          <t>Лукойл</t>
        </is>
      </c>
      <c r="C698" s="637" t="n">
        <v>50708</v>
      </c>
      <c r="D698" s="637" t="inlineStr">
        <is>
          <t>MSK_EKA_308</t>
        </is>
      </c>
      <c r="E698" s="502" t="inlineStr">
        <is>
          <t>Добавил</t>
        </is>
      </c>
      <c r="F698" s="628" t="n">
        <v>45463</v>
      </c>
    </row>
    <row r="699" hidden="1">
      <c r="A699" s="130" t="inlineStr">
        <is>
          <t>Москва</t>
        </is>
      </c>
      <c r="B699" s="130" t="inlineStr">
        <is>
          <t>Лукойл</t>
        </is>
      </c>
      <c r="C699" s="637" t="n">
        <v>77744</v>
      </c>
      <c r="D699" s="637" t="inlineStr">
        <is>
          <t>MSK_EKA_044</t>
        </is>
      </c>
      <c r="E699" s="502" t="inlineStr">
        <is>
          <t>Новая АЗС</t>
        </is>
      </c>
      <c r="F699" s="628" t="n">
        <v>45463</v>
      </c>
    </row>
    <row r="700" hidden="1">
      <c r="A700" s="130" t="inlineStr">
        <is>
          <t>Москва</t>
        </is>
      </c>
      <c r="B700" s="130" t="inlineStr">
        <is>
          <t>Лукойл</t>
        </is>
      </c>
      <c r="C700" s="637" t="n">
        <v>77746</v>
      </c>
      <c r="D700" s="637" t="inlineStr">
        <is>
          <t>MSK_EKA_046</t>
        </is>
      </c>
      <c r="E700" s="502" t="inlineStr">
        <is>
          <t>Добавил</t>
        </is>
      </c>
      <c r="F700" s="628" t="n">
        <v>45463</v>
      </c>
    </row>
    <row r="701" hidden="1">
      <c r="A701" s="130" t="inlineStr">
        <is>
          <t>Москва</t>
        </is>
      </c>
      <c r="B701" s="130" t="inlineStr">
        <is>
          <t>Лукойл</t>
        </is>
      </c>
      <c r="C701" s="637" t="n">
        <v>77768</v>
      </c>
      <c r="D701" s="637" t="inlineStr">
        <is>
          <t>MSK_EKA_068</t>
        </is>
      </c>
      <c r="E701" s="502" t="inlineStr">
        <is>
          <t>Новая АЗС</t>
        </is>
      </c>
      <c r="F701" s="628" t="n">
        <v>45463</v>
      </c>
    </row>
    <row r="702" hidden="1">
      <c r="A702" s="130" t="inlineStr">
        <is>
          <t>Санкт-Петербург</t>
        </is>
      </c>
      <c r="B702" s="130" t="inlineStr">
        <is>
          <t>Газпромнефть</t>
        </is>
      </c>
      <c r="C702" s="637" t="n">
        <v>10011</v>
      </c>
      <c r="D702" s="637" t="inlineStr">
        <is>
          <t>GPN_10011</t>
        </is>
      </c>
      <c r="E702" s="555" t="inlineStr">
        <is>
          <t>2 экрана</t>
        </is>
      </c>
      <c r="F702" s="628" t="n">
        <v>45469</v>
      </c>
    </row>
    <row r="703" hidden="1">
      <c r="A703" s="130" t="inlineStr">
        <is>
          <t>Челябинск</t>
        </is>
      </c>
      <c r="B703" s="130" t="inlineStr">
        <is>
          <t>Газпромнефть</t>
        </is>
      </c>
      <c r="C703" s="637" t="n">
        <v>22280</v>
      </c>
      <c r="D703" s="637" t="inlineStr">
        <is>
          <t>GPN_22280</t>
        </is>
      </c>
      <c r="E703" s="555" t="inlineStr">
        <is>
          <t>2 экрана</t>
        </is>
      </c>
      <c r="F703" s="628" t="n">
        <v>45469</v>
      </c>
    </row>
    <row r="704" hidden="1">
      <c r="A704" s="130" t="inlineStr">
        <is>
          <t>Самара</t>
        </is>
      </c>
      <c r="B704" s="130" t="inlineStr">
        <is>
          <t>Роснефть</t>
        </is>
      </c>
      <c r="C704" s="637" t="inlineStr">
        <is>
          <t>RN_94</t>
        </is>
      </c>
      <c r="D704" s="637" t="inlineStr">
        <is>
          <t>SMR_RN_0094</t>
        </is>
      </c>
      <c r="E704" s="502" t="inlineStr">
        <is>
          <t>Добавил</t>
        </is>
      </c>
      <c r="F704" s="628" t="n">
        <v>45469</v>
      </c>
    </row>
    <row r="705" hidden="1">
      <c r="A705" s="130" t="inlineStr">
        <is>
          <t>Самара</t>
        </is>
      </c>
      <c r="B705" s="130" t="inlineStr">
        <is>
          <t>Роснефть</t>
        </is>
      </c>
      <c r="C705" s="637" t="inlineStr">
        <is>
          <t>RN_28</t>
        </is>
      </c>
      <c r="D705" s="637" t="inlineStr">
        <is>
          <t>SMR_RN_0028</t>
        </is>
      </c>
      <c r="E705" s="502" t="inlineStr">
        <is>
          <t>Добавил</t>
        </is>
      </c>
      <c r="F705" s="628" t="n">
        <v>45469</v>
      </c>
    </row>
    <row r="706" hidden="1">
      <c r="A706" s="130" t="inlineStr">
        <is>
          <t>Москва</t>
        </is>
      </c>
      <c r="B706" s="130" t="inlineStr">
        <is>
          <t>Лукойл</t>
        </is>
      </c>
      <c r="C706" s="637" t="n">
        <v>77768</v>
      </c>
      <c r="D706" s="637" t="inlineStr">
        <is>
          <t>MSK_EKA_169</t>
        </is>
      </c>
      <c r="E706" s="502" t="inlineStr">
        <is>
          <t>Добавил</t>
        </is>
      </c>
      <c r="F706" s="628" t="n">
        <v>45469</v>
      </c>
    </row>
    <row r="707" hidden="1">
      <c r="A707" s="130" t="inlineStr">
        <is>
          <t>Москва</t>
        </is>
      </c>
      <c r="B707" s="130" t="inlineStr">
        <is>
          <t>Роснефть</t>
        </is>
      </c>
      <c r="C707" s="637" t="inlineStr">
        <is>
          <t>Немчиновка</t>
        </is>
      </c>
      <c r="D707" s="637" t="inlineStr">
        <is>
          <t>MSK_BP_Nemchinovka</t>
        </is>
      </c>
      <c r="E707" s="502" t="inlineStr">
        <is>
          <t>Добавил</t>
        </is>
      </c>
      <c r="F707" s="628" t="n">
        <v>45469</v>
      </c>
    </row>
    <row r="708" hidden="1">
      <c r="A708" s="125" t="inlineStr">
        <is>
          <t>Хакасия</t>
        </is>
      </c>
      <c r="B708" s="130" t="inlineStr">
        <is>
          <t>Роснефть</t>
        </is>
      </c>
      <c r="C708" s="637" t="n">
        <v>112</v>
      </c>
      <c r="D708" s="637" t="inlineStr">
        <is>
          <t>HKS_RN_112</t>
        </is>
      </c>
      <c r="E708" s="630" t="inlineStr">
        <is>
          <t>Реконструкция</t>
        </is>
      </c>
      <c r="F708" s="628" t="n">
        <v>45469</v>
      </c>
    </row>
    <row r="709" hidden="1">
      <c r="A709" s="130" t="inlineStr">
        <is>
          <t>Санкт-Петербург</t>
        </is>
      </c>
      <c r="B709" s="130" t="inlineStr">
        <is>
          <t>Татнефть</t>
        </is>
      </c>
      <c r="C709" s="637" t="inlineStr">
        <is>
          <t>Все</t>
        </is>
      </c>
      <c r="D709" s="637" t="inlineStr">
        <is>
          <t>Все</t>
        </is>
      </c>
      <c r="E709" s="402" t="inlineStr">
        <is>
          <t>Убрал</t>
        </is>
      </c>
      <c r="F709" s="628" t="n">
        <v>45469</v>
      </c>
    </row>
    <row r="710" hidden="1">
      <c r="A710" s="130" t="inlineStr">
        <is>
          <t>Санкт-Петербург</t>
        </is>
      </c>
      <c r="B710" s="130" t="inlineStr">
        <is>
          <t>Neste</t>
        </is>
      </c>
      <c r="C710" s="637" t="inlineStr">
        <is>
          <t>Все</t>
        </is>
      </c>
      <c r="D710" s="637" t="inlineStr">
        <is>
          <t>Все</t>
        </is>
      </c>
      <c r="E710" s="402" t="inlineStr">
        <is>
          <t>Убрал</t>
        </is>
      </c>
      <c r="F710" s="628" t="n">
        <v>45469</v>
      </c>
    </row>
    <row r="711" hidden="1">
      <c r="A711" s="130" t="inlineStr">
        <is>
          <t>Воронеж</t>
        </is>
      </c>
      <c r="B711" s="130" t="inlineStr">
        <is>
          <t>Роснефть</t>
        </is>
      </c>
      <c r="C711" s="637" t="inlineStr">
        <is>
          <t>RN_066</t>
        </is>
      </c>
      <c r="D711" s="637" t="inlineStr">
        <is>
          <t>VRN_RN_0066</t>
        </is>
      </c>
      <c r="E711" s="630" t="inlineStr">
        <is>
          <t>Реконструкция</t>
        </is>
      </c>
      <c r="F711" s="628" t="n">
        <v>45474</v>
      </c>
    </row>
    <row r="712" hidden="1">
      <c r="A712" s="130" t="inlineStr">
        <is>
          <t>Воронеж</t>
        </is>
      </c>
      <c r="B712" s="130" t="inlineStr">
        <is>
          <t>Роснефть</t>
        </is>
      </c>
      <c r="C712" s="637" t="inlineStr">
        <is>
          <t>RN_028</t>
        </is>
      </c>
      <c r="D712" s="637" t="inlineStr">
        <is>
          <t>VRN_RN_0028</t>
        </is>
      </c>
      <c r="E712" s="630" t="inlineStr">
        <is>
          <t>Реконструкция</t>
        </is>
      </c>
      <c r="F712" s="628" t="n">
        <v>45474</v>
      </c>
    </row>
    <row r="713" hidden="1">
      <c r="A713" s="130" t="inlineStr">
        <is>
          <t>Санкт-Петербург</t>
        </is>
      </c>
      <c r="B713" s="130" t="inlineStr">
        <is>
          <t>Газпромнефть</t>
        </is>
      </c>
      <c r="C713" s="637" t="n">
        <v>10014</v>
      </c>
      <c r="D713" s="637" t="inlineStr">
        <is>
          <t>GPN_10014</t>
        </is>
      </c>
      <c r="E713" s="630" t="inlineStr">
        <is>
          <t>Экранов 3</t>
        </is>
      </c>
      <c r="F713" s="628" t="n">
        <v>45482</v>
      </c>
    </row>
    <row r="714" hidden="1">
      <c r="A714" s="130" t="inlineStr">
        <is>
          <t>Санкт-Петербург</t>
        </is>
      </c>
      <c r="B714" s="130" t="inlineStr">
        <is>
          <t>Газпромнефть</t>
        </is>
      </c>
      <c r="C714" s="637" t="n">
        <v>10015</v>
      </c>
      <c r="D714" s="637" t="inlineStr">
        <is>
          <t>GPN_10015</t>
        </is>
      </c>
      <c r="E714" s="630" t="inlineStr">
        <is>
          <t>Экранов 3</t>
        </is>
      </c>
      <c r="F714" s="628" t="n">
        <v>45482</v>
      </c>
    </row>
    <row r="715" hidden="1">
      <c r="A715" s="130" t="inlineStr">
        <is>
          <t>Санкт-Петербург</t>
        </is>
      </c>
      <c r="B715" s="130" t="inlineStr">
        <is>
          <t>Газпромнефть</t>
        </is>
      </c>
      <c r="C715" s="637" t="n">
        <v>10018</v>
      </c>
      <c r="D715" s="637" t="inlineStr">
        <is>
          <t>GPN_10018</t>
        </is>
      </c>
      <c r="E715" s="630" t="inlineStr">
        <is>
          <t>Экранов 3</t>
        </is>
      </c>
      <c r="F715" s="628" t="n">
        <v>45482</v>
      </c>
    </row>
    <row r="716" hidden="1">
      <c r="A716" s="130" t="inlineStr">
        <is>
          <t>Санкт-Петербург</t>
        </is>
      </c>
      <c r="B716" s="130" t="inlineStr">
        <is>
          <t>Газпромнефть</t>
        </is>
      </c>
      <c r="C716" s="637" t="n">
        <v>10026</v>
      </c>
      <c r="D716" s="637" t="inlineStr">
        <is>
          <t>GPN_10026</t>
        </is>
      </c>
      <c r="E716" s="630" t="inlineStr">
        <is>
          <t>Экранов 3</t>
        </is>
      </c>
      <c r="F716" s="628" t="n">
        <v>45482</v>
      </c>
    </row>
    <row r="717" hidden="1">
      <c r="A717" s="130" t="inlineStr">
        <is>
          <t>Санкт-Петербург</t>
        </is>
      </c>
      <c r="B717" s="130" t="inlineStr">
        <is>
          <t>Газпромнефть</t>
        </is>
      </c>
      <c r="C717" s="637" t="n">
        <v>10039</v>
      </c>
      <c r="D717" s="637" t="inlineStr">
        <is>
          <t>GPN_10039</t>
        </is>
      </c>
      <c r="E717" s="630" t="inlineStr">
        <is>
          <t>Экранов 3</t>
        </is>
      </c>
      <c r="F717" s="628" t="n">
        <v>45482</v>
      </c>
    </row>
    <row r="718" hidden="1">
      <c r="A718" s="130" t="inlineStr">
        <is>
          <t>Санкт-Петербург</t>
        </is>
      </c>
      <c r="B718" s="130" t="inlineStr">
        <is>
          <t>Газпромнефть</t>
        </is>
      </c>
      <c r="C718" s="637" t="n">
        <v>10048</v>
      </c>
      <c r="D718" s="637" t="inlineStr">
        <is>
          <t>GPN_10048</t>
        </is>
      </c>
      <c r="E718" s="630" t="inlineStr">
        <is>
          <t>Экранов 3</t>
        </is>
      </c>
      <c r="F718" s="628" t="n">
        <v>45482</v>
      </c>
    </row>
    <row r="719" hidden="1">
      <c r="A719" s="130" t="inlineStr">
        <is>
          <t>Санкт-Петербург</t>
        </is>
      </c>
      <c r="B719" s="130" t="inlineStr">
        <is>
          <t>Газпромнефть</t>
        </is>
      </c>
      <c r="C719" s="637" t="n">
        <v>10058</v>
      </c>
      <c r="D719" s="637" t="inlineStr">
        <is>
          <t>GPN_10058</t>
        </is>
      </c>
      <c r="E719" s="630" t="inlineStr">
        <is>
          <t>Экранов 3</t>
        </is>
      </c>
      <c r="F719" s="628" t="n">
        <v>45482</v>
      </c>
    </row>
    <row r="720" hidden="1">
      <c r="A720" s="130" t="inlineStr">
        <is>
          <t>Санкт-Петербург</t>
        </is>
      </c>
      <c r="B720" s="130" t="inlineStr">
        <is>
          <t>Газпромнефть</t>
        </is>
      </c>
      <c r="C720" s="637" t="n">
        <v>10068</v>
      </c>
      <c r="D720" s="637" t="inlineStr">
        <is>
          <t>GPN_10068</t>
        </is>
      </c>
      <c r="E720" s="630" t="inlineStr">
        <is>
          <t>Экранов 3</t>
        </is>
      </c>
      <c r="F720" s="628" t="n">
        <v>45482</v>
      </c>
    </row>
    <row r="721" hidden="1">
      <c r="A721" s="130" t="inlineStr">
        <is>
          <t>Санкт-Петербург</t>
        </is>
      </c>
      <c r="B721" s="130" t="inlineStr">
        <is>
          <t>Газпромнефть</t>
        </is>
      </c>
      <c r="C721" s="637" t="n">
        <v>10070</v>
      </c>
      <c r="D721" s="637" t="inlineStr">
        <is>
          <t>GPN_10070</t>
        </is>
      </c>
      <c r="E721" s="630" t="inlineStr">
        <is>
          <t>Экранов 3</t>
        </is>
      </c>
      <c r="F721" s="628" t="n">
        <v>45482</v>
      </c>
    </row>
    <row r="722" hidden="1">
      <c r="A722" s="130" t="inlineStr">
        <is>
          <t>Санкт-Петербург</t>
        </is>
      </c>
      <c r="B722" s="130" t="inlineStr">
        <is>
          <t>Газпромнефть</t>
        </is>
      </c>
      <c r="C722" s="637" t="n">
        <v>10104</v>
      </c>
      <c r="D722" s="637" t="inlineStr">
        <is>
          <t>GPN_10104</t>
        </is>
      </c>
      <c r="E722" s="630" t="inlineStr">
        <is>
          <t>Экранов 2</t>
        </is>
      </c>
      <c r="F722" s="628" t="n">
        <v>45482</v>
      </c>
    </row>
    <row r="723" hidden="1">
      <c r="A723" s="130" t="inlineStr">
        <is>
          <t>Санкт-Петербург</t>
        </is>
      </c>
      <c r="B723" s="130" t="inlineStr">
        <is>
          <t>Газпромнефть</t>
        </is>
      </c>
      <c r="C723" s="637" t="n">
        <v>10110</v>
      </c>
      <c r="D723" s="637" t="inlineStr">
        <is>
          <t>GPN_10110</t>
        </is>
      </c>
      <c r="E723" s="630" t="inlineStr">
        <is>
          <t>Экранов 3</t>
        </is>
      </c>
      <c r="F723" s="628" t="n">
        <v>45482</v>
      </c>
    </row>
    <row r="724" hidden="1">
      <c r="A724" s="130" t="inlineStr">
        <is>
          <t>Санкт-Петербург</t>
        </is>
      </c>
      <c r="B724" s="130" t="inlineStr">
        <is>
          <t>Газпромнефть</t>
        </is>
      </c>
      <c r="C724" s="637" t="n">
        <v>10114</v>
      </c>
      <c r="D724" s="637" t="inlineStr">
        <is>
          <t>GPN_10114</t>
        </is>
      </c>
      <c r="E724" s="630" t="inlineStr">
        <is>
          <t>Экранов 3</t>
        </is>
      </c>
      <c r="F724" s="628" t="n">
        <v>45482</v>
      </c>
    </row>
    <row r="725" hidden="1">
      <c r="A725" s="130" t="inlineStr">
        <is>
          <t>Москва</t>
        </is>
      </c>
      <c r="B725" s="130" t="inlineStr">
        <is>
          <t>Газпромнефть</t>
        </is>
      </c>
      <c r="C725" s="637" t="n">
        <v>11152</v>
      </c>
      <c r="D725" s="637" t="inlineStr">
        <is>
          <t>GPN_11152</t>
        </is>
      </c>
      <c r="E725" s="630" t="inlineStr">
        <is>
          <t>Экранов 3</t>
        </is>
      </c>
      <c r="F725" s="628" t="n">
        <v>45482</v>
      </c>
    </row>
    <row r="726" hidden="1">
      <c r="A726" s="130" t="inlineStr">
        <is>
          <t>Москва</t>
        </is>
      </c>
      <c r="B726" s="130" t="inlineStr">
        <is>
          <t>Газпромнефть</t>
        </is>
      </c>
      <c r="C726" s="637" t="n">
        <v>12273</v>
      </c>
      <c r="D726" s="637" t="inlineStr">
        <is>
          <t>GPN_12273</t>
        </is>
      </c>
      <c r="E726" s="630" t="inlineStr">
        <is>
          <t>Экранов 3</t>
        </is>
      </c>
      <c r="F726" s="628" t="n">
        <v>45482</v>
      </c>
    </row>
    <row r="727" hidden="1">
      <c r="A727" s="130" t="inlineStr">
        <is>
          <t>Москва</t>
        </is>
      </c>
      <c r="B727" s="130" t="inlineStr">
        <is>
          <t>Газпромнефть</t>
        </is>
      </c>
      <c r="C727" s="637" t="n">
        <v>12271</v>
      </c>
      <c r="D727" s="637" t="inlineStr">
        <is>
          <t>GPN_12271</t>
        </is>
      </c>
      <c r="E727" s="630" t="inlineStr">
        <is>
          <t>Экранов 3</t>
        </is>
      </c>
      <c r="F727" s="628" t="n">
        <v>45482</v>
      </c>
    </row>
    <row r="728" hidden="1">
      <c r="A728" s="130" t="inlineStr">
        <is>
          <t>Москва</t>
        </is>
      </c>
      <c r="B728" s="130" t="inlineStr">
        <is>
          <t>Газпромнефть</t>
        </is>
      </c>
      <c r="C728" s="637" t="n">
        <v>12041</v>
      </c>
      <c r="D728" s="637" t="inlineStr">
        <is>
          <t>GPN_12041</t>
        </is>
      </c>
      <c r="E728" s="630" t="inlineStr">
        <is>
          <t>Экранов 3</t>
        </is>
      </c>
      <c r="F728" s="628" t="n">
        <v>45482</v>
      </c>
    </row>
    <row r="729" hidden="1">
      <c r="A729" s="130" t="inlineStr">
        <is>
          <t>Москва</t>
        </is>
      </c>
      <c r="B729" s="130" t="inlineStr">
        <is>
          <t>Газпромнефть</t>
        </is>
      </c>
      <c r="C729" s="637" t="n">
        <v>11046</v>
      </c>
      <c r="D729" s="637" t="inlineStr">
        <is>
          <t>GPN_11046</t>
        </is>
      </c>
      <c r="E729" s="630" t="inlineStr">
        <is>
          <t>Экранов 3</t>
        </is>
      </c>
      <c r="F729" s="628" t="n">
        <v>45482</v>
      </c>
    </row>
    <row r="730" hidden="1">
      <c r="A730" s="130" t="inlineStr">
        <is>
          <t>Москва</t>
        </is>
      </c>
      <c r="B730" s="130" t="inlineStr">
        <is>
          <t>Газпромнефть</t>
        </is>
      </c>
      <c r="C730" s="637" t="n">
        <v>11011</v>
      </c>
      <c r="D730" s="637" t="inlineStr">
        <is>
          <t>GPN_11011</t>
        </is>
      </c>
      <c r="E730" s="630" t="inlineStr">
        <is>
          <t>Экранов 3</t>
        </is>
      </c>
      <c r="F730" s="628" t="n">
        <v>45482</v>
      </c>
    </row>
    <row r="731" hidden="1">
      <c r="A731" s="130" t="inlineStr">
        <is>
          <t>Ярославль</t>
        </is>
      </c>
      <c r="B731" s="130" t="inlineStr">
        <is>
          <t>Газпромнефть</t>
        </is>
      </c>
      <c r="C731" s="637" t="n">
        <v>13008</v>
      </c>
      <c r="D731" s="637" t="inlineStr">
        <is>
          <t>GPN_13008</t>
        </is>
      </c>
      <c r="E731" s="630" t="inlineStr">
        <is>
          <t>Экранов 3</t>
        </is>
      </c>
      <c r="F731" s="628" t="n">
        <v>45482</v>
      </c>
    </row>
    <row r="732" hidden="1">
      <c r="A732" s="130" t="inlineStr">
        <is>
          <t>Ярославль</t>
        </is>
      </c>
      <c r="B732" s="130" t="inlineStr">
        <is>
          <t>Газпромнефть</t>
        </is>
      </c>
      <c r="C732" s="637" t="n">
        <v>13013</v>
      </c>
      <c r="D732" s="637" t="inlineStr">
        <is>
          <t>GPN_13013</t>
        </is>
      </c>
      <c r="E732" s="630" t="inlineStr">
        <is>
          <t>Экранов 3</t>
        </is>
      </c>
      <c r="F732" s="628" t="n">
        <v>45482</v>
      </c>
    </row>
    <row r="733" hidden="1">
      <c r="A733" s="416" t="inlineStr">
        <is>
          <t>Приволжье (Нижний Новгород, Казань)</t>
        </is>
      </c>
      <c r="B733" s="130" t="inlineStr">
        <is>
          <t>Газпромнефть</t>
        </is>
      </c>
      <c r="C733" s="637" t="n">
        <v>14212</v>
      </c>
      <c r="D733" s="637" t="inlineStr">
        <is>
          <t>GPN_14212</t>
        </is>
      </c>
      <c r="E733" s="630" t="inlineStr">
        <is>
          <t>Экранов 3</t>
        </is>
      </c>
      <c r="F733" s="628" t="n">
        <v>45482</v>
      </c>
    </row>
    <row r="734" hidden="1">
      <c r="A734" s="416" t="inlineStr">
        <is>
          <t>Приволжье (Нижний Новгород, Казань)</t>
        </is>
      </c>
      <c r="B734" s="130" t="inlineStr">
        <is>
          <t>Газпромнефть</t>
        </is>
      </c>
      <c r="C734" s="637" t="n">
        <v>14215</v>
      </c>
      <c r="D734" s="637" t="inlineStr">
        <is>
          <t>GPN_14215</t>
        </is>
      </c>
      <c r="E734" s="630" t="inlineStr">
        <is>
          <t>Экранов 3</t>
        </is>
      </c>
      <c r="F734" s="628" t="n">
        <v>45482</v>
      </c>
    </row>
    <row r="735" hidden="1">
      <c r="A735" s="416" t="inlineStr">
        <is>
          <t>Приволжье (Нижний Новгород, Казань)</t>
        </is>
      </c>
      <c r="B735" s="130" t="inlineStr">
        <is>
          <t>Газпромнефть</t>
        </is>
      </c>
      <c r="C735" s="637" t="n">
        <v>14239</v>
      </c>
      <c r="D735" s="637" t="inlineStr">
        <is>
          <t>GPN_14239</t>
        </is>
      </c>
      <c r="E735" s="630" t="inlineStr">
        <is>
          <t>Экранов 3</t>
        </is>
      </c>
      <c r="F735" s="628" t="n">
        <v>45482</v>
      </c>
    </row>
    <row r="736" hidden="1">
      <c r="A736" s="130" t="inlineStr">
        <is>
          <t>Екатеринбург</t>
        </is>
      </c>
      <c r="B736" s="130" t="inlineStr">
        <is>
          <t>Газпромнефть</t>
        </is>
      </c>
      <c r="C736" s="637" t="n">
        <v>20018</v>
      </c>
      <c r="D736" s="637" t="inlineStr">
        <is>
          <t>GPN_20018</t>
        </is>
      </c>
      <c r="E736" s="630" t="inlineStr">
        <is>
          <t>Экранов 3</t>
        </is>
      </c>
      <c r="F736" s="628" t="n">
        <v>45482</v>
      </c>
    </row>
    <row r="737" hidden="1">
      <c r="A737" s="130" t="inlineStr">
        <is>
          <t>Екатеринбург</t>
        </is>
      </c>
      <c r="B737" s="130" t="inlineStr">
        <is>
          <t>Газпромнефть</t>
        </is>
      </c>
      <c r="C737" s="637" t="n">
        <v>20029</v>
      </c>
      <c r="D737" s="637" t="inlineStr">
        <is>
          <t>GPN_20029</t>
        </is>
      </c>
      <c r="E737" s="630" t="inlineStr">
        <is>
          <t>Экранов 3</t>
        </is>
      </c>
      <c r="F737" s="628" t="n">
        <v>45482</v>
      </c>
    </row>
    <row r="738" hidden="1">
      <c r="A738" s="130" t="inlineStr">
        <is>
          <t>Екатеринбург</t>
        </is>
      </c>
      <c r="B738" s="130" t="inlineStr">
        <is>
          <t>Газпромнефть</t>
        </is>
      </c>
      <c r="C738" s="637" t="n">
        <v>20136</v>
      </c>
      <c r="D738" s="637" t="inlineStr">
        <is>
          <t>GPN_20136</t>
        </is>
      </c>
      <c r="E738" s="630" t="inlineStr">
        <is>
          <t>Экранов 3</t>
        </is>
      </c>
      <c r="F738" s="628" t="n">
        <v>45482</v>
      </c>
    </row>
    <row r="739" hidden="1">
      <c r="A739" s="130" t="inlineStr">
        <is>
          <t>Екатеринбург</t>
        </is>
      </c>
      <c r="B739" s="130" t="inlineStr">
        <is>
          <t>Газпромнефть</t>
        </is>
      </c>
      <c r="C739" s="637" t="n">
        <v>20146</v>
      </c>
      <c r="D739" s="637" t="inlineStr">
        <is>
          <t>GPN_20146</t>
        </is>
      </c>
      <c r="E739" s="630" t="inlineStr">
        <is>
          <t>Экранов 3</t>
        </is>
      </c>
      <c r="F739" s="628" t="n">
        <v>45482</v>
      </c>
    </row>
    <row r="740" hidden="1">
      <c r="A740" s="130" t="inlineStr">
        <is>
          <t>Челябинск</t>
        </is>
      </c>
      <c r="B740" s="130" t="inlineStr">
        <is>
          <t>Газпромнефть</t>
        </is>
      </c>
      <c r="C740" s="637" t="n">
        <v>22216</v>
      </c>
      <c r="D740" s="637" t="inlineStr">
        <is>
          <t>GPN_22216</t>
        </is>
      </c>
      <c r="E740" s="630" t="inlineStr">
        <is>
          <t>Экранов 3</t>
        </is>
      </c>
      <c r="F740" s="628" t="n">
        <v>45482</v>
      </c>
    </row>
    <row r="741" hidden="1">
      <c r="A741" s="130" t="inlineStr">
        <is>
          <t>Челябинск</t>
        </is>
      </c>
      <c r="B741" s="130" t="inlineStr">
        <is>
          <t>Газпромнефть</t>
        </is>
      </c>
      <c r="C741" s="637" t="n">
        <v>22225</v>
      </c>
      <c r="D741" s="637" t="inlineStr">
        <is>
          <t>GPN_22225</t>
        </is>
      </c>
      <c r="E741" s="630" t="inlineStr">
        <is>
          <t>Экранов 2</t>
        </is>
      </c>
      <c r="F741" s="628" t="n">
        <v>45482</v>
      </c>
    </row>
    <row r="742" hidden="1">
      <c r="A742" s="130" t="inlineStr">
        <is>
          <t>Челябинск</t>
        </is>
      </c>
      <c r="B742" s="130" t="inlineStr">
        <is>
          <t>Газпромнефть</t>
        </is>
      </c>
      <c r="C742" s="637" t="n">
        <v>22253</v>
      </c>
      <c r="D742" s="637" t="inlineStr">
        <is>
          <t>GPN_22253</t>
        </is>
      </c>
      <c r="E742" s="630" t="inlineStr">
        <is>
          <t>Экранов 3</t>
        </is>
      </c>
      <c r="F742" s="628" t="n">
        <v>45482</v>
      </c>
    </row>
    <row r="743" hidden="1">
      <c r="A743" s="130" t="inlineStr">
        <is>
          <t>Челябинск</t>
        </is>
      </c>
      <c r="B743" s="130" t="inlineStr">
        <is>
          <t>Газпромнефть</t>
        </is>
      </c>
      <c r="C743" s="637" t="n">
        <v>22263</v>
      </c>
      <c r="D743" s="637" t="inlineStr">
        <is>
          <t>GPN_22263</t>
        </is>
      </c>
      <c r="E743" s="630" t="inlineStr">
        <is>
          <t>Экранов 3</t>
        </is>
      </c>
      <c r="F743" s="628" t="n">
        <v>45482</v>
      </c>
    </row>
    <row r="744" hidden="1">
      <c r="A744" s="130" t="inlineStr">
        <is>
          <t>Челябинск</t>
        </is>
      </c>
      <c r="B744" s="130" t="inlineStr">
        <is>
          <t>Газпромнефть</t>
        </is>
      </c>
      <c r="C744" s="637" t="n">
        <v>22271</v>
      </c>
      <c r="D744" s="637" t="inlineStr">
        <is>
          <t>GPN_22271</t>
        </is>
      </c>
      <c r="E744" s="630" t="inlineStr">
        <is>
          <t>Экранов 3</t>
        </is>
      </c>
      <c r="F744" s="628" t="n">
        <v>45482</v>
      </c>
    </row>
    <row r="745" hidden="1">
      <c r="A745" s="130" t="inlineStr">
        <is>
          <t>Челябинск</t>
        </is>
      </c>
      <c r="B745" s="130" t="inlineStr">
        <is>
          <t>Газпромнефть</t>
        </is>
      </c>
      <c r="C745" s="637" t="n">
        <v>22234</v>
      </c>
      <c r="D745" s="637" t="inlineStr">
        <is>
          <t>GPN_22234</t>
        </is>
      </c>
      <c r="E745" s="630" t="inlineStr">
        <is>
          <t>Экранов 3</t>
        </is>
      </c>
      <c r="F745" s="628" t="n">
        <v>45482</v>
      </c>
    </row>
    <row r="746" hidden="1">
      <c r="A746" s="130" t="inlineStr">
        <is>
          <t>Челябинск</t>
        </is>
      </c>
      <c r="B746" s="130" t="inlineStr">
        <is>
          <t>Газпромнефть</t>
        </is>
      </c>
      <c r="C746" s="637" t="n">
        <v>22238</v>
      </c>
      <c r="D746" s="637" t="inlineStr">
        <is>
          <t>GPN_22238</t>
        </is>
      </c>
      <c r="E746" s="630" t="inlineStr">
        <is>
          <t>Экранов 3</t>
        </is>
      </c>
      <c r="F746" s="628" t="n">
        <v>45482</v>
      </c>
    </row>
    <row r="747" hidden="1">
      <c r="A747" s="130" t="inlineStr">
        <is>
          <t>Москва</t>
        </is>
      </c>
      <c r="B747" s="130" t="inlineStr">
        <is>
          <t>Газпромнефть</t>
        </is>
      </c>
      <c r="C747" s="637" t="n">
        <v>11222</v>
      </c>
      <c r="D747" s="637" t="inlineStr">
        <is>
          <t>GPN_11222</t>
        </is>
      </c>
      <c r="E747" s="630" t="inlineStr">
        <is>
          <t>Экранов 3</t>
        </is>
      </c>
      <c r="F747" s="628" t="n">
        <v>45482</v>
      </c>
    </row>
    <row r="748" hidden="1">
      <c r="A748" s="130" t="inlineStr">
        <is>
          <t>Москва</t>
        </is>
      </c>
      <c r="B748" s="130" t="inlineStr">
        <is>
          <t>Газпромнефть</t>
        </is>
      </c>
      <c r="C748" s="637" t="n">
        <v>11240</v>
      </c>
      <c r="D748" s="637" t="inlineStr">
        <is>
          <t>GPN_11240</t>
        </is>
      </c>
      <c r="E748" s="630" t="inlineStr">
        <is>
          <t>Экранов 2</t>
        </is>
      </c>
      <c r="F748" s="628" t="n">
        <v>45482</v>
      </c>
    </row>
    <row r="749" hidden="1">
      <c r="A749" s="130" t="inlineStr">
        <is>
          <t>Москва</t>
        </is>
      </c>
      <c r="B749" s="130" t="inlineStr">
        <is>
          <t>Газпромнефть</t>
        </is>
      </c>
      <c r="C749" s="637" t="n">
        <v>11243</v>
      </c>
      <c r="D749" s="637" t="inlineStr">
        <is>
          <t>GPN_11243</t>
        </is>
      </c>
      <c r="E749" s="630" t="inlineStr">
        <is>
          <t>Экранов 3</t>
        </is>
      </c>
      <c r="F749" s="628" t="n">
        <v>45482</v>
      </c>
    </row>
    <row r="750" hidden="1">
      <c r="A750" s="130" t="inlineStr">
        <is>
          <t>Москва</t>
        </is>
      </c>
      <c r="B750" s="130" t="inlineStr">
        <is>
          <t>Газпромнефть</t>
        </is>
      </c>
      <c r="C750" s="637" t="n">
        <v>11244</v>
      </c>
      <c r="D750" s="637" t="inlineStr">
        <is>
          <t>GPN_11244</t>
        </is>
      </c>
      <c r="E750" s="630" t="inlineStr">
        <is>
          <t>Экранов 3</t>
        </is>
      </c>
      <c r="F750" s="628" t="n">
        <v>45482</v>
      </c>
    </row>
    <row r="751" hidden="1">
      <c r="A751" s="130" t="inlineStr">
        <is>
          <t>Москва</t>
        </is>
      </c>
      <c r="B751" s="130" t="inlineStr">
        <is>
          <t>Газпромнефть</t>
        </is>
      </c>
      <c r="C751" s="637" t="n">
        <v>11245</v>
      </c>
      <c r="D751" s="637" t="inlineStr">
        <is>
          <t>GPN_11245</t>
        </is>
      </c>
      <c r="E751" s="630" t="inlineStr">
        <is>
          <t>Экранов 3</t>
        </is>
      </c>
      <c r="F751" s="628" t="n">
        <v>45482</v>
      </c>
    </row>
    <row r="752" hidden="1">
      <c r="A752" s="130" t="inlineStr">
        <is>
          <t>Москва</t>
        </is>
      </c>
      <c r="B752" s="130" t="inlineStr">
        <is>
          <t>Газпромнефть</t>
        </is>
      </c>
      <c r="C752" s="637" t="n">
        <v>12315</v>
      </c>
      <c r="D752" s="637" t="inlineStr">
        <is>
          <t>GPN_12315</t>
        </is>
      </c>
      <c r="E752" s="630" t="inlineStr">
        <is>
          <t>Экранов 3</t>
        </is>
      </c>
      <c r="F752" s="628" t="n">
        <v>45482</v>
      </c>
    </row>
    <row r="753" hidden="1">
      <c r="A753" s="130" t="inlineStr">
        <is>
          <t>Москва</t>
        </is>
      </c>
      <c r="B753" s="130" t="inlineStr">
        <is>
          <t>Газпромнефть</t>
        </is>
      </c>
      <c r="C753" s="637" t="n">
        <v>12316</v>
      </c>
      <c r="D753" s="637" t="inlineStr">
        <is>
          <t>GPN_12316</t>
        </is>
      </c>
      <c r="E753" s="630" t="inlineStr">
        <is>
          <t>Экранов 3</t>
        </is>
      </c>
      <c r="F753" s="628" t="n">
        <v>45482</v>
      </c>
    </row>
    <row r="754" hidden="1">
      <c r="A754" s="130" t="inlineStr">
        <is>
          <t>Москва</t>
        </is>
      </c>
      <c r="B754" s="130" t="inlineStr">
        <is>
          <t>Газпромнефть</t>
        </is>
      </c>
      <c r="C754" s="637" t="n">
        <v>12323</v>
      </c>
      <c r="D754" s="637" t="inlineStr">
        <is>
          <t>GPN_12323</t>
        </is>
      </c>
      <c r="E754" s="630" t="inlineStr">
        <is>
          <t>Экранов 3</t>
        </is>
      </c>
      <c r="F754" s="628" t="n">
        <v>45482</v>
      </c>
    </row>
    <row r="755" hidden="1">
      <c r="A755" s="130" t="inlineStr">
        <is>
          <t>Москва</t>
        </is>
      </c>
      <c r="B755" s="130" t="inlineStr">
        <is>
          <t>Газпромнефть</t>
        </is>
      </c>
      <c r="C755" s="637" t="n">
        <v>12326</v>
      </c>
      <c r="D755" s="637" t="inlineStr">
        <is>
          <t>GPN_12326</t>
        </is>
      </c>
      <c r="E755" s="630" t="inlineStr">
        <is>
          <t>Экранов 3</t>
        </is>
      </c>
      <c r="F755" s="628" t="n">
        <v>45482</v>
      </c>
    </row>
    <row r="756" hidden="1">
      <c r="A756" s="125" t="inlineStr">
        <is>
          <t>Санкт-Петербург</t>
        </is>
      </c>
      <c r="B756" s="130" t="inlineStr">
        <is>
          <t>Газпромнефть</t>
        </is>
      </c>
      <c r="C756" s="637" t="n">
        <v>10129</v>
      </c>
      <c r="D756" s="637" t="inlineStr">
        <is>
          <t>GPN_10129</t>
        </is>
      </c>
      <c r="E756" s="630" t="inlineStr">
        <is>
          <t>Экранов 2</t>
        </is>
      </c>
      <c r="F756" s="628" t="n">
        <v>45482</v>
      </c>
    </row>
    <row r="757" hidden="1">
      <c r="A757" s="125" t="inlineStr">
        <is>
          <t>Москва</t>
        </is>
      </c>
      <c r="B757" s="130" t="inlineStr">
        <is>
          <t>Газпромнефть</t>
        </is>
      </c>
      <c r="C757" s="637" t="n">
        <v>12328</v>
      </c>
      <c r="D757" s="637" t="inlineStr">
        <is>
          <t>GPN_12328</t>
        </is>
      </c>
      <c r="E757" s="630" t="inlineStr">
        <is>
          <t>Экранов 3</t>
        </is>
      </c>
      <c r="F757" s="628" t="n">
        <v>45482</v>
      </c>
    </row>
    <row r="758" hidden="1">
      <c r="A758" s="130" t="inlineStr">
        <is>
          <t>Санкт-Петербург</t>
        </is>
      </c>
      <c r="B758" s="130" t="inlineStr">
        <is>
          <t>Газпромнефть</t>
        </is>
      </c>
      <c r="C758" s="637" t="n">
        <v>10122</v>
      </c>
      <c r="D758" s="637" t="inlineStr">
        <is>
          <t>GPN_10122</t>
        </is>
      </c>
      <c r="E758" s="630" t="inlineStr">
        <is>
          <t>Экранов 3</t>
        </is>
      </c>
      <c r="F758" s="628" t="n">
        <v>45482</v>
      </c>
    </row>
    <row r="759" hidden="1">
      <c r="A759" s="125" t="inlineStr">
        <is>
          <t>Санкт-Петербург</t>
        </is>
      </c>
      <c r="B759" s="130" t="inlineStr">
        <is>
          <t>Газпромнефть</t>
        </is>
      </c>
      <c r="C759" s="637" t="n">
        <v>10131</v>
      </c>
      <c r="D759" s="637" t="inlineStr">
        <is>
          <t>GPN_10131</t>
        </is>
      </c>
      <c r="E759" s="630" t="inlineStr">
        <is>
          <t>Экранов 3</t>
        </is>
      </c>
      <c r="F759" s="628" t="n">
        <v>45482</v>
      </c>
    </row>
    <row r="760" hidden="1">
      <c r="A760" s="125" t="inlineStr">
        <is>
          <t>Санкт-Петербург</t>
        </is>
      </c>
      <c r="B760" s="130" t="inlineStr">
        <is>
          <t>Газпромнефть</t>
        </is>
      </c>
      <c r="C760" s="637" t="n">
        <v>10135</v>
      </c>
      <c r="D760" s="637" t="inlineStr">
        <is>
          <t>GPN_10135</t>
        </is>
      </c>
      <c r="E760" s="630" t="inlineStr">
        <is>
          <t>Экранов 3</t>
        </is>
      </c>
      <c r="F760" s="628" t="n">
        <v>45482</v>
      </c>
    </row>
    <row r="761" hidden="1">
      <c r="A761" s="125" t="inlineStr">
        <is>
          <t>Москва</t>
        </is>
      </c>
      <c r="B761" s="130" t="inlineStr">
        <is>
          <t>Газпромнефть</t>
        </is>
      </c>
      <c r="C761" s="637" t="n">
        <v>12319</v>
      </c>
      <c r="D761" s="637" t="inlineStr">
        <is>
          <t>GPN_12319</t>
        </is>
      </c>
      <c r="E761" s="630" t="inlineStr">
        <is>
          <t>Экранов 3</t>
        </is>
      </c>
      <c r="F761" s="628" t="n">
        <v>45482</v>
      </c>
    </row>
    <row r="762" hidden="1">
      <c r="A762" s="130" t="inlineStr">
        <is>
          <t>Екатеринбург</t>
        </is>
      </c>
      <c r="B762" s="130" t="inlineStr">
        <is>
          <t>Газпромнефть</t>
        </is>
      </c>
      <c r="C762" s="637" t="n">
        <v>25094</v>
      </c>
      <c r="D762" s="637" t="inlineStr">
        <is>
          <t>GPN_25094</t>
        </is>
      </c>
      <c r="E762" s="630" t="inlineStr">
        <is>
          <t>Экранов 3</t>
        </is>
      </c>
      <c r="F762" s="628" t="n">
        <v>45482</v>
      </c>
    </row>
    <row r="763" hidden="1">
      <c r="A763" s="130" t="inlineStr">
        <is>
          <t>Екатеринбург</t>
        </is>
      </c>
      <c r="B763" s="130" t="inlineStr">
        <is>
          <t>Газпромнефть</t>
        </is>
      </c>
      <c r="C763" s="637" t="n">
        <v>25090</v>
      </c>
      <c r="D763" s="637" t="inlineStr">
        <is>
          <t>GPN_25090</t>
        </is>
      </c>
      <c r="E763" s="630" t="inlineStr">
        <is>
          <t>Экранов 3</t>
        </is>
      </c>
      <c r="F763" s="628" t="n">
        <v>45482</v>
      </c>
    </row>
    <row r="764" hidden="1">
      <c r="A764" s="130" t="inlineStr">
        <is>
          <t>Санкт-Петербург</t>
        </is>
      </c>
      <c r="B764" s="130" t="inlineStr">
        <is>
          <t>Газпромнефть</t>
        </is>
      </c>
      <c r="C764" s="637" t="n">
        <v>10146</v>
      </c>
      <c r="D764" s="637" t="inlineStr">
        <is>
          <t>GPN_10146</t>
        </is>
      </c>
      <c r="E764" s="630" t="inlineStr">
        <is>
          <t>Экранов 3</t>
        </is>
      </c>
      <c r="F764" s="628" t="n">
        <v>45482</v>
      </c>
    </row>
    <row r="765" hidden="1">
      <c r="A765" s="130" t="inlineStr">
        <is>
          <t>Москва</t>
        </is>
      </c>
      <c r="B765" s="130" t="inlineStr">
        <is>
          <t>Газпромнефть</t>
        </is>
      </c>
      <c r="C765" s="637" t="n">
        <v>11119</v>
      </c>
      <c r="D765" s="637" t="inlineStr">
        <is>
          <t>GPN_11119</t>
        </is>
      </c>
      <c r="E765" s="630" t="inlineStr">
        <is>
          <t>Реконструкция</t>
        </is>
      </c>
      <c r="F765" s="628" t="n">
        <v>45482</v>
      </c>
    </row>
    <row r="766" hidden="1">
      <c r="A766" s="130" t="inlineStr">
        <is>
          <t>Москва</t>
        </is>
      </c>
      <c r="B766" s="130" t="inlineStr">
        <is>
          <t>Газпромнефть</t>
        </is>
      </c>
      <c r="C766" s="637" t="n">
        <v>11144</v>
      </c>
      <c r="D766" s="637" t="inlineStr">
        <is>
          <t>GPN_11144</t>
        </is>
      </c>
      <c r="E766" s="630" t="inlineStr">
        <is>
          <t>Реконструкция</t>
        </is>
      </c>
      <c r="F766" s="628" t="n">
        <v>45482</v>
      </c>
    </row>
    <row r="767" hidden="1">
      <c r="A767" s="130" t="inlineStr">
        <is>
          <t>Москва</t>
        </is>
      </c>
      <c r="B767" s="130" t="inlineStr">
        <is>
          <t>Газпромнефть</t>
        </is>
      </c>
      <c r="C767" s="637" t="n">
        <v>11164</v>
      </c>
      <c r="D767" s="637" t="inlineStr">
        <is>
          <t>GPN_11164</t>
        </is>
      </c>
      <c r="E767" s="630" t="inlineStr">
        <is>
          <t>Реконструкция</t>
        </is>
      </c>
      <c r="F767" s="628" t="n">
        <v>45482</v>
      </c>
    </row>
    <row r="768" hidden="1">
      <c r="A768" s="130" t="inlineStr">
        <is>
          <t>Москва</t>
        </is>
      </c>
      <c r="B768" s="130" t="inlineStr">
        <is>
          <t>Газпромнефть</t>
        </is>
      </c>
      <c r="C768" s="637" t="n">
        <v>11040</v>
      </c>
      <c r="D768" s="637" t="inlineStr">
        <is>
          <t>GPN_11040</t>
        </is>
      </c>
      <c r="E768" s="630" t="inlineStr">
        <is>
          <t>Добавил</t>
        </is>
      </c>
      <c r="F768" s="628" t="n">
        <v>45482</v>
      </c>
    </row>
    <row r="769" hidden="1">
      <c r="A769" s="130" t="inlineStr">
        <is>
          <t>Москва</t>
        </is>
      </c>
      <c r="B769" s="130" t="inlineStr">
        <is>
          <t>Газпромнефть</t>
        </is>
      </c>
      <c r="C769" s="637" t="n">
        <v>11094</v>
      </c>
      <c r="D769" s="637" t="inlineStr">
        <is>
          <t>GPN_11094</t>
        </is>
      </c>
      <c r="E769" s="630" t="inlineStr">
        <is>
          <t>Добавил</t>
        </is>
      </c>
      <c r="F769" s="628" t="n">
        <v>45482</v>
      </c>
    </row>
    <row r="770" hidden="1">
      <c r="A770" s="130" t="inlineStr">
        <is>
          <t>Москва</t>
        </is>
      </c>
      <c r="B770" s="130" t="inlineStr">
        <is>
          <t>Газпромнефть</t>
        </is>
      </c>
      <c r="C770" s="637" t="n">
        <v>11118</v>
      </c>
      <c r="D770" s="637" t="inlineStr">
        <is>
          <t>GPN_11118</t>
        </is>
      </c>
      <c r="E770" s="630" t="inlineStr">
        <is>
          <t>Добавил</t>
        </is>
      </c>
      <c r="F770" s="628" t="n">
        <v>45482</v>
      </c>
    </row>
    <row r="771" hidden="1">
      <c r="A771" s="130" t="inlineStr">
        <is>
          <t>Санкт-Петербург</t>
        </is>
      </c>
      <c r="B771" s="130" t="inlineStr">
        <is>
          <t>Газпромнефть</t>
        </is>
      </c>
      <c r="C771" s="637" t="n">
        <v>10125</v>
      </c>
      <c r="D771" s="637" t="inlineStr">
        <is>
          <t>GPN_10125</t>
        </is>
      </c>
      <c r="E771" s="630" t="inlineStr">
        <is>
          <t>Новая АЗК</t>
        </is>
      </c>
      <c r="F771" s="628" t="n">
        <v>45482</v>
      </c>
    </row>
    <row r="772" hidden="1">
      <c r="A772" s="130" t="inlineStr">
        <is>
          <t>Санкт-Петербург</t>
        </is>
      </c>
      <c r="B772" s="130" t="inlineStr">
        <is>
          <t>Газпромнефть</t>
        </is>
      </c>
      <c r="C772" s="637" t="n">
        <v>10148</v>
      </c>
      <c r="D772" s="637" t="inlineStr">
        <is>
          <t>GPN_10148</t>
        </is>
      </c>
      <c r="E772" s="630" t="inlineStr">
        <is>
          <t>Новая АЗК</t>
        </is>
      </c>
      <c r="F772" s="628" t="n">
        <v>45482</v>
      </c>
    </row>
    <row r="773" hidden="1">
      <c r="A773" s="130" t="inlineStr">
        <is>
          <t>Санкт-Петербург</t>
        </is>
      </c>
      <c r="B773" s="130" t="inlineStr">
        <is>
          <t>Газпромнефть</t>
        </is>
      </c>
      <c r="C773" s="637" t="n">
        <v>10149</v>
      </c>
      <c r="D773" s="637" t="inlineStr">
        <is>
          <t>GPN_10149</t>
        </is>
      </c>
      <c r="E773" s="630" t="inlineStr">
        <is>
          <t>Новая АЗК</t>
        </is>
      </c>
      <c r="F773" s="628" t="n">
        <v>45482</v>
      </c>
    </row>
    <row r="774" hidden="1">
      <c r="A774" s="130" t="inlineStr">
        <is>
          <t>ЦФО (Калуга, Тула, Тверь, Рязань,Смоленск,Владимир,Воронеж, Ярославль)</t>
        </is>
      </c>
      <c r="B774" s="130" t="inlineStr">
        <is>
          <t>Газпромнефть</t>
        </is>
      </c>
      <c r="C774" s="637" t="n">
        <v>12077</v>
      </c>
      <c r="D774" s="637" t="inlineStr">
        <is>
          <t>GPN_12077</t>
        </is>
      </c>
      <c r="E774" s="630" t="inlineStr">
        <is>
          <t>Новая АЗК</t>
        </is>
      </c>
      <c r="F774" s="628" t="n">
        <v>45482</v>
      </c>
    </row>
    <row r="775" hidden="1">
      <c r="A775" s="130" t="inlineStr">
        <is>
          <t>ЦФО (Калуга, Тула, Тверь, Рязань,Смоленск,Владимир,Воронеж, Ярославль)</t>
        </is>
      </c>
      <c r="B775" s="130" t="inlineStr">
        <is>
          <t>Газпромнефть</t>
        </is>
      </c>
      <c r="C775" s="637" t="n">
        <v>12078</v>
      </c>
      <c r="D775" s="637" t="inlineStr">
        <is>
          <t>GPN_12078</t>
        </is>
      </c>
      <c r="E775" s="630" t="inlineStr">
        <is>
          <t>Новая АЗК</t>
        </is>
      </c>
      <c r="F775" s="628" t="n">
        <v>45482</v>
      </c>
    </row>
    <row r="776" hidden="1">
      <c r="A776" s="130" t="inlineStr">
        <is>
          <t>Москва</t>
        </is>
      </c>
      <c r="B776" s="130" t="inlineStr">
        <is>
          <t>Газпромнефть</t>
        </is>
      </c>
      <c r="C776" s="637" t="n">
        <v>12314</v>
      </c>
      <c r="D776" s="637" t="inlineStr">
        <is>
          <t>GPN_12314</t>
        </is>
      </c>
      <c r="E776" s="630" t="inlineStr">
        <is>
          <t>Новая АЗК</t>
        </is>
      </c>
      <c r="F776" s="628" t="n">
        <v>45482</v>
      </c>
    </row>
    <row r="777" hidden="1">
      <c r="A777" s="130" t="inlineStr">
        <is>
          <t>Приволжье (Нижний Новгород, Казань)</t>
        </is>
      </c>
      <c r="B777" s="130" t="inlineStr">
        <is>
          <t>Газпромнефть</t>
        </is>
      </c>
      <c r="C777" s="637" t="n">
        <v>20601</v>
      </c>
      <c r="D777" s="637" t="inlineStr">
        <is>
          <t>GPN_20601</t>
        </is>
      </c>
      <c r="E777" s="630" t="inlineStr">
        <is>
          <t>Новая АЗК</t>
        </is>
      </c>
      <c r="F777" s="628" t="n">
        <v>45482</v>
      </c>
    </row>
    <row r="778" hidden="1">
      <c r="A778" s="130" t="inlineStr">
        <is>
          <t>Екатеринбург</t>
        </is>
      </c>
      <c r="B778" s="130" t="inlineStr">
        <is>
          <t>Газпромнефть</t>
        </is>
      </c>
      <c r="C778" s="637" t="n">
        <v>21322</v>
      </c>
      <c r="D778" s="637" t="inlineStr">
        <is>
          <t>GPN_21322</t>
        </is>
      </c>
      <c r="E778" s="630" t="inlineStr">
        <is>
          <t>Новая АЗК</t>
        </is>
      </c>
      <c r="F778" s="628" t="n">
        <v>45482</v>
      </c>
    </row>
    <row r="779" hidden="1">
      <c r="A779" s="130" t="inlineStr">
        <is>
          <t>Тюмень</t>
        </is>
      </c>
      <c r="B779" s="130" t="inlineStr">
        <is>
          <t>Газпромнефть</t>
        </is>
      </c>
      <c r="C779" s="637" t="n">
        <v>24452</v>
      </c>
      <c r="D779" s="637" t="inlineStr">
        <is>
          <t>GPN_24452</t>
        </is>
      </c>
      <c r="E779" s="630" t="inlineStr">
        <is>
          <t>Новая АЗК</t>
        </is>
      </c>
      <c r="F779" s="628" t="n">
        <v>45482</v>
      </c>
    </row>
    <row r="780" hidden="1">
      <c r="A780" s="130" t="inlineStr">
        <is>
          <t>Новосибирск</t>
        </is>
      </c>
      <c r="B780" s="130" t="inlineStr">
        <is>
          <t>Газпромнефть</t>
        </is>
      </c>
      <c r="C780" s="637" t="n">
        <v>30006</v>
      </c>
      <c r="D780" s="637" t="inlineStr">
        <is>
          <t>GPN_30006</t>
        </is>
      </c>
      <c r="E780" s="630" t="inlineStr">
        <is>
          <t>Новая АЗК</t>
        </is>
      </c>
      <c r="F780" s="628" t="n">
        <v>45482</v>
      </c>
    </row>
    <row r="781" hidden="1">
      <c r="A781" s="130" t="inlineStr">
        <is>
          <t>Алтайский край</t>
        </is>
      </c>
      <c r="B781" s="130" t="inlineStr">
        <is>
          <t>Газпромнефть</t>
        </is>
      </c>
      <c r="C781" s="637" t="n">
        <v>33028</v>
      </c>
      <c r="D781" s="637" t="inlineStr">
        <is>
          <t>GPN_33028</t>
        </is>
      </c>
      <c r="E781" s="630" t="inlineStr">
        <is>
          <t>Новая АЗК</t>
        </is>
      </c>
      <c r="F781" s="628" t="n">
        <v>45482</v>
      </c>
    </row>
    <row r="782" hidden="1">
      <c r="A782" s="130" t="inlineStr">
        <is>
          <t>Алтайский край</t>
        </is>
      </c>
      <c r="B782" s="130" t="inlineStr">
        <is>
          <t>Газпромнефть</t>
        </is>
      </c>
      <c r="C782" s="637" t="n">
        <v>33101</v>
      </c>
      <c r="D782" s="637" t="inlineStr">
        <is>
          <t>GPN_33101</t>
        </is>
      </c>
      <c r="E782" s="630" t="inlineStr">
        <is>
          <t>Новая АЗК</t>
        </is>
      </c>
      <c r="F782" s="628" t="n">
        <v>45482</v>
      </c>
    </row>
    <row r="783" hidden="1">
      <c r="A783" s="130" t="inlineStr">
        <is>
          <t>Алтайский край</t>
        </is>
      </c>
      <c r="B783" s="130" t="inlineStr">
        <is>
          <t>Газпромнефть</t>
        </is>
      </c>
      <c r="C783" s="637" t="n">
        <v>33109</v>
      </c>
      <c r="D783" s="637" t="inlineStr">
        <is>
          <t>GPN_33109</t>
        </is>
      </c>
      <c r="E783" s="630" t="inlineStr">
        <is>
          <t>Новая АЗК</t>
        </is>
      </c>
      <c r="F783" s="628" t="n">
        <v>45482</v>
      </c>
    </row>
    <row r="784" hidden="1">
      <c r="A784" s="130" t="inlineStr">
        <is>
          <t>Краснодар</t>
        </is>
      </c>
      <c r="B784" s="130" t="inlineStr">
        <is>
          <t>Роснефть</t>
        </is>
      </c>
      <c r="C784" s="637" t="inlineStr">
        <is>
          <t>RN_116/1</t>
        </is>
      </c>
      <c r="D784" s="637" t="inlineStr">
        <is>
          <t>KDR_RN_0116_1</t>
        </is>
      </c>
      <c r="E784" s="630" t="inlineStr">
        <is>
          <t>Добавил</t>
        </is>
      </c>
      <c r="F784" s="628" t="n">
        <v>45482</v>
      </c>
    </row>
    <row r="785" hidden="1">
      <c r="A785" s="130" t="inlineStr">
        <is>
          <t>Краснодар</t>
        </is>
      </c>
      <c r="B785" s="130" t="inlineStr">
        <is>
          <t>Роснефть</t>
        </is>
      </c>
      <c r="C785" s="637" t="inlineStr">
        <is>
          <t>RN_119</t>
        </is>
      </c>
      <c r="D785" s="637" t="inlineStr">
        <is>
          <t>KDR_RN_0119</t>
        </is>
      </c>
      <c r="E785" s="630" t="inlineStr">
        <is>
          <t>Добавил</t>
        </is>
      </c>
      <c r="F785" s="628" t="n">
        <v>45482</v>
      </c>
    </row>
    <row r="786" hidden="1">
      <c r="A786" s="130" t="inlineStr">
        <is>
          <t>Краснодар</t>
        </is>
      </c>
      <c r="B786" s="130" t="inlineStr">
        <is>
          <t>Роснефть</t>
        </is>
      </c>
      <c r="C786" s="637" t="inlineStr">
        <is>
          <t>RN_91</t>
        </is>
      </c>
      <c r="D786" s="637" t="inlineStr">
        <is>
          <t>KDR_RN_0091</t>
        </is>
      </c>
      <c r="E786" s="630" t="inlineStr">
        <is>
          <t>Новая АЗК</t>
        </is>
      </c>
      <c r="F786" s="628" t="n">
        <v>45482</v>
      </c>
    </row>
    <row r="787" hidden="1">
      <c r="A787" s="130" t="inlineStr">
        <is>
          <t>Краснодар</t>
        </is>
      </c>
      <c r="B787" s="130" t="inlineStr">
        <is>
          <t>Роснефть</t>
        </is>
      </c>
      <c r="C787" s="637" t="inlineStr">
        <is>
          <t>RN_38</t>
        </is>
      </c>
      <c r="D787" s="637" t="inlineStr">
        <is>
          <t>KDR_RN_0038</t>
        </is>
      </c>
      <c r="E787" s="630" t="inlineStr">
        <is>
          <t>Новая АЗК</t>
        </is>
      </c>
      <c r="F787" s="628" t="n">
        <v>45482</v>
      </c>
    </row>
    <row r="788" hidden="1">
      <c r="A788" s="130" t="inlineStr">
        <is>
          <t>Краснодар</t>
        </is>
      </c>
      <c r="B788" s="130" t="inlineStr">
        <is>
          <t>Роснефть</t>
        </is>
      </c>
      <c r="C788" s="637" t="inlineStr">
        <is>
          <t>RN_157</t>
        </is>
      </c>
      <c r="D788" s="637" t="inlineStr">
        <is>
          <t>KDR_RN_0157</t>
        </is>
      </c>
      <c r="E788" s="630" t="inlineStr">
        <is>
          <t>Добавил</t>
        </is>
      </c>
      <c r="F788" s="628" t="n">
        <v>45482</v>
      </c>
    </row>
    <row r="789" hidden="1">
      <c r="A789" s="130" t="inlineStr">
        <is>
          <t>Краснодар</t>
        </is>
      </c>
      <c r="B789" s="130" t="inlineStr">
        <is>
          <t>Роснефть</t>
        </is>
      </c>
      <c r="C789" s="637" t="inlineStr">
        <is>
          <t>RN_153</t>
        </is>
      </c>
      <c r="D789" s="637" t="inlineStr">
        <is>
          <t>KDR_RN_0153</t>
        </is>
      </c>
      <c r="E789" s="630" t="inlineStr">
        <is>
          <t>Добавил</t>
        </is>
      </c>
      <c r="F789" s="628" t="n">
        <v>45482</v>
      </c>
    </row>
    <row r="790" hidden="1">
      <c r="A790" s="130" t="inlineStr">
        <is>
          <t>Краснодар</t>
        </is>
      </c>
      <c r="B790" s="130" t="inlineStr">
        <is>
          <t>Роснефть</t>
        </is>
      </c>
      <c r="C790" s="637" t="inlineStr">
        <is>
          <t>RN_155</t>
        </is>
      </c>
      <c r="D790" s="637" t="inlineStr">
        <is>
          <t>KDR_RN_0155</t>
        </is>
      </c>
      <c r="E790" s="630" t="inlineStr">
        <is>
          <t>Добавил</t>
        </is>
      </c>
      <c r="F790" s="628" t="n">
        <v>45482</v>
      </c>
    </row>
    <row r="791" hidden="1">
      <c r="A791" s="130" t="inlineStr">
        <is>
          <t>Ростов-на-Дону</t>
        </is>
      </c>
      <c r="B791" s="130" t="inlineStr">
        <is>
          <t>Роснефть</t>
        </is>
      </c>
      <c r="C791" s="637" t="n">
        <v>161</v>
      </c>
      <c r="D791" s="637" t="inlineStr">
        <is>
          <t>RND_RN_0161</t>
        </is>
      </c>
      <c r="E791" s="630" t="inlineStr">
        <is>
          <t>Новая АЗК</t>
        </is>
      </c>
      <c r="F791" s="628" t="n">
        <v>45482</v>
      </c>
    </row>
    <row r="792" hidden="1">
      <c r="A792" s="130" t="inlineStr">
        <is>
          <t>Ростов-на-Дону</t>
        </is>
      </c>
      <c r="B792" s="130" t="inlineStr">
        <is>
          <t>Роснефть</t>
        </is>
      </c>
      <c r="C792" s="637" t="n">
        <v>120</v>
      </c>
      <c r="D792" s="637" t="inlineStr">
        <is>
          <t>RND_RN_0120</t>
        </is>
      </c>
      <c r="E792" s="630" t="inlineStr">
        <is>
          <t>Добавил</t>
        </is>
      </c>
      <c r="F792" s="628" t="n">
        <v>45482</v>
      </c>
    </row>
    <row r="793" hidden="1">
      <c r="A793" s="130" t="inlineStr">
        <is>
          <t>Ростов-на-Дону</t>
        </is>
      </c>
      <c r="B793" s="130" t="inlineStr">
        <is>
          <t>Роснефть</t>
        </is>
      </c>
      <c r="C793" s="637" t="n">
        <v>52</v>
      </c>
      <c r="D793" s="637" t="inlineStr">
        <is>
          <t>RND_RN_0052</t>
        </is>
      </c>
      <c r="E793" s="630" t="inlineStr">
        <is>
          <t>Новая АЗК</t>
        </is>
      </c>
      <c r="F793" s="628" t="n">
        <v>45482</v>
      </c>
    </row>
    <row r="794" hidden="1">
      <c r="A794" s="130" t="inlineStr">
        <is>
          <t>Ростов-на-Дону</t>
        </is>
      </c>
      <c r="B794" s="130" t="inlineStr">
        <is>
          <t>Роснефть</t>
        </is>
      </c>
      <c r="C794" s="637" t="n">
        <v>38</v>
      </c>
      <c r="D794" s="637" t="inlineStr">
        <is>
          <t>RND_RN_0038</t>
        </is>
      </c>
      <c r="E794" s="630" t="inlineStr">
        <is>
          <t>Новая АЗК</t>
        </is>
      </c>
      <c r="F794" s="628" t="n">
        <v>45482</v>
      </c>
    </row>
    <row r="795" hidden="1">
      <c r="A795" s="130" t="inlineStr">
        <is>
          <t>Ростов-на-Дону</t>
        </is>
      </c>
      <c r="B795" s="130" t="inlineStr">
        <is>
          <t>Роснефть</t>
        </is>
      </c>
      <c r="C795" s="637" t="n">
        <v>39</v>
      </c>
      <c r="D795" s="637" t="inlineStr">
        <is>
          <t>RND_RN_0039</t>
        </is>
      </c>
      <c r="E795" s="630" t="inlineStr">
        <is>
          <t>Новая АЗК</t>
        </is>
      </c>
      <c r="F795" s="628" t="n">
        <v>45482</v>
      </c>
    </row>
    <row r="796" hidden="1">
      <c r="A796" s="130" t="inlineStr">
        <is>
          <t>Ростов-на-Дону</t>
        </is>
      </c>
      <c r="B796" s="130" t="inlineStr">
        <is>
          <t>Роснефть</t>
        </is>
      </c>
      <c r="C796" s="637" t="n">
        <v>40</v>
      </c>
      <c r="D796" s="637" t="inlineStr">
        <is>
          <t>RND_RN_0040</t>
        </is>
      </c>
      <c r="E796" s="630" t="inlineStr">
        <is>
          <t>Новая АЗК</t>
        </is>
      </c>
      <c r="F796" s="628" t="n">
        <v>45482</v>
      </c>
    </row>
    <row r="797" hidden="1">
      <c r="A797" s="130" t="inlineStr">
        <is>
          <t>Москва</t>
        </is>
      </c>
      <c r="B797" s="130" t="inlineStr">
        <is>
          <t>Бизнес центр</t>
        </is>
      </c>
      <c r="C797" s="637" t="inlineStr">
        <is>
          <t>РТС Нагатинский</t>
        </is>
      </c>
      <c r="D797" s="637" t="inlineStr">
        <is>
          <t>MSK_BC_RTS_Nagatinskiy</t>
        </is>
      </c>
      <c r="E797" s="630" t="inlineStr">
        <is>
          <t>Закрылся</t>
        </is>
      </c>
      <c r="F797" s="628" t="n">
        <v>45482</v>
      </c>
    </row>
    <row r="798" hidden="1">
      <c r="A798" s="130" t="inlineStr">
        <is>
          <t>Москва</t>
        </is>
      </c>
      <c r="B798" s="130" t="inlineStr">
        <is>
          <t>Metro C&amp;C</t>
        </is>
      </c>
      <c r="C798" s="637" t="n">
        <v>10</v>
      </c>
      <c r="D798" s="637" t="inlineStr">
        <is>
          <t>Metro_10</t>
        </is>
      </c>
      <c r="E798" s="630" t="inlineStr">
        <is>
          <t>7 экранов</t>
        </is>
      </c>
      <c r="F798" s="628" t="n">
        <v>45483</v>
      </c>
    </row>
    <row r="799" hidden="1">
      <c r="A799" s="130" t="inlineStr">
        <is>
          <t>Москва</t>
        </is>
      </c>
      <c r="B799" s="130" t="inlineStr">
        <is>
          <t>Роснефть</t>
        </is>
      </c>
      <c r="C799" s="637" t="inlineStr">
        <is>
          <t>Краснознаменская</t>
        </is>
      </c>
      <c r="D799" s="637" t="inlineStr">
        <is>
          <t>MSK_BP_Krasnoznamenskaya</t>
        </is>
      </c>
      <c r="E799" s="630" t="inlineStr">
        <is>
          <t>Добавил (2 экрана)</t>
        </is>
      </c>
      <c r="F799" s="628" t="n">
        <v>45502</v>
      </c>
    </row>
    <row r="800" hidden="1">
      <c r="A800" s="130" t="inlineStr">
        <is>
          <t>Санкт-Петербург</t>
        </is>
      </c>
      <c r="B800" s="130" t="inlineStr">
        <is>
          <t>Роснефть</t>
        </is>
      </c>
      <c r="C800" s="637" t="inlineStr">
        <is>
          <t>332 Непокоренных-2</t>
        </is>
      </c>
      <c r="D800" s="637" t="inlineStr">
        <is>
          <t>SPB_RN_P_332</t>
        </is>
      </c>
      <c r="E800" s="630" t="inlineStr">
        <is>
          <t>Добавил</t>
        </is>
      </c>
      <c r="F800" s="628" t="n">
        <v>45502</v>
      </c>
    </row>
    <row r="801" hidden="1">
      <c r="A801" s="130" t="inlineStr">
        <is>
          <t>Санкт-Петербург</t>
        </is>
      </c>
      <c r="B801" s="130" t="inlineStr">
        <is>
          <t>Роснефть</t>
        </is>
      </c>
      <c r="C801" s="637" t="inlineStr">
        <is>
          <t>330 Приморская</t>
        </is>
      </c>
      <c r="D801" s="637" t="inlineStr">
        <is>
          <t>SPB_RN_P_330</t>
        </is>
      </c>
      <c r="E801" s="630" t="inlineStr">
        <is>
          <t>Добавил</t>
        </is>
      </c>
      <c r="F801" s="628" t="n">
        <v>45502</v>
      </c>
    </row>
    <row r="802" hidden="1">
      <c r="A802" s="130" t="inlineStr">
        <is>
          <t>Санкт-Петербург</t>
        </is>
      </c>
      <c r="B802" s="130" t="inlineStr">
        <is>
          <t>Бизнес центр</t>
        </is>
      </c>
      <c r="C802" s="637" t="inlineStr">
        <is>
          <t>У Ростральных колонн</t>
        </is>
      </c>
      <c r="D802" s="637" t="inlineStr">
        <is>
          <t>SPB_BC_U_Rostralnykh_kolonn</t>
        </is>
      </c>
      <c r="E802" s="630" t="inlineStr">
        <is>
          <t>Закончился договор</t>
        </is>
      </c>
      <c r="F802" s="628" t="n">
        <v>45502</v>
      </c>
    </row>
    <row r="803" hidden="1">
      <c r="A803" s="130" t="inlineStr">
        <is>
          <t>Москва</t>
        </is>
      </c>
      <c r="B803" s="130" t="inlineStr">
        <is>
          <t>Газпромнефть</t>
        </is>
      </c>
      <c r="C803" s="637" t="n">
        <v>12325</v>
      </c>
      <c r="D803" s="637" t="inlineStr">
        <is>
          <t>GPN_12325</t>
        </is>
      </c>
      <c r="E803" s="630" t="inlineStr">
        <is>
          <t>Нет связи</t>
        </is>
      </c>
      <c r="F803" s="628" t="n">
        <v>45502</v>
      </c>
    </row>
    <row r="804" hidden="1">
      <c r="A804" s="130" t="inlineStr">
        <is>
          <t>Смоленск</t>
        </is>
      </c>
      <c r="B804" s="130" t="inlineStr">
        <is>
          <t>Роснефть</t>
        </is>
      </c>
      <c r="C804" s="637" t="n">
        <v>108</v>
      </c>
      <c r="D804" s="637" t="inlineStr">
        <is>
          <t>SMO_RN_0108</t>
        </is>
      </c>
      <c r="E804" s="630" t="inlineStr">
        <is>
          <t>2 экрана</t>
        </is>
      </c>
      <c r="F804" s="628" t="n">
        <v>45503</v>
      </c>
    </row>
    <row r="805" hidden="1">
      <c r="A805" s="130" t="inlineStr">
        <is>
          <t>Брянск</t>
        </is>
      </c>
      <c r="B805" s="130" t="inlineStr">
        <is>
          <t>Роснефть</t>
        </is>
      </c>
      <c r="C805" s="637" t="inlineStr">
        <is>
          <t>RN_1</t>
        </is>
      </c>
      <c r="D805" s="637" t="inlineStr">
        <is>
          <t>BRN_RN_0001</t>
        </is>
      </c>
      <c r="E805" s="630" t="inlineStr">
        <is>
          <t>Добавил</t>
        </is>
      </c>
      <c r="F805" s="628" t="n">
        <v>45503</v>
      </c>
    </row>
    <row r="806" hidden="1">
      <c r="A806" s="130" t="inlineStr">
        <is>
          <t>Санкт-Петербург</t>
        </is>
      </c>
      <c r="B806" s="130" t="inlineStr">
        <is>
          <t>Бизнес центр</t>
        </is>
      </c>
      <c r="C806" s="637" t="inlineStr">
        <is>
          <t>У Ростральных колонн</t>
        </is>
      </c>
      <c r="D806" s="637" t="inlineStr">
        <is>
          <t>SPB_BC_U_Rostralnykh_kolonn</t>
        </is>
      </c>
      <c r="E806" s="630" t="inlineStr">
        <is>
          <t>Добавил</t>
        </is>
      </c>
      <c r="F806" s="628" t="n">
        <v>45503</v>
      </c>
    </row>
    <row r="807" hidden="1">
      <c r="A807" s="130" t="inlineStr">
        <is>
          <t>Брянск</t>
        </is>
      </c>
      <c r="B807" s="130" t="inlineStr">
        <is>
          <t>Роснефть</t>
        </is>
      </c>
      <c r="C807" s="637" t="inlineStr">
        <is>
          <t>RN_70</t>
        </is>
      </c>
      <c r="D807" s="637" t="inlineStr">
        <is>
          <t>BRN_RN_0070</t>
        </is>
      </c>
      <c r="E807" s="630" t="inlineStr">
        <is>
          <t>Добавил</t>
        </is>
      </c>
      <c r="F807" s="628" t="n">
        <v>45503</v>
      </c>
    </row>
    <row r="808" hidden="1">
      <c r="A808" s="130" t="inlineStr">
        <is>
          <t>Самара</t>
        </is>
      </c>
      <c r="B808" s="130" t="inlineStr">
        <is>
          <t>Роснефть</t>
        </is>
      </c>
      <c r="C808" s="637" t="inlineStr">
        <is>
          <t>RN_124</t>
        </is>
      </c>
      <c r="D808" s="637" t="inlineStr">
        <is>
          <t>SMR_RN_0124</t>
        </is>
      </c>
      <c r="E808" s="630" t="inlineStr">
        <is>
          <t>Добавил</t>
        </is>
      </c>
      <c r="F808" s="628" t="n">
        <v>45527</v>
      </c>
    </row>
    <row r="809" hidden="1">
      <c r="A809" s="130" t="inlineStr">
        <is>
          <t>Самара</t>
        </is>
      </c>
      <c r="B809" s="130" t="inlineStr">
        <is>
          <t>Роснефть</t>
        </is>
      </c>
      <c r="C809" s="637" t="inlineStr">
        <is>
          <t>RN_93</t>
        </is>
      </c>
      <c r="D809" s="637" t="inlineStr">
        <is>
          <t>SMR_RN_0093</t>
        </is>
      </c>
      <c r="E809" s="630" t="inlineStr">
        <is>
          <t>Добавил</t>
        </is>
      </c>
      <c r="F809" s="628" t="n">
        <v>45527</v>
      </c>
    </row>
    <row r="810" hidden="1">
      <c r="A810" s="130" t="inlineStr">
        <is>
          <t>Самара</t>
        </is>
      </c>
      <c r="B810" s="130" t="inlineStr">
        <is>
          <t>Роснефть</t>
        </is>
      </c>
      <c r="C810" s="637" t="inlineStr">
        <is>
          <t>RN_50</t>
        </is>
      </c>
      <c r="D810" s="637" t="inlineStr">
        <is>
          <t>SMR_RN_0050</t>
        </is>
      </c>
      <c r="E810" s="630" t="inlineStr">
        <is>
          <t>Добавил</t>
        </is>
      </c>
      <c r="F810" s="628" t="n">
        <v>45527</v>
      </c>
    </row>
    <row r="811" hidden="1">
      <c r="A811" s="130" t="inlineStr">
        <is>
          <t>Самара</t>
        </is>
      </c>
      <c r="B811" s="130" t="inlineStr">
        <is>
          <t>Роснефть</t>
        </is>
      </c>
      <c r="C811" s="637" t="inlineStr">
        <is>
          <t>RN_56</t>
        </is>
      </c>
      <c r="D811" s="637" t="inlineStr">
        <is>
          <t>SMR_RN_0056</t>
        </is>
      </c>
      <c r="E811" s="630" t="inlineStr">
        <is>
          <t>Добавил</t>
        </is>
      </c>
      <c r="F811" s="628" t="n">
        <v>45527</v>
      </c>
    </row>
    <row r="812" hidden="1">
      <c r="A812" s="130" t="inlineStr">
        <is>
          <t>Самара</t>
        </is>
      </c>
      <c r="B812" s="130" t="inlineStr">
        <is>
          <t>Роснефть</t>
        </is>
      </c>
      <c r="C812" s="637" t="inlineStr">
        <is>
          <t>RN_7</t>
        </is>
      </c>
      <c r="D812" s="637" t="inlineStr">
        <is>
          <t>SMR_RN_0007</t>
        </is>
      </c>
      <c r="E812" s="630" t="inlineStr">
        <is>
          <t>Реконструкция</t>
        </is>
      </c>
      <c r="F812" s="628" t="n">
        <v>45527</v>
      </c>
    </row>
    <row r="813" hidden="1">
      <c r="A813" s="130" t="inlineStr">
        <is>
          <t>Москва</t>
        </is>
      </c>
      <c r="B813" s="130" t="inlineStr">
        <is>
          <t>Metro C&amp;C</t>
        </is>
      </c>
      <c r="C813" s="637" t="n">
        <v>48</v>
      </c>
      <c r="D813" s="637" t="inlineStr">
        <is>
          <t>Metro_48</t>
        </is>
      </c>
      <c r="E813" s="630" t="inlineStr">
        <is>
          <t>7 экранов</t>
        </is>
      </c>
      <c r="F813" s="628" t="n">
        <v>45527</v>
      </c>
    </row>
    <row r="814" hidden="1">
      <c r="A814" s="130" t="inlineStr">
        <is>
          <t>Екатеринбург</t>
        </is>
      </c>
      <c r="B814" s="130" t="inlineStr">
        <is>
          <t>World Class</t>
        </is>
      </c>
      <c r="C814" s="637" t="inlineStr">
        <is>
          <t>World Class Центр</t>
        </is>
      </c>
      <c r="D814" s="637" t="inlineStr">
        <is>
          <t>EKT_WC01_TV01</t>
        </is>
      </c>
      <c r="E814" s="630" t="inlineStr">
        <is>
          <t>Закрыт</t>
        </is>
      </c>
      <c r="F814" s="628" t="n">
        <v>45527</v>
      </c>
    </row>
    <row r="815" hidden="1">
      <c r="A815" s="130" t="inlineStr">
        <is>
          <t>Екатеринбург</t>
        </is>
      </c>
      <c r="B815" s="125" t="inlineStr">
        <is>
          <t>Газпромнефть</t>
        </is>
      </c>
      <c r="C815" s="637" t="n">
        <v>20515</v>
      </c>
      <c r="D815" s="637" t="inlineStr">
        <is>
          <t>GPN_20515</t>
        </is>
      </c>
      <c r="E815" s="630" t="inlineStr">
        <is>
          <t>Реконструкция</t>
        </is>
      </c>
      <c r="F815" s="628" t="n">
        <v>45527</v>
      </c>
    </row>
    <row r="816" hidden="1">
      <c r="A816" s="130" t="inlineStr">
        <is>
          <t>Санкт-Петербург</t>
        </is>
      </c>
      <c r="B816" s="130" t="inlineStr">
        <is>
          <t>Роснефть</t>
        </is>
      </c>
      <c r="C816" s="637" t="inlineStr">
        <is>
          <t>454 Кола-1</t>
        </is>
      </c>
      <c r="D816" s="637" t="inlineStr">
        <is>
          <t>SPB_RN_P_454</t>
        </is>
      </c>
      <c r="E816" s="630" t="inlineStr">
        <is>
          <t>Добавил</t>
        </is>
      </c>
      <c r="F816" s="628" t="n">
        <v>45527</v>
      </c>
    </row>
    <row r="817" hidden="1">
      <c r="A817" s="130" t="inlineStr">
        <is>
          <t>Санкт-Петербург</t>
        </is>
      </c>
      <c r="B817" s="130" t="inlineStr">
        <is>
          <t>Роснефть</t>
        </is>
      </c>
      <c r="C817" s="637" t="inlineStr">
        <is>
          <t>455 Кола-2</t>
        </is>
      </c>
      <c r="D817" s="637" t="inlineStr">
        <is>
          <t>SPB_RN_P_455</t>
        </is>
      </c>
      <c r="E817" s="630" t="inlineStr">
        <is>
          <t>Добавил 2 экрана</t>
        </is>
      </c>
      <c r="F817" s="628" t="n">
        <v>45527</v>
      </c>
    </row>
    <row r="818" hidden="1" ht="21.6" customHeight="1">
      <c r="A818" s="416" t="inlineStr">
        <is>
          <t>Приморский край (Владивосток, Уссурийск, Артем)</t>
        </is>
      </c>
      <c r="B818" s="130" t="inlineStr">
        <is>
          <t>Роснефть</t>
        </is>
      </c>
      <c r="C818" s="637" t="n">
        <v>401</v>
      </c>
      <c r="D818" s="637" t="inlineStr">
        <is>
          <t>VLV_RN_401</t>
        </is>
      </c>
      <c r="E818" s="630" t="inlineStr">
        <is>
          <t>Закрыта</t>
        </is>
      </c>
      <c r="F818" s="628" t="n">
        <v>45527</v>
      </c>
    </row>
    <row r="819" hidden="1">
      <c r="A819" s="845" t="inlineStr">
        <is>
          <t>Москва</t>
        </is>
      </c>
      <c r="B819" s="845" t="inlineStr">
        <is>
          <t>Лукойл (ЕКА)</t>
        </is>
      </c>
      <c r="C819" s="845" t="inlineStr">
        <is>
          <t>Убрал все экраны</t>
        </is>
      </c>
      <c r="D819" s="880" t="n"/>
      <c r="E819" s="855" t="n"/>
      <c r="F819" s="628" t="n">
        <v>45527</v>
      </c>
    </row>
    <row r="820" hidden="1">
      <c r="A820" s="130" t="inlineStr">
        <is>
          <t>Ставрополь</t>
        </is>
      </c>
      <c r="B820" s="130" t="inlineStr">
        <is>
          <t>Роснефть</t>
        </is>
      </c>
      <c r="C820" s="637" t="n">
        <v>103</v>
      </c>
      <c r="D820" s="637" t="inlineStr">
        <is>
          <t>STW_RN_103</t>
        </is>
      </c>
      <c r="E820" s="630" t="inlineStr">
        <is>
          <t>Новая АЗС</t>
        </is>
      </c>
      <c r="F820" s="628" t="n">
        <v>45540</v>
      </c>
    </row>
    <row r="821" hidden="1">
      <c r="A821" s="130" t="inlineStr">
        <is>
          <t>Ставрополь</t>
        </is>
      </c>
      <c r="B821" s="130" t="inlineStr">
        <is>
          <t>Роснефть</t>
        </is>
      </c>
      <c r="C821" s="637" t="n">
        <v>100</v>
      </c>
      <c r="D821" s="637" t="inlineStr">
        <is>
          <t>STW_RN_100</t>
        </is>
      </c>
      <c r="E821" s="630" t="inlineStr">
        <is>
          <t>Новая АЗС</t>
        </is>
      </c>
      <c r="F821" s="628" t="n">
        <v>45540</v>
      </c>
    </row>
    <row r="822" hidden="1">
      <c r="A822" s="130" t="inlineStr">
        <is>
          <t>Ставрополь</t>
        </is>
      </c>
      <c r="B822" s="130" t="inlineStr">
        <is>
          <t>Роснефть</t>
        </is>
      </c>
      <c r="C822" s="637" t="n">
        <v>123</v>
      </c>
      <c r="D822" s="637" t="inlineStr">
        <is>
          <t>STW_RN_123</t>
        </is>
      </c>
      <c r="E822" s="630" t="inlineStr">
        <is>
          <t>Новая АЗС</t>
        </is>
      </c>
      <c r="F822" s="628" t="n">
        <v>45540</v>
      </c>
    </row>
    <row r="823" hidden="1">
      <c r="A823" s="130" t="inlineStr">
        <is>
          <t>Ставрополь</t>
        </is>
      </c>
      <c r="B823" s="130" t="inlineStr">
        <is>
          <t>Роснефть</t>
        </is>
      </c>
      <c r="C823" s="637" t="n">
        <v>119</v>
      </c>
      <c r="D823" s="637" t="inlineStr">
        <is>
          <t>STW_RN_119</t>
        </is>
      </c>
      <c r="E823" s="630" t="inlineStr">
        <is>
          <t>Новая АЗС</t>
        </is>
      </c>
      <c r="F823" s="628" t="n">
        <v>45540</v>
      </c>
    </row>
    <row r="824" hidden="1">
      <c r="A824" s="130" t="inlineStr">
        <is>
          <t>Ставрополь</t>
        </is>
      </c>
      <c r="B824" s="130" t="inlineStr">
        <is>
          <t>Роснефть</t>
        </is>
      </c>
      <c r="C824" s="637" t="n">
        <v>126</v>
      </c>
      <c r="D824" s="637" t="inlineStr">
        <is>
          <t>STW_RN_126</t>
        </is>
      </c>
      <c r="E824" s="630" t="inlineStr">
        <is>
          <t>Новая АЗС</t>
        </is>
      </c>
      <c r="F824" s="628" t="n">
        <v>45540</v>
      </c>
    </row>
    <row r="825" hidden="1">
      <c r="A825" s="130" t="inlineStr">
        <is>
          <t>Ставрополь</t>
        </is>
      </c>
      <c r="B825" s="130" t="inlineStr">
        <is>
          <t>Роснефть</t>
        </is>
      </c>
      <c r="C825" s="637" t="n">
        <v>89</v>
      </c>
      <c r="D825" s="637" t="inlineStr">
        <is>
          <t>STW_RN_089</t>
        </is>
      </c>
      <c r="E825" s="630" t="inlineStr">
        <is>
          <t>Новая АЗС</t>
        </is>
      </c>
      <c r="F825" s="628" t="n">
        <v>45540</v>
      </c>
    </row>
    <row r="826" hidden="1">
      <c r="A826" s="130" t="inlineStr">
        <is>
          <t>Ставрополь</t>
        </is>
      </c>
      <c r="B826" s="130" t="inlineStr">
        <is>
          <t>Роснефть</t>
        </is>
      </c>
      <c r="C826" s="637" t="n">
        <v>121</v>
      </c>
      <c r="D826" s="637" t="inlineStr">
        <is>
          <t>STW_RN_121</t>
        </is>
      </c>
      <c r="E826" s="630" t="inlineStr">
        <is>
          <t>Новая АЗС</t>
        </is>
      </c>
      <c r="F826" s="628" t="n">
        <v>45540</v>
      </c>
    </row>
    <row r="827" hidden="1">
      <c r="A827" s="130" t="inlineStr">
        <is>
          <t>Ставрополь</t>
        </is>
      </c>
      <c r="B827" s="130" t="inlineStr">
        <is>
          <t>Роснефть</t>
        </is>
      </c>
      <c r="C827" s="637" t="n">
        <v>108</v>
      </c>
      <c r="D827" s="637" t="inlineStr">
        <is>
          <t>STW_RN_108</t>
        </is>
      </c>
      <c r="E827" s="630" t="inlineStr">
        <is>
          <t>Новая АЗС</t>
        </is>
      </c>
      <c r="F827" s="628" t="n">
        <v>45540</v>
      </c>
    </row>
    <row r="828" hidden="1">
      <c r="A828" s="130" t="inlineStr">
        <is>
          <t>Ставрополь</t>
        </is>
      </c>
      <c r="B828" s="130" t="inlineStr">
        <is>
          <t>Роснефть</t>
        </is>
      </c>
      <c r="C828" s="637" t="n">
        <v>107</v>
      </c>
      <c r="D828" s="637" t="inlineStr">
        <is>
          <t>STW_RN_107</t>
        </is>
      </c>
      <c r="E828" s="630" t="inlineStr">
        <is>
          <t>Новая АЗС</t>
        </is>
      </c>
      <c r="F828" s="628" t="n">
        <v>45540</v>
      </c>
    </row>
    <row r="829" hidden="1">
      <c r="A829" s="130" t="inlineStr">
        <is>
          <t>Москва</t>
        </is>
      </c>
      <c r="B829" s="130" t="inlineStr">
        <is>
          <t>Азбука Вкуса</t>
        </is>
      </c>
      <c r="C829" s="637" t="n">
        <v>34</v>
      </c>
      <c r="D829" s="637" t="inlineStr">
        <is>
          <t>MSK_A_034</t>
        </is>
      </c>
      <c r="E829" s="630" t="inlineStr">
        <is>
          <t>Добавил</t>
        </is>
      </c>
      <c r="F829" s="628" t="n">
        <v>45540</v>
      </c>
    </row>
    <row r="830" hidden="1">
      <c r="A830" s="130" t="inlineStr">
        <is>
          <t>Смоленск</t>
        </is>
      </c>
      <c r="B830" s="130" t="inlineStr">
        <is>
          <t>Роснефть</t>
        </is>
      </c>
      <c r="C830" s="637" t="n">
        <v>17</v>
      </c>
      <c r="D830" s="637" t="inlineStr">
        <is>
          <t>SMO_RN_0017</t>
        </is>
      </c>
      <c r="E830" s="630" t="inlineStr">
        <is>
          <t>2 экрана</t>
        </is>
      </c>
      <c r="F830" s="628" t="n">
        <v>45540</v>
      </c>
    </row>
    <row r="831" hidden="1">
      <c r="A831" s="130" t="inlineStr">
        <is>
          <t>Смоленск</t>
        </is>
      </c>
      <c r="B831" s="130" t="inlineStr">
        <is>
          <t>Роснефть</t>
        </is>
      </c>
      <c r="C831" s="637" t="n">
        <v>122</v>
      </c>
      <c r="D831" s="637" t="inlineStr">
        <is>
          <t>SMO_RN_0122</t>
        </is>
      </c>
      <c r="E831" s="630" t="inlineStr">
        <is>
          <t>2 экрана</t>
        </is>
      </c>
      <c r="F831" s="628" t="n">
        <v>45540</v>
      </c>
    </row>
    <row r="832" hidden="1">
      <c r="A832" s="130" t="inlineStr">
        <is>
          <t>Ставрополь</t>
        </is>
      </c>
      <c r="B832" s="130" t="inlineStr">
        <is>
          <t>Роснефть</t>
        </is>
      </c>
      <c r="C832" s="637" t="n">
        <v>20</v>
      </c>
      <c r="D832" s="637" t="inlineStr">
        <is>
          <t>STW_RN_020</t>
        </is>
      </c>
      <c r="E832" s="630" t="inlineStr">
        <is>
          <t>Реконструкция</t>
        </is>
      </c>
      <c r="F832" s="628" t="n">
        <v>45540</v>
      </c>
    </row>
    <row r="833" hidden="1">
      <c r="A833" s="130" t="inlineStr">
        <is>
          <t>Ставрополь</t>
        </is>
      </c>
      <c r="B833" s="130" t="inlineStr">
        <is>
          <t>Роснефть</t>
        </is>
      </c>
      <c r="C833" s="637" t="n">
        <v>32</v>
      </c>
      <c r="D833" s="637" t="inlineStr">
        <is>
          <t>STW_RN_032</t>
        </is>
      </c>
      <c r="E833" s="630" t="inlineStr">
        <is>
          <t>2 экрана</t>
        </is>
      </c>
      <c r="F833" s="628" t="n">
        <v>45540</v>
      </c>
    </row>
    <row r="834" hidden="1">
      <c r="A834" s="130" t="inlineStr">
        <is>
          <t>Ставрополь</t>
        </is>
      </c>
      <c r="B834" s="130" t="inlineStr">
        <is>
          <t>Роснефть</t>
        </is>
      </c>
      <c r="C834" s="637" t="n">
        <v>36</v>
      </c>
      <c r="D834" s="637" t="inlineStr">
        <is>
          <t>STW_RN_036</t>
        </is>
      </c>
      <c r="E834" s="630" t="inlineStr">
        <is>
          <t>Реконструкция</t>
        </is>
      </c>
      <c r="F834" s="628" t="n">
        <v>45540</v>
      </c>
    </row>
    <row r="835" hidden="1">
      <c r="A835" s="130" t="inlineStr">
        <is>
          <t>Воронеж</t>
        </is>
      </c>
      <c r="B835" s="130" t="inlineStr">
        <is>
          <t>Роснефть</t>
        </is>
      </c>
      <c r="C835" s="637" t="inlineStr">
        <is>
          <t>RN_003</t>
        </is>
      </c>
      <c r="D835" s="637" t="inlineStr">
        <is>
          <t>VRN_RN_0003</t>
        </is>
      </c>
      <c r="E835" s="630" t="inlineStr">
        <is>
          <t>Добавил</t>
        </is>
      </c>
      <c r="F835" s="628" t="n">
        <v>45562</v>
      </c>
    </row>
    <row r="836" hidden="1">
      <c r="A836" s="130" t="inlineStr">
        <is>
          <t>Ростов-на-Дону</t>
        </is>
      </c>
      <c r="B836" s="130" t="inlineStr">
        <is>
          <t>Роснефть</t>
        </is>
      </c>
      <c r="C836" s="637" t="n">
        <v>107</v>
      </c>
      <c r="D836" s="637" t="inlineStr">
        <is>
          <t>RND_RN_0107</t>
        </is>
      </c>
      <c r="E836" s="630" t="inlineStr">
        <is>
          <t>Добавил</t>
        </is>
      </c>
      <c r="F836" s="628" t="n">
        <v>45562</v>
      </c>
    </row>
    <row r="837" hidden="1">
      <c r="A837" s="130" t="inlineStr">
        <is>
          <t>Санкт-Петербург</t>
        </is>
      </c>
      <c r="B837" s="130" t="inlineStr">
        <is>
          <t>Роснефть</t>
        </is>
      </c>
      <c r="C837" s="637" t="inlineStr">
        <is>
          <t>003 Витебский</t>
        </is>
      </c>
      <c r="D837" s="637" t="inlineStr">
        <is>
          <t>SPB_RN_0003</t>
        </is>
      </c>
      <c r="E837" s="630" t="inlineStr">
        <is>
          <t>Добавил</t>
        </is>
      </c>
      <c r="F837" s="628" t="n">
        <v>45562</v>
      </c>
    </row>
    <row r="838" hidden="1">
      <c r="A838" s="130" t="inlineStr">
        <is>
          <t>Москва</t>
        </is>
      </c>
      <c r="B838" s="130" t="inlineStr">
        <is>
          <t>Роснефть</t>
        </is>
      </c>
      <c r="C838" s="637" t="inlineStr">
        <is>
          <t>Бутырская</t>
        </is>
      </c>
      <c r="D838" s="637" t="inlineStr">
        <is>
          <t>MSK_BP_Butyrskaya</t>
        </is>
      </c>
      <c r="E838" s="630" t="inlineStr">
        <is>
          <t>Добавил</t>
        </is>
      </c>
      <c r="F838" s="628" t="n">
        <v>45562</v>
      </c>
    </row>
    <row r="839" hidden="1">
      <c r="A839" s="416" t="inlineStr">
        <is>
          <t>Приволжье (Нижний Новгород, Казань)</t>
        </is>
      </c>
      <c r="B839" s="130" t="inlineStr">
        <is>
          <t>Газпромнефть</t>
        </is>
      </c>
      <c r="C839" s="637" t="n">
        <v>14208</v>
      </c>
      <c r="D839" s="637" t="inlineStr">
        <is>
          <t>GPN_14208</t>
        </is>
      </c>
      <c r="E839" s="630" t="inlineStr">
        <is>
          <t>Реконструкция</t>
        </is>
      </c>
      <c r="F839" s="628" t="n">
        <v>45562</v>
      </c>
    </row>
    <row r="840" hidden="1">
      <c r="A840" s="416" t="inlineStr">
        <is>
          <t>Приволжье (Нижний Новгород, Казань)</t>
        </is>
      </c>
      <c r="B840" s="130" t="inlineStr">
        <is>
          <t>Газпромнефть</t>
        </is>
      </c>
      <c r="C840" s="637" t="n">
        <v>14209</v>
      </c>
      <c r="D840" s="637" t="inlineStr">
        <is>
          <t>GPN_14209</t>
        </is>
      </c>
      <c r="E840" s="630" t="inlineStr">
        <is>
          <t>Реконструкция</t>
        </is>
      </c>
      <c r="F840" s="628" t="n">
        <v>45562</v>
      </c>
    </row>
    <row r="841" hidden="1">
      <c r="A841" s="416" t="inlineStr">
        <is>
          <t>Приволжье (Нижний Новгород, Казань)</t>
        </is>
      </c>
      <c r="B841" s="130" t="inlineStr">
        <is>
          <t>Газпромнефть</t>
        </is>
      </c>
      <c r="C841" s="637" t="n">
        <v>14216</v>
      </c>
      <c r="D841" s="637" t="inlineStr">
        <is>
          <t>GPN_14216</t>
        </is>
      </c>
      <c r="E841" s="630" t="inlineStr">
        <is>
          <t>Реконструкция</t>
        </is>
      </c>
      <c r="F841" s="628" t="n">
        <v>45562</v>
      </c>
    </row>
    <row r="842" hidden="1">
      <c r="A842" s="416" t="inlineStr">
        <is>
          <t>Приволжье (Нижний Новгород, Казань)</t>
        </is>
      </c>
      <c r="B842" s="130" t="inlineStr">
        <is>
          <t>Газпромнефть</t>
        </is>
      </c>
      <c r="C842" s="637" t="n">
        <v>14243</v>
      </c>
      <c r="D842" s="637" t="inlineStr">
        <is>
          <t>GPN_14243</t>
        </is>
      </c>
      <c r="E842" s="630" t="inlineStr">
        <is>
          <t>Реконструкция</t>
        </is>
      </c>
      <c r="F842" s="628" t="n">
        <v>45562</v>
      </c>
    </row>
    <row r="843" hidden="1">
      <c r="A843" s="130" t="inlineStr">
        <is>
          <t>Санкт-Петербург</t>
        </is>
      </c>
      <c r="B843" s="130" t="inlineStr">
        <is>
          <t>Газпромнефть</t>
        </is>
      </c>
      <c r="C843" s="637" t="n">
        <v>10022</v>
      </c>
      <c r="D843" s="637" t="inlineStr">
        <is>
          <t>GPN_10022</t>
        </is>
      </c>
      <c r="E843" s="630" t="inlineStr">
        <is>
          <t>максимум 3 экрана</t>
        </is>
      </c>
      <c r="F843" s="628" t="n">
        <v>45562</v>
      </c>
    </row>
    <row r="844" hidden="1">
      <c r="A844" s="130" t="inlineStr">
        <is>
          <t>Москва</t>
        </is>
      </c>
      <c r="B844" s="130" t="inlineStr">
        <is>
          <t>Газпромнефть</t>
        </is>
      </c>
      <c r="C844" s="637" t="n">
        <v>12331</v>
      </c>
      <c r="D844" s="637" t="inlineStr">
        <is>
          <t>GPN_12331</t>
        </is>
      </c>
      <c r="E844" s="630" t="inlineStr">
        <is>
          <t>Новая АЗС</t>
        </is>
      </c>
      <c r="F844" s="628" t="n">
        <v>45562</v>
      </c>
    </row>
    <row r="845" hidden="1">
      <c r="A845" s="130" t="inlineStr">
        <is>
          <t>Москва</t>
        </is>
      </c>
      <c r="B845" s="130" t="inlineStr">
        <is>
          <t>Газпромнефть</t>
        </is>
      </c>
      <c r="C845" s="637" t="n">
        <v>12372</v>
      </c>
      <c r="D845" s="637" t="inlineStr">
        <is>
          <t>GPN_12372</t>
        </is>
      </c>
      <c r="E845" s="630" t="inlineStr">
        <is>
          <t>Новая АЗС</t>
        </is>
      </c>
      <c r="F845" s="628" t="n">
        <v>45562</v>
      </c>
    </row>
    <row r="846" hidden="1">
      <c r="A846" s="130" t="inlineStr">
        <is>
          <t>Приволжье (Нижний Новгород, Казань)</t>
        </is>
      </c>
      <c r="B846" s="130" t="inlineStr">
        <is>
          <t>Газпромнефть</t>
        </is>
      </c>
      <c r="C846" s="637" t="n">
        <v>14541</v>
      </c>
      <c r="D846" s="637" t="inlineStr">
        <is>
          <t>GPN_14541</t>
        </is>
      </c>
      <c r="E846" s="630" t="inlineStr">
        <is>
          <t>Новая АЗС</t>
        </is>
      </c>
      <c r="F846" s="628" t="n">
        <v>45562</v>
      </c>
    </row>
    <row r="847" hidden="1">
      <c r="A847" s="130" t="inlineStr">
        <is>
          <t>Екатеринбург</t>
        </is>
      </c>
      <c r="B847" s="130" t="inlineStr">
        <is>
          <t>Газпромнефть</t>
        </is>
      </c>
      <c r="C847" s="637" t="n">
        <v>20109</v>
      </c>
      <c r="D847" s="637" t="inlineStr">
        <is>
          <t>GPN_20109</t>
        </is>
      </c>
      <c r="E847" s="630" t="inlineStr">
        <is>
          <t>Новая АЗС</t>
        </is>
      </c>
      <c r="F847" s="628" t="n">
        <v>45562</v>
      </c>
    </row>
    <row r="848" hidden="1">
      <c r="A848" s="130" t="inlineStr">
        <is>
          <t>Екатеринбург</t>
        </is>
      </c>
      <c r="B848" s="130" t="inlineStr">
        <is>
          <t>Газпромнефть</t>
        </is>
      </c>
      <c r="C848" s="637" t="n">
        <v>20502</v>
      </c>
      <c r="D848" s="637" t="inlineStr">
        <is>
          <t>GPN_20502</t>
        </is>
      </c>
      <c r="E848" s="630" t="inlineStr">
        <is>
          <t>Новая АЗС</t>
        </is>
      </c>
      <c r="F848" s="628" t="n">
        <v>45562</v>
      </c>
    </row>
    <row r="849" hidden="1">
      <c r="A849" s="130" t="inlineStr">
        <is>
          <t>Екатеринбург</t>
        </is>
      </c>
      <c r="B849" s="130" t="inlineStr">
        <is>
          <t>Газпромнефть</t>
        </is>
      </c>
      <c r="C849" s="637" t="n">
        <v>20509</v>
      </c>
      <c r="D849" s="637" t="inlineStr">
        <is>
          <t>GPN_20509</t>
        </is>
      </c>
      <c r="E849" s="630" t="inlineStr">
        <is>
          <t>Новая АЗС</t>
        </is>
      </c>
      <c r="F849" s="628" t="n">
        <v>45562</v>
      </c>
    </row>
    <row r="850" hidden="1">
      <c r="A850" s="130" t="inlineStr">
        <is>
          <t>Екатеринбург</t>
        </is>
      </c>
      <c r="B850" s="130" t="inlineStr">
        <is>
          <t>Газпромнефть</t>
        </is>
      </c>
      <c r="C850" s="637" t="n">
        <v>20512</v>
      </c>
      <c r="D850" s="637" t="inlineStr">
        <is>
          <t>GPN_20512</t>
        </is>
      </c>
      <c r="E850" s="630" t="inlineStr">
        <is>
          <t>Новая АЗС</t>
        </is>
      </c>
      <c r="F850" s="628" t="n">
        <v>45562</v>
      </c>
    </row>
    <row r="851" hidden="1">
      <c r="A851" s="130" t="inlineStr">
        <is>
          <t>Тюмень</t>
        </is>
      </c>
      <c r="B851" s="130" t="inlineStr">
        <is>
          <t>Газпромнефть</t>
        </is>
      </c>
      <c r="C851" s="637" t="n">
        <v>24451</v>
      </c>
      <c r="D851" s="637" t="inlineStr">
        <is>
          <t>GPN_24451</t>
        </is>
      </c>
      <c r="E851" s="630" t="inlineStr">
        <is>
          <t>Новая АЗС</t>
        </is>
      </c>
      <c r="F851" s="628" t="n">
        <v>45562</v>
      </c>
    </row>
    <row r="852" hidden="1">
      <c r="A852" s="130" t="inlineStr">
        <is>
          <t>Тюмень</t>
        </is>
      </c>
      <c r="B852" s="130" t="inlineStr">
        <is>
          <t>Газпромнефть</t>
        </is>
      </c>
      <c r="C852" s="637" t="n">
        <v>24455</v>
      </c>
      <c r="D852" s="637" t="inlineStr">
        <is>
          <t>GPN_24455</t>
        </is>
      </c>
      <c r="E852" s="630" t="inlineStr">
        <is>
          <t>Новая АЗС</t>
        </is>
      </c>
      <c r="F852" s="628" t="n">
        <v>45562</v>
      </c>
    </row>
    <row r="853" hidden="1">
      <c r="A853" s="130" t="inlineStr">
        <is>
          <t>Тюмень</t>
        </is>
      </c>
      <c r="B853" s="130" t="inlineStr">
        <is>
          <t>Газпромнефть</t>
        </is>
      </c>
      <c r="C853" s="637" t="n">
        <v>24462</v>
      </c>
      <c r="D853" s="637" t="inlineStr">
        <is>
          <t>GPN_24462</t>
        </is>
      </c>
      <c r="E853" s="630" t="inlineStr">
        <is>
          <t>Новая АЗС</t>
        </is>
      </c>
      <c r="F853" s="628" t="n">
        <v>45562</v>
      </c>
    </row>
    <row r="854" hidden="1">
      <c r="A854" s="130" t="inlineStr">
        <is>
          <t>Новосибирск</t>
        </is>
      </c>
      <c r="B854" s="130" t="inlineStr">
        <is>
          <t>Газпромнефть</t>
        </is>
      </c>
      <c r="C854" s="637" t="n">
        <v>30042</v>
      </c>
      <c r="D854" s="637" t="inlineStr">
        <is>
          <t>GPN_30042</t>
        </is>
      </c>
      <c r="E854" s="630" t="inlineStr">
        <is>
          <t>Новая АЗС</t>
        </is>
      </c>
      <c r="F854" s="628" t="n">
        <v>45562</v>
      </c>
    </row>
    <row r="855" hidden="1">
      <c r="A855" s="130" t="inlineStr">
        <is>
          <t>Алтайский край</t>
        </is>
      </c>
      <c r="B855" s="130" t="inlineStr">
        <is>
          <t>Газпромнефть</t>
        </is>
      </c>
      <c r="C855" s="637" t="n">
        <v>33064</v>
      </c>
      <c r="D855" s="637" t="inlineStr">
        <is>
          <t>GPN_33064</t>
        </is>
      </c>
      <c r="E855" s="630" t="inlineStr">
        <is>
          <t>Новая АЗС</t>
        </is>
      </c>
      <c r="F855" s="628" t="n">
        <v>45562</v>
      </c>
    </row>
    <row r="856" hidden="1">
      <c r="A856" s="130" t="inlineStr">
        <is>
          <t>Алтайский край</t>
        </is>
      </c>
      <c r="B856" s="130" t="inlineStr">
        <is>
          <t>Газпромнефть</t>
        </is>
      </c>
      <c r="C856" s="637" t="n">
        <v>33137</v>
      </c>
      <c r="D856" s="637" t="inlineStr">
        <is>
          <t>GPN_33137</t>
        </is>
      </c>
      <c r="E856" s="630" t="inlineStr">
        <is>
          <t>Новая АЗС</t>
        </is>
      </c>
      <c r="F856" s="628" t="n">
        <v>45562</v>
      </c>
    </row>
    <row r="857" hidden="1">
      <c r="A857" s="130" t="inlineStr">
        <is>
          <t>Алтайский край</t>
        </is>
      </c>
      <c r="B857" s="130" t="inlineStr">
        <is>
          <t>Газпромнефть</t>
        </is>
      </c>
      <c r="C857" s="637" t="n">
        <v>33147</v>
      </c>
      <c r="D857" s="637" t="inlineStr">
        <is>
          <t>GPN_33147</t>
        </is>
      </c>
      <c r="E857" s="630" t="inlineStr">
        <is>
          <t>Новая АЗС</t>
        </is>
      </c>
      <c r="F857" s="628" t="n">
        <v>45562</v>
      </c>
    </row>
    <row r="858" hidden="1">
      <c r="A858" s="130" t="inlineStr">
        <is>
          <t>Красноярск</t>
        </is>
      </c>
      <c r="B858" s="130" t="inlineStr">
        <is>
          <t>Газпромнефть</t>
        </is>
      </c>
      <c r="C858" s="637" t="n">
        <v>34271</v>
      </c>
      <c r="D858" s="637" t="inlineStr">
        <is>
          <t>GPN_34271</t>
        </is>
      </c>
      <c r="E858" s="630" t="inlineStr">
        <is>
          <t>Новая АЗС</t>
        </is>
      </c>
      <c r="F858" s="628" t="n">
        <v>45562</v>
      </c>
    </row>
    <row r="859" hidden="1">
      <c r="A859" s="130" t="inlineStr">
        <is>
          <t>Ростов-на-Дону</t>
        </is>
      </c>
      <c r="B859" s="130" t="inlineStr">
        <is>
          <t>Роснефть</t>
        </is>
      </c>
      <c r="C859" s="637" t="n">
        <v>120</v>
      </c>
      <c r="D859" s="637" t="inlineStr">
        <is>
          <t>RND_RN_0120</t>
        </is>
      </c>
      <c r="E859" s="630" t="inlineStr">
        <is>
          <t>Реконструкция</t>
        </is>
      </c>
      <c r="F859" s="628" t="n">
        <v>45562</v>
      </c>
    </row>
    <row r="860" hidden="1">
      <c r="A860" s="130" t="inlineStr">
        <is>
          <t>Ростов-на-Дону</t>
        </is>
      </c>
      <c r="B860" s="130" t="inlineStr">
        <is>
          <t>Роснефть</t>
        </is>
      </c>
      <c r="C860" s="637" t="n">
        <v>4</v>
      </c>
      <c r="D860" s="637" t="inlineStr">
        <is>
          <t>RND_EKSON_004</t>
        </is>
      </c>
      <c r="E860" s="630" t="inlineStr">
        <is>
          <t>Реконструкция</t>
        </is>
      </c>
      <c r="F860" s="628" t="n">
        <v>45562</v>
      </c>
    </row>
    <row r="861" hidden="1">
      <c r="A861" s="130" t="inlineStr">
        <is>
          <t>Улан-Удэ</t>
        </is>
      </c>
      <c r="B861" s="130" t="inlineStr">
        <is>
          <t>Роснефть</t>
        </is>
      </c>
      <c r="C861" s="637" t="inlineStr">
        <is>
          <t>RN_4</t>
        </is>
      </c>
      <c r="D861" s="637" t="inlineStr">
        <is>
          <t>UDE_RN_0004</t>
        </is>
      </c>
      <c r="E861" s="630" t="inlineStr">
        <is>
          <t>Реконструкция</t>
        </is>
      </c>
      <c r="F861" s="628" t="n">
        <v>45562</v>
      </c>
    </row>
    <row r="862" hidden="1">
      <c r="A862" s="130" t="inlineStr">
        <is>
          <t>Улан-Удэ</t>
        </is>
      </c>
      <c r="B862" s="130" t="inlineStr">
        <is>
          <t>Роснефть</t>
        </is>
      </c>
      <c r="C862" s="637" t="inlineStr">
        <is>
          <t>RN_67</t>
        </is>
      </c>
      <c r="D862" s="637" t="inlineStr">
        <is>
          <t>UDE_RN_0067</t>
        </is>
      </c>
      <c r="E862" s="630" t="inlineStr">
        <is>
          <t>Реконструкция</t>
        </is>
      </c>
      <c r="F862" s="628" t="n">
        <v>45562</v>
      </c>
    </row>
    <row r="863" hidden="1">
      <c r="A863" s="130" t="inlineStr">
        <is>
          <t>Москва</t>
        </is>
      </c>
      <c r="B863" s="130" t="inlineStr">
        <is>
          <t>World Class</t>
        </is>
      </c>
      <c r="C863" s="637" t="inlineStr">
        <is>
          <t>World Class Таганский</t>
        </is>
      </c>
      <c r="D863" s="637" t="inlineStr">
        <is>
          <t>MSC_WC31_TV01</t>
        </is>
      </c>
      <c r="E863" s="630" t="inlineStr">
        <is>
          <t>Закрытие</t>
        </is>
      </c>
      <c r="F863" s="628" t="n">
        <v>45562</v>
      </c>
    </row>
    <row r="864" hidden="1">
      <c r="A864" s="130" t="inlineStr">
        <is>
          <t>Москва</t>
        </is>
      </c>
      <c r="B864" s="130" t="inlineStr">
        <is>
          <t>World Class</t>
        </is>
      </c>
      <c r="C864" s="637" t="inlineStr">
        <is>
          <t>СССР Шмитовский</t>
        </is>
      </c>
      <c r="D864" s="637" t="inlineStr">
        <is>
          <t>MSC_FC35_TV01</t>
        </is>
      </c>
      <c r="E864" s="630" t="inlineStr">
        <is>
          <t>Закрытие</t>
        </is>
      </c>
      <c r="F864" s="628" t="n">
        <v>45562</v>
      </c>
    </row>
    <row r="865" hidden="1">
      <c r="A865" s="130" t="inlineStr">
        <is>
          <t>Ярославль</t>
        </is>
      </c>
      <c r="B865" s="130" t="inlineStr">
        <is>
          <t>Роснефть</t>
        </is>
      </c>
      <c r="C865" s="637" t="inlineStr">
        <is>
          <t>TNK_22</t>
        </is>
      </c>
      <c r="D865" s="637" t="inlineStr">
        <is>
          <t>YAR_TNK_022</t>
        </is>
      </c>
      <c r="E865" s="630" t="inlineStr">
        <is>
          <t>Нет экрана</t>
        </is>
      </c>
      <c r="F865" s="628" t="n">
        <v>45562</v>
      </c>
    </row>
    <row r="866" hidden="1">
      <c r="A866" s="130" t="inlineStr">
        <is>
          <t>Челябинск</t>
        </is>
      </c>
      <c r="B866" s="130" t="inlineStr">
        <is>
          <t>Башнефть</t>
        </is>
      </c>
      <c r="C866" s="637" t="inlineStr">
        <is>
          <t>№74-046</t>
        </is>
      </c>
      <c r="D866" s="637" t="inlineStr">
        <is>
          <t>CHL_BASH_74046</t>
        </is>
      </c>
      <c r="E866" s="630" t="inlineStr">
        <is>
          <t>Не работает экран</t>
        </is>
      </c>
      <c r="F866" s="628" t="n">
        <v>45562</v>
      </c>
    </row>
    <row r="867" hidden="1">
      <c r="A867" s="130" t="inlineStr">
        <is>
          <t>Новосибирск</t>
        </is>
      </c>
      <c r="B867" s="130" t="inlineStr">
        <is>
          <t>Газпромнефть</t>
        </is>
      </c>
      <c r="C867" s="637" t="n">
        <v>30022</v>
      </c>
      <c r="D867" s="637" t="inlineStr">
        <is>
          <t>GPN_30022</t>
        </is>
      </c>
      <c r="E867" s="630" t="inlineStr">
        <is>
          <t>Не работает экран</t>
        </is>
      </c>
      <c r="F867" s="628" t="n">
        <v>45562</v>
      </c>
    </row>
    <row r="868" hidden="1">
      <c r="A868" s="130" t="inlineStr">
        <is>
          <t>Санкт-Петербург</t>
        </is>
      </c>
      <c r="B868" s="130" t="inlineStr">
        <is>
          <t>World Class</t>
        </is>
      </c>
      <c r="C868" s="637" t="inlineStr">
        <is>
          <t>World Class Сенная</t>
        </is>
      </c>
      <c r="D868" s="637" t="inlineStr">
        <is>
          <t>SPB_WC03_TV01</t>
        </is>
      </c>
      <c r="E868" s="630" t="inlineStr">
        <is>
          <t>1 экран</t>
        </is>
      </c>
      <c r="F868" s="628" t="n">
        <v>45565</v>
      </c>
    </row>
    <row r="869" hidden="1">
      <c r="A869" s="130" t="inlineStr">
        <is>
          <t>Санкт-Петербург</t>
        </is>
      </c>
      <c r="B869" s="130" t="inlineStr">
        <is>
          <t>World Class</t>
        </is>
      </c>
      <c r="C869" s="637" t="inlineStr">
        <is>
          <t>World Class Крестовский</t>
        </is>
      </c>
      <c r="D869" s="637" t="inlineStr">
        <is>
          <t>SPB_WC02_TV01</t>
        </is>
      </c>
      <c r="E869" s="630" t="inlineStr">
        <is>
          <t>1 экран</t>
        </is>
      </c>
      <c r="F869" s="628" t="n">
        <v>45565</v>
      </c>
    </row>
    <row r="870" hidden="1">
      <c r="A870" s="130" t="inlineStr">
        <is>
          <t>Москва</t>
        </is>
      </c>
      <c r="B870" s="130" t="inlineStr">
        <is>
          <t>Роснефть</t>
        </is>
      </c>
      <c r="C870" s="637" t="inlineStr">
        <is>
          <t>Новорижская</t>
        </is>
      </c>
      <c r="D870" s="637" t="inlineStr">
        <is>
          <t>MSK_BP_Novorizhskaya</t>
        </is>
      </c>
      <c r="E870" s="630" t="inlineStr">
        <is>
          <t>Добавил</t>
        </is>
      </c>
      <c r="F870" s="628" t="n">
        <v>45568</v>
      </c>
    </row>
    <row r="871" hidden="1">
      <c r="A871" s="130" t="inlineStr">
        <is>
          <t>Москва</t>
        </is>
      </c>
      <c r="B871" s="130" t="inlineStr">
        <is>
          <t>Роснефть</t>
        </is>
      </c>
      <c r="C871" s="637" t="inlineStr">
        <is>
          <t>Донская</t>
        </is>
      </c>
      <c r="D871" s="637" t="inlineStr">
        <is>
          <t>MSK_BP_Donskaya</t>
        </is>
      </c>
      <c r="E871" s="630" t="inlineStr">
        <is>
          <t>Добавил</t>
        </is>
      </c>
      <c r="F871" s="628" t="n">
        <v>45568</v>
      </c>
    </row>
    <row r="872" hidden="1">
      <c r="A872" s="130" t="inlineStr">
        <is>
          <t>Москва</t>
        </is>
      </c>
      <c r="B872" s="130" t="inlineStr">
        <is>
          <t>Роснефть</t>
        </is>
      </c>
      <c r="C872" s="637" t="inlineStr">
        <is>
          <t>Тропарево</t>
        </is>
      </c>
      <c r="D872" s="637" t="inlineStr">
        <is>
          <t>MSK_BP_Troparevo</t>
        </is>
      </c>
      <c r="E872" s="630" t="inlineStr">
        <is>
          <t>Добавил</t>
        </is>
      </c>
      <c r="F872" s="628" t="n">
        <v>45568</v>
      </c>
    </row>
    <row r="873" hidden="1">
      <c r="A873" s="130" t="inlineStr">
        <is>
          <t>Москва</t>
        </is>
      </c>
      <c r="B873" s="130" t="inlineStr">
        <is>
          <t>Газпромнефть</t>
        </is>
      </c>
      <c r="C873" s="637" t="n">
        <v>11002</v>
      </c>
      <c r="D873" s="637" t="inlineStr">
        <is>
          <t>GPN_11002</t>
        </is>
      </c>
      <c r="E873" s="630" t="inlineStr">
        <is>
          <t>Реконструкция</t>
        </is>
      </c>
      <c r="F873" s="628" t="n">
        <v>45569</v>
      </c>
    </row>
    <row r="874" hidden="1">
      <c r="A874" s="130" t="inlineStr">
        <is>
          <t>Санкт-Петербург</t>
        </is>
      </c>
      <c r="B874" s="130" t="inlineStr">
        <is>
          <t>Бизнес центр</t>
        </is>
      </c>
      <c r="C874" s="637" t="inlineStr">
        <is>
          <t>Skandinavian</t>
        </is>
      </c>
      <c r="D874" s="637" t="inlineStr">
        <is>
          <t>SPB_BC_Skandinavian</t>
        </is>
      </c>
      <c r="E874" s="630" t="inlineStr">
        <is>
          <t>Изменилось название Skandic/Скандик</t>
        </is>
      </c>
      <c r="F874" s="628" t="n">
        <v>45573</v>
      </c>
    </row>
    <row r="875" hidden="1">
      <c r="A875" s="130" t="inlineStr">
        <is>
          <t>Татарстан</t>
        </is>
      </c>
      <c r="B875" s="130" t="inlineStr">
        <is>
          <t>ТАИФ</t>
        </is>
      </c>
      <c r="C875" s="637" t="inlineStr">
        <is>
          <t>ТАИФ_143</t>
        </is>
      </c>
      <c r="D875" s="637" t="inlineStr">
        <is>
          <t>KAZ_TAIF_0143</t>
        </is>
      </c>
      <c r="E875" s="630" t="inlineStr">
        <is>
          <t>Новая АЗК</t>
        </is>
      </c>
      <c r="F875" s="628" t="n">
        <v>45581</v>
      </c>
    </row>
    <row r="876" hidden="1">
      <c r="A876" s="130" t="inlineStr">
        <is>
          <t>Татарстан</t>
        </is>
      </c>
      <c r="B876" s="130" t="inlineStr">
        <is>
          <t>ТАИФ</t>
        </is>
      </c>
      <c r="C876" s="637" t="inlineStr">
        <is>
          <t>ТАИФ_117</t>
        </is>
      </c>
      <c r="D876" s="637" t="inlineStr">
        <is>
          <t>KAZ_TAIF_0117</t>
        </is>
      </c>
      <c r="E876" s="630" t="inlineStr">
        <is>
          <t>Новая АЗК</t>
        </is>
      </c>
      <c r="F876" s="628" t="n">
        <v>45581</v>
      </c>
    </row>
    <row r="877" hidden="1">
      <c r="A877" s="130" t="inlineStr">
        <is>
          <t>Татарстан</t>
        </is>
      </c>
      <c r="B877" s="130" t="inlineStr">
        <is>
          <t>ТАИФ</t>
        </is>
      </c>
      <c r="C877" s="637" t="inlineStr">
        <is>
          <t>ТАИФ_147</t>
        </is>
      </c>
      <c r="D877" s="637" t="inlineStr">
        <is>
          <t>KAZ_TAIF_0147</t>
        </is>
      </c>
      <c r="E877" s="630" t="inlineStr">
        <is>
          <t>Новая АЗК</t>
        </is>
      </c>
      <c r="F877" s="628" t="n">
        <v>45581</v>
      </c>
    </row>
    <row r="878" hidden="1">
      <c r="A878" s="130" t="inlineStr">
        <is>
          <t>Татарстан</t>
        </is>
      </c>
      <c r="B878" s="130" t="inlineStr">
        <is>
          <t>ТАИФ</t>
        </is>
      </c>
      <c r="C878" s="637" t="inlineStr">
        <is>
          <t>ТАИФ_141</t>
        </is>
      </c>
      <c r="D878" s="637" t="inlineStr">
        <is>
          <t>KAZ_TAIF_0141</t>
        </is>
      </c>
      <c r="E878" s="630" t="inlineStr">
        <is>
          <t>Новая АЗК</t>
        </is>
      </c>
      <c r="F878" s="628" t="n">
        <v>45581</v>
      </c>
    </row>
    <row r="879" hidden="1">
      <c r="A879" s="130" t="inlineStr">
        <is>
          <t>Татарстан</t>
        </is>
      </c>
      <c r="B879" s="130" t="inlineStr">
        <is>
          <t>ТАИФ</t>
        </is>
      </c>
      <c r="C879" s="637" t="inlineStr">
        <is>
          <t>ТАИФ_172</t>
        </is>
      </c>
      <c r="D879" s="637" t="inlineStr">
        <is>
          <t>KAZ_TAIF_0172</t>
        </is>
      </c>
      <c r="E879" s="630" t="inlineStr">
        <is>
          <t>Новая АЗК</t>
        </is>
      </c>
      <c r="F879" s="628" t="n">
        <v>45581</v>
      </c>
    </row>
    <row r="880" hidden="1">
      <c r="A880" s="130" t="inlineStr">
        <is>
          <t>Татарстан</t>
        </is>
      </c>
      <c r="B880" s="130" t="inlineStr">
        <is>
          <t>ТАИФ</t>
        </is>
      </c>
      <c r="C880" s="637" t="inlineStr">
        <is>
          <t>ТАИФ_125</t>
        </is>
      </c>
      <c r="D880" s="637" t="inlineStr">
        <is>
          <t>KAZ_TAIF_0125</t>
        </is>
      </c>
      <c r="E880" s="630" t="inlineStr">
        <is>
          <t>Новая АЗК</t>
        </is>
      </c>
      <c r="F880" s="628" t="n">
        <v>45581</v>
      </c>
    </row>
    <row r="881" hidden="1">
      <c r="A881" s="130" t="inlineStr">
        <is>
          <t>Татарстан</t>
        </is>
      </c>
      <c r="B881" s="130" t="inlineStr">
        <is>
          <t>ТАИФ</t>
        </is>
      </c>
      <c r="C881" s="637" t="inlineStr">
        <is>
          <t>ТАИФ_121</t>
        </is>
      </c>
      <c r="D881" s="637" t="inlineStr">
        <is>
          <t>KAZ_TAIF_0121</t>
        </is>
      </c>
      <c r="E881" s="630" t="inlineStr">
        <is>
          <t>Новая АЗК</t>
        </is>
      </c>
      <c r="F881" s="628" t="n">
        <v>45581</v>
      </c>
    </row>
    <row r="882" hidden="1">
      <c r="A882" s="130" t="inlineStr">
        <is>
          <t>Татарстан</t>
        </is>
      </c>
      <c r="B882" s="130" t="inlineStr">
        <is>
          <t>ТАИФ</t>
        </is>
      </c>
      <c r="C882" s="637" t="inlineStr">
        <is>
          <t>ТАИФ_119</t>
        </is>
      </c>
      <c r="D882" s="637" t="inlineStr">
        <is>
          <t>KAZ_TAIF_0119</t>
        </is>
      </c>
      <c r="E882" s="630" t="inlineStr">
        <is>
          <t>Новая АЗК</t>
        </is>
      </c>
      <c r="F882" s="628" t="n">
        <v>45581</v>
      </c>
    </row>
    <row r="883" hidden="1">
      <c r="A883" s="130" t="inlineStr">
        <is>
          <t>Татарстан</t>
        </is>
      </c>
      <c r="B883" s="130" t="inlineStr">
        <is>
          <t>ТАИФ</t>
        </is>
      </c>
      <c r="C883" s="637" t="inlineStr">
        <is>
          <t>ТАИФ_120</t>
        </is>
      </c>
      <c r="D883" s="637" t="inlineStr">
        <is>
          <t>KAZ_TAIF_0120</t>
        </is>
      </c>
      <c r="E883" s="630" t="inlineStr">
        <is>
          <t>Новая АЗК</t>
        </is>
      </c>
      <c r="F883" s="628" t="n">
        <v>45581</v>
      </c>
    </row>
    <row r="884" hidden="1">
      <c r="A884" s="130" t="inlineStr">
        <is>
          <t>Татарстан</t>
        </is>
      </c>
      <c r="B884" s="130" t="inlineStr">
        <is>
          <t>ТАИФ</t>
        </is>
      </c>
      <c r="C884" s="637" t="inlineStr">
        <is>
          <t>ТАИФ_151</t>
        </is>
      </c>
      <c r="D884" s="637" t="inlineStr">
        <is>
          <t>KAZ_TAIF_0151</t>
        </is>
      </c>
      <c r="E884" s="630" t="inlineStr">
        <is>
          <t>Новая АЗК</t>
        </is>
      </c>
      <c r="F884" s="628" t="n">
        <v>45581</v>
      </c>
    </row>
    <row r="885" hidden="1">
      <c r="A885" s="130" t="inlineStr">
        <is>
          <t>Татарстан</t>
        </is>
      </c>
      <c r="B885" s="130" t="inlineStr">
        <is>
          <t>ТАИФ</t>
        </is>
      </c>
      <c r="C885" s="637" t="inlineStr">
        <is>
          <t>ТАИФ_132</t>
        </is>
      </c>
      <c r="D885" s="637" t="inlineStr">
        <is>
          <t>KAZ_TAIF_0132</t>
        </is>
      </c>
      <c r="E885" s="630" t="inlineStr">
        <is>
          <t>Новая АЗК</t>
        </is>
      </c>
      <c r="F885" s="628" t="n">
        <v>45581</v>
      </c>
    </row>
    <row r="886" hidden="1">
      <c r="A886" s="130" t="inlineStr">
        <is>
          <t>Москва</t>
        </is>
      </c>
      <c r="B886" s="130" t="inlineStr">
        <is>
          <t>Газпромнефть</t>
        </is>
      </c>
      <c r="C886" s="637" t="n">
        <v>11152</v>
      </c>
      <c r="D886" s="637" t="inlineStr">
        <is>
          <t>GPN_11152</t>
        </is>
      </c>
      <c r="E886" s="630" t="inlineStr">
        <is>
          <t>Реконструкция</t>
        </is>
      </c>
      <c r="F886" s="628" t="n">
        <v>45582</v>
      </c>
    </row>
    <row r="887" hidden="1">
      <c r="A887" s="130" t="inlineStr">
        <is>
          <t>Москва</t>
        </is>
      </c>
      <c r="B887" s="130" t="inlineStr">
        <is>
          <t>Газпромнефть</t>
        </is>
      </c>
      <c r="C887" s="637" t="n">
        <v>12024</v>
      </c>
      <c r="D887" s="637" t="inlineStr">
        <is>
          <t>GPN_11024</t>
        </is>
      </c>
      <c r="E887" s="630" t="inlineStr">
        <is>
          <t>Реконструкция</t>
        </is>
      </c>
      <c r="F887" s="628" t="n">
        <v>45582</v>
      </c>
    </row>
    <row r="888" hidden="1">
      <c r="A888" s="130" t="inlineStr">
        <is>
          <t>Ярославль</t>
        </is>
      </c>
      <c r="B888" s="130" t="inlineStr">
        <is>
          <t>Газпромнефть</t>
        </is>
      </c>
      <c r="C888" s="637" t="n">
        <v>13133</v>
      </c>
      <c r="D888" s="637" t="inlineStr">
        <is>
          <t>GPN_13133</t>
        </is>
      </c>
      <c r="E888" s="630" t="inlineStr">
        <is>
          <t>Реконструкция</t>
        </is>
      </c>
      <c r="F888" s="628" t="n">
        <v>45582</v>
      </c>
    </row>
    <row r="889" hidden="1">
      <c r="A889" s="130" t="inlineStr">
        <is>
          <t>Новосибирск</t>
        </is>
      </c>
      <c r="B889" s="130" t="inlineStr">
        <is>
          <t>Газпромнефть</t>
        </is>
      </c>
      <c r="C889" s="637" t="n">
        <v>30099</v>
      </c>
      <c r="D889" s="637" t="inlineStr">
        <is>
          <t>GPN_30099</t>
        </is>
      </c>
      <c r="E889" s="630" t="inlineStr">
        <is>
          <t>Реконструкция</t>
        </is>
      </c>
      <c r="F889" s="628" t="n">
        <v>45582</v>
      </c>
    </row>
    <row r="890" hidden="1">
      <c r="A890" s="130" t="inlineStr">
        <is>
          <t>Омск</t>
        </is>
      </c>
      <c r="B890" s="130" t="inlineStr">
        <is>
          <t>Газпромнефть</t>
        </is>
      </c>
      <c r="C890" s="637" t="n">
        <v>31010</v>
      </c>
      <c r="D890" s="637" t="inlineStr">
        <is>
          <t>GPN_31010</t>
        </is>
      </c>
      <c r="E890" s="630" t="inlineStr">
        <is>
          <t>Реконструкция</t>
        </is>
      </c>
      <c r="F890" s="628" t="n">
        <v>45582</v>
      </c>
    </row>
    <row r="891" hidden="1">
      <c r="A891" s="130" t="inlineStr">
        <is>
          <t>Красноярск</t>
        </is>
      </c>
      <c r="B891" s="130" t="inlineStr">
        <is>
          <t>Газпромнефть</t>
        </is>
      </c>
      <c r="C891" s="637" t="n">
        <v>34205</v>
      </c>
      <c r="D891" s="637" t="inlineStr">
        <is>
          <t>GPN_34205</t>
        </is>
      </c>
      <c r="E891" s="630" t="inlineStr">
        <is>
          <t>Реконструкция</t>
        </is>
      </c>
      <c r="F891" s="628" t="n">
        <v>45582</v>
      </c>
    </row>
    <row r="892" hidden="1">
      <c r="A892" s="130" t="inlineStr">
        <is>
          <t>Красноярск</t>
        </is>
      </c>
      <c r="B892" s="130" t="inlineStr">
        <is>
          <t>Газпромнефть</t>
        </is>
      </c>
      <c r="C892" s="637" t="n">
        <v>34210</v>
      </c>
      <c r="D892" s="637" t="inlineStr">
        <is>
          <t>GPN_34210</t>
        </is>
      </c>
      <c r="E892" s="630" t="inlineStr">
        <is>
          <t>Реконструкция</t>
        </is>
      </c>
      <c r="F892" s="628" t="n">
        <v>45582</v>
      </c>
    </row>
    <row r="893" hidden="1">
      <c r="A893" s="130" t="inlineStr">
        <is>
          <t>Москва</t>
        </is>
      </c>
      <c r="B893" s="130" t="inlineStr">
        <is>
          <t>Газпромнефть</t>
        </is>
      </c>
      <c r="C893" s="637" t="n">
        <v>11119</v>
      </c>
      <c r="D893" s="637" t="inlineStr">
        <is>
          <t>GPN_11119</t>
        </is>
      </c>
      <c r="E893" s="630" t="inlineStr">
        <is>
          <t>Добавил</t>
        </is>
      </c>
      <c r="F893" s="628" t="n">
        <v>45582</v>
      </c>
    </row>
    <row r="894" hidden="1">
      <c r="A894" s="130" t="inlineStr">
        <is>
          <t>Архангельск</t>
        </is>
      </c>
      <c r="B894" s="130" t="inlineStr">
        <is>
          <t>Роснефть</t>
        </is>
      </c>
      <c r="C894" s="637" t="inlineStr">
        <is>
          <t>254 Плесецк-1</t>
        </is>
      </c>
      <c r="D894" s="637" t="inlineStr">
        <is>
          <t>ARH_RN_Pleseck-1</t>
        </is>
      </c>
      <c r="E894" s="630" t="inlineStr">
        <is>
          <t>Реконструкция</t>
        </is>
      </c>
      <c r="F894" s="628" t="n">
        <v>45593</v>
      </c>
    </row>
    <row r="895" hidden="1">
      <c r="A895" s="130" t="inlineStr">
        <is>
          <t>Белгород</t>
        </is>
      </c>
      <c r="B895" s="130" t="inlineStr">
        <is>
          <t>Роснефть</t>
        </is>
      </c>
      <c r="C895" s="637" t="n">
        <v>48</v>
      </c>
      <c r="D895" s="637" t="inlineStr">
        <is>
          <t>BGD_RN_048</t>
        </is>
      </c>
      <c r="E895" s="630" t="inlineStr">
        <is>
          <t>Реконструкция</t>
        </is>
      </c>
      <c r="F895" s="628" t="n">
        <v>45593</v>
      </c>
    </row>
    <row r="896" hidden="1">
      <c r="A896" s="130" t="inlineStr">
        <is>
          <t>Белгород</t>
        </is>
      </c>
      <c r="B896" s="130" t="inlineStr">
        <is>
          <t>Роснефть</t>
        </is>
      </c>
      <c r="C896" s="637" t="inlineStr">
        <is>
          <t>TNK_106</t>
        </is>
      </c>
      <c r="D896" s="637" t="inlineStr">
        <is>
          <t>BGD_TNK_106</t>
        </is>
      </c>
      <c r="E896" s="630" t="inlineStr">
        <is>
          <t>Реконструкция</t>
        </is>
      </c>
      <c r="F896" s="628" t="n">
        <v>45593</v>
      </c>
    </row>
    <row r="897" hidden="1">
      <c r="A897" s="130" t="inlineStr">
        <is>
          <t>Брянск</t>
        </is>
      </c>
      <c r="B897" s="130" t="inlineStr">
        <is>
          <t>Роснефть</t>
        </is>
      </c>
      <c r="C897" s="637" t="inlineStr">
        <is>
          <t>RN_36</t>
        </is>
      </c>
      <c r="D897" s="637" t="inlineStr">
        <is>
          <t>BRN_RN_0036</t>
        </is>
      </c>
      <c r="E897" s="630" t="inlineStr">
        <is>
          <t>Реконструкция</t>
        </is>
      </c>
      <c r="F897" s="628" t="n">
        <v>45593</v>
      </c>
    </row>
    <row r="898" hidden="1">
      <c r="A898" s="130" t="inlineStr">
        <is>
          <t>Краснодар</t>
        </is>
      </c>
      <c r="B898" s="130" t="inlineStr">
        <is>
          <t>Роснефть</t>
        </is>
      </c>
      <c r="C898" s="637" t="inlineStr">
        <is>
          <t>RN_40</t>
        </is>
      </c>
      <c r="D898" s="637" t="inlineStr">
        <is>
          <t>KDR_RN_0040</t>
        </is>
      </c>
      <c r="E898" s="630" t="inlineStr">
        <is>
          <t>Реконструкция</t>
        </is>
      </c>
      <c r="F898" s="628" t="n">
        <v>45593</v>
      </c>
    </row>
    <row r="899" hidden="1">
      <c r="A899" s="130" t="inlineStr">
        <is>
          <t>Краснодар</t>
        </is>
      </c>
      <c r="B899" s="130" t="inlineStr">
        <is>
          <t>Роснефть</t>
        </is>
      </c>
      <c r="C899" s="637" t="inlineStr">
        <is>
          <t>RN_155</t>
        </is>
      </c>
      <c r="D899" s="637" t="inlineStr">
        <is>
          <t>KDR_RN_0155</t>
        </is>
      </c>
      <c r="E899" s="630" t="inlineStr">
        <is>
          <t>Реконструкция</t>
        </is>
      </c>
      <c r="F899" s="628" t="n">
        <v>45593</v>
      </c>
    </row>
    <row r="900" hidden="1">
      <c r="A900" s="130" t="inlineStr">
        <is>
          <t>Москва</t>
        </is>
      </c>
      <c r="B900" s="130" t="inlineStr">
        <is>
          <t>Роснефть</t>
        </is>
      </c>
      <c r="C900" s="637" t="inlineStr">
        <is>
          <t>RN_085</t>
        </is>
      </c>
      <c r="D900" s="637" t="inlineStr">
        <is>
          <t>MSK_RN_0085</t>
        </is>
      </c>
      <c r="E900" s="630" t="inlineStr">
        <is>
          <t>Реконструкция</t>
        </is>
      </c>
      <c r="F900" s="628" t="n">
        <v>45593</v>
      </c>
    </row>
    <row r="901" hidden="1">
      <c r="A901" s="130" t="inlineStr">
        <is>
          <t>Пенза</t>
        </is>
      </c>
      <c r="B901" s="130" t="inlineStr">
        <is>
          <t>Роснефть</t>
        </is>
      </c>
      <c r="C901" s="637" t="inlineStr">
        <is>
          <t>RN_8</t>
        </is>
      </c>
      <c r="D901" s="637" t="inlineStr">
        <is>
          <t>PNZ_RN_0008</t>
        </is>
      </c>
      <c r="E901" s="630" t="inlineStr">
        <is>
          <t>Реконструкция</t>
        </is>
      </c>
      <c r="F901" s="628" t="n">
        <v>45593</v>
      </c>
    </row>
    <row r="902" hidden="1">
      <c r="A902" s="130" t="inlineStr">
        <is>
          <t>Пенза</t>
        </is>
      </c>
      <c r="B902" s="130" t="inlineStr">
        <is>
          <t>Роснефть</t>
        </is>
      </c>
      <c r="C902" s="637" t="inlineStr">
        <is>
          <t>RN_20</t>
        </is>
      </c>
      <c r="D902" s="637" t="inlineStr">
        <is>
          <t>PNZ_RN_0020</t>
        </is>
      </c>
      <c r="E902" s="630" t="inlineStr">
        <is>
          <t>Реконструкция</t>
        </is>
      </c>
      <c r="F902" s="628" t="n">
        <v>45593</v>
      </c>
    </row>
    <row r="903" hidden="1">
      <c r="A903" s="130" t="inlineStr">
        <is>
          <t>Пенза</t>
        </is>
      </c>
      <c r="B903" s="130" t="inlineStr">
        <is>
          <t>Роснефть</t>
        </is>
      </c>
      <c r="C903" s="637" t="inlineStr">
        <is>
          <t>RN_24</t>
        </is>
      </c>
      <c r="D903" s="637" t="inlineStr">
        <is>
          <t>PNZ_RN_0024</t>
        </is>
      </c>
      <c r="E903" s="630" t="inlineStr">
        <is>
          <t>Реконструкция</t>
        </is>
      </c>
      <c r="F903" s="628" t="n">
        <v>45593</v>
      </c>
    </row>
    <row r="904" hidden="1">
      <c r="A904" s="130" t="inlineStr">
        <is>
          <t>Пенза</t>
        </is>
      </c>
      <c r="B904" s="130" t="inlineStr">
        <is>
          <t>Роснефть</t>
        </is>
      </c>
      <c r="C904" s="637" t="inlineStr">
        <is>
          <t>RN_27</t>
        </is>
      </c>
      <c r="D904" s="637" t="inlineStr">
        <is>
          <t>PNZ_RN_0027</t>
        </is>
      </c>
      <c r="E904" s="630" t="inlineStr">
        <is>
          <t>Реконструкция</t>
        </is>
      </c>
      <c r="F904" s="628" t="n">
        <v>45593</v>
      </c>
    </row>
    <row r="905" hidden="1">
      <c r="A905" s="130" t="inlineStr">
        <is>
          <t>Пенза</t>
        </is>
      </c>
      <c r="B905" s="130" t="inlineStr">
        <is>
          <t>Роснефть</t>
        </is>
      </c>
      <c r="C905" s="637" t="inlineStr">
        <is>
          <t>RN_60</t>
        </is>
      </c>
      <c r="D905" s="637" t="inlineStr">
        <is>
          <t>PNZ_RN_0060</t>
        </is>
      </c>
      <c r="E905" s="630" t="inlineStr">
        <is>
          <t>Реконструкция</t>
        </is>
      </c>
      <c r="F905" s="628" t="n">
        <v>45593</v>
      </c>
    </row>
    <row r="906" hidden="1">
      <c r="A906" s="130" t="inlineStr">
        <is>
          <t>Пенза</t>
        </is>
      </c>
      <c r="B906" s="130" t="inlineStr">
        <is>
          <t>Роснефть</t>
        </is>
      </c>
      <c r="C906" s="637" t="inlineStr">
        <is>
          <t>RN_87</t>
        </is>
      </c>
      <c r="D906" s="637" t="inlineStr">
        <is>
          <t>PNZ_RN_0087</t>
        </is>
      </c>
      <c r="E906" s="630" t="inlineStr">
        <is>
          <t>Реконструкция</t>
        </is>
      </c>
      <c r="F906" s="628" t="n">
        <v>45593</v>
      </c>
    </row>
    <row r="907" hidden="1">
      <c r="A907" s="130" t="inlineStr">
        <is>
          <t>Пенза</t>
        </is>
      </c>
      <c r="B907" s="130" t="inlineStr">
        <is>
          <t>Роснефть</t>
        </is>
      </c>
      <c r="C907" s="637" t="inlineStr">
        <is>
          <t>RN_102</t>
        </is>
      </c>
      <c r="D907" s="637" t="inlineStr">
        <is>
          <t>PNZ_RN_0102</t>
        </is>
      </c>
      <c r="E907" s="630" t="inlineStr">
        <is>
          <t>Реконструкция</t>
        </is>
      </c>
      <c r="F907" s="628" t="n">
        <v>45593</v>
      </c>
    </row>
    <row r="908" hidden="1">
      <c r="A908" s="130" t="inlineStr">
        <is>
          <t>Пенза</t>
        </is>
      </c>
      <c r="B908" s="130" t="inlineStr">
        <is>
          <t>Роснефть</t>
        </is>
      </c>
      <c r="C908" s="637" t="inlineStr">
        <is>
          <t>RN_108</t>
        </is>
      </c>
      <c r="D908" s="637" t="inlineStr">
        <is>
          <t>PNZ_RN_0108</t>
        </is>
      </c>
      <c r="E908" s="630" t="inlineStr">
        <is>
          <t>Реконструкция</t>
        </is>
      </c>
      <c r="F908" s="628" t="n">
        <v>45593</v>
      </c>
    </row>
    <row r="909" hidden="1">
      <c r="A909" s="130" t="inlineStr">
        <is>
          <t>Ростов-на-Дону</t>
        </is>
      </c>
      <c r="B909" s="130" t="inlineStr">
        <is>
          <t>Роснефть</t>
        </is>
      </c>
      <c r="C909" s="637" t="n">
        <v>116</v>
      </c>
      <c r="D909" s="637" t="inlineStr">
        <is>
          <t>RND_RN_0116</t>
        </is>
      </c>
      <c r="E909" s="630" t="inlineStr">
        <is>
          <t>Реконструкция</t>
        </is>
      </c>
      <c r="F909" s="628" t="n">
        <v>45593</v>
      </c>
    </row>
    <row r="910" hidden="1">
      <c r="A910" s="130" t="inlineStr">
        <is>
          <t>Ростов-на-Дону</t>
        </is>
      </c>
      <c r="B910" s="130" t="inlineStr">
        <is>
          <t>Роснефть</t>
        </is>
      </c>
      <c r="C910" s="637" t="n">
        <v>128</v>
      </c>
      <c r="D910" s="637" t="inlineStr">
        <is>
          <t>RND_RN_0128</t>
        </is>
      </c>
      <c r="E910" s="630" t="inlineStr">
        <is>
          <t>Реконструкция</t>
        </is>
      </c>
      <c r="F910" s="628" t="n">
        <v>45593</v>
      </c>
    </row>
    <row r="911" hidden="1">
      <c r="A911" s="130" t="inlineStr">
        <is>
          <t>Рязань</t>
        </is>
      </c>
      <c r="B911" s="130" t="inlineStr">
        <is>
          <t>Роснефть</t>
        </is>
      </c>
      <c r="C911" s="637" t="n">
        <v>106</v>
      </c>
      <c r="D911" s="637" t="inlineStr">
        <is>
          <t>RZN_RN_106</t>
        </is>
      </c>
      <c r="E911" s="630" t="inlineStr">
        <is>
          <t>Реконструкция</t>
        </is>
      </c>
      <c r="F911" s="628" t="n">
        <v>45593</v>
      </c>
    </row>
    <row r="912" hidden="1">
      <c r="A912" s="130" t="inlineStr">
        <is>
          <t>Санкт-Петербург</t>
        </is>
      </c>
      <c r="B912" s="130" t="inlineStr">
        <is>
          <t>Роснефть</t>
        </is>
      </c>
      <c r="C912" s="637" t="inlineStr">
        <is>
          <t>359 Стрельна-2</t>
        </is>
      </c>
      <c r="D912" s="637" t="inlineStr">
        <is>
          <t>SPB_RN_P_359</t>
        </is>
      </c>
      <c r="E912" s="630" t="inlineStr">
        <is>
          <t>Реконструкция</t>
        </is>
      </c>
      <c r="F912" s="628" t="n">
        <v>45593</v>
      </c>
    </row>
    <row r="913" hidden="1">
      <c r="A913" s="130" t="inlineStr">
        <is>
          <t>Санкт-Петербург</t>
        </is>
      </c>
      <c r="B913" s="130" t="inlineStr">
        <is>
          <t>Роснефть</t>
        </is>
      </c>
      <c r="C913" s="637" t="inlineStr">
        <is>
          <t>452 Гатчина</t>
        </is>
      </c>
      <c r="D913" s="637" t="inlineStr">
        <is>
          <t>SPB_RN_P_452</t>
        </is>
      </c>
      <c r="E913" s="630" t="inlineStr">
        <is>
          <t>Реконструкция</t>
        </is>
      </c>
      <c r="F913" s="628" t="n">
        <v>45593</v>
      </c>
    </row>
    <row r="914" hidden="1">
      <c r="A914" s="130" t="inlineStr">
        <is>
          <t>Саратов</t>
        </is>
      </c>
      <c r="B914" s="130" t="inlineStr">
        <is>
          <t>Роснефть</t>
        </is>
      </c>
      <c r="C914" s="637" t="inlineStr">
        <is>
          <t>TNK_106</t>
        </is>
      </c>
      <c r="D914" s="637" t="inlineStr">
        <is>
          <t>SRT_TNK_0106</t>
        </is>
      </c>
      <c r="E914" s="630" t="inlineStr">
        <is>
          <t>Реконструкция</t>
        </is>
      </c>
      <c r="F914" s="628" t="n">
        <v>45593</v>
      </c>
    </row>
    <row r="915" hidden="1">
      <c r="A915" s="130" t="inlineStr">
        <is>
          <t>Ставрополь</t>
        </is>
      </c>
      <c r="B915" s="130" t="inlineStr">
        <is>
          <t>Роснефть</t>
        </is>
      </c>
      <c r="C915" s="637" t="n">
        <v>41</v>
      </c>
      <c r="D915" s="637" t="inlineStr">
        <is>
          <t>STW_RN_041</t>
        </is>
      </c>
      <c r="E915" s="630" t="inlineStr">
        <is>
          <t>Реконструкция</t>
        </is>
      </c>
      <c r="F915" s="628" t="n">
        <v>45593</v>
      </c>
    </row>
    <row r="916" hidden="1">
      <c r="A916" s="130" t="inlineStr">
        <is>
          <t>Ставрополь</t>
        </is>
      </c>
      <c r="B916" s="130" t="inlineStr">
        <is>
          <t>Роснефть</t>
        </is>
      </c>
      <c r="C916" s="637" t="n">
        <v>108</v>
      </c>
      <c r="D916" s="637" t="inlineStr">
        <is>
          <t>STW_RN_108</t>
        </is>
      </c>
      <c r="E916" s="630" t="inlineStr">
        <is>
          <t>Реконструкция</t>
        </is>
      </c>
      <c r="F916" s="628" t="n">
        <v>45593</v>
      </c>
    </row>
    <row r="917" hidden="1">
      <c r="A917" s="130" t="inlineStr">
        <is>
          <t>Томск</t>
        </is>
      </c>
      <c r="B917" s="130" t="inlineStr">
        <is>
          <t>Роснефть</t>
        </is>
      </c>
      <c r="C917" s="637" t="inlineStr">
        <is>
          <t>RN_4</t>
        </is>
      </c>
      <c r="D917" s="637" t="inlineStr">
        <is>
          <t>TMS_RN_004</t>
        </is>
      </c>
      <c r="E917" s="630" t="inlineStr">
        <is>
          <t>Реконструкция</t>
        </is>
      </c>
      <c r="F917" s="628" t="n">
        <v>45593</v>
      </c>
    </row>
    <row r="918" hidden="1">
      <c r="A918" s="130" t="inlineStr">
        <is>
          <t>Томск</t>
        </is>
      </c>
      <c r="B918" s="130" t="inlineStr">
        <is>
          <t>Роснефть</t>
        </is>
      </c>
      <c r="C918" s="637" t="inlineStr">
        <is>
          <t>RN_50</t>
        </is>
      </c>
      <c r="D918" s="637" t="inlineStr">
        <is>
          <t>TMS_RN_050</t>
        </is>
      </c>
      <c r="E918" s="630" t="inlineStr">
        <is>
          <t>Реконструкция</t>
        </is>
      </c>
      <c r="F918" s="628" t="n">
        <v>45593</v>
      </c>
    </row>
    <row r="919" hidden="1">
      <c r="A919" s="130" t="inlineStr">
        <is>
          <t>Сахалинская область</t>
        </is>
      </c>
      <c r="B919" s="130" t="inlineStr">
        <is>
          <t>Роснефть</t>
        </is>
      </c>
      <c r="C919" s="637" t="n">
        <v>551</v>
      </c>
      <c r="D919" s="637" t="inlineStr">
        <is>
          <t>VLV_RN_551</t>
        </is>
      </c>
      <c r="E919" s="630" t="inlineStr">
        <is>
          <t>Реконструкция</t>
        </is>
      </c>
      <c r="F919" s="628" t="n">
        <v>45593</v>
      </c>
    </row>
    <row r="920" hidden="1">
      <c r="A920" s="130" t="inlineStr">
        <is>
          <t>Екатеринбург</t>
        </is>
      </c>
      <c r="B920" s="130" t="inlineStr">
        <is>
          <t>Башнефть</t>
        </is>
      </c>
      <c r="C920" s="637" t="inlineStr">
        <is>
          <t>№66-001</t>
        </is>
      </c>
      <c r="D920" s="637" t="inlineStr">
        <is>
          <t>EKT_BASH_66001</t>
        </is>
      </c>
      <c r="E920" s="630" t="inlineStr">
        <is>
          <t>Реконструкция</t>
        </is>
      </c>
      <c r="F920" s="628" t="n">
        <v>45593</v>
      </c>
    </row>
    <row r="921" hidden="1">
      <c r="A921" s="130" t="inlineStr">
        <is>
          <t>Екатеринбург</t>
        </is>
      </c>
      <c r="B921" s="130" t="inlineStr">
        <is>
          <t>Башнефть</t>
        </is>
      </c>
      <c r="C921" s="637" t="inlineStr">
        <is>
          <t>№66-002</t>
        </is>
      </c>
      <c r="D921" s="637" t="inlineStr">
        <is>
          <t>EKT_BASH_66002</t>
        </is>
      </c>
      <c r="E921" s="630" t="inlineStr">
        <is>
          <t>Реконструкция</t>
        </is>
      </c>
      <c r="F921" s="628" t="n">
        <v>45593</v>
      </c>
    </row>
    <row r="922" hidden="1">
      <c r="A922" s="130" t="inlineStr">
        <is>
          <t>Карелия</t>
        </is>
      </c>
      <c r="B922" s="130" t="inlineStr">
        <is>
          <t>Роснефть</t>
        </is>
      </c>
      <c r="C922" s="637" t="inlineStr">
        <is>
          <t>ПТК_142</t>
        </is>
      </c>
      <c r="D922" s="637" t="inlineStr">
        <is>
          <t>PTZ_RN_442</t>
        </is>
      </c>
      <c r="E922" s="630" t="inlineStr">
        <is>
          <t>Реконструкция</t>
        </is>
      </c>
      <c r="F922" s="628" t="n">
        <v>45593</v>
      </c>
    </row>
    <row r="923" hidden="1">
      <c r="A923" s="130" t="inlineStr">
        <is>
          <t>Хабаровский край</t>
        </is>
      </c>
      <c r="B923" s="130" t="inlineStr">
        <is>
          <t>Роснефть</t>
        </is>
      </c>
      <c r="C923" s="637" t="n">
        <v>4</v>
      </c>
      <c r="D923" s="637" t="inlineStr">
        <is>
          <t>VLV_RN_004</t>
        </is>
      </c>
      <c r="E923" s="630" t="inlineStr">
        <is>
          <t>Реконструкция</t>
        </is>
      </c>
      <c r="F923" s="628" t="n">
        <v>45593</v>
      </c>
    </row>
    <row r="924" hidden="1">
      <c r="A924" s="130" t="inlineStr">
        <is>
          <t>Ульяновск</t>
        </is>
      </c>
      <c r="B924" s="130" t="inlineStr">
        <is>
          <t>Роснефть</t>
        </is>
      </c>
      <c r="C924" s="637" t="inlineStr">
        <is>
          <t>RN_3</t>
        </is>
      </c>
      <c r="D924" s="637" t="inlineStr">
        <is>
          <t>ULN_RN_0003</t>
        </is>
      </c>
      <c r="E924" s="630" t="inlineStr">
        <is>
          <t>Реконструкция</t>
        </is>
      </c>
      <c r="F924" s="628" t="n">
        <v>45600</v>
      </c>
    </row>
    <row r="925" hidden="1">
      <c r="A925" s="130" t="inlineStr">
        <is>
          <t>Иркутск</t>
        </is>
      </c>
      <c r="B925" s="130" t="inlineStr">
        <is>
          <t>Роснефть</t>
        </is>
      </c>
      <c r="C925" s="637" t="n">
        <v>53</v>
      </c>
      <c r="D925" s="637" t="inlineStr">
        <is>
          <t>IRK_RN_053</t>
        </is>
      </c>
      <c r="E925" s="630" t="inlineStr">
        <is>
          <t>Реконструкция</t>
        </is>
      </c>
      <c r="F925" s="628" t="n">
        <v>45600</v>
      </c>
    </row>
    <row r="926" hidden="1">
      <c r="A926" s="130" t="inlineStr">
        <is>
          <t>Москва</t>
        </is>
      </c>
      <c r="B926" s="130" t="inlineStr">
        <is>
          <t>Роснефть</t>
        </is>
      </c>
      <c r="C926" s="637" t="inlineStr">
        <is>
          <t>Дон-1</t>
        </is>
      </c>
      <c r="D926" s="637" t="inlineStr">
        <is>
          <t>MSK_BP_Don_1</t>
        </is>
      </c>
      <c r="E926" s="630" t="inlineStr">
        <is>
          <t>Добавил</t>
        </is>
      </c>
      <c r="F926" s="628" t="n">
        <v>45600</v>
      </c>
    </row>
    <row r="927" hidden="1">
      <c r="A927" s="130" t="inlineStr">
        <is>
          <t>Москва</t>
        </is>
      </c>
      <c r="B927" s="130" t="inlineStr">
        <is>
          <t>Азбука Вкуса</t>
        </is>
      </c>
      <c r="C927" s="637" t="n">
        <v>124</v>
      </c>
      <c r="D927" s="637" t="inlineStr">
        <is>
          <t>MSK_A_124</t>
        </is>
      </c>
      <c r="E927" s="630" t="inlineStr">
        <is>
          <t>Убрал 1 экран</t>
        </is>
      </c>
      <c r="F927" s="628" t="n">
        <v>45600</v>
      </c>
    </row>
    <row r="928" hidden="1">
      <c r="A928" s="130" t="inlineStr">
        <is>
          <t>Челябинск</t>
        </is>
      </c>
      <c r="B928" s="130" t="inlineStr">
        <is>
          <t>Газпромнефть</t>
        </is>
      </c>
      <c r="C928" s="637" t="n">
        <v>22216</v>
      </c>
      <c r="D928" s="637" t="inlineStr">
        <is>
          <t>GPN_22216</t>
        </is>
      </c>
      <c r="E928" s="630" t="inlineStr">
        <is>
          <t>Реконструкция</t>
        </is>
      </c>
      <c r="F928" s="628" t="n">
        <v>45600</v>
      </c>
    </row>
    <row r="929" hidden="1">
      <c r="A929" s="130" t="inlineStr">
        <is>
          <t>Челябинск</t>
        </is>
      </c>
      <c r="B929" s="130" t="inlineStr">
        <is>
          <t>Газпромнефть</t>
        </is>
      </c>
      <c r="C929" s="637" t="n">
        <v>22224</v>
      </c>
      <c r="D929" s="637" t="inlineStr">
        <is>
          <t>GPN_22224</t>
        </is>
      </c>
      <c r="E929" s="630" t="inlineStr">
        <is>
          <t>Реконструкция</t>
        </is>
      </c>
      <c r="F929" s="628" t="n">
        <v>45600</v>
      </c>
    </row>
    <row r="930" hidden="1">
      <c r="A930" s="130" t="inlineStr">
        <is>
          <t>Челябинск</t>
        </is>
      </c>
      <c r="B930" s="130" t="inlineStr">
        <is>
          <t>Газпромнефть</t>
        </is>
      </c>
      <c r="C930" s="637" t="n">
        <v>22225</v>
      </c>
      <c r="D930" s="637" t="inlineStr">
        <is>
          <t>GPN_22225</t>
        </is>
      </c>
      <c r="E930" s="630" t="inlineStr">
        <is>
          <t>Реконструкция</t>
        </is>
      </c>
      <c r="F930" s="628" t="n">
        <v>45600</v>
      </c>
    </row>
    <row r="931" hidden="1">
      <c r="A931" s="130" t="inlineStr">
        <is>
          <t>Москва</t>
        </is>
      </c>
      <c r="B931" s="130" t="inlineStr">
        <is>
          <t>Газпромнефть</t>
        </is>
      </c>
      <c r="C931" s="637" t="n">
        <v>11144</v>
      </c>
      <c r="D931" s="637" t="inlineStr">
        <is>
          <t>GPN_11144</t>
        </is>
      </c>
      <c r="E931" s="630" t="inlineStr">
        <is>
          <t>Добавил</t>
        </is>
      </c>
      <c r="F931" s="628" t="n">
        <v>45600</v>
      </c>
    </row>
    <row r="932" hidden="1">
      <c r="A932" s="130" t="inlineStr">
        <is>
          <t>Москва</t>
        </is>
      </c>
      <c r="B932" s="130" t="inlineStr">
        <is>
          <t>Газпромнефть</t>
        </is>
      </c>
      <c r="C932" s="637" t="n">
        <v>11164</v>
      </c>
      <c r="D932" s="637" t="inlineStr">
        <is>
          <t>GPN_11164</t>
        </is>
      </c>
      <c r="E932" s="630" t="inlineStr">
        <is>
          <t>Добавил</t>
        </is>
      </c>
      <c r="F932" s="628" t="n">
        <v>45600</v>
      </c>
    </row>
    <row r="933" hidden="1">
      <c r="A933" s="130" t="inlineStr">
        <is>
          <t>Пенза</t>
        </is>
      </c>
      <c r="B933" s="130" t="inlineStr">
        <is>
          <t>Роснефть</t>
        </is>
      </c>
      <c r="C933" s="637" t="inlineStr">
        <is>
          <t>RN_10</t>
        </is>
      </c>
      <c r="D933" s="637" t="inlineStr">
        <is>
          <t>PNZ_RN_0010</t>
        </is>
      </c>
      <c r="E933" s="630" t="inlineStr">
        <is>
          <t>Реконструкция</t>
        </is>
      </c>
      <c r="F933" s="628" t="n">
        <v>45600</v>
      </c>
    </row>
    <row r="934" hidden="1">
      <c r="A934" s="130" t="inlineStr">
        <is>
          <t>Москва</t>
        </is>
      </c>
      <c r="B934" s="130" t="inlineStr">
        <is>
          <t>С.С.С.Р</t>
        </is>
      </c>
      <c r="C934" s="637" t="inlineStr">
        <is>
          <t>СССР Краснобогатырская-Перестройка</t>
        </is>
      </c>
      <c r="D934" s="637" t="inlineStr">
        <is>
          <t>MSC_FC38_TV01</t>
        </is>
      </c>
      <c r="E934" s="630" t="inlineStr">
        <is>
          <t>Закрылся</t>
        </is>
      </c>
      <c r="F934" s="628" t="n">
        <v>45600</v>
      </c>
    </row>
    <row r="935" hidden="1">
      <c r="A935" s="130" t="inlineStr">
        <is>
          <t>Пенза</t>
        </is>
      </c>
      <c r="B935" s="130" t="inlineStr">
        <is>
          <t>Роснефть</t>
        </is>
      </c>
      <c r="C935" s="637" t="inlineStr">
        <is>
          <t>RN_93</t>
        </is>
      </c>
      <c r="D935" s="637" t="inlineStr">
        <is>
          <t>PNZ_RN_0093</t>
        </is>
      </c>
      <c r="E935" s="630" t="inlineStr">
        <is>
          <t>Реконструкция</t>
        </is>
      </c>
      <c r="F935" s="628" t="n">
        <v>45600</v>
      </c>
    </row>
    <row r="936" hidden="1">
      <c r="A936" s="130" t="inlineStr">
        <is>
          <t>Уфа</t>
        </is>
      </c>
      <c r="B936" s="130" t="inlineStr">
        <is>
          <t>Роснефть</t>
        </is>
      </c>
      <c r="C936" s="637" t="inlineStr">
        <is>
          <t>№02-270</t>
        </is>
      </c>
      <c r="D936" s="637" t="inlineStr">
        <is>
          <t>UFA_BASH_02270</t>
        </is>
      </c>
      <c r="E936" s="630" t="inlineStr">
        <is>
          <t>Добавил</t>
        </is>
      </c>
      <c r="F936" s="628" t="n">
        <v>45602</v>
      </c>
    </row>
    <row r="937" hidden="1">
      <c r="A937" s="130" t="inlineStr">
        <is>
          <t>Хабаровский край</t>
        </is>
      </c>
      <c r="B937" s="130" t="inlineStr">
        <is>
          <t>Роснефть</t>
        </is>
      </c>
      <c r="C937" s="637" t="n">
        <v>5</v>
      </c>
      <c r="D937" s="637" t="inlineStr">
        <is>
          <t>VLV_RN_005</t>
        </is>
      </c>
      <c r="E937" s="630" t="inlineStr">
        <is>
          <t>Закончился договор</t>
        </is>
      </c>
      <c r="F937" s="628" t="n">
        <v>45602</v>
      </c>
    </row>
    <row r="938" hidden="1">
      <c r="A938" s="130" t="inlineStr">
        <is>
          <t>Хабаровский край</t>
        </is>
      </c>
      <c r="B938" s="130" t="inlineStr">
        <is>
          <t>Роснефть</t>
        </is>
      </c>
      <c r="C938" s="637" t="n">
        <v>14</v>
      </c>
      <c r="D938" s="637" t="inlineStr">
        <is>
          <t>VLV_RN_014</t>
        </is>
      </c>
      <c r="E938" s="630" t="inlineStr">
        <is>
          <t>Закончился договор</t>
        </is>
      </c>
      <c r="F938" s="628" t="n">
        <v>45602</v>
      </c>
    </row>
    <row r="939" hidden="1">
      <c r="A939" s="130" t="inlineStr">
        <is>
          <t>Хабаровский край</t>
        </is>
      </c>
      <c r="B939" s="130" t="inlineStr">
        <is>
          <t>Роснефть</t>
        </is>
      </c>
      <c r="C939" s="637" t="n">
        <v>15</v>
      </c>
      <c r="D939" s="637" t="inlineStr">
        <is>
          <t>VLV_RN_015</t>
        </is>
      </c>
      <c r="E939" s="630" t="inlineStr">
        <is>
          <t>Закончился договор</t>
        </is>
      </c>
      <c r="F939" s="628" t="n">
        <v>45602</v>
      </c>
    </row>
    <row r="940" hidden="1">
      <c r="A940" s="130" t="inlineStr">
        <is>
          <t>Хабаровский край</t>
        </is>
      </c>
      <c r="B940" s="130" t="inlineStr">
        <is>
          <t>Роснефть</t>
        </is>
      </c>
      <c r="C940" s="637" t="n">
        <v>18</v>
      </c>
      <c r="D940" s="637" t="inlineStr">
        <is>
          <t>VLV_RN_018</t>
        </is>
      </c>
      <c r="E940" s="630" t="inlineStr">
        <is>
          <t>Закончился договор</t>
        </is>
      </c>
      <c r="F940" s="628" t="n">
        <v>45602</v>
      </c>
    </row>
    <row r="941" hidden="1">
      <c r="A941" s="130" t="inlineStr">
        <is>
          <t>Хабаровский край</t>
        </is>
      </c>
      <c r="B941" s="130" t="inlineStr">
        <is>
          <t>Роснефть</t>
        </is>
      </c>
      <c r="C941" s="637" t="n">
        <v>19</v>
      </c>
      <c r="D941" s="637" t="inlineStr">
        <is>
          <t>VLV_RN_019</t>
        </is>
      </c>
      <c r="E941" s="630" t="inlineStr">
        <is>
          <t>Закончился договор</t>
        </is>
      </c>
      <c r="F941" s="628" t="n">
        <v>45602</v>
      </c>
    </row>
    <row r="942" hidden="1">
      <c r="A942" s="130" t="inlineStr">
        <is>
          <t>Хабаровский край</t>
        </is>
      </c>
      <c r="B942" s="130" t="inlineStr">
        <is>
          <t>Роснефть</t>
        </is>
      </c>
      <c r="C942" s="637" t="n">
        <v>20</v>
      </c>
      <c r="D942" s="637" t="inlineStr">
        <is>
          <t>VLV_RN_020</t>
        </is>
      </c>
      <c r="E942" s="630" t="inlineStr">
        <is>
          <t>Закончился договор</t>
        </is>
      </c>
      <c r="F942" s="628" t="n">
        <v>45602</v>
      </c>
    </row>
    <row r="943" hidden="1">
      <c r="A943" s="130" t="inlineStr">
        <is>
          <t>Хабаровский край</t>
        </is>
      </c>
      <c r="B943" s="130" t="inlineStr">
        <is>
          <t>Роснефть</t>
        </is>
      </c>
      <c r="C943" s="637" t="n">
        <v>24</v>
      </c>
      <c r="D943" s="637" t="inlineStr">
        <is>
          <t>VLV_RN_024</t>
        </is>
      </c>
      <c r="E943" s="630" t="inlineStr">
        <is>
          <t>Закончился договор</t>
        </is>
      </c>
      <c r="F943" s="628" t="n">
        <v>45602</v>
      </c>
    </row>
    <row r="944" hidden="1">
      <c r="A944" s="130" t="inlineStr">
        <is>
          <t>Амурская область</t>
        </is>
      </c>
      <c r="B944" s="130" t="inlineStr">
        <is>
          <t>Роснефть</t>
        </is>
      </c>
      <c r="C944" s="637" t="n">
        <v>205</v>
      </c>
      <c r="D944" s="637" t="inlineStr">
        <is>
          <t>VLV_RN_205</t>
        </is>
      </c>
      <c r="E944" s="630" t="inlineStr">
        <is>
          <t>Закончился договор</t>
        </is>
      </c>
      <c r="F944" s="628" t="n">
        <v>45602</v>
      </c>
    </row>
    <row r="945" hidden="1" ht="21.6" customHeight="1">
      <c r="A945" s="416" t="inlineStr">
        <is>
          <t>Приморский край (Владивосток, Уссурийск, Артем)</t>
        </is>
      </c>
      <c r="B945" s="130" t="inlineStr">
        <is>
          <t>Роснефть</t>
        </is>
      </c>
      <c r="C945" s="637" t="n">
        <v>404</v>
      </c>
      <c r="D945" s="637" t="inlineStr">
        <is>
          <t>VLV_RN_404</t>
        </is>
      </c>
      <c r="E945" s="630" t="inlineStr">
        <is>
          <t>Закончился договор</t>
        </is>
      </c>
      <c r="F945" s="628" t="n">
        <v>45602</v>
      </c>
    </row>
    <row r="946" hidden="1" ht="21.6" customHeight="1">
      <c r="A946" s="416" t="inlineStr">
        <is>
          <t>Приморский край (Владивосток, Уссурийск, Артем)</t>
        </is>
      </c>
      <c r="B946" s="130" t="inlineStr">
        <is>
          <t>Роснефть</t>
        </is>
      </c>
      <c r="C946" s="637" t="n">
        <v>406</v>
      </c>
      <c r="D946" s="637" t="inlineStr">
        <is>
          <t>VLV_RN_406</t>
        </is>
      </c>
      <c r="E946" s="630" t="inlineStr">
        <is>
          <t>Закончился договор</t>
        </is>
      </c>
      <c r="F946" s="628" t="n">
        <v>45602</v>
      </c>
    </row>
    <row r="947" hidden="1" ht="21.6" customHeight="1">
      <c r="A947" s="416" t="inlineStr">
        <is>
          <t>Приморский край (Владивосток, Уссурийск, Артем)</t>
        </is>
      </c>
      <c r="B947" s="130" t="inlineStr">
        <is>
          <t>Роснефть</t>
        </is>
      </c>
      <c r="C947" s="637" t="n">
        <v>407</v>
      </c>
      <c r="D947" s="637" t="inlineStr">
        <is>
          <t>VLV_RN_407</t>
        </is>
      </c>
      <c r="E947" s="630" t="inlineStr">
        <is>
          <t>Закончился договор</t>
        </is>
      </c>
      <c r="F947" s="628" t="n">
        <v>45602</v>
      </c>
    </row>
    <row r="948" hidden="1" ht="21.6" customHeight="1">
      <c r="A948" s="416" t="inlineStr">
        <is>
          <t>Приморский край (Владивосток, Уссурийск, Артем)</t>
        </is>
      </c>
      <c r="B948" s="130" t="inlineStr">
        <is>
          <t>Роснефть</t>
        </is>
      </c>
      <c r="C948" s="637" t="n">
        <v>413</v>
      </c>
      <c r="D948" s="637" t="inlineStr">
        <is>
          <t>VLV_RN_413</t>
        </is>
      </c>
      <c r="E948" s="630" t="inlineStr">
        <is>
          <t>Закончился договор</t>
        </is>
      </c>
      <c r="F948" s="628" t="n">
        <v>45602</v>
      </c>
    </row>
    <row r="949" hidden="1" ht="21.6" customHeight="1">
      <c r="A949" s="416" t="inlineStr">
        <is>
          <t>Приморский край (Владивосток, Уссурийск, Артем)</t>
        </is>
      </c>
      <c r="B949" s="130" t="inlineStr">
        <is>
          <t>Роснефть</t>
        </is>
      </c>
      <c r="C949" s="637" t="n">
        <v>414</v>
      </c>
      <c r="D949" s="637" t="inlineStr">
        <is>
          <t>VLV_RN_414</t>
        </is>
      </c>
      <c r="E949" s="630" t="inlineStr">
        <is>
          <t>Закончился договор</t>
        </is>
      </c>
      <c r="F949" s="628" t="n">
        <v>45602</v>
      </c>
    </row>
    <row r="950" hidden="1" ht="21.6" customHeight="1">
      <c r="A950" s="416" t="inlineStr">
        <is>
          <t>Приморский край (Владивосток, Уссурийск, Артем)</t>
        </is>
      </c>
      <c r="B950" s="130" t="inlineStr">
        <is>
          <t>Роснефть</t>
        </is>
      </c>
      <c r="C950" s="637" t="n">
        <v>415</v>
      </c>
      <c r="D950" s="637" t="inlineStr">
        <is>
          <t>VLV_RN_415</t>
        </is>
      </c>
      <c r="E950" s="630" t="inlineStr">
        <is>
          <t>Закончился договор</t>
        </is>
      </c>
      <c r="F950" s="628" t="n">
        <v>45602</v>
      </c>
    </row>
    <row r="951" hidden="1" ht="21.6" customHeight="1">
      <c r="A951" s="416" t="inlineStr">
        <is>
          <t>Приморский край (Владивосток, Уссурийск, Артем)</t>
        </is>
      </c>
      <c r="B951" s="130" t="inlineStr">
        <is>
          <t>Роснефть</t>
        </is>
      </c>
      <c r="C951" s="637" t="n">
        <v>416</v>
      </c>
      <c r="D951" s="637" t="inlineStr">
        <is>
          <t>VLV_RN_416</t>
        </is>
      </c>
      <c r="E951" s="630" t="inlineStr">
        <is>
          <t>Закончился договор</t>
        </is>
      </c>
      <c r="F951" s="628" t="n">
        <v>45602</v>
      </c>
    </row>
    <row r="952" hidden="1" ht="21.6" customHeight="1">
      <c r="A952" s="416" t="inlineStr">
        <is>
          <t>Приморский край (Владивосток, Уссурийск, Артем)</t>
        </is>
      </c>
      <c r="B952" s="130" t="inlineStr">
        <is>
          <t>Роснефть</t>
        </is>
      </c>
      <c r="C952" s="637" t="n">
        <v>417</v>
      </c>
      <c r="D952" s="637" t="inlineStr">
        <is>
          <t>VLV_RN_417</t>
        </is>
      </c>
      <c r="E952" s="630" t="inlineStr">
        <is>
          <t>Закончился договор</t>
        </is>
      </c>
      <c r="F952" s="628" t="n">
        <v>45602</v>
      </c>
    </row>
    <row r="953" hidden="1" ht="21.6" customHeight="1">
      <c r="A953" s="416" t="inlineStr">
        <is>
          <t>Приморский край (Владивосток, Уссурийск, Артем)</t>
        </is>
      </c>
      <c r="B953" s="130" t="inlineStr">
        <is>
          <t>Роснефть</t>
        </is>
      </c>
      <c r="C953" s="637" t="n">
        <v>443</v>
      </c>
      <c r="D953" s="637" t="inlineStr">
        <is>
          <t>VLV_RN_443</t>
        </is>
      </c>
      <c r="E953" s="630" t="inlineStr">
        <is>
          <t>Закончился договор</t>
        </is>
      </c>
      <c r="F953" s="628" t="n">
        <v>45602</v>
      </c>
    </row>
    <row r="954" hidden="1">
      <c r="A954" s="130" t="inlineStr">
        <is>
          <t>Сахалинская область</t>
        </is>
      </c>
      <c r="B954" s="130" t="inlineStr">
        <is>
          <t>Роснефть</t>
        </is>
      </c>
      <c r="C954" s="637" t="n">
        <v>505</v>
      </c>
      <c r="D954" s="637" t="inlineStr">
        <is>
          <t>VLV_RN_505</t>
        </is>
      </c>
      <c r="E954" s="630" t="inlineStr">
        <is>
          <t>Закончился договор</t>
        </is>
      </c>
      <c r="F954" s="628" t="n">
        <v>45602</v>
      </c>
    </row>
    <row r="955" hidden="1">
      <c r="A955" s="130" t="inlineStr">
        <is>
          <t>Сахалинская область</t>
        </is>
      </c>
      <c r="B955" s="130" t="inlineStr">
        <is>
          <t>Роснефть</t>
        </is>
      </c>
      <c r="C955" s="637" t="n">
        <v>554</v>
      </c>
      <c r="D955" s="637" t="inlineStr">
        <is>
          <t>VLV_RN_554</t>
        </is>
      </c>
      <c r="E955" s="630" t="inlineStr">
        <is>
          <t>Закончился договор</t>
        </is>
      </c>
      <c r="F955" s="628" t="n">
        <v>45602</v>
      </c>
    </row>
    <row r="956" hidden="1">
      <c r="A956" s="130" t="inlineStr">
        <is>
          <t>Сахалинская область</t>
        </is>
      </c>
      <c r="B956" s="130" t="inlineStr">
        <is>
          <t>Роснефть</t>
        </is>
      </c>
      <c r="C956" s="637" t="n">
        <v>563</v>
      </c>
      <c r="D956" s="637" t="inlineStr">
        <is>
          <t>VLV_RN_563</t>
        </is>
      </c>
      <c r="E956" s="630" t="inlineStr">
        <is>
          <t>Закончился договор</t>
        </is>
      </c>
      <c r="F956" s="628" t="n">
        <v>45602</v>
      </c>
    </row>
    <row r="957" hidden="1">
      <c r="A957" s="130" t="inlineStr">
        <is>
          <t>Санкт-Петербург</t>
        </is>
      </c>
      <c r="B957" s="130" t="inlineStr">
        <is>
          <t>Газпромнефть</t>
        </is>
      </c>
      <c r="C957" s="637" t="n">
        <v>10006</v>
      </c>
      <c r="D957" s="637" t="inlineStr">
        <is>
          <t>GPN_10006</t>
        </is>
      </c>
      <c r="E957" s="630" t="inlineStr">
        <is>
          <t>Реконструкция</t>
        </is>
      </c>
      <c r="F957" s="628" t="n">
        <v>45602</v>
      </c>
    </row>
    <row r="958" hidden="1">
      <c r="A958" s="130" t="inlineStr">
        <is>
          <t>Санкт-Петербург</t>
        </is>
      </c>
      <c r="B958" s="130" t="inlineStr">
        <is>
          <t>Газпромнефть</t>
        </is>
      </c>
      <c r="C958" s="637" t="n">
        <v>10017</v>
      </c>
      <c r="D958" s="637" t="inlineStr">
        <is>
          <t>GPN_10017</t>
        </is>
      </c>
      <c r="E958" s="630" t="inlineStr">
        <is>
          <t>Реконструкция</t>
        </is>
      </c>
      <c r="F958" s="628" t="n">
        <v>45602</v>
      </c>
    </row>
    <row r="959" hidden="1">
      <c r="A959" s="130" t="inlineStr">
        <is>
          <t>Санкт-Петербург</t>
        </is>
      </c>
      <c r="B959" s="130" t="inlineStr">
        <is>
          <t>Газпромнефть</t>
        </is>
      </c>
      <c r="C959" s="637" t="n">
        <v>10018</v>
      </c>
      <c r="D959" s="637" t="inlineStr">
        <is>
          <t>GPN_10018</t>
        </is>
      </c>
      <c r="E959" s="630" t="inlineStr">
        <is>
          <t>Реконструкция</t>
        </is>
      </c>
      <c r="F959" s="628" t="n">
        <v>45602</v>
      </c>
    </row>
    <row r="960" hidden="1">
      <c r="A960" s="130" t="inlineStr">
        <is>
          <t>Санкт-Петербург</t>
        </is>
      </c>
      <c r="B960" s="130" t="inlineStr">
        <is>
          <t>Газпромнефть</t>
        </is>
      </c>
      <c r="C960" s="637" t="n">
        <v>10117</v>
      </c>
      <c r="D960" s="637" t="inlineStr">
        <is>
          <t>GPN_10117</t>
        </is>
      </c>
      <c r="E960" s="630" t="inlineStr">
        <is>
          <t>Реконструкция</t>
        </is>
      </c>
      <c r="F960" s="628" t="n">
        <v>45602</v>
      </c>
    </row>
    <row r="961" hidden="1">
      <c r="A961" s="130" t="inlineStr">
        <is>
          <t>Москва</t>
        </is>
      </c>
      <c r="B961" s="130" t="inlineStr">
        <is>
          <t>Газпромнефть</t>
        </is>
      </c>
      <c r="C961" s="637" t="n">
        <v>11161</v>
      </c>
      <c r="D961" s="637" t="inlineStr">
        <is>
          <t>GPN_11161</t>
        </is>
      </c>
      <c r="E961" s="630" t="inlineStr">
        <is>
          <t>Реконструкция</t>
        </is>
      </c>
      <c r="F961" s="628" t="n">
        <v>45602</v>
      </c>
    </row>
    <row r="962" hidden="1">
      <c r="A962" s="130" t="inlineStr">
        <is>
          <t>Санкт-Петербург</t>
        </is>
      </c>
      <c r="B962" s="130" t="inlineStr">
        <is>
          <t>Газпромнефть</t>
        </is>
      </c>
      <c r="C962" s="637" t="n">
        <v>10013</v>
      </c>
      <c r="D962" s="637" t="inlineStr">
        <is>
          <t>GPN_10013</t>
        </is>
      </c>
      <c r="E962" s="630" t="inlineStr">
        <is>
          <t>Реконструкция</t>
        </is>
      </c>
      <c r="F962" s="628" t="n">
        <v>45610</v>
      </c>
    </row>
    <row r="963" hidden="1">
      <c r="A963" s="130" t="inlineStr">
        <is>
          <t>Москва</t>
        </is>
      </c>
      <c r="B963" s="130" t="inlineStr">
        <is>
          <t>Газпромнефть</t>
        </is>
      </c>
      <c r="C963" s="637" t="n">
        <v>11146</v>
      </c>
      <c r="D963" s="637" t="inlineStr">
        <is>
          <t>GPN_11146</t>
        </is>
      </c>
      <c r="E963" s="630" t="inlineStr">
        <is>
          <t>Реконструкция</t>
        </is>
      </c>
      <c r="F963" s="628" t="n">
        <v>45610</v>
      </c>
    </row>
    <row r="964" hidden="1">
      <c r="A964" s="130" t="inlineStr">
        <is>
          <t>Москва</t>
        </is>
      </c>
      <c r="B964" s="130" t="inlineStr">
        <is>
          <t>Газпромнефть</t>
        </is>
      </c>
      <c r="C964" s="637" t="n">
        <v>11137</v>
      </c>
      <c r="D964" s="637" t="inlineStr">
        <is>
          <t>GPN_11137</t>
        </is>
      </c>
      <c r="E964" s="630" t="inlineStr">
        <is>
          <t>Реконструкция</t>
        </is>
      </c>
      <c r="F964" s="628" t="n">
        <v>45610</v>
      </c>
    </row>
    <row r="965" hidden="1">
      <c r="A965" s="130" t="inlineStr">
        <is>
          <t>Москва</t>
        </is>
      </c>
      <c r="B965" s="130" t="inlineStr">
        <is>
          <t>Газпромнефть</t>
        </is>
      </c>
      <c r="C965" s="637" t="n">
        <v>12183</v>
      </c>
      <c r="D965" s="637" t="inlineStr">
        <is>
          <t>GPN_12183</t>
        </is>
      </c>
      <c r="E965" s="630" t="inlineStr">
        <is>
          <t>Реконструкция</t>
        </is>
      </c>
      <c r="F965" s="628" t="n">
        <v>45610</v>
      </c>
    </row>
    <row r="966" hidden="1">
      <c r="A966" s="130" t="inlineStr">
        <is>
          <t>Челябинск</t>
        </is>
      </c>
      <c r="B966" s="130" t="inlineStr">
        <is>
          <t>Газпромнефть</t>
        </is>
      </c>
      <c r="C966" s="637" t="n">
        <v>22265</v>
      </c>
      <c r="D966" s="637" t="inlineStr">
        <is>
          <t>GPN_22265</t>
        </is>
      </c>
      <c r="E966" s="630" t="inlineStr">
        <is>
          <t>Реконструкция</t>
        </is>
      </c>
      <c r="F966" s="628" t="n">
        <v>45610</v>
      </c>
    </row>
    <row r="967" hidden="1">
      <c r="A967" s="130" t="inlineStr">
        <is>
          <t>Санкт-Петербург</t>
        </is>
      </c>
      <c r="B967" s="130" t="inlineStr">
        <is>
          <t>Газпромнефть</t>
        </is>
      </c>
      <c r="C967" s="637" t="n">
        <v>10051</v>
      </c>
      <c r="D967" s="637" t="inlineStr">
        <is>
          <t>GPN_10051</t>
        </is>
      </c>
      <c r="E967" s="630" t="inlineStr">
        <is>
          <t>Реконструкция</t>
        </is>
      </c>
      <c r="F967" s="628" t="n">
        <v>45610</v>
      </c>
    </row>
    <row r="968" hidden="1">
      <c r="A968" s="130" t="inlineStr">
        <is>
          <t>Челябинск</t>
        </is>
      </c>
      <c r="B968" s="130" t="inlineStr">
        <is>
          <t>Газпромнефть</t>
        </is>
      </c>
      <c r="C968" s="637" t="n">
        <v>22234</v>
      </c>
      <c r="D968" s="637" t="inlineStr">
        <is>
          <t>GPN_22234</t>
        </is>
      </c>
      <c r="E968" s="630" t="inlineStr">
        <is>
          <t>Реконструкция</t>
        </is>
      </c>
      <c r="F968" s="628" t="n">
        <v>45610</v>
      </c>
    </row>
    <row r="969" hidden="1">
      <c r="A969" s="130" t="inlineStr">
        <is>
          <t>Омск</t>
        </is>
      </c>
      <c r="B969" s="130" t="inlineStr">
        <is>
          <t>Газпромнефть</t>
        </is>
      </c>
      <c r="C969" s="637" t="n">
        <v>31026</v>
      </c>
      <c r="D969" s="637" t="inlineStr">
        <is>
          <t>GPN_31026</t>
        </is>
      </c>
      <c r="E969" s="630" t="inlineStr">
        <is>
          <t>Реконструкция</t>
        </is>
      </c>
      <c r="F969" s="628" t="n">
        <v>45610</v>
      </c>
    </row>
    <row r="970" hidden="1">
      <c r="A970" s="130" t="inlineStr">
        <is>
          <t>Санкт-Петербург</t>
        </is>
      </c>
      <c r="B970" s="130" t="inlineStr">
        <is>
          <t>Газпромнефть</t>
        </is>
      </c>
      <c r="C970" s="637" t="n">
        <v>10006</v>
      </c>
      <c r="D970" s="637" t="inlineStr">
        <is>
          <t>GPN_10006</t>
        </is>
      </c>
      <c r="E970" s="630" t="inlineStr">
        <is>
          <t>Добавил</t>
        </is>
      </c>
      <c r="F970" s="628" t="n">
        <v>45610</v>
      </c>
    </row>
    <row r="971" hidden="1">
      <c r="A971" s="130" t="inlineStr">
        <is>
          <t>Санкт-Петербург</t>
        </is>
      </c>
      <c r="B971" s="130" t="inlineStr">
        <is>
          <t>Газпромнефть</t>
        </is>
      </c>
      <c r="C971" s="637" t="n">
        <v>10018</v>
      </c>
      <c r="D971" s="637" t="inlineStr">
        <is>
          <t>GPN_10018</t>
        </is>
      </c>
      <c r="E971" s="630" t="inlineStr">
        <is>
          <t>Добавил</t>
        </is>
      </c>
      <c r="F971" s="628" t="n">
        <v>45610</v>
      </c>
    </row>
    <row r="972" hidden="1">
      <c r="A972" s="130" t="inlineStr">
        <is>
          <t>Челябинск</t>
        </is>
      </c>
      <c r="B972" s="130" t="inlineStr">
        <is>
          <t>Газпромнефть</t>
        </is>
      </c>
      <c r="C972" s="637" t="n">
        <v>22224</v>
      </c>
      <c r="D972" s="637" t="inlineStr">
        <is>
          <t>GPN_22224</t>
        </is>
      </c>
      <c r="E972" s="630" t="inlineStr">
        <is>
          <t>Добавил</t>
        </is>
      </c>
      <c r="F972" s="628" t="n">
        <v>45610</v>
      </c>
    </row>
    <row r="973" hidden="1">
      <c r="A973" s="130" t="inlineStr">
        <is>
          <t>Челябинск</t>
        </is>
      </c>
      <c r="B973" s="130" t="inlineStr">
        <is>
          <t>Газпромнефть</t>
        </is>
      </c>
      <c r="C973" s="637" t="n">
        <v>22225</v>
      </c>
      <c r="D973" s="637" t="inlineStr">
        <is>
          <t>GPN_22225</t>
        </is>
      </c>
      <c r="E973" s="630" t="inlineStr">
        <is>
          <t>Добавил</t>
        </is>
      </c>
      <c r="F973" s="628" t="n">
        <v>45610</v>
      </c>
    </row>
    <row r="974" hidden="1">
      <c r="A974" s="130" t="inlineStr">
        <is>
          <t>Новосибирск</t>
        </is>
      </c>
      <c r="B974" s="130" t="inlineStr">
        <is>
          <t>Газпромнефть</t>
        </is>
      </c>
      <c r="C974" s="637" t="n">
        <v>30022</v>
      </c>
      <c r="D974" s="637" t="inlineStr">
        <is>
          <t>GPN_30022</t>
        </is>
      </c>
      <c r="E974" s="630" t="inlineStr">
        <is>
          <t>Добавил</t>
        </is>
      </c>
      <c r="F974" s="628" t="n">
        <v>45610</v>
      </c>
    </row>
    <row r="975" hidden="1">
      <c r="A975" s="130" t="inlineStr">
        <is>
          <t>Новосибирск</t>
        </is>
      </c>
      <c r="B975" s="130" t="inlineStr">
        <is>
          <t>Газпромнефть</t>
        </is>
      </c>
      <c r="C975" s="637" t="n">
        <v>30099</v>
      </c>
      <c r="D975" s="637" t="inlineStr">
        <is>
          <t>GPN_30099</t>
        </is>
      </c>
      <c r="E975" s="630" t="inlineStr">
        <is>
          <t>Добавил</t>
        </is>
      </c>
      <c r="F975" s="628" t="n">
        <v>45610</v>
      </c>
    </row>
    <row r="976" hidden="1">
      <c r="A976" s="130" t="inlineStr">
        <is>
          <t>Омск</t>
        </is>
      </c>
      <c r="B976" s="130" t="inlineStr">
        <is>
          <t>Газпромнефть</t>
        </is>
      </c>
      <c r="C976" s="637" t="n">
        <v>31020</v>
      </c>
      <c r="D976" s="637" t="inlineStr">
        <is>
          <t>GPN_31020</t>
        </is>
      </c>
      <c r="E976" s="630" t="inlineStr">
        <is>
          <t>Добавил</t>
        </is>
      </c>
      <c r="F976" s="628" t="n">
        <v>45610</v>
      </c>
    </row>
    <row r="977" hidden="1">
      <c r="A977" s="130" t="inlineStr">
        <is>
          <t>Москва</t>
        </is>
      </c>
      <c r="B977" s="130" t="inlineStr">
        <is>
          <t>Газпромнефть</t>
        </is>
      </c>
      <c r="C977" s="637" t="n">
        <v>12340</v>
      </c>
      <c r="D977" s="637" t="inlineStr">
        <is>
          <t>GPN_12340</t>
        </is>
      </c>
      <c r="E977" s="630" t="inlineStr">
        <is>
          <t>новая АЗС</t>
        </is>
      </c>
      <c r="F977" s="628" t="n">
        <v>45610</v>
      </c>
    </row>
    <row r="978" hidden="1">
      <c r="A978" s="130" t="inlineStr">
        <is>
          <t>Москва</t>
        </is>
      </c>
      <c r="B978" s="130" t="inlineStr">
        <is>
          <t>Газпромнефть</t>
        </is>
      </c>
      <c r="C978" s="637" t="n">
        <v>12581</v>
      </c>
      <c r="D978" s="637" t="inlineStr">
        <is>
          <t>GPN_12581</t>
        </is>
      </c>
      <c r="E978" s="630" t="inlineStr">
        <is>
          <t>новая АЗС</t>
        </is>
      </c>
      <c r="F978" s="628" t="n">
        <v>45610</v>
      </c>
    </row>
    <row r="979" hidden="1">
      <c r="A979" s="130" t="inlineStr">
        <is>
          <t>Москва</t>
        </is>
      </c>
      <c r="B979" s="130" t="inlineStr">
        <is>
          <t>Газпромнефть</t>
        </is>
      </c>
      <c r="C979" s="637" t="n">
        <v>12607</v>
      </c>
      <c r="D979" s="637" t="inlineStr">
        <is>
          <t>GPN_12607</t>
        </is>
      </c>
      <c r="E979" s="630" t="inlineStr">
        <is>
          <t>новая АЗС</t>
        </is>
      </c>
      <c r="F979" s="628" t="n">
        <v>45610</v>
      </c>
    </row>
    <row r="980" hidden="1">
      <c r="A980" s="130" t="inlineStr">
        <is>
          <t>Москва</t>
        </is>
      </c>
      <c r="B980" s="130" t="inlineStr">
        <is>
          <t>Газпромнефть</t>
        </is>
      </c>
      <c r="C980" s="637" t="n">
        <v>12618</v>
      </c>
      <c r="D980" s="637" t="inlineStr">
        <is>
          <t>GPN_12618</t>
        </is>
      </c>
      <c r="E980" s="630" t="inlineStr">
        <is>
          <t>новая АЗС</t>
        </is>
      </c>
      <c r="F980" s="628" t="n">
        <v>45610</v>
      </c>
    </row>
    <row r="981" hidden="1">
      <c r="A981" s="130" t="inlineStr">
        <is>
          <t>Приволжье (Нижний Новгород, Казань)</t>
        </is>
      </c>
      <c r="B981" s="130" t="inlineStr">
        <is>
          <t>Газпромнефть</t>
        </is>
      </c>
      <c r="C981" s="637" t="n">
        <v>14540</v>
      </c>
      <c r="D981" s="637" t="inlineStr">
        <is>
          <t>GPN_14540</t>
        </is>
      </c>
      <c r="E981" s="630" t="inlineStr">
        <is>
          <t>новая АЗС</t>
        </is>
      </c>
      <c r="F981" s="628" t="n">
        <v>45610</v>
      </c>
    </row>
    <row r="982" hidden="1">
      <c r="A982" s="130" t="inlineStr">
        <is>
          <t>Екатеринбург</t>
        </is>
      </c>
      <c r="B982" s="130" t="inlineStr">
        <is>
          <t>Газпромнефть</t>
        </is>
      </c>
      <c r="C982" s="637" t="n">
        <v>20199</v>
      </c>
      <c r="D982" s="637" t="inlineStr">
        <is>
          <t>GPN_20199</t>
        </is>
      </c>
      <c r="E982" s="630" t="inlineStr">
        <is>
          <t>новая АЗС</t>
        </is>
      </c>
      <c r="F982" s="628" t="n">
        <v>45610</v>
      </c>
    </row>
    <row r="983" hidden="1">
      <c r="A983" s="130" t="inlineStr">
        <is>
          <t>Приволжье (Нижний Новгород, Казань)</t>
        </is>
      </c>
      <c r="B983" s="130" t="inlineStr">
        <is>
          <t>Газпромнефть</t>
        </is>
      </c>
      <c r="C983" s="637" t="n">
        <v>20606</v>
      </c>
      <c r="D983" s="637" t="inlineStr">
        <is>
          <t>GPN_20606</t>
        </is>
      </c>
      <c r="E983" s="630" t="inlineStr">
        <is>
          <t>новая АЗС</t>
        </is>
      </c>
      <c r="F983" s="628" t="n">
        <v>45610</v>
      </c>
    </row>
    <row r="984" hidden="1">
      <c r="A984" s="130" t="inlineStr">
        <is>
          <t>Приволжье (Нижний Новгород, Казань)</t>
        </is>
      </c>
      <c r="B984" s="130" t="inlineStr">
        <is>
          <t>Газпромнефть</t>
        </is>
      </c>
      <c r="C984" s="637" t="n">
        <v>20607</v>
      </c>
      <c r="D984" s="637" t="inlineStr">
        <is>
          <t>GPN_20607</t>
        </is>
      </c>
      <c r="E984" s="630" t="inlineStr">
        <is>
          <t>новая АЗС</t>
        </is>
      </c>
      <c r="F984" s="628" t="n">
        <v>45610</v>
      </c>
    </row>
    <row r="985" hidden="1">
      <c r="A985" s="130" t="inlineStr">
        <is>
          <t>Алтайский край</t>
        </is>
      </c>
      <c r="B985" s="130" t="inlineStr">
        <is>
          <t>Газпромнефть</t>
        </is>
      </c>
      <c r="C985" s="637" t="n">
        <v>32609</v>
      </c>
      <c r="D985" s="637" t="inlineStr">
        <is>
          <t>GPN_32609</t>
        </is>
      </c>
      <c r="E985" s="630" t="inlineStr">
        <is>
          <t>новая АЗС</t>
        </is>
      </c>
      <c r="F985" s="628" t="n">
        <v>45610</v>
      </c>
    </row>
    <row r="986" hidden="1">
      <c r="A986" s="130" t="inlineStr">
        <is>
          <t>Алтайский край</t>
        </is>
      </c>
      <c r="B986" s="130" t="inlineStr">
        <is>
          <t>Газпромнефть</t>
        </is>
      </c>
      <c r="C986" s="637" t="n">
        <v>33033</v>
      </c>
      <c r="D986" s="637" t="inlineStr">
        <is>
          <t>GPN_33033</t>
        </is>
      </c>
      <c r="E986" s="630" t="inlineStr">
        <is>
          <t>новая АЗС</t>
        </is>
      </c>
      <c r="F986" s="628" t="n">
        <v>45610</v>
      </c>
    </row>
    <row r="987" hidden="1">
      <c r="A987" s="130" t="inlineStr">
        <is>
          <t>Алтайский край</t>
        </is>
      </c>
      <c r="B987" s="130" t="inlineStr">
        <is>
          <t>Газпромнефть</t>
        </is>
      </c>
      <c r="C987" s="637" t="n">
        <v>33065</v>
      </c>
      <c r="D987" s="637" t="inlineStr">
        <is>
          <t>GPN_33065</t>
        </is>
      </c>
      <c r="E987" s="630" t="inlineStr">
        <is>
          <t>новая АЗС</t>
        </is>
      </c>
      <c r="F987" s="628" t="n">
        <v>45610</v>
      </c>
    </row>
    <row r="988" hidden="1">
      <c r="A988" s="130" t="inlineStr">
        <is>
          <t>Алтайский край</t>
        </is>
      </c>
      <c r="B988" s="130" t="inlineStr">
        <is>
          <t>Газпромнефть</t>
        </is>
      </c>
      <c r="C988" s="637" t="n">
        <v>33144</v>
      </c>
      <c r="D988" s="637" t="inlineStr">
        <is>
          <t>GPN_33144</t>
        </is>
      </c>
      <c r="E988" s="630" t="inlineStr">
        <is>
          <t>новая АЗС</t>
        </is>
      </c>
      <c r="F988" s="628" t="n">
        <v>45610</v>
      </c>
    </row>
    <row r="989" hidden="1">
      <c r="A989" s="130" t="inlineStr">
        <is>
          <t>Алтайский край</t>
        </is>
      </c>
      <c r="B989" s="130" t="inlineStr">
        <is>
          <t>Газпромнефть</t>
        </is>
      </c>
      <c r="C989" s="637" t="n">
        <v>33146</v>
      </c>
      <c r="D989" s="637" t="inlineStr">
        <is>
          <t>GPN_33146</t>
        </is>
      </c>
      <c r="E989" s="630" t="inlineStr">
        <is>
          <t>новая АЗС</t>
        </is>
      </c>
      <c r="F989" s="628" t="n">
        <v>45610</v>
      </c>
    </row>
    <row r="990" hidden="1">
      <c r="A990" s="130" t="inlineStr">
        <is>
          <t>Пенза</t>
        </is>
      </c>
      <c r="B990" s="130" t="inlineStr">
        <is>
          <t>Роснефть</t>
        </is>
      </c>
      <c r="C990" s="637" t="inlineStr">
        <is>
          <t>RN_11</t>
        </is>
      </c>
      <c r="D990" s="637" t="inlineStr">
        <is>
          <t>PNZ_RN_0011</t>
        </is>
      </c>
      <c r="E990" s="630" t="inlineStr">
        <is>
          <t>Добавил</t>
        </is>
      </c>
      <c r="F990" s="628" t="n">
        <v>45610</v>
      </c>
    </row>
    <row r="991" hidden="1">
      <c r="A991" s="130" t="inlineStr">
        <is>
          <t>Пенза</t>
        </is>
      </c>
      <c r="B991" s="130" t="inlineStr">
        <is>
          <t>Роснефть</t>
        </is>
      </c>
      <c r="C991" s="637" t="inlineStr">
        <is>
          <t>RN_10</t>
        </is>
      </c>
      <c r="D991" s="637" t="inlineStr">
        <is>
          <t>PNZ_RN_0010</t>
        </is>
      </c>
      <c r="E991" s="630" t="inlineStr">
        <is>
          <t>Добавил</t>
        </is>
      </c>
      <c r="F991" s="628" t="n">
        <v>45610</v>
      </c>
    </row>
    <row r="992" hidden="1">
      <c r="A992" s="130" t="inlineStr">
        <is>
          <t>Калуга</t>
        </is>
      </c>
      <c r="B992" s="130" t="inlineStr">
        <is>
          <t>С.С.С.Р</t>
        </is>
      </c>
      <c r="C992" s="637" t="inlineStr">
        <is>
          <t>СССР Обнинск</t>
        </is>
      </c>
      <c r="D992" s="637" t="inlineStr">
        <is>
          <t>MSC_FC28_TV01</t>
        </is>
      </c>
      <c r="E992" s="630" t="inlineStr">
        <is>
          <t>Закончился договор</t>
        </is>
      </c>
      <c r="F992" s="628" t="n">
        <v>45610</v>
      </c>
    </row>
    <row r="993" hidden="1">
      <c r="A993" s="130" t="inlineStr">
        <is>
          <t>Москва</t>
        </is>
      </c>
      <c r="B993" s="130" t="inlineStr">
        <is>
          <t>С.С.С.Р</t>
        </is>
      </c>
      <c r="C993" s="637" t="inlineStr">
        <is>
          <t>СССР Верейская</t>
        </is>
      </c>
      <c r="D993" s="637" t="inlineStr">
        <is>
          <t>MSC_FC31_TV01</t>
        </is>
      </c>
      <c r="E993" s="630" t="inlineStr">
        <is>
          <t>Убрал 1 экран</t>
        </is>
      </c>
      <c r="F993" s="628" t="n">
        <v>45610</v>
      </c>
    </row>
    <row r="994" hidden="1">
      <c r="A994" s="130" t="inlineStr">
        <is>
          <t>Ставрополь</t>
        </is>
      </c>
      <c r="B994" s="130" t="inlineStr">
        <is>
          <t>Роснефть</t>
        </is>
      </c>
      <c r="C994" s="637" t="n">
        <v>45</v>
      </c>
      <c r="D994" s="637" t="inlineStr">
        <is>
          <t>STW_RN_045</t>
        </is>
      </c>
      <c r="E994" s="630" t="inlineStr">
        <is>
          <t>Реконструкция</t>
        </is>
      </c>
      <c r="F994" s="628" t="n">
        <v>45621</v>
      </c>
    </row>
    <row r="995" hidden="1">
      <c r="A995" s="130" t="inlineStr">
        <is>
          <t>Ставрополь</t>
        </is>
      </c>
      <c r="B995" s="130" t="inlineStr">
        <is>
          <t>Роснефть</t>
        </is>
      </c>
      <c r="C995" s="637" t="n">
        <v>47</v>
      </c>
      <c r="D995" s="637" t="inlineStr">
        <is>
          <t>STW_RN_047</t>
        </is>
      </c>
      <c r="E995" s="630" t="inlineStr">
        <is>
          <t>Реконструкция</t>
        </is>
      </c>
      <c r="F995" s="628" t="n">
        <v>45621</v>
      </c>
    </row>
    <row r="996" hidden="1">
      <c r="A996" s="130" t="inlineStr">
        <is>
          <t>Ростов-на-Дону</t>
        </is>
      </c>
      <c r="B996" s="130" t="inlineStr">
        <is>
          <t>Роснефть</t>
        </is>
      </c>
      <c r="C996" s="637" t="n">
        <v>105</v>
      </c>
      <c r="D996" s="637" t="inlineStr">
        <is>
          <t>RND_RN_0105</t>
        </is>
      </c>
      <c r="E996" s="630" t="inlineStr">
        <is>
          <t>Реконструкция</t>
        </is>
      </c>
      <c r="F996" s="628" t="n">
        <v>45621</v>
      </c>
    </row>
    <row r="997" hidden="1">
      <c r="A997" s="130" t="inlineStr">
        <is>
          <t>Пенза</t>
        </is>
      </c>
      <c r="B997" s="130" t="inlineStr">
        <is>
          <t>Роснефть</t>
        </is>
      </c>
      <c r="C997" s="637" t="inlineStr">
        <is>
          <t>RN_17</t>
        </is>
      </c>
      <c r="D997" s="637" t="inlineStr">
        <is>
          <t>PNZ_RN_0017</t>
        </is>
      </c>
      <c r="E997" s="630" t="inlineStr">
        <is>
          <t>Добавил</t>
        </is>
      </c>
      <c r="F997" s="628" t="n">
        <v>45621</v>
      </c>
    </row>
    <row r="998" hidden="1">
      <c r="A998" s="130" t="inlineStr">
        <is>
          <t>Пенза</t>
        </is>
      </c>
      <c r="B998" s="130" t="inlineStr">
        <is>
          <t>Роснефть</t>
        </is>
      </c>
      <c r="C998" s="637" t="inlineStr">
        <is>
          <t>RN_8</t>
        </is>
      </c>
      <c r="D998" s="637" t="inlineStr">
        <is>
          <t>PNZ_RN_0008</t>
        </is>
      </c>
      <c r="E998" s="630" t="inlineStr">
        <is>
          <t>Добавил</t>
        </is>
      </c>
      <c r="F998" s="628" t="n">
        <v>45621</v>
      </c>
    </row>
    <row r="999" hidden="1">
      <c r="A999" s="125" t="inlineStr">
        <is>
          <t>Азбука вкуса</t>
        </is>
      </c>
      <c r="B999" s="130" t="inlineStr">
        <is>
          <t>Роснефть</t>
        </is>
      </c>
      <c r="C999" s="637" t="inlineStr">
        <is>
          <t>174_Daily</t>
        </is>
      </c>
      <c r="D999" s="637" t="inlineStr">
        <is>
          <t>MSK_D_174</t>
        </is>
      </c>
      <c r="E999" s="630" t="inlineStr">
        <is>
          <t>Новый магазин</t>
        </is>
      </c>
      <c r="F999" s="628" t="n">
        <v>45621</v>
      </c>
    </row>
    <row r="1000" hidden="1">
      <c r="A1000" s="130" t="inlineStr">
        <is>
          <t>Краснодар</t>
        </is>
      </c>
      <c r="B1000" s="130" t="inlineStr">
        <is>
          <t>Газпромнефть</t>
        </is>
      </c>
      <c r="C1000" s="637" t="n">
        <v>15003</v>
      </c>
      <c r="D1000" s="637" t="inlineStr">
        <is>
          <t>GPN_15003</t>
        </is>
      </c>
      <c r="E1000" s="630" t="inlineStr">
        <is>
          <t>Реконструкция</t>
        </is>
      </c>
      <c r="F1000" s="628" t="n">
        <v>45621</v>
      </c>
    </row>
    <row r="1001" hidden="1">
      <c r="A1001" s="130" t="inlineStr">
        <is>
          <t>Краснодар</t>
        </is>
      </c>
      <c r="B1001" s="130" t="inlineStr">
        <is>
          <t>Роснефть</t>
        </is>
      </c>
      <c r="C1001" s="637" t="inlineStr">
        <is>
          <t>RN_120/1</t>
        </is>
      </c>
      <c r="D1001" s="637" t="inlineStr">
        <is>
          <t>KDR_RN_0120_1</t>
        </is>
      </c>
      <c r="E1001" s="630" t="inlineStr">
        <is>
          <t>Проблема с экраном</t>
        </is>
      </c>
      <c r="F1001" s="628" t="n">
        <v>45622</v>
      </c>
    </row>
    <row r="1002" hidden="1">
      <c r="A1002" s="416" t="inlineStr">
        <is>
          <t>Приволжье (Нижний Новгород, Казань)</t>
        </is>
      </c>
      <c r="B1002" s="130" t="inlineStr">
        <is>
          <t>Газпромнефть</t>
        </is>
      </c>
      <c r="C1002" s="637" t="n">
        <v>14252</v>
      </c>
      <c r="D1002" s="637" t="inlineStr">
        <is>
          <t>GPN_14252</t>
        </is>
      </c>
      <c r="E1002" s="630" t="inlineStr">
        <is>
          <t>Реконструкция</t>
        </is>
      </c>
      <c r="F1002" s="628" t="n">
        <v>45623</v>
      </c>
    </row>
    <row r="1003" hidden="1">
      <c r="A1003" s="416" t="inlineStr">
        <is>
          <t>Приволжье (Нижний Новгород, Казань)</t>
        </is>
      </c>
      <c r="B1003" s="130" t="inlineStr">
        <is>
          <t>Газпромнефть</t>
        </is>
      </c>
      <c r="C1003" s="637" t="n">
        <v>14253</v>
      </c>
      <c r="D1003" s="637" t="inlineStr">
        <is>
          <t>GPN_14253</t>
        </is>
      </c>
      <c r="E1003" s="630" t="inlineStr">
        <is>
          <t>Реконструкция</t>
        </is>
      </c>
      <c r="F1003" s="628" t="n">
        <v>45623</v>
      </c>
    </row>
    <row r="1004" hidden="1">
      <c r="A1004" s="130" t="inlineStr">
        <is>
          <t>Краснодар</t>
        </is>
      </c>
      <c r="B1004" s="130" t="inlineStr">
        <is>
          <t>Газпромнефть</t>
        </is>
      </c>
      <c r="C1004" s="637" t="n">
        <v>15004</v>
      </c>
      <c r="D1004" s="637" t="inlineStr">
        <is>
          <t>GPN_15004</t>
        </is>
      </c>
      <c r="E1004" s="630" t="inlineStr">
        <is>
          <t>Реконструкция</t>
        </is>
      </c>
      <c r="F1004" s="628" t="n">
        <v>45623</v>
      </c>
    </row>
    <row r="1005" hidden="1">
      <c r="A1005" s="130" t="inlineStr">
        <is>
          <t>Москва</t>
        </is>
      </c>
      <c r="B1005" s="130" t="inlineStr">
        <is>
          <t>Бизнес центр</t>
        </is>
      </c>
      <c r="C1005" s="637" t="inlineStr">
        <is>
          <t>Молодежная 48</t>
        </is>
      </c>
      <c r="D1005" s="637" t="inlineStr">
        <is>
          <t>MSK_BC_Molodezhnaya_48</t>
        </is>
      </c>
      <c r="E1005" s="630" t="inlineStr">
        <is>
          <t>Закрытие</t>
        </is>
      </c>
      <c r="F1005" s="628" t="n">
        <v>45623</v>
      </c>
    </row>
    <row r="1006" hidden="1">
      <c r="A1006" s="130" t="inlineStr">
        <is>
          <t>Пенза</t>
        </is>
      </c>
      <c r="B1006" s="130" t="inlineStr">
        <is>
          <t>Роснефть</t>
        </is>
      </c>
      <c r="C1006" s="637" t="inlineStr">
        <is>
          <t>RN_103</t>
        </is>
      </c>
      <c r="D1006" s="637" t="inlineStr">
        <is>
          <t>PNZ_RN_0103</t>
        </is>
      </c>
      <c r="E1006" s="630" t="inlineStr">
        <is>
          <t>Добавил</t>
        </is>
      </c>
      <c r="F1006" s="628" t="n">
        <v>45646</v>
      </c>
    </row>
    <row r="1007" hidden="1">
      <c r="A1007" s="130" t="inlineStr">
        <is>
          <t>Пенза</t>
        </is>
      </c>
      <c r="B1007" s="130" t="inlineStr">
        <is>
          <t>Роснефть</t>
        </is>
      </c>
      <c r="C1007" s="637" t="inlineStr">
        <is>
          <t>RN_108</t>
        </is>
      </c>
      <c r="D1007" s="637" t="inlineStr">
        <is>
          <t>PNZ_RN_0108</t>
        </is>
      </c>
      <c r="E1007" s="630" t="inlineStr">
        <is>
          <t>Добавил</t>
        </is>
      </c>
      <c r="F1007" s="628" t="n">
        <v>45646</v>
      </c>
    </row>
    <row r="1008" hidden="1">
      <c r="A1008" s="130" t="inlineStr">
        <is>
          <t>Москва</t>
        </is>
      </c>
      <c r="B1008" s="130" t="inlineStr">
        <is>
          <t>Роснефть</t>
        </is>
      </c>
      <c r="C1008" s="637" t="inlineStr">
        <is>
          <t>Взлетная</t>
        </is>
      </c>
      <c r="D1008" s="637" t="inlineStr">
        <is>
          <t>MSK_BP_Vzletnaya</t>
        </is>
      </c>
      <c r="E1008" s="630" t="inlineStr">
        <is>
          <t>Добавил</t>
        </is>
      </c>
      <c r="F1008" s="628" t="n">
        <v>45646</v>
      </c>
    </row>
    <row r="1009" hidden="1">
      <c r="A1009" s="130" t="inlineStr">
        <is>
          <t>Татарстан</t>
        </is>
      </c>
      <c r="B1009" s="130" t="inlineStr">
        <is>
          <t>ТАИФ</t>
        </is>
      </c>
      <c r="C1009" s="637" t="inlineStr">
        <is>
          <t>ТАИФ_136</t>
        </is>
      </c>
      <c r="D1009" s="637" t="inlineStr">
        <is>
          <t>KAZ_TAIF_0136</t>
        </is>
      </c>
      <c r="E1009" s="630" t="inlineStr">
        <is>
          <t>Добавил</t>
        </is>
      </c>
      <c r="F1009" s="628" t="n">
        <v>45646</v>
      </c>
    </row>
    <row r="1010" hidden="1">
      <c r="A1010" s="130" t="inlineStr">
        <is>
          <t>Москва</t>
        </is>
      </c>
      <c r="B1010" s="130" t="inlineStr">
        <is>
          <t>Азбука Вкуса</t>
        </is>
      </c>
      <c r="C1010" s="637" t="inlineStr">
        <is>
          <t>87_Маркет</t>
        </is>
      </c>
      <c r="D1010" s="637" t="inlineStr">
        <is>
          <t>MSK_M_087</t>
        </is>
      </c>
      <c r="E1010" s="630" t="inlineStr">
        <is>
          <t>5 эканов</t>
        </is>
      </c>
      <c r="F1010" s="628" t="n">
        <v>45646</v>
      </c>
    </row>
    <row r="1011" hidden="1">
      <c r="A1011" s="130" t="inlineStr">
        <is>
          <t>Москва</t>
        </is>
      </c>
      <c r="B1011" s="130" t="inlineStr">
        <is>
          <t>Азбука Вкуса</t>
        </is>
      </c>
      <c r="C1011" s="637" t="inlineStr">
        <is>
          <t>175_Daily</t>
        </is>
      </c>
      <c r="D1011" s="637" t="inlineStr">
        <is>
          <t>MSK_D_175</t>
        </is>
      </c>
      <c r="E1011" s="630" t="inlineStr">
        <is>
          <t>Новый магазин</t>
        </is>
      </c>
      <c r="F1011" s="628" t="n">
        <v>45646</v>
      </c>
    </row>
    <row r="1012" hidden="1">
      <c r="A1012" s="130" t="inlineStr">
        <is>
          <t>Москва</t>
        </is>
      </c>
      <c r="B1012" s="130" t="inlineStr">
        <is>
          <t>Роснефть</t>
        </is>
      </c>
      <c r="C1012" s="637" t="inlineStr">
        <is>
          <t>RN_104</t>
        </is>
      </c>
      <c r="D1012" s="637" t="inlineStr">
        <is>
          <t>MSK_RN_0104</t>
        </is>
      </c>
      <c r="E1012" s="630" t="inlineStr">
        <is>
          <t>Добавил</t>
        </is>
      </c>
      <c r="F1012" s="628" t="n">
        <v>45646</v>
      </c>
    </row>
    <row r="1013" hidden="1">
      <c r="A1013" s="416" t="inlineStr">
        <is>
          <t>Приволжье (Нижний Новгород, Казань)</t>
        </is>
      </c>
      <c r="B1013" s="130" t="inlineStr">
        <is>
          <t>Газпромнефть</t>
        </is>
      </c>
      <c r="C1013" s="637" t="n">
        <v>14216</v>
      </c>
      <c r="D1013" s="637" t="inlineStr">
        <is>
          <t>GPN_14216</t>
        </is>
      </c>
      <c r="E1013" s="630" t="inlineStr">
        <is>
          <t>Добавил</t>
        </is>
      </c>
      <c r="F1013" s="628" t="n">
        <v>45646</v>
      </c>
    </row>
    <row r="1014" hidden="1">
      <c r="A1014" s="416" t="inlineStr">
        <is>
          <t>Приволжье (Нижний Новгород, Казань)</t>
        </is>
      </c>
      <c r="B1014" s="130" t="inlineStr">
        <is>
          <t>Газпромнефть</t>
        </is>
      </c>
      <c r="C1014" s="637" t="n">
        <v>14243</v>
      </c>
      <c r="D1014" s="637" t="inlineStr">
        <is>
          <t>GPN_14243</t>
        </is>
      </c>
      <c r="E1014" s="630" t="inlineStr">
        <is>
          <t>Добавил</t>
        </is>
      </c>
      <c r="F1014" s="628" t="n">
        <v>45646</v>
      </c>
    </row>
    <row r="1015" hidden="1">
      <c r="A1015" s="130" t="inlineStr">
        <is>
          <t>Санкт-Петербург</t>
        </is>
      </c>
      <c r="B1015" s="130" t="inlineStr">
        <is>
          <t>Газпромнефть</t>
        </is>
      </c>
      <c r="C1015" s="637" t="n">
        <v>10018</v>
      </c>
      <c r="D1015" s="637" t="inlineStr">
        <is>
          <t>GPN_10018</t>
        </is>
      </c>
      <c r="E1015" s="630" t="inlineStr">
        <is>
          <t>Реконструкция</t>
        </is>
      </c>
      <c r="F1015" s="628" t="n">
        <v>45646</v>
      </c>
    </row>
    <row r="1016" hidden="1">
      <c r="A1016" s="130" t="inlineStr">
        <is>
          <t>Санкт-Петербург</t>
        </is>
      </c>
      <c r="B1016" s="130" t="inlineStr">
        <is>
          <t>Газпромнефть</t>
        </is>
      </c>
      <c r="C1016" s="637" t="n">
        <v>10104</v>
      </c>
      <c r="D1016" s="637" t="inlineStr">
        <is>
          <t>GPN_10104</t>
        </is>
      </c>
      <c r="E1016" s="630" t="inlineStr">
        <is>
          <t>Реконструкция</t>
        </is>
      </c>
      <c r="F1016" s="628" t="n">
        <v>45646</v>
      </c>
    </row>
    <row r="1017" hidden="1">
      <c r="A1017" s="130" t="inlineStr">
        <is>
          <t>Ярославль</t>
        </is>
      </c>
      <c r="B1017" s="130" t="inlineStr">
        <is>
          <t>Газпромнефть</t>
        </is>
      </c>
      <c r="C1017" s="637" t="n">
        <v>13102</v>
      </c>
      <c r="D1017" s="637" t="inlineStr">
        <is>
          <t>GPN_13102</t>
        </is>
      </c>
      <c r="E1017" s="630" t="inlineStr">
        <is>
          <t>Реконструкция</t>
        </is>
      </c>
      <c r="F1017" s="628" t="n">
        <v>45646</v>
      </c>
    </row>
    <row r="1018" hidden="1">
      <c r="A1018" s="130" t="inlineStr">
        <is>
          <t>Москва</t>
        </is>
      </c>
      <c r="B1018" s="130" t="inlineStr">
        <is>
          <t>Газпромнефть</t>
        </is>
      </c>
      <c r="C1018" s="637" t="n">
        <v>12229</v>
      </c>
      <c r="D1018" s="637" t="inlineStr">
        <is>
          <t>GPN_12229</t>
        </is>
      </c>
      <c r="E1018" s="630" t="inlineStr">
        <is>
          <t>Реконструкция</t>
        </is>
      </c>
      <c r="F1018" s="628" t="n">
        <v>45646</v>
      </c>
    </row>
    <row r="1019" hidden="1">
      <c r="A1019" s="130" t="inlineStr">
        <is>
          <t>Ярославль</t>
        </is>
      </c>
      <c r="B1019" s="130" t="inlineStr">
        <is>
          <t>Газпромнефть</t>
        </is>
      </c>
      <c r="C1019" s="637" t="n">
        <v>13158</v>
      </c>
      <c r="D1019" s="637" t="inlineStr">
        <is>
          <t>GPN_13158</t>
        </is>
      </c>
      <c r="E1019" s="630" t="inlineStr">
        <is>
          <t>Реконструкция</t>
        </is>
      </c>
      <c r="F1019" s="628" t="n">
        <v>45646</v>
      </c>
    </row>
    <row r="1020" hidden="1">
      <c r="A1020" s="130" t="inlineStr">
        <is>
          <t>Омск</t>
        </is>
      </c>
      <c r="B1020" s="130" t="inlineStr">
        <is>
          <t>Газпромнефть</t>
        </is>
      </c>
      <c r="C1020" s="637" t="n">
        <v>31020</v>
      </c>
      <c r="D1020" s="637" t="inlineStr">
        <is>
          <t>GPN_31020</t>
        </is>
      </c>
      <c r="E1020" s="630" t="inlineStr">
        <is>
          <t>Реконструкция</t>
        </is>
      </c>
      <c r="F1020" s="628" t="n">
        <v>45646</v>
      </c>
    </row>
    <row r="1021" hidden="1">
      <c r="A1021" s="416" t="inlineStr">
        <is>
          <t>Алтайский край</t>
        </is>
      </c>
      <c r="B1021" s="130" t="inlineStr">
        <is>
          <t>Газпромнефть</t>
        </is>
      </c>
      <c r="C1021" s="637" t="n">
        <v>32218</v>
      </c>
      <c r="D1021" s="637" t="inlineStr">
        <is>
          <t>GPN_32218</t>
        </is>
      </c>
      <c r="E1021" s="630" t="inlineStr">
        <is>
          <t>Реконструкция</t>
        </is>
      </c>
      <c r="F1021" s="628" t="n">
        <v>45646</v>
      </c>
    </row>
    <row r="1022" hidden="1">
      <c r="A1022" s="416" t="inlineStr">
        <is>
          <t>Алтайский край</t>
        </is>
      </c>
      <c r="B1022" s="130" t="inlineStr">
        <is>
          <t>Газпромнефть</t>
        </is>
      </c>
      <c r="C1022" s="637" t="n">
        <v>32219</v>
      </c>
      <c r="D1022" s="637" t="inlineStr">
        <is>
          <t>GPN_32219</t>
        </is>
      </c>
      <c r="E1022" s="630" t="inlineStr">
        <is>
          <t>Реконструкция</t>
        </is>
      </c>
      <c r="F1022" s="628" t="n">
        <v>45646</v>
      </c>
    </row>
    <row r="1023" hidden="1">
      <c r="A1023" s="416" t="inlineStr">
        <is>
          <t>Алтайский край</t>
        </is>
      </c>
      <c r="B1023" s="130" t="inlineStr">
        <is>
          <t>Газпромнефть</t>
        </is>
      </c>
      <c r="C1023" s="637" t="n">
        <v>32220</v>
      </c>
      <c r="D1023" s="637" t="inlineStr">
        <is>
          <t>GPN_32220</t>
        </is>
      </c>
      <c r="E1023" s="630" t="inlineStr">
        <is>
          <t>Реконструкция</t>
        </is>
      </c>
      <c r="F1023" s="628" t="n">
        <v>45646</v>
      </c>
    </row>
    <row r="1024" hidden="1">
      <c r="A1024" s="130" t="inlineStr">
        <is>
          <t>Алтайский край</t>
        </is>
      </c>
      <c r="B1024" s="130" t="inlineStr">
        <is>
          <t>Газпромнефть</t>
        </is>
      </c>
      <c r="C1024" s="637" t="n">
        <v>33002</v>
      </c>
      <c r="D1024" s="637" t="inlineStr">
        <is>
          <t>GPN_33002</t>
        </is>
      </c>
      <c r="E1024" s="630" t="inlineStr">
        <is>
          <t>Реконструкция</t>
        </is>
      </c>
      <c r="F1024" s="628" t="n">
        <v>45646</v>
      </c>
    </row>
    <row r="1025" hidden="1">
      <c r="A1025" s="130" t="inlineStr">
        <is>
          <t>Санкт-Петербург</t>
        </is>
      </c>
      <c r="B1025" s="130" t="inlineStr">
        <is>
          <t>Газпромнефть</t>
        </is>
      </c>
      <c r="C1025" s="637" t="n">
        <v>10017</v>
      </c>
      <c r="D1025" s="441" t="inlineStr">
        <is>
          <t>GPN_10017</t>
        </is>
      </c>
      <c r="E1025" s="630" t="inlineStr">
        <is>
          <t>Вышла с реконструкции</t>
        </is>
      </c>
      <c r="F1025" s="628" t="n">
        <v>45672</v>
      </c>
    </row>
    <row r="1026" hidden="1">
      <c r="A1026" s="130" t="inlineStr">
        <is>
          <t>Санкт-Петербург</t>
        </is>
      </c>
      <c r="B1026" s="130" t="inlineStr">
        <is>
          <t>Газпромнефть</t>
        </is>
      </c>
      <c r="C1026" s="637" t="n">
        <v>10018</v>
      </c>
      <c r="D1026" s="441" t="inlineStr">
        <is>
          <t>GPN_10018</t>
        </is>
      </c>
      <c r="E1026" s="630" t="inlineStr">
        <is>
          <t>Вышла с реконструкции</t>
        </is>
      </c>
      <c r="F1026" s="628" t="n">
        <v>45672</v>
      </c>
    </row>
    <row r="1027" hidden="1">
      <c r="A1027" s="130" t="inlineStr">
        <is>
          <t>Санкт-Петербург</t>
        </is>
      </c>
      <c r="B1027" s="130" t="inlineStr">
        <is>
          <t>Газпромнефть</t>
        </is>
      </c>
      <c r="C1027" s="637" t="n">
        <v>10051</v>
      </c>
      <c r="D1027" s="441" t="inlineStr">
        <is>
          <t>GPN_10051</t>
        </is>
      </c>
      <c r="E1027" s="630" t="inlineStr">
        <is>
          <t>Вышла с реконструкции</t>
        </is>
      </c>
      <c r="F1027" s="628" t="n">
        <v>45672</v>
      </c>
    </row>
    <row r="1028" hidden="1">
      <c r="A1028" s="130" t="inlineStr">
        <is>
          <t>Санкт-Петербург</t>
        </is>
      </c>
      <c r="B1028" s="130" t="inlineStr">
        <is>
          <t>Газпромнефть</t>
        </is>
      </c>
      <c r="C1028" s="637" t="n">
        <v>10104</v>
      </c>
      <c r="D1028" s="441" t="inlineStr">
        <is>
          <t>GPN_10104</t>
        </is>
      </c>
      <c r="E1028" s="630" t="inlineStr">
        <is>
          <t>Вышла с реконструкции</t>
        </is>
      </c>
      <c r="F1028" s="628" t="n">
        <v>45672</v>
      </c>
    </row>
    <row r="1029" hidden="1">
      <c r="A1029" s="130" t="inlineStr">
        <is>
          <t>Санкт-Петербург</t>
        </is>
      </c>
      <c r="B1029" s="130" t="inlineStr">
        <is>
          <t>Газпромнефть</t>
        </is>
      </c>
      <c r="C1029" s="637" t="n">
        <v>10117</v>
      </c>
      <c r="D1029" s="441" t="inlineStr">
        <is>
          <t>GPN_10117</t>
        </is>
      </c>
      <c r="E1029" s="630" t="inlineStr">
        <is>
          <t>Вышла с реконструкции</t>
        </is>
      </c>
      <c r="F1029" s="628" t="n">
        <v>45672</v>
      </c>
    </row>
    <row r="1030" hidden="1">
      <c r="A1030" s="130" t="inlineStr">
        <is>
          <t>Москва</t>
        </is>
      </c>
      <c r="B1030" s="130" t="inlineStr">
        <is>
          <t>Газпромнефть</t>
        </is>
      </c>
      <c r="C1030" s="637" t="n">
        <v>11137</v>
      </c>
      <c r="D1030" s="441" t="inlineStr">
        <is>
          <t>GPN_11137</t>
        </is>
      </c>
      <c r="E1030" s="630" t="inlineStr">
        <is>
          <t>Вышла с реконструкции</t>
        </is>
      </c>
      <c r="F1030" s="628" t="n">
        <v>45672</v>
      </c>
    </row>
    <row r="1031" hidden="1">
      <c r="A1031" s="130" t="inlineStr">
        <is>
          <t>Москва</t>
        </is>
      </c>
      <c r="B1031" s="130" t="inlineStr">
        <is>
          <t>Газпромнефть</t>
        </is>
      </c>
      <c r="C1031" s="637" t="n">
        <v>11146</v>
      </c>
      <c r="D1031" s="441" t="inlineStr">
        <is>
          <t>GPN_11146</t>
        </is>
      </c>
      <c r="E1031" s="630" t="inlineStr">
        <is>
          <t>Вышла с реконструкции</t>
        </is>
      </c>
      <c r="F1031" s="628" t="n">
        <v>45672</v>
      </c>
    </row>
    <row r="1032" hidden="1">
      <c r="A1032" s="130" t="inlineStr">
        <is>
          <t>Москва</t>
        </is>
      </c>
      <c r="B1032" s="130" t="inlineStr">
        <is>
          <t>Газпромнефть</t>
        </is>
      </c>
      <c r="C1032" s="637" t="n">
        <v>11161</v>
      </c>
      <c r="D1032" s="441" t="inlineStr">
        <is>
          <t>GPN_11161</t>
        </is>
      </c>
      <c r="E1032" s="630" t="inlineStr">
        <is>
          <t>Вышла с реконструкции</t>
        </is>
      </c>
      <c r="F1032" s="628" t="n">
        <v>45672</v>
      </c>
    </row>
    <row r="1033" hidden="1">
      <c r="A1033" s="130" t="inlineStr">
        <is>
          <t>Москва</t>
        </is>
      </c>
      <c r="B1033" s="130" t="inlineStr">
        <is>
          <t>Газпромнефть</t>
        </is>
      </c>
      <c r="C1033" s="637" t="n">
        <v>12183</v>
      </c>
      <c r="D1033" s="441" t="inlineStr">
        <is>
          <t>GPN_12183</t>
        </is>
      </c>
      <c r="E1033" s="630" t="inlineStr">
        <is>
          <t>Вышла с реконструкции</t>
        </is>
      </c>
      <c r="F1033" s="628" t="n">
        <v>45672</v>
      </c>
    </row>
    <row r="1034" hidden="1">
      <c r="A1034" s="130" t="inlineStr">
        <is>
          <t>Ярославль</t>
        </is>
      </c>
      <c r="B1034" s="130" t="inlineStr">
        <is>
          <t>Газпромнефть</t>
        </is>
      </c>
      <c r="C1034" s="637" t="n">
        <v>13102</v>
      </c>
      <c r="D1034" s="441" t="inlineStr">
        <is>
          <t>GPN_13102</t>
        </is>
      </c>
      <c r="E1034" s="630" t="inlineStr">
        <is>
          <t>Вышла с реконструкции</t>
        </is>
      </c>
      <c r="F1034" s="628" t="n">
        <v>45672</v>
      </c>
    </row>
    <row r="1035" hidden="1">
      <c r="A1035" s="130" t="inlineStr">
        <is>
          <t>Приволжье (Нижний Новгород, Казань)</t>
        </is>
      </c>
      <c r="B1035" s="130" t="inlineStr">
        <is>
          <t>Газпромнефть</t>
        </is>
      </c>
      <c r="C1035" s="637" t="n">
        <v>14252</v>
      </c>
      <c r="D1035" s="441" t="inlineStr">
        <is>
          <t>GPN_14252</t>
        </is>
      </c>
      <c r="E1035" s="630" t="inlineStr">
        <is>
          <t>Вышла с реконструкции</t>
        </is>
      </c>
      <c r="F1035" s="628" t="n">
        <v>45672</v>
      </c>
    </row>
    <row r="1036" hidden="1">
      <c r="A1036" s="130" t="inlineStr">
        <is>
          <t>Приволжье (Нижний Новгород, Казань)</t>
        </is>
      </c>
      <c r="B1036" s="130" t="inlineStr">
        <is>
          <t>Газпромнефть</t>
        </is>
      </c>
      <c r="C1036" s="637" t="n">
        <v>14253</v>
      </c>
      <c r="D1036" s="441" t="inlineStr">
        <is>
          <t>GPN_14253</t>
        </is>
      </c>
      <c r="E1036" s="630" t="inlineStr">
        <is>
          <t>Вышла с реконструкции</t>
        </is>
      </c>
      <c r="F1036" s="628" t="n">
        <v>45672</v>
      </c>
    </row>
    <row r="1037" hidden="1">
      <c r="A1037" s="130" t="inlineStr">
        <is>
          <t>Краснодар</t>
        </is>
      </c>
      <c r="B1037" s="130" t="inlineStr">
        <is>
          <t>Газпромнефть</t>
        </is>
      </c>
      <c r="C1037" s="637" t="n">
        <v>15003</v>
      </c>
      <c r="D1037" s="441" t="inlineStr">
        <is>
          <t>GPN_15003</t>
        </is>
      </c>
      <c r="E1037" s="630" t="inlineStr">
        <is>
          <t>Вышла с реконструкции</t>
        </is>
      </c>
      <c r="F1037" s="628" t="n">
        <v>45672</v>
      </c>
    </row>
    <row r="1038" hidden="1">
      <c r="A1038" s="130" t="inlineStr">
        <is>
          <t>Краснодар</t>
        </is>
      </c>
      <c r="B1038" s="130" t="inlineStr">
        <is>
          <t>Газпромнефть</t>
        </is>
      </c>
      <c r="C1038" s="637" t="n">
        <v>15004</v>
      </c>
      <c r="D1038" s="441" t="inlineStr">
        <is>
          <t>GPN_15004</t>
        </is>
      </c>
      <c r="E1038" s="630" t="inlineStr">
        <is>
          <t>Вышла с реконструкции</t>
        </is>
      </c>
      <c r="F1038" s="628" t="n">
        <v>45672</v>
      </c>
    </row>
    <row r="1039" hidden="1">
      <c r="A1039" s="130" t="inlineStr">
        <is>
          <t>Москва</t>
        </is>
      </c>
      <c r="B1039" s="130" t="inlineStr">
        <is>
          <t>Газпромнефть</t>
        </is>
      </c>
      <c r="C1039" s="637" t="n">
        <v>12229</v>
      </c>
      <c r="D1039" s="441" t="inlineStr">
        <is>
          <t>GPN_12229</t>
        </is>
      </c>
      <c r="E1039" s="630" t="inlineStr">
        <is>
          <t>Вышла с реконструкции</t>
        </is>
      </c>
      <c r="F1039" s="628" t="n">
        <v>45672</v>
      </c>
    </row>
    <row r="1040" hidden="1">
      <c r="A1040" s="130" t="inlineStr">
        <is>
          <t>Ярославль</t>
        </is>
      </c>
      <c r="B1040" s="130" t="inlineStr">
        <is>
          <t>Газпромнефть</t>
        </is>
      </c>
      <c r="C1040" s="637" t="n">
        <v>13158</v>
      </c>
      <c r="D1040" s="441" t="inlineStr">
        <is>
          <t>GPN_13158</t>
        </is>
      </c>
      <c r="E1040" s="630" t="inlineStr">
        <is>
          <t>Вышла с реконструкции</t>
        </is>
      </c>
      <c r="F1040" s="628" t="n">
        <v>45672</v>
      </c>
    </row>
    <row r="1041" hidden="1">
      <c r="A1041" s="130" t="inlineStr">
        <is>
          <t>Москва</t>
        </is>
      </c>
      <c r="B1041" s="130" t="inlineStr">
        <is>
          <t>Газпромнефть</t>
        </is>
      </c>
      <c r="C1041" s="637" t="n">
        <v>11002</v>
      </c>
      <c r="D1041" s="441" t="inlineStr">
        <is>
          <t>GPN_11002</t>
        </is>
      </c>
      <c r="E1041" s="630" t="inlineStr">
        <is>
          <t>Вышла с реконструкции</t>
        </is>
      </c>
      <c r="F1041" s="628" t="n">
        <v>45672</v>
      </c>
    </row>
    <row r="1042" hidden="1">
      <c r="A1042" s="130" t="inlineStr">
        <is>
          <t>Ярославль</t>
        </is>
      </c>
      <c r="B1042" s="130" t="inlineStr">
        <is>
          <t>Газпромнефть</t>
        </is>
      </c>
      <c r="C1042" s="637" t="n">
        <v>13133</v>
      </c>
      <c r="D1042" s="441" t="inlineStr">
        <is>
          <t>GPN_13133</t>
        </is>
      </c>
      <c r="E1042" s="630" t="inlineStr">
        <is>
          <t>Вышла с реконструкции</t>
        </is>
      </c>
      <c r="F1042" s="628" t="n">
        <v>45672</v>
      </c>
    </row>
    <row r="1043" hidden="1">
      <c r="A1043" s="130" t="inlineStr">
        <is>
          <t>Приволжье (Нижний Новгород, Казань)</t>
        </is>
      </c>
      <c r="B1043" s="130" t="inlineStr">
        <is>
          <t>Газпромнефть</t>
        </is>
      </c>
      <c r="C1043" s="637" t="n">
        <v>14208</v>
      </c>
      <c r="D1043" s="441" t="inlineStr">
        <is>
          <t>GPN_14208</t>
        </is>
      </c>
      <c r="E1043" s="630" t="inlineStr">
        <is>
          <t>Вышла с реконструкции</t>
        </is>
      </c>
      <c r="F1043" s="628" t="n">
        <v>45672</v>
      </c>
    </row>
    <row r="1044" hidden="1">
      <c r="A1044" s="130" t="inlineStr">
        <is>
          <t>Приволжье (Нижний Новгород, Казань)</t>
        </is>
      </c>
      <c r="B1044" s="130" t="inlineStr">
        <is>
          <t>Газпромнефть</t>
        </is>
      </c>
      <c r="C1044" s="637" t="n">
        <v>14209</v>
      </c>
      <c r="D1044" s="441" t="inlineStr">
        <is>
          <t>GPN_14209</t>
        </is>
      </c>
      <c r="E1044" s="630" t="inlineStr">
        <is>
          <t>Вышла с реконструкции</t>
        </is>
      </c>
      <c r="F1044" s="628" t="n">
        <v>45672</v>
      </c>
    </row>
    <row r="1045" hidden="1">
      <c r="A1045" s="130" t="inlineStr">
        <is>
          <t>Омск</t>
        </is>
      </c>
      <c r="B1045" s="130" t="inlineStr">
        <is>
          <t>Газпромнефть</t>
        </is>
      </c>
      <c r="C1045" s="637" t="n">
        <v>31010</v>
      </c>
      <c r="D1045" s="441" t="inlineStr">
        <is>
          <t>GPN_31010</t>
        </is>
      </c>
      <c r="E1045" s="630" t="inlineStr">
        <is>
          <t>Вышла с реконструкции</t>
        </is>
      </c>
      <c r="F1045" s="628" t="n">
        <v>45672</v>
      </c>
    </row>
    <row r="1046" hidden="1">
      <c r="A1046" s="130" t="inlineStr">
        <is>
          <t>Омск</t>
        </is>
      </c>
      <c r="B1046" s="130" t="inlineStr">
        <is>
          <t>Газпромнефть</t>
        </is>
      </c>
      <c r="C1046" s="637" t="n">
        <v>31032</v>
      </c>
      <c r="D1046" s="441" t="inlineStr">
        <is>
          <t>GPN_31032</t>
        </is>
      </c>
      <c r="E1046" s="630" t="inlineStr">
        <is>
          <t>Вышла с реконструкции</t>
        </is>
      </c>
      <c r="F1046" s="628" t="n">
        <v>45672</v>
      </c>
    </row>
    <row r="1047" hidden="1">
      <c r="A1047" s="130" t="inlineStr">
        <is>
          <t xml:space="preserve">Тюмень </t>
        </is>
      </c>
      <c r="B1047" s="130" t="inlineStr">
        <is>
          <t>Газпромнефть</t>
        </is>
      </c>
      <c r="C1047" s="637" t="n">
        <v>21400</v>
      </c>
      <c r="D1047" s="441" t="inlineStr">
        <is>
          <t>GPN_21400</t>
        </is>
      </c>
      <c r="E1047" s="630" t="inlineStr">
        <is>
          <t>Реконструкция</t>
        </is>
      </c>
      <c r="F1047" s="628" t="n">
        <v>45672</v>
      </c>
    </row>
    <row r="1048" hidden="1">
      <c r="A1048" s="130" t="inlineStr">
        <is>
          <t>Москва</t>
        </is>
      </c>
      <c r="B1048" s="130" t="inlineStr">
        <is>
          <t>Газпромнефть</t>
        </is>
      </c>
      <c r="C1048" s="637" t="n">
        <v>12376</v>
      </c>
      <c r="D1048" s="637" t="inlineStr">
        <is>
          <t>GPN_12376</t>
        </is>
      </c>
      <c r="E1048" s="630" t="inlineStr">
        <is>
          <t>Новая азк</t>
        </is>
      </c>
      <c r="F1048" s="628" t="n">
        <v>45672</v>
      </c>
    </row>
    <row r="1049" hidden="1">
      <c r="A1049" s="130" t="inlineStr">
        <is>
          <t>Москва</t>
        </is>
      </c>
      <c r="B1049" s="130" t="inlineStr">
        <is>
          <t>Газпромнефть</t>
        </is>
      </c>
      <c r="C1049" s="637" t="n">
        <v>12377</v>
      </c>
      <c r="D1049" s="637" t="inlineStr">
        <is>
          <t>GPN_12377</t>
        </is>
      </c>
      <c r="E1049" s="630" t="inlineStr">
        <is>
          <t>Новая азк</t>
        </is>
      </c>
      <c r="F1049" s="628" t="n">
        <v>45672</v>
      </c>
    </row>
    <row r="1050" hidden="1">
      <c r="A1050" s="130" t="inlineStr">
        <is>
          <t>Москва</t>
        </is>
      </c>
      <c r="B1050" s="130" t="inlineStr">
        <is>
          <t>Газпромнефть</t>
        </is>
      </c>
      <c r="C1050" s="637" t="n">
        <v>12380</v>
      </c>
      <c r="D1050" s="637" t="inlineStr">
        <is>
          <t>GPN_12380</t>
        </is>
      </c>
      <c r="E1050" s="630" t="inlineStr">
        <is>
          <t>Новая азк</t>
        </is>
      </c>
      <c r="F1050" s="628" t="n">
        <v>45672</v>
      </c>
    </row>
    <row r="1051" hidden="1">
      <c r="A1051" s="130" t="inlineStr">
        <is>
          <t>Москва</t>
        </is>
      </c>
      <c r="B1051" s="130" t="inlineStr">
        <is>
          <t>Газпромнефть</t>
        </is>
      </c>
      <c r="C1051" s="637" t="n">
        <v>12622</v>
      </c>
      <c r="D1051" s="637" t="inlineStr">
        <is>
          <t>GPN_12622</t>
        </is>
      </c>
      <c r="E1051" s="630" t="inlineStr">
        <is>
          <t>Новая азк</t>
        </is>
      </c>
      <c r="F1051" s="628" t="n">
        <v>45672</v>
      </c>
    </row>
    <row r="1052" hidden="1">
      <c r="A1052" s="130" t="inlineStr">
        <is>
          <t>Екатеринбург</t>
        </is>
      </c>
      <c r="B1052" s="130" t="inlineStr">
        <is>
          <t>Газпромнефть</t>
        </is>
      </c>
      <c r="C1052" s="637" t="n">
        <v>25079</v>
      </c>
      <c r="D1052" s="637" t="inlineStr">
        <is>
          <t>GPN_25079</t>
        </is>
      </c>
      <c r="E1052" s="630" t="inlineStr">
        <is>
          <t>Новая азк</t>
        </is>
      </c>
      <c r="F1052" s="628" t="n">
        <v>45672</v>
      </c>
    </row>
    <row r="1053" hidden="1">
      <c r="A1053" s="130" t="inlineStr">
        <is>
          <t>Екатеринбург</t>
        </is>
      </c>
      <c r="B1053" s="130" t="inlineStr">
        <is>
          <t>Газпромнефть</t>
        </is>
      </c>
      <c r="C1053" s="637" t="n">
        <v>25125</v>
      </c>
      <c r="D1053" s="637" t="inlineStr">
        <is>
          <t>GPN_25125</t>
        </is>
      </c>
      <c r="E1053" s="630" t="inlineStr">
        <is>
          <t>Новая азк</t>
        </is>
      </c>
      <c r="F1053" s="628" t="n">
        <v>45672</v>
      </c>
    </row>
    <row r="1054" hidden="1">
      <c r="A1054" s="130" t="inlineStr">
        <is>
          <t>Омск</t>
        </is>
      </c>
      <c r="B1054" s="130" t="inlineStr">
        <is>
          <t>Газпромнефть</t>
        </is>
      </c>
      <c r="C1054" s="637" t="n">
        <v>31099</v>
      </c>
      <c r="D1054" s="637" t="inlineStr">
        <is>
          <t>GPN_31099</t>
        </is>
      </c>
      <c r="E1054" s="630" t="inlineStr">
        <is>
          <t>Новая азк</t>
        </is>
      </c>
      <c r="F1054" s="628" t="n">
        <v>45672</v>
      </c>
    </row>
    <row r="1055" hidden="1">
      <c r="A1055" s="130" t="inlineStr">
        <is>
          <t>Санкт-Петербург</t>
        </is>
      </c>
      <c r="B1055" s="130" t="inlineStr">
        <is>
          <t>Бизнес центр</t>
        </is>
      </c>
      <c r="C1055" s="637" t="inlineStr">
        <is>
          <t>Толстой сквер</t>
        </is>
      </c>
      <c r="D1055" s="637" t="inlineStr">
        <is>
          <t>SPB_BC_Tolstoy_skver</t>
        </is>
      </c>
      <c r="E1055" s="630" t="inlineStr">
        <is>
          <t>Реконструкция</t>
        </is>
      </c>
      <c r="F1055" s="628" t="n">
        <v>45672</v>
      </c>
    </row>
    <row r="1056" hidden="1">
      <c r="A1056" s="130" t="inlineStr">
        <is>
          <t>Томск</t>
        </is>
      </c>
      <c r="B1056" s="130" t="inlineStr">
        <is>
          <t>Роснефть</t>
        </is>
      </c>
      <c r="C1056" s="637" t="inlineStr">
        <is>
          <t>RN_5</t>
        </is>
      </c>
      <c r="D1056" s="637" t="inlineStr">
        <is>
          <t>TMS_RN_005</t>
        </is>
      </c>
      <c r="E1056" s="630" t="inlineStr">
        <is>
          <t>Вышла с реконструкции</t>
        </is>
      </c>
      <c r="F1056" s="628" t="n">
        <v>45677</v>
      </c>
    </row>
    <row r="1057" hidden="1">
      <c r="A1057" s="130" t="inlineStr">
        <is>
          <t>Томск</t>
        </is>
      </c>
      <c r="B1057" s="130" t="inlineStr">
        <is>
          <t>Роснефть</t>
        </is>
      </c>
      <c r="C1057" s="637" t="inlineStr">
        <is>
          <t>RN_60</t>
        </is>
      </c>
      <c r="D1057" s="637" t="inlineStr">
        <is>
          <t>TMS_RN_060</t>
        </is>
      </c>
      <c r="E1057" s="630" t="inlineStr">
        <is>
          <t>Вышла с реконструкции</t>
        </is>
      </c>
      <c r="F1057" s="628" t="n">
        <v>45677</v>
      </c>
    </row>
    <row r="1058" hidden="1">
      <c r="A1058" s="130" t="inlineStr">
        <is>
          <t>Омск</t>
        </is>
      </c>
      <c r="B1058" s="130" t="inlineStr">
        <is>
          <t>Газпромнефть</t>
        </is>
      </c>
      <c r="C1058" s="637" t="n">
        <v>31026</v>
      </c>
      <c r="D1058" s="637" t="inlineStr">
        <is>
          <t>GPN_31026</t>
        </is>
      </c>
      <c r="E1058" s="630" t="inlineStr">
        <is>
          <t>Вышла с реконструкции</t>
        </is>
      </c>
      <c r="F1058" s="628" t="n">
        <v>45677</v>
      </c>
    </row>
    <row r="1059" hidden="1">
      <c r="A1059" s="130" t="inlineStr">
        <is>
          <t>Санкт-Петербург</t>
        </is>
      </c>
      <c r="B1059" s="130" t="inlineStr">
        <is>
          <t>АЭРО</t>
        </is>
      </c>
      <c r="C1059" s="637" t="inlineStr">
        <is>
          <t>AERO_324</t>
        </is>
      </c>
      <c r="D1059" s="637" t="inlineStr">
        <is>
          <t>AERO_324</t>
        </is>
      </c>
      <c r="E1059" s="630" t="inlineStr">
        <is>
          <t>Закрытие</t>
        </is>
      </c>
      <c r="F1059" s="628" t="n">
        <v>45677</v>
      </c>
    </row>
    <row r="1060" hidden="1">
      <c r="A1060" s="416" t="inlineStr">
        <is>
          <t>Алтайский край</t>
        </is>
      </c>
      <c r="B1060" s="130" t="inlineStr">
        <is>
          <t>Газпромнефть</t>
        </is>
      </c>
      <c r="C1060" s="637" t="n">
        <v>33002</v>
      </c>
      <c r="D1060" s="637" t="inlineStr">
        <is>
          <t>GPN_33002</t>
        </is>
      </c>
      <c r="E1060" s="630" t="inlineStr">
        <is>
          <t>Вышла с реконструкции</t>
        </is>
      </c>
      <c r="F1060" s="628" t="n">
        <v>45685</v>
      </c>
    </row>
    <row r="1061">
      <c r="A1061" s="130" t="inlineStr">
        <is>
          <t>Москва</t>
        </is>
      </c>
      <c r="B1061" s="130" t="inlineStr">
        <is>
          <t>World Class</t>
        </is>
      </c>
      <c r="C1061" s="637" t="inlineStr">
        <is>
          <t>World Class Лодочная</t>
        </is>
      </c>
      <c r="D1061" s="637" t="inlineStr">
        <is>
          <t>MSC_WCLT25_TV01</t>
        </is>
      </c>
      <c r="E1061" s="630" t="inlineStr">
        <is>
          <t>Закрытие</t>
        </is>
      </c>
      <c r="F1061" s="628" t="n">
        <v>45698</v>
      </c>
    </row>
    <row r="1062">
      <c r="A1062" s="130" t="inlineStr">
        <is>
          <t>Москва</t>
        </is>
      </c>
      <c r="B1062" s="130" t="inlineStr">
        <is>
          <t>World Class</t>
        </is>
      </c>
      <c r="C1062" s="637" t="inlineStr">
        <is>
          <t>World Class Полежаевская</t>
        </is>
      </c>
      <c r="D1062" s="637" t="inlineStr">
        <is>
          <t>MSC_WCLT27_TV01</t>
        </is>
      </c>
      <c r="E1062" s="630" t="inlineStr">
        <is>
          <t>Закрытие</t>
        </is>
      </c>
      <c r="F1062" s="628" t="n">
        <v>45698</v>
      </c>
    </row>
    <row r="1063">
      <c r="A1063" s="130" t="inlineStr">
        <is>
          <t>Москва</t>
        </is>
      </c>
      <c r="B1063" s="130" t="inlineStr">
        <is>
          <t>Бизнес центр</t>
        </is>
      </c>
      <c r="C1063" s="637" t="inlineStr">
        <is>
          <t>Молодежная 48</t>
        </is>
      </c>
      <c r="D1063" s="637" t="inlineStr">
        <is>
          <t>MSK_BC_Molodezhnaya_48</t>
        </is>
      </c>
      <c r="E1063" s="630" t="inlineStr">
        <is>
          <t>Вышла с реконструкции</t>
        </is>
      </c>
      <c r="F1063" s="628" t="n">
        <v>45698</v>
      </c>
    </row>
    <row r="1064">
      <c r="A1064" s="125" t="inlineStr">
        <is>
          <t>Хакасия</t>
        </is>
      </c>
      <c r="B1064" s="130" t="inlineStr">
        <is>
          <t>Роснефть</t>
        </is>
      </c>
      <c r="C1064" s="637" t="n">
        <v>112</v>
      </c>
      <c r="D1064" s="637" t="inlineStr">
        <is>
          <t>HKS_RN_112</t>
        </is>
      </c>
      <c r="E1064" s="630" t="inlineStr">
        <is>
          <t>Вышла с реконструкции</t>
        </is>
      </c>
      <c r="F1064" s="628" t="n">
        <v>45698</v>
      </c>
    </row>
    <row r="1065">
      <c r="A1065" s="130" t="inlineStr">
        <is>
          <t>Москва</t>
        </is>
      </c>
      <c r="B1065" s="87" t="inlineStr">
        <is>
          <t>Нефтьмагистраль</t>
        </is>
      </c>
      <c r="C1065" s="637" t="inlineStr">
        <is>
          <t>O68</t>
        </is>
      </c>
      <c r="D1065" s="637" t="inlineStr">
        <is>
          <t>MSK_NM_O_0068</t>
        </is>
      </c>
      <c r="E1065" s="630" t="inlineStr">
        <is>
          <t>Новая АЗС</t>
        </is>
      </c>
      <c r="F1065" s="628" t="n">
        <v>45698</v>
      </c>
    </row>
  </sheetData>
  <autoFilter ref="A1:F1065">
    <filterColumn colId="5" hiddenButton="0" showButton="1">
      <filters>
        <dateGroupItem year="2025" month="2" dateTimeGrouping="month"/>
      </filters>
    </filterColumn>
    <sortState ref="A2:F519">
      <sortCondition ref="F1:F519"/>
    </sortState>
  </autoFilter>
  <mergeCells count="1">
    <mergeCell ref="C819:E819"/>
  </mergeCells>
  <conditionalFormatting sqref="C1048:D1054">
    <cfRule type="expression" priority="34" dxfId="0">
      <formula>$N1048=1</formula>
    </cfRule>
  </conditionalFormatting>
  <conditionalFormatting sqref="A1048:A1054">
    <cfRule type="expression" priority="33" dxfId="0">
      <formula>$N1048=1</formula>
    </cfRule>
  </conditionalFormatting>
  <conditionalFormatting sqref="C1055:D1055">
    <cfRule type="expression" priority="32" dxfId="0">
      <formula>$N1055=1</formula>
    </cfRule>
  </conditionalFormatting>
  <conditionalFormatting sqref="B1055">
    <cfRule type="expression" priority="31" dxfId="0">
      <formula>$N1055=1</formula>
    </cfRule>
  </conditionalFormatting>
  <conditionalFormatting sqref="A1055">
    <cfRule type="expression" priority="30" dxfId="0">
      <formula>$N1055=1</formula>
    </cfRule>
  </conditionalFormatting>
  <conditionalFormatting sqref="C1056:D1056">
    <cfRule type="expression" priority="29" dxfId="0">
      <formula>$N1056=1</formula>
    </cfRule>
  </conditionalFormatting>
  <conditionalFormatting sqref="C1057:D1057">
    <cfRule type="expression" priority="28" dxfId="0">
      <formula>$N1057=1</formula>
    </cfRule>
  </conditionalFormatting>
  <conditionalFormatting sqref="A1056:B1057">
    <cfRule type="expression" priority="27" dxfId="0">
      <formula>$N1056=1</formula>
    </cfRule>
  </conditionalFormatting>
  <conditionalFormatting sqref="C1058:D1058">
    <cfRule type="expression" priority="26" dxfId="0">
      <formula>$N1058=1</formula>
    </cfRule>
  </conditionalFormatting>
  <conditionalFormatting sqref="A1058">
    <cfRule type="expression" priority="25" dxfId="0">
      <formula>$N1058=1</formula>
    </cfRule>
  </conditionalFormatting>
  <conditionalFormatting sqref="A1059">
    <cfRule type="expression" priority="23" dxfId="0">
      <formula>$N1059=1</formula>
    </cfRule>
  </conditionalFormatting>
  <conditionalFormatting sqref="B1059">
    <cfRule type="expression" priority="22" dxfId="0">
      <formula>$N1059=1</formula>
    </cfRule>
  </conditionalFormatting>
  <conditionalFormatting sqref="C1059:D1059">
    <cfRule type="expression" priority="21" dxfId="0">
      <formula>$N1059=1</formula>
    </cfRule>
  </conditionalFormatting>
  <conditionalFormatting sqref="A1060">
    <cfRule type="expression" priority="19" dxfId="0">
      <formula>$N1060=1</formula>
    </cfRule>
  </conditionalFormatting>
  <conditionalFormatting sqref="C1060:D1060">
    <cfRule type="expression" priority="18" dxfId="0">
      <formula>$N1060=1</formula>
    </cfRule>
  </conditionalFormatting>
  <conditionalFormatting sqref="C1061">
    <cfRule type="expression" priority="17" dxfId="0">
      <formula>$N1061=1</formula>
    </cfRule>
  </conditionalFormatting>
  <conditionalFormatting sqref="D1061">
    <cfRule type="expression" priority="16" dxfId="0">
      <formula>$N1061=1</formula>
    </cfRule>
  </conditionalFormatting>
  <conditionalFormatting sqref="B1061">
    <cfRule type="expression" priority="15" dxfId="0">
      <formula>$N1061=1</formula>
    </cfRule>
  </conditionalFormatting>
  <conditionalFormatting sqref="A1061">
    <cfRule type="expression" priority="14" dxfId="0">
      <formula>$N1061=1</formula>
    </cfRule>
  </conditionalFormatting>
  <conditionalFormatting sqref="C1062">
    <cfRule type="expression" priority="13" dxfId="0">
      <formula>$N1062=1</formula>
    </cfRule>
  </conditionalFormatting>
  <conditionalFormatting sqref="B1062">
    <cfRule type="expression" priority="12" dxfId="0">
      <formula>$N1062=1</formula>
    </cfRule>
  </conditionalFormatting>
  <conditionalFormatting sqref="A1062">
    <cfRule type="expression" priority="11" dxfId="0">
      <formula>$N1062=1</formula>
    </cfRule>
  </conditionalFormatting>
  <conditionalFormatting sqref="D1062">
    <cfRule type="expression" priority="10" dxfId="0">
      <formula>$N1062=1</formula>
    </cfRule>
  </conditionalFormatting>
  <conditionalFormatting sqref="C1063:D1063">
    <cfRule type="expression" priority="9" dxfId="0">
      <formula>$N1063=1</formula>
    </cfRule>
  </conditionalFormatting>
  <conditionalFormatting sqref="B1063">
    <cfRule type="expression" priority="8" dxfId="0">
      <formula>$N1063=1</formula>
    </cfRule>
  </conditionalFormatting>
  <conditionalFormatting sqref="A1063">
    <cfRule type="expression" priority="7" dxfId="0">
      <formula>$N1063=1</formula>
    </cfRule>
  </conditionalFormatting>
  <conditionalFormatting sqref="C1064:D1064">
    <cfRule type="expression" priority="6" dxfId="0">
      <formula>$N1064=1</formula>
    </cfRule>
  </conditionalFormatting>
  <conditionalFormatting sqref="B1064">
    <cfRule type="expression" priority="5" dxfId="0">
      <formula>$N1064=1</formula>
    </cfRule>
  </conditionalFormatting>
  <conditionalFormatting sqref="A1064">
    <cfRule type="expression" priority="4" dxfId="0">
      <formula>$N1064=1</formula>
    </cfRule>
  </conditionalFormatting>
  <conditionalFormatting sqref="C1065:D1065">
    <cfRule type="expression" priority="3" dxfId="0">
      <formula>$N1065=1</formula>
    </cfRule>
  </conditionalFormatting>
  <conditionalFormatting sqref="B1065">
    <cfRule type="expression" priority="2" dxfId="0">
      <formula>$N1065=1</formula>
    </cfRule>
  </conditionalFormatting>
  <conditionalFormatting sqref="A1065">
    <cfRule type="expression" priority="1" dxfId="0">
      <formula>$N1065=1</formula>
    </cfRule>
  </conditionalFormatting>
  <hyperlinks>
    <hyperlink xmlns:r="http://schemas.openxmlformats.org/officeDocument/2006/relationships" ref="C428" display="http://www.clumba.ru/mediaplan/TC/afimoll_1-new.jpg" r:id="rId1"/>
    <hyperlink xmlns:r="http://schemas.openxmlformats.org/officeDocument/2006/relationships" ref="C429" display="http://www.clumba.ru/mediaplan/TC/afimoll_2-new-1.jpg" r:id="rId2"/>
    <hyperlink xmlns:r="http://schemas.openxmlformats.org/officeDocument/2006/relationships" ref="C521" r:id="rId3"/>
    <hyperlink xmlns:r="http://schemas.openxmlformats.org/officeDocument/2006/relationships" ref="C556" r:id="rId4"/>
    <hyperlink xmlns:r="http://schemas.openxmlformats.org/officeDocument/2006/relationships" ref="C691" r:id="rId5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Владимир</dc:creator>
  <dcterms:created xsi:type="dcterms:W3CDTF">2016-08-31T12:02:39Z</dcterms:created>
  <dcterms:modified xsi:type="dcterms:W3CDTF">2025-10-30T09:11:34Z</dcterms:modified>
  <cp:lastModifiedBy>RePack by Diakov</cp:lastModifiedBy>
  <cp:lastPrinted>2021-06-22T13:32:02Z</cp:lastPrinted>
</cp:coreProperties>
</file>